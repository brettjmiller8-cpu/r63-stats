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0F9E723-A373-40D6-ADD5-7A4741E75000}" xr6:coauthVersionLast="47" xr6:coauthVersionMax="47" xr10:uidLastSave="{00000000-0000-0000-0000-000000000000}"/>
  <bookViews>
    <workbookView xWindow="-28920" yWindow="-120" windowWidth="29040" windowHeight="15720" firstSheet="1" activeTab="1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S2'!$A$1:$AN$39</definedName>
    <definedName name="_xlnm._FilterDatabase" localSheetId="7" hidden="1">'BA v2'!$A$1:$AN$61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2'!$A$1:$AI$49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65" i="17" l="1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R33" i="16"/>
  <c r="F33" i="16"/>
  <c r="G33" i="16"/>
  <c r="H33" i="16" a="1"/>
  <c r="H33" i="16" s="1"/>
  <c r="I33" i="16"/>
  <c r="J33" i="16"/>
  <c r="K33" i="16"/>
  <c r="L33" i="16"/>
  <c r="M33" i="16" s="1"/>
  <c r="O33" i="16"/>
  <c r="P33" i="16" s="1"/>
  <c r="Q33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3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3" i="13" s="1"/>
  <c r="AC378" i="15"/>
  <c r="S33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K34" i="16"/>
  <c r="L34" i="16"/>
  <c r="M34" i="16" s="1"/>
  <c r="N34" i="16"/>
  <c r="O34" i="16"/>
  <c r="P34" i="16" s="1"/>
  <c r="Q34" i="16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F54" i="12"/>
  <c r="G54" i="12"/>
  <c r="H54" i="12" a="1"/>
  <c r="H54" i="12" s="1"/>
  <c r="I54" i="12"/>
  <c r="J54" i="12"/>
  <c r="K54" i="12"/>
  <c r="L54" i="12"/>
  <c r="M54" i="12" s="1"/>
  <c r="N54" i="12"/>
  <c r="O54" i="12"/>
  <c r="P54" i="12" s="1"/>
  <c r="Q54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29" i="16" s="1"/>
  <c r="AJ241" i="17"/>
  <c r="AK241" i="17"/>
  <c r="K29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8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H33" i="13"/>
  <c r="I33" i="13"/>
  <c r="J33" i="13" a="1"/>
  <c r="J33" i="13" s="1"/>
  <c r="K33" i="13"/>
  <c r="L33" i="13"/>
  <c r="M33" i="13"/>
  <c r="N33" i="13"/>
  <c r="O33" i="13" s="1"/>
  <c r="Q33" i="13"/>
  <c r="R33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N46" i="13"/>
  <c r="O46" i="13" s="1"/>
  <c r="Q46" i="13"/>
  <c r="R46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6" i="13" s="1"/>
  <c r="AC309" i="15"/>
  <c r="S46" i="13" s="1"/>
  <c r="AD309" i="15"/>
  <c r="M46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T37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R29" i="16"/>
  <c r="F29" i="16"/>
  <c r="G29" i="16"/>
  <c r="H29" i="16" a="1"/>
  <c r="H29" i="16" s="1"/>
  <c r="I29" i="16"/>
  <c r="J29" i="16"/>
  <c r="L29" i="16"/>
  <c r="M29" i="16" s="1"/>
  <c r="O29" i="16"/>
  <c r="P29" i="16" s="1"/>
  <c r="Q29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F46" i="12"/>
  <c r="G46" i="12"/>
  <c r="H46" i="12" a="1"/>
  <c r="H46" i="12" s="1"/>
  <c r="I46" i="12"/>
  <c r="J46" i="12"/>
  <c r="K46" i="12"/>
  <c r="L46" i="12"/>
  <c r="M46" i="12" s="1"/>
  <c r="N46" i="12"/>
  <c r="O46" i="12"/>
  <c r="P46" i="12" s="1"/>
  <c r="Q46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H48" i="13"/>
  <c r="I48" i="13"/>
  <c r="J48" i="13" a="1"/>
  <c r="J48" i="13" s="1"/>
  <c r="K48" i="13"/>
  <c r="L48" i="13"/>
  <c r="N48" i="13"/>
  <c r="O48" i="13" s="1"/>
  <c r="P48" i="13"/>
  <c r="Q48" i="13"/>
  <c r="R48" i="13" s="1"/>
  <c r="S48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7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3" i="16" s="1"/>
  <c r="AJ128" i="17"/>
  <c r="Q13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L36" i="16"/>
  <c r="R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R37" i="16"/>
  <c r="AK2" i="17"/>
  <c r="AI2" i="17"/>
  <c r="AH2" i="17"/>
  <c r="F37" i="16"/>
  <c r="G37" i="16"/>
  <c r="H37" i="16" a="1"/>
  <c r="H37" i="16" s="1"/>
  <c r="I37" i="16"/>
  <c r="J37" i="16"/>
  <c r="L37" i="16"/>
  <c r="M37" i="16" s="1"/>
  <c r="O37" i="16"/>
  <c r="P37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N15" i="16"/>
  <c r="O15" i="16"/>
  <c r="P15" i="16" s="1"/>
  <c r="Q15" i="16"/>
  <c r="N37" i="16"/>
  <c r="K37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O13" i="16"/>
  <c r="P13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Q20" i="16"/>
  <c r="F21" i="16"/>
  <c r="G21" i="16"/>
  <c r="H21" i="16" a="1"/>
  <c r="H21" i="16" s="1"/>
  <c r="I21" i="16"/>
  <c r="J21" i="16"/>
  <c r="L21" i="16"/>
  <c r="M21" i="16" s="1"/>
  <c r="N21" i="16"/>
  <c r="O21" i="16"/>
  <c r="P21" i="16" s="1"/>
  <c r="Q21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F22" i="16"/>
  <c r="G22" i="16"/>
  <c r="H22" i="16" a="1"/>
  <c r="H22" i="16" s="1"/>
  <c r="I22" i="16"/>
  <c r="J22" i="16"/>
  <c r="K22" i="16"/>
  <c r="L22" i="16"/>
  <c r="M22" i="16" s="1"/>
  <c r="N22" i="16"/>
  <c r="O22" i="16"/>
  <c r="P22" i="16" s="1"/>
  <c r="Q22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R19" i="16"/>
  <c r="F19" i="16"/>
  <c r="G19" i="16"/>
  <c r="H19" i="16" a="1"/>
  <c r="H19" i="16" s="1"/>
  <c r="I19" i="16"/>
  <c r="J19" i="16"/>
  <c r="L19" i="16"/>
  <c r="M19" i="16" s="1"/>
  <c r="O19" i="16"/>
  <c r="P19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19" i="16"/>
  <c r="Q19" i="16"/>
  <c r="K19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9" i="13"/>
  <c r="I29" i="13"/>
  <c r="J29" i="13" a="1"/>
  <c r="J29" i="13" s="1"/>
  <c r="K29" i="13"/>
  <c r="L29" i="13"/>
  <c r="N29" i="13"/>
  <c r="O29" i="13" s="1"/>
  <c r="Q29" i="13"/>
  <c r="R29" i="13" s="1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N39" i="13"/>
  <c r="O39" i="13" s="1"/>
  <c r="Q39" i="13"/>
  <c r="R39" i="13" s="1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 a="1"/>
  <c r="J40" i="13" s="1"/>
  <c r="K40" i="13"/>
  <c r="L40" i="13"/>
  <c r="N40" i="13"/>
  <c r="O40" i="13" s="1"/>
  <c r="Q40" i="13"/>
  <c r="R40" i="13" s="1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0" i="13"/>
  <c r="I50" i="13"/>
  <c r="J50" i="13" a="1"/>
  <c r="J50" i="13" s="1"/>
  <c r="K50" i="13"/>
  <c r="L50" i="13"/>
  <c r="M50" i="13"/>
  <c r="N50" i="13"/>
  <c r="O50" i="13" s="1"/>
  <c r="P50" i="13"/>
  <c r="Q50" i="13"/>
  <c r="R50" i="13" s="1"/>
  <c r="S50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9" i="13" s="1"/>
  <c r="AC53" i="15"/>
  <c r="S39" i="13" s="1"/>
  <c r="AD53" i="15"/>
  <c r="M39" i="13" s="1"/>
  <c r="AA54" i="15"/>
  <c r="AB54" i="15"/>
  <c r="P40" i="13" s="1"/>
  <c r="AC54" i="15"/>
  <c r="S40" i="13" s="1"/>
  <c r="AD54" i="15"/>
  <c r="M40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8" i="13"/>
  <c r="AG38" i="13"/>
  <c r="AH38" i="13"/>
  <c r="AI38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8" i="13" s="1"/>
  <c r="AC31" i="15"/>
  <c r="S38" i="13" s="1"/>
  <c r="AD31" i="15"/>
  <c r="M3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9" i="13" s="1"/>
  <c r="AC37" i="15"/>
  <c r="S29" i="13" s="1"/>
  <c r="AD37" i="15"/>
  <c r="M29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0" i="13" s="1"/>
  <c r="AC11" i="15"/>
  <c r="S30" i="13" s="1"/>
  <c r="AD11" i="15"/>
  <c r="M30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R38" i="16"/>
  <c r="R35" i="16"/>
  <c r="R32" i="16"/>
  <c r="R31" i="16"/>
  <c r="R30" i="16"/>
  <c r="R28" i="16"/>
  <c r="R27" i="16"/>
  <c r="R25" i="16"/>
  <c r="R24" i="16"/>
  <c r="R23" i="16"/>
  <c r="R20" i="16"/>
  <c r="R18" i="16"/>
  <c r="R17" i="16"/>
  <c r="R16" i="16"/>
  <c r="R14" i="16"/>
  <c r="R12" i="16"/>
  <c r="R6" i="16"/>
  <c r="R5" i="16"/>
  <c r="R4" i="16"/>
  <c r="R3" i="16"/>
  <c r="R2" i="16"/>
  <c r="Q3" i="16"/>
  <c r="Q4" i="16"/>
  <c r="Q5" i="16"/>
  <c r="Q6" i="16"/>
  <c r="Q14" i="16"/>
  <c r="Q16" i="16"/>
  <c r="Q17" i="16"/>
  <c r="Q18" i="16"/>
  <c r="Q23" i="16"/>
  <c r="Q24" i="16"/>
  <c r="Q25" i="16"/>
  <c r="Q27" i="16"/>
  <c r="Q28" i="16"/>
  <c r="Q30" i="16"/>
  <c r="Q31" i="16"/>
  <c r="Q32" i="16"/>
  <c r="Q35" i="16"/>
  <c r="Q36" i="16"/>
  <c r="Q38" i="16"/>
  <c r="Q39" i="16"/>
  <c r="Q2" i="16"/>
  <c r="O3" i="16"/>
  <c r="P3" i="16" s="1"/>
  <c r="O4" i="16"/>
  <c r="P4" i="16" s="1"/>
  <c r="O5" i="16"/>
  <c r="P5" i="16" s="1"/>
  <c r="O6" i="16"/>
  <c r="P6" i="16" s="1"/>
  <c r="O12" i="16"/>
  <c r="P12" i="16" s="1"/>
  <c r="O14" i="16"/>
  <c r="P14" i="16" s="1"/>
  <c r="O16" i="16"/>
  <c r="P16" i="16" s="1"/>
  <c r="O17" i="16"/>
  <c r="P17" i="16" s="1"/>
  <c r="O18" i="16"/>
  <c r="P18" i="16" s="1"/>
  <c r="O20" i="16"/>
  <c r="P20" i="16" s="1"/>
  <c r="O23" i="16"/>
  <c r="P23" i="16" s="1"/>
  <c r="O24" i="16"/>
  <c r="P24" i="16" s="1"/>
  <c r="O25" i="16"/>
  <c r="P25" i="16" s="1"/>
  <c r="O27" i="16"/>
  <c r="P27" i="16" s="1"/>
  <c r="O28" i="16"/>
  <c r="P28" i="16" s="1"/>
  <c r="O30" i="16"/>
  <c r="P30" i="16" s="1"/>
  <c r="O31" i="16"/>
  <c r="P31" i="16" s="1"/>
  <c r="O32" i="16"/>
  <c r="P32" i="16" s="1"/>
  <c r="O35" i="16"/>
  <c r="P35" i="16" s="1"/>
  <c r="O36" i="16"/>
  <c r="P36" i="16" s="1"/>
  <c r="O38" i="16"/>
  <c r="P38" i="16" s="1"/>
  <c r="O39" i="16"/>
  <c r="P39" i="16" s="1"/>
  <c r="O2" i="16"/>
  <c r="P2" i="16" s="1"/>
  <c r="N3" i="16"/>
  <c r="N4" i="16"/>
  <c r="N5" i="16"/>
  <c r="N6" i="16"/>
  <c r="N14" i="16"/>
  <c r="N16" i="16"/>
  <c r="N17" i="16"/>
  <c r="N18" i="16"/>
  <c r="N20" i="16"/>
  <c r="N23" i="16"/>
  <c r="N24" i="16"/>
  <c r="N25" i="16"/>
  <c r="N27" i="16"/>
  <c r="N28" i="16"/>
  <c r="N30" i="16"/>
  <c r="N31" i="16"/>
  <c r="N32" i="16"/>
  <c r="N35" i="16"/>
  <c r="N36" i="16"/>
  <c r="N38" i="16"/>
  <c r="N39" i="16"/>
  <c r="N2" i="16"/>
  <c r="L3" i="16"/>
  <c r="M3" i="16" s="1"/>
  <c r="L4" i="16"/>
  <c r="M4" i="16" s="1"/>
  <c r="L5" i="16"/>
  <c r="M5" i="16" s="1"/>
  <c r="L6" i="16"/>
  <c r="M6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3" i="16"/>
  <c r="M23" i="16" s="1"/>
  <c r="L24" i="16"/>
  <c r="M24" i="16" s="1"/>
  <c r="L25" i="16"/>
  <c r="M25" i="16" s="1"/>
  <c r="L27" i="16"/>
  <c r="M27" i="16" s="1"/>
  <c r="L28" i="16"/>
  <c r="M28" i="16" s="1"/>
  <c r="L30" i="16"/>
  <c r="M30" i="16" s="1"/>
  <c r="L31" i="16"/>
  <c r="M31" i="16" s="1"/>
  <c r="L32" i="16"/>
  <c r="M32" i="16" s="1"/>
  <c r="L35" i="16"/>
  <c r="M35" i="16" s="1"/>
  <c r="M36" i="16"/>
  <c r="L38" i="16"/>
  <c r="M38" i="16" s="1"/>
  <c r="L39" i="16"/>
  <c r="M39" i="16" s="1"/>
  <c r="L2" i="16"/>
  <c r="M2" i="16" s="1"/>
  <c r="K3" i="16"/>
  <c r="K4" i="16"/>
  <c r="K5" i="16"/>
  <c r="K6" i="16"/>
  <c r="K14" i="16"/>
  <c r="K16" i="16"/>
  <c r="K17" i="16"/>
  <c r="K18" i="16"/>
  <c r="K20" i="16"/>
  <c r="K23" i="16"/>
  <c r="K24" i="16"/>
  <c r="K25" i="16"/>
  <c r="K27" i="16"/>
  <c r="K28" i="16"/>
  <c r="K30" i="16"/>
  <c r="K31" i="16"/>
  <c r="K32" i="16"/>
  <c r="K35" i="16"/>
  <c r="K36" i="16"/>
  <c r="K38" i="16"/>
  <c r="K39" i="16"/>
  <c r="J3" i="16"/>
  <c r="J4" i="16"/>
  <c r="J5" i="16"/>
  <c r="J6" i="16"/>
  <c r="J12" i="16"/>
  <c r="J14" i="16"/>
  <c r="J16" i="16"/>
  <c r="J17" i="16"/>
  <c r="J18" i="16"/>
  <c r="J20" i="16"/>
  <c r="J23" i="16"/>
  <c r="J24" i="16"/>
  <c r="J25" i="16"/>
  <c r="J27" i="16"/>
  <c r="J28" i="16"/>
  <c r="J30" i="16"/>
  <c r="J31" i="16"/>
  <c r="J32" i="16"/>
  <c r="J35" i="16"/>
  <c r="J36" i="16"/>
  <c r="J38" i="16"/>
  <c r="J39" i="16"/>
  <c r="J2" i="16"/>
  <c r="I3" i="16"/>
  <c r="I4" i="16"/>
  <c r="I5" i="16"/>
  <c r="I6" i="16"/>
  <c r="I12" i="16"/>
  <c r="I14" i="16"/>
  <c r="I16" i="16"/>
  <c r="I17" i="16"/>
  <c r="I18" i="16"/>
  <c r="I20" i="16"/>
  <c r="I23" i="16"/>
  <c r="I24" i="16"/>
  <c r="I25" i="16"/>
  <c r="I27" i="16"/>
  <c r="I28" i="16"/>
  <c r="I30" i="16"/>
  <c r="I31" i="16"/>
  <c r="I32" i="16"/>
  <c r="I35" i="16"/>
  <c r="I36" i="16"/>
  <c r="I38" i="16"/>
  <c r="I39" i="16"/>
  <c r="I2" i="16"/>
  <c r="H3" i="16" a="1"/>
  <c r="H3" i="16" s="1"/>
  <c r="H4" i="16" a="1"/>
  <c r="H4" i="16" s="1"/>
  <c r="H5" i="16" a="1"/>
  <c r="H5" i="16" s="1"/>
  <c r="H6" i="16" a="1"/>
  <c r="H6" i="16" s="1"/>
  <c r="H12" i="16" a="1"/>
  <c r="H12" i="16" s="1"/>
  <c r="H14" i="16" a="1"/>
  <c r="H14" i="16" s="1"/>
  <c r="H16" i="16" a="1"/>
  <c r="H16" i="16" s="1"/>
  <c r="H17" i="16" a="1"/>
  <c r="H17" i="16" s="1"/>
  <c r="H18" i="16" a="1"/>
  <c r="H18" i="16" s="1"/>
  <c r="H20" i="16" a="1"/>
  <c r="H20" i="16" s="1"/>
  <c r="H23" i="16" a="1"/>
  <c r="H23" i="16" s="1"/>
  <c r="H24" i="16" a="1"/>
  <c r="H24" i="16" s="1"/>
  <c r="H25" i="16" a="1"/>
  <c r="H25" i="16" s="1"/>
  <c r="H27" i="16" a="1"/>
  <c r="H27" i="16" s="1"/>
  <c r="H28" i="16" a="1"/>
  <c r="H28" i="16" s="1"/>
  <c r="H30" i="16" a="1"/>
  <c r="H30" i="16" s="1"/>
  <c r="H31" i="16" a="1"/>
  <c r="H31" i="16" s="1"/>
  <c r="H32" i="16" a="1"/>
  <c r="H32" i="16" s="1"/>
  <c r="H35" i="16" a="1"/>
  <c r="H35" i="16" s="1"/>
  <c r="H36" i="16" a="1"/>
  <c r="H36" i="16" s="1"/>
  <c r="H38" i="16" a="1"/>
  <c r="H38" i="16" s="1"/>
  <c r="H39" i="16" a="1"/>
  <c r="H39" i="16" s="1"/>
  <c r="H2" i="16" a="1"/>
  <c r="H2" i="16" s="1"/>
  <c r="G3" i="16"/>
  <c r="G4" i="16"/>
  <c r="G5" i="16"/>
  <c r="G6" i="16"/>
  <c r="G12" i="16"/>
  <c r="G14" i="16"/>
  <c r="G16" i="16"/>
  <c r="G17" i="16"/>
  <c r="G18" i="16"/>
  <c r="G20" i="16"/>
  <c r="G23" i="16"/>
  <c r="G24" i="16"/>
  <c r="G25" i="16"/>
  <c r="G27" i="16"/>
  <c r="G28" i="16"/>
  <c r="G30" i="16"/>
  <c r="G31" i="16"/>
  <c r="G32" i="16"/>
  <c r="G35" i="16"/>
  <c r="G36" i="16"/>
  <c r="G38" i="16"/>
  <c r="G39" i="16"/>
  <c r="G2" i="16"/>
  <c r="F3" i="16"/>
  <c r="F4" i="16"/>
  <c r="F5" i="16"/>
  <c r="F6" i="16"/>
  <c r="F12" i="16"/>
  <c r="F14" i="16"/>
  <c r="F16" i="16"/>
  <c r="F17" i="16"/>
  <c r="F18" i="16"/>
  <c r="F20" i="16"/>
  <c r="F23" i="16"/>
  <c r="F24" i="16"/>
  <c r="F25" i="16"/>
  <c r="F27" i="16"/>
  <c r="F28" i="16"/>
  <c r="F30" i="16"/>
  <c r="F31" i="16"/>
  <c r="F32" i="16"/>
  <c r="F35" i="16"/>
  <c r="F36" i="16"/>
  <c r="F38" i="16"/>
  <c r="F39" i="16"/>
  <c r="F2" i="16"/>
  <c r="K12" i="16"/>
  <c r="Q12" i="16"/>
  <c r="N12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9" i="13"/>
  <c r="AG29" i="13"/>
  <c r="AH29" i="13"/>
  <c r="AI29" i="13"/>
  <c r="AF30" i="13"/>
  <c r="AG30" i="13"/>
  <c r="AH30" i="13"/>
  <c r="AI30" i="13"/>
  <c r="AF31" i="13"/>
  <c r="AG31" i="13"/>
  <c r="AH31" i="13"/>
  <c r="AI31" i="13"/>
  <c r="AF32" i="13"/>
  <c r="AG32" i="13"/>
  <c r="AH32" i="13"/>
  <c r="AI32" i="13"/>
  <c r="AF34" i="13"/>
  <c r="AG34" i="13"/>
  <c r="AH34" i="13"/>
  <c r="AI34" i="13"/>
  <c r="AF39" i="13"/>
  <c r="AG39" i="13"/>
  <c r="AH39" i="13"/>
  <c r="AI39" i="13"/>
  <c r="AF40" i="13"/>
  <c r="AG40" i="13"/>
  <c r="AH40" i="13"/>
  <c r="AI40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T45" i="13"/>
  <c r="T44" i="13"/>
  <c r="T43" i="13"/>
  <c r="T42" i="13"/>
  <c r="T9" i="13"/>
  <c r="T7" i="13"/>
  <c r="T6" i="13"/>
  <c r="T5" i="13"/>
  <c r="S9" i="13"/>
  <c r="S42" i="13"/>
  <c r="S44" i="13"/>
  <c r="S45" i="13"/>
  <c r="Q5" i="13"/>
  <c r="R5" i="13" s="1"/>
  <c r="Q6" i="13"/>
  <c r="R6" i="13" s="1"/>
  <c r="Q7" i="13"/>
  <c r="R7" i="13" s="1"/>
  <c r="Q9" i="13"/>
  <c r="R9" i="13" s="1"/>
  <c r="Q42" i="13"/>
  <c r="R42" i="13" s="1"/>
  <c r="Q43" i="13"/>
  <c r="R43" i="13" s="1"/>
  <c r="Q44" i="13"/>
  <c r="R44" i="13" s="1"/>
  <c r="Q45" i="13"/>
  <c r="R45" i="13" s="1"/>
  <c r="Q47" i="13"/>
  <c r="R47" i="13" s="1"/>
  <c r="Q49" i="13"/>
  <c r="R49" i="13" s="1"/>
  <c r="N5" i="13"/>
  <c r="O5" i="13" s="1"/>
  <c r="N6" i="13"/>
  <c r="O6" i="13" s="1"/>
  <c r="N7" i="13"/>
  <c r="O7" i="13" s="1"/>
  <c r="N9" i="13"/>
  <c r="O9" i="13" s="1"/>
  <c r="N42" i="13"/>
  <c r="O42" i="13" s="1"/>
  <c r="N43" i="13"/>
  <c r="O43" i="13" s="1"/>
  <c r="N44" i="13"/>
  <c r="O44" i="13" s="1"/>
  <c r="N45" i="13"/>
  <c r="O45" i="13" s="1"/>
  <c r="N47" i="13"/>
  <c r="O47" i="13" s="1"/>
  <c r="N49" i="13"/>
  <c r="O49" i="13" s="1"/>
  <c r="M49" i="13"/>
  <c r="L5" i="13"/>
  <c r="L6" i="13"/>
  <c r="L7" i="13"/>
  <c r="L9" i="13"/>
  <c r="L42" i="13"/>
  <c r="L43" i="13"/>
  <c r="L44" i="13"/>
  <c r="L45" i="13"/>
  <c r="L47" i="13"/>
  <c r="L49" i="13"/>
  <c r="K5" i="13"/>
  <c r="K6" i="13"/>
  <c r="K7" i="13"/>
  <c r="K9" i="13"/>
  <c r="K42" i="13"/>
  <c r="K43" i="13"/>
  <c r="K44" i="13"/>
  <c r="K45" i="13"/>
  <c r="K47" i="13"/>
  <c r="K49" i="13"/>
  <c r="J5" i="13" a="1"/>
  <c r="J5" i="13" s="1"/>
  <c r="J6" i="13" a="1"/>
  <c r="J6" i="13" s="1"/>
  <c r="J7" i="13" a="1"/>
  <c r="J7" i="13" s="1"/>
  <c r="J9" i="13" a="1"/>
  <c r="J9" i="13" s="1"/>
  <c r="J42" i="13" a="1"/>
  <c r="J42" i="13" s="1"/>
  <c r="J43" i="13" a="1"/>
  <c r="J43" i="13" s="1"/>
  <c r="J44" i="13" a="1"/>
  <c r="J44" i="13" s="1"/>
  <c r="J45" i="13" a="1"/>
  <c r="J45" i="13" s="1"/>
  <c r="J47" i="13" a="1"/>
  <c r="J47" i="13" s="1"/>
  <c r="J49" i="13" a="1"/>
  <c r="J49" i="13" s="1"/>
  <c r="I5" i="13"/>
  <c r="I6" i="13"/>
  <c r="I7" i="13"/>
  <c r="I9" i="13"/>
  <c r="I42" i="13"/>
  <c r="I43" i="13"/>
  <c r="I44" i="13"/>
  <c r="I45" i="13"/>
  <c r="I47" i="13"/>
  <c r="I49" i="13"/>
  <c r="H5" i="13"/>
  <c r="H6" i="13"/>
  <c r="H7" i="13"/>
  <c r="H9" i="13"/>
  <c r="H42" i="13"/>
  <c r="H43" i="13"/>
  <c r="H44" i="13"/>
  <c r="H45" i="13"/>
  <c r="H47" i="13"/>
  <c r="H49" i="13"/>
  <c r="S6" i="13"/>
  <c r="P45" i="13"/>
  <c r="M45" i="13"/>
  <c r="P44" i="13"/>
  <c r="M44" i="13"/>
  <c r="P7" i="13"/>
  <c r="S7" i="13"/>
  <c r="M7" i="13"/>
  <c r="P47" i="13"/>
  <c r="S47" i="13"/>
  <c r="M47" i="13"/>
  <c r="P43" i="13"/>
  <c r="S43" i="13"/>
  <c r="M43" i="13"/>
  <c r="P9" i="13"/>
  <c r="P49" i="13"/>
  <c r="S49" i="13"/>
  <c r="P5" i="13"/>
  <c r="S5" i="13"/>
  <c r="M5" i="13"/>
  <c r="P42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4" i="12" s="1"/>
  <c r="AK705" i="9"/>
  <c r="Q9" i="12"/>
  <c r="Q22" i="12"/>
  <c r="Q24" i="12"/>
  <c r="Q39" i="12"/>
  <c r="Q40" i="12"/>
  <c r="Q45" i="12"/>
  <c r="Q47" i="12"/>
  <c r="Q48" i="12"/>
  <c r="Q52" i="12"/>
  <c r="Q55" i="12"/>
  <c r="Q56" i="12"/>
  <c r="Q58" i="12"/>
  <c r="Q59" i="12"/>
  <c r="N7" i="12"/>
  <c r="N9" i="12"/>
  <c r="N20" i="12"/>
  <c r="N22" i="12"/>
  <c r="N24" i="12"/>
  <c r="N39" i="12"/>
  <c r="N40" i="12"/>
  <c r="N44" i="12"/>
  <c r="N45" i="12"/>
  <c r="N47" i="12"/>
  <c r="N48" i="12"/>
  <c r="N52" i="12"/>
  <c r="N55" i="12"/>
  <c r="N56" i="12"/>
  <c r="N58" i="12"/>
  <c r="N59" i="12"/>
  <c r="K7" i="12"/>
  <c r="K9" i="12"/>
  <c r="K20" i="12"/>
  <c r="K22" i="12"/>
  <c r="K24" i="12"/>
  <c r="K39" i="12"/>
  <c r="K40" i="12"/>
  <c r="K44" i="12"/>
  <c r="K45" i="12"/>
  <c r="K47" i="12"/>
  <c r="K48" i="12"/>
  <c r="K52" i="12"/>
  <c r="K55" i="12"/>
  <c r="K56" i="12"/>
  <c r="K58" i="12"/>
  <c r="K59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1" i="12" s="1"/>
  <c r="AJ52" i="9"/>
  <c r="Q61" i="12" s="1"/>
  <c r="AK52" i="9"/>
  <c r="K61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0" i="12" s="1"/>
  <c r="AJ102" i="9"/>
  <c r="Q60" i="12" s="1"/>
  <c r="AK102" i="9"/>
  <c r="K60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49" i="12" s="1"/>
  <c r="AJ183" i="9"/>
  <c r="Q49" i="12" s="1"/>
  <c r="AK183" i="9"/>
  <c r="K49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1" i="12" s="1"/>
  <c r="AJ436" i="9"/>
  <c r="Q51" i="12" s="1"/>
  <c r="AK436" i="9"/>
  <c r="K51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0" i="12" s="1"/>
  <c r="AJ476" i="9"/>
  <c r="Q50" i="12" s="1"/>
  <c r="AK476" i="9"/>
  <c r="K50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7" i="12" s="1"/>
  <c r="AJ564" i="9"/>
  <c r="Q57" i="12" s="1"/>
  <c r="AK564" i="9"/>
  <c r="K57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3" i="12" s="1"/>
  <c r="AJ678" i="9"/>
  <c r="Q53" i="12" s="1"/>
  <c r="AK678" i="9"/>
  <c r="K53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3" i="12" s="1"/>
  <c r="AJ688" i="9"/>
  <c r="Q43" i="12" s="1"/>
  <c r="AK688" i="9"/>
  <c r="K43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F44" i="12"/>
  <c r="G44" i="12"/>
  <c r="H44" i="12" a="1"/>
  <c r="H44" i="12" s="1"/>
  <c r="I44" i="12"/>
  <c r="J44" i="12"/>
  <c r="L44" i="12"/>
  <c r="M44" i="12" s="1"/>
  <c r="O44" i="12"/>
  <c r="P44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I43" i="12"/>
  <c r="AJ43" i="12"/>
  <c r="AK43" i="12"/>
  <c r="AL43" i="12"/>
  <c r="AM43" i="12"/>
  <c r="AN43" i="12"/>
  <c r="R43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0" i="12"/>
  <c r="M50" i="12" s="1"/>
  <c r="O50" i="12"/>
  <c r="P50" i="12" s="1"/>
  <c r="I50" i="12"/>
  <c r="J50" i="12"/>
  <c r="F50" i="12"/>
  <c r="G50" i="12"/>
  <c r="H50" i="12" a="1"/>
  <c r="H50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3" i="12"/>
  <c r="J43" i="12"/>
  <c r="L43" i="12"/>
  <c r="M43" i="12" s="1"/>
  <c r="O43" i="12"/>
  <c r="P43" i="12" s="1"/>
  <c r="F43" i="12"/>
  <c r="G43" i="12"/>
  <c r="H43" i="12" a="1"/>
  <c r="H43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7" i="12"/>
  <c r="P47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5" i="12"/>
  <c r="P45" i="12" s="1"/>
  <c r="O48" i="12"/>
  <c r="P48" i="12" s="1"/>
  <c r="O49" i="12"/>
  <c r="P49" i="12" s="1"/>
  <c r="O51" i="12"/>
  <c r="P51" i="12" s="1"/>
  <c r="O52" i="12"/>
  <c r="P52" i="12" s="1"/>
  <c r="O53" i="12"/>
  <c r="P53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7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5" i="12"/>
  <c r="M45" i="12" s="1"/>
  <c r="L48" i="12"/>
  <c r="M48" i="12" s="1"/>
  <c r="L49" i="12"/>
  <c r="M49" i="12" s="1"/>
  <c r="L51" i="12"/>
  <c r="M51" i="12" s="1"/>
  <c r="L52" i="12"/>
  <c r="M52" i="12" s="1"/>
  <c r="L53" i="12"/>
  <c r="M53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3" i="12"/>
  <c r="M3" i="12" s="1"/>
  <c r="J4" i="12"/>
  <c r="J5" i="12"/>
  <c r="J6" i="12"/>
  <c r="J7" i="12"/>
  <c r="J8" i="12"/>
  <c r="J9" i="12"/>
  <c r="J12" i="12"/>
  <c r="J13" i="12"/>
  <c r="J15" i="12"/>
  <c r="J47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5" i="12"/>
  <c r="J48" i="12"/>
  <c r="J49" i="12"/>
  <c r="J51" i="12"/>
  <c r="J52" i="12"/>
  <c r="J53" i="12"/>
  <c r="J55" i="12"/>
  <c r="J56" i="12"/>
  <c r="J57" i="12"/>
  <c r="J58" i="12"/>
  <c r="J59" i="12"/>
  <c r="J60" i="12"/>
  <c r="J61" i="12"/>
  <c r="J3" i="12"/>
  <c r="I47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5" i="12"/>
  <c r="I48" i="12"/>
  <c r="I49" i="12"/>
  <c r="I51" i="12"/>
  <c r="I52" i="12"/>
  <c r="I53" i="12"/>
  <c r="I55" i="12"/>
  <c r="I56" i="12"/>
  <c r="I57" i="12"/>
  <c r="I58" i="12"/>
  <c r="I59" i="12"/>
  <c r="I60" i="12"/>
  <c r="I61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7" i="12" a="1"/>
  <c r="H47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5" i="12" a="1"/>
  <c r="H45" i="12" s="1"/>
  <c r="H48" i="12" a="1"/>
  <c r="H48" i="12" s="1"/>
  <c r="H49" i="12" a="1"/>
  <c r="H49" i="12" s="1"/>
  <c r="H51" i="12" a="1"/>
  <c r="H51" i="12" s="1"/>
  <c r="H52" i="12" a="1"/>
  <c r="H52" i="12" s="1"/>
  <c r="H53" i="12" a="1"/>
  <c r="H53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3" i="12" a="1"/>
  <c r="H3" i="12" s="1"/>
  <c r="G47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5" i="12"/>
  <c r="G48" i="12"/>
  <c r="G49" i="12"/>
  <c r="G51" i="12"/>
  <c r="G52" i="12"/>
  <c r="G53" i="12"/>
  <c r="G55" i="12"/>
  <c r="G56" i="12"/>
  <c r="G57" i="12"/>
  <c r="G58" i="12"/>
  <c r="G59" i="12"/>
  <c r="G60" i="12"/>
  <c r="G61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7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5" i="12"/>
  <c r="F48" i="12"/>
  <c r="F49" i="12"/>
  <c r="F51" i="12"/>
  <c r="F52" i="12"/>
  <c r="F53" i="12"/>
  <c r="F55" i="12"/>
  <c r="F56" i="12"/>
  <c r="F57" i="12"/>
  <c r="F58" i="12"/>
  <c r="F59" i="12"/>
  <c r="F60" i="12"/>
  <c r="F61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7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<sst xmlns="http://schemas.openxmlformats.org/spreadsheetml/2006/main" count="4741" uniqueCount="226">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</sst>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9" sqref="B29:C2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210</v>
      </c>
      <c r="I4" s="4">
        <f>AVERAGEIFS('OB History'!C:C,'OB History'!B:B,A4)</f>
        <v>9.1304347826086953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13</v>
      </c>
      <c r="M4" s="88">
        <f>LOOKUP(2, 1/('OB History'!$B:$B=A4), 'OB History'!$AD:$AD)</f>
        <v>0.43478260869565216</v>
      </c>
      <c r="N4" s="34">
        <f>SUMIFS('OB History'!F:F,'OB History'!B:B,A4)</f>
        <v>38</v>
      </c>
      <c r="O4" s="2">
        <f>SUMIFS('OB History'!E:E,'OB History'!B:B,A4)-N4</f>
        <v>50</v>
      </c>
      <c r="P4" s="88">
        <f>LOOKUP(2, 1/('OB History'!$B:$B=A4), 'OB History'!$AB:$AB)</f>
        <v>0.42826086956521747</v>
      </c>
      <c r="Q4" s="34">
        <f>SUMIFS('OB History'!H:H,'OB History'!B:B,A4)</f>
        <v>176</v>
      </c>
      <c r="R4" s="2">
        <f>SUMIFS('OB History'!G:G,'OB History'!B:B,A4)-Q4</f>
        <v>195</v>
      </c>
      <c r="S4" s="88">
        <f>LOOKUP(2, 1/('OB History'!$B:$B=A4), 'OB History'!$AC:$AC)</f>
        <v>0.47086956521739115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425</v>
      </c>
      <c r="I7" s="4">
        <f>AVERAGEIFS('OB History'!C:C,'OB History'!B:B,A7)</f>
        <v>12.142857142857142</v>
      </c>
      <c r="J7" s="35">
        <f t="array" ref="J7">MAX(IF('OB History'!B:B=A7, 'OB History'!C:C))</f>
        <v>32</v>
      </c>
      <c r="K7" s="34">
        <f>COUNTIFS('OB History'!B:B,A7,'OB History'!D:D, 1)</f>
        <v>21</v>
      </c>
      <c r="L7" s="2">
        <f>COUNTIFS('OB History'!B:B,A7,'OB History'!D:D, 0)</f>
        <v>14</v>
      </c>
      <c r="M7" s="88">
        <f>LOOKUP(2, 1/('OB History'!$B:$B=A7), 'OB History'!$AD:$AD)</f>
        <v>0.6</v>
      </c>
      <c r="N7" s="34">
        <f>SUMIFS('OB History'!F:F,'OB History'!B:B,A7)</f>
        <v>73</v>
      </c>
      <c r="O7" s="2">
        <f>SUMIFS('OB History'!E:E,'OB History'!B:B,A7)-N7</f>
        <v>66</v>
      </c>
      <c r="P7" s="88">
        <f>LOOKUP(2, 1/('OB History'!$B:$B=A7), 'OB History'!$AB:$AB)</f>
        <v>0.51285714285714279</v>
      </c>
      <c r="Q7" s="34">
        <f>SUMIFS('OB History'!H:H,'OB History'!B:B,'Old Bow v2'!A7)</f>
        <v>289</v>
      </c>
      <c r="R7" s="2">
        <f>SUMIFS('OB History'!G:G,'OB History'!B:B,'Old Bow v2'!A7)-Q7</f>
        <v>278</v>
      </c>
      <c r="S7" s="88">
        <f>LOOKUP(2, 1/('OB History'!$B:$B=A7), 'OB History'!$AC:$AC)</f>
        <v>0.50428571428571434</v>
      </c>
      <c r="T7" s="2">
        <f>COUNTIFS('OB History'!$B:$B,$A$7,'OB History'!K:K, 1)</f>
        <v>6</v>
      </c>
      <c r="U7" s="2">
        <f>COUNTIFS('OB History'!$B:$B,$A$7,'OB History'!L:L, 1)</f>
        <v>8</v>
      </c>
      <c r="V7" s="2">
        <f>COUNTIFS('OB History'!$B:$B,$A$7,'OB History'!M:M, 1)</f>
        <v>1</v>
      </c>
      <c r="W7" s="2">
        <f>COUNTIFS('OB History'!$B:$B,$A$7,'OB History'!N:N, 1)</f>
        <v>10</v>
      </c>
      <c r="X7" s="2">
        <f>COUNTIFS('OB History'!$B:$B,$A$7,'OB History'!O:O, 1)</f>
        <v>3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420</v>
      </c>
      <c r="I8" s="4">
        <f>AVERAGEIFS('OB History'!C:C,'OB History'!B:B,A8)</f>
        <v>12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21</v>
      </c>
      <c r="M8" s="88">
        <f>LOOKUP(2, 1/('OB History'!$B:$B=A8), 'OB History'!$AD:$AD)</f>
        <v>0.4</v>
      </c>
      <c r="N8" s="34">
        <f>SUMIFS('OB History'!F:F,'OB History'!B:B,A8)</f>
        <v>64</v>
      </c>
      <c r="O8" s="2">
        <f>SUMIFS('OB History'!E:E,'OB History'!B:B,A8)-N8</f>
        <v>80</v>
      </c>
      <c r="P8" s="88">
        <f>LOOKUP(2, 1/('OB History'!$B:$B=A8), 'OB History'!$AB:$AB)</f>
        <v>0.43285714285714288</v>
      </c>
      <c r="Q8" s="34">
        <f>SUMIFS('OB History'!H:H,'OB History'!B:B,'Old Bow v2'!A8)</f>
        <v>279</v>
      </c>
      <c r="R8" s="2">
        <f>SUMIFS('OB History'!G:G,'OB History'!B:B,'Old Bow v2'!A8)-Q8</f>
        <v>312</v>
      </c>
      <c r="S8" s="88">
        <f>LOOKUP(2, 1/('OB History'!$B:$B=A8), 'OB History'!$AC:$AC)</f>
        <v>0.46057142857142858</v>
      </c>
      <c r="T8" s="2">
        <f>COUNTIFS('OB History'!$B:$B,$A$8,'OB History'!K:K, 1)</f>
        <v>5</v>
      </c>
      <c r="U8" s="2">
        <f>COUNTIFS('OB History'!$B:$B,$A$8,'OB History'!L:L, 1)</f>
        <v>3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86</v>
      </c>
      <c r="I9" s="4">
        <f>AVERAGEIFS('OB History'!C:C,'OB History'!B:B,A9)</f>
        <v>10.75</v>
      </c>
      <c r="J9" s="35">
        <f t="array" ref="J9">MAX(IF('OB History'!B:B=A9, 'OB History'!C:C))</f>
        <v>29</v>
      </c>
      <c r="K9" s="34">
        <f>COUNTIFS('OB History'!B:B,A9,'OB History'!D:D, 1)</f>
        <v>3</v>
      </c>
      <c r="L9" s="2">
        <f>COUNTIFS('OB History'!B:B,A9,'OB History'!D:D, 0)</f>
        <v>5</v>
      </c>
      <c r="M9" s="88">
        <f>LOOKUP(2, 1/('OB History'!$B:$B=A9), 'OB History'!$AD:$AD)</f>
        <v>0.375</v>
      </c>
      <c r="N9" s="34">
        <f>SUMIFS('OB History'!F:F,'OB History'!B:B,A9)</f>
        <v>13</v>
      </c>
      <c r="O9" s="2">
        <f>SUMIFS('OB History'!E:E,'OB History'!B:B,A9)-N9</f>
        <v>18</v>
      </c>
      <c r="P9" s="88">
        <f>LOOKUP(2, 1/('OB History'!$B:$B=A9), 'OB History'!$AB:$AB)</f>
        <v>0.39374999999999999</v>
      </c>
      <c r="Q9" s="34">
        <f>SUMIFS('OB History'!H:H,'OB History'!B:B,'Old Bow v2'!A9)</f>
        <v>54</v>
      </c>
      <c r="R9" s="2">
        <f>SUMIFS('OB History'!G:G,'OB History'!B:B,'Old Bow v2'!A9)-Q9</f>
        <v>68</v>
      </c>
      <c r="S9" s="88">
        <f>LOOKUP(2, 1/('OB History'!$B:$B=A9), 'OB History'!$AC:$AC)</f>
        <v>0.43250000000000005</v>
      </c>
      <c r="T9" s="2">
        <f>COUNTIFS('OB History'!$B:$B,$A$9,'OB History'!K:K, 1)</f>
        <v>2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3</v>
      </c>
      <c r="AG9" s="2">
        <f>COUNTIFS('OB History'!$B:$B,$A$9,'OB History'!X:X, 1)</f>
        <v>1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224</v>
      </c>
      <c r="I13" s="4">
        <f>AVERAGEIFS('OB History'!C:C,'OB History'!B:B,A13)</f>
        <v>13.176470588235293</v>
      </c>
      <c r="J13" s="35">
        <f t="array" ref="J13">MAX(IF('OB History'!B:B=A13, 'OB History'!C:C))</f>
        <v>27</v>
      </c>
      <c r="K13" s="34">
        <f>COUNTIFS('OB History'!B:B,A13,'OB History'!D:D, 1)</f>
        <v>6</v>
      </c>
      <c r="L13" s="2">
        <f>COUNTIFS('OB History'!B:B,A13,'OB History'!D:D, 0)</f>
        <v>11</v>
      </c>
      <c r="M13" s="88">
        <f>LOOKUP(2, 1/('OB History'!$B:$B=A13), 'OB History'!$AD:$AD)</f>
        <v>0.35294117647058826</v>
      </c>
      <c r="N13" s="34">
        <f>SUMIFS('OB History'!F:F,'OB History'!B:B,A13)</f>
        <v>30</v>
      </c>
      <c r="O13" s="2">
        <f>SUMIFS('OB History'!E:E,'OB History'!B:B,A13)-N13</f>
        <v>41</v>
      </c>
      <c r="P13" s="88">
        <f>LOOKUP(2, 1/('OB History'!$B:$B=A13), 'OB History'!$AB:$AB)</f>
        <v>0.40588235294117642</v>
      </c>
      <c r="Q13" s="34">
        <f>SUMIFS('OB History'!H:H,'OB History'!B:B,'Old Bow v2'!A13)</f>
        <v>142</v>
      </c>
      <c r="R13" s="2">
        <f>SUMIFS('OB History'!G:G,'OB History'!B:B,'Old Bow v2'!A13)-Q13</f>
        <v>158</v>
      </c>
      <c r="S13" s="88">
        <f>LOOKUP(2, 1/('OB History'!$B:$B=A13), 'OB History'!$AC:$AC)</f>
        <v>0.46941176470588225</v>
      </c>
      <c r="T13" s="2">
        <f>COUNTIFS('OB History'!$B:$B,$A$13,'OB History'!K:K, 1)</f>
        <v>2</v>
      </c>
      <c r="U13" s="2">
        <f>COUNTIFS('OB History'!$B:$B,$A$13,'OB History'!L:L, 1)</f>
        <v>3</v>
      </c>
      <c r="V13" s="2">
        <f>COUNTIFS('OB History'!$B:$B,$A$13,'OB History'!M:M, 1)</f>
        <v>3</v>
      </c>
      <c r="W13" s="2">
        <f>COUNTIFS('OB History'!$B:$B,$A$13,'OB History'!N:N, 1)</f>
        <v>5</v>
      </c>
      <c r="X13" s="2">
        <f>COUNTIFS('OB History'!$B:$B,$A$13,'OB History'!O:O, 1)</f>
        <v>2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431</v>
      </c>
      <c r="I14" s="4">
        <f>AVERAGEIFS('OB History'!C:C,'OB History'!B:B,A14)</f>
        <v>14.862068965517242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13</v>
      </c>
      <c r="M14" s="88">
        <f>LOOKUP(2, 1/('OB History'!$B:$B=A14), 'OB History'!$AD:$AD)</f>
        <v>0.55172413793103448</v>
      </c>
      <c r="N14" s="34">
        <f>SUMIFS('OB History'!F:F,'OB History'!B:B,A14)</f>
        <v>60</v>
      </c>
      <c r="O14" s="2">
        <f>SUMIFS('OB History'!E:E,'OB History'!B:B,A14)-N14</f>
        <v>57</v>
      </c>
      <c r="P14" s="88">
        <f>LOOKUP(2, 1/('OB History'!$B:$B=A14), 'OB History'!$AB:$AB)</f>
        <v>0.50689655172413794</v>
      </c>
      <c r="Q14" s="34">
        <f>SUMIFS('OB History'!H:H,'OB History'!B:B,'Old Bow v2'!A14)</f>
        <v>241</v>
      </c>
      <c r="R14" s="2">
        <f>SUMIFS('OB History'!G:G,'OB History'!B:B,'Old Bow v2'!A14)-Q14</f>
        <v>238</v>
      </c>
      <c r="S14" s="88">
        <f>LOOKUP(2, 1/('OB History'!$B:$B=A14), 'OB History'!$AC:$AC)</f>
        <v>0.50310344827586218</v>
      </c>
      <c r="T14" s="2">
        <f>COUNTIFS('OB History'!$B:$B,$A$14,'OB History'!K:K, 1)</f>
        <v>1</v>
      </c>
      <c r="U14" s="2">
        <f>COUNTIFS('OB History'!$B:$B,$A$14,'OB History'!L:L, 1)</f>
        <v>4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154</v>
      </c>
      <c r="I17" s="4">
        <f>AVERAGEIFS('OB History'!C:C,'OB History'!B:B,A17)</f>
        <v>14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9</v>
      </c>
      <c r="M17" s="88">
        <f>LOOKUP(2, 1/('OB History'!$B:$B=A17), 'OB History'!$AD:$AD)</f>
        <v>0.18181818181818182</v>
      </c>
      <c r="N17" s="34">
        <f>SUMIFS('OB History'!F:F,'OB History'!B:B,A17)</f>
        <v>12</v>
      </c>
      <c r="O17" s="2">
        <f>SUMIFS('OB History'!E:E,'OB History'!B:B,A17)-N17</f>
        <v>30</v>
      </c>
      <c r="P17" s="88">
        <f>LOOKUP(2, 1/('OB History'!$B:$B=A17), 'OB History'!$AB:$AB)</f>
        <v>0.25454545454545452</v>
      </c>
      <c r="Q17" s="34">
        <f>SUMIFS('OB History'!H:H,'OB History'!B:B,'Old Bow v2'!A17)</f>
        <v>67</v>
      </c>
      <c r="R17" s="2">
        <f>SUMIFS('OB History'!G:G,'OB History'!B:B,'Old Bow v2'!A17)-Q17</f>
        <v>111</v>
      </c>
      <c r="S17" s="88">
        <f>LOOKUP(2, 1/('OB History'!$B:$B=A17), 'OB History'!$AC:$AC)</f>
        <v>0.3572727272727273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3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543</v>
      </c>
      <c r="I25" s="4">
        <f>AVERAGEIFS('OB History'!C:C,'OB History'!B:B,A25)</f>
        <v>10.647058823529411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28</v>
      </c>
      <c r="M25" s="88">
        <f>LOOKUP(2, 1/('OB History'!$B:$B=A25), 'OB History'!$AD:$AD)</f>
        <v>0.45098039215686275</v>
      </c>
      <c r="N25" s="34">
        <f>SUMIFS('OB History'!F:F,'OB History'!B:B,A25)</f>
        <v>100</v>
      </c>
      <c r="O25" s="2">
        <f>SUMIFS('OB History'!E:E,'OB History'!B:B,A25)-N25</f>
        <v>105</v>
      </c>
      <c r="P25" s="88">
        <f>LOOKUP(2, 1/('OB History'!$B:$B=A25), 'OB History'!$AB:$AB)</f>
        <v>0.4823529411764706</v>
      </c>
      <c r="Q25" s="34">
        <f>SUMIFS('OB History'!H:H,'OB History'!B:B,'Old Bow v2'!A25)</f>
        <v>424</v>
      </c>
      <c r="R25" s="2">
        <f>SUMIFS('OB History'!G:G,'OB History'!B:B,'Old Bow v2'!A25)-Q25</f>
        <v>428</v>
      </c>
      <c r="S25" s="88">
        <f>LOOKUP(2, 1/('OB History'!$B:$B=A25), 'OB History'!$AC:$AC)</f>
        <v>0.50176470588235289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17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202</v>
      </c>
      <c r="I26" s="4">
        <f>AVERAGEIFS('OB History'!C:C,'OB History'!B:B,A26)</f>
        <v>20.2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6</v>
      </c>
      <c r="M26" s="88">
        <f>LOOKUP(2, 1/('OB History'!$B:$B=A26), 'OB History'!$AD:$AD)</f>
        <v>0.4</v>
      </c>
      <c r="N26" s="34">
        <f>SUMIFS('OB History'!F:F,'OB History'!B:B,A26)</f>
        <v>17</v>
      </c>
      <c r="O26" s="2">
        <f>SUMIFS('OB History'!E:E,'OB History'!B:B,A26)-N26</f>
        <v>23</v>
      </c>
      <c r="P26" s="88">
        <f>LOOKUP(2, 1/('OB History'!$B:$B=A26), 'OB History'!$AB:$AB)</f>
        <v>0.4</v>
      </c>
      <c r="Q26" s="34">
        <f>SUMIFS('OB History'!H:H,'OB History'!B:B,'Old Bow v2'!A26)</f>
        <v>74</v>
      </c>
      <c r="R26" s="2">
        <f>SUMIFS('OB History'!G:G,'OB History'!B:B,'Old Bow v2'!A26)-Q26</f>
        <v>94</v>
      </c>
      <c r="S26" s="88">
        <f>LOOKUP(2, 1/('OB History'!$B:$B=A26), 'OB History'!$AC:$AC)</f>
        <v>0.43200000000000005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4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92</v>
      </c>
      <c r="I29" s="4">
        <f>AVERAGEIFS('OB History'!C:C,'OB History'!B:B,A29)</f>
        <v>15.333333333333334</v>
      </c>
      <c r="J29" s="35">
        <f t="array" ref="J29">MAX(IF('OB History'!B:B=A29, 'OB History'!C:C))</f>
        <v>25</v>
      </c>
      <c r="K29" s="34">
        <f>COUNTIFS('OB History'!B:B,A29,'OB History'!D:D, 1)</f>
        <v>4</v>
      </c>
      <c r="L29" s="2">
        <f>COUNTIFS('OB History'!B:B,A29,'OB History'!D:D, 0)</f>
        <v>2</v>
      </c>
      <c r="M29" s="88">
        <f>LOOKUP(2, 1/('OB History'!$B:$B=A29), 'OB History'!$AD:$AD)</f>
        <v>0.66666666666666663</v>
      </c>
      <c r="N29" s="34">
        <f>SUMIFS('OB History'!F:F,'OB History'!B:B,A29)</f>
        <v>13</v>
      </c>
      <c r="O29" s="2">
        <f>SUMIFS('OB History'!E:E,'OB History'!B:B,A29)-N29</f>
        <v>12</v>
      </c>
      <c r="P29" s="88">
        <f>LOOKUP(2, 1/('OB History'!$B:$B=A29), 'OB History'!$AB:$AB)</f>
        <v>0.4916666666666667</v>
      </c>
      <c r="Q29" s="34">
        <f>SUMIFS('OB History'!H:H,'OB History'!B:B,'Old Bow v2'!A29)</f>
        <v>54</v>
      </c>
      <c r="R29" s="2">
        <f>SUMIFS('OB History'!G:G,'OB History'!B:B,'Old Bow v2'!A29)-Q29</f>
        <v>47</v>
      </c>
      <c r="S29" s="88">
        <f>LOOKUP(2, 1/('OB History'!$B:$B=A29), 'OB History'!$AC:$AC)</f>
        <v>0.53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2</v>
      </c>
      <c r="X29" s="2">
        <f>COUNTIFS('OB History'!$B:$B,$A$29,'OB History'!O:O, 1)</f>
        <v>3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1</v>
      </c>
      <c r="AG29" s="2">
        <f>COUNTIFS('OB History'!$B:$B,$A$29,'OB History'!X:X, 1)</f>
        <v>1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482</v>
      </c>
      <c r="I31" s="4">
        <f>AVERAGEIFS('OB History'!C:C,'OB History'!B:B,A31)</f>
        <v>14.606060606060606</v>
      </c>
      <c r="J31" s="35">
        <f t="array" ref="J31">MAX(IF('OB History'!B:B=A31, 'OB History'!C:C))</f>
        <v>37</v>
      </c>
      <c r="K31" s="34">
        <f>COUNTIFS('OB History'!B:B,A31,'OB History'!D:D, 1)</f>
        <v>14</v>
      </c>
      <c r="L31" s="2">
        <f>COUNTIFS('OB History'!B:B,A31,'OB History'!D:D, 0)</f>
        <v>19</v>
      </c>
      <c r="M31" s="88">
        <f>LOOKUP(2, 1/('OB History'!$B:$B=A31), 'OB History'!$AD:$AD)</f>
        <v>0.42424242424242425</v>
      </c>
      <c r="N31" s="34">
        <f>SUMIFS('OB History'!F:F,'OB History'!B:B,A31)</f>
        <v>69</v>
      </c>
      <c r="O31" s="2">
        <f>SUMIFS('OB History'!E:E,'OB History'!B:B,A31)-N31</f>
        <v>71</v>
      </c>
      <c r="P31" s="88">
        <f>LOOKUP(2, 1/('OB History'!$B:$B=A31), 'OB History'!$AB:$AB)</f>
        <v>0.49848484848484859</v>
      </c>
      <c r="Q31" s="34">
        <f>SUMIFS('OB History'!H:H,'OB History'!B:B,'Old Bow v2'!A31)</f>
        <v>294</v>
      </c>
      <c r="R31" s="2">
        <f>SUMIFS('OB History'!G:G,'OB History'!B:B,'Old Bow v2'!A31)-Q31</f>
        <v>291</v>
      </c>
      <c r="S31" s="88">
        <f>LOOKUP(2, 1/('OB History'!$B:$B=A31), 'OB History'!$AC:$AC)</f>
        <v>0.50333333333333352</v>
      </c>
      <c r="T31" s="2">
        <f>COUNTIFS('OB History'!$B:$B,$A$31,'OB History'!K:K, 1)</f>
        <v>4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9</v>
      </c>
      <c r="AG31" s="2">
        <f>COUNTIFS('OB History'!$B:$B,$A$31,'OB History'!X:X, 1)</f>
        <v>9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101</v>
      </c>
      <c r="I32" s="4">
        <f>AVERAGEIFS('OB History'!C:C,'OB History'!B:B,A32)</f>
        <v>8.4166666666666661</v>
      </c>
      <c r="J32" s="35">
        <f t="array" ref="J32">MAX(IF('OB History'!B:B=A32, 'OB History'!C:C))</f>
        <v>14</v>
      </c>
      <c r="K32" s="34">
        <f>COUNTIFS('OB History'!B:B,A32,'OB History'!D:D, 1)</f>
        <v>6</v>
      </c>
      <c r="L32" s="2">
        <f>COUNTIFS('OB History'!B:B,A32,'OB History'!D:D, 0)</f>
        <v>6</v>
      </c>
      <c r="M32" s="88">
        <f>LOOKUP(2, 1/('OB History'!$B:$B=A32), 'OB History'!$AD:$AD)</f>
        <v>0.5</v>
      </c>
      <c r="N32" s="34">
        <f>SUMIFS('OB History'!F:F,'OB History'!B:B,A32)</f>
        <v>26</v>
      </c>
      <c r="O32" s="2">
        <f>SUMIFS('OB History'!E:E,'OB History'!B:B,A32)-N32</f>
        <v>26</v>
      </c>
      <c r="P32" s="88">
        <f>LOOKUP(2, 1/('OB History'!$B:$B=A32), 'OB History'!$AB:$AB)</f>
        <v>0.5</v>
      </c>
      <c r="Q32" s="34">
        <f>SUMIFS('OB History'!H:H,'OB History'!B:B,'Old Bow v2'!A32)</f>
        <v>106</v>
      </c>
      <c r="R32" s="2">
        <f>SUMIFS('OB History'!G:G,'OB History'!B:B,'Old Bow v2'!A32)-Q32</f>
        <v>111</v>
      </c>
      <c r="S32" s="88">
        <f>LOOKUP(2, 1/('OB History'!$B:$B=A32), 'OB History'!$AC:$AC)</f>
        <v>0.48333333333333323</v>
      </c>
      <c r="T32" s="2">
        <f>COUNTIFS('OB History'!$B:$B,$A$32,'OB History'!K:K, 1)</f>
        <v>2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5</v>
      </c>
      <c r="AG32" s="2">
        <f>COUNTIFS('OB History'!$B:$B,$A$32,'OB History'!X:X, 1)</f>
        <v>4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1025</v>
      </c>
      <c r="I35" s="4">
        <f>AVERAGEIFS('OB History'!C:C,'OB History'!B:B,A35)</f>
        <v>22.777777777777779</v>
      </c>
      <c r="J35" s="35">
        <f t="array" ref="J35">MAX(IF('OB History'!B:B=A35, 'OB History'!C:C))</f>
        <v>55</v>
      </c>
      <c r="K35" s="34">
        <f>COUNTIFS('OB History'!B:B,A35,'OB History'!D:D, 1)</f>
        <v>17</v>
      </c>
      <c r="L35" s="2">
        <f>COUNTIFS('OB History'!B:B,A35,'OB History'!D:D, 0)</f>
        <v>28</v>
      </c>
      <c r="M35" s="88">
        <f>LOOKUP(2, 1/('OB History'!$B:$B=A35), 'OB History'!$AD:$AD)</f>
        <v>0.37777777777777777</v>
      </c>
      <c r="N35" s="34">
        <f>SUMIFS('OB History'!F:F,'OB History'!B:B,A35)</f>
        <v>81</v>
      </c>
      <c r="O35" s="2">
        <f>SUMIFS('OB History'!E:E,'OB History'!B:B,A35)-N35</f>
        <v>101</v>
      </c>
      <c r="P35" s="88">
        <f>LOOKUP(2, 1/('OB History'!$B:$B=A35), 'OB History'!$AB:$AB)</f>
        <v>0.44666666666666671</v>
      </c>
      <c r="Q35" s="34">
        <f>SUMIFS('OB History'!H:H,'OB History'!B:B,'Old Bow v2'!A35)</f>
        <v>365</v>
      </c>
      <c r="R35" s="2">
        <f>SUMIFS('OB History'!G:G,'OB History'!B:B,'Old Bow v2'!A35)-Q35</f>
        <v>392</v>
      </c>
      <c r="S35" s="88">
        <f>LOOKUP(2, 1/('OB History'!$B:$B=A35), 'OB History'!$AC:$AC)</f>
        <v>0.4844444444444444</v>
      </c>
      <c r="T35" s="2">
        <f>COUNTIFS('OB History'!$B:$B,$A$35,'OB History'!K:K, 1)</f>
        <v>5</v>
      </c>
      <c r="U35" s="2">
        <f>COUNTIFS('OB History'!$B:$B,$A$35,'OB History'!L:L, 1)</f>
        <v>5</v>
      </c>
      <c r="V35" s="2">
        <f>COUNTIFS('OB History'!$B:$B,$A$35,'OB History'!M:M, 1)</f>
        <v>0</v>
      </c>
      <c r="W35" s="2">
        <f>COUNTIFS('OB History'!$B:$B,$A$35,'OB History'!N:N, 1)</f>
        <v>12</v>
      </c>
      <c r="X35" s="2">
        <f>COUNTIFS('OB History'!$B:$B,$A$35,'OB History'!O:O, 1)</f>
        <v>1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530</v>
      </c>
      <c r="I41" s="4">
        <f>AVERAGEIFS('OB History'!C:C,'OB History'!B:B,A41)</f>
        <v>23.043478260869566</v>
      </c>
      <c r="J41" s="35">
        <f t="array" ref="J41">MAX(IF('OB History'!B:B=A41, 'OB History'!C:C))</f>
        <v>51</v>
      </c>
      <c r="K41" s="34">
        <f>COUNTIFS('OB History'!B:B,A41,'OB History'!D:D, 1)</f>
        <v>11</v>
      </c>
      <c r="L41" s="2">
        <f>COUNTIFS('OB History'!B:B,A41,'OB History'!D:D, 0)</f>
        <v>12</v>
      </c>
      <c r="M41" s="88">
        <f>LOOKUP(2, 1/('OB History'!$B:$B=A41), 'OB History'!$AD:$AD)</f>
        <v>0.47826086956521741</v>
      </c>
      <c r="N41" s="34">
        <f>SUMIFS('OB History'!F:F,'OB History'!B:B,A41)</f>
        <v>46</v>
      </c>
      <c r="O41" s="2">
        <f>SUMIFS('OB History'!E:E,'OB History'!B:B,A41)-N41</f>
        <v>50</v>
      </c>
      <c r="P41" s="88">
        <f>LOOKUP(2, 1/('OB History'!$B:$B=A41), 'OB History'!$AB:$AB)</f>
        <v>0.4804347826086956</v>
      </c>
      <c r="Q41" s="34">
        <f>SUMIFS('OB History'!H:H,'OB History'!B:B,'Old Bow v2'!A41)</f>
        <v>196</v>
      </c>
      <c r="R41" s="2">
        <f>SUMIFS('OB History'!G:G,'OB History'!B:B,'Old Bow v2'!A41)-Q41</f>
        <v>203</v>
      </c>
      <c r="S41" s="88">
        <f>LOOKUP(2, 1/('OB History'!$B:$B=A41), 'OB History'!$AC:$AC)</f>
        <v>0.48652173913043478</v>
      </c>
      <c r="T41" s="2">
        <f>COUNTIFS('OB History'!$B:$B,$A$41,'OB History'!K:K, 1)</f>
        <v>4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3</v>
      </c>
      <c r="AG41" s="2">
        <f>COUNTIFS('OB History'!$B:$B,$A$41,'OB History'!X:X, 1)</f>
        <v>8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222</v>
      </c>
      <c r="I43" s="4">
        <f>AVERAGEIFS('OB History'!C:C,'OB History'!B:B,A43)</f>
        <v>17.076923076923077</v>
      </c>
      <c r="J43" s="35">
        <f t="array" ref="J43">MAX(IF('OB History'!B:B=A43, 'OB History'!C:C))</f>
        <v>33</v>
      </c>
      <c r="K43" s="34">
        <f>COUNTIFS('OB History'!B:B,A43,'OB History'!D:D, 1)</f>
        <v>5</v>
      </c>
      <c r="L43" s="2">
        <f>COUNTIFS('OB History'!B:B,A43,'OB History'!D:D, 0)</f>
        <v>8</v>
      </c>
      <c r="M43" s="88">
        <f>LOOKUP(2, 1/('OB History'!$B:$B=A43), 'OB History'!$AD:$AD)</f>
        <v>0.38461538461538464</v>
      </c>
      <c r="N43" s="34">
        <f>SUMIFS('OB History'!F:F,'OB History'!B:B,A43)</f>
        <v>22</v>
      </c>
      <c r="O43" s="2">
        <f>SUMIFS('OB History'!E:E,'OB History'!B:B,A43)-N43</f>
        <v>28</v>
      </c>
      <c r="P43" s="88">
        <f>LOOKUP(2, 1/('OB History'!$B:$B=A43), 'OB History'!$AB:$AB)</f>
        <v>0.44615384615384612</v>
      </c>
      <c r="Q43" s="34">
        <f>SUMIFS('OB History'!H:H,'OB History'!B:B,'Old Bow v2'!A43)</f>
        <v>101</v>
      </c>
      <c r="R43" s="2">
        <f>SUMIFS('OB History'!G:G,'OB History'!B:B,'Old Bow v2'!A43)-Q43</f>
        <v>110</v>
      </c>
      <c r="S43" s="88">
        <f>LOOKUP(2, 1/('OB History'!$B:$B=A43), 'OB History'!$AC:$AC)</f>
        <v>0.48076923076923078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0</v>
      </c>
      <c r="W43" s="2">
        <f>COUNTIFS('OB History'!$B:$B,$A$43,'OB History'!N:N, 1)</f>
        <v>3</v>
      </c>
      <c r="X43" s="2">
        <f>COUNTIFS('OB History'!$B:$B,$A$43,'OB History'!O:O, 1)</f>
        <v>1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540</v>
      </c>
      <c r="I48" s="4">
        <f>AVERAGEIFS('OB History'!C:C,'OB History'!B:B,A48)</f>
        <v>17.419354838709676</v>
      </c>
      <c r="J48" s="35">
        <f t="array" ref="J48">MAX(IF('OB History'!B:B=A48, 'OB History'!C:C))</f>
        <v>43</v>
      </c>
      <c r="K48" s="34">
        <f>COUNTIFS('OB History'!B:B,A48,'OB History'!D:D, 1)</f>
        <v>10</v>
      </c>
      <c r="L48" s="2">
        <f>COUNTIFS('OB History'!B:B,A48,'OB History'!D:D, 0)</f>
        <v>21</v>
      </c>
      <c r="M48" s="88">
        <f>LOOKUP(2, 1/('OB History'!$B:$B=A48), 'OB History'!$AD:$AD)</f>
        <v>0.32258064516129031</v>
      </c>
      <c r="N48" s="34">
        <f>SUMIFS('OB History'!F:F,'OB History'!B:B,A48)</f>
        <v>52</v>
      </c>
      <c r="O48" s="2">
        <f>SUMIFS('OB History'!E:E,'OB History'!B:B,A48)-N48</f>
        <v>76</v>
      </c>
      <c r="P48" s="88">
        <f>LOOKUP(2, 1/('OB History'!$B:$B=A48), 'OB History'!$AB:$AB)</f>
        <v>0.38709677419354838</v>
      </c>
      <c r="Q48" s="34">
        <f>SUMIFS('OB History'!H:H,'OB History'!B:B,'Old Bow v2'!A48)</f>
        <v>250</v>
      </c>
      <c r="R48" s="2">
        <f>SUMIFS('OB History'!G:G,'OB History'!B:B,'Old Bow v2'!A48)-Q48</f>
        <v>274</v>
      </c>
      <c r="S48" s="88">
        <f>LOOKUP(2, 1/('OB History'!$B:$B=A48), 'OB History'!$AC:$AC)</f>
        <v>0.46580645161290329</v>
      </c>
      <c r="T48" s="2">
        <f>COUNTIFS('OB History'!$B:$B,$A$48,'OB History'!K:K, 1)</f>
        <v>4</v>
      </c>
      <c r="U48" s="2">
        <f>COUNTIFS('OB History'!$B:$B,$A$48,'OB History'!L:L, 1)</f>
        <v>4</v>
      </c>
      <c r="V48" s="2">
        <f>COUNTIFS('OB History'!$B:$B,$A$48,'OB History'!M:M, 1)</f>
        <v>2</v>
      </c>
      <c r="W48" s="2">
        <f>COUNTIFS('OB History'!$B:$B,$A$48,'OB History'!N:N, 1)</f>
        <v>9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777</v>
      </c>
      <c r="I49" s="4">
        <f>AVERAGEIFS('OB History'!C:C,'OB History'!B:B,A49)</f>
        <v>24.28125</v>
      </c>
      <c r="J49" s="35">
        <f t="array" ref="J49">MAX(IF('OB History'!B:B=A49, 'OB History'!C:C))</f>
        <v>66</v>
      </c>
      <c r="K49" s="34">
        <f>COUNTIFS('OB History'!B:B,A49,'OB History'!D:D, 1)</f>
        <v>23</v>
      </c>
      <c r="L49" s="2">
        <f>COUNTIFS('OB History'!B:B,A49,'OB History'!D:D, 0)</f>
        <v>9</v>
      </c>
      <c r="M49" s="88">
        <f>LOOKUP(2, 1/('OB History'!$B:$B=A49), 'OB History'!$AD:$AD)</f>
        <v>0.71875</v>
      </c>
      <c r="N49" s="34">
        <f>SUMIFS('OB History'!F:F,'OB History'!B:B,A49)</f>
        <v>80</v>
      </c>
      <c r="O49" s="2">
        <f>SUMIFS('OB History'!E:E,'OB History'!B:B,A49)-N49</f>
        <v>49</v>
      </c>
      <c r="P49" s="88">
        <f>LOOKUP(2, 1/('OB History'!$B:$B=A49), 'OB History'!$AB:$AB)</f>
        <v>0.64218750000000002</v>
      </c>
      <c r="Q49" s="34">
        <f>SUMIFS('OB History'!H:H,'OB History'!B:B,'Old Bow v2'!A49)</f>
        <v>303</v>
      </c>
      <c r="R49" s="2">
        <f>SUMIFS('OB History'!G:G,'OB History'!B:B,'Old Bow v2'!A49)-Q49</f>
        <v>241</v>
      </c>
      <c r="S49" s="88">
        <f>LOOKUP(2, 1/('OB History'!$B:$B=A49), 'OB History'!$AC:$AC)</f>
        <v>0.56718749999999996</v>
      </c>
      <c r="T49" s="2">
        <f>COUNTIFS('OB History'!$B:$B,$A$49,'OB History'!K:K, 1)</f>
        <v>3</v>
      </c>
      <c r="U49" s="2">
        <f>COUNTIFS('OB History'!$B:$B,$A$49,'OB History'!L:L, 1)</f>
        <v>8</v>
      </c>
      <c r="V49" s="2">
        <f>COUNTIFS('OB History'!$B:$B,$A$49,'OB History'!M:M, 1)</f>
        <v>8</v>
      </c>
      <c r="W49" s="2">
        <f>COUNTIFS('OB History'!$B:$B,$A$49,'OB History'!N:N, 1)</f>
        <v>6</v>
      </c>
      <c r="X49" s="2">
        <f>COUNTIFS('OB History'!$B:$B,$A$49,'OB History'!O:O, 1)</f>
        <v>3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1157</v>
      </c>
      <c r="I53" s="4">
        <f>AVERAGEIFS('OB History'!C:C,'OB History'!B:B,A53)</f>
        <v>24.104166666666668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26</v>
      </c>
      <c r="M53" s="88">
        <f>LOOKUP(2, 1/('OB History'!$B:$B=A53), 'OB History'!$AD:$AD)</f>
        <v>0.45833333333333331</v>
      </c>
      <c r="N53" s="34">
        <f>SUMIFS('OB History'!F:F,'OB History'!B:B,A53)</f>
        <v>92</v>
      </c>
      <c r="O53" s="2">
        <f>SUMIFS('OB History'!E:E,'OB History'!B:B,A53)-N53</f>
        <v>103</v>
      </c>
      <c r="P53" s="88">
        <f>LOOKUP(2, 1/('OB History'!$B:$B=A53), 'OB History'!$AB:$AB)</f>
        <v>0.47187499999999999</v>
      </c>
      <c r="Q53" s="34">
        <f>SUMIFS('OB History'!H:H,'OB History'!B:B,'Old Bow v2'!A53)</f>
        <v>387</v>
      </c>
      <c r="R53" s="2">
        <f>SUMIFS('OB History'!G:G,'OB History'!B:B,'Old Bow v2'!A53)-Q53</f>
        <v>422</v>
      </c>
      <c r="S53" s="88">
        <f>LOOKUP(2, 1/('OB History'!$B:$B=A53), 'OB History'!$AC:$AC)</f>
        <v>0.48312500000000003</v>
      </c>
      <c r="T53" s="2">
        <f>COUNTIFS('OB History'!$B:$B,$A$53,'OB History'!K:K, 1)</f>
        <v>6</v>
      </c>
      <c r="U53" s="2">
        <f>COUNTIFS('OB History'!$B:$B,$A$53,'OB History'!L:L, 1)</f>
        <v>10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23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317</v>
      </c>
      <c r="I55" s="4">
        <f>AVERAGEIFS('OB History'!C:C,'OB History'!B:B,A55)</f>
        <v>21.133333333333333</v>
      </c>
      <c r="J55" s="35">
        <f t="array" ref="J55">MAX(IF('OB History'!B:B=A55, 'OB History'!C:C))</f>
        <v>46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30</v>
      </c>
      <c r="O55" s="2">
        <f>SUMIFS('OB History'!E:E,'OB History'!B:B,A55)-N55</f>
        <v>29</v>
      </c>
      <c r="P55" s="88">
        <f>LOOKUP(2, 1/('OB History'!$B:$B=A55), 'OB History'!$AB:$AB)</f>
        <v>0.5033333333333333</v>
      </c>
      <c r="Q55" s="34">
        <f>SUMIFS('OB History'!H:H,'OB History'!B:B,'Old Bow v2'!A55)</f>
        <v>121</v>
      </c>
      <c r="R55" s="2">
        <f>SUMIFS('OB History'!G:G,'OB History'!B:B,'Old Bow v2'!A55)-Q55</f>
        <v>120</v>
      </c>
      <c r="S55" s="88">
        <f>LOOKUP(2, 1/('OB History'!$B:$B=A55), 'OB History'!$AC:$AC)</f>
        <v>0.49266666666666664</v>
      </c>
      <c r="T55" s="2">
        <f>COUNTIFS('OB History'!$B:$B,$A$55,'OB History'!K:K, 1)</f>
        <v>2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2</v>
      </c>
      <c r="AG55" s="2">
        <f>COUNTIFS('OB History'!$B:$B,$A$55,'OB History'!X:X, 1)</f>
        <v>4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42"/>
  <sheetViews>
    <sheetView workbookViewId="0">
      <pane ySplit="1" topLeftCell="A1015" activePane="bottomLeft" state="frozen"/>
      <selection pane="bottomLeft" activeCell="Z1031" sqref="A1031:Z104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T28" sqref="T28:AI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170</v>
      </c>
      <c r="I4" s="4">
        <f>AVERAGEIFS('OB History S2'!C:C,'OB History S2'!B:B,A4)</f>
        <v>8.5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13</v>
      </c>
      <c r="M4" s="88">
        <f>LOOKUP(2, 1/('OB History S2'!$B:$B=A4), 'OB History S2'!$AD:$AD)</f>
        <v>0.35</v>
      </c>
      <c r="N4" s="34">
        <f>SUMIFS('OB History S2'!F:F,'OB History S2'!B:B,A4)</f>
        <v>29</v>
      </c>
      <c r="O4" s="2">
        <f>SUMIFS('OB History S2'!E:E,'OB History S2'!B:B,A4)-N4</f>
        <v>45</v>
      </c>
      <c r="P4" s="88">
        <f>LOOKUP(2, 1/('OB History S2'!$B:$B=A4), 'OB History S2'!$AB:$AB)</f>
        <v>0.39500000000000002</v>
      </c>
      <c r="Q4" s="34">
        <f>SUMIFS('OB History S2'!H:H,'OB History S2'!B:B,A4)</f>
        <v>143</v>
      </c>
      <c r="R4" s="2">
        <f>SUMIFS('OB History S2'!G:G,'OB History S2'!B:B,A4)-Q4</f>
        <v>169</v>
      </c>
      <c r="S4" s="88">
        <f>LOOKUP(2, 1/('OB History S2'!$B:$B=A4), 'OB History S2'!$AC:$AC)</f>
        <v>0.45649999999999996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280</v>
      </c>
      <c r="I7" s="4">
        <f>AVERAGEIFS('OB History S2'!C:C,'OB History S2'!B:B,A7)</f>
        <v>12.727272727272727</v>
      </c>
      <c r="J7" s="35">
        <f t="array" ref="J7">MAX(IF('OB History S2'!B:B=A7, 'OB History S2'!C:C))</f>
        <v>32</v>
      </c>
      <c r="K7" s="34">
        <f>COUNTIFS('OB History S2'!B:B,A7,'OB History S2'!D:D, 1)</f>
        <v>12</v>
      </c>
      <c r="L7" s="2">
        <f>COUNTIFS('OB History S2'!B:B,A7,'OB History S2'!D:D, 0)</f>
        <v>10</v>
      </c>
      <c r="M7" s="88">
        <f>LOOKUP(2, 1/('OB History S2'!$B:$B=A7), 'OB History S2'!$AD:$AD)</f>
        <v>0.54545454545454541</v>
      </c>
      <c r="N7" s="34">
        <f>SUMIFS('OB History S2'!F:F,'OB History S2'!B:B,A7)</f>
        <v>44</v>
      </c>
      <c r="O7" s="2">
        <f>SUMIFS('OB History S2'!E:E,'OB History S2'!B:B,A7)-N7</f>
        <v>42</v>
      </c>
      <c r="P7" s="88">
        <f>LOOKUP(2, 1/('OB History S2'!$B:$B=A7), 'OB History S2'!$AB:$AB)</f>
        <v>0.5022727272727272</v>
      </c>
      <c r="Q7" s="34">
        <f>SUMIFS('OB History S2'!H:H,'OB History S2'!B:B,A7)</f>
        <v>172</v>
      </c>
      <c r="R7" s="2">
        <f>SUMIFS('OB History S2'!G:G,'OB History S2'!B:B,A7)-Q7</f>
        <v>176</v>
      </c>
      <c r="S7" s="88">
        <f>LOOKUP(2, 1/('OB History S2'!$B:$B=A7), 'OB History S2'!$AC:$AC)</f>
        <v>0.48590909090909096</v>
      </c>
      <c r="T7" s="2">
        <f>COUNTIFS('OB History S2'!$B:$B,$A$7,'OB History S2'!K:K, 1)</f>
        <v>4</v>
      </c>
      <c r="U7" s="2">
        <f>COUNTIFS('OB History S2'!$B:$B,$A$7,'OB History S2'!L:L, 1)</f>
        <v>5</v>
      </c>
      <c r="V7" s="2">
        <f>COUNTIFS('OB History S2'!$B:$B,$A$7,'OB History S2'!M:M, 1)</f>
        <v>0</v>
      </c>
      <c r="W7" s="2">
        <f>COUNTIFS('OB History S2'!$B:$B,$A$7,'OB History S2'!N:N, 1)</f>
        <v>6</v>
      </c>
      <c r="X7" s="2">
        <f>COUNTIFS('OB History S2'!$B:$B,$A$7,'OB History S2'!O:O, 1)</f>
        <v>3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97</v>
      </c>
      <c r="I8" s="4">
        <f>AVERAGEIFS('OB History S2'!C:C,'OB History S2'!B:B,A8)</f>
        <v>12.125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4</v>
      </c>
      <c r="M8" s="88">
        <f>LOOKUP(2, 1/('OB History S2'!$B:$B=A8), 'OB History S2'!$AD:$AD)</f>
        <v>0.5</v>
      </c>
      <c r="N8" s="34">
        <f>SUMIFS('OB History S2'!F:F,'OB History S2'!B:B,A8)</f>
        <v>18</v>
      </c>
      <c r="O8" s="2">
        <f>SUMIFS('OB History S2'!E:E,'OB History S2'!B:B,A8)-N8</f>
        <v>14</v>
      </c>
      <c r="P8" s="88">
        <f>LOOKUP(2, 1/('OB History S2'!$B:$B=A8), 'OB History S2'!$AB:$AB)</f>
        <v>0.6</v>
      </c>
      <c r="Q8" s="34">
        <f>SUMIFS('OB History S2'!H:H,'OB History S2'!B:B,A8)</f>
        <v>68</v>
      </c>
      <c r="R8" s="2">
        <f>SUMIFS('OB History S2'!G:G,'OB History S2'!B:B,A8)-Q8</f>
        <v>62</v>
      </c>
      <c r="S8" s="88">
        <f>LOOKUP(2, 1/('OB History S2'!$B:$B=A8), 'OB History S2'!$AC:$AC)</f>
        <v>0.53</v>
      </c>
      <c r="T8" s="2">
        <f>COUNTIFS('OB History S2'!$B:$B,$A$8,'OB History S2'!K:K, 1)</f>
        <v>2</v>
      </c>
      <c r="U8" s="2">
        <f>COUNTIFS('OB History S2'!$B:$B,$A$8,'OB History S2'!L:L, 1)</f>
        <v>2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53</v>
      </c>
      <c r="I9" s="4">
        <f>AVERAGEIFS('OB History S2'!C:C,'OB History S2'!B:B,A9)</f>
        <v>13.25</v>
      </c>
      <c r="J9" s="35">
        <f t="array" ref="J9">MAX(IF('OB History S2'!B:B=A9, 'OB History S2'!C:C))</f>
        <v>29</v>
      </c>
      <c r="K9" s="34">
        <f>COUNTIFS('OB History S2'!B:B,A9,'OB History S2'!D:D, 1)</f>
        <v>1</v>
      </c>
      <c r="L9" s="2">
        <f>COUNTIFS('OB History S2'!B:B,A9,'OB History S2'!D:D, 0)</f>
        <v>3</v>
      </c>
      <c r="M9" s="88">
        <f>LOOKUP(2, 1/('OB History S2'!$B:$B=A9), 'OB History S2'!$AD:$AD)</f>
        <v>0.25</v>
      </c>
      <c r="N9" s="34">
        <f>SUMIFS('OB History S2'!F:F,'OB History S2'!B:B,A9)</f>
        <v>5</v>
      </c>
      <c r="O9" s="2">
        <f>SUMIFS('OB History S2'!E:E,'OB History S2'!B:B,A9)-N9</f>
        <v>10</v>
      </c>
      <c r="P9" s="88">
        <f>LOOKUP(2, 1/('OB History S2'!$B:$B=A9), 'OB History S2'!$AB:$AB)</f>
        <v>0.28749999999999998</v>
      </c>
      <c r="Q9" s="34">
        <f>SUMIFS('OB History S2'!H:H,'OB History S2'!B:B,A9)</f>
        <v>25</v>
      </c>
      <c r="R9" s="2">
        <f>SUMIFS('OB History S2'!G:G,'OB History S2'!B:B,A9)-Q9</f>
        <v>35</v>
      </c>
      <c r="S9" s="88">
        <f>LOOKUP(2, 1/('OB History S2'!$B:$B=A9), 'OB History S2'!$AC:$AC)</f>
        <v>0.39249999999999996</v>
      </c>
      <c r="T9" s="2">
        <f>COUNTIFS('OB History S2'!$B:$B,$A$9,'OB History S2'!K:K, 1)</f>
        <v>2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1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142</v>
      </c>
      <c r="I13" s="4">
        <f>AVERAGEIFS('OB History S2'!C:C,'OB History S2'!B:B,A13)</f>
        <v>12.909090909090908</v>
      </c>
      <c r="J13" s="35">
        <f t="array" ref="J13">MAX(IF('OB History S2'!B:B=A13, 'OB History S2'!C:C))</f>
        <v>27</v>
      </c>
      <c r="K13" s="34">
        <f>COUNTIFS('OB History S2'!B:B,A13,'OB History S2'!D:D, 1)</f>
        <v>4</v>
      </c>
      <c r="L13" s="2">
        <f>COUNTIFS('OB History S2'!B:B,A13,'OB History S2'!D:D, 0)</f>
        <v>7</v>
      </c>
      <c r="M13" s="88">
        <f>LOOKUP(2, 1/('OB History S2'!$B:$B=A13), 'OB History S2'!$AD:$AD)</f>
        <v>0.36363636363636365</v>
      </c>
      <c r="N13" s="34">
        <f>SUMIFS('OB History S2'!F:F,'OB History S2'!B:B,A13)</f>
        <v>18</v>
      </c>
      <c r="O13" s="2">
        <f>SUMIFS('OB History S2'!E:E,'OB History S2'!B:B,A13)-N13</f>
        <v>25</v>
      </c>
      <c r="P13" s="88">
        <f>LOOKUP(2, 1/('OB History S2'!$B:$B=A13), 'OB History S2'!$AB:$AB)</f>
        <v>0.4</v>
      </c>
      <c r="Q13" s="34">
        <f>SUMIFS('OB History S2'!H:H,'OB History S2'!B:B,A13)</f>
        <v>88</v>
      </c>
      <c r="R13" s="2">
        <f>SUMIFS('OB History S2'!G:G,'OB History S2'!B:B,A13)-Q13</f>
        <v>97</v>
      </c>
      <c r="S13" s="88">
        <f>LOOKUP(2, 1/('OB History S2'!$B:$B=A13), 'OB History S2'!$AC:$AC)</f>
        <v>0.47181818181818175</v>
      </c>
      <c r="T13" s="2">
        <f>COUNTIFS('OB History S2'!$B:$B,$A$13,'OB History S2'!K:K, 1)</f>
        <v>1</v>
      </c>
      <c r="U13" s="2">
        <f>COUNTIFS('OB History S2'!$B:$B,$A$13,'OB History S2'!L:L, 1)</f>
        <v>3</v>
      </c>
      <c r="V13" s="2">
        <f>COUNTIFS('OB History S2'!$B:$B,$A$13,'OB History S2'!M:M, 1)</f>
        <v>2</v>
      </c>
      <c r="W13" s="2">
        <f>COUNTIFS('OB History S2'!$B:$B,$A$13,'OB History S2'!N:N, 1)</f>
        <v>4</v>
      </c>
      <c r="X13" s="2">
        <f>COUNTIFS('OB History S2'!$B:$B,$A$13,'OB History S2'!O:O, 1)</f>
        <v>2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195</v>
      </c>
      <c r="I14" s="4">
        <f>AVERAGEIFS('OB History S2'!C:C,'OB History S2'!B:B,A14)</f>
        <v>16.25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4</v>
      </c>
      <c r="M14" s="88">
        <f>LOOKUP(2, 1/('OB History S2'!$B:$B=A14), 'OB History S2'!$AD:$AD)</f>
        <v>0.66666666666666663</v>
      </c>
      <c r="N14" s="34">
        <f>SUMIFS('OB History S2'!F:F,'OB History S2'!B:B,A14)</f>
        <v>28</v>
      </c>
      <c r="O14" s="2">
        <f>SUMIFS('OB History S2'!E:E,'OB History S2'!B:B,A14)-N14</f>
        <v>20</v>
      </c>
      <c r="P14" s="88">
        <f>LOOKUP(2, 1/('OB History S2'!$B:$B=A14), 'OB History S2'!$AB:$AB)</f>
        <v>0.58333333333333337</v>
      </c>
      <c r="Q14" s="34">
        <f>SUMIFS('OB History S2'!H:H,'OB History S2'!B:B,A14)</f>
        <v>104</v>
      </c>
      <c r="R14" s="2">
        <f>SUMIFS('OB History S2'!G:G,'OB History S2'!B:B,A14)-Q14</f>
        <v>87</v>
      </c>
      <c r="S14" s="88">
        <f>LOOKUP(2, 1/('OB History S2'!$B:$B=A14), 'OB History S2'!$AC:$AC)</f>
        <v>0.54833333333333345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154</v>
      </c>
      <c r="I17" s="4">
        <f>AVERAGEIFS('OB History S2'!C:C,'OB History S2'!B:B,A17)</f>
        <v>14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9</v>
      </c>
      <c r="M17" s="88">
        <f>LOOKUP(2, 1/('OB History S2'!$B:$B=A17), 'OB History S2'!$AD:$AD)</f>
        <v>0.18181818181818182</v>
      </c>
      <c r="N17" s="34">
        <f>SUMIFS('OB History S2'!F:F,'OB History S2'!B:B,A17)</f>
        <v>12</v>
      </c>
      <c r="O17" s="2">
        <f>SUMIFS('OB History S2'!E:E,'OB History S2'!B:B,A17)-N17</f>
        <v>30</v>
      </c>
      <c r="P17" s="88">
        <f>LOOKUP(2, 1/('OB History S2'!$B:$B=A17), 'OB History S2'!$AB:$AB)</f>
        <v>0.25454545454545452</v>
      </c>
      <c r="Q17" s="34">
        <f>SUMIFS('OB History S2'!H:H,'OB History S2'!B:B,A17)</f>
        <v>67</v>
      </c>
      <c r="R17" s="2">
        <f>SUMIFS('OB History S2'!G:G,'OB History S2'!B:B,A17)-Q17</f>
        <v>111</v>
      </c>
      <c r="S17" s="88">
        <f>LOOKUP(2, 1/('OB History S2'!$B:$B=A17), 'OB History S2'!$AC:$AC)</f>
        <v>0.3572727272727273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3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299</v>
      </c>
      <c r="I24" s="4">
        <f>AVERAGEIFS('OB History S2'!C:C,'OB History S2'!B:B,A24)</f>
        <v>11.5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16</v>
      </c>
      <c r="M24" s="88">
        <f>LOOKUP(2, 1/('OB History S2'!$B:$B=A24), 'OB History S2'!$AD:$AD)</f>
        <v>0.38461538461538464</v>
      </c>
      <c r="N24" s="34">
        <f>SUMIFS('OB History S2'!F:F,'OB History S2'!B:B,A24)</f>
        <v>47</v>
      </c>
      <c r="O24" s="2">
        <f>SUMIFS('OB History S2'!E:E,'OB History S2'!B:B,A24)-N24</f>
        <v>55</v>
      </c>
      <c r="P24" s="88">
        <f>LOOKUP(2, 1/('OB History S2'!$B:$B=A24), 'OB History S2'!$AB:$AB)</f>
        <v>0.45384615384615379</v>
      </c>
      <c r="Q24" s="34">
        <f>SUMIFS('OB History S2'!H:H,'OB History S2'!B:B,A24)</f>
        <v>203</v>
      </c>
      <c r="R24" s="2">
        <f>SUMIFS('OB History S2'!G:G,'OB History S2'!B:B,A24)-Q24</f>
        <v>217</v>
      </c>
      <c r="S24" s="88">
        <f>LOOKUP(2, 1/('OB History S2'!$B:$B=A24), 'OB History S2'!$AC:$AC)</f>
        <v>0.4869230769230769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46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19</v>
      </c>
      <c r="I25" s="4">
        <f>AVERAGEIFS('OB History S2'!C:C,'OB History S2'!B:B,A25)</f>
        <v>19</v>
      </c>
      <c r="J25" s="35">
        <f t="array" ref="J25">MAX(IF('OB History S2'!B:B=A25, 'OB History S2'!C:C))</f>
        <v>19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1</v>
      </c>
      <c r="O25" s="2">
        <f>SUMIFS('OB History S2'!E:E,'OB History S2'!B:B,A25)-N25</f>
        <v>3</v>
      </c>
      <c r="P25" s="88">
        <f>LOOKUP(2, 1/('OB History S2'!$B:$B=A25), 'OB History S2'!$AB:$AB)</f>
        <v>0.25</v>
      </c>
      <c r="Q25" s="34">
        <f>SUMIFS('OB History S2'!H:H,'OB History S2'!B:B,A25)</f>
        <v>4</v>
      </c>
      <c r="R25" s="2">
        <f>SUMIFS('OB History S2'!G:G,'OB History S2'!B:B,A25)-Q25</f>
        <v>11</v>
      </c>
      <c r="S25" s="88">
        <f>LOOKUP(2, 1/('OB History S2'!$B:$B=A25), 'OB History S2'!$AC:$AC)</f>
        <v>0.27</v>
      </c>
      <c r="T25" s="2">
        <f>COUNTIFS('OB History S2'!$B:$B,$A$25,'OB History S2'!K:K, 1)</f>
        <v>0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28</v>
      </c>
      <c r="B26" s="6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94</v>
      </c>
      <c r="I26" s="4">
        <f>AVERAGEIFS('OB History S2'!C:C,'OB History S2'!B:B,A26)</f>
        <v>23.5</v>
      </c>
      <c r="J26" s="35">
        <f t="array" ref="J26">MAX(IF('OB History S2'!B:B=A26, 'OB History S2'!C:C))</f>
        <v>43</v>
      </c>
      <c r="K26" s="34">
        <f>COUNTIFS('OB History S2'!B:B,A26,'OB History S2'!D:D, 1)</f>
        <v>2</v>
      </c>
      <c r="L26" s="2">
        <f>COUNTIFS('OB History S2'!B:B,A26,'OB History S2'!D:D, 0)</f>
        <v>2</v>
      </c>
      <c r="M26" s="88">
        <f>LOOKUP(2, 1/('OB History S2'!$B:$B=A26), 'OB History S2'!$AD:$AD)</f>
        <v>0.5</v>
      </c>
      <c r="N26" s="34">
        <f>SUMIFS('OB History S2'!F:F,'OB History S2'!B:B,A26)</f>
        <v>9</v>
      </c>
      <c r="O26" s="2">
        <f>SUMIFS('OB History S2'!E:E,'OB History S2'!B:B,A26)-N26</f>
        <v>9</v>
      </c>
      <c r="P26" s="88">
        <f>LOOKUP(2, 1/('OB History S2'!$B:$B=A26), 'OB History S2'!$AB:$AB)</f>
        <v>0.5</v>
      </c>
      <c r="Q26" s="34">
        <f>SUMIFS('OB History S2'!H:H,'OB History S2'!B:B,A26)</f>
        <v>37</v>
      </c>
      <c r="R26" s="2">
        <f>SUMIFS('OB History S2'!G:G,'OB History S2'!B:B,A26)-Q26</f>
        <v>37</v>
      </c>
      <c r="S26" s="88">
        <f>LOOKUP(2, 1/('OB History S2'!$B:$B=A26), 'OB History S2'!$AC:$AC)</f>
        <v>0.505</v>
      </c>
      <c r="T26" s="2">
        <f>COUNTIFS('OB History S2'!$B:$B,$A$26,'OB History S2'!K:K, 1)</f>
        <v>1</v>
      </c>
      <c r="U26" s="2">
        <f>COUNTIFS('OB History S2'!$B:$B,$A$26,'OB History S2'!L:L, 1)</f>
        <v>1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1</v>
      </c>
      <c r="Y26" s="2">
        <f>COUNTIFS('OB History S2'!$B:$B,$A$26,'OB History S2'!P:P, 1)</f>
        <v>0</v>
      </c>
      <c r="Z26" s="2">
        <f>COUNTIFS('OB History S2'!$B:$B,$A$26,'OB History S2'!Q:Q, 1)</f>
        <v>1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4</v>
      </c>
      <c r="AH26" s="2">
        <f>COUNTIFS('OB History S2'!$B:$B,$A$26,'OB History S2'!Y:Y, 1)</f>
        <v>0</v>
      </c>
      <c r="AI26" s="2">
        <f>COUNTIFS('OB History S2'!$B:$B,$A$26,'OB History S2'!Z:Z, 1)</f>
        <v>1</v>
      </c>
    </row>
    <row r="27" spans="1:35" x14ac:dyDescent="0.25">
      <c r="A27" s="2" t="s">
        <v>139</v>
      </c>
      <c r="B27" s="6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167</v>
      </c>
      <c r="I27" s="4">
        <f>AVERAGEIFS('OB History S2'!C:C,'OB History S2'!B:B,A27)</f>
        <v>10.4375</v>
      </c>
      <c r="J27" s="35">
        <f t="array" ref="J27">MAX(IF('OB History S2'!B:B=A27, 'OB History S2'!C:C))</f>
        <v>17</v>
      </c>
      <c r="K27" s="34">
        <f>COUNTIFS('OB History S2'!B:B,A27,'OB History S2'!D:D, 1)</f>
        <v>8</v>
      </c>
      <c r="L27" s="2">
        <f>COUNTIFS('OB History S2'!B:B,A27,'OB History S2'!D:D, 0)</f>
        <v>8</v>
      </c>
      <c r="M27" s="88">
        <f>LOOKUP(2, 1/('OB History S2'!$B:$B=A27), 'OB History S2'!$AD:$AD)</f>
        <v>0.5</v>
      </c>
      <c r="N27" s="34">
        <f>SUMIFS('OB History S2'!F:F,'OB History S2'!B:B,A27)</f>
        <v>28</v>
      </c>
      <c r="O27" s="2">
        <f>SUMIFS('OB History S2'!E:E,'OB History S2'!B:B,A27)-N27</f>
        <v>36</v>
      </c>
      <c r="P27" s="88">
        <f>LOOKUP(2, 1/('OB History S2'!$B:$B=A27), 'OB History S2'!$AB:$AB)</f>
        <v>0.40937499999999999</v>
      </c>
      <c r="Q27" s="34">
        <f>SUMIFS('OB History S2'!H:H,'OB History S2'!B:B,A27)</f>
        <v>128</v>
      </c>
      <c r="R27" s="2">
        <f>SUMIFS('OB History S2'!G:G,'OB History S2'!B:B,A27)-Q27</f>
        <v>133</v>
      </c>
      <c r="S27" s="88">
        <f>LOOKUP(2, 1/('OB History S2'!$B:$B=A27), 'OB History S2'!$AC:$AC)</f>
        <v>0.48374999999999996</v>
      </c>
      <c r="T27" s="2">
        <f>COUNTIFS('OB History S2'!$B:$B,$A$27,'OB History S2'!K:K, 1)</f>
        <v>1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2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6</v>
      </c>
      <c r="AH27" s="2">
        <f>COUNTIFS('OB History S2'!$B:$B,$A$27,'OB History S2'!Y:Y, 1)</f>
        <v>2</v>
      </c>
      <c r="AI27" s="2">
        <f>COUNTIFS('OB History S2'!$B:$B,$A$27,'OB History S2'!Z:Z, 1)</f>
        <v>5</v>
      </c>
    </row>
    <row r="28" spans="1:35" x14ac:dyDescent="0.25">
      <c r="A28" s="2" t="s">
        <v>53</v>
      </c>
      <c r="B28" s="6" t="s">
        <v>60</v>
      </c>
      <c r="C28" s="6" t="s">
        <v>79</v>
      </c>
      <c r="D28" s="2"/>
      <c r="E28" s="2"/>
      <c r="F28" s="2"/>
      <c r="G28" s="2"/>
      <c r="H28" s="34">
        <f>SUMIFS('OB History S2'!C:C,'OB History S2'!B:B,A28)</f>
        <v>49</v>
      </c>
      <c r="I28" s="4">
        <f>AVERAGEIFS('OB History S2'!C:C,'OB History S2'!B:B,A28)</f>
        <v>16.333333333333332</v>
      </c>
      <c r="J28" s="35">
        <f t="array" ref="J28">MAX(IF('OB History S2'!B:B=A28, 'OB History S2'!C:C))</f>
        <v>25</v>
      </c>
      <c r="K28" s="34">
        <f>COUNTIFS('OB History S2'!B:B,A28,'OB History S2'!D:D, 1)</f>
        <v>2</v>
      </c>
      <c r="L28" s="2">
        <f>COUNTIFS('OB History S2'!B:B,A28,'OB History S2'!D:D, 0)</f>
        <v>1</v>
      </c>
      <c r="M28" s="88">
        <f>LOOKUP(2, 1/('OB History S2'!$B:$B=A28), 'OB History S2'!$AD:$AD)</f>
        <v>0.66666666666666663</v>
      </c>
      <c r="N28" s="34">
        <f>SUMIFS('OB History S2'!F:F,'OB History S2'!B:B,A28)</f>
        <v>7</v>
      </c>
      <c r="O28" s="2">
        <f>SUMIFS('OB History S2'!E:E,'OB History S2'!B:B,A28)-N28</f>
        <v>5</v>
      </c>
      <c r="P28" s="88">
        <f>LOOKUP(2, 1/('OB History S2'!$B:$B=A28), 'OB History S2'!$AB:$AB)</f>
        <v>0.58333333333333337</v>
      </c>
      <c r="Q28" s="34">
        <f>SUMIFS('OB History S2'!H:H,'OB History S2'!B:B,A28)</f>
        <v>27</v>
      </c>
      <c r="R28" s="2">
        <f>SUMIFS('OB History S2'!G:G,'OB History S2'!B:B,A28)-Q28</f>
        <v>21</v>
      </c>
      <c r="S28" s="88">
        <f>LOOKUP(2, 1/('OB History S2'!$B:$B=A28), 'OB History S2'!$AC:$AC)</f>
        <v>0.57333333333333336</v>
      </c>
      <c r="T28" s="2">
        <f>COUNTIFS('OB History S2'!$B:$B,$A$28,'OB History S2'!K:K, 1)</f>
        <v>1</v>
      </c>
      <c r="U28" s="2">
        <f>COUNTIFS('OB History S2'!$B:$B,$A$28,'OB History S2'!L:L, 1)</f>
        <v>1</v>
      </c>
      <c r="V28" s="2">
        <f>COUNTIFS('OB History S2'!$B:$B,$A$28,'OB History S2'!M:M, 1)</f>
        <v>0</v>
      </c>
      <c r="W28" s="2">
        <f>COUNTIFS('OB History S2'!$B:$B,$A$28,'OB History S2'!N:N, 1)</f>
        <v>1</v>
      </c>
      <c r="X28" s="2">
        <f>COUNTIFS('OB History S2'!$B:$B,$A$28,'OB History S2'!O:O, 1)</f>
        <v>1</v>
      </c>
      <c r="Y28" s="2">
        <f>COUNTIFS('OB History S2'!$B:$B,$A$28,'OB History S2'!P:P, 1)</f>
        <v>1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1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2"/>
      <c r="E29" s="2"/>
      <c r="F29" s="2"/>
      <c r="G29" s="2"/>
      <c r="H29" s="34">
        <f>SUMIFS('OB History S2'!C:C,'OB History S2'!B:B,A29)</f>
        <v>141</v>
      </c>
      <c r="I29" s="4">
        <f>AVERAGEIFS('OB History S2'!C:C,'OB History S2'!B:B,A29)</f>
        <v>15.666666666666666</v>
      </c>
      <c r="J29" s="35">
        <f t="array" ref="J29">MAX(IF('OB History S2'!B:B=A29, 'OB History S2'!C:C))</f>
        <v>37</v>
      </c>
      <c r="K29" s="34">
        <f>COUNTIFS('OB History S2'!B:B,A29,'OB History S2'!D:D, 1)</f>
        <v>4</v>
      </c>
      <c r="L29" s="2">
        <f>COUNTIFS('OB History S2'!B:B,A29,'OB History S2'!D:D, 0)</f>
        <v>5</v>
      </c>
      <c r="M29" s="88">
        <f>LOOKUP(2, 1/('OB History S2'!$B:$B=A29), 'OB History S2'!$AD:$AD)</f>
        <v>0.44444444444444442</v>
      </c>
      <c r="N29" s="34">
        <f>SUMIFS('OB History S2'!F:F,'OB History S2'!B:B,A29)</f>
        <v>19</v>
      </c>
      <c r="O29" s="2">
        <f>SUMIFS('OB History S2'!E:E,'OB History S2'!B:B,A29)-N29</f>
        <v>18</v>
      </c>
      <c r="P29" s="88">
        <f>LOOKUP(2, 1/('OB History S2'!$B:$B=A29), 'OB History S2'!$AB:$AB)</f>
        <v>0.52222222222222214</v>
      </c>
      <c r="Q29" s="34">
        <f>SUMIFS('OB History S2'!H:H,'OB History S2'!B:B,A29)</f>
        <v>79</v>
      </c>
      <c r="R29" s="2">
        <f>SUMIFS('OB History S2'!G:G,'OB History S2'!B:B,A29)-Q29</f>
        <v>74</v>
      </c>
      <c r="S29" s="88">
        <f>LOOKUP(2, 1/('OB History S2'!$B:$B=A29), 'OB History S2'!$AC:$AC)</f>
        <v>0.51888888888888884</v>
      </c>
      <c r="T29" s="2">
        <f>COUNTIFS('OB History S2'!$B:$B,$A$29,'OB History S2'!K:K, 1)</f>
        <v>3</v>
      </c>
      <c r="U29" s="2">
        <f>COUNTIFS('OB History S2'!$B:$B,$A$29,'OB History S2'!L:L, 1)</f>
        <v>1</v>
      </c>
      <c r="V29" s="2">
        <f>COUNTIFS('OB History S2'!$B:$B,$A$29,'OB History S2'!M:M, 1)</f>
        <v>1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0</v>
      </c>
      <c r="AA29" s="2">
        <f>COUNTIFS('OB History S2'!$B:$B,$A$29,'OB History S2'!R:R, 1)</f>
        <v>1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2</v>
      </c>
      <c r="AH29" s="2">
        <f>COUNTIFS('OB History S2'!$B:$B,$A$29,'OB History S2'!Y:Y, 1)</f>
        <v>3</v>
      </c>
      <c r="AI29" s="2">
        <f>COUNTIFS('OB History S2'!$B:$B,$A$29,'OB History S2'!Z:Z, 1)</f>
        <v>2</v>
      </c>
    </row>
    <row r="30" spans="1:35" x14ac:dyDescent="0.25">
      <c r="A30" s="1" t="s">
        <v>47</v>
      </c>
      <c r="B30" s="2" t="s">
        <v>79</v>
      </c>
      <c r="C30" s="2" t="s">
        <v>79</v>
      </c>
      <c r="D30" s="2"/>
      <c r="E30" s="2"/>
      <c r="F30" s="2"/>
      <c r="G30" s="2"/>
      <c r="H30" s="34">
        <f>SUMIFS('OB History S2'!C:C,'OB History S2'!B:B,A30)</f>
        <v>32</v>
      </c>
      <c r="I30" s="4">
        <f>AVERAGEIFS('OB History S2'!C:C,'OB History S2'!B:B,A30)</f>
        <v>10.666666666666666</v>
      </c>
      <c r="J30" s="35">
        <f t="array" ref="J30">MAX(IF('OB History S2'!B:B=A30, 'OB History S2'!C:C))</f>
        <v>14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6</v>
      </c>
      <c r="O30" s="2">
        <f>SUMIFS('OB History S2'!E:E,'OB History S2'!B:B,A30)-N30</f>
        <v>7</v>
      </c>
      <c r="P30" s="88">
        <f>LOOKUP(2, 1/('OB History S2'!$B:$B=A30), 'OB History S2'!$AB:$AB)</f>
        <v>0.46666666666666662</v>
      </c>
      <c r="Q30" s="34">
        <f>SUMIFS('OB History S2'!H:H,'OB History S2'!B:B,A30)</f>
        <v>23</v>
      </c>
      <c r="R30" s="2">
        <f>SUMIFS('OB History S2'!G:G,'OB History S2'!B:B,A30)-Q30</f>
        <v>28</v>
      </c>
      <c r="S30" s="88">
        <f>LOOKUP(2, 1/('OB History S2'!$B:$B=A30), 'OB History S2'!$AC:$AC)</f>
        <v>0.45</v>
      </c>
      <c r="T30" s="2">
        <f>COUNTIFS('OB History S2'!$B:$B,$A$30,'OB History S2'!K:K, 1)</f>
        <v>2</v>
      </c>
      <c r="U30" s="2">
        <f>COUNTIFS('OB History S2'!$B:$B,$A$30,'OB History S2'!L:L, 1)</f>
        <v>0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4</v>
      </c>
      <c r="E31" s="6">
        <v>1</v>
      </c>
      <c r="F31" s="6"/>
      <c r="G31" s="6"/>
      <c r="H31" s="34">
        <f>SUMIFS('OB History S2'!C:C,'OB History S2'!B:B,A31)</f>
        <v>383</v>
      </c>
      <c r="I31" s="4">
        <f>AVERAGEIFS('OB History S2'!C:C,'OB History S2'!B:B,A31)</f>
        <v>12.766666666666667</v>
      </c>
      <c r="J31" s="35">
        <f t="array" ref="J31">MAX(IF('OB History S2'!B:B=A31, 'OB History S2'!C:C))</f>
        <v>23</v>
      </c>
      <c r="K31" s="34">
        <f>COUNTIFS('OB History S2'!B:B,A31,'OB History S2'!D:D, 1)</f>
        <v>18</v>
      </c>
      <c r="L31" s="2">
        <f>COUNTIFS('OB History S2'!B:B,A31,'OB History S2'!D:D, 0)</f>
        <v>12</v>
      </c>
      <c r="M31" s="88">
        <f>LOOKUP(2, 1/('OB History S2'!$B:$B=A31), 'OB History S2'!$AD:$AD)</f>
        <v>0.6</v>
      </c>
      <c r="N31" s="34">
        <f>SUMIFS('OB History S2'!F:F,'OB History S2'!B:B,A31)</f>
        <v>63</v>
      </c>
      <c r="O31" s="2">
        <f>SUMIFS('OB History S2'!E:E,'OB History S2'!B:B,A31)-N31</f>
        <v>53</v>
      </c>
      <c r="P31" s="88">
        <f>LOOKUP(2, 1/('OB History S2'!$B:$B=A31), 'OB History S2'!$AB:$AB)</f>
        <v>0.55000000000000004</v>
      </c>
      <c r="Q31" s="34">
        <f>SUMIFS('OB History S2'!H:H,'OB History S2'!B:B,A31)</f>
        <v>248</v>
      </c>
      <c r="R31" s="2">
        <f>SUMIFS('OB History S2'!G:G,'OB History S2'!B:B,A31)-Q31</f>
        <v>227</v>
      </c>
      <c r="S31" s="88">
        <f>LOOKUP(2, 1/('OB History S2'!$B:$B=A31), 'OB History S2'!$AC:$AC)</f>
        <v>0.52633333333333332</v>
      </c>
      <c r="T31" s="2">
        <f>COUNTIFS('OB History S2'!$B:$B,$A$31,'OB History S2'!K:K, 1)</f>
        <v>1</v>
      </c>
      <c r="U31" s="2">
        <f>COUNTIFS('OB History S2'!$B:$B,$A$31,'OB History S2'!L:L, 1)</f>
        <v>6</v>
      </c>
      <c r="V31" s="2">
        <f>COUNTIFS('OB History S2'!$B:$B,$A$31,'OB History S2'!M:M, 1)</f>
        <v>2</v>
      </c>
      <c r="W31" s="2">
        <f>COUNTIFS('OB History S2'!$B:$B,$A$31,'OB History S2'!N:N, 1)</f>
        <v>6</v>
      </c>
      <c r="X31" s="2">
        <f>COUNTIFS('OB History S2'!$B:$B,$A$31,'OB History S2'!O:O, 1)</f>
        <v>0</v>
      </c>
      <c r="Y31" s="2">
        <f>COUNTIFS('OB History S2'!$B:$B,$A$31,'OB History S2'!P:P, 1)</f>
        <v>3</v>
      </c>
      <c r="Z31" s="2">
        <f>COUNTIFS('OB History S2'!$B:$B,$A$31,'OB History S2'!Q:Q, 1)</f>
        <v>2</v>
      </c>
      <c r="AA31" s="2">
        <f>COUNTIFS('OB History S2'!$B:$B,$A$31,'OB History S2'!R:R, 1)</f>
        <v>4</v>
      </c>
      <c r="AB31" s="2">
        <f>COUNTIFS('OB History S2'!$B:$B,$A$31,'OB History S2'!S:S, 1)</f>
        <v>2</v>
      </c>
      <c r="AC31" s="2">
        <f>COUNTIFS('OB History S2'!$B:$B,$A$31,'OB History S2'!T:T, 1)</f>
        <v>2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4</v>
      </c>
      <c r="AG31" s="2">
        <f>COUNTIFS('OB History S2'!$B:$B,$A$31,'OB History S2'!X:X, 1)</f>
        <v>12</v>
      </c>
      <c r="AH31" s="2">
        <f>COUNTIFS('OB History S2'!$B:$B,$A$31,'OB History S2'!Y:Y, 1)</f>
        <v>7</v>
      </c>
      <c r="AI31" s="2">
        <f>COUNTIFS('OB History S2'!$B:$B,$A$31,'OB History S2'!Z:Z, 1)</f>
        <v>10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3</v>
      </c>
      <c r="E32" s="2">
        <v>1</v>
      </c>
      <c r="F32" s="2"/>
      <c r="G32" s="2"/>
      <c r="H32" s="34">
        <f>SUMIFS('OB History S2'!C:C,'OB History S2'!B:B,A32)</f>
        <v>444</v>
      </c>
      <c r="I32" s="4">
        <f>AVERAGEIFS('OB History S2'!C:C,'OB History S2'!B:B,A32)</f>
        <v>20.181818181818183</v>
      </c>
      <c r="J32" s="35">
        <f t="array" ref="J32">MAX(IF('OB History S2'!B:B=A32, 'OB History S2'!C:C))</f>
        <v>39</v>
      </c>
      <c r="K32" s="34">
        <f>COUNTIFS('OB History S2'!B:B,A32,'OB History S2'!D:D, 1)</f>
        <v>10</v>
      </c>
      <c r="L32" s="2">
        <f>COUNTIFS('OB History S2'!B:B,A32,'OB History S2'!D:D, 0)</f>
        <v>12</v>
      </c>
      <c r="M32" s="88">
        <f>LOOKUP(2, 1/('OB History S2'!$B:$B=A32), 'OB History S2'!$AD:$AD)</f>
        <v>0.45454545454545453</v>
      </c>
      <c r="N32" s="34">
        <f>SUMIFS('OB History S2'!F:F,'OB History S2'!B:B,A32)</f>
        <v>40</v>
      </c>
      <c r="O32" s="2">
        <f>SUMIFS('OB History S2'!E:E,'OB History S2'!B:B,A32)-N32</f>
        <v>46</v>
      </c>
      <c r="P32" s="88">
        <f>LOOKUP(2, 1/('OB History S2'!$B:$B=A32), 'OB History S2'!$AB:$AB)</f>
        <v>0.46136363636363631</v>
      </c>
      <c r="Q32" s="34">
        <f>SUMIFS('OB History S2'!H:H,'OB History S2'!B:B,A32)</f>
        <v>177</v>
      </c>
      <c r="R32" s="2">
        <f>SUMIFS('OB History S2'!G:G,'OB History S2'!B:B,A32)-Q32</f>
        <v>178</v>
      </c>
      <c r="S32" s="88">
        <f>LOOKUP(2, 1/('OB History S2'!$B:$B=A32), 'OB History S2'!$AC:$AC)</f>
        <v>0.49818181818181823</v>
      </c>
      <c r="T32" s="2">
        <f>COUNTIFS('OB History S2'!$B:$B,$A$32,'OB History S2'!K:K, 1)</f>
        <v>3</v>
      </c>
      <c r="U32" s="2">
        <f>COUNTIFS('OB History S2'!$B:$B,$A$32,'OB History S2'!L:L, 1)</f>
        <v>5</v>
      </c>
      <c r="V32" s="2">
        <f>COUNTIFS('OB History S2'!$B:$B,$A$32,'OB History S2'!M:M, 1)</f>
        <v>0</v>
      </c>
      <c r="W32" s="2">
        <f>COUNTIFS('OB History S2'!$B:$B,$A$32,'OB History S2'!N:N, 1)</f>
        <v>6</v>
      </c>
      <c r="X32" s="2">
        <f>COUNTIFS('OB History S2'!$B:$B,$A$32,'OB History S2'!O:O, 1)</f>
        <v>1</v>
      </c>
      <c r="Y32" s="2">
        <f>COUNTIFS('OB History S2'!$B:$B,$A$32,'OB History S2'!P:P, 1)</f>
        <v>4</v>
      </c>
      <c r="Z32" s="2">
        <f>COUNTIFS('OB History S2'!$B:$B,$A$32,'OB History S2'!Q:Q, 1)</f>
        <v>3</v>
      </c>
      <c r="AA32" s="2">
        <f>COUNTIFS('OB History S2'!$B:$B,$A$32,'OB History S2'!R:R, 1)</f>
        <v>1</v>
      </c>
      <c r="AB32" s="2">
        <f>COUNTIFS('OB History S2'!$B:$B,$A$32,'OB History S2'!S:S, 1)</f>
        <v>1</v>
      </c>
      <c r="AC32" s="2">
        <f>COUNTIFS('OB History S2'!$B:$B,$A$32,'OB History S2'!T:T, 1)</f>
        <v>1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2</v>
      </c>
      <c r="AG32" s="2">
        <f>COUNTIFS('OB History S2'!$B:$B,$A$32,'OB History S2'!X:X, 1)</f>
        <v>5</v>
      </c>
      <c r="AH32" s="2">
        <f>COUNTIFS('OB History S2'!$B:$B,$A$32,'OB History S2'!Y:Y, 1)</f>
        <v>3</v>
      </c>
      <c r="AI32" s="2">
        <f>COUNTIFS('OB History S2'!$B:$B,$A$32,'OB History S2'!Z:Z, 1)</f>
        <v>3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31</v>
      </c>
      <c r="I33" s="4">
        <f>AVERAGEIFS('OB History S2'!C:C,'OB History S2'!B:B,A33)</f>
        <v>15.5</v>
      </c>
      <c r="J33" s="35">
        <f t="array" ref="J33">MAX(IF('OB History S2'!B:B=A33, 'OB History S2'!C:C))</f>
        <v>16</v>
      </c>
      <c r="K33" s="34">
        <f>COUNTIFS('OB History S2'!B:B,A33,'OB History S2'!D:D, 1)</f>
        <v>0</v>
      </c>
      <c r="L33" s="2">
        <f>COUNTIFS('OB History S2'!B:B,A33,'OB History S2'!D:D, 0)</f>
        <v>2</v>
      </c>
      <c r="M33" s="88">
        <f>LOOKUP(2, 1/('OB History S2'!$B:$B=A33), 'OB History S2'!$AD:$AD)</f>
        <v>0</v>
      </c>
      <c r="N33" s="34">
        <f>SUMIFS('OB History S2'!F:F,'OB History S2'!B:B,A33)</f>
        <v>2</v>
      </c>
      <c r="O33" s="2">
        <f>SUMIFS('OB History S2'!E:E,'OB History S2'!B:B,A33)-N33</f>
        <v>6</v>
      </c>
      <c r="P33" s="88">
        <f>LOOKUP(2, 1/('OB History S2'!$B:$B=A33), 'OB History S2'!$AB:$AB)</f>
        <v>0.25</v>
      </c>
      <c r="Q33" s="34">
        <f>SUMIFS('OB History S2'!H:H,'OB History S2'!B:B,A33)</f>
        <v>16</v>
      </c>
      <c r="R33" s="2">
        <f>SUMIFS('OB History S2'!G:G,'OB History S2'!B:B,A33)-Q33</f>
        <v>22</v>
      </c>
      <c r="S33" s="88">
        <f>LOOKUP(2, 1/('OB History S2'!$B:$B=A33), 'OB History S2'!$AC:$AC)</f>
        <v>0.42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1</v>
      </c>
      <c r="AI33" s="2">
        <f>COUNTIFS('OB History S2'!$B:$B,$A$33,'OB History S2'!Z:Z, 1)</f>
        <v>0</v>
      </c>
    </row>
    <row r="34" spans="1:35" x14ac:dyDescent="0.25">
      <c r="A34" s="2" t="s">
        <v>13</v>
      </c>
      <c r="B34" s="6" t="s">
        <v>124</v>
      </c>
      <c r="C34" s="6" t="s">
        <v>60</v>
      </c>
      <c r="D34" s="3">
        <v>7</v>
      </c>
      <c r="E34" s="6">
        <v>2</v>
      </c>
      <c r="F34" s="6">
        <v>1</v>
      </c>
      <c r="G34" s="6"/>
      <c r="H34" s="34">
        <f>SUMIFS('OB History S2'!C:C,'OB History S2'!B:B,A34)</f>
        <v>827</v>
      </c>
      <c r="I34" s="4">
        <f>AVERAGEIFS('OB History S2'!C:C,'OB History S2'!B:B,A34)</f>
        <v>24.323529411764707</v>
      </c>
      <c r="J34" s="35">
        <f t="array" ref="J34">MAX(IF('OB History S2'!B:B=A34, 'OB History S2'!C:C))</f>
        <v>58</v>
      </c>
      <c r="K34" s="34">
        <f>COUNTIFS('OB History S2'!B:B,A34,'OB History S2'!D:D, 1)</f>
        <v>22</v>
      </c>
      <c r="L34" s="2">
        <f>COUNTIFS('OB History S2'!B:B,A34,'OB History S2'!D:D, 0)</f>
        <v>12</v>
      </c>
      <c r="M34" s="88">
        <f>LOOKUP(2, 1/('OB History S2'!$B:$B=A34), 'OB History S2'!$AD:$AD)</f>
        <v>0.6470588235294118</v>
      </c>
      <c r="N34" s="34">
        <f>SUMIFS('OB History S2'!F:F,'OB History S2'!B:B,A34)</f>
        <v>80</v>
      </c>
      <c r="O34" s="2">
        <f>SUMIFS('OB History S2'!E:E,'OB History S2'!B:B,A34)-N34</f>
        <v>52</v>
      </c>
      <c r="P34" s="88">
        <f>LOOKUP(2, 1/('OB History S2'!$B:$B=A34), 'OB History S2'!$AB:$AB)</f>
        <v>0.61764705882352944</v>
      </c>
      <c r="Q34" s="34">
        <f>SUMIFS('OB History S2'!H:H,'OB History S2'!B:B,A34)</f>
        <v>304</v>
      </c>
      <c r="R34" s="2">
        <f>SUMIFS('OB History S2'!G:G,'OB History S2'!B:B,A34)-Q34</f>
        <v>237</v>
      </c>
      <c r="S34" s="88">
        <f>LOOKUP(2, 1/('OB History S2'!$B:$B=A34), 'OB History S2'!$AC:$AC)</f>
        <v>0.56705882352941173</v>
      </c>
      <c r="T34" s="2">
        <f>COUNTIFS('OB History S2'!$B:$B,$A$34,'OB History S2'!K:K, 1)</f>
        <v>6</v>
      </c>
      <c r="U34" s="2">
        <f>COUNTIFS('OB History S2'!$B:$B,$A$34,'OB History S2'!L:L, 1)</f>
        <v>5</v>
      </c>
      <c r="V34" s="2">
        <f>COUNTIFS('OB History S2'!$B:$B,$A$34,'OB History S2'!M:M, 1)</f>
        <v>2</v>
      </c>
      <c r="W34" s="2">
        <f>COUNTIFS('OB History S2'!$B:$B,$A$34,'OB History S2'!N:N, 1)</f>
        <v>9</v>
      </c>
      <c r="X34" s="2">
        <f>COUNTIFS('OB History S2'!$B:$B,$A$34,'OB History S2'!O:O, 1)</f>
        <v>0</v>
      </c>
      <c r="Y34" s="2">
        <f>COUNTIFS('OB History S2'!$B:$B,$A$34,'OB History S2'!P:P, 1)</f>
        <v>7</v>
      </c>
      <c r="Z34" s="2">
        <f>COUNTIFS('OB History S2'!$B:$B,$A$34,'OB History S2'!Q:Q, 1)</f>
        <v>1</v>
      </c>
      <c r="AA34" s="2">
        <f>COUNTIFS('OB History S2'!$B:$B,$A$34,'OB History S2'!R:R, 1)</f>
        <v>4</v>
      </c>
      <c r="AB34" s="2">
        <f>COUNTIFS('OB History S2'!$B:$B,$A$34,'OB History S2'!S:S, 1)</f>
        <v>1</v>
      </c>
      <c r="AC34" s="2">
        <f>COUNTIFS('OB History S2'!$B:$B,$A$34,'OB History S2'!T:T, 1)</f>
        <v>3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7</v>
      </c>
      <c r="AG34" s="2">
        <f>COUNTIFS('OB History S2'!$B:$B,$A$34,'OB History S2'!X:X, 1)</f>
        <v>11</v>
      </c>
      <c r="AH34" s="2">
        <f>COUNTIFS('OB History S2'!$B:$B,$A$34,'OB History S2'!Y:Y, 1)</f>
        <v>13</v>
      </c>
      <c r="AI34" s="2">
        <f>COUNTIFS('OB History S2'!$B:$B,$A$34,'OB History S2'!Z:Z, 1)</f>
        <v>9</v>
      </c>
    </row>
    <row r="35" spans="1:35" x14ac:dyDescent="0.25">
      <c r="A35" s="2" t="s">
        <v>2</v>
      </c>
      <c r="B35" s="6" t="s">
        <v>60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194</v>
      </c>
      <c r="I35" s="4">
        <f>AVERAGEIFS('OB History S2'!C:C,'OB History S2'!B:B,A35)</f>
        <v>32.333333333333336</v>
      </c>
      <c r="J35" s="35">
        <f t="array" ref="J35">MAX(IF('OB History S2'!B:B=A35, 'OB History S2'!C:C))</f>
        <v>68</v>
      </c>
      <c r="K35" s="34">
        <f>COUNTIFS('OB History S2'!B:B,A35,'OB History S2'!D:D, 1)</f>
        <v>4</v>
      </c>
      <c r="L35" s="2">
        <f>COUNTIFS('OB History S2'!B:B,A35,'OB History S2'!D:D, 0)</f>
        <v>2</v>
      </c>
      <c r="M35" s="88">
        <f>LOOKUP(2, 1/('OB History S2'!$B:$B=A35), 'OB History S2'!$AD:$AD)</f>
        <v>0.66666666666666663</v>
      </c>
      <c r="N35" s="34">
        <f>SUMIFS('OB History S2'!F:F,'OB History S2'!B:B,A35)</f>
        <v>16</v>
      </c>
      <c r="O35" s="2">
        <f>SUMIFS('OB History S2'!E:E,'OB History S2'!B:B,A35)-N35</f>
        <v>6</v>
      </c>
      <c r="P35" s="88">
        <f>LOOKUP(2, 1/('OB History S2'!$B:$B=A35), 'OB History S2'!$AB:$AB)</f>
        <v>0.79999999999999993</v>
      </c>
      <c r="Q35" s="34">
        <f>SUMIFS('OB History S2'!H:H,'OB History S2'!B:B,A35)</f>
        <v>56</v>
      </c>
      <c r="R35" s="2">
        <f>SUMIFS('OB History S2'!G:G,'OB History S2'!B:B,A35)-Q35</f>
        <v>41</v>
      </c>
      <c r="S35" s="88">
        <f>LOOKUP(2, 1/('OB History S2'!$B:$B=A35), 'OB History S2'!$AC:$AC)</f>
        <v>0.60333333333333328</v>
      </c>
      <c r="T35" s="2">
        <f>COUNTIFS('OB History S2'!$B:$B,$A$35,'OB History S2'!K:K, 1)</f>
        <v>1</v>
      </c>
      <c r="U35" s="2">
        <f>COUNTIFS('OB History S2'!$B:$B,$A$35,'OB History S2'!L:L, 1)</f>
        <v>2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1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3</v>
      </c>
      <c r="AH35" s="2">
        <f>COUNTIFS('OB History S2'!$B:$B,$A$35,'OB History S2'!Y:Y, 1)</f>
        <v>2</v>
      </c>
      <c r="AI35" s="2">
        <f>COUNTIFS('OB History S2'!$B:$B,$A$35,'OB History S2'!Z:Z, 1)</f>
        <v>4</v>
      </c>
    </row>
    <row r="36" spans="1:35" x14ac:dyDescent="0.25">
      <c r="A36" s="2" t="s">
        <v>5</v>
      </c>
      <c r="B36" s="6" t="s">
        <v>124</v>
      </c>
      <c r="C36" s="1" t="s">
        <v>159</v>
      </c>
      <c r="D36" s="3">
        <v>1</v>
      </c>
      <c r="E36" s="6"/>
      <c r="F36" s="6"/>
      <c r="G36" s="6"/>
      <c r="H36" s="34">
        <f>SUMIFS('OB History S2'!C:C,'OB History S2'!B:B,A36)</f>
        <v>294</v>
      </c>
      <c r="I36" s="4">
        <f>AVERAGEIFS('OB History S2'!C:C,'OB History S2'!B:B,A36)</f>
        <v>22.615384615384617</v>
      </c>
      <c r="J36" s="35">
        <f t="array" ref="J36">MAX(IF('OB History S2'!B:B=A36, 'OB History S2'!C:C))</f>
        <v>51</v>
      </c>
      <c r="K36" s="34">
        <f>COUNTIFS('OB History S2'!B:B,A36,'OB History S2'!D:D, 1)</f>
        <v>6</v>
      </c>
      <c r="L36" s="2">
        <f>COUNTIFS('OB History S2'!B:B,A36,'OB History S2'!D:D, 0)</f>
        <v>7</v>
      </c>
      <c r="M36" s="88">
        <f>LOOKUP(2, 1/('OB History S2'!$B:$B=A36), 'OB History S2'!$AD:$AD)</f>
        <v>0.46153846153846156</v>
      </c>
      <c r="N36" s="34">
        <f>SUMIFS('OB History S2'!F:F,'OB History S2'!B:B,A36)</f>
        <v>25</v>
      </c>
      <c r="O36" s="2">
        <f>SUMIFS('OB History S2'!E:E,'OB History S2'!B:B,A36)-N36</f>
        <v>27</v>
      </c>
      <c r="P36" s="88">
        <f>LOOKUP(2, 1/('OB History S2'!$B:$B=A36), 'OB History S2'!$AB:$AB)</f>
        <v>0.48846153846153845</v>
      </c>
      <c r="Q36" s="34">
        <f>SUMIFS('OB History S2'!H:H,'OB History S2'!B:B,A36)</f>
        <v>105</v>
      </c>
      <c r="R36" s="2">
        <f>SUMIFS('OB History S2'!G:G,'OB History S2'!B:B,A36)-Q36</f>
        <v>108</v>
      </c>
      <c r="S36" s="88">
        <f>LOOKUP(2, 1/('OB History S2'!$B:$B=A36), 'OB History S2'!$AC:$AC)</f>
        <v>0.49153846153846142</v>
      </c>
      <c r="T36" s="2">
        <f>COUNTIFS('OB History S2'!$B:$B,$A$36,'OB History S2'!K:K, 1)</f>
        <v>3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2</v>
      </c>
      <c r="Y36" s="2">
        <f>COUNTIFS('OB History S2'!$B:$B,$A$36,'OB History S2'!P:P, 1)</f>
        <v>3</v>
      </c>
      <c r="Z36" s="2">
        <f>COUNTIFS('OB History S2'!$B:$B,$A$36,'OB History S2'!Q:Q, 1)</f>
        <v>0</v>
      </c>
      <c r="AA36" s="2">
        <f>COUNTIFS('OB History S2'!$B:$B,$A$36,'OB History S2'!R:R, 1)</f>
        <v>1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3</v>
      </c>
      <c r="AH36" s="2">
        <f>COUNTIFS('OB History S2'!$B:$B,$A$36,'OB History S2'!Y:Y, 1)</f>
        <v>2</v>
      </c>
      <c r="AI36" s="2">
        <f>COUNTIFS('OB History S2'!$B:$B,$A$36,'OB History S2'!Z:Z, 1)</f>
        <v>2</v>
      </c>
    </row>
    <row r="37" spans="1:35" x14ac:dyDescent="0.25">
      <c r="A37" s="2" t="s">
        <v>38</v>
      </c>
      <c r="B37" s="6" t="s">
        <v>79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96</v>
      </c>
      <c r="I37" s="4">
        <f>AVERAGEIFS('OB History S2'!C:C,'OB History S2'!B:B,A37)</f>
        <v>10.666666666666666</v>
      </c>
      <c r="J37" s="35">
        <f t="array" ref="J37">MAX(IF('OB History S2'!B:B=A37, 'OB History S2'!C:C))</f>
        <v>28</v>
      </c>
      <c r="K37" s="34">
        <f>COUNTIFS('OB History S2'!B:B,A37,'OB History S2'!D:D, 1)</f>
        <v>5</v>
      </c>
      <c r="L37" s="2">
        <f>COUNTIFS('OB History S2'!B:B,A37,'OB History S2'!D:D, 0)</f>
        <v>4</v>
      </c>
      <c r="M37" s="88">
        <f>LOOKUP(2, 1/('OB History S2'!$B:$B=A37), 'OB History S2'!$AD:$AD)</f>
        <v>0.55555555555555558</v>
      </c>
      <c r="N37" s="34">
        <f>SUMIFS('OB History S2'!F:F,'OB History S2'!B:B,A37)</f>
        <v>19</v>
      </c>
      <c r="O37" s="2">
        <f>SUMIFS('OB History S2'!E:E,'OB History S2'!B:B,A37)-N37</f>
        <v>18</v>
      </c>
      <c r="P37" s="88">
        <f>LOOKUP(2, 1/('OB History S2'!$B:$B=A37), 'OB History S2'!$AB:$AB)</f>
        <v>0.48333333333333328</v>
      </c>
      <c r="Q37" s="34">
        <f>SUMIFS('OB History S2'!H:H,'OB History S2'!B:B,A37)</f>
        <v>77</v>
      </c>
      <c r="R37" s="2">
        <f>SUMIFS('OB History S2'!G:G,'OB History S2'!B:B,A37)-Q37</f>
        <v>76</v>
      </c>
      <c r="S37" s="88">
        <f>LOOKUP(2, 1/('OB History S2'!$B:$B=A37), 'OB History S2'!$AC:$AC)</f>
        <v>0.491111111111111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2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3</v>
      </c>
    </row>
    <row r="38" spans="1:35" x14ac:dyDescent="0.25">
      <c r="A38" s="2" t="s">
        <v>141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222</v>
      </c>
      <c r="I38" s="4">
        <f>AVERAGEIFS('OB History S2'!C:C,'OB History S2'!B:B,A38)</f>
        <v>17.076923076923077</v>
      </c>
      <c r="J38" s="35">
        <f t="array" ref="J38">MAX(IF('OB History S2'!B:B=A38, 'OB History S2'!C:C))</f>
        <v>33</v>
      </c>
      <c r="K38" s="34">
        <f>COUNTIFS('OB History S2'!B:B,A38,'OB History S2'!D:D, 1)</f>
        <v>5</v>
      </c>
      <c r="L38" s="2">
        <f>COUNTIFS('OB History S2'!B:B,A38,'OB History S2'!D:D, 0)</f>
        <v>8</v>
      </c>
      <c r="M38" s="88">
        <f>LOOKUP(2, 1/('OB History S2'!$B:$B=A38), 'OB History S2'!$AD:$AD)</f>
        <v>0.38461538461538464</v>
      </c>
      <c r="N38" s="34">
        <f>SUMIFS('OB History S2'!F:F,'OB History S2'!B:B,A38)</f>
        <v>22</v>
      </c>
      <c r="O38" s="2">
        <f>SUMIFS('OB History S2'!E:E,'OB History S2'!B:B,A38)-N38</f>
        <v>28</v>
      </c>
      <c r="P38" s="88">
        <f>LOOKUP(2, 1/('OB History S2'!$B:$B=A38), 'OB History S2'!$AB:$AB)</f>
        <v>0.44615384615384612</v>
      </c>
      <c r="Q38" s="34">
        <f>SUMIFS('OB History S2'!H:H,'OB History S2'!B:B,A38)</f>
        <v>101</v>
      </c>
      <c r="R38" s="2">
        <f>SUMIFS('OB History S2'!G:G,'OB History S2'!B:B,A38)-Q38</f>
        <v>110</v>
      </c>
      <c r="S38" s="88">
        <f>LOOKUP(2, 1/('OB History S2'!$B:$B=A38), 'OB History S2'!$AC:$AC)</f>
        <v>0.48076923076923078</v>
      </c>
      <c r="T38" s="2">
        <f>COUNTIFS('OB History S2'!$B:$B,$A$38,'OB History S2'!K:K, 1)</f>
        <v>3</v>
      </c>
      <c r="U38" s="2">
        <f>COUNTIFS('OB History S2'!$B:$B,$A$38,'OB History S2'!L:L, 1)</f>
        <v>2</v>
      </c>
      <c r="V38" s="2">
        <f>COUNTIFS('OB History S2'!$B:$B,$A$38,'OB History S2'!M:M, 1)</f>
        <v>0</v>
      </c>
      <c r="W38" s="2">
        <f>COUNTIFS('OB History S2'!$B:$B,$A$38,'OB History S2'!N:N, 1)</f>
        <v>3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1</v>
      </c>
      <c r="AB38" s="2">
        <f>COUNTIFS('OB History S2'!$B:$B,$A$38,'OB History S2'!S:S, 1)</f>
        <v>0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2</v>
      </c>
      <c r="AH38" s="2">
        <f>COUNTIFS('OB History S2'!$B:$B,$A$38,'OB History S2'!Y:Y, 1)</f>
        <v>2</v>
      </c>
      <c r="AI38" s="2">
        <f>COUNTIFS('OB History S2'!$B:$B,$A$38,'OB History S2'!Z:Z, 1)</f>
        <v>2</v>
      </c>
    </row>
    <row r="39" spans="1:35" x14ac:dyDescent="0.25">
      <c r="A39" s="2" t="s">
        <v>40</v>
      </c>
      <c r="B39" s="2" t="s">
        <v>79</v>
      </c>
      <c r="C39" s="2" t="s">
        <v>79</v>
      </c>
      <c r="D39" s="3">
        <v>1</v>
      </c>
      <c r="E39" s="2"/>
      <c r="F39" s="2"/>
      <c r="G39" s="2"/>
      <c r="H39" s="34">
        <f>SUMIFS('OB History S2'!C:C,'OB History S2'!B:B,A39)</f>
        <v>277</v>
      </c>
      <c r="I39" s="4">
        <f>AVERAGEIFS('OB History S2'!C:C,'OB History S2'!B:B,A39)</f>
        <v>19.785714285714285</v>
      </c>
      <c r="J39" s="35">
        <f t="array" ref="J39">MAX(IF('OB History S2'!B:B=A39, 'OB History S2'!C:C))</f>
        <v>40</v>
      </c>
      <c r="K39" s="34">
        <f>COUNTIFS('OB History S2'!B:B,A39,'OB History S2'!D:D, 1)</f>
        <v>8</v>
      </c>
      <c r="L39" s="2">
        <f>COUNTIFS('OB History S2'!B:B,A39,'OB History S2'!D:D, 0)</f>
        <v>6</v>
      </c>
      <c r="M39" s="88">
        <f>LOOKUP(2, 1/('OB History S2'!$B:$B=A39), 'OB History S2'!$AD:$AD)</f>
        <v>0.5714285714285714</v>
      </c>
      <c r="N39" s="34">
        <f>SUMIFS('OB History S2'!F:F,'OB History S2'!B:B,A39)</f>
        <v>33</v>
      </c>
      <c r="O39" s="2">
        <f>SUMIFS('OB History S2'!E:E,'OB History S2'!B:B,A39)-N39</f>
        <v>26</v>
      </c>
      <c r="P39" s="88">
        <f>LOOKUP(2, 1/('OB History S2'!$B:$B=A39), 'OB History S2'!$AB:$AB)</f>
        <v>0.58214285714285707</v>
      </c>
      <c r="Q39" s="34">
        <f>SUMIFS('OB History S2'!H:H,'OB History S2'!B:B,A39)</f>
        <v>123</v>
      </c>
      <c r="R39" s="2">
        <f>SUMIFS('OB History S2'!G:G,'OB History S2'!B:B,A39)-Q39</f>
        <v>120</v>
      </c>
      <c r="S39" s="88">
        <f>LOOKUP(2, 1/('OB History S2'!$B:$B=A39), 'OB History S2'!$AC:$AC)</f>
        <v>0.50928571428571423</v>
      </c>
      <c r="T39" s="2">
        <f>COUNTIFS('OB History S2'!$B:$B,$A$39,'OB History S2'!K:K, 1)</f>
        <v>3</v>
      </c>
      <c r="U39" s="2">
        <f>COUNTIFS('OB History S2'!$B:$B,$A$39,'OB History S2'!L:L, 1)</f>
        <v>2</v>
      </c>
      <c r="V39" s="2">
        <f>COUNTIFS('OB History S2'!$B:$B,$A$39,'OB History S2'!M:M, 1)</f>
        <v>4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2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5</v>
      </c>
      <c r="AH39" s="2">
        <f>COUNTIFS('OB History S2'!$B:$B,$A$39,'OB History S2'!Y:Y, 1)</f>
        <v>4</v>
      </c>
      <c r="AI39" s="2">
        <f>COUNTIFS('OB History S2'!$B:$B,$A$39,'OB History S2'!Z:Z, 1)</f>
        <v>4</v>
      </c>
    </row>
    <row r="40" spans="1:35" x14ac:dyDescent="0.25">
      <c r="A40" s="2" t="s">
        <v>147</v>
      </c>
      <c r="B40" s="2" t="s">
        <v>79</v>
      </c>
      <c r="C40" s="2" t="s">
        <v>79</v>
      </c>
      <c r="D40" s="3"/>
      <c r="E40" s="2"/>
      <c r="F40" s="2"/>
      <c r="G40" s="2"/>
      <c r="H40" s="34">
        <f>SUMIFS('OB History S2'!C:C,'OB History S2'!B:B,A40)</f>
        <v>156</v>
      </c>
      <c r="I40" s="4">
        <f>AVERAGEIFS('OB History S2'!C:C,'OB History S2'!B:B,A40)</f>
        <v>17.333333333333332</v>
      </c>
      <c r="J40" s="35">
        <f t="array" ref="J40">MAX(IF('OB History S2'!B:B=A40, 'OB History S2'!C:C))</f>
        <v>35</v>
      </c>
      <c r="K40" s="34">
        <f>COUNTIFS('OB History S2'!B:B,A40,'OB History S2'!D:D, 1)</f>
        <v>4</v>
      </c>
      <c r="L40" s="2">
        <f>COUNTIFS('OB History S2'!B:B,A40,'OB History S2'!D:D, 0)</f>
        <v>5</v>
      </c>
      <c r="M40" s="88">
        <f>LOOKUP(2, 1/('OB History S2'!$B:$B=A40), 'OB History S2'!$AD:$AD)</f>
        <v>0.44444444444444442</v>
      </c>
      <c r="N40" s="34">
        <f>SUMIFS('OB History S2'!F:F,'OB History S2'!B:B,A40)</f>
        <v>14</v>
      </c>
      <c r="O40" s="2">
        <f>SUMIFS('OB History S2'!E:E,'OB History S2'!B:B,A40)-N40</f>
        <v>19</v>
      </c>
      <c r="P40" s="88">
        <f>LOOKUP(2, 1/('OB History S2'!$B:$B=A40), 'OB History S2'!$AB:$AB)</f>
        <v>0.3888888888888889</v>
      </c>
      <c r="Q40" s="34">
        <f>SUMIFS('OB History S2'!H:H,'OB History S2'!B:B,A40)</f>
        <v>65</v>
      </c>
      <c r="R40" s="2">
        <f>SUMIFS('OB History S2'!G:G,'OB History S2'!B:B,A40)-Q40</f>
        <v>74</v>
      </c>
      <c r="S40" s="88">
        <f>LOOKUP(2, 1/('OB History S2'!$B:$B=A40), 'OB History S2'!$AC:$AC)</f>
        <v>0.44999999999999996</v>
      </c>
      <c r="T40" s="2">
        <f>COUNTIFS('OB History S2'!$B:$B,$A$40,'OB History S2'!K:K, 1)</f>
        <v>2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2</v>
      </c>
      <c r="X40" s="2">
        <f>COUNTIFS('OB History S2'!$B:$B,$A$40,'OB History S2'!O:O, 1)</f>
        <v>1</v>
      </c>
      <c r="Y40" s="2">
        <f>COUNTIFS('OB History S2'!$B:$B,$A$40,'OB History S2'!P:P, 1)</f>
        <v>1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0</v>
      </c>
      <c r="AG40" s="2">
        <f>COUNTIFS('OB History S2'!$B:$B,$A$40,'OB History S2'!X:X, 1)</f>
        <v>1</v>
      </c>
      <c r="AH40" s="2">
        <f>COUNTIFS('OB History S2'!$B:$B,$A$40,'OB History S2'!Y:Y, 1)</f>
        <v>1</v>
      </c>
      <c r="AI40" s="2">
        <f>COUNTIFS('OB History S2'!$B:$B,$A$40,'OB History S2'!Z:Z, 1)</f>
        <v>1</v>
      </c>
    </row>
    <row r="41" spans="1:35" x14ac:dyDescent="0.25">
      <c r="A41" s="2" t="s">
        <v>17</v>
      </c>
      <c r="B41" s="2" t="s">
        <v>79</v>
      </c>
      <c r="C41" s="2" t="s">
        <v>79</v>
      </c>
      <c r="D41" s="3">
        <v>13</v>
      </c>
      <c r="E41" s="2">
        <v>3</v>
      </c>
      <c r="F41" s="2"/>
      <c r="G41" s="2"/>
      <c r="H41" s="34">
        <f>SUMIFS('OB History S2'!C:C,'OB History S2'!B:B,A41)</f>
        <v>632</v>
      </c>
      <c r="I41" s="4">
        <f>AVERAGEIFS('OB History S2'!C:C,'OB History S2'!B:B,A41)</f>
        <v>22.571428571428573</v>
      </c>
      <c r="J41" s="35">
        <f t="array" ref="J41">MAX(IF('OB History S2'!B:B=A41, 'OB History S2'!C:C))</f>
        <v>58</v>
      </c>
      <c r="K41" s="34">
        <f>COUNTIFS('OB History S2'!B:B,A41,'OB History S2'!D:D, 1)</f>
        <v>12</v>
      </c>
      <c r="L41" s="2">
        <f>COUNTIFS('OB History S2'!B:B,A41,'OB History S2'!D:D, 0)</f>
        <v>16</v>
      </c>
      <c r="M41" s="88">
        <f>LOOKUP(2, 1/('OB History S2'!$B:$B=A41), 'OB History S2'!$AD:$AD)</f>
        <v>0.42857142857142855</v>
      </c>
      <c r="N41" s="34">
        <f>SUMIFS('OB History S2'!F:F,'OB History S2'!B:B,A41)</f>
        <v>46</v>
      </c>
      <c r="O41" s="2">
        <f>SUMIFS('OB History S2'!E:E,'OB History S2'!B:B,A41)-N41</f>
        <v>62</v>
      </c>
      <c r="P41" s="88">
        <f>LOOKUP(2, 1/('OB History S2'!$B:$B=A41), 'OB History S2'!$AB:$AB)</f>
        <v>0.40714285714285714</v>
      </c>
      <c r="Q41" s="34">
        <f>SUMIFS('OB History S2'!H:H,'OB History S2'!B:B,A41)</f>
        <v>213</v>
      </c>
      <c r="R41" s="2">
        <f>SUMIFS('OB History S2'!G:G,'OB History S2'!B:B,A41)-Q41</f>
        <v>233</v>
      </c>
      <c r="S41" s="88">
        <f>LOOKUP(2, 1/('OB History S2'!$B:$B=A41), 'OB History S2'!$AC:$AC)</f>
        <v>0.47214285714285703</v>
      </c>
      <c r="T41" s="2">
        <f>COUNTIFS('OB History S2'!$B:$B,$A$41,'OB History S2'!K:K, 1)</f>
        <v>1</v>
      </c>
      <c r="U41" s="2">
        <f>COUNTIFS('OB History S2'!$B:$B,$A$41,'OB History S2'!L:L, 1)</f>
        <v>5</v>
      </c>
      <c r="V41" s="2">
        <f>COUNTIFS('OB History S2'!$B:$B,$A$41,'OB History S2'!M:M, 1)</f>
        <v>1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0</v>
      </c>
      <c r="Z41" s="2">
        <f>COUNTIFS('OB History S2'!$B:$B,$A$41,'OB History S2'!Q:Q, 1)</f>
        <v>3</v>
      </c>
      <c r="AA41" s="2">
        <f>COUNTIFS('OB History S2'!$B:$B,$A$41,'OB History S2'!R:R, 1)</f>
        <v>6</v>
      </c>
      <c r="AB41" s="2">
        <f>COUNTIFS('OB History S2'!$B:$B,$A$41,'OB History S2'!S:S, 1)</f>
        <v>0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1</v>
      </c>
      <c r="AG41" s="2">
        <f>COUNTIFS('OB History S2'!$B:$B,$A$41,'OB History S2'!X:X, 1)</f>
        <v>12</v>
      </c>
      <c r="AH41" s="2">
        <f>COUNTIFS('OB History S2'!$B:$B,$A$41,'OB History S2'!Y:Y, 1)</f>
        <v>3</v>
      </c>
      <c r="AI41" s="2">
        <f>COUNTIFS('OB History S2'!$B:$B,$A$41,'OB History S2'!Z:Z, 1)</f>
        <v>7</v>
      </c>
    </row>
    <row r="42" spans="1:35" x14ac:dyDescent="0.25">
      <c r="A42" s="2" t="s">
        <v>155</v>
      </c>
      <c r="B42" s="2" t="s">
        <v>60</v>
      </c>
      <c r="C42" s="2" t="s">
        <v>79</v>
      </c>
      <c r="D42" s="3">
        <v>8</v>
      </c>
      <c r="E42" s="3">
        <v>1</v>
      </c>
      <c r="F42" s="3"/>
      <c r="G42" s="3"/>
      <c r="H42" s="34">
        <f>SUMIFS('OB History S2'!C:C,'OB History S2'!B:B,A42)</f>
        <v>525</v>
      </c>
      <c r="I42" s="4">
        <f>AVERAGEIFS('OB History S2'!C:C,'OB History S2'!B:B,A42)</f>
        <v>18.103448275862068</v>
      </c>
      <c r="J42" s="35">
        <f t="array" ref="J42">MAX(IF('OB History S2'!B:B=A42, 'OB History S2'!C:C))</f>
        <v>43</v>
      </c>
      <c r="K42" s="34">
        <f>COUNTIFS('OB History S2'!B:B,A42,'OB History S2'!D:D, 1)</f>
        <v>9</v>
      </c>
      <c r="L42" s="2">
        <f>COUNTIFS('OB History S2'!B:B,A42,'OB History S2'!D:D, 0)</f>
        <v>20</v>
      </c>
      <c r="M42" s="88">
        <f>LOOKUP(2, 1/('OB History S2'!$B:$B=A42), 'OB History S2'!$AD:$AD)</f>
        <v>0.31034482758620691</v>
      </c>
      <c r="N42" s="34">
        <f>SUMIFS('OB History S2'!F:F,'OB History S2'!B:B,A42)</f>
        <v>47</v>
      </c>
      <c r="O42" s="2">
        <f>SUMIFS('OB History S2'!E:E,'OB History S2'!B:B,A42)-N42</f>
        <v>72</v>
      </c>
      <c r="P42" s="88">
        <f>LOOKUP(2, 1/('OB History S2'!$B:$B=A42), 'OB History S2'!$AB:$AB)</f>
        <v>0.37413793103448273</v>
      </c>
      <c r="Q42" s="34">
        <f>SUMIFS('OB History S2'!H:H,'OB History S2'!B:B,A42)</f>
        <v>228</v>
      </c>
      <c r="R42" s="2">
        <f>SUMIFS('OB History S2'!G:G,'OB History S2'!B:B,A42)-Q42</f>
        <v>258</v>
      </c>
      <c r="S42" s="88">
        <f>LOOKUP(2, 1/('OB History S2'!$B:$B=A42), 'OB History S2'!$AC:$AC)</f>
        <v>0.45758620689655183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2</v>
      </c>
      <c r="W42" s="2">
        <f>COUNTIFS('OB History S2'!$B:$B,$A$42,'OB History S2'!N:N, 1)</f>
        <v>8</v>
      </c>
      <c r="X42" s="2">
        <f>COUNTIFS('OB History S2'!$B:$B,$A$42,'OB History S2'!O:O, 1)</f>
        <v>3</v>
      </c>
      <c r="Y42" s="2">
        <f>COUNTIFS('OB History S2'!$B:$B,$A$42,'OB History S2'!P:P, 1)</f>
        <v>5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1</v>
      </c>
      <c r="AC42" s="2">
        <f>COUNTIFS('OB History S2'!$B:$B,$A$42,'OB History S2'!T:T, 1)</f>
        <v>3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3</v>
      </c>
      <c r="AG42" s="2">
        <f>COUNTIFS('OB History S2'!$B:$B,$A$42,'OB History S2'!X:X, 1)</f>
        <v>5</v>
      </c>
      <c r="AH42" s="2">
        <f>COUNTIFS('OB History S2'!$B:$B,$A$42,'OB History S2'!Y:Y, 1)</f>
        <v>5</v>
      </c>
      <c r="AI42" s="2">
        <f>COUNTIFS('OB History S2'!$B:$B,$A$42,'OB History S2'!Z:Z, 1)</f>
        <v>3</v>
      </c>
    </row>
    <row r="43" spans="1:35" x14ac:dyDescent="0.25">
      <c r="A43" s="2" t="s">
        <v>6</v>
      </c>
      <c r="B43" s="2" t="s">
        <v>60</v>
      </c>
      <c r="C43" s="2" t="s">
        <v>79</v>
      </c>
      <c r="D43" s="3">
        <v>1</v>
      </c>
      <c r="E43" s="2">
        <v>1</v>
      </c>
      <c r="F43" s="2"/>
      <c r="G43" s="2"/>
      <c r="H43" s="34">
        <f>SUMIFS('OB History S2'!C:C,'OB History S2'!B:B,A43)</f>
        <v>365</v>
      </c>
      <c r="I43" s="4">
        <f>AVERAGEIFS('OB History S2'!C:C,'OB History S2'!B:B,A43)</f>
        <v>26.071428571428573</v>
      </c>
      <c r="J43" s="35">
        <f t="array" ref="J43">MAX(IF('OB History S2'!B:B=A43, 'OB History S2'!C:C))</f>
        <v>66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34</v>
      </c>
      <c r="O43" s="2">
        <f>SUMIFS('OB History S2'!E:E,'OB History S2'!B:B,A43)-N43</f>
        <v>22</v>
      </c>
      <c r="P43" s="88">
        <f>LOOKUP(2, 1/('OB History S2'!$B:$B=A43), 'OB History S2'!$AB:$AB)</f>
        <v>0.63571428571428557</v>
      </c>
      <c r="Q43" s="34">
        <f>SUMIFS('OB History S2'!H:H,'OB History S2'!B:B,A43)</f>
        <v>133</v>
      </c>
      <c r="R43" s="2">
        <f>SUMIFS('OB History S2'!G:G,'OB History S2'!B:B,A43)-Q43</f>
        <v>102</v>
      </c>
      <c r="S43" s="88">
        <f>LOOKUP(2, 1/('OB History S2'!$B:$B=A43), 'OB History S2'!$AC:$AC)</f>
        <v>0.57785714285714285</v>
      </c>
      <c r="T43" s="2">
        <f>COUNTIFS('OB History S2'!$B:$B,$A$43,'OB History S2'!K:K, 1)</f>
        <v>2</v>
      </c>
      <c r="U43" s="2">
        <f>COUNTIFS('OB History S2'!$B:$B,$A$43,'OB History S2'!L:L, 1)</f>
        <v>3</v>
      </c>
      <c r="V43" s="2">
        <f>COUNTIFS('OB History S2'!$B:$B,$A$43,'OB History S2'!M:M, 1)</f>
        <v>5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2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2</v>
      </c>
      <c r="AH43" s="2">
        <f>COUNTIFS('OB History S2'!$B:$B,$A$43,'OB History S2'!Y:Y, 1)</f>
        <v>4</v>
      </c>
      <c r="AI43" s="2">
        <f>COUNTIFS('OB History S2'!$B:$B,$A$43,'OB History S2'!Z:Z, 1)</f>
        <v>3</v>
      </c>
    </row>
    <row r="44" spans="1:35" x14ac:dyDescent="0.25">
      <c r="A44" s="2" t="s">
        <v>18</v>
      </c>
      <c r="B44" s="2" t="s">
        <v>60</v>
      </c>
      <c r="C44" s="2" t="s">
        <v>79</v>
      </c>
      <c r="D44" s="3">
        <v>6</v>
      </c>
      <c r="E44" s="2">
        <v>4</v>
      </c>
      <c r="F44" s="2"/>
      <c r="G44" s="2">
        <v>1</v>
      </c>
      <c r="H44" s="34">
        <f>SUMIFS('OB History S2'!C:C,'OB History S2'!B:B,A44)</f>
        <v>490</v>
      </c>
      <c r="I44" s="4">
        <f>AVERAGEIFS('OB History S2'!C:C,'OB History S2'!B:B,A44)</f>
        <v>28.823529411764707</v>
      </c>
      <c r="J44" s="35">
        <f t="array" ref="J44">MAX(IF('OB History S2'!B:B=A44, 'OB History S2'!C:C))</f>
        <v>58</v>
      </c>
      <c r="K44" s="34">
        <f>COUNTIFS('OB History S2'!B:B,A44,'OB History S2'!D:D, 1)</f>
        <v>10</v>
      </c>
      <c r="L44" s="2">
        <f>COUNTIFS('OB History S2'!B:B,A44,'OB History S2'!D:D, 0)</f>
        <v>7</v>
      </c>
      <c r="M44" s="88">
        <f>LOOKUP(2, 1/('OB History S2'!$B:$B=A44), 'OB History S2'!$AD:$AD)</f>
        <v>0.58823529411764708</v>
      </c>
      <c r="N44" s="34">
        <f>SUMIFS('OB History S2'!F:F,'OB History S2'!B:B,A44)</f>
        <v>37</v>
      </c>
      <c r="O44" s="2">
        <f>SUMIFS('OB History S2'!E:E,'OB History S2'!B:B,A44)-N44</f>
        <v>31</v>
      </c>
      <c r="P44" s="88">
        <f>LOOKUP(2, 1/('OB History S2'!$B:$B=A44), 'OB History S2'!$AB:$AB)</f>
        <v>0.54411764705882348</v>
      </c>
      <c r="Q44" s="34">
        <f>SUMIFS('OB History S2'!H:H,'OB History S2'!B:B,A44)</f>
        <v>146</v>
      </c>
      <c r="R44" s="2">
        <f>SUMIFS('OB History S2'!G:G,'OB History S2'!B:B,A44)-Q44</f>
        <v>135</v>
      </c>
      <c r="S44" s="88">
        <f>LOOKUP(2, 1/('OB History S2'!$B:$B=A44), 'OB History S2'!$AC:$AC)</f>
        <v>0.52588235294117658</v>
      </c>
      <c r="T44" s="2">
        <f>COUNTIFS('OB History S2'!$B:$B,$A$44,'OB History S2'!K:K, 1)</f>
        <v>3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5</v>
      </c>
      <c r="X44" s="2">
        <f>COUNTIFS('OB History S2'!$B:$B,$A$44,'OB History S2'!O:O, 1)</f>
        <v>2</v>
      </c>
      <c r="Y44" s="2">
        <f>COUNTIFS('OB History S2'!$B:$B,$A$44,'OB History S2'!P:P, 1)</f>
        <v>4</v>
      </c>
      <c r="Z44" s="2">
        <f>COUNTIFS('OB History S2'!$B:$B,$A$44,'OB History S2'!Q:Q, 1)</f>
        <v>2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1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4</v>
      </c>
      <c r="AH44" s="2">
        <f>COUNTIFS('OB History S2'!$B:$B,$A$44,'OB History S2'!Y:Y, 1)</f>
        <v>4</v>
      </c>
      <c r="AI44" s="2">
        <f>COUNTIFS('OB History S2'!$B:$B,$A$44,'OB History S2'!Z:Z, 1)</f>
        <v>4</v>
      </c>
    </row>
    <row r="45" spans="1:35" x14ac:dyDescent="0.25">
      <c r="A45" s="2" t="s">
        <v>113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297</v>
      </c>
      <c r="I45" s="4">
        <f>AVERAGEIFS('OB History S2'!C:C,'OB History S2'!B:B,A45)</f>
        <v>21.214285714285715</v>
      </c>
      <c r="J45" s="35">
        <f t="array" ref="J45">MAX(IF('OB History S2'!B:B=A45, 'OB History S2'!C:C))</f>
        <v>50</v>
      </c>
      <c r="K45" s="34">
        <f>COUNTIFS('OB History S2'!B:B,A45,'OB History S2'!D:D, 1)</f>
        <v>9</v>
      </c>
      <c r="L45" s="2">
        <f>COUNTIFS('OB History S2'!B:B,A45,'OB History S2'!D:D, 0)</f>
        <v>5</v>
      </c>
      <c r="M45" s="88">
        <f>LOOKUP(2, 1/('OB History S2'!$B:$B=A45), 'OB History S2'!$AD:$AD)</f>
        <v>0.6428571428571429</v>
      </c>
      <c r="N45" s="34">
        <f>SUMIFS('OB History S2'!F:F,'OB History S2'!B:B,A45)</f>
        <v>30</v>
      </c>
      <c r="O45" s="2">
        <f>SUMIFS('OB History S2'!E:E,'OB History S2'!B:B,A45)-N45</f>
        <v>22</v>
      </c>
      <c r="P45" s="88">
        <f>LOOKUP(2, 1/('OB History S2'!$B:$B=A45), 'OB History S2'!$AB:$AB)</f>
        <v>0.57857142857142851</v>
      </c>
      <c r="Q45" s="34">
        <f>SUMIFS('OB History S2'!H:H,'OB History S2'!B:B,A45)</f>
        <v>114</v>
      </c>
      <c r="R45" s="2">
        <f>SUMIFS('OB History S2'!G:G,'OB History S2'!B:B,A45)-Q45</f>
        <v>103</v>
      </c>
      <c r="S45" s="88">
        <f>LOOKUP(2, 1/('OB History S2'!$B:$B=A45), 'OB History S2'!$AC:$AC)</f>
        <v>0.52142857142857135</v>
      </c>
      <c r="T45" s="2">
        <f>COUNTIFS('OB History S2'!$B:$B,$A$45,'OB History S2'!K:K, 1)</f>
        <v>0</v>
      </c>
      <c r="U45" s="2">
        <f>COUNTIFS('OB History S2'!$B:$B,$A$45,'OB History S2'!L:L, 1)</f>
        <v>6</v>
      </c>
      <c r="V45" s="2">
        <f>COUNTIFS('OB History S2'!$B:$B,$A$45,'OB History S2'!M:M, 1)</f>
        <v>2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2</v>
      </c>
      <c r="AG45" s="2">
        <f>COUNTIFS('OB History S2'!$B:$B,$A$45,'OB History S2'!X:X, 1)</f>
        <v>4</v>
      </c>
      <c r="AH45" s="2">
        <f>COUNTIFS('OB History S2'!$B:$B,$A$45,'OB History S2'!Y:Y, 1)</f>
        <v>3</v>
      </c>
      <c r="AI45" s="2">
        <f>COUNTIFS('OB History S2'!$B:$B,$A$45,'OB History S2'!Z:Z, 1)</f>
        <v>4</v>
      </c>
    </row>
    <row r="46" spans="1:35" x14ac:dyDescent="0.25">
      <c r="A46" s="2" t="s">
        <v>169</v>
      </c>
      <c r="B46" s="2" t="s">
        <v>79</v>
      </c>
      <c r="C46" s="2" t="s">
        <v>79</v>
      </c>
      <c r="D46" s="3"/>
      <c r="E46" s="2"/>
      <c r="F46" s="2"/>
      <c r="G46" s="2"/>
      <c r="H46" s="34">
        <f>SUMIFS('OB History S2'!C:C,'OB History S2'!B:B,A46)</f>
        <v>2</v>
      </c>
      <c r="I46" s="4">
        <f>AVERAGEIFS('OB History S2'!C:C,'OB History S2'!B:B,A46)</f>
        <v>2</v>
      </c>
      <c r="J46" s="35">
        <f t="array" ref="J46">MAX(IF('OB History S2'!B:B=A46, 'OB History S2'!C:C))</f>
        <v>2</v>
      </c>
      <c r="K46" s="34">
        <f>COUNTIFS('OB History S2'!B:B,A46,'OB History S2'!D:D, 1)</f>
        <v>0</v>
      </c>
      <c r="L46" s="2">
        <f>COUNTIFS('OB History S2'!B:B,A46,'OB History S2'!D:D, 0)</f>
        <v>1</v>
      </c>
      <c r="M46" s="88">
        <f>LOOKUP(2, 1/('OB History S2'!$B:$B=A46), 'OB History S2'!$AD:$AD)</f>
        <v>0</v>
      </c>
      <c r="N46" s="34">
        <f>SUMIFS('OB History S2'!F:F,'OB History S2'!B:B,A46)</f>
        <v>2</v>
      </c>
      <c r="O46" s="2">
        <f>SUMIFS('OB History S2'!E:E,'OB History S2'!B:B,A46)-N46</f>
        <v>3</v>
      </c>
      <c r="P46" s="88">
        <f>LOOKUP(2, 1/('OB History S2'!$B:$B=A46), 'OB History S2'!$AB:$AB)</f>
        <v>0.4</v>
      </c>
      <c r="Q46" s="34">
        <f>SUMIFS('OB History S2'!H:H,'OB History S2'!B:B,A46)</f>
        <v>6</v>
      </c>
      <c r="R46" s="2">
        <f>SUMIFS('OB History S2'!G:G,'OB History S2'!B:B,A46)-Q46</f>
        <v>14</v>
      </c>
      <c r="S46" s="88">
        <f>LOOKUP(2, 1/('OB History S2'!$B:$B=A46), 'OB History S2'!$AC:$AC)</f>
        <v>0.3</v>
      </c>
      <c r="T46" s="2">
        <f>COUNTIFS('OB History S2'!$B:$B,$A$46,'OB History S2'!K:K, 1)</f>
        <v>0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0</v>
      </c>
      <c r="AH46" s="2">
        <f>COUNTIFS('OB History S2'!$B:$B,$A$46,'OB History S2'!Y:Y, 1)</f>
        <v>1</v>
      </c>
      <c r="AI46" s="2">
        <f>COUNTIFS('OB History S2'!$B:$B,$A$46,'OB History S2'!Z:Z, 1)</f>
        <v>0</v>
      </c>
    </row>
    <row r="47" spans="1:35" x14ac:dyDescent="0.25">
      <c r="A47" s="2" t="s">
        <v>14</v>
      </c>
      <c r="B47" s="6" t="s">
        <v>124</v>
      </c>
      <c r="C47" s="6" t="s">
        <v>124</v>
      </c>
      <c r="D47" s="3">
        <v>4</v>
      </c>
      <c r="E47" s="6">
        <v>1</v>
      </c>
      <c r="F47" s="6"/>
      <c r="G47" s="6"/>
      <c r="H47" s="34">
        <f>SUMIFS('OB History S2'!C:C,'OB History S2'!B:B,A47)</f>
        <v>460</v>
      </c>
      <c r="I47" s="4">
        <f>AVERAGEIFS('OB History S2'!C:C,'OB History S2'!B:B,A47)</f>
        <v>21.904761904761905</v>
      </c>
      <c r="J47" s="35">
        <f t="array" ref="J47">MAX(IF('OB History S2'!B:B=A47, 'OB History S2'!C:C))</f>
        <v>51</v>
      </c>
      <c r="K47" s="34">
        <f>COUNTIFS('OB History S2'!B:B,A47,'OB History S2'!D:D, 1)</f>
        <v>6</v>
      </c>
      <c r="L47" s="2">
        <f>COUNTIFS('OB History S2'!B:B,A47,'OB History S2'!D:D, 0)</f>
        <v>15</v>
      </c>
      <c r="M47" s="88">
        <f>LOOKUP(2, 1/('OB History S2'!$B:$B=A47), 'OB History S2'!$AD:$AD)</f>
        <v>0.2857142857142857</v>
      </c>
      <c r="N47" s="34">
        <f>SUMIFS('OB History S2'!F:F,'OB History S2'!B:B,A47)</f>
        <v>32</v>
      </c>
      <c r="O47" s="2">
        <f>SUMIFS('OB History S2'!E:E,'OB History S2'!B:B,A47)-N47</f>
        <v>51</v>
      </c>
      <c r="P47" s="88">
        <f>LOOKUP(2, 1/('OB History S2'!$B:$B=A47), 'OB History S2'!$AB:$AB)</f>
        <v>0.37142857142857144</v>
      </c>
      <c r="Q47" s="34">
        <f>SUMIFS('OB History S2'!H:H,'OB History S2'!B:B,A47)</f>
        <v>147</v>
      </c>
      <c r="R47" s="2">
        <f>SUMIFS('OB History S2'!G:G,'OB History S2'!B:B,A47)-Q47</f>
        <v>193</v>
      </c>
      <c r="S47" s="88">
        <f>LOOKUP(2, 1/('OB History S2'!$B:$B=A47), 'OB History S2'!$AC:$AC)</f>
        <v>0.43476190476190474</v>
      </c>
      <c r="T47" s="2">
        <f>COUNTIFS('OB History S2'!$B:$B,$A$47,'OB History S2'!K:K, 1)</f>
        <v>3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1</v>
      </c>
      <c r="Y47" s="2">
        <f>COUNTIFS('OB History S2'!$B:$B,$A$47,'OB History S2'!P:P, 1)</f>
        <v>1</v>
      </c>
      <c r="Z47" s="2">
        <f>COUNTIFS('OB History S2'!$B:$B,$A$47,'OB History S2'!Q:Q, 1)</f>
        <v>2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9</v>
      </c>
      <c r="AH47" s="2">
        <f>COUNTIFS('OB History S2'!$B:$B,$A$47,'OB History S2'!Y:Y, 1)</f>
        <v>3</v>
      </c>
      <c r="AI47" s="2">
        <f>COUNTIFS('OB History S2'!$B:$B,$A$47,'OB History S2'!Z:Z, 1)</f>
        <v>3</v>
      </c>
    </row>
    <row r="48" spans="1:35" x14ac:dyDescent="0.25">
      <c r="A48" s="2" t="s">
        <v>70</v>
      </c>
      <c r="B48" s="6" t="s">
        <v>79</v>
      </c>
      <c r="C48" s="6" t="s">
        <v>79</v>
      </c>
      <c r="D48" s="3"/>
      <c r="E48" s="6"/>
      <c r="F48" s="6"/>
      <c r="G48" s="6"/>
      <c r="H48" s="34">
        <f>SUMIFS('OB History S2'!C:C,'OB History S2'!B:B,A48)</f>
        <v>53</v>
      </c>
      <c r="I48" s="4">
        <f>AVERAGEIFS('OB History S2'!C:C,'OB History S2'!B:B,A48)</f>
        <v>17.666666666666668</v>
      </c>
      <c r="J48" s="35">
        <f t="array" ref="J48">MAX(IF('OB History S2'!B:B=A48, 'OB History S2'!C:C))</f>
        <v>27</v>
      </c>
      <c r="K48" s="34">
        <f>COUNTIFS('OB History S2'!B:B,A48,'OB History S2'!D:D, 1)</f>
        <v>2</v>
      </c>
      <c r="L48" s="2">
        <f>COUNTIFS('OB History S2'!B:B,A48,'OB History S2'!D:D, 0)</f>
        <v>1</v>
      </c>
      <c r="M48" s="88">
        <f>LOOKUP(2, 1/('OB History S2'!$B:$B=A48), 'OB History S2'!$AD:$AD)</f>
        <v>0.66666666666666663</v>
      </c>
      <c r="N48" s="34">
        <f>SUMIFS('OB History S2'!F:F,'OB History S2'!B:B,A48)</f>
        <v>8</v>
      </c>
      <c r="O48" s="2">
        <f>SUMIFS('OB History S2'!E:E,'OB History S2'!B:B,A48)-N48</f>
        <v>5</v>
      </c>
      <c r="P48" s="88">
        <f>LOOKUP(2, 1/('OB History S2'!$B:$B=A48), 'OB History S2'!$AB:$AB)</f>
        <v>0.66666666666666663</v>
      </c>
      <c r="Q48" s="34">
        <f>SUMIFS('OB History S2'!H:H,'OB History S2'!B:B,A48)</f>
        <v>31</v>
      </c>
      <c r="R48" s="2">
        <f>SUMIFS('OB History S2'!G:G,'OB History S2'!B:B,A48)-Q48</f>
        <v>27</v>
      </c>
      <c r="S48" s="88">
        <f>LOOKUP(2, 1/('OB History S2'!$B:$B=A48), 'OB History S2'!$AC:$AC)</f>
        <v>0.54666666666666663</v>
      </c>
      <c r="T48" s="2">
        <f>COUNTIFS('OB History S2'!$B:$B,$A$48,'OB History S2'!K:K, 1)</f>
        <v>1</v>
      </c>
      <c r="U48" s="2">
        <f>COUNTIFS('OB History S2'!$B:$B,$A$48,'OB History S2'!L:L, 1)</f>
        <v>0</v>
      </c>
      <c r="V48" s="2">
        <f>COUNTIFS('OB History S2'!$B:$B,$A$48,'OB History S2'!M:M, 1)</f>
        <v>0</v>
      </c>
      <c r="W48" s="2">
        <f>COUNTIFS('OB History S2'!$B:$B,$A$48,'OB History S2'!N:N, 1)</f>
        <v>0</v>
      </c>
      <c r="X48" s="2">
        <f>COUNTIFS('OB History S2'!$B:$B,$A$48,'OB History S2'!O:O, 1)</f>
        <v>1</v>
      </c>
      <c r="Y48" s="2">
        <f>COUNTIFS('OB History S2'!$B:$B,$A$48,'OB History S2'!P:P, 1)</f>
        <v>0</v>
      </c>
      <c r="Z48" s="2">
        <f>COUNTIFS('OB History S2'!$B:$B,$A$48,'OB History S2'!Q:Q, 1)</f>
        <v>0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3</v>
      </c>
      <c r="AH48" s="2">
        <f>COUNTIFS('OB History S2'!$B:$B,$A$48,'OB History S2'!Y:Y, 1)</f>
        <v>0</v>
      </c>
      <c r="AI48" s="2">
        <f>COUNTIFS('OB History S2'!$B:$B,$A$48,'OB History S2'!Z:Z, 1)</f>
        <v>2</v>
      </c>
    </row>
    <row r="49" spans="1:35" x14ac:dyDescent="0.25">
      <c r="A49" s="2" t="s">
        <v>4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247</v>
      </c>
      <c r="I49" s="4">
        <f>AVERAGEIFS('OB History S2'!C:C,'OB History S2'!B:B,A49)</f>
        <v>22.454545454545453</v>
      </c>
      <c r="J49" s="35">
        <f t="array" ref="J49">MAX(IF('OB History S2'!B:B=A49, 'OB History S2'!C:C))</f>
        <v>46</v>
      </c>
      <c r="K49" s="34">
        <f>COUNTIFS('OB History S2'!B:B,A49,'OB History S2'!D:D, 1)</f>
        <v>6</v>
      </c>
      <c r="L49" s="2">
        <f>COUNTIFS('OB History S2'!B:B,A49,'OB History S2'!D:D, 0)</f>
        <v>5</v>
      </c>
      <c r="M49" s="88">
        <f>LOOKUP(2, 1/('OB History S2'!$B:$B=A49), 'OB History S2'!$AD:$AD)</f>
        <v>0.54545454545454541</v>
      </c>
      <c r="N49" s="34">
        <f>SUMIFS('OB History S2'!F:F,'OB History S2'!B:B,A49)</f>
        <v>21</v>
      </c>
      <c r="O49" s="2">
        <f>SUMIFS('OB History S2'!E:E,'OB History S2'!B:B,A49)-N49</f>
        <v>23</v>
      </c>
      <c r="P49" s="88">
        <f>LOOKUP(2, 1/('OB History S2'!$B:$B=A49), 'OB History S2'!$AB:$AB)</f>
        <v>0.47272727272727272</v>
      </c>
      <c r="Q49" s="34">
        <f>SUMIFS('OB History S2'!H:H,'OB History S2'!B:B,A49)</f>
        <v>88</v>
      </c>
      <c r="R49" s="2">
        <f>SUMIFS('OB History S2'!G:G,'OB History S2'!B:B,A49)-Q49</f>
        <v>93</v>
      </c>
      <c r="S49" s="88">
        <f>LOOKUP(2, 1/('OB History S2'!$B:$B=A49), 'OB History S2'!$AC:$AC)</f>
        <v>0.47545454545454541</v>
      </c>
      <c r="T49" s="2">
        <f>COUNTIFS('OB History S2'!$B:$B,$A$49,'OB History S2'!K:K, 1)</f>
        <v>2</v>
      </c>
      <c r="U49" s="2">
        <f>COUNTIFS('OB History S2'!$B:$B,$A$49,'OB History S2'!L:L, 1)</f>
        <v>4</v>
      </c>
      <c r="V49" s="2">
        <f>COUNTIFS('OB History S2'!$B:$B,$A$49,'OB History S2'!M:M, 1)</f>
        <v>1</v>
      </c>
      <c r="W49" s="2">
        <f>COUNTIFS('OB History S2'!$B:$B,$A$49,'OB History S2'!N:N, 1)</f>
        <v>1</v>
      </c>
      <c r="X49" s="2">
        <f>COUNTIFS('OB History S2'!$B:$B,$A$49,'OB History S2'!O:O, 1)</f>
        <v>2</v>
      </c>
      <c r="Y49" s="2">
        <f>COUNTIFS('OB History S2'!$B:$B,$A$49,'OB History S2'!P:P, 1)</f>
        <v>1</v>
      </c>
      <c r="Z49" s="2">
        <f>COUNTIFS('OB History S2'!$B:$B,$A$49,'OB History S2'!Q:Q, 1)</f>
        <v>1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2</v>
      </c>
      <c r="AI49" s="2">
        <f>COUNTIFS('OB History S2'!$B:$B,$A$49,'OB History S2'!Z:Z, 1)</f>
        <v>1</v>
      </c>
    </row>
    <row r="50" spans="1:35" x14ac:dyDescent="0.25">
      <c r="A50" s="2" t="s">
        <v>55</v>
      </c>
      <c r="B50" s="2" t="s">
        <v>79</v>
      </c>
      <c r="C50" s="2" t="s">
        <v>79</v>
      </c>
      <c r="D50" s="2"/>
      <c r="E50" s="2"/>
      <c r="F50" s="2"/>
      <c r="G50" s="2"/>
      <c r="H50" s="34">
        <f>SUMIFS('OB History S2'!C:C,'OB History S2'!B:B,A50)</f>
        <v>65</v>
      </c>
      <c r="I50" s="4">
        <f>AVERAGEIFS('OB History S2'!C:C,'OB History S2'!B:B,A50)</f>
        <v>10.833333333333334</v>
      </c>
      <c r="J50" s="35">
        <f t="array" ref="J50">MAX(IF('OB History S2'!B:B=A50, 'OB History S2'!C:C))</f>
        <v>20</v>
      </c>
      <c r="K50" s="34">
        <f>COUNTIFS('OB History S2'!B:B,A50,'OB History S2'!D:D, 1)</f>
        <v>4</v>
      </c>
      <c r="L50" s="2">
        <f>COUNTIFS('OB History S2'!B:B,A50,'OB History S2'!D:D, 0)</f>
        <v>2</v>
      </c>
      <c r="M50" s="88">
        <f>LOOKUP(2, 1/('OB History S2'!$B:$B=A50), 'OB History S2'!$AD:$AD)</f>
        <v>0.66666666666666663</v>
      </c>
      <c r="N50" s="34">
        <f>SUMIFS('OB History S2'!F:F,'OB History S2'!B:B,A50)</f>
        <v>15</v>
      </c>
      <c r="O50" s="2">
        <f>SUMIFS('OB History S2'!E:E,'OB History S2'!B:B,A50)-N50</f>
        <v>8</v>
      </c>
      <c r="P50" s="88">
        <f>LOOKUP(2, 1/('OB History S2'!$B:$B=A50), 'OB History S2'!$AB:$AB)</f>
        <v>0.69166666666666676</v>
      </c>
      <c r="Q50" s="34">
        <f>SUMIFS('OB History S2'!H:H,'OB History S2'!B:B,A50)</f>
        <v>57</v>
      </c>
      <c r="R50" s="2">
        <f>SUMIFS('OB History S2'!G:G,'OB History S2'!B:B,A50)-Q50</f>
        <v>38</v>
      </c>
      <c r="S50" s="88">
        <f>LOOKUP(2, 1/('OB History S2'!$B:$B=A50), 'OB History S2'!$AC:$AC)</f>
        <v>0.61666666666666659</v>
      </c>
      <c r="T50" s="2">
        <f>COUNTIFS('OB History S2'!$B:$B,$A$50,'OB History S2'!K:K, 1)</f>
        <v>1</v>
      </c>
      <c r="U50" s="2">
        <f>COUNTIFS('OB History S2'!$B:$B,$A$50,'OB History S2'!L:L, 1)</f>
        <v>1</v>
      </c>
      <c r="V50" s="2">
        <f>COUNTIFS('OB History S2'!$B:$B,$A$50,'OB History S2'!M:M, 1)</f>
        <v>0</v>
      </c>
      <c r="W50" s="2">
        <f>COUNTIFS('OB History S2'!$B:$B,$A$50,'OB History S2'!N:N, 1)</f>
        <v>2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1</v>
      </c>
      <c r="AA50" s="2">
        <f>COUNTIFS('OB History S2'!$B:$B,$A$50,'OB History S2'!R:R, 1)</f>
        <v>1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1</v>
      </c>
      <c r="AE50" s="2">
        <f>COUNTIFS('OB History S2'!$B:$B,$A$50,'OB History S2'!V:V, 1)</f>
        <v>0</v>
      </c>
      <c r="AF50" s="2">
        <f>COUNTIFS('OB History S2'!$B:$B,$A$50,'OB History S2'!W:W, 1)</f>
        <v>0</v>
      </c>
      <c r="AG50" s="2">
        <f>COUNTIFS('OB History S2'!$B:$B,$A$50,'OB History S2'!X:X, 1)</f>
        <v>4</v>
      </c>
      <c r="AH50" s="2">
        <f>COUNTIFS('OB History S2'!$B:$B,$A$50,'OB History S2'!Y:Y, 1)</f>
        <v>2</v>
      </c>
      <c r="AI50" s="2">
        <f>COUNTIFS('OB History S2'!$B:$B,$A$50,'OB History S2'!Z:Z, 1)</f>
        <v>2</v>
      </c>
    </row>
  </sheetData>
  <autoFilter ref="A1:AI49" xr:uid="{EEC03B8F-669F-4FC0-BA62-50F3D395660C}">
    <sortState xmlns:xlrd2="http://schemas.microsoft.com/office/spreadsheetml/2017/richdata2" ref="A2:AI50">
      <sortCondition ref="A1:A49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54"/>
  <sheetViews>
    <sheetView workbookViewId="0">
      <pane ySplit="1" topLeftCell="A525" activePane="bottomLeft" state="frozen"/>
      <selection pane="bottomLeft" activeCell="A543" sqref="A543:Z5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1"/>
  <sheetViews>
    <sheetView workbookViewId="0">
      <pane xSplit="1" ySplit="1" topLeftCell="T29" activePane="bottomRight" state="frozen"/>
      <selection pane="topRight" activeCell="B1" sqref="B1"/>
      <selection pane="bottomLeft" activeCell="A2" sqref="A2"/>
      <selection pane="bottomRight" activeCell="AH11" sqref="AH1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History'!$AK:$AK)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History'!$AI:$AI)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History'!$AJ:$AJ)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3</v>
      </c>
      <c r="AM2" s="2">
        <f>COUNTIFS('BA History'!$B:$B,$A$2,'BA History'!AF:AF, 1)</f>
        <v>0</v>
      </c>
      <c r="AN2" s="2">
        <f>COUNTIFS('BA History'!$B:$B,$A$2,'BA History'!AG:AG,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142</v>
      </c>
      <c r="G3" s="66">
        <f>AVERAGEIFS('BA History'!C:C,'BA History'!B:B,A3)</f>
        <v>14.2</v>
      </c>
      <c r="H3" s="35">
        <f t="array" ref="H3">MAX(IF('BA History'!B:B=A3, 'BA History'!C:C))</f>
        <v>27</v>
      </c>
      <c r="I3" s="34">
        <f>COUNTIFS('BA History'!B:B,A3,'BA History'!D:D, 1)</f>
        <v>5</v>
      </c>
      <c r="J3" s="2">
        <f>COUNTIFS('BA History'!B:B,A3,'BA History'!D:D, 0)</f>
        <v>5</v>
      </c>
      <c r="K3" s="75">
        <f>LOOKUP(2, 1/('BA History'!$B:$B=A3), 'BA History'!$AK:$AK)</f>
        <v>0.5</v>
      </c>
      <c r="L3" s="34">
        <f>SUMIFS('BA History'!F:F,'BA History'!B:B,A3)</f>
        <v>23</v>
      </c>
      <c r="M3" s="2">
        <f>SUMIFS('BA History'!E:E,'BA History'!B:B,A3)-L3</f>
        <v>19</v>
      </c>
      <c r="N3" s="75">
        <f>LOOKUP(2, 1/('BA History'!$B:$B=A3), 'BA History'!$AI:$AI)</f>
        <v>0.55999999999999994</v>
      </c>
      <c r="O3" s="34">
        <f>SUMIFS('BA History'!H:H,'BA History'!B:B,A3)</f>
        <v>91</v>
      </c>
      <c r="P3" s="2">
        <f>SUMIFS('BA History'!G:G,'BA History'!B:B,A3)-O3</f>
        <v>86</v>
      </c>
      <c r="Q3" s="89">
        <f>LOOKUP(2, 1/('BA History'!$B:$B=A3), 'BA History'!$AJ:$AJ)</f>
        <v>0.504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3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3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2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2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392</v>
      </c>
      <c r="G5" s="66">
        <f>AVERAGEIFS('BA History'!C:C,'BA History'!B:B,A5)</f>
        <v>12.64516129032258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16</v>
      </c>
      <c r="K5" s="75">
        <f>LOOKUP(2, 1/('BA History'!$B:$B=A5), 'BA History'!$AK:$AK)</f>
        <v>0.4838709677419355</v>
      </c>
      <c r="L5" s="34">
        <f>SUMIFS('BA History'!F:F,'BA History'!B:B,A5)</f>
        <v>60</v>
      </c>
      <c r="M5" s="2">
        <f>SUMIFS('BA History'!E:E,'BA History'!B:B,A5)-L5</f>
        <v>67</v>
      </c>
      <c r="N5" s="75">
        <f>LOOKUP(2, 1/('BA History'!$B:$B=A5), 'BA History'!$AI:$AI)</f>
        <v>0.44838709677419358</v>
      </c>
      <c r="O5" s="34">
        <f>SUMIFS('BA History'!H:H,'BA History'!B:B,A5)</f>
        <v>254</v>
      </c>
      <c r="P5" s="2">
        <f>SUMIFS('BA History'!G:G,'BA History'!B:B,A5)-O5</f>
        <v>273</v>
      </c>
      <c r="Q5" s="89">
        <f>LOOKUP(2, 1/('BA History'!$B:$B=A5), 'BA History'!$AJ:$AJ)</f>
        <v>0.47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2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2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440</v>
      </c>
      <c r="G7" s="66">
        <f>AVERAGEIFS('BA History'!C:C,'BA History'!B:B,A7)</f>
        <v>10.476190476190476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24</v>
      </c>
      <c r="K7" s="75">
        <f>LOOKUP(2, 1/('BA History'!$B:$B=A7), 'BA History'!$AK:$AK)</f>
        <v>0.42857142857142855</v>
      </c>
      <c r="L7" s="34">
        <f>SUMIFS('BA History'!F:F,'BA History'!B:B,A7)</f>
        <v>81</v>
      </c>
      <c r="M7" s="2">
        <f>SUMIFS('BA History'!E:E,'BA History'!B:B,A7)-L7</f>
        <v>91</v>
      </c>
      <c r="N7" s="75">
        <f>LOOKUP(2, 1/('BA History'!$B:$B=A7), 'BA History'!$AI:$AI)</f>
        <v>0.46023809523809528</v>
      </c>
      <c r="O7" s="34">
        <f>SUMIFS('BA History'!H:H,'BA History'!B:B,A7)</f>
        <v>348</v>
      </c>
      <c r="P7" s="2">
        <f>SUMIFS('BA History'!G:G,'BA History'!B:B,A7)-O7</f>
        <v>365</v>
      </c>
      <c r="Q7" s="89">
        <f>LOOKUP(2, 1/('BA History'!$B:$B=A7), 'BA History'!$AJ:$AJ)</f>
        <v>0.48357142857142854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869</v>
      </c>
      <c r="G9" s="66">
        <f>AVERAGEIFS('BA History'!C:C,'BA History'!B:B,A9)</f>
        <v>17.73469387755102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26</v>
      </c>
      <c r="K9" s="75">
        <f>LOOKUP(2, 1/('BA History'!$B:$B=A9), 'BA History'!$AK:$AK)</f>
        <v>0.46938775510204084</v>
      </c>
      <c r="L9" s="34">
        <f>SUMIFS('BA History'!F:F,'BA History'!B:B,A9)</f>
        <v>92</v>
      </c>
      <c r="M9" s="2">
        <f>SUMIFS('BA History'!E:E,'BA History'!B:B,A9)-L9</f>
        <v>105</v>
      </c>
      <c r="N9" s="75">
        <f>LOOKUP(2, 1/('BA History'!$B:$B=A9), 'BA History'!$AI:$AI)</f>
        <v>0.4612244897959184</v>
      </c>
      <c r="O9" s="34">
        <f>SUMIFS('BA History'!H:H,'BA History'!B:B,A9)</f>
        <v>380</v>
      </c>
      <c r="P9" s="2">
        <f>SUMIFS('BA History'!G:G,'BA History'!B:B,A9)-O9</f>
        <v>434</v>
      </c>
      <c r="Q9" s="89">
        <f>LOOKUP(2, 1/('BA History'!$B:$B=A9), 'BA History'!$AJ:$AJ)</f>
        <v>0.45816326530612228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3</v>
      </c>
      <c r="AJ9" s="2">
        <f>COUNTIFS('BA History'!$B:$B,$A$9,'BA History'!AC:AC, 1)</f>
        <v>12</v>
      </c>
      <c r="AK9" s="2">
        <f>COUNTIFS('BA History'!$B:$B,$A$9,'BA History'!AD:AD, 1)</f>
        <v>4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59</v>
      </c>
      <c r="G10" s="66">
        <f>AVERAGEIFS('BA History'!C:C,'BA History'!B:B,A10)</f>
        <v>14.75</v>
      </c>
      <c r="H10" s="35">
        <f t="array" ref="H10">MAX(IF('BA History'!B:B=A10, 'BA History'!C:C))</f>
        <v>21</v>
      </c>
      <c r="I10" s="34">
        <f>COUNTIFS('BA History'!B:B,A10,'BA History'!D:D, 1)</f>
        <v>2</v>
      </c>
      <c r="J10" s="2">
        <f>COUNTIFS('BA History'!B:B,A10,'BA History'!D:D, 0)</f>
        <v>2</v>
      </c>
      <c r="K10" s="75">
        <f>LOOKUP(2, 1/('BA History'!$B:$B=A10), 'BA History'!$AK:$AK)</f>
        <v>0.5</v>
      </c>
      <c r="L10" s="34">
        <f>SUMIFS('BA History'!F:F,'BA History'!B:B,A10)</f>
        <v>8</v>
      </c>
      <c r="M10" s="2">
        <f>SUMIFS('BA History'!E:E,'BA History'!B:B,A10)-L10</f>
        <v>7</v>
      </c>
      <c r="N10" s="75">
        <f>LOOKUP(2, 1/('BA History'!$B:$B=A10), 'BA History'!$AI:$AI)</f>
        <v>0.53749999999999998</v>
      </c>
      <c r="O10" s="34">
        <f>SUMIFS('BA History'!H:H,'BA History'!B:B,A10)</f>
        <v>30</v>
      </c>
      <c r="P10" s="2">
        <f>SUMIFS('BA History'!G:G,'BA History'!B:B,A10)-O10</f>
        <v>28</v>
      </c>
      <c r="Q10" s="89">
        <f>LOOKUP(2, 1/('BA History'!$B:$B=A10), 'BA History'!$AJ:$AJ)</f>
        <v>0.53249999999999997</v>
      </c>
      <c r="R10" s="2">
        <f>COUNTIFS('BA History'!$B:$B,$A$10,'BA History'!K:K, 1)</f>
        <v>1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1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1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1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109</v>
      </c>
      <c r="G13" s="66">
        <f>AVERAGEIFS('BA History'!C:C,'BA History'!B:B,A13)</f>
        <v>13.625</v>
      </c>
      <c r="H13" s="35">
        <f t="array" ref="H13">MAX(IF('BA History'!B:B=A13, 'BA History'!C:C))</f>
        <v>23</v>
      </c>
      <c r="I13" s="34">
        <f>COUNTIFS('BA History'!B:B,A13,'BA History'!D:D, 1)</f>
        <v>3</v>
      </c>
      <c r="J13" s="2">
        <f>COUNTIFS('BA History'!B:B,A13,'BA History'!D:D, 0)</f>
        <v>5</v>
      </c>
      <c r="K13" s="75">
        <f>LOOKUP(2, 1/('BA History'!$B:$B=A13), 'BA History'!$AK:$AK)</f>
        <v>0.375</v>
      </c>
      <c r="L13" s="34">
        <f>SUMIFS('BA History'!F:F,'BA History'!B:B,A13)</f>
        <v>16</v>
      </c>
      <c r="M13" s="2">
        <f>SUMIFS('BA History'!E:E,'BA History'!B:B,A13)-L13</f>
        <v>19</v>
      </c>
      <c r="N13" s="75">
        <f>LOOKUP(2, 1/('BA History'!$B:$B=A13), 'BA History'!$AI:$AI)</f>
        <v>0.45624999999999999</v>
      </c>
      <c r="O13" s="34">
        <f>SUMIFS('BA History'!H:H,'BA History'!B:B,A13)</f>
        <v>66</v>
      </c>
      <c r="P13" s="2">
        <f>SUMIFS('BA History'!G:G,'BA History'!B:B,A13)-O13</f>
        <v>71</v>
      </c>
      <c r="Q13" s="89">
        <f>LOOKUP(2, 1/('BA History'!$B:$B=A13), 'BA History'!$AJ:$AJ)</f>
        <v>0.48374999999999996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0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1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70</v>
      </c>
      <c r="G14" s="66">
        <f>AVERAGEIFS('BA History'!C:C,'BA History'!B:B,A14)</f>
        <v>8.75</v>
      </c>
      <c r="H14" s="35">
        <f t="array" ref="H14">MAX(IF('BA History'!B:B=A14, 'BA History'!C:C))</f>
        <v>18</v>
      </c>
      <c r="I14" s="34">
        <f>COUNTIFS('BA History'!B:B,A14,'BA History'!D:D, 1)</f>
        <v>1</v>
      </c>
      <c r="J14" s="2">
        <f>COUNTIFS('BA History'!B:B,A14,'BA History'!D:D, 0)</f>
        <v>7</v>
      </c>
      <c r="K14" s="75">
        <f>LOOKUP(2, 1/('BA History'!$B:$B=A14), 'BA History'!$AK:$AK)</f>
        <v>0.125</v>
      </c>
      <c r="L14" s="34">
        <f>SUMIFS('BA History'!F:F,'BA History'!B:B,A14)</f>
        <v>6</v>
      </c>
      <c r="M14" s="2">
        <f>SUMIFS('BA History'!E:E,'BA History'!B:B,A14)-L14</f>
        <v>21</v>
      </c>
      <c r="N14" s="75">
        <f>LOOKUP(2, 1/('BA History'!$B:$B=A14), 'BA History'!$AI:$AI)</f>
        <v>0.21875</v>
      </c>
      <c r="O14" s="34">
        <f>SUMIFS('BA History'!H:H,'BA History'!B:B,A14)</f>
        <v>40</v>
      </c>
      <c r="P14" s="2">
        <f>SUMIFS('BA History'!G:G,'BA History'!B:B,A14)-O14</f>
        <v>71</v>
      </c>
      <c r="Q14" s="89">
        <f>LOOKUP(2, 1/('BA History'!$B:$B=A14), 'BA History'!$AJ:$AJ)</f>
        <v>0.33875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1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79</v>
      </c>
      <c r="G17" s="66">
        <f>AVERAGEIFS('BA History'!C:C,'BA History'!B:B,A17)</f>
        <v>11.285714285714286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History'!$AK:$AK)</f>
        <v>0.42857142857142855</v>
      </c>
      <c r="L17" s="34">
        <f>SUMIFS('BA History'!F:F,'BA History'!B:B,A17)</f>
        <v>14</v>
      </c>
      <c r="M17" s="2">
        <f>SUMIFS('BA History'!E:E,'BA History'!B:B,A17)-L17</f>
        <v>16</v>
      </c>
      <c r="N17" s="75">
        <f>LOOKUP(2, 1/('BA History'!$B:$B=A17), 'BA History'!$AI:$AI)</f>
        <v>0.43571428571428578</v>
      </c>
      <c r="O17" s="34">
        <f>SUMIFS('BA History'!H:H,'BA History'!B:B,A17)</f>
        <v>61</v>
      </c>
      <c r="P17" s="2">
        <f>SUMIFS('BA History'!G:G,'BA History'!B:B,A17)-O17</f>
        <v>61</v>
      </c>
      <c r="Q17" s="89">
        <f>LOOKUP(2, 1/('BA History'!$B:$B=A17), 'BA History'!$AJ:$AJ)</f>
        <v>0.48571428571428571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791</v>
      </c>
      <c r="G20" s="66">
        <f>AVERAGEIFS('BA History'!C:C,'BA History'!B:B,A20)</f>
        <v>17.977272727272727</v>
      </c>
      <c r="H20" s="35">
        <f t="array" ref="H20">MAX(IF('BA History'!B:B=A20, 'BA History'!C:C))</f>
        <v>31</v>
      </c>
      <c r="I20" s="34">
        <f>COUNTIFS('BA History'!B:B,A20,'BA History'!D:D, 1)</f>
        <v>22</v>
      </c>
      <c r="J20" s="2">
        <f>COUNTIFS('BA History'!B:B,A20,'BA History'!D:D, 0)</f>
        <v>22</v>
      </c>
      <c r="K20" s="75">
        <f>LOOKUP(2, 1/('BA History'!$B:$B=A20), 'BA History'!$AK:$AK)</f>
        <v>0.5</v>
      </c>
      <c r="L20" s="34">
        <f>SUMIFS('BA History'!F:F,'BA History'!B:B,A20)</f>
        <v>88</v>
      </c>
      <c r="M20" s="2">
        <f>SUMIFS('BA History'!E:E,'BA History'!B:B,A20)-L20</f>
        <v>89</v>
      </c>
      <c r="N20" s="75">
        <f>LOOKUP(2, 1/('BA History'!$B:$B=A20), 'BA History'!$AI:$AI)</f>
        <v>0.49954545454545463</v>
      </c>
      <c r="O20" s="34">
        <f>SUMIFS('BA History'!H:H,'BA History'!B:B,A20)</f>
        <v>374</v>
      </c>
      <c r="P20" s="2">
        <f>SUMIFS('BA History'!G:G,'BA History'!B:B,A20)-O20</f>
        <v>370</v>
      </c>
      <c r="Q20" s="89">
        <f>LOOKUP(2, 1/('BA History'!$B:$B=A20), 'BA History'!$AJ:$AJ)</f>
        <v>0.51136363636363624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5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2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10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12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3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803</v>
      </c>
      <c r="G22" s="66">
        <f>AVERAGEIFS('BA History'!C:C,'BA History'!B:B,A22)</f>
        <v>16.729166666666668</v>
      </c>
      <c r="H22" s="35">
        <f t="array" ref="H22">MAX(IF('BA History'!B:B=A22, 'BA History'!C:C))</f>
        <v>36</v>
      </c>
      <c r="I22" s="34">
        <f>COUNTIFS('BA History'!B:B,A22,'BA History'!D:D, 1)</f>
        <v>29</v>
      </c>
      <c r="J22" s="2">
        <f>COUNTIFS('BA History'!B:B,A22,'BA History'!D:D, 0)</f>
        <v>19</v>
      </c>
      <c r="K22" s="75">
        <f>LOOKUP(2, 1/('BA History'!$B:$B=A22), 'BA History'!$AK:$AK)</f>
        <v>0.60416666666666663</v>
      </c>
      <c r="L22" s="34">
        <f>SUMIFS('BA History'!F:F,'BA History'!B:B,A22)</f>
        <v>103</v>
      </c>
      <c r="M22" s="2">
        <f>SUMIFS('BA History'!E:E,'BA History'!B:B,A22)-L22</f>
        <v>90</v>
      </c>
      <c r="N22" s="75">
        <f>LOOKUP(2, 1/('BA History'!$B:$B=A22), 'BA History'!$AI:$AI)</f>
        <v>0.52812499999999996</v>
      </c>
      <c r="O22" s="34">
        <f>SUMIFS('BA History'!H:H,'BA History'!B:B,A22)</f>
        <v>419</v>
      </c>
      <c r="P22" s="2">
        <f>SUMIFS('BA History'!G:G,'BA History'!B:B,A22)-O22</f>
        <v>384</v>
      </c>
      <c r="Q22" s="89">
        <f>LOOKUP(2, 1/('BA History'!$B:$B=A22), 'BA History'!$AJ:$AJ)</f>
        <v>0.5279166666666667</v>
      </c>
      <c r="R22" s="2">
        <f>COUNTIFS('BA History'!$B:$B,$A$22,'BA History'!K:K, 1)</f>
        <v>5</v>
      </c>
      <c r="S22" s="2">
        <f>COUNTIFS('BA History'!$B:$B,$A$22,'BA History'!L:L, 1)</f>
        <v>4</v>
      </c>
      <c r="T22" s="2">
        <f>COUNTIFS('BA History'!$B:$B,$A$22,'BA History'!M:M, 1)</f>
        <v>11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4</v>
      </c>
      <c r="AJ22" s="2">
        <f>COUNTIFS('BA History'!$B:$B,$A$22,'BA History'!AC:AC, 1)</f>
        <v>11</v>
      </c>
      <c r="AK22" s="2">
        <f>COUNTIFS('BA History'!$B:$B,$A$22,'BA History'!AD:AD, 1)</f>
        <v>6</v>
      </c>
      <c r="AL22" s="2">
        <f>COUNTIFS('BA History'!$B:$B,$A$22,'BA History'!AE:AE, 1)</f>
        <v>7</v>
      </c>
      <c r="AM22" s="2">
        <f>COUNTIFS('BA History'!$B:$B,$A$22,'BA History'!AF:AF, 1)</f>
        <v>1</v>
      </c>
      <c r="AN22" s="2">
        <f>COUNTIFS('BA History'!$B:$B,$A$22,'BA History'!AG:AG, 1)</f>
        <v>9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1090</v>
      </c>
      <c r="G24" s="66">
        <f>AVERAGEIFS('BA History'!C:C,'BA History'!B:B,A24)</f>
        <v>27.25</v>
      </c>
      <c r="H24" s="35">
        <f t="array" ref="H24">MAX(IF('BA History'!B:B=A24, 'BA History'!C:C))</f>
        <v>50</v>
      </c>
      <c r="I24" s="34">
        <f>COUNTIFS('BA History'!B:B,A24,'BA History'!D:D, 1)</f>
        <v>21</v>
      </c>
      <c r="J24" s="2">
        <f>COUNTIFS('BA History'!B:B,A24,'BA History'!D:D, 0)</f>
        <v>19</v>
      </c>
      <c r="K24" s="75">
        <f>LOOKUP(2, 1/('BA History'!$B:$B=A24), 'BA History'!$AK:$AK)</f>
        <v>0.52500000000000002</v>
      </c>
      <c r="L24" s="34">
        <f>SUMIFS('BA History'!F:F,'BA History'!B:B,A24)</f>
        <v>81</v>
      </c>
      <c r="M24" s="2">
        <f>SUMIFS('BA History'!E:E,'BA History'!B:B,A24)-L24</f>
        <v>79</v>
      </c>
      <c r="N24" s="75">
        <f>LOOKUP(2, 1/('BA History'!$B:$B=A24), 'BA History'!$AI:$AI)</f>
        <v>0.50250000000000006</v>
      </c>
      <c r="O24" s="34">
        <f>SUMIFS('BA History'!H:H,'BA History'!B:B,A24)</f>
        <v>330</v>
      </c>
      <c r="P24" s="2">
        <f>SUMIFS('BA History'!G:G,'BA History'!B:B,A24)-O24</f>
        <v>330</v>
      </c>
      <c r="Q24" s="89">
        <f>LOOKUP(2, 1/('BA History'!$B:$B=A24), 'BA History'!$AJ:$AJ)</f>
        <v>0.50225000000000009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2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7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7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392</v>
      </c>
      <c r="G26" s="66">
        <f>AVERAGEIFS('BA History'!C:C,'BA History'!B:B,A26)</f>
        <v>17.818181818181817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8</v>
      </c>
      <c r="K26" s="75">
        <f>LOOKUP(2, 1/('BA History'!$B:$B=A26), 'BA History'!$AK:$AK)</f>
        <v>0.63636363636363635</v>
      </c>
      <c r="L26" s="34">
        <f>SUMIFS('BA History'!F:F,'BA History'!B:B,A26)</f>
        <v>53</v>
      </c>
      <c r="M26" s="2">
        <f>SUMIFS('BA History'!E:E,'BA History'!B:B,A26)-L26</f>
        <v>36</v>
      </c>
      <c r="N26" s="75">
        <f>LOOKUP(2, 1/('BA History'!$B:$B=A26), 'BA History'!$AI:$AI)</f>
        <v>0.61590909090909085</v>
      </c>
      <c r="O26" s="34">
        <f>SUMIFS('BA History'!H:H,'BA History'!B:B,A26)</f>
        <v>201</v>
      </c>
      <c r="P26" s="2">
        <f>SUMIFS('BA History'!G:G,'BA History'!B:B,A26)-O26</f>
        <v>156</v>
      </c>
      <c r="Q26" s="89">
        <f>LOOKUP(2, 1/('BA History'!$B:$B=A26), 'BA History'!$AJ:$AJ)</f>
        <v>0.5818181818181819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6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3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451</v>
      </c>
      <c r="G29" s="66">
        <f>AVERAGEIFS('BA History'!C:C,'BA History'!B:B,A29)</f>
        <v>15.033333333333333</v>
      </c>
      <c r="H29" s="35">
        <f t="array" ref="H29">MAX(IF('BA History'!B:B=A29, 'BA History'!C:C))</f>
        <v>36</v>
      </c>
      <c r="I29" s="34">
        <f>COUNTIFS('BA History'!B:B,A29,'BA History'!D:D, 1)</f>
        <v>12</v>
      </c>
      <c r="J29" s="2">
        <f>COUNTIFS('BA History'!B:B,A29,'BA History'!D:D, 0)</f>
        <v>18</v>
      </c>
      <c r="K29" s="75">
        <f>LOOKUP(2, 1/('BA History'!$B:$B=A29), 'BA History'!$AK:$AK)</f>
        <v>0.4</v>
      </c>
      <c r="L29" s="34">
        <f>SUMIFS('BA History'!F:F,'BA History'!B:B,A29)</f>
        <v>54</v>
      </c>
      <c r="M29" s="2">
        <f>SUMIFS('BA History'!E:E,'BA History'!B:B,A29)-L29</f>
        <v>60</v>
      </c>
      <c r="N29" s="75">
        <f>LOOKUP(2, 1/('BA History'!$B:$B=A29), 'BA History'!$AI:$AI)</f>
        <v>0.48666666666666669</v>
      </c>
      <c r="O29" s="34">
        <f>SUMIFS('BA History'!H:H,'BA History'!B:B,A29)</f>
        <v>227</v>
      </c>
      <c r="P29" s="2">
        <f>SUMIFS('BA History'!G:G,'BA History'!B:B,A29)-O29</f>
        <v>240</v>
      </c>
      <c r="Q29" s="89">
        <f>LOOKUP(2, 1/('BA History'!$B:$B=A29), 'BA History'!$AJ:$AJ)</f>
        <v>0.49166666666666675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1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10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9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2</v>
      </c>
      <c r="G33" s="66">
        <f>AVERAGEIFS('BA History'!C:C,'BA History'!B:B,A33)</f>
        <v>2</v>
      </c>
      <c r="H33" s="35">
        <f t="array" ref="H33">MAX(IF('BA History'!B:B=A33, 'BA History'!C:C))</f>
        <v>2</v>
      </c>
      <c r="I33" s="34">
        <f>COUNTIFS('BA History'!B:B,A33,'BA History'!D:D, 1)</f>
        <v>1</v>
      </c>
      <c r="J33" s="2">
        <f>COUNTIFS('BA History'!B:B,A33,'BA History'!D:D, 0)</f>
        <v>0</v>
      </c>
      <c r="K33" s="75">
        <f>LOOKUP(2, 1/('BA History'!$B:$B=A33), 'BA History'!$AK:$AK)</f>
        <v>1</v>
      </c>
      <c r="L33" s="34">
        <f>SUMIFS('BA History'!F:F,'BA History'!B:B,A33)</f>
        <v>3</v>
      </c>
      <c r="M33" s="2">
        <f>SUMIFS('BA History'!E:E,'BA History'!B:B,A33)-L33</f>
        <v>2</v>
      </c>
      <c r="N33" s="75">
        <f>LOOKUP(2, 1/('BA History'!$B:$B=A33), 'BA History'!$AI:$AI)</f>
        <v>0.6</v>
      </c>
      <c r="O33" s="34">
        <f>SUMIFS('BA History'!H:H,'BA History'!B:B,A33)</f>
        <v>10</v>
      </c>
      <c r="P33" s="2">
        <f>SUMIFS('BA History'!G:G,'BA History'!B:B,A33)-O33</f>
        <v>9</v>
      </c>
      <c r="Q33" s="89">
        <f>LOOKUP(2, 1/('BA History'!$B:$B=A33), 'BA History'!$AJ:$AJ)</f>
        <v>0.53</v>
      </c>
      <c r="R33" s="2">
        <f>COUNTIFS('BA History'!$B:$B,$A$33,'BA History'!K:K, 1)</f>
        <v>0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1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114</v>
      </c>
      <c r="G34" s="66">
        <f>AVERAGEIFS('BA History'!C:C,'BA History'!B:B,A34)</f>
        <v>9.5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6</v>
      </c>
      <c r="K34" s="75">
        <f>LOOKUP(2, 1/('BA History'!$B:$B=A34), 'BA History'!$AK:$AK)</f>
        <v>0.5</v>
      </c>
      <c r="L34" s="34">
        <f>SUMIFS('BA History'!F:F,'BA History'!B:B,A34)</f>
        <v>25</v>
      </c>
      <c r="M34" s="2">
        <f>SUMIFS('BA History'!E:E,'BA History'!B:B,A34)-L34</f>
        <v>24</v>
      </c>
      <c r="N34" s="75">
        <f>LOOKUP(2, 1/('BA History'!$B:$B=A34), 'BA History'!$AI:$AI)</f>
        <v>0.51249999999999996</v>
      </c>
      <c r="O34" s="34">
        <f>SUMIFS('BA History'!H:H,'BA History'!B:B,A34)</f>
        <v>102</v>
      </c>
      <c r="P34" s="2">
        <f>SUMIFS('BA History'!G:G,'BA History'!B:B,A34)-O34</f>
        <v>102</v>
      </c>
      <c r="Q34" s="89">
        <f>LOOKUP(2, 1/('BA History'!$B:$B=A34), 'BA History'!$AJ:$AJ)</f>
        <v>0.50583333333333325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1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295</v>
      </c>
      <c r="G38" s="66">
        <f>AVERAGEIFS('BA History'!C:C,'BA History'!B:B,A38)</f>
        <v>14.75</v>
      </c>
      <c r="H38" s="35">
        <f t="array" ref="H38">MAX(IF('BA History'!B:B=A38, 'BA History'!C:C))</f>
        <v>26</v>
      </c>
      <c r="I38" s="34">
        <f>COUNTIFS('BA History'!B:B,A38,'BA History'!D:D, 1)</f>
        <v>8</v>
      </c>
      <c r="J38" s="2">
        <f>COUNTIFS('BA History'!B:B,A38,'BA History'!D:D, 0)</f>
        <v>12</v>
      </c>
      <c r="K38" s="75">
        <f>LOOKUP(2, 1/('BA History'!$B:$B=A38), 'BA History'!$AK:$AK)</f>
        <v>0.4</v>
      </c>
      <c r="L38" s="34">
        <f>SUMIFS('BA History'!F:F,'BA History'!B:B,A38)</f>
        <v>36</v>
      </c>
      <c r="M38" s="2">
        <f>SUMIFS('BA History'!E:E,'BA History'!B:B,A38)-L38</f>
        <v>40</v>
      </c>
      <c r="N38" s="75">
        <f>LOOKUP(2, 1/('BA History'!$B:$B=A38), 'BA History'!$AI:$AI)</f>
        <v>0.48499999999999999</v>
      </c>
      <c r="O38" s="34">
        <f>SUMIFS('BA History'!H:H,'BA History'!B:B,A38)</f>
        <v>154</v>
      </c>
      <c r="P38" s="2">
        <f>SUMIFS('BA History'!G:G,'BA History'!B:B,A38)-O38</f>
        <v>171</v>
      </c>
      <c r="Q38" s="89">
        <f>LOOKUP(2, 1/('BA History'!$B:$B=A38), 'BA History'!$AJ:$AJ)</f>
        <v>0.48950000000000005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1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4</v>
      </c>
      <c r="AG38" s="2">
        <f>COUNTIFS('BA History'!$B:$B,$A$38,'BA History'!Z:Z, 1)</f>
        <v>5</v>
      </c>
      <c r="AH38" s="2">
        <f>COUNTIFS('BA History'!$B:$B,$A38,'BA History'!AA:AA, 1)</f>
        <v>0</v>
      </c>
      <c r="AI38" s="2">
        <f>COUNTIFS('BA History'!$B:$B,$A$38,'BA History'!AB:AB, 1)</f>
        <v>1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983</v>
      </c>
      <c r="G39" s="66">
        <f>AVERAGEIFS('BA History'!C:C,'BA History'!B:B,A39)</f>
        <v>22.34090909090909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22</v>
      </c>
      <c r="K39" s="75">
        <f>LOOKUP(2, 1/('BA History'!$B:$B=A39), 'BA History'!$AK:$AK)</f>
        <v>0.5</v>
      </c>
      <c r="L39" s="34">
        <f>SUMIFS('BA History'!F:F,'BA History'!B:B,A39)</f>
        <v>87</v>
      </c>
      <c r="M39" s="2">
        <f>SUMIFS('BA History'!E:E,'BA History'!B:B,A39)-L39</f>
        <v>84</v>
      </c>
      <c r="N39" s="75">
        <f>LOOKUP(2, 1/('BA History'!$B:$B=A39), 'BA History'!$AI:$AI)</f>
        <v>0.51090909090909087</v>
      </c>
      <c r="O39" s="34">
        <f>SUMIFS('BA History'!H:H,'BA History'!B:B,A39)</f>
        <v>371</v>
      </c>
      <c r="P39" s="2">
        <f>SUMIFS('BA History'!G:G,'BA History'!B:B,A39)-O39</f>
        <v>338</v>
      </c>
      <c r="Q39" s="89">
        <f>LOOKUP(2, 1/('BA History'!$B:$B=A39), 'BA History'!$AJ:$AJ)</f>
        <v>0.531590909090909</v>
      </c>
      <c r="R39" s="2">
        <f>COUNTIFS('BA History'!$B:$B,$A$39,'BA History'!K:K, 1)</f>
        <v>5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1</v>
      </c>
      <c r="AJ39" s="2">
        <f>COUNTIFS('BA History'!$B:$B,$A$39,'BA History'!AC:AC, 1)</f>
        <v>16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1422</v>
      </c>
      <c r="G40" s="66">
        <f>AVERAGEIFS('BA History'!C:C,'BA History'!B:B,A40)</f>
        <v>23.7</v>
      </c>
      <c r="H40" s="35">
        <f t="array" ref="H40">MAX(IF('BA History'!B:B=A40, 'BA History'!C:C))</f>
        <v>47</v>
      </c>
      <c r="I40" s="34">
        <f>COUNTIFS('BA History'!B:B,A40,'BA History'!D:D, 1)</f>
        <v>32</v>
      </c>
      <c r="J40" s="2">
        <f>COUNTIFS('BA History'!B:B,A40,'BA History'!D:D, 0)</f>
        <v>28</v>
      </c>
      <c r="K40" s="75">
        <f>LOOKUP(2, 1/('BA History'!$B:$B=A40), 'BA History'!$AK:$AK)</f>
        <v>0.53333333333333333</v>
      </c>
      <c r="L40" s="34">
        <f>SUMIFS('BA History'!F:F,'BA History'!B:B,A40)</f>
        <v>126</v>
      </c>
      <c r="M40" s="2">
        <f>SUMIFS('BA History'!E:E,'BA History'!B:B,A40)-L40</f>
        <v>115</v>
      </c>
      <c r="N40" s="75">
        <f>LOOKUP(2, 1/('BA History'!$B:$B=A40), 'BA History'!$AI:$AI)</f>
        <v>0.52366666666666672</v>
      </c>
      <c r="O40" s="34">
        <f>SUMIFS('BA History'!H:H,'BA History'!B:B,A40)</f>
        <v>504</v>
      </c>
      <c r="P40" s="2">
        <f>SUMIFS('BA History'!G:G,'BA History'!B:B,A40)-O40</f>
        <v>491</v>
      </c>
      <c r="Q40" s="89">
        <f>LOOKUP(2, 1/('BA History'!$B:$B=A40), 'BA History'!$AJ:$AJ)</f>
        <v>0.5073333333333333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9</v>
      </c>
      <c r="U40" s="2">
        <f>COUNTIFS('BA History'!$B:$B,$A$40,'BA History'!N:N, 1)</f>
        <v>10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9</v>
      </c>
      <c r="AG40" s="2">
        <f>COUNTIFS('BA History'!$B:$B,$A$40,'BA History'!Z:Z, 1)</f>
        <v>11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15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7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683</v>
      </c>
      <c r="G41" s="66">
        <f>AVERAGEIFS('BA History'!C:C,'BA History'!B:B,A41)</f>
        <v>19.514285714285716</v>
      </c>
      <c r="H41" s="35">
        <f t="array" ref="H41">MAX(IF('BA History'!B:B=A41, 'BA History'!C:C))</f>
        <v>37</v>
      </c>
      <c r="I41" s="34">
        <f>COUNTIFS('BA History'!B:B,A41,'BA History'!D:D, 1)</f>
        <v>22</v>
      </c>
      <c r="J41" s="2">
        <f>COUNTIFS('BA History'!B:B,A41,'BA History'!D:D, 0)</f>
        <v>13</v>
      </c>
      <c r="K41" s="75">
        <f>LOOKUP(2, 1/('BA History'!$B:$B=A41), 'BA History'!$AK:$AK)</f>
        <v>0.62857142857142856</v>
      </c>
      <c r="L41" s="34">
        <f>SUMIFS('BA History'!F:F,'BA History'!B:B,A41)</f>
        <v>77</v>
      </c>
      <c r="M41" s="2">
        <f>SUMIFS('BA History'!E:E,'BA History'!B:B,A41)-L41</f>
        <v>61</v>
      </c>
      <c r="N41" s="75">
        <f>LOOKUP(2, 1/('BA History'!$B:$B=A41), 'BA History'!$AI:$AI)</f>
        <v>0.5605714285714285</v>
      </c>
      <c r="O41" s="34">
        <f>SUMIFS('BA History'!H:H,'BA History'!B:B,A41)</f>
        <v>303</v>
      </c>
      <c r="P41" s="2">
        <f>SUMIFS('BA History'!G:G,'BA History'!B:B,A41)-O41</f>
        <v>276</v>
      </c>
      <c r="Q41" s="89">
        <f>LOOKUP(2, 1/('BA History'!$B:$B=A41), 'BA History'!$AJ:$AJ)</f>
        <v>0.5285714285714288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10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5</v>
      </c>
      <c r="AG41" s="2">
        <f>COUNTIFS('BA History'!$B:$B,$A$41,'BA History'!Z:Z, 1)</f>
        <v>6</v>
      </c>
      <c r="AH41" s="2">
        <f>COUNTIFS('BA History'!$B:$B,$A41,'BA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141</v>
      </c>
      <c r="B43" s="2" t="s">
        <v>79</v>
      </c>
      <c r="C43" s="2"/>
      <c r="D43" s="2"/>
      <c r="E43" s="2"/>
      <c r="F43" s="34">
        <f>SUMIFS('BA History'!C:C,'BA History'!B:B,A43)</f>
        <v>258</v>
      </c>
      <c r="G43" s="66">
        <f>AVERAGEIFS('BA History'!C:C,'BA History'!B:B,A43)</f>
        <v>14.333333333333334</v>
      </c>
      <c r="H43" s="35">
        <f t="array" ref="H43">MAX(IF('BA History'!B:B=A43, 'BA History'!C:C))</f>
        <v>25</v>
      </c>
      <c r="I43" s="34">
        <f>COUNTIFS('BA History'!B:B,A43,'BA History'!D:D, 1)</f>
        <v>11</v>
      </c>
      <c r="J43" s="2">
        <f>COUNTIFS('BA History'!B:B,A43,'BA History'!D:D, 0)</f>
        <v>7</v>
      </c>
      <c r="K43" s="75">
        <f>LOOKUP(2, 1/('BA History'!$B:$B=A43), 'BA History'!$AK:$AK)</f>
        <v>0.61111111111111116</v>
      </c>
      <c r="L43" s="34">
        <f>SUMIFS('BA History'!F:F,'BA History'!B:B,A43)</f>
        <v>36</v>
      </c>
      <c r="M43" s="2">
        <f>SUMIFS('BA History'!E:E,'BA History'!B:B,A43)-L43</f>
        <v>32</v>
      </c>
      <c r="N43" s="75">
        <f>LOOKUP(2, 1/('BA History'!$B:$B=A43), 'BA History'!$AI:$AI)</f>
        <v>0.51666666666666672</v>
      </c>
      <c r="O43" s="34">
        <f>SUMIFS('BA History'!H:H,'BA History'!B:B,A43)</f>
        <v>148</v>
      </c>
      <c r="P43" s="2">
        <f>SUMIFS('BA History'!G:G,'BA History'!B:B,A43)-O43</f>
        <v>136</v>
      </c>
      <c r="Q43" s="89">
        <f>LOOKUP(2, 1/('BA History'!$B:$B=A43), 'BA History'!$AJ:$AJ)</f>
        <v>0.52166666666666672</v>
      </c>
      <c r="R43" s="2">
        <f>COUNTIFS('BA History'!$B:$B,$A$43,'BA History'!K:K, 1)</f>
        <v>3</v>
      </c>
      <c r="S43" s="2">
        <f>COUNTIFS('BA History'!$B:$B,$A$43,'BA History'!L:L, 1)</f>
        <v>2</v>
      </c>
      <c r="T43" s="2">
        <f>COUNTIFS('BA History'!$B:$B,$A$43,'BA History'!M:M, 1)</f>
        <v>2</v>
      </c>
      <c r="U43" s="2">
        <f>COUNTIFS('BA History'!$B:$B,$A$43,'BA History'!N:N, 1)</f>
        <v>4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2</v>
      </c>
      <c r="Y43" s="2">
        <f>COUNTIFS('BA History'!$B:$B,$A$43,'BA History'!R:R, 1)</f>
        <v>1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2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1</v>
      </c>
      <c r="AG43" s="2">
        <f>COUNTIFS('BA History'!$B:$B,$A$43,'BA History'!Z:Z, 1)</f>
        <v>3</v>
      </c>
      <c r="AH43" s="2">
        <f>COUNTIFS('BA History'!$B:$B,$A43,'BA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6</v>
      </c>
      <c r="AK43" s="2">
        <f>COUNTIFS('BA History'!$B:$B,$A$43,'BA History'!AD:AD, 1)</f>
        <v>2</v>
      </c>
      <c r="AL43" s="2">
        <f>COUNTIFS('BA History'!$B:$B,$A$43,'BA History'!AE:AE, 1)</f>
        <v>4</v>
      </c>
      <c r="AM43" s="2">
        <f>COUNTIFS('BA History'!$B:$B,$A$43,'BA History'!AF:AF, 1)</f>
        <v>0</v>
      </c>
      <c r="AN43" s="2">
        <f>COUNTIFS('BA History'!$B:$B,$A$43,'BA History'!AG:AG, 1)</f>
        <v>2</v>
      </c>
    </row>
    <row r="44" spans="1:40" x14ac:dyDescent="0.25">
      <c r="A44" s="2" t="s">
        <v>153</v>
      </c>
      <c r="B44" s="2" t="s">
        <v>79</v>
      </c>
      <c r="C44" s="2"/>
      <c r="D44" s="2"/>
      <c r="E44" s="2"/>
      <c r="F44" s="34">
        <f>SUMIFS('BA History'!C:C,'BA History'!B:B,A44)</f>
        <v>57</v>
      </c>
      <c r="G44" s="66">
        <f>AVERAGEIFS('BA History'!C:C,'BA History'!B:B,A44)</f>
        <v>11.4</v>
      </c>
      <c r="H44" s="35">
        <f t="array" ref="H44">MAX(IF('BA History'!B:B=A44, 'BA History'!C:C))</f>
        <v>14</v>
      </c>
      <c r="I44" s="34">
        <f>COUNTIFS('BA History'!B:B,A44,'BA History'!D:D, 1)</f>
        <v>3</v>
      </c>
      <c r="J44" s="2">
        <f>COUNTIFS('BA History'!B:B,A44,'BA History'!D:D, 0)</f>
        <v>2</v>
      </c>
      <c r="K44" s="75">
        <f>LOOKUP(2, 1/('BA History'!$B:$B=A44), 'BA History'!$AK:$AK)</f>
        <v>0.6</v>
      </c>
      <c r="L44" s="34">
        <f>SUMIFS('BA History'!F:F,'BA History'!B:B,A44)</f>
        <v>10</v>
      </c>
      <c r="M44" s="2">
        <f>SUMIFS('BA History'!E:E,'BA History'!B:B,A44)-L44</f>
        <v>11</v>
      </c>
      <c r="N44" s="75">
        <f>LOOKUP(2, 1/('BA History'!$B:$B=A44), 'BA History'!$AI:$AI)</f>
        <v>0.44000000000000006</v>
      </c>
      <c r="O44" s="34">
        <f>SUMIFS('BA History'!H:H,'BA History'!B:B,A44)</f>
        <v>44</v>
      </c>
      <c r="P44" s="2">
        <f>SUMIFS('BA History'!G:G,'BA History'!B:B,A44)-O44</f>
        <v>46</v>
      </c>
      <c r="Q44" s="89">
        <f>LOOKUP(2, 1/('BA History'!$B:$B=A44), 'BA History'!$AJ:$AJ)</f>
        <v>0.44799999999999995</v>
      </c>
      <c r="R44" s="2">
        <f>COUNTIFS('BA History'!$B:$B,$A$44,'BA History'!K:K, 1)</f>
        <v>0</v>
      </c>
      <c r="S44" s="2">
        <f>COUNTIFS('BA History'!$B:$B,$A$44,'BA History'!L:L, 1)</f>
        <v>1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1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0</v>
      </c>
      <c r="AG44" s="2">
        <f>COUNTIFS('BA History'!$B:$B,$A$44,'BA History'!Z:Z, 1)</f>
        <v>2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3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  <c r="AN44" s="2">
        <f>COUNTIFS('BA History'!$B:$B,$A$44,'BA History'!AG:AG, 1)</f>
        <v>0</v>
      </c>
    </row>
    <row r="45" spans="1:40" x14ac:dyDescent="0.25">
      <c r="A45" s="2" t="s">
        <v>40</v>
      </c>
      <c r="B45" s="2" t="s">
        <v>79</v>
      </c>
      <c r="C45" s="2"/>
      <c r="D45" s="2"/>
      <c r="E45" s="2"/>
      <c r="F45" s="34">
        <f>SUMIFS('BA History'!C:C,'BA History'!B:B,A45)</f>
        <v>1220</v>
      </c>
      <c r="G45" s="66">
        <f>AVERAGEIFS('BA History'!C:C,'BA History'!B:B,A45)</f>
        <v>18.484848484848484</v>
      </c>
      <c r="H45" s="35">
        <f t="array" ref="H45">MAX(IF('BA History'!B:B=A45, 'BA History'!C:C))</f>
        <v>37</v>
      </c>
      <c r="I45" s="34">
        <f>COUNTIFS('BA History'!B:B,A45,'BA History'!D:D, 1)</f>
        <v>27</v>
      </c>
      <c r="J45" s="2">
        <f>COUNTIFS('BA History'!B:B,A45,'BA History'!D:D, 0)</f>
        <v>39</v>
      </c>
      <c r="K45" s="75">
        <f>LOOKUP(2, 1/('BA History'!$B:$B=A45), 'BA History'!$AK:$AK)</f>
        <v>0.40909090909090912</v>
      </c>
      <c r="L45" s="34">
        <f>SUMIFS('BA History'!F:F,'BA History'!B:B,A45)</f>
        <v>126</v>
      </c>
      <c r="M45" s="2">
        <f>SUMIFS('BA History'!E:E,'BA History'!B:B,A45)-L45</f>
        <v>144</v>
      </c>
      <c r="N45" s="75">
        <f>LOOKUP(2, 1/('BA History'!$B:$B=A45), 'BA History'!$AI:$AI)</f>
        <v>0.46666666666666651</v>
      </c>
      <c r="O45" s="34">
        <f>SUMIFS('BA History'!H:H,'BA History'!B:B,A45)</f>
        <v>536</v>
      </c>
      <c r="P45" s="2">
        <f>SUMIFS('BA History'!G:G,'BA History'!B:B,A45)-O45</f>
        <v>576</v>
      </c>
      <c r="Q45" s="89">
        <f>LOOKUP(2, 1/('BA History'!$B:$B=A45), 'BA History'!$AJ:$AJ)</f>
        <v>0.47772727272727278</v>
      </c>
      <c r="R45" s="2">
        <f>COUNTIFS('BA History'!$B:$B,$A$45,'BA History'!K:K, 1)</f>
        <v>5</v>
      </c>
      <c r="S45" s="2">
        <f>COUNTIFS('BA History'!$B:$B,$A$45,'BA History'!L:L, 1)</f>
        <v>10</v>
      </c>
      <c r="T45" s="2">
        <f>COUNTIFS('BA History'!$B:$B,$A$45,'BA History'!M:M, 1)</f>
        <v>14</v>
      </c>
      <c r="U45" s="2">
        <f>COUNTIFS('BA History'!$B:$B,$A$45,'BA History'!N:N, 1)</f>
        <v>15</v>
      </c>
      <c r="V45" s="2">
        <f>COUNTIFS('BA History'!$B:$B,$A$45,'BA History'!O:O, 1)</f>
        <v>4</v>
      </c>
      <c r="W45" s="2">
        <f>COUNTIFS('BA History'!$B:$B,$A$45,'BA History'!P:P, 1)</f>
        <v>1</v>
      </c>
      <c r="X45" s="2">
        <f>COUNTIFS('BA History'!$B:$B,$A$45,'BA History'!Q:Q, 1)</f>
        <v>4</v>
      </c>
      <c r="Y45" s="2">
        <f>COUNTIFS('BA History'!$B:$B,$A$45,'BA History'!R:R, 1)</f>
        <v>3</v>
      </c>
      <c r="Z45" s="2">
        <f>COUNTIFS('BA History'!$B:$B,$A$45,'BA History'!S:S, 1)</f>
        <v>2</v>
      </c>
      <c r="AA45" s="2">
        <f>COUNTIFS('BA History'!$B:$B,$A$45,'BA History'!T:T, 1)</f>
        <v>0</v>
      </c>
      <c r="AB45" s="2">
        <f>COUNTIFS('BA History'!$B:$B,$A$45,'BA History'!U:U, 1)</f>
        <v>4</v>
      </c>
      <c r="AC45" s="2">
        <f>COUNTIFS('BA History'!$B:$B,$A$45,'BA History'!V:V, 1)</f>
        <v>7</v>
      </c>
      <c r="AD45" s="2">
        <f>COUNTIFS('BA History'!$B:$B,$A$45,'BA History'!W:W, 1)</f>
        <v>2</v>
      </c>
      <c r="AE45" s="2">
        <f>COUNTIFS('BA History'!$B:$B,$A$45,'BA History'!X:X, 1)</f>
        <v>1</v>
      </c>
      <c r="AF45" s="2">
        <f>COUNTIFS('BA History'!$B:$B,$A$45,'BA History'!Y:Y, 1)</f>
        <v>6</v>
      </c>
      <c r="AG45" s="2">
        <f>COUNTIFS('BA History'!$B:$B,$A$45,'BA History'!Z:Z, 1)</f>
        <v>11</v>
      </c>
      <c r="AH45" s="2">
        <f>COUNTIFS('BA History'!$B:$B,$A45,'BA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6</v>
      </c>
      <c r="AK45" s="2">
        <f>COUNTIFS('BA History'!$B:$B,$A$45,'BA History'!AD:AD, 1)</f>
        <v>7</v>
      </c>
      <c r="AL45" s="2">
        <f>COUNTIFS('BA History'!$B:$B,$A$45,'BA History'!AE:AE, 1)</f>
        <v>16</v>
      </c>
      <c r="AM45" s="2">
        <f>COUNTIFS('BA History'!$B:$B,$A$45,'BA History'!AF:AF, 1)</f>
        <v>0</v>
      </c>
      <c r="AN45" s="2">
        <f>COUNTIFS('BA History'!$B:$B,$A$45,'BA History'!AG:AG, 1)</f>
        <v>7</v>
      </c>
    </row>
    <row r="46" spans="1:40" x14ac:dyDescent="0.25">
      <c r="A46" s="2" t="s">
        <v>166</v>
      </c>
      <c r="B46" s="2" t="s">
        <v>79</v>
      </c>
      <c r="C46" s="2">
        <v>1</v>
      </c>
      <c r="D46" s="2"/>
      <c r="E46" s="2"/>
      <c r="F46" s="34">
        <f>SUMIFS('BA History'!C:C,'BA History'!B:B,A46)</f>
        <v>40</v>
      </c>
      <c r="G46" s="66">
        <f>AVERAGEIFS('BA History'!C:C,'BA History'!B:B,A46)</f>
        <v>10</v>
      </c>
      <c r="H46" s="35">
        <f t="array" ref="H46">MAX(IF('BA History'!B:B=A46, 'BA History'!C:C))</f>
        <v>21</v>
      </c>
      <c r="I46" s="34">
        <f>COUNTIFS('BA History'!B:B,A46,'BA History'!D:D, 1)</f>
        <v>3</v>
      </c>
      <c r="J46" s="2">
        <f>COUNTIFS('BA History'!B:B,A46,'BA History'!D:D, 0)</f>
        <v>1</v>
      </c>
      <c r="K46" s="75">
        <f>LOOKUP(2, 1/('BA History'!$B:$B=A46), 'BA History'!$AK:$AK)</f>
        <v>0.75</v>
      </c>
      <c r="L46" s="34">
        <f>SUMIFS('BA History'!F:F,'BA History'!B:B,A46)</f>
        <v>9</v>
      </c>
      <c r="M46" s="2">
        <f>SUMIFS('BA History'!E:E,'BA History'!B:B,A46)-L46</f>
        <v>8</v>
      </c>
      <c r="N46" s="75">
        <f>LOOKUP(2, 1/('BA History'!$B:$B=A46), 'BA History'!$AI:$AI)</f>
        <v>0.48750000000000004</v>
      </c>
      <c r="O46" s="34">
        <f>SUMIFS('BA History'!H:H,'BA History'!B:B,A46)</f>
        <v>38</v>
      </c>
      <c r="P46" s="2">
        <f>SUMIFS('BA History'!G:G,'BA History'!B:B,A46)-O46</f>
        <v>35</v>
      </c>
      <c r="Q46" s="89">
        <f>LOOKUP(2, 1/('BA History'!$B:$B=A46), 'BA History'!$AJ:$AJ)</f>
        <v>0.49249999999999999</v>
      </c>
      <c r="R46" s="2">
        <f>COUNTIFS('BA History'!$B:$B,$A$46,'BA History'!K:K, 1)</f>
        <v>1</v>
      </c>
      <c r="S46" s="2">
        <f>COUNTIFS('BA History'!$B:$B,$A$46,'BA History'!L:L, 1)</f>
        <v>0</v>
      </c>
      <c r="T46" s="2">
        <f>COUNTIFS('BA History'!$B:$B,$A$46,'BA History'!M:M, 1)</f>
        <v>1</v>
      </c>
      <c r="U46" s="2">
        <f>COUNTIFS('BA History'!$B:$B,$A$46,'BA History'!N:N, 1)</f>
        <v>1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1</v>
      </c>
      <c r="AG46" s="2">
        <f>COUNTIFS('BA History'!$B:$B,$A$46,'BA History'!Z:Z, 1)</f>
        <v>2</v>
      </c>
      <c r="AH46" s="2">
        <f>COUNTIFS('BA History'!$B:$B,$A46,'BA History'!AA:AA, 1)</f>
        <v>0</v>
      </c>
      <c r="AI46" s="2">
        <f>COUNTIFS('BA History'!$B:$B,$A$46,'BA History'!AB:AB, 1)</f>
        <v>0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1</v>
      </c>
      <c r="AM46" s="2">
        <f>COUNTIFS('BA History'!$B:$B,$A$46,'BA History'!AF:AF, 1)</f>
        <v>0</v>
      </c>
      <c r="AN46" s="2">
        <f>COUNTIFS('BA History'!$B:$B,$A$46,'BA History'!AG:AG, 1)</f>
        <v>1</v>
      </c>
    </row>
    <row r="47" spans="1:40" x14ac:dyDescent="0.25">
      <c r="A47" s="2" t="s">
        <v>147</v>
      </c>
      <c r="B47" s="2" t="s">
        <v>79</v>
      </c>
      <c r="C47" s="2"/>
      <c r="D47" s="2"/>
      <c r="E47" s="2"/>
      <c r="F47" s="34">
        <f>SUMIFS('BA History'!C:C,'BA History'!B:B,A47)</f>
        <v>398</v>
      </c>
      <c r="G47" s="66">
        <f>AVERAGEIFS('BA History'!C:C,'BA History'!B:B,A47)</f>
        <v>12.838709677419354</v>
      </c>
      <c r="H47" s="35">
        <f t="array" ref="H47">MAX(IF('BA History'!B:B=A47, 'BA History'!C:C))</f>
        <v>33</v>
      </c>
      <c r="I47" s="34">
        <f>COUNTIFS('BA History'!B:B,A47,'BA History'!D:D, 1)</f>
        <v>16</v>
      </c>
      <c r="J47" s="2">
        <f>COUNTIFS('BA History'!B:B,A47,'BA History'!D:D, 0)</f>
        <v>15</v>
      </c>
      <c r="K47" s="75">
        <f>LOOKUP(2, 1/('BA History'!$B:$B=A47), 'BA History'!$AK:$AK)</f>
        <v>0.5161290322580645</v>
      </c>
      <c r="L47" s="34">
        <f>SUMIFS('BA History'!F:F,'BA History'!B:B,A47)</f>
        <v>66</v>
      </c>
      <c r="M47" s="2">
        <f>SUMIFS('BA History'!E:E,'BA History'!B:B,A47)-L47</f>
        <v>58</v>
      </c>
      <c r="N47" s="75">
        <f>LOOKUP(2, 1/('BA History'!$B:$B=A47), 'BA History'!$AI:$AI)</f>
        <v>0.55645161290322576</v>
      </c>
      <c r="O47" s="34">
        <f>SUMIFS('BA History'!H:H,'BA History'!B:B,A47)</f>
        <v>265</v>
      </c>
      <c r="P47" s="2">
        <f>SUMIFS('BA History'!G:G,'BA History'!B:B,A47)-O47</f>
        <v>248</v>
      </c>
      <c r="Q47" s="89">
        <f>LOOKUP(2, 1/('BA History'!$B:$B=A47), 'BA History'!$AJ:$AJ)</f>
        <v>0.53096774193548391</v>
      </c>
      <c r="R47" s="2">
        <f>COUNTIFS('BA History'!$B:$B,$A$47,'BA History'!K:K, 1)</f>
        <v>4</v>
      </c>
      <c r="S47" s="2">
        <f>COUNTIFS('BA History'!$B:$B,$A$47,'BA History'!L:L, 1)</f>
        <v>5</v>
      </c>
      <c r="T47" s="2">
        <f>COUNTIFS('BA History'!$B:$B,$A$47,'BA History'!M:M, 1)</f>
        <v>4</v>
      </c>
      <c r="U47" s="2">
        <f>COUNTIFS('BA History'!$B:$B,$A$47,'BA History'!N:N, 1)</f>
        <v>7</v>
      </c>
      <c r="V47" s="2">
        <f>COUNTIFS('BA History'!$B:$B,$A$47,'BA History'!O:O, 1)</f>
        <v>1</v>
      </c>
      <c r="W47" s="2">
        <f>COUNTIFS('BA History'!$B:$B,$A$47,'BA History'!P:P, 1)</f>
        <v>1</v>
      </c>
      <c r="X47" s="2">
        <f>COUNTIFS('BA History'!$B:$B,$A$47,'BA History'!Q:Q, 1)</f>
        <v>1</v>
      </c>
      <c r="Y47" s="2">
        <f>COUNTIFS('BA History'!$B:$B,$A$47,'BA History'!R:R, 1)</f>
        <v>2</v>
      </c>
      <c r="Z47" s="2">
        <f>COUNTIFS('BA History'!$B:$B,$A$47,'BA History'!S:S, 1)</f>
        <v>1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2</v>
      </c>
      <c r="AD47" s="2">
        <f>COUNTIFS('BA History'!$B:$B,$A$47,'BA History'!W:W, 1)</f>
        <v>1</v>
      </c>
      <c r="AE47" s="2">
        <f>COUNTIFS('BA History'!$B:$B,$A$47,'BA History'!X:X, 1)</f>
        <v>0</v>
      </c>
      <c r="AF47" s="2">
        <f>COUNTIFS('BA History'!$B:$B,$A$47,'BA History'!Y:Y, 1)</f>
        <v>6</v>
      </c>
      <c r="AG47" s="2">
        <f>COUNTIFS('BA History'!$B:$B,$A$47,'BA History'!Z:Z, 1)</f>
        <v>11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12</v>
      </c>
      <c r="AK47" s="2">
        <f>COUNTIFS('BA History'!$B:$B,$A$47,'BA History'!AD:AD, 1)</f>
        <v>0</v>
      </c>
      <c r="AL47" s="2">
        <f>COUNTIFS('BA History'!$B:$B,$A$47,'BA History'!AE:AE, 1)</f>
        <v>3</v>
      </c>
      <c r="AM47" s="2">
        <f>COUNTIFS('BA History'!$B:$B,$A$47,'BA History'!AF:AF, 1)</f>
        <v>0</v>
      </c>
      <c r="AN47" s="2">
        <f>COUNTIFS('BA History'!$B:$B,$A$47,'BA History'!AG:AG, 1)</f>
        <v>5</v>
      </c>
    </row>
    <row r="48" spans="1:40" x14ac:dyDescent="0.25">
      <c r="A48" s="2" t="s">
        <v>17</v>
      </c>
      <c r="B48" s="2" t="s">
        <v>79</v>
      </c>
      <c r="C48" s="2">
        <v>1</v>
      </c>
      <c r="D48" s="2">
        <v>1</v>
      </c>
      <c r="E48" s="2"/>
      <c r="F48" s="34">
        <f>SUMIFS('BA History'!C:C,'BA History'!B:B,A48)</f>
        <v>793</v>
      </c>
      <c r="G48" s="66">
        <f>AVERAGEIFS('BA History'!C:C,'BA History'!B:B,A48)</f>
        <v>19.824999999999999</v>
      </c>
      <c r="H48" s="35">
        <f t="array" ref="H48">MAX(IF('BA History'!B:B=A48, 'BA History'!C:C))</f>
        <v>32</v>
      </c>
      <c r="I48" s="34">
        <f>COUNTIFS('BA History'!B:B,A48,'BA History'!D:D, 1)</f>
        <v>23</v>
      </c>
      <c r="J48" s="2">
        <f>COUNTIFS('BA History'!B:B,A48,'BA History'!D:D, 0)</f>
        <v>17</v>
      </c>
      <c r="K48" s="75">
        <f>LOOKUP(2, 1/('BA History'!$B:$B=A48), 'BA History'!$AK:$AK)</f>
        <v>0.57499999999999996</v>
      </c>
      <c r="L48" s="34">
        <f>SUMIFS('BA History'!F:F,'BA History'!B:B,A48)</f>
        <v>86</v>
      </c>
      <c r="M48" s="2">
        <f>SUMIFS('BA History'!E:E,'BA History'!B:B,A48)-L48</f>
        <v>73</v>
      </c>
      <c r="N48" s="75">
        <f>LOOKUP(2, 1/('BA History'!$B:$B=A48), 'BA History'!$AI:$AI)</f>
        <v>0.54800000000000004</v>
      </c>
      <c r="O48" s="34">
        <f>SUMIFS('BA History'!H:H,'BA History'!B:B,A48)</f>
        <v>334</v>
      </c>
      <c r="P48" s="2">
        <f>SUMIFS('BA History'!G:G,'BA History'!B:B,A48)-O48</f>
        <v>323</v>
      </c>
      <c r="Q48" s="89">
        <f>LOOKUP(2, 1/('BA History'!$B:$B=A48), 'BA History'!$AJ:$AJ)</f>
        <v>0.50350000000000006</v>
      </c>
      <c r="R48" s="2">
        <f>COUNTIFS('BA History'!$B:$B,$A$48,'BA History'!K:K, 1)</f>
        <v>6</v>
      </c>
      <c r="S48" s="2">
        <f>COUNTIFS('BA History'!$B:$B,$A$48,'BA History'!L:L, 1)</f>
        <v>3</v>
      </c>
      <c r="T48" s="2">
        <f>COUNTIFS('BA History'!$B:$B,$A$48,'BA History'!M:M, 1)</f>
        <v>7</v>
      </c>
      <c r="U48" s="2">
        <f>COUNTIFS('BA History'!$B:$B,$A$48,'BA History'!N:N, 1)</f>
        <v>9</v>
      </c>
      <c r="V48" s="2">
        <f>COUNTIFS('BA History'!$B:$B,$A$48,'BA History'!O:O, 1)</f>
        <v>0</v>
      </c>
      <c r="W48" s="2">
        <f>COUNTIFS('BA History'!$B:$B,$A$48,'BA History'!P:P, 1)</f>
        <v>1</v>
      </c>
      <c r="X48" s="2">
        <f>COUNTIFS('BA History'!$B:$B,$A$48,'BA History'!Q:Q, 1)</f>
        <v>3</v>
      </c>
      <c r="Y48" s="2">
        <f>COUNTIFS('BA History'!$B:$B,$A$48,'BA History'!R:R, 1)</f>
        <v>1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2</v>
      </c>
      <c r="AC48" s="2">
        <f>COUNTIFS('BA History'!$B:$B,$A$48,'BA History'!V:V, 1)</f>
        <v>4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3</v>
      </c>
      <c r="AG48" s="2">
        <f>COUNTIFS('BA History'!$B:$B,$A$48,'BA History'!Z:Z, 1)</f>
        <v>10</v>
      </c>
      <c r="AH48" s="2">
        <f>COUNTIFS('BA History'!$B:$B,$A48,'BA History'!AA:AA, 1)</f>
        <v>0</v>
      </c>
      <c r="AI48" s="2">
        <f>COUNTIFS('BA History'!$B:$B,$A$48,'BA History'!AB:AB, 1)</f>
        <v>2</v>
      </c>
      <c r="AJ48" s="2">
        <f>COUNTIFS('BA History'!$B:$B,$A$48,'BA History'!AC:AC, 1)</f>
        <v>11</v>
      </c>
      <c r="AK48" s="2">
        <f>COUNTIFS('BA History'!$B:$B,$A$48,'BA History'!AD:AD, 1)</f>
        <v>8</v>
      </c>
      <c r="AL48" s="2">
        <f>COUNTIFS('BA History'!$B:$B,$A$48,'BA History'!AE:AE, 1)</f>
        <v>9</v>
      </c>
      <c r="AM48" s="2">
        <f>COUNTIFS('BA History'!$B:$B,$A$48,'BA History'!AF:AF, 1)</f>
        <v>2</v>
      </c>
      <c r="AN48" s="2">
        <f>COUNTIFS('BA History'!$B:$B,$A$48,'BA History'!AG:AG, 1)</f>
        <v>5</v>
      </c>
    </row>
    <row r="49" spans="1:40" ht="14.25" customHeight="1" x14ac:dyDescent="0.25">
      <c r="A49" s="1" t="s">
        <v>105</v>
      </c>
      <c r="B49" s="2" t="s">
        <v>79</v>
      </c>
      <c r="C49" s="2"/>
      <c r="D49" s="2"/>
      <c r="E49" s="2"/>
      <c r="F49" s="34">
        <f>SUMIFS('BA History'!C:C,'BA History'!B:B,A49)</f>
        <v>12</v>
      </c>
      <c r="G49" s="66">
        <f>AVERAGEIFS('BA History'!C:C,'BA History'!B:B,A49)</f>
        <v>12</v>
      </c>
      <c r="H49" s="35">
        <f t="array" ref="H49">MAX(IF('BA History'!B:B=A49, 'BA History'!C:C))</f>
        <v>12</v>
      </c>
      <c r="I49" s="34">
        <f>COUNTIFS('BA History'!B:B,A49,'BA History'!D:D, 1)</f>
        <v>1</v>
      </c>
      <c r="J49" s="2">
        <f>COUNTIFS('BA History'!B:B,A49,'BA History'!D:D, 0)</f>
        <v>0</v>
      </c>
      <c r="K49" s="75">
        <f>LOOKUP(2, 1/('BA History'!$B:$B=A49), 'BA History'!$AK:$AK)</f>
        <v>1</v>
      </c>
      <c r="L49" s="34">
        <f>SUMIFS('BA History'!F:F,'BA History'!B:B,A49)</f>
        <v>3</v>
      </c>
      <c r="M49" s="2">
        <f>SUMIFS('BA History'!E:E,'BA History'!B:B,A49)-L49</f>
        <v>2</v>
      </c>
      <c r="N49" s="75">
        <f>LOOKUP(2, 1/('BA History'!$B:$B=A49), 'BA History'!$AI:$AI)</f>
        <v>0.6</v>
      </c>
      <c r="O49" s="34">
        <f>SUMIFS('BA History'!H:H,'BA History'!B:B,A49)</f>
        <v>9</v>
      </c>
      <c r="P49" s="2">
        <f>SUMIFS('BA History'!G:G,'BA History'!B:B,A49)-O49</f>
        <v>10</v>
      </c>
      <c r="Q49" s="89">
        <f>LOOKUP(2, 1/('BA History'!$B:$B=A49), 'BA History'!$AJ:$AJ)</f>
        <v>0.47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1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0</v>
      </c>
      <c r="AH49" s="2">
        <f>COUNTIFS('BA History'!$B:$B,$A49,'BA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  <c r="AN49" s="2">
        <f>COUNTIFS('BA History'!$B:$B,$A$49,'BA History'!AG:AG, 1)</f>
        <v>0</v>
      </c>
    </row>
    <row r="50" spans="1:40" ht="14.25" customHeight="1" x14ac:dyDescent="0.25">
      <c r="A50" s="1" t="s">
        <v>143</v>
      </c>
      <c r="B50" s="2" t="s">
        <v>79</v>
      </c>
      <c r="C50" s="2"/>
      <c r="D50" s="2"/>
      <c r="E50" s="2"/>
      <c r="F50" s="34">
        <f>SUMIFS('BA History'!C:C,'BA History'!B:B,A50)</f>
        <v>4</v>
      </c>
      <c r="G50" s="66">
        <f>AVERAGEIFS('BA History'!C:C,'BA History'!B:B,A50)</f>
        <v>4</v>
      </c>
      <c r="H50" s="35">
        <f t="array" ref="H50">MAX(IF('BA History'!B:B=A50, 'BA History'!C:C))</f>
        <v>4</v>
      </c>
      <c r="I50" s="34">
        <f>COUNTIFS('BA History'!B:B,A50,'BA History'!D:D, 1)</f>
        <v>0</v>
      </c>
      <c r="J50" s="2">
        <f>COUNTIFS('BA History'!B:B,A50,'BA History'!D:D, 0)</f>
        <v>1</v>
      </c>
      <c r="K50" s="75">
        <f>LOOKUP(2, 1/('BA History'!$B:$B=A50), 'BA History'!$AK:$AK)</f>
        <v>0</v>
      </c>
      <c r="L50" s="34">
        <f>SUMIFS('BA History'!F:F,'BA History'!B:B,A50)</f>
        <v>1</v>
      </c>
      <c r="M50" s="2">
        <f>SUMIFS('BA History'!E:E,'BA History'!B:B,A50)-L50</f>
        <v>3</v>
      </c>
      <c r="N50" s="75">
        <f>LOOKUP(2, 1/('BA History'!$B:$B=A50), 'BA History'!$AI:$AI)</f>
        <v>0.25</v>
      </c>
      <c r="O50" s="34">
        <f>SUMIFS('BA History'!H:H,'BA History'!B:B,A50)</f>
        <v>7</v>
      </c>
      <c r="P50" s="2">
        <f>SUMIFS('BA History'!G:G,'BA History'!B:B,A50)-O50</f>
        <v>9</v>
      </c>
      <c r="Q50" s="89">
        <f>LOOKUP(2, 1/('BA History'!$B:$B=A50), 'BA History'!$AJ:$AJ)</f>
        <v>0.44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1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0</v>
      </c>
      <c r="AK50" s="2">
        <f>COUNTIFS('BA History'!$B:$B,$A$50,'BA History'!AD:AD, 1)</f>
        <v>0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x14ac:dyDescent="0.25">
      <c r="A51" s="1" t="s">
        <v>118</v>
      </c>
      <c r="B51" s="2" t="s">
        <v>79</v>
      </c>
      <c r="C51" s="2"/>
      <c r="D51" s="2"/>
      <c r="E51" s="2"/>
      <c r="F51" s="34">
        <f>SUMIFS('BA History'!C:C,'BA History'!B:B,A51)</f>
        <v>30</v>
      </c>
      <c r="G51" s="66">
        <f>AVERAGEIFS('BA History'!C:C,'BA History'!B:B,A51)</f>
        <v>15</v>
      </c>
      <c r="H51" s="35">
        <f t="array" ref="H51">MAX(IF('BA History'!B:B=A51, 'BA History'!C:C))</f>
        <v>20</v>
      </c>
      <c r="I51" s="34">
        <f>COUNTIFS('BA History'!B:B,A51,'BA History'!D:D, 1)</f>
        <v>1</v>
      </c>
      <c r="J51" s="2">
        <f>COUNTIFS('BA History'!B:B,A51,'BA History'!D:D, 0)</f>
        <v>1</v>
      </c>
      <c r="K51" s="75">
        <f>LOOKUP(2, 1/('BA History'!$B:$B=A51), 'BA History'!$AK:$AK)</f>
        <v>0.5</v>
      </c>
      <c r="L51" s="34">
        <f>SUMIFS('BA History'!F:F,'BA History'!B:B,A51)</f>
        <v>4</v>
      </c>
      <c r="M51" s="2">
        <f>SUMIFS('BA History'!E:E,'BA History'!B:B,A51)-L51</f>
        <v>4</v>
      </c>
      <c r="N51" s="75">
        <f>LOOKUP(2, 1/('BA History'!$B:$B=A51), 'BA History'!$AI:$AI)</f>
        <v>0.5</v>
      </c>
      <c r="O51" s="34">
        <f>SUMIFS('BA History'!H:H,'BA History'!B:B,A51)</f>
        <v>15</v>
      </c>
      <c r="P51" s="2">
        <f>SUMIFS('BA History'!G:G,'BA History'!B:B,A51)-O51</f>
        <v>15</v>
      </c>
      <c r="Q51" s="89">
        <f>LOOKUP(2, 1/('BA History'!$B:$B=A51), 'BA History'!$AJ:$AJ)</f>
        <v>0.51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1</v>
      </c>
      <c r="AL51" s="2">
        <f>COUNTIFS('BA History'!$B:$B,$A$51,'BA History'!AE:AE, 1)</f>
        <v>1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2" t="s">
        <v>6</v>
      </c>
      <c r="B52" s="1" t="s">
        <v>158</v>
      </c>
      <c r="C52" s="1"/>
      <c r="D52" s="1">
        <v>1</v>
      </c>
      <c r="E52" s="1">
        <v>1</v>
      </c>
      <c r="F52" s="34">
        <f>SUMIFS('BA History'!C:C,'BA History'!B:B,A52)</f>
        <v>1581</v>
      </c>
      <c r="G52" s="66">
        <f>AVERAGEIFS('BA History'!C:C,'BA History'!B:B,A52)</f>
        <v>22.585714285714285</v>
      </c>
      <c r="H52" s="35">
        <f t="array" ref="H52">MAX(IF('BA History'!B:B=A52, 'BA History'!C:C))</f>
        <v>37</v>
      </c>
      <c r="I52" s="34">
        <f>COUNTIFS('BA History'!B:B,A52,'BA History'!D:D, 1)</f>
        <v>44</v>
      </c>
      <c r="J52" s="2">
        <f>COUNTIFS('BA History'!B:B,A52,'BA History'!D:D, 0)</f>
        <v>26</v>
      </c>
      <c r="K52" s="75">
        <f>LOOKUP(2, 1/('BA History'!$B:$B=A52), 'BA History'!$AK:$AK)</f>
        <v>0.62857142857142856</v>
      </c>
      <c r="L52" s="34">
        <f>SUMIFS('BA History'!F:F,'BA History'!B:B,A52)</f>
        <v>155</v>
      </c>
      <c r="M52" s="2">
        <f>SUMIFS('BA History'!E:E,'BA History'!B:B,A52)-L52</f>
        <v>123</v>
      </c>
      <c r="N52" s="75">
        <f>LOOKUP(2, 1/('BA History'!$B:$B=A52), 'BA History'!$AI:$AI)</f>
        <v>0.55757142857142872</v>
      </c>
      <c r="O52" s="34">
        <f>SUMIFS('BA History'!H:H,'BA History'!B:B,A52)</f>
        <v>613</v>
      </c>
      <c r="P52" s="2">
        <f>SUMIFS('BA History'!G:G,'BA History'!B:B,A52)-O52</f>
        <v>541</v>
      </c>
      <c r="Q52" s="89">
        <f>LOOKUP(2, 1/('BA History'!$B:$B=A52), 'BA History'!$AJ:$AJ)</f>
        <v>0.53042857142857136</v>
      </c>
      <c r="R52" s="2">
        <f>COUNTIFS('BA History'!$B:$B,$A$52,'BA History'!K:K, 1)</f>
        <v>7</v>
      </c>
      <c r="S52" s="2">
        <f>COUNTIFS('BA History'!$B:$B,$A$52,'BA History'!L:L, 1)</f>
        <v>7</v>
      </c>
      <c r="T52" s="2">
        <f>COUNTIFS('BA History'!$B:$B,$A$52,'BA History'!M:M, 1)</f>
        <v>13</v>
      </c>
      <c r="U52" s="2">
        <f>COUNTIFS('BA History'!$B:$B,$A$52,'BA History'!N:N, 1)</f>
        <v>12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6</v>
      </c>
      <c r="Y52" s="2">
        <f>COUNTIFS('BA History'!$B:$B,$A$52,'BA History'!R:R, 1)</f>
        <v>5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3</v>
      </c>
      <c r="AC52" s="2">
        <f>COUNTIFS('BA History'!$B:$B,$A$52,'BA History'!V:V, 1)</f>
        <v>11</v>
      </c>
      <c r="AD52" s="2">
        <f>COUNTIFS('BA History'!$B:$B,$A$52,'BA History'!W:W, 1)</f>
        <v>4</v>
      </c>
      <c r="AE52" s="2">
        <f>COUNTIFS('BA History'!$B:$B,$A$52,'BA History'!X:X, 1)</f>
        <v>2</v>
      </c>
      <c r="AF52" s="2">
        <f>COUNTIFS('BA History'!$B:$B,$A$52,'BA History'!Y:Y, 1)</f>
        <v>7</v>
      </c>
      <c r="AG52" s="2">
        <f>COUNTIFS('BA History'!$B:$B,$A$52,'BA History'!Z:Z, 1)</f>
        <v>22</v>
      </c>
      <c r="AH52" s="2">
        <f>COUNTIFS('BA History'!$B:$B,$A52,'BA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20</v>
      </c>
      <c r="AK52" s="2">
        <f>COUNTIFS('BA History'!$B:$B,$A$52,'BA History'!AD:AD, 1)</f>
        <v>8</v>
      </c>
      <c r="AL52" s="2">
        <f>COUNTIFS('BA History'!$B:$B,$A$52,'BA History'!AE:AE, 1)</f>
        <v>9</v>
      </c>
      <c r="AM52" s="2">
        <f>COUNTIFS('BA History'!$B:$B,$A$52,'BA History'!AF:AF, 1)</f>
        <v>2</v>
      </c>
      <c r="AN52" s="2">
        <f>COUNTIFS('BA History'!$B:$B,$A$52,'BA History'!AG:AG, 1)</f>
        <v>10</v>
      </c>
    </row>
    <row r="53" spans="1:40" x14ac:dyDescent="0.25">
      <c r="A53" s="2" t="s">
        <v>18</v>
      </c>
      <c r="B53" s="2" t="s">
        <v>79</v>
      </c>
      <c r="C53" s="2"/>
      <c r="D53" s="2"/>
      <c r="E53" s="2"/>
      <c r="F53" s="34">
        <f>SUMIFS('BA History'!C:C,'BA History'!B:B,A53)</f>
        <v>204</v>
      </c>
      <c r="G53" s="66">
        <f>AVERAGEIFS('BA History'!C:C,'BA History'!B:B,A53)</f>
        <v>18.545454545454547</v>
      </c>
      <c r="H53" s="35">
        <f t="array" ref="H53">MAX(IF('BA History'!B:B=A53, 'BA History'!C:C))</f>
        <v>30</v>
      </c>
      <c r="I53" s="34">
        <f>COUNTIFS('BA History'!B:B,A53,'BA History'!D:D, 1)</f>
        <v>8</v>
      </c>
      <c r="J53" s="2">
        <f>COUNTIFS('BA History'!B:B,A53,'BA History'!D:D, 0)</f>
        <v>3</v>
      </c>
      <c r="K53" s="75">
        <f>LOOKUP(2, 1/('BA History'!$B:$B=A53), 'BA History'!$AK:$AK)</f>
        <v>0.72727272727272729</v>
      </c>
      <c r="L53" s="34">
        <f>SUMIFS('BA History'!F:F,'BA History'!B:B,A53)</f>
        <v>26</v>
      </c>
      <c r="M53" s="2">
        <f>SUMIFS('BA History'!E:E,'BA History'!B:B,A53)-L53</f>
        <v>13</v>
      </c>
      <c r="N53" s="75">
        <f>LOOKUP(2, 1/('BA History'!$B:$B=A53), 'BA History'!$AI:$AI)</f>
        <v>0.69090909090909092</v>
      </c>
      <c r="O53" s="34">
        <f>SUMIFS('BA History'!H:H,'BA History'!B:B,A53)</f>
        <v>95</v>
      </c>
      <c r="P53" s="2">
        <f>SUMIFS('BA History'!G:G,'BA History'!B:B,A53)-O53</f>
        <v>72</v>
      </c>
      <c r="Q53" s="89">
        <f>LOOKUP(2, 1/('BA History'!$B:$B=A53), 'BA History'!$AJ:$AJ)</f>
        <v>0.58454545454545448</v>
      </c>
      <c r="R53" s="2">
        <f>COUNTIFS('BA History'!$B:$B,$A$53,'BA History'!K:K, 1)</f>
        <v>0</v>
      </c>
      <c r="S53" s="2">
        <f>COUNTIFS('BA History'!$B:$B,$A$53,'BA History'!L:L, 1)</f>
        <v>4</v>
      </c>
      <c r="T53" s="2">
        <f>COUNTIFS('BA History'!$B:$B,$A$53,'BA History'!M:M, 1)</f>
        <v>1</v>
      </c>
      <c r="U53" s="2">
        <f>COUNTIFS('BA History'!$B:$B,$A$53,'BA History'!N:N, 1)</f>
        <v>4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2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1</v>
      </c>
      <c r="AF53" s="2">
        <f>COUNTIFS('BA History'!$B:$B,$A$53,'BA History'!Y:Y, 1)</f>
        <v>1</v>
      </c>
      <c r="AG53" s="2">
        <f>COUNTIFS('BA History'!$B:$B,$A$53,'BA History'!Z:Z, 1)</f>
        <v>4</v>
      </c>
      <c r="AH53" s="2">
        <f>COUNTIFS('BA History'!$B:$B,$A53,'BA History'!AA:AA, 1)</f>
        <v>0</v>
      </c>
      <c r="AI53" s="2">
        <f>COUNTIFS('BA History'!$B:$B,$A$53,'BA History'!AB:AB, 1)</f>
        <v>2</v>
      </c>
      <c r="AJ53" s="2">
        <f>COUNTIFS('BA History'!$B:$B,$A$53,'BA History'!AC:AC, 1)</f>
        <v>2</v>
      </c>
      <c r="AK53" s="2">
        <f>COUNTIFS('BA History'!$B:$B,$A$53,'BA History'!AD:AD, 1)</f>
        <v>0</v>
      </c>
      <c r="AL53" s="2">
        <f>COUNTIFS('BA History'!$B:$B,$A$53,'BA History'!AE:AE, 1)</f>
        <v>2</v>
      </c>
      <c r="AM53" s="2">
        <f>COUNTIFS('BA History'!$B:$B,$A$53,'BA History'!AF:AF, 1)</f>
        <v>0</v>
      </c>
      <c r="AN53" s="2">
        <f>COUNTIFS('BA History'!$B:$B,$A$53,'BA History'!AG:AG, 1)</f>
        <v>0</v>
      </c>
    </row>
    <row r="54" spans="1:40" x14ac:dyDescent="0.25">
      <c r="A54" s="2" t="s">
        <v>178</v>
      </c>
      <c r="B54" s="2" t="s">
        <v>79</v>
      </c>
      <c r="C54" s="2">
        <v>1</v>
      </c>
      <c r="D54" s="2"/>
      <c r="E54" s="2"/>
      <c r="F54" s="34">
        <f>SUMIFS('BA History'!C:C,'BA History'!B:B,A54)</f>
        <v>26</v>
      </c>
      <c r="G54" s="66">
        <f>AVERAGEIFS('BA History'!C:C,'BA History'!B:B,A54)</f>
        <v>13</v>
      </c>
      <c r="H54" s="35">
        <f t="array" ref="H54">MAX(IF('BA History'!B:B=A54, 'BA History'!C:C))</f>
        <v>16</v>
      </c>
      <c r="I54" s="34">
        <f>COUNTIFS('BA History'!B:B,A54,'BA History'!D:D, 1)</f>
        <v>0</v>
      </c>
      <c r="J54" s="2">
        <f>COUNTIFS('BA History'!B:B,A54,'BA History'!D:D, 0)</f>
        <v>2</v>
      </c>
      <c r="K54" s="75">
        <f>LOOKUP(2, 1/('BA History'!$B:$B=A54), 'BA History'!$AK:$AK)</f>
        <v>0</v>
      </c>
      <c r="L54" s="34">
        <f>SUMIFS('BA History'!F:F,'BA History'!B:B,A54)</f>
        <v>3</v>
      </c>
      <c r="M54" s="2">
        <f>SUMIFS('BA History'!E:E,'BA History'!B:B,A54)-L54</f>
        <v>6</v>
      </c>
      <c r="N54" s="75">
        <f>LOOKUP(2, 1/('BA History'!$B:$B=A54), 'BA History'!$AI:$AI)</f>
        <v>0.32500000000000001</v>
      </c>
      <c r="O54" s="34">
        <f>SUMIFS('BA History'!H:H,'BA History'!B:B,A54)</f>
        <v>19</v>
      </c>
      <c r="P54" s="2">
        <f>SUMIFS('BA History'!G:G,'BA History'!B:B,A54)-O54</f>
        <v>22</v>
      </c>
      <c r="Q54" s="89">
        <f>LOOKUP(2, 1/('BA History'!$B:$B=A54), 'BA History'!$AJ:$AJ)</f>
        <v>0.46499999999999997</v>
      </c>
      <c r="R54" s="2">
        <f>COUNTIFS('BA History'!$B:$B,$A$54,'BA History'!K:K, 1)</f>
        <v>0</v>
      </c>
      <c r="S54" s="2">
        <f>COUNTIFS('BA History'!$B:$B,$A$54,'BA History'!L:L, 1)</f>
        <v>0</v>
      </c>
      <c r="T54" s="2">
        <f>COUNTIFS('BA History'!$B:$B,$A$54,'BA History'!M:M, 1)</f>
        <v>0</v>
      </c>
      <c r="U54" s="2">
        <f>COUNTIFS('BA History'!$B:$B,$A$54,'BA History'!N:N, 1)</f>
        <v>1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0</v>
      </c>
      <c r="AG54" s="2">
        <f>COUNTIFS('BA History'!$B:$B,$A$54,'BA History'!Z:Z, 1)</f>
        <v>0</v>
      </c>
      <c r="AH54" s="2">
        <f>COUNTIFS('BA History'!$B:$B,$A54,'BA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1</v>
      </c>
      <c r="AL54" s="2">
        <f>COUNTIFS('BA History'!$B:$B,$A$54,'BA History'!AE:AE, 1)</f>
        <v>0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113</v>
      </c>
      <c r="B55" s="2" t="s">
        <v>79</v>
      </c>
      <c r="C55" s="2">
        <v>1</v>
      </c>
      <c r="D55" s="2">
        <v>1</v>
      </c>
      <c r="E55" s="2"/>
      <c r="F55" s="34">
        <f>SUMIFS('BA History'!C:C,'BA History'!B:B,A55)</f>
        <v>726</v>
      </c>
      <c r="G55" s="66">
        <f>AVERAGEIFS('BA History'!C:C,'BA History'!B:B,A55)</f>
        <v>17.707317073170731</v>
      </c>
      <c r="H55" s="35">
        <f t="array" ref="H55">MAX(IF('BA History'!B:B=A55, 'BA History'!C:C))</f>
        <v>36</v>
      </c>
      <c r="I55" s="34">
        <f>COUNTIFS('BA History'!B:B,A55,'BA History'!D:D, 1)</f>
        <v>21</v>
      </c>
      <c r="J55" s="2">
        <f>COUNTIFS('BA History'!B:B,A55,'BA History'!D:D, 0)</f>
        <v>20</v>
      </c>
      <c r="K55" s="75">
        <f>LOOKUP(2, 1/('BA History'!$B:$B=A55), 'BA History'!$AK:$AK)</f>
        <v>0.51219512195121952</v>
      </c>
      <c r="L55" s="34">
        <f>SUMIFS('BA History'!F:F,'BA History'!B:B,A55)</f>
        <v>86</v>
      </c>
      <c r="M55" s="2">
        <f>SUMIFS('BA History'!E:E,'BA History'!B:B,A55)-L55</f>
        <v>75</v>
      </c>
      <c r="N55" s="75">
        <f>LOOKUP(2, 1/('BA History'!$B:$B=A55), 'BA History'!$AI:$AI)</f>
        <v>0.54878048780487798</v>
      </c>
      <c r="O55" s="34">
        <f>SUMIFS('BA History'!H:H,'BA History'!B:B,A55)</f>
        <v>338</v>
      </c>
      <c r="P55" s="2">
        <f>SUMIFS('BA History'!G:G,'BA History'!B:B,A55)-O55</f>
        <v>320</v>
      </c>
      <c r="Q55" s="89">
        <f>LOOKUP(2, 1/('BA History'!$B:$B=A55), 'BA History'!$AJ:$AJ)</f>
        <v>0.52243902439024403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11</v>
      </c>
      <c r="U55" s="2">
        <f>COUNTIFS('BA History'!$B:$B,$A$55,'BA History'!N:N, 1)</f>
        <v>8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3</v>
      </c>
      <c r="Y55" s="2">
        <f>COUNTIFS('BA History'!$B:$B,$A$55,'BA History'!R:R, 1)</f>
        <v>2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5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9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12</v>
      </c>
      <c r="AK55" s="2">
        <f>COUNTIFS('BA History'!$B:$B,$A$55,'BA History'!AD:AD, 1)</f>
        <v>8</v>
      </c>
      <c r="AL55" s="2">
        <f>COUNTIFS('BA History'!$B:$B,$A$55,'BA History'!AE:AE, 1)</f>
        <v>2</v>
      </c>
      <c r="AM55" s="2">
        <f>COUNTIFS('BA History'!$B:$B,$A$55,'BA History'!AF:AF, 1)</f>
        <v>0</v>
      </c>
      <c r="AN55" s="2">
        <f>COUNTIFS('BA History'!$B:$B,$A$55,'BA History'!AG:AG, 1)</f>
        <v>4</v>
      </c>
    </row>
    <row r="56" spans="1:40" x14ac:dyDescent="0.25">
      <c r="A56" s="2" t="s">
        <v>14</v>
      </c>
      <c r="B56" s="2" t="s">
        <v>79</v>
      </c>
      <c r="C56" s="2">
        <v>1</v>
      </c>
      <c r="D56" s="2"/>
      <c r="E56" s="2"/>
      <c r="F56" s="34">
        <f>SUMIFS('BA History'!C:C,'BA History'!B:B,A56)</f>
        <v>372</v>
      </c>
      <c r="G56" s="66">
        <f>AVERAGEIFS('BA History'!C:C,'BA History'!B:B,A56)</f>
        <v>16.90909090909091</v>
      </c>
      <c r="H56" s="35">
        <f t="array" ref="H56">MAX(IF('BA History'!B:B=A56, 'BA History'!C:C))</f>
        <v>30</v>
      </c>
      <c r="I56" s="34">
        <f>COUNTIFS('BA History'!B:B,A56,'BA History'!D:D, 1)</f>
        <v>11</v>
      </c>
      <c r="J56" s="2">
        <f>COUNTIFS('BA History'!B:B,A56,'BA History'!D:D, 0)</f>
        <v>11</v>
      </c>
      <c r="K56" s="75">
        <f>LOOKUP(2, 1/('BA History'!$B:$B=A56), 'BA History'!$AK:$AK)</f>
        <v>0.5</v>
      </c>
      <c r="L56" s="34">
        <f>SUMIFS('BA History'!F:F,'BA History'!B:B,A56)</f>
        <v>44</v>
      </c>
      <c r="M56" s="2">
        <f>SUMIFS('BA History'!E:E,'BA History'!B:B,A56)-L56</f>
        <v>46</v>
      </c>
      <c r="N56" s="75">
        <f>LOOKUP(2, 1/('BA History'!$B:$B=A56), 'BA History'!$AI:$AI)</f>
        <v>0.49409090909090908</v>
      </c>
      <c r="O56" s="34">
        <f>SUMIFS('BA History'!H:H,'BA History'!B:B,A56)</f>
        <v>187</v>
      </c>
      <c r="P56" s="2">
        <f>SUMIFS('BA History'!G:G,'BA History'!B:B,A56)-O56</f>
        <v>184</v>
      </c>
      <c r="Q56" s="89">
        <f>LOOKUP(2, 1/('BA History'!$B:$B=A56), 'BA History'!$AJ:$AJ)</f>
        <v>0.50181818181818183</v>
      </c>
      <c r="R56" s="2">
        <f>COUNTIFS('BA History'!$B:$B,$A$56,'BA History'!K:K, 1)</f>
        <v>1</v>
      </c>
      <c r="S56" s="2">
        <f>COUNTIFS('BA History'!$B:$B,$A$56,'BA History'!L:L, 1)</f>
        <v>3</v>
      </c>
      <c r="T56" s="2">
        <f>COUNTIFS('BA History'!$B:$B,$A$56,'BA History'!M:M, 1)</f>
        <v>0</v>
      </c>
      <c r="U56" s="2">
        <f>COUNTIFS('BA History'!$B:$B,$A$56,'BA History'!N:N, 1)</f>
        <v>2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3</v>
      </c>
      <c r="Y56" s="2">
        <f>COUNTIFS('BA History'!$B:$B,$A$56,'BA History'!R:R, 1)</f>
        <v>2</v>
      </c>
      <c r="Z56" s="2">
        <f>COUNTIFS('BA History'!$B:$B,$A$56,'BA History'!S:S, 1)</f>
        <v>0</v>
      </c>
      <c r="AA56" s="2">
        <f>COUNTIFS('BA History'!$B:$B,$A$56,'BA History'!T:T, 1)</f>
        <v>1</v>
      </c>
      <c r="AB56" s="2">
        <f>COUNTIFS('BA History'!$B:$B,$A$56,'BA History'!U:U, 1)</f>
        <v>1</v>
      </c>
      <c r="AC56" s="2">
        <f>COUNTIFS('BA History'!$B:$B,$A$56,'BA History'!V:V, 1)</f>
        <v>2</v>
      </c>
      <c r="AD56" s="2">
        <f>COUNTIFS('BA History'!$B:$B,$A$56,'BA History'!W:W, 1)</f>
        <v>2</v>
      </c>
      <c r="AE56" s="2">
        <f>COUNTIFS('BA History'!$B:$B,$A$56,'BA History'!X:X, 1)</f>
        <v>1</v>
      </c>
      <c r="AF56" s="2">
        <f>COUNTIFS('BA History'!$B:$B,$A$56,'BA History'!Y:Y, 1)</f>
        <v>5</v>
      </c>
      <c r="AG56" s="2">
        <f>COUNTIFS('BA History'!$B:$B,$A$56,'BA History'!Z:Z, 1)</f>
        <v>7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9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0</v>
      </c>
      <c r="AN56" s="2">
        <f>COUNTIFS('BA History'!$B:$B,$A$56,'BA History'!AG:AG, 1)</f>
        <v>0</v>
      </c>
    </row>
    <row r="57" spans="1:40" x14ac:dyDescent="0.25">
      <c r="A57" s="2" t="s">
        <v>70</v>
      </c>
      <c r="B57" s="2" t="s">
        <v>79</v>
      </c>
      <c r="C57" s="2"/>
      <c r="D57" s="2"/>
      <c r="E57" s="2"/>
      <c r="F57" s="34">
        <f>SUMIFS('BA History'!C:C,'BA History'!B:B,A57)</f>
        <v>89</v>
      </c>
      <c r="G57" s="66">
        <f>AVERAGEIFS('BA History'!C:C,'BA History'!B:B,A57)</f>
        <v>11.125</v>
      </c>
      <c r="H57" s="35">
        <f t="array" ref="H57">MAX(IF('BA History'!B:B=A57, 'BA History'!C:C))</f>
        <v>19</v>
      </c>
      <c r="I57" s="34">
        <f>COUNTIFS('BA History'!B:B,A57,'BA History'!D:D, 1)</f>
        <v>5</v>
      </c>
      <c r="J57" s="2">
        <f>COUNTIFS('BA History'!B:B,A57,'BA History'!D:D, 0)</f>
        <v>3</v>
      </c>
      <c r="K57" s="75">
        <f>LOOKUP(2, 1/('BA History'!$B:$B=A57), 'BA History'!$AK:$AK)</f>
        <v>0.625</v>
      </c>
      <c r="L57" s="34">
        <f>SUMIFS('BA History'!F:F,'BA History'!B:B,A57)</f>
        <v>17</v>
      </c>
      <c r="M57" s="2">
        <f>SUMIFS('BA History'!E:E,'BA History'!B:B,A57)-L57</f>
        <v>16</v>
      </c>
      <c r="N57" s="75">
        <f>LOOKUP(2, 1/('BA History'!$B:$B=A57), 'BA History'!$AI:$AI)</f>
        <v>0.50625000000000009</v>
      </c>
      <c r="O57" s="34">
        <f>SUMIFS('BA History'!H:H,'BA History'!B:B,A57)</f>
        <v>70</v>
      </c>
      <c r="P57" s="2">
        <f>SUMIFS('BA History'!G:G,'BA History'!B:B,A57)-O57</f>
        <v>68</v>
      </c>
      <c r="Q57" s="89">
        <f>LOOKUP(2, 1/('BA History'!$B:$B=A57), 'BA History'!$AJ:$AJ)</f>
        <v>0.50624999999999998</v>
      </c>
      <c r="R57" s="2">
        <f>COUNTIFS('BA History'!$B:$B,$A$57,'BA History'!K:K, 1)</f>
        <v>1</v>
      </c>
      <c r="S57" s="2">
        <f>COUNTIFS('BA History'!$B:$B,$A$57,'BA History'!L:L, 1)</f>
        <v>1</v>
      </c>
      <c r="T57" s="2">
        <f>COUNTIFS('BA History'!$B:$B,$A$57,'BA History'!M:M, 1)</f>
        <v>2</v>
      </c>
      <c r="U57" s="2">
        <f>COUNTIFS('BA History'!$B:$B,$A$57,'BA History'!N:N, 1)</f>
        <v>4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1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1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1</v>
      </c>
      <c r="AG57" s="2">
        <f>COUNTIFS('BA History'!$B:$B,$A$57,'BA History'!Z:Z, 1)</f>
        <v>0</v>
      </c>
      <c r="AH57" s="2">
        <f>COUNTIFS('BA History'!$B:$B,$A57,'BA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3</v>
      </c>
      <c r="AM57" s="2">
        <f>COUNTIFS('BA History'!$B:$B,$A$57,'BA History'!AF:AF, 1)</f>
        <v>0</v>
      </c>
      <c r="AN57" s="2">
        <f>COUNTIFS('BA History'!$B:$B,$A$57,'BA History'!AG:AG, 1)</f>
        <v>2</v>
      </c>
    </row>
    <row r="58" spans="1:40" x14ac:dyDescent="0.25">
      <c r="A58" s="2" t="s">
        <v>4</v>
      </c>
      <c r="B58" s="1" t="s">
        <v>158</v>
      </c>
      <c r="C58" s="1">
        <v>1</v>
      </c>
      <c r="D58" s="1">
        <v>1</v>
      </c>
      <c r="E58" s="1"/>
      <c r="F58" s="34">
        <f>SUMIFS('BA History'!C:C,'BA History'!B:B,A58)</f>
        <v>899</v>
      </c>
      <c r="G58" s="66">
        <f>AVERAGEIFS('BA History'!C:C,'BA History'!B:B,A58)</f>
        <v>24.297297297297298</v>
      </c>
      <c r="H58" s="35">
        <f t="array" ref="H58">MAX(IF('BA History'!B:B=A58, 'BA History'!C:C))</f>
        <v>41</v>
      </c>
      <c r="I58" s="34">
        <f>COUNTIFS('BA History'!B:B,A58,'BA History'!D:D, 1)</f>
        <v>14</v>
      </c>
      <c r="J58" s="2">
        <f>COUNTIFS('BA History'!B:B,A58,'BA History'!D:D, 0)</f>
        <v>23</v>
      </c>
      <c r="K58" s="75">
        <f>LOOKUP(2, 1/('BA History'!$B:$B=A58), 'BA History'!$AK:$AK)</f>
        <v>0.3783783783783784</v>
      </c>
      <c r="L58" s="34">
        <f>SUMIFS('BA History'!F:F,'BA History'!B:B,A58)</f>
        <v>69</v>
      </c>
      <c r="M58" s="2">
        <f>SUMIFS('BA History'!E:E,'BA History'!B:B,A58)-L58</f>
        <v>84</v>
      </c>
      <c r="N58" s="75">
        <f>LOOKUP(2, 1/('BA History'!$B:$B=A58), 'BA History'!$AI:$AI)</f>
        <v>0.45405405405405408</v>
      </c>
      <c r="O58" s="34">
        <f>SUMIFS('BA History'!H:H,'BA History'!B:B,A58)</f>
        <v>299</v>
      </c>
      <c r="P58" s="2">
        <f>SUMIFS('BA History'!G:G,'BA History'!B:B,A58)-O58</f>
        <v>332</v>
      </c>
      <c r="Q58" s="89">
        <f>LOOKUP(2, 1/('BA History'!$B:$B=A58), 'BA History'!$AJ:$AJ)</f>
        <v>0.47027027027027024</v>
      </c>
      <c r="R58" s="2">
        <f>COUNTIFS('BA History'!$B:$B,$A$58,'BA History'!K:K, 1)</f>
        <v>3</v>
      </c>
      <c r="S58" s="2">
        <f>COUNTIFS('BA History'!$B:$B,$A$58,'BA History'!L:L, 1)</f>
        <v>7</v>
      </c>
      <c r="T58" s="2">
        <f>COUNTIFS('BA History'!$B:$B,$A$58,'BA History'!M:M, 1)</f>
        <v>6</v>
      </c>
      <c r="U58" s="2">
        <f>COUNTIFS('BA History'!$B:$B,$A$58,'BA History'!N:N, 1)</f>
        <v>8</v>
      </c>
      <c r="V58" s="2">
        <f>COUNTIFS('BA History'!$B:$B,$A$58,'BA History'!O:O, 1)</f>
        <v>1</v>
      </c>
      <c r="W58" s="2">
        <f>COUNTIFS('BA History'!$B:$B,$A$58,'BA History'!P:P, 1)</f>
        <v>0</v>
      </c>
      <c r="X58" s="2">
        <f>COUNTIFS('BA History'!$B:$B,$A$58,'BA History'!Q:Q, 1)</f>
        <v>1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3</v>
      </c>
      <c r="AC58" s="2">
        <f>COUNTIFS('BA History'!$B:$B,$A$58,'BA History'!V:V, 1)</f>
        <v>2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9</v>
      </c>
      <c r="AG58" s="2">
        <f>COUNTIFS('BA History'!$B:$B,$A$58,'BA History'!Z:Z, 1)</f>
        <v>3</v>
      </c>
      <c r="AH58" s="2">
        <f>COUNTIFS('BA History'!$B:$B,$A58,'BA History'!AA:AA, 1)</f>
        <v>1</v>
      </c>
      <c r="AI58" s="2">
        <f>COUNTIFS('BA History'!$B:$B,$A$58,'BA History'!AB:AB, 1)</f>
        <v>0</v>
      </c>
      <c r="AJ58" s="2">
        <f>COUNTIFS('BA History'!$B:$B,$A$58,'BA History'!AC:AC, 1)</f>
        <v>10</v>
      </c>
      <c r="AK58" s="2">
        <f>COUNTIFS('BA History'!$B:$B,$A$58,'BA History'!AD:AD, 1)</f>
        <v>7</v>
      </c>
      <c r="AL58" s="2">
        <f>COUNTIFS('BA History'!$B:$B,$A$58,'BA History'!AE:AE, 1)</f>
        <v>5</v>
      </c>
      <c r="AM58" s="2">
        <f>COUNTIFS('BA History'!$B:$B,$A$58,'BA History'!AF:AF, 1)</f>
        <v>1</v>
      </c>
      <c r="AN58" s="2">
        <f>COUNTIFS('BA History'!$B:$B,$A$58,'BA History'!AG:AG, 1)</f>
        <v>1</v>
      </c>
    </row>
    <row r="59" spans="1:40" x14ac:dyDescent="0.25">
      <c r="A59" s="1" t="s">
        <v>107</v>
      </c>
      <c r="B59" s="2" t="s">
        <v>79</v>
      </c>
      <c r="C59" s="2"/>
      <c r="D59" s="2"/>
      <c r="E59" s="2"/>
      <c r="F59" s="34">
        <f>SUMIFS('BA History'!C:C,'BA History'!B:B,A59)</f>
        <v>729</v>
      </c>
      <c r="G59" s="66">
        <f>AVERAGEIFS('BA History'!C:C,'BA History'!B:B,A59)</f>
        <v>15.847826086956522</v>
      </c>
      <c r="H59" s="35">
        <f t="array" ref="H59">MAX(IF('BA History'!B:B=A59, 'BA History'!C:C))</f>
        <v>35</v>
      </c>
      <c r="I59" s="34">
        <f>COUNTIFS('BA History'!B:B,A59,'BA History'!D:D, 1)</f>
        <v>26</v>
      </c>
      <c r="J59" s="2">
        <f>COUNTIFS('BA History'!B:B,A59,'BA History'!D:D, 0)</f>
        <v>20</v>
      </c>
      <c r="K59" s="75">
        <f>LOOKUP(2, 1/('BA History'!$B:$B=A59), 'BA History'!$AK:$AK)</f>
        <v>0.56521739130434778</v>
      </c>
      <c r="L59" s="34">
        <f>SUMIFS('BA History'!F:F,'BA History'!B:B,A59)</f>
        <v>95</v>
      </c>
      <c r="M59" s="2">
        <f>SUMIFS('BA History'!E:E,'BA History'!B:B,A59)-L59</f>
        <v>90</v>
      </c>
      <c r="N59" s="75">
        <f>LOOKUP(2, 1/('BA History'!$B:$B=A59), 'BA History'!$AI:$AI)</f>
        <v>0.50108695652173918</v>
      </c>
      <c r="O59" s="34">
        <f>SUMIFS('BA History'!H:H,'BA History'!B:B,A59)</f>
        <v>395</v>
      </c>
      <c r="P59" s="2">
        <f>SUMIFS('BA History'!G:G,'BA History'!B:B,A59)-O59</f>
        <v>367</v>
      </c>
      <c r="Q59" s="89">
        <f>LOOKUP(2, 1/('BA History'!$B:$B=A59), 'BA History'!$AJ:$AJ)</f>
        <v>0.51260869565217382</v>
      </c>
      <c r="R59" s="2">
        <f>COUNTIFS('BA History'!$B:$B,$A$59,'BA History'!K:K, 1)</f>
        <v>5</v>
      </c>
      <c r="S59" s="2">
        <f>COUNTIFS('BA History'!$B:$B,$A$59,'BA History'!L:L, 1)</f>
        <v>3</v>
      </c>
      <c r="T59" s="2">
        <f>COUNTIFS('BA History'!$B:$B,$A$59,'BA History'!M:M, 1)</f>
        <v>12</v>
      </c>
      <c r="U59" s="2">
        <f>COUNTIFS('BA History'!$B:$B,$A$59,'BA History'!N:N, 1)</f>
        <v>12</v>
      </c>
      <c r="V59" s="2">
        <f>COUNTIFS('BA History'!$B:$B,$A$59,'BA History'!O:O, 1)</f>
        <v>2</v>
      </c>
      <c r="W59" s="2">
        <f>COUNTIFS('BA History'!$B:$B,$A$59,'BA History'!P:P, 1)</f>
        <v>1</v>
      </c>
      <c r="X59" s="2">
        <f>COUNTIFS('BA History'!$B:$B,$A$59,'BA History'!Q:Q, 1)</f>
        <v>2</v>
      </c>
      <c r="Y59" s="2">
        <f>COUNTIFS('BA History'!$B:$B,$A$59,'BA History'!R:R, 1)</f>
        <v>2</v>
      </c>
      <c r="Z59" s="2">
        <f>COUNTIFS('BA History'!$B:$B,$A$59,'BA History'!S:S, 1)</f>
        <v>1</v>
      </c>
      <c r="AA59" s="2">
        <f>COUNTIFS('BA History'!$B:$B,$A$59,'BA History'!T:T, 1)</f>
        <v>0</v>
      </c>
      <c r="AB59" s="2">
        <f>COUNTIFS('BA History'!$B:$B,$A$59,'BA History'!U:U, 1)</f>
        <v>2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7</v>
      </c>
      <c r="AG59" s="2">
        <f>COUNTIFS('BA History'!$B:$B,$A$59,'BA History'!Z:Z, 1)</f>
        <v>10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9</v>
      </c>
      <c r="AK59" s="2">
        <f>COUNTIFS('BA History'!$B:$B,$A$59,'BA History'!AD:AD, 1)</f>
        <v>5</v>
      </c>
      <c r="AL59" s="2">
        <f>COUNTIFS('BA History'!$B:$B,$A$59,'BA History'!AE:AE, 1)</f>
        <v>9</v>
      </c>
      <c r="AM59" s="2">
        <f>COUNTIFS('BA History'!$B:$B,$A$59,'BA History'!AF:AF, 1)</f>
        <v>0</v>
      </c>
      <c r="AN59" s="2">
        <f>COUNTIFS('BA History'!$B:$B,$A$59,'BA History'!AG:AG, 1)</f>
        <v>6</v>
      </c>
    </row>
    <row r="60" spans="1:40" x14ac:dyDescent="0.25">
      <c r="A60" s="2" t="s">
        <v>94</v>
      </c>
      <c r="B60" s="2" t="s">
        <v>79</v>
      </c>
      <c r="C60" s="2"/>
      <c r="D60" s="2"/>
      <c r="E60" s="2"/>
      <c r="F60" s="34">
        <f>SUMIFS('BA History'!C:C,'BA History'!B:B,A60)</f>
        <v>18</v>
      </c>
      <c r="G60" s="66">
        <f>AVERAGEIFS('BA History'!C:C,'BA History'!B:B,A60)</f>
        <v>18</v>
      </c>
      <c r="H60" s="35">
        <f t="array" ref="H60">MAX(IF('BA History'!B:B=A60, 'BA History'!C:C))</f>
        <v>18</v>
      </c>
      <c r="I60" s="34">
        <f>COUNTIFS('BA History'!B:B,A60,'BA History'!D:D, 1)</f>
        <v>1</v>
      </c>
      <c r="J60" s="2">
        <f>COUNTIFS('BA History'!B:B,A60,'BA History'!D:D, 0)</f>
        <v>0</v>
      </c>
      <c r="K60" s="75">
        <f>LOOKUP(2, 1/('BA History'!$B:$B=A60), 'BA History'!$AK:$AK)</f>
        <v>1</v>
      </c>
      <c r="L60" s="34">
        <f>SUMIFS('BA History'!F:F,'BA History'!B:B,A60)</f>
        <v>3</v>
      </c>
      <c r="M60" s="2">
        <f>SUMIFS('BA History'!E:E,'BA History'!B:B,A60)-L60</f>
        <v>2</v>
      </c>
      <c r="N60" s="75">
        <f>LOOKUP(2, 1/('BA History'!$B:$B=A60), 'BA History'!$AI:$AI)</f>
        <v>0.6</v>
      </c>
      <c r="O60" s="34">
        <f>SUMIFS('BA History'!H:H,'BA History'!B:B,A60)</f>
        <v>11</v>
      </c>
      <c r="P60" s="2">
        <f>SUMIFS('BA History'!G:G,'BA History'!B:B,A60)-O60</f>
        <v>10</v>
      </c>
      <c r="Q60" s="89">
        <f>LOOKUP(2, 1/('BA History'!$B:$B=A60), 'BA History'!$AJ:$AJ)</f>
        <v>0.52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1</v>
      </c>
      <c r="AE60" s="2">
        <f>COUNTIFS('BA History'!$B:$B,$A$60,'BA History'!X:X, 1)</f>
        <v>1</v>
      </c>
      <c r="AF60" s="2">
        <f>COUNTIFS('BA History'!$B:$B,$A$60,'BA History'!Y:Y, 1)</f>
        <v>0</v>
      </c>
      <c r="AG60" s="2">
        <f>COUNTIFS('BA History'!$B:$B,$A$60,'BA History'!Z:Z, 1)</f>
        <v>1</v>
      </c>
      <c r="AH60" s="2">
        <f>COUNTIFS('BA History'!$B:$B,$A60,'BA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  <c r="AN60" s="2">
        <f>COUNTIFS('BA History'!$B:$B,$A$60,'BA History'!AG:AG, 1)</f>
        <v>0</v>
      </c>
    </row>
    <row r="61" spans="1:40" ht="15.75" thickBot="1" x14ac:dyDescent="0.3">
      <c r="A61" s="2" t="s">
        <v>55</v>
      </c>
      <c r="B61" s="2" t="s">
        <v>79</v>
      </c>
      <c r="C61" s="2"/>
      <c r="D61" s="2"/>
      <c r="E61" s="2"/>
      <c r="F61" s="34">
        <f>SUMIFS('BA History'!C:C,'BA History'!B:B,A61)</f>
        <v>2</v>
      </c>
      <c r="G61" s="66">
        <f>AVERAGEIFS('BA History'!C:C,'BA History'!B:B,A61)</f>
        <v>2</v>
      </c>
      <c r="H61" s="35">
        <f t="array" ref="H61">MAX(IF('BA History'!B:B=A61, 'BA History'!C:C))</f>
        <v>2</v>
      </c>
      <c r="I61" s="34">
        <f>COUNTIFS('BA History'!B:B,A61,'BA History'!D:D, 1)</f>
        <v>0</v>
      </c>
      <c r="J61" s="2">
        <f>COUNTIFS('BA History'!B:B,A61,'BA History'!D:D, 0)</f>
        <v>1</v>
      </c>
      <c r="K61" s="75">
        <f>LOOKUP(2, 1/('BA History'!$B:$B=A61), 'BA History'!$AK:$AK)</f>
        <v>0</v>
      </c>
      <c r="L61" s="34">
        <f>SUMIFS('BA History'!F:F,'BA History'!B:B,A61)</f>
        <v>0</v>
      </c>
      <c r="M61" s="2">
        <f>SUMIFS('BA History'!E:E,'BA History'!B:B,A61)-L61</f>
        <v>3</v>
      </c>
      <c r="N61" s="75">
        <f>LOOKUP(2, 1/('BA History'!$B:$B=A61), 'BA History'!$AI:$AI)</f>
        <v>0</v>
      </c>
      <c r="O61" s="34">
        <f>SUMIFS('BA History'!H:H,'BA History'!B:B,A61)</f>
        <v>4</v>
      </c>
      <c r="P61" s="48">
        <v>9</v>
      </c>
      <c r="Q61" s="89">
        <f>LOOKUP(2, 1/('BA History'!$B:$B=A61), 'BA History'!$AJ:$AJ)</f>
        <v>0.31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0</v>
      </c>
      <c r="AE61" s="2">
        <f>COUNTIFS('BA History'!$B:$B,$A$61,'BA History'!X:X, 1)</f>
        <v>0</v>
      </c>
      <c r="AF61" s="2">
        <f>COUNTIFS('BA History'!$B:$B,$A$61,'BA History'!Y:Y, 1)</f>
        <v>0</v>
      </c>
      <c r="AG61" s="2">
        <f>COUNTIFS('BA History'!$B:$B,$A$61,'BA History'!Z:Z, 1)</f>
        <v>0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</sheetData>
  <autoFilter ref="A1:AN61" xr:uid="{DA548192-1F03-46EA-8AB8-115EB9A7CE5D}">
    <sortState xmlns:xlrd2="http://schemas.microsoft.com/office/spreadsheetml/2017/richdata2" ref="A2:AN61">
      <sortCondition ref="A1:A6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084"/>
  <sheetViews>
    <sheetView workbookViewId="0">
      <pane xSplit="2" ySplit="1" topLeftCell="C1060" activePane="bottomRight" state="frozen"/>
      <selection pane="topRight" activeCell="C1" sqref="C1"/>
      <selection pane="bottomLeft" activeCell="A2" sqref="A2"/>
      <selection pane="bottomRight" activeCell="AG1084" sqref="A1069:AG108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39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S2'!$AK:$AK)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S2'!$AI:$AI)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S2'!$AJ:$AJ)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1</v>
      </c>
      <c r="AM2" s="2">
        <f>COUNTIFS('BA History S2'!$B:$B,$A$2,'BA History S2'!AF:AF, 1)</f>
        <v>0</v>
      </c>
      <c r="AN2" s="2">
        <f>COUNTIFS('BA History S2'!$B:$B,$A$2,'BA History S2'!AG:AG, 1)</f>
        <v>0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41</v>
      </c>
      <c r="G3" s="66">
        <f>AVERAGEIFS('BA History S2'!C:C,'BA History S2'!B:B,A3)</f>
        <v>20.5</v>
      </c>
      <c r="H3" s="35">
        <f t="array" ref="H3">MAX(IF('BA History S2'!B:B=A3, 'BA History S2'!C:C))</f>
        <v>27</v>
      </c>
      <c r="I3" s="34">
        <f>COUNTIFS('BA History S2'!B:B,A3,'BA History S2'!D:D, 1)</f>
        <v>2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6</v>
      </c>
      <c r="M3" s="2">
        <f>SUMIFS('BA History S2'!E:E,'BA History S2'!B:B,A3)-L3</f>
        <v>2</v>
      </c>
      <c r="N3" s="75">
        <f>LOOKUP(2, 1/('BA History S2'!$B:$B=A3), 'BA History S2'!$AI:$AI)</f>
        <v>0.75</v>
      </c>
      <c r="O3" s="34">
        <f>SUMIFS('BA History S2'!H:H,'BA History S2'!B:B,A3)</f>
        <v>21</v>
      </c>
      <c r="P3" s="2">
        <f>SUMIFS('BA History S2'!G:G,'BA History S2'!B:B,A3)-O3</f>
        <v>15</v>
      </c>
      <c r="Q3" s="89">
        <f>LOOKUP(2, 1/('BA History S2'!$B:$B=A3), 'BA History S2'!$AJ:$AJ)</f>
        <v>0.58499999999999996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1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1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0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174</v>
      </c>
      <c r="G4" s="66">
        <f>AVERAGEIFS('BA History S2'!C:C,'BA History S2'!B:B,A4)</f>
        <v>12.428571428571429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9</v>
      </c>
      <c r="K4" s="75">
        <f>LOOKUP(2, 1/('BA History S2'!$B:$B=A4), 'BA History S2'!$AK:$AK)</f>
        <v>0.35714285714285715</v>
      </c>
      <c r="L4" s="34">
        <f>SUMIFS('BA History S2'!F:F,'BA History S2'!B:B,A4)</f>
        <v>25</v>
      </c>
      <c r="M4" s="2">
        <f>SUMIFS('BA History S2'!E:E,'BA History S2'!B:B,A4)-L4</f>
        <v>33</v>
      </c>
      <c r="N4" s="75">
        <f>LOOKUP(2, 1/('BA History S2'!$B:$B=A4), 'BA History S2'!$AI:$AI)</f>
        <v>0.41428571428571426</v>
      </c>
      <c r="O4" s="34">
        <f>SUMIFS('BA History S2'!H:H,'BA History S2'!B:B,A4)</f>
        <v>118</v>
      </c>
      <c r="P4" s="2">
        <f>SUMIFS('BA History S2'!G:G,'BA History S2'!B:B,A4)-O4</f>
        <v>134</v>
      </c>
      <c r="Q4" s="89">
        <f>LOOKUP(2, 1/('BA History S2'!$B:$B=A4), 'BA History S2'!$AJ:$AJ)</f>
        <v>0.45928571428571419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1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52</v>
      </c>
      <c r="G5" s="66">
        <f>AVERAGEIFS('BA History S2'!C:C,'BA History S2'!B:B,A5)</f>
        <v>7.4285714285714288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5</v>
      </c>
      <c r="K5" s="75">
        <f>LOOKUP(2, 1/('BA History S2'!$B:$B=A5), 'BA History S2'!$AK:$AK)</f>
        <v>0.2857142857142857</v>
      </c>
      <c r="L5" s="34">
        <f>SUMIFS('BA History S2'!F:F,'BA History S2'!B:B,A5)</f>
        <v>11</v>
      </c>
      <c r="M5" s="2">
        <f>SUMIFS('BA History S2'!E:E,'BA History S2'!B:B,A5)-L5</f>
        <v>17</v>
      </c>
      <c r="N5" s="75">
        <f>LOOKUP(2, 1/('BA History S2'!$B:$B=A5), 'BA History S2'!$AI:$AI)</f>
        <v>0.39285714285714285</v>
      </c>
      <c r="O5" s="34">
        <f>SUMIFS('BA History S2'!H:H,'BA History S2'!B:B,A5)</f>
        <v>47</v>
      </c>
      <c r="P5" s="2">
        <f>SUMIFS('BA History S2'!G:G,'BA History S2'!B:B,A5)-O5</f>
        <v>63</v>
      </c>
      <c r="Q5" s="89">
        <f>LOOKUP(2, 1/('BA History S2'!$B:$B=A5), 'BA History S2'!$AJ:$AJ)</f>
        <v>0.44428571428571434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339</v>
      </c>
      <c r="G6" s="66">
        <f>AVERAGEIFS('BA History S2'!C:C,'BA History S2'!B:B,A6)</f>
        <v>16.142857142857142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11</v>
      </c>
      <c r="K6" s="75">
        <f>LOOKUP(2, 1/('BA History S2'!$B:$B=A6), 'BA History S2'!$AK:$AK)</f>
        <v>0.47619047619047616</v>
      </c>
      <c r="L6" s="34">
        <f>SUMIFS('BA History S2'!F:F,'BA History S2'!B:B,A6)</f>
        <v>39</v>
      </c>
      <c r="M6" s="2">
        <f>SUMIFS('BA History S2'!E:E,'BA History S2'!B:B,A6)-L6</f>
        <v>42</v>
      </c>
      <c r="N6" s="75">
        <f>LOOKUP(2, 1/('BA History S2'!$B:$B=A6), 'BA History S2'!$AI:$AI)</f>
        <v>0.48095238095238091</v>
      </c>
      <c r="O6" s="34">
        <f>SUMIFS('BA History S2'!H:H,'BA History S2'!B:B,A6)</f>
        <v>159</v>
      </c>
      <c r="P6" s="2">
        <f>SUMIFS('BA History S2'!G:G,'BA History S2'!B:B,A6)-O6</f>
        <v>178</v>
      </c>
      <c r="Q6" s="89">
        <f>LOOKUP(2, 1/('BA History S2'!$B:$B=A6), 'BA History S2'!$AJ:$AJ)</f>
        <v>0.46380952380952389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1</v>
      </c>
      <c r="AJ6" s="2">
        <f>COUNTIFS('BA History S2'!$B:$B,$A$6,'BA History S2'!AC:AC, 1)</f>
        <v>9</v>
      </c>
      <c r="AK6" s="2">
        <f>COUNTIFS('BA History S2'!$B:$B,$A$6,'BA History S2'!AD:AD, 1)</f>
        <v>1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59</v>
      </c>
      <c r="G7" s="66">
        <f>AVERAGEIFS('BA History S2'!C:C,'BA History S2'!B:B,A7)</f>
        <v>14.75</v>
      </c>
      <c r="H7" s="35">
        <f t="array" ref="H7">MAX(IF('BA History S2'!B:B=A7, 'BA History S2'!C:C))</f>
        <v>21</v>
      </c>
      <c r="I7" s="34">
        <f>COUNTIFS('BA History S2'!B:B,A7,'BA History S2'!D:D, 1)</f>
        <v>2</v>
      </c>
      <c r="J7" s="2">
        <f>COUNTIFS('BA History S2'!B:B,A7,'BA History S2'!D:D, 0)</f>
        <v>2</v>
      </c>
      <c r="K7" s="75">
        <f>LOOKUP(2, 1/('BA History S2'!$B:$B=A7), 'BA History S2'!$AK:$AK)</f>
        <v>0.5</v>
      </c>
      <c r="L7" s="34">
        <f>SUMIFS('BA History S2'!F:F,'BA History S2'!B:B,A7)</f>
        <v>8</v>
      </c>
      <c r="M7" s="2">
        <f>SUMIFS('BA History S2'!E:E,'BA History S2'!B:B,A7)-L7</f>
        <v>7</v>
      </c>
      <c r="N7" s="75">
        <f>LOOKUP(2, 1/('BA History S2'!$B:$B=A7), 'BA History S2'!$AI:$AI)</f>
        <v>0.53749999999999998</v>
      </c>
      <c r="O7" s="34">
        <f>SUMIFS('BA History S2'!H:H,'BA History S2'!B:B,A7)</f>
        <v>30</v>
      </c>
      <c r="P7" s="2">
        <f>SUMIFS('BA History S2'!G:G,'BA History S2'!B:B,A7)-O7</f>
        <v>28</v>
      </c>
      <c r="Q7" s="89">
        <f>LOOKUP(2, 1/('BA History S2'!$B:$B=A7), 'BA History S2'!$AJ:$AJ)</f>
        <v>0.53249999999999997</v>
      </c>
      <c r="R7" s="2">
        <f>COUNTIFS('BA History S2'!$B:$B,$A$7,'BA History S2'!K:K, 1)</f>
        <v>1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1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1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146</v>
      </c>
      <c r="B9" s="2" t="s">
        <v>79</v>
      </c>
      <c r="C9" s="2"/>
      <c r="D9" s="2"/>
      <c r="E9" s="2"/>
      <c r="F9" s="34">
        <f>SUMIFS('BA History S2'!C:C,'BA History S2'!B:B,A9)</f>
        <v>27</v>
      </c>
      <c r="G9" s="66">
        <f>AVERAGEIFS('BA History S2'!C:C,'BA History S2'!B:B,A9)</f>
        <v>9</v>
      </c>
      <c r="H9" s="35">
        <f t="array" ref="H9">MAX(IF('BA History S2'!B:B=A9, 'BA History S2'!C:C))</f>
        <v>13</v>
      </c>
      <c r="I9" s="34">
        <f>COUNTIFS('BA History S2'!B:B,A9,'BA History S2'!D:D, 1)</f>
        <v>0</v>
      </c>
      <c r="J9" s="2">
        <f>COUNTIFS('BA History S2'!B:B,A9,'BA History S2'!D:D, 0)</f>
        <v>3</v>
      </c>
      <c r="K9" s="75">
        <f>LOOKUP(2, 1/('BA History S2'!$B:$B=A9), 'BA History S2'!$AK:$AK)</f>
        <v>0</v>
      </c>
      <c r="L9" s="34">
        <f>SUMIFS('BA History S2'!F:F,'BA History S2'!B:B,A9)</f>
        <v>1</v>
      </c>
      <c r="M9" s="2">
        <f>SUMIFS('BA History S2'!E:E,'BA History S2'!B:B,A9)-L9</f>
        <v>9</v>
      </c>
      <c r="N9" s="75">
        <f>LOOKUP(2, 1/('BA History S2'!$B:$B=A9), 'BA History S2'!$AI:$AI)</f>
        <v>8.3333333333333329E-2</v>
      </c>
      <c r="O9" s="34">
        <f>SUMIFS('BA History S2'!H:H,'BA History S2'!B:B,A9)</f>
        <v>14</v>
      </c>
      <c r="P9" s="2">
        <f>SUMIFS('BA History S2'!G:G,'BA History S2'!B:B,A9)-O9</f>
        <v>28</v>
      </c>
      <c r="Q9" s="89">
        <f>LOOKUP(2, 1/('BA History S2'!$B:$B=A9), 'BA History S2'!$AJ:$AJ)</f>
        <v>0.3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0</v>
      </c>
    </row>
    <row r="10" spans="1:40" x14ac:dyDescent="0.25">
      <c r="A10" s="2" t="s">
        <v>27</v>
      </c>
      <c r="B10" s="2" t="s">
        <v>79</v>
      </c>
      <c r="C10" s="2"/>
      <c r="D10" s="2"/>
      <c r="E10" s="2"/>
      <c r="F10" s="34">
        <f>SUMIFS('BA History S2'!C:C,'BA History S2'!B:B,A10)</f>
        <v>21</v>
      </c>
      <c r="G10" s="66">
        <f>AVERAGEIFS('BA History S2'!C:C,'BA History S2'!B:B,A10)</f>
        <v>10.5</v>
      </c>
      <c r="H10" s="35">
        <f t="array" ref="H10">MAX(IF('BA History S2'!B:B=A10, 'BA History S2'!C:C))</f>
        <v>15</v>
      </c>
      <c r="I10" s="34">
        <f>COUNTIFS('BA History S2'!B:B,A10,'BA History S2'!D:D, 1)</f>
        <v>1</v>
      </c>
      <c r="J10" s="2">
        <f>COUNTIFS('BA History S2'!B:B,A10,'BA History S2'!D:D, 0)</f>
        <v>1</v>
      </c>
      <c r="K10" s="75">
        <f>LOOKUP(2, 1/('BA History S2'!$B:$B=A10), 'BA History S2'!$AK:$AK)</f>
        <v>0.5</v>
      </c>
      <c r="L10" s="34">
        <f>SUMIFS('BA History S2'!F:F,'BA History S2'!B:B,A10)</f>
        <v>5</v>
      </c>
      <c r="M10" s="2">
        <f>SUMIFS('BA History S2'!E:E,'BA History S2'!B:B,A10)-L10</f>
        <v>3</v>
      </c>
      <c r="N10" s="75">
        <f>LOOKUP(2, 1/('BA History S2'!$B:$B=A10), 'BA History S2'!$AI:$AI)</f>
        <v>0.7</v>
      </c>
      <c r="O10" s="34">
        <f>SUMIFS('BA History S2'!H:H,'BA History S2'!B:B,A10)</f>
        <v>20</v>
      </c>
      <c r="P10" s="2">
        <f>SUMIFS('BA History S2'!G:G,'BA History S2'!B:B,A10)-O10</f>
        <v>18</v>
      </c>
      <c r="Q10" s="89">
        <f>LOOKUP(2, 1/('BA History S2'!$B:$B=A10), 'BA History S2'!$AJ:$AJ)</f>
        <v>0.55000000000000004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152</v>
      </c>
      <c r="B11" s="2" t="s">
        <v>79</v>
      </c>
      <c r="C11" s="2"/>
      <c r="D11" s="2"/>
      <c r="E11" s="2"/>
      <c r="F11" s="34">
        <f>SUMIFS('BA History S2'!C:C,'BA History S2'!B:B,A11)</f>
        <v>67</v>
      </c>
      <c r="G11" s="66">
        <f>AVERAGEIFS('BA History S2'!C:C,'BA History S2'!B:B,A11)</f>
        <v>11.166666666666666</v>
      </c>
      <c r="H11" s="35">
        <f t="array" ref="H11">MAX(IF('BA History S2'!B:B=A11, 'BA History S2'!C:C))</f>
        <v>19</v>
      </c>
      <c r="I11" s="34">
        <f>COUNTIFS('BA History S2'!B:B,A11,'BA History S2'!D:D, 1)</f>
        <v>2</v>
      </c>
      <c r="J11" s="2">
        <f>COUNTIFS('BA History S2'!B:B,A11,'BA History S2'!D:D, 0)</f>
        <v>4</v>
      </c>
      <c r="K11" s="75">
        <f>LOOKUP(2, 1/('BA History S2'!$B:$B=A11), 'BA History S2'!$AK:$AK)</f>
        <v>0.33333333333333331</v>
      </c>
      <c r="L11" s="34">
        <f>SUMIFS('BA History S2'!F:F,'BA History S2'!B:B,A11)</f>
        <v>10</v>
      </c>
      <c r="M11" s="2">
        <f>SUMIFS('BA History S2'!E:E,'BA History S2'!B:B,A11)-L11</f>
        <v>15</v>
      </c>
      <c r="N11" s="75">
        <f>LOOKUP(2, 1/('BA History S2'!$B:$B=A11), 'BA History S2'!$AI:$AI)</f>
        <v>0.375</v>
      </c>
      <c r="O11" s="34">
        <f>SUMIFS('BA History S2'!H:H,'BA History S2'!B:B,A11)</f>
        <v>47</v>
      </c>
      <c r="P11" s="2">
        <f>SUMIFS('BA History S2'!G:G,'BA History S2'!B:B,A11)-O11</f>
        <v>56</v>
      </c>
      <c r="Q11" s="89">
        <f>LOOKUP(2, 1/('BA History S2'!$B:$B=A11), 'BA History S2'!$AJ:$AJ)</f>
        <v>0.44333333333333336</v>
      </c>
      <c r="R11" s="2">
        <f>COUNTIFS('BA History S2'!$B:$B,$A$11,'BA History S2'!K:K, 1)</f>
        <v>1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1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50</v>
      </c>
      <c r="B12" s="2" t="s">
        <v>79</v>
      </c>
      <c r="C12" s="2"/>
      <c r="D12" s="2">
        <v>1</v>
      </c>
      <c r="E12" s="2"/>
      <c r="F12" s="34">
        <f>SUMIFS('BA History S2'!C:C,'BA History S2'!B:B,A12)</f>
        <v>179</v>
      </c>
      <c r="G12" s="66">
        <f>AVERAGEIFS('BA History S2'!C:C,'BA History S2'!B:B,A12)</f>
        <v>16.272727272727273</v>
      </c>
      <c r="H12" s="35">
        <f t="array" ref="H12">MAX(IF('BA History S2'!B:B=A12, 'BA History S2'!C:C))</f>
        <v>24</v>
      </c>
      <c r="I12" s="34">
        <f>COUNTIFS('BA History S2'!B:B,A12,'BA History S2'!D:D, 1)</f>
        <v>4</v>
      </c>
      <c r="J12" s="2">
        <f>COUNTIFS('BA History S2'!B:B,A12,'BA History S2'!D:D, 0)</f>
        <v>7</v>
      </c>
      <c r="K12" s="75">
        <f>LOOKUP(2, 1/('BA History S2'!$B:$B=A12), 'BA History S2'!$AK:$AK)</f>
        <v>0.36363636363636365</v>
      </c>
      <c r="L12" s="34">
        <f>SUMIFS('BA History S2'!F:F,'BA History S2'!B:B,A12)</f>
        <v>18</v>
      </c>
      <c r="M12" s="2">
        <f>SUMIFS('BA History S2'!E:E,'BA History S2'!B:B,A12)-L12</f>
        <v>27</v>
      </c>
      <c r="N12" s="75">
        <f>LOOKUP(2, 1/('BA History S2'!$B:$B=A12), 'BA History S2'!$AI:$AI)</f>
        <v>0.37272727272727268</v>
      </c>
      <c r="O12" s="34">
        <f>SUMIFS('BA History S2'!H:H,'BA History S2'!B:B,A12)</f>
        <v>86</v>
      </c>
      <c r="P12" s="2">
        <f>SUMIFS('BA History S2'!G:G,'BA History S2'!B:B,A12)-O12</f>
        <v>103</v>
      </c>
      <c r="Q12" s="89">
        <f>LOOKUP(2, 1/('BA History S2'!$B:$B=A12), 'BA History S2'!$AJ:$AJ)</f>
        <v>0.43727272727272726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3</v>
      </c>
      <c r="U12" s="2">
        <f>COUNTIFS('BA History S2'!$B:$B,$A$12,'BA History S2'!N:N, 1)</f>
        <v>2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4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1</v>
      </c>
      <c r="AN12" s="2">
        <f>COUNTIFS('BA History S2'!$B:$B,$A$12,'BA History S2'!AG:AG, 1)</f>
        <v>1</v>
      </c>
    </row>
    <row r="13" spans="1:40" x14ac:dyDescent="0.25">
      <c r="A13" s="2" t="s">
        <v>52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27</v>
      </c>
      <c r="G13" s="66">
        <f>AVERAGEIFS('BA History S2'!C:C,'BA History S2'!B:B,A13)</f>
        <v>13.5</v>
      </c>
      <c r="H13" s="35">
        <f t="array" ref="H13">MAX(IF('BA History S2'!B:B=A13, 'BA History S2'!C:C))</f>
        <v>17</v>
      </c>
      <c r="I13" s="34">
        <f>COUNTIFS('BA History S2'!B:B,A13,'BA History S2'!D:D, 1)</f>
        <v>0</v>
      </c>
      <c r="J13" s="2">
        <f>COUNTIFS('BA History S2'!B:B,A13,'BA History S2'!D:D, 0)</f>
        <v>2</v>
      </c>
      <c r="K13" s="75">
        <f>LOOKUP(2, 1/('BA History S2'!$B:$B=A13), 'BA History S2'!$AK:$AK)</f>
        <v>0</v>
      </c>
      <c r="L13" s="34">
        <f>SUMIFS('BA History S2'!F:F,'BA History S2'!B:B,A13)</f>
        <v>3</v>
      </c>
      <c r="M13" s="2">
        <f>SUMIFS('BA History S2'!E:E,'BA History S2'!B:B,A13)-L13</f>
        <v>6</v>
      </c>
      <c r="N13" s="75">
        <f>LOOKUP(2, 1/('BA History S2'!$B:$B=A13), 'BA History S2'!$AI:$AI)</f>
        <v>0.32500000000000001</v>
      </c>
      <c r="O13" s="34">
        <f>SUMIFS('BA History S2'!H:H,'BA History S2'!B:B,A13)</f>
        <v>17</v>
      </c>
      <c r="P13" s="2">
        <f>SUMIFS('BA History S2'!G:G,'BA History S2'!B:B,A13)-O13</f>
        <v>21</v>
      </c>
      <c r="Q13" s="89">
        <f>LOOKUP(2, 1/('BA History S2'!$B:$B=A13), 'BA History S2'!$AJ:$AJ)</f>
        <v>0.44499999999999995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0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44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356</v>
      </c>
      <c r="G14" s="66">
        <f>AVERAGEIFS('BA History S2'!C:C,'BA History S2'!B:B,A14)</f>
        <v>16.952380952380953</v>
      </c>
      <c r="H14" s="35">
        <f t="array" ref="H14">MAX(IF('BA History S2'!B:B=A14, 'BA History S2'!C:C))</f>
        <v>31</v>
      </c>
      <c r="I14" s="34">
        <f>COUNTIFS('BA History S2'!B:B,A14,'BA History S2'!D:D, 1)</f>
        <v>12</v>
      </c>
      <c r="J14" s="2">
        <f>COUNTIFS('BA History S2'!B:B,A14,'BA History S2'!D:D, 0)</f>
        <v>9</v>
      </c>
      <c r="K14" s="75">
        <f>LOOKUP(2, 1/('BA History S2'!$B:$B=A14), 'BA History S2'!$AK:$AK)</f>
        <v>0.5714285714285714</v>
      </c>
      <c r="L14" s="34">
        <f>SUMIFS('BA History S2'!F:F,'BA History S2'!B:B,A14)</f>
        <v>45</v>
      </c>
      <c r="M14" s="2">
        <f>SUMIFS('BA History S2'!E:E,'BA History S2'!B:B,A14)-L14</f>
        <v>39</v>
      </c>
      <c r="N14" s="75">
        <f>LOOKUP(2, 1/('BA History S2'!$B:$B=A14), 'BA History S2'!$AI:$AI)</f>
        <v>0.54523809523809519</v>
      </c>
      <c r="O14" s="34">
        <f>SUMIFS('BA History S2'!H:H,'BA History S2'!B:B,A14)</f>
        <v>180</v>
      </c>
      <c r="P14" s="2">
        <f>SUMIFS('BA History S2'!G:G,'BA History S2'!B:B,A14)-O14</f>
        <v>171</v>
      </c>
      <c r="Q14" s="89">
        <f>LOOKUP(2, 1/('BA History S2'!$B:$B=A14), 'BA History S2'!$AJ:$AJ)</f>
        <v>0.52476190476190476</v>
      </c>
      <c r="R14" s="2">
        <f>COUNTIFS('BA History S2'!$B:$B,$A$14,'BA History S2'!K:K, 1)</f>
        <v>2</v>
      </c>
      <c r="S14" s="2">
        <f>COUNTIFS('BA History S2'!$B:$B,$A$14,'BA History S2'!L:L, 1)</f>
        <v>1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3</v>
      </c>
      <c r="AG14" s="2">
        <f>COUNTIFS('BA History S2'!$B:$B,$A$14,'BA History S2'!Z:Z, 1)</f>
        <v>4</v>
      </c>
      <c r="AH14" s="2">
        <f>COUNTIFS('BA History S2'!$B:$B,$A14,'BA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6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0</v>
      </c>
      <c r="AN14" s="2">
        <f>COUNTIFS('BA History S2'!$B:$B,$A$14,'BA History S2'!AG:AG, 1)</f>
        <v>5</v>
      </c>
    </row>
    <row r="15" spans="1:40" x14ac:dyDescent="0.25">
      <c r="A15" s="2" t="s">
        <v>167</v>
      </c>
      <c r="B15" s="2" t="s">
        <v>79</v>
      </c>
      <c r="C15" s="2"/>
      <c r="D15" s="2"/>
      <c r="E15" s="2"/>
      <c r="F15" s="34">
        <f>SUMIFS('BA History S2'!C:C,'BA History S2'!B:B,A15)</f>
        <v>20</v>
      </c>
      <c r="G15" s="66">
        <f>AVERAGEIFS('BA History S2'!C:C,'BA History S2'!B:B,A15)</f>
        <v>10</v>
      </c>
      <c r="H15" s="35">
        <f t="array" ref="H15">MAX(IF('BA History S2'!B:B=A15, 'BA History S2'!C:C))</f>
        <v>14</v>
      </c>
      <c r="I15" s="34">
        <f>COUNTIFS('BA History S2'!B:B,A15,'BA History S2'!D:D, 1)</f>
        <v>1</v>
      </c>
      <c r="J15" s="2">
        <f>COUNTIFS('BA History S2'!B:B,A15,'BA History S2'!D:D, 0)</f>
        <v>1</v>
      </c>
      <c r="K15" s="75">
        <f>LOOKUP(2, 1/('BA History S2'!$B:$B=A15), 'BA History S2'!$AK:$AK)</f>
        <v>0.5</v>
      </c>
      <c r="L15" s="34">
        <f>SUMIFS('BA History S2'!F:F,'BA History S2'!B:B,A15)</f>
        <v>4</v>
      </c>
      <c r="M15" s="2">
        <f>SUMIFS('BA History S2'!E:E,'BA History S2'!B:B,A15)-L15</f>
        <v>4</v>
      </c>
      <c r="N15" s="75">
        <f>LOOKUP(2, 1/('BA History S2'!$B:$B=A15), 'BA History S2'!$AI:$AI)</f>
        <v>0.5</v>
      </c>
      <c r="O15" s="34">
        <f>SUMIFS('BA History S2'!H:H,'BA History S2'!B:B,A15)</f>
        <v>17</v>
      </c>
      <c r="P15" s="2">
        <f>SUMIFS('BA History S2'!G:G,'BA History S2'!B:B,A15)-O15</f>
        <v>17</v>
      </c>
      <c r="Q15" s="89">
        <f>LOOKUP(2, 1/('BA History S2'!$B:$B=A15), 'BA History S2'!$AJ:$AJ)</f>
        <v>0.5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0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2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1</v>
      </c>
      <c r="B16" s="1" t="s">
        <v>158</v>
      </c>
      <c r="F16" s="34">
        <f>SUMIFS('BA History S2'!C:C,'BA History S2'!B:B,A16)</f>
        <v>462</v>
      </c>
      <c r="G16" s="66">
        <f>AVERAGEIFS('BA History S2'!C:C,'BA History S2'!B:B,A16)</f>
        <v>27.176470588235293</v>
      </c>
      <c r="H16" s="35">
        <f t="array" ref="H16">MAX(IF('BA History S2'!B:B=A16, 'BA History S2'!C:C))</f>
        <v>49</v>
      </c>
      <c r="I16" s="34">
        <f>COUNTIFS('BA History S2'!B:B,A16,'BA History S2'!D:D, 1)</f>
        <v>10</v>
      </c>
      <c r="J16" s="2">
        <f>COUNTIFS('BA History S2'!B:B,A16,'BA History S2'!D:D, 0)</f>
        <v>7</v>
      </c>
      <c r="K16" s="75">
        <f>LOOKUP(2, 1/('BA History S2'!$B:$B=A16), 'BA History S2'!$AK:$AK)</f>
        <v>0.58823529411764708</v>
      </c>
      <c r="L16" s="34">
        <f>SUMIFS('BA History S2'!F:F,'BA History S2'!B:B,A16)</f>
        <v>38</v>
      </c>
      <c r="M16" s="2">
        <f>SUMIFS('BA History S2'!E:E,'BA History S2'!B:B,A16)-L16</f>
        <v>29</v>
      </c>
      <c r="N16" s="75">
        <f>LOOKUP(2, 1/('BA History S2'!$B:$B=A16), 'BA History S2'!$AI:$AI)</f>
        <v>0.58235294117647063</v>
      </c>
      <c r="O16" s="34">
        <f>SUMIFS('BA History S2'!H:H,'BA History S2'!B:B,A16)</f>
        <v>150</v>
      </c>
      <c r="P16" s="2">
        <f>SUMIFS('BA History S2'!G:G,'BA History S2'!B:B,A16)-O16</f>
        <v>128</v>
      </c>
      <c r="Q16" s="89">
        <f>LOOKUP(2, 1/('BA History S2'!$B:$B=A16), 'BA History S2'!$AJ:$AJ)</f>
        <v>0.55882352941176461</v>
      </c>
      <c r="R16" s="2">
        <f>COUNTIFS('BA History S2'!$B:$B,$A$16,'BA History S2'!K:K, 1)</f>
        <v>2</v>
      </c>
      <c r="S16" s="2">
        <f>COUNTIFS('BA History S2'!$B:$B,$A$16,'BA History S2'!L:L, 1)</f>
        <v>2</v>
      </c>
      <c r="T16" s="2">
        <f>COUNTIFS('BA History S2'!$B:$B,$A$16,'BA History S2'!M:M, 1)</f>
        <v>2</v>
      </c>
      <c r="U16" s="2">
        <f>COUNTIFS('BA History S2'!$B:$B,$A$16,'BA History S2'!N:N, 1)</f>
        <v>4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2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4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3</v>
      </c>
    </row>
    <row r="17" spans="1:40" ht="15.75" x14ac:dyDescent="0.25">
      <c r="A17" s="2" t="s">
        <v>150</v>
      </c>
      <c r="B17" s="95" t="s">
        <v>79</v>
      </c>
      <c r="C17" s="95">
        <v>1</v>
      </c>
      <c r="D17" s="95"/>
      <c r="E17" s="95"/>
      <c r="F17" s="34">
        <f>SUMIFS('BA History S2'!C:C,'BA History S2'!B:B,A17)</f>
        <v>312</v>
      </c>
      <c r="G17" s="66">
        <f>AVERAGEIFS('BA History S2'!C:C,'BA History S2'!B:B,A17)</f>
        <v>19.5</v>
      </c>
      <c r="H17" s="35">
        <f t="array" ref="H17">MAX(IF('BA History S2'!B:B=A17, 'BA History S2'!C:C))</f>
        <v>30</v>
      </c>
      <c r="I17" s="34">
        <f>COUNTIFS('BA History S2'!B:B,A17,'BA History S2'!D:D, 1)</f>
        <v>12</v>
      </c>
      <c r="J17" s="2">
        <f>COUNTIFS('BA History S2'!B:B,A17,'BA History S2'!D:D, 0)</f>
        <v>4</v>
      </c>
      <c r="K17" s="75">
        <f>LOOKUP(2, 1/('BA History S2'!$B:$B=A17), 'BA History S2'!$AK:$AK)</f>
        <v>0.75</v>
      </c>
      <c r="L17" s="34">
        <f>SUMIFS('BA History S2'!F:F,'BA History S2'!B:B,A17)</f>
        <v>40</v>
      </c>
      <c r="M17" s="2">
        <f>SUMIFS('BA History S2'!E:E,'BA History S2'!B:B,A17)-L17</f>
        <v>21</v>
      </c>
      <c r="N17" s="75">
        <f>LOOKUP(2, 1/('BA History S2'!$B:$B=A17), 'BA History S2'!$AI:$AI)</f>
        <v>0.671875</v>
      </c>
      <c r="O17" s="34">
        <f>SUMIFS('BA History S2'!H:H,'BA History S2'!B:B,A17)</f>
        <v>143</v>
      </c>
      <c r="P17" s="2">
        <f>SUMIFS('BA History S2'!G:G,'BA History S2'!B:B,A17)-O17</f>
        <v>99</v>
      </c>
      <c r="Q17" s="89">
        <f>LOOKUP(2, 1/('BA History S2'!$B:$B=A17), 'BA History S2'!$AJ:$AJ)</f>
        <v>0.61062499999999997</v>
      </c>
      <c r="R17" s="2">
        <f>COUNTIFS('BA History S2'!$B:$B,$A$17,'BA History S2'!K:K, 1)</f>
        <v>0</v>
      </c>
      <c r="S17" s="2">
        <f>COUNTIFS('BA History S2'!$B:$B,$A$17,'BA History S2'!L:L, 1)</f>
        <v>1</v>
      </c>
      <c r="T17" s="2">
        <f>COUNTIFS('BA History S2'!$B:$B,$A$17,'BA History S2'!M:M, 1)</f>
        <v>4</v>
      </c>
      <c r="U17" s="2">
        <f>COUNTIFS('BA History S2'!$B:$B,$A$17,'BA History S2'!N:N, 1)</f>
        <v>6</v>
      </c>
      <c r="V17" s="2">
        <f>COUNTIFS('BA History S2'!$B:$B,$A$17,'BA History S2'!O:O, 1)</f>
        <v>0</v>
      </c>
      <c r="W17" s="2">
        <f>COUNTIFS('BA History S2'!$B:$B,$A$17,'BA History S2'!P:P, 1)</f>
        <v>1</v>
      </c>
      <c r="X17" s="2">
        <f>COUNTIFS('BA History S2'!$B:$B,$A$17,'BA History S2'!Q:Q, 1)</f>
        <v>2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1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2</v>
      </c>
      <c r="AG17" s="2">
        <f>COUNTIFS('BA History S2'!$B:$B,$A$17,'BA History S2'!Z:Z, 1)</f>
        <v>8</v>
      </c>
      <c r="AH17" s="2">
        <f>COUNTIFS('BA History S2'!$B:$B,$A17,'BA History S2'!AA:AA, 1)</f>
        <v>1</v>
      </c>
      <c r="AI17" s="2">
        <f>COUNTIFS('BA History S2'!$B:$B,$A$17,'BA History S2'!AB:AB, 1)</f>
        <v>0</v>
      </c>
      <c r="AJ17" s="2">
        <f>COUNTIFS('BA History S2'!$B:$B,$A$17,'BA History S2'!AC:AC, 1)</f>
        <v>5</v>
      </c>
      <c r="AK17" s="2">
        <f>COUNTIFS('BA History S2'!$B:$B,$A$17,'BA History S2'!AD:AD, 1)</f>
        <v>1</v>
      </c>
      <c r="AL17" s="2">
        <f>COUNTIFS('BA History S2'!$B:$B,$A$17,'BA History S2'!AE:AE, 1)</f>
        <v>2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x14ac:dyDescent="0.25">
      <c r="A18" s="2" t="s">
        <v>46</v>
      </c>
      <c r="B18" s="1" t="s">
        <v>158</v>
      </c>
      <c r="F18" s="34">
        <f>SUMIFS('BA History S2'!C:C,'BA History S2'!B:B,A18)</f>
        <v>96</v>
      </c>
      <c r="G18" s="66">
        <f>AVERAGEIFS('BA History S2'!C:C,'BA History S2'!B:B,A18)</f>
        <v>16</v>
      </c>
      <c r="H18" s="35">
        <f t="array" ref="H18">MAX(IF('BA History S2'!B:B=A18, 'BA History S2'!C:C))</f>
        <v>34</v>
      </c>
      <c r="I18" s="34">
        <f>COUNTIFS('BA History S2'!B:B,A18,'BA History S2'!D:D, 1)</f>
        <v>1</v>
      </c>
      <c r="J18" s="2">
        <f>COUNTIFS('BA History S2'!B:B,A18,'BA History S2'!D:D, 0)</f>
        <v>5</v>
      </c>
      <c r="K18" s="75">
        <f>LOOKUP(2, 1/('BA History S2'!$B:$B=A18), 'BA History S2'!$AK:$AK)</f>
        <v>0.16666666666666666</v>
      </c>
      <c r="L18" s="34">
        <f>SUMIFS('BA History S2'!F:F,'BA History S2'!B:B,A18)</f>
        <v>8</v>
      </c>
      <c r="M18" s="2">
        <f>SUMIFS('BA History S2'!E:E,'BA History S2'!B:B,A18)-L18</f>
        <v>17</v>
      </c>
      <c r="N18" s="75">
        <f>LOOKUP(2, 1/('BA History S2'!$B:$B=A18), 'BA History S2'!$AI:$AI)</f>
        <v>0.27499999999999997</v>
      </c>
      <c r="O18" s="34">
        <f>SUMIFS('BA History S2'!H:H,'BA History S2'!B:B,A18)</f>
        <v>41</v>
      </c>
      <c r="P18" s="2">
        <f>SUMIFS('BA History S2'!G:G,'BA History S2'!B:B,A18)-O18</f>
        <v>62</v>
      </c>
      <c r="Q18" s="89">
        <f>LOOKUP(2, 1/('BA History S2'!$B:$B=A18), 'BA History S2'!$AJ:$AJ)</f>
        <v>0.35499999999999998</v>
      </c>
      <c r="R18" s="2">
        <f>COUNTIFS('BA History S2'!$B:$B,$A$18,'BA History S2'!K:K, 1)</f>
        <v>1</v>
      </c>
      <c r="S18" s="2">
        <f>COUNTIFS('BA History S2'!$B:$B,$A$18,'BA History S2'!L:L, 1)</f>
        <v>2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0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1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  <c r="AN18" s="2">
        <f>COUNTIFS('BA History S2'!$B:$B,$A$18,'BA History S2'!AG:AG, 1)</f>
        <v>1</v>
      </c>
    </row>
    <row r="19" spans="1:40" x14ac:dyDescent="0.25">
      <c r="A19" s="2" t="s">
        <v>28</v>
      </c>
      <c r="B19" s="1" t="s">
        <v>79</v>
      </c>
      <c r="F19" s="34">
        <f>SUMIFS('BA History S2'!C:C,'BA History S2'!B:B,A19)</f>
        <v>26</v>
      </c>
      <c r="G19" s="66">
        <f>AVERAGEIFS('BA History S2'!C:C,'BA History S2'!B:B,A19)</f>
        <v>13</v>
      </c>
      <c r="H19" s="35">
        <f t="array" ref="H19">MAX(IF('BA History S2'!B:B=A19, 'BA History S2'!C:C))</f>
        <v>17</v>
      </c>
      <c r="I19" s="34">
        <f>COUNTIFS('BA History S2'!B:B,A19,'BA History S2'!D:D, 1)</f>
        <v>1</v>
      </c>
      <c r="J19" s="2">
        <f>COUNTIFS('BA History S2'!B:B,A19,'BA History S2'!D:D, 0)</f>
        <v>1</v>
      </c>
      <c r="K19" s="75">
        <f>LOOKUP(2, 1/('BA History S2'!$B:$B=A19), 'BA History S2'!$AK:$AK)</f>
        <v>0.5</v>
      </c>
      <c r="L19" s="34">
        <f>SUMIFS('BA History S2'!F:F,'BA History S2'!B:B,A19)</f>
        <v>3</v>
      </c>
      <c r="M19" s="2">
        <f>SUMIFS('BA History S2'!E:E,'BA History S2'!B:B,A19)-L19</f>
        <v>4</v>
      </c>
      <c r="N19" s="75">
        <f>LOOKUP(2, 1/('BA History S2'!$B:$B=A19), 'BA History S2'!$AI:$AI)</f>
        <v>0.375</v>
      </c>
      <c r="O19" s="34">
        <f>SUMIFS('BA History S2'!H:H,'BA History S2'!B:B,A19)</f>
        <v>12</v>
      </c>
      <c r="P19" s="2">
        <f>SUMIFS('BA History S2'!G:G,'BA History S2'!B:B,A19)-O19</f>
        <v>15</v>
      </c>
      <c r="Q19" s="89">
        <f>LOOKUP(2, 1/('BA History S2'!$B:$B=A19), 'BA History S2'!$AJ:$AJ)</f>
        <v>0.375</v>
      </c>
      <c r="R19" s="2">
        <f>COUNTIFS('BA History S2'!$B:$B,$A$19,'BA History S2'!K:K, 1)</f>
        <v>0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0</v>
      </c>
      <c r="AN19" s="2">
        <f>COUNTIFS('BA History S2'!$B:$B,$A$19,'BA History S2'!AG:AG, 1)</f>
        <v>0</v>
      </c>
    </row>
    <row r="20" spans="1:40" x14ac:dyDescent="0.25">
      <c r="A20" s="2" t="s">
        <v>53</v>
      </c>
      <c r="B20" s="2" t="s">
        <v>79</v>
      </c>
      <c r="C20" s="2">
        <v>1</v>
      </c>
      <c r="D20" s="2"/>
      <c r="E20" s="2"/>
      <c r="F20" s="34">
        <f>SUMIFS('BA History S2'!C:C,'BA History S2'!B:B,A20)</f>
        <v>210</v>
      </c>
      <c r="G20" s="66">
        <f>AVERAGEIFS('BA History S2'!C:C,'BA History S2'!B:B,A20)</f>
        <v>14</v>
      </c>
      <c r="H20" s="35">
        <f t="array" ref="H20">MAX(IF('BA History S2'!B:B=A20, 'BA History S2'!C:C))</f>
        <v>27</v>
      </c>
      <c r="I20" s="34">
        <f>COUNTIFS('BA History S2'!B:B,A20,'BA History S2'!D:D, 1)</f>
        <v>4</v>
      </c>
      <c r="J20" s="2">
        <f>COUNTIFS('BA History S2'!B:B,A20,'BA History S2'!D:D, 0)</f>
        <v>11</v>
      </c>
      <c r="K20" s="75">
        <f>LOOKUP(2, 1/('BA History S2'!$B:$B=A20), 'BA History S2'!$AK:$AK)</f>
        <v>0.26666666666666666</v>
      </c>
      <c r="L20" s="34">
        <f>SUMIFS('BA History S2'!F:F,'BA History S2'!B:B,A20)</f>
        <v>24</v>
      </c>
      <c r="M20" s="2">
        <f>SUMIFS('BA History S2'!E:E,'BA History S2'!B:B,A20)-L20</f>
        <v>34</v>
      </c>
      <c r="N20" s="75">
        <f>LOOKUP(2, 1/('BA History S2'!$B:$B=A20), 'BA History S2'!$AI:$AI)</f>
        <v>0.42999999999999994</v>
      </c>
      <c r="O20" s="34">
        <f>SUMIFS('BA History S2'!H:H,'BA History S2'!B:B,A20)</f>
        <v>113</v>
      </c>
      <c r="P20" s="2">
        <f>SUMIFS('BA History S2'!G:G,'BA History S2'!B:B,A20)-O20</f>
        <v>132</v>
      </c>
      <c r="Q20" s="89">
        <f>LOOKUP(2, 1/('BA History S2'!$B:$B=A20), 'BA History S2'!$AJ:$AJ)</f>
        <v>0.46399999999999991</v>
      </c>
      <c r="R20" s="2">
        <f>COUNTIFS('BA History S2'!$B:$B,$A$20,'BA History S2'!K:K, 1)</f>
        <v>1</v>
      </c>
      <c r="S20" s="2">
        <f>COUNTIFS('BA History S2'!$B:$B,$A$20,'BA History S2'!L:L, 1)</f>
        <v>3</v>
      </c>
      <c r="T20" s="2">
        <f>COUNTIFS('BA History S2'!$B:$B,$A$20,'BA History S2'!M:M, 1)</f>
        <v>0</v>
      </c>
      <c r="U20" s="2">
        <f>COUNTIFS('BA History S2'!$B:$B,$A$20,'BA History S2'!N:N, 1)</f>
        <v>3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1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4</v>
      </c>
      <c r="AH20" s="2">
        <f>COUNTIFS('BA History S2'!$B:$B,$A20,'BA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4</v>
      </c>
      <c r="AK20" s="2">
        <f>COUNTIFS('BA History S2'!$B:$B,$A$20,'BA History S2'!AD:AD, 1)</f>
        <v>2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3</v>
      </c>
    </row>
    <row r="21" spans="1:40" x14ac:dyDescent="0.25">
      <c r="A21" s="2" t="s">
        <v>148</v>
      </c>
      <c r="B21" s="2" t="s">
        <v>79</v>
      </c>
      <c r="C21" s="2"/>
      <c r="D21" s="2"/>
      <c r="E21" s="2"/>
      <c r="F21" s="34">
        <f>SUMIFS('BA History S2'!C:C,'BA History S2'!B:B,A21)</f>
        <v>2</v>
      </c>
      <c r="G21" s="66">
        <f>AVERAGEIFS('BA History S2'!C:C,'BA History S2'!B:B,A21)</f>
        <v>2</v>
      </c>
      <c r="H21" s="35">
        <f t="array" ref="H21">MAX(IF('BA History S2'!B:B=A21, 'BA History S2'!C:C))</f>
        <v>2</v>
      </c>
      <c r="I21" s="34">
        <f>COUNTIFS('BA History S2'!B:B,A21,'BA History S2'!D:D, 1)</f>
        <v>1</v>
      </c>
      <c r="J21" s="2">
        <f>COUNTIFS('BA History S2'!B:B,A21,'BA History S2'!D:D, 0)</f>
        <v>0</v>
      </c>
      <c r="K21" s="75">
        <f>LOOKUP(2, 1/('BA History S2'!$B:$B=A21), 'BA History S2'!$AK:$AK)</f>
        <v>1</v>
      </c>
      <c r="L21" s="34">
        <f>SUMIFS('BA History S2'!F:F,'BA History S2'!B:B,A21)</f>
        <v>3</v>
      </c>
      <c r="M21" s="2">
        <f>SUMIFS('BA History S2'!E:E,'BA History S2'!B:B,A21)-L21</f>
        <v>2</v>
      </c>
      <c r="N21" s="75">
        <f>LOOKUP(2, 1/('BA History S2'!$B:$B=A21), 'BA History S2'!$AI:$AI)</f>
        <v>0.6</v>
      </c>
      <c r="O21" s="34">
        <f>SUMIFS('BA History S2'!H:H,'BA History S2'!B:B,A21)</f>
        <v>10</v>
      </c>
      <c r="P21" s="2">
        <f>SUMIFS('BA History S2'!G:G,'BA History S2'!B:B,A21)-O21</f>
        <v>9</v>
      </c>
      <c r="Q21" s="89">
        <f>LOOKUP(2, 1/('BA History S2'!$B:$B=A21), 'BA History S2'!$AJ:$AJ)</f>
        <v>0.53</v>
      </c>
      <c r="R21" s="2">
        <f>COUNTIFS('BA History S2'!$B:$B,$A$21,'BA History S2'!K:K, 1)</f>
        <v>0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0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161</v>
      </c>
      <c r="B22" s="2" t="s">
        <v>79</v>
      </c>
      <c r="C22" s="2"/>
      <c r="D22" s="2"/>
      <c r="E22" s="2"/>
      <c r="F22" s="34">
        <f>SUMIFS('BA History S2'!C:C,'BA History S2'!B:B,A22)</f>
        <v>114</v>
      </c>
      <c r="G22" s="66">
        <f>AVERAGEIFS('BA History S2'!C:C,'BA History S2'!B:B,A22)</f>
        <v>9.5</v>
      </c>
      <c r="H22" s="35">
        <f t="array" ref="H22">MAX(IF('BA History S2'!B:B=A22, 'BA History S2'!C:C))</f>
        <v>24</v>
      </c>
      <c r="I22" s="34">
        <f>COUNTIFS('BA History S2'!B:B,A22,'BA History S2'!D:D, 1)</f>
        <v>6</v>
      </c>
      <c r="J22" s="2">
        <f>COUNTIFS('BA History S2'!B:B,A22,'BA History S2'!D:D, 0)</f>
        <v>6</v>
      </c>
      <c r="K22" s="75">
        <f>LOOKUP(2, 1/('BA History S2'!$B:$B=A22), 'BA History S2'!$AK:$AK)</f>
        <v>0.5</v>
      </c>
      <c r="L22" s="34">
        <f>SUMIFS('BA History S2'!F:F,'BA History S2'!B:B,A22)</f>
        <v>25</v>
      </c>
      <c r="M22" s="2">
        <f>SUMIFS('BA History S2'!E:E,'BA History S2'!B:B,A22)-L22</f>
        <v>24</v>
      </c>
      <c r="N22" s="75">
        <f>LOOKUP(2, 1/('BA History S2'!$B:$B=A22), 'BA History S2'!$AI:$AI)</f>
        <v>0.51249999999999996</v>
      </c>
      <c r="O22" s="34">
        <f>SUMIFS('BA History S2'!H:H,'BA History S2'!B:B,A22)</f>
        <v>102</v>
      </c>
      <c r="P22" s="2">
        <f>SUMIFS('BA History S2'!G:G,'BA History S2'!B:B,A22)-O22</f>
        <v>102</v>
      </c>
      <c r="Q22" s="89">
        <f>LOOKUP(2, 1/('BA History S2'!$B:$B=A22), 'BA History S2'!$AJ:$AJ)</f>
        <v>0.50583333333333325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3</v>
      </c>
      <c r="AH22" s="2">
        <f>COUNTIFS('BA History S2'!$B:$B,$A22,'BA History S2'!AA:AA, 1)</f>
        <v>1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  <c r="AN22" s="2">
        <f>COUNTIFS('BA History S2'!$B:$B,$A$22,'BA History S2'!AG:AG, 1)</f>
        <v>2</v>
      </c>
    </row>
    <row r="23" spans="1:40" x14ac:dyDescent="0.25">
      <c r="A23" s="2" t="s">
        <v>13</v>
      </c>
      <c r="B23" s="2" t="s">
        <v>79</v>
      </c>
      <c r="C23" s="2"/>
      <c r="D23" s="2"/>
      <c r="E23" s="2"/>
      <c r="F23" s="34">
        <f>SUMIFS('BA History S2'!C:C,'BA History S2'!B:B,A23)</f>
        <v>149</v>
      </c>
      <c r="G23" s="66">
        <f>AVERAGEIFS('BA History S2'!C:C,'BA History S2'!B:B,A23)</f>
        <v>16.555555555555557</v>
      </c>
      <c r="H23" s="35">
        <f t="array" ref="H23">MAX(IF('BA History S2'!B:B=A23, 'BA History S2'!C:C))</f>
        <v>26</v>
      </c>
      <c r="I23" s="34">
        <f>COUNTIFS('BA History S2'!B:B,A23,'BA History S2'!D:D, 1)</f>
        <v>4</v>
      </c>
      <c r="J23" s="2">
        <f>COUNTIFS('BA History S2'!B:B,A23,'BA History S2'!D:D, 0)</f>
        <v>5</v>
      </c>
      <c r="K23" s="75">
        <f>LOOKUP(2, 1/('BA History S2'!$B:$B=A23), 'BA History S2'!$AK:$AK)</f>
        <v>0.44444444444444442</v>
      </c>
      <c r="L23" s="34">
        <f>SUMIFS('BA History S2'!F:F,'BA History S2'!B:B,A23)</f>
        <v>15</v>
      </c>
      <c r="M23" s="2">
        <f>SUMIFS('BA History S2'!E:E,'BA History S2'!B:B,A23)-L23</f>
        <v>17</v>
      </c>
      <c r="N23" s="75">
        <f>LOOKUP(2, 1/('BA History S2'!$B:$B=A23), 'BA History S2'!$AI:$AI)</f>
        <v>0.47222222222222221</v>
      </c>
      <c r="O23" s="34">
        <f>SUMIFS('BA History S2'!H:H,'BA History S2'!B:B,A23)</f>
        <v>65</v>
      </c>
      <c r="P23" s="2">
        <f>SUMIFS('BA History S2'!G:G,'BA History S2'!B:B,A23)-O23</f>
        <v>75</v>
      </c>
      <c r="Q23" s="89">
        <f>LOOKUP(2, 1/('BA History S2'!$B:$B=A23), 'BA History S2'!$AJ:$AJ)</f>
        <v>0.45777777777777778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1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1</v>
      </c>
    </row>
    <row r="24" spans="1:40" x14ac:dyDescent="0.25">
      <c r="A24" s="2" t="s">
        <v>2</v>
      </c>
      <c r="B24" s="1" t="s">
        <v>158</v>
      </c>
      <c r="C24" s="1">
        <v>1</v>
      </c>
      <c r="F24" s="34">
        <f>SUMIFS('BA History S2'!C:C,'BA History S2'!B:B,A24)</f>
        <v>253</v>
      </c>
      <c r="G24" s="66">
        <f>AVERAGEIFS('BA History S2'!C:C,'BA History S2'!B:B,A24)</f>
        <v>18.071428571428573</v>
      </c>
      <c r="H24" s="35">
        <f t="array" ref="H24">MAX(IF('BA History S2'!B:B=A24, 'BA History S2'!C:C))</f>
        <v>33</v>
      </c>
      <c r="I24" s="34">
        <f>COUNTIFS('BA History S2'!B:B,A24,'BA History S2'!D:D, 1)</f>
        <v>5</v>
      </c>
      <c r="J24" s="2">
        <f>COUNTIFS('BA History S2'!B:B,A24,'BA History S2'!D:D, 0)</f>
        <v>9</v>
      </c>
      <c r="K24" s="75">
        <f>LOOKUP(2, 1/('BA History S2'!$B:$B=A24), 'BA History S2'!$AK:$AK)</f>
        <v>0.35714285714285715</v>
      </c>
      <c r="L24" s="34">
        <f>SUMIFS('BA History S2'!F:F,'BA History S2'!B:B,A24)</f>
        <v>23</v>
      </c>
      <c r="M24" s="2">
        <f>SUMIFS('BA History S2'!E:E,'BA History S2'!B:B,A24)-L24</f>
        <v>32</v>
      </c>
      <c r="N24" s="75">
        <f>LOOKUP(2, 1/('BA History S2'!$B:$B=A24), 'BA History S2'!$AI:$AI)</f>
        <v>0.40357142857142853</v>
      </c>
      <c r="O24" s="34">
        <f>SUMIFS('BA History S2'!H:H,'BA History S2'!B:B,A24)</f>
        <v>114</v>
      </c>
      <c r="P24" s="2">
        <f>SUMIFS('BA History S2'!G:G,'BA History S2'!B:B,A24)-O24</f>
        <v>117</v>
      </c>
      <c r="Q24" s="89">
        <f>LOOKUP(2, 1/('BA History S2'!$B:$B=A24), 'BA History S2'!$AJ:$AJ)</f>
        <v>0.48642857142857149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1</v>
      </c>
      <c r="AI24" s="2">
        <f>COUNTIFS('BA History S2'!$B:$B,$A$24,'BA History S2'!AB:AB, 1)</f>
        <v>1</v>
      </c>
      <c r="AJ24" s="2">
        <f>COUNTIFS('BA History S2'!$B:$B,$A$24,'BA History S2'!AC:AC, 1)</f>
        <v>5</v>
      </c>
      <c r="AK24" s="2">
        <f>COUNTIFS('BA History S2'!$B:$B,$A$24,'BA History S2'!AD:AD, 1)</f>
        <v>2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54</v>
      </c>
      <c r="B25" s="2" t="s">
        <v>79</v>
      </c>
      <c r="C25" s="2">
        <v>3</v>
      </c>
      <c r="D25" s="2">
        <v>1</v>
      </c>
      <c r="E25" s="2"/>
      <c r="F25" s="34">
        <f>SUMIFS('BA History S2'!C:C,'BA History S2'!B:B,A25)</f>
        <v>289</v>
      </c>
      <c r="G25" s="66">
        <f>AVERAGEIFS('BA History S2'!C:C,'BA History S2'!B:B,A25)</f>
        <v>22.23076923076923</v>
      </c>
      <c r="H25" s="35">
        <f t="array" ref="H25">MAX(IF('BA History S2'!B:B=A25, 'BA History S2'!C:C))</f>
        <v>47</v>
      </c>
      <c r="I25" s="34">
        <f>COUNTIFS('BA History S2'!B:B,A25,'BA History S2'!D:D, 1)</f>
        <v>6</v>
      </c>
      <c r="J25" s="2">
        <f>COUNTIFS('BA History S2'!B:B,A25,'BA History S2'!D:D, 0)</f>
        <v>7</v>
      </c>
      <c r="K25" s="75">
        <f>LOOKUP(2, 1/('BA History S2'!$B:$B=A25), 'BA History S2'!$AK:$AK)</f>
        <v>0.46153846153846156</v>
      </c>
      <c r="L25" s="34">
        <f>SUMIFS('BA History S2'!F:F,'BA History S2'!B:B,A25)</f>
        <v>24</v>
      </c>
      <c r="M25" s="2">
        <f>SUMIFS('BA History S2'!E:E,'BA History S2'!B:B,A25)-L25</f>
        <v>25</v>
      </c>
      <c r="N25" s="75">
        <f>LOOKUP(2, 1/('BA History S2'!$B:$B=A25), 'BA History S2'!$AI:$AI)</f>
        <v>0.49230769230769234</v>
      </c>
      <c r="O25" s="34">
        <f>SUMIFS('BA History S2'!H:H,'BA History S2'!B:B,A25)</f>
        <v>97</v>
      </c>
      <c r="P25" s="2">
        <f>SUMIFS('BA History S2'!G:G,'BA History S2'!B:B,A25)-O25</f>
        <v>100</v>
      </c>
      <c r="Q25" s="89">
        <f>LOOKUP(2, 1/('BA History S2'!$B:$B=A25), 'BA History S2'!$AJ:$AJ)</f>
        <v>0.49461538461538451</v>
      </c>
      <c r="R25" s="2">
        <f>COUNTIFS('BA History S2'!$B:$B,$A$25,'BA History S2'!K:K, 1)</f>
        <v>1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2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2</v>
      </c>
      <c r="AK25" s="2">
        <f>COUNTIFS('BA History S2'!$B:$B,$A$25,'BA History S2'!AD:AD, 1)</f>
        <v>2</v>
      </c>
      <c r="AL25" s="2">
        <f>COUNTIFS('BA History S2'!$B:$B,$A$25,'BA History S2'!AE:AE, 1)</f>
        <v>2</v>
      </c>
      <c r="AM25" s="2">
        <f>COUNTIFS('BA History S2'!$B:$B,$A$25,'BA History S2'!AF:AF, 1)</f>
        <v>0</v>
      </c>
      <c r="AN25" s="2">
        <f>COUNTIFS('BA History S2'!$B:$B,$A$25,'BA History S2'!AG:AG, 1)</f>
        <v>3</v>
      </c>
    </row>
    <row r="26" spans="1:40" x14ac:dyDescent="0.25">
      <c r="A26" s="2" t="s">
        <v>5</v>
      </c>
      <c r="B26" s="1" t="s">
        <v>158</v>
      </c>
      <c r="C26" s="1">
        <v>1</v>
      </c>
      <c r="D26" s="1">
        <v>1</v>
      </c>
      <c r="F26" s="34">
        <f>SUMIFS('BA History S2'!C:C,'BA History S2'!B:B,A26)</f>
        <v>346</v>
      </c>
      <c r="G26" s="66">
        <f>AVERAGEIFS('BA History S2'!C:C,'BA History S2'!B:B,A26)</f>
        <v>18.210526315789473</v>
      </c>
      <c r="H26" s="35">
        <f t="array" ref="H26">MAX(IF('BA History S2'!B:B=A26, 'BA History S2'!C:C))</f>
        <v>37</v>
      </c>
      <c r="I26" s="34">
        <f>COUNTIFS('BA History S2'!B:B,A26,'BA History S2'!D:D, 1)</f>
        <v>9</v>
      </c>
      <c r="J26" s="2">
        <f>COUNTIFS('BA History S2'!B:B,A26,'BA History S2'!D:D, 0)</f>
        <v>10</v>
      </c>
      <c r="K26" s="75">
        <f>LOOKUP(2, 1/('BA History S2'!$B:$B=A26), 'BA History S2'!$AK:$AK)</f>
        <v>0.47368421052631576</v>
      </c>
      <c r="L26" s="34">
        <f>SUMIFS('BA History S2'!F:F,'BA History S2'!B:B,A26)</f>
        <v>37</v>
      </c>
      <c r="M26" s="2">
        <f>SUMIFS('BA History S2'!E:E,'BA History S2'!B:B,A26)-L26</f>
        <v>40</v>
      </c>
      <c r="N26" s="75">
        <f>LOOKUP(2, 1/('BA History S2'!$B:$B=A26), 'BA History S2'!$AI:$AI)</f>
        <v>0.47368421052631587</v>
      </c>
      <c r="O26" s="34">
        <f>SUMIFS('BA History S2'!H:H,'BA History S2'!B:B,A26)</f>
        <v>154</v>
      </c>
      <c r="P26" s="2">
        <f>SUMIFS('BA History S2'!G:G,'BA History S2'!B:B,A26)-O26</f>
        <v>163</v>
      </c>
      <c r="Q26" s="89">
        <f>LOOKUP(2, 1/('BA History S2'!$B:$B=A26), 'BA History S2'!$AJ:$AJ)</f>
        <v>0.48578947368421055</v>
      </c>
      <c r="R26" s="2">
        <f>COUNTIFS('BA History S2'!$B:$B,$A$26,'BA History S2'!K:K, 1)</f>
        <v>2</v>
      </c>
      <c r="S26" s="2">
        <f>COUNTIFS('BA History S2'!$B:$B,$A$26,'BA History S2'!L:L, 1)</f>
        <v>4</v>
      </c>
      <c r="T26" s="2">
        <f>COUNTIFS('BA History S2'!$B:$B,$A$26,'BA History S2'!M:M, 1)</f>
        <v>5</v>
      </c>
      <c r="U26" s="2">
        <f>COUNTIFS('BA History S2'!$B:$B,$A$26,'BA History S2'!N:N, 1)</f>
        <v>5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2</v>
      </c>
      <c r="AJ26" s="2">
        <f>COUNTIFS('BA History S2'!$B:$B,$A$26,'BA History S2'!AC:AC, 1)</f>
        <v>7</v>
      </c>
      <c r="AK26" s="2">
        <f>COUNTIFS('BA History S2'!$B:$B,$A$26,'BA History S2'!AD:AD, 1)</f>
        <v>1</v>
      </c>
      <c r="AL26" s="2">
        <f>COUNTIFS('BA History S2'!$B:$B,$A$26,'BA History S2'!AE:AE, 1)</f>
        <v>1</v>
      </c>
      <c r="AM26" s="2">
        <f>COUNTIFS('BA History S2'!$B:$B,$A$26,'BA History S2'!AF:AF, 1)</f>
        <v>0</v>
      </c>
      <c r="AN26" s="2">
        <f>COUNTIFS('BA History S2'!$B:$B,$A$26,'BA History S2'!AG:AG, 1)</f>
        <v>2</v>
      </c>
    </row>
    <row r="27" spans="1:40" x14ac:dyDescent="0.25">
      <c r="A27" s="2" t="s">
        <v>141</v>
      </c>
      <c r="B27" s="2" t="s">
        <v>79</v>
      </c>
      <c r="C27" s="2"/>
      <c r="D27" s="2"/>
      <c r="E27" s="2"/>
      <c r="F27" s="34">
        <f>SUMIFS('BA History S2'!C:C,'BA History S2'!B:B,A27)</f>
        <v>176</v>
      </c>
      <c r="G27" s="66">
        <f>AVERAGEIFS('BA History S2'!C:C,'BA History S2'!B:B,A27)</f>
        <v>14.666666666666666</v>
      </c>
      <c r="H27" s="35">
        <f t="array" ref="H27">MAX(IF('BA History S2'!B:B=A27, 'BA History S2'!C:C))</f>
        <v>25</v>
      </c>
      <c r="I27" s="34">
        <f>COUNTIFS('BA History S2'!B:B,A27,'BA History S2'!D:D, 1)</f>
        <v>8</v>
      </c>
      <c r="J27" s="2">
        <f>COUNTIFS('BA History S2'!B:B,A27,'BA History S2'!D:D, 0)</f>
        <v>4</v>
      </c>
      <c r="K27" s="75">
        <f>LOOKUP(2, 1/('BA History S2'!$B:$B=A27), 'BA History S2'!$AK:$AK)</f>
        <v>0.66666666666666663</v>
      </c>
      <c r="L27" s="34">
        <f>SUMIFS('BA History S2'!F:F,'BA History S2'!B:B,A27)</f>
        <v>26</v>
      </c>
      <c r="M27" s="2">
        <f>SUMIFS('BA History S2'!E:E,'BA History S2'!B:B,A27)-L27</f>
        <v>20</v>
      </c>
      <c r="N27" s="75">
        <f>LOOKUP(2, 1/('BA History S2'!$B:$B=A27), 'BA History S2'!$AI:$AI)</f>
        <v>0.55833333333333335</v>
      </c>
      <c r="O27" s="34">
        <f>SUMIFS('BA History S2'!H:H,'BA History S2'!B:B,A27)</f>
        <v>103</v>
      </c>
      <c r="P27" s="2">
        <f>SUMIFS('BA History S2'!G:G,'BA History S2'!B:B,A27)-O27</f>
        <v>90</v>
      </c>
      <c r="Q27" s="89">
        <f>LOOKUP(2, 1/('BA History S2'!$B:$B=A27), 'BA History S2'!$AJ:$AJ)</f>
        <v>0.53166666666666673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1</v>
      </c>
      <c r="U27" s="2">
        <f>COUNTIFS('BA History S2'!$B:$B,$A$27,'BA History S2'!N:N, 1)</f>
        <v>3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1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3</v>
      </c>
      <c r="AH27" s="2">
        <f>COUNTIFS('BA History S2'!$B:$B,$A27,'BA History S2'!AA:AA, 1)</f>
        <v>0</v>
      </c>
      <c r="AI27" s="2">
        <f>COUNTIFS('BA History S2'!$B:$B,$A$27,'BA History S2'!AB:AB, 1)</f>
        <v>0</v>
      </c>
      <c r="AJ27" s="2">
        <f>COUNTIFS('BA History S2'!$B:$B,$A$27,'BA History S2'!AC:AC, 1)</f>
        <v>4</v>
      </c>
      <c r="AK27" s="2">
        <f>COUNTIFS('BA History S2'!$B:$B,$A$27,'BA History S2'!AD:AD, 1)</f>
        <v>2</v>
      </c>
      <c r="AL27" s="2">
        <f>COUNTIFS('BA History S2'!$B:$B,$A$27,'BA History S2'!AE:AE, 1)</f>
        <v>3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40</v>
      </c>
      <c r="B28" s="2" t="s">
        <v>79</v>
      </c>
      <c r="C28" s="2"/>
      <c r="D28" s="2"/>
      <c r="E28" s="2"/>
      <c r="F28" s="34">
        <f>SUMIFS('BA History S2'!C:C,'BA History S2'!B:B,A28)</f>
        <v>406</v>
      </c>
      <c r="G28" s="66">
        <f>AVERAGEIFS('BA History S2'!C:C,'BA History S2'!B:B,A28)</f>
        <v>19.333333333333332</v>
      </c>
      <c r="H28" s="35">
        <f t="array" ref="H28">MAX(IF('BA History S2'!B:B=A28, 'BA History S2'!C:C))</f>
        <v>37</v>
      </c>
      <c r="I28" s="34">
        <f>COUNTIFS('BA History S2'!B:B,A28,'BA History S2'!D:D, 1)</f>
        <v>8</v>
      </c>
      <c r="J28" s="2">
        <f>COUNTIFS('BA History S2'!B:B,A28,'BA History S2'!D:D, 0)</f>
        <v>13</v>
      </c>
      <c r="K28" s="75">
        <f>LOOKUP(2, 1/('BA History S2'!$B:$B=A28), 'BA History S2'!$AK:$AK)</f>
        <v>0.38095238095238093</v>
      </c>
      <c r="L28" s="34">
        <f>SUMIFS('BA History S2'!F:F,'BA History S2'!B:B,A28)</f>
        <v>37</v>
      </c>
      <c r="M28" s="2">
        <f>SUMIFS('BA History S2'!E:E,'BA History S2'!B:B,A28)-L28</f>
        <v>48</v>
      </c>
      <c r="N28" s="75">
        <f>LOOKUP(2, 1/('BA History S2'!$B:$B=A28), 'BA History S2'!$AI:$AI)</f>
        <v>0.41904761904761906</v>
      </c>
      <c r="O28" s="34">
        <f>SUMIFS('BA History S2'!H:H,'BA History S2'!B:B,A28)</f>
        <v>169</v>
      </c>
      <c r="P28" s="2">
        <f>SUMIFS('BA History S2'!G:G,'BA History S2'!B:B,A28)-O28</f>
        <v>185</v>
      </c>
      <c r="Q28" s="89">
        <f>LOOKUP(2, 1/('BA History S2'!$B:$B=A28), 'BA History S2'!$AJ:$AJ)</f>
        <v>0.46761904761904766</v>
      </c>
      <c r="R28" s="2">
        <f>COUNTIFS('BA History S2'!$B:$B,$A$28,'BA History S2'!K:K, 1)</f>
        <v>1</v>
      </c>
      <c r="S28" s="2">
        <f>COUNTIFS('BA History S2'!$B:$B,$A$28,'BA History S2'!L:L, 1)</f>
        <v>4</v>
      </c>
      <c r="T28" s="2">
        <f>COUNTIFS('BA History S2'!$B:$B,$A$28,'BA History S2'!M:M, 1)</f>
        <v>4</v>
      </c>
      <c r="U28" s="2">
        <f>COUNTIFS('BA History S2'!$B:$B,$A$28,'BA History S2'!N:N, 1)</f>
        <v>4</v>
      </c>
      <c r="V28" s="2">
        <f>COUNTIFS('BA History S2'!$B:$B,$A$28,'BA History S2'!O:O, 1)</f>
        <v>1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5</v>
      </c>
      <c r="AH28" s="2">
        <f>COUNTIFS('BA History S2'!$B:$B,$A28,'BA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3</v>
      </c>
      <c r="AK28" s="2">
        <f>COUNTIFS('BA History S2'!$B:$B,$A$28,'BA History S2'!AD:AD, 1)</f>
        <v>3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166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40</v>
      </c>
      <c r="G29" s="66">
        <f>AVERAGEIFS('BA History S2'!C:C,'BA History S2'!B:B,A29)</f>
        <v>10</v>
      </c>
      <c r="H29" s="35">
        <f t="array" ref="H29">MAX(IF('BA History S2'!B:B=A29, 'BA History S2'!C:C))</f>
        <v>21</v>
      </c>
      <c r="I29" s="34">
        <f>COUNTIFS('BA History S2'!B:B,A29,'BA History S2'!D:D, 1)</f>
        <v>3</v>
      </c>
      <c r="J29" s="2">
        <f>COUNTIFS('BA History S2'!B:B,A29,'BA History S2'!D:D, 0)</f>
        <v>1</v>
      </c>
      <c r="K29" s="75">
        <f>LOOKUP(2, 1/('BA History S2'!$B:$B=A29), 'BA History S2'!$AK:$AK)</f>
        <v>0.75</v>
      </c>
      <c r="L29" s="34">
        <f>SUMIFS('BA History S2'!F:F,'BA History S2'!B:B,A29)</f>
        <v>9</v>
      </c>
      <c r="M29" s="2">
        <f>SUMIFS('BA History S2'!E:E,'BA History S2'!B:B,A29)-L29</f>
        <v>8</v>
      </c>
      <c r="N29" s="75">
        <f>LOOKUP(2, 1/('BA History S2'!$B:$B=A29), 'BA History S2'!$AI:$AI)</f>
        <v>0.48750000000000004</v>
      </c>
      <c r="O29" s="34">
        <f>SUMIFS('BA History S2'!H:H,'BA History S2'!B:B,A29)</f>
        <v>38</v>
      </c>
      <c r="P29" s="2">
        <f>SUMIFS('BA History S2'!G:G,'BA History S2'!B:B,A29)-O29</f>
        <v>35</v>
      </c>
      <c r="Q29" s="89">
        <f>LOOKUP(2, 1/('BA History S2'!$B:$B=A29), 'BA History S2'!$AJ:$AJ)</f>
        <v>0.49249999999999999</v>
      </c>
      <c r="R29" s="2">
        <f>COUNTIFS('BA History S2'!$B:$B,$A$29,'BA History S2'!K:K, 1)</f>
        <v>1</v>
      </c>
      <c r="S29" s="2">
        <f>COUNTIFS('BA History S2'!$B:$B,$A$29,'BA History S2'!L:L, 1)</f>
        <v>0</v>
      </c>
      <c r="T29" s="2">
        <f>COUNTIFS('BA History S2'!$B:$B,$A$29,'BA History S2'!M:M, 1)</f>
        <v>1</v>
      </c>
      <c r="U29" s="2">
        <f>COUNTIFS('BA History S2'!$B:$B,$A$29,'BA History S2'!N:N, 1)</f>
        <v>1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0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1</v>
      </c>
      <c r="AK29" s="2">
        <f>COUNTIFS('BA History S2'!$B:$B,$A$29,'BA History S2'!AD:AD, 1)</f>
        <v>0</v>
      </c>
      <c r="AL29" s="2">
        <f>COUNTIFS('BA History S2'!$B:$B,$A$29,'BA History S2'!AE:AE, 1)</f>
        <v>1</v>
      </c>
      <c r="AM29" s="2">
        <f>COUNTIFS('BA History S2'!$B:$B,$A$29,'BA History S2'!AF:AF, 1)</f>
        <v>0</v>
      </c>
      <c r="AN29" s="2">
        <f>COUNTIFS('BA History S2'!$B:$B,$A$29,'BA History S2'!AG:AG, 1)</f>
        <v>1</v>
      </c>
    </row>
    <row r="30" spans="1:40" x14ac:dyDescent="0.25">
      <c r="A30" s="2" t="s">
        <v>147</v>
      </c>
      <c r="B30" s="2" t="s">
        <v>79</v>
      </c>
      <c r="C30" s="2"/>
      <c r="D30" s="2"/>
      <c r="E30" s="2"/>
      <c r="F30" s="34">
        <f>SUMIFS('BA History S2'!C:C,'BA History S2'!B:B,A30)</f>
        <v>204</v>
      </c>
      <c r="G30" s="66">
        <f>AVERAGEIFS('BA History S2'!C:C,'BA History S2'!B:B,A30)</f>
        <v>14.571428571428571</v>
      </c>
      <c r="H30" s="35">
        <f t="array" ref="H30">MAX(IF('BA History S2'!B:B=A30, 'BA History S2'!C:C))</f>
        <v>26</v>
      </c>
      <c r="I30" s="34">
        <f>COUNTIFS('BA History S2'!B:B,A30,'BA History S2'!D:D, 1)</f>
        <v>6</v>
      </c>
      <c r="J30" s="2">
        <f>COUNTIFS('BA History S2'!B:B,A30,'BA History S2'!D:D, 0)</f>
        <v>8</v>
      </c>
      <c r="K30" s="75">
        <f>LOOKUP(2, 1/('BA History S2'!$B:$B=A30), 'BA History S2'!$AK:$AK)</f>
        <v>0.42857142857142855</v>
      </c>
      <c r="L30" s="34">
        <f>SUMIFS('BA History S2'!F:F,'BA History S2'!B:B,A30)</f>
        <v>29</v>
      </c>
      <c r="M30" s="2">
        <f>SUMIFS('BA History S2'!E:E,'BA History S2'!B:B,A30)-L30</f>
        <v>29</v>
      </c>
      <c r="N30" s="75">
        <f>LOOKUP(2, 1/('BA History S2'!$B:$B=A30), 'BA History S2'!$AI:$AI)</f>
        <v>0.52142857142857146</v>
      </c>
      <c r="O30" s="34">
        <f>SUMIFS('BA History S2'!H:H,'BA History S2'!B:B,A30)</f>
        <v>127</v>
      </c>
      <c r="P30" s="2">
        <f>SUMIFS('BA History S2'!G:G,'BA History S2'!B:B,A30)-O30</f>
        <v>119</v>
      </c>
      <c r="Q30" s="89">
        <f>LOOKUP(2, 1/('BA History S2'!$B:$B=A30), 'BA History S2'!$AJ:$AJ)</f>
        <v>0.52714285714285725</v>
      </c>
      <c r="R30" s="2">
        <f>COUNTIFS('BA History S2'!$B:$B,$A$30,'BA History S2'!K:K, 1)</f>
        <v>1</v>
      </c>
      <c r="S30" s="2">
        <f>COUNTIFS('BA History S2'!$B:$B,$A$30,'BA History S2'!L:L, 1)</f>
        <v>3</v>
      </c>
      <c r="T30" s="2">
        <f>COUNTIFS('BA History S2'!$B:$B,$A$30,'BA History S2'!M:M, 1)</f>
        <v>1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6</v>
      </c>
      <c r="AK30" s="2">
        <f>COUNTIFS('BA History S2'!$B:$B,$A$30,'BA History S2'!AD:AD, 1)</f>
        <v>0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17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254</v>
      </c>
      <c r="G31" s="66">
        <f>AVERAGEIFS('BA History S2'!C:C,'BA History S2'!B:B,A31)</f>
        <v>18.142857142857142</v>
      </c>
      <c r="H31" s="35">
        <f t="array" ref="H31">MAX(IF('BA History S2'!B:B=A31, 'BA History S2'!C:C))</f>
        <v>28</v>
      </c>
      <c r="I31" s="34">
        <f>COUNTIFS('BA History S2'!B:B,A31,'BA History S2'!D:D, 1)</f>
        <v>11</v>
      </c>
      <c r="J31" s="2">
        <f>COUNTIFS('BA History S2'!B:B,A31,'BA History S2'!D:D, 0)</f>
        <v>3</v>
      </c>
      <c r="K31" s="75">
        <f>LOOKUP(2, 1/('BA History S2'!$B:$B=A31), 'BA History S2'!$AK:$AK)</f>
        <v>0.7857142857142857</v>
      </c>
      <c r="L31" s="34">
        <f>SUMIFS('BA History S2'!F:F,'BA History S2'!B:B,A31)</f>
        <v>35</v>
      </c>
      <c r="M31" s="2">
        <f>SUMIFS('BA History S2'!E:E,'BA History S2'!B:B,A31)-L31</f>
        <v>20</v>
      </c>
      <c r="N31" s="75">
        <f>LOOKUP(2, 1/('BA History S2'!$B:$B=A31), 'BA History S2'!$AI:$AI)</f>
        <v>0.64642857142857135</v>
      </c>
      <c r="O31" s="34">
        <f>SUMIFS('BA History S2'!H:H,'BA History S2'!B:B,A31)</f>
        <v>124</v>
      </c>
      <c r="P31" s="2">
        <f>SUMIFS('BA History S2'!G:G,'BA History S2'!B:B,A31)-O31</f>
        <v>102</v>
      </c>
      <c r="Q31" s="89">
        <f>LOOKUP(2, 1/('BA History S2'!$B:$B=A31), 'BA History S2'!$AJ:$AJ)</f>
        <v>0.54428571428571426</v>
      </c>
      <c r="R31" s="2">
        <f>COUNTIFS('BA History S2'!$B:$B,$A$31,'BA History S2'!K:K, 1)</f>
        <v>2</v>
      </c>
      <c r="S31" s="2">
        <f>COUNTIFS('BA History S2'!$B:$B,$A$31,'BA History S2'!L:L, 1)</f>
        <v>2</v>
      </c>
      <c r="T31" s="2">
        <f>COUNTIFS('BA History S2'!$B:$B,$A$31,'BA History S2'!M:M, 1)</f>
        <v>4</v>
      </c>
      <c r="U31" s="2">
        <f>COUNTIFS('BA History S2'!$B:$B,$A$31,'BA History S2'!N:N, 1)</f>
        <v>2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2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S2'!$B:$B,$A31,'BA History S2'!AA:AA, 1)</f>
        <v>0</v>
      </c>
      <c r="AI31" s="2">
        <f>COUNTIFS('BA History S2'!$B:$B,$A$31,'BA History S2'!AB:AB, 1)</f>
        <v>1</v>
      </c>
      <c r="AJ31" s="2">
        <f>COUNTIFS('BA History S2'!$B:$B,$A$31,'BA History S2'!AC:AC, 1)</f>
        <v>5</v>
      </c>
      <c r="AK31" s="2">
        <f>COUNTIFS('BA History S2'!$B:$B,$A$31,'BA History S2'!AD:AD, 1)</f>
        <v>3</v>
      </c>
      <c r="AL31" s="2">
        <f>COUNTIFS('BA History S2'!$B:$B,$A$31,'BA History S2'!AE:AE, 1)</f>
        <v>3</v>
      </c>
      <c r="AM31" s="2">
        <f>COUNTIFS('BA History S2'!$B:$B,$A$31,'BA History S2'!AF:AF, 1)</f>
        <v>1</v>
      </c>
      <c r="AN31" s="2">
        <f>COUNTIFS('BA History S2'!$B:$B,$A$31,'BA History S2'!AG:AG, 1)</f>
        <v>3</v>
      </c>
    </row>
    <row r="32" spans="1:40" x14ac:dyDescent="0.25">
      <c r="A32" s="2" t="s">
        <v>6</v>
      </c>
      <c r="B32" s="1" t="s">
        <v>158</v>
      </c>
      <c r="D32" s="1">
        <v>1</v>
      </c>
      <c r="E32" s="1">
        <v>1</v>
      </c>
      <c r="F32" s="34">
        <f>SUMIFS('BA History S2'!C:C,'BA History S2'!B:B,A32)</f>
        <v>557</v>
      </c>
      <c r="G32" s="66">
        <f>AVERAGEIFS('BA History S2'!C:C,'BA History S2'!B:B,A32)</f>
        <v>23.208333333333332</v>
      </c>
      <c r="H32" s="35">
        <f t="array" ref="H32">MAX(IF('BA History S2'!B:B=A32, 'BA History S2'!C:C))</f>
        <v>36</v>
      </c>
      <c r="I32" s="34">
        <f>COUNTIFS('BA History S2'!B:B,A32,'BA History S2'!D:D, 1)</f>
        <v>15</v>
      </c>
      <c r="J32" s="2">
        <f>COUNTIFS('BA History S2'!B:B,A32,'BA History S2'!D:D, 0)</f>
        <v>9</v>
      </c>
      <c r="K32" s="75">
        <f>LOOKUP(2, 1/('BA History S2'!$B:$B=A32), 'BA History S2'!$AK:$AK)</f>
        <v>0.625</v>
      </c>
      <c r="L32" s="34">
        <f>SUMIFS('BA History S2'!F:F,'BA History S2'!B:B,A32)</f>
        <v>53</v>
      </c>
      <c r="M32" s="2">
        <f>SUMIFS('BA History S2'!E:E,'BA History S2'!B:B,A32)-L32</f>
        <v>40</v>
      </c>
      <c r="N32" s="75">
        <f>LOOKUP(2, 1/('BA History S2'!$B:$B=A32), 'BA History S2'!$AI:$AI)</f>
        <v>0.57708333333333328</v>
      </c>
      <c r="O32" s="34">
        <f>SUMIFS('BA History S2'!H:H,'BA History S2'!B:B,A32)</f>
        <v>204</v>
      </c>
      <c r="P32" s="2">
        <f>SUMIFS('BA History S2'!G:G,'BA History S2'!B:B,A32)-O32</f>
        <v>181</v>
      </c>
      <c r="Q32" s="89">
        <f>LOOKUP(2, 1/('BA History S2'!$B:$B=A32), 'BA History S2'!$AJ:$AJ)</f>
        <v>0.52833333333333332</v>
      </c>
      <c r="R32" s="2">
        <f>COUNTIFS('BA History S2'!$B:$B,$A$32,'BA History S2'!K:K, 1)</f>
        <v>2</v>
      </c>
      <c r="S32" s="2">
        <f>COUNTIFS('BA History S2'!$B:$B,$A$32,'BA History S2'!L:L, 1)</f>
        <v>3</v>
      </c>
      <c r="T32" s="2">
        <f>COUNTIFS('BA History S2'!$B:$B,$A$32,'BA History S2'!M:M, 1)</f>
        <v>5</v>
      </c>
      <c r="U32" s="2">
        <f>COUNTIFS('BA History S2'!$B:$B,$A$32,'BA History S2'!N:N, 1)</f>
        <v>4</v>
      </c>
      <c r="V32" s="2">
        <f>COUNTIFS('BA History S2'!$B:$B,$A$32,'BA History S2'!O:O, 1)</f>
        <v>0</v>
      </c>
      <c r="W32" s="2">
        <f>COUNTIFS('BA History S2'!$B:$B,$A$32,'BA History S2'!P:P, 1)</f>
        <v>1</v>
      </c>
      <c r="X32" s="2">
        <f>COUNTIFS('BA History S2'!$B:$B,$A$32,'BA History S2'!Q:Q, 1)</f>
        <v>2</v>
      </c>
      <c r="Y32" s="2">
        <f>COUNTIFS('BA History S2'!$B:$B,$A$32,'BA History S2'!R:R, 1)</f>
        <v>2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8</v>
      </c>
      <c r="AH32" s="2">
        <f>COUNTIFS('BA History S2'!$B:$B,$A32,'BA History S2'!AA:AA, 1)</f>
        <v>1</v>
      </c>
      <c r="AI32" s="2">
        <f>COUNTIFS('BA History S2'!$B:$B,$A$32,'BA History S2'!AB:AB, 1)</f>
        <v>1</v>
      </c>
      <c r="AJ32" s="2">
        <f>COUNTIFS('BA History S2'!$B:$B,$A$32,'BA History S2'!AC:AC, 1)</f>
        <v>9</v>
      </c>
      <c r="AK32" s="2">
        <f>COUNTIFS('BA History S2'!$B:$B,$A$32,'BA History S2'!AD:AD, 1)</f>
        <v>4</v>
      </c>
      <c r="AL32" s="2">
        <f>COUNTIFS('BA History S2'!$B:$B,$A$32,'BA History S2'!AE:AE, 1)</f>
        <v>1</v>
      </c>
      <c r="AM32" s="2">
        <f>COUNTIFS('BA History S2'!$B:$B,$A$32,'BA History S2'!AF:AF, 1)</f>
        <v>1</v>
      </c>
      <c r="AN32" s="2">
        <f>COUNTIFS('BA History S2'!$B:$B,$A$32,'BA History S2'!AG:AG, 1)</f>
        <v>4</v>
      </c>
    </row>
    <row r="33" spans="1:40" x14ac:dyDescent="0.25">
      <c r="A33" s="2" t="s">
        <v>18</v>
      </c>
      <c r="B33" s="1" t="s">
        <v>79</v>
      </c>
      <c r="F33" s="34">
        <f>SUMIFS('BA History S2'!C:C,'BA History S2'!B:B,A33)</f>
        <v>75</v>
      </c>
      <c r="G33" s="66">
        <f>AVERAGEIFS('BA History S2'!C:C,'BA History S2'!B:B,A33)</f>
        <v>18.75</v>
      </c>
      <c r="H33" s="35">
        <f t="array" ref="H33">MAX(IF('BA History S2'!B:B=A33, 'BA History S2'!C:C))</f>
        <v>30</v>
      </c>
      <c r="I33" s="34">
        <f>COUNTIFS('BA History S2'!B:B,A33,'BA History S2'!D:D, 1)</f>
        <v>2</v>
      </c>
      <c r="J33" s="2">
        <f>COUNTIFS('BA History S2'!B:B,A33,'BA History S2'!D:D, 0)</f>
        <v>2</v>
      </c>
      <c r="K33" s="75">
        <f>LOOKUP(2, 1/('BA History S2'!$B:$B=A33), 'BA History S2'!$AK:$AK)</f>
        <v>0.5</v>
      </c>
      <c r="L33" s="34">
        <f>SUMIFS('BA History S2'!F:F,'BA History S2'!B:B,A33)</f>
        <v>7</v>
      </c>
      <c r="M33" s="2">
        <f>SUMIFS('BA History S2'!E:E,'BA History S2'!B:B,A33)-L33</f>
        <v>6</v>
      </c>
      <c r="N33" s="75">
        <f>LOOKUP(2, 1/('BA History S2'!$B:$B=A33), 'BA History S2'!$AI:$AI)</f>
        <v>0.5625</v>
      </c>
      <c r="O33" s="34">
        <f>SUMIFS('BA History S2'!H:H,'BA History S2'!B:B,A33)</f>
        <v>29</v>
      </c>
      <c r="P33" s="2">
        <f>SUMIFS('BA History S2'!G:G,'BA History S2'!B:B,A33)-O33</f>
        <v>28</v>
      </c>
      <c r="Q33" s="89">
        <f>LOOKUP(2, 1/('BA History S2'!$B:$B=A33), 'BA History S2'!$AJ:$AJ)</f>
        <v>0.52249999999999996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2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  <c r="AN33" s="2">
        <f>COUNTIFS('BA History S2'!$B:$B,$A$33,'BA History S2'!AG:AG, 1)</f>
        <v>0</v>
      </c>
    </row>
    <row r="34" spans="1:40" x14ac:dyDescent="0.25">
      <c r="A34" s="2" t="s">
        <v>178</v>
      </c>
      <c r="B34" s="1" t="s">
        <v>79</v>
      </c>
      <c r="C34" s="1">
        <v>1</v>
      </c>
      <c r="F34" s="34">
        <f>SUMIFS('BA History S2'!C:C,'BA History S2'!B:B,A34)</f>
        <v>26</v>
      </c>
      <c r="G34" s="66">
        <f>AVERAGEIFS('BA History S2'!C:C,'BA History S2'!B:B,A34)</f>
        <v>13</v>
      </c>
      <c r="H34" s="35">
        <f t="array" ref="H34">MAX(IF('BA History S2'!B:B=A34, 'BA History S2'!C:C))</f>
        <v>16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S2'!$AK:$AK)</f>
        <v>0</v>
      </c>
      <c r="L34" s="34">
        <f>SUMIFS('BA History S2'!F:F,'BA History S2'!B:B,A34)</f>
        <v>3</v>
      </c>
      <c r="M34" s="2">
        <f>SUMIFS('BA History S2'!E:E,'BA History S2'!B:B,A34)-L34</f>
        <v>6</v>
      </c>
      <c r="N34" s="75">
        <f>LOOKUP(2, 1/('BA History S2'!$B:$B=A34), 'BA History S2'!$AI:$AI)</f>
        <v>0.32500000000000001</v>
      </c>
      <c r="O34" s="34">
        <f>SUMIFS('BA History S2'!H:H,'BA History S2'!B:B,A34)</f>
        <v>19</v>
      </c>
      <c r="P34" s="2">
        <f>SUMIFS('BA History S2'!G:G,'BA History S2'!B:B,A34)-O34</f>
        <v>22</v>
      </c>
      <c r="Q34" s="89">
        <f>LOOKUP(2, 1/('BA History S2'!$B:$B=A34), 'BA History S2'!$AJ:$AJ)</f>
        <v>0.46499999999999997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  <c r="AN34" s="2">
        <f>COUNTIFS('BA History S2'!$B:$B,$A$34,'BA History S2'!AG:AG, 1)</f>
        <v>0</v>
      </c>
    </row>
    <row r="35" spans="1:40" x14ac:dyDescent="0.25">
      <c r="A35" s="2" t="s">
        <v>113</v>
      </c>
      <c r="B35" s="2" t="s">
        <v>79</v>
      </c>
      <c r="C35" s="2">
        <v>1</v>
      </c>
      <c r="D35" s="2">
        <v>1</v>
      </c>
      <c r="E35" s="2"/>
      <c r="F35" s="34">
        <f>SUMIFS('BA History S2'!C:C,'BA History S2'!B:B,A35)</f>
        <v>365</v>
      </c>
      <c r="G35" s="66">
        <f>AVERAGEIFS('BA History S2'!C:C,'BA History S2'!B:B,A35)</f>
        <v>19.210526315789473</v>
      </c>
      <c r="H35" s="35">
        <f t="array" ref="H35">MAX(IF('BA History S2'!B:B=A35, 'BA History S2'!C:C))</f>
        <v>36</v>
      </c>
      <c r="I35" s="34">
        <f>COUNTIFS('BA History S2'!B:B,A35,'BA History S2'!D:D, 1)</f>
        <v>10</v>
      </c>
      <c r="J35" s="2">
        <f>COUNTIFS('BA History S2'!B:B,A35,'BA History S2'!D:D, 0)</f>
        <v>9</v>
      </c>
      <c r="K35" s="75">
        <f>LOOKUP(2, 1/('BA History S2'!$B:$B=A35), 'BA History S2'!$AK:$AK)</f>
        <v>0.52631578947368418</v>
      </c>
      <c r="L35" s="34">
        <f>SUMIFS('BA History S2'!F:F,'BA History S2'!B:B,A35)</f>
        <v>41</v>
      </c>
      <c r="M35" s="2">
        <f>SUMIFS('BA History S2'!E:E,'BA History S2'!B:B,A35)-L35</f>
        <v>34</v>
      </c>
      <c r="N35" s="75">
        <f>LOOKUP(2, 1/('BA History S2'!$B:$B=A35), 'BA History S2'!$AI:$AI)</f>
        <v>0.56842105263157894</v>
      </c>
      <c r="O35" s="34">
        <f>SUMIFS('BA History S2'!H:H,'BA History S2'!B:B,A35)</f>
        <v>165</v>
      </c>
      <c r="P35" s="2">
        <f>SUMIFS('BA History S2'!G:G,'BA History S2'!B:B,A35)-O35</f>
        <v>150</v>
      </c>
      <c r="Q35" s="89">
        <f>LOOKUP(2, 1/('BA History S2'!$B:$B=A35), 'BA History S2'!$AJ:$AJ)</f>
        <v>0.55000000000000004</v>
      </c>
      <c r="R35" s="2">
        <f>COUNTIFS('BA History S2'!$B:$B,$A$35,'BA History S2'!K:K, 1)</f>
        <v>0</v>
      </c>
      <c r="S35" s="2">
        <f>COUNTIFS('BA History S2'!$B:$B,$A$35,'BA History S2'!L:L, 1)</f>
        <v>5</v>
      </c>
      <c r="T35" s="2">
        <f>COUNTIFS('BA History S2'!$B:$B,$A$35,'BA History S2'!M:M, 1)</f>
        <v>2</v>
      </c>
      <c r="U35" s="2">
        <f>COUNTIFS('BA History S2'!$B:$B,$A$35,'BA History S2'!N:N, 1)</f>
        <v>3</v>
      </c>
      <c r="V35" s="2">
        <f>COUNTIFS('BA History S2'!$B:$B,$A$35,'BA History S2'!O:O, 1)</f>
        <v>1</v>
      </c>
      <c r="W35" s="2">
        <f>COUNTIFS('BA History S2'!$B:$B,$A$35,'BA History S2'!P:P, 1)</f>
        <v>1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2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7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4</v>
      </c>
    </row>
    <row r="36" spans="1:40" x14ac:dyDescent="0.25">
      <c r="A36" s="2" t="s">
        <v>14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86</v>
      </c>
      <c r="G36" s="66">
        <f>AVERAGEIFS('BA History S2'!C:C,'BA History S2'!B:B,A36)</f>
        <v>14.333333333333334</v>
      </c>
      <c r="H36" s="35">
        <f t="array" ref="H36">MAX(IF('BA History S2'!B:B=A36, 'BA History S2'!C:C))</f>
        <v>21</v>
      </c>
      <c r="I36" s="34">
        <f>COUNTIFS('BA History S2'!B:B,A36,'BA History S2'!D:D, 1)</f>
        <v>3</v>
      </c>
      <c r="J36" s="2">
        <f>COUNTIFS('BA History S2'!B:B,A36,'BA History S2'!D:D, 0)</f>
        <v>3</v>
      </c>
      <c r="K36" s="75">
        <f>LOOKUP(2, 1/('BA History S2'!$B:$B=A36), 'BA History S2'!$AK:$AK)</f>
        <v>0.5</v>
      </c>
      <c r="L36" s="34">
        <f>SUMIFS('BA History S2'!F:F,'BA History S2'!B:B,A36)</f>
        <v>11</v>
      </c>
      <c r="M36" s="2">
        <f>SUMIFS('BA History S2'!E:E,'BA History S2'!B:B,A36)-L36</f>
        <v>12</v>
      </c>
      <c r="N36" s="75">
        <f>LOOKUP(2, 1/('BA History S2'!$B:$B=A36), 'BA History S2'!$AI:$AI)</f>
        <v>0.47500000000000003</v>
      </c>
      <c r="O36" s="34">
        <f>SUMIFS('BA History S2'!H:H,'BA History S2'!B:B,A36)</f>
        <v>45</v>
      </c>
      <c r="P36" s="2">
        <f>SUMIFS('BA History S2'!G:G,'BA History S2'!B:B,A36)-O36</f>
        <v>50</v>
      </c>
      <c r="Q36" s="89">
        <f>LOOKUP(2, 1/('BA History S2'!$B:$B=A36), 'BA History S2'!$AJ:$AJ)</f>
        <v>0.4433333333333333</v>
      </c>
      <c r="R36" s="2">
        <f>COUNTIFS('BA History S2'!$B:$B,$A$36,'BA History S2'!K:K, 1)</f>
        <v>0</v>
      </c>
      <c r="S36" s="2">
        <f>COUNTIFS('BA History S2'!$B:$B,$A$36,'BA History S2'!L:L, 1)</f>
        <v>1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1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4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70</v>
      </c>
      <c r="B37" s="2" t="s">
        <v>79</v>
      </c>
      <c r="C37" s="2"/>
      <c r="D37" s="2"/>
      <c r="E37" s="2"/>
      <c r="F37" s="34">
        <f>SUMIFS('BA History S2'!C:C,'BA History S2'!B:B,A37)</f>
        <v>16</v>
      </c>
      <c r="G37" s="66">
        <f>AVERAGEIFS('BA History S2'!C:C,'BA History S2'!B:B,A37)</f>
        <v>8</v>
      </c>
      <c r="H37" s="35">
        <f t="array" ref="H37">MAX(IF('BA History S2'!B:B=A37, 'BA History S2'!C:C))</f>
        <v>9</v>
      </c>
      <c r="I37" s="34">
        <f>COUNTIFS('BA History S2'!B:B,A37,'BA History S2'!D:D, 1)</f>
        <v>0</v>
      </c>
      <c r="J37" s="2">
        <f>COUNTIFS('BA History S2'!B:B,A37,'BA History S2'!D:D, 0)</f>
        <v>2</v>
      </c>
      <c r="K37" s="75">
        <f>LOOKUP(2, 1/('BA History S2'!$B:$B=A37), 'BA History S2'!$AK:$AK)</f>
        <v>0</v>
      </c>
      <c r="L37" s="34">
        <f>SUMIFS('BA History S2'!F:F,'BA History S2'!B:B,A37)</f>
        <v>2</v>
      </c>
      <c r="M37" s="2">
        <f>SUMIFS('BA History S2'!E:E,'BA History S2'!B:B,A37)-L37</f>
        <v>6</v>
      </c>
      <c r="N37" s="75">
        <f>LOOKUP(2, 1/('BA History S2'!$B:$B=A37), 'BA History S2'!$AI:$AI)</f>
        <v>0.25</v>
      </c>
      <c r="O37" s="34">
        <f>SUMIFS('BA History S2'!H:H,'BA History S2'!B:B,A37)</f>
        <v>14</v>
      </c>
      <c r="P37" s="2">
        <f>SUMIFS('BA History S2'!G:G,'BA History S2'!B:B,A37)-O37</f>
        <v>19</v>
      </c>
      <c r="Q37" s="89">
        <f>LOOKUP(2, 1/('BA History S2'!$B:$B=A37), 'BA History S2'!$AJ:$AJ)</f>
        <v>0.42000000000000004</v>
      </c>
      <c r="R37" s="2">
        <f>COUNTIFS('BA History S2'!$B:$B,$A$37,'BA History S2'!K:K, 1)</f>
        <v>0</v>
      </c>
      <c r="S37" s="2">
        <f>COUNTIFS('BA History S2'!$B:$B,$A$37,'BA History S2'!L:L, 1)</f>
        <v>0</v>
      </c>
      <c r="T37" s="2">
        <f>COUNTIFS('BA History S2'!$B:$B,$A$37,'BA History S2'!M:M, 1)</f>
        <v>0</v>
      </c>
      <c r="U37" s="2">
        <f>COUNTIFS('BA History S2'!$B:$B,$A$37,'BA History S2'!N:N, 1)</f>
        <v>2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0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0</v>
      </c>
      <c r="AG37" s="2">
        <f>COUNTIFS('BA History S2'!$B:$B,$A$37,'BA History S2'!Z:Z, 1)</f>
        <v>0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0</v>
      </c>
      <c r="AK37" s="2">
        <f>COUNTIFS('BA History S2'!$B:$B,$A$37,'BA History S2'!AD:AD, 1)</f>
        <v>0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0</v>
      </c>
    </row>
    <row r="38" spans="1:40" x14ac:dyDescent="0.25">
      <c r="A38" s="2" t="s">
        <v>4</v>
      </c>
      <c r="B38" s="1" t="s">
        <v>158</v>
      </c>
      <c r="C38" s="1">
        <v>1</v>
      </c>
      <c r="D38" s="1">
        <v>1</v>
      </c>
      <c r="F38" s="34">
        <f>SUMIFS('BA History S2'!C:C,'BA History S2'!B:B,A38)</f>
        <v>352</v>
      </c>
      <c r="G38" s="66">
        <f>AVERAGEIFS('BA History S2'!C:C,'BA History S2'!B:B,A38)</f>
        <v>25.142857142857142</v>
      </c>
      <c r="H38" s="35">
        <f t="array" ref="H38">MAX(IF('BA History S2'!B:B=A38, 'BA History S2'!C:C))</f>
        <v>38</v>
      </c>
      <c r="I38" s="34">
        <f>COUNTIFS('BA History S2'!B:B,A38,'BA History S2'!D:D, 1)</f>
        <v>9</v>
      </c>
      <c r="J38" s="2">
        <f>COUNTIFS('BA History S2'!B:B,A38,'BA History S2'!D:D, 0)</f>
        <v>5</v>
      </c>
      <c r="K38" s="75">
        <f>LOOKUP(2, 1/('BA History S2'!$B:$B=A38), 'BA History S2'!$AK:$AK)</f>
        <v>0.6428571428571429</v>
      </c>
      <c r="L38" s="34">
        <f>SUMIFS('BA History S2'!F:F,'BA History S2'!B:B,A38)</f>
        <v>33</v>
      </c>
      <c r="M38" s="2">
        <f>SUMIFS('BA History S2'!E:E,'BA History S2'!B:B,A38)-L38</f>
        <v>26</v>
      </c>
      <c r="N38" s="75">
        <f>LOOKUP(2, 1/('BA History S2'!$B:$B=A38), 'BA History S2'!$AI:$AI)</f>
        <v>0.57500000000000007</v>
      </c>
      <c r="O38" s="34">
        <f>SUMIFS('BA History S2'!H:H,'BA History S2'!B:B,A38)</f>
        <v>131</v>
      </c>
      <c r="P38" s="2">
        <f>SUMIFS('BA History S2'!G:G,'BA History S2'!B:B,A38)-O38</f>
        <v>118</v>
      </c>
      <c r="Q38" s="89">
        <f>LOOKUP(2, 1/('BA History S2'!$B:$B=A38), 'BA History S2'!$AJ:$AJ)</f>
        <v>0.53071428571428569</v>
      </c>
      <c r="R38" s="2">
        <f>COUNTIFS('BA History S2'!$B:$B,$A$38,'BA History S2'!K:K, 1)</f>
        <v>2</v>
      </c>
      <c r="S38" s="2">
        <f>COUNTIFS('BA History S2'!$B:$B,$A$38,'BA History S2'!L:L, 1)</f>
        <v>3</v>
      </c>
      <c r="T38" s="2">
        <f>COUNTIFS('BA History S2'!$B:$B,$A$38,'BA History S2'!M:M, 1)</f>
        <v>3</v>
      </c>
      <c r="U38" s="2">
        <f>COUNTIFS('BA History S2'!$B:$B,$A$38,'BA History S2'!N:N, 1)</f>
        <v>3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</v>
      </c>
      <c r="AH38" s="2">
        <f>COUNTIFS('BA History S2'!$B:$B,$A38,'BA History S2'!AA:AA, 1)</f>
        <v>1</v>
      </c>
      <c r="AI38" s="2">
        <f>COUNTIFS('BA History S2'!$B:$B,$A$38,'BA History S2'!AB:AB, 1)</f>
        <v>0</v>
      </c>
      <c r="AJ38" s="2">
        <f>COUNTIFS('BA History S2'!$B:$B,$A$38,'BA History S2'!AC:AC, 1)</f>
        <v>7</v>
      </c>
      <c r="AK38" s="2">
        <f>COUNTIFS('BA History S2'!$B:$B,$A$38,'BA History S2'!AD:AD, 1)</f>
        <v>4</v>
      </c>
      <c r="AL38" s="2">
        <f>COUNTIFS('BA History S2'!$B:$B,$A$38,'BA History S2'!AE:AE, 1)</f>
        <v>2</v>
      </c>
      <c r="AM38" s="2">
        <f>COUNTIFS('BA History S2'!$B:$B,$A$38,'BA History S2'!AF:AF, 1)</f>
        <v>1</v>
      </c>
      <c r="AN38" s="2">
        <f>COUNTIFS('BA History S2'!$B:$B,$A$38,'BA History S2'!AG:AG, 1)</f>
        <v>1</v>
      </c>
    </row>
    <row r="39" spans="1:40" x14ac:dyDescent="0.25">
      <c r="A39" s="1" t="s">
        <v>107</v>
      </c>
      <c r="B39" s="2" t="s">
        <v>79</v>
      </c>
      <c r="C39" s="2"/>
      <c r="D39" s="2"/>
      <c r="E39" s="2"/>
      <c r="F39" s="34">
        <f>SUMIFS('BA History S2'!C:C,'BA History S2'!B:B,A39)</f>
        <v>270</v>
      </c>
      <c r="G39" s="66">
        <f>AVERAGEIFS('BA History S2'!C:C,'BA History S2'!B:B,A39)</f>
        <v>14.210526315789474</v>
      </c>
      <c r="H39" s="35">
        <f t="array" ref="H39">MAX(IF('BA History S2'!B:B=A39, 'BA History S2'!C:C))</f>
        <v>27</v>
      </c>
      <c r="I39" s="34">
        <f>COUNTIFS('BA History S2'!B:B,A39,'BA History S2'!D:D, 1)</f>
        <v>10</v>
      </c>
      <c r="J39" s="2">
        <f>COUNTIFS('BA History S2'!B:B,A39,'BA History S2'!D:D, 0)</f>
        <v>9</v>
      </c>
      <c r="K39" s="75">
        <f>LOOKUP(2, 1/('BA History S2'!$B:$B=A39), 'BA History S2'!$AK:$AK)</f>
        <v>0.52631578947368418</v>
      </c>
      <c r="L39" s="34">
        <f>SUMIFS('BA History S2'!F:F,'BA History S2'!B:B,A39)</f>
        <v>34</v>
      </c>
      <c r="M39" s="2">
        <f>SUMIFS('BA History S2'!E:E,'BA History S2'!B:B,A39)-L39</f>
        <v>40</v>
      </c>
      <c r="N39" s="75">
        <f>LOOKUP(2, 1/('BA History S2'!$B:$B=A39), 'BA History S2'!$AI:$AI)</f>
        <v>0.42368421052631572</v>
      </c>
      <c r="O39" s="34">
        <f>SUMIFS('BA History S2'!H:H,'BA History S2'!B:B,A39)</f>
        <v>147</v>
      </c>
      <c r="P39" s="2">
        <f>SUMIFS('BA History S2'!G:G,'BA History S2'!B:B,A39)-O39</f>
        <v>154</v>
      </c>
      <c r="Q39" s="89">
        <f>LOOKUP(2, 1/('BA History S2'!$B:$B=A39), 'BA History S2'!$AJ:$AJ)</f>
        <v>0.47263157894736846</v>
      </c>
      <c r="R39" s="2">
        <f>COUNTIFS('BA History S2'!$B:$B,$A$39,'BA History S2'!K:K, 1)</f>
        <v>3</v>
      </c>
      <c r="S39" s="2">
        <f>COUNTIFS('BA History S2'!$B:$B,$A$39,'BA History S2'!L:L, 1)</f>
        <v>1</v>
      </c>
      <c r="T39" s="2">
        <f>COUNTIFS('BA History S2'!$B:$B,$A$39,'BA History S2'!M:M, 1)</f>
        <v>5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1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2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2</v>
      </c>
      <c r="AG39" s="2">
        <f>COUNTIFS('BA History S2'!$B:$B,$A$39,'BA History S2'!Z:Z, 1)</f>
        <v>3</v>
      </c>
      <c r="AH39" s="2">
        <f>COUNTIFS('BA History S2'!$B:$B,$A39,'BA History S2'!AA:AA, 1)</f>
        <v>1</v>
      </c>
      <c r="AI39" s="2">
        <f>COUNTIFS('BA History S2'!$B:$B,$A$39,'BA History S2'!AB:AB, 1)</f>
        <v>0</v>
      </c>
      <c r="AJ39" s="2">
        <f>COUNTIFS('BA History S2'!$B:$B,$A$39,'BA History S2'!AC:AC, 1)</f>
        <v>5</v>
      </c>
      <c r="AK39" s="2">
        <f>COUNTIFS('BA History S2'!$B:$B,$A$39,'BA History S2'!AD:AD, 1)</f>
        <v>2</v>
      </c>
      <c r="AL39" s="2">
        <f>COUNTIFS('BA History S2'!$B:$B,$A$39,'BA History S2'!AE:AE, 1)</f>
        <v>4</v>
      </c>
      <c r="AM39" s="2">
        <f>COUNTIFS('BA History S2'!$B:$B,$A$39,'BA History S2'!AF:AF, 1)</f>
        <v>0</v>
      </c>
      <c r="AN39" s="2">
        <f>COUNTIFS('BA History S2'!$B:$B,$A$39,'BA History S2'!AG:AG, 1)</f>
        <v>2</v>
      </c>
    </row>
  </sheetData>
  <autoFilter ref="A1:AN39" xr:uid="{DA548192-1F03-46EA-8AB8-115EB9A7CE5D}">
    <sortState xmlns:xlrd2="http://schemas.microsoft.com/office/spreadsheetml/2017/richdata2" ref="A2:AN39">
      <sortCondition ref="A1:A39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380"/>
  <sheetViews>
    <sheetView workbookViewId="0">
      <pane xSplit="2" ySplit="1" topLeftCell="M350" activePane="bottomRight" state="frozen"/>
      <selection pane="topRight" activeCell="C1" sqref="C1"/>
      <selection pane="bottomLeft" activeCell="A2" sqref="A2"/>
      <selection pane="bottomRight" activeCell="AH370" sqref="AH37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19"/>
  <sheetViews>
    <sheetView topLeftCell="C190" workbookViewId="0">
      <selection activeCell="AA207" sqref="AA207:AD21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55</v>
      </c>
      <c r="E20" s="4">
        <f>AVERAGEIFS('Tourney History'!C:C,'Tourney History'!B:B,A20)</f>
        <v>13.75</v>
      </c>
      <c r="F20" s="35">
        <f t="array" ref="F20">MAX(IF('Tourney History'!B:B=A20, 'Tourney History'!C:C))</f>
        <v>25</v>
      </c>
      <c r="G20" s="34">
        <f>COUNTIFS('Tourney History'!B:B,A20,'Tourney History'!D:D, 1)</f>
        <v>3</v>
      </c>
      <c r="H20" s="2">
        <f>COUNTIFS('Tourney History'!B:B,A20,'Tourney History'!D:D, 0)</f>
        <v>1</v>
      </c>
      <c r="I20" s="88">
        <f>LOOKUP(2, 1/('Tourney History'!$B:$B=A20), 'Tourney History'!$AD:$AD)</f>
        <v>0.75</v>
      </c>
      <c r="J20" s="34">
        <f>SUMIFS('Tourney History'!F:F,'Tourney History'!B:B,A20)</f>
        <v>9</v>
      </c>
      <c r="K20" s="2">
        <f>SUMIFS('Tourney History'!E:E,'Tourney History'!B:B,A20)-J20</f>
        <v>8</v>
      </c>
      <c r="L20" s="88">
        <f>LOOKUP(2, 1/('Tourney History'!$B:$B=A20), 'Tourney History'!$AB:$AB)</f>
        <v>0.48749999999999999</v>
      </c>
      <c r="M20" s="34">
        <f>SUMIFS('Tourney History'!H:H,'Tourney History'!B:B,A20)</f>
        <v>36</v>
      </c>
      <c r="N20" s="2">
        <f>SUMIFS('Tourney History'!G:G,'Tourney History'!B:B,A20)-M20</f>
        <v>32</v>
      </c>
      <c r="O20" s="88">
        <f>LOOKUP(2, 1/('Tourney History'!$B:$B=A20), 'Tourney History'!$AC:$AC)</f>
        <v>0.51500000000000001</v>
      </c>
      <c r="P20" s="2">
        <f>COUNTIFS('Tourney History'!$B:$B,$A$20,'Tourney History'!K:K, 1)</f>
        <v>1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183</v>
      </c>
      <c r="E22" s="4">
        <f>AVERAGEIFS('Tourney History'!C:C,'Tourney History'!B:B,A22)</f>
        <v>18.3</v>
      </c>
      <c r="F22" s="35">
        <f t="array" ref="F22">MAX(IF('Tourney History'!B:B=A22, 'Tourney History'!C:C))</f>
        <v>37</v>
      </c>
      <c r="G22" s="34">
        <f>COUNTIFS('Tourney History'!B:B,A22,'Tourney History'!D:D, 1)</f>
        <v>4</v>
      </c>
      <c r="H22" s="2">
        <f>COUNTIFS('Tourney History'!B:B,A22,'Tourney History'!D:D, 0)</f>
        <v>6</v>
      </c>
      <c r="I22" s="88">
        <f>LOOKUP(2, 1/('Tourney History'!$B:$B=A22), 'Tourney History'!$AD:$AD)</f>
        <v>0.4</v>
      </c>
      <c r="J22" s="34">
        <f>SUMIFS('Tourney History'!F:F,'Tourney History'!B:B,A22)</f>
        <v>22</v>
      </c>
      <c r="K22" s="2">
        <f>SUMIFS('Tourney History'!E:E,'Tourney History'!B:B,A22)-J22</f>
        <v>22</v>
      </c>
      <c r="L22" s="88">
        <f>LOOKUP(2, 1/('Tourney History'!$B:$B=A22), 'Tourney History'!$AB:$AB)</f>
        <v>0.51</v>
      </c>
      <c r="M22" s="34">
        <f>SUMIFS('Tourney History'!H:H,'Tourney History'!B:B,A22)</f>
        <v>92</v>
      </c>
      <c r="N22" s="2">
        <f>SUMIFS('Tourney History'!G:G,'Tourney History'!B:B,A22)-M22</f>
        <v>90</v>
      </c>
      <c r="O22" s="88">
        <f>LOOKUP(2, 1/('Tourney History'!$B:$B=A22), 'Tourney History'!$AC:$AC)</f>
        <v>0.5159999999999999</v>
      </c>
      <c r="P22" s="2">
        <f>COUNTIFS('Tourney History'!$B:$B,$A$22,'Tourney History'!K:K, 1)</f>
        <v>2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5</v>
      </c>
      <c r="AC22" s="2">
        <f>COUNTIFS('Tourney History'!$B:$B,$A$22,'Tourney History'!X:X, 1)</f>
        <v>3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62</v>
      </c>
      <c r="E23" s="4">
        <f>AVERAGEIFS('Tourney History'!C:C,'Tourney History'!B:B,A23)</f>
        <v>10.333333333333334</v>
      </c>
      <c r="F23" s="35">
        <f t="array" ref="F23">MAX(IF('Tourney History'!B:B=A23, 'Tourney History'!C:C))</f>
        <v>14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12</v>
      </c>
      <c r="K23" s="2">
        <f>SUMIFS('Tourney History'!E:E,'Tourney History'!B:B,A23)-J23</f>
        <v>12</v>
      </c>
      <c r="L23" s="88">
        <f>LOOKUP(2, 1/('Tourney History'!$B:$B=A23), 'Tourney History'!$AB:$AB)</f>
        <v>0.5</v>
      </c>
      <c r="M23" s="34">
        <f>SUMIFS('Tourney History'!H:H,'Tourney History'!B:B,A23)</f>
        <v>51</v>
      </c>
      <c r="N23" s="2">
        <f>SUMIFS('Tourney History'!G:G,'Tourney History'!B:B,A23)-M23</f>
        <v>50</v>
      </c>
      <c r="O23" s="88">
        <f>LOOKUP(2, 1/('Tourney History'!$B:$B=A23), 'Tourney History'!$AC:$AC)</f>
        <v>0.49500000000000005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2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291</v>
      </c>
      <c r="E25" s="4">
        <f>AVERAGEIFS('Tourney History'!C:C,'Tourney History'!B:B,A25)</f>
        <v>32.333333333333336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7</v>
      </c>
      <c r="I25" s="88">
        <f>LOOKUP(2, 1/('Tourney History'!$B:$B=A25), 'Tourney History'!$AD:$AD)</f>
        <v>0.22222222222222221</v>
      </c>
      <c r="J25" s="34">
        <f>SUMIFS('Tourney History'!F:F,'Tourney History'!B:B,A25)</f>
        <v>17</v>
      </c>
      <c r="K25" s="2">
        <f>SUMIFS('Tourney History'!E:E,'Tourney History'!B:B,A25)-J25</f>
        <v>22</v>
      </c>
      <c r="L25" s="88">
        <f>LOOKUP(2, 1/('Tourney History'!$B:$B=A25), 'Tourney History'!$AB:$AB)</f>
        <v>0.45555555555555549</v>
      </c>
      <c r="M25" s="34">
        <f>SUMIFS('Tourney History'!H:H,'Tourney History'!B:B,A25)</f>
        <v>77</v>
      </c>
      <c r="N25" s="2">
        <f>SUMIFS('Tourney History'!G:G,'Tourney History'!B:B,A25)-M25</f>
        <v>88</v>
      </c>
      <c r="O25" s="88">
        <f>LOOKUP(2, 1/('Tourney History'!$B:$B=A25), 'Tourney History'!$AC:$AC)</f>
        <v>0.47555555555555556</v>
      </c>
      <c r="P25" s="2">
        <f>COUNTIFS('Tourney History'!$B:$B,$A$25,'Tourney History'!K:K, 1)</f>
        <v>1</v>
      </c>
      <c r="Q25" s="2">
        <f>COUNTIFS('Tourney History'!$B:$B,$A$25,'Tourney History'!L:L, 1)</f>
        <v>2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220</v>
      </c>
      <c r="E29" s="4">
        <f>AVERAGEIFS('Tourney History'!C:C,'Tourney History'!B:B,A29)</f>
        <v>31.428571428571427</v>
      </c>
      <c r="F29" s="35">
        <f t="array" ref="F29">MAX(IF('Tourney History'!B:B=A29, 'Tourney History'!C:C))</f>
        <v>51</v>
      </c>
      <c r="G29" s="34">
        <f>COUNTIFS('Tourney History'!B:B,A29,'Tourney History'!D:D, 1)</f>
        <v>6</v>
      </c>
      <c r="H29" s="2">
        <f>COUNTIFS('Tourney History'!B:B,A29,'Tourney History'!D:D, 0)</f>
        <v>1</v>
      </c>
      <c r="I29" s="88">
        <f>LOOKUP(2, 1/('Tourney History'!$B:$B=A29), 'Tourney History'!$AD:$AD)</f>
        <v>0.8571428571428571</v>
      </c>
      <c r="J29" s="34">
        <f>SUMIFS('Tourney History'!F:F,'Tourney History'!B:B,A29)</f>
        <v>19</v>
      </c>
      <c r="K29" s="2">
        <f>SUMIFS('Tourney History'!E:E,'Tourney History'!B:B,A29)-J29</f>
        <v>12</v>
      </c>
      <c r="L29" s="88">
        <f>LOOKUP(2, 1/('Tourney History'!$B:$B=A29), 'Tourney History'!$AB:$AB)</f>
        <v>0.61428571428571443</v>
      </c>
      <c r="M29" s="34">
        <f>SUMIFS('Tourney History'!H:H,'Tourney History'!B:B,A29)</f>
        <v>72</v>
      </c>
      <c r="N29" s="2">
        <f>SUMIFS('Tourney History'!G:G,'Tourney History'!B:B,A29)-M29</f>
        <v>59</v>
      </c>
      <c r="O29" s="88">
        <f>LOOKUP(2, 1/('Tourney History'!$B:$B=A29), 'Tourney History'!$AC:$AC)</f>
        <v>0.54714285714285715</v>
      </c>
      <c r="P29" s="2">
        <f>COUNTIFS('Tourney History'!$B:$B,$A$29,'Tourney History'!K:K, 1)</f>
        <v>2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97</v>
      </c>
      <c r="E34" s="4">
        <f>AVERAGEIFS('Tourney History'!C:C,'Tourney History'!B:B,A34)</f>
        <v>32.333333333333336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1</v>
      </c>
      <c r="I34" s="88">
        <f>LOOKUP(2, 1/('Tourney History'!$B:$B=A34), 'Tourney History'!$AD:$AD)</f>
        <v>0.66666666666666663</v>
      </c>
      <c r="J34" s="34">
        <f>SUMIFS('Tourney History'!F:F,'Tourney History'!B:B,A34)</f>
        <v>7</v>
      </c>
      <c r="K34" s="2">
        <f>SUMIFS('Tourney History'!E:E,'Tourney History'!B:B,A34)-J34</f>
        <v>7</v>
      </c>
      <c r="L34" s="88">
        <f>LOOKUP(2, 1/('Tourney History'!$B:$B=A34), 'Tourney History'!$AB:$AB)</f>
        <v>0.48333333333333334</v>
      </c>
      <c r="M34" s="34">
        <f>SUMIFS('Tourney History'!H:H,'Tourney History'!B:B,A34)</f>
        <v>29</v>
      </c>
      <c r="N34" s="2">
        <f>SUMIFS('Tourney History'!G:G,'Tourney History'!B:B,A34)-M34</f>
        <v>26</v>
      </c>
      <c r="O34" s="88">
        <f>LOOKUP(2, 1/('Tourney History'!$B:$B=A34), 'Tourney History'!$AC:$AC)</f>
        <v>0.51666666666666661</v>
      </c>
      <c r="P34" s="2">
        <f>COUNTIFS('Tourney History'!$B:$B,$A$34,'Tourney History'!K:K, 1)</f>
        <v>1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373</v>
      </c>
      <c r="E38" s="4">
        <f>AVERAGEIFS('Tourney History'!C:C,'Tourney History'!B:B,A38)</f>
        <v>37.299999999999997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5</v>
      </c>
      <c r="I38" s="88">
        <f>LOOKUP(2, 1/('Tourney History'!$B:$B=A38), 'Tourney History'!$AD:$AD)</f>
        <v>0.5</v>
      </c>
      <c r="J38" s="34">
        <f>SUMIFS('Tourney History'!F:F,'Tourney History'!B:B,A38)</f>
        <v>21</v>
      </c>
      <c r="K38" s="2">
        <f>SUMIFS('Tourney History'!E:E,'Tourney History'!B:B,A38)-J38</f>
        <v>22</v>
      </c>
      <c r="L38" s="88">
        <f>LOOKUP(2, 1/('Tourney History'!$B:$B=A38), 'Tourney History'!$AB:$AB)</f>
        <v>0.495</v>
      </c>
      <c r="M38" s="34">
        <f>SUMIFS('Tourney History'!H:H,'Tourney History'!B:B,A38)</f>
        <v>92</v>
      </c>
      <c r="N38" s="2">
        <f>SUMIFS('Tourney History'!G:G,'Tourney History'!B:B,A38)-M38</f>
        <v>91</v>
      </c>
      <c r="O38" s="88">
        <f>LOOKUP(2, 1/('Tourney History'!$B:$B=A38), 'Tourney History'!$AC:$AC)</f>
        <v>0.50800000000000001</v>
      </c>
      <c r="P38" s="2">
        <f>COUNTIFS('Tourney History'!$B:$B,$A$38,'Tourney History'!K:K, 1)</f>
        <v>1</v>
      </c>
      <c r="Q38" s="2">
        <f>COUNTIFS('Tourney History'!$B:$B,$A$38,'Tourney History'!L:L, 1)</f>
        <v>3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160</v>
      </c>
      <c r="E40" s="4">
        <f>AVERAGEIFS('Tourney History'!C:C,'Tourney History'!B:B,A40)</f>
        <v>26.666666666666668</v>
      </c>
      <c r="F40" s="35">
        <f t="array" ref="F40">MAX(IF('Tourney History'!B:B=A40, 'Tourney History'!C:C))</f>
        <v>46</v>
      </c>
      <c r="G40" s="34">
        <f>COUNTIFS('Tourney History'!B:B,A40,'Tourney History'!D:D, 1)</f>
        <v>5</v>
      </c>
      <c r="H40" s="2">
        <f>COUNTIFS('Tourney History'!B:B,A40,'Tourney History'!D:D, 0)</f>
        <v>1</v>
      </c>
      <c r="I40" s="88">
        <f>LOOKUP(2, 1/('Tourney History'!$B:$B=A40), 'Tourney History'!$AD:$AD)</f>
        <v>0.83333333333333337</v>
      </c>
      <c r="J40" s="34">
        <f>SUMIFS('Tourney History'!F:F,'Tourney History'!B:B,A40)</f>
        <v>15</v>
      </c>
      <c r="K40" s="2">
        <f>SUMIFS('Tourney History'!E:E,'Tourney History'!B:B,A40)-J40</f>
        <v>11</v>
      </c>
      <c r="L40" s="88">
        <f>LOOKUP(2, 1/('Tourney History'!$B:$B=A40), 'Tourney History'!$AB:$AB)</f>
        <v>0.55000000000000004</v>
      </c>
      <c r="M40" s="34">
        <f>SUMIFS('Tourney History'!H:H,'Tourney History'!B:B,A40)</f>
        <v>56</v>
      </c>
      <c r="N40" s="2">
        <f>SUMIFS('Tourney History'!G:G,'Tourney History'!B:B,A40)-M40</f>
        <v>48</v>
      </c>
      <c r="O40" s="88">
        <f>LOOKUP(2, 1/('Tourney History'!$B:$B=A40), 'Tourney History'!$AC:$AC)</f>
        <v>0.51500000000000001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1</v>
      </c>
      <c r="AC40" s="2">
        <f>COUNTIFS('Tourney History'!$B:$B,$A$40,'Tourney History'!X:X, 1)</f>
        <v>1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workbookViewId="0">
      <selection activeCell="D17" sqref="D17"/>
    </sheetView>
  </sheetViews>
  <sheetFormatPr defaultRowHeight="15" x14ac:dyDescent="0.25"/>
  <cols>
    <col min="1" max="1" width="32.570312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1:4" x14ac:dyDescent="0.25">
      <c r="A17" t="s">
        <v>223</v>
      </c>
      <c r="B17" s="99" t="s">
        <v>224</v>
      </c>
      <c r="C17" t="s">
        <v>225</v>
      </c>
      <c r="D17" t="s">
        <v>207</v>
      </c>
    </row>
    <row r="18" spans="1:4" x14ac:dyDescent="0.25">
      <c r="B18" s="99"/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2026-05-14T23:20:20Z</dcterms:modified>
</cp:coreProperties>
</file>