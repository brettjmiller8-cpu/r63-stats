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9B1F1216-BD0C-4234-A627-F1EB8AA9A485}" xr6:coauthVersionLast="47" xr6:coauthVersionMax="47" xr10:uidLastSave="{00000000-0000-0000-0000-000000000000}"/>
  <bookViews>
    <workbookView xWindow="-28920" yWindow="-120" windowWidth="29040" windowHeight="15720" activeTab="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S2'!$A$1:$AK$730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2'!$A$1:$AI$53</definedName>
    <definedName name="_xlnm._FilterDatabase" localSheetId="4" hidden="1">'Old Bow'!$A$1:$AD$37</definedName>
    <definedName name="_xlnm._FilterDatabase" localSheetId="0" hidden="1">'Old Bow v2'!$A$1:$AJ$58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Stats'!$A$1:$AE$44</definedName>
    <definedName name="_xlnm._FilterDatabase" localSheetId="15" hidden="1">'Tourney Stats BA'!$A$1:$AL$37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230" i="10" l="1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0" i="24"/>
  <c r="R30" i="24"/>
  <c r="S30" i="24"/>
  <c r="T30" i="24"/>
  <c r="U30" i="24"/>
  <c r="V30" i="24"/>
  <c r="W30" i="24"/>
  <c r="X30" i="24"/>
  <c r="Y30" i="24"/>
  <c r="Z30" i="24"/>
  <c r="AA30" i="24"/>
  <c r="AB30" i="24"/>
  <c r="AC30" i="24"/>
  <c r="AD30" i="24"/>
  <c r="AE30" i="24"/>
  <c r="AF30" i="24"/>
  <c r="AG30" i="24"/>
  <c r="AH30" i="24"/>
  <c r="AI30" i="24"/>
  <c r="AJ30" i="24"/>
  <c r="AK30" i="24"/>
  <c r="AL30" i="24"/>
  <c r="P30" i="24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P27" i="24"/>
  <c r="P26" i="24"/>
  <c r="P25" i="24"/>
  <c r="P24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P18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P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P10" i="24"/>
  <c r="P9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0" i="24"/>
  <c r="E10" i="24"/>
  <c r="F10" i="24" a="1"/>
  <c r="F10" i="24" s="1"/>
  <c r="G10" i="24"/>
  <c r="H10" i="24"/>
  <c r="I10" i="24"/>
  <c r="J10" i="24"/>
  <c r="K10" i="24" s="1"/>
  <c r="L10" i="24"/>
  <c r="M10" i="24"/>
  <c r="N10" i="24" s="1"/>
  <c r="O10" i="24"/>
  <c r="D11" i="24"/>
  <c r="E11" i="24"/>
  <c r="F11" i="24" a="1"/>
  <c r="F11" i="24" s="1"/>
  <c r="G11" i="24"/>
  <c r="H11" i="24"/>
  <c r="I11" i="24"/>
  <c r="J11" i="24"/>
  <c r="K11" i="24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/>
  <c r="L12" i="24"/>
  <c r="M12" i="24"/>
  <c r="N12" i="24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/>
  <c r="L14" i="24"/>
  <c r="M14" i="24"/>
  <c r="N14" i="24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/>
  <c r="L16" i="24"/>
  <c r="M16" i="24"/>
  <c r="N16" i="24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/>
  <c r="L18" i="24"/>
  <c r="M18" i="24"/>
  <c r="N18" i="24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/>
  <c r="L20" i="24"/>
  <c r="M20" i="24"/>
  <c r="N20" i="24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/>
  <c r="O25" i="24"/>
  <c r="D26" i="24"/>
  <c r="E26" i="24"/>
  <c r="F26" i="24" a="1"/>
  <c r="F26" i="24" s="1"/>
  <c r="G26" i="24"/>
  <c r="H26" i="24"/>
  <c r="I26" i="24"/>
  <c r="J26" i="24"/>
  <c r="K26" i="24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/>
  <c r="L27" i="24"/>
  <c r="M27" i="24"/>
  <c r="N27" i="24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/>
  <c r="L31" i="24"/>
  <c r="M31" i="24"/>
  <c r="N31" i="24"/>
  <c r="O31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J37" i="24"/>
  <c r="K37" i="24" s="1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M32" i="24"/>
  <c r="N32" i="24" s="1"/>
  <c r="L32" i="24"/>
  <c r="K32" i="24"/>
  <c r="J32" i="24"/>
  <c r="I32" i="24"/>
  <c r="H32" i="24"/>
  <c r="G32" i="24"/>
  <c r="F32" i="24" a="1"/>
  <c r="F32" i="24" s="1"/>
  <c r="E32" i="24"/>
  <c r="D32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O9" i="24"/>
  <c r="M9" i="24"/>
  <c r="N9" i="24" s="1"/>
  <c r="L9" i="24"/>
  <c r="J9" i="24"/>
  <c r="K9" i="24" s="1"/>
  <c r="I9" i="24"/>
  <c r="H9" i="24"/>
  <c r="G9" i="24"/>
  <c r="F9" i="24" a="1"/>
  <c r="F9" i="24" s="1"/>
  <c r="E9" i="24"/>
  <c r="D9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N55" i="12"/>
  <c r="M55" i="12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N49" i="12"/>
  <c r="M49" i="12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N39" i="12"/>
  <c r="M39" i="12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N37" i="12"/>
  <c r="M37" i="12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N35" i="12"/>
  <c r="M35" i="12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N29" i="12"/>
  <c r="M29" i="12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N23" i="12"/>
  <c r="M23" i="12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N21" i="12"/>
  <c r="M21" i="12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F31" i="19" a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F25" i="19" a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F23" i="19" a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F21" i="19" a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F19" i="19" a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F18" i="19" a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F17" i="19" a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F16" i="19" a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F15" i="19" a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F14" i="19" a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F13" i="19" a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F11" i="19" a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F10" i="19" a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F9" i="19" a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F8" i="19" a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F7" i="19" a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F6" i="19" a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G5" i="19"/>
  <c r="F5" i="19"/>
  <c r="F5" i="19" a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N4" i="19"/>
  <c r="M4" i="19"/>
  <c r="L4" i="19"/>
  <c r="K4" i="19"/>
  <c r="J4" i="19"/>
  <c r="I4" i="19"/>
  <c r="H4" i="19"/>
  <c r="G4" i="19"/>
  <c r="F4" i="19"/>
  <c r="F4" i="19" a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F3" i="19" a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N2" i="19"/>
  <c r="M2" i="19"/>
  <c r="L2" i="19"/>
  <c r="K2" i="19"/>
  <c r="J2" i="19"/>
  <c r="I2" i="19"/>
  <c r="H2" i="19"/>
  <c r="G2" i="19"/>
  <c r="F2" i="19"/>
  <c r="F2" i="19" a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/>
  <c r="J47" i="13" a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/>
  <c r="J46" i="13" a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/>
  <c r="J45" i="13" a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/>
  <c r="J44" i="13" a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/>
  <c r="J43" i="13" a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/>
  <c r="J34" i="13" a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/>
  <c r="J33" i="13" a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/>
  <c r="J32" i="13" a="1"/>
  <c r="I32" i="13"/>
  <c r="H32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Q31" i="13"/>
  <c r="R31" i="13" s="1"/>
  <c r="P31" i="13"/>
  <c r="N31" i="13"/>
  <c r="O31" i="13" s="1"/>
  <c r="M31" i="13"/>
  <c r="L31" i="13"/>
  <c r="K31" i="13"/>
  <c r="J31" i="13" a="1"/>
  <c r="J31" i="13" s="1"/>
  <c r="I31" i="13"/>
  <c r="H31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/>
  <c r="J30" i="13" a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/>
  <c r="J28" i="13" a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/>
  <c r="J26" i="13" a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/>
  <c r="J24" i="13" a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/>
  <c r="J23" i="13" a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/>
  <c r="J22" i="13" a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/>
  <c r="J18" i="13" a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/>
  <c r="J17" i="13" a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/>
  <c r="J14" i="13" a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44" i="22" s="1"/>
  <c r="E44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7" i="22" s="1"/>
  <c r="E7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5" i="22" s="1"/>
  <c r="E5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18" i="22" s="1"/>
  <c r="E18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P54" i="11"/>
  <c r="O54" i="11"/>
  <c r="N54" i="11"/>
  <c r="M54" i="11"/>
  <c r="L54" i="11"/>
  <c r="K54" i="11" a="1"/>
  <c r="K54" i="11" s="1"/>
  <c r="J54" i="11" a="1"/>
  <c r="J54" i="11" s="1"/>
  <c r="B56" i="22" s="1"/>
  <c r="E56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S53" i="11"/>
  <c r="R53" i="11"/>
  <c r="Q53" i="11"/>
  <c r="O53" i="11"/>
  <c r="P53" i="11" s="1"/>
  <c r="N53" i="11"/>
  <c r="M53" i="11"/>
  <c r="L53" i="11"/>
  <c r="K53" i="11" a="1"/>
  <c r="K53" i="11" s="1"/>
  <c r="J53" i="11"/>
  <c r="B28" i="22" s="1"/>
  <c r="E28" i="22" s="1"/>
  <c r="J53" i="11" a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3" i="22" s="1"/>
  <c r="E3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S51" i="11"/>
  <c r="R51" i="11"/>
  <c r="Q51" i="11"/>
  <c r="P51" i="11"/>
  <c r="O51" i="11"/>
  <c r="N51" i="11"/>
  <c r="M51" i="11"/>
  <c r="L51" i="11"/>
  <c r="K51" i="11" a="1"/>
  <c r="K51" i="11" s="1"/>
  <c r="J51" i="11" a="1"/>
  <c r="J51" i="11" s="1"/>
  <c r="B29" i="22" s="1"/>
  <c r="E29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P50" i="11"/>
  <c r="O50" i="11"/>
  <c r="N50" i="11"/>
  <c r="M50" i="11"/>
  <c r="L50" i="11"/>
  <c r="K50" i="11" a="1"/>
  <c r="K50" i="11" s="1"/>
  <c r="J50" i="11" a="1"/>
  <c r="J50" i="11" s="1"/>
  <c r="B27" i="22" s="1"/>
  <c r="E27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4" i="22" s="1"/>
  <c r="E4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S48" i="11"/>
  <c r="R48" i="11"/>
  <c r="Q48" i="11"/>
  <c r="P48" i="11"/>
  <c r="O48" i="11"/>
  <c r="N48" i="11"/>
  <c r="M48" i="11"/>
  <c r="L48" i="11"/>
  <c r="K48" i="11" a="1"/>
  <c r="K48" i="11" s="1"/>
  <c r="J48" i="11" a="1"/>
  <c r="J48" i="11" s="1"/>
  <c r="B17" i="22" s="1"/>
  <c r="E17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R47" i="11"/>
  <c r="Q47" i="11"/>
  <c r="O47" i="11"/>
  <c r="P47" i="11" s="1"/>
  <c r="N47" i="11"/>
  <c r="M47" i="11"/>
  <c r="L47" i="11"/>
  <c r="K47" i="11" a="1"/>
  <c r="K47" i="11" s="1"/>
  <c r="J47" i="11"/>
  <c r="B25" i="22" s="1"/>
  <c r="E25" i="22" s="1"/>
  <c r="J47" i="11" a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54" i="22" s="1"/>
  <c r="E54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15" i="22" s="1"/>
  <c r="E15" i="22" s="1"/>
  <c r="I45" i="11"/>
  <c r="H45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49" i="22" s="1"/>
  <c r="E49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S42" i="11"/>
  <c r="R42" i="11"/>
  <c r="Q42" i="11"/>
  <c r="O42" i="11"/>
  <c r="P42" i="11" s="1"/>
  <c r="N42" i="11"/>
  <c r="M42" i="11"/>
  <c r="L42" i="11"/>
  <c r="K42" i="11" a="1"/>
  <c r="K42" i="11" s="1"/>
  <c r="J42" i="11" a="1"/>
  <c r="J42" i="11" s="1"/>
  <c r="B24" i="22" s="1"/>
  <c r="E24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/>
  <c r="K41" i="11" a="1"/>
  <c r="J41" i="11" a="1"/>
  <c r="J41" i="11" s="1"/>
  <c r="B11" i="22" s="1"/>
  <c r="E11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S40" i="11"/>
  <c r="R40" i="11"/>
  <c r="Q40" i="11"/>
  <c r="O40" i="11"/>
  <c r="P40" i="11" s="1"/>
  <c r="N40" i="11"/>
  <c r="M40" i="11"/>
  <c r="L40" i="11"/>
  <c r="K40" i="11" a="1"/>
  <c r="K40" i="11" s="1"/>
  <c r="J40" i="11" a="1"/>
  <c r="J40" i="11" s="1"/>
  <c r="B2" i="22" s="1"/>
  <c r="E2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P39" i="11"/>
  <c r="O39" i="11"/>
  <c r="N39" i="11"/>
  <c r="M39" i="11"/>
  <c r="L39" i="11"/>
  <c r="K39" i="11" a="1"/>
  <c r="K39" i="11" s="1"/>
  <c r="J39" i="11"/>
  <c r="B19" i="22" s="1"/>
  <c r="E19" i="22" s="1"/>
  <c r="J39" i="11" a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53" i="22" s="1"/>
  <c r="E53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S37" i="11"/>
  <c r="R37" i="11"/>
  <c r="Q37" i="11"/>
  <c r="O37" i="11"/>
  <c r="P37" i="11" s="1"/>
  <c r="N37" i="11"/>
  <c r="M37" i="11"/>
  <c r="L37" i="11"/>
  <c r="K37" i="11" a="1"/>
  <c r="K37" i="11" s="1"/>
  <c r="J37" i="11" a="1"/>
  <c r="J37" i="11" s="1"/>
  <c r="B30" i="22" s="1"/>
  <c r="E30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13" i="22" s="1"/>
  <c r="E13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40" i="22" s="1"/>
  <c r="E40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16" i="22" s="1"/>
  <c r="E16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45" i="22" s="1"/>
  <c r="E45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P31" i="11"/>
  <c r="O31" i="1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S27" i="11"/>
  <c r="R27" i="1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P21" i="11"/>
  <c r="O21" i="1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P18" i="11"/>
  <c r="O18" i="1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/>
  <c r="B43" i="22" s="1"/>
  <c r="E43" i="22" s="1"/>
  <c r="J17" i="11" a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/>
  <c r="K13" i="11" a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/>
  <c r="B47" i="22" s="1"/>
  <c r="E47" i="22" s="1"/>
  <c r="J7" i="11" a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/>
  <c r="K3" i="11" a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<sst xmlns="http://schemas.openxmlformats.org/spreadsheetml/2006/main" count="6325" uniqueCount="243">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</sst>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8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U44" sqref="U44:AH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204</v>
      </c>
      <c r="I3" s="4">
        <f>AVERAGEIFS('OB History'!C:C,'OB History'!B:B,A3)</f>
        <v>12.75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8</v>
      </c>
      <c r="M3" s="2">
        <f>COUNTIFS('OB History'!B:B,A3,'OB History'!D:D, 0)</f>
        <v>8</v>
      </c>
      <c r="N3" s="88">
        <f>LOOKUP(2, 1/('OB History'!$B:$B=A3), 'OB History'!$AD:$AD)</f>
        <v>0.5</v>
      </c>
      <c r="O3" s="34">
        <f>SUMIFS('OB History'!F:F,'OB History'!B:B,A3)</f>
        <v>29</v>
      </c>
      <c r="P3" s="2">
        <f>SUMIFS('OB History'!E:E,'OB History'!B:B,A3)-O3</f>
        <v>34</v>
      </c>
      <c r="Q3" s="88">
        <f>LOOKUP(2, 1/('OB History'!$B:$B=A3), 'OB History'!$AB:$AB)</f>
        <v>0.44062499999999999</v>
      </c>
      <c r="R3" s="34">
        <f>SUMIFS('OB History'!H:H,'OB History'!B:B,A3)</f>
        <v>131</v>
      </c>
      <c r="S3" s="2">
        <f>SUMIFS('OB History'!G:G,'OB History'!B:B,A3)-R3</f>
        <v>135</v>
      </c>
      <c r="T3" s="88">
        <f>LOOKUP(2, 1/('OB History'!$B:$B=A3), 'OB History'!$AC:$AC)</f>
        <v>0.49249999999999994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5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3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326</v>
      </c>
      <c r="I4" s="4">
        <f>AVERAGEIFS('OB History'!C:C,'OB History'!B:B,A4)</f>
        <v>9.5882352941176467</v>
      </c>
      <c r="J4" s="4">
        <f t="array" ref="J4">MEDIAN(IF('OB History'!B:B=A4, 'OB History'!C:C))</f>
        <v>10</v>
      </c>
      <c r="K4" s="35">
        <f t="array" ref="K4">MAX(IF('OB History'!B:B=A4, 'OB History'!C:C))</f>
        <v>19</v>
      </c>
      <c r="L4" s="34">
        <f>COUNTIFS('OB History'!B:B,A4,'OB History'!D:D, 1)</f>
        <v>17</v>
      </c>
      <c r="M4" s="2">
        <f>COUNTIFS('OB History'!B:B,A4,'OB History'!D:D, 0)</f>
        <v>17</v>
      </c>
      <c r="N4" s="88">
        <f>LOOKUP(2, 1/('OB History'!$B:$B=A4), 'OB History'!$AD:$AD)</f>
        <v>0.5</v>
      </c>
      <c r="O4" s="34">
        <f>SUMIFS('OB History'!F:F,'OB History'!B:B,A4)</f>
        <v>64</v>
      </c>
      <c r="P4" s="2">
        <f>SUMIFS('OB History'!E:E,'OB History'!B:B,A4)-O4</f>
        <v>68</v>
      </c>
      <c r="Q4" s="88">
        <f>LOOKUP(2, 1/('OB History'!$B:$B=A4), 'OB History'!$AB:$AB)</f>
        <v>0.4882352941176471</v>
      </c>
      <c r="R4" s="34">
        <f>SUMIFS('OB History'!H:H,'OB History'!B:B,A4)</f>
        <v>274</v>
      </c>
      <c r="S4" s="2">
        <f>SUMIFS('OB History'!G:G,'OB History'!B:B,A4)-R4</f>
        <v>285</v>
      </c>
      <c r="T4" s="88">
        <f>LOOKUP(2, 1/('OB History'!$B:$B=A4), 'OB History'!$AC:$AC)</f>
        <v>0.49294117647058805</v>
      </c>
      <c r="U4" s="2">
        <f>COUNTIFS('OB History'!$B:$B,$A$4,'OB History'!K:K, 1)</f>
        <v>5</v>
      </c>
      <c r="V4" s="2">
        <f>COUNTIFS('OB History'!$B:$B,$A$4,'OB History'!L:L, 1)</f>
        <v>3</v>
      </c>
      <c r="W4" s="2">
        <f>COUNTIFS('OB History'!$B:$B,$A$4,'OB History'!M:M, 1)</f>
        <v>1</v>
      </c>
      <c r="X4" s="2">
        <f>COUNTIFS('OB History'!$B:$B,$A$4,'OB History'!N:N, 1)</f>
        <v>9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4</v>
      </c>
      <c r="AH4" s="2">
        <f>COUNTIFS('OB History'!$B:$B,$A$4,'OB History'!X:X, 1)</f>
        <v>11</v>
      </c>
      <c r="AI4" s="2">
        <f>COUNTIFS('OB History'!$B:$B,$A$4,'OB History'!Y:Y, 1)</f>
        <v>9</v>
      </c>
      <c r="AJ4" s="2">
        <f>COUNTIFS('OB History'!$B:$B,$A$4,'OB History'!Z:Z, 1)</f>
        <v>6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657</v>
      </c>
      <c r="I5" s="4">
        <f>AVERAGEIFS('OB History'!C:C,'OB History'!B:B,A5)</f>
        <v>19.90909090909091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15</v>
      </c>
      <c r="M5" s="2">
        <f>COUNTIFS('OB History'!B:B,A5,'OB History'!D:D, 0)</f>
        <v>18</v>
      </c>
      <c r="N5" s="88">
        <f>LOOKUP(2, 1/('OB History'!$B:$B=A5), 'OB History'!$AD:$AD)</f>
        <v>0.45454545454545453</v>
      </c>
      <c r="O5" s="34">
        <f>SUMIFS('OB History'!F:F,'OB History'!B:B,A5)</f>
        <v>59</v>
      </c>
      <c r="P5" s="2">
        <f>SUMIFS('OB History'!E:E,'OB History'!B:B,A5)-O5</f>
        <v>74</v>
      </c>
      <c r="Q5" s="88">
        <f>LOOKUP(2, 1/('OB History'!$B:$B=A5), 'OB History'!$AB:$AB)</f>
        <v>0.4242424242424242</v>
      </c>
      <c r="R5" s="34">
        <f>SUMIFS('OB History'!H:H,'OB History'!B:B,A5)</f>
        <v>254</v>
      </c>
      <c r="S5" s="2">
        <f>SUMIFS('OB History'!G:G,'OB History'!B:B,A5)-R5</f>
        <v>288</v>
      </c>
      <c r="T5" s="88">
        <f>LOOKUP(2, 1/('OB History'!$B:$B=A5), 'OB History'!$AC:$AC)</f>
        <v>0.45818181818181813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9</v>
      </c>
      <c r="Y5" s="2">
        <f>COUNTIFS('OB History'!$B:$B,$A$5,'OB History'!O:O, 1)</f>
        <v>2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14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67</v>
      </c>
      <c r="I6" s="4">
        <f>AVERAGEIFS('OB History'!C:C,'OB History'!B:B,A6)</f>
        <v>13.4</v>
      </c>
      <c r="J6" s="4">
        <f t="array" ref="J6">MEDIAN(IF('OB History'!B:B=A6, 'OB History'!C:C))</f>
        <v>12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2</v>
      </c>
      <c r="N6" s="88">
        <f>LOOKUP(2, 1/('OB History'!$B:$B=A6), 'OB History'!$AD:$AD)</f>
        <v>0.6</v>
      </c>
      <c r="O6" s="34">
        <f>SUMIFS('OB History'!F:F,'OB History'!B:B,A6)</f>
        <v>12</v>
      </c>
      <c r="P6" s="2">
        <f>SUMIFS('OB History'!E:E,'OB History'!B:B,A6)-O6</f>
        <v>10</v>
      </c>
      <c r="Q6" s="88">
        <f>LOOKUP(2, 1/('OB History'!$B:$B=A6), 'OB History'!$AB:$AB)</f>
        <v>0.57000000000000006</v>
      </c>
      <c r="R6" s="34">
        <f>SUMIFS('OB History'!H:H,'OB History'!B:B,A6)</f>
        <v>49</v>
      </c>
      <c r="S6" s="2">
        <f>SUMIFS('OB History'!G:G,'OB History'!B:B,A6)-R6</f>
        <v>44</v>
      </c>
      <c r="T6" s="88">
        <f>LOOKUP(2, 1/('OB History'!$B:$B=A6), 'OB History'!$AC:$AC)</f>
        <v>0.53599999999999992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2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497</v>
      </c>
      <c r="I8" s="4">
        <f>AVERAGEIFS('OB History'!C:C,'OB History'!B:B,A8)</f>
        <v>12.425000000000001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15</v>
      </c>
      <c r="N8" s="88">
        <f>LOOKUP(2, 1/('OB History'!$B:$B=A8), 'OB History'!$AD:$AD)</f>
        <v>0.625</v>
      </c>
      <c r="O8" s="34">
        <f>SUMIFS('OB History'!F:F,'OB History'!B:B,A8)</f>
        <v>87</v>
      </c>
      <c r="P8" s="2">
        <f>SUMIFS('OB History'!E:E,'OB History'!B:B,A8)-O8</f>
        <v>74</v>
      </c>
      <c r="Q8" s="88">
        <f>LOOKUP(2, 1/('OB History'!$B:$B=A8), 'OB History'!$AB:$AB)</f>
        <v>0.53249999999999997</v>
      </c>
      <c r="R8" s="34">
        <f>SUMIFS('OB History'!H:H,'OB History'!B:B,'Old Bow v2'!A8)</f>
        <v>340</v>
      </c>
      <c r="S8" s="2">
        <f>SUMIFS('OB History'!G:G,'OB History'!B:B,'Old Bow v2'!A8)-R8</f>
        <v>320</v>
      </c>
      <c r="T8" s="88">
        <f>LOOKUP(2, 1/('OB History'!$B:$B=A8), 'OB History'!$AC:$AC)</f>
        <v>0.51075000000000004</v>
      </c>
      <c r="U8" s="2">
        <f>COUNTIFS('OB History'!$B:$B,$A$8,'OB History'!K:K, 1)</f>
        <v>6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522</v>
      </c>
      <c r="I9" s="4">
        <f>AVERAGEIFS('OB History'!C:C,'OB History'!B:B,A9)</f>
        <v>12.13953488372093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21</v>
      </c>
      <c r="M9" s="2">
        <f>COUNTIFS('OB History'!B:B,A9,'OB History'!D:D, 0)</f>
        <v>22</v>
      </c>
      <c r="N9" s="88">
        <f>LOOKUP(2, 1/('OB History'!$B:$B=A9), 'OB History'!$AD:$AD)</f>
        <v>0.48837209302325579</v>
      </c>
      <c r="O9" s="34">
        <f>SUMIFS('OB History'!F:F,'OB History'!B:B,A9)</f>
        <v>87</v>
      </c>
      <c r="P9" s="2">
        <f>SUMIFS('OB History'!E:E,'OB History'!B:B,A9)-O9</f>
        <v>91</v>
      </c>
      <c r="Q9" s="88">
        <f>LOOKUP(2, 1/('OB History'!$B:$B=A9), 'OB History'!$AB:$AB)</f>
        <v>0.48488372093023258</v>
      </c>
      <c r="R9" s="34">
        <f>SUMIFS('OB History'!H:H,'OB History'!B:B,'Old Bow v2'!A9)</f>
        <v>362</v>
      </c>
      <c r="S9" s="2">
        <f>SUMIFS('OB History'!G:G,'OB History'!B:B,'Old Bow v2'!A9)-R9</f>
        <v>372</v>
      </c>
      <c r="T9" s="88">
        <f>LOOKUP(2, 1/('OB History'!$B:$B=A9), 'OB History'!$AC:$AC)</f>
        <v>0.48558139534883737</v>
      </c>
      <c r="U9" s="2">
        <f>COUNTIFS('OB History'!$B:$B,$A$9,'OB History'!K:K, 1)</f>
        <v>7</v>
      </c>
      <c r="V9" s="2">
        <f>COUNTIFS('OB History'!$B:$B,$A$9,'OB History'!L:L, 1)</f>
        <v>4</v>
      </c>
      <c r="W9" s="2">
        <f>COUNTIFS('OB History'!$B:$B,$A$9,'OB History'!M:M, 1)</f>
        <v>1</v>
      </c>
      <c r="X9" s="2">
        <f>COUNTIFS('OB History'!$B:$B,$A$9,'OB History'!N:N, 1)</f>
        <v>12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15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610</v>
      </c>
      <c r="I13" s="4">
        <f>AVERAGEIFS('OB History'!C:C,'OB History'!B:B,A13)</f>
        <v>18.484848484848484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14</v>
      </c>
      <c r="N13" s="88">
        <f>LOOKUP(2, 1/('OB History'!$B:$B=A13), 'OB History'!$AD:$AD)</f>
        <v>0.5757575757575758</v>
      </c>
      <c r="O13" s="34">
        <f>SUMIFS('OB History'!F:F,'OB History'!B:B,A13)</f>
        <v>77</v>
      </c>
      <c r="P13" s="2">
        <f>SUMIFS('OB History'!E:E,'OB History'!B:B,A13)-O13</f>
        <v>62</v>
      </c>
      <c r="Q13" s="88">
        <f>LOOKUP(2, 1/('OB History'!$B:$B=A13), 'OB History'!$AB:$AB)</f>
        <v>0.57272727272727264</v>
      </c>
      <c r="R13" s="34">
        <f>SUMIFS('OB History'!H:H,'OB History'!B:B,'Old Bow v2'!A13)</f>
        <v>299</v>
      </c>
      <c r="S13" s="2">
        <f>SUMIFS('OB History'!G:G,'OB History'!B:B,'Old Bow v2'!A13)-R13</f>
        <v>282</v>
      </c>
      <c r="T13" s="88">
        <f>LOOKUP(2, 1/('OB History'!$B:$B=A13), 'OB History'!$AC:$AC)</f>
        <v>0.52575757575757576</v>
      </c>
      <c r="U13" s="2">
        <f>COUNTIFS('OB History'!$B:$B,$A$13,'OB History'!K:K, 1)</f>
        <v>4</v>
      </c>
      <c r="V13" s="2">
        <f>COUNTIFS('OB History'!$B:$B,$A$13,'OB History'!L:L, 1)</f>
        <v>3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253</v>
      </c>
      <c r="I14" s="4">
        <f>AVERAGEIFS('OB History'!C:C,'OB History'!B:B,A14)</f>
        <v>13.315789473684211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13</v>
      </c>
      <c r="N14" s="88">
        <f>LOOKUP(2, 1/('OB History'!$B:$B=A14), 'OB History'!$AD:$AD)</f>
        <v>0.31578947368421051</v>
      </c>
      <c r="O14" s="34">
        <f>SUMIFS('OB History'!F:F,'OB History'!B:B,A14)</f>
        <v>33</v>
      </c>
      <c r="P14" s="2">
        <f>SUMIFS('OB History'!E:E,'OB History'!B:B,A14)-O14</f>
        <v>47</v>
      </c>
      <c r="Q14" s="88">
        <f>LOOKUP(2, 1/('OB History'!$B:$B=A14), 'OB History'!$AB:$AB)</f>
        <v>0.39736842105263159</v>
      </c>
      <c r="R14" s="34">
        <f>SUMIFS('OB History'!H:H,'OB History'!B:B,'Old Bow v2'!A14)</f>
        <v>160</v>
      </c>
      <c r="S14" s="2">
        <f>SUMIFS('OB History'!G:G,'OB History'!B:B,'Old Bow v2'!A14)-R14</f>
        <v>179</v>
      </c>
      <c r="T14" s="88">
        <f>LOOKUP(2, 1/('OB History'!$B:$B=A14), 'OB History'!$AC:$AC)</f>
        <v>0.4678947368421052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4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1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510</v>
      </c>
      <c r="I15" s="4">
        <f>AVERAGEIFS('OB History'!C:C,'OB History'!B:B,A15)</f>
        <v>15</v>
      </c>
      <c r="J15" s="4">
        <f t="array" ref="J15">MEDIAN(IF('OB History'!B:B=A15, 'OB History'!C:C))</f>
        <v>13.5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16</v>
      </c>
      <c r="N15" s="88">
        <f>LOOKUP(2, 1/('OB History'!$B:$B=A15), 'OB History'!$AD:$AD)</f>
        <v>0.52941176470588236</v>
      </c>
      <c r="O15" s="34">
        <f>SUMIFS('OB History'!F:F,'OB History'!B:B,A15)</f>
        <v>68</v>
      </c>
      <c r="P15" s="2">
        <f>SUMIFS('OB History'!E:E,'OB History'!B:B,A15)-O15</f>
        <v>68</v>
      </c>
      <c r="Q15" s="88">
        <f>LOOKUP(2, 1/('OB History'!$B:$B=A15), 'OB History'!$AB:$AB)</f>
        <v>0.49411764705882344</v>
      </c>
      <c r="R15" s="34">
        <f>SUMIFS('OB History'!H:H,'OB History'!B:B,'Old Bow v2'!A15)</f>
        <v>279</v>
      </c>
      <c r="S15" s="2">
        <f>SUMIFS('OB History'!G:G,'OB History'!B:B,'Old Bow v2'!A15)-R15</f>
        <v>279</v>
      </c>
      <c r="T15" s="88">
        <f>LOOKUP(2, 1/('OB History'!$B:$B=A15), 'OB History'!$AC:$AC)</f>
        <v>0.50029411764705889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5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6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82</v>
      </c>
      <c r="I21" s="4">
        <f>AVERAGEIFS('OB History'!C:C,'OB History'!B:B,A21)</f>
        <v>13.666666666666666</v>
      </c>
      <c r="J21" s="4">
        <f t="array" ref="J21">MEDIAN(IF('OB History'!B:B=A21, 'OB History'!C:C))</f>
        <v>13.5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4</v>
      </c>
      <c r="N21" s="88">
        <f>LOOKUP(2, 1/('OB History'!$B:$B=A21), 'OB History'!$AD:$AD)</f>
        <v>0.33333333333333331</v>
      </c>
      <c r="O21" s="34">
        <f>SUMIFS('OB History'!F:F,'OB History'!B:B,A21)</f>
        <v>11</v>
      </c>
      <c r="P21" s="2">
        <f>SUMIFS('OB History'!E:E,'OB History'!B:B,A21)-O21</f>
        <v>13</v>
      </c>
      <c r="Q21" s="88">
        <f>LOOKUP(2, 1/('OB History'!$B:$B=A21), 'OB History'!$AB:$AB)</f>
        <v>0.48333333333333334</v>
      </c>
      <c r="R21" s="34">
        <f>SUMIFS('OB History'!H:H,'OB History'!B:B,'Old Bow v2'!A21)</f>
        <v>52</v>
      </c>
      <c r="S21" s="2">
        <f>SUMIFS('OB History'!G:G,'OB History'!B:B,'Old Bow v2'!A21)-R21</f>
        <v>51</v>
      </c>
      <c r="T21" s="88">
        <f>LOOKUP(2, 1/('OB History'!$B:$B=A21), 'OB History'!$AC:$AC)</f>
        <v>0.51500000000000001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402</v>
      </c>
      <c r="I25" s="4">
        <f>AVERAGEIFS('OB History'!C:C,'OB History'!B:B,A25)</f>
        <v>18.272727272727273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16</v>
      </c>
      <c r="M25" s="2">
        <f>COUNTIFS('OB History'!B:B,A25,'OB History'!D:D, 0)</f>
        <v>6</v>
      </c>
      <c r="N25" s="88">
        <f>LOOKUP(2, 1/('OB History'!$B:$B=A25), 'OB History'!$AD:$AD)</f>
        <v>0.72727272727272729</v>
      </c>
      <c r="O25" s="34">
        <f>SUMIFS('OB History'!F:F,'OB History'!B:B,A25)</f>
        <v>54</v>
      </c>
      <c r="P25" s="2">
        <f>SUMIFS('OB History'!E:E,'OB History'!B:B,A25)-O25</f>
        <v>33</v>
      </c>
      <c r="Q25" s="88">
        <f>LOOKUP(2, 1/('OB History'!$B:$B=A25), 'OB History'!$AB:$AB)</f>
        <v>0.64545454545454539</v>
      </c>
      <c r="R25" s="34">
        <f>SUMIFS('OB History'!H:H,'OB History'!B:B,'Old Bow v2'!A25)</f>
        <v>205</v>
      </c>
      <c r="S25" s="2">
        <f>SUMIFS('OB History'!G:G,'OB History'!B:B,'Old Bow v2'!A25)-R25</f>
        <v>157</v>
      </c>
      <c r="T25" s="88">
        <f>LOOKUP(2, 1/('OB History'!$B:$B=A25), 'OB History'!$AC:$AC)</f>
        <v>0.57409090909090887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6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10</v>
      </c>
      <c r="AI25" s="2">
        <f>COUNTIFS('OB History'!$B:$B,$A$25,'OB History'!Y:Y, 1)</f>
        <v>9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664</v>
      </c>
      <c r="I26" s="4">
        <f>AVERAGEIFS('OB History'!C:C,'OB History'!B:B,A26)</f>
        <v>10.885245901639344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26</v>
      </c>
      <c r="M26" s="2">
        <f>COUNTIFS('OB History'!B:B,A26,'OB History'!D:D, 0)</f>
        <v>35</v>
      </c>
      <c r="N26" s="88">
        <f>LOOKUP(2, 1/('OB History'!$B:$B=A26), 'OB History'!$AD:$AD)</f>
        <v>0.42622950819672129</v>
      </c>
      <c r="O26" s="34">
        <f>SUMIFS('OB History'!F:F,'OB History'!B:B,A26)</f>
        <v>115</v>
      </c>
      <c r="P26" s="2">
        <f>SUMIFS('OB History'!E:E,'OB History'!B:B,A26)-O26</f>
        <v>130</v>
      </c>
      <c r="Q26" s="88">
        <f>LOOKUP(2, 1/('OB History'!$B:$B=A26), 'OB History'!$AB:$AB)</f>
        <v>0.45901639344262296</v>
      </c>
      <c r="R26" s="34">
        <f>SUMIFS('OB History'!H:H,'OB History'!B:B,'Old Bow v2'!A26)</f>
        <v>501</v>
      </c>
      <c r="S26" s="2">
        <f>SUMIFS('OB History'!G:G,'OB History'!B:B,'Old Bow v2'!A26)-R26</f>
        <v>517</v>
      </c>
      <c r="T26" s="88">
        <f>LOOKUP(2, 1/('OB History'!$B:$B=A26), 'OB History'!$AC:$AC)</f>
        <v>0.49295081967213111</v>
      </c>
      <c r="U26" s="2">
        <f>COUNTIFS('OB History'!$B:$B,$A$26,'OB History'!K:K, 1)</f>
        <v>8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15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3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15</v>
      </c>
      <c r="AH26" s="2">
        <f>COUNTIFS('OB History'!$B:$B,$A$26,'OB History'!X:X, 1)</f>
        <v>18</v>
      </c>
      <c r="AI26" s="2">
        <f>COUNTIFS('OB History'!$B:$B,$A$26,'OB History'!Y:Y, 1)</f>
        <v>12</v>
      </c>
      <c r="AJ26" s="2">
        <f>COUNTIFS('OB History'!$B:$B,$A$26,'OB History'!Z:Z, 1)</f>
        <v>12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341</v>
      </c>
      <c r="I28" s="4">
        <f>AVERAGEIFS('OB History'!C:C,'OB History'!B:B,A28)</f>
        <v>11.366666666666667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13</v>
      </c>
      <c r="M28" s="2">
        <f>COUNTIFS('OB History'!B:B,A28,'OB History'!D:D, 0)</f>
        <v>17</v>
      </c>
      <c r="N28" s="88">
        <f>LOOKUP(2, 1/('OB History'!$B:$B=A28), 'OB History'!$AD:$AD)</f>
        <v>0.43333333333333335</v>
      </c>
      <c r="O28" s="34">
        <f>SUMIFS('OB History'!F:F,'OB History'!B:B,A28)</f>
        <v>55</v>
      </c>
      <c r="P28" s="2">
        <f>SUMIFS('OB History'!E:E,'OB History'!B:B,A28)-O28</f>
        <v>69</v>
      </c>
      <c r="Q28" s="88">
        <f>LOOKUP(2, 1/('OB History'!$B:$B=A28), 'OB History'!$AB:$AB)</f>
        <v>0.42166666666666669</v>
      </c>
      <c r="R28" s="34">
        <f>SUMIFS('OB History'!H:H,'OB History'!B:B,'Old Bow v2'!A28)</f>
        <v>244</v>
      </c>
      <c r="S28" s="2">
        <f>SUMIFS('OB History'!G:G,'OB History'!B:B,'Old Bow v2'!A28)-R28</f>
        <v>263</v>
      </c>
      <c r="T28" s="88">
        <f>LOOKUP(2, 1/('OB History'!$B:$B=A28), 'OB History'!$AC:$AC)</f>
        <v>0.47533333333333327</v>
      </c>
      <c r="U28" s="2">
        <f>COUNTIFS('OB History'!$B:$B,$A$28,'OB History'!K:K, 1)</f>
        <v>4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5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1</v>
      </c>
      <c r="AH28" s="2">
        <f>COUNTIFS('OB History'!$B:$B,$A$28,'OB History'!X:X, 1)</f>
        <v>11</v>
      </c>
      <c r="AI28" s="2">
        <f>COUNTIFS('OB History'!$B:$B,$A$28,'OB History'!Y:Y, 1)</f>
        <v>5</v>
      </c>
      <c r="AJ28" s="2">
        <f>COUNTIFS('OB History'!$B:$B,$A$28,'OB History'!Z:Z, 1)</f>
        <v>8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405</v>
      </c>
      <c r="I29" s="4">
        <f>AVERAGEIFS('OB History'!C:C,'OB History'!B:B,A29)</f>
        <v>15.576923076923077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17</v>
      </c>
      <c r="N29" s="88">
        <f>LOOKUP(2, 1/('OB History'!$B:$B=A29), 'OB History'!$AD:$AD)</f>
        <v>0.34615384615384615</v>
      </c>
      <c r="O29" s="34">
        <f>SUMIFS('OB History'!F:F,'OB History'!B:B,A29)</f>
        <v>46</v>
      </c>
      <c r="P29" s="2">
        <f>SUMIFS('OB History'!E:E,'OB History'!B:B,A29)-O29</f>
        <v>65</v>
      </c>
      <c r="Q29" s="88">
        <f>LOOKUP(2, 1/('OB History'!$B:$B=A29), 'OB History'!$AB:$AB)</f>
        <v>0.38653846153846155</v>
      </c>
      <c r="R29" s="34">
        <f>SUMIFS('OB History'!H:H,'OB History'!B:B,'Old Bow v2'!A29)</f>
        <v>213</v>
      </c>
      <c r="S29" s="2">
        <f>SUMIFS('OB History'!G:G,'OB History'!B:B,'Old Bow v2'!A29)-R29</f>
        <v>249</v>
      </c>
      <c r="T29" s="88">
        <f>LOOKUP(2, 1/('OB History'!$B:$B=A29), 'OB History'!$AC:$AC)</f>
        <v>0.44769230769230778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108</v>
      </c>
      <c r="I30" s="4">
        <f>AVERAGEIFS('OB History'!C:C,'OB History'!B:B,A30)</f>
        <v>15.428571428571429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2</v>
      </c>
      <c r="N30" s="88">
        <f>LOOKUP(2, 1/('OB History'!$B:$B=A30), 'OB History'!$AD:$AD)</f>
        <v>0.7142857142857143</v>
      </c>
      <c r="O30" s="34">
        <f>SUMIFS('OB History'!F:F,'OB History'!B:B,A30)</f>
        <v>16</v>
      </c>
      <c r="P30" s="2">
        <f>SUMIFS('OB History'!E:E,'OB History'!B:B,A30)-O30</f>
        <v>13</v>
      </c>
      <c r="Q30" s="88">
        <f>LOOKUP(2, 1/('OB History'!$B:$B=A30), 'OB History'!$AB:$AB)</f>
        <v>0.52857142857142858</v>
      </c>
      <c r="R30" s="34">
        <f>SUMIFS('OB History'!H:H,'OB History'!B:B,'Old Bow v2'!A30)</f>
        <v>64</v>
      </c>
      <c r="S30" s="2">
        <f>SUMIFS('OB History'!G:G,'OB History'!B:B,'Old Bow v2'!A30)-R30</f>
        <v>57</v>
      </c>
      <c r="T30" s="88">
        <f>LOOKUP(2, 1/('OB History'!$B:$B=A30), 'OB History'!$AC:$AC)</f>
        <v>0.52571428571428569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288</v>
      </c>
      <c r="I34" s="4">
        <f>AVERAGEIFS('OB History'!C:C,'OB History'!B:B,A34)</f>
        <v>22.153846153846153</v>
      </c>
      <c r="J34" s="4">
        <f t="array" ref="J34">MEDIAN(IF('OB History'!B:B=A34, 'OB History'!C:C))</f>
        <v>20</v>
      </c>
      <c r="K34" s="35">
        <f t="array" ref="K34">MAX(IF('OB History'!B:B=A34, 'OB History'!C:C))</f>
        <v>44</v>
      </c>
      <c r="L34" s="34">
        <f>COUNTIFS('OB History'!B:B,A34,'OB History'!D:D, 1)</f>
        <v>8</v>
      </c>
      <c r="M34" s="2">
        <f>COUNTIFS('OB History'!B:B,A34,'OB History'!D:D, 0)</f>
        <v>5</v>
      </c>
      <c r="N34" s="88">
        <f>LOOKUP(2, 1/('OB History'!$B:$B=A34), 'OB History'!$AD:$AD)</f>
        <v>0.61538461538461542</v>
      </c>
      <c r="O34" s="34">
        <f>SUMIFS('OB History'!F:F,'OB History'!B:B,A34)</f>
        <v>29</v>
      </c>
      <c r="P34" s="2">
        <f>SUMIFS('OB History'!E:E,'OB History'!B:B,A34)-O34</f>
        <v>27</v>
      </c>
      <c r="Q34" s="88">
        <f>LOOKUP(2, 1/('OB History'!$B:$B=A34), 'OB History'!$AB:$AB)</f>
        <v>0.50384615384615383</v>
      </c>
      <c r="R34" s="34">
        <f>SUMIFS('OB History'!H:H,'OB History'!B:B,'Old Bow v2'!A34)</f>
        <v>113</v>
      </c>
      <c r="S34" s="2">
        <f>SUMIFS('OB History'!G:G,'OB History'!B:B,'Old Bow v2'!A34)-R34</f>
        <v>111</v>
      </c>
      <c r="T34" s="88">
        <f>LOOKUP(2, 1/('OB History'!$B:$B=A34), 'OB History'!$AC:$AC)</f>
        <v>0.49999999999999994</v>
      </c>
      <c r="U34" s="2">
        <f>COUNTIFS('OB History'!$B:$B,$A$34,'OB History'!K:K, 1)</f>
        <v>3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2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4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564</v>
      </c>
      <c r="I35" s="4">
        <f>AVERAGEIFS('OB History'!C:C,'OB History'!B:B,A35)</f>
        <v>12.533333333333333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23</v>
      </c>
      <c r="M35" s="2">
        <f>COUNTIFS('OB History'!B:B,A35,'OB History'!D:D, 0)</f>
        <v>22</v>
      </c>
      <c r="N35" s="88">
        <f>LOOKUP(2, 1/('OB History'!$B:$B=A35), 'OB History'!$AD:$AD)</f>
        <v>0.51111111111111107</v>
      </c>
      <c r="O35" s="34">
        <f>SUMIFS('OB History'!F:F,'OB History'!B:B,A35)</f>
        <v>93</v>
      </c>
      <c r="P35" s="2">
        <f>SUMIFS('OB History'!E:E,'OB History'!B:B,A35)-O35</f>
        <v>87</v>
      </c>
      <c r="Q35" s="88">
        <f>LOOKUP(2, 1/('OB History'!$B:$B=A35), 'OB History'!$AB:$AB)</f>
        <v>0.53222222222222215</v>
      </c>
      <c r="R35" s="34">
        <f>SUMIFS('OB History'!H:H,'OB History'!B:B,'Old Bow v2'!A35)</f>
        <v>376</v>
      </c>
      <c r="S35" s="2">
        <f>SUMIFS('OB History'!G:G,'OB History'!B:B,'Old Bow v2'!A35)-R35</f>
        <v>363</v>
      </c>
      <c r="T35" s="88">
        <f>LOOKUP(2, 1/('OB History'!$B:$B=A35), 'OB History'!$AC:$AC)</f>
        <v>0.51622222222222225</v>
      </c>
      <c r="U35" s="2">
        <f>COUNTIFS('OB History'!$B:$B,$A$35,'OB History'!K:K, 1)</f>
        <v>2</v>
      </c>
      <c r="V35" s="2">
        <f>COUNTIFS('OB History'!$B:$B,$A$35,'OB History'!L:L, 1)</f>
        <v>11</v>
      </c>
      <c r="W35" s="2">
        <f>COUNTIFS('OB History'!$B:$B,$A$35,'OB History'!M:M, 1)</f>
        <v>2</v>
      </c>
      <c r="X35" s="2">
        <f>COUNTIFS('OB History'!$B:$B,$A$35,'OB History'!N:N, 1)</f>
        <v>11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21</v>
      </c>
      <c r="AI35" s="2">
        <f>COUNTIFS('OB History'!$B:$B,$A$35,'OB History'!Y:Y, 1)</f>
        <v>11</v>
      </c>
      <c r="AJ35" s="2">
        <f>COUNTIFS('OB History'!$B:$B,$A$35,'OB History'!Z:Z, 1)</f>
        <v>12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1139</v>
      </c>
      <c r="I36" s="4">
        <f>AVERAGEIFS('OB History'!C:C,'OB History'!B:B,A36)</f>
        <v>22.78</v>
      </c>
      <c r="J36" s="4">
        <f t="array" ref="J36">MEDIAN(IF('OB History'!B:B=A36, 'OB History'!C:C))</f>
        <v>22</v>
      </c>
      <c r="K36" s="35">
        <f t="array" ref="K36">MAX(IF('OB History'!B:B=A36, 'OB History'!C:C))</f>
        <v>55</v>
      </c>
      <c r="L36" s="34">
        <f>COUNTIFS('OB History'!B:B,A36,'OB History'!D:D, 1)</f>
        <v>21</v>
      </c>
      <c r="M36" s="2">
        <f>COUNTIFS('OB History'!B:B,A36,'OB History'!D:D, 0)</f>
        <v>29</v>
      </c>
      <c r="N36" s="88">
        <f>LOOKUP(2, 1/('OB History'!$B:$B=A36), 'OB History'!$AD:$AD)</f>
        <v>0.42</v>
      </c>
      <c r="O36" s="34">
        <f>SUMIFS('OB History'!F:F,'OB History'!B:B,A36)</f>
        <v>93</v>
      </c>
      <c r="P36" s="2">
        <f>SUMIFS('OB History'!E:E,'OB History'!B:B,A36)-O36</f>
        <v>110</v>
      </c>
      <c r="Q36" s="88">
        <f>LOOKUP(2, 1/('OB History'!$B:$B=A36), 'OB History'!$AB:$AB)</f>
        <v>0.45800000000000013</v>
      </c>
      <c r="R36" s="34">
        <f>SUMIFS('OB History'!H:H,'OB History'!B:B,'Old Bow v2'!A36)</f>
        <v>411</v>
      </c>
      <c r="S36" s="2">
        <f>SUMIFS('OB History'!G:G,'OB History'!B:B,'Old Bow v2'!A36)-R36</f>
        <v>436</v>
      </c>
      <c r="T36" s="88">
        <f>LOOKUP(2, 1/('OB History'!$B:$B=A36), 'OB History'!$AC:$AC)</f>
        <v>0.48659999999999998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2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3</v>
      </c>
      <c r="F39" s="3">
        <v>1</v>
      </c>
      <c r="G39" s="3"/>
      <c r="H39" s="34">
        <f>SUMIFS('OB History'!C:C,'OB History'!B:B,A39)</f>
        <v>2036</v>
      </c>
      <c r="I39" s="4">
        <f>AVERAGEIFS('OB History'!C:C,'OB History'!B:B,A39)</f>
        <v>25.772151898734176</v>
      </c>
      <c r="J39" s="4">
        <f t="array" ref="J39">MEDIAN(IF('OB History'!B:B=A39, 'OB History'!C:C))</f>
        <v>24</v>
      </c>
      <c r="K39" s="35">
        <f t="array" ref="K39">MAX(IF('OB History'!B:B=A39, 'OB History'!C:C))</f>
        <v>58</v>
      </c>
      <c r="L39" s="34">
        <f>COUNTIFS('OB History'!B:B,A39,'OB History'!D:D, 1)</f>
        <v>46</v>
      </c>
      <c r="M39" s="2">
        <f>COUNTIFS('OB History'!B:B,A39,'OB History'!D:D, 0)</f>
        <v>33</v>
      </c>
      <c r="N39" s="88">
        <f>LOOKUP(2, 1/('OB History'!$B:$B=A39), 'OB History'!$AD:$AD)</f>
        <v>0.58227848101265822</v>
      </c>
      <c r="O39" s="34">
        <f>SUMIFS('OB History'!F:F,'OB History'!B:B,A39)</f>
        <v>174</v>
      </c>
      <c r="P39" s="2">
        <f>SUMIFS('OB History'!E:E,'OB History'!B:B,A39)-O39</f>
        <v>145</v>
      </c>
      <c r="Q39" s="88">
        <f>LOOKUP(2, 1/('OB History'!$B:$B=A39), 'OB History'!$AB:$AB)</f>
        <v>0.54430379746835444</v>
      </c>
      <c r="R39" s="34">
        <f>SUMIFS('OB History'!H:H,'OB History'!B:B,'Old Bow v2'!A39)</f>
        <v>697</v>
      </c>
      <c r="S39" s="2">
        <f>SUMIFS('OB History'!G:G,'OB History'!B:B,'Old Bow v2'!A39)-R39</f>
        <v>618</v>
      </c>
      <c r="T39" s="88">
        <f>LOOKUP(2, 1/('OB History'!$B:$B=A39), 'OB History'!$AC:$AC)</f>
        <v>0.53075949367088615</v>
      </c>
      <c r="U39" s="2">
        <f>COUNTIFS('OB History'!$B:$B,$A$39,'OB History'!K:K, 1)</f>
        <v>12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19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8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16</v>
      </c>
      <c r="AH39" s="2">
        <f>COUNTIFS('OB History'!$B:$B,$A$39,'OB History'!X:X, 1)</f>
        <v>21</v>
      </c>
      <c r="AI39" s="2">
        <f>COUNTIFS('OB History'!$B:$B,$A$39,'OB History'!Y:Y, 1)</f>
        <v>16</v>
      </c>
      <c r="AJ39" s="2">
        <f>COUNTIFS('OB History'!$B:$B,$A$39,'OB History'!Z:Z, 1)</f>
        <v>22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2</v>
      </c>
      <c r="E40" s="3"/>
      <c r="F40" s="3"/>
      <c r="G40" s="3"/>
      <c r="H40" s="34">
        <f>SUMIFS('OB History'!C:C,'OB History'!B:B,A40)</f>
        <v>700</v>
      </c>
      <c r="I40" s="4">
        <f>AVERAGEIFS('OB History'!C:C,'OB History'!B:B,A40)</f>
        <v>26.923076923076923</v>
      </c>
      <c r="J40" s="4">
        <f t="array" ref="J40">MEDIAN(IF('OB History'!B:B=A40, 'OB History'!C:C))</f>
        <v>25</v>
      </c>
      <c r="K40" s="35">
        <f t="array" ref="K40">MAX(IF('OB History'!B:B=A40, 'OB History'!C:C))</f>
        <v>68</v>
      </c>
      <c r="L40" s="34">
        <f>COUNTIFS('OB History'!B:B,A40,'OB History'!D:D, 1)</f>
        <v>14</v>
      </c>
      <c r="M40" s="2">
        <f>COUNTIFS('OB History'!B:B,A40,'OB History'!D:D, 0)</f>
        <v>12</v>
      </c>
      <c r="N40" s="88">
        <f>LOOKUP(2, 1/('OB History'!$B:$B=A40), 'OB History'!$AD:$AD)</f>
        <v>0.53846153846153844</v>
      </c>
      <c r="O40" s="34">
        <f>SUMIFS('OB History'!F:F,'OB History'!B:B,A40)</f>
        <v>61</v>
      </c>
      <c r="P40" s="2">
        <f>SUMIFS('OB History'!E:E,'OB History'!B:B,A40)-O40</f>
        <v>45</v>
      </c>
      <c r="Q40" s="88">
        <f>LOOKUP(2, 1/('OB History'!$B:$B=A40), 'OB History'!$AB:$AB)</f>
        <v>0.61153846153846159</v>
      </c>
      <c r="R40" s="34">
        <f>SUMIFS('OB History'!H:H,'OB History'!B:B,'Old Bow v2'!A40)</f>
        <v>243</v>
      </c>
      <c r="S40" s="2">
        <f>SUMIFS('OB History'!G:G,'OB History'!B:B,'Old Bow v2'!A40)-R40</f>
        <v>205</v>
      </c>
      <c r="T40" s="88">
        <f>LOOKUP(2, 1/('OB History'!$B:$B=A40), 'OB History'!$AC:$AC)</f>
        <v>0.55692307692307685</v>
      </c>
      <c r="U40" s="2">
        <f>COUNTIFS('OB History'!$B:$B,$A$40,'OB History'!K:K, 1)</f>
        <v>5</v>
      </c>
      <c r="V40" s="2">
        <f>COUNTIFS('OB History'!$B:$B,$A$40,'OB History'!L:L, 1)</f>
        <v>6</v>
      </c>
      <c r="W40" s="2">
        <f>COUNTIFS('OB History'!$B:$B,$A$40,'OB History'!M:M, 1)</f>
        <v>3</v>
      </c>
      <c r="X40" s="2">
        <f>COUNTIFS('OB History'!$B:$B,$A$40,'OB History'!N:N, 1)</f>
        <v>12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6</v>
      </c>
      <c r="AH40" s="2">
        <f>COUNTIFS('OB History'!$B:$B,$A$40,'OB History'!X:X, 1)</f>
        <v>8</v>
      </c>
      <c r="AI40" s="2">
        <f>COUNTIFS('OB History'!$B:$B,$A$40,'OB History'!Y:Y, 1)</f>
        <v>7</v>
      </c>
      <c r="AJ40" s="2">
        <f>COUNTIFS('OB History'!$B:$B,$A$40,'OB History'!Z:Z, 1)</f>
        <v>9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90</v>
      </c>
      <c r="I41" s="4">
        <f>AVERAGEIFS('OB History'!C:C,'OB History'!B:B,A41)</f>
        <v>18</v>
      </c>
      <c r="J41" s="4">
        <f t="array" ref="J41">MEDIAN(IF('OB History'!B:B=A41, 'OB History'!C:C))</f>
        <v>16</v>
      </c>
      <c r="K41" s="35">
        <f t="array" ref="K41">MAX(IF('OB History'!B:B=A41, 'OB History'!C:C))</f>
        <v>29</v>
      </c>
      <c r="L41" s="34">
        <f>COUNTIFS('OB History'!B:B,A41,'OB History'!D:D, 1)</f>
        <v>4</v>
      </c>
      <c r="M41" s="2">
        <f>COUNTIFS('OB History'!B:B,A41,'OB History'!D:D, 0)</f>
        <v>1</v>
      </c>
      <c r="N41" s="88">
        <f>LOOKUP(2, 1/('OB History'!$B:$B=A41), 'OB History'!$AD:$AD)</f>
        <v>0.8</v>
      </c>
      <c r="O41" s="34">
        <f>SUMIFS('OB History'!F:F,'OB History'!B:B,A41)</f>
        <v>14</v>
      </c>
      <c r="P41" s="2">
        <f>SUMIFS('OB History'!E:E,'OB History'!B:B,A41)-O41</f>
        <v>10</v>
      </c>
      <c r="Q41" s="88">
        <f>LOOKUP(2, 1/('OB History'!$B:$B=A41), 'OB History'!$AB:$AB)</f>
        <v>0.59</v>
      </c>
      <c r="R41" s="34">
        <f>SUMIFS('OB History'!H:H,'OB History'!B:B,'Old Bow v2'!A41)</f>
        <v>55</v>
      </c>
      <c r="S41" s="2">
        <f>SUMIFS('OB History'!G:G,'OB History'!B:B,'Old Bow v2'!A41)-R41</f>
        <v>43</v>
      </c>
      <c r="T41" s="88">
        <f>LOOKUP(2, 1/('OB History'!$B:$B=A41), 'OB History'!$AC:$AC)</f>
        <v>0.55999999999999994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2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1</v>
      </c>
      <c r="AC41" s="2">
        <f>COUNTIFS('OB History'!$B:$B,$A$41,'OB History'!S:S, 1)</f>
        <v>1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613</v>
      </c>
      <c r="I42" s="4">
        <f>AVERAGEIFS('OB History'!C:C,'OB History'!B:B,A42)</f>
        <v>21.892857142857142</v>
      </c>
      <c r="J42" s="4">
        <f t="array" ref="J42">MEDIAN(IF('OB History'!B:B=A42, 'OB History'!C:C))</f>
        <v>20.5</v>
      </c>
      <c r="K42" s="35">
        <f t="array" ref="K42">MAX(IF('OB History'!B:B=A42, 'OB History'!C:C))</f>
        <v>51</v>
      </c>
      <c r="L42" s="34">
        <f>COUNTIFS('OB History'!B:B,A42,'OB History'!D:D, 1)</f>
        <v>12</v>
      </c>
      <c r="M42" s="2">
        <f>COUNTIFS('OB History'!B:B,A42,'OB History'!D:D, 0)</f>
        <v>16</v>
      </c>
      <c r="N42" s="88">
        <f>LOOKUP(2, 1/('OB History'!$B:$B=A42), 'OB History'!$AD:$AD)</f>
        <v>0.42857142857142855</v>
      </c>
      <c r="O42" s="34">
        <f>SUMIFS('OB History'!F:F,'OB History'!B:B,A42)</f>
        <v>54</v>
      </c>
      <c r="P42" s="2">
        <f>SUMIFS('OB History'!E:E,'OB History'!B:B,A42)-O42</f>
        <v>63</v>
      </c>
      <c r="Q42" s="88">
        <f>LOOKUP(2, 1/('OB History'!$B:$B=A42), 'OB History'!$AB:$AB)</f>
        <v>0.45892857142857141</v>
      </c>
      <c r="R42" s="34">
        <f>SUMIFS('OB History'!H:H,'OB History'!B:B,'Old Bow v2'!A42)</f>
        <v>237</v>
      </c>
      <c r="S42" s="2">
        <f>SUMIFS('OB History'!G:G,'OB History'!B:B,'Old Bow v2'!A42)-R42</f>
        <v>251</v>
      </c>
      <c r="T42" s="88">
        <f>LOOKUP(2, 1/('OB History'!$B:$B=A42), 'OB History'!$AC:$AC)</f>
        <v>0.48214285714285715</v>
      </c>
      <c r="U42" s="2">
        <f>COUNTIFS('OB History'!$B:$B,$A$42,'OB History'!K:K, 1)</f>
        <v>6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5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4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6</v>
      </c>
      <c r="AJ42" s="2">
        <f>COUNTIFS('OB History'!$B:$B,$A$42,'OB History'!Z:Z, 1)</f>
        <v>5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187</v>
      </c>
      <c r="I43" s="4">
        <f>AVERAGEIFS('OB History'!C:C,'OB History'!B:B,A43)</f>
        <v>8.5</v>
      </c>
      <c r="J43" s="4">
        <f t="array" ref="J43">MEDIAN(IF('OB History'!B:B=A43, 'OB History'!C:C))</f>
        <v>7.5</v>
      </c>
      <c r="K43" s="35">
        <f t="array" ref="K43">MAX(IF('OB History'!B:B=A43, 'OB History'!C:C))</f>
        <v>28</v>
      </c>
      <c r="L43" s="34">
        <f>COUNTIFS('OB History'!B:B,A43,'OB History'!D:D, 1)</f>
        <v>8</v>
      </c>
      <c r="M43" s="2">
        <f>COUNTIFS('OB History'!B:B,A43,'OB History'!D:D, 0)</f>
        <v>14</v>
      </c>
      <c r="N43" s="88">
        <f>LOOKUP(2, 1/('OB History'!$B:$B=A43), 'OB History'!$AD:$AD)</f>
        <v>0.36363636363636365</v>
      </c>
      <c r="O43" s="34">
        <f>SUMIFS('OB History'!F:F,'OB History'!B:B,A43)</f>
        <v>36</v>
      </c>
      <c r="P43" s="2">
        <f>SUMIFS('OB History'!E:E,'OB History'!B:B,A43)-O43</f>
        <v>50</v>
      </c>
      <c r="Q43" s="88">
        <f>LOOKUP(2, 1/('OB History'!$B:$B=A43), 'OB History'!$AB:$AB)</f>
        <v>0.39318181818181819</v>
      </c>
      <c r="R43" s="34">
        <f>SUMIFS('OB History'!H:H,'OB History'!B:B,'Old Bow v2'!A43)</f>
        <v>164</v>
      </c>
      <c r="S43" s="2">
        <f>SUMIFS('OB History'!G:G,'OB History'!B:B,'Old Bow v2'!A43)-R43</f>
        <v>194</v>
      </c>
      <c r="T43" s="88">
        <f>LOOKUP(2, 1/('OB History'!$B:$B=A43), 'OB History'!$AC:$AC)</f>
        <v>0.45045454545454555</v>
      </c>
      <c r="U43" s="2">
        <f>COUNTIFS('OB History'!$B:$B,$A$43,'OB History'!K:K, 1)</f>
        <v>2</v>
      </c>
      <c r="V43" s="2">
        <f>COUNTIFS('OB History'!$B:$B,$A$43,'OB History'!L:L, 1)</f>
        <v>2</v>
      </c>
      <c r="W43" s="2">
        <f>COUNTIFS('OB History'!$B:$B,$A$43,'OB History'!M:M, 1)</f>
        <v>2</v>
      </c>
      <c r="X43" s="2">
        <f>COUNTIFS('OB History'!$B:$B,$A$43,'OB History'!N:N, 1)</f>
        <v>5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5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4</v>
      </c>
      <c r="AJ43" s="2">
        <f>COUNTIFS('OB History'!$B:$B,$A$43,'OB History'!Z:Z, 1)</f>
        <v>4</v>
      </c>
    </row>
    <row r="44" spans="1:36" x14ac:dyDescent="0.25">
      <c r="A44" s="2" t="s">
        <v>242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22</v>
      </c>
      <c r="I44" s="4">
        <f>AVERAGEIFS('OB History'!C:C,'OB History'!B:B,A44)</f>
        <v>5.5</v>
      </c>
      <c r="J44" s="4">
        <f t="array" ref="J44">MEDIAN(IF('OB History'!B:B=A44, 'OB History'!C:C))</f>
        <v>4</v>
      </c>
      <c r="K44" s="35">
        <f t="array" ref="K44">MAX(IF('OB History'!B:B=A44, 'OB History'!C:C))</f>
        <v>11</v>
      </c>
      <c r="L44" s="34">
        <f>COUNTIFS('OB History'!B:B,A44,'OB History'!D:D, 1)</f>
        <v>0</v>
      </c>
      <c r="M44" s="2">
        <f>COUNTIFS('OB History'!B:B,A44,'OB History'!D:D, 0)</f>
        <v>4</v>
      </c>
      <c r="N44" s="88">
        <f>LOOKUP(2, 1/('OB History'!$B:$B=A44), 'OB History'!$AD:$AD)</f>
        <v>0</v>
      </c>
      <c r="O44" s="34">
        <f>SUMIFS('OB History'!F:F,'OB History'!B:B,A44)</f>
        <v>3</v>
      </c>
      <c r="P44" s="2">
        <f>SUMIFS('OB History'!E:E,'OB History'!B:B,A44)-O44</f>
        <v>12</v>
      </c>
      <c r="Q44" s="88">
        <f>LOOKUP(2, 1/('OB History'!$B:$B=A44), 'OB History'!$AB:$AB)</f>
        <v>0.16250000000000001</v>
      </c>
      <c r="R44" s="34">
        <f>SUMIFS('OB History'!H:H,'OB History'!B:B,'Old Bow v2'!A44)</f>
        <v>20</v>
      </c>
      <c r="S44" s="2">
        <f>SUMIFS('OB History'!G:G,'OB History'!B:B,'Old Bow v2'!A44)-R44</f>
        <v>40</v>
      </c>
      <c r="T44" s="88">
        <f>LOOKUP(2, 1/('OB History'!$B:$B=A44), 'OB History'!$AC:$AC)</f>
        <v>0.32</v>
      </c>
      <c r="U44" s="2">
        <f>COUNTIFS('OB History'!$B:$B,$A$44,'OB History'!K:K, 1)</f>
        <v>0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1</v>
      </c>
      <c r="AI44" s="2"/>
      <c r="AJ44" s="2"/>
    </row>
    <row r="45" spans="1:36" x14ac:dyDescent="0.25">
      <c r="A45" s="2" t="s">
        <v>141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308</v>
      </c>
      <c r="I45" s="4">
        <f>AVERAGEIFS('OB History'!C:C,'OB History'!B:B,A45)</f>
        <v>17.111111111111111</v>
      </c>
      <c r="J45" s="4">
        <f t="array" ref="J45">MEDIAN(IF('OB History'!B:B=A45, 'OB History'!C:C))</f>
        <v>16.5</v>
      </c>
      <c r="K45" s="35">
        <f t="array" ref="K45">MAX(IF('OB History'!B:B=A45, 'OB History'!C:C))</f>
        <v>33</v>
      </c>
      <c r="L45" s="34">
        <f>COUNTIFS('OB History'!B:B,A45,'OB History'!D:D, 1)</f>
        <v>8</v>
      </c>
      <c r="M45" s="2">
        <f>COUNTIFS('OB History'!B:B,A45,'OB History'!D:D, 0)</f>
        <v>10</v>
      </c>
      <c r="N45" s="88">
        <f>LOOKUP(2, 1/('OB History'!$B:$B=A45), 'OB History'!$AD:$AD)</f>
        <v>0.44444444444444442</v>
      </c>
      <c r="O45" s="34">
        <f>SUMIFS('OB History'!F:F,'OB History'!B:B,A45)</f>
        <v>34</v>
      </c>
      <c r="P45" s="2">
        <f>SUMIFS('OB History'!E:E,'OB History'!B:B,A45)-O45</f>
        <v>39</v>
      </c>
      <c r="Q45" s="88">
        <f>LOOKUP(2, 1/('OB History'!$B:$B=A45), 'OB History'!$AB:$AB)</f>
        <v>0.46666666666666656</v>
      </c>
      <c r="R45" s="34">
        <f>SUMIFS('OB History'!H:H,'OB History'!B:B,'Old Bow v2'!A45)</f>
        <v>150</v>
      </c>
      <c r="S45" s="2">
        <f>SUMIFS('OB History'!G:G,'OB History'!B:B,'Old Bow v2'!A45)-R45</f>
        <v>156</v>
      </c>
      <c r="T45" s="88">
        <f>LOOKUP(2, 1/('OB History'!$B:$B=A45), 'OB History'!$AC:$AC)</f>
        <v>0.49166666666666675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0</v>
      </c>
      <c r="X45" s="2">
        <f>COUNTIFS('OB History'!$B:$B,$A$45,'OB History'!N:N, 1)</f>
        <v>5</v>
      </c>
      <c r="Y45" s="2">
        <f>COUNTIFS('OB History'!$B:$B,$A$45,'OB History'!O:O, 1)</f>
        <v>2</v>
      </c>
      <c r="Z45" s="2">
        <f>COUNTIFS('OB History'!$B:$B,$A$45,'OB History'!P:P, 1)</f>
        <v>1</v>
      </c>
      <c r="AA45" s="2">
        <f>COUNTIFS('OB History'!$B:$B,$A$45,'OB History'!Q:Q, 1)</f>
        <v>2</v>
      </c>
      <c r="AB45" s="2">
        <f>COUNTIFS('OB History'!$B:$B,$A$45,'OB History'!R:R, 1)</f>
        <v>3</v>
      </c>
      <c r="AC45" s="2">
        <f>COUNTIFS('OB History'!$B:$B,$A$45,'OB History'!S:S, 1)</f>
        <v>1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3</v>
      </c>
      <c r="AI45" s="2">
        <f>COUNTIFS('OB History'!$B:$B,$A$45,'OB History'!Y:Y, 1)</f>
        <v>4</v>
      </c>
      <c r="AJ45" s="2">
        <f>COUNTIFS('OB History'!$B:$B,$A$45,'OB History'!Z:Z, 1)</f>
        <v>4</v>
      </c>
    </row>
    <row r="46" spans="1:36" x14ac:dyDescent="0.25">
      <c r="A46" s="2" t="s">
        <v>149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35">
        <f t="array" ref="K46">MAX(IF('OB History'!B:B=A46, 'OB History'!C:C))</f>
        <v>4</v>
      </c>
      <c r="L46" s="34">
        <f>COUNTIFS('OB History'!B:B,A46,'OB History'!D:D, 1)</f>
        <v>0</v>
      </c>
      <c r="M46" s="2">
        <f>COUNTIFS('OB History'!B:B,A46,'OB History'!D:D, 0)</f>
        <v>1</v>
      </c>
      <c r="N46" s="88">
        <f>LOOKUP(2, 1/('OB History'!$B:$B=A46), 'OB History'!$AD:$AD)</f>
        <v>0</v>
      </c>
      <c r="O46" s="34">
        <f>SUMIFS('OB History'!F:F,'OB History'!B:B,A46)</f>
        <v>2</v>
      </c>
      <c r="P46" s="2">
        <f>SUMIFS('OB History'!E:E,'OB History'!B:B,A46)-O46</f>
        <v>3</v>
      </c>
      <c r="Q46" s="88">
        <f>LOOKUP(2, 1/('OB History'!$B:$B=A46), 'OB History'!$AB:$AB)</f>
        <v>0.4</v>
      </c>
      <c r="R46" s="34">
        <f>SUMIFS('OB History'!H:H,'OB History'!B:B,'Old Bow v2'!A46)</f>
        <v>8</v>
      </c>
      <c r="S46" s="2">
        <f>SUMIFS('OB History'!G:G,'OB History'!B:B,'Old Bow v2'!A46)-R46</f>
        <v>10</v>
      </c>
      <c r="T46" s="88">
        <f>LOOKUP(2, 1/('OB History'!$B:$B=A46), 'OB History'!$AC:$AC)</f>
        <v>0.44</v>
      </c>
      <c r="U46" s="2">
        <f>COUNTIFS('OB History'!$B:$B,$A$46,'OB History'!K:K, 1)</f>
        <v>1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0</v>
      </c>
      <c r="AI46" s="2">
        <f>COUNTIFS('OB History'!$B:$B,$A$46,'OB History'!Y:Y, 1)</f>
        <v>0</v>
      </c>
      <c r="AJ46" s="2">
        <f>COUNTIFS('OB History'!$B:$B,$A$46,'OB History'!Z:Z, 1)</f>
        <v>0</v>
      </c>
    </row>
    <row r="47" spans="1:36" x14ac:dyDescent="0.25">
      <c r="A47" s="2" t="s">
        <v>40</v>
      </c>
      <c r="B47" s="2" t="s">
        <v>79</v>
      </c>
      <c r="C47" s="2" t="s">
        <v>79</v>
      </c>
      <c r="D47" s="3">
        <v>1</v>
      </c>
      <c r="E47" s="3"/>
      <c r="F47" s="3"/>
      <c r="G47" s="3"/>
      <c r="H47" s="34">
        <f>SUMIFS('OB History'!C:C,'OB History'!B:B,A47)</f>
        <v>413</v>
      </c>
      <c r="I47" s="4">
        <f>AVERAGEIFS('OB History'!C:C,'OB History'!B:B,A47)</f>
        <v>19.666666666666668</v>
      </c>
      <c r="J47" s="4">
        <f t="array" ref="J47">MEDIAN(IF('OB History'!B:B=A47, 'OB History'!C:C))</f>
        <v>18</v>
      </c>
      <c r="K47" s="35">
        <f t="array" ref="K47">MAX(IF('OB History'!B:B=A47, 'OB History'!C:C))</f>
        <v>40</v>
      </c>
      <c r="L47" s="34">
        <f>COUNTIFS('OB History'!B:B,A47,'OB History'!D:D, 1)</f>
        <v>10</v>
      </c>
      <c r="M47" s="2">
        <f>COUNTIFS('OB History'!B:B,A47,'OB History'!D:D, 0)</f>
        <v>11</v>
      </c>
      <c r="N47" s="88">
        <f>LOOKUP(2, 1/('OB History'!$B:$B=A47), 'OB History'!$AD:$AD)</f>
        <v>0.47619047619047616</v>
      </c>
      <c r="O47" s="34">
        <f>SUMIFS('OB History'!F:F,'OB History'!B:B,A47)</f>
        <v>43</v>
      </c>
      <c r="P47" s="2">
        <f>SUMIFS('OB History'!E:E,'OB History'!B:B,A47)-O47</f>
        <v>43</v>
      </c>
      <c r="Q47" s="88">
        <f>LOOKUP(2, 1/('OB History'!$B:$B=A47), 'OB History'!$AB:$AB)</f>
        <v>0.50238095238095237</v>
      </c>
      <c r="R47" s="34">
        <f>SUMIFS('OB History'!H:H,'OB History'!B:B,'Old Bow v2'!A47)</f>
        <v>169</v>
      </c>
      <c r="S47" s="2">
        <f>SUMIFS('OB History'!G:G,'OB History'!B:B,'Old Bow v2'!A47)-R47</f>
        <v>188</v>
      </c>
      <c r="T47" s="88">
        <f>LOOKUP(2, 1/('OB History'!$B:$B=A47), 'OB History'!$AC:$AC)</f>
        <v>0.46666666666666662</v>
      </c>
      <c r="U47" s="2">
        <f>COUNTIFS('OB History'!$B:$B,$A$47,'OB History'!K:K, 1)</f>
        <v>4</v>
      </c>
      <c r="V47" s="2">
        <f>COUNTIFS('OB History'!$B:$B,$A$47,'OB History'!L:L, 1)</f>
        <v>2</v>
      </c>
      <c r="W47" s="2">
        <f>COUNTIFS('OB History'!$B:$B,$A$47,'OB History'!M:M, 1)</f>
        <v>4</v>
      </c>
      <c r="X47" s="2">
        <f>COUNTIFS('OB History'!$B:$B,$A$47,'OB History'!N:N, 1)</f>
        <v>4</v>
      </c>
      <c r="Y47" s="2">
        <f>COUNTIFS('OB History'!$B:$B,$A$47,'OB History'!O:O, 1)</f>
        <v>2</v>
      </c>
      <c r="Z47" s="2">
        <f>COUNTIFS('OB History'!$B:$B,$A$47,'OB History'!P:P, 1)</f>
        <v>2</v>
      </c>
      <c r="AA47" s="2">
        <f>COUNTIFS('OB History'!$B:$B,$A$47,'OB History'!Q:Q, 1)</f>
        <v>3</v>
      </c>
      <c r="AB47" s="2">
        <f>COUNTIFS('OB History'!$B:$B,$A$47,'OB History'!R:R, 1)</f>
        <v>1</v>
      </c>
      <c r="AC47" s="2">
        <f>COUNTIFS('OB History'!$B:$B,$A$47,'OB History'!S:S, 1)</f>
        <v>2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2</v>
      </c>
      <c r="AH47" s="2">
        <f>COUNTIFS('OB History'!$B:$B,$A$47,'OB History'!X:X, 1)</f>
        <v>7</v>
      </c>
      <c r="AI47" s="2">
        <f>COUNTIFS('OB History'!$B:$B,$A$47,'OB History'!Y:Y, 1)</f>
        <v>5</v>
      </c>
      <c r="AJ47" s="2">
        <f>COUNTIFS('OB History'!$B:$B,$A$47,'OB History'!Z:Z, 1)</f>
        <v>5</v>
      </c>
    </row>
    <row r="48" spans="1:36" x14ac:dyDescent="0.25">
      <c r="A48" s="2" t="s">
        <v>147</v>
      </c>
      <c r="B48" s="2" t="s">
        <v>79</v>
      </c>
      <c r="C48" s="2" t="s">
        <v>79</v>
      </c>
      <c r="D48" s="3"/>
      <c r="E48" s="3"/>
      <c r="F48" s="3"/>
      <c r="G48" s="3"/>
      <c r="H48" s="34">
        <f>SUMIFS('OB History'!C:C,'OB History'!B:B,A48)</f>
        <v>242</v>
      </c>
      <c r="I48" s="4">
        <f>AVERAGEIFS('OB History'!C:C,'OB History'!B:B,A48)</f>
        <v>17.285714285714285</v>
      </c>
      <c r="J48" s="4">
        <f t="array" ref="J48">MEDIAN(IF('OB History'!B:B=A48, 'OB History'!C:C))</f>
        <v>14.5</v>
      </c>
      <c r="K48" s="35">
        <f t="array" ref="K48">MAX(IF('OB History'!B:B=A48, 'OB History'!C:C))</f>
        <v>35</v>
      </c>
      <c r="L48" s="34">
        <f>COUNTIFS('OB History'!B:B,A48,'OB History'!D:D, 1)</f>
        <v>6</v>
      </c>
      <c r="M48" s="2">
        <f>COUNTIFS('OB History'!B:B,A48,'OB History'!D:D, 0)</f>
        <v>8</v>
      </c>
      <c r="N48" s="88">
        <f>LOOKUP(2, 1/('OB History'!$B:$B=A48), 'OB History'!$AD:$AD)</f>
        <v>0.42857142857142855</v>
      </c>
      <c r="O48" s="34">
        <f>SUMIFS('OB History'!F:F,'OB History'!B:B,A48)</f>
        <v>26</v>
      </c>
      <c r="P48" s="2">
        <f>SUMIFS('OB History'!E:E,'OB History'!B:B,A48)-O48</f>
        <v>29</v>
      </c>
      <c r="Q48" s="88">
        <f>LOOKUP(2, 1/('OB History'!$B:$B=A48), 'OB History'!$AB:$AB)</f>
        <v>0.46071428571428574</v>
      </c>
      <c r="R48" s="34">
        <f>SUMIFS('OB History'!H:H,'OB History'!B:B,'Old Bow v2'!A48)</f>
        <v>111</v>
      </c>
      <c r="S48" s="2">
        <f>SUMIFS('OB History'!G:G,'OB History'!B:B,'Old Bow v2'!A48)-R48</f>
        <v>119</v>
      </c>
      <c r="T48" s="88">
        <f>LOOKUP(2, 1/('OB History'!$B:$B=A48), 'OB History'!$AC:$AC)</f>
        <v>0.47571428571428581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2</v>
      </c>
      <c r="X48" s="2">
        <f>COUNTIFS('OB History'!$B:$B,$A$48,'OB History'!N:N, 1)</f>
        <v>3</v>
      </c>
      <c r="Y48" s="2">
        <f>COUNTIFS('OB History'!$B:$B,$A$48,'OB History'!O:O, 1)</f>
        <v>1</v>
      </c>
      <c r="Z48" s="2">
        <f>COUNTIFS('OB History'!$B:$B,$A$48,'OB History'!P:P, 1)</f>
        <v>3</v>
      </c>
      <c r="AA48" s="2">
        <f>COUNTIFS('OB History'!$B:$B,$A$48,'OB History'!Q:Q, 1)</f>
        <v>2</v>
      </c>
      <c r="AB48" s="2">
        <f>COUNTIFS('OB History'!$B:$B,$A$48,'OB History'!R:R, 1)</f>
        <v>0</v>
      </c>
      <c r="AC48" s="2">
        <f>COUNTIFS('OB History'!$B:$B,$A$48,'OB History'!S:S, 1)</f>
        <v>1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1</v>
      </c>
      <c r="AH48" s="2">
        <f>COUNTIFS('OB History'!$B:$B,$A$48,'OB History'!X:X, 1)</f>
        <v>4</v>
      </c>
      <c r="AI48" s="2">
        <f>COUNTIFS('OB History'!$B:$B,$A$48,'OB History'!Y:Y, 1)</f>
        <v>2</v>
      </c>
      <c r="AJ48" s="2">
        <f>COUNTIFS('OB History'!$B:$B,$A$48,'OB History'!Z:Z, 1)</f>
        <v>1</v>
      </c>
    </row>
    <row r="49" spans="1:36" ht="14.25" customHeight="1" x14ac:dyDescent="0.25">
      <c r="A49" s="2" t="s">
        <v>17</v>
      </c>
      <c r="B49" s="2" t="s">
        <v>79</v>
      </c>
      <c r="C49" s="2" t="s">
        <v>79</v>
      </c>
      <c r="D49" s="3">
        <v>17</v>
      </c>
      <c r="E49" s="3">
        <v>3</v>
      </c>
      <c r="F49" s="3"/>
      <c r="G49" s="3"/>
      <c r="H49" s="34">
        <f>SUMIFS('OB History'!C:C,'OB History'!B:B,A49)</f>
        <v>1549</v>
      </c>
      <c r="I49" s="4">
        <f>AVERAGEIFS('OB History'!C:C,'OB History'!B:B,A49)</f>
        <v>25.393442622950818</v>
      </c>
      <c r="J49" s="4">
        <f t="array" ref="J49">MEDIAN(IF('OB History'!B:B=A49, 'OB History'!C:C))</f>
        <v>23</v>
      </c>
      <c r="K49" s="35">
        <f t="array" ref="K49">MAX(IF('OB History'!B:B=A49, 'OB History'!C:C))</f>
        <v>58</v>
      </c>
      <c r="L49" s="34">
        <f>COUNTIFS('OB History'!B:B,A49,'OB History'!D:D, 1)</f>
        <v>24</v>
      </c>
      <c r="M49" s="2">
        <f>COUNTIFS('OB History'!B:B,A49,'OB History'!D:D, 0)</f>
        <v>37</v>
      </c>
      <c r="N49" s="88">
        <f>LOOKUP(2, 1/('OB History'!$B:$B=A49), 'OB History'!$AD:$AD)</f>
        <v>0.39344262295081966</v>
      </c>
      <c r="O49" s="34">
        <f>SUMIFS('OB History'!F:F,'OB History'!B:B,A49)</f>
        <v>114</v>
      </c>
      <c r="P49" s="2">
        <f>SUMIFS('OB History'!E:E,'OB History'!B:B,A49)-O49</f>
        <v>134</v>
      </c>
      <c r="Q49" s="88">
        <f>LOOKUP(2, 1/('OB History'!$B:$B=A49), 'OB History'!$AB:$AB)</f>
        <v>0.45983606557377055</v>
      </c>
      <c r="R49" s="34">
        <f>SUMIFS('OB History'!H:H,'OB History'!B:B,'Old Bow v2'!A49)</f>
        <v>502</v>
      </c>
      <c r="S49" s="2">
        <f>SUMIFS('OB History'!G:G,'OB History'!B:B,'Old Bow v2'!A49)-R49</f>
        <v>523</v>
      </c>
      <c r="T49" s="88">
        <f>LOOKUP(2, 1/('OB History'!$B:$B=A49), 'OB History'!$AC:$AC)</f>
        <v>0.49360655737704895</v>
      </c>
      <c r="U49" s="2">
        <f>COUNTIFS('OB History'!$B:$B,$A$49,'OB History'!K:K, 1)</f>
        <v>7</v>
      </c>
      <c r="V49" s="2">
        <f>COUNTIFS('OB History'!$B:$B,$A$49,'OB History'!L:L, 1)</f>
        <v>9</v>
      </c>
      <c r="W49" s="2">
        <f>COUNTIFS('OB History'!$B:$B,$A$49,'OB History'!M:M, 1)</f>
        <v>3</v>
      </c>
      <c r="X49" s="2">
        <f>COUNTIFS('OB History'!$B:$B,$A$49,'OB History'!N:N, 1)</f>
        <v>11</v>
      </c>
      <c r="Y49" s="2">
        <f>COUNTIFS('OB History'!$B:$B,$A$49,'OB History'!O:O, 1)</f>
        <v>1</v>
      </c>
      <c r="Z49" s="2">
        <f>COUNTIFS('OB History'!$B:$B,$A$49,'OB History'!P:P, 1)</f>
        <v>11</v>
      </c>
      <c r="AA49" s="2">
        <f>COUNTIFS('OB History'!$B:$B,$A$49,'OB History'!Q:Q, 1)</f>
        <v>5</v>
      </c>
      <c r="AB49" s="2">
        <f>COUNTIFS('OB History'!$B:$B,$A$49,'OB History'!R:R, 1)</f>
        <v>6</v>
      </c>
      <c r="AC49" s="2">
        <f>COUNTIFS('OB History'!$B:$B,$A$49,'OB History'!S:S, 1)</f>
        <v>1</v>
      </c>
      <c r="AD49" s="2">
        <f>COUNTIFS('OB History'!$B:$B,$A$49,'OB History'!T:T, 1)</f>
        <v>2</v>
      </c>
      <c r="AE49" s="2">
        <f>COUNTIFS('OB History'!$B:$B,$A$49,'OB History'!U:U, 1)</f>
        <v>1</v>
      </c>
      <c r="AF49" s="2">
        <f>COUNTIFS('OB History'!$B:$B,$A$49,'OB History'!V:V, 1)</f>
        <v>3</v>
      </c>
      <c r="AG49" s="2">
        <f>COUNTIFS('OB History'!$B:$B,$A$49,'OB History'!W:W, 1)</f>
        <v>7</v>
      </c>
      <c r="AH49" s="2">
        <f>COUNTIFS('OB History'!$B:$B,$A$49,'OB History'!X:X, 1)</f>
        <v>22</v>
      </c>
      <c r="AI49" s="2">
        <f>COUNTIFS('OB History'!$B:$B,$A$49,'OB History'!Y:Y, 1)</f>
        <v>8</v>
      </c>
      <c r="AJ49" s="2">
        <f>COUNTIFS('OB History'!$B:$B,$A$49,'OB History'!Z:Z, 1)</f>
        <v>17</v>
      </c>
    </row>
    <row r="50" spans="1:36" x14ac:dyDescent="0.25">
      <c r="A50" s="2" t="s">
        <v>155</v>
      </c>
      <c r="B50" s="6" t="s">
        <v>60</v>
      </c>
      <c r="C50" s="2" t="s">
        <v>79</v>
      </c>
      <c r="D50" s="3">
        <v>8</v>
      </c>
      <c r="E50" s="3">
        <v>1</v>
      </c>
      <c r="F50" s="3"/>
      <c r="G50" s="3"/>
      <c r="H50" s="34">
        <f>SUMIFS('OB History'!C:C,'OB History'!B:B,A50)</f>
        <v>760</v>
      </c>
      <c r="I50" s="4">
        <f>AVERAGEIFS('OB History'!C:C,'OB History'!B:B,A50)</f>
        <v>18.095238095238095</v>
      </c>
      <c r="J50" s="4">
        <f t="array" ref="J50">MEDIAN(IF('OB History'!B:B=A50, 'OB History'!C:C))</f>
        <v>18</v>
      </c>
      <c r="K50" s="35">
        <f t="array" ref="K50">MAX(IF('OB History'!B:B=A50, 'OB History'!C:C))</f>
        <v>43</v>
      </c>
      <c r="L50" s="34">
        <f>COUNTIFS('OB History'!B:B,A50,'OB History'!D:D, 1)</f>
        <v>15</v>
      </c>
      <c r="M50" s="2">
        <f>COUNTIFS('OB History'!B:B,A50,'OB History'!D:D, 0)</f>
        <v>27</v>
      </c>
      <c r="N50" s="88">
        <f>LOOKUP(2, 1/('OB History'!$B:$B=A50), 'OB History'!$AD:$AD)</f>
        <v>0.35714285714285715</v>
      </c>
      <c r="O50" s="34">
        <f>SUMIFS('OB History'!F:F,'OB History'!B:B,A50)</f>
        <v>71</v>
      </c>
      <c r="P50" s="2">
        <f>SUMIFS('OB History'!E:E,'OB History'!B:B,A50)-O50</f>
        <v>102</v>
      </c>
      <c r="Q50" s="88">
        <f>LOOKUP(2, 1/('OB History'!$B:$B=A50), 'OB History'!$AB:$AB)</f>
        <v>0.38571428571428568</v>
      </c>
      <c r="R50" s="34">
        <f>SUMIFS('OB History'!H:H,'OB History'!B:B,'Old Bow v2'!A50)</f>
        <v>338</v>
      </c>
      <c r="S50" s="2">
        <f>SUMIFS('OB History'!G:G,'OB History'!B:B,'Old Bow v2'!A50)-R50</f>
        <v>379</v>
      </c>
      <c r="T50" s="88">
        <f>LOOKUP(2, 1/('OB History'!$B:$B=A50), 'OB History'!$AC:$AC)</f>
        <v>0.45880952380952378</v>
      </c>
      <c r="U50" s="2">
        <f>COUNTIFS('OB History'!$B:$B,$A$50,'OB History'!K:K, 1)</f>
        <v>5</v>
      </c>
      <c r="V50" s="2">
        <f>COUNTIFS('OB History'!$B:$B,$A$50,'OB History'!L:L, 1)</f>
        <v>5</v>
      </c>
      <c r="W50" s="2">
        <f>COUNTIFS('OB History'!$B:$B,$A$50,'OB History'!M:M, 1)</f>
        <v>3</v>
      </c>
      <c r="X50" s="2">
        <f>COUNTIFS('OB History'!$B:$B,$A$50,'OB History'!N:N, 1)</f>
        <v>11</v>
      </c>
      <c r="Y50" s="2">
        <f>COUNTIFS('OB History'!$B:$B,$A$50,'OB History'!O:O, 1)</f>
        <v>4</v>
      </c>
      <c r="Z50" s="2">
        <f>COUNTIFS('OB History'!$B:$B,$A$50,'OB History'!P:P, 1)</f>
        <v>7</v>
      </c>
      <c r="AA50" s="2">
        <f>COUNTIFS('OB History'!$B:$B,$A$50,'OB History'!Q:Q, 1)</f>
        <v>1</v>
      </c>
      <c r="AB50" s="2">
        <f>COUNTIFS('OB History'!$B:$B,$A$50,'OB History'!R:R, 1)</f>
        <v>5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5</v>
      </c>
      <c r="AH50" s="2">
        <f>COUNTIFS('OB History'!$B:$B,$A$50,'OB History'!X:X, 1)</f>
        <v>7</v>
      </c>
      <c r="AI50" s="2">
        <f>COUNTIFS('OB History'!$B:$B,$A$50,'OB History'!Y:Y, 1)</f>
        <v>7</v>
      </c>
      <c r="AJ50" s="2">
        <f>COUNTIFS('OB History'!$B:$B,$A$50,'OB History'!Z:Z, 1)</f>
        <v>6</v>
      </c>
    </row>
    <row r="51" spans="1:36" x14ac:dyDescent="0.25">
      <c r="A51" s="2" t="s">
        <v>6</v>
      </c>
      <c r="B51" s="2" t="s">
        <v>60</v>
      </c>
      <c r="C51" s="2" t="s">
        <v>79</v>
      </c>
      <c r="D51" s="3">
        <v>1</v>
      </c>
      <c r="E51" s="3">
        <v>1</v>
      </c>
      <c r="F51" s="3"/>
      <c r="G51" s="3"/>
      <c r="H51" s="34">
        <f>SUMIFS('OB History'!C:C,'OB History'!B:B,A51)</f>
        <v>930</v>
      </c>
      <c r="I51" s="4">
        <f>AVERAGEIFS('OB History'!C:C,'OB History'!B:B,A51)</f>
        <v>23.846153846153847</v>
      </c>
      <c r="J51" s="4">
        <f t="array" ref="J51">MEDIAN(IF('OB History'!B:B=A51, 'OB History'!C:C))</f>
        <v>19</v>
      </c>
      <c r="K51" s="35">
        <f t="array" ref="K51">MAX(IF('OB History'!B:B=A51, 'OB History'!C:C))</f>
        <v>66</v>
      </c>
      <c r="L51" s="34">
        <f>COUNTIFS('OB History'!B:B,A51,'OB History'!D:D, 1)</f>
        <v>27</v>
      </c>
      <c r="M51" s="2">
        <f>COUNTIFS('OB History'!B:B,A51,'OB History'!D:D, 0)</f>
        <v>12</v>
      </c>
      <c r="N51" s="88">
        <f>LOOKUP(2, 1/('OB History'!$B:$B=A51), 'OB History'!$AD:$AD)</f>
        <v>0.69230769230769229</v>
      </c>
      <c r="O51" s="34">
        <f>SUMIFS('OB History'!F:F,'OB History'!B:B,A51)</f>
        <v>96</v>
      </c>
      <c r="P51" s="2">
        <f>SUMIFS('OB History'!E:E,'OB History'!B:B,A51)-O51</f>
        <v>59</v>
      </c>
      <c r="Q51" s="88">
        <f>LOOKUP(2, 1/('OB History'!$B:$B=A51), 'OB History'!$AB:$AB)</f>
        <v>0.64615384615384619</v>
      </c>
      <c r="R51" s="34">
        <f>SUMIFS('OB History'!H:H,'OB History'!B:B,'Old Bow v2'!A51)</f>
        <v>365</v>
      </c>
      <c r="S51" s="2">
        <f>SUMIFS('OB History'!G:G,'OB History'!B:B,'Old Bow v2'!A51)-R51</f>
        <v>291</v>
      </c>
      <c r="T51" s="88">
        <f>LOOKUP(2, 1/('OB History'!$B:$B=A51), 'OB History'!$AC:$AC)</f>
        <v>0.568974358974359</v>
      </c>
      <c r="U51" s="2">
        <f>COUNTIFS('OB History'!$B:$B,$A$51,'OB History'!K:K, 1)</f>
        <v>4</v>
      </c>
      <c r="V51" s="2">
        <f>COUNTIFS('OB History'!$B:$B,$A$51,'OB History'!L:L, 1)</f>
        <v>11</v>
      </c>
      <c r="W51" s="2">
        <f>COUNTIFS('OB History'!$B:$B,$A$51,'OB History'!M:M, 1)</f>
        <v>9</v>
      </c>
      <c r="X51" s="2">
        <f>COUNTIFS('OB History'!$B:$B,$A$51,'OB History'!N:N, 1)</f>
        <v>9</v>
      </c>
      <c r="Y51" s="2">
        <f>COUNTIFS('OB History'!$B:$B,$A$51,'OB History'!O:O, 1)</f>
        <v>3</v>
      </c>
      <c r="Z51" s="2">
        <f>COUNTIFS('OB History'!$B:$B,$A$51,'OB History'!P:P, 1)</f>
        <v>9</v>
      </c>
      <c r="AA51" s="2">
        <f>COUNTIFS('OB History'!$B:$B,$A$51,'OB History'!Q:Q, 1)</f>
        <v>5</v>
      </c>
      <c r="AB51" s="2">
        <f>COUNTIFS('OB History'!$B:$B,$A$51,'OB History'!R:R, 1)</f>
        <v>2</v>
      </c>
      <c r="AC51" s="2">
        <f>COUNTIFS('OB History'!$B:$B,$A$51,'OB History'!S:S, 1)</f>
        <v>1</v>
      </c>
      <c r="AD51" s="2">
        <f>COUNTIFS('OB History'!$B:$B,$A$51,'OB History'!T:T, 1)</f>
        <v>3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8</v>
      </c>
      <c r="AH51" s="2">
        <f>COUNTIFS('OB History'!$B:$B,$A$51,'OB History'!X:X, 1)</f>
        <v>14</v>
      </c>
      <c r="AI51" s="2">
        <f>COUNTIFS('OB History'!$B:$B,$A$51,'OB History'!Y:Y, 1)</f>
        <v>7</v>
      </c>
      <c r="AJ51" s="2">
        <f>COUNTIFS('OB History'!$B:$B,$A$51,'OB History'!Z:Z, 1)</f>
        <v>10</v>
      </c>
    </row>
    <row r="52" spans="1:36" x14ac:dyDescent="0.25">
      <c r="A52" s="2" t="s">
        <v>18</v>
      </c>
      <c r="B52" s="6" t="s">
        <v>60</v>
      </c>
      <c r="C52" s="2" t="s">
        <v>79</v>
      </c>
      <c r="D52" s="3">
        <v>6</v>
      </c>
      <c r="E52" s="3">
        <v>3</v>
      </c>
      <c r="F52" s="3"/>
      <c r="G52" s="3">
        <v>1</v>
      </c>
      <c r="H52" s="34">
        <f>SUMIFS('OB History'!C:C,'OB History'!B:B,A52)</f>
        <v>1008</v>
      </c>
      <c r="I52" s="4">
        <f>AVERAGEIFS('OB History'!C:C,'OB History'!B:B,A52)</f>
        <v>25.846153846153847</v>
      </c>
      <c r="J52" s="4">
        <f t="array" ref="J52">MEDIAN(IF('OB History'!B:B=A52, 'OB History'!C:C))</f>
        <v>25</v>
      </c>
      <c r="K52" s="35">
        <f t="array" ref="K52">MAX(IF('OB History'!B:B=A52, 'OB History'!C:C))</f>
        <v>58</v>
      </c>
      <c r="L52" s="34">
        <f>COUNTIFS('OB History'!B:B,A52,'OB History'!D:D, 1)</f>
        <v>19</v>
      </c>
      <c r="M52" s="2">
        <f>COUNTIFS('OB History'!B:B,A52,'OB History'!D:D, 0)</f>
        <v>20</v>
      </c>
      <c r="N52" s="88">
        <f>LOOKUP(2, 1/('OB History'!$B:$B=A52), 'OB History'!$AD:$AD)</f>
        <v>0.48717948717948717</v>
      </c>
      <c r="O52" s="34">
        <f>SUMIFS('OB History'!F:F,'OB History'!B:B,A52)</f>
        <v>79</v>
      </c>
      <c r="P52" s="2">
        <f>SUMIFS('OB History'!E:E,'OB History'!B:B,A52)-O52</f>
        <v>81</v>
      </c>
      <c r="Q52" s="88">
        <f>LOOKUP(2, 1/('OB History'!$B:$B=A52), 'OB History'!$AB:$AB)</f>
        <v>0.4884615384615385</v>
      </c>
      <c r="R52" s="34">
        <f>SUMIFS('OB History'!H:H,'OB History'!B:B,'Old Bow v2'!A52)</f>
        <v>330</v>
      </c>
      <c r="S52" s="2">
        <f>SUMIFS('OB History'!G:G,'OB History'!B:B,'Old Bow v2'!A52)-R52</f>
        <v>336</v>
      </c>
      <c r="T52" s="88">
        <f>LOOKUP(2, 1/('OB History'!$B:$B=A52), 'OB History'!$AC:$AC)</f>
        <v>0.4951282051282051</v>
      </c>
      <c r="U52" s="2">
        <f>COUNTIFS('OB History'!$B:$B,$A$52,'OB History'!K:K, 1)</f>
        <v>6</v>
      </c>
      <c r="V52" s="2">
        <f>COUNTIFS('OB History'!$B:$B,$A$52,'OB History'!L:L, 1)</f>
        <v>4</v>
      </c>
      <c r="W52" s="2">
        <f>COUNTIFS('OB History'!$B:$B,$A$52,'OB History'!M:M, 1)</f>
        <v>2</v>
      </c>
      <c r="X52" s="2">
        <f>COUNTIFS('OB History'!$B:$B,$A$52,'OB History'!N:N, 1)</f>
        <v>13</v>
      </c>
      <c r="Y52" s="2">
        <f>COUNTIFS('OB History'!$B:$B,$A$52,'OB History'!O:O, 1)</f>
        <v>3</v>
      </c>
      <c r="Z52" s="2">
        <f>COUNTIFS('OB History'!$B:$B,$A$52,'OB History'!P:P, 1)</f>
        <v>8</v>
      </c>
      <c r="AA52" s="2">
        <f>COUNTIFS('OB History'!$B:$B,$A$52,'OB History'!Q:Q, 1)</f>
        <v>5</v>
      </c>
      <c r="AB52" s="2">
        <f>COUNTIFS('OB History'!$B:$B,$A$52,'OB History'!R:R, 1)</f>
        <v>4</v>
      </c>
      <c r="AC52" s="2">
        <f>COUNTIFS('OB History'!$B:$B,$A$52,'OB History'!S:S, 1)</f>
        <v>0</v>
      </c>
      <c r="AD52" s="2">
        <f>COUNTIFS('OB History'!$B:$B,$A$52,'OB History'!T:T, 1)</f>
        <v>1</v>
      </c>
      <c r="AE52" s="2">
        <f>COUNTIFS('OB History'!$B:$B,$A$52,'OB History'!U:U, 1)</f>
        <v>1</v>
      </c>
      <c r="AF52" s="2">
        <f>COUNTIFS('OB History'!$B:$B,$A$52,'OB History'!V:V, 1)</f>
        <v>0</v>
      </c>
      <c r="AG52" s="2">
        <f>COUNTIFS('OB History'!$B:$B,$A$52,'OB History'!W:W, 1)</f>
        <v>8</v>
      </c>
      <c r="AH52" s="2">
        <f>COUNTIFS('OB History'!$B:$B,$A$52,'OB History'!X:X, 1)</f>
        <v>10</v>
      </c>
      <c r="AI52" s="2">
        <f>COUNTIFS('OB History'!$B:$B,$A$52,'OB History'!Y:Y, 1)</f>
        <v>5</v>
      </c>
      <c r="AJ52" s="2">
        <f>COUNTIFS('OB History'!$B:$B,$A$52,'OB History'!Z:Z, 1)</f>
        <v>9</v>
      </c>
    </row>
    <row r="53" spans="1:36" x14ac:dyDescent="0.25">
      <c r="A53" s="2" t="s">
        <v>113</v>
      </c>
      <c r="B53" s="2" t="s">
        <v>79</v>
      </c>
      <c r="C53" s="2" t="s">
        <v>79</v>
      </c>
      <c r="D53" s="3">
        <v>1</v>
      </c>
      <c r="E53" s="3"/>
      <c r="F53" s="3"/>
      <c r="G53" s="3"/>
      <c r="H53" s="34">
        <f>SUMIFS('OB History'!C:C,'OB History'!B:B,A53)</f>
        <v>360</v>
      </c>
      <c r="I53" s="4">
        <f>AVERAGEIFS('OB History'!C:C,'OB History'!B:B,A53)</f>
        <v>20</v>
      </c>
      <c r="J53" s="4">
        <f t="array" ref="J53">MEDIAN(IF('OB History'!B:B=A53, 'OB History'!C:C))</f>
        <v>17</v>
      </c>
      <c r="K53" s="35">
        <f t="array" ref="K53">MAX(IF('OB History'!B:B=A53, 'OB History'!C:C))</f>
        <v>50</v>
      </c>
      <c r="L53" s="34">
        <f>COUNTIFS('OB History'!B:B,A53,'OB History'!D:D, 1)</f>
        <v>11</v>
      </c>
      <c r="M53" s="2">
        <f>COUNTIFS('OB History'!B:B,A53,'OB History'!D:D, 0)</f>
        <v>7</v>
      </c>
      <c r="N53" s="88">
        <f>LOOKUP(2, 1/('OB History'!$B:$B=A53), 'OB History'!$AD:$AD)</f>
        <v>0.61111111111111116</v>
      </c>
      <c r="O53" s="34">
        <f>SUMIFS('OB History'!F:F,'OB History'!B:B,A53)</f>
        <v>38</v>
      </c>
      <c r="P53" s="2">
        <f>SUMIFS('OB History'!E:E,'OB History'!B:B,A53)-O53</f>
        <v>31</v>
      </c>
      <c r="Q53" s="88">
        <f>LOOKUP(2, 1/('OB History'!$B:$B=A53), 'OB History'!$AB:$AB)</f>
        <v>0.55277777777777781</v>
      </c>
      <c r="R53" s="34">
        <f>SUMIFS('OB History'!H:H,'OB History'!B:B,'Old Bow v2'!A53)</f>
        <v>148</v>
      </c>
      <c r="S53" s="2">
        <f>SUMIFS('OB History'!G:G,'OB History'!B:B,'Old Bow v2'!A53)-R53</f>
        <v>138</v>
      </c>
      <c r="T53" s="88">
        <f>LOOKUP(2, 1/('OB History'!$B:$B=A53), 'OB History'!$AC:$AC)</f>
        <v>0.5133333333333332</v>
      </c>
      <c r="U53" s="2">
        <f>COUNTIFS('OB History'!$B:$B,$A$53,'OB History'!K:K, 1)</f>
        <v>0</v>
      </c>
      <c r="V53" s="2">
        <f>COUNTIFS('OB History'!$B:$B,$A$53,'OB History'!L:L, 1)</f>
        <v>6</v>
      </c>
      <c r="W53" s="2">
        <f>COUNTIFS('OB History'!$B:$B,$A$53,'OB History'!M:M, 1)</f>
        <v>4</v>
      </c>
      <c r="X53" s="2">
        <f>COUNTIFS('OB History'!$B:$B,$A$53,'OB History'!N:N, 1)</f>
        <v>4</v>
      </c>
      <c r="Y53" s="2">
        <f>COUNTIFS('OB History'!$B:$B,$A$53,'OB History'!O:O, 1)</f>
        <v>1</v>
      </c>
      <c r="Z53" s="2">
        <f>COUNTIFS('OB History'!$B:$B,$A$53,'OB History'!P:P, 1)</f>
        <v>2</v>
      </c>
      <c r="AA53" s="2">
        <f>COUNTIFS('OB History'!$B:$B,$A$53,'OB History'!Q:Q, 1)</f>
        <v>2</v>
      </c>
      <c r="AB53" s="2">
        <f>COUNTIFS('OB History'!$B:$B,$A$53,'OB History'!R:R, 1)</f>
        <v>1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2</v>
      </c>
      <c r="AH53" s="2">
        <f>COUNTIFS('OB History'!$B:$B,$A$53,'OB History'!X:X, 1)</f>
        <v>6</v>
      </c>
      <c r="AI53" s="2">
        <f>COUNTIFS('OB History'!$B:$B,$A$53,'OB History'!Y:Y, 1)</f>
        <v>3</v>
      </c>
      <c r="AJ53" s="2">
        <f>COUNTIFS('OB History'!$B:$B,$A$53,'OB History'!Z:Z, 1)</f>
        <v>6</v>
      </c>
    </row>
    <row r="54" spans="1:36" x14ac:dyDescent="0.25">
      <c r="A54" s="2" t="s">
        <v>169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2</v>
      </c>
      <c r="I54" s="4">
        <f>AVERAGEIFS('OB History'!C:C,'OB History'!B:B,A54)</f>
        <v>2</v>
      </c>
      <c r="J54" s="4">
        <f t="array" ref="J54">MEDIAN(IF('OB History'!B:B=A54, 'OB History'!C:C))</f>
        <v>2</v>
      </c>
      <c r="K54" s="35">
        <f t="array" ref="K54">MAX(IF('OB History'!B:B=A54, 'OB History'!C:C))</f>
        <v>2</v>
      </c>
      <c r="L54" s="34">
        <f>COUNTIFS('OB History'!B:B,A54,'OB History'!D:D, 1)</f>
        <v>0</v>
      </c>
      <c r="M54" s="2">
        <f>COUNTIFS('OB History'!B:B,A54,'OB History'!D:D, 0)</f>
        <v>1</v>
      </c>
      <c r="N54" s="88">
        <f>LOOKUP(2, 1/('OB History'!$B:$B=A54), 'OB History'!$AD:$AD)</f>
        <v>0</v>
      </c>
      <c r="O54" s="34">
        <f>SUMIFS('OB History'!F:F,'OB History'!B:B,A54)</f>
        <v>2</v>
      </c>
      <c r="P54" s="2">
        <f>SUMIFS('OB History'!E:E,'OB History'!B:B,A54)-O54</f>
        <v>3</v>
      </c>
      <c r="Q54" s="88">
        <f>LOOKUP(2, 1/('OB History'!$B:$B=A54), 'OB History'!$AB:$AB)</f>
        <v>0.4</v>
      </c>
      <c r="R54" s="34">
        <f>SUMIFS('OB History'!H:H,'OB History'!B:B,'Old Bow v2'!A54)</f>
        <v>6</v>
      </c>
      <c r="S54" s="2">
        <f>SUMIFS('OB History'!G:G,'OB History'!B:B,'Old Bow v2'!A54)-R54</f>
        <v>14</v>
      </c>
      <c r="T54" s="88">
        <f>LOOKUP(2, 1/('OB History'!$B:$B=A54), 'OB History'!$AC:$AC)</f>
        <v>0.3</v>
      </c>
      <c r="U54" s="2">
        <f>COUNTIFS('OB History'!$B:$B,$A$54,'OB History'!K:K, 1)</f>
        <v>0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0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1</v>
      </c>
      <c r="AH54" s="2">
        <f>COUNTIFS('OB History'!$B:$B,$A$54,'OB History'!X:X, 1)</f>
        <v>0</v>
      </c>
      <c r="AI54" s="2">
        <f>COUNTIFS('OB History'!$B:$B,$A$54,'OB History'!Y:Y, 1)</f>
        <v>1</v>
      </c>
      <c r="AJ54" s="2">
        <f>COUNTIFS('OB History'!$B:$B,$A$54,'OB History'!Z:Z, 1)</f>
        <v>0</v>
      </c>
    </row>
    <row r="55" spans="1:36" x14ac:dyDescent="0.25">
      <c r="A55" s="2" t="s">
        <v>14</v>
      </c>
      <c r="B55" s="6" t="s">
        <v>124</v>
      </c>
      <c r="C55" s="1" t="s">
        <v>160</v>
      </c>
      <c r="D55" s="3">
        <v>6</v>
      </c>
      <c r="E55" s="3">
        <v>2</v>
      </c>
      <c r="F55" s="3"/>
      <c r="G55" s="3"/>
      <c r="H55" s="34">
        <f>SUMIFS('OB History'!C:C,'OB History'!B:B,A55)</f>
        <v>1351</v>
      </c>
      <c r="I55" s="4">
        <f>AVERAGEIFS('OB History'!C:C,'OB History'!B:B,A55)</f>
        <v>23.701754385964911</v>
      </c>
      <c r="J55" s="4">
        <f t="array" ref="J55">MEDIAN(IF('OB History'!B:B=A55, 'OB History'!C:C))</f>
        <v>20</v>
      </c>
      <c r="K55" s="35">
        <f t="array" ref="K55">MAX(IF('OB History'!B:B=A55, 'OB History'!C:C))</f>
        <v>56</v>
      </c>
      <c r="L55" s="34">
        <f>COUNTIFS('OB History'!B:B,A55,'OB History'!D:D, 1)</f>
        <v>27</v>
      </c>
      <c r="M55" s="2">
        <f>COUNTIFS('OB History'!B:B,A55,'OB History'!D:D, 0)</f>
        <v>30</v>
      </c>
      <c r="N55" s="88">
        <f>LOOKUP(2, 1/('OB History'!$B:$B=A55), 'OB History'!$AD:$AD)</f>
        <v>0.47368421052631576</v>
      </c>
      <c r="O55" s="34">
        <f>SUMIFS('OB History'!F:F,'OB History'!B:B,A55)</f>
        <v>109</v>
      </c>
      <c r="P55" s="2">
        <f>SUMIFS('OB History'!E:E,'OB History'!B:B,A55)-O55</f>
        <v>121</v>
      </c>
      <c r="Q55" s="88">
        <f>LOOKUP(2, 1/('OB History'!$B:$B=A55), 'OB History'!$AB:$AB)</f>
        <v>0.47105263157894739</v>
      </c>
      <c r="R55" s="34">
        <f>SUMIFS('OB History'!H:H,'OB History'!B:B,'Old Bow v2'!A55)</f>
        <v>460</v>
      </c>
      <c r="S55" s="2">
        <f>SUMIFS('OB History'!G:G,'OB History'!B:B,'Old Bow v2'!A55)-R55</f>
        <v>497</v>
      </c>
      <c r="T55" s="88">
        <f>LOOKUP(2, 1/('OB History'!$B:$B=A55), 'OB History'!$AC:$AC)</f>
        <v>0.48280701754385963</v>
      </c>
      <c r="U55" s="2">
        <f>COUNTIFS('OB History'!$B:$B,$A$55,'OB History'!K:K, 1)</f>
        <v>7</v>
      </c>
      <c r="V55" s="2">
        <f>COUNTIFS('OB History'!$B:$B,$A$55,'OB History'!L:L, 1)</f>
        <v>10</v>
      </c>
      <c r="W55" s="2">
        <f>COUNTIFS('OB History'!$B:$B,$A$55,'OB History'!M:M, 1)</f>
        <v>5</v>
      </c>
      <c r="X55" s="2">
        <f>COUNTIFS('OB History'!$B:$B,$A$55,'OB History'!N:N, 1)</f>
        <v>10</v>
      </c>
      <c r="Y55" s="2">
        <f>COUNTIFS('OB History'!$B:$B,$A$55,'OB History'!O:O, 1)</f>
        <v>4</v>
      </c>
      <c r="Z55" s="2">
        <f>COUNTIFS('OB History'!$B:$B,$A$55,'OB History'!P:P, 1)</f>
        <v>7</v>
      </c>
      <c r="AA55" s="2">
        <f>COUNTIFS('OB History'!$B:$B,$A$55,'OB History'!Q:Q, 1)</f>
        <v>2</v>
      </c>
      <c r="AB55" s="2">
        <f>COUNTIFS('OB History'!$B:$B,$A$55,'OB History'!R:R, 1)</f>
        <v>2</v>
      </c>
      <c r="AC55" s="2">
        <f>COUNTIFS('OB History'!$B:$B,$A$55,'OB History'!S:S, 1)</f>
        <v>1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3</v>
      </c>
      <c r="AG55" s="2">
        <f>COUNTIFS('OB History'!$B:$B,$A$55,'OB History'!W:W, 1)</f>
        <v>12</v>
      </c>
      <c r="AH55" s="2">
        <f>COUNTIFS('OB History'!$B:$B,$A$55,'OB History'!X:X, 1)</f>
        <v>26</v>
      </c>
      <c r="AI55" s="2">
        <f>COUNTIFS('OB History'!$B:$B,$A$55,'OB History'!Y:Y, 1)</f>
        <v>6</v>
      </c>
      <c r="AJ55" s="2">
        <f>COUNTIFS('OB History'!$B:$B,$A$55,'OB History'!Z:Z, 1)</f>
        <v>14</v>
      </c>
    </row>
    <row r="56" spans="1:36" x14ac:dyDescent="0.25">
      <c r="A56" s="2" t="s">
        <v>70</v>
      </c>
      <c r="B56" s="6" t="s">
        <v>79</v>
      </c>
      <c r="C56" s="6" t="s">
        <v>79</v>
      </c>
      <c r="D56" s="3"/>
      <c r="E56" s="3"/>
      <c r="F56" s="3"/>
      <c r="G56" s="3"/>
      <c r="H56" s="34">
        <f>SUMIFS('OB History'!C:C,'OB History'!B:B,A56)</f>
        <v>116</v>
      </c>
      <c r="I56" s="4">
        <f>AVERAGEIFS('OB History'!C:C,'OB History'!B:B,A56)</f>
        <v>19.333333333333332</v>
      </c>
      <c r="J56" s="4">
        <f t="array" ref="J56">MEDIAN(IF('OB History'!B:B=A56, 'OB History'!C:C))</f>
        <v>20</v>
      </c>
      <c r="K56" s="35">
        <f t="array" ref="K56">MAX(IF('OB History'!B:B=A56, 'OB History'!C:C))</f>
        <v>27</v>
      </c>
      <c r="L56" s="34">
        <f>COUNTIFS('OB History'!B:B,A56,'OB History'!D:D, 1)</f>
        <v>4</v>
      </c>
      <c r="M56" s="2">
        <f>COUNTIFS('OB History'!B:B,A56,'OB History'!D:D, 0)</f>
        <v>2</v>
      </c>
      <c r="N56" s="88">
        <f>LOOKUP(2, 1/('OB History'!$B:$B=A56), 'OB History'!$AD:$AD)</f>
        <v>0.66666666666666663</v>
      </c>
      <c r="O56" s="34">
        <f>SUMIFS('OB History'!F:F,'OB History'!B:B,A56)</f>
        <v>16</v>
      </c>
      <c r="P56" s="2">
        <f>SUMIFS('OB History'!E:E,'OB History'!B:B,A56)-O56</f>
        <v>12</v>
      </c>
      <c r="Q56" s="88">
        <f>LOOKUP(2, 1/('OB History'!$B:$B=A56), 'OB History'!$AB:$AB)</f>
        <v>0.6</v>
      </c>
      <c r="R56" s="34">
        <f>SUMIFS('OB History'!H:H,'OB History'!B:B,'Old Bow v2'!A56)</f>
        <v>61</v>
      </c>
      <c r="S56" s="2">
        <f>SUMIFS('OB History'!G:G,'OB History'!B:B,'Old Bow v2'!A56)-R56</f>
        <v>53</v>
      </c>
      <c r="T56" s="88">
        <f>LOOKUP(2, 1/('OB History'!$B:$B=A56), 'OB History'!$AC:$AC)</f>
        <v>0.54500000000000004</v>
      </c>
      <c r="U56" s="2">
        <f>COUNTIFS('OB History'!$B:$B,$A$56,'OB History'!K:K, 1)</f>
        <v>1</v>
      </c>
      <c r="V56" s="2">
        <f>COUNTIFS('OB History'!$B:$B,$A$56,'OB History'!L:L, 1)</f>
        <v>0</v>
      </c>
      <c r="W56" s="2">
        <f>COUNTIFS('OB History'!$B:$B,$A$56,'OB History'!M:M, 1)</f>
        <v>0</v>
      </c>
      <c r="X56" s="2">
        <f>COUNTIFS('OB History'!$B:$B,$A$56,'OB History'!N:N, 1)</f>
        <v>2</v>
      </c>
      <c r="Y56" s="2">
        <f>COUNTIFS('OB History'!$B:$B,$A$56,'OB History'!O:O, 1)</f>
        <v>2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0</v>
      </c>
      <c r="AH56" s="2">
        <f>COUNTIFS('OB History'!$B:$B,$A$56,'OB History'!X:X, 1)</f>
        <v>4</v>
      </c>
      <c r="AI56" s="2">
        <f>COUNTIFS('OB History'!$B:$B,$A$56,'OB History'!Y:Y, 1)</f>
        <v>1</v>
      </c>
      <c r="AJ56" s="2">
        <f>COUNTIFS('OB History'!$B:$B,$A$56,'OB History'!Z:Z, 1)</f>
        <v>3</v>
      </c>
    </row>
    <row r="57" spans="1:36" x14ac:dyDescent="0.25">
      <c r="A57" s="2" t="s">
        <v>4</v>
      </c>
      <c r="B57" s="6" t="s">
        <v>60</v>
      </c>
      <c r="C57" s="2" t="s">
        <v>79</v>
      </c>
      <c r="D57" s="3">
        <v>2</v>
      </c>
      <c r="E57" s="3"/>
      <c r="F57" s="3"/>
      <c r="G57" s="3"/>
      <c r="H57" s="34">
        <f>SUMIFS('OB History'!C:C,'OB History'!B:B,A57)</f>
        <v>317</v>
      </c>
      <c r="I57" s="4">
        <f>AVERAGEIFS('OB History'!C:C,'OB History'!B:B,A57)</f>
        <v>21.133333333333333</v>
      </c>
      <c r="J57" s="4">
        <f t="array" ref="J57">MEDIAN(IF('OB History'!B:B=A57, 'OB History'!C:C))</f>
        <v>19</v>
      </c>
      <c r="K57" s="35">
        <f t="array" ref="K57">MAX(IF('OB History'!B:B=A57, 'OB History'!C:C))</f>
        <v>46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30</v>
      </c>
      <c r="P57" s="2">
        <f>SUMIFS('OB History'!E:E,'OB History'!B:B,A57)-O57</f>
        <v>29</v>
      </c>
      <c r="Q57" s="88">
        <f>LOOKUP(2, 1/('OB History'!$B:$B=A57), 'OB History'!$AB:$AB)</f>
        <v>0.5033333333333333</v>
      </c>
      <c r="R57" s="34">
        <f>SUMIFS('OB History'!H:H,'OB History'!B:B,'Old Bow v2'!A57)</f>
        <v>121</v>
      </c>
      <c r="S57" s="2">
        <f>SUMIFS('OB History'!G:G,'OB History'!B:B,'Old Bow v2'!A57)-R57</f>
        <v>120</v>
      </c>
      <c r="T57" s="88">
        <f>LOOKUP(2, 1/('OB History'!$B:$B=A57), 'OB History'!$AC:$AC)</f>
        <v>0.49266666666666664</v>
      </c>
      <c r="U57" s="2">
        <f>COUNTIFS('OB History'!$B:$B,$A$57,'OB History'!K:K, 1)</f>
        <v>2</v>
      </c>
      <c r="V57" s="2">
        <f>COUNTIFS('OB History'!$B:$B,$A$57,'OB History'!L:L, 1)</f>
        <v>6</v>
      </c>
      <c r="W57" s="2">
        <f>COUNTIFS('OB History'!$B:$B,$A$57,'OB History'!M:M, 1)</f>
        <v>3</v>
      </c>
      <c r="X57" s="2">
        <f>COUNTIFS('OB History'!$B:$B,$A$57,'OB History'!N:N, 1)</f>
        <v>1</v>
      </c>
      <c r="Y57" s="2">
        <f>COUNTIFS('OB History'!$B:$B,$A$57,'OB History'!O:O, 1)</f>
        <v>3</v>
      </c>
      <c r="Z57" s="2">
        <f>COUNTIFS('OB History'!$B:$B,$A$57,'OB History'!P:P, 1)</f>
        <v>3</v>
      </c>
      <c r="AA57" s="2">
        <f>COUNTIFS('OB History'!$B:$B,$A$57,'OB History'!Q:Q, 1)</f>
        <v>1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4</v>
      </c>
      <c r="AI57" s="2">
        <f>COUNTIFS('OB History'!$B:$B,$A$57,'OB History'!Y:Y, 1)</f>
        <v>3</v>
      </c>
      <c r="AJ57" s="2">
        <f>COUNTIFS('OB History'!$B:$B,$A$57,'OB History'!Z:Z, 1)</f>
        <v>2</v>
      </c>
    </row>
    <row r="58" spans="1:36" x14ac:dyDescent="0.25">
      <c r="A58" s="2" t="s">
        <v>55</v>
      </c>
      <c r="B58" s="2" t="s">
        <v>79</v>
      </c>
      <c r="C58" s="2" t="s">
        <v>79</v>
      </c>
      <c r="D58" s="3"/>
      <c r="E58" s="3"/>
      <c r="F58" s="3"/>
      <c r="G58" s="3"/>
      <c r="H58" s="34">
        <f>SUMIFS('OB History'!C:C,'OB History'!B:B,A58)</f>
        <v>179</v>
      </c>
      <c r="I58" s="4">
        <f>AVERAGEIFS('OB History'!C:C,'OB History'!B:B,A58)</f>
        <v>9.9444444444444446</v>
      </c>
      <c r="J58" s="4">
        <f t="array" ref="J58">MEDIAN(IF('OB History'!B:B=A58, 'OB History'!C:C))</f>
        <v>8.5</v>
      </c>
      <c r="K58" s="35">
        <f t="array" ref="K58">MAX(IF('OB History'!B:B=A58, 'OB History'!C:C))</f>
        <v>20</v>
      </c>
      <c r="L58" s="34">
        <f>COUNTIFS('OB History'!B:B,A58,'OB History'!D:D, 1)</f>
        <v>10</v>
      </c>
      <c r="M58" s="2">
        <f>COUNTIFS('OB History'!B:B,A58,'OB History'!D:D, 0)</f>
        <v>8</v>
      </c>
      <c r="N58" s="88">
        <f>LOOKUP(2, 1/('OB History'!$B:$B=A58), 'OB History'!$AD:$AD)</f>
        <v>0.55555555555555558</v>
      </c>
      <c r="O58" s="34">
        <f>SUMIFS('OB History'!F:F,'OB History'!B:B,A58)</f>
        <v>39</v>
      </c>
      <c r="P58" s="2">
        <f>SUMIFS('OB History'!E:E,'OB History'!B:B,A58)-O58</f>
        <v>35</v>
      </c>
      <c r="Q58" s="88">
        <f>LOOKUP(2, 1/('OB History'!$B:$B=A58), 'OB History'!$AB:$AB)</f>
        <v>0.53333333333333333</v>
      </c>
      <c r="R58" s="34">
        <f>SUMIFS('OB History'!H:H,'OB History'!B:B,'Old Bow v2'!A58)</f>
        <v>160</v>
      </c>
      <c r="S58" s="2">
        <f>SUMIFS('OB History'!G:G,'OB History'!B:B,'Old Bow v2'!A58)-R58</f>
        <v>143</v>
      </c>
      <c r="T58" s="88">
        <f>LOOKUP(2, 1/('OB History'!$B:$B=A58), 'OB History'!$AC:$AC)</f>
        <v>0.5261111111111112</v>
      </c>
      <c r="U58" s="2">
        <f>COUNTIFS('OB History'!$B:$B,$A$58,'OB History'!K:K, 1)</f>
        <v>3</v>
      </c>
      <c r="V58" s="2">
        <f>COUNTIFS('OB History'!$B:$B,$A$58,'OB History'!L:L, 1)</f>
        <v>2</v>
      </c>
      <c r="W58" s="2">
        <f>COUNTIFS('OB History'!$B:$B,$A$58,'OB History'!M:M, 1)</f>
        <v>1</v>
      </c>
      <c r="X58" s="2">
        <f>COUNTIFS('OB History'!$B:$B,$A$58,'OB History'!N:N, 1)</f>
        <v>7</v>
      </c>
      <c r="Y58" s="2">
        <f>COUNTIFS('OB History'!$B:$B,$A$58,'OB History'!O:O, 1)</f>
        <v>1</v>
      </c>
      <c r="Z58" s="2">
        <f>COUNTIFS('OB History'!$B:$B,$A$58,'OB History'!P:P, 1)</f>
        <v>2</v>
      </c>
      <c r="AA58" s="2">
        <f>COUNTIFS('OB History'!$B:$B,$A$58,'OB History'!Q:Q, 1)</f>
        <v>2</v>
      </c>
      <c r="AB58" s="2">
        <f>COUNTIFS('OB History'!$B:$B,$A$58,'OB History'!R:R, 1)</f>
        <v>1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8</v>
      </c>
      <c r="AI58" s="2">
        <f>COUNTIFS('OB History'!$B:$B,$A$58,'OB History'!Y:Y, 1)</f>
        <v>3</v>
      </c>
      <c r="AJ58" s="2">
        <f>COUNTIFS('OB History'!$B:$B,$A$58,'OB History'!Z:Z, 1)</f>
        <v>5</v>
      </c>
    </row>
  </sheetData>
  <autoFilter ref="A1:AJ5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243"/>
  <sheetViews>
    <sheetView tabSelected="1" topLeftCell="C1" workbookViewId="0">
      <pane ySplit="1" topLeftCell="A1212" activePane="bottomLeft" state="frozen"/>
      <selection pane="bottomLeft" activeCell="S1225" sqref="S122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4"/>
  <sheetViews>
    <sheetView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Z61" sqref="Z6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175</v>
      </c>
      <c r="I3" s="4">
        <f>AVERAGEIFS('OB History S2'!C:C,'OB History S2'!B:B,A3)</f>
        <v>12.5</v>
      </c>
      <c r="J3" s="35">
        <f t="array" ref="J3">MAX(IF('OB History S2'!B:B=A3, 'OB History S2'!C:C))</f>
        <v>35</v>
      </c>
      <c r="K3" s="34">
        <f>COUNTIFS('OB History S2'!B:B,A3,'OB History S2'!D:D, 1)</f>
        <v>7</v>
      </c>
      <c r="L3" s="2">
        <f>COUNTIFS('OB History S2'!B:B,A3,'OB History S2'!D:D, 0)</f>
        <v>7</v>
      </c>
      <c r="M3" s="88">
        <f>LOOKUP(2, 1/('OB History S2'!$B:$B=A3), 'OB History S2'!$AD:$AD)</f>
        <v>0.5</v>
      </c>
      <c r="N3" s="34">
        <f>SUMIFS('OB History S2'!F:F,'OB History S2'!B:B,A3)</f>
        <v>25</v>
      </c>
      <c r="O3" s="2">
        <f>SUMIFS('OB History S2'!E:E,'OB History S2'!B:B,A3)-N3</f>
        <v>29</v>
      </c>
      <c r="P3" s="88">
        <f>LOOKUP(2, 1/('OB History S2'!$B:$B=A3), 'OB History S2'!$AB:$AB)</f>
        <v>0.44285714285714278</v>
      </c>
      <c r="Q3" s="34">
        <f>SUMIFS('OB History S2'!H:H,'OB History S2'!B:B,A3)</f>
        <v>115</v>
      </c>
      <c r="R3" s="2">
        <f>SUMIFS('OB History S2'!G:G,'OB History S2'!B:B,A3)-Q3</f>
        <v>113</v>
      </c>
      <c r="S3" s="88">
        <f>LOOKUP(2, 1/('OB History S2'!$B:$B=A3), 'OB History S2'!$AC:$AC)</f>
        <v>0.50357142857142867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4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3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286</v>
      </c>
      <c r="I4" s="4">
        <f>AVERAGEIFS('OB History S2'!C:C,'OB History S2'!B:B,A4)</f>
        <v>9.2258064516129039</v>
      </c>
      <c r="J4" s="35">
        <f t="array" ref="J4">MAX(IF('OB History S2'!B:B=A4, 'OB History S2'!C:C))</f>
        <v>18</v>
      </c>
      <c r="K4" s="34">
        <f>COUNTIFS('OB History S2'!B:B,A4,'OB History S2'!D:D, 1)</f>
        <v>14</v>
      </c>
      <c r="L4" s="2">
        <f>COUNTIFS('OB History S2'!B:B,A4,'OB History S2'!D:D, 0)</f>
        <v>17</v>
      </c>
      <c r="M4" s="88">
        <f>LOOKUP(2, 1/('OB History S2'!$B:$B=A4), 'OB History S2'!$AD:$AD)</f>
        <v>0.45161290322580644</v>
      </c>
      <c r="N4" s="34">
        <f>SUMIFS('OB History S2'!F:F,'OB History S2'!B:B,A4)</f>
        <v>55</v>
      </c>
      <c r="O4" s="2">
        <f>SUMIFS('OB History S2'!E:E,'OB History S2'!B:B,A4)-N4</f>
        <v>63</v>
      </c>
      <c r="P4" s="88">
        <f>LOOKUP(2, 1/('OB History S2'!$B:$B=A4), 'OB History S2'!$AB:$AB)</f>
        <v>0.47258064516129034</v>
      </c>
      <c r="Q4" s="34">
        <f>SUMIFS('OB History S2'!H:H,'OB History S2'!B:B,A4)</f>
        <v>241</v>
      </c>
      <c r="R4" s="2">
        <f>SUMIFS('OB History S2'!G:G,'OB History S2'!B:B,A4)-Q4</f>
        <v>259</v>
      </c>
      <c r="S4" s="88">
        <f>LOOKUP(2, 1/('OB History S2'!$B:$B=A4), 'OB History S2'!$AC:$AC)</f>
        <v>0.4858064516129032</v>
      </c>
      <c r="T4" s="2">
        <f>COUNTIFS('OB History S2'!$B:$B,$A$4,'OB History S2'!K:K, 1)</f>
        <v>5</v>
      </c>
      <c r="U4" s="2">
        <f>COUNTIFS('OB History S2'!$B:$B,$A$4,'OB History S2'!L:L, 1)</f>
        <v>2</v>
      </c>
      <c r="V4" s="2">
        <f>COUNTIFS('OB History S2'!$B:$B,$A$4,'OB History S2'!M:M, 1)</f>
        <v>1</v>
      </c>
      <c r="W4" s="2">
        <f>COUNTIFS('OB History S2'!$B:$B,$A$4,'OB History S2'!N:N, 1)</f>
        <v>7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4</v>
      </c>
      <c r="AG4" s="2">
        <f>COUNTIFS('OB History S2'!$B:$B,$A$4,'OB History S2'!X:X, 1)</f>
        <v>9</v>
      </c>
      <c r="AH4" s="2">
        <f>COUNTIFS('OB History S2'!$B:$B,$A$4,'OB History S2'!Y:Y, 1)</f>
        <v>8</v>
      </c>
      <c r="AI4" s="2">
        <f>COUNTIFS('OB History S2'!$B:$B,$A$4,'OB History S2'!Z:Z, 1)</f>
        <v>6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351</v>
      </c>
      <c r="I5" s="4">
        <f>AVERAGEIFS('OB History S2'!C:C,'OB History S2'!B:B,A5)</f>
        <v>20.647058823529413</v>
      </c>
      <c r="J5" s="35">
        <f t="array" ref="J5">MAX(IF('OB History S2'!B:B=A5, 'OB History S2'!C:C))</f>
        <v>36</v>
      </c>
      <c r="K5" s="34">
        <f>COUNTIFS('OB History S2'!B:B,A5,'OB History S2'!D:D, 1)</f>
        <v>9</v>
      </c>
      <c r="L5" s="2">
        <f>COUNTIFS('OB History S2'!B:B,A5,'OB History S2'!D:D, 0)</f>
        <v>8</v>
      </c>
      <c r="M5" s="88">
        <f>LOOKUP(2, 1/('OB History S2'!$B:$B=A5), 'OB History S2'!$AD:$AD)</f>
        <v>0.52941176470588236</v>
      </c>
      <c r="N5" s="34">
        <f>SUMIFS('OB History S2'!F:F,'OB History S2'!B:B,A5)</f>
        <v>31</v>
      </c>
      <c r="O5" s="2">
        <f>SUMIFS('OB History S2'!E:E,'OB History S2'!B:B,A5)-N5</f>
        <v>37</v>
      </c>
      <c r="P5" s="88">
        <f>LOOKUP(2, 1/('OB History S2'!$B:$B=A5), 'OB History S2'!$AB:$AB)</f>
        <v>0.42647058823529405</v>
      </c>
      <c r="Q5" s="34">
        <f>SUMIFS('OB History S2'!H:H,'OB History S2'!B:B,A5)</f>
        <v>133</v>
      </c>
      <c r="R5" s="2">
        <f>SUMIFS('OB History S2'!G:G,'OB History S2'!B:B,A5)-Q5</f>
        <v>148</v>
      </c>
      <c r="S5" s="88">
        <f>LOOKUP(2, 1/('OB History S2'!$B:$B=A5), 'OB History S2'!$AC:$AC)</f>
        <v>0.46294117647058813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4</v>
      </c>
      <c r="X5" s="2">
        <f>COUNTIFS('OB History S2'!$B:$B,$A$5,'OB History S2'!O:O, 1)</f>
        <v>1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7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67</v>
      </c>
      <c r="I6" s="4">
        <f>AVERAGEIFS('OB History S2'!C:C,'OB History S2'!B:B,A6)</f>
        <v>13.4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2</v>
      </c>
      <c r="M6" s="88">
        <f>LOOKUP(2, 1/('OB History S2'!$B:$B=A6), 'OB History S2'!$AD:$AD)</f>
        <v>0.6</v>
      </c>
      <c r="N6" s="34">
        <f>SUMIFS('OB History S2'!F:F,'OB History S2'!B:B,A6)</f>
        <v>12</v>
      </c>
      <c r="O6" s="2">
        <f>SUMIFS('OB History S2'!E:E,'OB History S2'!B:B,A6)-N6</f>
        <v>10</v>
      </c>
      <c r="P6" s="88">
        <f>LOOKUP(2, 1/('OB History S2'!$B:$B=A6), 'OB History S2'!$AB:$AB)</f>
        <v>0.57000000000000006</v>
      </c>
      <c r="Q6" s="34">
        <f>SUMIFS('OB History S2'!H:H,'OB History S2'!B:B,A6)</f>
        <v>49</v>
      </c>
      <c r="R6" s="2">
        <f>SUMIFS('OB History S2'!G:G,'OB History S2'!B:B,A6)-Q6</f>
        <v>44</v>
      </c>
      <c r="S6" s="88">
        <f>LOOKUP(2, 1/('OB History S2'!$B:$B=A6), 'OB History S2'!$AC:$AC)</f>
        <v>0.53599999999999992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352</v>
      </c>
      <c r="I8" s="4">
        <f>AVERAGEIFS('OB History S2'!C:C,'OB History S2'!B:B,A8)</f>
        <v>13.037037037037036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11</v>
      </c>
      <c r="M8" s="88">
        <f>LOOKUP(2, 1/('OB History S2'!$B:$B=A8), 'OB History S2'!$AD:$AD)</f>
        <v>0.59259259259259256</v>
      </c>
      <c r="N8" s="34">
        <f>SUMIFS('OB History S2'!F:F,'OB History S2'!B:B,A8)</f>
        <v>58</v>
      </c>
      <c r="O8" s="2">
        <f>SUMIFS('OB History S2'!E:E,'OB History S2'!B:B,A8)-N8</f>
        <v>50</v>
      </c>
      <c r="P8" s="88">
        <f>LOOKUP(2, 1/('OB History S2'!$B:$B=A8), 'OB History S2'!$AB:$AB)</f>
        <v>0.53333333333333333</v>
      </c>
      <c r="Q8" s="34">
        <f>SUMIFS('OB History S2'!H:H,'OB History S2'!B:B,A8)</f>
        <v>223</v>
      </c>
      <c r="R8" s="2">
        <f>SUMIFS('OB History S2'!G:G,'OB History S2'!B:B,A8)-Q8</f>
        <v>218</v>
      </c>
      <c r="S8" s="88">
        <f>LOOKUP(2, 1/('OB History S2'!$B:$B=A8), 'OB History S2'!$AC:$AC)</f>
        <v>0.49888888888888899</v>
      </c>
      <c r="T8" s="2">
        <f>COUNTIFS('OB History S2'!$B:$B,$A$8,'OB History S2'!K:K, 1)</f>
        <v>4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199</v>
      </c>
      <c r="I9" s="4">
        <f>AVERAGEIFS('OB History S2'!C:C,'OB History S2'!B:B,A9)</f>
        <v>12.4375</v>
      </c>
      <c r="J9" s="35">
        <f t="array" ref="J9">MAX(IF('OB History S2'!B:B=A9, 'OB History S2'!C:C))</f>
        <v>24</v>
      </c>
      <c r="K9" s="34">
        <f>COUNTIFS('OB History S2'!B:B,A9,'OB History S2'!D:D, 1)</f>
        <v>11</v>
      </c>
      <c r="L9" s="2">
        <f>COUNTIFS('OB History S2'!B:B,A9,'OB History S2'!D:D, 0)</f>
        <v>5</v>
      </c>
      <c r="M9" s="88">
        <f>LOOKUP(2, 1/('OB History S2'!$B:$B=A9), 'OB History S2'!$AD:$AD)</f>
        <v>0.6875</v>
      </c>
      <c r="N9" s="34">
        <f>SUMIFS('OB History S2'!F:F,'OB History S2'!B:B,A9)</f>
        <v>41</v>
      </c>
      <c r="O9" s="2">
        <f>SUMIFS('OB History S2'!E:E,'OB History S2'!B:B,A9)-N9</f>
        <v>25</v>
      </c>
      <c r="P9" s="88">
        <f>LOOKUP(2, 1/('OB History S2'!$B:$B=A9), 'OB History S2'!$AB:$AB)</f>
        <v>0.65625</v>
      </c>
      <c r="Q9" s="34">
        <f>SUMIFS('OB History S2'!H:H,'OB History S2'!B:B,A9)</f>
        <v>151</v>
      </c>
      <c r="R9" s="2">
        <f>SUMIFS('OB History S2'!G:G,'OB History S2'!B:B,A9)-Q9</f>
        <v>122</v>
      </c>
      <c r="S9" s="88">
        <f>LOOKUP(2, 1/('OB History S2'!$B:$B=A9), 'OB History S2'!$AC:$AC)</f>
        <v>0.5625</v>
      </c>
      <c r="T9" s="2">
        <f>COUNTIFS('OB History S2'!$B:$B,$A$9,'OB History S2'!K:K, 1)</f>
        <v>4</v>
      </c>
      <c r="U9" s="2">
        <f>COUNTIFS('OB History S2'!$B:$B,$A$9,'OB History S2'!L:L, 1)</f>
        <v>3</v>
      </c>
      <c r="V9" s="2">
        <f>COUNTIFS('OB History S2'!$B:$B,$A$9,'OB History S2'!M:M, 1)</f>
        <v>0</v>
      </c>
      <c r="W9" s="2">
        <f>COUNTIFS('OB History S2'!$B:$B,$A$9,'OB History S2'!N:N, 1)</f>
        <v>7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4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387</v>
      </c>
      <c r="I13" s="4">
        <f>AVERAGEIFS('OB History S2'!C:C,'OB History S2'!B:B,A13)</f>
        <v>20.368421052631579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8</v>
      </c>
      <c r="M13" s="88">
        <f>LOOKUP(2, 1/('OB History S2'!$B:$B=A13), 'OB History S2'!$AD:$AD)</f>
        <v>0.57894736842105265</v>
      </c>
      <c r="N13" s="34">
        <f>SUMIFS('OB History S2'!F:F,'OB History S2'!B:B,A13)</f>
        <v>43</v>
      </c>
      <c r="O13" s="2">
        <f>SUMIFS('OB History S2'!E:E,'OB History S2'!B:B,A13)-N13</f>
        <v>38</v>
      </c>
      <c r="P13" s="88">
        <f>LOOKUP(2, 1/('OB History S2'!$B:$B=A13), 'OB History S2'!$AB:$AB)</f>
        <v>0.53157894736842104</v>
      </c>
      <c r="Q13" s="34">
        <f>SUMIFS('OB History S2'!H:H,'OB History S2'!B:B,A13)</f>
        <v>168</v>
      </c>
      <c r="R13" s="2">
        <f>SUMIFS('OB History S2'!G:G,'OB History S2'!B:B,A13)-Q13</f>
        <v>170</v>
      </c>
      <c r="S13" s="88">
        <f>LOOKUP(2, 1/('OB History S2'!$B:$B=A13), 'OB History S2'!$AC:$AC)</f>
        <v>0.50105263157894731</v>
      </c>
      <c r="T13" s="2">
        <f>COUNTIFS('OB History S2'!$B:$B,$A$13,'OB History S2'!K:K, 1)</f>
        <v>2</v>
      </c>
      <c r="U13" s="2">
        <f>COUNTIFS('OB History S2'!$B:$B,$A$13,'OB History S2'!L:L, 1)</f>
        <v>3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171</v>
      </c>
      <c r="I14" s="4">
        <f>AVERAGEIFS('OB History S2'!C:C,'OB History S2'!B:B,A14)</f>
        <v>13.153846153846153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9</v>
      </c>
      <c r="M14" s="88">
        <f>LOOKUP(2, 1/('OB History S2'!$B:$B=A14), 'OB History S2'!$AD:$AD)</f>
        <v>0.30769230769230771</v>
      </c>
      <c r="N14" s="34">
        <f>SUMIFS('OB History S2'!F:F,'OB History S2'!B:B,A14)</f>
        <v>21</v>
      </c>
      <c r="O14" s="2">
        <f>SUMIFS('OB History S2'!E:E,'OB History S2'!B:B,A14)-N14</f>
        <v>31</v>
      </c>
      <c r="P14" s="88">
        <f>LOOKUP(2, 1/('OB History S2'!$B:$B=A14), 'OB History S2'!$AB:$AB)</f>
        <v>0.38846153846153852</v>
      </c>
      <c r="Q14" s="34">
        <f>SUMIFS('OB History S2'!H:H,'OB History S2'!B:B,A14)</f>
        <v>106</v>
      </c>
      <c r="R14" s="2">
        <f>SUMIFS('OB History S2'!G:G,'OB History S2'!B:B,A14)-Q14</f>
        <v>118</v>
      </c>
      <c r="S14" s="88">
        <f>LOOKUP(2, 1/('OB History S2'!$B:$B=A14), 'OB History S2'!$AC:$AC)</f>
        <v>0.46923076923076923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3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1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274</v>
      </c>
      <c r="I15" s="4">
        <f>AVERAGEIFS('OB History S2'!C:C,'OB History S2'!B:B,A15)</f>
        <v>16.117647058823529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7</v>
      </c>
      <c r="M15" s="88">
        <f>LOOKUP(2, 1/('OB History S2'!$B:$B=A15), 'OB History S2'!$AD:$AD)</f>
        <v>0.58823529411764708</v>
      </c>
      <c r="N15" s="34">
        <f>SUMIFS('OB History S2'!F:F,'OB History S2'!B:B,A15)</f>
        <v>36</v>
      </c>
      <c r="O15" s="2">
        <f>SUMIFS('OB History S2'!E:E,'OB History S2'!B:B,A15)-N15</f>
        <v>31</v>
      </c>
      <c r="P15" s="88">
        <f>LOOKUP(2, 1/('OB History S2'!$B:$B=A15), 'OB History S2'!$AB:$AB)</f>
        <v>0.53529411764705881</v>
      </c>
      <c r="Q15" s="34">
        <f>SUMIFS('OB History S2'!H:H,'OB History S2'!B:B,A15)</f>
        <v>142</v>
      </c>
      <c r="R15" s="2">
        <f>SUMIFS('OB History S2'!G:G,'OB History S2'!B:B,A15)-Q15</f>
        <v>128</v>
      </c>
      <c r="S15" s="88">
        <f>LOOKUP(2, 1/('OB History S2'!$B:$B=A15), 'OB History S2'!$AC:$AC)</f>
        <v>0.52941176470588236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3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7</v>
      </c>
      <c r="AH15" s="2">
        <f>COUNTIFS('OB History S2'!$B:$B,$A$15,'OB History S2'!Y:Y, 1)</f>
        <v>4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402</v>
      </c>
      <c r="I24" s="4">
        <f>AVERAGEIFS('OB History S2'!C:C,'OB History S2'!B:B,A24)</f>
        <v>18.272727272727273</v>
      </c>
      <c r="J24" s="35">
        <f t="array" ref="J24">MAX(IF('OB History S2'!B:B=A24, 'OB History S2'!C:C))</f>
        <v>41</v>
      </c>
      <c r="K24" s="34">
        <f>COUNTIFS('OB History S2'!B:B,A24,'OB History S2'!D:D, 1)</f>
        <v>16</v>
      </c>
      <c r="L24" s="2">
        <f>COUNTIFS('OB History S2'!B:B,A24,'OB History S2'!D:D, 0)</f>
        <v>6</v>
      </c>
      <c r="M24" s="88">
        <f>LOOKUP(2, 1/('OB History S2'!$B:$B=A24), 'OB History S2'!$AD:$AD)</f>
        <v>0.72727272727272729</v>
      </c>
      <c r="N24" s="34">
        <f>SUMIFS('OB History S2'!F:F,'OB History S2'!B:B,A24)</f>
        <v>54</v>
      </c>
      <c r="O24" s="2">
        <f>SUMIFS('OB History S2'!E:E,'OB History S2'!B:B,A24)-N24</f>
        <v>33</v>
      </c>
      <c r="P24" s="88">
        <f>LOOKUP(2, 1/('OB History S2'!$B:$B=A24), 'OB History S2'!$AB:$AB)</f>
        <v>0.64545454545454539</v>
      </c>
      <c r="Q24" s="34">
        <f>SUMIFS('OB History S2'!H:H,'OB History S2'!B:B,A24)</f>
        <v>205</v>
      </c>
      <c r="R24" s="2">
        <f>SUMIFS('OB History S2'!G:G,'OB History S2'!B:B,A24)-Q24</f>
        <v>157</v>
      </c>
      <c r="S24" s="88">
        <f>LOOKUP(2, 1/('OB History S2'!$B:$B=A24), 'OB History S2'!$AC:$AC)</f>
        <v>0.57409090909090887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6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10</v>
      </c>
      <c r="AH24" s="2">
        <f>COUNTIFS('OB History S2'!$B:$B,$A$24,'OB History S2'!Y:Y, 1)</f>
        <v>9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420</v>
      </c>
      <c r="I25" s="4">
        <f>AVERAGEIFS('OB History S2'!C:C,'OB History S2'!B:B,A25)</f>
        <v>11.666666666666666</v>
      </c>
      <c r="J25" s="35">
        <f t="array" ref="J25">MAX(IF('OB History S2'!B:B=A25, 'OB History S2'!C:C))</f>
        <v>21</v>
      </c>
      <c r="K25" s="34">
        <f>COUNTIFS('OB History S2'!B:B,A25,'OB History S2'!D:D, 1)</f>
        <v>13</v>
      </c>
      <c r="L25" s="2">
        <f>COUNTIFS('OB History S2'!B:B,A25,'OB History S2'!D:D, 0)</f>
        <v>23</v>
      </c>
      <c r="M25" s="88">
        <f>LOOKUP(2, 1/('OB History S2'!$B:$B=A25), 'OB History S2'!$AD:$AD)</f>
        <v>0.3611111111111111</v>
      </c>
      <c r="N25" s="34">
        <f>SUMIFS('OB History S2'!F:F,'OB History S2'!B:B,A25)</f>
        <v>62</v>
      </c>
      <c r="O25" s="2">
        <f>SUMIFS('OB History S2'!E:E,'OB History S2'!B:B,A25)-N25</f>
        <v>80</v>
      </c>
      <c r="P25" s="88">
        <f>LOOKUP(2, 1/('OB History S2'!$B:$B=A25), 'OB History S2'!$AB:$AB)</f>
        <v>0.42222222222222222</v>
      </c>
      <c r="Q25" s="34">
        <f>SUMIFS('OB History S2'!H:H,'OB History S2'!B:B,A25)</f>
        <v>280</v>
      </c>
      <c r="R25" s="2">
        <f>SUMIFS('OB History S2'!G:G,'OB History S2'!B:B,A25)-Q25</f>
        <v>306</v>
      </c>
      <c r="S25" s="88">
        <f>LOOKUP(2, 1/('OB History S2'!$B:$B=A25), 'OB History S2'!$AC:$AC)</f>
        <v>0.47611111111111115</v>
      </c>
      <c r="T25" s="2">
        <f>COUNTIFS('OB History S2'!$B:$B,$A$25,'OB History S2'!K:K, 1)</f>
        <v>6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7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3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10</v>
      </c>
      <c r="AG25" s="2">
        <f>COUNTIFS('OB History S2'!$B:$B,$A$25,'OB History S2'!X:X, 1)</f>
        <v>8</v>
      </c>
      <c r="AH25" s="2">
        <f>COUNTIFS('OB History S2'!$B:$B,$A$25,'OB History S2'!Y:Y, 1)</f>
        <v>9</v>
      </c>
      <c r="AI25" s="2">
        <f>COUNTIFS('OB History S2'!$B:$B,$A$25,'OB History S2'!Z:Z, 1)</f>
        <v>3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144</v>
      </c>
      <c r="I27" s="4">
        <f>AVERAGEIFS('OB History S2'!C:C,'OB History S2'!B:B,A27)</f>
        <v>20.571428571428573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5</v>
      </c>
      <c r="M27" s="88">
        <f>LOOKUP(2, 1/('OB History S2'!$B:$B=A27), 'OB History S2'!$AD:$AD)</f>
        <v>0.2857142857142857</v>
      </c>
      <c r="N27" s="34">
        <f>SUMIFS('OB History S2'!F:F,'OB History S2'!B:B,A27)</f>
        <v>13</v>
      </c>
      <c r="O27" s="2">
        <f>SUMIFS('OB History S2'!E:E,'OB History S2'!B:B,A27)-N27</f>
        <v>18</v>
      </c>
      <c r="P27" s="88">
        <f>LOOKUP(2, 1/('OB History S2'!$B:$B=A27), 'OB History S2'!$AB:$AB)</f>
        <v>0.39999999999999997</v>
      </c>
      <c r="Q27" s="34">
        <f>SUMIFS('OB History S2'!H:H,'OB History S2'!B:B,A27)</f>
        <v>58</v>
      </c>
      <c r="R27" s="2">
        <f>SUMIFS('OB History S2'!G:G,'OB History S2'!B:B,A27)-Q27</f>
        <v>68</v>
      </c>
      <c r="S27" s="88">
        <f>LOOKUP(2, 1/('OB History S2'!$B:$B=A27), 'OB History S2'!$AC:$AC)</f>
        <v>0.45571428571428579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287</v>
      </c>
      <c r="I28" s="4">
        <f>AVERAGEIFS('OB History S2'!C:C,'OB History S2'!B:B,A28)</f>
        <v>11.48</v>
      </c>
      <c r="J28" s="35">
        <f t="array" ref="J28">MAX(IF('OB History S2'!B:B=A28, 'OB History S2'!C:C))</f>
        <v>21</v>
      </c>
      <c r="K28" s="34">
        <f>COUNTIFS('OB History S2'!B:B,A28,'OB History S2'!D:D, 1)</f>
        <v>10</v>
      </c>
      <c r="L28" s="2">
        <f>COUNTIFS('OB History S2'!B:B,A28,'OB History S2'!D:D, 0)</f>
        <v>15</v>
      </c>
      <c r="M28" s="88">
        <f>LOOKUP(2, 1/('OB History S2'!$B:$B=A28), 'OB History S2'!$AD:$AD)</f>
        <v>0.4</v>
      </c>
      <c r="N28" s="34">
        <f>SUMIFS('OB History S2'!F:F,'OB History S2'!B:B,A28)</f>
        <v>42</v>
      </c>
      <c r="O28" s="2">
        <f>SUMIFS('OB History S2'!E:E,'OB History S2'!B:B,A28)-N28</f>
        <v>59</v>
      </c>
      <c r="P28" s="88">
        <f>LOOKUP(2, 1/('OB History S2'!$B:$B=A28), 'OB History S2'!$AB:$AB)</f>
        <v>0.38600000000000001</v>
      </c>
      <c r="Q28" s="34">
        <f>SUMIFS('OB History S2'!H:H,'OB History S2'!B:B,A28)</f>
        <v>192</v>
      </c>
      <c r="R28" s="2">
        <f>SUMIFS('OB History S2'!G:G,'OB History S2'!B:B,A28)-Q28</f>
        <v>218</v>
      </c>
      <c r="S28" s="88">
        <f>LOOKUP(2, 1/('OB History S2'!$B:$B=A28), 'OB History S2'!$AC:$AC)</f>
        <v>0.46</v>
      </c>
      <c r="T28" s="2">
        <f>COUNTIFS('OB History S2'!$B:$B,$A$28,'OB History S2'!K:K, 1)</f>
        <v>4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4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7</v>
      </c>
      <c r="AH28" s="2">
        <f>COUNTIFS('OB History S2'!$B:$B,$A$28,'OB History S2'!Y:Y, 1)</f>
        <v>3</v>
      </c>
      <c r="AI28" s="2">
        <f>COUNTIFS('OB History S2'!$B:$B,$A$28,'OB History S2'!Z:Z, 1)</f>
        <v>7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65</v>
      </c>
      <c r="I29" s="4">
        <f>AVERAGEIFS('OB History S2'!C:C,'OB History S2'!B:B,A29)</f>
        <v>16.25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1</v>
      </c>
      <c r="M29" s="88">
        <f>LOOKUP(2, 1/('OB History S2'!$B:$B=A29), 'OB History S2'!$AD:$AD)</f>
        <v>0.75</v>
      </c>
      <c r="N29" s="34">
        <f>SUMIFS('OB History S2'!F:F,'OB History S2'!B:B,A29)</f>
        <v>10</v>
      </c>
      <c r="O29" s="2">
        <f>SUMIFS('OB History S2'!E:E,'OB History S2'!B:B,A29)-N29</f>
        <v>6</v>
      </c>
      <c r="P29" s="88">
        <f>LOOKUP(2, 1/('OB History S2'!$B:$B=A29), 'OB History S2'!$AB:$AB)</f>
        <v>0.625</v>
      </c>
      <c r="Q29" s="34">
        <f>SUMIFS('OB History S2'!H:H,'OB History S2'!B:B,A29)</f>
        <v>37</v>
      </c>
      <c r="R29" s="2">
        <f>SUMIFS('OB History S2'!G:G,'OB History S2'!B:B,A29)-Q29</f>
        <v>31</v>
      </c>
      <c r="S29" s="88">
        <f>LOOKUP(2, 1/('OB History S2'!$B:$B=A29), 'OB History S2'!$AC:$AC)</f>
        <v>0.55500000000000005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58</v>
      </c>
      <c r="I32" s="4">
        <f>AVERAGEIFS('OB History S2'!C:C,'OB History S2'!B:B,A32)</f>
        <v>19.333333333333332</v>
      </c>
      <c r="J32" s="35">
        <f t="array" ref="J32">MAX(IF('OB History S2'!B:B=A32, 'OB History S2'!C:C))</f>
        <v>26</v>
      </c>
      <c r="K32" s="34">
        <f>COUNTIFS('OB History S2'!B:B,A32,'OB History S2'!D:D, 1)</f>
        <v>2</v>
      </c>
      <c r="L32" s="2">
        <f>COUNTIFS('OB History S2'!B:B,A32,'OB History S2'!D:D, 0)</f>
        <v>1</v>
      </c>
      <c r="M32" s="88">
        <f>LOOKUP(2, 1/('OB History S2'!$B:$B=A32), 'OB History S2'!$AD:$AD)</f>
        <v>0.66666666666666663</v>
      </c>
      <c r="N32" s="34">
        <f>SUMIFS('OB History S2'!F:F,'OB History S2'!B:B,A32)</f>
        <v>7</v>
      </c>
      <c r="O32" s="2">
        <f>SUMIFS('OB History S2'!E:E,'OB History S2'!B:B,A32)-N32</f>
        <v>6</v>
      </c>
      <c r="P32" s="88">
        <f>LOOKUP(2, 1/('OB History S2'!$B:$B=A32), 'OB History S2'!$AB:$AB)</f>
        <v>0.53333333333333333</v>
      </c>
      <c r="Q32" s="34">
        <f>SUMIFS('OB History S2'!H:H,'OB History S2'!B:B,A32)</f>
        <v>26</v>
      </c>
      <c r="R32" s="2">
        <f>SUMIFS('OB History S2'!G:G,'OB History S2'!B:B,A32)-Q32</f>
        <v>23</v>
      </c>
      <c r="S32" s="88">
        <f>LOOKUP(2, 1/('OB History S2'!$B:$B=A32), 'OB History S2'!$AC:$AC)</f>
        <v>0.53333333333333333</v>
      </c>
      <c r="T32" s="2">
        <f>COUNTIFS('OB History S2'!$B:$B,$A$32,'OB History S2'!K:K, 1)</f>
        <v>1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1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3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514</v>
      </c>
      <c r="I33" s="4">
        <f>AVERAGEIFS('OB History S2'!C:C,'OB History S2'!B:B,A33)</f>
        <v>12.536585365853659</v>
      </c>
      <c r="J33" s="35">
        <f t="array" ref="J33">MAX(IF('OB History S2'!B:B=A33, 'OB History S2'!C:C))</f>
        <v>27</v>
      </c>
      <c r="K33" s="34">
        <f>COUNTIFS('OB History S2'!B:B,A33,'OB History S2'!D:D, 1)</f>
        <v>22</v>
      </c>
      <c r="L33" s="2">
        <f>COUNTIFS('OB History S2'!B:B,A33,'OB History S2'!D:D, 0)</f>
        <v>19</v>
      </c>
      <c r="M33" s="88">
        <f>LOOKUP(2, 1/('OB History S2'!$B:$B=A33), 'OB History S2'!$AD:$AD)</f>
        <v>0.53658536585365857</v>
      </c>
      <c r="N33" s="34">
        <f>SUMIFS('OB History S2'!F:F,'OB History S2'!B:B,A33)</f>
        <v>85</v>
      </c>
      <c r="O33" s="2">
        <f>SUMIFS('OB History S2'!E:E,'OB History S2'!B:B,A33)-N33</f>
        <v>76</v>
      </c>
      <c r="P33" s="88">
        <f>LOOKUP(2, 1/('OB History S2'!$B:$B=A33), 'OB History S2'!$AB:$AB)</f>
        <v>0.54390243902439017</v>
      </c>
      <c r="Q33" s="34">
        <f>SUMIFS('OB History S2'!H:H,'OB History S2'!B:B,A33)</f>
        <v>340</v>
      </c>
      <c r="R33" s="2">
        <f>SUMIFS('OB History S2'!G:G,'OB History S2'!B:B,A33)-Q33</f>
        <v>319</v>
      </c>
      <c r="S33" s="88">
        <f>LOOKUP(2, 1/('OB History S2'!$B:$B=A33), 'OB History S2'!$AC:$AC)</f>
        <v>0.52341463414634148</v>
      </c>
      <c r="T33" s="2">
        <f>COUNTIFS('OB History S2'!$B:$B,$A$33,'OB History S2'!K:K, 1)</f>
        <v>1</v>
      </c>
      <c r="U33" s="2">
        <f>COUNTIFS('OB History S2'!$B:$B,$A$33,'OB History S2'!L:L, 1)</f>
        <v>11</v>
      </c>
      <c r="V33" s="2">
        <f>COUNTIFS('OB History S2'!$B:$B,$A$33,'OB History S2'!M:M, 1)</f>
        <v>2</v>
      </c>
      <c r="W33" s="2">
        <f>COUNTIFS('OB History S2'!$B:$B,$A$33,'OB History S2'!N:N, 1)</f>
        <v>10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18</v>
      </c>
      <c r="AH33" s="2">
        <f>COUNTIFS('OB History S2'!$B:$B,$A$33,'OB History S2'!Y:Y, 1)</f>
        <v>9</v>
      </c>
      <c r="AI33" s="2">
        <f>COUNTIFS('OB History S2'!$B:$B,$A$33,'OB History S2'!Z:Z, 1)</f>
        <v>12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558</v>
      </c>
      <c r="I34" s="4">
        <f>AVERAGEIFS('OB History S2'!C:C,'OB History S2'!B:B,A34)</f>
        <v>20.666666666666668</v>
      </c>
      <c r="J34" s="35">
        <f t="array" ref="J34">MAX(IF('OB History S2'!B:B=A34, 'OB History S2'!C:C))</f>
        <v>39</v>
      </c>
      <c r="K34" s="34">
        <f>COUNTIFS('OB History S2'!B:B,A34,'OB History S2'!D:D, 1)</f>
        <v>14</v>
      </c>
      <c r="L34" s="2">
        <f>COUNTIFS('OB History S2'!B:B,A34,'OB History S2'!D:D, 0)</f>
        <v>13</v>
      </c>
      <c r="M34" s="88">
        <f>LOOKUP(2, 1/('OB History S2'!$B:$B=A34), 'OB History S2'!$AD:$AD)</f>
        <v>0.51851851851851849</v>
      </c>
      <c r="N34" s="34">
        <f>SUMIFS('OB History S2'!F:F,'OB History S2'!B:B,A34)</f>
        <v>52</v>
      </c>
      <c r="O34" s="2">
        <f>SUMIFS('OB History S2'!E:E,'OB History S2'!B:B,A34)-N34</f>
        <v>55</v>
      </c>
      <c r="P34" s="88">
        <f>LOOKUP(2, 1/('OB History S2'!$B:$B=A34), 'OB History S2'!$AB:$AB)</f>
        <v>0.47962962962962952</v>
      </c>
      <c r="Q34" s="34">
        <f>SUMIFS('OB History S2'!H:H,'OB History S2'!B:B,A34)</f>
        <v>223</v>
      </c>
      <c r="R34" s="2">
        <f>SUMIFS('OB History S2'!G:G,'OB History S2'!B:B,A34)-Q34</f>
        <v>222</v>
      </c>
      <c r="S34" s="88">
        <f>LOOKUP(2, 1/('OB History S2'!$B:$B=A34), 'OB History S2'!$AC:$AC)</f>
        <v>0.4996296296296297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2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5</v>
      </c>
      <c r="AI34" s="2">
        <f>COUNTIFS('OB History S2'!$B:$B,$A$34,'OB History S2'!Z:Z, 1)</f>
        <v>5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3</v>
      </c>
      <c r="F36" s="6">
        <v>1</v>
      </c>
      <c r="G36" s="6"/>
      <c r="H36" s="34">
        <f>SUMIFS('OB History S2'!C:C,'OB History S2'!B:B,A36)</f>
        <v>1118</v>
      </c>
      <c r="I36" s="4">
        <f>AVERAGEIFS('OB History S2'!C:C,'OB History S2'!B:B,A36)</f>
        <v>24.304347826086957</v>
      </c>
      <c r="J36" s="35">
        <f t="array" ref="J36">MAX(IF('OB History S2'!B:B=A36, 'OB History S2'!C:C))</f>
        <v>58</v>
      </c>
      <c r="K36" s="34">
        <f>COUNTIFS('OB History S2'!B:B,A36,'OB History S2'!D:D, 1)</f>
        <v>26</v>
      </c>
      <c r="L36" s="2">
        <f>COUNTIFS('OB History S2'!B:B,A36,'OB History S2'!D:D, 0)</f>
        <v>20</v>
      </c>
      <c r="M36" s="88">
        <f>LOOKUP(2, 1/('OB History S2'!$B:$B=A36), 'OB History S2'!$AD:$AD)</f>
        <v>0.56521739130434778</v>
      </c>
      <c r="N36" s="34">
        <f>SUMIFS('OB History S2'!F:F,'OB History S2'!B:B,A36)</f>
        <v>100</v>
      </c>
      <c r="O36" s="2">
        <f>SUMIFS('OB History S2'!E:E,'OB History S2'!B:B,A36)-N36</f>
        <v>82</v>
      </c>
      <c r="P36" s="88">
        <f>LOOKUP(2, 1/('OB History S2'!$B:$B=A36), 'OB History S2'!$AB:$AB)</f>
        <v>0.55217391304347818</v>
      </c>
      <c r="Q36" s="34">
        <f>SUMIFS('OB History S2'!H:H,'OB History S2'!B:B,A36)</f>
        <v>401</v>
      </c>
      <c r="R36" s="2">
        <f>SUMIFS('OB History S2'!G:G,'OB History S2'!B:B,A36)-Q36</f>
        <v>351</v>
      </c>
      <c r="S36" s="88">
        <f>LOOKUP(2, 1/('OB History S2'!$B:$B=A36), 'OB History S2'!$AC:$AC)</f>
        <v>0.53586956521739115</v>
      </c>
      <c r="T36" s="2">
        <f>COUNTIFS('OB History S2'!$B:$B,$A$36,'OB History S2'!K:K, 1)</f>
        <v>9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10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7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9</v>
      </c>
      <c r="AG36" s="2">
        <f>COUNTIFS('OB History S2'!$B:$B,$A$36,'OB History S2'!X:X, 1)</f>
        <v>13</v>
      </c>
      <c r="AH36" s="2">
        <f>COUNTIFS('OB History S2'!$B:$B,$A$36,'OB History S2'!Y:Y, 1)</f>
        <v>14</v>
      </c>
      <c r="AI36" s="2">
        <f>COUNTIFS('OB History S2'!$B:$B,$A$36,'OB History S2'!Z:Z, 1)</f>
        <v>13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2</v>
      </c>
      <c r="E37" s="6"/>
      <c r="F37" s="6"/>
      <c r="G37" s="6"/>
      <c r="H37" s="34">
        <f>SUMIFS('OB History S2'!C:C,'OB History S2'!B:B,A37)</f>
        <v>346</v>
      </c>
      <c r="I37" s="4">
        <f>AVERAGEIFS('OB History S2'!C:C,'OB History S2'!B:B,A37)</f>
        <v>26.615384615384617</v>
      </c>
      <c r="J37" s="35">
        <f t="array" ref="J37">MAX(IF('OB History S2'!B:B=A37, 'OB History S2'!C:C))</f>
        <v>68</v>
      </c>
      <c r="K37" s="34">
        <f>COUNTIFS('OB History S2'!B:B,A37,'OB History S2'!D:D, 1)</f>
        <v>7</v>
      </c>
      <c r="L37" s="2">
        <f>COUNTIFS('OB History S2'!B:B,A37,'OB History S2'!D:D, 0)</f>
        <v>6</v>
      </c>
      <c r="M37" s="88">
        <f>LOOKUP(2, 1/('OB History S2'!$B:$B=A37), 'OB History S2'!$AD:$AD)</f>
        <v>0.53846153846153844</v>
      </c>
      <c r="N37" s="34">
        <f>SUMIFS('OB History S2'!F:F,'OB History S2'!B:B,A37)</f>
        <v>31</v>
      </c>
      <c r="O37" s="2">
        <f>SUMIFS('OB History S2'!E:E,'OB History S2'!B:B,A37)-N37</f>
        <v>19</v>
      </c>
      <c r="P37" s="88">
        <f>LOOKUP(2, 1/('OB History S2'!$B:$B=A37), 'OB History S2'!$AB:$AB)</f>
        <v>0.6807692307692309</v>
      </c>
      <c r="Q37" s="34">
        <f>SUMIFS('OB History S2'!H:H,'OB History S2'!B:B,A37)</f>
        <v>119</v>
      </c>
      <c r="R37" s="2">
        <f>SUMIFS('OB History S2'!G:G,'OB History S2'!B:B,A37)-Q37</f>
        <v>96</v>
      </c>
      <c r="S37" s="88">
        <f>LOOKUP(2, 1/('OB History S2'!$B:$B=A37), 'OB History S2'!$AC:$AC)</f>
        <v>0.57461538461538464</v>
      </c>
      <c r="T37" s="2">
        <f>COUNTIFS('OB History S2'!$B:$B,$A$37,'OB History S2'!K:K, 1)</f>
        <v>3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6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1</v>
      </c>
      <c r="AG37" s="2">
        <f>COUNTIFS('OB History S2'!$B:$B,$A$37,'OB History S2'!X:X, 1)</f>
        <v>7</v>
      </c>
      <c r="AH37" s="2">
        <f>COUNTIFS('OB History S2'!$B:$B,$A$37,'OB History S2'!Y:Y, 1)</f>
        <v>3</v>
      </c>
      <c r="AI37" s="2">
        <f>COUNTIFS('OB History S2'!$B:$B,$A$37,'OB History S2'!Z:Z, 1)</f>
        <v>5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25</v>
      </c>
      <c r="I38" s="4">
        <f>AVERAGEIFS('OB History S2'!C:C,'OB History S2'!B:B,A38)</f>
        <v>12.5</v>
      </c>
      <c r="J38" s="35">
        <f t="array" ref="J38">MAX(IF('OB History S2'!B:B=A38, 'OB History S2'!C:C))</f>
        <v>16</v>
      </c>
      <c r="K38" s="34">
        <f>COUNTIFS('OB History S2'!B:B,A38,'OB History S2'!D:D, 1)</f>
        <v>1</v>
      </c>
      <c r="L38" s="2">
        <f>COUNTIFS('OB History S2'!B:B,A38,'OB History S2'!D:D, 0)</f>
        <v>1</v>
      </c>
      <c r="M38" s="88">
        <f>LOOKUP(2, 1/('OB History S2'!$B:$B=A38), 'OB History S2'!$AD:$AD)</f>
        <v>0.5</v>
      </c>
      <c r="N38" s="34">
        <f>SUMIFS('OB History S2'!F:F,'OB History S2'!B:B,A38)</f>
        <v>5</v>
      </c>
      <c r="O38" s="2">
        <f>SUMIFS('OB History S2'!E:E,'OB History S2'!B:B,A38)-N38</f>
        <v>4</v>
      </c>
      <c r="P38" s="88">
        <f>LOOKUP(2, 1/('OB History S2'!$B:$B=A38), 'OB History S2'!$AB:$AB)</f>
        <v>0.57499999999999996</v>
      </c>
      <c r="Q38" s="34">
        <f>SUMIFS('OB History S2'!H:H,'OB History S2'!B:B,A38)</f>
        <v>19</v>
      </c>
      <c r="R38" s="2">
        <f>SUMIFS('OB History S2'!G:G,'OB History S2'!B:B,A38)-Q38</f>
        <v>17</v>
      </c>
      <c r="S38" s="88">
        <f>LOOKUP(2, 1/('OB History S2'!$B:$B=A38), 'OB History S2'!$AC:$AC)</f>
        <v>0.53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1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1</v>
      </c>
      <c r="AB38" s="2">
        <f>COUNTIFS('OB History S2'!$B:$B,$A$38,'OB History S2'!S:S, 1)</f>
        <v>1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377</v>
      </c>
      <c r="I39" s="4">
        <f>AVERAGEIFS('OB History S2'!C:C,'OB History S2'!B:B,A39)</f>
        <v>20.944444444444443</v>
      </c>
      <c r="J39" s="35">
        <f t="array" ref="J39">MAX(IF('OB History S2'!B:B=A39, 'OB History S2'!C:C))</f>
        <v>51</v>
      </c>
      <c r="K39" s="34">
        <f>COUNTIFS('OB History S2'!B:B,A39,'OB History S2'!D:D, 1)</f>
        <v>7</v>
      </c>
      <c r="L39" s="2">
        <f>COUNTIFS('OB History S2'!B:B,A39,'OB History S2'!D:D, 0)</f>
        <v>11</v>
      </c>
      <c r="M39" s="88">
        <f>LOOKUP(2, 1/('OB History S2'!$B:$B=A39), 'OB History S2'!$AD:$AD)</f>
        <v>0.3888888888888889</v>
      </c>
      <c r="N39" s="34">
        <f>SUMIFS('OB History S2'!F:F,'OB History S2'!B:B,A39)</f>
        <v>33</v>
      </c>
      <c r="O39" s="2">
        <f>SUMIFS('OB History S2'!E:E,'OB History S2'!B:B,A39)-N39</f>
        <v>40</v>
      </c>
      <c r="P39" s="88">
        <f>LOOKUP(2, 1/('OB History S2'!$B:$B=A39), 'OB History S2'!$AB:$AB)</f>
        <v>0.45277777777777778</v>
      </c>
      <c r="Q39" s="34">
        <f>SUMIFS('OB History S2'!H:H,'OB History S2'!B:B,A39)</f>
        <v>146</v>
      </c>
      <c r="R39" s="2">
        <f>SUMIFS('OB History S2'!G:G,'OB History S2'!B:B,A39)-Q39</f>
        <v>156</v>
      </c>
      <c r="S39" s="88">
        <f>LOOKUP(2, 1/('OB History S2'!$B:$B=A39), 'OB History S2'!$AC:$AC)</f>
        <v>0.48333333333333317</v>
      </c>
      <c r="T39" s="2">
        <f>COUNTIFS('OB History S2'!$B:$B,$A$39,'OB History S2'!K:K, 1)</f>
        <v>5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3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3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3</v>
      </c>
      <c r="AI39" s="2">
        <f>COUNTIFS('OB History S2'!$B:$B,$A$39,'OB History S2'!Z:Z, 1)</f>
        <v>3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163</v>
      </c>
      <c r="I40" s="4">
        <f>AVERAGEIFS('OB History S2'!C:C,'OB History S2'!B:B,A40)</f>
        <v>10.1875</v>
      </c>
      <c r="J40" s="35">
        <f t="array" ref="J40">MAX(IF('OB History S2'!B:B=A40, 'OB History S2'!C:C))</f>
        <v>28</v>
      </c>
      <c r="K40" s="34">
        <f>COUNTIFS('OB History S2'!B:B,A40,'OB History S2'!D:D, 1)</f>
        <v>6</v>
      </c>
      <c r="L40" s="2">
        <f>COUNTIFS('OB History S2'!B:B,A40,'OB History S2'!D:D, 0)</f>
        <v>10</v>
      </c>
      <c r="M40" s="88">
        <f>LOOKUP(2, 1/('OB History S2'!$B:$B=A40), 'OB History S2'!$AD:$AD)</f>
        <v>0.375</v>
      </c>
      <c r="N40" s="34">
        <f>SUMIFS('OB History S2'!F:F,'OB History S2'!B:B,A40)</f>
        <v>28</v>
      </c>
      <c r="O40" s="2">
        <f>SUMIFS('OB History S2'!E:E,'OB History S2'!B:B,A40)-N40</f>
        <v>37</v>
      </c>
      <c r="P40" s="88">
        <f>LOOKUP(2, 1/('OB History S2'!$B:$B=A40), 'OB History S2'!$AB:$AB)</f>
        <v>0.4</v>
      </c>
      <c r="Q40" s="34">
        <f>SUMIFS('OB History S2'!H:H,'OB History S2'!B:B,A40)</f>
        <v>129</v>
      </c>
      <c r="R40" s="2">
        <f>SUMIFS('OB History S2'!G:G,'OB History S2'!B:B,A40)-Q40</f>
        <v>144</v>
      </c>
      <c r="S40" s="88">
        <f>LOOKUP(2, 1/('OB History S2'!$B:$B=A40), 'OB History S2'!$AC:$AC)</f>
        <v>0.4631249999999999</v>
      </c>
      <c r="T40" s="2">
        <f>COUNTIFS('OB History S2'!$B:$B,$A$40,'OB History S2'!K:K, 1)</f>
        <v>1</v>
      </c>
      <c r="U40" s="2">
        <f>COUNTIFS('OB History S2'!$B:$B,$A$40,'OB History S2'!L:L, 1)</f>
        <v>1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4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4</v>
      </c>
      <c r="AI40" s="2">
        <f>COUNTIFS('OB History S2'!$B:$B,$A$40,'OB History S2'!Z:Z, 1)</f>
        <v>4</v>
      </c>
    </row>
    <row r="41" spans="1:35" x14ac:dyDescent="0.25">
      <c r="A41" s="2" t="s">
        <v>242</v>
      </c>
      <c r="B41" s="6" t="s">
        <v>79</v>
      </c>
      <c r="C41" s="6" t="s">
        <v>79</v>
      </c>
      <c r="D41" s="3"/>
      <c r="E41" s="6"/>
      <c r="F41" s="6"/>
      <c r="G41" s="6"/>
      <c r="H41" s="34">
        <f>SUMIFS('OB History S2'!C:C,'OB History S2'!B:B,A41)</f>
        <v>22</v>
      </c>
      <c r="I41" s="4">
        <f>AVERAGEIFS('OB History S2'!C:C,'OB History S2'!B:B,A41)</f>
        <v>5.5</v>
      </c>
      <c r="J41" s="35">
        <f t="array" ref="J41">MAX(IF('OB History S2'!B:B=A41, 'OB History S2'!C:C))</f>
        <v>11</v>
      </c>
      <c r="K41" s="34">
        <f>COUNTIFS('OB History S2'!B:B,A41,'OB History S2'!D:D, 1)</f>
        <v>0</v>
      </c>
      <c r="L41" s="2">
        <f>COUNTIFS('OB History S2'!B:B,A41,'OB History S2'!D:D, 0)</f>
        <v>4</v>
      </c>
      <c r="M41" s="88">
        <f>LOOKUP(2, 1/('OB History S2'!$B:$B=A41), 'OB History S2'!$AD:$AD)</f>
        <v>0</v>
      </c>
      <c r="N41" s="34">
        <f>SUMIFS('OB History S2'!F:F,'OB History S2'!B:B,A41)</f>
        <v>3</v>
      </c>
      <c r="O41" s="2">
        <f>SUMIFS('OB History S2'!E:E,'OB History S2'!B:B,A41)-N41</f>
        <v>12</v>
      </c>
      <c r="P41" s="88">
        <f>LOOKUP(2, 1/('OB History S2'!$B:$B=A41), 'OB History S2'!$AB:$AB)</f>
        <v>0.16250000000000001</v>
      </c>
      <c r="Q41" s="34">
        <f>SUMIFS('OB History S2'!H:H,'OB History S2'!B:B,A41)</f>
        <v>20</v>
      </c>
      <c r="R41" s="2">
        <f>SUMIFS('OB History S2'!G:G,'OB History S2'!B:B,A41)-Q41</f>
        <v>40</v>
      </c>
      <c r="S41" s="88">
        <f>LOOKUP(2, 1/('OB History S2'!$B:$B=A41), 'OB History S2'!$AC:$AC)</f>
        <v>0.32</v>
      </c>
      <c r="T41" s="2">
        <f>COUNTIFS('OB History S2'!$B:$B,$A$41,'OB History S2'!K:K, 1)</f>
        <v>0</v>
      </c>
      <c r="U41" s="2">
        <f>COUNTIFS('OB History S2'!$B:$B,$A$41,'OB History S2'!L:L, 1)</f>
        <v>0</v>
      </c>
      <c r="V41" s="2">
        <f>COUNTIFS('OB History S2'!$B:$B,$A$41,'OB History S2'!M:M, 1)</f>
        <v>0</v>
      </c>
      <c r="W41" s="2">
        <f>COUNTIFS('OB History S2'!$B:$B,$A$41,'OB History S2'!N:N, 1)</f>
        <v>0</v>
      </c>
      <c r="X41" s="2">
        <f>COUNTIFS('OB History S2'!$B:$B,$A$41,'OB History S2'!O:O, 1)</f>
        <v>0</v>
      </c>
      <c r="Y41" s="2">
        <f>COUNTIFS('OB History S2'!$B:$B,$A$41,'OB History S2'!P:P, 1)</f>
        <v>0</v>
      </c>
      <c r="Z41" s="2">
        <f>COUNTIFS('OB History S2'!$B:$B,$A$41,'OB History S2'!Q:Q, 1)</f>
        <v>0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0</v>
      </c>
      <c r="AG41" s="2">
        <f>COUNTIFS('OB History S2'!$B:$B,$A$41,'OB History S2'!X:X, 1)</f>
        <v>1</v>
      </c>
      <c r="AH41" s="2">
        <f>COUNTIFS('OB History S2'!$B:$B,$A$41,'OB History S2'!Y:Y, 1)</f>
        <v>1</v>
      </c>
      <c r="AI41" s="2">
        <f>COUNTIFS('OB History S2'!$B:$B,$A$41,'OB History S2'!Z:Z, 1)</f>
        <v>0</v>
      </c>
    </row>
    <row r="42" spans="1:35" x14ac:dyDescent="0.25">
      <c r="A42" s="2" t="s">
        <v>141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308</v>
      </c>
      <c r="I42" s="4">
        <f>AVERAGEIFS('OB History S2'!C:C,'OB History S2'!B:B,A42)</f>
        <v>17.111111111111111</v>
      </c>
      <c r="J42" s="35">
        <f t="array" ref="J42">MAX(IF('OB History S2'!B:B=A42, 'OB History S2'!C:C))</f>
        <v>33</v>
      </c>
      <c r="K42" s="34">
        <f>COUNTIFS('OB History S2'!B:B,A42,'OB History S2'!D:D, 1)</f>
        <v>8</v>
      </c>
      <c r="L42" s="2">
        <f>COUNTIFS('OB History S2'!B:B,A42,'OB History S2'!D:D, 0)</f>
        <v>10</v>
      </c>
      <c r="M42" s="88">
        <f>LOOKUP(2, 1/('OB History S2'!$B:$B=A42), 'OB History S2'!$AD:$AD)</f>
        <v>0.44444444444444442</v>
      </c>
      <c r="N42" s="34">
        <f>SUMIFS('OB History S2'!F:F,'OB History S2'!B:B,A42)</f>
        <v>34</v>
      </c>
      <c r="O42" s="2">
        <f>SUMIFS('OB History S2'!E:E,'OB History S2'!B:B,A42)-N42</f>
        <v>39</v>
      </c>
      <c r="P42" s="88">
        <f>LOOKUP(2, 1/('OB History S2'!$B:$B=A42), 'OB History S2'!$AB:$AB)</f>
        <v>0.46666666666666656</v>
      </c>
      <c r="Q42" s="34">
        <f>SUMIFS('OB History S2'!H:H,'OB History S2'!B:B,A42)</f>
        <v>150</v>
      </c>
      <c r="R42" s="2">
        <f>SUMIFS('OB History S2'!G:G,'OB History S2'!B:B,A42)-Q42</f>
        <v>156</v>
      </c>
      <c r="S42" s="88">
        <f>LOOKUP(2, 1/('OB History S2'!$B:$B=A42), 'OB History S2'!$AC:$AC)</f>
        <v>0.49166666666666675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0</v>
      </c>
      <c r="W42" s="2">
        <f>COUNTIFS('OB History S2'!$B:$B,$A$42,'OB History S2'!N:N, 1)</f>
        <v>5</v>
      </c>
      <c r="X42" s="2">
        <f>COUNTIFS('OB History S2'!$B:$B,$A$42,'OB History S2'!O:O, 1)</f>
        <v>2</v>
      </c>
      <c r="Y42" s="2">
        <f>COUNTIFS('OB History S2'!$B:$B,$A$42,'OB History S2'!P:P, 1)</f>
        <v>1</v>
      </c>
      <c r="Z42" s="2">
        <f>COUNTIFS('OB History S2'!$B:$B,$A$42,'OB History S2'!Q:Q, 1)</f>
        <v>2</v>
      </c>
      <c r="AA42" s="2">
        <f>COUNTIFS('OB History S2'!$B:$B,$A$42,'OB History S2'!R:R, 1)</f>
        <v>3</v>
      </c>
      <c r="AB42" s="2">
        <f>COUNTIFS('OB History S2'!$B:$B,$A$42,'OB History S2'!S:S, 1)</f>
        <v>1</v>
      </c>
      <c r="AC42" s="2">
        <f>COUNTIFS('OB History S2'!$B:$B,$A$42,'OB History S2'!T:T, 1)</f>
        <v>1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2</v>
      </c>
      <c r="AG42" s="2">
        <f>COUNTIFS('OB History S2'!$B:$B,$A$42,'OB History S2'!X:X, 1)</f>
        <v>3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40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348</v>
      </c>
      <c r="I43" s="4">
        <f>AVERAGEIFS('OB History S2'!C:C,'OB History S2'!B:B,A43)</f>
        <v>20.470588235294116</v>
      </c>
      <c r="J43" s="35">
        <f t="array" ref="J43">MAX(IF('OB History S2'!B:B=A43, 'OB History S2'!C:C))</f>
        <v>40</v>
      </c>
      <c r="K43" s="34">
        <f>COUNTIFS('OB History S2'!B:B,A43,'OB History S2'!D:D, 1)</f>
        <v>10</v>
      </c>
      <c r="L43" s="2">
        <f>COUNTIFS('OB History S2'!B:B,A43,'OB History S2'!D:D, 0)</f>
        <v>7</v>
      </c>
      <c r="M43" s="88">
        <f>LOOKUP(2, 1/('OB History S2'!$B:$B=A43), 'OB History S2'!$AD:$AD)</f>
        <v>0.58823529411764708</v>
      </c>
      <c r="N43" s="34">
        <f>SUMIFS('OB History S2'!F:F,'OB History S2'!B:B,A43)</f>
        <v>39</v>
      </c>
      <c r="O43" s="2">
        <f>SUMIFS('OB History S2'!E:E,'OB History S2'!B:B,A43)-N43</f>
        <v>31</v>
      </c>
      <c r="P43" s="88">
        <f>LOOKUP(2, 1/('OB History S2'!$B:$B=A43), 'OB History S2'!$AB:$AB)</f>
        <v>0.56764705882352928</v>
      </c>
      <c r="Q43" s="34">
        <f>SUMIFS('OB History S2'!H:H,'OB History S2'!B:B,A43)</f>
        <v>146</v>
      </c>
      <c r="R43" s="2">
        <f>SUMIFS('OB History S2'!G:G,'OB History S2'!B:B,A43)-Q43</f>
        <v>146</v>
      </c>
      <c r="S43" s="88">
        <f>LOOKUP(2, 1/('OB History S2'!$B:$B=A43), 'OB History S2'!$AC:$AC)</f>
        <v>0.498235294117647</v>
      </c>
      <c r="T43" s="2">
        <f>COUNTIFS('OB History S2'!$B:$B,$A$43,'OB History S2'!K:K, 1)</f>
        <v>3</v>
      </c>
      <c r="U43" s="2">
        <f>COUNTIFS('OB History S2'!$B:$B,$A$43,'OB History S2'!L:L, 1)</f>
        <v>2</v>
      </c>
      <c r="V43" s="2">
        <f>COUNTIFS('OB History S2'!$B:$B,$A$43,'OB History S2'!M:M, 1)</f>
        <v>4</v>
      </c>
      <c r="W43" s="2">
        <f>COUNTIFS('OB History S2'!$B:$B,$A$43,'OB History S2'!N:N, 1)</f>
        <v>4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3</v>
      </c>
      <c r="AA43" s="2">
        <f>COUNTIFS('OB History S2'!$B:$B,$A$43,'OB History S2'!R:R, 1)</f>
        <v>1</v>
      </c>
      <c r="AB43" s="2">
        <f>COUNTIFS('OB History S2'!$B:$B,$A$43,'OB History S2'!S:S, 1)</f>
        <v>2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2</v>
      </c>
      <c r="AG43" s="2">
        <f>COUNTIFS('OB History S2'!$B:$B,$A$43,'OB History S2'!X:X, 1)</f>
        <v>6</v>
      </c>
      <c r="AH43" s="2">
        <f>COUNTIFS('OB History S2'!$B:$B,$A$43,'OB History S2'!Y:Y, 1)</f>
        <v>4</v>
      </c>
      <c r="AI43" s="2">
        <f>COUNTIFS('OB History S2'!$B:$B,$A$43,'OB History S2'!Z:Z,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2"/>
      <c r="F44" s="2"/>
      <c r="G44" s="2"/>
      <c r="H44" s="34">
        <f>SUMIFS('OB History S2'!C:C,'OB History S2'!B:B,A44)</f>
        <v>181</v>
      </c>
      <c r="I44" s="4">
        <f>AVERAGEIFS('OB History S2'!C:C,'OB History S2'!B:B,A44)</f>
        <v>16.454545454545453</v>
      </c>
      <c r="J44" s="35">
        <f t="array" ref="J44">MAX(IF('OB History S2'!B:B=A44, 'OB History S2'!C:C))</f>
        <v>35</v>
      </c>
      <c r="K44" s="34">
        <f>COUNTIFS('OB History S2'!B:B,A44,'OB History S2'!D:D, 1)</f>
        <v>6</v>
      </c>
      <c r="L44" s="2">
        <f>COUNTIFS('OB History S2'!B:B,A44,'OB History S2'!D:D, 0)</f>
        <v>5</v>
      </c>
      <c r="M44" s="88">
        <f>LOOKUP(2, 1/('OB History S2'!$B:$B=A44), 'OB History S2'!$AD:$AD)</f>
        <v>0.54545454545454541</v>
      </c>
      <c r="N44" s="34">
        <f>SUMIFS('OB History S2'!F:F,'OB History S2'!B:B,A44)</f>
        <v>20</v>
      </c>
      <c r="O44" s="2">
        <f>SUMIFS('OB History S2'!E:E,'OB History S2'!B:B,A44)-N44</f>
        <v>20</v>
      </c>
      <c r="P44" s="88">
        <f>LOOKUP(2, 1/('OB History S2'!$B:$B=A44), 'OB History S2'!$AB:$AB)</f>
        <v>0.47727272727272729</v>
      </c>
      <c r="Q44" s="34">
        <f>SUMIFS('OB History S2'!H:H,'OB History S2'!B:B,A44)</f>
        <v>84</v>
      </c>
      <c r="R44" s="2">
        <f>SUMIFS('OB History S2'!G:G,'OB History S2'!B:B,A44)-Q44</f>
        <v>87</v>
      </c>
      <c r="S44" s="88">
        <f>LOOKUP(2, 1/('OB History S2'!$B:$B=A44), 'OB History S2'!$AC:$AC)</f>
        <v>0.48181818181818181</v>
      </c>
      <c r="T44" s="2">
        <f>COUNTIFS('OB History S2'!$B:$B,$A$44,'OB History S2'!K:K, 1)</f>
        <v>2</v>
      </c>
      <c r="U44" s="2">
        <f>COUNTIFS('OB History S2'!$B:$B,$A$44,'OB History S2'!L:L, 1)</f>
        <v>2</v>
      </c>
      <c r="V44" s="2">
        <f>COUNTIFS('OB History S2'!$B:$B,$A$44,'OB History S2'!M:M, 1)</f>
        <v>2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2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1</v>
      </c>
      <c r="AG44" s="2">
        <f>COUNTIFS('OB History S2'!$B:$B,$A$44,'OB History S2'!X:X, 1)</f>
        <v>3</v>
      </c>
      <c r="AH44" s="2">
        <f>COUNTIFS('OB History S2'!$B:$B,$A$44,'OB History S2'!Y:Y, 1)</f>
        <v>1</v>
      </c>
      <c r="AI44" s="2">
        <f>COUNTIFS('OB History S2'!$B:$B,$A$44,'OB History S2'!Z:Z,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17</v>
      </c>
      <c r="E45" s="2">
        <v>3</v>
      </c>
      <c r="F45" s="2"/>
      <c r="G45" s="2"/>
      <c r="H45" s="34">
        <f>SUMIFS('OB History S2'!C:C,'OB History S2'!B:B,A45)</f>
        <v>717</v>
      </c>
      <c r="I45" s="4">
        <f>AVERAGEIFS('OB History S2'!C:C,'OB History S2'!B:B,A45)</f>
        <v>23.9</v>
      </c>
      <c r="J45" s="35">
        <f t="array" ref="J45">MAX(IF('OB History S2'!B:B=A45, 'OB History S2'!C:C))</f>
        <v>58</v>
      </c>
      <c r="K45" s="34">
        <f>COUNTIFS('OB History S2'!B:B,A45,'OB History S2'!D:D, 1)</f>
        <v>12</v>
      </c>
      <c r="L45" s="2">
        <f>COUNTIFS('OB History S2'!B:B,A45,'OB History S2'!D:D, 0)</f>
        <v>18</v>
      </c>
      <c r="M45" s="88">
        <f>LOOKUP(2, 1/('OB History S2'!$B:$B=A45), 'OB History S2'!$AD:$AD)</f>
        <v>0.4</v>
      </c>
      <c r="N45" s="34">
        <f>SUMIFS('OB History S2'!F:F,'OB History S2'!B:B,A45)</f>
        <v>50</v>
      </c>
      <c r="O45" s="2">
        <f>SUMIFS('OB History S2'!E:E,'OB History S2'!B:B,A45)-N45</f>
        <v>68</v>
      </c>
      <c r="P45" s="88">
        <f>LOOKUP(2, 1/('OB History S2'!$B:$B=A45), 'OB History S2'!$AB:$AB)</f>
        <v>0.40666666666666668</v>
      </c>
      <c r="Q45" s="34">
        <f>SUMIFS('OB History S2'!H:H,'OB History S2'!B:B,A45)</f>
        <v>230</v>
      </c>
      <c r="R45" s="2">
        <f>SUMIFS('OB History S2'!G:G,'OB History S2'!B:B,A45)-Q45</f>
        <v>255</v>
      </c>
      <c r="S45" s="88">
        <f>LOOKUP(2, 1/('OB History S2'!$B:$B=A45), 'OB History S2'!$AC:$AC)</f>
        <v>0.46933333333333321</v>
      </c>
      <c r="T45" s="2">
        <f>COUNTIFS('OB History S2'!$B:$B,$A$45,'OB History S2'!K:K, 1)</f>
        <v>1</v>
      </c>
      <c r="U45" s="2">
        <f>COUNTIFS('OB History S2'!$B:$B,$A$45,'OB History S2'!L:L, 1)</f>
        <v>7</v>
      </c>
      <c r="V45" s="2">
        <f>COUNTIFS('OB History S2'!$B:$B,$A$45,'OB History S2'!M:M, 1)</f>
        <v>1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3</v>
      </c>
      <c r="AA45" s="2">
        <f>COUNTIFS('OB History S2'!$B:$B,$A$45,'OB History S2'!R:R, 1)</f>
        <v>6</v>
      </c>
      <c r="AB45" s="2">
        <f>COUNTIFS('OB History S2'!$B:$B,$A$45,'OB History S2'!S:S, 1)</f>
        <v>0</v>
      </c>
      <c r="AC45" s="2">
        <f>COUNTIFS('OB History S2'!$B:$B,$A$45,'OB History S2'!T:T, 1)</f>
        <v>2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1</v>
      </c>
      <c r="AG45" s="2">
        <f>COUNTIFS('OB History S2'!$B:$B,$A$45,'OB History S2'!X:X, 1)</f>
        <v>13</v>
      </c>
      <c r="AH45" s="2">
        <f>COUNTIFS('OB History S2'!$B:$B,$A$45,'OB History S2'!Y:Y, 1)</f>
        <v>3</v>
      </c>
      <c r="AI45" s="2">
        <f>COUNTIFS('OB History S2'!$B:$B,$A$45,'OB History S2'!Z:Z, 1)</f>
        <v>7</v>
      </c>
    </row>
    <row r="46" spans="1:35" x14ac:dyDescent="0.25">
      <c r="A46" s="2" t="s">
        <v>155</v>
      </c>
      <c r="B46" s="2" t="s">
        <v>60</v>
      </c>
      <c r="C46" s="2" t="s">
        <v>79</v>
      </c>
      <c r="D46" s="3">
        <v>8</v>
      </c>
      <c r="E46" s="3">
        <v>1</v>
      </c>
      <c r="F46" s="3"/>
      <c r="G46" s="3"/>
      <c r="H46" s="34">
        <f>SUMIFS('OB History S2'!C:C,'OB History S2'!B:B,A46)</f>
        <v>745</v>
      </c>
      <c r="I46" s="4">
        <f>AVERAGEIFS('OB History S2'!C:C,'OB History S2'!B:B,A46)</f>
        <v>18.625</v>
      </c>
      <c r="J46" s="35">
        <f t="array" ref="J46">MAX(IF('OB History S2'!B:B=A46, 'OB History S2'!C:C))</f>
        <v>43</v>
      </c>
      <c r="K46" s="34">
        <f>COUNTIFS('OB History S2'!B:B,A46,'OB History S2'!D:D, 1)</f>
        <v>14</v>
      </c>
      <c r="L46" s="2">
        <f>COUNTIFS('OB History S2'!B:B,A46,'OB History S2'!D:D, 0)</f>
        <v>26</v>
      </c>
      <c r="M46" s="88">
        <f>LOOKUP(2, 1/('OB History S2'!$B:$B=A46), 'OB History S2'!$AD:$AD)</f>
        <v>0.35</v>
      </c>
      <c r="N46" s="34">
        <f>SUMIFS('OB History S2'!F:F,'OB History S2'!B:B,A46)</f>
        <v>66</v>
      </c>
      <c r="O46" s="2">
        <f>SUMIFS('OB History S2'!E:E,'OB History S2'!B:B,A46)-N46</f>
        <v>98</v>
      </c>
      <c r="P46" s="88">
        <f>LOOKUP(2, 1/('OB History S2'!$B:$B=A46), 'OB History S2'!$AB:$AB)</f>
        <v>0.37624999999999997</v>
      </c>
      <c r="Q46" s="34">
        <f>SUMIFS('OB History S2'!H:H,'OB History S2'!B:B,A46)</f>
        <v>316</v>
      </c>
      <c r="R46" s="2">
        <f>SUMIFS('OB History S2'!G:G,'OB History S2'!B:B,A46)-Q46</f>
        <v>363</v>
      </c>
      <c r="S46" s="88">
        <f>LOOKUP(2, 1/('OB History S2'!$B:$B=A46), 'OB History S2'!$AC:$AC)</f>
        <v>0.45250000000000012</v>
      </c>
      <c r="T46" s="2">
        <f>COUNTIFS('OB History S2'!$B:$B,$A$46,'OB History S2'!K:K, 1)</f>
        <v>4</v>
      </c>
      <c r="U46" s="2">
        <f>COUNTIFS('OB History S2'!$B:$B,$A$46,'OB History S2'!L:L, 1)</f>
        <v>4</v>
      </c>
      <c r="V46" s="2">
        <f>COUNTIFS('OB History S2'!$B:$B,$A$46,'OB History S2'!M:M, 1)</f>
        <v>3</v>
      </c>
      <c r="W46" s="2">
        <f>COUNTIFS('OB History S2'!$B:$B,$A$46,'OB History S2'!N:N, 1)</f>
        <v>10</v>
      </c>
      <c r="X46" s="2">
        <f>COUNTIFS('OB History S2'!$B:$B,$A$46,'OB History S2'!O:O, 1)</f>
        <v>4</v>
      </c>
      <c r="Y46" s="2">
        <f>COUNTIFS('OB History S2'!$B:$B,$A$46,'OB History S2'!P:P, 1)</f>
        <v>5</v>
      </c>
      <c r="Z46" s="2">
        <f>COUNTIFS('OB History S2'!$B:$B,$A$46,'OB History S2'!Q:Q, 1)</f>
        <v>1</v>
      </c>
      <c r="AA46" s="2">
        <f>COUNTIFS('OB History S2'!$B:$B,$A$46,'OB History S2'!R:R, 1)</f>
        <v>5</v>
      </c>
      <c r="AB46" s="2">
        <f>COUNTIFS('OB History S2'!$B:$B,$A$46,'OB History S2'!S:S, 1)</f>
        <v>1</v>
      </c>
      <c r="AC46" s="2">
        <f>COUNTIFS('OB History S2'!$B:$B,$A$46,'OB History S2'!T:T, 1)</f>
        <v>3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5</v>
      </c>
      <c r="AG46" s="2">
        <f>COUNTIFS('OB History S2'!$B:$B,$A$46,'OB History S2'!X:X, 1)</f>
        <v>7</v>
      </c>
      <c r="AH46" s="2">
        <f>COUNTIFS('OB History S2'!$B:$B,$A$46,'OB History S2'!Y:Y, 1)</f>
        <v>7</v>
      </c>
      <c r="AI46" s="2">
        <f>COUNTIFS('OB History S2'!$B:$B,$A$46,'OB History S2'!Z:Z, 1)</f>
        <v>6</v>
      </c>
    </row>
    <row r="47" spans="1:35" x14ac:dyDescent="0.25">
      <c r="A47" s="2" t="s">
        <v>6</v>
      </c>
      <c r="B47" s="2" t="s">
        <v>60</v>
      </c>
      <c r="C47" s="2" t="s">
        <v>79</v>
      </c>
      <c r="D47" s="3">
        <v>1</v>
      </c>
      <c r="E47" s="2">
        <v>1</v>
      </c>
      <c r="F47" s="2"/>
      <c r="G47" s="2"/>
      <c r="H47" s="34">
        <f>SUMIFS('OB History S2'!C:C,'OB History S2'!B:B,A47)</f>
        <v>518</v>
      </c>
      <c r="I47" s="4">
        <f>AVERAGEIFS('OB History S2'!C:C,'OB History S2'!B:B,A47)</f>
        <v>24.666666666666668</v>
      </c>
      <c r="J47" s="35">
        <f t="array" ref="J47">MAX(IF('OB History S2'!B:B=A47, 'OB History S2'!C:C))</f>
        <v>66</v>
      </c>
      <c r="K47" s="34">
        <f>COUNTIFS('OB History S2'!B:B,A47,'OB History S2'!D:D, 1)</f>
        <v>13</v>
      </c>
      <c r="L47" s="2">
        <f>COUNTIFS('OB History S2'!B:B,A47,'OB History S2'!D:D, 0)</f>
        <v>8</v>
      </c>
      <c r="M47" s="88">
        <f>LOOKUP(2, 1/('OB History S2'!$B:$B=A47), 'OB History S2'!$AD:$AD)</f>
        <v>0.61904761904761907</v>
      </c>
      <c r="N47" s="34">
        <f>SUMIFS('OB History S2'!F:F,'OB History S2'!B:B,A47)</f>
        <v>50</v>
      </c>
      <c r="O47" s="2">
        <f>SUMIFS('OB History S2'!E:E,'OB History S2'!B:B,A47)-N47</f>
        <v>32</v>
      </c>
      <c r="P47" s="88">
        <f>LOOKUP(2, 1/('OB History S2'!$B:$B=A47), 'OB History S2'!$AB:$AB)</f>
        <v>0.64523809523809517</v>
      </c>
      <c r="Q47" s="34">
        <f>SUMIFS('OB History S2'!H:H,'OB History S2'!B:B,A47)</f>
        <v>195</v>
      </c>
      <c r="R47" s="2">
        <f>SUMIFS('OB History S2'!G:G,'OB History S2'!B:B,A47)-Q47</f>
        <v>152</v>
      </c>
      <c r="S47" s="88">
        <f>LOOKUP(2, 1/('OB History S2'!$B:$B=A47), 'OB History S2'!$AC:$AC)</f>
        <v>0.57761904761904759</v>
      </c>
      <c r="T47" s="2">
        <f>COUNTIFS('OB History S2'!$B:$B,$A$47,'OB History S2'!K:K, 1)</f>
        <v>3</v>
      </c>
      <c r="U47" s="2">
        <f>COUNTIFS('OB History S2'!$B:$B,$A$47,'OB History S2'!L:L, 1)</f>
        <v>6</v>
      </c>
      <c r="V47" s="2">
        <f>COUNTIFS('OB History S2'!$B:$B,$A$47,'OB History S2'!M:M, 1)</f>
        <v>6</v>
      </c>
      <c r="W47" s="2">
        <f>COUNTIFS('OB History S2'!$B:$B,$A$47,'OB History S2'!N:N, 1)</f>
        <v>7</v>
      </c>
      <c r="X47" s="2">
        <f>COUNTIFS('OB History S2'!$B:$B,$A$47,'OB History S2'!O:O, 1)</f>
        <v>2</v>
      </c>
      <c r="Y47" s="2">
        <f>COUNTIFS('OB History S2'!$B:$B,$A$47,'OB History S2'!P:P, 1)</f>
        <v>2</v>
      </c>
      <c r="Z47" s="2">
        <f>COUNTIFS('OB History S2'!$B:$B,$A$47,'OB History S2'!Q:Q, 1)</f>
        <v>4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2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2</v>
      </c>
      <c r="AG47" s="2">
        <f>COUNTIFS('OB History S2'!$B:$B,$A$47,'OB History S2'!X:X, 1)</f>
        <v>7</v>
      </c>
      <c r="AH47" s="2">
        <f>COUNTIFS('OB History S2'!$B:$B,$A$47,'OB History S2'!Y:Y, 1)</f>
        <v>5</v>
      </c>
      <c r="AI47" s="2">
        <f>COUNTIFS('OB History S2'!$B:$B,$A$47,'OB History S2'!Z:Z, 1)</f>
        <v>3</v>
      </c>
    </row>
    <row r="48" spans="1:35" x14ac:dyDescent="0.25">
      <c r="A48" s="2" t="s">
        <v>18</v>
      </c>
      <c r="B48" s="2" t="s">
        <v>60</v>
      </c>
      <c r="C48" s="2" t="s">
        <v>79</v>
      </c>
      <c r="D48" s="3">
        <v>6</v>
      </c>
      <c r="E48" s="2">
        <v>4</v>
      </c>
      <c r="F48" s="2"/>
      <c r="G48" s="2">
        <v>1</v>
      </c>
      <c r="H48" s="34">
        <f>SUMIFS('OB History S2'!C:C,'OB History S2'!B:B,A48)</f>
        <v>594</v>
      </c>
      <c r="I48" s="4">
        <f>AVERAGEIFS('OB History S2'!C:C,'OB History S2'!B:B,A48)</f>
        <v>25.826086956521738</v>
      </c>
      <c r="J48" s="35">
        <f t="array" ref="J48">MAX(IF('OB History S2'!B:B=A48, 'OB History S2'!C:C))</f>
        <v>58</v>
      </c>
      <c r="K48" s="34">
        <f>COUNTIFS('OB History S2'!B:B,A48,'OB History S2'!D:D, 1)</f>
        <v>13</v>
      </c>
      <c r="L48" s="2">
        <f>COUNTIFS('OB History S2'!B:B,A48,'OB History S2'!D:D, 0)</f>
        <v>10</v>
      </c>
      <c r="M48" s="88">
        <f>LOOKUP(2, 1/('OB History S2'!$B:$B=A48), 'OB History S2'!$AD:$AD)</f>
        <v>0.56521739130434778</v>
      </c>
      <c r="N48" s="34">
        <f>SUMIFS('OB History S2'!F:F,'OB History S2'!B:B,A48)</f>
        <v>49</v>
      </c>
      <c r="O48" s="2">
        <f>SUMIFS('OB History S2'!E:E,'OB History S2'!B:B,A48)-N48</f>
        <v>43</v>
      </c>
      <c r="P48" s="88">
        <f>LOOKUP(2, 1/('OB History S2'!$B:$B=A48), 'OB History S2'!$AB:$AB)</f>
        <v>0.53260869565217395</v>
      </c>
      <c r="Q48" s="34">
        <f>SUMIFS('OB History S2'!H:H,'OB History S2'!B:B,A48)</f>
        <v>197</v>
      </c>
      <c r="R48" s="2">
        <f>SUMIFS('OB History S2'!G:G,'OB History S2'!B:B,A48)-Q48</f>
        <v>185</v>
      </c>
      <c r="S48" s="88">
        <f>LOOKUP(2, 1/('OB History S2'!$B:$B=A48), 'OB History S2'!$AC:$AC)</f>
        <v>0.52217391304347838</v>
      </c>
      <c r="T48" s="2">
        <f>COUNTIFS('OB History S2'!$B:$B,$A$48,'OB History S2'!K:K, 1)</f>
        <v>4</v>
      </c>
      <c r="U48" s="2">
        <f>COUNTIFS('OB History S2'!$B:$B,$A$48,'OB History S2'!L:L, 1)</f>
        <v>4</v>
      </c>
      <c r="V48" s="2">
        <f>COUNTIFS('OB History S2'!$B:$B,$A$48,'OB History S2'!M:M, 1)</f>
        <v>2</v>
      </c>
      <c r="W48" s="2">
        <f>COUNTIFS('OB History S2'!$B:$B,$A$48,'OB History S2'!N:N, 1)</f>
        <v>7</v>
      </c>
      <c r="X48" s="2">
        <f>COUNTIFS('OB History S2'!$B:$B,$A$48,'OB History S2'!O:O, 1)</f>
        <v>2</v>
      </c>
      <c r="Y48" s="2">
        <f>COUNTIFS('OB History S2'!$B:$B,$A$48,'OB History S2'!P:P, 1)</f>
        <v>4</v>
      </c>
      <c r="Z48" s="2">
        <f>COUNTIFS('OB History S2'!$B:$B,$A$48,'OB History S2'!Q:Q, 1)</f>
        <v>3</v>
      </c>
      <c r="AA48" s="2">
        <f>COUNTIFS('OB History S2'!$B:$B,$A$48,'OB History S2'!R:R, 1)</f>
        <v>2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1</v>
      </c>
      <c r="AE48" s="2">
        <f>COUNTIFS('OB History S2'!$B:$B,$A$48,'OB History S2'!V:V, 1)</f>
        <v>0</v>
      </c>
      <c r="AF48" s="2">
        <f>COUNTIFS('OB History S2'!$B:$B,$A$48,'OB History S2'!W:W, 1)</f>
        <v>4</v>
      </c>
      <c r="AG48" s="2">
        <f>COUNTIFS('OB History S2'!$B:$B,$A$48,'OB History S2'!X:X, 1)</f>
        <v>6</v>
      </c>
      <c r="AH48" s="2">
        <f>COUNTIFS('OB History S2'!$B:$B,$A$48,'OB History S2'!Y:Y, 1)</f>
        <v>5</v>
      </c>
      <c r="AI48" s="2">
        <f>COUNTIFS('OB History S2'!$B:$B,$A$48,'OB History S2'!Z:Z, 1)</f>
        <v>5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352</v>
      </c>
      <c r="I49" s="4">
        <f>AVERAGEIFS('OB History S2'!C:C,'OB History S2'!B:B,A49)</f>
        <v>20.705882352941178</v>
      </c>
      <c r="J49" s="35">
        <f t="array" ref="J49">MAX(IF('OB History S2'!B:B=A49, 'OB History S2'!C:C))</f>
        <v>50</v>
      </c>
      <c r="K49" s="34">
        <f>COUNTIFS('OB History S2'!B:B,A49,'OB History S2'!D:D, 1)</f>
        <v>10</v>
      </c>
      <c r="L49" s="2">
        <f>COUNTIFS('OB History S2'!B:B,A49,'OB History S2'!D:D, 0)</f>
        <v>7</v>
      </c>
      <c r="M49" s="88">
        <f>LOOKUP(2, 1/('OB History S2'!$B:$B=A49), 'OB History S2'!$AD:$AD)</f>
        <v>0.58823529411764708</v>
      </c>
      <c r="N49" s="34">
        <f>SUMIFS('OB History S2'!F:F,'OB History S2'!B:B,A49)</f>
        <v>35</v>
      </c>
      <c r="O49" s="2">
        <f>SUMIFS('OB History S2'!E:E,'OB History S2'!B:B,A49)-N49</f>
        <v>29</v>
      </c>
      <c r="P49" s="88">
        <f>LOOKUP(2, 1/('OB History S2'!$B:$B=A49), 'OB History S2'!$AB:$AB)</f>
        <v>0.54999999999999993</v>
      </c>
      <c r="Q49" s="34">
        <f>SUMIFS('OB History S2'!H:H,'OB History S2'!B:B,A49)</f>
        <v>136</v>
      </c>
      <c r="R49" s="2">
        <f>SUMIFS('OB History S2'!G:G,'OB History S2'!B:B,A49)-Q49</f>
        <v>129</v>
      </c>
      <c r="S49" s="88">
        <f>LOOKUP(2, 1/('OB History S2'!$B:$B=A49), 'OB History S2'!$AC:$AC)</f>
        <v>0.51</v>
      </c>
      <c r="T49" s="2">
        <f>COUNTIFS('OB History S2'!$B:$B,$A$49,'OB History S2'!K:K, 1)</f>
        <v>0</v>
      </c>
      <c r="U49" s="2">
        <f>COUNTIFS('OB History S2'!$B:$B,$A$49,'OB History S2'!L:L, 1)</f>
        <v>6</v>
      </c>
      <c r="V49" s="2">
        <f>COUNTIFS('OB History S2'!$B:$B,$A$49,'OB History S2'!M:M, 1)</f>
        <v>3</v>
      </c>
      <c r="W49" s="2">
        <f>COUNTIFS('OB History S2'!$B:$B,$A$49,'OB History S2'!N:N, 1)</f>
        <v>4</v>
      </c>
      <c r="X49" s="2">
        <f>COUNTIFS('OB History S2'!$B:$B,$A$49,'OB History S2'!O:O, 1)</f>
        <v>1</v>
      </c>
      <c r="Y49" s="2">
        <f>COUNTIFS('OB History S2'!$B:$B,$A$49,'OB History S2'!P:P, 1)</f>
        <v>2</v>
      </c>
      <c r="Z49" s="2">
        <f>COUNTIFS('OB History S2'!$B:$B,$A$49,'OB History S2'!Q:Q, 1)</f>
        <v>2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1</v>
      </c>
      <c r="AF49" s="2">
        <f>COUNTIFS('OB History S2'!$B:$B,$A$49,'OB History S2'!W:W, 1)</f>
        <v>2</v>
      </c>
      <c r="AG49" s="2">
        <f>COUNTIFS('OB History S2'!$B:$B,$A$49,'OB History S2'!X:X, 1)</f>
        <v>5</v>
      </c>
      <c r="AH49" s="2">
        <f>COUNTIFS('OB History S2'!$B:$B,$A$49,'OB History S2'!Y:Y, 1)</f>
        <v>3</v>
      </c>
      <c r="AI49" s="2">
        <f>COUNTIFS('OB History S2'!$B:$B,$A$49,'OB History S2'!Z:Z, 1)</f>
        <v>6</v>
      </c>
    </row>
    <row r="50" spans="1:35" x14ac:dyDescent="0.25">
      <c r="A50" s="2" t="s">
        <v>169</v>
      </c>
      <c r="B50" s="2" t="s">
        <v>79</v>
      </c>
      <c r="C50" s="2" t="s">
        <v>79</v>
      </c>
      <c r="D50" s="3"/>
      <c r="E50" s="2"/>
      <c r="F50" s="2"/>
      <c r="G50" s="2"/>
      <c r="H50" s="34">
        <f>SUMIFS('OB History S2'!C:C,'OB History S2'!B:B,A50)</f>
        <v>2</v>
      </c>
      <c r="I50" s="4">
        <f>AVERAGEIFS('OB History S2'!C:C,'OB History S2'!B:B,A50)</f>
        <v>2</v>
      </c>
      <c r="J50" s="35">
        <f t="array" ref="J50">MAX(IF('OB History S2'!B:B=A50, 'OB History S2'!C:C))</f>
        <v>2</v>
      </c>
      <c r="K50" s="34">
        <f>COUNTIFS('OB History S2'!B:B,A50,'OB History S2'!D:D, 1)</f>
        <v>0</v>
      </c>
      <c r="L50" s="2">
        <f>COUNTIFS('OB History S2'!B:B,A50,'OB History S2'!D:D, 0)</f>
        <v>1</v>
      </c>
      <c r="M50" s="88">
        <f>LOOKUP(2, 1/('OB History S2'!$B:$B=A50), 'OB History S2'!$AD:$AD)</f>
        <v>0</v>
      </c>
      <c r="N50" s="34">
        <f>SUMIFS('OB History S2'!F:F,'OB History S2'!B:B,A50)</f>
        <v>2</v>
      </c>
      <c r="O50" s="2">
        <f>SUMIFS('OB History S2'!E:E,'OB History S2'!B:B,A50)-N50</f>
        <v>3</v>
      </c>
      <c r="P50" s="88">
        <f>LOOKUP(2, 1/('OB History S2'!$B:$B=A50), 'OB History S2'!$AB:$AB)</f>
        <v>0.4</v>
      </c>
      <c r="Q50" s="34">
        <f>SUMIFS('OB History S2'!H:H,'OB History S2'!B:B,A50)</f>
        <v>6</v>
      </c>
      <c r="R50" s="2">
        <f>SUMIFS('OB History S2'!G:G,'OB History S2'!B:B,A50)-Q50</f>
        <v>14</v>
      </c>
      <c r="S50" s="88">
        <f>LOOKUP(2, 1/('OB History S2'!$B:$B=A50), 'OB History S2'!$AC:$AC)</f>
        <v>0.3</v>
      </c>
      <c r="T50" s="2">
        <f>COUNTIFS('OB History S2'!$B:$B,$A$50,'OB History S2'!K:K, 1)</f>
        <v>0</v>
      </c>
      <c r="U50" s="2">
        <f>COUNTIFS('OB History S2'!$B:$B,$A$50,'OB History S2'!L:L, 1)</f>
        <v>0</v>
      </c>
      <c r="V50" s="2">
        <f>COUNTIFS('OB History S2'!$B:$B,$A$50,'OB History S2'!M:M, 1)</f>
        <v>0</v>
      </c>
      <c r="W50" s="2">
        <f>COUNTIFS('OB History S2'!$B:$B,$A$50,'OB History S2'!N:N, 1)</f>
        <v>0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0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1</v>
      </c>
      <c r="AG50" s="2">
        <f>COUNTIFS('OB History S2'!$B:$B,$A$50,'OB History S2'!X:X, 1)</f>
        <v>0</v>
      </c>
      <c r="AH50" s="2">
        <f>COUNTIFS('OB History S2'!$B:$B,$A$50,'OB History S2'!Y:Y, 1)</f>
        <v>1</v>
      </c>
      <c r="AI50" s="2">
        <f>COUNTIFS('OB History S2'!$B:$B,$A$50,'OB History S2'!Z:Z, 1)</f>
        <v>0</v>
      </c>
    </row>
    <row r="51" spans="1:35" x14ac:dyDescent="0.25">
      <c r="A51" s="2" t="s">
        <v>14</v>
      </c>
      <c r="B51" s="6" t="s">
        <v>124</v>
      </c>
      <c r="C51" s="6" t="s">
        <v>124</v>
      </c>
      <c r="D51" s="3">
        <v>6</v>
      </c>
      <c r="E51" s="6">
        <v>2</v>
      </c>
      <c r="F51" s="6"/>
      <c r="G51" s="6"/>
      <c r="H51" s="34">
        <f>SUMIFS('OB History S2'!C:C,'OB History S2'!B:B,A51)</f>
        <v>654</v>
      </c>
      <c r="I51" s="4">
        <f>AVERAGEIFS('OB History S2'!C:C,'OB History S2'!B:B,A51)</f>
        <v>21.8</v>
      </c>
      <c r="J51" s="35">
        <f t="array" ref="J51">MAX(IF('OB History S2'!B:B=A51, 'OB History S2'!C:C))</f>
        <v>54</v>
      </c>
      <c r="K51" s="34">
        <f>COUNTIFS('OB History S2'!B:B,A51,'OB History S2'!D:D, 1)</f>
        <v>11</v>
      </c>
      <c r="L51" s="2">
        <f>COUNTIFS('OB History S2'!B:B,A51,'OB History S2'!D:D, 0)</f>
        <v>19</v>
      </c>
      <c r="M51" s="88">
        <f>LOOKUP(2, 1/('OB History S2'!$B:$B=A51), 'OB History S2'!$AD:$AD)</f>
        <v>0.36666666666666664</v>
      </c>
      <c r="N51" s="34">
        <f>SUMIFS('OB History S2'!F:F,'OB History S2'!B:B,A51)</f>
        <v>49</v>
      </c>
      <c r="O51" s="2">
        <f>SUMIFS('OB History S2'!E:E,'OB History S2'!B:B,A51)-N51</f>
        <v>69</v>
      </c>
      <c r="P51" s="88">
        <f>LOOKUP(2, 1/('OB History S2'!$B:$B=A51), 'OB History S2'!$AB:$AB)</f>
        <v>0.4</v>
      </c>
      <c r="Q51" s="34">
        <f>SUMIFS('OB History S2'!H:H,'OB History S2'!B:B,A51)</f>
        <v>220</v>
      </c>
      <c r="R51" s="2">
        <f>SUMIFS('OB History S2'!G:G,'OB History S2'!B:B,A51)-Q51</f>
        <v>268</v>
      </c>
      <c r="S51" s="88">
        <f>LOOKUP(2, 1/('OB History S2'!$B:$B=A51), 'OB History S2'!$AC:$AC)</f>
        <v>0.44866666666666671</v>
      </c>
      <c r="T51" s="2">
        <f>COUNTIFS('OB History S2'!$B:$B,$A$51,'OB History S2'!K:K, 1)</f>
        <v>4</v>
      </c>
      <c r="U51" s="2">
        <f>COUNTIFS('OB History S2'!$B:$B,$A$51,'OB History S2'!L:L, 1)</f>
        <v>4</v>
      </c>
      <c r="V51" s="2">
        <f>COUNTIFS('OB History S2'!$B:$B,$A$51,'OB History S2'!M:M, 1)</f>
        <v>2</v>
      </c>
      <c r="W51" s="2">
        <f>COUNTIFS('OB History S2'!$B:$B,$A$51,'OB History S2'!N:N, 1)</f>
        <v>3</v>
      </c>
      <c r="X51" s="2">
        <f>COUNTIFS('OB History S2'!$B:$B,$A$51,'OB History S2'!O:O, 1)</f>
        <v>2</v>
      </c>
      <c r="Y51" s="2">
        <f>COUNTIFS('OB History S2'!$B:$B,$A$51,'OB History S2'!P:P, 1)</f>
        <v>2</v>
      </c>
      <c r="Z51" s="2">
        <f>COUNTIFS('OB History S2'!$B:$B,$A$51,'OB History S2'!Q:Q, 1)</f>
        <v>2</v>
      </c>
      <c r="AA51" s="2">
        <f>COUNTIFS('OB History S2'!$B:$B,$A$51,'OB History S2'!R:R, 1)</f>
        <v>1</v>
      </c>
      <c r="AB51" s="2">
        <f>COUNTIFS('OB History S2'!$B:$B,$A$51,'OB History S2'!S:S, 1)</f>
        <v>1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6</v>
      </c>
      <c r="AG51" s="2">
        <f>COUNTIFS('OB History S2'!$B:$B,$A$51,'OB History S2'!X:X, 1)</f>
        <v>12</v>
      </c>
      <c r="AH51" s="2">
        <f>COUNTIFS('OB History S2'!$B:$B,$A$51,'OB History S2'!Y:Y, 1)</f>
        <v>4</v>
      </c>
      <c r="AI51" s="2">
        <f>COUNTIFS('OB History S2'!$B:$B,$A$51,'OB History S2'!Z:Z, 1)</f>
        <v>6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6"/>
      <c r="F52" s="6"/>
      <c r="G52" s="6"/>
      <c r="H52" s="34">
        <f>SUMIFS('OB History S2'!C:C,'OB History S2'!B:B,A52)</f>
        <v>70</v>
      </c>
      <c r="I52" s="4">
        <f>AVERAGEIFS('OB History S2'!C:C,'OB History S2'!B:B,A52)</f>
        <v>17.5</v>
      </c>
      <c r="J52" s="35">
        <f t="array" ref="J52">MAX(IF('OB History S2'!B:B=A52, 'OB History S2'!C:C))</f>
        <v>27</v>
      </c>
      <c r="K52" s="34">
        <f>COUNTIFS('OB History S2'!B:B,A52,'OB History S2'!D:D, 1)</f>
        <v>3</v>
      </c>
      <c r="L52" s="2">
        <f>COUNTIFS('OB History S2'!B:B,A52,'OB History S2'!D:D, 0)</f>
        <v>1</v>
      </c>
      <c r="M52" s="88">
        <f>LOOKUP(2, 1/('OB History S2'!$B:$B=A52), 'OB History S2'!$AD:$AD)</f>
        <v>0.75</v>
      </c>
      <c r="N52" s="34">
        <f>SUMIFS('OB History S2'!F:F,'OB History S2'!B:B,A52)</f>
        <v>11</v>
      </c>
      <c r="O52" s="2">
        <f>SUMIFS('OB History S2'!E:E,'OB History S2'!B:B,A52)-N52</f>
        <v>7</v>
      </c>
      <c r="P52" s="88">
        <f>LOOKUP(2, 1/('OB History S2'!$B:$B=A52), 'OB History S2'!$AB:$AB)</f>
        <v>0.65</v>
      </c>
      <c r="Q52" s="34">
        <f>SUMIFS('OB History S2'!H:H,'OB History S2'!B:B,A52)</f>
        <v>41</v>
      </c>
      <c r="R52" s="2">
        <f>SUMIFS('OB History S2'!G:G,'OB History S2'!B:B,A52)-Q52</f>
        <v>34</v>
      </c>
      <c r="S52" s="88">
        <f>LOOKUP(2, 1/('OB History S2'!$B:$B=A52), 'OB History S2'!$AC:$AC)</f>
        <v>0.5575</v>
      </c>
      <c r="T52" s="2">
        <f>COUNTIFS('OB History S2'!$B:$B,$A$52,'OB History S2'!K:K, 1)</f>
        <v>1</v>
      </c>
      <c r="U52" s="2">
        <f>COUNTIFS('OB History S2'!$B:$B,$A$52,'OB History S2'!L:L, 1)</f>
        <v>0</v>
      </c>
      <c r="V52" s="2">
        <f>COUNTIFS('OB History S2'!$B:$B,$A$52,'OB History S2'!M:M, 1)</f>
        <v>0</v>
      </c>
      <c r="W52" s="2">
        <f>COUNTIFS('OB History S2'!$B:$B,$A$52,'OB History S2'!N:N, 1)</f>
        <v>0</v>
      </c>
      <c r="X52" s="2">
        <f>COUNTIFS('OB History S2'!$B:$B,$A$52,'OB History S2'!O:O, 1)</f>
        <v>2</v>
      </c>
      <c r="Y52" s="2">
        <f>COUNTIFS('OB History S2'!$B:$B,$A$52,'OB History S2'!P:P, 1)</f>
        <v>0</v>
      </c>
      <c r="Z52" s="2">
        <f>COUNTIFS('OB History S2'!$B:$B,$A$52,'OB History S2'!Q:Q, 1)</f>
        <v>0</v>
      </c>
      <c r="AA52" s="2">
        <f>COUNTIFS('OB History S2'!$B:$B,$A$52,'OB History S2'!R:R, 1)</f>
        <v>1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0</v>
      </c>
      <c r="AG52" s="2">
        <f>COUNTIFS('OB History S2'!$B:$B,$A$52,'OB History S2'!X:X, 1)</f>
        <v>3</v>
      </c>
      <c r="AH52" s="2">
        <f>COUNTIFS('OB History S2'!$B:$B,$A$52,'OB History S2'!Y:Y, 1)</f>
        <v>1</v>
      </c>
      <c r="AI52" s="2">
        <f>COUNTIFS('OB History S2'!$B:$B,$A$52,'OB History S2'!Z:Z, 1)</f>
        <v>3</v>
      </c>
    </row>
    <row r="53" spans="1:35" x14ac:dyDescent="0.25">
      <c r="A53" s="2" t="s">
        <v>4</v>
      </c>
      <c r="B53" s="2" t="s">
        <v>79</v>
      </c>
      <c r="C53" s="2" t="s">
        <v>79</v>
      </c>
      <c r="D53" s="3">
        <v>1</v>
      </c>
      <c r="E53" s="2"/>
      <c r="F53" s="2"/>
      <c r="G53" s="2"/>
      <c r="H53" s="34">
        <f>SUMIFS('OB History S2'!C:C,'OB History S2'!B:B,A53)</f>
        <v>247</v>
      </c>
      <c r="I53" s="4">
        <f>AVERAGEIFS('OB History S2'!C:C,'OB History S2'!B:B,A53)</f>
        <v>22.454545454545453</v>
      </c>
      <c r="J53" s="35">
        <f t="array" ref="J53">MAX(IF('OB History S2'!B:B=A53, 'OB History S2'!C:C))</f>
        <v>46</v>
      </c>
      <c r="K53" s="34">
        <f>COUNTIFS('OB History S2'!B:B,A53,'OB History S2'!D:D, 1)</f>
        <v>6</v>
      </c>
      <c r="L53" s="2">
        <f>COUNTIFS('OB History S2'!B:B,A53,'OB History S2'!D:D, 0)</f>
        <v>5</v>
      </c>
      <c r="M53" s="88">
        <f>LOOKUP(2, 1/('OB History S2'!$B:$B=A53), 'OB History S2'!$AD:$AD)</f>
        <v>0.54545454545454541</v>
      </c>
      <c r="N53" s="34">
        <f>SUMIFS('OB History S2'!F:F,'OB History S2'!B:B,A53)</f>
        <v>21</v>
      </c>
      <c r="O53" s="2">
        <f>SUMIFS('OB History S2'!E:E,'OB History S2'!B:B,A53)-N53</f>
        <v>23</v>
      </c>
      <c r="P53" s="88">
        <f>LOOKUP(2, 1/('OB History S2'!$B:$B=A53), 'OB History S2'!$AB:$AB)</f>
        <v>0.47272727272727272</v>
      </c>
      <c r="Q53" s="34">
        <f>SUMIFS('OB History S2'!H:H,'OB History S2'!B:B,A53)</f>
        <v>88</v>
      </c>
      <c r="R53" s="2">
        <f>SUMIFS('OB History S2'!G:G,'OB History S2'!B:B,A53)-Q53</f>
        <v>93</v>
      </c>
      <c r="S53" s="88">
        <f>LOOKUP(2, 1/('OB History S2'!$B:$B=A53), 'OB History S2'!$AC:$AC)</f>
        <v>0.47545454545454541</v>
      </c>
      <c r="T53" s="2">
        <f>COUNTIFS('OB History S2'!$B:$B,$A$53,'OB History S2'!K:K, 1)</f>
        <v>2</v>
      </c>
      <c r="U53" s="2">
        <f>COUNTIFS('OB History S2'!$B:$B,$A$53,'OB History S2'!L:L, 1)</f>
        <v>4</v>
      </c>
      <c r="V53" s="2">
        <f>COUNTIFS('OB History S2'!$B:$B,$A$53,'OB History S2'!M:M, 1)</f>
        <v>1</v>
      </c>
      <c r="W53" s="2">
        <f>COUNTIFS('OB History S2'!$B:$B,$A$53,'OB History S2'!N:N, 1)</f>
        <v>1</v>
      </c>
      <c r="X53" s="2">
        <f>COUNTIFS('OB History S2'!$B:$B,$A$53,'OB History S2'!O:O, 1)</f>
        <v>2</v>
      </c>
      <c r="Y53" s="2">
        <f>COUNTIFS('OB History S2'!$B:$B,$A$53,'OB History S2'!P:P, 1)</f>
        <v>1</v>
      </c>
      <c r="Z53" s="2">
        <f>COUNTIFS('OB History S2'!$B:$B,$A$53,'OB History S2'!Q:Q, 1)</f>
        <v>1</v>
      </c>
      <c r="AA53" s="2">
        <f>COUNTIFS('OB History S2'!$B:$B,$A$53,'OB History S2'!R:R, 1)</f>
        <v>0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2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2"/>
      <c r="E54" s="2"/>
      <c r="F54" s="2"/>
      <c r="G54" s="2"/>
      <c r="H54" s="34">
        <f>SUMIFS('OB History S2'!C:C,'OB History S2'!B:B,A54)</f>
        <v>88</v>
      </c>
      <c r="I54" s="4">
        <f>AVERAGEIFS('OB History S2'!C:C,'OB History S2'!B:B,A54)</f>
        <v>9.7777777777777786</v>
      </c>
      <c r="J54" s="35">
        <f t="array" ref="J54">MAX(IF('OB History S2'!B:B=A54, 'OB History S2'!C:C))</f>
        <v>20</v>
      </c>
      <c r="K54" s="34">
        <f>COUNTIFS('OB History S2'!B:B,A54,'OB History S2'!D:D, 1)</f>
        <v>5</v>
      </c>
      <c r="L54" s="2">
        <f>COUNTIFS('OB History S2'!B:B,A54,'OB History S2'!D:D, 0)</f>
        <v>4</v>
      </c>
      <c r="M54" s="88">
        <f>LOOKUP(2, 1/('OB History S2'!$B:$B=A54), 'OB History S2'!$AD:$AD)</f>
        <v>0.55555555555555558</v>
      </c>
      <c r="N54" s="34">
        <f>SUMIFS('OB History S2'!F:F,'OB History S2'!B:B,A54)</f>
        <v>19</v>
      </c>
      <c r="O54" s="2">
        <f>SUMIFS('OB History S2'!E:E,'OB History S2'!B:B,A54)-N54</f>
        <v>16</v>
      </c>
      <c r="P54" s="88">
        <f>LOOKUP(2, 1/('OB History S2'!$B:$B=A54), 'OB History S2'!$AB:$AB)</f>
        <v>0.55555555555555558</v>
      </c>
      <c r="Q54" s="34">
        <f>SUMIFS('OB History S2'!H:H,'OB History S2'!B:B,A54)</f>
        <v>80</v>
      </c>
      <c r="R54" s="2">
        <f>SUMIFS('OB History S2'!G:G,'OB History S2'!B:B,A54)-Q54</f>
        <v>65</v>
      </c>
      <c r="S54" s="88">
        <f>LOOKUP(2, 1/('OB History S2'!$B:$B=A54), 'OB History S2'!$AC:$AC)</f>
        <v>0.55333333333333323</v>
      </c>
      <c r="T54" s="2">
        <f>COUNTIFS('OB History S2'!$B:$B,$A$54,'OB History S2'!K:K, 1)</f>
        <v>1</v>
      </c>
      <c r="U54" s="2">
        <f>COUNTIFS('OB History S2'!$B:$B,$A$54,'OB History S2'!L:L, 1)</f>
        <v>2</v>
      </c>
      <c r="V54" s="2">
        <f>COUNTIFS('OB History S2'!$B:$B,$A$54,'OB History S2'!M:M, 1)</f>
        <v>0</v>
      </c>
      <c r="W54" s="2">
        <f>COUNTIFS('OB History S2'!$B:$B,$A$54,'OB History S2'!N:N, 1)</f>
        <v>3</v>
      </c>
      <c r="X54" s="2">
        <f>COUNTIFS('OB History S2'!$B:$B,$A$54,'OB History S2'!O:O, 1)</f>
        <v>0</v>
      </c>
      <c r="Y54" s="2">
        <f>COUNTIFS('OB History S2'!$B:$B,$A$54,'OB History S2'!P:P, 1)</f>
        <v>1</v>
      </c>
      <c r="Z54" s="2">
        <f>COUNTIFS('OB History S2'!$B:$B,$A$54,'OB History S2'!Q:Q, 1)</f>
        <v>1</v>
      </c>
      <c r="AA54" s="2">
        <f>COUNTIFS('OB History S2'!$B:$B,$A$54,'OB History S2'!R:R, 1)</f>
        <v>1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1</v>
      </c>
      <c r="AE54" s="2">
        <f>COUNTIFS('OB History S2'!$B:$B,$A$54,'OB History S2'!V:V, 1)</f>
        <v>0</v>
      </c>
      <c r="AF54" s="2">
        <f>COUNTIFS('OB History S2'!$B:$B,$A$54,'OB History S2'!W:W, 1)</f>
        <v>0</v>
      </c>
      <c r="AG54" s="2">
        <f>COUNTIFS('OB History S2'!$B:$B,$A$54,'OB History S2'!X:X, 1)</f>
        <v>4</v>
      </c>
      <c r="AH54" s="2">
        <f>COUNTIFS('OB History S2'!$B:$B,$A$54,'OB History S2'!Y:Y, 1)</f>
        <v>2</v>
      </c>
      <c r="AI54" s="2">
        <f>COUNTIFS('OB History S2'!$B:$B,$A$54,'OB History S2'!Z:Z, 1)</f>
        <v>3</v>
      </c>
    </row>
  </sheetData>
  <autoFilter ref="A1:AI53" xr:uid="{EEC03B8F-669F-4FC0-BA62-50F3D395660C}">
    <sortState xmlns:xlrd2="http://schemas.microsoft.com/office/spreadsheetml/2017/richdata2" ref="A2:AI54">
      <sortCondition ref="A1:A5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755"/>
  <sheetViews>
    <sheetView workbookViewId="0">
      <pane ySplit="1" topLeftCell="A737" activePane="bottomLeft" state="frozen"/>
      <selection pane="bottomLeft" activeCell="Z742" sqref="A742:Z75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B39" sqref="B39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362</v>
      </c>
      <c r="G2" s="66">
        <f>AVERAGEIFS('BA History'!C:C,'BA History'!B:B,A2)</f>
        <v>12.928571428571429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14</v>
      </c>
      <c r="K2" s="2">
        <f>COUNTIFS('BA History'!B:B,A2,'BA History'!D:D, 0)</f>
        <v>14</v>
      </c>
      <c r="L2" s="75">
        <f>LOOKUP(2, 1/('BA History'!$B:$B=A2), 'BA History'!$AK:$AK)</f>
        <v>0.5</v>
      </c>
      <c r="M2" s="34">
        <f>SUMIFS('BA History'!F:F,'BA History'!B:B,A2)</f>
        <v>60</v>
      </c>
      <c r="N2" s="2">
        <f>SUMIFS('BA History'!E:E,'BA History'!B:B,A2)-M2</f>
        <v>56</v>
      </c>
      <c r="O2" s="75">
        <f>LOOKUP(2, 1/('BA History'!$B:$B=A2), 'BA History'!$AI:$AI)</f>
        <v>0.52500000000000002</v>
      </c>
      <c r="P2" s="34">
        <f>SUMIFS('BA History'!H:H,'BA History'!B:B,A2)</f>
        <v>242</v>
      </c>
      <c r="Q2" s="2">
        <f>SUMIFS('BA History'!G:G,'BA History'!B:B,A2)-P2</f>
        <v>237</v>
      </c>
      <c r="R2" s="89">
        <f>LOOKUP(2, 1/('BA History'!$B:$B=A2), 'BA History'!$AJ:$AJ)</f>
        <v>0.50428571428571423</v>
      </c>
      <c r="S2" s="2">
        <f>COUNTIFS('BA History'!$B:$B,$A$2,'BA History'!K:K, 1)</f>
        <v>3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7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8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5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239</v>
      </c>
      <c r="G3" s="66">
        <f>AVERAGEIFS('BA History'!C:C,'BA History'!B:B,A3)</f>
        <v>15.933333333333334</v>
      </c>
      <c r="H3" s="66">
        <f t="array" ref="H3">MEDIAN(IF('BA History'!B:B=A3, 'BA History'!C:C))</f>
        <v>16</v>
      </c>
      <c r="I3" s="35">
        <f t="array" ref="I3">MAX(IF('BA History'!B:B=A3, 'BA History'!C:C))</f>
        <v>27</v>
      </c>
      <c r="J3" s="34">
        <f>COUNTIFS('BA History'!B:B,A3,'BA History'!D:D, 1)</f>
        <v>9</v>
      </c>
      <c r="K3" s="2">
        <f>COUNTIFS('BA History'!B:B,A3,'BA History'!D:D, 0)</f>
        <v>6</v>
      </c>
      <c r="L3" s="75">
        <f>LOOKUP(2, 1/('BA History'!$B:$B=A3), 'BA History'!$AK:$AK)</f>
        <v>0.6</v>
      </c>
      <c r="M3" s="34">
        <f>SUMIFS('BA History'!F:F,'BA History'!B:B,A3)</f>
        <v>36</v>
      </c>
      <c r="N3" s="2">
        <f>SUMIFS('BA History'!E:E,'BA History'!B:B,A3)-M3</f>
        <v>25</v>
      </c>
      <c r="O3" s="75">
        <f>LOOKUP(2, 1/('BA History'!$B:$B=A3), 'BA History'!$AI:$AI)</f>
        <v>0.60666666666666669</v>
      </c>
      <c r="P3" s="34">
        <f>SUMIFS('BA History'!H:H,'BA History'!B:B,A3)</f>
        <v>135</v>
      </c>
      <c r="Q3" s="2">
        <f>SUMIFS('BA History'!G:G,'BA History'!B:B,A3)-P3</f>
        <v>118</v>
      </c>
      <c r="R3" s="89">
        <f>LOOKUP(2, 1/('BA History'!$B:$B=A3), 'BA History'!$AJ:$AJ)</f>
        <v>0.53066666666666662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3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652</v>
      </c>
      <c r="G5" s="66">
        <f>AVERAGEIFS('BA History'!C:C,'BA History'!B:B,A5)</f>
        <v>15.902439024390244</v>
      </c>
      <c r="H5" s="66">
        <f t="array" ref="H5">MEDIAN(IF('BA History'!B:B=A5, 'BA History'!C:C))</f>
        <v>14</v>
      </c>
      <c r="I5" s="35">
        <f t="array" ref="I5">MAX(IF('BA History'!B:B=A5, 'BA History'!C:C))</f>
        <v>44</v>
      </c>
      <c r="J5" s="34">
        <f>COUNTIFS('BA History'!B:B,A5,'BA History'!D:D, 1)</f>
        <v>22</v>
      </c>
      <c r="K5" s="2">
        <f>COUNTIFS('BA History'!B:B,A5,'BA History'!D:D, 0)</f>
        <v>19</v>
      </c>
      <c r="L5" s="75">
        <f>LOOKUP(2, 1/('BA History'!$B:$B=A5), 'BA History'!$AK:$AK)</f>
        <v>0.53658536585365857</v>
      </c>
      <c r="M5" s="34">
        <f>SUMIFS('BA History'!F:F,'BA History'!B:B,A5)</f>
        <v>86</v>
      </c>
      <c r="N5" s="2">
        <f>SUMIFS('BA History'!E:E,'BA History'!B:B,A5)-M5</f>
        <v>85</v>
      </c>
      <c r="O5" s="75">
        <f>LOOKUP(2, 1/('BA History'!$B:$B=A5), 'BA History'!$AI:$AI)</f>
        <v>0.48780487804878048</v>
      </c>
      <c r="P5" s="34">
        <f>SUMIFS('BA History'!H:H,'BA History'!B:B,A5)</f>
        <v>352</v>
      </c>
      <c r="Q5" s="2">
        <f>SUMIFS('BA History'!G:G,'BA History'!B:B,A5)-P5</f>
        <v>362</v>
      </c>
      <c r="R5" s="89">
        <f>LOOKUP(2, 1/('BA History'!$B:$B=A5), 'BA History'!$AJ:$AJ)</f>
        <v>0.48536585365853646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6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2</v>
      </c>
      <c r="AD5" s="2">
        <f>COUNTIFS('BA History'!$B:$B,$A$5,'BA History'!V:V, 1)</f>
        <v>6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7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3</v>
      </c>
      <c r="AM5" s="2">
        <f>COUNTIFS('BA History'!$B:$B,$A$5,'BA History'!AE:AE, 1)</f>
        <v>7</v>
      </c>
      <c r="AN5" s="2">
        <f>COUNTIFS('BA History'!$B:$B,$A$5,'BA History'!AF:AF, 1)</f>
        <v>2</v>
      </c>
      <c r="AO5" s="2">
        <f>COUNTIFS('BA History'!$B:$B,$A$5,'BA History'!AG:AG, 1)</f>
        <v>6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10.177777777777777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19</v>
      </c>
      <c r="K7" s="2">
        <f>COUNTIFS('BA History'!B:B,A7,'BA History'!D:D, 0)</f>
        <v>26</v>
      </c>
      <c r="L7" s="75">
        <f>LOOKUP(2, 1/('BA History'!$B:$B=A7), 'BA History'!$AK:$AK)</f>
        <v>0.42222222222222222</v>
      </c>
      <c r="M7" s="34">
        <f>SUMIFS('BA History'!F:F,'BA History'!B:B,A7)</f>
        <v>86</v>
      </c>
      <c r="N7" s="2">
        <f>SUMIFS('BA History'!E:E,'BA History'!B:B,A7)-M7</f>
        <v>98</v>
      </c>
      <c r="O7" s="75">
        <f>LOOKUP(2, 1/('BA History'!$B:$B=A7), 'BA History'!$AI:$AI)</f>
        <v>0.45511111111111113</v>
      </c>
      <c r="P7" s="34">
        <f>SUMIFS('BA History'!H:H,'BA History'!B:B,A7)</f>
        <v>375</v>
      </c>
      <c r="Q7" s="2">
        <f>SUMIFS('BA History'!G:G,'BA History'!B:B,A7)-P7</f>
        <v>392</v>
      </c>
      <c r="R7" s="89">
        <f>LOOKUP(2, 1/('BA History'!$B:$B=A7), 'BA History'!$AJ:$AJ)</f>
        <v>0.4844444444444444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2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10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1117</v>
      </c>
      <c r="G9" s="66">
        <f>AVERAGEIFS('BA History'!C:C,'BA History'!B:B,A9)</f>
        <v>18.016129032258064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29</v>
      </c>
      <c r="K9" s="2">
        <f>COUNTIFS('BA History'!B:B,A9,'BA History'!D:D, 0)</f>
        <v>33</v>
      </c>
      <c r="L9" s="75">
        <f>LOOKUP(2, 1/('BA History'!$B:$B=A9), 'BA History'!$AK:$AK)</f>
        <v>0.46774193548387094</v>
      </c>
      <c r="M9" s="34">
        <f>SUMIFS('BA History'!F:F,'BA History'!B:B,A9)</f>
        <v>120</v>
      </c>
      <c r="N9" s="2">
        <f>SUMIFS('BA History'!E:E,'BA History'!B:B,A9)-M9</f>
        <v>133</v>
      </c>
      <c r="O9" s="75">
        <f>LOOKUP(2, 1/('BA History'!$B:$B=A9), 'BA History'!$AI:$AI)</f>
        <v>0.47177419354838712</v>
      </c>
      <c r="P9" s="34">
        <f>SUMIFS('BA History'!H:H,'BA History'!B:B,A9)</f>
        <v>502</v>
      </c>
      <c r="Q9" s="2">
        <f>SUMIFS('BA History'!G:G,'BA History'!B:B,A9)-P9</f>
        <v>548</v>
      </c>
      <c r="R9" s="89">
        <f>LOOKUP(2, 1/('BA History'!$B:$B=A9), 'BA History'!$AJ:$AJ)</f>
        <v>0.47112903225806441</v>
      </c>
      <c r="S9" s="2">
        <f>COUNTIFS('BA History'!$B:$B,$A$9,'BA History'!K:K, 1)</f>
        <v>9</v>
      </c>
      <c r="T9" s="2">
        <f>COUNTIFS('BA History'!$B:$B,$A$9,'BA History'!L:L, 1)</f>
        <v>9</v>
      </c>
      <c r="U9" s="2">
        <f>COUNTIFS('BA History'!$B:$B,$A$9,'BA History'!M:M, 1)</f>
        <v>7</v>
      </c>
      <c r="V9" s="2">
        <f>COUNTIFS('BA History'!$B:$B,$A$9,'BA History'!N:N, 1)</f>
        <v>11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15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279</v>
      </c>
      <c r="G10" s="66">
        <f>AVERAGEIFS('BA History'!C:C,'BA History'!B:B,A10)</f>
        <v>18.600000000000001</v>
      </c>
      <c r="H10" s="66">
        <f t="array" ref="H10">MEDIAN(IF('BA History'!B:B=A10, 'BA History'!C:C))</f>
        <v>20</v>
      </c>
      <c r="I10" s="35">
        <f t="array" ref="I10">MAX(IF('BA History'!B:B=A10, 'BA History'!C:C))</f>
        <v>30</v>
      </c>
      <c r="J10" s="34">
        <f>COUNTIFS('BA History'!B:B,A10,'BA History'!D:D, 1)</f>
        <v>7</v>
      </c>
      <c r="K10" s="2">
        <f>COUNTIFS('BA History'!B:B,A10,'BA History'!D:D, 0)</f>
        <v>8</v>
      </c>
      <c r="L10" s="75">
        <f>LOOKUP(2, 1/('BA History'!$B:$B=A10), 'BA History'!$AK:$AK)</f>
        <v>0.46666666666666667</v>
      </c>
      <c r="M10" s="34">
        <f>SUMIFS('BA History'!F:F,'BA History'!B:B,A10)</f>
        <v>32</v>
      </c>
      <c r="N10" s="2">
        <f>SUMIFS('BA History'!E:E,'BA History'!B:B,A10)-M10</f>
        <v>32</v>
      </c>
      <c r="O10" s="75">
        <f>LOOKUP(2, 1/('BA History'!$B:$B=A10), 'BA History'!$AI:$AI)</f>
        <v>0.5033333333333333</v>
      </c>
      <c r="P10" s="34">
        <f>SUMIFS('BA History'!H:H,'BA History'!B:B,A10)</f>
        <v>131</v>
      </c>
      <c r="Q10" s="2">
        <f>SUMIFS('BA History'!G:G,'BA History'!B:B,A10)-P10</f>
        <v>131</v>
      </c>
      <c r="R10" s="89">
        <f>LOOKUP(2, 1/('BA History'!$B:$B=A10), 'BA History'!$AJ:$AJ)</f>
        <v>0.5066666666666666</v>
      </c>
      <c r="S10" s="2">
        <f>COUNTIFS('BA History'!$B:$B,$A$10,'BA History'!K:K, 1)</f>
        <v>3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6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5</v>
      </c>
      <c r="AL10" s="2">
        <f>COUNTIFS('BA History'!$B:$B,$A$10,'BA History'!AD:AD, 1)</f>
        <v>0</v>
      </c>
      <c r="AM10" s="2">
        <f>COUNTIFS('BA History'!$B:$B,$A$10,'BA History'!AE:AE, 1)</f>
        <v>4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20</v>
      </c>
      <c r="G11" s="66">
        <f>AVERAGEIFS('BA History'!C:C,'BA History'!B:B,A11)</f>
        <v>3.3333333333333335</v>
      </c>
      <c r="H11" s="66">
        <f t="array" ref="H11">MEDIAN(IF('BA History'!B:B=A11, 'BA History'!C:C))</f>
        <v>3</v>
      </c>
      <c r="I11" s="35">
        <f t="array" ref="I11">MAX(IF('BA History'!B:B=A11, 'BA History'!C:C))</f>
        <v>6</v>
      </c>
      <c r="J11" s="34">
        <f>COUNTIFS('BA History'!B:B,A11,'BA History'!D:D, 1)</f>
        <v>5</v>
      </c>
      <c r="K11" s="2">
        <f>COUNTIFS('BA History'!B:B,A11,'BA History'!D:D, 0)</f>
        <v>1</v>
      </c>
      <c r="L11" s="75">
        <f>LOOKUP(2, 1/('BA History'!$B:$B=A11), 'BA History'!$AK:$AK)</f>
        <v>0.83333333333333337</v>
      </c>
      <c r="M11" s="34">
        <f>SUMIFS('BA History'!F:F,'BA History'!B:B,A11)</f>
        <v>16</v>
      </c>
      <c r="N11" s="2">
        <f>SUMIFS('BA History'!E:E,'BA History'!B:B,A11)-M11</f>
        <v>8</v>
      </c>
      <c r="O11" s="75">
        <f>LOOKUP(2, 1/('BA History'!$B:$B=A11), 'BA History'!$AI:$AI)</f>
        <v>0.68333333333333324</v>
      </c>
      <c r="P11" s="34">
        <f>SUMIFS('BA History'!H:H,'BA History'!B:B,A11)</f>
        <v>58</v>
      </c>
      <c r="Q11" s="2">
        <f>SUMIFS('BA History'!G:G,'BA History'!B:B,A11)-P11</f>
        <v>45</v>
      </c>
      <c r="R11" s="89">
        <f>LOOKUP(2, 1/('BA History'!$B:$B=A11), 'BA History'!$AJ:$AJ)</f>
        <v>0.57499999999999996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2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100</v>
      </c>
      <c r="G12" s="66">
        <f>AVERAGEIFS('BA History'!C:C,'BA History'!B:B,A12)</f>
        <v>12.5</v>
      </c>
      <c r="H12" s="66">
        <f t="array" ref="H12">MEDIAN(IF('BA History'!B:B=A12, 'BA History'!C:C))</f>
        <v>11</v>
      </c>
      <c r="I12" s="35">
        <f t="array" ref="I12">MAX(IF('BA History'!B:B=A12, 'BA History'!C:C))</f>
        <v>29</v>
      </c>
      <c r="J12" s="34">
        <f>COUNTIFS('BA History'!B:B,A12,'BA History'!D:D, 1)</f>
        <v>5</v>
      </c>
      <c r="K12" s="2">
        <f>COUNTIFS('BA History'!B:B,A12,'BA History'!D:D, 0)</f>
        <v>3</v>
      </c>
      <c r="L12" s="75">
        <f>LOOKUP(2, 1/('BA History'!$B:$B=A12), 'BA History'!$AK:$AK)</f>
        <v>0.625</v>
      </c>
      <c r="M12" s="34">
        <f>SUMIFS('BA History'!F:F,'BA History'!B:B,A12)</f>
        <v>19</v>
      </c>
      <c r="N12" s="2">
        <f>SUMIFS('BA History'!E:E,'BA History'!B:B,A12)-M12</f>
        <v>12</v>
      </c>
      <c r="O12" s="75">
        <f>LOOKUP(2, 1/('BA History'!$B:$B=A12), 'BA History'!$AI:$AI)</f>
        <v>0.64375000000000004</v>
      </c>
      <c r="P12" s="34">
        <f>SUMIFS('BA History'!H:H,'BA History'!B:B,A12)</f>
        <v>72</v>
      </c>
      <c r="Q12" s="2">
        <f>SUMIFS('BA History'!G:G,'BA History'!B:B,A12)-P12</f>
        <v>53</v>
      </c>
      <c r="R12" s="89">
        <f>LOOKUP(2, 1/('BA History'!$B:$B=A12), 'BA History'!$AJ:$AJ)</f>
        <v>0.60875000000000012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3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2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262</v>
      </c>
      <c r="G13" s="66">
        <f>AVERAGEIFS('BA History'!C:C,'BA History'!B:B,A13)</f>
        <v>13.1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11</v>
      </c>
      <c r="K13" s="2">
        <f>COUNTIFS('BA History'!B:B,A13,'BA History'!D:D, 0)</f>
        <v>9</v>
      </c>
      <c r="L13" s="75">
        <f>LOOKUP(2, 1/('BA History'!$B:$B=A13), 'BA History'!$AK:$AK)</f>
        <v>0.55000000000000004</v>
      </c>
      <c r="M13" s="34">
        <f>SUMIFS('BA History'!F:F,'BA History'!B:B,A13)</f>
        <v>45</v>
      </c>
      <c r="N13" s="2">
        <f>SUMIFS('BA History'!E:E,'BA History'!B:B,A13)-M13</f>
        <v>43</v>
      </c>
      <c r="O13" s="75">
        <f>LOOKUP(2, 1/('BA History'!$B:$B=A13), 'BA History'!$AI:$AI)</f>
        <v>0.51</v>
      </c>
      <c r="P13" s="34">
        <f>SUMIFS('BA History'!H:H,'BA History'!B:B,A13)</f>
        <v>182</v>
      </c>
      <c r="Q13" s="2">
        <f>SUMIFS('BA History'!G:G,'BA History'!B:B,A13)-P13</f>
        <v>181</v>
      </c>
      <c r="R13" s="89">
        <f>LOOKUP(2, 1/('BA History'!$B:$B=A13), 'BA History'!$AJ:$AJ)</f>
        <v>0.50299999999999989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4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5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195</v>
      </c>
      <c r="G14" s="66">
        <f>AVERAGEIFS('BA History'!C:C,'BA History'!B:B,A14)</f>
        <v>12.1875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5</v>
      </c>
      <c r="K14" s="2">
        <f>COUNTIFS('BA History'!B:B,A14,'BA History'!D:D, 0)</f>
        <v>11</v>
      </c>
      <c r="L14" s="75">
        <f>LOOKUP(2, 1/('BA History'!$B:$B=A14), 'BA History'!$AK:$AK)</f>
        <v>0.3125</v>
      </c>
      <c r="M14" s="34">
        <f>SUMIFS('BA History'!F:F,'BA History'!B:B,A14)</f>
        <v>24</v>
      </c>
      <c r="N14" s="2">
        <f>SUMIFS('BA History'!E:E,'BA History'!B:B,A14)-M14</f>
        <v>40</v>
      </c>
      <c r="O14" s="75">
        <f>LOOKUP(2, 1/('BA History'!$B:$B=A14), 'BA History'!$AI:$AI)</f>
        <v>0.35000000000000003</v>
      </c>
      <c r="P14" s="34">
        <f>SUMIFS('BA History'!H:H,'BA History'!B:B,A14)</f>
        <v>121</v>
      </c>
      <c r="Q14" s="2">
        <f>SUMIFS('BA History'!G:G,'BA History'!B:B,A14)-P14</f>
        <v>148</v>
      </c>
      <c r="R14" s="89">
        <f>LOOKUP(2, 1/('BA History'!$B:$B=A14), 'BA History'!$AJ:$AJ)</f>
        <v>0.42500000000000004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1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1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211</v>
      </c>
      <c r="G15" s="66">
        <f>AVERAGEIFS('BA History'!C:C,'BA History'!B:B,A15)</f>
        <v>12.411764705882353</v>
      </c>
      <c r="H15" s="66">
        <f t="array" ref="H15">MEDIAN(IF('BA History'!B:B=A15, 'BA History'!C:C))</f>
        <v>13</v>
      </c>
      <c r="I15" s="35">
        <f t="array" ref="I15">MAX(IF('BA History'!B:B=A15, 'BA History'!C:C))</f>
        <v>20</v>
      </c>
      <c r="J15" s="34">
        <f>COUNTIFS('BA History'!B:B,A15,'BA History'!D:D, 1)</f>
        <v>7</v>
      </c>
      <c r="K15" s="2">
        <f>COUNTIFS('BA History'!B:B,A15,'BA History'!D:D, 0)</f>
        <v>10</v>
      </c>
      <c r="L15" s="75">
        <f>LOOKUP(2, 1/('BA History'!$B:$B=A15), 'BA History'!$AK:$AK)</f>
        <v>0.41176470588235292</v>
      </c>
      <c r="M15" s="34">
        <f>SUMIFS('BA History'!F:F,'BA History'!B:B,A15)</f>
        <v>33</v>
      </c>
      <c r="N15" s="2">
        <f>SUMIFS('BA History'!E:E,'BA History'!B:B,A15)-M15</f>
        <v>38</v>
      </c>
      <c r="O15" s="75">
        <f>LOOKUP(2, 1/('BA History'!$B:$B=A15), 'BA History'!$AI:$AI)</f>
        <v>0.47058823529411764</v>
      </c>
      <c r="P15" s="34">
        <f>SUMIFS('BA History'!H:H,'BA History'!B:B,A15)</f>
        <v>132</v>
      </c>
      <c r="Q15" s="2">
        <f>SUMIFS('BA History'!G:G,'BA History'!B:B,A15)-P15</f>
        <v>160</v>
      </c>
      <c r="R15" s="89">
        <f>LOOKUP(2, 1/('BA History'!$B:$B=A15), 'BA History'!$AJ:$AJ)</f>
        <v>0.44647058823529406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3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4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4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5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274</v>
      </c>
      <c r="G17" s="66">
        <f>AVERAGEIFS('BA History'!C:C,'BA History'!B:B,A17)</f>
        <v>15.222222222222221</v>
      </c>
      <c r="H17" s="66">
        <f t="array" ref="H17">MEDIAN(IF('BA History'!B:B=A17, 'BA History'!C:C))</f>
        <v>13.5</v>
      </c>
      <c r="I17" s="35">
        <f t="array" ref="I17">MAX(IF('BA History'!B:B=A17, 'BA History'!C:C))</f>
        <v>37</v>
      </c>
      <c r="J17" s="34">
        <f>COUNTIFS('BA History'!B:B,A17,'BA History'!D:D, 1)</f>
        <v>7</v>
      </c>
      <c r="K17" s="2">
        <f>COUNTIFS('BA History'!B:B,A17,'BA History'!D:D, 0)</f>
        <v>11</v>
      </c>
      <c r="L17" s="75">
        <f>LOOKUP(2, 1/('BA History'!$B:$B=A17), 'BA History'!$AK:$AK)</f>
        <v>0.3888888888888889</v>
      </c>
      <c r="M17" s="34">
        <f>SUMIFS('BA History'!F:F,'BA History'!B:B,A17)</f>
        <v>36</v>
      </c>
      <c r="N17" s="2">
        <f>SUMIFS('BA History'!E:E,'BA History'!B:B,A17)-M17</f>
        <v>43</v>
      </c>
      <c r="O17" s="75">
        <f>LOOKUP(2, 1/('BA History'!$B:$B=A17), 'BA History'!$AI:$AI)</f>
        <v>0.43611111111111112</v>
      </c>
      <c r="P17" s="34">
        <f>SUMIFS('BA History'!H:H,'BA History'!B:B,A17)</f>
        <v>161</v>
      </c>
      <c r="Q17" s="2">
        <f>SUMIFS('BA History'!G:G,'BA History'!B:B,A17)-P17</f>
        <v>167</v>
      </c>
      <c r="R17" s="89">
        <f>LOOKUP(2, 1/('BA History'!$B:$B=A17), 'BA History'!$AJ:$AJ)</f>
        <v>0.48333333333333328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3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2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5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2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994</v>
      </c>
      <c r="G20" s="66">
        <f>AVERAGEIFS('BA History'!C:C,'BA History'!B:B,A20)</f>
        <v>18.072727272727274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26</v>
      </c>
      <c r="K20" s="2">
        <f>COUNTIFS('BA History'!B:B,A20,'BA History'!D:D, 0)</f>
        <v>29</v>
      </c>
      <c r="L20" s="75">
        <f>LOOKUP(2, 1/('BA History'!$B:$B=A20), 'BA History'!$AK:$AK)</f>
        <v>0.47272727272727272</v>
      </c>
      <c r="M20" s="34">
        <f>SUMIFS('BA History'!F:F,'BA History'!B:B,A20)</f>
        <v>108</v>
      </c>
      <c r="N20" s="2">
        <f>SUMIFS('BA History'!E:E,'BA History'!B:B,A20)-M20</f>
        <v>114</v>
      </c>
      <c r="O20" s="75">
        <f>LOOKUP(2, 1/('BA History'!$B:$B=A20), 'BA History'!$AI:$AI)</f>
        <v>0.48872727272727279</v>
      </c>
      <c r="P20" s="34">
        <f>SUMIFS('BA History'!H:H,'BA History'!B:B,A20)</f>
        <v>466</v>
      </c>
      <c r="Q20" s="2">
        <f>SUMIFS('BA History'!G:G,'BA History'!B:B,A20)-P20</f>
        <v>471</v>
      </c>
      <c r="R20" s="89">
        <f>LOOKUP(2, 1/('BA History'!$B:$B=A20), 'BA History'!$AJ:$AJ)</f>
        <v>0.50381818181818172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7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959</v>
      </c>
      <c r="G22" s="66">
        <f>AVERAGEIFS('BA History'!C:C,'BA History'!B:B,A22)</f>
        <v>16.53448275862069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34</v>
      </c>
      <c r="K22" s="2">
        <f>COUNTIFS('BA History'!B:B,A22,'BA History'!D:D, 0)</f>
        <v>24</v>
      </c>
      <c r="L22" s="75">
        <f>LOOKUP(2, 1/('BA History'!$B:$B=A22), 'BA History'!$AK:$AK)</f>
        <v>0.58620689655172409</v>
      </c>
      <c r="M22" s="34">
        <f>SUMIFS('BA History'!F:F,'BA History'!B:B,A22)</f>
        <v>125</v>
      </c>
      <c r="N22" s="2">
        <f>SUMIFS('BA History'!E:E,'BA History'!B:B,A22)-M22</f>
        <v>107</v>
      </c>
      <c r="O22" s="75">
        <f>LOOKUP(2, 1/('BA History'!$B:$B=A22), 'BA History'!$AI:$AI)</f>
        <v>0.53965517241379302</v>
      </c>
      <c r="P22" s="34">
        <f>SUMIFS('BA History'!H:H,'BA History'!B:B,A22)</f>
        <v>511</v>
      </c>
      <c r="Q22" s="2">
        <f>SUMIFS('BA History'!G:G,'BA History'!B:B,A22)-P22</f>
        <v>461</v>
      </c>
      <c r="R22" s="89">
        <f>LOOKUP(2, 1/('BA History'!$B:$B=A22), 'BA History'!$AJ:$AJ)</f>
        <v>0.53258620689655189</v>
      </c>
      <c r="S22" s="2">
        <f>COUNTIFS('BA History'!$B:$B,$A$22,'BA History'!K:K, 1)</f>
        <v>7</v>
      </c>
      <c r="T22" s="2">
        <f>COUNTIFS('BA History'!$B:$B,$A$22,'BA History'!L:L, 1)</f>
        <v>5</v>
      </c>
      <c r="U22" s="2">
        <f>COUNTIFS('BA History'!$B:$B,$A$22,'BA History'!M:M, 1)</f>
        <v>14</v>
      </c>
      <c r="V22" s="2">
        <f>COUNTIFS('BA History'!$B:$B,$A$22,'BA History'!N:N, 1)</f>
        <v>12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6</v>
      </c>
      <c r="AM22" s="2">
        <f>COUNTIFS('BA History'!$B:$B,$A$22,'BA History'!AE:AE, 1)</f>
        <v>10</v>
      </c>
      <c r="AN22" s="2">
        <f>COUNTIFS('BA History'!$B:$B,$A$22,'BA History'!AF:AF, 1)</f>
        <v>1</v>
      </c>
      <c r="AO22" s="2">
        <f>COUNTIFS('BA History'!$B:$B,$A$22,'BA History'!AG:AG, 1)</f>
        <v>14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1238</v>
      </c>
      <c r="G24" s="66">
        <f>AVERAGEIFS('BA History'!C:C,'BA History'!B:B,A24)</f>
        <v>26.913043478260871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24</v>
      </c>
      <c r="K24" s="2">
        <f>COUNTIFS('BA History'!B:B,A24,'BA History'!D:D, 0)</f>
        <v>22</v>
      </c>
      <c r="L24" s="75">
        <f>LOOKUP(2, 1/('BA History'!$B:$B=A24), 'BA History'!$AK:$AK)</f>
        <v>0.52173913043478259</v>
      </c>
      <c r="M24" s="34">
        <f>SUMIFS('BA History'!F:F,'BA History'!B:B,A24)</f>
        <v>92</v>
      </c>
      <c r="N24" s="2">
        <f>SUMIFS('BA History'!E:E,'BA History'!B:B,A24)-M24</f>
        <v>92</v>
      </c>
      <c r="O24" s="75">
        <f>LOOKUP(2, 1/('BA History'!$B:$B=A24), 'BA History'!$AI:$AI)</f>
        <v>0.49347826086956526</v>
      </c>
      <c r="P24" s="34">
        <f>SUMIFS('BA History'!H:H,'BA History'!B:B,A24)</f>
        <v>378</v>
      </c>
      <c r="Q24" s="2">
        <f>SUMIFS('BA History'!G:G,'BA History'!B:B,A24)-P24</f>
        <v>383</v>
      </c>
      <c r="R24" s="89">
        <f>LOOKUP(2, 1/('BA History'!$B:$B=A24), 'BA History'!$AJ:$AJ)</f>
        <v>0.49869565217391315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8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7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747</v>
      </c>
      <c r="G26" s="66">
        <f>AVERAGEIFS('BA History'!C:C,'BA History'!B:B,A26)</f>
        <v>19.657894736842106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23</v>
      </c>
      <c r="K26" s="2">
        <f>COUNTIFS('BA History'!B:B,A26,'BA History'!D:D, 0)</f>
        <v>15</v>
      </c>
      <c r="L26" s="75">
        <f>LOOKUP(2, 1/('BA History'!$B:$B=A26), 'BA History'!$AK:$AK)</f>
        <v>0.60526315789473684</v>
      </c>
      <c r="M26" s="34">
        <f>SUMIFS('BA History'!F:F,'BA History'!B:B,A26)</f>
        <v>86</v>
      </c>
      <c r="N26" s="2">
        <f>SUMIFS('BA History'!E:E,'BA History'!B:B,A26)-M26</f>
        <v>70</v>
      </c>
      <c r="O26" s="75">
        <f>LOOKUP(2, 1/('BA History'!$B:$B=A26), 'BA History'!$AI:$AI)</f>
        <v>0.5552631578947369</v>
      </c>
      <c r="P26" s="34">
        <f>SUMIFS('BA History'!H:H,'BA History'!B:B,A26)</f>
        <v>339</v>
      </c>
      <c r="Q26" s="2">
        <f>SUMIFS('BA History'!G:G,'BA History'!B:B,A26)-P26</f>
        <v>299</v>
      </c>
      <c r="R26" s="89">
        <f>LOOKUP(2, 1/('BA History'!$B:$B=A26), 'BA History'!$AJ:$AJ)</f>
        <v>0.54236842105263161</v>
      </c>
      <c r="S26" s="2">
        <f>COUNTIFS('BA History'!$B:$B,$A$26,'BA History'!K:K, 1)</f>
        <v>3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10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3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13</v>
      </c>
      <c r="AL26" s="2">
        <f>COUNTIFS('BA History'!$B:$B,$A$26,'BA History'!AD:AD, 1)</f>
        <v>2</v>
      </c>
      <c r="AM26" s="2">
        <f>COUNTIFS('BA History'!$B:$B,$A$26,'BA History'!AE:AE, 1)</f>
        <v>6</v>
      </c>
      <c r="AN26" s="2">
        <f>COUNTIFS('BA History'!$B:$B,$A$26,'BA History'!AF:AF, 1)</f>
        <v>0</v>
      </c>
      <c r="AO26" s="2">
        <f>COUNTIFS('BA History'!$B:$B,$A$26,'BA History'!AG:AG, 1)</f>
        <v>5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561</v>
      </c>
      <c r="G27" s="66">
        <f>AVERAGEIFS('BA History'!C:C,'BA History'!B:B,A27)</f>
        <v>17.53125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22</v>
      </c>
      <c r="L27" s="75">
        <f>LOOKUP(2, 1/('BA History'!$B:$B=A27), 'BA History'!$AK:$AK)</f>
        <v>0.3125</v>
      </c>
      <c r="M27" s="34">
        <f>SUMIFS('BA History'!F:F,'BA History'!B:B,A27)</f>
        <v>55</v>
      </c>
      <c r="N27" s="2">
        <f>SUMIFS('BA History'!E:E,'BA History'!B:B,A27)-M27</f>
        <v>81</v>
      </c>
      <c r="O27" s="75">
        <f>LOOKUP(2, 1/('BA History'!$B:$B=A27), 'BA History'!$AI:$AI)</f>
        <v>0.38437499999999997</v>
      </c>
      <c r="P27" s="34">
        <f>SUMIFS('BA History'!H:H,'BA History'!B:B,A27)</f>
        <v>253</v>
      </c>
      <c r="Q27" s="2">
        <f>SUMIFS('BA History'!G:G,'BA History'!B:B,A27)-P27</f>
        <v>309</v>
      </c>
      <c r="R27" s="89">
        <f>LOOKUP(2, 1/('BA History'!$B:$B=A27), 'BA History'!$AJ:$AJ)</f>
        <v>0.43437500000000001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499</v>
      </c>
      <c r="G29" s="66">
        <f>AVERAGEIFS('BA History'!C:C,'BA History'!B:B,A29)</f>
        <v>15.59375</v>
      </c>
      <c r="H29" s="66">
        <f t="array" ref="H29">MEDIAN(IF('BA History'!B:B=A29, 'BA History'!C:C))</f>
        <v>14.5</v>
      </c>
      <c r="I29" s="35">
        <f t="array" ref="I29">MAX(IF('BA History'!B:B=A29, 'BA History'!C:C))</f>
        <v>36</v>
      </c>
      <c r="J29" s="34">
        <f>COUNTIFS('BA History'!B:B,A29,'BA History'!D:D, 1)</f>
        <v>13</v>
      </c>
      <c r="K29" s="2">
        <f>COUNTIFS('BA History'!B:B,A29,'BA History'!D:D, 0)</f>
        <v>19</v>
      </c>
      <c r="L29" s="75">
        <f>LOOKUP(2, 1/('BA History'!$B:$B=A29), 'BA History'!$AK:$AK)</f>
        <v>0.40625</v>
      </c>
      <c r="M29" s="34">
        <f>SUMIFS('BA History'!F:F,'BA History'!B:B,A29)</f>
        <v>59</v>
      </c>
      <c r="N29" s="2">
        <f>SUMIFS('BA History'!E:E,'BA History'!B:B,A29)-M29</f>
        <v>64</v>
      </c>
      <c r="O29" s="75">
        <f>LOOKUP(2, 1/('BA History'!$B:$B=A29), 'BA History'!$AI:$AI)</f>
        <v>0.49218750000000006</v>
      </c>
      <c r="P29" s="34">
        <f>SUMIFS('BA History'!H:H,'BA History'!B:B,A29)</f>
        <v>246</v>
      </c>
      <c r="Q29" s="2">
        <f>SUMIFS('BA History'!G:G,'BA History'!B:B,A29)-P29</f>
        <v>258</v>
      </c>
      <c r="R29" s="89">
        <f>LOOKUP(2, 1/('BA History'!$B:$B=A29), 'BA History'!$AJ:$AJ)</f>
        <v>0.49343750000000008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11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5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76</v>
      </c>
      <c r="G31" s="66">
        <f>AVERAGEIFS('BA History'!C:C,'BA History'!B:B,A31)</f>
        <v>7.6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6</v>
      </c>
      <c r="L31" s="75">
        <f>LOOKUP(2, 1/('BA History'!$B:$B=A31), 'BA History'!$AK:$AK)</f>
        <v>0.4</v>
      </c>
      <c r="M31" s="34">
        <f>SUMIFS('BA History'!F:F,'BA History'!B:B,A31)</f>
        <v>21</v>
      </c>
      <c r="N31" s="2">
        <f>SUMIFS('BA History'!E:E,'BA History'!B:B,A31)-M31</f>
        <v>22</v>
      </c>
      <c r="O31" s="75">
        <f>LOOKUP(2, 1/('BA History'!$B:$B=A31), 'BA History'!$AI:$AI)</f>
        <v>0.505</v>
      </c>
      <c r="P31" s="34">
        <f>SUMIFS('BA History'!H:H,'BA History'!B:B,A31)</f>
        <v>84</v>
      </c>
      <c r="Q31" s="2">
        <f>SUMIFS('BA History'!G:G,'BA History'!B:B,A31)-P31</f>
        <v>87</v>
      </c>
      <c r="R31" s="89">
        <f>LOOKUP(2, 1/('BA History'!$B:$B=A31), 'BA History'!$AJ:$AJ)</f>
        <v>0.50800000000000001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230</v>
      </c>
      <c r="G32" s="66">
        <f>AVERAGEIFS('BA History'!C:C,'BA History'!B:B,A32)</f>
        <v>19.166666666666668</v>
      </c>
      <c r="H32" s="66">
        <f t="array" ref="H32">MEDIAN(IF('BA History'!B:B=A32, 'BA History'!C:C))</f>
        <v>20.5</v>
      </c>
      <c r="I32" s="35">
        <f t="array" ref="I32">MAX(IF('BA History'!B:B=A32, 'BA History'!C:C))</f>
        <v>27</v>
      </c>
      <c r="J32" s="34">
        <f>COUNTIFS('BA History'!B:B,A32,'BA History'!D:D, 1)</f>
        <v>4</v>
      </c>
      <c r="K32" s="2">
        <f>COUNTIFS('BA History'!B:B,A32,'BA History'!D:D, 0)</f>
        <v>8</v>
      </c>
      <c r="L32" s="75">
        <f>LOOKUP(2, 1/('BA History'!$B:$B=A32), 'BA History'!$AK:$AK)</f>
        <v>0.33333333333333331</v>
      </c>
      <c r="M32" s="34">
        <f>SUMIFS('BA History'!F:F,'BA History'!B:B,A32)</f>
        <v>22</v>
      </c>
      <c r="N32" s="2">
        <f>SUMIFS('BA History'!E:E,'BA History'!B:B,A32)-M32</f>
        <v>31</v>
      </c>
      <c r="O32" s="75">
        <f>LOOKUP(2, 1/('BA History'!$B:$B=A32), 'BA History'!$AI:$AI)</f>
        <v>0.38749999999999996</v>
      </c>
      <c r="P32" s="34">
        <f>SUMIFS('BA History'!H:H,'BA History'!B:B,A32)</f>
        <v>106</v>
      </c>
      <c r="Q32" s="2">
        <f>SUMIFS('BA History'!G:G,'BA History'!B:B,A32)-P32</f>
        <v>125</v>
      </c>
      <c r="R32" s="89">
        <f>LOOKUP(2, 1/('BA History'!$B:$B=A32), 'BA History'!$AJ:$AJ)</f>
        <v>0.45166666666666661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2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131</v>
      </c>
      <c r="G33" s="66">
        <f>AVERAGEIFS('BA History'!C:C,'BA History'!B:B,A33)</f>
        <v>8.7333333333333325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9</v>
      </c>
      <c r="L33" s="75">
        <f>LOOKUP(2, 1/('BA History'!$B:$B=A33), 'BA History'!$AK:$AK)</f>
        <v>0.4</v>
      </c>
      <c r="M33" s="34">
        <f>SUMIFS('BA History'!F:F,'BA History'!B:B,A33)</f>
        <v>26</v>
      </c>
      <c r="N33" s="2">
        <f>SUMIFS('BA History'!E:E,'BA History'!B:B,A33)-M33</f>
        <v>37</v>
      </c>
      <c r="O33" s="75">
        <f>LOOKUP(2, 1/('BA History'!$B:$B=A33), 'BA History'!$AI:$AI)</f>
        <v>0.38</v>
      </c>
      <c r="P33" s="34">
        <f>SUMIFS('BA History'!H:H,'BA History'!B:B,A33)</f>
        <v>118</v>
      </c>
      <c r="Q33" s="2">
        <f>SUMIFS('BA History'!G:G,'BA History'!B:B,A33)-P33</f>
        <v>143</v>
      </c>
      <c r="R33" s="89">
        <f>LOOKUP(2, 1/('BA History'!$B:$B=A33), 'BA History'!$AJ:$AJ)</f>
        <v>0.44133333333333324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3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217</v>
      </c>
      <c r="G34" s="66">
        <f>AVERAGEIFS('BA History'!C:C,'BA History'!B:B,A34)</f>
        <v>11.421052631578947</v>
      </c>
      <c r="H34" s="66">
        <f t="array" ref="H34">MEDIAN(IF('BA History'!B:B=A34, 'BA History'!C:C))</f>
        <v>10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8</v>
      </c>
      <c r="L34" s="75">
        <f>LOOKUP(2, 1/('BA History'!$B:$B=A34), 'BA History'!$AK:$AK)</f>
        <v>0.57894736842105265</v>
      </c>
      <c r="M34" s="34">
        <f>SUMIFS('BA History'!F:F,'BA History'!B:B,A34)</f>
        <v>41</v>
      </c>
      <c r="N34" s="2">
        <f>SUMIFS('BA History'!E:E,'BA History'!B:B,A34)-M34</f>
        <v>38</v>
      </c>
      <c r="O34" s="75">
        <f>LOOKUP(2, 1/('BA History'!$B:$B=A34), 'BA History'!$AI:$AI)</f>
        <v>0.51052631578947361</v>
      </c>
      <c r="P34" s="34">
        <f>SUMIFS('BA History'!H:H,'BA History'!B:B,A34)</f>
        <v>168</v>
      </c>
      <c r="Q34" s="2">
        <f>SUMIFS('BA History'!G:G,'BA History'!B:B,A34)-P34</f>
        <v>172</v>
      </c>
      <c r="R34" s="89">
        <f>LOOKUP(2, 1/('BA History'!$B:$B=A34), 'BA History'!$AJ:$AJ)</f>
        <v>0.49473684210526309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2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622</v>
      </c>
      <c r="G38" s="66">
        <f>AVERAGEIFS('BA History'!C:C,'BA History'!B:B,A38)</f>
        <v>16.810810810810811</v>
      </c>
      <c r="H38" s="66">
        <f t="array" ref="H38">MEDIAN(IF('BA History'!B:B=A38, 'BA History'!C:C))</f>
        <v>16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22</v>
      </c>
      <c r="L38" s="75">
        <f>LOOKUP(2, 1/('BA History'!$B:$B=A38), 'BA History'!$AK:$AK)</f>
        <v>0.40540540540540543</v>
      </c>
      <c r="M38" s="34">
        <f>SUMIFS('BA History'!F:F,'BA History'!B:B,A38)</f>
        <v>69</v>
      </c>
      <c r="N38" s="2">
        <f>SUMIFS('BA History'!E:E,'BA History'!B:B,A38)-M38</f>
        <v>78</v>
      </c>
      <c r="O38" s="75">
        <f>LOOKUP(2, 1/('BA History'!$B:$B=A38), 'BA History'!$AI:$AI)</f>
        <v>0.47297297297297297</v>
      </c>
      <c r="P38" s="34">
        <f>SUMIFS('BA History'!H:H,'BA History'!B:B,A38)</f>
        <v>303</v>
      </c>
      <c r="Q38" s="2">
        <f>SUMIFS('BA History'!G:G,'BA History'!B:B,A38)-P38</f>
        <v>323</v>
      </c>
      <c r="R38" s="89">
        <f>LOOKUP(2, 1/('BA History'!$B:$B=A38), 'BA History'!$AJ:$AJ)</f>
        <v>0.49189189189189197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7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1416</v>
      </c>
      <c r="G39" s="66">
        <f>AVERAGEIFS('BA History'!C:C,'BA History'!B:B,A39)</f>
        <v>24.413793103448278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28</v>
      </c>
      <c r="K39" s="2">
        <f>COUNTIFS('BA History'!B:B,A39,'BA History'!D:D, 0)</f>
        <v>30</v>
      </c>
      <c r="L39" s="75">
        <f>LOOKUP(2, 1/('BA History'!$B:$B=A39), 'BA History'!$AK:$AK)</f>
        <v>0.48275862068965519</v>
      </c>
      <c r="M39" s="34">
        <f>SUMIFS('BA History'!F:F,'BA History'!B:B,A39)</f>
        <v>117</v>
      </c>
      <c r="N39" s="2">
        <f>SUMIFS('BA History'!E:E,'BA History'!B:B,A39)-M39</f>
        <v>115</v>
      </c>
      <c r="O39" s="75">
        <f>LOOKUP(2, 1/('BA History'!$B:$B=A39), 'BA History'!$AI:$AI)</f>
        <v>0.50913793103448268</v>
      </c>
      <c r="P39" s="34">
        <f>SUMIFS('BA History'!H:H,'BA History'!B:B,A39)</f>
        <v>504</v>
      </c>
      <c r="Q39" s="2">
        <f>SUMIFS('BA History'!G:G,'BA History'!B:B,A39)-P39</f>
        <v>466</v>
      </c>
      <c r="R39" s="89">
        <f>LOOKUP(2, 1/('BA History'!$B:$B=A39), 'BA History'!$AJ:$AJ)</f>
        <v>0.52810344827586209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11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5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11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20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1790</v>
      </c>
      <c r="G40" s="66">
        <f>AVERAGEIFS('BA History'!C:C,'BA History'!B:B,A40)</f>
        <v>23.55263157894737</v>
      </c>
      <c r="H40" s="66">
        <f t="array" ref="H40">MEDIAN(IF('BA History'!B:B=A40, 'BA History'!C:C))</f>
        <v>23.5</v>
      </c>
      <c r="I40" s="35">
        <f t="array" ref="I40">MAX(IF('BA History'!B:B=A40, 'BA History'!C:C))</f>
        <v>47</v>
      </c>
      <c r="J40" s="34">
        <f>COUNTIFS('BA History'!B:B,A40,'BA History'!D:D, 1)</f>
        <v>41</v>
      </c>
      <c r="K40" s="2">
        <f>COUNTIFS('BA History'!B:B,A40,'BA History'!D:D, 0)</f>
        <v>35</v>
      </c>
      <c r="L40" s="75">
        <f>LOOKUP(2, 1/('BA History'!$B:$B=A40), 'BA History'!$AK:$AK)</f>
        <v>0.53947368421052633</v>
      </c>
      <c r="M40" s="34">
        <f>SUMIFS('BA History'!F:F,'BA History'!B:B,A40)</f>
        <v>162</v>
      </c>
      <c r="N40" s="2">
        <f>SUMIFS('BA History'!E:E,'BA History'!B:B,A40)-M40</f>
        <v>147</v>
      </c>
      <c r="O40" s="75">
        <f>LOOKUP(2, 1/('BA History'!$B:$B=A40), 'BA History'!$AI:$AI)</f>
        <v>0.52394736842105261</v>
      </c>
      <c r="P40" s="34">
        <f>SUMIFS('BA History'!H:H,'BA History'!B:B,A40)</f>
        <v>653</v>
      </c>
      <c r="Q40" s="2">
        <f>SUMIFS('BA History'!G:G,'BA History'!B:B,A40)-P40</f>
        <v>632</v>
      </c>
      <c r="R40" s="89">
        <f>LOOKUP(2, 1/('BA History'!$B:$B=A40), 'BA History'!$AJ:$AJ)</f>
        <v>0.50815789473684214</v>
      </c>
      <c r="S40" s="2">
        <f>COUNTIFS('BA History'!$B:$B,$A$40,'BA History'!K:K, 1)</f>
        <v>8</v>
      </c>
      <c r="T40" s="2">
        <f>COUNTIFS('BA History'!$B:$B,$A$40,'BA History'!L:L, 1)</f>
        <v>12</v>
      </c>
      <c r="U40" s="2">
        <f>COUNTIFS('BA History'!$B:$B,$A$40,'BA History'!M:M, 1)</f>
        <v>13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16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9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803</v>
      </c>
      <c r="G41" s="66">
        <f>AVERAGEIFS('BA History'!C:C,'BA History'!B:B,A41)</f>
        <v>19.585365853658537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25</v>
      </c>
      <c r="K41" s="2">
        <f>COUNTIFS('BA History'!B:B,A41,'BA History'!D:D, 0)</f>
        <v>16</v>
      </c>
      <c r="L41" s="75">
        <f>LOOKUP(2, 1/('BA History'!$B:$B=A41), 'BA History'!$AK:$AK)</f>
        <v>0.6097560975609756</v>
      </c>
      <c r="M41" s="34">
        <f>SUMIFS('BA History'!F:F,'BA History'!B:B,A41)</f>
        <v>90</v>
      </c>
      <c r="N41" s="2">
        <f>SUMIFS('BA History'!E:E,'BA History'!B:B,A41)-M41</f>
        <v>74</v>
      </c>
      <c r="O41" s="75">
        <f>LOOKUP(2, 1/('BA History'!$B:$B=A41), 'BA History'!$AI:$AI)</f>
        <v>0.54926829268292676</v>
      </c>
      <c r="P41" s="34">
        <f>SUMIFS('BA History'!H:H,'BA History'!B:B,A41)</f>
        <v>361</v>
      </c>
      <c r="Q41" s="2">
        <f>SUMIFS('BA History'!G:G,'BA History'!B:B,A41)-P41</f>
        <v>333</v>
      </c>
      <c r="R41" s="89">
        <f>LOOKUP(2, 1/('BA History'!$B:$B=A41), 'BA History'!$AJ:$AJ)</f>
        <v>0.52390243902439038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9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691</v>
      </c>
      <c r="G44" s="66">
        <f>AVERAGEIFS('BA History'!C:C,'BA History'!B:B,A44)</f>
        <v>19.194444444444443</v>
      </c>
      <c r="H44" s="66">
        <f t="array" ref="H44">MEDIAN(IF('BA History'!B:B=A44, 'BA History'!C:C))</f>
        <v>15.5</v>
      </c>
      <c r="I44" s="35">
        <f t="array" ref="I44">MAX(IF('BA History'!B:B=A44, 'BA History'!C:C))</f>
        <v>43</v>
      </c>
      <c r="J44" s="34">
        <f>COUNTIFS('BA History'!B:B,A44,'BA History'!D:D, 1)</f>
        <v>22</v>
      </c>
      <c r="K44" s="2">
        <f>COUNTIFS('BA History'!B:B,A44,'BA History'!D:D, 0)</f>
        <v>14</v>
      </c>
      <c r="L44" s="75">
        <f>LOOKUP(2, 1/('BA History'!$B:$B=A44), 'BA History'!$AK:$AK)</f>
        <v>0.61111111111111116</v>
      </c>
      <c r="M44" s="34">
        <f>SUMIFS('BA History'!F:F,'BA History'!B:B,A44)</f>
        <v>76</v>
      </c>
      <c r="N44" s="2">
        <f>SUMIFS('BA History'!E:E,'BA History'!B:B,A44)-M44</f>
        <v>70</v>
      </c>
      <c r="O44" s="75">
        <f>LOOKUP(2, 1/('BA History'!$B:$B=A44), 'BA History'!$AI:$AI)</f>
        <v>0.5083333333333333</v>
      </c>
      <c r="P44" s="34">
        <f>SUMIFS('BA History'!H:H,'BA History'!B:B,A44)</f>
        <v>313</v>
      </c>
      <c r="Q44" s="2">
        <f>SUMIFS('BA History'!G:G,'BA History'!B:B,A44)-P44</f>
        <v>305</v>
      </c>
      <c r="R44" s="89">
        <f>LOOKUP(2, 1/('BA History'!$B:$B=A44), 'BA History'!$AJ:$AJ)</f>
        <v>0.50444444444444458</v>
      </c>
      <c r="S44" s="2">
        <f>COUNTIFS('BA History'!$B:$B,$A$44,'BA History'!K:K, 1)</f>
        <v>6</v>
      </c>
      <c r="T44" s="2">
        <f>COUNTIFS('BA History'!$B:$B,$A$44,'BA History'!L:L, 1)</f>
        <v>3</v>
      </c>
      <c r="U44" s="2">
        <f>COUNTIFS('BA History'!$B:$B,$A$44,'BA History'!M:M, 1)</f>
        <v>4</v>
      </c>
      <c r="V44" s="2">
        <f>COUNTIFS('BA History'!$B:$B,$A$44,'BA History'!N:N, 1)</f>
        <v>9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1</v>
      </c>
      <c r="AD44" s="2">
        <f>COUNTIFS('BA History'!$B:$B,$A$44,'BA History'!V:V, 1)</f>
        <v>4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7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13</v>
      </c>
      <c r="AL44" s="2">
        <f>COUNTIFS('BA History'!$B:$B,$A$44,'BA History'!AD:AD, 1)</f>
        <v>3</v>
      </c>
      <c r="AM44" s="2">
        <f>COUNTIFS('BA History'!$B:$B,$A$44,'BA History'!AE:AE, 1)</f>
        <v>7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1451</v>
      </c>
      <c r="G46" s="66">
        <f>AVERAGEIFS('BA History'!C:C,'BA History'!B:B,A46)</f>
        <v>18.602564102564102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32</v>
      </c>
      <c r="K46" s="2">
        <f>COUNTIFS('BA History'!B:B,A46,'BA History'!D:D, 0)</f>
        <v>46</v>
      </c>
      <c r="L46" s="75">
        <f>LOOKUP(2, 1/('BA History'!$B:$B=A46), 'BA History'!$AK:$AK)</f>
        <v>0.41025641025641024</v>
      </c>
      <c r="M46" s="34">
        <f>SUMIFS('BA History'!F:F,'BA History'!B:B,A46)</f>
        <v>151</v>
      </c>
      <c r="N46" s="2">
        <f>SUMIFS('BA History'!E:E,'BA History'!B:B,A46)-M46</f>
        <v>170</v>
      </c>
      <c r="O46" s="75">
        <f>LOOKUP(2, 1/('BA History'!$B:$B=A46), 'BA History'!$AI:$AI)</f>
        <v>0.47115384615384598</v>
      </c>
      <c r="P46" s="34">
        <f>SUMIFS('BA History'!H:H,'BA History'!B:B,A46)</f>
        <v>640</v>
      </c>
      <c r="Q46" s="2">
        <f>SUMIFS('BA History'!G:G,'BA History'!B:B,A46)-P46</f>
        <v>683</v>
      </c>
      <c r="R46" s="89">
        <f>LOOKUP(2, 1/('BA History'!$B:$B=A46), 'BA History'!$AJ:$AJ)</f>
        <v>0.48000000000000026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16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9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13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11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712</v>
      </c>
      <c r="G48" s="66">
        <f>AVERAGEIFS('BA History'!C:C,'BA History'!B:B,A48)</f>
        <v>15.148936170212766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26</v>
      </c>
      <c r="K48" s="2">
        <f>COUNTIFS('BA History'!B:B,A48,'BA History'!D:D, 0)</f>
        <v>21</v>
      </c>
      <c r="L48" s="75">
        <f>LOOKUP(2, 1/('BA History'!$B:$B=A48), 'BA History'!$AK:$AK)</f>
        <v>0.55319148936170215</v>
      </c>
      <c r="M48" s="34">
        <f>SUMIFS('BA History'!F:F,'BA History'!B:B,A48)</f>
        <v>105</v>
      </c>
      <c r="N48" s="2">
        <f>SUMIFS('BA History'!E:E,'BA History'!B:B,A48)-M48</f>
        <v>90</v>
      </c>
      <c r="O48" s="75">
        <f>LOOKUP(2, 1/('BA History'!$B:$B=A48), 'BA History'!$AI:$AI)</f>
        <v>0.55744680851063833</v>
      </c>
      <c r="P48" s="34">
        <f>SUMIFS('BA History'!H:H,'BA History'!B:B,A48)</f>
        <v>422</v>
      </c>
      <c r="Q48" s="2">
        <f>SUMIFS('BA History'!G:G,'BA History'!B:B,A48)-P48</f>
        <v>389</v>
      </c>
      <c r="R48" s="89">
        <f>LOOKUP(2, 1/('BA History'!$B:$B=A48), 'BA History'!$AJ:$AJ)</f>
        <v>0.5306382978723404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10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10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903</v>
      </c>
      <c r="G49" s="66">
        <f>AVERAGEIFS('BA History'!C:C,'BA History'!B:B,A49)</f>
        <v>20.066666666666666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21</v>
      </c>
      <c r="L49" s="75">
        <f>LOOKUP(2, 1/('BA History'!$B:$B=A49), 'BA History'!$AK:$AK)</f>
        <v>0.53333333333333333</v>
      </c>
      <c r="M49" s="34">
        <f>SUMIFS('BA History'!F:F,'BA History'!B:B,A49)</f>
        <v>93</v>
      </c>
      <c r="N49" s="2">
        <f>SUMIFS('BA History'!E:E,'BA History'!B:B,A49)-M49</f>
        <v>85</v>
      </c>
      <c r="O49" s="75">
        <f>LOOKUP(2, 1/('BA History'!$B:$B=A49), 'BA History'!$AI:$AI)</f>
        <v>0.52933333333333332</v>
      </c>
      <c r="P49" s="34">
        <f>SUMIFS('BA History'!H:H,'BA History'!B:B,A49)</f>
        <v>371</v>
      </c>
      <c r="Q49" s="2">
        <f>SUMIFS('BA History'!G:G,'BA History'!B:B,A49)-P49</f>
        <v>369</v>
      </c>
      <c r="R49" s="89">
        <f>LOOKUP(2, 1/('BA History'!$B:$B=A49), 'BA History'!$AJ:$AJ)</f>
        <v>0.49711111111111123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2118</v>
      </c>
      <c r="G53" s="66">
        <f>AVERAGEIFS('BA History'!C:C,'BA History'!B:B,A53)</f>
        <v>23.797752808988765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57</v>
      </c>
      <c r="K53" s="2">
        <f>COUNTIFS('BA History'!B:B,A53,'BA History'!D:D, 0)</f>
        <v>32</v>
      </c>
      <c r="L53" s="75">
        <f>LOOKUP(2, 1/('BA History'!$B:$B=A53), 'BA History'!$AK:$AK)</f>
        <v>0.6404494382022472</v>
      </c>
      <c r="M53" s="34">
        <f>SUMIFS('BA History'!F:F,'BA History'!B:B,A53)</f>
        <v>203</v>
      </c>
      <c r="N53" s="2">
        <f>SUMIFS('BA History'!E:E,'BA History'!B:B,A53)-M53</f>
        <v>158</v>
      </c>
      <c r="O53" s="75">
        <f>LOOKUP(2, 1/('BA History'!$B:$B=A53), 'BA History'!$AI:$AI)</f>
        <v>0.56550561797752819</v>
      </c>
      <c r="P53" s="34">
        <f>SUMIFS('BA History'!H:H,'BA History'!B:B,A53)</f>
        <v>796</v>
      </c>
      <c r="Q53" s="2">
        <f>SUMIFS('BA History'!G:G,'BA History'!B:B,A53)-P53</f>
        <v>709</v>
      </c>
      <c r="R53" s="89">
        <f>LOOKUP(2, 1/('BA History'!$B:$B=A53), 'BA History'!$AJ:$AJ)</f>
        <v>0.53022471910112345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13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8</v>
      </c>
      <c r="AH53" s="2">
        <f>COUNTIFS('BA History'!$B:$B,$A$53,'BA History'!Z:Z, 1)</f>
        <v>28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11</v>
      </c>
      <c r="AM53" s="2">
        <f>COUNTIFS('BA History'!$B:$B,$A$53,'BA History'!AE:AE, 1)</f>
        <v>13</v>
      </c>
      <c r="AN53" s="2">
        <f>COUNTIFS('BA History'!$B:$B,$A$53,'BA History'!AF:AF, 1)</f>
        <v>3</v>
      </c>
      <c r="AO53" s="2">
        <f>COUNTIFS('BA History'!$B:$B,$A$53,'BA History'!AG:AG, 1)</f>
        <v>16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987</v>
      </c>
      <c r="G56" s="66">
        <f>AVERAGEIFS('BA History'!C:C,'BA History'!B:B,A56)</f>
        <v>18.622641509433961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29</v>
      </c>
      <c r="K56" s="2">
        <f>COUNTIFS('BA History'!B:B,A56,'BA History'!D:D, 0)</f>
        <v>24</v>
      </c>
      <c r="L56" s="75">
        <f>LOOKUP(2, 1/('BA History'!$B:$B=A56), 'BA History'!$AK:$AK)</f>
        <v>0.54716981132075471</v>
      </c>
      <c r="M56" s="34">
        <f>SUMIFS('BA History'!F:F,'BA History'!B:B,A56)</f>
        <v>116</v>
      </c>
      <c r="N56" s="2">
        <f>SUMIFS('BA History'!E:E,'BA History'!B:B,A56)-M56</f>
        <v>99</v>
      </c>
      <c r="O56" s="75">
        <f>LOOKUP(2, 1/('BA History'!$B:$B=A56), 'BA History'!$AI:$AI)</f>
        <v>0.55094339622641508</v>
      </c>
      <c r="P56" s="34">
        <f>SUMIFS('BA History'!H:H,'BA History'!B:B,A56)</f>
        <v>456</v>
      </c>
      <c r="Q56" s="2">
        <f>SUMIFS('BA History'!G:G,'BA History'!B:B,A56)-P56</f>
        <v>430</v>
      </c>
      <c r="R56" s="89">
        <f>LOOKUP(2, 1/('BA History'!$B:$B=A56), 'BA History'!$AJ:$AJ)</f>
        <v>0.52207547169811319</v>
      </c>
      <c r="S56" s="2">
        <f>COUNTIFS('BA History'!$B:$B,$A$56,'BA History'!K:K, 1)</f>
        <v>6</v>
      </c>
      <c r="T56" s="2">
        <f>COUNTIFS('BA History'!$B:$B,$A$56,'BA History'!L:L, 1)</f>
        <v>6</v>
      </c>
      <c r="U56" s="2">
        <f>COUNTIFS('BA History'!$B:$B,$A$56,'BA History'!M:M, 1)</f>
        <v>13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1245</v>
      </c>
      <c r="G59" s="66">
        <f>AVERAGEIFS('BA History'!C:C,'BA History'!B:B,A59)</f>
        <v>24.9</v>
      </c>
      <c r="H59" s="66">
        <f t="array" ref="H59">MEDIAN(IF('BA History'!B:B=A59, 'BA History'!C:C))</f>
        <v>26.5</v>
      </c>
      <c r="I59" s="35">
        <f t="array" ref="I59">MAX(IF('BA History'!B:B=A59, 'BA History'!C:C))</f>
        <v>43</v>
      </c>
      <c r="J59" s="34">
        <f>COUNTIFS('BA History'!B:B,A59,'BA History'!D:D, 1)</f>
        <v>20</v>
      </c>
      <c r="K59" s="2">
        <f>COUNTIFS('BA History'!B:B,A59,'BA History'!D:D, 0)</f>
        <v>30</v>
      </c>
      <c r="L59" s="75">
        <f>LOOKUP(2, 1/('BA History'!$B:$B=A59), 'BA History'!$AK:$AK)</f>
        <v>0.4</v>
      </c>
      <c r="M59" s="34">
        <f>SUMIFS('BA History'!F:F,'BA History'!B:B,A59)</f>
        <v>95</v>
      </c>
      <c r="N59" s="2">
        <f>SUMIFS('BA History'!E:E,'BA History'!B:B,A59)-M59</f>
        <v>112</v>
      </c>
      <c r="O59" s="75">
        <f>LOOKUP(2, 1/('BA History'!$B:$B=A59), 'BA History'!$AI:$AI)</f>
        <v>0.46100000000000002</v>
      </c>
      <c r="P59" s="34">
        <f>SUMIFS('BA History'!H:H,'BA History'!B:B,A59)</f>
        <v>412</v>
      </c>
      <c r="Q59" s="2">
        <f>SUMIFS('BA History'!G:G,'BA History'!B:B,A59)-P59</f>
        <v>447</v>
      </c>
      <c r="R59" s="89">
        <f>LOOKUP(2, 1/('BA History'!$B:$B=A59), 'BA History'!$AJ:$AJ)</f>
        <v>0.4761999999999999</v>
      </c>
      <c r="S59" s="2">
        <f>COUNTIFS('BA History'!$B:$B,$A$59,'BA History'!K:K, 1)</f>
        <v>5</v>
      </c>
      <c r="T59" s="2">
        <f>COUNTIFS('BA History'!$B:$B,$A$59,'BA History'!L:L, 1)</f>
        <v>9</v>
      </c>
      <c r="U59" s="2">
        <f>COUNTIFS('BA History'!$B:$B,$A$59,'BA History'!M:M, 1)</f>
        <v>9</v>
      </c>
      <c r="V59" s="2">
        <f>COUNTIFS('BA History'!$B:$B,$A$59,'BA History'!N:N, 1)</f>
        <v>11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6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912</v>
      </c>
      <c r="G60" s="66">
        <f>AVERAGEIFS('BA History'!C:C,'BA History'!B:B,A60)</f>
        <v>16.581818181818182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25</v>
      </c>
      <c r="L60" s="75">
        <f>LOOKUP(2, 1/('BA History'!$B:$B=A60), 'BA History'!$AK:$AK)</f>
        <v>0.54545454545454541</v>
      </c>
      <c r="M60" s="34">
        <f>SUMIFS('BA History'!F:F,'BA History'!B:B,A60)</f>
        <v>114</v>
      </c>
      <c r="N60" s="2">
        <f>SUMIFS('BA History'!E:E,'BA History'!B:B,A60)-M60</f>
        <v>109</v>
      </c>
      <c r="O60" s="75">
        <f>LOOKUP(2, 1/('BA History'!$B:$B=A60), 'BA History'!$AI:$AI)</f>
        <v>0.50545454545454549</v>
      </c>
      <c r="P60" s="34">
        <f>SUMIFS('BA History'!H:H,'BA History'!B:B,A60)</f>
        <v>476</v>
      </c>
      <c r="Q60" s="2">
        <f>SUMIFS('BA History'!G:G,'BA History'!B:B,A60)-P60</f>
        <v>449</v>
      </c>
      <c r="R60" s="89">
        <f>LOOKUP(2, 1/('BA History'!$B:$B=A60), 'BA History'!$AJ:$AJ)</f>
        <v>0.51145454545454538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13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13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8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434"/>
  <sheetViews>
    <sheetView workbookViewId="0">
      <pane xSplit="2" ySplit="1" topLeftCell="C1395" activePane="bottomRight" state="frozen"/>
      <selection pane="topRight" activeCell="C1" sqref="C1"/>
      <selection pane="bottomLeft" activeCell="A2" sqref="A2"/>
      <selection pane="bottomRight" activeCell="A1423" sqref="A1423:AG143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B44" sqref="B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216</v>
      </c>
      <c r="G2" s="66">
        <f>AVERAGEIFS('BA History S2'!C:C,'BA History S2'!B:B,A2)</f>
        <v>12.705882352941176</v>
      </c>
      <c r="H2" s="35">
        <f t="array" ref="H2">MAX(IF('BA History S2'!B:B=A2, 'BA History S2'!C:C))</f>
        <v>22</v>
      </c>
      <c r="I2" s="34">
        <f>COUNTIFS('BA History S2'!B:B,A2,'BA History S2'!D:D, 1)</f>
        <v>9</v>
      </c>
      <c r="J2" s="2">
        <f>COUNTIFS('BA History S2'!B:B,A2,'BA History S2'!D:D, 0)</f>
        <v>8</v>
      </c>
      <c r="K2" s="75">
        <f>LOOKUP(2, 1/('BA History S2'!$B:$B=A2), 'BA History S2'!$AK:$AK)</f>
        <v>0.52941176470588236</v>
      </c>
      <c r="L2" s="34">
        <f>SUMIFS('BA History S2'!F:F,'BA History S2'!B:B,A2)</f>
        <v>38</v>
      </c>
      <c r="M2" s="2">
        <f>SUMIFS('BA History S2'!E:E,'BA History S2'!B:B,A2)-L2</f>
        <v>32</v>
      </c>
      <c r="N2" s="75">
        <f>LOOKUP(2, 1/('BA History S2'!$B:$B=A2), 'BA History S2'!$AI:$AI)</f>
        <v>0.56176470588235294</v>
      </c>
      <c r="O2" s="34">
        <f>SUMIFS('BA History S2'!H:H,'BA History S2'!B:B,A2)</f>
        <v>150</v>
      </c>
      <c r="P2" s="2">
        <f>SUMIFS('BA History S2'!G:G,'BA History S2'!B:B,A2)-O2</f>
        <v>143</v>
      </c>
      <c r="Q2" s="89">
        <f>LOOKUP(2, 1/('BA History S2'!$B:$B=A2), 'BA History S2'!$AJ:$AJ)</f>
        <v>0.52470588235294113</v>
      </c>
      <c r="R2" s="2">
        <f>COUNTIFS('BA History S2'!$B:$B,$A$2,'BA History S2'!K:K, 1)</f>
        <v>2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4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6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3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138</v>
      </c>
      <c r="G3" s="66">
        <f>AVERAGEIFS('BA History S2'!C:C,'BA History S2'!B:B,A3)</f>
        <v>19.714285714285715</v>
      </c>
      <c r="H3" s="35">
        <f t="array" ref="H3">MAX(IF('BA History S2'!B:B=A3, 'BA History S2'!C:C))</f>
        <v>27</v>
      </c>
      <c r="I3" s="34">
        <f>COUNTIFS('BA History S2'!B:B,A3,'BA History S2'!D:D, 1)</f>
        <v>6</v>
      </c>
      <c r="J3" s="2">
        <f>COUNTIFS('BA History S2'!B:B,A3,'BA History S2'!D:D, 0)</f>
        <v>1</v>
      </c>
      <c r="K3" s="75">
        <f>LOOKUP(2, 1/('BA History S2'!$B:$B=A3), 'BA History S2'!$AK:$AK)</f>
        <v>0.8571428571428571</v>
      </c>
      <c r="L3" s="34">
        <f>SUMIFS('BA History S2'!F:F,'BA History S2'!B:B,A3)</f>
        <v>19</v>
      </c>
      <c r="M3" s="2">
        <f>SUMIFS('BA History S2'!E:E,'BA History S2'!B:B,A3)-L3</f>
        <v>8</v>
      </c>
      <c r="N3" s="75">
        <f>LOOKUP(2, 1/('BA History S2'!$B:$B=A3), 'BA History S2'!$AI:$AI)</f>
        <v>0.7142857142857143</v>
      </c>
      <c r="O3" s="34">
        <f>SUMIFS('BA History S2'!H:H,'BA History S2'!B:B,A3)</f>
        <v>65</v>
      </c>
      <c r="P3" s="2">
        <f>SUMIFS('BA History S2'!G:G,'BA History S2'!B:B,A3)-O3</f>
        <v>47</v>
      </c>
      <c r="Q3" s="89">
        <f>LOOKUP(2, 1/('BA History S2'!$B:$B=A3), 'BA History S2'!$AJ:$AJ)</f>
        <v>0.5842857142857143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2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434</v>
      </c>
      <c r="G4" s="66">
        <f>AVERAGEIFS('BA History S2'!C:C,'BA History S2'!B:B,A4)</f>
        <v>18.083333333333332</v>
      </c>
      <c r="H4" s="35">
        <f t="array" ref="H4">MAX(IF('BA History S2'!B:B=A4, 'BA History S2'!C:C))</f>
        <v>44</v>
      </c>
      <c r="I4" s="34">
        <f>COUNTIFS('BA History S2'!B:B,A4,'BA History S2'!D:D, 1)</f>
        <v>12</v>
      </c>
      <c r="J4" s="2">
        <f>COUNTIFS('BA History S2'!B:B,A4,'BA History S2'!D:D, 0)</f>
        <v>12</v>
      </c>
      <c r="K4" s="75">
        <f>LOOKUP(2, 1/('BA History S2'!$B:$B=A4), 'BA History S2'!$AK:$AK)</f>
        <v>0.5</v>
      </c>
      <c r="L4" s="34">
        <f>SUMIFS('BA History S2'!F:F,'BA History S2'!B:B,A4)</f>
        <v>51</v>
      </c>
      <c r="M4" s="2">
        <f>SUMIFS('BA History S2'!E:E,'BA History S2'!B:B,A4)-L4</f>
        <v>51</v>
      </c>
      <c r="N4" s="75">
        <f>LOOKUP(2, 1/('BA History S2'!$B:$B=A4), 'BA History S2'!$AI:$AI)</f>
        <v>0.49583333333333335</v>
      </c>
      <c r="O4" s="34">
        <f>SUMIFS('BA History S2'!H:H,'BA History S2'!B:B,A4)</f>
        <v>216</v>
      </c>
      <c r="P4" s="2">
        <f>SUMIFS('BA History S2'!G:G,'BA History S2'!B:B,A4)-O4</f>
        <v>223</v>
      </c>
      <c r="Q4" s="89">
        <f>LOOKUP(2, 1/('BA History S2'!$B:$B=A4), 'BA History S2'!$AJ:$AJ)</f>
        <v>0.49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4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2</v>
      </c>
      <c r="AC4" s="2">
        <f>COUNTIFS('BA History S2'!$B:$B,$A$4,'BA History S2'!V:V, 1)</f>
        <v>3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4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1</v>
      </c>
      <c r="AL4" s="2">
        <f>COUNTIFS('BA History S2'!$B:$B,$A$4,'BA History S2'!AE:AE, 1)</f>
        <v>3</v>
      </c>
      <c r="AM4" s="2">
        <f>COUNTIFS('BA History S2'!$B:$B,$A$4,'BA History S2'!AF:AF, 1)</f>
        <v>1</v>
      </c>
      <c r="AN4" s="2">
        <f>COUNTIFS('BA History S2'!$B:$B,$A$4,'BA History S2'!AG:AG, 1)</f>
        <v>5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</v>
      </c>
      <c r="H5" s="35">
        <f t="array" ref="H5">MAX(IF('BA History S2'!B:B=A5, 'BA History S2'!C:C))</f>
        <v>11</v>
      </c>
      <c r="I5" s="34">
        <f>COUNTIFS('BA History S2'!B:B,A5,'BA History S2'!D:D, 1)</f>
        <v>3</v>
      </c>
      <c r="J5" s="2">
        <f>COUNTIFS('BA History S2'!B:B,A5,'BA History S2'!D:D, 0)</f>
        <v>7</v>
      </c>
      <c r="K5" s="75">
        <f>LOOKUP(2, 1/('BA History S2'!$B:$B=A5), 'BA History S2'!$AK:$AK)</f>
        <v>0.3</v>
      </c>
      <c r="L5" s="34">
        <f>SUMIFS('BA History S2'!F:F,'BA History S2'!B:B,A5)</f>
        <v>16</v>
      </c>
      <c r="M5" s="2">
        <f>SUMIFS('BA History S2'!E:E,'BA History S2'!B:B,A5)-L5</f>
        <v>24</v>
      </c>
      <c r="N5" s="75">
        <f>LOOKUP(2, 1/('BA History S2'!$B:$B=A5), 'BA History S2'!$AI:$AI)</f>
        <v>0.39</v>
      </c>
      <c r="O5" s="34">
        <f>SUMIFS('BA History S2'!H:H,'BA History S2'!B:B,A5)</f>
        <v>74</v>
      </c>
      <c r="P5" s="2">
        <f>SUMIFS('BA History S2'!G:G,'BA History S2'!B:B,A5)-O5</f>
        <v>90</v>
      </c>
      <c r="Q5" s="89">
        <f>LOOKUP(2, 1/('BA History S2'!$B:$B=A5), 'BA History S2'!$AJ:$AJ)</f>
        <v>0.46000000000000008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1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3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587</v>
      </c>
      <c r="G6" s="66">
        <f>AVERAGEIFS('BA History S2'!C:C,'BA History S2'!B:B,A6)</f>
        <v>17.264705882352942</v>
      </c>
      <c r="H6" s="35">
        <f t="array" ref="H6">MAX(IF('BA History S2'!B:B=A6, 'BA History S2'!C:C))</f>
        <v>40</v>
      </c>
      <c r="I6" s="34">
        <f>COUNTIFS('BA History S2'!B:B,A6,'BA History S2'!D:D, 1)</f>
        <v>16</v>
      </c>
      <c r="J6" s="2">
        <f>COUNTIFS('BA History S2'!B:B,A6,'BA History S2'!D:D, 0)</f>
        <v>18</v>
      </c>
      <c r="K6" s="75">
        <f>LOOKUP(2, 1/('BA History S2'!$B:$B=A6), 'BA History S2'!$AK:$AK)</f>
        <v>0.47058823529411764</v>
      </c>
      <c r="L6" s="34">
        <f>SUMIFS('BA History S2'!F:F,'BA History S2'!B:B,A6)</f>
        <v>67</v>
      </c>
      <c r="M6" s="2">
        <f>SUMIFS('BA History S2'!E:E,'BA History S2'!B:B,A6)-L6</f>
        <v>70</v>
      </c>
      <c r="N6" s="75">
        <f>LOOKUP(2, 1/('BA History S2'!$B:$B=A6), 'BA History S2'!$AI:$AI)</f>
        <v>0.49264705882352944</v>
      </c>
      <c r="O6" s="34">
        <f>SUMIFS('BA History S2'!H:H,'BA History S2'!B:B,A6)</f>
        <v>281</v>
      </c>
      <c r="P6" s="2">
        <f>SUMIFS('BA History S2'!G:G,'BA History S2'!B:B,A6)-O6</f>
        <v>292</v>
      </c>
      <c r="Q6" s="89">
        <f>LOOKUP(2, 1/('BA History S2'!$B:$B=A6), 'BA History S2'!$AJ:$AJ)</f>
        <v>0.48529411764705893</v>
      </c>
      <c r="R6" s="2">
        <f>COUNTIFS('BA History S2'!$B:$B,$A$6,'BA History S2'!K:K, 1)</f>
        <v>7</v>
      </c>
      <c r="S6" s="2">
        <f>COUNTIFS('BA History S2'!$B:$B,$A$6,'BA History S2'!L:L, 1)</f>
        <v>3</v>
      </c>
      <c r="T6" s="2">
        <f>COUNTIFS('BA History S2'!$B:$B,$A$6,'BA History S2'!M:M, 1)</f>
        <v>6</v>
      </c>
      <c r="U6" s="2">
        <f>COUNTIFS('BA History S2'!$B:$B,$A$6,'BA History S2'!N:N, 1)</f>
        <v>5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12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279</v>
      </c>
      <c r="G7" s="66">
        <f>AVERAGEIFS('BA History S2'!C:C,'BA History S2'!B:B,A7)</f>
        <v>18.600000000000001</v>
      </c>
      <c r="H7" s="35">
        <f t="array" ref="H7">MAX(IF('BA History S2'!B:B=A7, 'BA History S2'!C:C))</f>
        <v>30</v>
      </c>
      <c r="I7" s="34">
        <f>COUNTIFS('BA History S2'!B:B,A7,'BA History S2'!D:D, 1)</f>
        <v>7</v>
      </c>
      <c r="J7" s="2">
        <f>COUNTIFS('BA History S2'!B:B,A7,'BA History S2'!D:D, 0)</f>
        <v>8</v>
      </c>
      <c r="K7" s="75">
        <f>LOOKUP(2, 1/('BA History S2'!$B:$B=A7), 'BA History S2'!$AK:$AK)</f>
        <v>0.46666666666666667</v>
      </c>
      <c r="L7" s="34">
        <f>SUMIFS('BA History S2'!F:F,'BA History S2'!B:B,A7)</f>
        <v>32</v>
      </c>
      <c r="M7" s="2">
        <f>SUMIFS('BA History S2'!E:E,'BA History S2'!B:B,A7)-L7</f>
        <v>32</v>
      </c>
      <c r="N7" s="75">
        <f>LOOKUP(2, 1/('BA History S2'!$B:$B=A7), 'BA History S2'!$AI:$AI)</f>
        <v>0.5033333333333333</v>
      </c>
      <c r="O7" s="34">
        <f>SUMIFS('BA History S2'!H:H,'BA History S2'!B:B,A7)</f>
        <v>131</v>
      </c>
      <c r="P7" s="2">
        <f>SUMIFS('BA History S2'!G:G,'BA History S2'!B:B,A7)-O7</f>
        <v>131</v>
      </c>
      <c r="Q7" s="89">
        <f>LOOKUP(2, 1/('BA History S2'!$B:$B=A7), 'BA History S2'!$AJ:$AJ)</f>
        <v>0.5066666666666666</v>
      </c>
      <c r="R7" s="2">
        <f>COUNTIFS('BA History S2'!$B:$B,$A$7,'BA History S2'!K:K, 1)</f>
        <v>3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6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5</v>
      </c>
      <c r="AK7" s="2">
        <f>COUNTIFS('BA History S2'!$B:$B,$A$7,'BA History S2'!AD:AD, 1)</f>
        <v>0</v>
      </c>
      <c r="AL7" s="2">
        <f>COUNTIFS('BA History S2'!$B:$B,$A$7,'BA History S2'!AE:AE, 1)</f>
        <v>4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20</v>
      </c>
      <c r="G8" s="66">
        <f>AVERAGEIFS('BA History S2'!C:C,'BA History S2'!B:B,A8)</f>
        <v>3.3333333333333335</v>
      </c>
      <c r="H8" s="35">
        <f t="array" ref="H8">MAX(IF('BA History S2'!B:B=A8, 'BA History S2'!C:C))</f>
        <v>6</v>
      </c>
      <c r="I8" s="34">
        <f>COUNTIFS('BA History S2'!B:B,A8,'BA History S2'!D:D, 1)</f>
        <v>5</v>
      </c>
      <c r="J8" s="2">
        <f>COUNTIFS('BA History S2'!B:B,A8,'BA History S2'!D:D, 0)</f>
        <v>1</v>
      </c>
      <c r="K8" s="75">
        <f>LOOKUP(2, 1/('BA History S2'!$B:$B=A8), 'BA History S2'!$AK:$AK)</f>
        <v>0.83333333333333337</v>
      </c>
      <c r="L8" s="34">
        <f>SUMIFS('BA History S2'!F:F,'BA History S2'!B:B,A8)</f>
        <v>16</v>
      </c>
      <c r="M8" s="2">
        <f>SUMIFS('BA History S2'!E:E,'BA History S2'!B:B,A8)-L8</f>
        <v>8</v>
      </c>
      <c r="N8" s="75">
        <f>LOOKUP(2, 1/('BA History S2'!$B:$B=A8), 'BA History S2'!$AI:$AI)</f>
        <v>0.68333333333333324</v>
      </c>
      <c r="O8" s="34">
        <f>SUMIFS('BA History S2'!H:H,'BA History S2'!B:B,A8)</f>
        <v>58</v>
      </c>
      <c r="P8" s="2">
        <f>SUMIFS('BA History S2'!G:G,'BA History S2'!B:B,A8)-O8</f>
        <v>45</v>
      </c>
      <c r="Q8" s="89">
        <f>LOOKUP(2, 1/('BA History S2'!$B:$B=A8), 'BA History S2'!$AJ:$AJ)</f>
        <v>0.57499999999999996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2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42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1</v>
      </c>
      <c r="J9" s="2">
        <f>COUNTIFS('BA History S2'!B:B,A9,'BA History S2'!D:D, 0)</f>
        <v>1</v>
      </c>
      <c r="K9" s="75">
        <f>LOOKUP(2, 1/('BA History S2'!$B:$B=A9), 'BA History S2'!$AK:$AK)</f>
        <v>0.5</v>
      </c>
      <c r="L9" s="34">
        <f>SUMIFS('BA History S2'!F:F,'BA History S2'!B:B,A9)</f>
        <v>5</v>
      </c>
      <c r="M9" s="2">
        <f>SUMIFS('BA History S2'!E:E,'BA History S2'!B:B,A9)-L9</f>
        <v>4</v>
      </c>
      <c r="N9" s="75">
        <f>LOOKUP(2, 1/('BA History S2'!$B:$B=A9), 'BA History S2'!$AI:$AI)</f>
        <v>0.57499999999999996</v>
      </c>
      <c r="O9" s="34">
        <f>SUMIFS('BA History S2'!H:H,'BA History S2'!B:B,A9)</f>
        <v>19</v>
      </c>
      <c r="P9" s="2">
        <f>SUMIFS('BA History S2'!G:G,'BA History S2'!B:B,A9)-O9</f>
        <v>18</v>
      </c>
      <c r="Q9" s="89">
        <f>LOOKUP(2, 1/('BA History S2'!$B:$B=A9), 'BA History S2'!$AJ:$AJ)</f>
        <v>0.52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1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2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153</v>
      </c>
      <c r="G10" s="66">
        <f>AVERAGEIFS('BA History S2'!C:C,'BA History S2'!B:B,A10)</f>
        <v>12.75</v>
      </c>
      <c r="H10" s="35">
        <f t="array" ref="H10">MAX(IF('BA History S2'!B:B=A10, 'BA History S2'!C:C))</f>
        <v>24</v>
      </c>
      <c r="I10" s="34">
        <f>COUNTIFS('BA History S2'!B:B,A10,'BA History S2'!D:D, 1)</f>
        <v>8</v>
      </c>
      <c r="J10" s="2">
        <f>COUNTIFS('BA History S2'!B:B,A10,'BA History S2'!D:D, 0)</f>
        <v>4</v>
      </c>
      <c r="K10" s="75">
        <f>LOOKUP(2, 1/('BA History S2'!$B:$B=A10), 'BA History S2'!$AK:$AK)</f>
        <v>0.66666666666666663</v>
      </c>
      <c r="L10" s="34">
        <f>SUMIFS('BA History S2'!F:F,'BA History S2'!B:B,A10)</f>
        <v>29</v>
      </c>
      <c r="M10" s="2">
        <f>SUMIFS('BA History S2'!E:E,'BA History S2'!B:B,A10)-L10</f>
        <v>24</v>
      </c>
      <c r="N10" s="75">
        <f>LOOKUP(2, 1/('BA History S2'!$B:$B=A10), 'BA History S2'!$AI:$AI)</f>
        <v>0.54583333333333328</v>
      </c>
      <c r="O10" s="34">
        <f>SUMIFS('BA History S2'!H:H,'BA History S2'!B:B,A10)</f>
        <v>116</v>
      </c>
      <c r="P10" s="2">
        <f>SUMIFS('BA History S2'!G:G,'BA History S2'!B:B,A10)-O10</f>
        <v>110</v>
      </c>
      <c r="Q10" s="89">
        <f>LOOKUP(2, 1/('BA History S2'!$B:$B=A10), 'BA History S2'!$AJ:$AJ)</f>
        <v>0.51583333333333337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3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4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152</v>
      </c>
      <c r="G11" s="66">
        <f>AVERAGEIFS('BA History S2'!C:C,'BA History S2'!B:B,A11)</f>
        <v>13.818181818181818</v>
      </c>
      <c r="H11" s="35">
        <f t="array" ref="H11">MAX(IF('BA History S2'!B:B=A11, 'BA History S2'!C:C))</f>
        <v>21</v>
      </c>
      <c r="I11" s="34">
        <f>COUNTIFS('BA History S2'!B:B,A11,'BA History S2'!D:D, 1)</f>
        <v>4</v>
      </c>
      <c r="J11" s="2">
        <f>COUNTIFS('BA History S2'!B:B,A11,'BA History S2'!D:D, 0)</f>
        <v>7</v>
      </c>
      <c r="K11" s="75">
        <f>LOOKUP(2, 1/('BA History S2'!$B:$B=A11), 'BA History S2'!$AK:$AK)</f>
        <v>0.36363636363636365</v>
      </c>
      <c r="L11" s="34">
        <f>SUMIFS('BA History S2'!F:F,'BA History S2'!B:B,A11)</f>
        <v>19</v>
      </c>
      <c r="M11" s="2">
        <f>SUMIFS('BA History S2'!E:E,'BA History S2'!B:B,A11)-L11</f>
        <v>28</v>
      </c>
      <c r="N11" s="75">
        <f>LOOKUP(2, 1/('BA History S2'!$B:$B=A11), 'BA History S2'!$AI:$AI)</f>
        <v>0.3727272727272728</v>
      </c>
      <c r="O11" s="34">
        <f>SUMIFS('BA History S2'!H:H,'BA History S2'!B:B,A11)</f>
        <v>95</v>
      </c>
      <c r="P11" s="2">
        <f>SUMIFS('BA History S2'!G:G,'BA History S2'!B:B,A11)-O11</f>
        <v>105</v>
      </c>
      <c r="Q11" s="89">
        <f>LOOKUP(2, 1/('BA History S2'!$B:$B=A11), 'BA History S2'!$AJ:$AJ)</f>
        <v>0.45363636363636367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1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1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118</v>
      </c>
      <c r="G12" s="66">
        <f>AVERAGEIFS('BA History S2'!C:C,'BA History S2'!B:B,A12)</f>
        <v>13.111111111111111</v>
      </c>
      <c r="H12" s="35">
        <f t="array" ref="H12">MAX(IF('BA History S2'!B:B=A12, 'BA History S2'!C:C))</f>
        <v>19</v>
      </c>
      <c r="I12" s="34">
        <f>COUNTIFS('BA History S2'!B:B,A12,'BA History S2'!D:D, 1)</f>
        <v>5</v>
      </c>
      <c r="J12" s="2">
        <f>COUNTIFS('BA History S2'!B:B,A12,'BA History S2'!D:D, 0)</f>
        <v>4</v>
      </c>
      <c r="K12" s="75">
        <f>LOOKUP(2, 1/('BA History S2'!$B:$B=A12), 'BA History S2'!$AK:$AK)</f>
        <v>0.55555555555555558</v>
      </c>
      <c r="L12" s="34">
        <f>SUMIFS('BA History S2'!F:F,'BA History S2'!B:B,A12)</f>
        <v>21</v>
      </c>
      <c r="M12" s="2">
        <f>SUMIFS('BA History S2'!E:E,'BA History S2'!B:B,A12)-L12</f>
        <v>16</v>
      </c>
      <c r="N12" s="75">
        <f>LOOKUP(2, 1/('BA History S2'!$B:$B=A12), 'BA History S2'!$AI:$AI)</f>
        <v>0.60000000000000009</v>
      </c>
      <c r="O12" s="34">
        <f>SUMIFS('BA History S2'!H:H,'BA History S2'!B:B,A12)</f>
        <v>80</v>
      </c>
      <c r="P12" s="2">
        <f>SUMIFS('BA History S2'!G:G,'BA History S2'!B:B,A12)-O12</f>
        <v>76</v>
      </c>
      <c r="Q12" s="89">
        <f>LOOKUP(2, 1/('BA History S2'!$B:$B=A12), 'BA History S2'!$AJ:$AJ)</f>
        <v>0.52333333333333321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3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2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2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262</v>
      </c>
      <c r="G13" s="66">
        <f>AVERAGEIFS('BA History S2'!C:C,'BA History S2'!B:B,A13)</f>
        <v>15.411764705882353</v>
      </c>
      <c r="H13" s="35">
        <f t="array" ref="H13">MAX(IF('BA History S2'!B:B=A13, 'BA History S2'!C:C))</f>
        <v>37</v>
      </c>
      <c r="I13" s="34">
        <f>COUNTIFS('BA History S2'!B:B,A13,'BA History S2'!D:D, 1)</f>
        <v>6</v>
      </c>
      <c r="J13" s="2">
        <f>COUNTIFS('BA History S2'!B:B,A13,'BA History S2'!D:D, 0)</f>
        <v>11</v>
      </c>
      <c r="K13" s="75">
        <f>LOOKUP(2, 1/('BA History S2'!$B:$B=A13), 'BA History S2'!$AK:$AK)</f>
        <v>0.35294117647058826</v>
      </c>
      <c r="L13" s="34">
        <f>SUMIFS('BA History S2'!F:F,'BA History S2'!B:B,A13)</f>
        <v>32</v>
      </c>
      <c r="M13" s="2">
        <f>SUMIFS('BA History S2'!E:E,'BA History S2'!B:B,A13)-L13</f>
        <v>42</v>
      </c>
      <c r="N13" s="75">
        <f>LOOKUP(2, 1/('BA History S2'!$B:$B=A13), 'BA History S2'!$AI:$AI)</f>
        <v>0.41470588235294115</v>
      </c>
      <c r="O13" s="34">
        <f>SUMIFS('BA History S2'!H:H,'BA History S2'!B:B,A13)</f>
        <v>147</v>
      </c>
      <c r="P13" s="2">
        <f>SUMIFS('BA History S2'!G:G,'BA History S2'!B:B,A13)-O13</f>
        <v>162</v>
      </c>
      <c r="Q13" s="89">
        <f>LOOKUP(2, 1/('BA History S2'!$B:$B=A13), 'BA History S2'!$AJ:$AJ)</f>
        <v>0.46823529411764708</v>
      </c>
      <c r="R13" s="2">
        <f>COUNTIFS('BA History S2'!$B:$B,$A$13,'BA History S2'!K:K, 1)</f>
        <v>1</v>
      </c>
      <c r="S13" s="2">
        <f>COUNTIFS('BA History S2'!$B:$B,$A$13,'BA History S2'!L:L, 1)</f>
        <v>0</v>
      </c>
      <c r="T13" s="2">
        <f>COUNTIFS('BA History S2'!$B:$B,$A$13,'BA History S2'!M:M, 1)</f>
        <v>2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2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5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2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382</v>
      </c>
      <c r="G14" s="66">
        <f>AVERAGEIFS('BA History S2'!C:C,'BA History S2'!B:B,A14)</f>
        <v>17.363636363636363</v>
      </c>
      <c r="H14" s="35">
        <f t="array" ref="H14">MAX(IF('BA History S2'!B:B=A14, 'BA History S2'!C:C))</f>
        <v>24</v>
      </c>
      <c r="I14" s="34">
        <f>COUNTIFS('BA History S2'!B:B,A14,'BA History S2'!D:D, 1)</f>
        <v>8</v>
      </c>
      <c r="J14" s="2">
        <f>COUNTIFS('BA History S2'!B:B,A14,'BA History S2'!D:D, 0)</f>
        <v>14</v>
      </c>
      <c r="K14" s="75">
        <f>LOOKUP(2, 1/('BA History S2'!$B:$B=A14), 'BA History S2'!$AK:$AK)</f>
        <v>0.36363636363636365</v>
      </c>
      <c r="L14" s="34">
        <f>SUMIFS('BA History S2'!F:F,'BA History S2'!B:B,A14)</f>
        <v>38</v>
      </c>
      <c r="M14" s="2">
        <f>SUMIFS('BA History S2'!E:E,'BA History S2'!B:B,A14)-L14</f>
        <v>52</v>
      </c>
      <c r="N14" s="75">
        <f>LOOKUP(2, 1/('BA History S2'!$B:$B=A14), 'BA History S2'!$AI:$AI)</f>
        <v>0.40909090909090912</v>
      </c>
      <c r="O14" s="34">
        <f>SUMIFS('BA History S2'!H:H,'BA History S2'!B:B,A14)</f>
        <v>178</v>
      </c>
      <c r="P14" s="2">
        <f>SUMIFS('BA History S2'!G:G,'BA History S2'!B:B,A14)-O14</f>
        <v>204</v>
      </c>
      <c r="Q14" s="89">
        <f>LOOKUP(2, 1/('BA History S2'!$B:$B=A14), 'BA History S2'!$AJ:$AJ)</f>
        <v>0.45545454545454545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5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512</v>
      </c>
      <c r="G16" s="66">
        <f>AVERAGEIFS('BA History S2'!C:C,'BA History S2'!B:B,A16)</f>
        <v>16.516129032258064</v>
      </c>
      <c r="H16" s="35">
        <f t="array" ref="H16">MAX(IF('BA History S2'!B:B=A16, 'BA History S2'!C:C))</f>
        <v>31</v>
      </c>
      <c r="I16" s="34">
        <f>COUNTIFS('BA History S2'!B:B,A16,'BA History S2'!D:D, 1)</f>
        <v>17</v>
      </c>
      <c r="J16" s="2">
        <f>COUNTIFS('BA History S2'!B:B,A16,'BA History S2'!D:D, 0)</f>
        <v>14</v>
      </c>
      <c r="K16" s="75">
        <f>LOOKUP(2, 1/('BA History S2'!$B:$B=A16), 'BA History S2'!$AK:$AK)</f>
        <v>0.54838709677419351</v>
      </c>
      <c r="L16" s="34">
        <f>SUMIFS('BA History S2'!F:F,'BA History S2'!B:B,A16)</f>
        <v>67</v>
      </c>
      <c r="M16" s="2">
        <f>SUMIFS('BA History S2'!E:E,'BA History S2'!B:B,A16)-L16</f>
        <v>56</v>
      </c>
      <c r="N16" s="75">
        <f>LOOKUP(2, 1/('BA History S2'!$B:$B=A16), 'BA History S2'!$AI:$AI)</f>
        <v>0.56129032258064515</v>
      </c>
      <c r="O16" s="34">
        <f>SUMIFS('BA History S2'!H:H,'BA History S2'!B:B,A16)</f>
        <v>272</v>
      </c>
      <c r="P16" s="2">
        <f>SUMIFS('BA History S2'!G:G,'BA History S2'!B:B,A16)-O16</f>
        <v>248</v>
      </c>
      <c r="Q16" s="89">
        <f>LOOKUP(2, 1/('BA History S2'!$B:$B=A16), 'BA History S2'!$AJ:$AJ)</f>
        <v>0.53451612903225809</v>
      </c>
      <c r="R16" s="2">
        <f>COUNTIFS('BA History S2'!$B:$B,$A$16,'BA History S2'!K:K, 1)</f>
        <v>4</v>
      </c>
      <c r="S16" s="2">
        <f>COUNTIFS('BA History S2'!$B:$B,$A$16,'BA History S2'!L:L, 1)</f>
        <v>2</v>
      </c>
      <c r="T16" s="2">
        <f>COUNTIFS('BA History S2'!$B:$B,$A$16,'BA History S2'!M:M, 1)</f>
        <v>9</v>
      </c>
      <c r="U16" s="2">
        <f>COUNTIFS('BA History S2'!$B:$B,$A$16,'BA History S2'!N:N, 1)</f>
        <v>7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2</v>
      </c>
      <c r="AL16" s="2">
        <f>COUNTIFS('BA History S2'!$B:$B,$A$16,'BA History S2'!AE:AE, 1)</f>
        <v>6</v>
      </c>
      <c r="AM16" s="2">
        <f>COUNTIFS('BA History S2'!$B:$B,$A$16,'BA History S2'!AF:AF, 1)</f>
        <v>0</v>
      </c>
      <c r="AN16" s="2">
        <f>COUNTIFS('BA History S2'!$B:$B,$A$16,'BA History S2'!AG:AG, 1)</f>
        <v>10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610</v>
      </c>
      <c r="G18" s="66">
        <f>AVERAGEIFS('BA History S2'!C:C,'BA History S2'!B:B,A18)</f>
        <v>26.521739130434781</v>
      </c>
      <c r="H18" s="35">
        <f t="array" ref="H18">MAX(IF('BA History S2'!B:B=A18, 'BA History S2'!C:C))</f>
        <v>49</v>
      </c>
      <c r="I18" s="34">
        <f>COUNTIFS('BA History S2'!B:B,A18,'BA History S2'!D:D, 1)</f>
        <v>13</v>
      </c>
      <c r="J18" s="2">
        <f>COUNTIFS('BA History S2'!B:B,A18,'BA History S2'!D:D, 0)</f>
        <v>10</v>
      </c>
      <c r="K18" s="75">
        <f>LOOKUP(2, 1/('BA History S2'!$B:$B=A18), 'BA History S2'!$AK:$AK)</f>
        <v>0.56521739130434778</v>
      </c>
      <c r="L18" s="34">
        <f>SUMIFS('BA History S2'!F:F,'BA History S2'!B:B,A18)</f>
        <v>49</v>
      </c>
      <c r="M18" s="2">
        <f>SUMIFS('BA History S2'!E:E,'BA History S2'!B:B,A18)-L18</f>
        <v>42</v>
      </c>
      <c r="N18" s="75">
        <f>LOOKUP(2, 1/('BA History S2'!$B:$B=A18), 'BA History S2'!$AI:$AI)</f>
        <v>0.54347826086956519</v>
      </c>
      <c r="O18" s="34">
        <f>SUMIFS('BA History S2'!H:H,'BA History S2'!B:B,A18)</f>
        <v>198</v>
      </c>
      <c r="P18" s="2">
        <f>SUMIFS('BA History S2'!G:G,'BA History S2'!B:B,A18)-O18</f>
        <v>181</v>
      </c>
      <c r="Q18" s="89">
        <f>LOOKUP(2, 1/('BA History S2'!$B:$B=A18), 'BA History S2'!$AJ:$AJ)</f>
        <v>0.53695652173913044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4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5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5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667</v>
      </c>
      <c r="G19" s="66">
        <f>AVERAGEIFS('BA History S2'!C:C,'BA History S2'!B:B,A19)</f>
        <v>20.84375</v>
      </c>
      <c r="H19" s="35">
        <f t="array" ref="H19">MAX(IF('BA History S2'!B:B=A19, 'BA History S2'!C:C))</f>
        <v>33</v>
      </c>
      <c r="I19" s="34">
        <f>COUNTIFS('BA History S2'!B:B,A19,'BA History S2'!D:D, 1)</f>
        <v>21</v>
      </c>
      <c r="J19" s="2">
        <f>COUNTIFS('BA History S2'!B:B,A19,'BA History S2'!D:D, 0)</f>
        <v>11</v>
      </c>
      <c r="K19" s="75">
        <f>LOOKUP(2, 1/('BA History S2'!$B:$B=A19), 'BA History S2'!$AK:$AK)</f>
        <v>0.65625</v>
      </c>
      <c r="L19" s="34">
        <f>SUMIFS('BA History S2'!F:F,'BA History S2'!B:B,A19)</f>
        <v>73</v>
      </c>
      <c r="M19" s="2">
        <f>SUMIFS('BA History S2'!E:E,'BA History S2'!B:B,A19)-L19</f>
        <v>55</v>
      </c>
      <c r="N19" s="75">
        <f>LOOKUP(2, 1/('BA History S2'!$B:$B=A19), 'BA History S2'!$AI:$AI)</f>
        <v>0.57187500000000002</v>
      </c>
      <c r="O19" s="34">
        <f>SUMIFS('BA History S2'!H:H,'BA History S2'!B:B,A19)</f>
        <v>281</v>
      </c>
      <c r="P19" s="2">
        <f>SUMIFS('BA History S2'!G:G,'BA History S2'!B:B,A19)-O19</f>
        <v>242</v>
      </c>
      <c r="Q19" s="89">
        <f>LOOKUP(2, 1/('BA History S2'!$B:$B=A19), 'BA History S2'!$AJ:$AJ)</f>
        <v>0.54937500000000006</v>
      </c>
      <c r="R19" s="2">
        <f>COUNTIFS('BA History S2'!$B:$B,$A$19,'BA History S2'!K:K, 1)</f>
        <v>3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10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3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11</v>
      </c>
      <c r="AK19" s="2">
        <f>COUNTIFS('BA History S2'!$B:$B,$A$19,'BA History S2'!AD:AD, 1)</f>
        <v>2</v>
      </c>
      <c r="AL19" s="2">
        <f>COUNTIFS('BA History S2'!$B:$B,$A$19,'BA History S2'!AE:AE, 1)</f>
        <v>5</v>
      </c>
      <c r="AM19" s="2">
        <f>COUNTIFS('BA History S2'!$B:$B,$A$19,'BA History S2'!AF:AF, 1)</f>
        <v>0</v>
      </c>
      <c r="AN19" s="2">
        <f>COUNTIFS('BA History S2'!$B:$B,$A$19,'BA History S2'!AG:AG, 1)</f>
        <v>5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136</v>
      </c>
      <c r="G20" s="66">
        <f>AVERAGEIFS('BA History S2'!C:C,'BA History S2'!B:B,A20)</f>
        <v>15.111111111111111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8</v>
      </c>
      <c r="K20" s="75">
        <f>LOOKUP(2, 1/('BA History S2'!$B:$B=A20), 'BA History S2'!$AK:$AK)</f>
        <v>0.1111111111111111</v>
      </c>
      <c r="L20" s="34">
        <f>SUMIFS('BA History S2'!F:F,'BA History S2'!B:B,A20)</f>
        <v>12</v>
      </c>
      <c r="M20" s="2">
        <f>SUMIFS('BA History S2'!E:E,'BA History S2'!B:B,A20)-L20</f>
        <v>26</v>
      </c>
      <c r="N20" s="75">
        <f>LOOKUP(2, 1/('BA History S2'!$B:$B=A20), 'BA History S2'!$AI:$AI)</f>
        <v>0.28333333333333333</v>
      </c>
      <c r="O20" s="34">
        <f>SUMIFS('BA History S2'!H:H,'BA History S2'!B:B,A20)</f>
        <v>63</v>
      </c>
      <c r="P20" s="2">
        <f>SUMIFS('BA History S2'!G:G,'BA History S2'!B:B,A20)-O20</f>
        <v>91</v>
      </c>
      <c r="Q20" s="89">
        <f>LOOKUP(2, 1/('BA History S2'!$B:$B=A20), 'BA History S2'!$AJ:$AJ)</f>
        <v>0.37777777777777782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258</v>
      </c>
      <c r="G22" s="66">
        <f>AVERAGEIFS('BA History S2'!C:C,'BA History S2'!B:B,A22)</f>
        <v>15.176470588235293</v>
      </c>
      <c r="H22" s="35">
        <f t="array" ref="H22">MAX(IF('BA History S2'!B:B=A22, 'BA History S2'!C:C))</f>
        <v>27</v>
      </c>
      <c r="I22" s="34">
        <f>COUNTIFS('BA History S2'!B:B,A22,'BA History S2'!D:D, 1)</f>
        <v>5</v>
      </c>
      <c r="J22" s="2">
        <f>COUNTIFS('BA History S2'!B:B,A22,'BA History S2'!D:D, 0)</f>
        <v>12</v>
      </c>
      <c r="K22" s="75">
        <f>LOOKUP(2, 1/('BA History S2'!$B:$B=A22), 'BA History S2'!$AK:$AK)</f>
        <v>0.29411764705882354</v>
      </c>
      <c r="L22" s="34">
        <f>SUMIFS('BA History S2'!F:F,'BA History S2'!B:B,A22)</f>
        <v>29</v>
      </c>
      <c r="M22" s="2">
        <f>SUMIFS('BA History S2'!E:E,'BA History S2'!B:B,A22)-L22</f>
        <v>38</v>
      </c>
      <c r="N22" s="75">
        <f>LOOKUP(2, 1/('BA History S2'!$B:$B=A22), 'BA History S2'!$AI:$AI)</f>
        <v>0.44705882352941173</v>
      </c>
      <c r="O22" s="34">
        <f>SUMIFS('BA History S2'!H:H,'BA History S2'!B:B,A22)</f>
        <v>132</v>
      </c>
      <c r="P22" s="2">
        <f>SUMIFS('BA History S2'!G:G,'BA History S2'!B:B,A22)-O22</f>
        <v>150</v>
      </c>
      <c r="Q22" s="89">
        <f>LOOKUP(2, 1/('BA History S2'!$B:$B=A22), 'BA History S2'!$AJ:$AJ)</f>
        <v>0.47058823529411764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5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5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36</v>
      </c>
      <c r="G23" s="66">
        <f>AVERAGEIFS('BA History S2'!C:C,'BA History S2'!B:B,A23)</f>
        <v>9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2</v>
      </c>
      <c r="K23" s="75">
        <f>LOOKUP(2, 1/('BA History S2'!$B:$B=A23), 'BA History S2'!$AK:$AK)</f>
        <v>0.5</v>
      </c>
      <c r="L23" s="34">
        <f>SUMIFS('BA History S2'!F:F,'BA History S2'!B:B,A23)</f>
        <v>8</v>
      </c>
      <c r="M23" s="2">
        <f>SUMIFS('BA History S2'!E:E,'BA History S2'!B:B,A23)-L23</f>
        <v>8</v>
      </c>
      <c r="N23" s="75">
        <f>LOOKUP(2, 1/('BA History S2'!$B:$B=A23), 'BA History S2'!$AI:$AI)</f>
        <v>0.5</v>
      </c>
      <c r="O23" s="34">
        <f>SUMIFS('BA History S2'!H:H,'BA History S2'!B:B,A23)</f>
        <v>33</v>
      </c>
      <c r="P23" s="2">
        <f>SUMIFS('BA History S2'!G:G,'BA History S2'!B:B,A23)-O23</f>
        <v>33</v>
      </c>
      <c r="Q23" s="89">
        <f>LOOKUP(2, 1/('BA History S2'!$B:$B=A23), 'BA History S2'!$AJ:$AJ)</f>
        <v>0.495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131</v>
      </c>
      <c r="G24" s="66">
        <f>AVERAGEIFS('BA History S2'!C:C,'BA History S2'!B:B,A24)</f>
        <v>8.7333333333333325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9</v>
      </c>
      <c r="K24" s="75">
        <f>LOOKUP(2, 1/('BA History S2'!$B:$B=A24), 'BA History S2'!$AK:$AK)</f>
        <v>0.4</v>
      </c>
      <c r="L24" s="34">
        <f>SUMIFS('BA History S2'!F:F,'BA History S2'!B:B,A24)</f>
        <v>26</v>
      </c>
      <c r="M24" s="2">
        <f>SUMIFS('BA History S2'!E:E,'BA History S2'!B:B,A24)-L24</f>
        <v>37</v>
      </c>
      <c r="N24" s="75">
        <f>LOOKUP(2, 1/('BA History S2'!$B:$B=A24), 'BA History S2'!$AI:$AI)</f>
        <v>0.38</v>
      </c>
      <c r="O24" s="34">
        <f>SUMIFS('BA History S2'!H:H,'BA History S2'!B:B,A24)</f>
        <v>118</v>
      </c>
      <c r="P24" s="2">
        <f>SUMIFS('BA History S2'!G:G,'BA History S2'!B:B,A24)-O24</f>
        <v>143</v>
      </c>
      <c r="Q24" s="89">
        <f>LOOKUP(2, 1/('BA History S2'!$B:$B=A24), 'BA History S2'!$AJ:$AJ)</f>
        <v>0.44133333333333324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73</v>
      </c>
      <c r="G26" s="66">
        <f>AVERAGEIFS('BA History S2'!C:C,'BA History S2'!B:B,A26)</f>
        <v>18.25</v>
      </c>
      <c r="H26" s="35">
        <f t="array" ref="H26">MAX(IF('BA History S2'!B:B=A26, 'BA History S2'!C:C))</f>
        <v>26</v>
      </c>
      <c r="I26" s="34">
        <f>COUNTIFS('BA History S2'!B:B,A26,'BA History S2'!D:D, 1)</f>
        <v>1</v>
      </c>
      <c r="J26" s="2">
        <f>COUNTIFS('BA History S2'!B:B,A26,'BA History S2'!D:D, 0)</f>
        <v>3</v>
      </c>
      <c r="K26" s="75">
        <f>LOOKUP(2, 1/('BA History S2'!$B:$B=A26), 'BA History S2'!$AK:$AK)</f>
        <v>0.25</v>
      </c>
      <c r="L26" s="34">
        <f>SUMIFS('BA History S2'!F:F,'BA History S2'!B:B,A26)</f>
        <v>6</v>
      </c>
      <c r="M26" s="2">
        <f>SUMIFS('BA History S2'!E:E,'BA History S2'!B:B,A26)-L26</f>
        <v>11</v>
      </c>
      <c r="N26" s="75">
        <f>LOOKUP(2, 1/('BA History S2'!$B:$B=A26), 'BA History S2'!$AI:$AI)</f>
        <v>0.3125</v>
      </c>
      <c r="O26" s="34">
        <f>SUMIFS('BA History S2'!H:H,'BA History S2'!B:B,A26)</f>
        <v>32</v>
      </c>
      <c r="P26" s="2">
        <f>SUMIFS('BA History S2'!G:G,'BA History S2'!B:B,A26)-O26</f>
        <v>42</v>
      </c>
      <c r="Q26" s="89">
        <f>LOOKUP(2, 1/('BA History S2'!$B:$B=A26), 'BA History S2'!$AJ:$AJ)</f>
        <v>0.41749999999999998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217</v>
      </c>
      <c r="G27" s="66">
        <f>AVERAGEIFS('BA History S2'!C:C,'BA History S2'!B:B,A27)</f>
        <v>11.421052631578947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8</v>
      </c>
      <c r="K27" s="75">
        <f>LOOKUP(2, 1/('BA History S2'!$B:$B=A27), 'BA History S2'!$AK:$AK)</f>
        <v>0.57894736842105265</v>
      </c>
      <c r="L27" s="34">
        <f>SUMIFS('BA History S2'!F:F,'BA History S2'!B:B,A27)</f>
        <v>41</v>
      </c>
      <c r="M27" s="2">
        <f>SUMIFS('BA History S2'!E:E,'BA History S2'!B:B,A27)-L27</f>
        <v>38</v>
      </c>
      <c r="N27" s="75">
        <f>LOOKUP(2, 1/('BA History S2'!$B:$B=A27), 'BA History S2'!$AI:$AI)</f>
        <v>0.51052631578947361</v>
      </c>
      <c r="O27" s="34">
        <f>SUMIFS('BA History S2'!H:H,'BA History S2'!B:B,A27)</f>
        <v>168</v>
      </c>
      <c r="P27" s="2">
        <f>SUMIFS('BA History S2'!G:G,'BA History S2'!B:B,A27)-O27</f>
        <v>172</v>
      </c>
      <c r="Q27" s="89">
        <f>LOOKUP(2, 1/('BA History S2'!$B:$B=A27), 'BA History S2'!$AJ:$AJ)</f>
        <v>0.49473684210526309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2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476</v>
      </c>
      <c r="G28" s="66">
        <f>AVERAGEIFS('BA History S2'!C:C,'BA History S2'!B:B,A28)</f>
        <v>18.307692307692307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15</v>
      </c>
      <c r="K28" s="75">
        <f>LOOKUP(2, 1/('BA History S2'!$B:$B=A28), 'BA History S2'!$AK:$AK)</f>
        <v>0.42307692307692307</v>
      </c>
      <c r="L28" s="34">
        <f>SUMIFS('BA History S2'!F:F,'BA History S2'!B:B,A28)</f>
        <v>48</v>
      </c>
      <c r="M28" s="2">
        <f>SUMIFS('BA History S2'!E:E,'BA History S2'!B:B,A28)-L28</f>
        <v>55</v>
      </c>
      <c r="N28" s="75">
        <f>LOOKUP(2, 1/('BA History S2'!$B:$B=A28), 'BA History S2'!$AI:$AI)</f>
        <v>0.46346153846153848</v>
      </c>
      <c r="O28" s="34">
        <f>SUMIFS('BA History S2'!H:H,'BA History S2'!B:B,A28)</f>
        <v>214</v>
      </c>
      <c r="P28" s="2">
        <f>SUMIFS('BA History S2'!G:G,'BA History S2'!B:B,A28)-O28</f>
        <v>227</v>
      </c>
      <c r="Q28" s="89">
        <f>LOOKUP(2, 1/('BA History S2'!$B:$B=A28), 'BA History S2'!$AJ:$AJ)</f>
        <v>0.4819230769230769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5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686</v>
      </c>
      <c r="G29" s="66">
        <f>AVERAGEIFS('BA History S2'!C:C,'BA History S2'!B:B,A29)</f>
        <v>24.5</v>
      </c>
      <c r="H29" s="35">
        <f t="array" ref="H29">MAX(IF('BA History S2'!B:B=A29, 'BA History S2'!C:C))</f>
        <v>50</v>
      </c>
      <c r="I29" s="34">
        <f>COUNTIFS('BA History S2'!B:B,A29,'BA History S2'!D:D, 1)</f>
        <v>11</v>
      </c>
      <c r="J29" s="2">
        <f>COUNTIFS('BA History S2'!B:B,A29,'BA History S2'!D:D, 0)</f>
        <v>17</v>
      </c>
      <c r="K29" s="75">
        <f>LOOKUP(2, 1/('BA History S2'!$B:$B=A29), 'BA History S2'!$AK:$AK)</f>
        <v>0.39285714285714285</v>
      </c>
      <c r="L29" s="34">
        <f>SUMIFS('BA History S2'!F:F,'BA History S2'!B:B,A29)</f>
        <v>53</v>
      </c>
      <c r="M29" s="2">
        <f>SUMIFS('BA History S2'!E:E,'BA History S2'!B:B,A29)-L29</f>
        <v>63</v>
      </c>
      <c r="N29" s="75">
        <f>LOOKUP(2, 1/('BA History S2'!$B:$B=A29), 'BA History S2'!$AI:$AI)</f>
        <v>0.45357142857142857</v>
      </c>
      <c r="O29" s="34">
        <f>SUMIFS('BA History S2'!H:H,'BA History S2'!B:B,A29)</f>
        <v>247</v>
      </c>
      <c r="P29" s="2">
        <f>SUMIFS('BA History S2'!G:G,'BA History S2'!B:B,A29)-O29</f>
        <v>245</v>
      </c>
      <c r="Q29" s="89">
        <f>LOOKUP(2, 1/('BA History S2'!$B:$B=A29), 'BA History S2'!$AJ:$AJ)</f>
        <v>0.50178571428571428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4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3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3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9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657</v>
      </c>
      <c r="G30" s="66">
        <f>AVERAGEIFS('BA History S2'!C:C,'BA History S2'!B:B,A30)</f>
        <v>22.655172413793103</v>
      </c>
      <c r="H30" s="35">
        <f t="array" ref="H30">MAX(IF('BA History S2'!B:B=A30, 'BA History S2'!C:C))</f>
        <v>47</v>
      </c>
      <c r="I30" s="34">
        <f>COUNTIFS('BA History S2'!B:B,A30,'BA History S2'!D:D, 1)</f>
        <v>15</v>
      </c>
      <c r="J30" s="2">
        <f>COUNTIFS('BA History S2'!B:B,A30,'BA History S2'!D:D, 0)</f>
        <v>14</v>
      </c>
      <c r="K30" s="75">
        <f>LOOKUP(2, 1/('BA History S2'!$B:$B=A30), 'BA History S2'!$AK:$AK)</f>
        <v>0.51724137931034486</v>
      </c>
      <c r="L30" s="34">
        <f>SUMIFS('BA History S2'!F:F,'BA History S2'!B:B,A30)</f>
        <v>60</v>
      </c>
      <c r="M30" s="2">
        <f>SUMIFS('BA History S2'!E:E,'BA History S2'!B:B,A30)-L30</f>
        <v>57</v>
      </c>
      <c r="N30" s="75">
        <f>LOOKUP(2, 1/('BA History S2'!$B:$B=A30), 'BA History S2'!$AI:$AI)</f>
        <v>0.51034482758620692</v>
      </c>
      <c r="O30" s="34">
        <f>SUMIFS('BA History S2'!H:H,'BA History S2'!B:B,A30)</f>
        <v>246</v>
      </c>
      <c r="P30" s="2">
        <f>SUMIFS('BA History S2'!G:G,'BA History S2'!B:B,A30)-O30</f>
        <v>241</v>
      </c>
      <c r="Q30" s="89">
        <f>LOOKUP(2, 1/('BA History S2'!$B:$B=A30), 'BA History S2'!$AJ:$AJ)</f>
        <v>0.50379310344827588</v>
      </c>
      <c r="R30" s="2">
        <f>COUNTIFS('BA History S2'!$B:$B,$A$30,'BA History S2'!K:K, 1)</f>
        <v>3</v>
      </c>
      <c r="S30" s="2">
        <f>COUNTIFS('BA History S2'!$B:$B,$A$30,'BA History S2'!L:L, 1)</f>
        <v>5</v>
      </c>
      <c r="T30" s="2">
        <f>COUNTIFS('BA History S2'!$B:$B,$A$30,'BA History S2'!M:M, 1)</f>
        <v>6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3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7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5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466</v>
      </c>
      <c r="G31" s="66">
        <f>AVERAGEIFS('BA History S2'!C:C,'BA History S2'!B:B,A31)</f>
        <v>18.64</v>
      </c>
      <c r="H31" s="35">
        <f t="array" ref="H31">MAX(IF('BA History S2'!B:B=A31, 'BA History S2'!C:C))</f>
        <v>37</v>
      </c>
      <c r="I31" s="34">
        <f>COUNTIFS('BA History S2'!B:B,A31,'BA History S2'!D:D, 1)</f>
        <v>12</v>
      </c>
      <c r="J31" s="2">
        <f>COUNTIFS('BA History S2'!B:B,A31,'BA History S2'!D:D, 0)</f>
        <v>13</v>
      </c>
      <c r="K31" s="75">
        <f>LOOKUP(2, 1/('BA History S2'!$B:$B=A31), 'BA History S2'!$AK:$AK)</f>
        <v>0.48</v>
      </c>
      <c r="L31" s="34">
        <f>SUMIFS('BA History S2'!F:F,'BA History S2'!B:B,A31)</f>
        <v>50</v>
      </c>
      <c r="M31" s="2">
        <f>SUMIFS('BA History S2'!E:E,'BA History S2'!B:B,A31)-L31</f>
        <v>53</v>
      </c>
      <c r="N31" s="75">
        <f>LOOKUP(2, 1/('BA History S2'!$B:$B=A31), 'BA History S2'!$AI:$AI)</f>
        <v>0.47600000000000009</v>
      </c>
      <c r="O31" s="34">
        <f>SUMIFS('BA History S2'!H:H,'BA History S2'!B:B,A31)</f>
        <v>212</v>
      </c>
      <c r="P31" s="2">
        <f>SUMIFS('BA History S2'!G:G,'BA History S2'!B:B,A31)-O31</f>
        <v>220</v>
      </c>
      <c r="Q31" s="89">
        <f>LOOKUP(2, 1/('BA History S2'!$B:$B=A31), 'BA History S2'!$AJ:$AJ)</f>
        <v>0.48840000000000006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7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609</v>
      </c>
      <c r="G33" s="66">
        <f>AVERAGEIFS('BA History S2'!C:C,'BA History S2'!B:B,A33)</f>
        <v>20.3</v>
      </c>
      <c r="H33" s="35">
        <f t="array" ref="H33">MAX(IF('BA History S2'!B:B=A33, 'BA History S2'!C:C))</f>
        <v>43</v>
      </c>
      <c r="I33" s="34">
        <f>COUNTIFS('BA History S2'!B:B,A33,'BA History S2'!D:D, 1)</f>
        <v>19</v>
      </c>
      <c r="J33" s="2">
        <f>COUNTIFS('BA History S2'!B:B,A33,'BA History S2'!D:D, 0)</f>
        <v>11</v>
      </c>
      <c r="K33" s="75">
        <f>LOOKUP(2, 1/('BA History S2'!$B:$B=A33), 'BA History S2'!$AK:$AK)</f>
        <v>0.6333333333333333</v>
      </c>
      <c r="L33" s="34">
        <f>SUMIFS('BA History S2'!F:F,'BA History S2'!B:B,A33)</f>
        <v>66</v>
      </c>
      <c r="M33" s="2">
        <f>SUMIFS('BA History S2'!E:E,'BA History S2'!B:B,A33)-L33</f>
        <v>58</v>
      </c>
      <c r="N33" s="75">
        <f>LOOKUP(2, 1/('BA History S2'!$B:$B=A33), 'BA History S2'!$AI:$AI)</f>
        <v>0.52333333333333332</v>
      </c>
      <c r="O33" s="34">
        <f>SUMIFS('BA History S2'!H:H,'BA History S2'!B:B,A33)</f>
        <v>268</v>
      </c>
      <c r="P33" s="2">
        <f>SUMIFS('BA History S2'!G:G,'BA History S2'!B:B,A33)-O33</f>
        <v>259</v>
      </c>
      <c r="Q33" s="89">
        <f>LOOKUP(2, 1/('BA History S2'!$B:$B=A33), 'BA History S2'!$AJ:$AJ)</f>
        <v>0.50500000000000012</v>
      </c>
      <c r="R33" s="2">
        <f>COUNTIFS('BA History S2'!$B:$B,$A$33,'BA History S2'!K:K, 1)</f>
        <v>4</v>
      </c>
      <c r="S33" s="2">
        <f>COUNTIFS('BA History S2'!$B:$B,$A$33,'BA History S2'!L:L, 1)</f>
        <v>2</v>
      </c>
      <c r="T33" s="2">
        <f>COUNTIFS('BA History S2'!$B:$B,$A$33,'BA History S2'!M:M, 1)</f>
        <v>3</v>
      </c>
      <c r="U33" s="2">
        <f>COUNTIFS('BA History S2'!$B:$B,$A$33,'BA History S2'!N:N, 1)</f>
        <v>8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1</v>
      </c>
      <c r="AC33" s="2">
        <f>COUNTIFS('BA History S2'!$B:$B,$A$33,'BA History S2'!V:V, 1)</f>
        <v>3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7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11</v>
      </c>
      <c r="AK33" s="2">
        <f>COUNTIFS('BA History S2'!$B:$B,$A$33,'BA History S2'!AD:AD, 1)</f>
        <v>3</v>
      </c>
      <c r="AL33" s="2">
        <f>COUNTIFS('BA History S2'!$B:$B,$A$33,'BA History S2'!AE:AE, 1)</f>
        <v>6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637</v>
      </c>
      <c r="G34" s="66">
        <f>AVERAGEIFS('BA History S2'!C:C,'BA History S2'!B:B,A34)</f>
        <v>19.303030303030305</v>
      </c>
      <c r="H34" s="35">
        <f t="array" ref="H34">MAX(IF('BA History S2'!B:B=A34, 'BA History S2'!C:C))</f>
        <v>38</v>
      </c>
      <c r="I34" s="34">
        <f>COUNTIFS('BA History S2'!B:B,A34,'BA History S2'!D:D, 1)</f>
        <v>13</v>
      </c>
      <c r="J34" s="2">
        <f>COUNTIFS('BA History S2'!B:B,A34,'BA History S2'!D:D, 0)</f>
        <v>20</v>
      </c>
      <c r="K34" s="75">
        <f>LOOKUP(2, 1/('BA History S2'!$B:$B=A34), 'BA History S2'!$AK:$AK)</f>
        <v>0.39393939393939392</v>
      </c>
      <c r="L34" s="34">
        <f>SUMIFS('BA History S2'!F:F,'BA History S2'!B:B,A34)</f>
        <v>62</v>
      </c>
      <c r="M34" s="2">
        <f>SUMIFS('BA History S2'!E:E,'BA History S2'!B:B,A34)-L34</f>
        <v>74</v>
      </c>
      <c r="N34" s="75">
        <f>LOOKUP(2, 1/('BA History S2'!$B:$B=A34), 'BA History S2'!$AI:$AI)</f>
        <v>0.44696969696969702</v>
      </c>
      <c r="O34" s="34">
        <f>SUMIFS('BA History S2'!H:H,'BA History S2'!B:B,A34)</f>
        <v>273</v>
      </c>
      <c r="P34" s="2">
        <f>SUMIFS('BA History S2'!G:G,'BA History S2'!B:B,A34)-O34</f>
        <v>292</v>
      </c>
      <c r="Q34" s="89">
        <f>LOOKUP(2, 1/('BA History S2'!$B:$B=A34), 'BA History S2'!$AJ:$AJ)</f>
        <v>0.47666666666666663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5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4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7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6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518</v>
      </c>
      <c r="G36" s="66">
        <f>AVERAGEIFS('BA History S2'!C:C,'BA History S2'!B:B,A36)</f>
        <v>17.266666666666666</v>
      </c>
      <c r="H36" s="35">
        <f t="array" ref="H36">MAX(IF('BA History S2'!B:B=A36, 'BA History S2'!C:C))</f>
        <v>28</v>
      </c>
      <c r="I36" s="34">
        <f>COUNTIFS('BA History S2'!B:B,A36,'BA History S2'!D:D, 1)</f>
        <v>16</v>
      </c>
      <c r="J36" s="2">
        <f>COUNTIFS('BA History S2'!B:B,A36,'BA History S2'!D:D, 0)</f>
        <v>14</v>
      </c>
      <c r="K36" s="75">
        <f>LOOKUP(2, 1/('BA History S2'!$B:$B=A36), 'BA History S2'!$AK:$AK)</f>
        <v>0.53333333333333333</v>
      </c>
      <c r="L36" s="34">
        <f>SUMIFS('BA History S2'!F:F,'BA History S2'!B:B,A36)</f>
        <v>68</v>
      </c>
      <c r="M36" s="2">
        <f>SUMIFS('BA History S2'!E:E,'BA History S2'!B:B,A36)-L36</f>
        <v>61</v>
      </c>
      <c r="N36" s="75">
        <f>LOOKUP(2, 1/('BA History S2'!$B:$B=A36), 'BA History S2'!$AI:$AI)</f>
        <v>0.54166666666666652</v>
      </c>
      <c r="O36" s="34">
        <f>SUMIFS('BA History S2'!H:H,'BA History S2'!B:B,A36)</f>
        <v>284</v>
      </c>
      <c r="P36" s="2">
        <f>SUMIFS('BA History S2'!G:G,'BA History S2'!B:B,A36)-O36</f>
        <v>260</v>
      </c>
      <c r="Q36" s="89">
        <f>LOOKUP(2, 1/('BA History S2'!$B:$B=A36), 'BA History S2'!$AJ:$AJ)</f>
        <v>0.52866666666666673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6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8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364</v>
      </c>
      <c r="G37" s="66">
        <f>AVERAGEIFS('BA History S2'!C:C,'BA History S2'!B:B,A37)</f>
        <v>19.157894736842106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7</v>
      </c>
      <c r="K37" s="75">
        <f>LOOKUP(2, 1/('BA History S2'!$B:$B=A37), 'BA History S2'!$AK:$AK)</f>
        <v>0.63157894736842102</v>
      </c>
      <c r="L37" s="34">
        <f>SUMIFS('BA History S2'!F:F,'BA History S2'!B:B,A37)</f>
        <v>42</v>
      </c>
      <c r="M37" s="2">
        <f>SUMIFS('BA History S2'!E:E,'BA History S2'!B:B,A37)-L37</f>
        <v>32</v>
      </c>
      <c r="N37" s="75">
        <f>LOOKUP(2, 1/('BA History S2'!$B:$B=A37), 'BA History S2'!$AI:$AI)</f>
        <v>0.57631578947368423</v>
      </c>
      <c r="O37" s="34">
        <f>SUMIFS('BA History S2'!H:H,'BA History S2'!B:B,A37)</f>
        <v>161</v>
      </c>
      <c r="P37" s="2">
        <f>SUMIFS('BA History S2'!G:G,'BA History S2'!B:B,A37)-O37</f>
        <v>148</v>
      </c>
      <c r="Q37" s="89">
        <f>LOOKUP(2, 1/('BA History S2'!$B:$B=A37), 'BA History S2'!$AJ:$AJ)</f>
        <v>0.518421052631579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2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1094</v>
      </c>
      <c r="G38" s="66">
        <f>AVERAGEIFS('BA History S2'!C:C,'BA History S2'!B:B,A38)</f>
        <v>25.441860465116278</v>
      </c>
      <c r="H38" s="35">
        <f t="array" ref="H38">MAX(IF('BA History S2'!B:B=A38, 'BA History S2'!C:C))</f>
        <v>42</v>
      </c>
      <c r="I38" s="34">
        <f>COUNTIFS('BA History S2'!B:B,A38,'BA History S2'!D:D, 1)</f>
        <v>28</v>
      </c>
      <c r="J38" s="2">
        <f>COUNTIFS('BA History S2'!B:B,A38,'BA History S2'!D:D, 0)</f>
        <v>15</v>
      </c>
      <c r="K38" s="75">
        <f>LOOKUP(2, 1/('BA History S2'!$B:$B=A38), 'BA History S2'!$AK:$AK)</f>
        <v>0.65116279069767447</v>
      </c>
      <c r="L38" s="34">
        <f>SUMIFS('BA History S2'!F:F,'BA History S2'!B:B,A38)</f>
        <v>101</v>
      </c>
      <c r="M38" s="2">
        <f>SUMIFS('BA History S2'!E:E,'BA History S2'!B:B,A38)-L38</f>
        <v>75</v>
      </c>
      <c r="N38" s="75">
        <f>LOOKUP(2, 1/('BA History S2'!$B:$B=A38), 'BA History S2'!$AI:$AI)</f>
        <v>0.58488372093023255</v>
      </c>
      <c r="O38" s="34">
        <f>SUMIFS('BA History S2'!H:H,'BA History S2'!B:B,A38)</f>
        <v>387</v>
      </c>
      <c r="P38" s="2">
        <f>SUMIFS('BA History S2'!G:G,'BA History S2'!B:B,A38)-O38</f>
        <v>349</v>
      </c>
      <c r="Q38" s="89">
        <f>LOOKUP(2, 1/('BA History S2'!$B:$B=A38), 'BA History S2'!$AJ:$AJ)</f>
        <v>0.52883720930232569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4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3</v>
      </c>
      <c r="AG38" s="2">
        <f>COUNTIFS('BA History S2'!$B:$B,$A$38,'BA History S2'!Z:Z, 1)</f>
        <v>14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7</v>
      </c>
      <c r="AL38" s="2">
        <f>COUNTIFS('BA History S2'!$B:$B,$A$38,'BA History S2'!AE:AE, 1)</f>
        <v>5</v>
      </c>
      <c r="AM38" s="2">
        <f>COUNTIFS('BA History S2'!$B:$B,$A$38,'BA History S2'!AF:AF, 1)</f>
        <v>2</v>
      </c>
      <c r="AN38" s="2">
        <f>COUNTIFS('BA History S2'!$B:$B,$A$38,'BA History S2'!AG:AG, 1)</f>
        <v>10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626</v>
      </c>
      <c r="G41" s="66">
        <f>AVERAGEIFS('BA History S2'!C:C,'BA History S2'!B:B,A41)</f>
        <v>20.193548387096776</v>
      </c>
      <c r="H41" s="35">
        <f t="array" ref="H41">MAX(IF('BA History S2'!B:B=A41, 'BA History S2'!C:C))</f>
        <v>36</v>
      </c>
      <c r="I41" s="34">
        <f>COUNTIFS('BA History S2'!B:B,A41,'BA History S2'!D:D, 1)</f>
        <v>18</v>
      </c>
      <c r="J41" s="2">
        <f>COUNTIFS('BA History S2'!B:B,A41,'BA History S2'!D:D, 0)</f>
        <v>13</v>
      </c>
      <c r="K41" s="75">
        <f>LOOKUP(2, 1/('BA History S2'!$B:$B=A41), 'BA History S2'!$AK:$AK)</f>
        <v>0.58064516129032262</v>
      </c>
      <c r="L41" s="34">
        <f>SUMIFS('BA History S2'!F:F,'BA History S2'!B:B,A41)</f>
        <v>71</v>
      </c>
      <c r="M41" s="2">
        <f>SUMIFS('BA History S2'!E:E,'BA History S2'!B:B,A41)-L41</f>
        <v>58</v>
      </c>
      <c r="N41" s="75">
        <f>LOOKUP(2, 1/('BA History S2'!$B:$B=A41), 'BA History S2'!$AI:$AI)</f>
        <v>0.56451612903225812</v>
      </c>
      <c r="O41" s="34">
        <f>SUMIFS('BA History S2'!H:H,'BA History S2'!B:B,A41)</f>
        <v>283</v>
      </c>
      <c r="P41" s="2">
        <f>SUMIFS('BA History S2'!G:G,'BA History S2'!B:B,A41)-O41</f>
        <v>260</v>
      </c>
      <c r="Q41" s="89">
        <f>LOOKUP(2, 1/('BA History S2'!$B:$B=A41), 'BA History S2'!$AJ:$AJ)</f>
        <v>0.53870967741935494</v>
      </c>
      <c r="R41" s="2">
        <f>COUNTIFS('BA History S2'!$B:$B,$A$41,'BA History S2'!K:K, 1)</f>
        <v>4</v>
      </c>
      <c r="S41" s="2">
        <f>COUNTIFS('BA History S2'!$B:$B,$A$41,'BA History S2'!L:L, 1)</f>
        <v>5</v>
      </c>
      <c r="T41" s="2">
        <f>COUNTIFS('BA History S2'!$B:$B,$A$41,'BA History S2'!M:M, 1)</f>
        <v>4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4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698</v>
      </c>
      <c r="G44" s="66">
        <f>AVERAGEIFS('BA History S2'!C:C,'BA History S2'!B:B,A44)</f>
        <v>25.851851851851851</v>
      </c>
      <c r="H44" s="35">
        <f t="array" ref="H44">MAX(IF('BA History S2'!B:B=A44, 'BA History S2'!C:C))</f>
        <v>43</v>
      </c>
      <c r="I44" s="34">
        <f>COUNTIFS('BA History S2'!B:B,A44,'BA History S2'!D:D, 1)</f>
        <v>15</v>
      </c>
      <c r="J44" s="2">
        <f>COUNTIFS('BA History S2'!B:B,A44,'BA History S2'!D:D, 0)</f>
        <v>12</v>
      </c>
      <c r="K44" s="75">
        <f>LOOKUP(2, 1/('BA History S2'!$B:$B=A44), 'BA History S2'!$AK:$AK)</f>
        <v>0.55555555555555558</v>
      </c>
      <c r="L44" s="34">
        <f>SUMIFS('BA History S2'!F:F,'BA History S2'!B:B,A44)</f>
        <v>59</v>
      </c>
      <c r="M44" s="2">
        <f>SUMIFS('BA History S2'!E:E,'BA History S2'!B:B,A44)-L44</f>
        <v>54</v>
      </c>
      <c r="N44" s="75">
        <f>LOOKUP(2, 1/('BA History S2'!$B:$B=A44), 'BA History S2'!$AI:$AI)</f>
        <v>0.52962962962962967</v>
      </c>
      <c r="O44" s="34">
        <f>SUMIFS('BA History S2'!H:H,'BA History S2'!B:B,A44)</f>
        <v>244</v>
      </c>
      <c r="P44" s="2">
        <f>SUMIFS('BA History S2'!G:G,'BA History S2'!B:B,A44)-O44</f>
        <v>233</v>
      </c>
      <c r="Q44" s="89">
        <f>LOOKUP(2, 1/('BA History S2'!$B:$B=A44), 'BA History S2'!$AJ:$AJ)</f>
        <v>0.51259259259259249</v>
      </c>
      <c r="R44" s="2">
        <f>COUNTIFS('BA History S2'!$B:$B,$A$44,'BA History S2'!K:K, 1)</f>
        <v>4</v>
      </c>
      <c r="S44" s="2">
        <f>COUNTIFS('BA History S2'!$B:$B,$A$44,'BA History S2'!L:L, 1)</f>
        <v>5</v>
      </c>
      <c r="T44" s="2">
        <f>COUNTIFS('BA History S2'!$B:$B,$A$44,'BA History S2'!M:M, 1)</f>
        <v>6</v>
      </c>
      <c r="U44" s="2">
        <f>COUNTIFS('BA History S2'!$B:$B,$A$44,'BA History S2'!N:N, 1)</f>
        <v>6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2</v>
      </c>
      <c r="AD44" s="2">
        <f>COUNTIFS('BA History S2'!$B:$B,$A$44,'BA History S2'!W:W, 1)</f>
        <v>2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3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453</v>
      </c>
      <c r="G45" s="66">
        <f>AVERAGEIFS('BA History S2'!C:C,'BA History S2'!B:B,A45)</f>
        <v>16.178571428571427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14</v>
      </c>
      <c r="K45" s="75">
        <f>LOOKUP(2, 1/('BA History S2'!$B:$B=A45), 'BA History S2'!$AK:$AK)</f>
        <v>0.5</v>
      </c>
      <c r="L45" s="34">
        <f>SUMIFS('BA History S2'!F:F,'BA History S2'!B:B,A45)</f>
        <v>53</v>
      </c>
      <c r="M45" s="2">
        <f>SUMIFS('BA History S2'!E:E,'BA History S2'!B:B,A45)-L45</f>
        <v>59</v>
      </c>
      <c r="N45" s="75">
        <f>LOOKUP(2, 1/('BA History S2'!$B:$B=A45), 'BA History S2'!$AI:$AI)</f>
        <v>0.45714285714285713</v>
      </c>
      <c r="O45" s="34">
        <f>SUMIFS('BA History S2'!H:H,'BA History S2'!B:B,A45)</f>
        <v>228</v>
      </c>
      <c r="P45" s="2">
        <f>SUMIFS('BA History S2'!G:G,'BA History S2'!B:B,A45)-O45</f>
        <v>236</v>
      </c>
      <c r="Q45" s="89">
        <f>LOOKUP(2, 1/('BA History S2'!$B:$B=A45), 'BA History S2'!$AJ:$AJ)</f>
        <v>0.48321428571428571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3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6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4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730"/>
  <sheetViews>
    <sheetView workbookViewId="0">
      <pane xSplit="2" ySplit="1" topLeftCell="C662" activePane="bottomRight" state="frozen"/>
      <selection pane="topRight" activeCell="C1" sqref="C1"/>
      <selection pane="bottomLeft" activeCell="A2" sqref="A2"/>
      <selection pane="bottomRight" activeCell="D752" sqref="D75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</sheetData>
  <autoFilter ref="A1:AK73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workbookViewId="0">
      <selection activeCell="U43" sqref="U4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/>
      <c r="D38" s="86"/>
      <c r="AH38" s="86"/>
      <c r="AI38" s="86"/>
      <c r="AJ38" s="86"/>
      <c r="AK38" s="86"/>
    </row>
    <row r="39" spans="1:37" x14ac:dyDescent="0.25">
      <c r="A39" s="85"/>
      <c r="D39" s="86"/>
      <c r="AH39" s="86"/>
      <c r="AI39" s="86"/>
      <c r="AJ39" s="86"/>
      <c r="AK39" s="86"/>
    </row>
    <row r="40" spans="1:37" x14ac:dyDescent="0.25">
      <c r="A40" s="85"/>
      <c r="D40" s="86"/>
      <c r="AH40" s="86"/>
      <c r="AI40" s="86"/>
      <c r="AJ40" s="86"/>
      <c r="AK40" s="86"/>
    </row>
    <row r="41" spans="1:37" x14ac:dyDescent="0.25">
      <c r="A41" s="85"/>
      <c r="D41" s="86"/>
      <c r="AH41" s="86"/>
      <c r="AI41" s="86"/>
      <c r="AJ41" s="86"/>
      <c r="AK41" s="86"/>
    </row>
    <row r="42" spans="1:37" x14ac:dyDescent="0.25">
      <c r="A42" s="85"/>
      <c r="D42" s="86"/>
      <c r="AH42" s="86"/>
      <c r="AI42" s="86"/>
      <c r="AJ42" s="86"/>
      <c r="AK42" s="86"/>
    </row>
    <row r="43" spans="1:37" x14ac:dyDescent="0.25">
      <c r="A43" s="85"/>
      <c r="D43" s="86"/>
      <c r="AH43" s="86"/>
      <c r="AI43" s="86"/>
      <c r="AJ43" s="86"/>
      <c r="AK43" s="86"/>
    </row>
    <row r="44" spans="1:37" x14ac:dyDescent="0.25">
      <c r="A44" s="85"/>
      <c r="D44" s="86"/>
      <c r="AH44" s="86"/>
      <c r="AI44" s="86"/>
      <c r="AJ44" s="86"/>
      <c r="AK44" s="86"/>
    </row>
    <row r="45" spans="1:37" x14ac:dyDescent="0.25">
      <c r="A45" s="85"/>
      <c r="D45" s="86"/>
      <c r="AH45" s="86"/>
      <c r="AI45" s="86"/>
      <c r="AJ45" s="86"/>
      <c r="AK45" s="86"/>
    </row>
    <row r="46" spans="1:37" x14ac:dyDescent="0.25">
      <c r="A46" s="85"/>
      <c r="D46" s="86"/>
      <c r="AH46" s="86"/>
      <c r="AI46" s="86"/>
      <c r="AJ46" s="86"/>
      <c r="AK46" s="86"/>
    </row>
    <row r="47" spans="1:37" x14ac:dyDescent="0.25">
      <c r="A47" s="85"/>
      <c r="D47" s="86"/>
      <c r="AH47" s="86"/>
      <c r="AI47" s="86"/>
      <c r="AJ47" s="86"/>
      <c r="AK47" s="86"/>
    </row>
    <row r="48" spans="1:37" x14ac:dyDescent="0.25">
      <c r="A48" s="85"/>
      <c r="D48" s="86"/>
      <c r="AH48" s="86"/>
      <c r="AI48" s="86"/>
      <c r="AJ48" s="86"/>
      <c r="AK48" s="86"/>
    </row>
    <row r="49" spans="1:37" x14ac:dyDescent="0.25">
      <c r="A49" s="85"/>
      <c r="D49" s="86"/>
      <c r="AH49" s="86"/>
      <c r="AI49" s="86"/>
      <c r="AJ49" s="86"/>
      <c r="AK49" s="86"/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45" sqref="Q45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79</v>
      </c>
      <c r="C3" s="3" t="s">
        <v>79</v>
      </c>
      <c r="D3" s="34">
        <f>SUMIFS('Tourney History BA'!C:C,'Tourney History BA'!B:B,A3)</f>
        <v>17</v>
      </c>
      <c r="E3" s="4">
        <f>AVERAGEIFS('Tourney History BA'!C:C,'Tourney History BA'!B:B,A3)</f>
        <v>17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1</v>
      </c>
      <c r="H3" s="2">
        <f>COUNTIFS('Tourney History BA'!B:B,A3,'Tourney History BA'!D:D, 0)</f>
        <v>0</v>
      </c>
      <c r="I3" s="88">
        <f>LOOKUP(2, 1/('Tourney History BA'!$B:$B=A3), 'Tourney History BA'!$AK:$AK)</f>
        <v>1</v>
      </c>
      <c r="J3" s="34">
        <f>SUMIFS('Tourney History BA'!F:F,'Tourney History BA'!B:B,A3)</f>
        <v>3</v>
      </c>
      <c r="K3" s="2">
        <f>SUMIFS('Tourney History BA'!E:E,'Tourney History BA'!B:B,A3)-J3</f>
        <v>1</v>
      </c>
      <c r="L3" s="88">
        <f>LOOKUP(2, 1/('Tourney History BA'!$B:$B=A3), 'Tourney History BA'!$AI:$AI)</f>
        <v>0.75</v>
      </c>
      <c r="M3" s="34">
        <f>SUMIFS('Tourney History BA'!H:H,'Tourney History BA'!B:B,A3)</f>
        <v>10</v>
      </c>
      <c r="N3" s="2">
        <f>SUMIFS('Tourney History BA'!G:G,'Tourney History BA'!B:B,A3)-M3</f>
        <v>6</v>
      </c>
      <c r="O3" s="88">
        <f>LOOKUP(2, 1/('Tourney History BA'!$B:$B=A3), 'Tourney History BA'!$AJ:$AJ)</f>
        <v>0.63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0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1</v>
      </c>
      <c r="AE3" s="2">
        <f>COUNTIFS('Tourney History BA'!$B:$B,$A$3,'Tourney History BA'!Z:Z, 1)</f>
        <v>0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1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26</v>
      </c>
      <c r="E4" s="4">
        <f>AVERAGEIFS('Tourney History BA'!C:C,'Tourney History BA'!B:B,A4)</f>
        <v>26</v>
      </c>
      <c r="F4" s="35">
        <f t="array" ref="F4">MAX(IF('Tourney History BA'!B:B=A4, 'Tourney History BA'!C:C))</f>
        <v>26</v>
      </c>
      <c r="G4" s="34">
        <f>COUNTIFS('Tourney History BA'!B:B,A4,'Tourney History BA'!D:D, 1)</f>
        <v>1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3</v>
      </c>
      <c r="K4" s="2">
        <f>SUMIFS('Tourney History BA'!E:E,'Tourney History BA'!B:B,A4)-J4</f>
        <v>1</v>
      </c>
      <c r="L4" s="88">
        <f>LOOKUP(2, 1/('Tourney History BA'!$B:$B=A4), 'Tourney History BA'!$AI:$AI)</f>
        <v>0.75</v>
      </c>
      <c r="M4" s="34">
        <f>SUMIFS('Tourney History BA'!H:H,'Tourney History BA'!B:B,A4)</f>
        <v>9</v>
      </c>
      <c r="N4" s="2">
        <f>SUMIFS('Tourney History BA'!G:G,'Tourney History BA'!B:B,A4)-M4</f>
        <v>7</v>
      </c>
      <c r="O4" s="88">
        <f>LOOKUP(2, 1/('Tourney History BA'!$B:$B=A4), 'Tourney History BA'!$AJ:$AJ)</f>
        <v>0.56000000000000005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1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79</v>
      </c>
      <c r="C6" s="3" t="s">
        <v>79</v>
      </c>
      <c r="D6" s="34">
        <f>SUMIFS('Tourney History BA'!C:C,'Tourney History BA'!B:B,A6)</f>
        <v>30</v>
      </c>
      <c r="E6" s="4">
        <f>AVERAGEIFS('Tourney History BA'!C:C,'Tourney History BA'!B:B,A6)</f>
        <v>30</v>
      </c>
      <c r="F6" s="35">
        <f t="array" ref="F6">MAX(IF('Tourney History BA'!B:B=A6, 'Tourney History BA'!C:C))</f>
        <v>30</v>
      </c>
      <c r="G6" s="34">
        <f>COUNTIFS('Tourney History BA'!B:B,A6,'Tourney History BA'!D:D, 1)</f>
        <v>1</v>
      </c>
      <c r="H6" s="2">
        <f>COUNTIFS('Tourney History BA'!B:B,A6,'Tourney History BA'!D:D, 0)</f>
        <v>0</v>
      </c>
      <c r="I6" s="88">
        <f>LOOKUP(2, 1/('Tourney History BA'!$B:$B=A6), 'Tourney History BA'!$AK:$AK)</f>
        <v>1</v>
      </c>
      <c r="J6" s="34">
        <f>SUMIFS('Tourney History BA'!F:F,'Tourney History BA'!B:B,A6)</f>
        <v>3</v>
      </c>
      <c r="K6" s="2">
        <f>SUMIFS('Tourney History BA'!E:E,'Tourney History BA'!B:B,A6)-J6</f>
        <v>1</v>
      </c>
      <c r="L6" s="88">
        <f>LOOKUP(2, 1/('Tourney History BA'!$B:$B=A6), 'Tourney History BA'!$AI:$AI)</f>
        <v>0.75</v>
      </c>
      <c r="M6" s="34">
        <f>SUMIFS('Tourney History BA'!H:H,'Tourney History BA'!B:B,A6)</f>
        <v>10</v>
      </c>
      <c r="N6" s="2">
        <f>SUMIFS('Tourney History BA'!G:G,'Tourney History BA'!B:B,A6)-M6</f>
        <v>6</v>
      </c>
      <c r="O6" s="88">
        <f>LOOKUP(2, 1/('Tourney History BA'!$B:$B=A6), 'Tourney History BA'!$AJ:$AJ)</f>
        <v>0.63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0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1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79</v>
      </c>
      <c r="C7" s="3" t="s">
        <v>79</v>
      </c>
      <c r="D7" s="34">
        <f>SUMIFS('Tourney History BA'!C:C,'Tourney History BA'!B:B,A7)</f>
        <v>3</v>
      </c>
      <c r="E7" s="4">
        <f>AVERAGEIFS('Tourney History BA'!C:C,'Tourney History BA'!B:B,A7)</f>
        <v>3</v>
      </c>
      <c r="F7" s="35">
        <f t="array" ref="F7">MAX(IF('Tourney History BA'!B:B=A7, 'Tourney History BA'!C:C))</f>
        <v>3</v>
      </c>
      <c r="G7" s="34">
        <f>COUNTIFS('Tourney History BA'!B:B,A7,'Tourney History BA'!D:D, 1)</f>
        <v>1</v>
      </c>
      <c r="H7" s="2">
        <f>COUNTIFS('Tourney History BA'!B:B,A7,'Tourney History BA'!D:D, 0)</f>
        <v>0</v>
      </c>
      <c r="I7" s="88">
        <f>LOOKUP(2, 1/('Tourney History BA'!$B:$B=A7), 'Tourney History BA'!$AK:$AK)</f>
        <v>1</v>
      </c>
      <c r="J7" s="34">
        <f>SUMIFS('Tourney History BA'!F:F,'Tourney History BA'!B:B,A7)</f>
        <v>3</v>
      </c>
      <c r="K7" s="2">
        <f>SUMIFS('Tourney History BA'!E:E,'Tourney History BA'!B:B,A7)-J7</f>
        <v>1</v>
      </c>
      <c r="L7" s="88">
        <f>LOOKUP(2, 1/('Tourney History BA'!$B:$B=A7), 'Tourney History BA'!$AI:$AI)</f>
        <v>0.75</v>
      </c>
      <c r="M7" s="34">
        <f>SUMIFS('Tourney History BA'!H:H,'Tourney History BA'!B:B,A7)</f>
        <v>10</v>
      </c>
      <c r="N7" s="2">
        <f>SUMIFS('Tourney History BA'!G:G,'Tourney History BA'!B:B,A7)-M7</f>
        <v>6</v>
      </c>
      <c r="O7" s="88">
        <f>LOOKUP(2, 1/('Tourney History BA'!$B:$B=A7), 'Tourney History BA'!$AJ:$AJ)</f>
        <v>0.63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0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0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1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13</v>
      </c>
      <c r="E8" s="4">
        <f>AVERAGEIFS('Tourney History BA'!C:C,'Tourney History BA'!B:B,A8)</f>
        <v>13</v>
      </c>
      <c r="F8" s="35">
        <f t="array" ref="F8">MAX(IF('Tourney History BA'!B:B=A8, 'Tourney History BA'!C:C))</f>
        <v>13</v>
      </c>
      <c r="G8" s="34">
        <f>COUNTIFS('Tourney History BA'!B:B,A8,'Tourney History BA'!D:D, 1)</f>
        <v>1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3</v>
      </c>
      <c r="K8" s="2">
        <f>SUMIFS('Tourney History BA'!E:E,'Tourney History BA'!B:B,A8)-J8</f>
        <v>1</v>
      </c>
      <c r="L8" s="88">
        <f>LOOKUP(2, 1/('Tourney History BA'!$B:$B=A8), 'Tourney History BA'!$AI:$AI)</f>
        <v>0.75</v>
      </c>
      <c r="M8" s="34">
        <f>SUMIFS('Tourney History BA'!H:H,'Tourney History BA'!B:B,A8)</f>
        <v>9</v>
      </c>
      <c r="N8" s="2">
        <f>SUMIFS('Tourney History BA'!G:G,'Tourney History BA'!B:B,A8)-M8</f>
        <v>7</v>
      </c>
      <c r="O8" s="88">
        <f>LOOKUP(2, 1/('Tourney History BA'!$B:$B=A8), 'Tourney History BA'!$AJ:$AJ)</f>
        <v>0.56000000000000005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1</v>
      </c>
    </row>
    <row r="9" spans="1:38" x14ac:dyDescent="0.25">
      <c r="A9" s="1" t="s">
        <v>146</v>
      </c>
      <c r="B9" s="3" t="s">
        <v>79</v>
      </c>
      <c r="C9" s="3" t="s">
        <v>79</v>
      </c>
      <c r="D9" s="34">
        <f>SUMIFS('Tourney History BA'!C:C,'Tourney History BA'!B:B,A9)</f>
        <v>13</v>
      </c>
      <c r="E9" s="4">
        <f>AVERAGEIFS('Tourney History BA'!C:C,'Tourney History BA'!B:B,A9)</f>
        <v>13</v>
      </c>
      <c r="F9" s="35">
        <f t="array" ref="F9">MAX(IF('Tourney History BA'!B:B=A9, 'Tourney History BA'!C:C))</f>
        <v>13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27</v>
      </c>
      <c r="B10" s="3" t="s">
        <v>79</v>
      </c>
      <c r="C10" s="3" t="s">
        <v>79</v>
      </c>
      <c r="D10" s="34">
        <f>SUMIFS('Tourney History BA'!C:C,'Tourney History BA'!B:B,A10)</f>
        <v>16</v>
      </c>
      <c r="E10" s="4">
        <f>AVERAGEIFS('Tourney History BA'!C:C,'Tourney History BA'!B:B,A10)</f>
        <v>16</v>
      </c>
      <c r="F10" s="35">
        <f t="array" ref="F10">MAX(IF('Tourney History BA'!B:B=A10, 'Tourney History BA'!C:C))</f>
        <v>16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7</v>
      </c>
      <c r="N10" s="2">
        <f>SUMIFS('Tourney History BA'!G:G,'Tourney History BA'!B:B,A10)-M10</f>
        <v>11</v>
      </c>
      <c r="O10" s="88">
        <f>LOOKUP(2, 1/('Tourney History BA'!$B:$B=A10), 'Tourney History BA'!$AJ:$AJ)</f>
        <v>0.39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1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152</v>
      </c>
      <c r="B11" s="3" t="s">
        <v>79</v>
      </c>
      <c r="C11" s="3" t="s">
        <v>79</v>
      </c>
      <c r="D11" s="34">
        <f>SUMIFS('Tourney History BA'!C:C,'Tourney History BA'!B:B,A11)</f>
        <v>23</v>
      </c>
      <c r="E11" s="4">
        <f>AVERAGEIFS('Tourney History BA'!C:C,'Tourney History BA'!B:B,A11)</f>
        <v>23</v>
      </c>
      <c r="F11" s="35">
        <f t="array" ref="F11">MAX(IF('Tourney History BA'!B:B=A11, 'Tourney History BA'!C:C))</f>
        <v>23</v>
      </c>
      <c r="G11" s="34">
        <f>COUNTIFS('Tourney History BA'!B:B,A11,'Tourney History BA'!D:D, 1)</f>
        <v>1</v>
      </c>
      <c r="H11" s="2">
        <f>COUNTIFS('Tourney History BA'!B:B,A11,'Tourney History BA'!D:D, 0)</f>
        <v>0</v>
      </c>
      <c r="I11" s="88">
        <f>LOOKUP(2, 1/('Tourney History BA'!$B:$B=A11), 'Tourney History BA'!$AK:$AK)</f>
        <v>1</v>
      </c>
      <c r="J11" s="34">
        <f>SUMIFS('Tourney History BA'!F:F,'Tourney History BA'!B:B,A11)</f>
        <v>3</v>
      </c>
      <c r="K11" s="2">
        <f>SUMIFS('Tourney History BA'!E:E,'Tourney History BA'!B:B,A11)-J11</f>
        <v>1</v>
      </c>
      <c r="L11" s="88">
        <f>LOOKUP(2, 1/('Tourney History BA'!$B:$B=A11), 'Tourney History BA'!$AI:$AI)</f>
        <v>0.75</v>
      </c>
      <c r="M11" s="34">
        <f>SUMIFS('Tourney History BA'!H:H,'Tourney History BA'!B:B,A11)</f>
        <v>11</v>
      </c>
      <c r="N11" s="2">
        <f>SUMIFS('Tourney History BA'!G:G,'Tourney History BA'!B:B,A11)-M11</f>
        <v>7</v>
      </c>
      <c r="O11" s="88">
        <f>LOOKUP(2, 1/('Tourney History BA'!$B:$B=A11), 'Tourney History BA'!$AJ:$AJ)</f>
        <v>0.61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1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1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1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50</v>
      </c>
      <c r="B12" s="3" t="s">
        <v>79</v>
      </c>
      <c r="C12" s="3" t="s">
        <v>79</v>
      </c>
      <c r="D12" s="34">
        <f>SUMIFS('Tourney History BA'!C:C,'Tourney History BA'!B:B,A12)</f>
        <v>21</v>
      </c>
      <c r="E12" s="4">
        <f>AVERAGEIFS('Tourney History BA'!C:C,'Tourney History BA'!B:B,A12)</f>
        <v>21</v>
      </c>
      <c r="F12" s="35">
        <f t="array" ref="F12">MAX(IF('Tourney History BA'!B:B=A12, 'Tourney History BA'!C:C))</f>
        <v>21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7</v>
      </c>
      <c r="N12" s="2">
        <f>SUMIFS('Tourney History BA'!G:G,'Tourney History BA'!B:B,A12)-M12</f>
        <v>11</v>
      </c>
      <c r="O12" s="88">
        <f>LOOKUP(2, 1/('Tourney History BA'!$B:$B=A12), 'Tourney History BA'!$AJ:$AJ)</f>
        <v>0.39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1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44</v>
      </c>
      <c r="B13" s="3" t="s">
        <v>79</v>
      </c>
      <c r="C13" s="3" t="s">
        <v>79</v>
      </c>
      <c r="D13" s="34">
        <f>SUMIFS('Tourney History BA'!C:C,'Tourney History BA'!B:B,A13)</f>
        <v>16</v>
      </c>
      <c r="E13" s="4">
        <f>AVERAGEIFS('Tourney History BA'!C:C,'Tourney History BA'!B:B,A13)</f>
        <v>16</v>
      </c>
      <c r="F13" s="35">
        <f t="array" ref="F13">MAX(IF('Tourney History BA'!B:B=A13, 'Tourney History BA'!C:C))</f>
        <v>16</v>
      </c>
      <c r="G13" s="34">
        <f>COUNTIFS('Tourney History BA'!B:B,A13,'Tourney History BA'!D:D, 1)</f>
        <v>1</v>
      </c>
      <c r="H13" s="2">
        <f>COUNTIFS('Tourney History BA'!B:B,A13,'Tourney History BA'!D:D, 0)</f>
        <v>0</v>
      </c>
      <c r="I13" s="88">
        <f>LOOKUP(2, 1/('Tourney History BA'!$B:$B=A13), 'Tourney History BA'!$AK:$AK)</f>
        <v>1</v>
      </c>
      <c r="J13" s="34">
        <f>SUMIFS('Tourney History BA'!F:F,'Tourney History BA'!B:B,A13)</f>
        <v>3</v>
      </c>
      <c r="K13" s="2">
        <f>SUMIFS('Tourney History BA'!E:E,'Tourney History BA'!B:B,A13)-J13</f>
        <v>1</v>
      </c>
      <c r="L13" s="88">
        <f>LOOKUP(2, 1/('Tourney History BA'!$B:$B=A13), 'Tourney History BA'!$AI:$AI)</f>
        <v>0.75</v>
      </c>
      <c r="M13" s="34">
        <f>SUMIFS('Tourney History BA'!H:H,'Tourney History BA'!B:B,A13)</f>
        <v>10</v>
      </c>
      <c r="N13" s="2">
        <f>SUMIFS('Tourney History BA'!G:G,'Tourney History BA'!B:B,A13)-M13</f>
        <v>6</v>
      </c>
      <c r="O13" s="88">
        <f>LOOKUP(2, 1/('Tourney History BA'!$B:$B=A13), 'Tourney History BA'!$AJ:$AJ)</f>
        <v>0.63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1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1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</v>
      </c>
      <c r="B14" s="1" t="s">
        <v>158</v>
      </c>
      <c r="C14" s="3" t="s">
        <v>79</v>
      </c>
      <c r="D14" s="34">
        <f>SUMIFS('Tourney History BA'!C:C,'Tourney History BA'!B:B,A14)</f>
        <v>37</v>
      </c>
      <c r="E14" s="4">
        <f>AVERAGEIFS('Tourney History BA'!C:C,'Tourney History BA'!B:B,A14)</f>
        <v>37</v>
      </c>
      <c r="F14" s="35">
        <f t="array" ref="F14">MAX(IF('Tourney History BA'!B:B=A14, 'Tourney History BA'!C:C))</f>
        <v>37</v>
      </c>
      <c r="G14" s="34">
        <f>COUNTIFS('Tourney History BA'!B:B,A14,'Tourney History BA'!D:D, 1)</f>
        <v>1</v>
      </c>
      <c r="H14" s="2">
        <f>COUNTIFS('Tourney History BA'!B:B,A14,'Tourney History BA'!D:D, 0)</f>
        <v>0</v>
      </c>
      <c r="I14" s="88">
        <f>LOOKUP(2, 1/('Tourney History BA'!$B:$B=A14), 'Tourney History BA'!$AK:$AK)</f>
        <v>1</v>
      </c>
      <c r="J14" s="34">
        <f>SUMIFS('Tourney History BA'!F:F,'Tourney History BA'!B:B,A14)</f>
        <v>3</v>
      </c>
      <c r="K14" s="2">
        <f>SUMIFS('Tourney History BA'!E:E,'Tourney History BA'!B:B,A14)-J14</f>
        <v>1</v>
      </c>
      <c r="L14" s="88">
        <f>LOOKUP(2, 1/('Tourney History BA'!$B:$B=A14), 'Tourney History BA'!$AI:$AI)</f>
        <v>0.75</v>
      </c>
      <c r="M14" s="34">
        <f>SUMIFS('Tourney History BA'!H:H,'Tourney History BA'!B:B,A14)</f>
        <v>10</v>
      </c>
      <c r="N14" s="2">
        <f>SUMIFS('Tourney History BA'!G:G,'Tourney History BA'!B:B,A14)-M14</f>
        <v>6</v>
      </c>
      <c r="O14" s="88">
        <f>LOOKUP(2, 1/('Tourney History BA'!$B:$B=A14), 'Tourney History BA'!$AJ:$AJ)</f>
        <v>0.63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0</v>
      </c>
      <c r="S14" s="2">
        <f>COUNTIFS('Tourney History BA'!$B:$B,$A$14,'Tourney History BA'!N:N, 1)</f>
        <v>0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1</v>
      </c>
      <c r="AE14" s="2">
        <f>COUNTIFS('Tourney History BA'!$B:$B,$A$14,'Tourney History BA'!Z:Z, 1)</f>
        <v>0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1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150</v>
      </c>
      <c r="B15" s="3" t="s">
        <v>79</v>
      </c>
      <c r="C15" s="3" t="s">
        <v>79</v>
      </c>
      <c r="D15" s="34">
        <f>SUMIFS('Tourney History BA'!C:C,'Tourney History BA'!B:B,A15)</f>
        <v>33</v>
      </c>
      <c r="E15" s="4">
        <f>AVERAGEIFS('Tourney History BA'!C:C,'Tourney History BA'!B:B,A15)</f>
        <v>33</v>
      </c>
      <c r="F15" s="35">
        <f t="array" ref="F15">MAX(IF('Tourney History BA'!B:B=A15, 'Tourney History BA'!C:C))</f>
        <v>33</v>
      </c>
      <c r="G15" s="34">
        <f>COUNTIFS('Tourney History BA'!B:B,A15,'Tourney History BA'!D:D, 1)</f>
        <v>1</v>
      </c>
      <c r="H15" s="2">
        <f>COUNTIFS('Tourney History BA'!B:B,A15,'Tourney History BA'!D:D, 0)</f>
        <v>0</v>
      </c>
      <c r="I15" s="88">
        <f>LOOKUP(2, 1/('Tourney History BA'!$B:$B=A15), 'Tourney History BA'!$AK:$AK)</f>
        <v>1</v>
      </c>
      <c r="J15" s="34">
        <f>SUMIFS('Tourney History BA'!F:F,'Tourney History BA'!B:B,A15)</f>
        <v>3</v>
      </c>
      <c r="K15" s="2">
        <f>SUMIFS('Tourney History BA'!E:E,'Tourney History BA'!B:B,A15)-J15</f>
        <v>1</v>
      </c>
      <c r="L15" s="88">
        <f>LOOKUP(2, 1/('Tourney History BA'!$B:$B=A15), 'Tourney History BA'!$AI:$AI)</f>
        <v>0.75</v>
      </c>
      <c r="M15" s="34">
        <f>SUMIFS('Tourney History BA'!H:H,'Tourney History BA'!B:B,A15)</f>
        <v>11</v>
      </c>
      <c r="N15" s="2">
        <f>SUMIFS('Tourney History BA'!G:G,'Tourney History BA'!B:B,A15)-M15</f>
        <v>7</v>
      </c>
      <c r="O15" s="88">
        <f>LOOKUP(2, 1/('Tourney History BA'!$B:$B=A15), 'Tourney History BA'!$AJ:$AJ)</f>
        <v>0.61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28</v>
      </c>
      <c r="B16" s="3" t="s">
        <v>79</v>
      </c>
      <c r="C16" s="3" t="s">
        <v>79</v>
      </c>
      <c r="D16" s="34">
        <f>SUMIFS('Tourney History BA'!C:C,'Tourney History BA'!B:B,A16)</f>
        <v>14</v>
      </c>
      <c r="E16" s="4">
        <f>AVERAGEIFS('Tourney History BA'!C:C,'Tourney History BA'!B:B,A16)</f>
        <v>14</v>
      </c>
      <c r="F16" s="35">
        <f t="array" ref="F16">MAX(IF('Tourney History BA'!B:B=A16, 'Tourney History BA'!C:C))</f>
        <v>14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53</v>
      </c>
      <c r="B17" s="3" t="s">
        <v>79</v>
      </c>
      <c r="C17" s="3" t="s">
        <v>79</v>
      </c>
      <c r="D17" s="34">
        <f>SUMIFS('Tourney History BA'!C:C,'Tourney History BA'!B:B,A17)</f>
        <v>27</v>
      </c>
      <c r="E17" s="4">
        <f>AVERAGEIFS('Tourney History BA'!C:C,'Tourney History BA'!B:B,A17)</f>
        <v>27</v>
      </c>
      <c r="F17" s="35">
        <f t="array" ref="F17">MAX(IF('Tourney History BA'!B:B=A17, 'Tourney History BA'!C:C))</f>
        <v>27</v>
      </c>
      <c r="G17" s="34">
        <f>COUNTIFS('Tourney History BA'!B:B,A17,'Tourney History BA'!D:D, 1)</f>
        <v>1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3</v>
      </c>
      <c r="K17" s="2">
        <f>SUMIFS('Tourney History BA'!E:E,'Tourney History BA'!B:B,A17)-J17</f>
        <v>1</v>
      </c>
      <c r="L17" s="88">
        <f>LOOKUP(2, 1/('Tourney History BA'!$B:$B=A17), 'Tourney History BA'!$AI:$AI)</f>
        <v>0.75</v>
      </c>
      <c r="M17" s="34">
        <f>SUMIFS('Tourney History BA'!H:H,'Tourney History BA'!B:B,A17)</f>
        <v>9</v>
      </c>
      <c r="N17" s="2">
        <f>SUMIFS('Tourney History BA'!G:G,'Tourney History BA'!B:B,A17)-M17</f>
        <v>7</v>
      </c>
      <c r="O17" s="88">
        <f>LOOKUP(2, 1/('Tourney History BA'!$B:$B=A17), 'Tourney History BA'!$AJ:$AJ)</f>
        <v>0.56000000000000005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1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1</v>
      </c>
    </row>
    <row r="18" spans="1:38" x14ac:dyDescent="0.25">
      <c r="A18" s="1" t="s">
        <v>137</v>
      </c>
      <c r="B18" s="3" t="s">
        <v>79</v>
      </c>
      <c r="C18" s="3" t="s">
        <v>79</v>
      </c>
      <c r="D18" s="34">
        <f>SUMIFS('Tourney History BA'!C:C,'Tourney History BA'!B:B,A18)</f>
        <v>9</v>
      </c>
      <c r="E18" s="4">
        <f>AVERAGEIFS('Tourney History BA'!C:C,'Tourney History BA'!B:B,A18)</f>
        <v>9</v>
      </c>
      <c r="F18" s="35">
        <f t="array" ref="F18">MAX(IF('Tourney History BA'!B:B=A18, 'Tourney History BA'!C:C))</f>
        <v>9</v>
      </c>
      <c r="G18" s="34">
        <f>COUNTIFS('Tourney History BA'!B:B,A18,'Tourney History BA'!D:D, 1)</f>
        <v>1</v>
      </c>
      <c r="H18" s="2">
        <f>COUNTIFS('Tourney History BA'!B:B,A18,'Tourney History BA'!D:D, 0)</f>
        <v>0</v>
      </c>
      <c r="I18" s="88">
        <f>LOOKUP(2, 1/('Tourney History BA'!$B:$B=A18), 'Tourney History BA'!$AK:$AK)</f>
        <v>1</v>
      </c>
      <c r="J18" s="34">
        <f>SUMIFS('Tourney History BA'!F:F,'Tourney History BA'!B:B,A18)</f>
        <v>3</v>
      </c>
      <c r="K18" s="2">
        <f>SUMIFS('Tourney History BA'!E:E,'Tourney History BA'!B:B,A18)-J18</f>
        <v>1</v>
      </c>
      <c r="L18" s="88">
        <f>LOOKUP(2, 1/('Tourney History BA'!$B:$B=A18), 'Tourney History BA'!$AI:$AI)</f>
        <v>0.75</v>
      </c>
      <c r="M18" s="34">
        <f>SUMIFS('Tourney History BA'!H:H,'Tourney History BA'!B:B,A18)</f>
        <v>11</v>
      </c>
      <c r="N18" s="2">
        <f>SUMIFS('Tourney History BA'!G:G,'Tourney History BA'!B:B,A18)-M18</f>
        <v>7</v>
      </c>
      <c r="O18" s="88">
        <f>LOOKUP(2, 1/('Tourney History BA'!$B:$B=A18), 'Tourney History BA'!$AJ:$AJ)</f>
        <v>0.61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1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1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</row>
    <row r="19" spans="1:38" x14ac:dyDescent="0.25">
      <c r="A19" s="1" t="s">
        <v>3</v>
      </c>
      <c r="B19" s="1" t="s">
        <v>158</v>
      </c>
      <c r="C19" s="3" t="s">
        <v>79</v>
      </c>
      <c r="D19" s="34">
        <f>SUMIFS('Tourney History BA'!C:C,'Tourney History BA'!B:B,A19)</f>
        <v>20</v>
      </c>
      <c r="E19" s="4">
        <f>AVERAGEIFS('Tourney History BA'!C:C,'Tourney History BA'!B:B,A19)</f>
        <v>20</v>
      </c>
      <c r="F19" s="35">
        <f t="array" ref="F19">MAX(IF('Tourney History BA'!B:B=A19, 'Tourney History BA'!C:C))</f>
        <v>20</v>
      </c>
      <c r="G19" s="34">
        <f>COUNTIFS('Tourney History BA'!B:B,A19,'Tourney History BA'!D:D, 1)</f>
        <v>0</v>
      </c>
      <c r="H19" s="2">
        <f>COUNTIFS('Tourney History BA'!B:B,A19,'Tourney History BA'!D:D, 0)</f>
        <v>1</v>
      </c>
      <c r="I19" s="88">
        <f>LOOKUP(2, 1/('Tourney History BA'!$B:$B=A19), 'Tourney History BA'!$AK:$AK)</f>
        <v>0</v>
      </c>
      <c r="J19" s="34">
        <f>SUMIFS('Tourney History BA'!F:F,'Tourney History BA'!B:B,A19)</f>
        <v>1</v>
      </c>
      <c r="K19" s="2">
        <f>SUMIFS('Tourney History BA'!E:E,'Tourney History BA'!B:B,A19)-J19</f>
        <v>3</v>
      </c>
      <c r="L19" s="88">
        <f>LOOKUP(2, 1/('Tourney History BA'!$B:$B=A19), 'Tourney History BA'!$AI:$AI)</f>
        <v>0.25</v>
      </c>
      <c r="M19" s="34">
        <f>SUMIFS('Tourney History BA'!H:H,'Tourney History BA'!B:B,A19)</f>
        <v>7</v>
      </c>
      <c r="N19" s="2">
        <f>SUMIFS('Tourney History BA'!G:G,'Tourney History BA'!B:B,A19)-M19</f>
        <v>11</v>
      </c>
      <c r="O19" s="88">
        <f>LOOKUP(2, 1/('Tourney History BA'!$B:$B=A19), 'Tourney History BA'!$AJ:$AJ)</f>
        <v>0.39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1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148</v>
      </c>
      <c r="B20" s="3" t="s">
        <v>79</v>
      </c>
      <c r="C20" s="3" t="s">
        <v>79</v>
      </c>
      <c r="D20" s="34">
        <f>SUMIFS('Tourney History BA'!C:C,'Tourney History BA'!B:B,A20)</f>
        <v>16</v>
      </c>
      <c r="E20" s="4">
        <f>AVERAGEIFS('Tourney History BA'!C:C,'Tourney History BA'!B:B,A20)</f>
        <v>16</v>
      </c>
      <c r="F20" s="35">
        <f t="array" ref="F20">MAX(IF('Tourney History BA'!B:B=A20, 'Tourney History BA'!C:C))</f>
        <v>16</v>
      </c>
      <c r="G20" s="34">
        <f>COUNTIFS('Tourney History BA'!B:B,A20,'Tourney History BA'!D:D, 1)</f>
        <v>1</v>
      </c>
      <c r="H20" s="2">
        <f>COUNTIFS('Tourney History BA'!B:B,A20,'Tourney History BA'!D:D, 0)</f>
        <v>0</v>
      </c>
      <c r="I20" s="88">
        <f>LOOKUP(2, 1/('Tourney History BA'!$B:$B=A20), 'Tourney History BA'!$AK:$AK)</f>
        <v>1</v>
      </c>
      <c r="J20" s="34">
        <f>SUMIFS('Tourney History BA'!F:F,'Tourney History BA'!B:B,A20)</f>
        <v>3</v>
      </c>
      <c r="K20" s="2">
        <f>SUMIFS('Tourney History BA'!E:E,'Tourney History BA'!B:B,A20)-J20</f>
        <v>1</v>
      </c>
      <c r="L20" s="88">
        <f>LOOKUP(2, 1/('Tourney History BA'!$B:$B=A20), 'Tourney History BA'!$AI:$AI)</f>
        <v>0.75</v>
      </c>
      <c r="M20" s="34">
        <f>SUMIFS('Tourney History BA'!H:H,'Tourney History BA'!B:B,A20)</f>
        <v>9</v>
      </c>
      <c r="N20" s="2">
        <f>SUMIFS('Tourney History BA'!G:G,'Tourney History BA'!B:B,A20)-M20</f>
        <v>7</v>
      </c>
      <c r="O20" s="88">
        <f>LOOKUP(2, 1/('Tourney History BA'!$B:$B=A20), 'Tourney History BA'!$AJ:$AJ)</f>
        <v>0.56000000000000005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1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1</v>
      </c>
    </row>
    <row r="21" spans="1:38" x14ac:dyDescent="0.25">
      <c r="A21" s="1" t="s">
        <v>15</v>
      </c>
      <c r="B21" s="3" t="s">
        <v>79</v>
      </c>
      <c r="C21" s="3" t="s">
        <v>79</v>
      </c>
      <c r="D21" s="34">
        <f>SUMIFS('Tourney History BA'!C:C,'Tourney History BA'!B:B,A21)</f>
        <v>18</v>
      </c>
      <c r="E21" s="4">
        <f>AVERAGEIFS('Tourney History BA'!C:C,'Tourney History BA'!B:B,A21)</f>
        <v>18</v>
      </c>
      <c r="F21" s="35">
        <f t="array" ref="F21">MAX(IF('Tourney History BA'!B:B=A21, 'Tourney History BA'!C:C))</f>
        <v>18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161</v>
      </c>
      <c r="B22" s="3" t="s">
        <v>79</v>
      </c>
      <c r="C22" s="3" t="s">
        <v>79</v>
      </c>
      <c r="D22" s="34">
        <f>SUMIFS('Tourney History BA'!C:C,'Tourney History BA'!B:B,A22)</f>
        <v>15</v>
      </c>
      <c r="E22" s="4">
        <f>AVERAGEIFS('Tourney History BA'!C:C,'Tourney History BA'!B:B,A22)</f>
        <v>15</v>
      </c>
      <c r="F22" s="35">
        <f t="array" ref="F22">MAX(IF('Tourney History BA'!B:B=A22, 'Tourney History BA'!C:C))</f>
        <v>15</v>
      </c>
      <c r="G22" s="34">
        <f>COUNTIFS('Tourney History BA'!B:B,A22,'Tourney History BA'!D:D, 1)</f>
        <v>1</v>
      </c>
      <c r="H22" s="2">
        <f>COUNTIFS('Tourney History BA'!B:B,A22,'Tourney History BA'!D:D, 0)</f>
        <v>0</v>
      </c>
      <c r="I22" s="88">
        <f>LOOKUP(2, 1/('Tourney History BA'!$B:$B=A22), 'Tourney History BA'!$AK:$AK)</f>
        <v>1</v>
      </c>
      <c r="J22" s="34">
        <f>SUMIFS('Tourney History BA'!F:F,'Tourney History BA'!B:B,A22)</f>
        <v>3</v>
      </c>
      <c r="K22" s="2">
        <f>SUMIFS('Tourney History BA'!E:E,'Tourney History BA'!B:B,A22)-J22</f>
        <v>1</v>
      </c>
      <c r="L22" s="88">
        <f>LOOKUP(2, 1/('Tourney History BA'!$B:$B=A22), 'Tourney History BA'!$AI:$AI)</f>
        <v>0.75</v>
      </c>
      <c r="M22" s="34">
        <f>SUMIFS('Tourney History BA'!H:H,'Tourney History BA'!B:B,A22)</f>
        <v>11</v>
      </c>
      <c r="N22" s="2">
        <f>SUMIFS('Tourney History BA'!G:G,'Tourney History BA'!B:B,A22)-M22</f>
        <v>7</v>
      </c>
      <c r="O22" s="88">
        <f>LOOKUP(2, 1/('Tourney History BA'!$B:$B=A22), 'Tourney History BA'!$AJ:$AJ)</f>
        <v>0.61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1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1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13</v>
      </c>
      <c r="B23" s="3" t="s">
        <v>79</v>
      </c>
      <c r="C23" s="3" t="s">
        <v>79</v>
      </c>
      <c r="D23" s="34">
        <f>SUMIFS('Tourney History BA'!C:C,'Tourney History BA'!B:B,A23)</f>
        <v>28</v>
      </c>
      <c r="E23" s="4">
        <f>AVERAGEIFS('Tourney History BA'!C:C,'Tourney History BA'!B:B,A23)</f>
        <v>28</v>
      </c>
      <c r="F23" s="35">
        <f t="array" ref="F23">MAX(IF('Tourney History BA'!B:B=A23, 'Tourney History BA'!C:C))</f>
        <v>28</v>
      </c>
      <c r="G23" s="34">
        <f>COUNTIFS('Tourney History BA'!B:B,A23,'Tourney History BA'!D:D, 1)</f>
        <v>0</v>
      </c>
      <c r="H23" s="2">
        <f>COUNTIFS('Tourney History BA'!B:B,A23,'Tourney History BA'!D:D, 0)</f>
        <v>1</v>
      </c>
      <c r="I23" s="88">
        <f>LOOKUP(2, 1/('Tourney History BA'!$B:$B=A23), 'Tourney History BA'!$AK:$AK)</f>
        <v>0</v>
      </c>
      <c r="J23" s="34">
        <f>SUMIFS('Tourney History BA'!F:F,'Tourney History BA'!B:B,A23)</f>
        <v>1</v>
      </c>
      <c r="K23" s="2">
        <f>SUMIFS('Tourney History BA'!E:E,'Tourney History BA'!B:B,A23)-J23</f>
        <v>3</v>
      </c>
      <c r="L23" s="88">
        <f>LOOKUP(2, 1/('Tourney History BA'!$B:$B=A23), 'Tourney History BA'!$AI:$AI)</f>
        <v>0.25</v>
      </c>
      <c r="M23" s="34">
        <f>SUMIFS('Tourney History BA'!H:H,'Tourney History BA'!B:B,A23)</f>
        <v>7</v>
      </c>
      <c r="N23" s="2">
        <f>SUMIFS('Tourney History BA'!G:G,'Tourney History BA'!B:B,A23)-M23</f>
        <v>9</v>
      </c>
      <c r="O23" s="88">
        <f>LOOKUP(2, 1/('Tourney History BA'!$B:$B=A23), 'Tourney History BA'!$AJ:$AJ)</f>
        <v>0.44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2</v>
      </c>
      <c r="B24" s="1" t="s">
        <v>158</v>
      </c>
      <c r="C24" s="3" t="s">
        <v>79</v>
      </c>
      <c r="D24" s="34">
        <f>SUMIFS('Tourney History BA'!C:C,'Tourney History BA'!B:B,A24)</f>
        <v>38</v>
      </c>
      <c r="E24" s="4">
        <f>AVERAGEIFS('Tourney History BA'!C:C,'Tourney History BA'!B:B,A24)</f>
        <v>38</v>
      </c>
      <c r="F24" s="35">
        <f t="array" ref="F24">MAX(IF('Tourney History BA'!B:B=A24, 'Tourney History BA'!C:C))</f>
        <v>38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6</v>
      </c>
      <c r="N24" s="2">
        <f>SUMIFS('Tourney History BA'!G:G,'Tourney History BA'!B:B,A24)-M24</f>
        <v>10</v>
      </c>
      <c r="O24" s="88">
        <f>LOOKUP(2, 1/('Tourney History BA'!$B:$B=A24), 'Tourney History BA'!$AJ:$AJ)</f>
        <v>0.38</v>
      </c>
      <c r="P24" s="2">
        <f>COUNTIFS('Tourney History BA'!$B:$B,$A$24,'Tourney History BA'!K:K, 1)</f>
        <v>1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0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54</v>
      </c>
      <c r="B25" s="3" t="s">
        <v>79</v>
      </c>
      <c r="C25" s="3" t="s">
        <v>79</v>
      </c>
      <c r="D25" s="34">
        <f>SUMIFS('Tourney History BA'!C:C,'Tourney History BA'!B:B,A25)</f>
        <v>24</v>
      </c>
      <c r="E25" s="4">
        <f>AVERAGEIFS('Tourney History BA'!C:C,'Tourney History BA'!B:B,A25)</f>
        <v>24</v>
      </c>
      <c r="F25" s="35">
        <f t="array" ref="F25">MAX(IF('Tourney History BA'!B:B=A25, 'Tourney History BA'!C:C))</f>
        <v>24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7</v>
      </c>
      <c r="N25" s="2">
        <f>SUMIFS('Tourney History BA'!G:G,'Tourney History BA'!B:B,A25)-M25</f>
        <v>11</v>
      </c>
      <c r="O25" s="88">
        <f>LOOKUP(2, 1/('Tourney History BA'!$B:$B=A25), 'Tourney History BA'!$AJ:$AJ)</f>
        <v>0.39</v>
      </c>
      <c r="P25" s="2">
        <f>COUNTIFS('Tourney History BA'!$B:$B,$A$25,'Tourney History BA'!K:K, 1)</f>
        <v>0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1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</v>
      </c>
      <c r="B26" s="1" t="s">
        <v>158</v>
      </c>
      <c r="C26" s="3" t="s">
        <v>79</v>
      </c>
      <c r="D26" s="34">
        <f>SUMIFS('Tourney History BA'!C:C,'Tourney History BA'!B:B,A26)</f>
        <v>22</v>
      </c>
      <c r="E26" s="4">
        <f>AVERAGEIFS('Tourney History BA'!C:C,'Tourney History BA'!B:B,A26)</f>
        <v>22</v>
      </c>
      <c r="F26" s="35">
        <f t="array" ref="F26">MAX(IF('Tourney History BA'!B:B=A26, 'Tourney History BA'!C:C))</f>
        <v>22</v>
      </c>
      <c r="G26" s="34">
        <f>COUNTIFS('Tourney History BA'!B:B,A26,'Tourney History BA'!D:D, 1)</f>
        <v>1</v>
      </c>
      <c r="H26" s="2">
        <f>COUNTIFS('Tourney History BA'!B:B,A26,'Tourney History BA'!D:D, 0)</f>
        <v>0</v>
      </c>
      <c r="I26" s="88">
        <f>LOOKUP(2, 1/('Tourney History BA'!$B:$B=A26), 'Tourney History BA'!$AK:$AK)</f>
        <v>1</v>
      </c>
      <c r="J26" s="34">
        <f>SUMIFS('Tourney History BA'!F:F,'Tourney History BA'!B:B,A26)</f>
        <v>3</v>
      </c>
      <c r="K26" s="2">
        <f>SUMIFS('Tourney History BA'!E:E,'Tourney History BA'!B:B,A26)-J26</f>
        <v>1</v>
      </c>
      <c r="L26" s="88">
        <f>LOOKUP(2, 1/('Tourney History BA'!$B:$B=A26), 'Tourney History BA'!$AI:$AI)</f>
        <v>0.75</v>
      </c>
      <c r="M26" s="34">
        <f>SUMIFS('Tourney History BA'!H:H,'Tourney History BA'!B:B,A26)</f>
        <v>11</v>
      </c>
      <c r="N26" s="2">
        <f>SUMIFS('Tourney History BA'!G:G,'Tourney History BA'!B:B,A26)-M26</f>
        <v>7</v>
      </c>
      <c r="O26" s="88">
        <f>LOOKUP(2, 1/('Tourney History BA'!$B:$B=A26), 'Tourney History BA'!$AJ:$AJ)</f>
        <v>0.61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1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0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1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1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141</v>
      </c>
      <c r="B27" s="3" t="s">
        <v>79</v>
      </c>
      <c r="C27" s="3" t="s">
        <v>79</v>
      </c>
      <c r="D27" s="34">
        <f>SUMIFS('Tourney History BA'!C:C,'Tourney History BA'!B:B,A27)</f>
        <v>34</v>
      </c>
      <c r="E27" s="4">
        <f>AVERAGEIFS('Tourney History BA'!C:C,'Tourney History BA'!B:B,A27)</f>
        <v>34</v>
      </c>
      <c r="F27" s="35">
        <f t="array" ref="F27">MAX(IF('Tourney History BA'!B:B=A27, 'Tourney History BA'!C:C))</f>
        <v>34</v>
      </c>
      <c r="G27" s="34">
        <f>COUNTIFS('Tourney History BA'!B:B,A27,'Tourney History BA'!D:D, 1)</f>
        <v>1</v>
      </c>
      <c r="H27" s="2">
        <f>COUNTIFS('Tourney History BA'!B:B,A27,'Tourney History BA'!D:D, 0)</f>
        <v>0</v>
      </c>
      <c r="I27" s="88">
        <f>LOOKUP(2, 1/('Tourney History BA'!$B:$B=A27), 'Tourney History BA'!$AK:$AK)</f>
        <v>1</v>
      </c>
      <c r="J27" s="34">
        <f>SUMIFS('Tourney History BA'!F:F,'Tourney History BA'!B:B,A27)</f>
        <v>3</v>
      </c>
      <c r="K27" s="2">
        <f>SUMIFS('Tourney History BA'!E:E,'Tourney History BA'!B:B,A27)-J27</f>
        <v>1</v>
      </c>
      <c r="L27" s="88">
        <f>LOOKUP(2, 1/('Tourney History BA'!$B:$B=A27), 'Tourney History BA'!$AI:$AI)</f>
        <v>0.75</v>
      </c>
      <c r="M27" s="34">
        <f>SUMIFS('Tourney History BA'!H:H,'Tourney History BA'!B:B,A27)</f>
        <v>11</v>
      </c>
      <c r="N27" s="2">
        <f>SUMIFS('Tourney History BA'!G:G,'Tourney History BA'!B:B,A27)-M27</f>
        <v>7</v>
      </c>
      <c r="O27" s="88">
        <f>LOOKUP(2, 1/('Tourney History BA'!$B:$B=A27), 'Tourney History BA'!$AJ:$AJ)</f>
        <v>0.61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40</v>
      </c>
      <c r="B28" s="1" t="s">
        <v>79</v>
      </c>
      <c r="C28" s="3" t="s">
        <v>79</v>
      </c>
      <c r="D28" s="34">
        <f>SUMIFS('Tourney History BA'!C:C,'Tourney History BA'!B:B,A28)</f>
        <v>32</v>
      </c>
      <c r="E28" s="4">
        <f>AVERAGEIFS('Tourney History BA'!C:C,'Tourney History BA'!B:B,A28)</f>
        <v>32</v>
      </c>
      <c r="F28" s="35">
        <f t="array" ref="F28">MAX(IF('Tourney History BA'!B:B=A28, 'Tourney History BA'!C:C))</f>
        <v>32</v>
      </c>
      <c r="G28" s="34">
        <f>COUNTIFS('Tourney History BA'!B:B,A28,'Tourney History BA'!D:D, 1)</f>
        <v>1</v>
      </c>
      <c r="H28" s="2">
        <f>COUNTIFS('Tourney History BA'!B:B,A28,'Tourney History BA'!D:D, 0)</f>
        <v>0</v>
      </c>
      <c r="I28" s="88">
        <f>LOOKUP(2, 1/('Tourney History BA'!$B:$B=A28), 'Tourney History BA'!$AK:$AK)</f>
        <v>1</v>
      </c>
      <c r="J28" s="34">
        <f>SUMIFS('Tourney History BA'!F:F,'Tourney History BA'!B:B,A28)</f>
        <v>3</v>
      </c>
      <c r="K28" s="2">
        <f>SUMIFS('Tourney History BA'!E:E,'Tourney History BA'!B:B,A28)-J28</f>
        <v>1</v>
      </c>
      <c r="L28" s="88">
        <f>LOOKUP(2, 1/('Tourney History BA'!$B:$B=A28), 'Tourney History BA'!$AI:$AI)</f>
        <v>0.75</v>
      </c>
      <c r="M28" s="34">
        <f>SUMIFS('Tourney History BA'!H:H,'Tourney History BA'!B:B,A28)</f>
        <v>9</v>
      </c>
      <c r="N28" s="2">
        <f>SUMIFS('Tourney History BA'!G:G,'Tourney History BA'!B:B,A28)-M28</f>
        <v>7</v>
      </c>
      <c r="O28" s="88">
        <f>LOOKUP(2, 1/('Tourney History BA'!$B:$B=A28), 'Tourney History BA'!$AJ:$AJ)</f>
        <v>0.56000000000000005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0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1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1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0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1</v>
      </c>
    </row>
    <row r="29" spans="1:38" x14ac:dyDescent="0.25">
      <c r="A29" s="1" t="s">
        <v>147</v>
      </c>
      <c r="B29" s="3" t="s">
        <v>79</v>
      </c>
      <c r="C29" s="3" t="s">
        <v>79</v>
      </c>
      <c r="D29" s="34">
        <f>SUMIFS('Tourney History BA'!C:C,'Tourney History BA'!B:B,A29)</f>
        <v>18</v>
      </c>
      <c r="E29" s="4">
        <f>AVERAGEIFS('Tourney History BA'!C:C,'Tourney History BA'!B:B,A29)</f>
        <v>18</v>
      </c>
      <c r="F29" s="35">
        <f t="array" ref="F29">MAX(IF('Tourney History BA'!B:B=A29, 'Tourney History BA'!C:C))</f>
        <v>18</v>
      </c>
      <c r="G29" s="34">
        <f>COUNTIFS('Tourney History BA'!B:B,A29,'Tourney History BA'!D:D, 1)</f>
        <v>1</v>
      </c>
      <c r="H29" s="2">
        <f>COUNTIFS('Tourney History BA'!B:B,A29,'Tourney History BA'!D:D, 0)</f>
        <v>0</v>
      </c>
      <c r="I29" s="88">
        <f>LOOKUP(2, 1/('Tourney History BA'!$B:$B=A29), 'Tourney History BA'!$AK:$AK)</f>
        <v>1</v>
      </c>
      <c r="J29" s="34">
        <f>SUMIFS('Tourney History BA'!F:F,'Tourney History BA'!B:B,A29)</f>
        <v>3</v>
      </c>
      <c r="K29" s="2">
        <f>SUMIFS('Tourney History BA'!E:E,'Tourney History BA'!B:B,A29)-J29</f>
        <v>1</v>
      </c>
      <c r="L29" s="88">
        <f>LOOKUP(2, 1/('Tourney History BA'!$B:$B=A29), 'Tourney History BA'!$AI:$AI)</f>
        <v>0.75</v>
      </c>
      <c r="M29" s="34">
        <f>SUMIFS('Tourney History BA'!H:H,'Tourney History BA'!B:B,A29)</f>
        <v>10</v>
      </c>
      <c r="N29" s="2">
        <f>SUMIFS('Tourney History BA'!G:G,'Tourney History BA'!B:B,A29)-M29</f>
        <v>6</v>
      </c>
      <c r="O29" s="88">
        <f>LOOKUP(2, 1/('Tourney History BA'!$B:$B=A29), 'Tourney History BA'!$AJ:$AJ)</f>
        <v>0.63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0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1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1</v>
      </c>
    </row>
    <row r="30" spans="1:38" x14ac:dyDescent="0.25">
      <c r="A30" s="1" t="s">
        <v>17</v>
      </c>
      <c r="B30" s="3" t="s">
        <v>79</v>
      </c>
      <c r="C30" s="3" t="s">
        <v>79</v>
      </c>
      <c r="D30" s="34">
        <f>SUMIFS('Tourney History BA'!C:C,'Tourney History BA'!B:B,A30)</f>
        <v>30</v>
      </c>
      <c r="E30" s="4">
        <f>AVERAGEIFS('Tourney History BA'!C:C,'Tourney History BA'!B:B,A30)</f>
        <v>30</v>
      </c>
      <c r="F30" s="35">
        <f t="array" ref="F30">MAX(IF('Tourney History BA'!B:B=A30, 'Tourney History BA'!C:C))</f>
        <v>30</v>
      </c>
      <c r="G30" s="34">
        <f>COUNTIFS('Tourney History BA'!B:B,A30,'Tourney History BA'!D:D, 1)</f>
        <v>0</v>
      </c>
      <c r="H30" s="2">
        <f>COUNTIFS('Tourney History BA'!B:B,A30,'Tourney History BA'!D:D, 0)</f>
        <v>1</v>
      </c>
      <c r="I30" s="88">
        <f>LOOKUP(2, 1/('Tourney History BA'!$B:$B=A30), 'Tourney History BA'!$AK:$AK)</f>
        <v>0</v>
      </c>
      <c r="J30" s="34">
        <f>SUMIFS('Tourney History BA'!F:F,'Tourney History BA'!B:B,A30)</f>
        <v>1</v>
      </c>
      <c r="K30" s="2">
        <f>SUMIFS('Tourney History BA'!E:E,'Tourney History BA'!B:B,A30)-J30</f>
        <v>3</v>
      </c>
      <c r="L30" s="88">
        <f>LOOKUP(2, 1/('Tourney History BA'!$B:$B=A30), 'Tourney History BA'!$AI:$AI)</f>
        <v>0.25</v>
      </c>
      <c r="M30" s="34">
        <f>SUMIFS('Tourney History BA'!H:H,'Tourney History BA'!B:B,A30)</f>
        <v>7</v>
      </c>
      <c r="N30" s="2">
        <f>SUMIFS('Tourney History BA'!G:G,'Tourney History BA'!B:B,A30)-M30</f>
        <v>11</v>
      </c>
      <c r="O30" s="88">
        <f>LOOKUP(2, 1/('Tourney History BA'!$B:$B=A30), 'Tourney History BA'!$AJ:$AJ)</f>
        <v>0.39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0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1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0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</row>
    <row r="31" spans="1:38" x14ac:dyDescent="0.25">
      <c r="A31" s="1" t="s">
        <v>6</v>
      </c>
      <c r="B31" s="1" t="s">
        <v>158</v>
      </c>
      <c r="C31" s="3" t="s">
        <v>79</v>
      </c>
      <c r="D31" s="34">
        <f>SUMIFS('Tourney History BA'!C:C,'Tourney History BA'!B:B,A31)</f>
        <v>38</v>
      </c>
      <c r="E31" s="4">
        <f>AVERAGEIFS('Tourney History BA'!C:C,'Tourney History BA'!B:B,A31)</f>
        <v>38</v>
      </c>
      <c r="F31" s="35">
        <f t="array" ref="F31">MAX(IF('Tourney History BA'!B:B=A31, 'Tourney History BA'!C:C))</f>
        <v>38</v>
      </c>
      <c r="G31" s="34">
        <f>COUNTIFS('Tourney History BA'!B:B,A31,'Tourney History BA'!D:D, 1)</f>
        <v>1</v>
      </c>
      <c r="H31" s="2">
        <f>COUNTIFS('Tourney History BA'!B:B,A31,'Tourney History BA'!D:D, 0)</f>
        <v>0</v>
      </c>
      <c r="I31" s="88">
        <f>LOOKUP(2, 1/('Tourney History BA'!$B:$B=A31), 'Tourney History BA'!$AK:$AK)</f>
        <v>1</v>
      </c>
      <c r="J31" s="34">
        <f>SUMIFS('Tourney History BA'!F:F,'Tourney History BA'!B:B,A31)</f>
        <v>3</v>
      </c>
      <c r="K31" s="2">
        <f>SUMIFS('Tourney History BA'!E:E,'Tourney History BA'!B:B,A31)-J31</f>
        <v>1</v>
      </c>
      <c r="L31" s="88">
        <f>LOOKUP(2, 1/('Tourney History BA'!$B:$B=A31), 'Tourney History BA'!$AI:$AI)</f>
        <v>0.75</v>
      </c>
      <c r="M31" s="34">
        <f>SUMIFS('Tourney History BA'!H:H,'Tourney History BA'!B:B,A31)</f>
        <v>9</v>
      </c>
      <c r="N31" s="2">
        <f>SUMIFS('Tourney History BA'!G:G,'Tourney History BA'!B:B,A31)-M31</f>
        <v>7</v>
      </c>
      <c r="O31" s="88">
        <f>LOOKUP(2, 1/('Tourney History BA'!$B:$B=A31), 'Tourney History BA'!$AJ:$AJ)</f>
        <v>0.56000000000000005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1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1</v>
      </c>
    </row>
    <row r="32" spans="1:38" x14ac:dyDescent="0.25">
      <c r="A32" s="1" t="s">
        <v>18</v>
      </c>
      <c r="B32" s="3" t="s">
        <v>79</v>
      </c>
      <c r="C32" s="3" t="s">
        <v>79</v>
      </c>
      <c r="D32" s="34">
        <f>SUMIFS('Tourney History BA'!C:C,'Tourney History BA'!B:B,A32)</f>
        <v>22</v>
      </c>
      <c r="E32" s="4">
        <f>AVERAGEIFS('Tourney History BA'!C:C,'Tourney History BA'!B:B,A32)</f>
        <v>22</v>
      </c>
      <c r="F32" s="35">
        <f t="array" ref="F32">MAX(IF('Tourney History BA'!B:B=A32, 'Tourney History BA'!C:C))</f>
        <v>22</v>
      </c>
      <c r="G32" s="34">
        <f>COUNTIFS('Tourney History BA'!B:B,A32,'Tourney History BA'!D:D, 1)</f>
        <v>0</v>
      </c>
      <c r="H32" s="2">
        <f>COUNTIFS('Tourney History BA'!B:B,A32,'Tourney History BA'!D:D, 0)</f>
        <v>1</v>
      </c>
      <c r="I32" s="88">
        <f>LOOKUP(2, 1/('Tourney History BA'!$B:$B=A32), 'Tourney History BA'!$AK:$AK)</f>
        <v>0</v>
      </c>
      <c r="J32" s="34">
        <f>SUMIFS('Tourney History BA'!F:F,'Tourney History BA'!B:B,A32)</f>
        <v>1</v>
      </c>
      <c r="K32" s="2">
        <f>SUMIFS('Tourney History BA'!E:E,'Tourney History BA'!B:B,A32)-J32</f>
        <v>3</v>
      </c>
      <c r="L32" s="88">
        <f>LOOKUP(2, 1/('Tourney History BA'!$B:$B=A32), 'Tourney History BA'!$AI:$AI)</f>
        <v>0.25</v>
      </c>
      <c r="M32" s="34">
        <f>SUMIFS('Tourney History BA'!H:H,'Tourney History BA'!B:B,A32)</f>
        <v>7</v>
      </c>
      <c r="N32" s="2">
        <f>SUMIFS('Tourney History BA'!G:G,'Tourney History BA'!B:B,A32)-M32</f>
        <v>9</v>
      </c>
      <c r="O32" s="88">
        <f>LOOKUP(2, 1/('Tourney History BA'!$B:$B=A32), 'Tourney History BA'!$AJ:$AJ)</f>
        <v>0.44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1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0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</row>
    <row r="33" spans="1:38" x14ac:dyDescent="0.25">
      <c r="A33" s="1" t="s">
        <v>113</v>
      </c>
      <c r="B33" s="3" t="s">
        <v>79</v>
      </c>
      <c r="C33" s="3" t="s">
        <v>79</v>
      </c>
      <c r="D33" s="34">
        <f>SUMIFS('Tourney History BA'!C:C,'Tourney History BA'!B:B,A33)</f>
        <v>16</v>
      </c>
      <c r="E33" s="4">
        <f>AVERAGEIFS('Tourney History BA'!C:C,'Tourney History BA'!B:B,A33)</f>
        <v>16</v>
      </c>
      <c r="F33" s="35">
        <f t="array" ref="F33">MAX(IF('Tourney History BA'!B:B=A33, 'Tourney History BA'!C:C))</f>
        <v>16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14</v>
      </c>
      <c r="B34" s="3" t="s">
        <v>79</v>
      </c>
      <c r="C34" s="3" t="s">
        <v>79</v>
      </c>
      <c r="D34" s="34">
        <f>SUMIFS('Tourney History BA'!C:C,'Tourney History BA'!B:B,A34)</f>
        <v>22</v>
      </c>
      <c r="E34" s="4">
        <f>AVERAGEIFS('Tourney History BA'!C:C,'Tourney History BA'!B:B,A34)</f>
        <v>22</v>
      </c>
      <c r="F34" s="35">
        <f t="array" ref="F34">MAX(IF('Tourney History BA'!B:B=A34, 'Tourney History BA'!C:C))</f>
        <v>22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70</v>
      </c>
      <c r="B35" s="3" t="s">
        <v>79</v>
      </c>
      <c r="C35" s="3" t="s">
        <v>79</v>
      </c>
      <c r="D35" s="34">
        <f>SUMIFS('Tourney History BA'!C:C,'Tourney History BA'!B:B,A35)</f>
        <v>13</v>
      </c>
      <c r="E35" s="4">
        <f>AVERAGEIFS('Tourney History BA'!C:C,'Tourney History BA'!B:B,A35)</f>
        <v>13</v>
      </c>
      <c r="F35" s="35">
        <f t="array" ref="F35">MAX(IF('Tourney History BA'!B:B=A35, 'Tourney History BA'!C:C))</f>
        <v>13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6</v>
      </c>
      <c r="N35" s="2">
        <f>SUMIFS('Tourney History BA'!G:G,'Tourney History BA'!B:B,A35)-M35</f>
        <v>10</v>
      </c>
      <c r="O35" s="88">
        <f>LOOKUP(2, 1/('Tourney History BA'!$B:$B=A35), 'Tourney History BA'!$AJ:$AJ)</f>
        <v>0.38</v>
      </c>
      <c r="P35" s="2">
        <f>COUNTIFS('Tourney History BA'!$B:$B,$A$35,'Tourney History BA'!K:K, 1)</f>
        <v>1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0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4</v>
      </c>
      <c r="B36" s="1" t="s">
        <v>158</v>
      </c>
      <c r="C36" s="3" t="s">
        <v>79</v>
      </c>
      <c r="D36" s="34">
        <f>SUMIFS('Tourney History BA'!C:C,'Tourney History BA'!B:B,A36)</f>
        <v>33</v>
      </c>
      <c r="E36" s="4">
        <f>AVERAGEIFS('Tourney History BA'!C:C,'Tourney History BA'!B:B,A36)</f>
        <v>33</v>
      </c>
      <c r="F36" s="35">
        <f t="array" ref="F36">MAX(IF('Tourney History BA'!B:B=A36, 'Tourney History BA'!C:C))</f>
        <v>33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7</v>
      </c>
      <c r="N36" s="2">
        <f>SUMIFS('Tourney History BA'!G:G,'Tourney History BA'!B:B,A36)-M36</f>
        <v>9</v>
      </c>
      <c r="O36" s="88">
        <f>LOOKUP(2, 1/('Tourney History BA'!$B:$B=A36), 'Tourney History BA'!$AJ:$AJ)</f>
        <v>0.44</v>
      </c>
      <c r="P36" s="2">
        <f>COUNTIFS('Tourney History BA'!$B:$B,$A$36,'Tourney History BA'!K:K, 1)</f>
        <v>0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1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107</v>
      </c>
      <c r="B37" s="3" t="s">
        <v>79</v>
      </c>
      <c r="C37" s="3" t="s">
        <v>79</v>
      </c>
      <c r="D37" s="34">
        <f>SUMIFS('Tourney History BA'!C:C,'Tourney History BA'!B:B,A37)</f>
        <v>12</v>
      </c>
      <c r="E37" s="4">
        <f>AVERAGEIFS('Tourney History BA'!C:C,'Tourney History BA'!B:B,A37)</f>
        <v>12</v>
      </c>
      <c r="F37" s="35">
        <f t="array" ref="F37">MAX(IF('Tourney History BA'!B:B=A37, 'Tourney History BA'!C:C))</f>
        <v>12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6</v>
      </c>
      <c r="N37" s="2">
        <f>SUMIFS('Tourney History BA'!G:G,'Tourney History BA'!B:B,A37)-M37</f>
        <v>10</v>
      </c>
      <c r="O37" s="88">
        <f>LOOKUP(2, 1/('Tourney History BA'!$B:$B=A37), 'Tourney History BA'!$AJ:$AJ)</f>
        <v>0.38</v>
      </c>
      <c r="P37" s="2">
        <f>COUNTIFS('Tourney History BA'!$B:$B,$A$37,'Tourney History BA'!K:K, 1)</f>
        <v>1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0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</sheetData>
  <autoFilter ref="A1:AL37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E28" sqref="E2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25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25</v>
      </c>
    </row>
    <row r="3" spans="1:5" x14ac:dyDescent="0.25">
      <c r="A3" s="2" t="s">
        <v>18</v>
      </c>
      <c r="B3" s="4">
        <f>'Old Bow v2'!J52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v2'!J49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v2'!J56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v2'!J57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v2'!J41</f>
        <v>16</v>
      </c>
      <c r="C11" s="1" t="s">
        <v>235</v>
      </c>
      <c r="D11" s="1">
        <f t="shared" si="0"/>
        <v>1</v>
      </c>
      <c r="E11" s="100">
        <f t="shared" si="1"/>
        <v>16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v2'!J45</f>
        <v>16.5</v>
      </c>
      <c r="C15" s="1" t="s">
        <v>235</v>
      </c>
      <c r="D15" s="1">
        <f t="shared" si="0"/>
        <v>1</v>
      </c>
      <c r="E15" s="100">
        <f t="shared" si="1"/>
        <v>16.5</v>
      </c>
    </row>
    <row r="16" spans="1:5" x14ac:dyDescent="0.25">
      <c r="A16" s="2" t="s">
        <v>3</v>
      </c>
      <c r="B16" s="4">
        <f>'Old Bow v2'!J34</f>
        <v>20</v>
      </c>
      <c r="C16" s="1" t="s">
        <v>234</v>
      </c>
      <c r="D16" s="1">
        <f t="shared" si="0"/>
        <v>0.5</v>
      </c>
      <c r="E16" s="100">
        <f t="shared" si="1"/>
        <v>17.5</v>
      </c>
    </row>
    <row r="17" spans="1:5" x14ac:dyDescent="0.25">
      <c r="A17" s="2" t="s">
        <v>147</v>
      </c>
      <c r="B17" s="4">
        <f>'Old Bow v2'!J48</f>
        <v>14.5</v>
      </c>
      <c r="C17" s="1" t="s">
        <v>235</v>
      </c>
      <c r="D17" s="1">
        <f t="shared" si="0"/>
        <v>1</v>
      </c>
      <c r="E17" s="100">
        <f t="shared" si="1"/>
        <v>14.5</v>
      </c>
    </row>
    <row r="18" spans="1:5" x14ac:dyDescent="0.25">
      <c r="A18" s="2" t="s">
        <v>14</v>
      </c>
      <c r="B18" s="4">
        <f>'Old Bow v2'!J55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v2'!J39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v2'!J42</f>
        <v>20.5</v>
      </c>
      <c r="C24" s="1" t="s">
        <v>233</v>
      </c>
      <c r="D24" s="1">
        <f t="shared" si="0"/>
        <v>0.25</v>
      </c>
      <c r="E24" s="100">
        <f t="shared" si="1"/>
        <v>16.65625</v>
      </c>
    </row>
    <row r="25" spans="1:5" x14ac:dyDescent="0.25">
      <c r="A25" s="2" t="s">
        <v>40</v>
      </c>
      <c r="B25" s="4">
        <f>'Old Bow v2'!J47</f>
        <v>18</v>
      </c>
      <c r="C25" s="1" t="s">
        <v>234</v>
      </c>
      <c r="D25" s="1">
        <f t="shared" si="0"/>
        <v>0.5</v>
      </c>
      <c r="E25" s="100">
        <f t="shared" si="1"/>
        <v>15.75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v2'!J50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v2'!J53</f>
        <v>17</v>
      </c>
      <c r="C28" s="1" t="s">
        <v>234</v>
      </c>
      <c r="D28" s="1">
        <f t="shared" si="0"/>
        <v>0.5</v>
      </c>
      <c r="E28" s="100">
        <f t="shared" si="1"/>
        <v>14.875</v>
      </c>
    </row>
    <row r="29" spans="1:5" x14ac:dyDescent="0.25">
      <c r="A29" s="2" t="s">
        <v>6</v>
      </c>
      <c r="B29" s="4">
        <f>'Old Bow v2'!J51</f>
        <v>19</v>
      </c>
      <c r="C29" s="1" t="s">
        <v>233</v>
      </c>
      <c r="D29" s="1">
        <f t="shared" si="0"/>
        <v>0.25</v>
      </c>
      <c r="E29" s="100">
        <f t="shared" si="1"/>
        <v>15.4375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13.5</v>
      </c>
      <c r="C32" s="1" t="s">
        <v>233</v>
      </c>
      <c r="D32" s="1">
        <f t="shared" si="0"/>
        <v>0.25</v>
      </c>
      <c r="E32" s="100">
        <f t="shared" si="1"/>
        <v>10.96875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13.5</v>
      </c>
      <c r="C35" s="1" t="s">
        <v>233</v>
      </c>
      <c r="D35" s="1">
        <f t="shared" si="2"/>
        <v>0.25</v>
      </c>
      <c r="E35" s="100">
        <f t="shared" si="1"/>
        <v>10.96875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v2'!J58</f>
        <v>8.5</v>
      </c>
      <c r="C44" s="1" t="s">
        <v>233</v>
      </c>
      <c r="D44" s="1">
        <f t="shared" si="2"/>
        <v>0.25</v>
      </c>
      <c r="E44" s="100">
        <f t="shared" si="1"/>
        <v>6.90625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7.5</v>
      </c>
      <c r="C49" s="1" t="s">
        <v>234</v>
      </c>
      <c r="D49" s="1">
        <f t="shared" si="2"/>
        <v>0.5</v>
      </c>
      <c r="E49" s="100">
        <f t="shared" si="1"/>
        <v>6.5625</v>
      </c>
    </row>
    <row r="50" spans="1:5" x14ac:dyDescent="0.25">
      <c r="A50" s="2" t="s">
        <v>140</v>
      </c>
      <c r="B50" s="4">
        <f>'Old Bow v2'!J4</f>
        <v>10</v>
      </c>
      <c r="C50" s="1" t="s">
        <v>233</v>
      </c>
      <c r="D50" s="1">
        <f t="shared" si="2"/>
        <v>0.25</v>
      </c>
      <c r="E50" s="100">
        <f t="shared" si="1"/>
        <v>8.125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v2'!J46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v2'!J54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14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14</v>
      </c>
    </row>
    <row r="3" spans="1:5" x14ac:dyDescent="0.25">
      <c r="A3" s="2" t="s">
        <v>37</v>
      </c>
      <c r="B3" s="4">
        <f>LOOKUP(A3,'BA v2'!A:A,'BA v2'!H:H)</f>
        <v>16</v>
      </c>
      <c r="D3" s="1">
        <f t="shared" si="0"/>
        <v>0</v>
      </c>
      <c r="E3" s="100">
        <f t="shared" ref="E3:E62" si="1">(0.75*B3)+(0.25*B3*D3)</f>
        <v>12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14</v>
      </c>
      <c r="D5" s="1">
        <f t="shared" si="0"/>
        <v>0</v>
      </c>
      <c r="E5" s="100">
        <f t="shared" si="1"/>
        <v>10.5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20</v>
      </c>
      <c r="D10" s="1">
        <f t="shared" si="0"/>
        <v>0</v>
      </c>
      <c r="E10" s="100">
        <f t="shared" si="1"/>
        <v>15</v>
      </c>
    </row>
    <row r="11" spans="1:5" x14ac:dyDescent="0.25">
      <c r="A11" s="2" t="s">
        <v>214</v>
      </c>
      <c r="B11" s="4">
        <f>LOOKUP(A11,'BA v2'!A:A,'BA v2'!H:H)</f>
        <v>3</v>
      </c>
      <c r="D11" s="1">
        <f t="shared" si="0"/>
        <v>0</v>
      </c>
      <c r="E11" s="100">
        <f t="shared" si="1"/>
        <v>2.25</v>
      </c>
    </row>
    <row r="12" spans="1:5" x14ac:dyDescent="0.25">
      <c r="A12" s="2" t="s">
        <v>25</v>
      </c>
      <c r="B12" s="4">
        <f>LOOKUP(A12,'BA v2'!A:A,'BA v2'!H:H)</f>
        <v>11</v>
      </c>
      <c r="D12" s="1">
        <f t="shared" si="0"/>
        <v>0</v>
      </c>
      <c r="E12" s="100">
        <f t="shared" si="1"/>
        <v>8.25</v>
      </c>
    </row>
    <row r="13" spans="1:5" x14ac:dyDescent="0.25">
      <c r="A13" s="2" t="s">
        <v>115</v>
      </c>
      <c r="B13" s="4">
        <f>LOOKUP(A13,'BA v2'!A:A,'BA v2'!H:H)</f>
        <v>12</v>
      </c>
      <c r="D13" s="1">
        <f t="shared" si="0"/>
        <v>0</v>
      </c>
      <c r="E13" s="100">
        <f t="shared" si="1"/>
        <v>9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13</v>
      </c>
      <c r="D15" s="1">
        <f t="shared" si="0"/>
        <v>0</v>
      </c>
      <c r="E15" s="100">
        <f t="shared" si="1"/>
        <v>9.75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13.5</v>
      </c>
      <c r="D17" s="1">
        <f t="shared" si="0"/>
        <v>0</v>
      </c>
      <c r="E17" s="100">
        <f t="shared" si="1"/>
        <v>10.125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14</v>
      </c>
      <c r="D21" s="1">
        <f t="shared" si="0"/>
        <v>0</v>
      </c>
      <c r="E21" s="100">
        <f t="shared" si="1"/>
        <v>10.5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25</v>
      </c>
      <c r="D24" s="1">
        <f t="shared" si="0"/>
        <v>0</v>
      </c>
      <c r="E24" s="100">
        <f t="shared" si="1"/>
        <v>18.75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14.5</v>
      </c>
      <c r="D29" s="1">
        <f t="shared" si="0"/>
        <v>0</v>
      </c>
      <c r="E29" s="100">
        <f t="shared" si="1"/>
        <v>10.875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20.5</v>
      </c>
      <c r="D32" s="1">
        <f t="shared" si="0"/>
        <v>0</v>
      </c>
      <c r="E32" s="100">
        <f t="shared" si="1"/>
        <v>15.375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</v>
      </c>
      <c r="D34" s="1">
        <f t="shared" si="0"/>
        <v>0</v>
      </c>
      <c r="E34" s="100">
        <f t="shared" si="1"/>
        <v>7.5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16</v>
      </c>
      <c r="D38" s="1">
        <f t="shared" si="0"/>
        <v>0</v>
      </c>
      <c r="E38" s="100">
        <f t="shared" si="1"/>
        <v>12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23.5</v>
      </c>
      <c r="D40" s="1">
        <f t="shared" si="0"/>
        <v>0</v>
      </c>
      <c r="E40" s="100">
        <f t="shared" si="1"/>
        <v>17.625</v>
      </c>
    </row>
    <row r="41" spans="1:5" x14ac:dyDescent="0.25">
      <c r="A41" s="2" t="s">
        <v>5</v>
      </c>
      <c r="B41" s="4">
        <f>LOOKUP(A41,'BA v2'!A:A,'BA v2'!H:H)</f>
        <v>19</v>
      </c>
      <c r="D41" s="1">
        <f t="shared" si="0"/>
        <v>0</v>
      </c>
      <c r="E41" s="100">
        <f t="shared" si="1"/>
        <v>14.25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15.5</v>
      </c>
      <c r="D44" s="1">
        <f t="shared" si="0"/>
        <v>0</v>
      </c>
      <c r="E44" s="100">
        <f t="shared" si="1"/>
        <v>11.625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26.5</v>
      </c>
      <c r="D59" s="1">
        <f t="shared" si="0"/>
        <v>0</v>
      </c>
      <c r="E59" s="100">
        <f t="shared" si="1"/>
        <v>19.875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2026-06-07T17:34:20Z</dcterms:modified>
</cp:coreProperties>
</file>