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018F793-DE04-4F29-B3B5-44EC70FCD00C}" xr6:coauthVersionLast="47" xr6:coauthVersionMax="47" xr10:uidLastSave="{00000000-0000-0000-0000-000000000000}"/>
  <bookViews>
    <workbookView xWindow="-28920" yWindow="-120" windowWidth="29040" windowHeight="15720" firstSheet="1" activeTab="14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TG OB" sheetId="22" r:id="rId16"/>
    <sheet name="BA comments" sheetId="6" state="hidden" r:id="rId17"/>
    <sheet name="Match Analyzer BA" sheetId="8" state="hidden" r:id="rId18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S2'!$A$1:$AN$44</definedName>
    <definedName name="_xlnm._FilterDatabase" localSheetId="7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2'!$A$1:$AI$52</definedName>
    <definedName name="_xlnm._FilterDatabase" localSheetId="4" hidden="1">'Old Bow'!$A$1:$AD$37</definedName>
    <definedName name="_xlnm._FilterDatabase" localSheetId="0" hidden="1">'Old Bow v2'!$A$1:$AJ$57</definedName>
    <definedName name="_xlnm._FilterDatabase" localSheetId="15" hidden="1">'TG OB'!$A$1:$E$1</definedName>
    <definedName name="_xlnm._FilterDatabase" localSheetId="12" hidden="1">'Tourney History'!$A$1:$AD$159</definedName>
    <definedName name="_xlnm._FilterDatabase" localSheetId="13" hidden="1">'Tourney Stats'!$A$1:$AE$44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241" i="9" l="1"/>
  <c r="AI1241" i="9"/>
  <c r="AJ1241" i="9"/>
  <c r="AK1241" i="9"/>
  <c r="AH1242" i="9"/>
  <c r="AI1242" i="9"/>
  <c r="AJ1242" i="9"/>
  <c r="AK1242" i="9"/>
  <c r="AH1243" i="9"/>
  <c r="AI1243" i="9"/>
  <c r="AJ1243" i="9"/>
  <c r="AK1243" i="9"/>
  <c r="AH1244" i="9"/>
  <c r="AI1244" i="9"/>
  <c r="AJ1244" i="9"/>
  <c r="AK1244" i="9"/>
  <c r="AH1245" i="9"/>
  <c r="AI1245" i="9"/>
  <c r="AJ1245" i="9"/>
  <c r="AK1245" i="9"/>
  <c r="AH1246" i="9"/>
  <c r="AI1246" i="9"/>
  <c r="AJ1246" i="9"/>
  <c r="AK1246" i="9"/>
  <c r="AH1247" i="9"/>
  <c r="AI1247" i="9"/>
  <c r="AJ1247" i="9"/>
  <c r="AK1247" i="9"/>
  <c r="AH1248" i="9"/>
  <c r="AI1248" i="9"/>
  <c r="AJ1248" i="9"/>
  <c r="AK1248" i="9"/>
  <c r="AH1249" i="9"/>
  <c r="AI1249" i="9"/>
  <c r="AJ1249" i="9"/>
  <c r="AK1249" i="9"/>
  <c r="AH1250" i="9"/>
  <c r="AI1250" i="9"/>
  <c r="AJ1250" i="9"/>
  <c r="AK1250" i="9"/>
  <c r="AH1251" i="9"/>
  <c r="AI1251" i="9"/>
  <c r="AJ1251" i="9"/>
  <c r="AK1251" i="9"/>
  <c r="AH1252" i="9"/>
  <c r="AI1252" i="9"/>
  <c r="AJ1252" i="9"/>
  <c r="AK1252" i="9"/>
  <c r="AH1253" i="9"/>
  <c r="AI1253" i="9"/>
  <c r="AJ1253" i="9"/>
  <c r="AK1253" i="9"/>
  <c r="AH1254" i="9"/>
  <c r="AI1254" i="9"/>
  <c r="AJ1254" i="9"/>
  <c r="AK1254" i="9"/>
  <c r="AH1255" i="9"/>
  <c r="AI1255" i="9"/>
  <c r="AJ1255" i="9"/>
  <c r="AK1255" i="9"/>
  <c r="AH1256" i="9"/>
  <c r="AI1256" i="9"/>
  <c r="AJ1256" i="9"/>
  <c r="AK1256" i="9"/>
  <c r="AH1257" i="9"/>
  <c r="AI1257" i="9"/>
  <c r="AJ1257" i="9"/>
  <c r="AK1257" i="9"/>
  <c r="AH1258" i="9"/>
  <c r="AI1258" i="9"/>
  <c r="AJ1258" i="9"/>
  <c r="AK1258" i="9"/>
  <c r="AH1259" i="9"/>
  <c r="AI1259" i="9"/>
  <c r="AJ1259" i="9"/>
  <c r="AK1259" i="9"/>
  <c r="AH1260" i="9"/>
  <c r="AI1260" i="9"/>
  <c r="AJ1260" i="9"/>
  <c r="AK1260" i="9"/>
  <c r="AH1261" i="9"/>
  <c r="AI1261" i="9"/>
  <c r="AJ1261" i="9"/>
  <c r="AK1261" i="9"/>
  <c r="AH1262" i="9"/>
  <c r="AI1262" i="9"/>
  <c r="AJ1262" i="9"/>
  <c r="AK1262" i="9"/>
  <c r="AH1263" i="9"/>
  <c r="AI1263" i="9"/>
  <c r="AJ1263" i="9"/>
  <c r="AK1263" i="9"/>
  <c r="AH1264" i="9"/>
  <c r="AI1264" i="9"/>
  <c r="AJ1264" i="9"/>
  <c r="AK1264" i="9"/>
  <c r="AH1265" i="9"/>
  <c r="AI1265" i="9"/>
  <c r="AJ1265" i="9"/>
  <c r="AK1265" i="9"/>
  <c r="AH1266" i="9"/>
  <c r="AI1266" i="9"/>
  <c r="AJ1266" i="9"/>
  <c r="AK1266" i="9"/>
  <c r="AH537" i="17"/>
  <c r="AI537" i="17"/>
  <c r="AJ537" i="17"/>
  <c r="AK537" i="17"/>
  <c r="AH538" i="17"/>
  <c r="AI538" i="17"/>
  <c r="AJ538" i="17"/>
  <c r="AK538" i="17"/>
  <c r="AH539" i="17"/>
  <c r="AI539" i="17"/>
  <c r="AJ539" i="17"/>
  <c r="AK539" i="17"/>
  <c r="AH540" i="17"/>
  <c r="AI540" i="17"/>
  <c r="AJ540" i="17"/>
  <c r="AK540" i="17"/>
  <c r="AH541" i="17"/>
  <c r="AI541" i="17"/>
  <c r="AJ541" i="17"/>
  <c r="AK541" i="17"/>
  <c r="AH542" i="17"/>
  <c r="AI542" i="17"/>
  <c r="AJ542" i="17"/>
  <c r="AK542" i="17"/>
  <c r="AH543" i="17"/>
  <c r="AI543" i="17"/>
  <c r="AJ543" i="17"/>
  <c r="AK543" i="17"/>
  <c r="AH544" i="17"/>
  <c r="AI544" i="17"/>
  <c r="AJ544" i="17"/>
  <c r="AK544" i="17"/>
  <c r="AH545" i="17"/>
  <c r="AI545" i="17"/>
  <c r="AJ545" i="17"/>
  <c r="AK545" i="17"/>
  <c r="AH546" i="17"/>
  <c r="AI546" i="17"/>
  <c r="AJ546" i="17"/>
  <c r="AK546" i="17"/>
  <c r="AH547" i="17"/>
  <c r="AI547" i="17"/>
  <c r="AJ547" i="17"/>
  <c r="AK547" i="17"/>
  <c r="AH548" i="17"/>
  <c r="AI548" i="17"/>
  <c r="AJ548" i="17"/>
  <c r="AK548" i="17"/>
  <c r="AH549" i="17"/>
  <c r="AI549" i="17"/>
  <c r="AJ549" i="17"/>
  <c r="AK549" i="17"/>
  <c r="AH550" i="17"/>
  <c r="AI550" i="17"/>
  <c r="AJ550" i="17"/>
  <c r="AK550" i="17"/>
  <c r="AH551" i="17"/>
  <c r="AI551" i="17"/>
  <c r="AJ551" i="17"/>
  <c r="AK551" i="17"/>
  <c r="AH552" i="17"/>
  <c r="AI552" i="17"/>
  <c r="AJ552" i="17"/>
  <c r="AK552" i="17"/>
  <c r="AH553" i="17"/>
  <c r="AI553" i="17"/>
  <c r="AJ553" i="17"/>
  <c r="AK553" i="17"/>
  <c r="AH554" i="17"/>
  <c r="AI554" i="17"/>
  <c r="AJ554" i="17"/>
  <c r="AK554" i="17"/>
  <c r="AH555" i="17"/>
  <c r="AI555" i="17"/>
  <c r="AJ555" i="17"/>
  <c r="AK555" i="17"/>
  <c r="AH556" i="17"/>
  <c r="AI556" i="17"/>
  <c r="AJ556" i="17"/>
  <c r="AK556" i="17"/>
  <c r="AH557" i="17"/>
  <c r="AI557" i="17"/>
  <c r="AJ557" i="17"/>
  <c r="AK557" i="17"/>
  <c r="AH558" i="17"/>
  <c r="AI558" i="17"/>
  <c r="AJ558" i="17"/>
  <c r="AK558" i="17"/>
  <c r="AH559" i="17"/>
  <c r="AI559" i="17"/>
  <c r="AJ559" i="17"/>
  <c r="AK559" i="17"/>
  <c r="AH560" i="17"/>
  <c r="AI560" i="17"/>
  <c r="AJ560" i="17"/>
  <c r="AK560" i="17"/>
  <c r="AH561" i="17"/>
  <c r="AI561" i="17"/>
  <c r="AJ561" i="17"/>
  <c r="AK561" i="17"/>
  <c r="AH562" i="17"/>
  <c r="AI562" i="17"/>
  <c r="AJ562" i="17"/>
  <c r="AK562" i="17"/>
  <c r="AA623" i="15"/>
  <c r="AB623" i="15"/>
  <c r="AC623" i="15"/>
  <c r="AD623" i="15"/>
  <c r="AA624" i="15"/>
  <c r="AB624" i="15"/>
  <c r="AC624" i="15"/>
  <c r="AD624" i="15"/>
  <c r="AA625" i="15"/>
  <c r="AB625" i="15"/>
  <c r="AC625" i="15"/>
  <c r="AD625" i="15"/>
  <c r="AA626" i="15"/>
  <c r="AB626" i="15"/>
  <c r="AC626" i="15"/>
  <c r="AD626" i="15"/>
  <c r="AA627" i="15"/>
  <c r="AB627" i="15"/>
  <c r="AC627" i="15"/>
  <c r="AD627" i="15"/>
  <c r="AA628" i="15"/>
  <c r="AB628" i="15"/>
  <c r="AC628" i="15"/>
  <c r="AD628" i="15"/>
  <c r="AA629" i="15"/>
  <c r="AB629" i="15"/>
  <c r="AC629" i="15"/>
  <c r="AD629" i="15"/>
  <c r="AA630" i="15"/>
  <c r="AB630" i="15"/>
  <c r="AC630" i="15"/>
  <c r="AD630" i="15"/>
  <c r="AA631" i="15"/>
  <c r="AB631" i="15"/>
  <c r="AC631" i="15"/>
  <c r="AD631" i="15"/>
  <c r="AA632" i="15"/>
  <c r="AB632" i="15"/>
  <c r="AC632" i="15"/>
  <c r="AD632" i="15"/>
  <c r="AA633" i="15"/>
  <c r="AB633" i="15"/>
  <c r="AC633" i="15"/>
  <c r="AD633" i="15"/>
  <c r="AA634" i="15"/>
  <c r="AB634" i="15"/>
  <c r="AC634" i="15"/>
  <c r="AD634" i="15"/>
  <c r="AA635" i="15"/>
  <c r="AB635" i="15"/>
  <c r="AC635" i="15"/>
  <c r="AD635" i="15"/>
  <c r="AA1111" i="10"/>
  <c r="AB1111" i="10"/>
  <c r="AC1111" i="10"/>
  <c r="AD1111" i="10"/>
  <c r="AA1112" i="10"/>
  <c r="AB1112" i="10"/>
  <c r="AC1112" i="10"/>
  <c r="AD1112" i="10"/>
  <c r="AA1113" i="10"/>
  <c r="AB1113" i="10"/>
  <c r="AC1113" i="10"/>
  <c r="AD1113" i="10"/>
  <c r="AA1114" i="10"/>
  <c r="AB1114" i="10"/>
  <c r="AC1114" i="10"/>
  <c r="AD1114" i="10"/>
  <c r="AA1115" i="10"/>
  <c r="AB1115" i="10"/>
  <c r="AC1115" i="10"/>
  <c r="AD1115" i="10"/>
  <c r="AA1116" i="10"/>
  <c r="AB1116" i="10"/>
  <c r="AC1116" i="10"/>
  <c r="AD1116" i="10"/>
  <c r="AA1117" i="10"/>
  <c r="AB1117" i="10"/>
  <c r="AC1117" i="10"/>
  <c r="AD1117" i="10"/>
  <c r="AA1118" i="10"/>
  <c r="AB1118" i="10"/>
  <c r="AC1118" i="10"/>
  <c r="AD1118" i="10"/>
  <c r="AA1119" i="10"/>
  <c r="AB1119" i="10"/>
  <c r="AC1119" i="10"/>
  <c r="AD1119" i="10"/>
  <c r="AA1120" i="10"/>
  <c r="AB1120" i="10"/>
  <c r="AC1120" i="10"/>
  <c r="AD1120" i="10"/>
  <c r="AA1121" i="10"/>
  <c r="AB1121" i="10"/>
  <c r="AC1121" i="10"/>
  <c r="AD1121" i="10"/>
  <c r="AA1122" i="10"/>
  <c r="AB1122" i="10"/>
  <c r="AC1122" i="10"/>
  <c r="AD1122" i="10"/>
  <c r="AA1123" i="10"/>
  <c r="AB1123" i="10"/>
  <c r="AC1123" i="10"/>
  <c r="AD1123" i="10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L9" i="16"/>
  <c r="M9" i="16" s="1"/>
  <c r="O9" i="16"/>
  <c r="P9" i="16" s="1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L23" i="16"/>
  <c r="M23" i="16" s="1"/>
  <c r="O23" i="16"/>
  <c r="P23" i="16" s="1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4" i="11" a="1"/>
  <c r="J44" i="11" s="1"/>
  <c r="B15" i="22" s="1"/>
  <c r="E15" i="22" s="1"/>
  <c r="J45" i="11" a="1"/>
  <c r="J45" i="11" s="1"/>
  <c r="B54" i="22" s="1"/>
  <c r="E54" i="22" s="1"/>
  <c r="J46" i="11" a="1"/>
  <c r="J46" i="11" s="1"/>
  <c r="B25" i="22" s="1"/>
  <c r="E25" i="22" s="1"/>
  <c r="J47" i="11" a="1"/>
  <c r="J47" i="11" s="1"/>
  <c r="B17" i="22" s="1"/>
  <c r="E17" i="22" s="1"/>
  <c r="J48" i="11" a="1"/>
  <c r="J48" i="11" s="1"/>
  <c r="B4" i="22" s="1"/>
  <c r="E4" i="22" s="1"/>
  <c r="J49" i="11" a="1"/>
  <c r="J49" i="11" s="1"/>
  <c r="B27" i="22" s="1"/>
  <c r="E27" i="22" s="1"/>
  <c r="J50" i="11" a="1"/>
  <c r="J50" i="11" s="1"/>
  <c r="B29" i="22" s="1"/>
  <c r="E29" i="22" s="1"/>
  <c r="J51" i="11" a="1"/>
  <c r="J51" i="11" s="1"/>
  <c r="B3" i="22" s="1"/>
  <c r="E3" i="22" s="1"/>
  <c r="J52" i="11" a="1"/>
  <c r="J52" i="11" s="1"/>
  <c r="B28" i="22" s="1"/>
  <c r="E28" i="22" s="1"/>
  <c r="J53" i="11" a="1"/>
  <c r="J53" i="11" s="1"/>
  <c r="B56" i="22" s="1"/>
  <c r="E56" i="22" s="1"/>
  <c r="J54" i="11" a="1"/>
  <c r="J54" i="11" s="1"/>
  <c r="B18" i="22" s="1"/>
  <c r="E18" i="22" s="1"/>
  <c r="J55" i="11" a="1"/>
  <c r="J55" i="11" s="1"/>
  <c r="B5" i="22" s="1"/>
  <c r="E5" i="22" s="1"/>
  <c r="J56" i="11" a="1"/>
  <c r="J56" i="11" s="1"/>
  <c r="B7" i="22" s="1"/>
  <c r="E7" i="22" s="1"/>
  <c r="J57" i="11" a="1"/>
  <c r="J57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N23" i="16" s="1"/>
  <c r="AJ492" i="17"/>
  <c r="Q23" i="16" s="1"/>
  <c r="AK492" i="17"/>
  <c r="K23" i="16" s="1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N9" i="16" s="1"/>
  <c r="AJ481" i="17"/>
  <c r="Q9" i="16" s="1"/>
  <c r="AK481" i="17"/>
  <c r="K9" i="16" s="1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6" i="16"/>
  <c r="AH27" i="16"/>
  <c r="AH28" i="16"/>
  <c r="AH29" i="16"/>
  <c r="AH30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R38" i="16"/>
  <c r="F38" i="16"/>
  <c r="G38" i="16"/>
  <c r="H38" i="16" a="1"/>
  <c r="H38" i="16" s="1"/>
  <c r="I38" i="16"/>
  <c r="J38" i="16"/>
  <c r="K38" i="16"/>
  <c r="L38" i="16"/>
  <c r="M38" i="16" s="1"/>
  <c r="O38" i="16"/>
  <c r="P38" i="16" s="1"/>
  <c r="Q38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8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N39" i="16"/>
  <c r="O39" i="16"/>
  <c r="P39" i="16" s="1"/>
  <c r="Q39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4" i="16" s="1"/>
  <c r="AJ241" i="17"/>
  <c r="AK241" i="17"/>
  <c r="K34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3" i="11" s="1"/>
  <c r="AC794" i="10"/>
  <c r="T53" i="11" s="1"/>
  <c r="AD794" i="10"/>
  <c r="N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L34" i="16"/>
  <c r="M34" i="16" s="1"/>
  <c r="O34" i="16"/>
  <c r="P34" i="16" s="1"/>
  <c r="Q34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2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K15" i="16" s="1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L41" i="16"/>
  <c r="R41" i="16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R42" i="16"/>
  <c r="AK2" i="17"/>
  <c r="AI2" i="17"/>
  <c r="AH2" i="17"/>
  <c r="F42" i="16"/>
  <c r="G42" i="16"/>
  <c r="H42" i="16" a="1"/>
  <c r="H42" i="16" s="1"/>
  <c r="I42" i="16"/>
  <c r="J42" i="16"/>
  <c r="L42" i="16"/>
  <c r="M42" i="16" s="1"/>
  <c r="O42" i="16"/>
  <c r="P42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2" i="16"/>
  <c r="K42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R30" i="16"/>
  <c r="F30" i="16"/>
  <c r="G30" i="16"/>
  <c r="H30" i="16" a="1"/>
  <c r="H30" i="16" s="1"/>
  <c r="I30" i="16"/>
  <c r="J30" i="16"/>
  <c r="K30" i="16"/>
  <c r="L30" i="16"/>
  <c r="M30" i="16" s="1"/>
  <c r="N30" i="16"/>
  <c r="O30" i="16"/>
  <c r="P30" i="16" s="1"/>
  <c r="Q3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K44" i="11" a="1"/>
  <c r="K44" i="11" s="1"/>
  <c r="L44" i="11"/>
  <c r="M44" i="11"/>
  <c r="N44" i="11"/>
  <c r="O44" i="11"/>
  <c r="P44" i="11" s="1"/>
  <c r="Q44" i="11"/>
  <c r="R44" i="11"/>
  <c r="S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R44" i="16"/>
  <c r="R43" i="16"/>
  <c r="R40" i="16"/>
  <c r="R37" i="16"/>
  <c r="R36" i="16"/>
  <c r="R35" i="16"/>
  <c r="R33" i="16"/>
  <c r="R32" i="16"/>
  <c r="R29" i="16"/>
  <c r="R28" i="16"/>
  <c r="R27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7" i="16"/>
  <c r="Q28" i="16"/>
  <c r="Q29" i="16"/>
  <c r="Q32" i="16"/>
  <c r="Q33" i="16"/>
  <c r="Q35" i="16"/>
  <c r="Q36" i="16"/>
  <c r="Q37" i="16"/>
  <c r="Q40" i="16"/>
  <c r="Q41" i="16"/>
  <c r="Q43" i="16"/>
  <c r="Q44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7" i="16"/>
  <c r="P27" i="16" s="1"/>
  <c r="O28" i="16"/>
  <c r="P28" i="16" s="1"/>
  <c r="O29" i="16"/>
  <c r="P29" i="16" s="1"/>
  <c r="O32" i="16"/>
  <c r="P32" i="16" s="1"/>
  <c r="O33" i="16"/>
  <c r="P33" i="16" s="1"/>
  <c r="O35" i="16"/>
  <c r="P35" i="16" s="1"/>
  <c r="O36" i="16"/>
  <c r="P36" i="16" s="1"/>
  <c r="O37" i="16"/>
  <c r="P37" i="16" s="1"/>
  <c r="O40" i="16"/>
  <c r="P40" i="16" s="1"/>
  <c r="O41" i="16"/>
  <c r="P41" i="16" s="1"/>
  <c r="O43" i="16"/>
  <c r="P43" i="16" s="1"/>
  <c r="O44" i="16"/>
  <c r="P44" i="16" s="1"/>
  <c r="O2" i="16"/>
  <c r="P2" i="16" s="1"/>
  <c r="N3" i="16"/>
  <c r="N4" i="16"/>
  <c r="N5" i="16"/>
  <c r="N6" i="16"/>
  <c r="N16" i="16"/>
  <c r="N18" i="16"/>
  <c r="N19" i="16"/>
  <c r="N20" i="16"/>
  <c r="N22" i="16"/>
  <c r="N27" i="16"/>
  <c r="N28" i="16"/>
  <c r="N29" i="16"/>
  <c r="N32" i="16"/>
  <c r="N33" i="16"/>
  <c r="N35" i="16"/>
  <c r="N36" i="16"/>
  <c r="N37" i="16"/>
  <c r="N40" i="16"/>
  <c r="N41" i="16"/>
  <c r="N43" i="16"/>
  <c r="N44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7" i="16"/>
  <c r="M27" i="16" s="1"/>
  <c r="L28" i="16"/>
  <c r="M28" i="16" s="1"/>
  <c r="L29" i="16"/>
  <c r="M29" i="16" s="1"/>
  <c r="L32" i="16"/>
  <c r="M32" i="16" s="1"/>
  <c r="L33" i="16"/>
  <c r="M33" i="16" s="1"/>
  <c r="L35" i="16"/>
  <c r="M35" i="16" s="1"/>
  <c r="L36" i="16"/>
  <c r="M36" i="16" s="1"/>
  <c r="L37" i="16"/>
  <c r="M37" i="16" s="1"/>
  <c r="L40" i="16"/>
  <c r="M40" i="16" s="1"/>
  <c r="M41" i="16"/>
  <c r="L43" i="16"/>
  <c r="M43" i="16" s="1"/>
  <c r="L44" i="16"/>
  <c r="M44" i="16" s="1"/>
  <c r="L2" i="16"/>
  <c r="M2" i="16" s="1"/>
  <c r="K3" i="16"/>
  <c r="K4" i="16"/>
  <c r="K5" i="16"/>
  <c r="K6" i="16"/>
  <c r="K16" i="16"/>
  <c r="K18" i="16"/>
  <c r="K19" i="16"/>
  <c r="K20" i="16"/>
  <c r="K22" i="16"/>
  <c r="K27" i="16"/>
  <c r="K28" i="16"/>
  <c r="K29" i="16"/>
  <c r="K32" i="16"/>
  <c r="K33" i="16"/>
  <c r="K35" i="16"/>
  <c r="K36" i="16"/>
  <c r="K37" i="16"/>
  <c r="K40" i="16"/>
  <c r="K41" i="16"/>
  <c r="K43" i="16"/>
  <c r="K44" i="16"/>
  <c r="J3" i="16"/>
  <c r="J4" i="16"/>
  <c r="J5" i="16"/>
  <c r="J6" i="16"/>
  <c r="J14" i="16"/>
  <c r="J16" i="16"/>
  <c r="J18" i="16"/>
  <c r="J19" i="16"/>
  <c r="J20" i="16"/>
  <c r="J22" i="16"/>
  <c r="J27" i="16"/>
  <c r="J28" i="16"/>
  <c r="J29" i="16"/>
  <c r="J32" i="16"/>
  <c r="J33" i="16"/>
  <c r="J35" i="16"/>
  <c r="J36" i="16"/>
  <c r="J37" i="16"/>
  <c r="J40" i="16"/>
  <c r="J41" i="16"/>
  <c r="J43" i="16"/>
  <c r="J44" i="16"/>
  <c r="J2" i="16"/>
  <c r="I3" i="16"/>
  <c r="I4" i="16"/>
  <c r="I5" i="16"/>
  <c r="I6" i="16"/>
  <c r="I14" i="16"/>
  <c r="I16" i="16"/>
  <c r="I18" i="16"/>
  <c r="I19" i="16"/>
  <c r="I20" i="16"/>
  <c r="I22" i="16"/>
  <c r="I27" i="16"/>
  <c r="I28" i="16"/>
  <c r="I29" i="16"/>
  <c r="I32" i="16"/>
  <c r="I33" i="16"/>
  <c r="I35" i="16"/>
  <c r="I36" i="16"/>
  <c r="I37" i="16"/>
  <c r="I40" i="16"/>
  <c r="I41" i="16"/>
  <c r="I43" i="16"/>
  <c r="I44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7" i="16" a="1"/>
  <c r="H27" i="16" s="1"/>
  <c r="H28" i="16" a="1"/>
  <c r="H28" i="16" s="1"/>
  <c r="H29" i="16" a="1"/>
  <c r="H29" i="16" s="1"/>
  <c r="H32" i="16" a="1"/>
  <c r="H32" i="16" s="1"/>
  <c r="H33" i="16" a="1"/>
  <c r="H33" i="16" s="1"/>
  <c r="H35" i="16" a="1"/>
  <c r="H35" i="16" s="1"/>
  <c r="H36" i="16" a="1"/>
  <c r="H36" i="16" s="1"/>
  <c r="H37" i="16" a="1"/>
  <c r="H37" i="16" s="1"/>
  <c r="H40" i="16" a="1"/>
  <c r="H40" i="16" s="1"/>
  <c r="H41" i="16" a="1"/>
  <c r="H41" i="16" s="1"/>
  <c r="H43" i="16" a="1"/>
  <c r="H43" i="16" s="1"/>
  <c r="H44" i="16" a="1"/>
  <c r="H44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7" i="16"/>
  <c r="G28" i="16"/>
  <c r="G29" i="16"/>
  <c r="G32" i="16"/>
  <c r="G33" i="16"/>
  <c r="G35" i="16"/>
  <c r="G36" i="16"/>
  <c r="G37" i="16"/>
  <c r="G40" i="16"/>
  <c r="G41" i="16"/>
  <c r="G43" i="16"/>
  <c r="G44" i="16"/>
  <c r="G2" i="16"/>
  <c r="F3" i="16"/>
  <c r="F4" i="16"/>
  <c r="F5" i="16"/>
  <c r="F6" i="16"/>
  <c r="F14" i="16"/>
  <c r="F16" i="16"/>
  <c r="F18" i="16"/>
  <c r="F19" i="16"/>
  <c r="F20" i="16"/>
  <c r="F22" i="16"/>
  <c r="F27" i="16"/>
  <c r="F28" i="16"/>
  <c r="F29" i="16"/>
  <c r="F32" i="16"/>
  <c r="F33" i="16"/>
  <c r="F35" i="16"/>
  <c r="F36" i="16"/>
  <c r="F37" i="16"/>
  <c r="F40" i="16"/>
  <c r="F41" i="16"/>
  <c r="F43" i="16"/>
  <c r="F44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49" i="11" s="1"/>
  <c r="AC480" i="10"/>
  <c r="T49" i="11" s="1"/>
  <c r="AD480" i="10"/>
  <c r="N49" i="11" s="1"/>
  <c r="AA481" i="10"/>
  <c r="AB481" i="10"/>
  <c r="Q36" i="11" s="1"/>
  <c r="AC481" i="10"/>
  <c r="AD481" i="10"/>
  <c r="N36" i="11" s="1"/>
  <c r="AA482" i="10"/>
  <c r="AB482" i="10"/>
  <c r="Q48" i="11" s="1"/>
  <c r="AC482" i="10"/>
  <c r="T48" i="11" s="1"/>
  <c r="AD482" i="10"/>
  <c r="N48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U49" i="11"/>
  <c r="H49" i="11"/>
  <c r="I49" i="11"/>
  <c r="K49" i="11" a="1"/>
  <c r="K49" i="11" s="1"/>
  <c r="L49" i="11"/>
  <c r="M49" i="11"/>
  <c r="O49" i="11"/>
  <c r="P49" i="11" s="1"/>
  <c r="R49" i="11"/>
  <c r="S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7" i="11" s="1"/>
  <c r="AC474" i="10"/>
  <c r="T57" i="11" s="1"/>
  <c r="AD474" i="10"/>
  <c r="N57" i="11" s="1"/>
  <c r="AA451" i="10"/>
  <c r="AB451" i="10"/>
  <c r="Q54" i="11" s="1"/>
  <c r="AC451" i="10"/>
  <c r="T54" i="11" s="1"/>
  <c r="AD451" i="10"/>
  <c r="N54" i="11" s="1"/>
  <c r="AA452" i="10"/>
  <c r="AB452" i="10"/>
  <c r="Q24" i="11" s="1"/>
  <c r="AC452" i="10"/>
  <c r="T24" i="11" s="1"/>
  <c r="AD452" i="10"/>
  <c r="N24" i="11" s="1"/>
  <c r="AA453" i="10"/>
  <c r="AB453" i="10"/>
  <c r="Q50" i="11" s="1"/>
  <c r="AC453" i="10"/>
  <c r="T50" i="11" s="1"/>
  <c r="AD453" i="10"/>
  <c r="N50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6" i="11" s="1"/>
  <c r="AC457" i="10"/>
  <c r="T56" i="11" s="1"/>
  <c r="AD457" i="10"/>
  <c r="N56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5" i="11"/>
  <c r="I55" i="11"/>
  <c r="K55" i="11" a="1"/>
  <c r="K55" i="11" s="1"/>
  <c r="L55" i="11"/>
  <c r="M55" i="11"/>
  <c r="O55" i="11"/>
  <c r="P55" i="11" s="1"/>
  <c r="R55" i="11"/>
  <c r="S55" i="11" s="1"/>
  <c r="H45" i="11"/>
  <c r="I45" i="11"/>
  <c r="K45" i="11" a="1"/>
  <c r="K45" i="11" s="1"/>
  <c r="L45" i="11"/>
  <c r="M45" i="11"/>
  <c r="O45" i="11"/>
  <c r="P45" i="11" s="1"/>
  <c r="R45" i="11"/>
  <c r="S45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6" i="11" s="1"/>
  <c r="AC415" i="10"/>
  <c r="T46" i="11" s="1"/>
  <c r="AD415" i="10"/>
  <c r="N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1" i="11" s="1"/>
  <c r="AC436" i="10"/>
  <c r="T51" i="11" s="1"/>
  <c r="AD436" i="10"/>
  <c r="N51" i="11" s="1"/>
  <c r="AA437" i="10"/>
  <c r="AB437" i="10"/>
  <c r="AC437" i="10"/>
  <c r="AD437" i="10"/>
  <c r="AA438" i="10"/>
  <c r="AB438" i="10"/>
  <c r="Q55" i="11" s="1"/>
  <c r="AC438" i="10"/>
  <c r="T55" i="11" s="1"/>
  <c r="AD438" i="10"/>
  <c r="N55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U47" i="11"/>
  <c r="H47" i="11"/>
  <c r="I47" i="11"/>
  <c r="K47" i="11" a="1"/>
  <c r="K47" i="11" s="1"/>
  <c r="L47" i="11"/>
  <c r="M47" i="11"/>
  <c r="O47" i="11"/>
  <c r="P47" i="11" s="1"/>
  <c r="R47" i="11"/>
  <c r="S47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5" i="11" s="1"/>
  <c r="AC414" i="10"/>
  <c r="T45" i="11" s="1"/>
  <c r="AD414" i="10"/>
  <c r="N45" i="11" s="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K52" i="11" a="1"/>
  <c r="K52" i="11" s="1"/>
  <c r="L52" i="11"/>
  <c r="M52" i="11"/>
  <c r="O52" i="11"/>
  <c r="P52" i="11" s="1"/>
  <c r="R52" i="11"/>
  <c r="S52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2" i="11" s="1"/>
  <c r="AC396" i="10"/>
  <c r="T52" i="11" s="1"/>
  <c r="AD396" i="10"/>
  <c r="N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6" i="11"/>
  <c r="AD48" i="11"/>
  <c r="AD50" i="11"/>
  <c r="AD51" i="11"/>
  <c r="AD54" i="11"/>
  <c r="AD55" i="11"/>
  <c r="AD56" i="11"/>
  <c r="AD57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7" i="11"/>
  <c r="Q47" i="11"/>
  <c r="T47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V54" i="11"/>
  <c r="W54" i="11"/>
  <c r="X54" i="11"/>
  <c r="Y54" i="11"/>
  <c r="Z54" i="11"/>
  <c r="AA54" i="11"/>
  <c r="AB54" i="11"/>
  <c r="AC54" i="11"/>
  <c r="AE54" i="11"/>
  <c r="AF54" i="11"/>
  <c r="AG54" i="11"/>
  <c r="AH54" i="11"/>
  <c r="AI54" i="11"/>
  <c r="AJ54" i="11"/>
  <c r="U54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50" i="11"/>
  <c r="W50" i="11"/>
  <c r="X50" i="11"/>
  <c r="Y50" i="11"/>
  <c r="Z50" i="11"/>
  <c r="AA50" i="11"/>
  <c r="AB50" i="11"/>
  <c r="AC50" i="11"/>
  <c r="AE50" i="11"/>
  <c r="AF50" i="11"/>
  <c r="AG50" i="11"/>
  <c r="AH50" i="11"/>
  <c r="AI50" i="11"/>
  <c r="AJ50" i="11"/>
  <c r="U50" i="11"/>
  <c r="V48" i="11"/>
  <c r="W48" i="11"/>
  <c r="X48" i="11"/>
  <c r="Y48" i="11"/>
  <c r="Z48" i="11"/>
  <c r="AA48" i="11"/>
  <c r="AB48" i="11"/>
  <c r="AC48" i="11"/>
  <c r="AE48" i="11"/>
  <c r="AF48" i="11"/>
  <c r="AG48" i="11"/>
  <c r="AH48" i="11"/>
  <c r="AI48" i="11"/>
  <c r="AJ48" i="11"/>
  <c r="U48" i="11"/>
  <c r="V46" i="11"/>
  <c r="W46" i="11"/>
  <c r="X46" i="11"/>
  <c r="Y46" i="11"/>
  <c r="Z46" i="11"/>
  <c r="AA46" i="11"/>
  <c r="AB46" i="11"/>
  <c r="AC46" i="11"/>
  <c r="AE46" i="11"/>
  <c r="AF46" i="11"/>
  <c r="AG46" i="11"/>
  <c r="AH46" i="11"/>
  <c r="AI46" i="11"/>
  <c r="AJ46" i="11"/>
  <c r="U46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6" i="11"/>
  <c r="P46" i="11" s="1"/>
  <c r="O48" i="11"/>
  <c r="P48" i="11" s="1"/>
  <c r="O50" i="11"/>
  <c r="P50" i="11" s="1"/>
  <c r="O51" i="11"/>
  <c r="P51" i="11" s="1"/>
  <c r="O54" i="11"/>
  <c r="P54" i="11" s="1"/>
  <c r="O56" i="11"/>
  <c r="P56" i="11" s="1"/>
  <c r="O57" i="11"/>
  <c r="P57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6" i="11"/>
  <c r="M48" i="11"/>
  <c r="M50" i="11"/>
  <c r="M51" i="11"/>
  <c r="M54" i="11"/>
  <c r="M56" i="11"/>
  <c r="M57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6" i="11"/>
  <c r="S46" i="11" s="1"/>
  <c r="R48" i="11"/>
  <c r="S48" i="11" s="1"/>
  <c r="R50" i="11"/>
  <c r="S50" i="11" s="1"/>
  <c r="R51" i="11"/>
  <c r="S51" i="11" s="1"/>
  <c r="R54" i="11"/>
  <c r="S54" i="11" s="1"/>
  <c r="R56" i="11"/>
  <c r="S56" i="11" s="1"/>
  <c r="R57" i="11"/>
  <c r="S57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6" i="11" a="1"/>
  <c r="K46" i="11" s="1"/>
  <c r="K48" i="11" a="1"/>
  <c r="K48" i="11" s="1"/>
  <c r="K50" i="11" a="1"/>
  <c r="K50" i="11" s="1"/>
  <c r="K51" i="11" a="1"/>
  <c r="K51" i="11" s="1"/>
  <c r="K54" i="11" a="1"/>
  <c r="K54" i="11" s="1"/>
  <c r="K56" i="11" a="1"/>
  <c r="K56" i="11" s="1"/>
  <c r="K57" i="11" a="1"/>
  <c r="K57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<sst xmlns="http://schemas.openxmlformats.org/spreadsheetml/2006/main" count="5451" uniqueCount="240">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</sst>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7</v>
      </c>
      <c r="M3" s="2">
        <f>COUNTIFS('OB History'!B:B,A3,'OB History'!D:D, 0)</f>
        <v>6</v>
      </c>
      <c r="N3" s="88">
        <f>LOOKUP(2, 1/('OB History'!$B:$B=A3), 'OB History'!$AD:$AD)</f>
        <v>0.53846153846153844</v>
      </c>
      <c r="O3" s="34">
        <f>SUMIFS('OB History'!F:F,'OB History'!B:B,A3)</f>
        <v>25</v>
      </c>
      <c r="P3" s="2">
        <f>SUMIFS('OB History'!E:E,'OB History'!B:B,A3)-O3</f>
        <v>26</v>
      </c>
      <c r="Q3" s="88">
        <f>LOOKUP(2, 1/('OB History'!$B:$B=A3), 'OB History'!$AB:$AB)</f>
        <v>0.47692307692307695</v>
      </c>
      <c r="R3" s="34">
        <f>SUMIFS('OB History'!H:H,'OB History'!B:B,A3)</f>
        <v>105</v>
      </c>
      <c r="S3" s="2">
        <f>SUMIFS('OB History'!G:G,'OB History'!B:B,A3)-R3</f>
        <v>108</v>
      </c>
      <c r="T3" s="88">
        <f>LOOKUP(2, 1/('OB History'!$B:$B=A3), 'OB History'!$AC:$AC)</f>
        <v>0.50076923076923063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4</v>
      </c>
      <c r="Y3" s="2">
        <f>COUNTIFS('OB History'!$B:$B,$A$3,'OB History'!O:O, 1)</f>
        <v>1</v>
      </c>
      <c r="Z3" s="2">
        <f>COUNTIFS('OB History'!$B:$B,$A$3,'OB History'!P:P, 1)</f>
        <v>1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2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241</v>
      </c>
      <c r="I4" s="4">
        <f>AVERAGEIFS('OB History'!C:C,'OB History'!B:B,A4)</f>
        <v>9.2692307692307701</v>
      </c>
      <c r="J4" s="4">
        <f t="array" ref="J4">MEDIAN(IF('OB History'!B:B=A4, 'OB History'!C:C))</f>
        <v>8.5</v>
      </c>
      <c r="K4" s="35">
        <f t="array" ref="K4">MAX(IF('OB History'!B:B=A4, 'OB History'!C:C))</f>
        <v>19</v>
      </c>
      <c r="L4" s="34">
        <f>COUNTIFS('OB History'!B:B,A4,'OB History'!D:D, 1)</f>
        <v>11</v>
      </c>
      <c r="M4" s="2">
        <f>COUNTIFS('OB History'!B:B,A4,'OB History'!D:D, 0)</f>
        <v>15</v>
      </c>
      <c r="N4" s="88">
        <f>LOOKUP(2, 1/('OB History'!$B:$B=A4), 'OB History'!$AD:$AD)</f>
        <v>0.42307692307692307</v>
      </c>
      <c r="O4" s="34">
        <f>SUMIFS('OB History'!F:F,'OB History'!B:B,A4)</f>
        <v>43</v>
      </c>
      <c r="P4" s="2">
        <f>SUMIFS('OB History'!E:E,'OB History'!B:B,A4)-O4</f>
        <v>58</v>
      </c>
      <c r="Q4" s="88">
        <f>LOOKUP(2, 1/('OB History'!$B:$B=A4), 'OB History'!$AB:$AB)</f>
        <v>0.41730769230769238</v>
      </c>
      <c r="R4" s="34">
        <f>SUMIFS('OB History'!H:H,'OB History'!B:B,A4)</f>
        <v>202</v>
      </c>
      <c r="S4" s="2">
        <f>SUMIFS('OB History'!G:G,'OB History'!B:B,A4)-R4</f>
        <v>225</v>
      </c>
      <c r="T4" s="88">
        <f>LOOKUP(2, 1/('OB History'!$B:$B=A4), 'OB History'!$AC:$AC)</f>
        <v>0.46846153846153832</v>
      </c>
      <c r="U4" s="2">
        <f>COUNTIFS('OB History'!$B:$B,$A$4,'OB History'!K:K, 1)</f>
        <v>3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5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2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3</v>
      </c>
      <c r="AH4" s="2">
        <f>COUNTIFS('OB History'!$B:$B,$A$4,'OB History'!X:X, 1)</f>
        <v>7</v>
      </c>
      <c r="AI4" s="2">
        <f>COUNTIFS('OB History'!$B:$B,$A$4,'OB History'!Y:Y, 1)</f>
        <v>6</v>
      </c>
      <c r="AJ4" s="2">
        <f>COUNTIFS('OB History'!$B:$B,$A$4,'OB History'!Z:Z, 1)</f>
        <v>3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14</v>
      </c>
      <c r="M5" s="2">
        <f>COUNTIFS('OB History'!B:B,A5,'OB History'!D:D, 0)</f>
        <v>18</v>
      </c>
      <c r="N5" s="88">
        <f>LOOKUP(2, 1/('OB History'!$B:$B=A5), 'OB History'!$AD:$AD)</f>
        <v>0.4375</v>
      </c>
      <c r="O5" s="34">
        <f>SUMIFS('OB History'!F:F,'OB History'!B:B,A5)</f>
        <v>56</v>
      </c>
      <c r="P5" s="2">
        <f>SUMIFS('OB History'!E:E,'OB History'!B:B,A5)-O5</f>
        <v>72</v>
      </c>
      <c r="Q5" s="88">
        <f>LOOKUP(2, 1/('OB History'!$B:$B=A5), 'OB History'!$AB:$AB)</f>
        <v>0.41874999999999996</v>
      </c>
      <c r="R5" s="34">
        <f>SUMIFS('OB History'!H:H,'OB History'!B:B,A5)</f>
        <v>241</v>
      </c>
      <c r="S5" s="2">
        <f>SUMIFS('OB History'!G:G,'OB History'!B:B,A5)-R5</f>
        <v>280</v>
      </c>
      <c r="T5" s="88">
        <f>LOOKUP(2, 1/('OB History'!$B:$B=A5), 'OB History'!$AC:$AC)</f>
        <v>0.453125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8</v>
      </c>
      <c r="Y5" s="2">
        <f>COUNTIFS('OB History'!$B:$B,$A$5,'OB History'!O:O, 1)</f>
        <v>2</v>
      </c>
      <c r="Z5" s="2">
        <f>COUNTIFS('OB History'!$B:$B,$A$5,'OB History'!P:P, 1)</f>
        <v>4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13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34</v>
      </c>
      <c r="I6" s="4">
        <f>AVERAGEIFS('OB History'!C:C,'OB History'!B:B,A6)</f>
        <v>11.333333333333334</v>
      </c>
      <c r="J6" s="4">
        <f t="array" ref="J6">MEDIAN(IF('OB History'!B:B=A6, 'OB History'!C:C))</f>
        <v>12</v>
      </c>
      <c r="K6" s="35">
        <f t="array" ref="K6">MAX(IF('OB History'!B:B=A6, 'OB History'!C:C))</f>
        <v>14</v>
      </c>
      <c r="L6" s="34">
        <f>COUNTIFS('OB History'!B:B,A6,'OB History'!D:D, 1)</f>
        <v>2</v>
      </c>
      <c r="M6" s="2">
        <f>COUNTIFS('OB History'!B:B,A6,'OB History'!D:D, 0)</f>
        <v>1</v>
      </c>
      <c r="N6" s="88">
        <f>LOOKUP(2, 1/('OB History'!$B:$B=A6), 'OB History'!$AD:$AD)</f>
        <v>0.66666666666666663</v>
      </c>
      <c r="O6" s="34">
        <f>SUMIFS('OB History'!F:F,'OB History'!B:B,A6)</f>
        <v>7</v>
      </c>
      <c r="P6" s="2">
        <f>SUMIFS('OB History'!E:E,'OB History'!B:B,A6)-O6</f>
        <v>7</v>
      </c>
      <c r="Q6" s="88">
        <f>LOOKUP(2, 1/('OB History'!$B:$B=A6), 'OB History'!$AB:$AB)</f>
        <v>0.48333333333333334</v>
      </c>
      <c r="R6" s="34">
        <f>SUMIFS('OB History'!H:H,'OB History'!B:B,A6)</f>
        <v>29</v>
      </c>
      <c r="S6" s="2">
        <f>SUMIFS('OB History'!G:G,'OB History'!B:B,A6)-R6</f>
        <v>29</v>
      </c>
      <c r="T6" s="88">
        <f>LOOKUP(2, 1/('OB History'!$B:$B=A6), 'OB History'!$AC:$AC)</f>
        <v>0.49666666666666665</v>
      </c>
      <c r="U6" s="2">
        <f>COUNTIFS('OB History'!$B:$B,$A$6,'OB History'!K:K, 1)</f>
        <v>0</v>
      </c>
      <c r="V6" s="2">
        <f>COUNTIFS('OB History'!$B:$B,$A$6,'OB History'!L:L, 1)</f>
        <v>0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2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484</v>
      </c>
      <c r="I8" s="4">
        <f>AVERAGEIFS('OB History'!C:C,'OB History'!B:B,A8)</f>
        <v>12.410256410256411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14</v>
      </c>
      <c r="N8" s="88">
        <f>LOOKUP(2, 1/('OB History'!$B:$B=A8), 'OB History'!$AD:$AD)</f>
        <v>0.64102564102564108</v>
      </c>
      <c r="O8" s="34">
        <f>SUMIFS('OB History'!F:F,'OB History'!B:B,A8)</f>
        <v>85</v>
      </c>
      <c r="P8" s="2">
        <f>SUMIFS('OB History'!E:E,'OB History'!B:B,A8)-O8</f>
        <v>71</v>
      </c>
      <c r="Q8" s="88">
        <f>LOOKUP(2, 1/('OB History'!$B:$B=A8), 'OB History'!$AB:$AB)</f>
        <v>0.53589743589743599</v>
      </c>
      <c r="R8" s="34">
        <f>SUMIFS('OB History'!H:H,'OB History'!B:B,'Old Bow v2'!A8)</f>
        <v>329</v>
      </c>
      <c r="S8" s="2">
        <f>SUMIFS('OB History'!G:G,'OB History'!B:B,'Old Bow v2'!A8)-R8</f>
        <v>309</v>
      </c>
      <c r="T8" s="88">
        <f>LOOKUP(2, 1/('OB History'!$B:$B=A8), 'OB History'!$AC:$AC)</f>
        <v>0.51102564102564108</v>
      </c>
      <c r="U8" s="2">
        <f>COUNTIFS('OB History'!$B:$B,$A$8,'OB History'!K:K, 1)</f>
        <v>6</v>
      </c>
      <c r="V8" s="2">
        <f>COUNTIFS('OB History'!$B:$B,$A$8,'OB History'!L:L, 1)</f>
        <v>8</v>
      </c>
      <c r="W8" s="2">
        <f>COUNTIFS('OB History'!$B:$B,$A$8,'OB History'!M:M, 1)</f>
        <v>2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488</v>
      </c>
      <c r="I9" s="4">
        <f>AVERAGEIFS('OB History'!C:C,'OB History'!B:B,A9)</f>
        <v>12.512820512820513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17</v>
      </c>
      <c r="M9" s="2">
        <f>COUNTIFS('OB History'!B:B,A9,'OB History'!D:D, 0)</f>
        <v>22</v>
      </c>
      <c r="N9" s="88">
        <f>LOOKUP(2, 1/('OB History'!$B:$B=A9), 'OB History'!$AD:$AD)</f>
        <v>0.4358974358974359</v>
      </c>
      <c r="O9" s="34">
        <f>SUMIFS('OB History'!F:F,'OB History'!B:B,A9)</f>
        <v>75</v>
      </c>
      <c r="P9" s="2">
        <f>SUMIFS('OB History'!E:E,'OB History'!B:B,A9)-O9</f>
        <v>87</v>
      </c>
      <c r="Q9" s="88">
        <f>LOOKUP(2, 1/('OB History'!$B:$B=A9), 'OB History'!$AB:$AB)</f>
        <v>0.45512820512820512</v>
      </c>
      <c r="R9" s="34">
        <f>SUMIFS('OB History'!H:H,'OB History'!B:B,'Old Bow v2'!A9)</f>
        <v>321</v>
      </c>
      <c r="S9" s="2">
        <f>SUMIFS('OB History'!G:G,'OB History'!B:B,'Old Bow v2'!A9)-R9</f>
        <v>348</v>
      </c>
      <c r="T9" s="88">
        <f>LOOKUP(2, 1/('OB History'!$B:$B=A9), 'OB History'!$AC:$AC)</f>
        <v>0.46974358974358982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9</v>
      </c>
      <c r="Y9" s="2">
        <f>COUNTIFS('OB History'!$B:$B,$A$9,'OB History'!O:O, 1)</f>
        <v>2</v>
      </c>
      <c r="Z9" s="2">
        <f>COUNTIFS('OB History'!$B:$B,$A$9,'OB History'!P:P, 1)</f>
        <v>10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14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114</v>
      </c>
      <c r="I11" s="4">
        <f>AVERAGEIFS('OB History'!C:C,'OB History'!B:B,A11)</f>
        <v>14.25</v>
      </c>
      <c r="J11" s="4">
        <f t="array" ref="J11">MEDIAN(IF('OB History'!B:B=A11, 'OB History'!C:C))</f>
        <v>14.5</v>
      </c>
      <c r="K11" s="35">
        <f t="array" ref="K11">MAX(IF('OB History'!B:B=A11, 'OB History'!C:C))</f>
        <v>22</v>
      </c>
      <c r="L11" s="34">
        <f>COUNTIFS('OB History'!B:B,A11,'OB History'!D:D, 1)</f>
        <v>7</v>
      </c>
      <c r="M11" s="2">
        <f>COUNTIFS('OB History'!B:B,A11,'OB History'!D:D, 0)</f>
        <v>1</v>
      </c>
      <c r="N11" s="88">
        <f>LOOKUP(2, 1/('OB History'!$B:$B=A11), 'OB History'!$AD:$AD)</f>
        <v>0.875</v>
      </c>
      <c r="O11" s="34">
        <f>SUMIFS('OB History'!F:F,'OB History'!B:B,A11)</f>
        <v>23</v>
      </c>
      <c r="P11" s="2">
        <f>SUMIFS('OB History'!E:E,'OB History'!B:B,A11)-O11</f>
        <v>5</v>
      </c>
      <c r="Q11" s="88">
        <f>LOOKUP(2, 1/('OB History'!$B:$B=A11), 'OB History'!$AB:$AB)</f>
        <v>0.84375</v>
      </c>
      <c r="R11" s="34">
        <f>SUMIFS('OB History'!H:H,'OB History'!B:B,'Old Bow v2'!A11)</f>
        <v>71</v>
      </c>
      <c r="S11" s="2">
        <f>SUMIFS('OB History'!G:G,'OB History'!B:B,'Old Bow v2'!A11)-R11</f>
        <v>47</v>
      </c>
      <c r="T11" s="88">
        <f>LOOKUP(2, 1/('OB History'!$B:$B=A11), 'OB History'!$AC:$AC)</f>
        <v>0.61125000000000007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4</v>
      </c>
      <c r="Y11" s="2">
        <f>COUNTIFS('OB History'!$B:$B,$A$11,'OB History'!O:O, 1)</f>
        <v>0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224</v>
      </c>
      <c r="I14" s="4">
        <f>AVERAGEIFS('OB History'!C:C,'OB History'!B:B,A14)</f>
        <v>13.176470588235293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11</v>
      </c>
      <c r="N14" s="88">
        <f>LOOKUP(2, 1/('OB History'!$B:$B=A14), 'OB History'!$AD:$AD)</f>
        <v>0.35294117647058826</v>
      </c>
      <c r="O14" s="34">
        <f>SUMIFS('OB History'!F:F,'OB History'!B:B,A14)</f>
        <v>30</v>
      </c>
      <c r="P14" s="2">
        <f>SUMIFS('OB History'!E:E,'OB History'!B:B,A14)-O14</f>
        <v>41</v>
      </c>
      <c r="Q14" s="88">
        <f>LOOKUP(2, 1/('OB History'!$B:$B=A14), 'OB History'!$AB:$AB)</f>
        <v>0.40588235294117642</v>
      </c>
      <c r="R14" s="34">
        <f>SUMIFS('OB History'!H:H,'OB History'!B:B,'Old Bow v2'!A14)</f>
        <v>142</v>
      </c>
      <c r="S14" s="2">
        <f>SUMIFS('OB History'!G:G,'OB History'!B:B,'Old Bow v2'!A14)-R14</f>
        <v>158</v>
      </c>
      <c r="T14" s="88">
        <f>LOOKUP(2, 1/('OB History'!$B:$B=A14), 'OB History'!$AC:$AC)</f>
        <v>0.46941176470588225</v>
      </c>
      <c r="U14" s="2">
        <f>COUNTIFS('OB History'!$B:$B,$A$14,'OB History'!K:K, 1)</f>
        <v>2</v>
      </c>
      <c r="V14" s="2">
        <f>COUNTIFS('OB History'!$B:$B,$A$14,'OB History'!L:L, 1)</f>
        <v>3</v>
      </c>
      <c r="W14" s="2">
        <f>COUNTIFS('OB History'!$B:$B,$A$14,'OB History'!M:M, 1)</f>
        <v>3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461</v>
      </c>
      <c r="I15" s="4">
        <f>AVERAGEIFS('OB History'!C:C,'OB History'!B:B,A15)</f>
        <v>15.366666666666667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13</v>
      </c>
      <c r="N15" s="88">
        <f>LOOKUP(2, 1/('OB History'!$B:$B=A15), 'OB History'!$AD:$AD)</f>
        <v>0.56666666666666665</v>
      </c>
      <c r="O15" s="34">
        <f>SUMIFS('OB History'!F:F,'OB History'!B:B,A15)</f>
        <v>63</v>
      </c>
      <c r="P15" s="2">
        <f>SUMIFS('OB History'!E:E,'OB History'!B:B,A15)-O15</f>
        <v>59</v>
      </c>
      <c r="Q15" s="88">
        <f>LOOKUP(2, 1/('OB History'!$B:$B=A15), 'OB History'!$AB:$AB)</f>
        <v>0.51</v>
      </c>
      <c r="R15" s="34">
        <f>SUMIFS('OB History'!H:H,'OB History'!B:B,'Old Bow v2'!A15)</f>
        <v>253</v>
      </c>
      <c r="S15" s="2">
        <f>SUMIFS('OB History'!G:G,'OB History'!B:B,'Old Bow v2'!A15)-R15</f>
        <v>248</v>
      </c>
      <c r="T15" s="88">
        <f>LOOKUP(2, 1/('OB History'!$B:$B=A15), 'OB History'!$AC:$AC)</f>
        <v>0.50466666666666671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154</v>
      </c>
      <c r="I18" s="4">
        <f>AVERAGEIFS('OB History'!C:C,'OB History'!B:B,A18)</f>
        <v>14</v>
      </c>
      <c r="J18" s="4">
        <f t="array" ref="J18">MEDIAN(IF('OB History'!B:B=A18, 'OB History'!C:C))</f>
        <v>16</v>
      </c>
      <c r="K18" s="35">
        <f t="array" ref="K18">MAX(IF('OB History'!B:B=A18, 'OB History'!C:C))</f>
        <v>19</v>
      </c>
      <c r="L18" s="34">
        <f>COUNTIFS('OB History'!B:B,A18,'OB History'!D:D, 1)</f>
        <v>2</v>
      </c>
      <c r="M18" s="2">
        <f>COUNTIFS('OB History'!B:B,A18,'OB History'!D:D, 0)</f>
        <v>9</v>
      </c>
      <c r="N18" s="88">
        <f>LOOKUP(2, 1/('OB History'!$B:$B=A18), 'OB History'!$AD:$AD)</f>
        <v>0.18181818181818182</v>
      </c>
      <c r="O18" s="34">
        <f>SUMIFS('OB History'!F:F,'OB History'!B:B,A18)</f>
        <v>12</v>
      </c>
      <c r="P18" s="2">
        <f>SUMIFS('OB History'!E:E,'OB History'!B:B,A18)-O18</f>
        <v>30</v>
      </c>
      <c r="Q18" s="88">
        <f>LOOKUP(2, 1/('OB History'!$B:$B=A18), 'OB History'!$AB:$AB)</f>
        <v>0.25454545454545452</v>
      </c>
      <c r="R18" s="34">
        <f>SUMIFS('OB History'!H:H,'OB History'!B:B,'Old Bow v2'!A18)</f>
        <v>67</v>
      </c>
      <c r="S18" s="2">
        <f>SUMIFS('OB History'!G:G,'OB History'!B:B,'Old Bow v2'!A18)-R18</f>
        <v>111</v>
      </c>
      <c r="T18" s="88">
        <f>LOOKUP(2, 1/('OB History'!$B:$B=A18), 'OB History'!$AC:$AC)</f>
        <v>0.3572727272727273</v>
      </c>
      <c r="U18" s="2">
        <f>COUNTIFS('OB History'!$B:$B,$A$18,'OB History'!K:K, 1)</f>
        <v>1</v>
      </c>
      <c r="V18" s="2">
        <f>COUNTIFS('OB History'!$B:$B,$A$18,'OB History'!L:L, 1)</f>
        <v>0</v>
      </c>
      <c r="W18" s="2">
        <f>COUNTIFS('OB History'!$B:$B,$A$18,'OB History'!M:M, 1)</f>
        <v>2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3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310</v>
      </c>
      <c r="I25" s="4">
        <f>AVERAGEIFS('OB History'!C:C,'OB History'!B:B,A25)</f>
        <v>18.235294117647058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12</v>
      </c>
      <c r="M25" s="2">
        <f>COUNTIFS('OB History'!B:B,A25,'OB History'!D:D, 0)</f>
        <v>5</v>
      </c>
      <c r="N25" s="88">
        <f>LOOKUP(2, 1/('OB History'!$B:$B=A25), 'OB History'!$AD:$AD)</f>
        <v>0.70588235294117652</v>
      </c>
      <c r="O25" s="34">
        <f>SUMIFS('OB History'!F:F,'OB History'!B:B,A25)</f>
        <v>42</v>
      </c>
      <c r="P25" s="2">
        <f>SUMIFS('OB History'!E:E,'OB History'!B:B,A25)-O25</f>
        <v>25</v>
      </c>
      <c r="Q25" s="88">
        <f>LOOKUP(2, 1/('OB History'!$B:$B=A25), 'OB History'!$AB:$AB)</f>
        <v>0.66176470588235292</v>
      </c>
      <c r="R25" s="34">
        <f>SUMIFS('OB History'!H:H,'OB History'!B:B,'Old Bow v2'!A25)</f>
        <v>159</v>
      </c>
      <c r="S25" s="2">
        <f>SUMIFS('OB History'!G:G,'OB History'!B:B,'Old Bow v2'!A25)-R25</f>
        <v>115</v>
      </c>
      <c r="T25" s="88">
        <f>LOOKUP(2, 1/('OB History'!$B:$B=A25), 'OB History'!$AC:$AC)</f>
        <v>0.59235294117647042</v>
      </c>
      <c r="U25" s="2">
        <f>COUNTIFS('OB History'!$B:$B,$A$25,'OB History'!K:K, 1)</f>
        <v>2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4</v>
      </c>
      <c r="Y25" s="2">
        <f>COUNTIFS('OB History'!$B:$B,$A$25,'OB History'!O:O, 1)</f>
        <v>0</v>
      </c>
      <c r="Z25" s="2">
        <f>COUNTIFS('OB History'!$B:$B,$A$25,'OB History'!P:P, 1)</f>
        <v>4</v>
      </c>
      <c r="AA25" s="2">
        <f>COUNTIFS('OB History'!$B:$B,$A$25,'OB History'!Q:Q, 1)</f>
        <v>1</v>
      </c>
      <c r="AB25" s="2">
        <f>COUNTIFS('OB History'!$B:$B,$A$25,'OB History'!R:R, 1)</f>
        <v>1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8</v>
      </c>
      <c r="AI25" s="2">
        <f>COUNTIFS('OB History'!$B:$B,$A$25,'OB History'!Y:Y, 1)</f>
        <v>8</v>
      </c>
      <c r="AJ25" s="2">
        <f>COUNTIFS('OB History'!$B:$B,$A$25,'OB History'!Z:Z, 1)</f>
        <v>4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586</v>
      </c>
      <c r="I26" s="4">
        <f>AVERAGEIFS('OB History'!C:C,'OB History'!B:B,A26)</f>
        <v>10.654545454545454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31</v>
      </c>
      <c r="N26" s="88">
        <f>LOOKUP(2, 1/('OB History'!$B:$B=A26), 'OB History'!$AD:$AD)</f>
        <v>0.43636363636363634</v>
      </c>
      <c r="O26" s="34">
        <f>SUMIFS('OB History'!F:F,'OB History'!B:B,A26)</f>
        <v>107</v>
      </c>
      <c r="P26" s="2">
        <f>SUMIFS('OB History'!E:E,'OB History'!B:B,A26)-O26</f>
        <v>116</v>
      </c>
      <c r="Q26" s="88">
        <f>LOOKUP(2, 1/('OB History'!$B:$B=A26), 'OB History'!$AB:$AB)</f>
        <v>0.47272727272727272</v>
      </c>
      <c r="R26" s="34">
        <f>SUMIFS('OB History'!H:H,'OB History'!B:B,'Old Bow v2'!A26)</f>
        <v>459</v>
      </c>
      <c r="S26" s="2">
        <f>SUMIFS('OB History'!G:G,'OB History'!B:B,'Old Bow v2'!A26)-R26</f>
        <v>466</v>
      </c>
      <c r="T26" s="88">
        <f>LOOKUP(2, 1/('OB History'!$B:$B=A26), 'OB History'!$AC:$AC)</f>
        <v>0.49981818181818177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202</v>
      </c>
      <c r="I27" s="4">
        <f>AVERAGEIFS('OB History'!C:C,'OB History'!B:B,A27)</f>
        <v>20.2</v>
      </c>
      <c r="J27" s="4">
        <f t="array" ref="J27">MEDIAN(IF('OB History'!B:B=A27, 'OB History'!C:C))</f>
        <v>18</v>
      </c>
      <c r="K27" s="35">
        <f t="array" ref="K27">MAX(IF('OB History'!B:B=A27, 'OB History'!C:C))</f>
        <v>36</v>
      </c>
      <c r="L27" s="34">
        <f>COUNTIFS('OB History'!B:B,A27,'OB History'!D:D, 1)</f>
        <v>4</v>
      </c>
      <c r="M27" s="2">
        <f>COUNTIFS('OB History'!B:B,A27,'OB History'!D:D, 0)</f>
        <v>6</v>
      </c>
      <c r="N27" s="88">
        <f>LOOKUP(2, 1/('OB History'!$B:$B=A27), 'OB History'!$AD:$AD)</f>
        <v>0.4</v>
      </c>
      <c r="O27" s="34">
        <f>SUMIFS('OB History'!F:F,'OB History'!B:B,A27)</f>
        <v>17</v>
      </c>
      <c r="P27" s="2">
        <f>SUMIFS('OB History'!E:E,'OB History'!B:B,A27)-O27</f>
        <v>23</v>
      </c>
      <c r="Q27" s="88">
        <f>LOOKUP(2, 1/('OB History'!$B:$B=A27), 'OB History'!$AB:$AB)</f>
        <v>0.4</v>
      </c>
      <c r="R27" s="34">
        <f>SUMIFS('OB History'!H:H,'OB History'!B:B,'Old Bow v2'!A27)</f>
        <v>74</v>
      </c>
      <c r="S27" s="2">
        <f>SUMIFS('OB History'!G:G,'OB History'!B:B,'Old Bow v2'!A27)-R27</f>
        <v>94</v>
      </c>
      <c r="T27" s="88">
        <f>LOOKUP(2, 1/('OB History'!$B:$B=A27), 'OB History'!$AC:$AC)</f>
        <v>0.43200000000000005</v>
      </c>
      <c r="U27" s="2">
        <f>COUNTIFS('OB History'!$B:$B,$A$27,'OB History'!K:K, 1)</f>
        <v>0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4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280</v>
      </c>
      <c r="I28" s="4">
        <f>AVERAGEIFS('OB History'!C:C,'OB History'!B:B,A28)</f>
        <v>11.2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14</v>
      </c>
      <c r="N28" s="88">
        <f>LOOKUP(2, 1/('OB History'!$B:$B=A28), 'OB History'!$AD:$AD)</f>
        <v>0.44</v>
      </c>
      <c r="O28" s="34">
        <f>SUMIFS('OB History'!F:F,'OB History'!B:B,A28)</f>
        <v>47</v>
      </c>
      <c r="P28" s="2">
        <f>SUMIFS('OB History'!E:E,'OB History'!B:B,A28)-O28</f>
        <v>58</v>
      </c>
      <c r="Q28" s="88">
        <f>LOOKUP(2, 1/('OB History'!$B:$B=A28), 'OB History'!$AB:$AB)</f>
        <v>0.43</v>
      </c>
      <c r="R28" s="34">
        <f>SUMIFS('OB History'!H:H,'OB History'!B:B,'Old Bow v2'!A28)</f>
        <v>211</v>
      </c>
      <c r="S28" s="2">
        <f>SUMIFS('OB History'!G:G,'OB History'!B:B,'Old Bow v2'!A28)-R28</f>
        <v>219</v>
      </c>
      <c r="T28" s="88">
        <f>LOOKUP(2, 1/('OB History'!$B:$B=A28), 'OB History'!$AC:$AC)</f>
        <v>0.48759999999999992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4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4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396</v>
      </c>
      <c r="I29" s="4">
        <f>AVERAGEIFS('OB History'!C:C,'OB History'!B:B,A29)</f>
        <v>15.84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16</v>
      </c>
      <c r="N29" s="88">
        <f>LOOKUP(2, 1/('OB History'!$B:$B=A29), 'OB History'!$AD:$AD)</f>
        <v>0.36</v>
      </c>
      <c r="O29" s="34">
        <f>SUMIFS('OB History'!F:F,'OB History'!B:B,A29)</f>
        <v>46</v>
      </c>
      <c r="P29" s="2">
        <f>SUMIFS('OB History'!E:E,'OB History'!B:B,A29)-O29</f>
        <v>62</v>
      </c>
      <c r="Q29" s="88">
        <f>LOOKUP(2, 1/('OB History'!$B:$B=A29), 'OB History'!$AB:$AB)</f>
        <v>0.40200000000000002</v>
      </c>
      <c r="R29" s="34">
        <f>SUMIFS('OB History'!H:H,'OB History'!B:B,'Old Bow v2'!A29)</f>
        <v>209</v>
      </c>
      <c r="S29" s="2">
        <f>SUMIFS('OB History'!G:G,'OB History'!B:B,'Old Bow v2'!A29)-R29</f>
        <v>240</v>
      </c>
      <c r="T29" s="88">
        <f>LOOKUP(2, 1/('OB History'!$B:$B=A29), 'OB History'!$AC:$AC)</f>
        <v>0.45320000000000005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512</v>
      </c>
      <c r="I35" s="4">
        <f>AVERAGEIFS('OB History'!C:C,'OB History'!B:B,A35)</f>
        <v>12.8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21</v>
      </c>
      <c r="M35" s="2">
        <f>COUNTIFS('OB History'!B:B,A35,'OB History'!D:D, 0)</f>
        <v>19</v>
      </c>
      <c r="N35" s="88">
        <f>LOOKUP(2, 1/('OB History'!$B:$B=A35), 'OB History'!$AD:$AD)</f>
        <v>0.52500000000000002</v>
      </c>
      <c r="O35" s="34">
        <f>SUMIFS('OB History'!F:F,'OB History'!B:B,A35)</f>
        <v>84</v>
      </c>
      <c r="P35" s="2">
        <f>SUMIFS('OB History'!E:E,'OB History'!B:B,A35)-O35</f>
        <v>78</v>
      </c>
      <c r="Q35" s="88">
        <f>LOOKUP(2, 1/('OB History'!$B:$B=A35), 'OB History'!$AB:$AB)</f>
        <v>0.52999999999999992</v>
      </c>
      <c r="R35" s="34">
        <f>SUMIFS('OB History'!H:H,'OB History'!B:B,'Old Bow v2'!A35)</f>
        <v>338</v>
      </c>
      <c r="S35" s="2">
        <f>SUMIFS('OB History'!G:G,'OB History'!B:B,'Old Bow v2'!A35)-R35</f>
        <v>328</v>
      </c>
      <c r="T35" s="88">
        <f>LOOKUP(2, 1/('OB History'!$B:$B=A35), 'OB History'!$AC:$AC)</f>
        <v>0.51275000000000004</v>
      </c>
      <c r="U35" s="2">
        <f>COUNTIFS('OB History'!$B:$B,$A$35,'OB History'!K:K, 1)</f>
        <v>2</v>
      </c>
      <c r="V35" s="2">
        <f>COUNTIFS('OB History'!$B:$B,$A$35,'OB History'!L:L, 1)</f>
        <v>9</v>
      </c>
      <c r="W35" s="2">
        <f>COUNTIFS('OB History'!$B:$B,$A$35,'OB History'!M:M, 1)</f>
        <v>2</v>
      </c>
      <c r="X35" s="2">
        <f>COUNTIFS('OB History'!$B:$B,$A$35,'OB History'!N:N, 1)</f>
        <v>9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18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1108</v>
      </c>
      <c r="I36" s="4">
        <f>AVERAGEIFS('OB History'!C:C,'OB History'!B:B,A36)</f>
        <v>23.083333333333332</v>
      </c>
      <c r="J36" s="4">
        <f t="array" ref="J36">MEDIAN(IF('OB History'!B:B=A36, 'OB History'!C:C))</f>
        <v>22.5</v>
      </c>
      <c r="K36" s="35">
        <f t="array" ref="K36">MAX(IF('OB History'!B:B=A36, 'OB History'!C:C))</f>
        <v>55</v>
      </c>
      <c r="L36" s="34">
        <f>COUNTIFS('OB History'!B:B,A36,'OB History'!D:D, 1)</f>
        <v>20</v>
      </c>
      <c r="M36" s="2">
        <f>COUNTIFS('OB History'!B:B,A36,'OB History'!D:D, 0)</f>
        <v>28</v>
      </c>
      <c r="N36" s="88">
        <f>LOOKUP(2, 1/('OB History'!$B:$B=A36), 'OB History'!$AD:$AD)</f>
        <v>0.41666666666666669</v>
      </c>
      <c r="O36" s="34">
        <f>SUMIFS('OB History'!F:F,'OB History'!B:B,A36)</f>
        <v>90</v>
      </c>
      <c r="P36" s="2">
        <f>SUMIFS('OB History'!E:E,'OB History'!B:B,A36)-O36</f>
        <v>105</v>
      </c>
      <c r="Q36" s="88">
        <f>LOOKUP(2, 1/('OB History'!$B:$B=A36), 'OB History'!$AB:$AB)</f>
        <v>0.4645833333333334</v>
      </c>
      <c r="R36" s="34">
        <f>SUMIFS('OB History'!H:H,'OB History'!B:B,'Old Bow v2'!A36)</f>
        <v>396</v>
      </c>
      <c r="S36" s="2">
        <f>SUMIFS('OB History'!G:G,'OB History'!B:B,'Old Bow v2'!A36)-R36</f>
        <v>416</v>
      </c>
      <c r="T36" s="88">
        <f>LOOKUP(2, 1/('OB History'!$B:$B=A36), 'OB History'!$AC:$AC)</f>
        <v>0.49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1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8</v>
      </c>
      <c r="AJ36" s="2">
        <f>COUNTIFS('OB History'!$B:$B,$A$36,'OB History'!Z:Z, 1)</f>
        <v>11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2</v>
      </c>
      <c r="F39" s="3">
        <v>1</v>
      </c>
      <c r="G39" s="3"/>
      <c r="H39" s="34">
        <f>SUMIFS('OB History'!C:C,'OB History'!B:B,A39)</f>
        <v>1887</v>
      </c>
      <c r="I39" s="4">
        <f>AVERAGEIFS('OB History'!C:C,'OB History'!B:B,A39)</f>
        <v>26.208333333333332</v>
      </c>
      <c r="J39" s="4">
        <f t="array" ref="J39">MEDIAN(IF('OB History'!B:B=A39, 'OB History'!C:C))</f>
        <v>24.5</v>
      </c>
      <c r="K39" s="35">
        <f t="array" ref="K39">MAX(IF('OB History'!B:B=A39, 'OB History'!C:C))</f>
        <v>58</v>
      </c>
      <c r="L39" s="34">
        <f>COUNTIFS('OB History'!B:B,A39,'OB History'!D:D, 1)</f>
        <v>43</v>
      </c>
      <c r="M39" s="2">
        <f>COUNTIFS('OB History'!B:B,A39,'OB History'!D:D, 0)</f>
        <v>29</v>
      </c>
      <c r="N39" s="88">
        <f>LOOKUP(2, 1/('OB History'!$B:$B=A39), 'OB History'!$AD:$AD)</f>
        <v>0.59722222222222221</v>
      </c>
      <c r="O39" s="34">
        <f>SUMIFS('OB History'!F:F,'OB History'!B:B,A39)</f>
        <v>163</v>
      </c>
      <c r="P39" s="2">
        <f>SUMIFS('OB History'!E:E,'OB History'!B:B,A39)-O39</f>
        <v>129</v>
      </c>
      <c r="Q39" s="88">
        <f>LOOKUP(2, 1/('OB History'!$B:$B=A39), 'OB History'!$AB:$AB)</f>
        <v>0.56111111111111112</v>
      </c>
      <c r="R39" s="34">
        <f>SUMIFS('OB History'!H:H,'OB History'!B:B,'Old Bow v2'!A39)</f>
        <v>643</v>
      </c>
      <c r="S39" s="2">
        <f>SUMIFS('OB History'!G:G,'OB History'!B:B,'Old Bow v2'!A39)-R39</f>
        <v>556</v>
      </c>
      <c r="T39" s="88">
        <f>LOOKUP(2, 1/('OB History'!$B:$B=A39), 'OB History'!$AC:$AC)</f>
        <v>0.53847222222222224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6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15</v>
      </c>
      <c r="AJ39" s="2">
        <f>COUNTIFS('OB History'!$B:$B,$A$39,'OB History'!Z:Z, 1)</f>
        <v>18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596</v>
      </c>
      <c r="I40" s="4">
        <f>AVERAGEIFS('OB History'!C:C,'OB History'!B:B,A40)</f>
        <v>28.38095238095238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11</v>
      </c>
      <c r="M40" s="2">
        <f>COUNTIFS('OB History'!B:B,A40,'OB History'!D:D, 0)</f>
        <v>10</v>
      </c>
      <c r="N40" s="88">
        <f>LOOKUP(2, 1/('OB History'!$B:$B=A40), 'OB History'!$AD:$AD)</f>
        <v>0.52380952380952384</v>
      </c>
      <c r="O40" s="34">
        <f>SUMIFS('OB History'!F:F,'OB History'!B:B,A40)</f>
        <v>49</v>
      </c>
      <c r="P40" s="2">
        <f>SUMIFS('OB History'!E:E,'OB History'!B:B,A40)-O40</f>
        <v>38</v>
      </c>
      <c r="Q40" s="88">
        <f>LOOKUP(2, 1/('OB History'!$B:$B=A40), 'OB History'!$AB:$AB)</f>
        <v>0.59523809523809534</v>
      </c>
      <c r="R40" s="34">
        <f>SUMIFS('OB History'!H:H,'OB History'!B:B,'Old Bow v2'!A40)</f>
        <v>198</v>
      </c>
      <c r="S40" s="2">
        <f>SUMIFS('OB History'!G:G,'OB History'!B:B,'Old Bow v2'!A40)-R40</f>
        <v>171</v>
      </c>
      <c r="T40" s="88">
        <f>LOOKUP(2, 1/('OB History'!$B:$B=A40), 'OB History'!$AC:$AC)</f>
        <v>0.54999999999999993</v>
      </c>
      <c r="U40" s="2">
        <f>COUNTIFS('OB History'!$B:$B,$A$40,'OB History'!K:K, 1)</f>
        <v>3</v>
      </c>
      <c r="V40" s="2">
        <f>COUNTIFS('OB History'!$B:$B,$A$40,'OB History'!L:L, 1)</f>
        <v>5</v>
      </c>
      <c r="W40" s="2">
        <f>COUNTIFS('OB History'!$B:$B,$A$40,'OB History'!M:M, 1)</f>
        <v>2</v>
      </c>
      <c r="X40" s="2">
        <f>COUNTIFS('OB History'!$B:$B,$A$40,'OB History'!N:N, 1)</f>
        <v>10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5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14</v>
      </c>
      <c r="N42" s="88">
        <f>LOOKUP(2, 1/('OB History'!$B:$B=A42), 'OB History'!$AD:$AD)</f>
        <v>0.44</v>
      </c>
      <c r="O42" s="34">
        <f>SUMIFS('OB History'!F:F,'OB History'!B:B,A42)</f>
        <v>48</v>
      </c>
      <c r="P42" s="2">
        <f>SUMIFS('OB History'!E:E,'OB History'!B:B,A42)-O42</f>
        <v>56</v>
      </c>
      <c r="Q42" s="88">
        <f>LOOKUP(2, 1/('OB History'!$B:$B=A42), 'OB History'!$AB:$AB)</f>
        <v>0.45799999999999996</v>
      </c>
      <c r="R42" s="34">
        <f>SUMIFS('OB History'!H:H,'OB History'!B:B,'Old Bow v2'!A42)</f>
        <v>210</v>
      </c>
      <c r="S42" s="2">
        <f>SUMIFS('OB History'!G:G,'OB History'!B:B,'Old Bow v2'!A42)-R42</f>
        <v>222</v>
      </c>
      <c r="T42" s="88">
        <f>LOOKUP(2, 1/('OB History'!$B:$B=A42), 'OB History'!$AC:$AC)</f>
        <v>0.48080000000000001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2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5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140</v>
      </c>
      <c r="I43" s="4">
        <f>AVERAGEIFS('OB History'!C:C,'OB History'!B:B,A43)</f>
        <v>7.7777777777777777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10</v>
      </c>
      <c r="N43" s="88">
        <f>LOOKUP(2, 1/('OB History'!$B:$B=A43), 'OB History'!$AD:$AD)</f>
        <v>0.44444444444444442</v>
      </c>
      <c r="O43" s="34">
        <f>SUMIFS('OB History'!F:F,'OB History'!B:B,A43)</f>
        <v>32</v>
      </c>
      <c r="P43" s="2">
        <f>SUMIFS('OB History'!E:E,'OB History'!B:B,A43)-O43</f>
        <v>38</v>
      </c>
      <c r="Q43" s="88">
        <f>LOOKUP(2, 1/('OB History'!$B:$B=A43), 'OB History'!$AB:$AB)</f>
        <v>0.43055555555555558</v>
      </c>
      <c r="R43" s="34">
        <f>SUMIFS('OB History'!H:H,'OB History'!B:B,'Old Bow v2'!A43)</f>
        <v>135</v>
      </c>
      <c r="S43" s="2">
        <f>SUMIFS('OB History'!G:G,'OB History'!B:B,'Old Bow v2'!A43)-R43</f>
        <v>152</v>
      </c>
      <c r="T43" s="88">
        <f>LOOKUP(2, 1/('OB History'!$B:$B=A43), 'OB History'!$AC:$AC)</f>
        <v>0.46166666666666667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3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3</v>
      </c>
      <c r="AJ43" s="2">
        <f>COUNTIFS('OB History'!$B:$B,$A$43,'OB History'!Z:Z, 1)</f>
        <v>4</v>
      </c>
    </row>
    <row r="44" spans="1:36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259</v>
      </c>
      <c r="I44" s="4">
        <f>AVERAGEIFS('OB History'!C:C,'OB History'!B:B,A44)</f>
        <v>16.1875</v>
      </c>
      <c r="J44" s="4">
        <f t="array" ref="J44">MEDIAN(IF('OB History'!B:B=A44, 'OB History'!C:C))</f>
        <v>16</v>
      </c>
      <c r="K44" s="35">
        <f t="array" ref="K44">MAX(IF('OB History'!B:B=A44, 'OB History'!C:C))</f>
        <v>33</v>
      </c>
      <c r="L44" s="34">
        <f>COUNTIFS('OB History'!B:B,A44,'OB History'!D:D, 1)</f>
        <v>6</v>
      </c>
      <c r="M44" s="2">
        <f>COUNTIFS('OB History'!B:B,A44,'OB History'!D:D, 0)</f>
        <v>10</v>
      </c>
      <c r="N44" s="88">
        <f>LOOKUP(2, 1/('OB History'!$B:$B=A44), 'OB History'!$AD:$AD)</f>
        <v>0.375</v>
      </c>
      <c r="O44" s="34">
        <f>SUMIFS('OB History'!F:F,'OB History'!B:B,A44)</f>
        <v>28</v>
      </c>
      <c r="P44" s="2">
        <f>SUMIFS('OB History'!E:E,'OB History'!B:B,A44)-O44</f>
        <v>36</v>
      </c>
      <c r="Q44" s="88">
        <f>LOOKUP(2, 1/('OB History'!$B:$B=A44), 'OB History'!$AB:$AB)</f>
        <v>0.44062499999999999</v>
      </c>
      <c r="R44" s="34">
        <f>SUMIFS('OB History'!H:H,'OB History'!B:B,'Old Bow v2'!A44)</f>
        <v>129</v>
      </c>
      <c r="S44" s="2">
        <f>SUMIFS('OB History'!G:G,'OB History'!B:B,'Old Bow v2'!A44)-R44</f>
        <v>138</v>
      </c>
      <c r="T44" s="88">
        <f>LOOKUP(2, 1/('OB History'!$B:$B=A44), 'OB History'!$AC:$AC)</f>
        <v>0.48500000000000004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0</v>
      </c>
      <c r="X44" s="2">
        <f>COUNTIFS('OB History'!$B:$B,$A$44,'OB History'!N:N, 1)</f>
        <v>4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2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3</v>
      </c>
      <c r="AI44" s="2">
        <f>COUNTIFS('OB History'!$B:$B,$A$44,'OB History'!Y:Y, 1)</f>
        <v>3</v>
      </c>
      <c r="AJ44" s="2">
        <f>COUNTIFS('OB History'!$B:$B,$A$44,'OB History'!Z:Z, 1)</f>
        <v>3</v>
      </c>
    </row>
    <row r="45" spans="1:36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4">
        <f t="array" ref="J45">MEDIAN(IF('OB History'!B:B=A45, 'OB History'!C:C))</f>
        <v>4</v>
      </c>
      <c r="K45" s="35">
        <f t="array" ref="K45">MAX(IF('OB History'!B:B=A45, 'OB History'!C:C))</f>
        <v>4</v>
      </c>
      <c r="L45" s="34">
        <f>COUNTIFS('OB History'!B:B,A45,'OB History'!D:D, 1)</f>
        <v>0</v>
      </c>
      <c r="M45" s="2">
        <f>COUNTIFS('OB History'!B:B,A45,'OB History'!D:D, 0)</f>
        <v>1</v>
      </c>
      <c r="N45" s="88">
        <f>LOOKUP(2, 1/('OB History'!$B:$B=A45), 'OB History'!$AD:$AD)</f>
        <v>0</v>
      </c>
      <c r="O45" s="34">
        <f>SUMIFS('OB History'!F:F,'OB History'!B:B,A45)</f>
        <v>2</v>
      </c>
      <c r="P45" s="2">
        <f>SUMIFS('OB History'!E:E,'OB History'!B:B,A45)-O45</f>
        <v>3</v>
      </c>
      <c r="Q45" s="88">
        <f>LOOKUP(2, 1/('OB History'!$B:$B=A45), 'OB History'!$AB:$AB)</f>
        <v>0.4</v>
      </c>
      <c r="R45" s="34">
        <f>SUMIFS('OB History'!H:H,'OB History'!B:B,'Old Bow v2'!A45)</f>
        <v>8</v>
      </c>
      <c r="S45" s="2">
        <f>SUMIFS('OB History'!G:G,'OB History'!B:B,'Old Bow v2'!A45)-R45</f>
        <v>10</v>
      </c>
      <c r="T45" s="88">
        <f>LOOKUP(2, 1/('OB History'!$B:$B=A45), 'OB History'!$AC:$AC)</f>
        <v>0.44</v>
      </c>
      <c r="U45" s="2">
        <f>COUNTIFS('OB History'!$B:$B,$A$45,'OB History'!K:K, 1)</f>
        <v>1</v>
      </c>
      <c r="V45" s="2">
        <f>COUNTIFS('OB History'!$B:$B,$A$45,'OB History'!L:L, 1)</f>
        <v>0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1</v>
      </c>
      <c r="AA45" s="2">
        <f>COUNTIFS('OB History'!$B:$B,$A$45,'OB History'!Q:Q, 1)</f>
        <v>0</v>
      </c>
      <c r="AB45" s="2">
        <f>COUNTIFS('OB History'!$B:$B,$A$45,'OB History'!R:R, 1)</f>
        <v>0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0</v>
      </c>
      <c r="AI45" s="2">
        <f>COUNTIFS('OB History'!$B:$B,$A$45,'OB History'!Y:Y, 1)</f>
        <v>0</v>
      </c>
      <c r="AJ45" s="2">
        <f>COUNTIFS('OB History'!$B:$B,$A$45,'OB History'!Z:Z, 1)</f>
        <v>0</v>
      </c>
    </row>
    <row r="46" spans="1:36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4">
        <f t="array" ref="J46">MEDIAN(IF('OB History'!B:B=A46, 'OB History'!C:C))</f>
        <v>17.5</v>
      </c>
      <c r="K46" s="35">
        <f t="array" ref="K46">MAX(IF('OB History'!B:B=A46, 'OB History'!C:C))</f>
        <v>40</v>
      </c>
      <c r="L46" s="34">
        <f>COUNTIFS('OB History'!B:B,A46,'OB History'!D:D, 1)</f>
        <v>8</v>
      </c>
      <c r="M46" s="2">
        <f>COUNTIFS('OB History'!B:B,A46,'OB History'!D:D, 0)</f>
        <v>10</v>
      </c>
      <c r="N46" s="88">
        <f>LOOKUP(2, 1/('OB History'!$B:$B=A46), 'OB History'!$AD:$AD)</f>
        <v>0.44444444444444442</v>
      </c>
      <c r="O46" s="34">
        <f>SUMIFS('OB History'!F:F,'OB History'!B:B,A46)</f>
        <v>37</v>
      </c>
      <c r="P46" s="2">
        <f>SUMIFS('OB History'!E:E,'OB History'!B:B,A46)-O46</f>
        <v>38</v>
      </c>
      <c r="Q46" s="88">
        <f>LOOKUP(2, 1/('OB History'!$B:$B=A46), 'OB History'!$AB:$AB)</f>
        <v>0.50277777777777777</v>
      </c>
      <c r="R46" s="34">
        <f>SUMIFS('OB History'!H:H,'OB History'!B:B,'Old Bow v2'!A46)</f>
        <v>146</v>
      </c>
      <c r="S46" s="2">
        <f>SUMIFS('OB History'!G:G,'OB History'!B:B,'Old Bow v2'!A46)-R46</f>
        <v>162</v>
      </c>
      <c r="T46" s="88">
        <f>LOOKUP(2, 1/('OB History'!$B:$B=A46), 'OB History'!$AC:$AC)</f>
        <v>0.47</v>
      </c>
      <c r="U46" s="2">
        <f>COUNTIFS('OB History'!$B:$B,$A$46,'OB History'!K:K, 1)</f>
        <v>4</v>
      </c>
      <c r="V46" s="2">
        <f>COUNTIFS('OB History'!$B:$B,$A$46,'OB History'!L:L, 1)</f>
        <v>2</v>
      </c>
      <c r="W46" s="2">
        <f>COUNTIFS('OB History'!$B:$B,$A$46,'OB History'!M:M, 1)</f>
        <v>4</v>
      </c>
      <c r="X46" s="2">
        <f>COUNTIFS('OB History'!$B:$B,$A$46,'OB History'!N:N, 1)</f>
        <v>3</v>
      </c>
      <c r="Y46" s="2">
        <f>COUNTIFS('OB History'!$B:$B,$A$46,'OB History'!O:O, 1)</f>
        <v>2</v>
      </c>
      <c r="Z46" s="2">
        <f>COUNTIFS('OB History'!$B:$B,$A$46,'OB History'!P:P, 1)</f>
        <v>2</v>
      </c>
      <c r="AA46" s="2">
        <f>COUNTIFS('OB History'!$B:$B,$A$46,'OB History'!Q:Q, 1)</f>
        <v>2</v>
      </c>
      <c r="AB46" s="2">
        <f>COUNTIFS('OB History'!$B:$B,$A$46,'OB History'!R:R, 1)</f>
        <v>0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6</v>
      </c>
      <c r="AI46" s="2">
        <f>COUNTIFS('OB History'!$B:$B,$A$46,'OB History'!Y:Y, 1)</f>
        <v>5</v>
      </c>
      <c r="AJ46" s="2">
        <f>COUNTIFS('OB History'!$B:$B,$A$46,'OB History'!Z:Z, 1)</f>
        <v>5</v>
      </c>
    </row>
    <row r="47" spans="1:36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4">
        <f t="array" ref="J47">MEDIAN(IF('OB History'!B:B=A47, 'OB History'!C:C))</f>
        <v>15.5</v>
      </c>
      <c r="K47" s="35">
        <f t="array" ref="K47">MAX(IF('OB History'!B:B=A47, 'OB History'!C:C))</f>
        <v>35</v>
      </c>
      <c r="L47" s="34">
        <f>COUNTIFS('OB History'!B:B,A47,'OB History'!D:D, 1)</f>
        <v>4</v>
      </c>
      <c r="M47" s="2">
        <f>COUNTIFS('OB History'!B:B,A47,'OB History'!D:D, 0)</f>
        <v>8</v>
      </c>
      <c r="N47" s="88">
        <f>LOOKUP(2, 1/('OB History'!$B:$B=A47), 'OB History'!$AD:$AD)</f>
        <v>0.33333333333333331</v>
      </c>
      <c r="O47" s="34">
        <f>SUMIFS('OB History'!F:F,'OB History'!B:B,A47)</f>
        <v>20</v>
      </c>
      <c r="P47" s="2">
        <f>SUMIFS('OB History'!E:E,'OB History'!B:B,A47)-O47</f>
        <v>28</v>
      </c>
      <c r="Q47" s="88">
        <f>LOOKUP(2, 1/('OB History'!$B:$B=A47), 'OB History'!$AB:$AB)</f>
        <v>0.39166666666666666</v>
      </c>
      <c r="R47" s="34">
        <f>SUMIFS('OB History'!H:H,'OB History'!B:B,'Old Bow v2'!A47)</f>
        <v>92</v>
      </c>
      <c r="S47" s="2">
        <f>SUMIFS('OB History'!G:G,'OB History'!B:B,'Old Bow v2'!A47)-R47</f>
        <v>106</v>
      </c>
      <c r="T47" s="88">
        <f>LOOKUP(2, 1/('OB History'!$B:$B=A47), 'OB History'!$AC:$AC)</f>
        <v>0.45083333333333342</v>
      </c>
      <c r="U47" s="2">
        <f>COUNTIFS('OB History'!$B:$B,$A$47,'OB History'!K:K, 1)</f>
        <v>4</v>
      </c>
      <c r="V47" s="2">
        <f>COUNTIFS('OB History'!$B:$B,$A$47,'OB History'!L:L, 1)</f>
        <v>1</v>
      </c>
      <c r="W47" s="2">
        <f>COUNTIFS('OB History'!$B:$B,$A$47,'OB History'!M:M, 1)</f>
        <v>2</v>
      </c>
      <c r="X47" s="2">
        <f>COUNTIFS('OB History'!$B:$B,$A$47,'OB History'!N:N, 1)</f>
        <v>2</v>
      </c>
      <c r="Y47" s="2">
        <f>COUNTIFS('OB History'!$B:$B,$A$47,'OB History'!O:O, 1)</f>
        <v>1</v>
      </c>
      <c r="Z47" s="2">
        <f>COUNTIFS('OB History'!$B:$B,$A$47,'OB History'!P:P, 1)</f>
        <v>3</v>
      </c>
      <c r="AA47" s="2">
        <f>COUNTIFS('OB History'!$B:$B,$A$47,'OB History'!Q:Q, 1)</f>
        <v>1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2</v>
      </c>
      <c r="AI47" s="2">
        <f>COUNTIFS('OB History'!$B:$B,$A$47,'OB History'!Y:Y, 1)</f>
        <v>2</v>
      </c>
      <c r="AJ47" s="2">
        <f>COUNTIFS('OB History'!$B:$B,$A$47,'OB History'!Z:Z, 1)</f>
        <v>1</v>
      </c>
    </row>
    <row r="48" spans="1:36" ht="14.25" customHeight="1" x14ac:dyDescent="0.25">
      <c r="A48" s="2" t="s">
        <v>17</v>
      </c>
      <c r="B48" s="2" t="s">
        <v>79</v>
      </c>
      <c r="C48" s="2" t="s">
        <v>79</v>
      </c>
      <c r="D48" s="3">
        <v>17</v>
      </c>
      <c r="E48" s="3">
        <v>3</v>
      </c>
      <c r="F48" s="3"/>
      <c r="G48" s="3"/>
      <c r="H48" s="34">
        <f>SUMIFS('OB History'!C:C,'OB History'!B:B,A48)</f>
        <v>1549</v>
      </c>
      <c r="I48" s="4">
        <f>AVERAGEIFS('OB History'!C:C,'OB History'!B:B,A48)</f>
        <v>25.393442622950818</v>
      </c>
      <c r="J48" s="4">
        <f t="array" ref="J48">MEDIAN(IF('OB History'!B:B=A48, 'OB History'!C:C))</f>
        <v>23</v>
      </c>
      <c r="K48" s="35">
        <f t="array" ref="K48">MAX(IF('OB History'!B:B=A48, 'OB History'!C:C))</f>
        <v>58</v>
      </c>
      <c r="L48" s="34">
        <f>COUNTIFS('OB History'!B:B,A48,'OB History'!D:D, 1)</f>
        <v>24</v>
      </c>
      <c r="M48" s="2">
        <f>COUNTIFS('OB History'!B:B,A48,'OB History'!D:D, 0)</f>
        <v>37</v>
      </c>
      <c r="N48" s="88">
        <f>LOOKUP(2, 1/('OB History'!$B:$B=A48), 'OB History'!$AD:$AD)</f>
        <v>0.39344262295081966</v>
      </c>
      <c r="O48" s="34">
        <f>SUMIFS('OB History'!F:F,'OB History'!B:B,A48)</f>
        <v>114</v>
      </c>
      <c r="P48" s="2">
        <f>SUMIFS('OB History'!E:E,'OB History'!B:B,A48)-O48</f>
        <v>134</v>
      </c>
      <c r="Q48" s="88">
        <f>LOOKUP(2, 1/('OB History'!$B:$B=A48), 'OB History'!$AB:$AB)</f>
        <v>0.45983606557377055</v>
      </c>
      <c r="R48" s="34">
        <f>SUMIFS('OB History'!H:H,'OB History'!B:B,'Old Bow v2'!A48)</f>
        <v>502</v>
      </c>
      <c r="S48" s="2">
        <f>SUMIFS('OB History'!G:G,'OB History'!B:B,'Old Bow v2'!A48)-R48</f>
        <v>523</v>
      </c>
      <c r="T48" s="88">
        <f>LOOKUP(2, 1/('OB History'!$B:$B=A48), 'OB History'!$AC:$AC)</f>
        <v>0.49360655737704895</v>
      </c>
      <c r="U48" s="2">
        <f>COUNTIFS('OB History'!$B:$B,$A$48,'OB History'!K:K, 1)</f>
        <v>7</v>
      </c>
      <c r="V48" s="2">
        <f>COUNTIFS('OB History'!$B:$B,$A$48,'OB History'!L:L, 1)</f>
        <v>9</v>
      </c>
      <c r="W48" s="2">
        <f>COUNTIFS('OB History'!$B:$B,$A$48,'OB History'!M:M, 1)</f>
        <v>3</v>
      </c>
      <c r="X48" s="2">
        <f>COUNTIFS('OB History'!$B:$B,$A$48,'OB History'!N:N, 1)</f>
        <v>11</v>
      </c>
      <c r="Y48" s="2">
        <f>COUNTIFS('OB History'!$B:$B,$A$48,'OB History'!O:O, 1)</f>
        <v>1</v>
      </c>
      <c r="Z48" s="2">
        <f>COUNTIFS('OB History'!$B:$B,$A$48,'OB History'!P:P, 1)</f>
        <v>11</v>
      </c>
      <c r="AA48" s="2">
        <f>COUNTIFS('OB History'!$B:$B,$A$48,'OB History'!Q:Q, 1)</f>
        <v>5</v>
      </c>
      <c r="AB48" s="2">
        <f>COUNTIFS('OB History'!$B:$B,$A$48,'OB History'!R:R, 1)</f>
        <v>6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3</v>
      </c>
      <c r="AG48" s="2">
        <f>COUNTIFS('OB History'!$B:$B,$A$48,'OB History'!W:W, 1)</f>
        <v>7</v>
      </c>
      <c r="AH48" s="2">
        <f>COUNTIFS('OB History'!$B:$B,$A$48,'OB History'!X:X, 1)</f>
        <v>22</v>
      </c>
      <c r="AI48" s="2">
        <f>COUNTIFS('OB History'!$B:$B,$A$48,'OB History'!Y:Y, 1)</f>
        <v>8</v>
      </c>
      <c r="AJ48" s="2">
        <f>COUNTIFS('OB History'!$B:$B,$A$48,'OB History'!Z:Z, 1)</f>
        <v>17</v>
      </c>
    </row>
    <row r="49" spans="1:36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616</v>
      </c>
      <c r="I49" s="4">
        <f>AVERAGEIFS('OB History'!C:C,'OB History'!B:B,A49)</f>
        <v>18.117647058823529</v>
      </c>
      <c r="J49" s="4">
        <f t="array" ref="J49">MEDIAN(IF('OB History'!B:B=A49, 'OB History'!C:C))</f>
        <v>17.5</v>
      </c>
      <c r="K49" s="35">
        <f t="array" ref="K49">MAX(IF('OB History'!B:B=A49, 'OB History'!C:C))</f>
        <v>43</v>
      </c>
      <c r="L49" s="34">
        <f>COUNTIFS('OB History'!B:B,A49,'OB History'!D:D, 1)</f>
        <v>13</v>
      </c>
      <c r="M49" s="2">
        <f>COUNTIFS('OB History'!B:B,A49,'OB History'!D:D, 0)</f>
        <v>21</v>
      </c>
      <c r="N49" s="88">
        <f>LOOKUP(2, 1/('OB History'!$B:$B=A49), 'OB History'!$AD:$AD)</f>
        <v>0.38235294117647056</v>
      </c>
      <c r="O49" s="34">
        <f>SUMIFS('OB History'!F:F,'OB History'!B:B,A49)</f>
        <v>61</v>
      </c>
      <c r="P49" s="2">
        <f>SUMIFS('OB History'!E:E,'OB History'!B:B,A49)-O49</f>
        <v>81</v>
      </c>
      <c r="Q49" s="88">
        <f>LOOKUP(2, 1/('OB History'!$B:$B=A49), 'OB History'!$AB:$AB)</f>
        <v>0.41029411764705881</v>
      </c>
      <c r="R49" s="34">
        <f>SUMIFS('OB History'!H:H,'OB History'!B:B,'Old Bow v2'!A49)</f>
        <v>283</v>
      </c>
      <c r="S49" s="2">
        <f>SUMIFS('OB History'!G:G,'OB History'!B:B,'Old Bow v2'!A49)-R49</f>
        <v>302</v>
      </c>
      <c r="T49" s="88">
        <f>LOOKUP(2, 1/('OB History'!$B:$B=A49), 'OB History'!$AC:$AC)</f>
        <v>0.47264705882352942</v>
      </c>
      <c r="U49" s="2">
        <f>COUNTIFS('OB History'!$B:$B,$A$49,'OB History'!K:K, 1)</f>
        <v>4</v>
      </c>
      <c r="V49" s="2">
        <f>COUNTIFS('OB History'!$B:$B,$A$49,'OB History'!L:L, 1)</f>
        <v>4</v>
      </c>
      <c r="W49" s="2">
        <f>COUNTIFS('OB History'!$B:$B,$A$49,'OB History'!M:M, 1)</f>
        <v>3</v>
      </c>
      <c r="X49" s="2">
        <f>COUNTIFS('OB History'!$B:$B,$A$49,'OB History'!N:N, 1)</f>
        <v>10</v>
      </c>
      <c r="Y49" s="2">
        <f>COUNTIFS('OB History'!$B:$B,$A$49,'OB History'!O:O, 1)</f>
        <v>4</v>
      </c>
      <c r="Z49" s="2">
        <f>COUNTIFS('OB History'!$B:$B,$A$49,'OB History'!P:P, 1)</f>
        <v>7</v>
      </c>
      <c r="AA49" s="2">
        <f>COUNTIFS('OB History'!$B:$B,$A$49,'OB History'!Q:Q, 1)</f>
        <v>1</v>
      </c>
      <c r="AB49" s="2">
        <f>COUNTIFS('OB History'!$B:$B,$A$49,'OB History'!R:R, 1)</f>
        <v>2</v>
      </c>
      <c r="AC49" s="2">
        <f>COUNTIFS('OB History'!$B:$B,$A$49,'OB History'!S:S, 1)</f>
        <v>1</v>
      </c>
      <c r="AD49" s="2">
        <f>COUNTIFS('OB History'!$B:$B,$A$49,'OB History'!T:T, 1)</f>
        <v>3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5</v>
      </c>
      <c r="AH49" s="2">
        <f>COUNTIFS('OB History'!$B:$B,$A$49,'OB History'!X:X, 1)</f>
        <v>7</v>
      </c>
      <c r="AI49" s="2">
        <f>COUNTIFS('OB History'!$B:$B,$A$49,'OB History'!Y:Y, 1)</f>
        <v>5</v>
      </c>
      <c r="AJ49" s="2">
        <f>COUNTIFS('OB History'!$B:$B,$A$49,'OB History'!Z:Z, 1)</f>
        <v>4</v>
      </c>
    </row>
    <row r="50" spans="1:36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794</v>
      </c>
      <c r="I50" s="4">
        <f>AVERAGEIFS('OB History'!C:C,'OB History'!B:B,A50)</f>
        <v>24.060606060606062</v>
      </c>
      <c r="J50" s="4">
        <f t="array" ref="J50">MEDIAN(IF('OB History'!B:B=A50, 'OB History'!C:C))</f>
        <v>19</v>
      </c>
      <c r="K50" s="35">
        <f t="array" ref="K50">MAX(IF('OB History'!B:B=A50, 'OB History'!C:C))</f>
        <v>66</v>
      </c>
      <c r="L50" s="34">
        <f>COUNTIFS('OB History'!B:B,A50,'OB History'!D:D, 1)</f>
        <v>23</v>
      </c>
      <c r="M50" s="2">
        <f>COUNTIFS('OB History'!B:B,A50,'OB History'!D:D, 0)</f>
        <v>10</v>
      </c>
      <c r="N50" s="88">
        <f>LOOKUP(2, 1/('OB History'!$B:$B=A50), 'OB History'!$AD:$AD)</f>
        <v>0.69696969696969702</v>
      </c>
      <c r="O50" s="34">
        <f>SUMIFS('OB History'!F:F,'OB History'!B:B,A50)</f>
        <v>81</v>
      </c>
      <c r="P50" s="2">
        <f>SUMIFS('OB History'!E:E,'OB History'!B:B,A50)-O50</f>
        <v>52</v>
      </c>
      <c r="Q50" s="88">
        <f>LOOKUP(2, 1/('OB History'!$B:$B=A50), 'OB History'!$AB:$AB)</f>
        <v>0.63030303030303036</v>
      </c>
      <c r="R50" s="34">
        <f>SUMIFS('OB History'!H:H,'OB History'!B:B,'Old Bow v2'!A50)</f>
        <v>310</v>
      </c>
      <c r="S50" s="2">
        <f>SUMIFS('OB History'!G:G,'OB History'!B:B,'Old Bow v2'!A50)-R50</f>
        <v>250</v>
      </c>
      <c r="T50" s="88">
        <f>LOOKUP(2, 1/('OB History'!$B:$B=A50), 'OB History'!$AC:$AC)</f>
        <v>0.56333333333333335</v>
      </c>
      <c r="U50" s="2">
        <f>COUNTIFS('OB History'!$B:$B,$A$50,'OB History'!K:K, 1)</f>
        <v>3</v>
      </c>
      <c r="V50" s="2">
        <f>COUNTIFS('OB History'!$B:$B,$A$50,'OB History'!L:L, 1)</f>
        <v>8</v>
      </c>
      <c r="W50" s="2">
        <f>COUNTIFS('OB History'!$B:$B,$A$50,'OB History'!M:M, 1)</f>
        <v>8</v>
      </c>
      <c r="X50" s="2">
        <f>COUNTIFS('OB History'!$B:$B,$A$50,'OB History'!N:N, 1)</f>
        <v>6</v>
      </c>
      <c r="Y50" s="2">
        <f>COUNTIFS('OB History'!$B:$B,$A$50,'OB History'!O:O, 1)</f>
        <v>3</v>
      </c>
      <c r="Z50" s="2">
        <f>COUNTIFS('OB History'!$B:$B,$A$50,'OB History'!P:P, 1)</f>
        <v>9</v>
      </c>
      <c r="AA50" s="2">
        <f>COUNTIFS('OB History'!$B:$B,$A$50,'OB History'!Q:Q, 1)</f>
        <v>4</v>
      </c>
      <c r="AB50" s="2">
        <f>COUNTIFS('OB History'!$B:$B,$A$50,'OB History'!R:R, 1)</f>
        <v>2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7</v>
      </c>
      <c r="AH50" s="2">
        <f>COUNTIFS('OB History'!$B:$B,$A$50,'OB History'!X:X, 1)</f>
        <v>10</v>
      </c>
      <c r="AI50" s="2">
        <f>COUNTIFS('OB History'!$B:$B,$A$50,'OB History'!Y:Y, 1)</f>
        <v>6</v>
      </c>
      <c r="AJ50" s="2">
        <f>COUNTIFS('OB History'!$B:$B,$A$50,'OB History'!Z:Z, 1)</f>
        <v>10</v>
      </c>
    </row>
    <row r="51" spans="1:36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968</v>
      </c>
      <c r="I51" s="4">
        <f>AVERAGEIFS('OB History'!C:C,'OB History'!B:B,A51)</f>
        <v>26.162162162162161</v>
      </c>
      <c r="J51" s="4">
        <f t="array" ref="J51">MEDIAN(IF('OB History'!B:B=A51, 'OB History'!C:C))</f>
        <v>25</v>
      </c>
      <c r="K51" s="35">
        <f t="array" ref="K51">MAX(IF('OB History'!B:B=A51, 'OB History'!C:C))</f>
        <v>58</v>
      </c>
      <c r="L51" s="34">
        <f>COUNTIFS('OB History'!B:B,A51,'OB History'!D:D, 1)</f>
        <v>18</v>
      </c>
      <c r="M51" s="2">
        <f>COUNTIFS('OB History'!B:B,A51,'OB History'!D:D, 0)</f>
        <v>19</v>
      </c>
      <c r="N51" s="88">
        <f>LOOKUP(2, 1/('OB History'!$B:$B=A51), 'OB History'!$AD:$AD)</f>
        <v>0.48648648648648651</v>
      </c>
      <c r="O51" s="34">
        <f>SUMIFS('OB History'!F:F,'OB History'!B:B,A51)</f>
        <v>75</v>
      </c>
      <c r="P51" s="2">
        <f>SUMIFS('OB History'!E:E,'OB History'!B:B,A51)-O51</f>
        <v>78</v>
      </c>
      <c r="Q51" s="88">
        <f>LOOKUP(2, 1/('OB History'!$B:$B=A51), 'OB History'!$AB:$AB)</f>
        <v>0.48108108108108111</v>
      </c>
      <c r="R51" s="34">
        <f>SUMIFS('OB History'!H:H,'OB History'!B:B,'Old Bow v2'!A51)</f>
        <v>314</v>
      </c>
      <c r="S51" s="2">
        <f>SUMIFS('OB History'!G:G,'OB History'!B:B,'Old Bow v2'!A51)-R51</f>
        <v>323</v>
      </c>
      <c r="T51" s="88">
        <f>LOOKUP(2, 1/('OB History'!$B:$B=A51), 'OB History'!$AC:$AC)</f>
        <v>0.49054054054054053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2</v>
      </c>
      <c r="X51" s="2">
        <f>COUNTIFS('OB History'!$B:$B,$A$51,'OB History'!N:N, 1)</f>
        <v>12</v>
      </c>
      <c r="Y51" s="2">
        <f>COUNTIFS('OB History'!$B:$B,$A$51,'OB History'!O:O, 1)</f>
        <v>3</v>
      </c>
      <c r="Z51" s="2">
        <f>COUNTIFS('OB History'!$B:$B,$A$51,'OB History'!P:P, 1)</f>
        <v>8</v>
      </c>
      <c r="AA51" s="2">
        <f>COUNTIFS('OB History'!$B:$B,$A$51,'OB History'!Q:Q, 1)</f>
        <v>5</v>
      </c>
      <c r="AB51" s="2">
        <f>COUNTIFS('OB History'!$B:$B,$A$51,'OB History'!R:R, 1)</f>
        <v>4</v>
      </c>
      <c r="AC51" s="2">
        <f>COUNTIFS('OB History'!$B:$B,$A$51,'OB History'!S:S, 1)</f>
        <v>0</v>
      </c>
      <c r="AD51" s="2">
        <f>COUNTIFS('OB History'!$B:$B,$A$51,'OB History'!T:T, 1)</f>
        <v>1</v>
      </c>
      <c r="AE51" s="2">
        <f>COUNTIFS('OB History'!$B:$B,$A$51,'OB History'!U:U, 1)</f>
        <v>1</v>
      </c>
      <c r="AF51" s="2">
        <f>COUNTIFS('OB History'!$B:$B,$A$51,'OB History'!V:V, 1)</f>
        <v>0</v>
      </c>
      <c r="AG51" s="2">
        <f>COUNTIFS('OB History'!$B:$B,$A$51,'OB History'!W:W, 1)</f>
        <v>8</v>
      </c>
      <c r="AH51" s="2">
        <f>COUNTIFS('OB History'!$B:$B,$A$51,'OB History'!X:X, 1)</f>
        <v>9</v>
      </c>
      <c r="AI51" s="2">
        <f>COUNTIFS('OB History'!$B:$B,$A$51,'OB History'!Y:Y, 1)</f>
        <v>4</v>
      </c>
      <c r="AJ51" s="2">
        <f>COUNTIFS('OB History'!$B:$B,$A$51,'OB History'!Z:Z, 1)</f>
        <v>9</v>
      </c>
    </row>
    <row r="52" spans="1:36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321</v>
      </c>
      <c r="I52" s="4">
        <f>AVERAGEIFS('OB History'!C:C,'OB History'!B:B,A52)</f>
        <v>20.0625</v>
      </c>
      <c r="J52" s="4">
        <f t="array" ref="J52">MEDIAN(IF('OB History'!B:B=A52, 'OB History'!C:C))</f>
        <v>16</v>
      </c>
      <c r="K52" s="35">
        <f t="array" ref="K52">MAX(IF('OB History'!B:B=A52, 'OB History'!C:C))</f>
        <v>50</v>
      </c>
      <c r="L52" s="34">
        <f>COUNTIFS('OB History'!B:B,A52,'OB History'!D:D, 1)</f>
        <v>11</v>
      </c>
      <c r="M52" s="2">
        <f>COUNTIFS('OB History'!B:B,A52,'OB History'!D:D, 0)</f>
        <v>5</v>
      </c>
      <c r="N52" s="88">
        <f>LOOKUP(2, 1/('OB History'!$B:$B=A52), 'OB History'!$AD:$AD)</f>
        <v>0.6875</v>
      </c>
      <c r="O52" s="34">
        <f>SUMIFS('OB History'!F:F,'OB History'!B:B,A52)</f>
        <v>36</v>
      </c>
      <c r="P52" s="2">
        <f>SUMIFS('OB History'!E:E,'OB History'!B:B,A52)-O52</f>
        <v>25</v>
      </c>
      <c r="Q52" s="88">
        <f>LOOKUP(2, 1/('OB History'!$B:$B=A52), 'OB History'!$AB:$AB)</f>
        <v>0.59062500000000007</v>
      </c>
      <c r="R52" s="34">
        <f>SUMIFS('OB History'!H:H,'OB History'!B:B,'Old Bow v2'!A52)</f>
        <v>135</v>
      </c>
      <c r="S52" s="2">
        <f>SUMIFS('OB History'!G:G,'OB History'!B:B,'Old Bow v2'!A52)-R52</f>
        <v>119</v>
      </c>
      <c r="T52" s="88">
        <f>LOOKUP(2, 1/('OB History'!$B:$B=A52), 'OB History'!$AC:$AC)</f>
        <v>0.52687499999999987</v>
      </c>
      <c r="U52" s="2">
        <f>COUNTIFS('OB History'!$B:$B,$A$52,'OB History'!K:K, 1)</f>
        <v>0</v>
      </c>
      <c r="V52" s="2">
        <f>COUNTIFS('OB History'!$B:$B,$A$52,'OB History'!L:L, 1)</f>
        <v>6</v>
      </c>
      <c r="W52" s="2">
        <f>COUNTIFS('OB History'!$B:$B,$A$52,'OB History'!M:M, 1)</f>
        <v>4</v>
      </c>
      <c r="X52" s="2">
        <f>COUNTIFS('OB History'!$B:$B,$A$52,'OB History'!N:N, 1)</f>
        <v>4</v>
      </c>
      <c r="Y52" s="2">
        <f>COUNTIFS('OB History'!$B:$B,$A$52,'OB History'!O:O, 1)</f>
        <v>1</v>
      </c>
      <c r="Z52" s="2">
        <f>COUNTIFS('OB History'!$B:$B,$A$52,'OB History'!P:P, 1)</f>
        <v>2</v>
      </c>
      <c r="AA52" s="2">
        <f>COUNTIFS('OB History'!$B:$B,$A$52,'OB History'!Q:Q, 1)</f>
        <v>2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2</v>
      </c>
      <c r="AH52" s="2">
        <f>COUNTIFS('OB History'!$B:$B,$A$52,'OB History'!X:X, 1)</f>
        <v>5</v>
      </c>
      <c r="AI52" s="2">
        <f>COUNTIFS('OB History'!$B:$B,$A$52,'OB History'!Y:Y, 1)</f>
        <v>3</v>
      </c>
      <c r="AJ52" s="2">
        <f>COUNTIFS('OB History'!$B:$B,$A$52,'OB History'!Z:Z, 1)</f>
        <v>5</v>
      </c>
    </row>
    <row r="53" spans="1:36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4">
        <f t="array" ref="J53">MEDIAN(IF('OB History'!B:B=A53, 'OB History'!C:C))</f>
        <v>2</v>
      </c>
      <c r="K53" s="35">
        <f t="array" ref="K53">MAX(IF('OB History'!B:B=A53, 'OB History'!C:C))</f>
        <v>2</v>
      </c>
      <c r="L53" s="34">
        <f>COUNTIFS('OB History'!B:B,A53,'OB History'!D:D, 1)</f>
        <v>0</v>
      </c>
      <c r="M53" s="2">
        <f>COUNTIFS('OB History'!B:B,A53,'OB History'!D:D, 0)</f>
        <v>1</v>
      </c>
      <c r="N53" s="88">
        <f>LOOKUP(2, 1/('OB History'!$B:$B=A53), 'OB History'!$AD:$AD)</f>
        <v>0</v>
      </c>
      <c r="O53" s="34">
        <f>SUMIFS('OB History'!F:F,'OB History'!B:B,A53)</f>
        <v>2</v>
      </c>
      <c r="P53" s="2">
        <f>SUMIFS('OB History'!E:E,'OB History'!B:B,A53)-O53</f>
        <v>3</v>
      </c>
      <c r="Q53" s="88">
        <f>LOOKUP(2, 1/('OB History'!$B:$B=A53), 'OB History'!$AB:$AB)</f>
        <v>0.4</v>
      </c>
      <c r="R53" s="34">
        <f>SUMIFS('OB History'!H:H,'OB History'!B:B,'Old Bow v2'!A53)</f>
        <v>6</v>
      </c>
      <c r="S53" s="2">
        <f>SUMIFS('OB History'!G:G,'OB History'!B:B,'Old Bow v2'!A53)-R53</f>
        <v>14</v>
      </c>
      <c r="T53" s="88">
        <f>LOOKUP(2, 1/('OB History'!$B:$B=A53), 'OB History'!$AC:$AC)</f>
        <v>0.3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</v>
      </c>
      <c r="AH53" s="2">
        <f>COUNTIFS('OB History'!$B:$B,$A$53,'OB History'!X:X, 1)</f>
        <v>0</v>
      </c>
      <c r="AI53" s="2">
        <f>COUNTIFS('OB History'!$B:$B,$A$53,'OB History'!Y:Y, 1)</f>
        <v>1</v>
      </c>
      <c r="AJ53" s="2">
        <f>COUNTIFS('OB History'!$B:$B,$A$53,'OB History'!Z:Z, 1)</f>
        <v>0</v>
      </c>
    </row>
    <row r="54" spans="1:36" x14ac:dyDescent="0.25">
      <c r="A54" s="2" t="s">
        <v>14</v>
      </c>
      <c r="B54" s="6" t="s">
        <v>124</v>
      </c>
      <c r="C54" s="1" t="s">
        <v>160</v>
      </c>
      <c r="D54" s="3">
        <v>5</v>
      </c>
      <c r="E54" s="3">
        <v>2</v>
      </c>
      <c r="F54" s="3"/>
      <c r="G54" s="3"/>
      <c r="H54" s="34">
        <f>SUMIFS('OB History'!C:C,'OB History'!B:B,A54)</f>
        <v>1249</v>
      </c>
      <c r="I54" s="4">
        <f>AVERAGEIFS('OB History'!C:C,'OB History'!B:B,A54)</f>
        <v>24.01923076923077</v>
      </c>
      <c r="J54" s="4">
        <f t="array" ref="J54">MEDIAN(IF('OB History'!B:B=A54, 'OB History'!C:C))</f>
        <v>20.5</v>
      </c>
      <c r="K54" s="35">
        <f t="array" ref="K54">MAX(IF('OB History'!B:B=A54, 'OB History'!C:C))</f>
        <v>56</v>
      </c>
      <c r="L54" s="34">
        <f>COUNTIFS('OB History'!B:B,A54,'OB History'!D:D, 1)</f>
        <v>26</v>
      </c>
      <c r="M54" s="2">
        <f>COUNTIFS('OB History'!B:B,A54,'OB History'!D:D, 0)</f>
        <v>26</v>
      </c>
      <c r="N54" s="88">
        <f>LOOKUP(2, 1/('OB History'!$B:$B=A54), 'OB History'!$AD:$AD)</f>
        <v>0.5</v>
      </c>
      <c r="O54" s="34">
        <f>SUMIFS('OB History'!F:F,'OB History'!B:B,A54)</f>
        <v>104</v>
      </c>
      <c r="P54" s="2">
        <f>SUMIFS('OB History'!E:E,'OB History'!B:B,A54)-O54</f>
        <v>108</v>
      </c>
      <c r="Q54" s="88">
        <f>LOOKUP(2, 1/('OB History'!$B:$B=A54), 'OB History'!$AB:$AB)</f>
        <v>0.49230769230769234</v>
      </c>
      <c r="R54" s="34">
        <f>SUMIFS('OB History'!H:H,'OB History'!B:B,'Old Bow v2'!A54)</f>
        <v>427</v>
      </c>
      <c r="S54" s="2">
        <f>SUMIFS('OB History'!G:G,'OB History'!B:B,'Old Bow v2'!A54)-R54</f>
        <v>453</v>
      </c>
      <c r="T54" s="88">
        <f>LOOKUP(2, 1/('OB History'!$B:$B=A54), 'OB History'!$AC:$AC)</f>
        <v>0.48980769230769233</v>
      </c>
      <c r="U54" s="2">
        <f>COUNTIFS('OB History'!$B:$B,$A$54,'OB History'!K:K, 1)</f>
        <v>6</v>
      </c>
      <c r="V54" s="2">
        <f>COUNTIFS('OB History'!$B:$B,$A$54,'OB History'!L:L, 1)</f>
        <v>10</v>
      </c>
      <c r="W54" s="2">
        <f>COUNTIFS('OB History'!$B:$B,$A$54,'OB History'!M:M, 1)</f>
        <v>5</v>
      </c>
      <c r="X54" s="2">
        <f>COUNTIFS('OB History'!$B:$B,$A$54,'OB History'!N:N, 1)</f>
        <v>10</v>
      </c>
      <c r="Y54" s="2">
        <f>COUNTIFS('OB History'!$B:$B,$A$54,'OB History'!O:O, 1)</f>
        <v>4</v>
      </c>
      <c r="Z54" s="2">
        <f>COUNTIFS('OB History'!$B:$B,$A$54,'OB History'!P:P, 1)</f>
        <v>7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3</v>
      </c>
      <c r="AG54" s="2">
        <f>COUNTIFS('OB History'!$B:$B,$A$54,'OB History'!W:W, 1)</f>
        <v>11</v>
      </c>
      <c r="AH54" s="2">
        <f>COUNTIFS('OB History'!$B:$B,$A$54,'OB History'!X:X, 1)</f>
        <v>25</v>
      </c>
      <c r="AI54" s="2">
        <f>COUNTIFS('OB History'!$B:$B,$A$54,'OB History'!Y:Y, 1)</f>
        <v>6</v>
      </c>
      <c r="AJ54" s="2">
        <f>COUNTIFS('OB History'!$B:$B,$A$54,'OB History'!Z:Z, 1)</f>
        <v>13</v>
      </c>
    </row>
    <row r="55" spans="1:36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4">
        <f t="array" ref="J55">MEDIAN(IF('OB History'!B:B=A55, 'OB History'!C:C))</f>
        <v>20</v>
      </c>
      <c r="K55" s="35">
        <f t="array" ref="K55">MAX(IF('OB History'!B:B=A55, 'OB History'!C:C))</f>
        <v>27</v>
      </c>
      <c r="L55" s="34">
        <f>COUNTIFS('OB History'!B:B,A55,'OB History'!D:D, 1)</f>
        <v>4</v>
      </c>
      <c r="M55" s="2">
        <f>COUNTIFS('OB History'!B:B,A55,'OB History'!D:D, 0)</f>
        <v>2</v>
      </c>
      <c r="N55" s="88">
        <f>LOOKUP(2, 1/('OB History'!$B:$B=A55), 'OB History'!$AD:$AD)</f>
        <v>0.66666666666666663</v>
      </c>
      <c r="O55" s="34">
        <f>SUMIFS('OB History'!F:F,'OB History'!B:B,A55)</f>
        <v>16</v>
      </c>
      <c r="P55" s="2">
        <f>SUMIFS('OB History'!E:E,'OB History'!B:B,A55)-O55</f>
        <v>12</v>
      </c>
      <c r="Q55" s="88">
        <f>LOOKUP(2, 1/('OB History'!$B:$B=A55), 'OB History'!$AB:$AB)</f>
        <v>0.6</v>
      </c>
      <c r="R55" s="34">
        <f>SUMIFS('OB History'!H:H,'OB History'!B:B,'Old Bow v2'!A55)</f>
        <v>61</v>
      </c>
      <c r="S55" s="2">
        <f>SUMIFS('OB History'!G:G,'OB History'!B:B,'Old Bow v2'!A55)-R55</f>
        <v>53</v>
      </c>
      <c r="T55" s="88">
        <f>LOOKUP(2, 1/('OB History'!$B:$B=A55), 'OB History'!$AC:$AC)</f>
        <v>0.54500000000000004</v>
      </c>
      <c r="U55" s="2">
        <f>COUNTIFS('OB History'!$B:$B,$A$55,'OB History'!K:K, 1)</f>
        <v>1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2</v>
      </c>
      <c r="Y55" s="2">
        <f>COUNTIFS('OB History'!$B:$B,$A$55,'OB History'!O:O, 1)</f>
        <v>2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2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0</v>
      </c>
      <c r="AH55" s="2">
        <f>COUNTIFS('OB History'!$B:$B,$A$55,'OB History'!X:X, 1)</f>
        <v>4</v>
      </c>
      <c r="AI55" s="2">
        <f>COUNTIFS('OB History'!$B:$B,$A$55,'OB History'!Y:Y, 1)</f>
        <v>1</v>
      </c>
      <c r="AJ55" s="2">
        <f>COUNTIFS('OB History'!$B:$B,$A$55,'OB History'!Z:Z, 1)</f>
        <v>3</v>
      </c>
    </row>
    <row r="56" spans="1:36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4">
        <f t="array" ref="J56">MEDIAN(IF('OB History'!B:B=A56, 'OB History'!C:C))</f>
        <v>19</v>
      </c>
      <c r="K56" s="35">
        <f t="array" ref="K56">MAX(IF('OB History'!B:B=A56, 'OB History'!C:C))</f>
        <v>46</v>
      </c>
      <c r="L56" s="34">
        <f>COUNTIFS('OB History'!B:B,A56,'OB History'!D:D, 1)</f>
        <v>9</v>
      </c>
      <c r="M56" s="2">
        <f>COUNTIFS('OB History'!B:B,A56,'OB History'!D:D, 0)</f>
        <v>6</v>
      </c>
      <c r="N56" s="88">
        <f>LOOKUP(2, 1/('OB History'!$B:$B=A56), 'OB History'!$AD:$AD)</f>
        <v>0.6</v>
      </c>
      <c r="O56" s="34">
        <f>SUMIFS('OB History'!F:F,'OB History'!B:B,A56)</f>
        <v>30</v>
      </c>
      <c r="P56" s="2">
        <f>SUMIFS('OB History'!E:E,'OB History'!B:B,A56)-O56</f>
        <v>29</v>
      </c>
      <c r="Q56" s="88">
        <f>LOOKUP(2, 1/('OB History'!$B:$B=A56), 'OB History'!$AB:$AB)</f>
        <v>0.5033333333333333</v>
      </c>
      <c r="R56" s="34">
        <f>SUMIFS('OB History'!H:H,'OB History'!B:B,'Old Bow v2'!A56)</f>
        <v>121</v>
      </c>
      <c r="S56" s="2">
        <f>SUMIFS('OB History'!G:G,'OB History'!B:B,'Old Bow v2'!A56)-R56</f>
        <v>120</v>
      </c>
      <c r="T56" s="88">
        <f>LOOKUP(2, 1/('OB History'!$B:$B=A56), 'OB History'!$AC:$AC)</f>
        <v>0.49266666666666664</v>
      </c>
      <c r="U56" s="2">
        <f>COUNTIFS('OB History'!$B:$B,$A$56,'OB History'!K:K, 1)</f>
        <v>2</v>
      </c>
      <c r="V56" s="2">
        <f>COUNTIFS('OB History'!$B:$B,$A$56,'OB History'!L:L, 1)</f>
        <v>6</v>
      </c>
      <c r="W56" s="2">
        <f>COUNTIFS('OB History'!$B:$B,$A$56,'OB History'!M:M, 1)</f>
        <v>3</v>
      </c>
      <c r="X56" s="2">
        <f>COUNTIFS('OB History'!$B:$B,$A$56,'OB History'!N:N, 1)</f>
        <v>1</v>
      </c>
      <c r="Y56" s="2">
        <f>COUNTIFS('OB History'!$B:$B,$A$56,'OB History'!O:O, 1)</f>
        <v>3</v>
      </c>
      <c r="Z56" s="2">
        <f>COUNTIFS('OB History'!$B:$B,$A$56,'OB History'!P:P, 1)</f>
        <v>3</v>
      </c>
      <c r="AA56" s="2">
        <f>COUNTIFS('OB History'!$B:$B,$A$56,'OB History'!Q:Q, 1)</f>
        <v>1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4</v>
      </c>
      <c r="AI56" s="2">
        <f>COUNTIFS('OB History'!$B:$B,$A$56,'OB History'!Y:Y, 1)</f>
        <v>3</v>
      </c>
      <c r="AJ56" s="2">
        <f>COUNTIFS('OB History'!$B:$B,$A$56,'OB History'!Z:Z, 1)</f>
        <v>2</v>
      </c>
    </row>
    <row r="57" spans="1:36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4">
        <f t="array" ref="J57">MEDIAN(IF('OB History'!B:B=A57, 'OB History'!C:C))</f>
        <v>10</v>
      </c>
      <c r="K57" s="35">
        <f t="array" ref="K57">MAX(IF('OB History'!B:B=A57, 'OB History'!C:C))</f>
        <v>20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35</v>
      </c>
      <c r="P57" s="2">
        <f>SUMIFS('OB History'!E:E,'OB History'!B:B,A57)-O57</f>
        <v>27</v>
      </c>
      <c r="Q57" s="88">
        <f>LOOKUP(2, 1/('OB History'!$B:$B=A57), 'OB History'!$AB:$AB)</f>
        <v>0.58333333333333337</v>
      </c>
      <c r="R57" s="34">
        <f>SUMIFS('OB History'!H:H,'OB History'!B:B,'Old Bow v2'!A57)</f>
        <v>137</v>
      </c>
      <c r="S57" s="2">
        <f>SUMIFS('OB History'!G:G,'OB History'!B:B,'Old Bow v2'!A57)-R57</f>
        <v>116</v>
      </c>
      <c r="T57" s="88">
        <f>LOOKUP(2, 1/('OB History'!$B:$B=A57), 'OB History'!$AC:$AC)</f>
        <v>0.54600000000000004</v>
      </c>
      <c r="U57" s="2">
        <f>COUNTIFS('OB History'!$B:$B,$A$57,'OB History'!K:K, 1)</f>
        <v>3</v>
      </c>
      <c r="V57" s="2">
        <f>COUNTIFS('OB History'!$B:$B,$A$57,'OB History'!L:L, 1)</f>
        <v>1</v>
      </c>
      <c r="W57" s="2">
        <f>COUNTIFS('OB History'!$B:$B,$A$57,'OB History'!M:M, 1)</f>
        <v>1</v>
      </c>
      <c r="X57" s="2">
        <f>COUNTIFS('OB History'!$B:$B,$A$57,'OB History'!N:N, 1)</f>
        <v>6</v>
      </c>
      <c r="Y57" s="2">
        <f>COUNTIFS('OB History'!$B:$B,$A$57,'OB History'!O:O, 1)</f>
        <v>1</v>
      </c>
      <c r="Z57" s="2">
        <f>COUNTIFS('OB History'!$B:$B,$A$57,'OB History'!P:P, 1)</f>
        <v>1</v>
      </c>
      <c r="AA57" s="2">
        <f>COUNTIFS('OB History'!$B:$B,$A$57,'OB History'!Q:Q, 1)</f>
        <v>2</v>
      </c>
      <c r="AB57" s="2">
        <f>COUNTIFS('OB History'!$B:$B,$A$57,'OB History'!R:R, 1)</f>
        <v>1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1</v>
      </c>
      <c r="AF57" s="2">
        <f>COUNTIFS('OB History'!$B:$B,$A$57,'OB History'!V:V, 1)</f>
        <v>0</v>
      </c>
      <c r="AG57" s="2">
        <f>COUNTIFS('OB History'!$B:$B,$A$57,'OB History'!W:W, 1)</f>
        <v>3</v>
      </c>
      <c r="AH57" s="2">
        <f>COUNTIFS('OB History'!$B:$B,$A$57,'OB History'!X:X, 1)</f>
        <v>8</v>
      </c>
      <c r="AI57" s="2">
        <f>COUNTIFS('OB History'!$B:$B,$A$57,'OB History'!Y:Y, 1)</f>
        <v>3</v>
      </c>
      <c r="AJ57" s="2">
        <f>COUNTIFS('OB History'!$B:$B,$A$57,'OB History'!Z:Z, 1)</f>
        <v>4</v>
      </c>
    </row>
  </sheetData>
  <autoFilter ref="A1:AJ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23"/>
  <sheetViews>
    <sheetView workbookViewId="0">
      <pane ySplit="1" topLeftCell="A1096" activePane="bottomLeft" state="frozen"/>
      <selection pane="bottomLeft" activeCell="A1111" sqref="A1111:Z112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0" sqref="E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201</v>
      </c>
      <c r="I4" s="4">
        <f>AVERAGEIFS('OB History S2'!C:C,'OB History S2'!B:B,A4)</f>
        <v>8.7391304347826093</v>
      </c>
      <c r="J4" s="35">
        <f t="array" ref="J4">MAX(IF('OB History S2'!B:B=A4, 'OB History S2'!C:C))</f>
        <v>18</v>
      </c>
      <c r="K4" s="34">
        <f>COUNTIFS('OB History S2'!B:B,A4,'OB History S2'!D:D, 1)</f>
        <v>8</v>
      </c>
      <c r="L4" s="2">
        <f>COUNTIFS('OB History S2'!B:B,A4,'OB History S2'!D:D, 0)</f>
        <v>15</v>
      </c>
      <c r="M4" s="88">
        <f>LOOKUP(2, 1/('OB History S2'!$B:$B=A4), 'OB History S2'!$AD:$AD)</f>
        <v>0.34782608695652173</v>
      </c>
      <c r="N4" s="34">
        <f>SUMIFS('OB History S2'!F:F,'OB History S2'!B:B,A4)</f>
        <v>34</v>
      </c>
      <c r="O4" s="2">
        <f>SUMIFS('OB History S2'!E:E,'OB History S2'!B:B,A4)-N4</f>
        <v>53</v>
      </c>
      <c r="P4" s="88">
        <f>LOOKUP(2, 1/('OB History S2'!$B:$B=A4), 'OB History S2'!$AB:$AB)</f>
        <v>0.38695652173913048</v>
      </c>
      <c r="Q4" s="34">
        <f>SUMIFS('OB History S2'!H:H,'OB History S2'!B:B,A4)</f>
        <v>169</v>
      </c>
      <c r="R4" s="2">
        <f>SUMIFS('OB History S2'!G:G,'OB History S2'!B:B,A4)-Q4</f>
        <v>199</v>
      </c>
      <c r="S4" s="88">
        <f>LOOKUP(2, 1/('OB History S2'!$B:$B=A4), 'OB History S2'!$AC:$AC)</f>
        <v>0.45565217391304341</v>
      </c>
      <c r="T4" s="2">
        <f>COUNTIFS('OB History S2'!$B:$B,$A$4,'OB History S2'!K:K, 1)</f>
        <v>3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2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3</v>
      </c>
      <c r="AG4" s="2">
        <f>COUNTIFS('OB History S2'!$B:$B,$A$4,'OB History S2'!X:X, 1)</f>
        <v>5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34</v>
      </c>
      <c r="I6" s="4">
        <f>AVERAGEIFS('OB History S2'!C:C,'OB History S2'!B:B,A6)</f>
        <v>11.333333333333334</v>
      </c>
      <c r="J6" s="35">
        <f t="array" ref="J6">MAX(IF('OB History S2'!B:B=A6, 'OB History S2'!C:C))</f>
        <v>14</v>
      </c>
      <c r="K6" s="34">
        <f>COUNTIFS('OB History S2'!B:B,A6,'OB History S2'!D:D, 1)</f>
        <v>2</v>
      </c>
      <c r="L6" s="2">
        <f>COUNTIFS('OB History S2'!B:B,A6,'OB History S2'!D:D, 0)</f>
        <v>1</v>
      </c>
      <c r="M6" s="88">
        <f>LOOKUP(2, 1/('OB History S2'!$B:$B=A6), 'OB History S2'!$AD:$AD)</f>
        <v>0.66666666666666663</v>
      </c>
      <c r="N6" s="34">
        <f>SUMIFS('OB History S2'!F:F,'OB History S2'!B:B,A6)</f>
        <v>7</v>
      </c>
      <c r="O6" s="2">
        <f>SUMIFS('OB History S2'!E:E,'OB History S2'!B:B,A6)-N6</f>
        <v>7</v>
      </c>
      <c r="P6" s="88">
        <f>LOOKUP(2, 1/('OB History S2'!$B:$B=A6), 'OB History S2'!$AB:$AB)</f>
        <v>0.48333333333333334</v>
      </c>
      <c r="Q6" s="34">
        <f>SUMIFS('OB History S2'!H:H,'OB History S2'!B:B,A6)</f>
        <v>29</v>
      </c>
      <c r="R6" s="2">
        <f>SUMIFS('OB History S2'!G:G,'OB History S2'!B:B,A6)-Q6</f>
        <v>29</v>
      </c>
      <c r="S6" s="88">
        <f>LOOKUP(2, 1/('OB History S2'!$B:$B=A6), 'OB History S2'!$AC:$AC)</f>
        <v>0.49666666666666665</v>
      </c>
      <c r="T6" s="2">
        <f>COUNTIFS('OB History S2'!$B:$B,$A$6,'OB History S2'!K:K, 1)</f>
        <v>0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339</v>
      </c>
      <c r="I8" s="4">
        <f>AVERAGEIFS('OB History S2'!C:C,'OB History S2'!B:B,A8)</f>
        <v>13.038461538461538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10</v>
      </c>
      <c r="M8" s="88">
        <f>LOOKUP(2, 1/('OB History S2'!$B:$B=A8), 'OB History S2'!$AD:$AD)</f>
        <v>0.61538461538461542</v>
      </c>
      <c r="N8" s="34">
        <f>SUMIFS('OB History S2'!F:F,'OB History S2'!B:B,A8)</f>
        <v>56</v>
      </c>
      <c r="O8" s="2">
        <f>SUMIFS('OB History S2'!E:E,'OB History S2'!B:B,A8)-N8</f>
        <v>47</v>
      </c>
      <c r="P8" s="88">
        <f>LOOKUP(2, 1/('OB History S2'!$B:$B=A8), 'OB History S2'!$AB:$AB)</f>
        <v>0.53846153846153844</v>
      </c>
      <c r="Q8" s="34">
        <f>SUMIFS('OB History S2'!H:H,'OB History S2'!B:B,A8)</f>
        <v>212</v>
      </c>
      <c r="R8" s="2">
        <f>SUMIFS('OB History S2'!G:G,'OB History S2'!B:B,A8)-Q8</f>
        <v>207</v>
      </c>
      <c r="S8" s="88">
        <f>LOOKUP(2, 1/('OB History S2'!$B:$B=A8), 'OB History S2'!$AC:$AC)</f>
        <v>0.49884615384615394</v>
      </c>
      <c r="T8" s="2">
        <f>COUNTIFS('OB History S2'!$B:$B,$A$8,'OB History S2'!K:K, 1)</f>
        <v>4</v>
      </c>
      <c r="U8" s="2">
        <f>COUNTIFS('OB History S2'!$B:$B,$A$8,'OB History S2'!L:L, 1)</f>
        <v>5</v>
      </c>
      <c r="V8" s="2">
        <f>COUNTIFS('OB History S2'!$B:$B,$A$8,'OB History S2'!M:M, 1)</f>
        <v>1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165</v>
      </c>
      <c r="I9" s="4">
        <f>AVERAGEIFS('OB History S2'!C:C,'OB History S2'!B:B,A9)</f>
        <v>13.75</v>
      </c>
      <c r="J9" s="35">
        <f t="array" ref="J9">MAX(IF('OB History S2'!B:B=A9, 'OB History S2'!C:C))</f>
        <v>24</v>
      </c>
      <c r="K9" s="34">
        <f>COUNTIFS('OB History S2'!B:B,A9,'OB History S2'!D:D, 1)</f>
        <v>7</v>
      </c>
      <c r="L9" s="2">
        <f>COUNTIFS('OB History S2'!B:B,A9,'OB History S2'!D:D, 0)</f>
        <v>5</v>
      </c>
      <c r="M9" s="88">
        <f>LOOKUP(2, 1/('OB History S2'!$B:$B=A9), 'OB History S2'!$AD:$AD)</f>
        <v>0.58333333333333337</v>
      </c>
      <c r="N9" s="34">
        <f>SUMIFS('OB History S2'!F:F,'OB History S2'!B:B,A9)</f>
        <v>29</v>
      </c>
      <c r="O9" s="2">
        <f>SUMIFS('OB History S2'!E:E,'OB History S2'!B:B,A9)-N9</f>
        <v>21</v>
      </c>
      <c r="P9" s="88">
        <f>LOOKUP(2, 1/('OB History S2'!$B:$B=A9), 'OB History S2'!$AB:$AB)</f>
        <v>0.61666666666666659</v>
      </c>
      <c r="Q9" s="34">
        <f>SUMIFS('OB History S2'!H:H,'OB History S2'!B:B,A9)</f>
        <v>110</v>
      </c>
      <c r="R9" s="2">
        <f>SUMIFS('OB History S2'!G:G,'OB History S2'!B:B,A9)-Q9</f>
        <v>98</v>
      </c>
      <c r="S9" s="88">
        <f>LOOKUP(2, 1/('OB History S2'!$B:$B=A9), 'OB History S2'!$AC:$AC)</f>
        <v>0.53666666666666674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4</v>
      </c>
      <c r="X9" s="2">
        <f>COUNTIFS('OB History S2'!$B:$B,$A$9,'OB History S2'!O:O, 1)</f>
        <v>1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114</v>
      </c>
      <c r="I11" s="4">
        <f>AVERAGEIFS('OB History S2'!C:C,'OB History S2'!B:B,A11)</f>
        <v>14.25</v>
      </c>
      <c r="J11" s="35">
        <f t="array" ref="J11">MAX(IF('OB History S2'!B:B=A11, 'OB History S2'!C:C))</f>
        <v>22</v>
      </c>
      <c r="K11" s="34">
        <f>COUNTIFS('OB History S2'!B:B,A11,'OB History S2'!D:D, 1)</f>
        <v>7</v>
      </c>
      <c r="L11" s="2">
        <f>COUNTIFS('OB History S2'!B:B,A11,'OB History S2'!D:D, 0)</f>
        <v>1</v>
      </c>
      <c r="M11" s="88">
        <f>LOOKUP(2, 1/('OB History S2'!$B:$B=A11), 'OB History S2'!$AD:$AD)</f>
        <v>0.875</v>
      </c>
      <c r="N11" s="34">
        <f>SUMIFS('OB History S2'!F:F,'OB History S2'!B:B,A11)</f>
        <v>23</v>
      </c>
      <c r="O11" s="2">
        <f>SUMIFS('OB History S2'!E:E,'OB History S2'!B:B,A11)-N11</f>
        <v>5</v>
      </c>
      <c r="P11" s="88">
        <f>LOOKUP(2, 1/('OB History S2'!$B:$B=A11), 'OB History S2'!$AB:$AB)</f>
        <v>0.84375</v>
      </c>
      <c r="Q11" s="34">
        <f>SUMIFS('OB History S2'!H:H,'OB History S2'!B:B,A11)</f>
        <v>71</v>
      </c>
      <c r="R11" s="2">
        <f>SUMIFS('OB History S2'!G:G,'OB History S2'!B:B,A11)-Q11</f>
        <v>47</v>
      </c>
      <c r="S11" s="88">
        <f>LOOKUP(2, 1/('OB History S2'!$B:$B=A11), 'OB History S2'!$AC:$AC)</f>
        <v>0.61125000000000007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2</v>
      </c>
      <c r="W11" s="2">
        <f>COUNTIFS('OB History S2'!$B:$B,$A$11,'OB History S2'!N:N, 1)</f>
        <v>4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4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142</v>
      </c>
      <c r="I14" s="4">
        <f>AVERAGEIFS('OB History S2'!C:C,'OB History S2'!B:B,A14)</f>
        <v>12.909090909090908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7</v>
      </c>
      <c r="M14" s="88">
        <f>LOOKUP(2, 1/('OB History S2'!$B:$B=A14), 'OB History S2'!$AD:$AD)</f>
        <v>0.36363636363636365</v>
      </c>
      <c r="N14" s="34">
        <f>SUMIFS('OB History S2'!F:F,'OB History S2'!B:B,A14)</f>
        <v>18</v>
      </c>
      <c r="O14" s="2">
        <f>SUMIFS('OB History S2'!E:E,'OB History S2'!B:B,A14)-N14</f>
        <v>25</v>
      </c>
      <c r="P14" s="88">
        <f>LOOKUP(2, 1/('OB History S2'!$B:$B=A14), 'OB History S2'!$AB:$AB)</f>
        <v>0.4</v>
      </c>
      <c r="Q14" s="34">
        <f>SUMIFS('OB History S2'!H:H,'OB History S2'!B:B,A14)</f>
        <v>88</v>
      </c>
      <c r="R14" s="2">
        <f>SUMIFS('OB History S2'!G:G,'OB History S2'!B:B,A14)-Q14</f>
        <v>97</v>
      </c>
      <c r="S14" s="88">
        <f>LOOKUP(2, 1/('OB History S2'!$B:$B=A14), 'OB History S2'!$AC:$AC)</f>
        <v>0.47181818181818175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2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225</v>
      </c>
      <c r="I15" s="4">
        <f>AVERAGEIFS('OB History S2'!C:C,'OB History S2'!B:B,A15)</f>
        <v>17.307692307692307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4</v>
      </c>
      <c r="M15" s="88">
        <f>LOOKUP(2, 1/('OB History S2'!$B:$B=A15), 'OB History S2'!$AD:$AD)</f>
        <v>0.69230769230769229</v>
      </c>
      <c r="N15" s="34">
        <f>SUMIFS('OB History S2'!F:F,'OB History S2'!B:B,A15)</f>
        <v>31</v>
      </c>
      <c r="O15" s="2">
        <f>SUMIFS('OB History S2'!E:E,'OB History S2'!B:B,A15)-N15</f>
        <v>22</v>
      </c>
      <c r="P15" s="88">
        <f>LOOKUP(2, 1/('OB History S2'!$B:$B=A15), 'OB History S2'!$AB:$AB)</f>
        <v>0.58461538461538454</v>
      </c>
      <c r="Q15" s="34">
        <f>SUMIFS('OB History S2'!H:H,'OB History S2'!B:B,A15)</f>
        <v>116</v>
      </c>
      <c r="R15" s="2">
        <f>SUMIFS('OB History S2'!G:G,'OB History S2'!B:B,A15)-Q15</f>
        <v>97</v>
      </c>
      <c r="S15" s="88">
        <f>LOOKUP(2, 1/('OB History S2'!$B:$B=A15), 'OB History S2'!$AC:$AC)</f>
        <v>0.54846153846153856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154</v>
      </c>
      <c r="I18" s="4">
        <f>AVERAGEIFS('OB History S2'!C:C,'OB History S2'!B:B,A18)</f>
        <v>14</v>
      </c>
      <c r="J18" s="35">
        <f t="array" ref="J18">MAX(IF('OB History S2'!B:B=A18, 'OB History S2'!C:C))</f>
        <v>19</v>
      </c>
      <c r="K18" s="34">
        <f>COUNTIFS('OB History S2'!B:B,A18,'OB History S2'!D:D, 1)</f>
        <v>2</v>
      </c>
      <c r="L18" s="2">
        <f>COUNTIFS('OB History S2'!B:B,A18,'OB History S2'!D:D, 0)</f>
        <v>9</v>
      </c>
      <c r="M18" s="88">
        <f>LOOKUP(2, 1/('OB History S2'!$B:$B=A18), 'OB History S2'!$AD:$AD)</f>
        <v>0.18181818181818182</v>
      </c>
      <c r="N18" s="34">
        <f>SUMIFS('OB History S2'!F:F,'OB History S2'!B:B,A18)</f>
        <v>12</v>
      </c>
      <c r="O18" s="2">
        <f>SUMIFS('OB History S2'!E:E,'OB History S2'!B:B,A18)-N18</f>
        <v>30</v>
      </c>
      <c r="P18" s="88">
        <f>LOOKUP(2, 1/('OB History S2'!$B:$B=A18), 'OB History S2'!$AB:$AB)</f>
        <v>0.25454545454545452</v>
      </c>
      <c r="Q18" s="34">
        <f>SUMIFS('OB History S2'!H:H,'OB History S2'!B:B,A18)</f>
        <v>67</v>
      </c>
      <c r="R18" s="2">
        <f>SUMIFS('OB History S2'!G:G,'OB History S2'!B:B,A18)-Q18</f>
        <v>111</v>
      </c>
      <c r="S18" s="88">
        <f>LOOKUP(2, 1/('OB History S2'!$B:$B=A18), 'OB History S2'!$AC:$AC)</f>
        <v>0.3572727272727273</v>
      </c>
      <c r="T18" s="2">
        <f>COUNTIFS('OB History S2'!$B:$B,$A$18,'OB History S2'!K:K, 1)</f>
        <v>1</v>
      </c>
      <c r="U18" s="2">
        <f>COUNTIFS('OB History S2'!$B:$B,$A$18,'OB History S2'!L:L, 1)</f>
        <v>0</v>
      </c>
      <c r="V18" s="2">
        <f>COUNTIFS('OB History S2'!$B:$B,$A$18,'OB History S2'!M:M, 1)</f>
        <v>2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3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310</v>
      </c>
      <c r="I24" s="4">
        <f>AVERAGEIFS('OB History S2'!C:C,'OB History S2'!B:B,A24)</f>
        <v>18.235294117647058</v>
      </c>
      <c r="J24" s="35">
        <f t="array" ref="J24">MAX(IF('OB History S2'!B:B=A24, 'OB History S2'!C:C))</f>
        <v>41</v>
      </c>
      <c r="K24" s="34">
        <f>COUNTIFS('OB History S2'!B:B,A24,'OB History S2'!D:D, 1)</f>
        <v>12</v>
      </c>
      <c r="L24" s="2">
        <f>COUNTIFS('OB History S2'!B:B,A24,'OB History S2'!D:D, 0)</f>
        <v>5</v>
      </c>
      <c r="M24" s="88">
        <f>LOOKUP(2, 1/('OB History S2'!$B:$B=A24), 'OB History S2'!$AD:$AD)</f>
        <v>0.70588235294117652</v>
      </c>
      <c r="N24" s="34">
        <f>SUMIFS('OB History S2'!F:F,'OB History S2'!B:B,A24)</f>
        <v>42</v>
      </c>
      <c r="O24" s="2">
        <f>SUMIFS('OB History S2'!E:E,'OB History S2'!B:B,A24)-N24</f>
        <v>25</v>
      </c>
      <c r="P24" s="88">
        <f>LOOKUP(2, 1/('OB History S2'!$B:$B=A24), 'OB History S2'!$AB:$AB)</f>
        <v>0.66176470588235292</v>
      </c>
      <c r="Q24" s="34">
        <f>SUMIFS('OB History S2'!H:H,'OB History S2'!B:B,A24)</f>
        <v>159</v>
      </c>
      <c r="R24" s="2">
        <f>SUMIFS('OB History S2'!G:G,'OB History S2'!B:B,A24)-Q24</f>
        <v>115</v>
      </c>
      <c r="S24" s="88">
        <f>LOOKUP(2, 1/('OB History S2'!$B:$B=A24), 'OB History S2'!$AC:$AC)</f>
        <v>0.59235294117647042</v>
      </c>
      <c r="T24" s="2">
        <f>COUNTIFS('OB History S2'!$B:$B,$A$24,'OB History S2'!K:K, 1)</f>
        <v>2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4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8</v>
      </c>
      <c r="AH24" s="2">
        <f>COUNTIFS('OB History S2'!$B:$B,$A$24,'OB History S2'!Y:Y, 1)</f>
        <v>8</v>
      </c>
      <c r="AI24" s="2">
        <f>COUNTIFS('OB History S2'!$B:$B,$A$24,'OB History S2'!Z:Z, 1)</f>
        <v>4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342</v>
      </c>
      <c r="I25" s="4">
        <f>AVERAGEIFS('OB History S2'!C:C,'OB History S2'!B:B,A25)</f>
        <v>11.4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19</v>
      </c>
      <c r="M25" s="88">
        <f>LOOKUP(2, 1/('OB History S2'!$B:$B=A25), 'OB History S2'!$AD:$AD)</f>
        <v>0.36666666666666664</v>
      </c>
      <c r="N25" s="34">
        <f>SUMIFS('OB History S2'!F:F,'OB History S2'!B:B,A25)</f>
        <v>54</v>
      </c>
      <c r="O25" s="2">
        <f>SUMIFS('OB History S2'!E:E,'OB History S2'!B:B,A25)-N25</f>
        <v>66</v>
      </c>
      <c r="P25" s="88">
        <f>LOOKUP(2, 1/('OB History S2'!$B:$B=A25), 'OB History S2'!$AB:$AB)</f>
        <v>0.44</v>
      </c>
      <c r="Q25" s="34">
        <f>SUMIFS('OB History S2'!H:H,'OB History S2'!B:B,A25)</f>
        <v>238</v>
      </c>
      <c r="R25" s="2">
        <f>SUMIFS('OB History S2'!G:G,'OB History S2'!B:B,A25)-Q25</f>
        <v>255</v>
      </c>
      <c r="S25" s="88">
        <f>LOOKUP(2, 1/('OB History S2'!$B:$B=A25), 'OB History S2'!$AC:$AC)</f>
        <v>0.48533333333333334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19</v>
      </c>
      <c r="I26" s="4">
        <f>AVERAGEIFS('OB History S2'!C:C,'OB History S2'!B:B,A26)</f>
        <v>19</v>
      </c>
      <c r="J26" s="35">
        <f t="array" ref="J26">MAX(IF('OB History S2'!B:B=A26, 'OB History S2'!C:C))</f>
        <v>19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1</v>
      </c>
      <c r="O26" s="2">
        <f>SUMIFS('OB History S2'!E:E,'OB History S2'!B:B,A26)-N26</f>
        <v>3</v>
      </c>
      <c r="P26" s="88">
        <f>LOOKUP(2, 1/('OB History S2'!$B:$B=A26), 'OB History S2'!$AB:$AB)</f>
        <v>0.25</v>
      </c>
      <c r="Q26" s="34">
        <f>SUMIFS('OB History S2'!H:H,'OB History S2'!B:B,A26)</f>
        <v>4</v>
      </c>
      <c r="R26" s="2">
        <f>SUMIFS('OB History S2'!G:G,'OB History S2'!B:B,A26)-Q26</f>
        <v>11</v>
      </c>
      <c r="S26" s="88">
        <f>LOOKUP(2, 1/('OB History S2'!$B:$B=A26), 'OB History S2'!$AC:$AC)</f>
        <v>0.27</v>
      </c>
      <c r="T26" s="2">
        <f>COUNTIFS('OB History S2'!$B:$B,$A$26,'OB History S2'!K:K, 1)</f>
        <v>0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135</v>
      </c>
      <c r="I27" s="4">
        <f>AVERAGEIFS('OB History S2'!C:C,'OB History S2'!B:B,A27)</f>
        <v>22.5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4</v>
      </c>
      <c r="M27" s="88">
        <f>LOOKUP(2, 1/('OB History S2'!$B:$B=A27), 'OB History S2'!$AD:$AD)</f>
        <v>0.33333333333333331</v>
      </c>
      <c r="N27" s="34">
        <f>SUMIFS('OB History S2'!F:F,'OB History S2'!B:B,A27)</f>
        <v>13</v>
      </c>
      <c r="O27" s="2">
        <f>SUMIFS('OB History S2'!E:E,'OB History S2'!B:B,A27)-N27</f>
        <v>15</v>
      </c>
      <c r="P27" s="88">
        <f>LOOKUP(2, 1/('OB History S2'!$B:$B=A27), 'OB History S2'!$AB:$AB)</f>
        <v>0.46666666666666662</v>
      </c>
      <c r="Q27" s="34">
        <f>SUMIFS('OB History S2'!H:H,'OB History S2'!B:B,A27)</f>
        <v>54</v>
      </c>
      <c r="R27" s="2">
        <f>SUMIFS('OB History S2'!G:G,'OB History S2'!B:B,A27)-Q27</f>
        <v>59</v>
      </c>
      <c r="S27" s="88">
        <f>LOOKUP(2, 1/('OB History S2'!$B:$B=A27), 'OB History S2'!$AC:$AC)</f>
        <v>0.48000000000000004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226</v>
      </c>
      <c r="I28" s="4">
        <f>AVERAGEIFS('OB History S2'!C:C,'OB History S2'!B:B,A28)</f>
        <v>11.3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12</v>
      </c>
      <c r="M28" s="88">
        <f>LOOKUP(2, 1/('OB History S2'!$B:$B=A28), 'OB History S2'!$AD:$AD)</f>
        <v>0.4</v>
      </c>
      <c r="N28" s="34">
        <f>SUMIFS('OB History S2'!F:F,'OB History S2'!B:B,A28)</f>
        <v>34</v>
      </c>
      <c r="O28" s="2">
        <f>SUMIFS('OB History S2'!E:E,'OB History S2'!B:B,A28)-N28</f>
        <v>48</v>
      </c>
      <c r="P28" s="88">
        <f>LOOKUP(2, 1/('OB History S2'!$B:$B=A28), 'OB History S2'!$AB:$AB)</f>
        <v>0.38750000000000007</v>
      </c>
      <c r="Q28" s="34">
        <f>SUMIFS('OB History S2'!H:H,'OB History S2'!B:B,A28)</f>
        <v>159</v>
      </c>
      <c r="R28" s="2">
        <f>SUMIFS('OB History S2'!G:G,'OB History S2'!B:B,A28)-Q28</f>
        <v>174</v>
      </c>
      <c r="S28" s="88">
        <f>LOOKUP(2, 1/('OB History S2'!$B:$B=A28), 'OB History S2'!$AC:$AC)</f>
        <v>0.47149999999999997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462</v>
      </c>
      <c r="I33" s="4">
        <f>AVERAGEIFS('OB History S2'!C:C,'OB History S2'!B:B,A33)</f>
        <v>12.833333333333334</v>
      </c>
      <c r="J33" s="35">
        <f t="array" ref="J33">MAX(IF('OB History S2'!B:B=A33, 'OB History S2'!C:C))</f>
        <v>27</v>
      </c>
      <c r="K33" s="34">
        <f>COUNTIFS('OB History S2'!B:B,A33,'OB History S2'!D:D, 1)</f>
        <v>20</v>
      </c>
      <c r="L33" s="2">
        <f>COUNTIFS('OB History S2'!B:B,A33,'OB History S2'!D:D, 0)</f>
        <v>16</v>
      </c>
      <c r="M33" s="88">
        <f>LOOKUP(2, 1/('OB History S2'!$B:$B=A33), 'OB History S2'!$AD:$AD)</f>
        <v>0.55555555555555558</v>
      </c>
      <c r="N33" s="34">
        <f>SUMIFS('OB History S2'!F:F,'OB History S2'!B:B,A33)</f>
        <v>76</v>
      </c>
      <c r="O33" s="2">
        <f>SUMIFS('OB History S2'!E:E,'OB History S2'!B:B,A33)-N33</f>
        <v>67</v>
      </c>
      <c r="P33" s="88">
        <f>LOOKUP(2, 1/('OB History S2'!$B:$B=A33), 'OB History S2'!$AB:$AB)</f>
        <v>0.54305555555555551</v>
      </c>
      <c r="Q33" s="34">
        <f>SUMIFS('OB History S2'!H:H,'OB History S2'!B:B,A33)</f>
        <v>302</v>
      </c>
      <c r="R33" s="2">
        <f>SUMIFS('OB History S2'!G:G,'OB History S2'!B:B,A33)-Q33</f>
        <v>284</v>
      </c>
      <c r="S33" s="88">
        <f>LOOKUP(2, 1/('OB History S2'!$B:$B=A33), 'OB History S2'!$AC:$AC)</f>
        <v>0.52055555555555566</v>
      </c>
      <c r="T33" s="2">
        <f>COUNTIFS('OB History S2'!$B:$B,$A$33,'OB History S2'!K:K, 1)</f>
        <v>1</v>
      </c>
      <c r="U33" s="2">
        <f>COUNTIFS('OB History S2'!$B:$B,$A$33,'OB History S2'!L:L, 1)</f>
        <v>9</v>
      </c>
      <c r="V33" s="2">
        <f>COUNTIFS('OB History S2'!$B:$B,$A$33,'OB History S2'!M:M, 1)</f>
        <v>2</v>
      </c>
      <c r="W33" s="2">
        <f>COUNTIFS('OB History S2'!$B:$B,$A$33,'OB History S2'!N:N, 1)</f>
        <v>8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15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527</v>
      </c>
      <c r="I34" s="4">
        <f>AVERAGEIFS('OB History S2'!C:C,'OB History S2'!B:B,A34)</f>
        <v>21.08</v>
      </c>
      <c r="J34" s="35">
        <f t="array" ref="J34">MAX(IF('OB History S2'!B:B=A34, 'OB History S2'!C:C))</f>
        <v>39</v>
      </c>
      <c r="K34" s="34">
        <f>COUNTIFS('OB History S2'!B:B,A34,'OB History S2'!D:D, 1)</f>
        <v>13</v>
      </c>
      <c r="L34" s="2">
        <f>COUNTIFS('OB History S2'!B:B,A34,'OB History S2'!D:D, 0)</f>
        <v>12</v>
      </c>
      <c r="M34" s="88">
        <f>LOOKUP(2, 1/('OB History S2'!$B:$B=A34), 'OB History S2'!$AD:$AD)</f>
        <v>0.52</v>
      </c>
      <c r="N34" s="34">
        <f>SUMIFS('OB History S2'!F:F,'OB History S2'!B:B,A34)</f>
        <v>49</v>
      </c>
      <c r="O34" s="2">
        <f>SUMIFS('OB History S2'!E:E,'OB History S2'!B:B,A34)-N34</f>
        <v>50</v>
      </c>
      <c r="P34" s="88">
        <f>LOOKUP(2, 1/('OB History S2'!$B:$B=A34), 'OB History S2'!$AB:$AB)</f>
        <v>0.49399999999999994</v>
      </c>
      <c r="Q34" s="34">
        <f>SUMIFS('OB History S2'!H:H,'OB History S2'!B:B,A34)</f>
        <v>208</v>
      </c>
      <c r="R34" s="2">
        <f>SUMIFS('OB History S2'!G:G,'OB History S2'!B:B,A34)-Q34</f>
        <v>202</v>
      </c>
      <c r="S34" s="88">
        <f>LOOKUP(2, 1/('OB History S2'!$B:$B=A34), 'OB History S2'!$AC:$AC)</f>
        <v>0.5072000000000001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1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4</v>
      </c>
      <c r="AI34" s="2">
        <f>COUNTIFS('OB History S2'!$B:$B,$A$34,'OB History S2'!Z:Z, 1)</f>
        <v>4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2</v>
      </c>
      <c r="F36" s="6">
        <v>1</v>
      </c>
      <c r="G36" s="6"/>
      <c r="H36" s="34">
        <f>SUMIFS('OB History S2'!C:C,'OB History S2'!B:B,A36)</f>
        <v>969</v>
      </c>
      <c r="I36" s="4">
        <f>AVERAGEIFS('OB History S2'!C:C,'OB History S2'!B:B,A36)</f>
        <v>24.846153846153847</v>
      </c>
      <c r="J36" s="35">
        <f t="array" ref="J36">MAX(IF('OB History S2'!B:B=A36, 'OB History S2'!C:C))</f>
        <v>58</v>
      </c>
      <c r="K36" s="34">
        <f>COUNTIFS('OB History S2'!B:B,A36,'OB History S2'!D:D, 1)</f>
        <v>23</v>
      </c>
      <c r="L36" s="2">
        <f>COUNTIFS('OB History S2'!B:B,A36,'OB History S2'!D:D, 0)</f>
        <v>16</v>
      </c>
      <c r="M36" s="88">
        <f>LOOKUP(2, 1/('OB History S2'!$B:$B=A36), 'OB History S2'!$AD:$AD)</f>
        <v>0.58974358974358976</v>
      </c>
      <c r="N36" s="34">
        <f>SUMIFS('OB History S2'!F:F,'OB History S2'!B:B,A36)</f>
        <v>89</v>
      </c>
      <c r="O36" s="2">
        <f>SUMIFS('OB History S2'!E:E,'OB History S2'!B:B,A36)-N36</f>
        <v>66</v>
      </c>
      <c r="P36" s="88">
        <f>LOOKUP(2, 1/('OB History S2'!$B:$B=A36), 'OB History S2'!$AB:$AB)</f>
        <v>0.58461538461538454</v>
      </c>
      <c r="Q36" s="34">
        <f>SUMIFS('OB History S2'!H:H,'OB History S2'!B:B,A36)</f>
        <v>347</v>
      </c>
      <c r="R36" s="2">
        <f>SUMIFS('OB History S2'!G:G,'OB History S2'!B:B,A36)-Q36</f>
        <v>289</v>
      </c>
      <c r="S36" s="88">
        <f>LOOKUP(2, 1/('OB History S2'!$B:$B=A36), 'OB History S2'!$AC:$AC)</f>
        <v>0.55102564102564089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5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13</v>
      </c>
      <c r="AI36" s="2">
        <f>COUNTIFS('OB History S2'!$B:$B,$A$36,'OB History S2'!Z:Z, 1)</f>
        <v>9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242</v>
      </c>
      <c r="I37" s="4">
        <f>AVERAGEIFS('OB History S2'!C:C,'OB History S2'!B:B,A37)</f>
        <v>30.25</v>
      </c>
      <c r="J37" s="35">
        <f t="array" ref="J37">MAX(IF('OB History S2'!B:B=A37, 'OB History S2'!C:C))</f>
        <v>68</v>
      </c>
      <c r="K37" s="34">
        <f>COUNTIFS('OB History S2'!B:B,A37,'OB History S2'!D:D, 1)</f>
        <v>4</v>
      </c>
      <c r="L37" s="2">
        <f>COUNTIFS('OB History S2'!B:B,A37,'OB History S2'!D:D, 0)</f>
        <v>4</v>
      </c>
      <c r="M37" s="88">
        <f>LOOKUP(2, 1/('OB History S2'!$B:$B=A37), 'OB History S2'!$AD:$AD)</f>
        <v>0.5</v>
      </c>
      <c r="N37" s="34">
        <f>SUMIFS('OB History S2'!F:F,'OB History S2'!B:B,A37)</f>
        <v>19</v>
      </c>
      <c r="O37" s="2">
        <f>SUMIFS('OB History S2'!E:E,'OB History S2'!B:B,A37)-N37</f>
        <v>12</v>
      </c>
      <c r="P37" s="88">
        <f>LOOKUP(2, 1/('OB History S2'!$B:$B=A37), 'OB History S2'!$AB:$AB)</f>
        <v>0.68125000000000002</v>
      </c>
      <c r="Q37" s="34">
        <f>SUMIFS('OB History S2'!H:H,'OB History S2'!B:B,A37)</f>
        <v>74</v>
      </c>
      <c r="R37" s="2">
        <f>SUMIFS('OB History S2'!G:G,'OB History S2'!B:B,A37)-Q37</f>
        <v>62</v>
      </c>
      <c r="S37" s="88">
        <f>LOOKUP(2, 1/('OB History S2'!$B:$B=A37), 'OB History S2'!$AC:$AC)</f>
        <v>0.5675</v>
      </c>
      <c r="T37" s="2">
        <f>COUNTIFS('OB History S2'!$B:$B,$A$37,'OB History S2'!K:K, 1)</f>
        <v>1</v>
      </c>
      <c r="U37" s="2">
        <f>COUNTIFS('OB History S2'!$B:$B,$A$37,'OB History S2'!L:L, 1)</f>
        <v>3</v>
      </c>
      <c r="V37" s="2">
        <f>COUNTIFS('OB History S2'!$B:$B,$A$37,'OB History S2'!M:M, 1)</f>
        <v>0</v>
      </c>
      <c r="W37" s="2">
        <f>COUNTIFS('OB History S2'!$B:$B,$A$37,'OB History S2'!N:N, 1)</f>
        <v>4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4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116</v>
      </c>
      <c r="I40" s="4">
        <f>AVERAGEIFS('OB History S2'!C:C,'OB History S2'!B:B,A40)</f>
        <v>9.6666666666666661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6</v>
      </c>
      <c r="M40" s="88">
        <f>LOOKUP(2, 1/('OB History S2'!$B:$B=A40), 'OB History S2'!$AD:$AD)</f>
        <v>0.5</v>
      </c>
      <c r="N40" s="34">
        <f>SUMIFS('OB History S2'!F:F,'OB History S2'!B:B,A40)</f>
        <v>24</v>
      </c>
      <c r="O40" s="2">
        <f>SUMIFS('OB History S2'!E:E,'OB History S2'!B:B,A40)-N40</f>
        <v>25</v>
      </c>
      <c r="P40" s="88">
        <f>LOOKUP(2, 1/('OB History S2'!$B:$B=A40), 'OB History S2'!$AB:$AB)</f>
        <v>0.45833333333333331</v>
      </c>
      <c r="Q40" s="34">
        <f>SUMIFS('OB History S2'!H:H,'OB History S2'!B:B,A40)</f>
        <v>100</v>
      </c>
      <c r="R40" s="2">
        <f>SUMIFS('OB History S2'!G:G,'OB History S2'!B:B,A40)-Q40</f>
        <v>102</v>
      </c>
      <c r="S40" s="88">
        <f>LOOKUP(2, 1/('OB History S2'!$B:$B=A40), 'OB History S2'!$AC:$AC)</f>
        <v>0.48416666666666658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4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259</v>
      </c>
      <c r="I41" s="4">
        <f>AVERAGEIFS('OB History S2'!C:C,'OB History S2'!B:B,A41)</f>
        <v>16.1875</v>
      </c>
      <c r="J41" s="35">
        <f t="array" ref="J41">MAX(IF('OB History S2'!B:B=A41, 'OB History S2'!C:C))</f>
        <v>33</v>
      </c>
      <c r="K41" s="34">
        <f>COUNTIFS('OB History S2'!B:B,A41,'OB History S2'!D:D, 1)</f>
        <v>6</v>
      </c>
      <c r="L41" s="2">
        <f>COUNTIFS('OB History S2'!B:B,A41,'OB History S2'!D:D, 0)</f>
        <v>10</v>
      </c>
      <c r="M41" s="88">
        <f>LOOKUP(2, 1/('OB History S2'!$B:$B=A41), 'OB History S2'!$AD:$AD)</f>
        <v>0.375</v>
      </c>
      <c r="N41" s="34">
        <f>SUMIFS('OB History S2'!F:F,'OB History S2'!B:B,A41)</f>
        <v>28</v>
      </c>
      <c r="O41" s="2">
        <f>SUMIFS('OB History S2'!E:E,'OB History S2'!B:B,A41)-N41</f>
        <v>36</v>
      </c>
      <c r="P41" s="88">
        <f>LOOKUP(2, 1/('OB History S2'!$B:$B=A41), 'OB History S2'!$AB:$AB)</f>
        <v>0.44062499999999999</v>
      </c>
      <c r="Q41" s="34">
        <f>SUMIFS('OB History S2'!H:H,'OB History S2'!B:B,A41)</f>
        <v>129</v>
      </c>
      <c r="R41" s="2">
        <f>SUMIFS('OB History S2'!G:G,'OB History S2'!B:B,A41)-Q41</f>
        <v>138</v>
      </c>
      <c r="S41" s="88">
        <f>LOOKUP(2, 1/('OB History S2'!$B:$B=A41), 'OB History S2'!$AC:$AC)</f>
        <v>0.48500000000000004</v>
      </c>
      <c r="T41" s="2">
        <f>COUNTIFS('OB History S2'!$B:$B,$A$41,'OB History S2'!K:K, 1)</f>
        <v>3</v>
      </c>
      <c r="U41" s="2">
        <f>COUNTIFS('OB History S2'!$B:$B,$A$41,'OB History S2'!L:L, 1)</f>
        <v>3</v>
      </c>
      <c r="V41" s="2">
        <f>COUNTIFS('OB History S2'!$B:$B,$A$41,'OB History S2'!M:M, 1)</f>
        <v>0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17</v>
      </c>
      <c r="E44" s="2">
        <v>3</v>
      </c>
      <c r="F44" s="2"/>
      <c r="G44" s="2"/>
      <c r="H44" s="34">
        <f>SUMIFS('OB History S2'!C:C,'OB History S2'!B:B,A44)</f>
        <v>717</v>
      </c>
      <c r="I44" s="4">
        <f>AVERAGEIFS('OB History S2'!C:C,'OB History S2'!B:B,A44)</f>
        <v>23.9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18</v>
      </c>
      <c r="M44" s="88">
        <f>LOOKUP(2, 1/('OB History S2'!$B:$B=A44), 'OB History S2'!$AD:$AD)</f>
        <v>0.4</v>
      </c>
      <c r="N44" s="34">
        <f>SUMIFS('OB History S2'!F:F,'OB History S2'!B:B,A44)</f>
        <v>50</v>
      </c>
      <c r="O44" s="2">
        <f>SUMIFS('OB History S2'!E:E,'OB History S2'!B:B,A44)-N44</f>
        <v>68</v>
      </c>
      <c r="P44" s="88">
        <f>LOOKUP(2, 1/('OB History S2'!$B:$B=A44), 'OB History S2'!$AB:$AB)</f>
        <v>0.40666666666666668</v>
      </c>
      <c r="Q44" s="34">
        <f>SUMIFS('OB History S2'!H:H,'OB History S2'!B:B,A44)</f>
        <v>230</v>
      </c>
      <c r="R44" s="2">
        <f>SUMIFS('OB History S2'!G:G,'OB History S2'!B:B,A44)-Q44</f>
        <v>255</v>
      </c>
      <c r="S44" s="88">
        <f>LOOKUP(2, 1/('OB History S2'!$B:$B=A44), 'OB History S2'!$AC:$AC)</f>
        <v>0.46933333333333321</v>
      </c>
      <c r="T44" s="2">
        <f>COUNTIFS('OB History S2'!$B:$B,$A$44,'OB History S2'!K:K, 1)</f>
        <v>1</v>
      </c>
      <c r="U44" s="2">
        <f>COUNTIFS('OB History S2'!$B:$B,$A$44,'OB History S2'!L:L, 1)</f>
        <v>7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601</v>
      </c>
      <c r="I45" s="4">
        <f>AVERAGEIFS('OB History S2'!C:C,'OB History S2'!B:B,A45)</f>
        <v>18.78125</v>
      </c>
      <c r="J45" s="35">
        <f t="array" ref="J45">MAX(IF('OB History S2'!B:B=A45, 'OB History S2'!C:C))</f>
        <v>43</v>
      </c>
      <c r="K45" s="34">
        <f>COUNTIFS('OB History S2'!B:B,A45,'OB History S2'!D:D, 1)</f>
        <v>12</v>
      </c>
      <c r="L45" s="2">
        <f>COUNTIFS('OB History S2'!B:B,A45,'OB History S2'!D:D, 0)</f>
        <v>20</v>
      </c>
      <c r="M45" s="88">
        <f>LOOKUP(2, 1/('OB History S2'!$B:$B=A45), 'OB History S2'!$AD:$AD)</f>
        <v>0.375</v>
      </c>
      <c r="N45" s="34">
        <f>SUMIFS('OB History S2'!F:F,'OB History S2'!B:B,A45)</f>
        <v>56</v>
      </c>
      <c r="O45" s="2">
        <f>SUMIFS('OB History S2'!E:E,'OB History S2'!B:B,A45)-N45</f>
        <v>77</v>
      </c>
      <c r="P45" s="88">
        <f>LOOKUP(2, 1/('OB History S2'!$B:$B=A45), 'OB History S2'!$AB:$AB)</f>
        <v>0.39999999999999997</v>
      </c>
      <c r="Q45" s="34">
        <f>SUMIFS('OB History S2'!H:H,'OB History S2'!B:B,A45)</f>
        <v>261</v>
      </c>
      <c r="R45" s="2">
        <f>SUMIFS('OB History S2'!G:G,'OB History S2'!B:B,A45)-Q45</f>
        <v>286</v>
      </c>
      <c r="S45" s="88">
        <f>LOOKUP(2, 1/('OB History S2'!$B:$B=A45), 'OB History S2'!$AC:$AC)</f>
        <v>0.46562500000000012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3</v>
      </c>
      <c r="W45" s="2">
        <f>COUNTIFS('OB History S2'!$B:$B,$A$45,'OB History S2'!N:N, 1)</f>
        <v>9</v>
      </c>
      <c r="X45" s="2">
        <f>COUNTIFS('OB History S2'!$B:$B,$A$45,'OB History S2'!O:O, 1)</f>
        <v>4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2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5</v>
      </c>
      <c r="AG45" s="2">
        <f>COUNTIFS('OB History S2'!$B:$B,$A$45,'OB History S2'!X:X, 1)</f>
        <v>7</v>
      </c>
      <c r="AH45" s="2">
        <f>COUNTIFS('OB History S2'!$B:$B,$A$45,'OB History S2'!Y:Y, 1)</f>
        <v>5</v>
      </c>
      <c r="AI45" s="2">
        <f>COUNTIFS('OB History S2'!$B:$B,$A$45,'OB History S2'!Z:Z, 1)</f>
        <v>4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382</v>
      </c>
      <c r="I46" s="4">
        <f>AVERAGEIFS('OB History S2'!C:C,'OB History S2'!B:B,A46)</f>
        <v>25.466666666666665</v>
      </c>
      <c r="J46" s="35">
        <f t="array" ref="J46">MAX(IF('OB History S2'!B:B=A46, 'OB History S2'!C:C))</f>
        <v>66</v>
      </c>
      <c r="K46" s="34">
        <f>COUNTIFS('OB History S2'!B:B,A46,'OB History S2'!D:D, 1)</f>
        <v>9</v>
      </c>
      <c r="L46" s="2">
        <f>COUNTIFS('OB History S2'!B:B,A46,'OB History S2'!D:D, 0)</f>
        <v>6</v>
      </c>
      <c r="M46" s="88">
        <f>LOOKUP(2, 1/('OB History S2'!$B:$B=A46), 'OB History S2'!$AD:$AD)</f>
        <v>0.6</v>
      </c>
      <c r="N46" s="34">
        <f>SUMIFS('OB History S2'!F:F,'OB History S2'!B:B,A46)</f>
        <v>35</v>
      </c>
      <c r="O46" s="2">
        <f>SUMIFS('OB History S2'!E:E,'OB History S2'!B:B,A46)-N46</f>
        <v>25</v>
      </c>
      <c r="P46" s="88">
        <f>LOOKUP(2, 1/('OB History S2'!$B:$B=A46), 'OB History S2'!$AB:$AB)</f>
        <v>0.60999999999999988</v>
      </c>
      <c r="Q46" s="34">
        <f>SUMIFS('OB History S2'!H:H,'OB History S2'!B:B,A46)</f>
        <v>140</v>
      </c>
      <c r="R46" s="2">
        <f>SUMIFS('OB History S2'!G:G,'OB History S2'!B:B,A46)-Q46</f>
        <v>111</v>
      </c>
      <c r="S46" s="88">
        <f>LOOKUP(2, 1/('OB History S2'!$B:$B=A46), 'OB History S2'!$AC:$AC)</f>
        <v>0.56866666666666665</v>
      </c>
      <c r="T46" s="2">
        <f>COUNTIFS('OB History S2'!$B:$B,$A$46,'OB History S2'!K:K, 1)</f>
        <v>2</v>
      </c>
      <c r="U46" s="2">
        <f>COUNTIFS('OB History S2'!$B:$B,$A$46,'OB History S2'!L:L, 1)</f>
        <v>3</v>
      </c>
      <c r="V46" s="2">
        <f>COUNTIFS('OB History S2'!$B:$B,$A$46,'OB History S2'!M:M, 1)</f>
        <v>5</v>
      </c>
      <c r="W46" s="2">
        <f>COUNTIFS('OB History S2'!$B:$B,$A$46,'OB History S2'!N:N, 1)</f>
        <v>4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3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554</v>
      </c>
      <c r="I47" s="4">
        <f>AVERAGEIFS('OB History S2'!C:C,'OB History S2'!B:B,A47)</f>
        <v>26.38095238095238</v>
      </c>
      <c r="J47" s="35">
        <f t="array" ref="J47">MAX(IF('OB History S2'!B:B=A47, 'OB History S2'!C:C))</f>
        <v>58</v>
      </c>
      <c r="K47" s="34">
        <f>COUNTIFS('OB History S2'!B:B,A47,'OB History S2'!D:D, 1)</f>
        <v>12</v>
      </c>
      <c r="L47" s="2">
        <f>COUNTIFS('OB History S2'!B:B,A47,'OB History S2'!D:D, 0)</f>
        <v>9</v>
      </c>
      <c r="M47" s="88">
        <f>LOOKUP(2, 1/('OB History S2'!$B:$B=A47), 'OB History S2'!$AD:$AD)</f>
        <v>0.5714285714285714</v>
      </c>
      <c r="N47" s="34">
        <f>SUMIFS('OB History S2'!F:F,'OB History S2'!B:B,A47)</f>
        <v>45</v>
      </c>
      <c r="O47" s="2">
        <f>SUMIFS('OB History S2'!E:E,'OB History S2'!B:B,A47)-N47</f>
        <v>40</v>
      </c>
      <c r="P47" s="88">
        <f>LOOKUP(2, 1/('OB History S2'!$B:$B=A47), 'OB History S2'!$AB:$AB)</f>
        <v>0.52380952380952384</v>
      </c>
      <c r="Q47" s="34">
        <f>SUMIFS('OB History S2'!H:H,'OB History S2'!B:B,A47)</f>
        <v>181</v>
      </c>
      <c r="R47" s="2">
        <f>SUMIFS('OB History S2'!G:G,'OB History S2'!B:B,A47)-Q47</f>
        <v>172</v>
      </c>
      <c r="S47" s="88">
        <f>LOOKUP(2, 1/('OB History S2'!$B:$B=A47), 'OB History S2'!$AC:$AC)</f>
        <v>0.51666666666666672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2</v>
      </c>
      <c r="W47" s="2">
        <f>COUNTIFS('OB History S2'!$B:$B,$A$47,'OB History S2'!N:N, 1)</f>
        <v>6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2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4</v>
      </c>
      <c r="AG47" s="2">
        <f>COUNTIFS('OB History S2'!$B:$B,$A$47,'OB History S2'!X:X, 1)</f>
        <v>5</v>
      </c>
      <c r="AH47" s="2">
        <f>COUNTIFS('OB History S2'!$B:$B,$A$47,'OB History S2'!Y:Y, 1)</f>
        <v>4</v>
      </c>
      <c r="AI47" s="2">
        <f>COUNTIFS('OB History S2'!$B:$B,$A$47,'OB History S2'!Z:Z, 1)</f>
        <v>5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313</v>
      </c>
      <c r="I48" s="4">
        <f>AVERAGEIFS('OB History S2'!C:C,'OB History S2'!B:B,A48)</f>
        <v>20.866666666666667</v>
      </c>
      <c r="J48" s="35">
        <f t="array" ref="J48">MAX(IF('OB History S2'!B:B=A48, 'OB History S2'!C:C))</f>
        <v>50</v>
      </c>
      <c r="K48" s="34">
        <f>COUNTIFS('OB History S2'!B:B,A48,'OB History S2'!D:D, 1)</f>
        <v>10</v>
      </c>
      <c r="L48" s="2">
        <f>COUNTIFS('OB History S2'!B:B,A48,'OB History S2'!D:D, 0)</f>
        <v>5</v>
      </c>
      <c r="M48" s="88">
        <f>LOOKUP(2, 1/('OB History S2'!$B:$B=A48), 'OB History S2'!$AD:$AD)</f>
        <v>0.66666666666666663</v>
      </c>
      <c r="N48" s="34">
        <f>SUMIFS('OB History S2'!F:F,'OB History S2'!B:B,A48)</f>
        <v>33</v>
      </c>
      <c r="O48" s="2">
        <f>SUMIFS('OB History S2'!E:E,'OB History S2'!B:B,A48)-N48</f>
        <v>23</v>
      </c>
      <c r="P48" s="88">
        <f>LOOKUP(2, 1/('OB History S2'!$B:$B=A48), 'OB History S2'!$AB:$AB)</f>
        <v>0.59</v>
      </c>
      <c r="Q48" s="34">
        <f>SUMIFS('OB History S2'!H:H,'OB History S2'!B:B,A48)</f>
        <v>123</v>
      </c>
      <c r="R48" s="2">
        <f>SUMIFS('OB History S2'!G:G,'OB History S2'!B:B,A48)-Q48</f>
        <v>110</v>
      </c>
      <c r="S48" s="88">
        <f>LOOKUP(2, 1/('OB History S2'!$B:$B=A48), 'OB History S2'!$AC:$AC)</f>
        <v>0.52399999999999991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3</v>
      </c>
      <c r="W48" s="2">
        <f>COUNTIFS('OB History S2'!$B:$B,$A$48,'OB History S2'!N:N, 1)</f>
        <v>4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5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5</v>
      </c>
      <c r="E50" s="6">
        <v>2</v>
      </c>
      <c r="F50" s="6"/>
      <c r="G50" s="6"/>
      <c r="H50" s="34">
        <f>SUMIFS('OB History S2'!C:C,'OB History S2'!B:B,A50)</f>
        <v>552</v>
      </c>
      <c r="I50" s="4">
        <f>AVERAGEIFS('OB History S2'!C:C,'OB History S2'!B:B,A50)</f>
        <v>22.08</v>
      </c>
      <c r="J50" s="35">
        <f t="array" ref="J50">MAX(IF('OB History S2'!B:B=A50, 'OB History S2'!C:C))</f>
        <v>54</v>
      </c>
      <c r="K50" s="34">
        <f>COUNTIFS('OB History S2'!B:B,A50,'OB History S2'!D:D, 1)</f>
        <v>10</v>
      </c>
      <c r="L50" s="2">
        <f>COUNTIFS('OB History S2'!B:B,A50,'OB History S2'!D:D, 0)</f>
        <v>15</v>
      </c>
      <c r="M50" s="88">
        <f>LOOKUP(2, 1/('OB History S2'!$B:$B=A50), 'OB History S2'!$AD:$AD)</f>
        <v>0.4</v>
      </c>
      <c r="N50" s="34">
        <f>SUMIFS('OB History S2'!F:F,'OB History S2'!B:B,A50)</f>
        <v>44</v>
      </c>
      <c r="O50" s="2">
        <f>SUMIFS('OB History S2'!E:E,'OB History S2'!B:B,A50)-N50</f>
        <v>56</v>
      </c>
      <c r="P50" s="88">
        <f>LOOKUP(2, 1/('OB History S2'!$B:$B=A50), 'OB History S2'!$AB:$AB)</f>
        <v>0.43</v>
      </c>
      <c r="Q50" s="34">
        <f>SUMIFS('OB History S2'!H:H,'OB History S2'!B:B,A50)</f>
        <v>187</v>
      </c>
      <c r="R50" s="2">
        <f>SUMIFS('OB History S2'!G:G,'OB History S2'!B:B,A50)-Q50</f>
        <v>224</v>
      </c>
      <c r="S50" s="88">
        <f>LOOKUP(2, 1/('OB History S2'!$B:$B=A50), 'OB History S2'!$AC:$AC)</f>
        <v>0.45640000000000003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2</v>
      </c>
      <c r="W50" s="2">
        <f>COUNTIFS('OB History S2'!$B:$B,$A$50,'OB History S2'!N:N, 1)</f>
        <v>3</v>
      </c>
      <c r="X50" s="2">
        <f>COUNTIFS('OB History S2'!$B:$B,$A$50,'OB History S2'!O:O, 1)</f>
        <v>2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5</v>
      </c>
      <c r="AG50" s="2">
        <f>COUNTIFS('OB History S2'!$B:$B,$A$50,'OB History S2'!X:X, 1)</f>
        <v>11</v>
      </c>
      <c r="AH50" s="2">
        <f>COUNTIFS('OB History S2'!$B:$B,$A$50,'OB History S2'!Y:Y, 1)</f>
        <v>4</v>
      </c>
      <c r="AI50" s="2">
        <f>COUNTIFS('OB History S2'!$B:$B,$A$50,'OB History S2'!Z:Z, 1)</f>
        <v>5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35"/>
  <sheetViews>
    <sheetView workbookViewId="0">
      <pane ySplit="1" topLeftCell="A619" activePane="bottomLeft" state="frozen"/>
      <selection pane="bottomLeft" activeCell="AA622" sqref="AA622:AD63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13" activePane="bottomRight" state="frozen"/>
      <selection pane="topRight" activeCell="B1" sqref="B1"/>
      <selection pane="bottomLeft" activeCell="A2" sqref="A2"/>
      <selection pane="bottomRight" activeCell="B32" sqref="B32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271</v>
      </c>
      <c r="G2" s="66">
        <f>AVERAGEIFS('BA History'!C:C,'BA History'!B:B,A2)</f>
        <v>12.904761904761905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10</v>
      </c>
      <c r="K2" s="2">
        <f>COUNTIFS('BA History'!B:B,A2,'BA History'!D:D, 0)</f>
        <v>11</v>
      </c>
      <c r="L2" s="75">
        <f>LOOKUP(2, 1/('BA History'!$B:$B=A2), 'BA History'!$AK:$AK)</f>
        <v>0.47619047619047616</v>
      </c>
      <c r="M2" s="34">
        <f>SUMIFS('BA History'!F:F,'BA History'!B:B,A2)</f>
        <v>44</v>
      </c>
      <c r="N2" s="2">
        <f>SUMIFS('BA History'!E:E,'BA History'!B:B,A2)-M2</f>
        <v>43</v>
      </c>
      <c r="O2" s="75">
        <f>LOOKUP(2, 1/('BA History'!$B:$B=A2), 'BA History'!$AI:$AI)</f>
        <v>0.5095238095238096</v>
      </c>
      <c r="P2" s="34">
        <f>SUMIFS('BA History'!H:H,'BA History'!B:B,A2)</f>
        <v>181</v>
      </c>
      <c r="Q2" s="2">
        <f>SUMIFS('BA History'!G:G,'BA History'!B:B,A2)-P2</f>
        <v>178</v>
      </c>
      <c r="R2" s="89">
        <f>LOOKUP(2, 1/('BA History'!$B:$B=A2), 'BA History'!$AJ:$AJ)</f>
        <v>0.49952380952380943</v>
      </c>
      <c r="S2" s="2">
        <f>COUNTIFS('BA History'!$B:$B,$A$2,'BA History'!K:K, 1)</f>
        <v>1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2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6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4</v>
      </c>
      <c r="AL2" s="2">
        <f>COUNTIFS('BA History'!$B:$B,$A$2,'BA History'!AD:AD, 1)</f>
        <v>0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6</v>
      </c>
      <c r="K3" s="2">
        <f>COUNTIFS('BA History'!B:B,A3,'BA History'!D:D, 0)</f>
        <v>5</v>
      </c>
      <c r="L3" s="75">
        <f>LOOKUP(2, 1/('BA History'!$B:$B=A3), 'BA History'!$AK:$AK)</f>
        <v>0.54545454545454541</v>
      </c>
      <c r="M3" s="34">
        <f>SUMIFS('BA History'!F:F,'BA History'!B:B,A3)</f>
        <v>26</v>
      </c>
      <c r="N3" s="2">
        <f>SUMIFS('BA History'!E:E,'BA History'!B:B,A3)-M3</f>
        <v>19</v>
      </c>
      <c r="O3" s="75">
        <f>LOOKUP(2, 1/('BA History'!$B:$B=A3), 'BA History'!$AI:$AI)</f>
        <v>0.6</v>
      </c>
      <c r="P3" s="34">
        <f>SUMIFS('BA History'!H:H,'BA History'!B:B,A3)</f>
        <v>100</v>
      </c>
      <c r="Q3" s="2">
        <f>SUMIFS('BA History'!G:G,'BA History'!B:B,A3)-P3</f>
        <v>91</v>
      </c>
      <c r="R3" s="89">
        <f>LOOKUP(2, 1/('BA History'!$B:$B=A3), 'BA History'!$AJ:$AJ)</f>
        <v>0.51636363636363636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3</v>
      </c>
      <c r="AA3" s="2">
        <f>COUNTIFS('BA History'!$B:$B,$A$3,'BA History'!S:S, 1)</f>
        <v>0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2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1</v>
      </c>
      <c r="AN3" s="2">
        <f>COUNTIFS('BA History'!$B:$B,$A$3,'BA History'!AF:AF, 1)</f>
        <v>0</v>
      </c>
      <c r="AO3" s="2">
        <f>COUNTIFS('BA History'!$B:$B,$A$3,'BA History'!AG:AG, 1)</f>
        <v>3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559</v>
      </c>
      <c r="G5" s="66">
        <f>AVERAGEIFS('BA History'!C:C,'BA History'!B:B,A5)</f>
        <v>15.108108108108109</v>
      </c>
      <c r="H5" s="66">
        <f t="array" ref="H5">MEDIAN(IF('BA History'!B:B=A5, 'BA History'!C:C))</f>
        <v>13</v>
      </c>
      <c r="I5" s="35">
        <f t="array" ref="I5">MAX(IF('BA History'!B:B=A5, 'BA History'!C:C))</f>
        <v>44</v>
      </c>
      <c r="J5" s="34">
        <f>COUNTIFS('BA History'!B:B,A5,'BA History'!D:D, 1)</f>
        <v>19</v>
      </c>
      <c r="K5" s="2">
        <f>COUNTIFS('BA History'!B:B,A5,'BA History'!D:D, 0)</f>
        <v>18</v>
      </c>
      <c r="L5" s="75">
        <f>LOOKUP(2, 1/('BA History'!$B:$B=A5), 'BA History'!$AK:$AK)</f>
        <v>0.51351351351351349</v>
      </c>
      <c r="M5" s="34">
        <f>SUMIFS('BA History'!F:F,'BA History'!B:B,A5)</f>
        <v>75</v>
      </c>
      <c r="N5" s="2">
        <f>SUMIFS('BA History'!E:E,'BA History'!B:B,A5)-M5</f>
        <v>78</v>
      </c>
      <c r="O5" s="75">
        <f>LOOKUP(2, 1/('BA History'!$B:$B=A5), 'BA History'!$AI:$AI)</f>
        <v>0.47297297297297297</v>
      </c>
      <c r="P5" s="34">
        <f>SUMIFS('BA History'!H:H,'BA History'!B:B,A5)</f>
        <v>312</v>
      </c>
      <c r="Q5" s="2">
        <f>SUMIFS('BA History'!G:G,'BA History'!B:B,A5)-P5</f>
        <v>329</v>
      </c>
      <c r="R5" s="89">
        <f>LOOKUP(2, 1/('BA History'!$B:$B=A5), 'BA History'!$AJ:$AJ)</f>
        <v>0.47783783783783773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8</v>
      </c>
      <c r="V5" s="2">
        <f>COUNTIFS('BA History'!$B:$B,$A$5,'BA History'!N:N, 1)</f>
        <v>6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1</v>
      </c>
      <c r="AD5" s="2">
        <f>COUNTIFS('BA History'!$B:$B,$A$5,'BA History'!V:V, 1)</f>
        <v>5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5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8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4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10.409090909090908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18</v>
      </c>
      <c r="K7" s="2">
        <f>COUNTIFS('BA History'!B:B,A7,'BA History'!D:D, 0)</f>
        <v>26</v>
      </c>
      <c r="L7" s="75">
        <f>LOOKUP(2, 1/('BA History'!$B:$B=A7), 'BA History'!$AK:$AK)</f>
        <v>0.40909090909090912</v>
      </c>
      <c r="M7" s="34">
        <f>SUMIFS('BA History'!F:F,'BA History'!B:B,A7)</f>
        <v>83</v>
      </c>
      <c r="N7" s="2">
        <f>SUMIFS('BA History'!E:E,'BA History'!B:B,A7)-M7</f>
        <v>97</v>
      </c>
      <c r="O7" s="75">
        <f>LOOKUP(2, 1/('BA History'!$B:$B=A7), 'BA History'!$AI:$AI)</f>
        <v>0.44840909090909092</v>
      </c>
      <c r="P7" s="34">
        <f>SUMIFS('BA History'!H:H,'BA History'!B:B,A7)</f>
        <v>365</v>
      </c>
      <c r="Q7" s="2">
        <f>SUMIFS('BA History'!G:G,'BA History'!B:B,A7)-P7</f>
        <v>386</v>
      </c>
      <c r="R7" s="89">
        <f>LOOKUP(2, 1/('BA History'!$B:$B=A7), 'BA History'!$AJ:$AJ)</f>
        <v>0.48113636363636358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6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1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9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989</v>
      </c>
      <c r="G9" s="66">
        <f>AVERAGEIFS('BA History'!C:C,'BA History'!B:B,A9)</f>
        <v>17.981818181818181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28</v>
      </c>
      <c r="L9" s="75">
        <f>LOOKUP(2, 1/('BA History'!$B:$B=A9), 'BA History'!$AK:$AK)</f>
        <v>0.49090909090909091</v>
      </c>
      <c r="M9" s="34">
        <f>SUMIFS('BA History'!F:F,'BA History'!B:B,A9)</f>
        <v>107</v>
      </c>
      <c r="N9" s="2">
        <f>SUMIFS('BA History'!E:E,'BA History'!B:B,A9)-M9</f>
        <v>117</v>
      </c>
      <c r="O9" s="75">
        <f>LOOKUP(2, 1/('BA History'!$B:$B=A9), 'BA History'!$AI:$AI)</f>
        <v>0.47181818181818186</v>
      </c>
      <c r="P9" s="34">
        <f>SUMIFS('BA History'!H:H,'BA History'!B:B,A9)</f>
        <v>442</v>
      </c>
      <c r="Q9" s="2">
        <f>SUMIFS('BA History'!G:G,'BA History'!B:B,A9)-P9</f>
        <v>487</v>
      </c>
      <c r="R9" s="89">
        <f>LOOKUP(2, 1/('BA History'!$B:$B=A9), 'BA History'!$AJ:$AJ)</f>
        <v>0.46727272727272712</v>
      </c>
      <c r="S9" s="2">
        <f>COUNTIFS('BA History'!$B:$B,$A$9,'BA History'!K:K, 1)</f>
        <v>7</v>
      </c>
      <c r="T9" s="2">
        <f>COUNTIFS('BA History'!$B:$B,$A$9,'BA History'!L:L, 1)</f>
        <v>7</v>
      </c>
      <c r="U9" s="2">
        <f>COUNTIFS('BA History'!$B:$B,$A$9,'BA History'!M:M, 1)</f>
        <v>5</v>
      </c>
      <c r="V9" s="2">
        <f>COUNTIFS('BA History'!$B:$B,$A$9,'BA History'!N:N, 1)</f>
        <v>9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3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10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197</v>
      </c>
      <c r="G10" s="66">
        <f>AVERAGEIFS('BA History'!C:C,'BA History'!B:B,A10)</f>
        <v>17.90909090909091</v>
      </c>
      <c r="H10" s="66">
        <f t="array" ref="H10">MEDIAN(IF('BA History'!B:B=A10, 'BA History'!C:C))</f>
        <v>19</v>
      </c>
      <c r="I10" s="35">
        <f t="array" ref="I10">MAX(IF('BA History'!B:B=A10, 'BA History'!C:C))</f>
        <v>26</v>
      </c>
      <c r="J10" s="34">
        <f>COUNTIFS('BA History'!B:B,A10,'BA History'!D:D, 1)</f>
        <v>4</v>
      </c>
      <c r="K10" s="2">
        <f>COUNTIFS('BA History'!B:B,A10,'BA History'!D:D, 0)</f>
        <v>7</v>
      </c>
      <c r="L10" s="75">
        <f>LOOKUP(2, 1/('BA History'!$B:$B=A10), 'BA History'!$AK:$AK)</f>
        <v>0.36363636363636365</v>
      </c>
      <c r="M10" s="34">
        <f>SUMIFS('BA History'!F:F,'BA History'!B:B,A10)</f>
        <v>22</v>
      </c>
      <c r="N10" s="2">
        <f>SUMIFS('BA History'!E:E,'BA History'!B:B,A10)-M10</f>
        <v>25</v>
      </c>
      <c r="O10" s="75">
        <f>LOOKUP(2, 1/('BA History'!$B:$B=A10), 'BA History'!$AI:$AI)</f>
        <v>0.47272727272727266</v>
      </c>
      <c r="P10" s="34">
        <f>SUMIFS('BA History'!H:H,'BA History'!B:B,A10)</f>
        <v>94</v>
      </c>
      <c r="Q10" s="2">
        <f>SUMIFS('BA History'!G:G,'BA History'!B:B,A10)-P10</f>
        <v>102</v>
      </c>
      <c r="R10" s="89">
        <f>LOOKUP(2, 1/('BA History'!$B:$B=A10), 'BA History'!$AJ:$AJ)</f>
        <v>0.48727272727272725</v>
      </c>
      <c r="S10" s="2">
        <f>COUNTIFS('BA History'!$B:$B,$A$10,'BA History'!K:K, 1)</f>
        <v>2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4</v>
      </c>
      <c r="W10" s="2">
        <f>COUNTIFS('BA History'!$B:$B,$A$10,'BA History'!O:O, 1)</f>
        <v>1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0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4</v>
      </c>
      <c r="AL10" s="2">
        <f>COUNTIFS('BA History'!$B:$B,$A$10,'BA History'!AD:AD, 1)</f>
        <v>0</v>
      </c>
      <c r="AM10" s="2">
        <f>COUNTIFS('BA History'!$B:$B,$A$10,'BA History'!AE:AE, 1)</f>
        <v>2</v>
      </c>
      <c r="AN10" s="2">
        <f>COUNTIFS('BA History'!$B:$B,$A$10,'BA History'!AF:AF, 1)</f>
        <v>1</v>
      </c>
      <c r="AO10" s="2">
        <f>COUNTIFS('BA History'!$B:$B,$A$10,'BA History'!AG:AG, 1)</f>
        <v>2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17</v>
      </c>
      <c r="G11" s="66">
        <f>AVERAGEIFS('BA History'!C:C,'BA History'!B:B,A11)</f>
        <v>3.4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4</v>
      </c>
      <c r="K11" s="2">
        <f>COUNTIFS('BA History'!B:B,A11,'BA History'!D:D, 0)</f>
        <v>1</v>
      </c>
      <c r="L11" s="75">
        <f>LOOKUP(2, 1/('BA History'!$B:$B=A11), 'BA History'!$AK:$AK)</f>
        <v>0.8</v>
      </c>
      <c r="M11" s="34">
        <f>SUMIFS('BA History'!F:F,'BA History'!B:B,A11)</f>
        <v>13</v>
      </c>
      <c r="N11" s="2">
        <f>SUMIFS('BA History'!E:E,'BA History'!B:B,A11)-M11</f>
        <v>7</v>
      </c>
      <c r="O11" s="75">
        <f>LOOKUP(2, 1/('BA History'!$B:$B=A11), 'BA History'!$AI:$AI)</f>
        <v>0.67</v>
      </c>
      <c r="P11" s="34">
        <f>SUMIFS('BA History'!H:H,'BA History'!B:B,A11)</f>
        <v>48</v>
      </c>
      <c r="Q11" s="2">
        <f>SUMIFS('BA History'!G:G,'BA History'!B:B,A11)-P11</f>
        <v>39</v>
      </c>
      <c r="R11" s="89">
        <f>LOOKUP(2, 1/('BA History'!$B:$B=A11), 'BA History'!$AJ:$AJ)</f>
        <v>0.56399999999999995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1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1</v>
      </c>
      <c r="AN11" s="2">
        <f>COUNTIFS('BA History'!$B:$B,$A$11,'BA History'!AF:AF, 1)</f>
        <v>0</v>
      </c>
      <c r="AO11" s="2">
        <f>COUNTIFS('BA History'!$B:$B,$A$11,'BA History'!AG:AG, 1)</f>
        <v>0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66">
        <f t="array" ref="H12">MEDIAN(IF('BA History'!B:B=A12, 'BA History'!C:C))</f>
        <v>10</v>
      </c>
      <c r="I12" s="35">
        <f t="array" ref="I12">MAX(IF('BA History'!B:B=A12, 'BA History'!C:C))</f>
        <v>29</v>
      </c>
      <c r="J12" s="34">
        <f>COUNTIFS('BA History'!B:B,A12,'BA History'!D:D, 1)</f>
        <v>4</v>
      </c>
      <c r="K12" s="2">
        <f>COUNTIFS('BA History'!B:B,A12,'BA History'!D:D, 0)</f>
        <v>3</v>
      </c>
      <c r="L12" s="75">
        <f>LOOKUP(2, 1/('BA History'!$B:$B=A12), 'BA History'!$AK:$AK)</f>
        <v>0.5714285714285714</v>
      </c>
      <c r="M12" s="34">
        <f>SUMIFS('BA History'!F:F,'BA History'!B:B,A12)</f>
        <v>16</v>
      </c>
      <c r="N12" s="2">
        <f>SUMIFS('BA History'!E:E,'BA History'!B:B,A12)-M12</f>
        <v>11</v>
      </c>
      <c r="O12" s="75">
        <f>LOOKUP(2, 1/('BA History'!$B:$B=A12), 'BA History'!$AI:$AI)</f>
        <v>0.62857142857142867</v>
      </c>
      <c r="P12" s="34">
        <f>SUMIFS('BA History'!H:H,'BA History'!B:B,A12)</f>
        <v>63</v>
      </c>
      <c r="Q12" s="2">
        <f>SUMIFS('BA History'!G:G,'BA History'!B:B,A12)-P12</f>
        <v>46</v>
      </c>
      <c r="R12" s="89">
        <f>LOOKUP(2, 1/('BA History'!$B:$B=A12), 'BA History'!$AJ:$AJ)</f>
        <v>0.61571428571428577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1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2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1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230</v>
      </c>
      <c r="G13" s="66">
        <f>AVERAGEIFS('BA History'!C:C,'BA History'!B:B,A13)</f>
        <v>13.529411764705882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9</v>
      </c>
      <c r="K13" s="2">
        <f>COUNTIFS('BA History'!B:B,A13,'BA History'!D:D, 0)</f>
        <v>8</v>
      </c>
      <c r="L13" s="75">
        <f>LOOKUP(2, 1/('BA History'!$B:$B=A13), 'BA History'!$AK:$AK)</f>
        <v>0.52941176470588236</v>
      </c>
      <c r="M13" s="34">
        <f>SUMIFS('BA History'!F:F,'BA History'!B:B,A13)</f>
        <v>37</v>
      </c>
      <c r="N13" s="2">
        <f>SUMIFS('BA History'!E:E,'BA History'!B:B,A13)-M13</f>
        <v>37</v>
      </c>
      <c r="O13" s="75">
        <f>LOOKUP(2, 1/('BA History'!$B:$B=A13), 'BA History'!$AI:$AI)</f>
        <v>0.49705882352941172</v>
      </c>
      <c r="P13" s="34">
        <f>SUMIFS('BA History'!H:H,'BA History'!B:B,A13)</f>
        <v>152</v>
      </c>
      <c r="Q13" s="2">
        <f>SUMIFS('BA History'!G:G,'BA History'!B:B,A13)-P13</f>
        <v>155</v>
      </c>
      <c r="R13" s="89">
        <f>LOOKUP(2, 1/('BA History'!$B:$B=A13), 'BA History'!$AJ:$AJ)</f>
        <v>0.49588235294117633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5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0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2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1</v>
      </c>
      <c r="AL13" s="2">
        <f>COUNTIFS('BA History'!$B:$B,$A$13,'BA History'!AD:AD, 1)</f>
        <v>3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3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149</v>
      </c>
      <c r="G14" s="66">
        <f>AVERAGEIFS('BA History'!C:C,'BA History'!B:B,A14)</f>
        <v>11.461538461538462</v>
      </c>
      <c r="H14" s="66">
        <f t="array" ref="H14">MEDIAN(IF('BA History'!B:B=A14, 'BA History'!C:C))</f>
        <v>10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8</v>
      </c>
      <c r="L14" s="75">
        <f>LOOKUP(2, 1/('BA History'!$B:$B=A14), 'BA History'!$AK:$AK)</f>
        <v>0.38461538461538464</v>
      </c>
      <c r="M14" s="34">
        <f>SUMIFS('BA History'!F:F,'BA History'!B:B,A14)</f>
        <v>19</v>
      </c>
      <c r="N14" s="2">
        <f>SUMIFS('BA History'!E:E,'BA History'!B:B,A14)-M14</f>
        <v>31</v>
      </c>
      <c r="O14" s="75">
        <f>LOOKUP(2, 1/('BA History'!$B:$B=A14), 'BA History'!$AI:$AI)</f>
        <v>0.35</v>
      </c>
      <c r="P14" s="34">
        <f>SUMIFS('BA History'!H:H,'BA History'!B:B,A14)</f>
        <v>94</v>
      </c>
      <c r="Q14" s="2">
        <f>SUMIFS('BA History'!G:G,'BA History'!B:B,A14)-P14</f>
        <v>118</v>
      </c>
      <c r="R14" s="89">
        <f>LOOKUP(2, 1/('BA History'!$B:$B=A14), 'BA History'!$AJ:$AJ)</f>
        <v>0.41461538461538466</v>
      </c>
      <c r="S14" s="2">
        <f>COUNTIFS('BA History'!$B:$B,$A$14,'BA History'!K:K, 1)</f>
        <v>3</v>
      </c>
      <c r="T14" s="2">
        <f>COUNTIFS('BA History'!$B:$B,$A$14,'BA History'!L:L, 1)</f>
        <v>0</v>
      </c>
      <c r="U14" s="2">
        <f>COUNTIFS('BA History'!$B:$B,$A$14,'BA History'!M:M, 1)</f>
        <v>2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3</v>
      </c>
      <c r="K15" s="2">
        <f>COUNTIFS('BA History'!B:B,A15,'BA History'!D:D, 0)</f>
        <v>8</v>
      </c>
      <c r="L15" s="75">
        <f>LOOKUP(2, 1/('BA History'!$B:$B=A15), 'BA History'!$AK:$AK)</f>
        <v>0.27272727272727271</v>
      </c>
      <c r="M15" s="34">
        <f>SUMIFS('BA History'!F:F,'BA History'!B:B,A15)</f>
        <v>19</v>
      </c>
      <c r="N15" s="2">
        <f>SUMIFS('BA History'!E:E,'BA History'!B:B,A15)-M15</f>
        <v>28</v>
      </c>
      <c r="O15" s="75">
        <f>LOOKUP(2, 1/('BA History'!$B:$B=A15), 'BA History'!$AI:$AI)</f>
        <v>0.4</v>
      </c>
      <c r="P15" s="34">
        <f>SUMIFS('BA History'!H:H,'BA History'!B:B,A15)</f>
        <v>83</v>
      </c>
      <c r="Q15" s="2">
        <f>SUMIFS('BA History'!G:G,'BA History'!B:B,A15)-P15</f>
        <v>113</v>
      </c>
      <c r="R15" s="89">
        <f>LOOKUP(2, 1/('BA History'!$B:$B=A15), 'BA History'!$AJ:$AJ)</f>
        <v>0.40727272727272729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1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0</v>
      </c>
      <c r="AA15" s="2">
        <f>COUNTIFS('BA History'!$B:$B,$A$15,'BA History'!S:S, 1)</f>
        <v>0</v>
      </c>
      <c r="AB15" s="2">
        <f>COUNTIFS('BA History'!$B:$B,$A$15,'BA History'!T:T, 1)</f>
        <v>0</v>
      </c>
      <c r="AC15" s="2">
        <f>COUNTIFS('BA History'!$B:$B,$A$15,'BA History'!U:U, 1)</f>
        <v>1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4</v>
      </c>
      <c r="AL15" s="2">
        <f>COUNTIFS('BA History'!$B:$B,$A$15,'BA History'!AD:AD, 1)</f>
        <v>2</v>
      </c>
      <c r="AM15" s="2">
        <f>COUNTIFS('BA History'!$B:$B,$A$15,'BA History'!AE:AE, 1)</f>
        <v>0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166</v>
      </c>
      <c r="G17" s="66">
        <f>AVERAGEIFS('BA History'!C:C,'BA History'!B:B,A17)</f>
        <v>15.090909090909092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3</v>
      </c>
      <c r="K17" s="2">
        <f>COUNTIFS('BA History'!B:B,A17,'BA History'!D:D, 0)</f>
        <v>8</v>
      </c>
      <c r="L17" s="75">
        <f>LOOKUP(2, 1/('BA History'!$B:$B=A17), 'BA History'!$AK:$AK)</f>
        <v>0.27272727272727271</v>
      </c>
      <c r="M17" s="34">
        <f>SUMIFS('BA History'!F:F,'BA History'!B:B,A17)</f>
        <v>20</v>
      </c>
      <c r="N17" s="2">
        <f>SUMIFS('BA History'!E:E,'BA History'!B:B,A17)-M17</f>
        <v>28</v>
      </c>
      <c r="O17" s="75">
        <f>LOOKUP(2, 1/('BA History'!$B:$B=A17), 'BA History'!$AI:$AI)</f>
        <v>0.38636363636363635</v>
      </c>
      <c r="P17" s="34">
        <f>SUMIFS('BA History'!H:H,'BA History'!B:B,A17)</f>
        <v>99</v>
      </c>
      <c r="Q17" s="2">
        <f>SUMIFS('BA History'!G:G,'BA History'!B:B,A17)-P17</f>
        <v>104</v>
      </c>
      <c r="R17" s="89">
        <f>LOOKUP(2, 1/('BA History'!$B:$B=A17), 'BA History'!$AJ:$AJ)</f>
        <v>0.47636363636363638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2</v>
      </c>
      <c r="V17" s="2">
        <f>COUNTIFS('BA History'!$B:$B,$A$17,'BA History'!N:N, 1)</f>
        <v>2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0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1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5</v>
      </c>
      <c r="AL17" s="2">
        <f>COUNTIFS('BA History'!$B:$B,$A$17,'BA History'!AD:AD, 1)</f>
        <v>2</v>
      </c>
      <c r="AM17" s="2">
        <f>COUNTIFS('BA History'!$B:$B,$A$17,'BA History'!AE:AE, 1)</f>
        <v>0</v>
      </c>
      <c r="AN17" s="2">
        <f>COUNTIFS('BA History'!$B:$B,$A$17,'BA History'!AF:AF, 1)</f>
        <v>0</v>
      </c>
      <c r="AO17" s="2">
        <f>COUNTIFS('BA History'!$B:$B,$A$17,'BA History'!AG:AG, 1)</f>
        <v>0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923</v>
      </c>
      <c r="G20" s="66">
        <f>AVERAGEIFS('BA History'!C:C,'BA History'!B:B,A20)</f>
        <v>18.098039215686274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26</v>
      </c>
      <c r="L20" s="75">
        <f>LOOKUP(2, 1/('BA History'!$B:$B=A20), 'BA History'!$AK:$AK)</f>
        <v>0.49019607843137253</v>
      </c>
      <c r="M20" s="34">
        <f>SUMIFS('BA History'!F:F,'BA History'!B:B,A20)</f>
        <v>101</v>
      </c>
      <c r="N20" s="2">
        <f>SUMIFS('BA History'!E:E,'BA History'!B:B,A20)-M20</f>
        <v>103</v>
      </c>
      <c r="O20" s="75">
        <f>LOOKUP(2, 1/('BA History'!$B:$B=A20), 'BA History'!$AI:$AI)</f>
        <v>0.49764705882352944</v>
      </c>
      <c r="P20" s="34">
        <f>SUMIFS('BA History'!H:H,'BA History'!B:B,A20)</f>
        <v>433</v>
      </c>
      <c r="Q20" s="2">
        <f>SUMIFS('BA History'!G:G,'BA History'!B:B,A20)-P20</f>
        <v>429</v>
      </c>
      <c r="R20" s="89">
        <f>LOOKUP(2, 1/('BA History'!$B:$B=A20), 'BA History'!$AJ:$AJ)</f>
        <v>0.50980392156862742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896</v>
      </c>
      <c r="G22" s="66">
        <f>AVERAGEIFS('BA History'!C:C,'BA History'!B:B,A22)</f>
        <v>16.592592592592592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31</v>
      </c>
      <c r="K22" s="2">
        <f>COUNTIFS('BA History'!B:B,A22,'BA History'!D:D, 0)</f>
        <v>23</v>
      </c>
      <c r="L22" s="75">
        <f>LOOKUP(2, 1/('BA History'!$B:$B=A22), 'BA History'!$AK:$AK)</f>
        <v>0.57407407407407407</v>
      </c>
      <c r="M22" s="34">
        <f>SUMIFS('BA History'!F:F,'BA History'!B:B,A22)</f>
        <v>114</v>
      </c>
      <c r="N22" s="2">
        <f>SUMIFS('BA History'!E:E,'BA History'!B:B,A22)-M22</f>
        <v>102</v>
      </c>
      <c r="O22" s="75">
        <f>LOOKUP(2, 1/('BA History'!$B:$B=A22), 'BA History'!$AI:$AI)</f>
        <v>0.5259259259259258</v>
      </c>
      <c r="P22" s="34">
        <f>SUMIFS('BA History'!H:H,'BA History'!B:B,A22)</f>
        <v>470</v>
      </c>
      <c r="Q22" s="2">
        <f>SUMIFS('BA History'!G:G,'BA History'!B:B,A22)-P22</f>
        <v>435</v>
      </c>
      <c r="R22" s="89">
        <f>LOOKUP(2, 1/('BA History'!$B:$B=A22), 'BA History'!$AJ:$AJ)</f>
        <v>0.52555555555555566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6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8</v>
      </c>
      <c r="AN22" s="2">
        <f>COUNTIFS('BA History'!$B:$B,$A$22,'BA History'!AF:AF, 1)</f>
        <v>1</v>
      </c>
      <c r="AO22" s="2">
        <f>COUNTIFS('BA History'!$B:$B,$A$22,'BA History'!AG:AG, 1)</f>
        <v>12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1109</v>
      </c>
      <c r="G24" s="66">
        <f>AVERAGEIFS('BA History'!C:C,'BA History'!B:B,A24)</f>
        <v>27.048780487804876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21</v>
      </c>
      <c r="K24" s="2">
        <f>COUNTIFS('BA History'!B:B,A24,'BA History'!D:D, 0)</f>
        <v>20</v>
      </c>
      <c r="L24" s="75">
        <f>LOOKUP(2, 1/('BA History'!$B:$B=A24), 'BA History'!$AK:$AK)</f>
        <v>0.51219512195121952</v>
      </c>
      <c r="M24" s="34">
        <f>SUMIFS('BA History'!F:F,'BA History'!B:B,A24)</f>
        <v>82</v>
      </c>
      <c r="N24" s="2">
        <f>SUMIFS('BA History'!E:E,'BA History'!B:B,A24)-M24</f>
        <v>82</v>
      </c>
      <c r="O24" s="75">
        <f>LOOKUP(2, 1/('BA History'!$B:$B=A24), 'BA History'!$AI:$AI)</f>
        <v>0.4963414634146342</v>
      </c>
      <c r="P24" s="34">
        <f>SUMIFS('BA History'!H:H,'BA History'!B:B,A24)</f>
        <v>337</v>
      </c>
      <c r="Q24" s="2">
        <f>SUMIFS('BA History'!G:G,'BA History'!B:B,A24)-P24</f>
        <v>340</v>
      </c>
      <c r="R24" s="89">
        <f>LOOKUP(2, 1/('BA History'!$B:$B=A24), 'BA History'!$AJ:$AJ)</f>
        <v>0.50000000000000011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5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9</v>
      </c>
      <c r="AN24" s="2">
        <f>COUNTIFS('BA History'!$B:$B,$A$24,'BA History'!AF:AF, 1)</f>
        <v>1</v>
      </c>
      <c r="AO24" s="2">
        <f>COUNTIFS('BA History'!$B:$B,$A$24,'BA History'!AG:AG, 1)</f>
        <v>5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560</v>
      </c>
      <c r="G26" s="66">
        <f>AVERAGEIFS('BA History'!C:C,'BA History'!B:B,A26)</f>
        <v>19.310344827586206</v>
      </c>
      <c r="H26" s="66">
        <f t="array" ref="H26">MEDIAN(IF('BA History'!B:B=A26, 'BA History'!C:C))</f>
        <v>18</v>
      </c>
      <c r="I26" s="35">
        <f t="array" ref="I26">MAX(IF('BA History'!B:B=A26, 'BA History'!C:C))</f>
        <v>33</v>
      </c>
      <c r="J26" s="34">
        <f>COUNTIFS('BA History'!B:B,A26,'BA History'!D:D, 1)</f>
        <v>18</v>
      </c>
      <c r="K26" s="2">
        <f>COUNTIFS('BA History'!B:B,A26,'BA History'!D:D, 0)</f>
        <v>11</v>
      </c>
      <c r="L26" s="75">
        <f>LOOKUP(2, 1/('BA History'!$B:$B=A26), 'BA History'!$AK:$AK)</f>
        <v>0.62068965517241381</v>
      </c>
      <c r="M26" s="34">
        <f>SUMIFS('BA History'!F:F,'BA History'!B:B,A26)</f>
        <v>68</v>
      </c>
      <c r="N26" s="2">
        <f>SUMIFS('BA History'!E:E,'BA History'!B:B,A26)-M26</f>
        <v>51</v>
      </c>
      <c r="O26" s="75">
        <f>LOOKUP(2, 1/('BA History'!$B:$B=A26), 'BA History'!$AI:$AI)</f>
        <v>0.58275862068965512</v>
      </c>
      <c r="P26" s="34">
        <f>SUMIFS('BA History'!H:H,'BA History'!B:B,A26)</f>
        <v>266</v>
      </c>
      <c r="Q26" s="2">
        <f>SUMIFS('BA History'!G:G,'BA History'!B:B,A26)-P26</f>
        <v>221</v>
      </c>
      <c r="R26" s="89">
        <f>LOOKUP(2, 1/('BA History'!$B:$B=A26), 'BA History'!$AJ:$AJ)</f>
        <v>0.5617241379310346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7</v>
      </c>
      <c r="V26" s="2">
        <f>COUNTIFS('BA History'!$B:$B,$A$26,'BA History'!N:N, 1)</f>
        <v>8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2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4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8</v>
      </c>
      <c r="AL26" s="2">
        <f>COUNTIFS('BA History'!$B:$B,$A$26,'BA History'!AD:AD, 1)</f>
        <v>2</v>
      </c>
      <c r="AM26" s="2">
        <f>COUNTIFS('BA History'!$B:$B,$A$26,'BA History'!AE:AE, 1)</f>
        <v>4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404</v>
      </c>
      <c r="G28" s="66">
        <f>AVERAGEIFS('BA History'!C:C,'BA History'!B:B,A28)</f>
        <v>13.466666666666667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17</v>
      </c>
      <c r="L28" s="75">
        <f>LOOKUP(2, 1/('BA History'!$B:$B=A28), 'BA History'!$AK:$AK)</f>
        <v>0.43333333333333335</v>
      </c>
      <c r="M28" s="34">
        <f>SUMIFS('BA History'!F:F,'BA History'!B:B,A28)</f>
        <v>52</v>
      </c>
      <c r="N28" s="2">
        <f>SUMIFS('BA History'!E:E,'BA History'!B:B,A28)-M28</f>
        <v>61</v>
      </c>
      <c r="O28" s="75">
        <f>LOOKUP(2, 1/('BA History'!$B:$B=A28), 'BA History'!$AI:$AI)</f>
        <v>0.46266666666666662</v>
      </c>
      <c r="P28" s="34">
        <f>SUMIFS('BA History'!H:H,'BA History'!B:B,A28)</f>
        <v>219</v>
      </c>
      <c r="Q28" s="2">
        <f>SUMIFS('BA History'!G:G,'BA History'!B:B,A28)-P28</f>
        <v>240</v>
      </c>
      <c r="R28" s="89">
        <f>LOOKUP(2, 1/('BA History'!$B:$B=A28), 'BA History'!$AJ:$AJ)</f>
        <v>0.47133333333333322</v>
      </c>
      <c r="S28" s="2">
        <f>COUNTIFS('BA History'!$B:$B,$A$28,'BA History'!K:K, 1)</f>
        <v>1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66">
        <f t="array" ref="H29">MEDIAN(IF('BA History'!B:B=A29, 'BA History'!C:C))</f>
        <v>14</v>
      </c>
      <c r="I29" s="35">
        <f t="array" ref="I29">MAX(IF('BA History'!B:B=A29, 'BA History'!C:C))</f>
        <v>36</v>
      </c>
      <c r="J29" s="34">
        <f>COUNTIFS('BA History'!B:B,A29,'BA History'!D:D, 1)</f>
        <v>12</v>
      </c>
      <c r="K29" s="2">
        <f>COUNTIFS('BA History'!B:B,A29,'BA History'!D:D, 0)</f>
        <v>19</v>
      </c>
      <c r="L29" s="75">
        <f>LOOKUP(2, 1/('BA History'!$B:$B=A29), 'BA History'!$AK:$AK)</f>
        <v>0.38709677419354838</v>
      </c>
      <c r="M29" s="34">
        <f>SUMIFS('BA History'!F:F,'BA History'!B:B,A29)</f>
        <v>56</v>
      </c>
      <c r="N29" s="2">
        <f>SUMIFS('BA History'!E:E,'BA History'!B:B,A29)-M29</f>
        <v>63</v>
      </c>
      <c r="O29" s="75">
        <f>LOOKUP(2, 1/('BA History'!$B:$B=A29), 'BA History'!$AI:$AI)</f>
        <v>0.48387096774193555</v>
      </c>
      <c r="P29" s="34">
        <f>SUMIFS('BA History'!H:H,'BA History'!B:B,A29)</f>
        <v>237</v>
      </c>
      <c r="Q29" s="2">
        <f>SUMIFS('BA History'!G:G,'BA History'!B:B,A29)-P29</f>
        <v>251</v>
      </c>
      <c r="R29" s="89">
        <f>LOOKUP(2, 1/('BA History'!$B:$B=A29), 'BA History'!$AJ:$AJ)</f>
        <v>0.49129032258064526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2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10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4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4</v>
      </c>
      <c r="L31" s="75">
        <f>LOOKUP(2, 1/('BA History'!$B:$B=A31), 'BA History'!$AK:$AK)</f>
        <v>0.42857142857142855</v>
      </c>
      <c r="M31" s="34">
        <f>SUMIFS('BA History'!F:F,'BA History'!B:B,A31)</f>
        <v>16</v>
      </c>
      <c r="N31" s="2">
        <f>SUMIFS('BA History'!E:E,'BA History'!B:B,A31)-M31</f>
        <v>15</v>
      </c>
      <c r="O31" s="75">
        <f>LOOKUP(2, 1/('BA History'!$B:$B=A31), 'BA History'!$AI:$AI)</f>
        <v>0.54285714285714282</v>
      </c>
      <c r="P31" s="34">
        <f>SUMIFS('BA History'!H:H,'BA History'!B:B,A31)</f>
        <v>61</v>
      </c>
      <c r="Q31" s="2">
        <f>SUMIFS('BA History'!G:G,'BA History'!B:B,A31)-P31</f>
        <v>61</v>
      </c>
      <c r="R31" s="89">
        <f>LOOKUP(2, 1/('BA History'!$B:$B=A31), 'BA History'!$AJ:$AJ)</f>
        <v>0.52714285714285702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1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0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194</v>
      </c>
      <c r="G32" s="66">
        <f>AVERAGEIFS('BA History'!C:C,'BA History'!B:B,A32)</f>
        <v>19.399999999999999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7</v>
      </c>
      <c r="L32" s="75">
        <f>LOOKUP(2, 1/('BA History'!$B:$B=A32), 'BA History'!$AK:$AK)</f>
        <v>0.3</v>
      </c>
      <c r="M32" s="34">
        <f>SUMIFS('BA History'!F:F,'BA History'!B:B,A32)</f>
        <v>18</v>
      </c>
      <c r="N32" s="2">
        <f>SUMIFS('BA History'!E:E,'BA History'!B:B,A32)-M32</f>
        <v>26</v>
      </c>
      <c r="O32" s="75">
        <f>LOOKUP(2, 1/('BA History'!$B:$B=A32), 'BA History'!$AI:$AI)</f>
        <v>0.38</v>
      </c>
      <c r="P32" s="34">
        <f>SUMIFS('BA History'!H:H,'BA History'!B:B,A32)</f>
        <v>90</v>
      </c>
      <c r="Q32" s="2">
        <f>SUMIFS('BA History'!G:G,'BA History'!B:B,A32)-P32</f>
        <v>104</v>
      </c>
      <c r="R32" s="89">
        <f>LOOKUP(2, 1/('BA History'!$B:$B=A32), 'BA History'!$AJ:$AJ)</f>
        <v>0.45599999999999996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65</v>
      </c>
      <c r="G33" s="66">
        <f>AVERAGEIFS('BA History'!C:C,'BA History'!B:B,A33)</f>
        <v>8.125</v>
      </c>
      <c r="H33" s="66">
        <f t="array" ref="H33">MEDIAN(IF('BA History'!B:B=A33, 'BA History'!C:C))</f>
        <v>8</v>
      </c>
      <c r="I33" s="35">
        <f t="array" ref="I33">MAX(IF('BA History'!B:B=A33, 'BA History'!C:C))</f>
        <v>15</v>
      </c>
      <c r="J33" s="34">
        <f>COUNTIFS('BA History'!B:B,A33,'BA History'!D:D, 1)</f>
        <v>3</v>
      </c>
      <c r="K33" s="2">
        <f>COUNTIFS('BA History'!B:B,A33,'BA History'!D:D, 0)</f>
        <v>5</v>
      </c>
      <c r="L33" s="75">
        <f>LOOKUP(2, 1/('BA History'!$B:$B=A33), 'BA History'!$AK:$AK)</f>
        <v>0.375</v>
      </c>
      <c r="M33" s="34">
        <f>SUMIFS('BA History'!F:F,'BA History'!B:B,A33)</f>
        <v>14</v>
      </c>
      <c r="N33" s="2">
        <f>SUMIFS('BA History'!E:E,'BA History'!B:B,A33)-M33</f>
        <v>21</v>
      </c>
      <c r="O33" s="75">
        <f>LOOKUP(2, 1/('BA History'!$B:$B=A33), 'BA History'!$AI:$AI)</f>
        <v>0.35625000000000001</v>
      </c>
      <c r="P33" s="34">
        <f>SUMIFS('BA History'!H:H,'BA History'!B:B,A33)</f>
        <v>69</v>
      </c>
      <c r="Q33" s="2">
        <f>SUMIFS('BA History'!G:G,'BA History'!B:B,A33)-P33</f>
        <v>81</v>
      </c>
      <c r="R33" s="89">
        <f>LOOKUP(2, 1/('BA History'!$B:$B=A33), 'BA History'!$AJ:$AJ)</f>
        <v>0.44375000000000003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1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0</v>
      </c>
      <c r="AA33" s="2">
        <f>COUNTIFS('BA History'!$B:$B,$A$33,'BA History'!S:S, 1)</f>
        <v>0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0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0</v>
      </c>
      <c r="AH33" s="2">
        <f>COUNTIFS('BA History'!$B:$B,$A$33,'BA History'!Z:Z, 1)</f>
        <v>1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4</v>
      </c>
      <c r="AL33" s="2">
        <f>COUNTIFS('BA History'!$B:$B,$A$33,'BA History'!AD:AD, 1)</f>
        <v>1</v>
      </c>
      <c r="AM33" s="2">
        <f>COUNTIFS('BA History'!$B:$B,$A$33,'BA History'!AE:AE, 1)</f>
        <v>0</v>
      </c>
      <c r="AN33" s="2">
        <f>COUNTIFS('BA History'!$B:$B,$A$33,'BA History'!AF:AF, 1)</f>
        <v>0</v>
      </c>
      <c r="AO33" s="2">
        <f>COUNTIFS('BA History'!$B:$B,$A$33,'BA History'!AG:AG, 1)</f>
        <v>1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175</v>
      </c>
      <c r="G34" s="66">
        <f>AVERAGEIFS('BA History'!C:C,'BA History'!B:B,A34)</f>
        <v>10.9375</v>
      </c>
      <c r="H34" s="66">
        <f t="array" ref="H34">MEDIAN(IF('BA History'!B:B=A34, 'BA History'!C:C))</f>
        <v>8.5</v>
      </c>
      <c r="I34" s="35">
        <f t="array" ref="I34">MAX(IF('BA History'!B:B=A34, 'BA History'!C:C))</f>
        <v>29</v>
      </c>
      <c r="J34" s="34">
        <f>COUNTIFS('BA History'!B:B,A34,'BA History'!D:D, 1)</f>
        <v>9</v>
      </c>
      <c r="K34" s="2">
        <f>COUNTIFS('BA History'!B:B,A34,'BA History'!D:D, 0)</f>
        <v>7</v>
      </c>
      <c r="L34" s="75">
        <f>LOOKUP(2, 1/('BA History'!$B:$B=A34), 'BA History'!$AK:$AK)</f>
        <v>0.5625</v>
      </c>
      <c r="M34" s="34">
        <f>SUMIFS('BA History'!F:F,'BA History'!B:B,A34)</f>
        <v>34</v>
      </c>
      <c r="N34" s="2">
        <f>SUMIFS('BA History'!E:E,'BA History'!B:B,A34)-M34</f>
        <v>32</v>
      </c>
      <c r="O34" s="75">
        <f>LOOKUP(2, 1/('BA History'!$B:$B=A34), 'BA History'!$AI:$AI)</f>
        <v>0.50624999999999998</v>
      </c>
      <c r="P34" s="34">
        <f>SUMIFS('BA History'!H:H,'BA History'!B:B,A34)</f>
        <v>140</v>
      </c>
      <c r="Q34" s="2">
        <f>SUMIFS('BA History'!G:G,'BA History'!B:B,A34)-P34</f>
        <v>142</v>
      </c>
      <c r="R34" s="89">
        <f>LOOKUP(2, 1/('BA History'!$B:$B=A34), 'BA History'!$AJ:$AJ)</f>
        <v>0.49749999999999994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2</v>
      </c>
      <c r="AH34" s="2">
        <f>COUNTIFS('BA History'!$B:$B,$A$34,'BA History'!Z:Z, 1)</f>
        <v>4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1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66">
        <f t="array" ref="H35">MEDIAN(IF('BA History'!B:B=A35, 'BA History'!C:C))</f>
        <v>4</v>
      </c>
      <c r="I35" s="35">
        <f t="array" ref="I35">MAX(IF('BA History'!B:B=A35, 'BA History'!C:C))</f>
        <v>4</v>
      </c>
      <c r="J35" s="34">
        <f>COUNTIFS('BA History'!B:B,A35,'BA History'!D:D, 1)</f>
        <v>0</v>
      </c>
      <c r="K35" s="2">
        <f>COUNTIFS('BA History'!B:B,A35,'BA History'!D:D, 0)</f>
        <v>1</v>
      </c>
      <c r="L35" s="75">
        <f>LOOKUP(2, 1/('BA History'!$B:$B=A35), 'BA History'!$AK:$AK)</f>
        <v>0</v>
      </c>
      <c r="M35" s="34">
        <f>SUMIFS('BA History'!F:F,'BA History'!B:B,A35)</f>
        <v>0</v>
      </c>
      <c r="N35" s="2">
        <f>SUMIFS('BA History'!E:E,'BA History'!B:B,A35)-M35</f>
        <v>3</v>
      </c>
      <c r="O35" s="75">
        <f>LOOKUP(2, 1/('BA History'!$B:$B=A35), 'BA History'!$AI:$AI)</f>
        <v>0</v>
      </c>
      <c r="P35" s="34">
        <f>SUMIFS('BA History'!H:H,'BA History'!B:B,A35)</f>
        <v>1</v>
      </c>
      <c r="Q35" s="2">
        <f>SUMIFS('BA History'!G:G,'BA History'!B:B,A35)-P35</f>
        <v>9</v>
      </c>
      <c r="R35" s="89">
        <f>LOOKUP(2, 1/('BA History'!$B:$B=A35), 'BA History'!$AJ:$AJ)</f>
        <v>0.1</v>
      </c>
      <c r="S35" s="2">
        <f>COUNTIFS('BA History'!$B:$B,$A$35,'BA History'!K:K, 1)</f>
        <v>0</v>
      </c>
      <c r="T35" s="2">
        <f>COUNTIFS('BA History'!$B:$B,$A$35,'BA History'!L:L, 1)</f>
        <v>0</v>
      </c>
      <c r="U35" s="2">
        <f>COUNTIFS('BA History'!$B:$B,$A$35,'BA History'!M:M, 1)</f>
        <v>0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0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470</v>
      </c>
      <c r="G38" s="66">
        <f>AVERAGEIFS('BA History'!C:C,'BA History'!B:B,A38)</f>
        <v>15.666666666666666</v>
      </c>
      <c r="H38" s="66">
        <f t="array" ref="H38">MEDIAN(IF('BA History'!B:B=A38, 'BA History'!C:C))</f>
        <v>16</v>
      </c>
      <c r="I38" s="35">
        <f t="array" ref="I38">MAX(IF('BA History'!B:B=A38, 'BA History'!C:C))</f>
        <v>27</v>
      </c>
      <c r="J38" s="34">
        <f>COUNTIFS('BA History'!B:B,A38,'BA History'!D:D, 1)</f>
        <v>12</v>
      </c>
      <c r="K38" s="2">
        <f>COUNTIFS('BA History'!B:B,A38,'BA History'!D:D, 0)</f>
        <v>18</v>
      </c>
      <c r="L38" s="75">
        <f>LOOKUP(2, 1/('BA History'!$B:$B=A38), 'BA History'!$AK:$AK)</f>
        <v>0.4</v>
      </c>
      <c r="M38" s="34">
        <f>SUMIFS('BA History'!F:F,'BA History'!B:B,A38)</f>
        <v>54</v>
      </c>
      <c r="N38" s="2">
        <f>SUMIFS('BA History'!E:E,'BA History'!B:B,A38)-M38</f>
        <v>63</v>
      </c>
      <c r="O38" s="75">
        <f>LOOKUP(2, 1/('BA History'!$B:$B=A38), 'BA History'!$AI:$AI)</f>
        <v>0.46499999999999997</v>
      </c>
      <c r="P38" s="34">
        <f>SUMIFS('BA History'!H:H,'BA History'!B:B,A38)</f>
        <v>242</v>
      </c>
      <c r="Q38" s="2">
        <f>SUMIFS('BA History'!G:G,'BA History'!B:B,A38)-P38</f>
        <v>264</v>
      </c>
      <c r="R38" s="89">
        <f>LOOKUP(2, 1/('BA History'!$B:$B=A38), 'BA History'!$AJ:$AJ)</f>
        <v>0.48766666666666669</v>
      </c>
      <c r="S38" s="2">
        <f>COUNTIFS('BA History'!$B:$B,$A$38,'BA History'!K:K, 1)</f>
        <v>6</v>
      </c>
      <c r="T38" s="2">
        <f>COUNTIFS('BA History'!$B:$B,$A$38,'BA History'!L:L, 1)</f>
        <v>2</v>
      </c>
      <c r="U38" s="2">
        <f>COUNTIFS('BA History'!$B:$B,$A$38,'BA History'!M:M, 1)</f>
        <v>5</v>
      </c>
      <c r="V38" s="2">
        <f>COUNTIFS('BA History'!$B:$B,$A$38,'BA History'!N:N, 1)</f>
        <v>3</v>
      </c>
      <c r="W38" s="2">
        <f>COUNTIFS('BA History'!$B:$B,$A$38,'BA History'!O:O, 1)</f>
        <v>2</v>
      </c>
      <c r="X38" s="2">
        <f>COUNTIFS('BA History'!$B:$B,$A$38,'BA History'!P:P, 1)</f>
        <v>0</v>
      </c>
      <c r="Y38" s="2">
        <f>COUNTIFS('BA History'!$B:$B,$A$38,'BA History'!Q:Q, 1)</f>
        <v>1</v>
      </c>
      <c r="Z38" s="2">
        <f>COUNTIFS('BA History'!$B:$B,$A$38,'BA History'!R:R, 1)</f>
        <v>0</v>
      </c>
      <c r="AA38" s="2">
        <f>COUNTIFS('BA History'!$B:$B,$A$38,'BA History'!S:S, 1)</f>
        <v>0</v>
      </c>
      <c r="AB38" s="2">
        <f>COUNTIFS('BA History'!$B:$B,$A$38,'BA History'!T:T, 1)</f>
        <v>0</v>
      </c>
      <c r="AC38" s="2">
        <f>COUNTIFS('BA History'!$B:$B,$A$38,'BA History'!U:U, 1)</f>
        <v>1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6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7</v>
      </c>
      <c r="AL38" s="2">
        <f>COUNTIFS('BA History'!$B:$B,$A$38,'BA History'!AD:AD, 1)</f>
        <v>4</v>
      </c>
      <c r="AM38" s="2">
        <f>COUNTIFS('BA History'!$B:$B,$A$38,'BA History'!AE:AE, 1)</f>
        <v>4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1218</v>
      </c>
      <c r="G39" s="66">
        <f>AVERAGEIFS('BA History'!C:C,'BA History'!B:B,A39)</f>
        <v>24.36</v>
      </c>
      <c r="H39" s="66">
        <f t="array" ref="H39">MEDIAN(IF('BA History'!B:B=A39, 'BA History'!C:C))</f>
        <v>22.5</v>
      </c>
      <c r="I39" s="35">
        <f t="array" ref="I39">MAX(IF('BA History'!B:B=A39, 'BA History'!C:C))</f>
        <v>50</v>
      </c>
      <c r="J39" s="34">
        <f>COUNTIFS('BA History'!B:B,A39,'BA History'!D:D, 1)</f>
        <v>23</v>
      </c>
      <c r="K39" s="2">
        <f>COUNTIFS('BA History'!B:B,A39,'BA History'!D:D, 0)</f>
        <v>27</v>
      </c>
      <c r="L39" s="75">
        <f>LOOKUP(2, 1/('BA History'!$B:$B=A39), 'BA History'!$AK:$AK)</f>
        <v>0.46</v>
      </c>
      <c r="M39" s="34">
        <f>SUMIFS('BA History'!F:F,'BA History'!B:B,A39)</f>
        <v>98</v>
      </c>
      <c r="N39" s="2">
        <f>SUMIFS('BA History'!E:E,'BA History'!B:B,A39)-M39</f>
        <v>99</v>
      </c>
      <c r="O39" s="75">
        <f>LOOKUP(2, 1/('BA History'!$B:$B=A39), 'BA History'!$AI:$AI)</f>
        <v>0.50359999999999983</v>
      </c>
      <c r="P39" s="34">
        <f>SUMIFS('BA History'!H:H,'BA History'!B:B,A39)</f>
        <v>430</v>
      </c>
      <c r="Q39" s="2">
        <f>SUMIFS('BA History'!G:G,'BA History'!B:B,A39)-P39</f>
        <v>397</v>
      </c>
      <c r="R39" s="89">
        <f>LOOKUP(2, 1/('BA History'!$B:$B=A39), 'BA History'!$AJ:$AJ)</f>
        <v>0.52880000000000005</v>
      </c>
      <c r="S39" s="2">
        <f>COUNTIFS('BA History'!$B:$B,$A$39,'BA History'!K:K, 1)</f>
        <v>6</v>
      </c>
      <c r="T39" s="2">
        <f>COUNTIFS('BA History'!$B:$B,$A$39,'BA History'!L:L, 1)</f>
        <v>2</v>
      </c>
      <c r="U39" s="2">
        <f>COUNTIFS('BA History'!$B:$B,$A$39,'BA History'!M:M, 1)</f>
        <v>6</v>
      </c>
      <c r="V39" s="2">
        <f>COUNTIFS('BA History'!$B:$B,$A$39,'BA History'!N:N, 1)</f>
        <v>10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1</v>
      </c>
      <c r="AA39" s="2">
        <f>COUNTIFS('BA History'!$B:$B,$A$39,'BA History'!S:S, 1)</f>
        <v>2</v>
      </c>
      <c r="AB39" s="2">
        <f>COUNTIFS('BA History'!$B:$B,$A$39,'BA History'!T:T, 1)</f>
        <v>0</v>
      </c>
      <c r="AC39" s="2">
        <f>COUNTIFS('BA History'!$B:$B,$A$39,'BA History'!U:U, 1)</f>
        <v>4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6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18</v>
      </c>
      <c r="AL39" s="2">
        <f>COUNTIFS('BA History'!$B:$B,$A$39,'BA History'!AD:AD, 1)</f>
        <v>5</v>
      </c>
      <c r="AM39" s="2">
        <f>COUNTIFS('BA History'!$B:$B,$A$39,'BA History'!AE:AE, 1)</f>
        <v>8</v>
      </c>
      <c r="AN39" s="2">
        <f>COUNTIFS('BA History'!$B:$B,$A$39,'BA History'!AF:AF, 1)</f>
        <v>0</v>
      </c>
      <c r="AO39" s="2">
        <f>COUNTIFS('BA History'!$B:$B,$A$39,'BA History'!AG:AG, 1)</f>
        <v>5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1626</v>
      </c>
      <c r="G40" s="66">
        <f>AVERAGEIFS('BA History'!C:C,'BA History'!B:B,A40)</f>
        <v>23.565217391304348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38</v>
      </c>
      <c r="K40" s="2">
        <f>COUNTIFS('BA History'!B:B,A40,'BA History'!D:D, 0)</f>
        <v>31</v>
      </c>
      <c r="L40" s="75">
        <f>LOOKUP(2, 1/('BA History'!$B:$B=A40), 'BA History'!$AK:$AK)</f>
        <v>0.55072463768115942</v>
      </c>
      <c r="M40" s="34">
        <f>SUMIFS('BA History'!F:F,'BA History'!B:B,A40)</f>
        <v>148</v>
      </c>
      <c r="N40" s="2">
        <f>SUMIFS('BA History'!E:E,'BA History'!B:B,A40)-M40</f>
        <v>131</v>
      </c>
      <c r="O40" s="75">
        <f>LOOKUP(2, 1/('BA History'!$B:$B=A40), 'BA History'!$AI:$AI)</f>
        <v>0.5314492753623189</v>
      </c>
      <c r="P40" s="34">
        <f>SUMIFS('BA History'!H:H,'BA History'!B:B,A40)</f>
        <v>591</v>
      </c>
      <c r="Q40" s="2">
        <f>SUMIFS('BA History'!G:G,'BA History'!B:B,A40)-P40</f>
        <v>570</v>
      </c>
      <c r="R40" s="89">
        <f>LOOKUP(2, 1/('BA History'!$B:$B=A40), 'BA History'!$AJ:$AJ)</f>
        <v>0.50942028985507259</v>
      </c>
      <c r="S40" s="2">
        <f>COUNTIFS('BA History'!$B:$B,$A$40,'BA History'!K:K, 1)</f>
        <v>7</v>
      </c>
      <c r="T40" s="2">
        <f>COUNTIFS('BA History'!$B:$B,$A$40,'BA History'!L:L, 1)</f>
        <v>12</v>
      </c>
      <c r="U40" s="2">
        <f>COUNTIFS('BA History'!$B:$B,$A$40,'BA History'!M:M, 1)</f>
        <v>11</v>
      </c>
      <c r="V40" s="2">
        <f>COUNTIFS('BA History'!$B:$B,$A$40,'BA History'!N:N, 1)</f>
        <v>11</v>
      </c>
      <c r="W40" s="2">
        <f>COUNTIFS('BA History'!$B:$B,$A$40,'BA History'!O:O, 1)</f>
        <v>3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2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14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17</v>
      </c>
      <c r="AL40" s="2">
        <f>COUNTIFS('BA History'!$B:$B,$A$40,'BA History'!AD:AD, 1)</f>
        <v>10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8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748</v>
      </c>
      <c r="G41" s="66">
        <f>AVERAGEIFS('BA History'!C:C,'BA History'!B:B,A41)</f>
        <v>19.179487179487179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24</v>
      </c>
      <c r="K41" s="2">
        <f>COUNTIFS('BA History'!B:B,A41,'BA History'!D:D, 0)</f>
        <v>15</v>
      </c>
      <c r="L41" s="75">
        <f>LOOKUP(2, 1/('BA History'!$B:$B=A41), 'BA History'!$AK:$AK)</f>
        <v>0.61538461538461542</v>
      </c>
      <c r="M41" s="34">
        <f>SUMIFS('BA History'!F:F,'BA History'!B:B,A41)</f>
        <v>85</v>
      </c>
      <c r="N41" s="2">
        <f>SUMIFS('BA History'!E:E,'BA History'!B:B,A41)-M41</f>
        <v>70</v>
      </c>
      <c r="O41" s="75">
        <f>LOOKUP(2, 1/('BA History'!$B:$B=A41), 'BA History'!$AI:$AI)</f>
        <v>0.54794871794871791</v>
      </c>
      <c r="P41" s="34">
        <f>SUMIFS('BA History'!H:H,'BA History'!B:B,A41)</f>
        <v>339</v>
      </c>
      <c r="Q41" s="2">
        <f>SUMIFS('BA History'!G:G,'BA History'!B:B,A41)-P41</f>
        <v>315</v>
      </c>
      <c r="R41" s="89">
        <f>LOOKUP(2, 1/('BA History'!$B:$B=A41), 'BA History'!$AJ:$AJ)</f>
        <v>0.52230769230769247</v>
      </c>
      <c r="S41" s="2">
        <f>COUNTIFS('BA History'!$B:$B,$A$41,'BA History'!K:K, 1)</f>
        <v>3</v>
      </c>
      <c r="T41" s="2">
        <f>COUNTIFS('BA History'!$B:$B,$A$41,'BA History'!L:L, 1)</f>
        <v>7</v>
      </c>
      <c r="U41" s="2">
        <f>COUNTIFS('BA History'!$B:$B,$A$41,'BA History'!M:M, 1)</f>
        <v>6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11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525</v>
      </c>
      <c r="G44" s="66">
        <f>AVERAGEIFS('BA History'!C:C,'BA History'!B:B,A44)</f>
        <v>18.75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17</v>
      </c>
      <c r="K44" s="2">
        <f>COUNTIFS('BA History'!B:B,A44,'BA History'!D:D, 0)</f>
        <v>11</v>
      </c>
      <c r="L44" s="75">
        <f>LOOKUP(2, 1/('BA History'!$B:$B=A44), 'BA History'!$AK:$AK)</f>
        <v>0.6071428571428571</v>
      </c>
      <c r="M44" s="34">
        <f>SUMIFS('BA History'!F:F,'BA History'!B:B,A44)</f>
        <v>57</v>
      </c>
      <c r="N44" s="2">
        <f>SUMIFS('BA History'!E:E,'BA History'!B:B,A44)-M44</f>
        <v>54</v>
      </c>
      <c r="O44" s="75">
        <f>LOOKUP(2, 1/('BA History'!$B:$B=A44), 'BA History'!$AI:$AI)</f>
        <v>0.49464285714285711</v>
      </c>
      <c r="P44" s="34">
        <f>SUMIFS('BA History'!H:H,'BA History'!B:B,A44)</f>
        <v>241</v>
      </c>
      <c r="Q44" s="2">
        <f>SUMIFS('BA History'!G:G,'BA History'!B:B,A44)-P44</f>
        <v>233</v>
      </c>
      <c r="R44" s="89">
        <f>LOOKUP(2, 1/('BA History'!$B:$B=A44), 'BA History'!$AJ:$AJ)</f>
        <v>0.50535714285714295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7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4</v>
      </c>
      <c r="AH44" s="2">
        <f>COUNTIFS('BA History'!$B:$B,$A$44,'BA History'!Z:Z, 1)</f>
        <v>4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9</v>
      </c>
      <c r="AL44" s="2">
        <f>COUNTIFS('BA History'!$B:$B,$A$44,'BA History'!AD:AD, 1)</f>
        <v>3</v>
      </c>
      <c r="AM44" s="2">
        <f>COUNTIFS('BA History'!$B:$B,$A$44,'BA History'!AE:AE, 1)</f>
        <v>6</v>
      </c>
      <c r="AN44" s="2">
        <f>COUNTIFS('BA History'!$B:$B,$A$44,'BA History'!AF:AF, 1)</f>
        <v>1</v>
      </c>
      <c r="AO44" s="2">
        <f>COUNTIFS('BA History'!$B:$B,$A$44,'BA History'!AG:AG, 1)</f>
        <v>2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1316</v>
      </c>
      <c r="G46" s="66">
        <f>AVERAGEIFS('BA History'!C:C,'BA History'!B:B,A46)</f>
        <v>18.535211267605632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30</v>
      </c>
      <c r="K46" s="2">
        <f>COUNTIFS('BA History'!B:B,A46,'BA History'!D:D, 0)</f>
        <v>41</v>
      </c>
      <c r="L46" s="75">
        <f>LOOKUP(2, 1/('BA History'!$B:$B=A46), 'BA History'!$AK:$AK)</f>
        <v>0.42253521126760563</v>
      </c>
      <c r="M46" s="34">
        <f>SUMIFS('BA History'!F:F,'BA History'!B:B,A46)</f>
        <v>139</v>
      </c>
      <c r="N46" s="2">
        <f>SUMIFS('BA History'!E:E,'BA History'!B:B,A46)-M46</f>
        <v>153</v>
      </c>
      <c r="O46" s="75">
        <f>LOOKUP(2, 1/('BA History'!$B:$B=A46), 'BA History'!$AI:$AI)</f>
        <v>0.4781690140845069</v>
      </c>
      <c r="P46" s="34">
        <f>SUMIFS('BA History'!H:H,'BA History'!B:B,A46)</f>
        <v>585</v>
      </c>
      <c r="Q46" s="2">
        <f>SUMIFS('BA History'!G:G,'BA History'!B:B,A46)-P46</f>
        <v>620</v>
      </c>
      <c r="R46" s="89">
        <f>LOOKUP(2, 1/('BA History'!$B:$B=A46), 'BA History'!$AJ:$AJ)</f>
        <v>0.48225352112676068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3</v>
      </c>
      <c r="AA46" s="2">
        <f>COUNTIFS('BA History'!$B:$B,$A$46,'BA History'!S:S, 1)</f>
        <v>2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8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12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18</v>
      </c>
      <c r="AN46" s="2">
        <f>COUNTIFS('BA History'!$B:$B,$A$46,'BA History'!AF:AF, 1)</f>
        <v>0</v>
      </c>
      <c r="AO46" s="2">
        <f>COUNTIFS('BA History'!$B:$B,$A$46,'BA History'!AG:AG, 1)</f>
        <v>10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598</v>
      </c>
      <c r="G48" s="66">
        <f>AVERAGEIFS('BA History'!C:C,'BA History'!B:B,A48)</f>
        <v>14.95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22</v>
      </c>
      <c r="K48" s="2">
        <f>COUNTIFS('BA History'!B:B,A48,'BA History'!D:D, 0)</f>
        <v>18</v>
      </c>
      <c r="L48" s="75">
        <f>LOOKUP(2, 1/('BA History'!$B:$B=A48), 'BA History'!$AK:$AK)</f>
        <v>0.55000000000000004</v>
      </c>
      <c r="M48" s="34">
        <f>SUMIFS('BA History'!F:F,'BA History'!B:B,A48)</f>
        <v>89</v>
      </c>
      <c r="N48" s="2">
        <f>SUMIFS('BA History'!E:E,'BA History'!B:B,A48)-M48</f>
        <v>75</v>
      </c>
      <c r="O48" s="75">
        <f>LOOKUP(2, 1/('BA History'!$B:$B=A48), 'BA History'!$AI:$AI)</f>
        <v>0.56500000000000006</v>
      </c>
      <c r="P48" s="34">
        <f>SUMIFS('BA History'!H:H,'BA History'!B:B,A48)</f>
        <v>356</v>
      </c>
      <c r="Q48" s="2">
        <f>SUMIFS('BA History'!G:G,'BA History'!B:B,A48)-P48</f>
        <v>329</v>
      </c>
      <c r="R48" s="89">
        <f>LOOKUP(2, 1/('BA History'!$B:$B=A48), 'BA History'!$AJ:$AJ)</f>
        <v>0.53150000000000008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6</v>
      </c>
      <c r="V48" s="2">
        <f>COUNTIFS('BA History'!$B:$B,$A$48,'BA History'!N:N, 1)</f>
        <v>8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2</v>
      </c>
      <c r="AA48" s="2">
        <f>COUNTIFS('BA History'!$B:$B,$A$48,'BA History'!S:S, 1)</f>
        <v>1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7</v>
      </c>
      <c r="AH48" s="2">
        <f>COUNTIFS('BA History'!$B:$B,$A$48,'BA History'!Z:Z, 1)</f>
        <v>12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15</v>
      </c>
      <c r="AL48" s="2">
        <f>COUNTIFS('BA History'!$B:$B,$A$48,'BA History'!AD:AD, 1)</f>
        <v>1</v>
      </c>
      <c r="AM48" s="2">
        <f>COUNTIFS('BA History'!$B:$B,$A$48,'BA History'!AE:AE, 1)</f>
        <v>7</v>
      </c>
      <c r="AN48" s="2">
        <f>COUNTIFS('BA History'!$B:$B,$A$48,'BA History'!AF:AF, 1)</f>
        <v>0</v>
      </c>
      <c r="AO48" s="2">
        <f>COUNTIFS('BA History'!$B:$B,$A$48,'BA History'!AG:AG, 1)</f>
        <v>6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1880</v>
      </c>
      <c r="G53" s="66">
        <f>AVERAGEIFS('BA History'!C:C,'BA History'!B:B,A53)</f>
        <v>23.5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50</v>
      </c>
      <c r="K53" s="2">
        <f>COUNTIFS('BA History'!B:B,A53,'BA History'!D:D, 0)</f>
        <v>30</v>
      </c>
      <c r="L53" s="75">
        <f>LOOKUP(2, 1/('BA History'!$B:$B=A53), 'BA History'!$AK:$AK)</f>
        <v>0.625</v>
      </c>
      <c r="M53" s="34">
        <f>SUMIFS('BA History'!F:F,'BA History'!B:B,A53)</f>
        <v>179</v>
      </c>
      <c r="N53" s="2">
        <f>SUMIFS('BA History'!E:E,'BA History'!B:B,A53)-M53</f>
        <v>142</v>
      </c>
      <c r="O53" s="75">
        <f>LOOKUP(2, 1/('BA History'!$B:$B=A53), 'BA History'!$AI:$AI)</f>
        <v>0.56100000000000017</v>
      </c>
      <c r="P53" s="34">
        <f>SUMIFS('BA History'!H:H,'BA History'!B:B,A53)</f>
        <v>711</v>
      </c>
      <c r="Q53" s="2">
        <f>SUMIFS('BA History'!G:G,'BA History'!B:B,A53)-P53</f>
        <v>632</v>
      </c>
      <c r="R53" s="89">
        <f>LOOKUP(2, 1/('BA History'!$B:$B=A53), 'BA History'!$AJ:$AJ)</f>
        <v>0.53024999999999989</v>
      </c>
      <c r="S53" s="2">
        <f>COUNTIFS('BA History'!$B:$B,$A$53,'BA History'!K:K, 1)</f>
        <v>9</v>
      </c>
      <c r="T53" s="2">
        <f>COUNTIFS('BA History'!$B:$B,$A$53,'BA History'!L:L, 1)</f>
        <v>8</v>
      </c>
      <c r="U53" s="2">
        <f>COUNTIFS('BA History'!$B:$B,$A$53,'BA History'!M:M, 1)</f>
        <v>17</v>
      </c>
      <c r="V53" s="2">
        <f>COUNTIFS('BA History'!$B:$B,$A$53,'BA History'!N:N, 1)</f>
        <v>14</v>
      </c>
      <c r="W53" s="2">
        <f>COUNTIFS('BA History'!$B:$B,$A$53,'BA History'!O:O, 1)</f>
        <v>3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5</v>
      </c>
      <c r="AA53" s="2">
        <f>COUNTIFS('BA History'!$B:$B,$A$53,'BA History'!S:S, 1)</f>
        <v>1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12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23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22</v>
      </c>
      <c r="AL53" s="2">
        <f>COUNTIFS('BA History'!$B:$B,$A$53,'BA History'!AD:AD, 1)</f>
        <v>9</v>
      </c>
      <c r="AM53" s="2">
        <f>COUNTIFS('BA History'!$B:$B,$A$53,'BA History'!AE:AE, 1)</f>
        <v>12</v>
      </c>
      <c r="AN53" s="2">
        <f>COUNTIFS('BA History'!$B:$B,$A$53,'BA History'!AF:AF, 1)</f>
        <v>2</v>
      </c>
      <c r="AO53" s="2">
        <f>COUNTIFS('BA History'!$B:$B,$A$53,'BA History'!AG:AG, 1)</f>
        <v>13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225</v>
      </c>
      <c r="G54" s="66">
        <f>AVERAGEIFS('BA History'!C:C,'BA History'!B:B,A54)</f>
        <v>18.75</v>
      </c>
      <c r="H54" s="66">
        <f t="array" ref="H54">MEDIAN(IF('BA History'!B:B=A54, 'BA History'!C:C))</f>
        <v>19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4</v>
      </c>
      <c r="L54" s="75">
        <f>LOOKUP(2, 1/('BA History'!$B:$B=A54), 'BA History'!$AK:$AK)</f>
        <v>0.66666666666666663</v>
      </c>
      <c r="M54" s="34">
        <f>SUMIFS('BA History'!F:F,'BA History'!B:B,A54)</f>
        <v>27</v>
      </c>
      <c r="N54" s="2">
        <f>SUMIFS('BA History'!E:E,'BA History'!B:B,A54)-M54</f>
        <v>16</v>
      </c>
      <c r="O54" s="75">
        <f>LOOKUP(2, 1/('BA History'!$B:$B=A54), 'BA History'!$AI:$AI)</f>
        <v>0.65416666666666667</v>
      </c>
      <c r="P54" s="34">
        <f>SUMIFS('BA History'!H:H,'BA History'!B:B,A54)</f>
        <v>103</v>
      </c>
      <c r="Q54" s="2">
        <f>SUMIFS('BA History'!G:G,'BA History'!B:B,A54)-P54</f>
        <v>83</v>
      </c>
      <c r="R54" s="89">
        <f>LOOKUP(2, 1/('BA History'!$B:$B=A54), 'BA History'!$AJ:$AJ)</f>
        <v>0.57083333333333319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2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897</v>
      </c>
      <c r="G56" s="66">
        <f>AVERAGEIFS('BA History'!C:C,'BA History'!B:B,A56)</f>
        <v>18.6875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26</v>
      </c>
      <c r="K56" s="2">
        <f>COUNTIFS('BA History'!B:B,A56,'BA History'!D:D, 0)</f>
        <v>22</v>
      </c>
      <c r="L56" s="75">
        <f>LOOKUP(2, 1/('BA History'!$B:$B=A56), 'BA History'!$AK:$AK)</f>
        <v>0.54166666666666663</v>
      </c>
      <c r="M56" s="34">
        <f>SUMIFS('BA History'!F:F,'BA History'!B:B,A56)</f>
        <v>105</v>
      </c>
      <c r="N56" s="2">
        <f>SUMIFS('BA History'!E:E,'BA History'!B:B,A56)-M56</f>
        <v>89</v>
      </c>
      <c r="O56" s="75">
        <f>LOOKUP(2, 1/('BA History'!$B:$B=A56), 'BA History'!$AI:$AI)</f>
        <v>0.55416666666666659</v>
      </c>
      <c r="P56" s="34">
        <f>SUMIFS('BA History'!H:H,'BA History'!B:B,A56)</f>
        <v>413</v>
      </c>
      <c r="Q56" s="2">
        <f>SUMIFS('BA History'!G:G,'BA History'!B:B,A56)-P56</f>
        <v>391</v>
      </c>
      <c r="R56" s="89">
        <f>LOOKUP(2, 1/('BA History'!$B:$B=A56), 'BA History'!$AJ:$AJ)</f>
        <v>0.52166666666666672</v>
      </c>
      <c r="S56" s="2">
        <f>COUNTIFS('BA History'!$B:$B,$A$56,'BA History'!K:K, 1)</f>
        <v>5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10</v>
      </c>
      <c r="W56" s="2">
        <f>COUNTIFS('BA History'!$B:$B,$A$56,'BA History'!O:O, 1)</f>
        <v>2</v>
      </c>
      <c r="X56" s="2">
        <f>COUNTIFS('BA History'!$B:$B,$A$56,'BA History'!P:P, 1)</f>
        <v>1</v>
      </c>
      <c r="Y56" s="2">
        <f>COUNTIFS('BA History'!$B:$B,$A$56,'BA History'!Q:Q, 1)</f>
        <v>3</v>
      </c>
      <c r="Z56" s="2">
        <f>COUNTIFS('BA History'!$B:$B,$A$56,'BA History'!R:R, 1)</f>
        <v>2</v>
      </c>
      <c r="AA56" s="2">
        <f>COUNTIFS('BA History'!$B:$B,$A$56,'BA History'!S:S, 1)</f>
        <v>1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10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13</v>
      </c>
      <c r="AL56" s="2">
        <f>COUNTIFS('BA History'!$B:$B,$A$56,'BA History'!AD:AD, 1)</f>
        <v>8</v>
      </c>
      <c r="AM56" s="2">
        <f>COUNTIFS('BA History'!$B:$B,$A$56,'BA History'!AE:AE, 1)</f>
        <v>3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12</v>
      </c>
      <c r="K57" s="2">
        <f>COUNTIFS('BA History'!B:B,A57,'BA History'!D:D, 0)</f>
        <v>11</v>
      </c>
      <c r="L57" s="75">
        <f>LOOKUP(2, 1/('BA History'!$B:$B=A57), 'BA History'!$AK:$AK)</f>
        <v>0.52173913043478259</v>
      </c>
      <c r="M57" s="34">
        <f>SUMIFS('BA History'!F:F,'BA History'!B:B,A57)</f>
        <v>47</v>
      </c>
      <c r="N57" s="2">
        <f>SUMIFS('BA History'!E:E,'BA History'!B:B,A57)-M57</f>
        <v>48</v>
      </c>
      <c r="O57" s="75">
        <f>LOOKUP(2, 1/('BA History'!$B:$B=A57), 'BA History'!$AI:$AI)</f>
        <v>0.49869565217391298</v>
      </c>
      <c r="P57" s="34">
        <f>SUMIFS('BA History'!H:H,'BA History'!B:B,A57)</f>
        <v>198</v>
      </c>
      <c r="Q57" s="2">
        <f>SUMIFS('BA History'!G:G,'BA History'!B:B,A57)-P57</f>
        <v>195</v>
      </c>
      <c r="R57" s="89">
        <f>LOOKUP(2, 1/('BA History'!$B:$B=A57), 'BA History'!$AJ:$AJ)</f>
        <v>0.50173913043478258</v>
      </c>
      <c r="S57" s="2">
        <f>COUNTIFS('BA History'!$B:$B,$A$57,'BA History'!K:K, 1)</f>
        <v>1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3</v>
      </c>
      <c r="W57" s="2">
        <f>COUNTIFS('BA History'!$B:$B,$A$57,'BA History'!O:O, 1)</f>
        <v>0</v>
      </c>
      <c r="X57" s="2">
        <f>COUNTIFS('BA History'!$B:$B,$A$57,'BA History'!P:P, 1)</f>
        <v>0</v>
      </c>
      <c r="Y57" s="2">
        <f>COUNTIFS('BA History'!$B:$B,$A$57,'BA History'!Q:Q, 1)</f>
        <v>3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9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4</v>
      </c>
      <c r="L58" s="75">
        <f>LOOKUP(2, 1/('BA History'!$B:$B=A58), 'BA History'!$AK:$AK)</f>
        <v>0.55555555555555558</v>
      </c>
      <c r="M58" s="34">
        <f>SUMIFS('BA History'!F:F,'BA History'!B:B,A58)</f>
        <v>17</v>
      </c>
      <c r="N58" s="2">
        <f>SUMIFS('BA History'!E:E,'BA History'!B:B,A58)-M58</f>
        <v>19</v>
      </c>
      <c r="O58" s="75">
        <f>LOOKUP(2, 1/('BA History'!$B:$B=A58), 'BA History'!$AI:$AI)</f>
        <v>0.45000000000000007</v>
      </c>
      <c r="P58" s="34">
        <f>SUMIFS('BA History'!H:H,'BA History'!B:B,A58)</f>
        <v>75</v>
      </c>
      <c r="Q58" s="2">
        <f>SUMIFS('BA History'!G:G,'BA History'!B:B,A58)-P58</f>
        <v>77</v>
      </c>
      <c r="R58" s="89">
        <f>LOOKUP(2, 1/('BA History'!$B:$B=A58), 'BA History'!$AJ:$AJ)</f>
        <v>0.49</v>
      </c>
      <c r="S58" s="2">
        <f>COUNTIFS('BA History'!$B:$B,$A$58,'BA History'!K:K, 1)</f>
        <v>1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1068</v>
      </c>
      <c r="G59" s="66">
        <f>AVERAGEIFS('BA History'!C:C,'BA History'!B:B,A59)</f>
        <v>24.837209302325583</v>
      </c>
      <c r="H59" s="66">
        <f t="array" ref="H59">MEDIAN(IF('BA History'!B:B=A59, 'BA History'!C:C))</f>
        <v>27</v>
      </c>
      <c r="I59" s="35">
        <f t="array" ref="I59">MAX(IF('BA History'!B:B=A59, 'BA History'!C:C))</f>
        <v>43</v>
      </c>
      <c r="J59" s="34">
        <f>COUNTIFS('BA History'!B:B,A59,'BA History'!D:D, 1)</f>
        <v>18</v>
      </c>
      <c r="K59" s="2">
        <f>COUNTIFS('BA History'!B:B,A59,'BA History'!D:D, 0)</f>
        <v>25</v>
      </c>
      <c r="L59" s="75">
        <f>LOOKUP(2, 1/('BA History'!$B:$B=A59), 'BA History'!$AK:$AK)</f>
        <v>0.41860465116279072</v>
      </c>
      <c r="M59" s="34">
        <f>SUMIFS('BA History'!F:F,'BA History'!B:B,A59)</f>
        <v>82</v>
      </c>
      <c r="N59" s="2">
        <f>SUMIFS('BA History'!E:E,'BA History'!B:B,A59)-M59</f>
        <v>96</v>
      </c>
      <c r="O59" s="75">
        <f>LOOKUP(2, 1/('BA History'!$B:$B=A59), 'BA History'!$AI:$AI)</f>
        <v>0.45930232558139544</v>
      </c>
      <c r="P59" s="34">
        <f>SUMIFS('BA History'!H:H,'BA History'!B:B,A59)</f>
        <v>354</v>
      </c>
      <c r="Q59" s="2">
        <f>SUMIFS('BA History'!G:G,'BA History'!B:B,A59)-P59</f>
        <v>387</v>
      </c>
      <c r="R59" s="89">
        <f>LOOKUP(2, 1/('BA History'!$B:$B=A59), 'BA History'!$AJ:$AJ)</f>
        <v>0.47348837209302314</v>
      </c>
      <c r="S59" s="2">
        <f>COUNTIFS('BA History'!$B:$B,$A$59,'BA History'!K:K, 1)</f>
        <v>4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9</v>
      </c>
      <c r="W59" s="2">
        <f>COUNTIFS('BA History'!$B:$B,$A$59,'BA History'!O:O, 1)</f>
        <v>1</v>
      </c>
      <c r="X59" s="2">
        <f>COUNTIFS('BA History'!$B:$B,$A$59,'BA History'!P:P, 1)</f>
        <v>0</v>
      </c>
      <c r="Y59" s="2">
        <f>COUNTIFS('BA History'!$B:$B,$A$59,'BA History'!Q:Q, 1)</f>
        <v>1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5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10</v>
      </c>
      <c r="AL59" s="2">
        <f>COUNTIFS('BA History'!$B:$B,$A$59,'BA History'!AD:AD, 1)</f>
        <v>7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871</v>
      </c>
      <c r="G60" s="66">
        <f>AVERAGEIFS('BA History'!C:C,'BA History'!B:B,A60)</f>
        <v>16.433962264150942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23</v>
      </c>
      <c r="L60" s="75">
        <f>LOOKUP(2, 1/('BA History'!$B:$B=A60), 'BA History'!$AK:$AK)</f>
        <v>0.56603773584905659</v>
      </c>
      <c r="M60" s="34">
        <f>SUMIFS('BA History'!F:F,'BA History'!B:B,A60)</f>
        <v>111</v>
      </c>
      <c r="N60" s="2">
        <f>SUMIFS('BA History'!E:E,'BA History'!B:B,A60)-M60</f>
        <v>103</v>
      </c>
      <c r="O60" s="75">
        <f>LOOKUP(2, 1/('BA History'!$B:$B=A60), 'BA History'!$AI:$AI)</f>
        <v>0.51226415094339628</v>
      </c>
      <c r="P60" s="34">
        <f>SUMIFS('BA History'!H:H,'BA History'!B:B,A60)</f>
        <v>460</v>
      </c>
      <c r="Q60" s="2">
        <f>SUMIFS('BA History'!G:G,'BA History'!B:B,A60)-P60</f>
        <v>430</v>
      </c>
      <c r="R60" s="89">
        <f>LOOKUP(2, 1/('BA History'!$B:$B=A60), 'BA History'!$AJ:$AJ)</f>
        <v>0.51358490566037729</v>
      </c>
      <c r="S60" s="2">
        <f>COUNTIFS('BA History'!$B:$B,$A$60,'BA History'!K:K, 1)</f>
        <v>5</v>
      </c>
      <c r="T60" s="2">
        <f>COUNTIFS('BA History'!$B:$B,$A$60,'BA History'!L:L, 1)</f>
        <v>3</v>
      </c>
      <c r="U60" s="2">
        <f>COUNTIFS('BA History'!$B:$B,$A$60,'BA History'!M:M, 1)</f>
        <v>15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266"/>
  <sheetViews>
    <sheetView workbookViewId="0">
      <pane xSplit="2" ySplit="1" topLeftCell="C1236" activePane="bottomRight" state="frozen"/>
      <selection pane="topRight" activeCell="C1" sqref="C1"/>
      <selection pane="bottomLeft" activeCell="A2" sqref="A2"/>
      <selection pane="bottomRight" activeCell="D1258" sqref="D125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4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A21" sqref="A21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125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5</v>
      </c>
      <c r="K2" s="75">
        <f>LOOKUP(2, 1/('BA History S2'!$B:$B=A2), 'BA History S2'!$AK:$AK)</f>
        <v>0.5</v>
      </c>
      <c r="L2" s="34">
        <f>SUMIFS('BA History S2'!F:F,'BA History S2'!B:B,A2)</f>
        <v>22</v>
      </c>
      <c r="M2" s="2">
        <f>SUMIFS('BA History S2'!E:E,'BA History S2'!B:B,A2)-L2</f>
        <v>19</v>
      </c>
      <c r="N2" s="75">
        <f>LOOKUP(2, 1/('BA History S2'!$B:$B=A2), 'BA History S2'!$AI:$AI)</f>
        <v>0.55500000000000005</v>
      </c>
      <c r="O2" s="34">
        <f>SUMIFS('BA History S2'!H:H,'BA History S2'!B:B,A2)</f>
        <v>89</v>
      </c>
      <c r="P2" s="2">
        <f>SUMIFS('BA History S2'!G:G,'BA History S2'!B:B,A2)-O2</f>
        <v>84</v>
      </c>
      <c r="Q2" s="89">
        <f>LOOKUP(2, 1/('BA History S2'!$B:$B=A2), 'BA History S2'!$AJ:$AJ)</f>
        <v>0.52899999999999991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2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4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341</v>
      </c>
      <c r="G4" s="66">
        <f>AVERAGEIFS('BA History S2'!C:C,'BA History S2'!B:B,A4)</f>
        <v>17.05</v>
      </c>
      <c r="H4" s="35">
        <f t="array" ref="H4">MAX(IF('BA History S2'!B:B=A4, 'BA History S2'!C:C))</f>
        <v>44</v>
      </c>
      <c r="I4" s="34">
        <f>COUNTIFS('BA History S2'!B:B,A4,'BA History S2'!D:D, 1)</f>
        <v>9</v>
      </c>
      <c r="J4" s="2">
        <f>COUNTIFS('BA History S2'!B:B,A4,'BA History S2'!D:D, 0)</f>
        <v>11</v>
      </c>
      <c r="K4" s="75">
        <f>LOOKUP(2, 1/('BA History S2'!$B:$B=A4), 'BA History S2'!$AK:$AK)</f>
        <v>0.45</v>
      </c>
      <c r="L4" s="34">
        <f>SUMIFS('BA History S2'!F:F,'BA History S2'!B:B,A4)</f>
        <v>40</v>
      </c>
      <c r="M4" s="2">
        <f>SUMIFS('BA History S2'!E:E,'BA History S2'!B:B,A4)-L4</f>
        <v>44</v>
      </c>
      <c r="N4" s="75">
        <f>LOOKUP(2, 1/('BA History S2'!$B:$B=A4), 'BA History S2'!$AI:$AI)</f>
        <v>0.47000000000000003</v>
      </c>
      <c r="O4" s="34">
        <f>SUMIFS('BA History S2'!H:H,'BA History S2'!B:B,A4)</f>
        <v>176</v>
      </c>
      <c r="P4" s="2">
        <f>SUMIFS('BA History S2'!G:G,'BA History S2'!B:B,A4)-O4</f>
        <v>190</v>
      </c>
      <c r="Q4" s="89">
        <f>LOOKUP(2, 1/('BA History S2'!$B:$B=A4), 'BA History S2'!$AJ:$AJ)</f>
        <v>0.47699999999999998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5</v>
      </c>
      <c r="U4" s="2">
        <f>COUNTIFS('BA History S2'!$B:$B,$A$4,'BA History S2'!N:N, 1)</f>
        <v>4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2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5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3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7.7777777777777777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7</v>
      </c>
      <c r="K5" s="75">
        <f>LOOKUP(2, 1/('BA History S2'!$B:$B=A5), 'BA History S2'!$AK:$AK)</f>
        <v>0.22222222222222221</v>
      </c>
      <c r="L5" s="34">
        <f>SUMIFS('BA History S2'!F:F,'BA History S2'!B:B,A5)</f>
        <v>13</v>
      </c>
      <c r="M5" s="2">
        <f>SUMIFS('BA History S2'!E:E,'BA History S2'!B:B,A5)-L5</f>
        <v>23</v>
      </c>
      <c r="N5" s="75">
        <f>LOOKUP(2, 1/('BA History S2'!$B:$B=A5), 'BA History S2'!$AI:$AI)</f>
        <v>0.35</v>
      </c>
      <c r="O5" s="34">
        <f>SUMIFS('BA History S2'!H:H,'BA History S2'!B:B,A5)</f>
        <v>64</v>
      </c>
      <c r="P5" s="2">
        <f>SUMIFS('BA History S2'!G:G,'BA History S2'!B:B,A5)-O5</f>
        <v>84</v>
      </c>
      <c r="Q5" s="89">
        <f>LOOKUP(2, 1/('BA History S2'!$B:$B=A5), 'BA History S2'!$AJ:$AJ)</f>
        <v>0.44111111111111112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2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459</v>
      </c>
      <c r="G6" s="66">
        <f>AVERAGEIFS('BA History S2'!C:C,'BA History S2'!B:B,A6)</f>
        <v>17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13</v>
      </c>
      <c r="K6" s="75">
        <f>LOOKUP(2, 1/('BA History S2'!$B:$B=A6), 'BA History S2'!$AK:$AK)</f>
        <v>0.51851851851851849</v>
      </c>
      <c r="L6" s="34">
        <f>SUMIFS('BA History S2'!F:F,'BA History S2'!B:B,A6)</f>
        <v>54</v>
      </c>
      <c r="M6" s="2">
        <f>SUMIFS('BA History S2'!E:E,'BA History S2'!B:B,A6)-L6</f>
        <v>54</v>
      </c>
      <c r="N6" s="75">
        <f>LOOKUP(2, 1/('BA History S2'!$B:$B=A6), 'BA History S2'!$AI:$AI)</f>
        <v>0.49814814814814812</v>
      </c>
      <c r="O6" s="34">
        <f>SUMIFS('BA History S2'!H:H,'BA History S2'!B:B,A6)</f>
        <v>221</v>
      </c>
      <c r="P6" s="2">
        <f>SUMIFS('BA History S2'!G:G,'BA History S2'!B:B,A6)-O6</f>
        <v>231</v>
      </c>
      <c r="Q6" s="89">
        <f>LOOKUP(2, 1/('BA History S2'!$B:$B=A6), 'BA History S2'!$AJ:$AJ)</f>
        <v>0.48111111111111121</v>
      </c>
      <c r="R6" s="2">
        <f>COUNTIFS('BA History S2'!$B:$B,$A$6,'BA History S2'!K:K, 1)</f>
        <v>5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2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197</v>
      </c>
      <c r="G7" s="66">
        <f>AVERAGEIFS('BA History S2'!C:C,'BA History S2'!B:B,A7)</f>
        <v>17.90909090909091</v>
      </c>
      <c r="H7" s="35">
        <f t="array" ref="H7">MAX(IF('BA History S2'!B:B=A7, 'BA History S2'!C:C))</f>
        <v>26</v>
      </c>
      <c r="I7" s="34">
        <f>COUNTIFS('BA History S2'!B:B,A7,'BA History S2'!D:D, 1)</f>
        <v>4</v>
      </c>
      <c r="J7" s="2">
        <f>COUNTIFS('BA History S2'!B:B,A7,'BA History S2'!D:D, 0)</f>
        <v>7</v>
      </c>
      <c r="K7" s="75">
        <f>LOOKUP(2, 1/('BA History S2'!$B:$B=A7), 'BA History S2'!$AK:$AK)</f>
        <v>0.36363636363636365</v>
      </c>
      <c r="L7" s="34">
        <f>SUMIFS('BA History S2'!F:F,'BA History S2'!B:B,A7)</f>
        <v>22</v>
      </c>
      <c r="M7" s="2">
        <f>SUMIFS('BA History S2'!E:E,'BA History S2'!B:B,A7)-L7</f>
        <v>25</v>
      </c>
      <c r="N7" s="75">
        <f>LOOKUP(2, 1/('BA History S2'!$B:$B=A7), 'BA History S2'!$AI:$AI)</f>
        <v>0.47272727272727266</v>
      </c>
      <c r="O7" s="34">
        <f>SUMIFS('BA History S2'!H:H,'BA History S2'!B:B,A7)</f>
        <v>94</v>
      </c>
      <c r="P7" s="2">
        <f>SUMIFS('BA History S2'!G:G,'BA History S2'!B:B,A7)-O7</f>
        <v>102</v>
      </c>
      <c r="Q7" s="89">
        <f>LOOKUP(2, 1/('BA History S2'!$B:$B=A7), 'BA History S2'!$AJ:$AJ)</f>
        <v>0.48727272727272725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4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4</v>
      </c>
      <c r="AK7" s="2">
        <f>COUNTIFS('BA History S2'!$B:$B,$A$7,'BA History S2'!AD:AD, 1)</f>
        <v>0</v>
      </c>
      <c r="AL7" s="2">
        <f>COUNTIFS('BA History S2'!$B:$B,$A$7,'BA History S2'!AE:AE, 1)</f>
        <v>2</v>
      </c>
      <c r="AM7" s="2">
        <f>COUNTIFS('BA History S2'!$B:$B,$A$7,'BA History S2'!AF:AF, 1)</f>
        <v>1</v>
      </c>
      <c r="AN7" s="2">
        <f>COUNTIFS('BA History S2'!$B:$B,$A$7,'BA History S2'!AG:AG, 1)</f>
        <v>2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17</v>
      </c>
      <c r="G8" s="66">
        <f>AVERAGEIFS('BA History S2'!C:C,'BA History S2'!B:B,A8)</f>
        <v>3.4</v>
      </c>
      <c r="H8" s="35">
        <f t="array" ref="H8">MAX(IF('BA History S2'!B:B=A8, 'BA History S2'!C:C))</f>
        <v>6</v>
      </c>
      <c r="I8" s="34">
        <f>COUNTIFS('BA History S2'!B:B,A8,'BA History S2'!D:D, 1)</f>
        <v>4</v>
      </c>
      <c r="J8" s="2">
        <f>COUNTIFS('BA History S2'!B:B,A8,'BA History S2'!D:D, 0)</f>
        <v>1</v>
      </c>
      <c r="K8" s="75">
        <f>LOOKUP(2, 1/('BA History S2'!$B:$B=A8), 'BA History S2'!$AK:$AK)</f>
        <v>0.8</v>
      </c>
      <c r="L8" s="34">
        <f>SUMIFS('BA History S2'!F:F,'BA History S2'!B:B,A8)</f>
        <v>13</v>
      </c>
      <c r="M8" s="2">
        <f>SUMIFS('BA History S2'!E:E,'BA History S2'!B:B,A8)-L8</f>
        <v>7</v>
      </c>
      <c r="N8" s="75">
        <f>LOOKUP(2, 1/('BA History S2'!$B:$B=A8), 'BA History S2'!$AI:$AI)</f>
        <v>0.67</v>
      </c>
      <c r="O8" s="34">
        <f>SUMIFS('BA History S2'!H:H,'BA History S2'!B:B,A8)</f>
        <v>48</v>
      </c>
      <c r="P8" s="2">
        <f>SUMIFS('BA History S2'!G:G,'BA History S2'!B:B,A8)-O8</f>
        <v>39</v>
      </c>
      <c r="Q8" s="89">
        <f>LOOKUP(2, 1/('BA History S2'!$B:$B=A8), 'BA History S2'!$AJ:$AJ)</f>
        <v>0.56399999999999995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1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1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29</v>
      </c>
      <c r="G9" s="66">
        <f>AVERAGEIFS('BA History S2'!C:C,'BA History S2'!B:B,A9)</f>
        <v>29</v>
      </c>
      <c r="H9" s="35">
        <f t="array" ref="H9">MAX(IF('BA History S2'!B:B=A9, 'BA History S2'!C:C))</f>
        <v>29</v>
      </c>
      <c r="I9" s="34">
        <f>COUNTIFS('BA History S2'!B:B,A9,'BA History S2'!D:D, 1)</f>
        <v>0</v>
      </c>
      <c r="J9" s="2">
        <f>COUNTIFS('BA History S2'!B:B,A9,'BA History S2'!D:D, 0)</f>
        <v>1</v>
      </c>
      <c r="K9" s="75">
        <f>LOOKUP(2, 1/('BA History S2'!$B:$B=A9), 'BA History S2'!$AK:$AK)</f>
        <v>0</v>
      </c>
      <c r="L9" s="34">
        <f>SUMIFS('BA History S2'!F:F,'BA History S2'!B:B,A9)</f>
        <v>2</v>
      </c>
      <c r="M9" s="2">
        <f>SUMIFS('BA History S2'!E:E,'BA History S2'!B:B,A9)-L9</f>
        <v>3</v>
      </c>
      <c r="N9" s="75">
        <f>LOOKUP(2, 1/('BA History S2'!$B:$B=A9), 'BA History S2'!$AI:$AI)</f>
        <v>0.4</v>
      </c>
      <c r="O9" s="34">
        <f>SUMIFS('BA History S2'!H:H,'BA History S2'!B:B,A9)</f>
        <v>10</v>
      </c>
      <c r="P9" s="2">
        <f>SUMIFS('BA History S2'!G:G,'BA History S2'!B:B,A9)-O9</f>
        <v>11</v>
      </c>
      <c r="Q9" s="89">
        <f>LOOKUP(2, 1/('BA History S2'!$B:$B=A9), 'BA History S2'!$AJ:$AJ)</f>
        <v>0.48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121</v>
      </c>
      <c r="G10" s="66">
        <f>AVERAGEIFS('BA History S2'!C:C,'BA History S2'!B:B,A10)</f>
        <v>13.444444444444445</v>
      </c>
      <c r="H10" s="35">
        <f t="array" ref="H10">MAX(IF('BA History S2'!B:B=A10, 'BA History S2'!C:C))</f>
        <v>24</v>
      </c>
      <c r="I10" s="34">
        <f>COUNTIFS('BA History S2'!B:B,A10,'BA History S2'!D:D, 1)</f>
        <v>6</v>
      </c>
      <c r="J10" s="2">
        <f>COUNTIFS('BA History S2'!B:B,A10,'BA History S2'!D:D, 0)</f>
        <v>3</v>
      </c>
      <c r="K10" s="75">
        <f>LOOKUP(2, 1/('BA History S2'!$B:$B=A10), 'BA History S2'!$AK:$AK)</f>
        <v>0.66666666666666663</v>
      </c>
      <c r="L10" s="34">
        <f>SUMIFS('BA History S2'!F:F,'BA History S2'!B:B,A10)</f>
        <v>21</v>
      </c>
      <c r="M10" s="2">
        <f>SUMIFS('BA History S2'!E:E,'BA History S2'!B:B,A10)-L10</f>
        <v>18</v>
      </c>
      <c r="N10" s="75">
        <f>LOOKUP(2, 1/('BA History S2'!$B:$B=A10), 'BA History S2'!$AI:$AI)</f>
        <v>0.53333333333333333</v>
      </c>
      <c r="O10" s="34">
        <f>SUMIFS('BA History S2'!H:H,'BA History S2'!B:B,A10)</f>
        <v>86</v>
      </c>
      <c r="P10" s="2">
        <f>SUMIFS('BA History S2'!G:G,'BA History S2'!B:B,A10)-O10</f>
        <v>84</v>
      </c>
      <c r="Q10" s="89">
        <f>LOOKUP(2, 1/('BA History S2'!$B:$B=A10), 'BA History S2'!$AJ:$AJ)</f>
        <v>0.50666666666666671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4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2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106</v>
      </c>
      <c r="G11" s="66">
        <f>AVERAGEIFS('BA History S2'!C:C,'BA History S2'!B:B,A11)</f>
        <v>13.25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4</v>
      </c>
      <c r="K11" s="75">
        <f>LOOKUP(2, 1/('BA History S2'!$B:$B=A11), 'BA History S2'!$AK:$AK)</f>
        <v>0.5</v>
      </c>
      <c r="L11" s="34">
        <f>SUMIFS('BA History S2'!F:F,'BA History S2'!B:B,A11)</f>
        <v>14</v>
      </c>
      <c r="M11" s="2">
        <f>SUMIFS('BA History S2'!E:E,'BA History S2'!B:B,A11)-L11</f>
        <v>19</v>
      </c>
      <c r="N11" s="75">
        <f>LOOKUP(2, 1/('BA History S2'!$B:$B=A11), 'BA History S2'!$AI:$AI)</f>
        <v>0.38125000000000003</v>
      </c>
      <c r="O11" s="34">
        <f>SUMIFS('BA History S2'!H:H,'BA History S2'!B:B,A11)</f>
        <v>68</v>
      </c>
      <c r="P11" s="2">
        <f>SUMIFS('BA History S2'!G:G,'BA History S2'!B:B,A11)-O11</f>
        <v>75</v>
      </c>
      <c r="Q11" s="89">
        <f>LOOKUP(2, 1/('BA History S2'!$B:$B=A11), 'BA History S2'!$AJ:$AJ)</f>
        <v>0.44750000000000001</v>
      </c>
      <c r="R11" s="2">
        <f>COUNTIFS('BA History S2'!$B:$B,$A$11,'BA History S2'!K:K, 1)</f>
        <v>3</v>
      </c>
      <c r="S11" s="2">
        <f>COUNTIFS('BA History S2'!$B:$B,$A$11,'BA History S2'!L:L, 1)</f>
        <v>0</v>
      </c>
      <c r="T11" s="2">
        <f>COUNTIFS('BA History S2'!$B:$B,$A$11,'BA History S2'!M:M, 1)</f>
        <v>1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40</v>
      </c>
      <c r="G12" s="66">
        <f>AVERAGEIFS('BA History S2'!C:C,'BA History S2'!B:B,A12)</f>
        <v>13.333333333333334</v>
      </c>
      <c r="H12" s="35">
        <f t="array" ref="H12">MAX(IF('BA History S2'!B:B=A12, 'BA History S2'!C:C))</f>
        <v>19</v>
      </c>
      <c r="I12" s="34">
        <f>COUNTIFS('BA History S2'!B:B,A12,'BA History S2'!D:D, 1)</f>
        <v>1</v>
      </c>
      <c r="J12" s="2">
        <f>COUNTIFS('BA History S2'!B:B,A12,'BA History S2'!D:D, 0)</f>
        <v>2</v>
      </c>
      <c r="K12" s="75">
        <f>LOOKUP(2, 1/('BA History S2'!$B:$B=A12), 'BA History S2'!$AK:$AK)</f>
        <v>0.33333333333333331</v>
      </c>
      <c r="L12" s="34">
        <f>SUMIFS('BA History S2'!F:F,'BA History S2'!B:B,A12)</f>
        <v>7</v>
      </c>
      <c r="M12" s="2">
        <f>SUMIFS('BA History S2'!E:E,'BA History S2'!B:B,A12)-L12</f>
        <v>6</v>
      </c>
      <c r="N12" s="75">
        <f>LOOKUP(2, 1/('BA History S2'!$B:$B=A12), 'BA History S2'!$AI:$AI)</f>
        <v>0.6</v>
      </c>
      <c r="O12" s="34">
        <f>SUMIFS('BA History S2'!H:H,'BA History S2'!B:B,A12)</f>
        <v>31</v>
      </c>
      <c r="P12" s="2">
        <f>SUMIFS('BA History S2'!G:G,'BA History S2'!B:B,A12)-O12</f>
        <v>29</v>
      </c>
      <c r="Q12" s="89">
        <f>LOOKUP(2, 1/('BA History S2'!$B:$B=A12), 'BA History S2'!$AJ:$AJ)</f>
        <v>0.53333333333333333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1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154</v>
      </c>
      <c r="G13" s="66">
        <f>AVERAGEIFS('BA History S2'!C:C,'BA History S2'!B:B,A13)</f>
        <v>15.4</v>
      </c>
      <c r="H13" s="35">
        <f t="array" ref="H13">MAX(IF('BA History S2'!B:B=A13, 'BA History S2'!C:C))</f>
        <v>37</v>
      </c>
      <c r="I13" s="34">
        <f>COUNTIFS('BA History S2'!B:B,A13,'BA History S2'!D:D, 1)</f>
        <v>2</v>
      </c>
      <c r="J13" s="2">
        <f>COUNTIFS('BA History S2'!B:B,A13,'BA History S2'!D:D, 0)</f>
        <v>8</v>
      </c>
      <c r="K13" s="75">
        <f>LOOKUP(2, 1/('BA History S2'!$B:$B=A13), 'BA History S2'!$AK:$AK)</f>
        <v>0.2</v>
      </c>
      <c r="L13" s="34">
        <f>SUMIFS('BA History S2'!F:F,'BA History S2'!B:B,A13)</f>
        <v>16</v>
      </c>
      <c r="M13" s="2">
        <f>SUMIFS('BA History S2'!E:E,'BA History S2'!B:B,A13)-L13</f>
        <v>27</v>
      </c>
      <c r="N13" s="75">
        <f>LOOKUP(2, 1/('BA History S2'!$B:$B=A13), 'BA History S2'!$AI:$AI)</f>
        <v>0.34499999999999997</v>
      </c>
      <c r="O13" s="34">
        <f>SUMIFS('BA History S2'!H:H,'BA History S2'!B:B,A13)</f>
        <v>85</v>
      </c>
      <c r="P13" s="2">
        <f>SUMIFS('BA History S2'!G:G,'BA History S2'!B:B,A13)-O13</f>
        <v>99</v>
      </c>
      <c r="Q13" s="89">
        <f>LOOKUP(2, 1/('BA History S2'!$B:$B=A13), 'BA History S2'!$AJ:$AJ)</f>
        <v>0.45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1</v>
      </c>
      <c r="U13" s="2">
        <f>COUNTIFS('BA History S2'!$B:$B,$A$13,'BA History S2'!N:N, 1)</f>
        <v>1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4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311</v>
      </c>
      <c r="G14" s="66">
        <f>AVERAGEIFS('BA History S2'!C:C,'BA History S2'!B:B,A14)</f>
        <v>17.277777777777779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11</v>
      </c>
      <c r="K14" s="75">
        <f>LOOKUP(2, 1/('BA History S2'!$B:$B=A14), 'BA History S2'!$AK:$AK)</f>
        <v>0.3888888888888889</v>
      </c>
      <c r="L14" s="34">
        <f>SUMIFS('BA History S2'!F:F,'BA History S2'!B:B,A14)</f>
        <v>31</v>
      </c>
      <c r="M14" s="2">
        <f>SUMIFS('BA History S2'!E:E,'BA History S2'!B:B,A14)-L14</f>
        <v>41</v>
      </c>
      <c r="N14" s="75">
        <f>LOOKUP(2, 1/('BA History S2'!$B:$B=A14), 'BA History S2'!$AI:$AI)</f>
        <v>0.41666666666666669</v>
      </c>
      <c r="O14" s="34">
        <f>SUMIFS('BA History S2'!H:H,'BA History S2'!B:B,A14)</f>
        <v>145</v>
      </c>
      <c r="P14" s="2">
        <f>SUMIFS('BA History S2'!G:G,'BA History S2'!B:B,A14)-O14</f>
        <v>162</v>
      </c>
      <c r="Q14" s="89">
        <f>LOOKUP(2, 1/('BA History S2'!$B:$B=A14), 'BA History S2'!$AJ:$AJ)</f>
        <v>0.46166666666666661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4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2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449</v>
      </c>
      <c r="G16" s="66">
        <f>AVERAGEIFS('BA History S2'!C:C,'BA History S2'!B:B,A16)</f>
        <v>16.62962962962963</v>
      </c>
      <c r="H16" s="35">
        <f t="array" ref="H16">MAX(IF('BA History S2'!B:B=A16, 'BA History S2'!C:C))</f>
        <v>31</v>
      </c>
      <c r="I16" s="34">
        <f>COUNTIFS('BA History S2'!B:B,A16,'BA History S2'!D:D, 1)</f>
        <v>14</v>
      </c>
      <c r="J16" s="2">
        <f>COUNTIFS('BA History S2'!B:B,A16,'BA History S2'!D:D, 0)</f>
        <v>13</v>
      </c>
      <c r="K16" s="75">
        <f>LOOKUP(2, 1/('BA History S2'!$B:$B=A16), 'BA History S2'!$AK:$AK)</f>
        <v>0.51851851851851849</v>
      </c>
      <c r="L16" s="34">
        <f>SUMIFS('BA History S2'!F:F,'BA History S2'!B:B,A16)</f>
        <v>56</v>
      </c>
      <c r="M16" s="2">
        <f>SUMIFS('BA History S2'!E:E,'BA History S2'!B:B,A16)-L16</f>
        <v>51</v>
      </c>
      <c r="N16" s="75">
        <f>LOOKUP(2, 1/('BA History S2'!$B:$B=A16), 'BA History S2'!$AI:$AI)</f>
        <v>0.53703703703703709</v>
      </c>
      <c r="O16" s="34">
        <f>SUMIFS('BA History S2'!H:H,'BA History S2'!B:B,A16)</f>
        <v>231</v>
      </c>
      <c r="P16" s="2">
        <f>SUMIFS('BA History S2'!G:G,'BA History S2'!B:B,A16)-O16</f>
        <v>222</v>
      </c>
      <c r="Q16" s="89">
        <f>LOOKUP(2, 1/('BA History S2'!$B:$B=A16), 'BA History S2'!$AJ:$AJ)</f>
        <v>0.52074074074074073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8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8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481</v>
      </c>
      <c r="G18" s="66">
        <f>AVERAGEIFS('BA History S2'!C:C,'BA History S2'!B:B,A18)</f>
        <v>26.722222222222221</v>
      </c>
      <c r="H18" s="35">
        <f t="array" ref="H18">MAX(IF('BA History S2'!B:B=A18, 'BA History S2'!C:C))</f>
        <v>49</v>
      </c>
      <c r="I18" s="34">
        <f>COUNTIFS('BA History S2'!B:B,A18,'BA History S2'!D:D, 1)</f>
        <v>10</v>
      </c>
      <c r="J18" s="2">
        <f>COUNTIFS('BA History S2'!B:B,A18,'BA History S2'!D:D, 0)</f>
        <v>8</v>
      </c>
      <c r="K18" s="75">
        <f>LOOKUP(2, 1/('BA History S2'!$B:$B=A18), 'BA History S2'!$AK:$AK)</f>
        <v>0.55555555555555558</v>
      </c>
      <c r="L18" s="34">
        <f>SUMIFS('BA History S2'!F:F,'BA History S2'!B:B,A18)</f>
        <v>39</v>
      </c>
      <c r="M18" s="2">
        <f>SUMIFS('BA History S2'!E:E,'BA History S2'!B:B,A18)-L18</f>
        <v>32</v>
      </c>
      <c r="N18" s="75">
        <f>LOOKUP(2, 1/('BA History S2'!$B:$B=A18), 'BA History S2'!$AI:$AI)</f>
        <v>0.56388888888888888</v>
      </c>
      <c r="O18" s="34">
        <f>SUMIFS('BA History S2'!H:H,'BA History S2'!B:B,A18)</f>
        <v>157</v>
      </c>
      <c r="P18" s="2">
        <f>SUMIFS('BA History S2'!G:G,'BA History S2'!B:B,A18)-O18</f>
        <v>138</v>
      </c>
      <c r="Q18" s="89">
        <f>LOOKUP(2, 1/('BA History S2'!$B:$B=A18), 'BA History S2'!$AJ:$AJ)</f>
        <v>0.55055555555555546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3</v>
      </c>
      <c r="AG18" s="2">
        <f>COUNTIFS('BA History S2'!$B:$B,$A$18,'BA History S2'!Z:Z, 1)</f>
        <v>4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4</v>
      </c>
      <c r="AK18" s="2">
        <f>COUNTIFS('BA History S2'!$B:$B,$A$18,'BA History S2'!AD:AD, 1)</f>
        <v>2</v>
      </c>
      <c r="AL18" s="2">
        <f>COUNTIFS('BA History S2'!$B:$B,$A$18,'BA History S2'!AE:AE, 1)</f>
        <v>4</v>
      </c>
      <c r="AM18" s="2">
        <f>COUNTIFS('BA History S2'!$B:$B,$A$18,'BA History S2'!AF:AF, 1)</f>
        <v>0</v>
      </c>
      <c r="AN18" s="2">
        <f>COUNTIFS('BA History S2'!$B:$B,$A$18,'BA History S2'!AG:AG, 1)</f>
        <v>3</v>
      </c>
    </row>
    <row r="19" spans="1:40" ht="15.75" x14ac:dyDescent="0.25">
      <c r="A19" s="2" t="s">
        <v>150</v>
      </c>
      <c r="B19" s="95" t="s">
        <v>79</v>
      </c>
      <c r="C19" s="95">
        <v>2</v>
      </c>
      <c r="D19" s="95"/>
      <c r="E19" s="95"/>
      <c r="F19" s="34">
        <f>SUMIFS('BA History S2'!C:C,'BA History S2'!B:B,A19)</f>
        <v>480</v>
      </c>
      <c r="G19" s="66">
        <f>AVERAGEIFS('BA History S2'!C:C,'BA History S2'!B:B,A19)</f>
        <v>20.869565217391305</v>
      </c>
      <c r="H19" s="35">
        <f t="array" ref="H19">MAX(IF('BA History S2'!B:B=A19, 'BA History S2'!C:C))</f>
        <v>33</v>
      </c>
      <c r="I19" s="34">
        <f>COUNTIFS('BA History S2'!B:B,A19,'BA History S2'!D:D, 1)</f>
        <v>16</v>
      </c>
      <c r="J19" s="2">
        <f>COUNTIFS('BA History S2'!B:B,A19,'BA History S2'!D:D, 0)</f>
        <v>7</v>
      </c>
      <c r="K19" s="75">
        <f>LOOKUP(2, 1/('BA History S2'!$B:$B=A19), 'BA History S2'!$AK:$AK)</f>
        <v>0.69565217391304346</v>
      </c>
      <c r="L19" s="34">
        <f>SUMIFS('BA History S2'!F:F,'BA History S2'!B:B,A19)</f>
        <v>55</v>
      </c>
      <c r="M19" s="2">
        <f>SUMIFS('BA History S2'!E:E,'BA History S2'!B:B,A19)-L19</f>
        <v>36</v>
      </c>
      <c r="N19" s="75">
        <f>LOOKUP(2, 1/('BA History S2'!$B:$B=A19), 'BA History S2'!$AI:$AI)</f>
        <v>0.61304347826086958</v>
      </c>
      <c r="O19" s="34">
        <f>SUMIFS('BA History S2'!H:H,'BA History S2'!B:B,A19)</f>
        <v>208</v>
      </c>
      <c r="P19" s="2">
        <f>SUMIFS('BA History S2'!G:G,'BA History S2'!B:B,A19)-O19</f>
        <v>164</v>
      </c>
      <c r="Q19" s="89">
        <f>LOOKUP(2, 1/('BA History S2'!$B:$B=A19), 'BA History S2'!$AJ:$AJ)</f>
        <v>0.5765217391304347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5</v>
      </c>
      <c r="U19" s="2">
        <f>COUNTIFS('BA History S2'!$B:$B,$A$19,'BA History S2'!N:N, 1)</f>
        <v>8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2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3</v>
      </c>
      <c r="AG19" s="2">
        <f>COUNTIFS('BA History S2'!$B:$B,$A$19,'BA History S2'!Z:Z, 1)</f>
        <v>9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6</v>
      </c>
      <c r="AK19" s="2">
        <f>COUNTIFS('BA History S2'!$B:$B,$A$19,'BA History S2'!AD:AD, 1)</f>
        <v>2</v>
      </c>
      <c r="AL19" s="2">
        <f>COUNTIFS('BA History S2'!$B:$B,$A$19,'BA History S2'!AE:AE, 1)</f>
        <v>3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32</v>
      </c>
      <c r="G21" s="66">
        <f>AVERAGEIFS('BA History S2'!C:C,'BA History S2'!B:B,A21)</f>
        <v>10.666666666666666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1</v>
      </c>
      <c r="K21" s="75">
        <f>LOOKUP(2, 1/('BA History S2'!$B:$B=A21), 'BA History S2'!$AK:$AK)</f>
        <v>0.66666666666666663</v>
      </c>
      <c r="L21" s="34">
        <f>SUMIFS('BA History S2'!F:F,'BA History S2'!B:B,A21)</f>
        <v>6</v>
      </c>
      <c r="M21" s="2">
        <f>SUMIFS('BA History S2'!E:E,'BA History S2'!B:B,A21)-L21</f>
        <v>4</v>
      </c>
      <c r="N21" s="75">
        <f>LOOKUP(2, 1/('BA History S2'!$B:$B=A21), 'BA History S2'!$AI:$AI)</f>
        <v>0.58333333333333337</v>
      </c>
      <c r="O21" s="34">
        <f>SUMIFS('BA History S2'!H:H,'BA History S2'!B:B,A21)</f>
        <v>21</v>
      </c>
      <c r="P21" s="2">
        <f>SUMIFS('BA History S2'!G:G,'BA History S2'!B:B,A21)-O21</f>
        <v>19</v>
      </c>
      <c r="Q21" s="89">
        <f>LOOKUP(2, 1/('BA History S2'!$B:$B=A21), 'BA History S2'!$AJ:$AJ)</f>
        <v>0.48</v>
      </c>
      <c r="R21" s="2">
        <f>COUNTIFS('BA History S2'!$B:$B,$A$21,'BA History S2'!K:K, 1)</f>
        <v>0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231</v>
      </c>
      <c r="G22" s="66">
        <f>AVERAGEIFS('BA History S2'!C:C,'BA History S2'!B:B,A22)</f>
        <v>14.4375</v>
      </c>
      <c r="H22" s="35">
        <f t="array" ref="H22">MAX(IF('BA History S2'!B:B=A22, 'BA History S2'!C:C))</f>
        <v>27</v>
      </c>
      <c r="I22" s="34">
        <f>COUNTIFS('BA History S2'!B:B,A22,'BA History S2'!D:D, 1)</f>
        <v>4</v>
      </c>
      <c r="J22" s="2">
        <f>COUNTIFS('BA History S2'!B:B,A22,'BA History S2'!D:D, 0)</f>
        <v>12</v>
      </c>
      <c r="K22" s="75">
        <f>LOOKUP(2, 1/('BA History S2'!$B:$B=A22), 'BA History S2'!$AK:$AK)</f>
        <v>0.25</v>
      </c>
      <c r="L22" s="34">
        <f>SUMIFS('BA History S2'!F:F,'BA History S2'!B:B,A22)</f>
        <v>26</v>
      </c>
      <c r="M22" s="2">
        <f>SUMIFS('BA History S2'!E:E,'BA History S2'!B:B,A22)-L22</f>
        <v>37</v>
      </c>
      <c r="N22" s="75">
        <f>LOOKUP(2, 1/('BA History S2'!$B:$B=A22), 'BA History S2'!$AI:$AI)</f>
        <v>0.42812499999999998</v>
      </c>
      <c r="O22" s="34">
        <f>SUMIFS('BA History S2'!H:H,'BA History S2'!B:B,A22)</f>
        <v>123</v>
      </c>
      <c r="P22" s="2">
        <f>SUMIFS('BA History S2'!G:G,'BA History S2'!B:B,A22)-O22</f>
        <v>143</v>
      </c>
      <c r="Q22" s="89">
        <f>LOOKUP(2, 1/('BA History S2'!$B:$B=A22), 'BA History S2'!$AJ:$AJ)</f>
        <v>0.46499999999999997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4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4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8</v>
      </c>
      <c r="G23" s="66">
        <f>AVERAGEIFS('BA History S2'!C:C,'BA History S2'!B:B,A23)</f>
        <v>8</v>
      </c>
      <c r="H23" s="35">
        <f t="array" ref="H23">MAX(IF('BA History S2'!B:B=A23, 'BA History S2'!C:C))</f>
        <v>8</v>
      </c>
      <c r="I23" s="34">
        <f>COUNTIFS('BA History S2'!B:B,A23,'BA History S2'!D:D, 1)</f>
        <v>1</v>
      </c>
      <c r="J23" s="2">
        <f>COUNTIFS('BA History S2'!B:B,A23,'BA History S2'!D:D, 0)</f>
        <v>0</v>
      </c>
      <c r="K23" s="75">
        <f>LOOKUP(2, 1/('BA History S2'!$B:$B=A23), 'BA History S2'!$AK:$AK)</f>
        <v>1</v>
      </c>
      <c r="L23" s="34">
        <f>SUMIFS('BA History S2'!F:F,'BA History S2'!B:B,A23)</f>
        <v>3</v>
      </c>
      <c r="M23" s="2">
        <f>SUMIFS('BA History S2'!E:E,'BA History S2'!B:B,A23)-L23</f>
        <v>1</v>
      </c>
      <c r="N23" s="75">
        <f>LOOKUP(2, 1/('BA History S2'!$B:$B=A23), 'BA History S2'!$AI:$AI)</f>
        <v>0.75</v>
      </c>
      <c r="O23" s="34">
        <f>SUMIFS('BA History S2'!H:H,'BA History S2'!B:B,A23)</f>
        <v>10</v>
      </c>
      <c r="P23" s="2">
        <f>SUMIFS('BA History S2'!G:G,'BA History S2'!B:B,A23)-O23</f>
        <v>7</v>
      </c>
      <c r="Q23" s="89">
        <f>LOOKUP(2, 1/('BA History S2'!$B:$B=A23), 'BA History S2'!$AJ:$AJ)</f>
        <v>0.59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/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65</v>
      </c>
      <c r="G24" s="66">
        <f>AVERAGEIFS('BA History S2'!C:C,'BA History S2'!B:B,A24)</f>
        <v>8.125</v>
      </c>
      <c r="H24" s="35">
        <f t="array" ref="H24">MAX(IF('BA History S2'!B:B=A24, 'BA History S2'!C:C))</f>
        <v>15</v>
      </c>
      <c r="I24" s="34">
        <f>COUNTIFS('BA History S2'!B:B,A24,'BA History S2'!D:D, 1)</f>
        <v>3</v>
      </c>
      <c r="J24" s="2">
        <f>COUNTIFS('BA History S2'!B:B,A24,'BA History S2'!D:D, 0)</f>
        <v>5</v>
      </c>
      <c r="K24" s="75">
        <f>LOOKUP(2, 1/('BA History S2'!$B:$B=A24), 'BA History S2'!$AK:$AK)</f>
        <v>0.375</v>
      </c>
      <c r="L24" s="34">
        <f>SUMIFS('BA History S2'!F:F,'BA History S2'!B:B,A24)</f>
        <v>14</v>
      </c>
      <c r="M24" s="2">
        <f>SUMIFS('BA History S2'!E:E,'BA History S2'!B:B,A24)-L24</f>
        <v>21</v>
      </c>
      <c r="N24" s="75">
        <f>LOOKUP(2, 1/('BA History S2'!$B:$B=A24), 'BA History S2'!$AI:$AI)</f>
        <v>0.35625000000000001</v>
      </c>
      <c r="O24" s="34">
        <f>SUMIFS('BA History S2'!H:H,'BA History S2'!B:B,A24)</f>
        <v>69</v>
      </c>
      <c r="P24" s="2">
        <f>SUMIFS('BA History S2'!G:G,'BA History S2'!B:B,A24)-O24</f>
        <v>81</v>
      </c>
      <c r="Q24" s="89">
        <f>LOOKUP(2, 1/('BA History S2'!$B:$B=A24), 'BA History S2'!$AJ:$AJ)</f>
        <v>0.44375000000000003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1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4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  <c r="AN24" s="2">
        <f>COUNTIFS('BA History S2'!$B:$B,$A$24,'BA History S2'!AG:AG, 1)</f>
        <v>1</v>
      </c>
    </row>
    <row r="25" spans="1:40" x14ac:dyDescent="0.25">
      <c r="A25" s="2" t="s">
        <v>3</v>
      </c>
      <c r="B25" s="1" t="s">
        <v>158</v>
      </c>
      <c r="C25" s="2"/>
      <c r="D25" s="2"/>
      <c r="E25" s="2"/>
      <c r="F25" s="34">
        <f>SUMIFS('BA History S2'!C:C,'BA History S2'!B:B,A25)</f>
        <v>37</v>
      </c>
      <c r="G25" s="66">
        <f>AVERAGEIFS('BA History S2'!C:C,'BA History S2'!B:B,A25)</f>
        <v>18.5</v>
      </c>
      <c r="H25" s="35">
        <f t="array" ref="H25">MAX(IF('BA History S2'!B:B=A25, 'BA History S2'!C:C))</f>
        <v>26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2</v>
      </c>
      <c r="M25" s="2">
        <f>SUMIFS('BA History S2'!E:E,'BA History S2'!B:B,A25)-L25</f>
        <v>6</v>
      </c>
      <c r="N25" s="75">
        <f>LOOKUP(2, 1/('BA History S2'!$B:$B=A25), 'BA History S2'!$AI:$AI)</f>
        <v>0.2</v>
      </c>
      <c r="O25" s="34">
        <f>SUMIFS('BA History S2'!H:H,'BA History S2'!B:B,A25)</f>
        <v>16</v>
      </c>
      <c r="P25" s="2">
        <f>SUMIFS('BA History S2'!G:G,'BA History S2'!B:B,A25)-O25</f>
        <v>21</v>
      </c>
      <c r="Q25" s="89">
        <f>LOOKUP(2, 1/('BA History S2'!$B:$B=A25), 'BA History S2'!$AJ:$AJ)</f>
        <v>0.40500000000000003</v>
      </c>
      <c r="R25" s="2">
        <f>COUNTIFS('BA History S2'!$B:$B,$A$25,'BA History S2'!K:K, 1)</f>
        <v>0</v>
      </c>
      <c r="S25" s="2">
        <f>COUNTIFS('BA History S2'!$B:$B,$A$25,'BA History S2'!L:L, 1)</f>
        <v>0</v>
      </c>
      <c r="T25" s="2">
        <f>COUNTIFS('BA History S2'!$B:$B,$A$25,'BA History S2'!M:M, 1)</f>
        <v>0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1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/>
    </row>
    <row r="26" spans="1:40" x14ac:dyDescent="0.25">
      <c r="A26" s="2" t="s">
        <v>161</v>
      </c>
      <c r="B26" s="2" t="s">
        <v>79</v>
      </c>
      <c r="C26" s="2"/>
      <c r="D26" s="2"/>
      <c r="E26" s="2"/>
      <c r="F26" s="34">
        <f>SUMIFS('BA History S2'!C:C,'BA History S2'!B:B,A26)</f>
        <v>175</v>
      </c>
      <c r="G26" s="66">
        <f>AVERAGEIFS('BA History S2'!C:C,'BA History S2'!B:B,A26)</f>
        <v>10.9375</v>
      </c>
      <c r="H26" s="35">
        <f t="array" ref="H26">MAX(IF('BA History S2'!B:B=A26, 'BA History S2'!C:C))</f>
        <v>29</v>
      </c>
      <c r="I26" s="34">
        <f>COUNTIFS('BA History S2'!B:B,A26,'BA History S2'!D:D, 1)</f>
        <v>9</v>
      </c>
      <c r="J26" s="2">
        <f>COUNTIFS('BA History S2'!B:B,A26,'BA History S2'!D:D, 0)</f>
        <v>7</v>
      </c>
      <c r="K26" s="75">
        <f>LOOKUP(2, 1/('BA History S2'!$B:$B=A26), 'BA History S2'!$AK:$AK)</f>
        <v>0.5625</v>
      </c>
      <c r="L26" s="34">
        <f>SUMIFS('BA History S2'!F:F,'BA History S2'!B:B,A26)</f>
        <v>34</v>
      </c>
      <c r="M26" s="2">
        <f>SUMIFS('BA History S2'!E:E,'BA History S2'!B:B,A26)-L26</f>
        <v>32</v>
      </c>
      <c r="N26" s="75">
        <f>LOOKUP(2, 1/('BA History S2'!$B:$B=A26), 'BA History S2'!$AI:$AI)</f>
        <v>0.50624999999999998</v>
      </c>
      <c r="O26" s="34">
        <f>SUMIFS('BA History S2'!H:H,'BA History S2'!B:B,A26)</f>
        <v>140</v>
      </c>
      <c r="P26" s="2">
        <f>SUMIFS('BA History S2'!G:G,'BA History S2'!B:B,A26)-O26</f>
        <v>142</v>
      </c>
      <c r="Q26" s="89">
        <f>LOOKUP(2, 1/('BA History S2'!$B:$B=A26), 'BA History S2'!$AJ:$AJ)</f>
        <v>0.49749999999999994</v>
      </c>
      <c r="R26" s="2">
        <f>COUNTIFS('BA History S2'!$B:$B,$A$26,'BA History S2'!K:K, 1)</f>
        <v>2</v>
      </c>
      <c r="S26" s="2">
        <f>COUNTIFS('BA History S2'!$B:$B,$A$26,'BA History S2'!L:L, 1)</f>
        <v>2</v>
      </c>
      <c r="T26" s="2">
        <f>COUNTIFS('BA History S2'!$B:$B,$A$26,'BA History S2'!M:M, 1)</f>
        <v>4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4</v>
      </c>
      <c r="AH26" s="2">
        <f>COUNTIFS('BA History S2'!$B:$B,$A26,'BA History S2'!AA:AA, 1)</f>
        <v>1</v>
      </c>
      <c r="AI26" s="2">
        <f>COUNTIFS('BA History S2'!$B:$B,$A$26,'BA History S2'!AB:AB, 1)</f>
        <v>2</v>
      </c>
      <c r="AJ26" s="2">
        <f>COUNTIFS('BA History S2'!$B:$B,$A$26,'BA History S2'!AC:AC, 1)</f>
        <v>4</v>
      </c>
      <c r="AK26" s="2">
        <f>COUNTIFS('BA History S2'!$B:$B,$A$26,'BA History S2'!AD:AD, 1)</f>
        <v>2</v>
      </c>
      <c r="AL26" s="2">
        <f>COUNTIFS('BA History S2'!$B:$B,$A$26,'BA History S2'!AE:AE, 1)</f>
        <v>1</v>
      </c>
      <c r="AM26" s="2">
        <f>COUNTIFS('BA History S2'!$B:$B,$A$26,'BA History S2'!AF:AF, 1)</f>
        <v>1</v>
      </c>
      <c r="AN26" s="2">
        <f>COUNTIFS('BA History S2'!$B:$B,$A$26,'BA History S2'!AG:AG, 1)</f>
        <v>3</v>
      </c>
    </row>
    <row r="27" spans="1:40" x14ac:dyDescent="0.25">
      <c r="A27" s="2" t="s">
        <v>13</v>
      </c>
      <c r="B27" s="2" t="s">
        <v>79</v>
      </c>
      <c r="C27" s="2"/>
      <c r="D27" s="2"/>
      <c r="E27" s="2"/>
      <c r="F27" s="34">
        <f>SUMIFS('BA History S2'!C:C,'BA History S2'!B:B,A27)</f>
        <v>324</v>
      </c>
      <c r="G27" s="66">
        <f>AVERAGEIFS('BA History S2'!C:C,'BA History S2'!B:B,A27)</f>
        <v>17.05263157894737</v>
      </c>
      <c r="H27" s="35">
        <f t="array" ref="H27">MAX(IF('BA History S2'!B:B=A27, 'BA History S2'!C:C))</f>
        <v>27</v>
      </c>
      <c r="I27" s="34">
        <f>COUNTIFS('BA History S2'!B:B,A27,'BA History S2'!D:D, 1)</f>
        <v>8</v>
      </c>
      <c r="J27" s="2">
        <f>COUNTIFS('BA History S2'!B:B,A27,'BA History S2'!D:D, 0)</f>
        <v>11</v>
      </c>
      <c r="K27" s="75">
        <f>LOOKUP(2, 1/('BA History S2'!$B:$B=A27), 'BA History S2'!$AK:$AK)</f>
        <v>0.42105263157894735</v>
      </c>
      <c r="L27" s="34">
        <f>SUMIFS('BA History S2'!F:F,'BA History S2'!B:B,A27)</f>
        <v>33</v>
      </c>
      <c r="M27" s="2">
        <f>SUMIFS('BA History S2'!E:E,'BA History S2'!B:B,A27)-L27</f>
        <v>40</v>
      </c>
      <c r="N27" s="75">
        <f>LOOKUP(2, 1/('BA History S2'!$B:$B=A27), 'BA History S2'!$AI:$AI)</f>
        <v>0.44736842105263158</v>
      </c>
      <c r="O27" s="34">
        <f>SUMIFS('BA History S2'!H:H,'BA History S2'!B:B,A27)</f>
        <v>153</v>
      </c>
      <c r="P27" s="2">
        <f>SUMIFS('BA History S2'!G:G,'BA History S2'!B:B,A27)-O27</f>
        <v>168</v>
      </c>
      <c r="Q27" s="89">
        <f>LOOKUP(2, 1/('BA History S2'!$B:$B=A27), 'BA History S2'!$AJ:$AJ)</f>
        <v>0.47157894736842099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3</v>
      </c>
      <c r="U27" s="2">
        <f>COUNTIFS('BA History S2'!$B:$B,$A$27,'BA History S2'!N:N, 1)</f>
        <v>2</v>
      </c>
      <c r="V27" s="2">
        <f>COUNTIFS('BA History S2'!$B:$B,$A$27,'BA History S2'!O:O, 1)</f>
        <v>2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2</v>
      </c>
      <c r="AG27" s="2">
        <f>COUNTIFS('BA History S2'!$B:$B,$A$27,'BA History S2'!Z:Z, 1)</f>
        <v>3</v>
      </c>
      <c r="AH27" s="2">
        <f>COUNTIFS('BA History S2'!$B:$B,$A27,'BA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5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1</v>
      </c>
    </row>
    <row r="28" spans="1:40" x14ac:dyDescent="0.25">
      <c r="A28" s="2" t="s">
        <v>2</v>
      </c>
      <c r="B28" s="1" t="s">
        <v>158</v>
      </c>
      <c r="C28" s="1">
        <v>1</v>
      </c>
      <c r="F28" s="34">
        <f>SUMIFS('BA History S2'!C:C,'BA History S2'!B:B,A28)</f>
        <v>488</v>
      </c>
      <c r="G28" s="66">
        <f>AVERAGEIFS('BA History S2'!C:C,'BA History S2'!B:B,A28)</f>
        <v>24.4</v>
      </c>
      <c r="H28" s="35">
        <f t="array" ref="H28">MAX(IF('BA History S2'!B:B=A28, 'BA History S2'!C:C))</f>
        <v>50</v>
      </c>
      <c r="I28" s="34">
        <f>COUNTIFS('BA History S2'!B:B,A28,'BA History S2'!D:D, 1)</f>
        <v>6</v>
      </c>
      <c r="J28" s="2">
        <f>COUNTIFS('BA History S2'!B:B,A28,'BA History S2'!D:D, 0)</f>
        <v>14</v>
      </c>
      <c r="K28" s="75">
        <f>LOOKUP(2, 1/('BA History S2'!$B:$B=A28), 'BA History S2'!$AK:$AK)</f>
        <v>0.3</v>
      </c>
      <c r="L28" s="34">
        <f>SUMIFS('BA History S2'!F:F,'BA History S2'!B:B,A28)</f>
        <v>34</v>
      </c>
      <c r="M28" s="2">
        <f>SUMIFS('BA History S2'!E:E,'BA History S2'!B:B,A28)-L28</f>
        <v>47</v>
      </c>
      <c r="N28" s="75">
        <f>LOOKUP(2, 1/('BA History S2'!$B:$B=A28), 'BA History S2'!$AI:$AI)</f>
        <v>0.41749999999999998</v>
      </c>
      <c r="O28" s="34">
        <f>SUMIFS('BA History S2'!H:H,'BA History S2'!B:B,A28)</f>
        <v>173</v>
      </c>
      <c r="P28" s="2">
        <f>SUMIFS('BA History S2'!G:G,'BA History S2'!B:B,A28)-O28</f>
        <v>176</v>
      </c>
      <c r="Q28" s="89">
        <f>LOOKUP(2, 1/('BA History S2'!$B:$B=A28), 'BA History S2'!$AJ:$AJ)</f>
        <v>0.49299999999999999</v>
      </c>
      <c r="R28" s="2">
        <f>COUNTIFS('BA History S2'!$B:$B,$A$28,'BA History S2'!K:K, 1)</f>
        <v>2</v>
      </c>
      <c r="S28" s="2">
        <f>COUNTIFS('BA History S2'!$B:$B,$A$28,'BA History S2'!L:L, 1)</f>
        <v>1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2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S2'!$B:$B,$A28,'BA History S2'!AA:AA, 1)</f>
        <v>1</v>
      </c>
      <c r="AI28" s="2">
        <f>COUNTIFS('BA History S2'!$B:$B,$A$28,'BA History S2'!AB:AB, 1)</f>
        <v>1</v>
      </c>
      <c r="AJ28" s="2">
        <f>COUNTIFS('BA History S2'!$B:$B,$A$28,'BA History S2'!AC:AC, 1)</f>
        <v>7</v>
      </c>
      <c r="AK28" s="2">
        <f>COUNTIFS('BA History S2'!$B:$B,$A$28,'BA History S2'!AD:AD, 1)</f>
        <v>2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54</v>
      </c>
      <c r="B29" s="2" t="s">
        <v>79</v>
      </c>
      <c r="C29" s="2">
        <v>3</v>
      </c>
      <c r="D29" s="2">
        <v>1</v>
      </c>
      <c r="E29" s="2"/>
      <c r="F29" s="34">
        <f>SUMIFS('BA History S2'!C:C,'BA History S2'!B:B,A29)</f>
        <v>493</v>
      </c>
      <c r="G29" s="66">
        <f>AVERAGEIFS('BA History S2'!C:C,'BA History S2'!B:B,A29)</f>
        <v>22.40909090909091</v>
      </c>
      <c r="H29" s="35">
        <f t="array" ref="H29">MAX(IF('BA History S2'!B:B=A29, 'BA History S2'!C:C))</f>
        <v>47</v>
      </c>
      <c r="I29" s="34">
        <f>COUNTIFS('BA History S2'!B:B,A29,'BA History S2'!D:D, 1)</f>
        <v>12</v>
      </c>
      <c r="J29" s="2">
        <f>COUNTIFS('BA History S2'!B:B,A29,'BA History S2'!D:D, 0)</f>
        <v>10</v>
      </c>
      <c r="K29" s="75">
        <f>LOOKUP(2, 1/('BA History S2'!$B:$B=A29), 'BA History S2'!$AK:$AK)</f>
        <v>0.54545454545454541</v>
      </c>
      <c r="L29" s="34">
        <f>SUMIFS('BA History S2'!F:F,'BA History S2'!B:B,A29)</f>
        <v>46</v>
      </c>
      <c r="M29" s="2">
        <f>SUMIFS('BA History S2'!E:E,'BA History S2'!B:B,A29)-L29</f>
        <v>41</v>
      </c>
      <c r="N29" s="75">
        <f>LOOKUP(2, 1/('BA History S2'!$B:$B=A29), 'BA History S2'!$AI:$AI)</f>
        <v>0.52954545454545454</v>
      </c>
      <c r="O29" s="34">
        <f>SUMIFS('BA History S2'!H:H,'BA History S2'!B:B,A29)</f>
        <v>184</v>
      </c>
      <c r="P29" s="2">
        <f>SUMIFS('BA History S2'!G:G,'BA History S2'!B:B,A29)-O29</f>
        <v>179</v>
      </c>
      <c r="Q29" s="89">
        <f>LOOKUP(2, 1/('BA History S2'!$B:$B=A29), 'BA History S2'!$AJ:$AJ)</f>
        <v>0.50636363636363635</v>
      </c>
      <c r="R29" s="2">
        <f>COUNTIFS('BA History S2'!$B:$B,$A$29,'BA History S2'!K:K, 1)</f>
        <v>2</v>
      </c>
      <c r="S29" s="2">
        <f>COUNTIFS('BA History S2'!$B:$B,$A$29,'BA History S2'!L:L, 1)</f>
        <v>5</v>
      </c>
      <c r="T29" s="2">
        <f>COUNTIFS('BA History S2'!$B:$B,$A$29,'BA History S2'!M:M, 1)</f>
        <v>4</v>
      </c>
      <c r="U29" s="2">
        <f>COUNTIFS('BA History S2'!$B:$B,$A$29,'BA History S2'!N:N, 1)</f>
        <v>3</v>
      </c>
      <c r="V29" s="2">
        <f>COUNTIFS('BA History S2'!$B:$B,$A$29,'BA History S2'!O:O, 1)</f>
        <v>2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1</v>
      </c>
      <c r="AC29" s="2">
        <f>COUNTIFS('BA History S2'!$B:$B,$A$29,'BA History S2'!V:V, 1)</f>
        <v>3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5</v>
      </c>
      <c r="AH29" s="2">
        <f>COUNTIFS('BA History S2'!$B:$B,$A29,'BA History S2'!AA:AA, 1)</f>
        <v>0</v>
      </c>
      <c r="AI29" s="2">
        <f>COUNTIFS('BA History S2'!$B:$B,$A$29,'BA History S2'!AB:AB, 1)</f>
        <v>2</v>
      </c>
      <c r="AJ29" s="2">
        <f>COUNTIFS('BA History S2'!$B:$B,$A$29,'BA History S2'!AC:AC, 1)</f>
        <v>4</v>
      </c>
      <c r="AK29" s="2">
        <f>COUNTIFS('BA History S2'!$B:$B,$A$29,'BA History S2'!AD:AD, 1)</f>
        <v>2</v>
      </c>
      <c r="AL29" s="2">
        <f>COUNTIFS('BA History S2'!$B:$B,$A$29,'BA History S2'!AE:AE, 1)</f>
        <v>3</v>
      </c>
      <c r="AM29" s="2">
        <f>COUNTIFS('BA History S2'!$B:$B,$A$29,'BA History S2'!AF:AF, 1)</f>
        <v>0</v>
      </c>
      <c r="AN29" s="2">
        <f>COUNTIFS('BA History S2'!$B:$B,$A$29,'BA History S2'!AG:AG, 1)</f>
        <v>4</v>
      </c>
    </row>
    <row r="30" spans="1:40" x14ac:dyDescent="0.25">
      <c r="A30" s="2" t="s">
        <v>5</v>
      </c>
      <c r="B30" s="1" t="s">
        <v>158</v>
      </c>
      <c r="C30" s="1">
        <v>1</v>
      </c>
      <c r="D30" s="1">
        <v>1</v>
      </c>
      <c r="F30" s="34">
        <f>SUMIFS('BA History S2'!C:C,'BA History S2'!B:B,A30)</f>
        <v>411</v>
      </c>
      <c r="G30" s="66">
        <f>AVERAGEIFS('BA History S2'!C:C,'BA History S2'!B:B,A30)</f>
        <v>17.869565217391305</v>
      </c>
      <c r="H30" s="35">
        <f t="array" ref="H30">MAX(IF('BA History S2'!B:B=A30, 'BA History S2'!C:C))</f>
        <v>37</v>
      </c>
      <c r="I30" s="34">
        <f>COUNTIFS('BA History S2'!B:B,A30,'BA History S2'!D:D, 1)</f>
        <v>11</v>
      </c>
      <c r="J30" s="2">
        <f>COUNTIFS('BA History S2'!B:B,A30,'BA History S2'!D:D, 0)</f>
        <v>12</v>
      </c>
      <c r="K30" s="75">
        <f>LOOKUP(2, 1/('BA History S2'!$B:$B=A30), 'BA History S2'!$AK:$AK)</f>
        <v>0.47826086956521741</v>
      </c>
      <c r="L30" s="34">
        <f>SUMIFS('BA History S2'!F:F,'BA History S2'!B:B,A30)</f>
        <v>45</v>
      </c>
      <c r="M30" s="2">
        <f>SUMIFS('BA History S2'!E:E,'BA History S2'!B:B,A30)-L30</f>
        <v>49</v>
      </c>
      <c r="N30" s="75">
        <f>LOOKUP(2, 1/('BA History S2'!$B:$B=A30), 'BA History S2'!$AI:$AI)</f>
        <v>0.46739130434782616</v>
      </c>
      <c r="O30" s="34">
        <f>SUMIFS('BA History S2'!H:H,'BA History S2'!B:B,A30)</f>
        <v>190</v>
      </c>
      <c r="P30" s="2">
        <f>SUMIFS('BA History S2'!G:G,'BA History S2'!B:B,A30)-O30</f>
        <v>202</v>
      </c>
      <c r="Q30" s="89">
        <f>LOOKUP(2, 1/('BA History S2'!$B:$B=A30), 'BA History S2'!$AJ:$AJ)</f>
        <v>0.48260869565217396</v>
      </c>
      <c r="R30" s="2">
        <f>COUNTIFS('BA History S2'!$B:$B,$A$30,'BA History S2'!K:K, 1)</f>
        <v>2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7</v>
      </c>
      <c r="V30" s="2">
        <f>COUNTIFS('BA History S2'!$B:$B,$A$30,'BA History S2'!O:O, 1)</f>
        <v>2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3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8</v>
      </c>
      <c r="AK30" s="2">
        <f>COUNTIFS('BA History S2'!$B:$B,$A$30,'BA History S2'!AD:AD, 1)</f>
        <v>1</v>
      </c>
      <c r="AL30" s="2">
        <f>COUNTIFS('BA History S2'!$B:$B,$A$30,'BA History S2'!AE:AE, 1)</f>
        <v>2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224</v>
      </c>
      <c r="B31" s="1" t="s">
        <v>79</v>
      </c>
      <c r="F31" s="34">
        <f>SUMIFS('BA History S2'!C:C,'BA History S2'!B:B,A31)</f>
        <v>17</v>
      </c>
      <c r="G31" s="66">
        <f>AVERAGEIFS('BA History S2'!C:C,'BA History S2'!B:B,A31)</f>
        <v>8.5</v>
      </c>
      <c r="H31" s="35">
        <f t="array" ref="H31">MAX(IF('BA History S2'!B:B=A31, 'BA History S2'!C:C))</f>
        <v>10</v>
      </c>
      <c r="I31" s="34">
        <f>COUNTIFS('BA History S2'!B:B,A31,'BA History S2'!D:D, 1)</f>
        <v>1</v>
      </c>
      <c r="J31" s="2">
        <f>COUNTIFS('BA History S2'!B:B,A31,'BA History S2'!D:D, 0)</f>
        <v>1</v>
      </c>
      <c r="K31" s="75">
        <f>LOOKUP(2, 1/('BA History S2'!$B:$B=A31), 'BA History S2'!$AK:$AK)</f>
        <v>0.5</v>
      </c>
      <c r="L31" s="34">
        <f>SUMIFS('BA History S2'!F:F,'BA History S2'!B:B,A31)</f>
        <v>4</v>
      </c>
      <c r="M31" s="2">
        <f>SUMIFS('BA History S2'!E:E,'BA History S2'!B:B,A31)-L31</f>
        <v>3</v>
      </c>
      <c r="N31" s="75">
        <f>LOOKUP(2, 1/('BA History S2'!$B:$B=A31), 'BA History S2'!$AI:$AI)</f>
        <v>0.625</v>
      </c>
      <c r="O31" s="34">
        <f>SUMIFS('BA History S2'!H:H,'BA History S2'!B:B,A31)</f>
        <v>17</v>
      </c>
      <c r="P31" s="2">
        <f>SUMIFS('BA History S2'!G:G,'BA History S2'!B:B,A31)-O31</f>
        <v>16</v>
      </c>
      <c r="Q31" s="89">
        <f>LOOKUP(2, 1/('BA History S2'!$B:$B=A31), 'BA History S2'!$AJ:$AJ)</f>
        <v>0.53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141</v>
      </c>
      <c r="B32" s="2" t="s">
        <v>79</v>
      </c>
      <c r="C32" s="2">
        <v>1</v>
      </c>
      <c r="D32" s="2"/>
      <c r="E32" s="2"/>
      <c r="F32" s="34">
        <f>SUMIFS('BA History S2'!C:C,'BA History S2'!B:B,A32)</f>
        <v>443</v>
      </c>
      <c r="G32" s="66">
        <f>AVERAGEIFS('BA History S2'!C:C,'BA History S2'!B:B,A32)</f>
        <v>20.136363636363637</v>
      </c>
      <c r="H32" s="35">
        <f t="array" ref="H32">MAX(IF('BA History S2'!B:B=A32, 'BA History S2'!C:C))</f>
        <v>43</v>
      </c>
      <c r="I32" s="34">
        <f>COUNTIFS('BA History S2'!B:B,A32,'BA History S2'!D:D, 1)</f>
        <v>14</v>
      </c>
      <c r="J32" s="2">
        <f>COUNTIFS('BA History S2'!B:B,A32,'BA History S2'!D:D, 0)</f>
        <v>8</v>
      </c>
      <c r="K32" s="75">
        <f>LOOKUP(2, 1/('BA History S2'!$B:$B=A32), 'BA History S2'!$AK:$AK)</f>
        <v>0.63636363636363635</v>
      </c>
      <c r="L32" s="34">
        <f>SUMIFS('BA History S2'!F:F,'BA History S2'!B:B,A32)</f>
        <v>47</v>
      </c>
      <c r="M32" s="2">
        <f>SUMIFS('BA History S2'!E:E,'BA History S2'!B:B,A32)-L32</f>
        <v>42</v>
      </c>
      <c r="N32" s="75">
        <f>LOOKUP(2, 1/('BA History S2'!$B:$B=A32), 'BA History S2'!$AI:$AI)</f>
        <v>0.51136363636363635</v>
      </c>
      <c r="O32" s="34">
        <f>SUMIFS('BA History S2'!H:H,'BA History S2'!B:B,A32)</f>
        <v>196</v>
      </c>
      <c r="P32" s="2">
        <f>SUMIFS('BA History S2'!G:G,'BA History S2'!B:B,A32)-O32</f>
        <v>187</v>
      </c>
      <c r="Q32" s="89">
        <f>LOOKUP(2, 1/('BA History S2'!$B:$B=A32), 'BA History S2'!$AJ:$AJ)</f>
        <v>0.50636363636363646</v>
      </c>
      <c r="R32" s="2">
        <f>COUNTIFS('BA History S2'!$B:$B,$A$32,'BA History S2'!K:K, 1)</f>
        <v>4</v>
      </c>
      <c r="S32" s="2">
        <f>COUNTIFS('BA History S2'!$B:$B,$A$32,'BA History S2'!L:L, 1)</f>
        <v>1</v>
      </c>
      <c r="T32" s="2">
        <f>COUNTIFS('BA History S2'!$B:$B,$A$32,'BA History S2'!M:M, 1)</f>
        <v>2</v>
      </c>
      <c r="U32" s="2">
        <f>COUNTIFS('BA History S2'!$B:$B,$A$32,'BA History S2'!N:N, 1)</f>
        <v>6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3</v>
      </c>
      <c r="AD32" s="2">
        <f>COUNTIFS('BA History S2'!$B:$B,$A$32,'BA History S2'!W:W, 1)</f>
        <v>1</v>
      </c>
      <c r="AE32" s="2">
        <f>COUNTIFS('BA History S2'!$B:$B,$A$32,'BA History S2'!X:X, 1)</f>
        <v>0</v>
      </c>
      <c r="AF32" s="2">
        <f>COUNTIFS('BA History S2'!$B:$B,$A$32,'BA History S2'!Y:Y, 1)</f>
        <v>4</v>
      </c>
      <c r="AG32" s="2">
        <f>COUNTIFS('BA History S2'!$B:$B,$A$32,'BA History S2'!Z:Z, 1)</f>
        <v>4</v>
      </c>
      <c r="AH32" s="2">
        <f>COUNTIFS('BA History S2'!$B:$B,$A32,'BA History S2'!AA:AA, 1)</f>
        <v>0</v>
      </c>
      <c r="AI32" s="2">
        <f>COUNTIFS('BA History S2'!$B:$B,$A$32,'BA History S2'!AB:AB, 1)</f>
        <v>1</v>
      </c>
      <c r="AJ32" s="2">
        <f>COUNTIFS('BA History S2'!$B:$B,$A$32,'BA History S2'!AC:AC, 1)</f>
        <v>7</v>
      </c>
      <c r="AK32" s="2">
        <f>COUNTIFS('BA History S2'!$B:$B,$A$32,'BA History S2'!AD:AD, 1)</f>
        <v>3</v>
      </c>
      <c r="AL32" s="2">
        <f>COUNTIFS('BA History S2'!$B:$B,$A$32,'BA History S2'!AE:AE, 1)</f>
        <v>5</v>
      </c>
      <c r="AM32" s="2">
        <f>COUNTIFS('BA History S2'!$B:$B,$A$32,'BA History S2'!AF:AF, 1)</f>
        <v>1</v>
      </c>
      <c r="AN32" s="2">
        <f>COUNTIFS('BA History S2'!$B:$B,$A$32,'BA History S2'!AG:AG, 1)</f>
        <v>2</v>
      </c>
    </row>
    <row r="33" spans="1:40" x14ac:dyDescent="0.25">
      <c r="A33" s="2" t="s">
        <v>40</v>
      </c>
      <c r="B33" s="2" t="s">
        <v>79</v>
      </c>
      <c r="C33" s="2"/>
      <c r="D33" s="2"/>
      <c r="E33" s="2"/>
      <c r="F33" s="34">
        <f>SUMIFS('BA History S2'!C:C,'BA History S2'!B:B,A33)</f>
        <v>502</v>
      </c>
      <c r="G33" s="66">
        <f>AVERAGEIFS('BA History S2'!C:C,'BA History S2'!B:B,A33)</f>
        <v>19.307692307692307</v>
      </c>
      <c r="H33" s="35">
        <f t="array" ref="H33">MAX(IF('BA History S2'!B:B=A33, 'BA History S2'!C:C))</f>
        <v>37</v>
      </c>
      <c r="I33" s="34">
        <f>COUNTIFS('BA History S2'!B:B,A33,'BA History S2'!D:D, 1)</f>
        <v>11</v>
      </c>
      <c r="J33" s="2">
        <f>COUNTIFS('BA History S2'!B:B,A33,'BA History S2'!D:D, 0)</f>
        <v>15</v>
      </c>
      <c r="K33" s="75">
        <f>LOOKUP(2, 1/('BA History S2'!$B:$B=A33), 'BA History S2'!$AK:$AK)</f>
        <v>0.42307692307692307</v>
      </c>
      <c r="L33" s="34">
        <f>SUMIFS('BA History S2'!F:F,'BA History S2'!B:B,A33)</f>
        <v>50</v>
      </c>
      <c r="M33" s="2">
        <f>SUMIFS('BA History S2'!E:E,'BA History S2'!B:B,A33)-L33</f>
        <v>57</v>
      </c>
      <c r="N33" s="75">
        <f>LOOKUP(2, 1/('BA History S2'!$B:$B=A33), 'BA History S2'!$AI:$AI)</f>
        <v>0.45961538461538465</v>
      </c>
      <c r="O33" s="34">
        <f>SUMIFS('BA History S2'!H:H,'BA History S2'!B:B,A33)</f>
        <v>218</v>
      </c>
      <c r="P33" s="2">
        <f>SUMIFS('BA History S2'!G:G,'BA History S2'!B:B,A33)-O33</f>
        <v>229</v>
      </c>
      <c r="Q33" s="89">
        <f>LOOKUP(2, 1/('BA History S2'!$B:$B=A33), 'BA History S2'!$AJ:$AJ)</f>
        <v>0.4819230769230769</v>
      </c>
      <c r="R33" s="2">
        <f>COUNTIFS('BA History S2'!$B:$B,$A$33,'BA History S2'!K:K, 1)</f>
        <v>2</v>
      </c>
      <c r="S33" s="2">
        <f>COUNTIFS('BA History S2'!$B:$B,$A$33,'BA History S2'!L:L, 1)</f>
        <v>4</v>
      </c>
      <c r="T33" s="2">
        <f>COUNTIFS('BA History S2'!$B:$B,$A$33,'BA History S2'!M:M, 1)</f>
        <v>5</v>
      </c>
      <c r="U33" s="2">
        <f>COUNTIFS('BA History S2'!$B:$B,$A$33,'BA History S2'!N:N, 1)</f>
        <v>5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3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2</v>
      </c>
      <c r="AG33" s="2">
        <f>COUNTIFS('BA History S2'!$B:$B,$A$33,'BA History S2'!Z:Z, 1)</f>
        <v>6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3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0</v>
      </c>
      <c r="AN33" s="2">
        <f>COUNTIFS('BA History S2'!$B:$B,$A$33,'BA History S2'!AG:AG, 1)</f>
        <v>5</v>
      </c>
    </row>
    <row r="34" spans="1:40" x14ac:dyDescent="0.25">
      <c r="A34" s="2" t="s">
        <v>166</v>
      </c>
      <c r="B34" s="2" t="s">
        <v>79</v>
      </c>
      <c r="C34" s="2">
        <v>1</v>
      </c>
      <c r="D34" s="2"/>
      <c r="E34" s="2"/>
      <c r="F34" s="34">
        <f>SUMIFS('BA History S2'!C:C,'BA History S2'!B:B,A34)</f>
        <v>40</v>
      </c>
      <c r="G34" s="66">
        <f>AVERAGEIFS('BA History S2'!C:C,'BA History S2'!B:B,A34)</f>
        <v>10</v>
      </c>
      <c r="H34" s="35">
        <f t="array" ref="H34">MAX(IF('BA History S2'!B:B=A34, 'BA History S2'!C:C))</f>
        <v>21</v>
      </c>
      <c r="I34" s="34">
        <f>COUNTIFS('BA History S2'!B:B,A34,'BA History S2'!D:D, 1)</f>
        <v>3</v>
      </c>
      <c r="J34" s="2">
        <f>COUNTIFS('BA History S2'!B:B,A34,'BA History S2'!D:D, 0)</f>
        <v>1</v>
      </c>
      <c r="K34" s="75">
        <f>LOOKUP(2, 1/('BA History S2'!$B:$B=A34), 'BA History S2'!$AK:$AK)</f>
        <v>0.75</v>
      </c>
      <c r="L34" s="34">
        <f>SUMIFS('BA History S2'!F:F,'BA History S2'!B:B,A34)</f>
        <v>9</v>
      </c>
      <c r="M34" s="2">
        <f>SUMIFS('BA History S2'!E:E,'BA History S2'!B:B,A34)-L34</f>
        <v>8</v>
      </c>
      <c r="N34" s="75">
        <f>LOOKUP(2, 1/('BA History S2'!$B:$B=A34), 'BA History S2'!$AI:$AI)</f>
        <v>0.48750000000000004</v>
      </c>
      <c r="O34" s="34">
        <f>SUMIFS('BA History S2'!H:H,'BA History S2'!B:B,A34)</f>
        <v>38</v>
      </c>
      <c r="P34" s="2">
        <f>SUMIFS('BA History S2'!G:G,'BA History S2'!B:B,A34)-O34</f>
        <v>35</v>
      </c>
      <c r="Q34" s="89">
        <f>LOOKUP(2, 1/('BA History S2'!$B:$B=A34), 'BA History S2'!$AJ:$AJ)</f>
        <v>0.49249999999999999</v>
      </c>
      <c r="R34" s="2">
        <f>COUNTIFS('BA History S2'!$B:$B,$A$34,'BA History S2'!K:K, 1)</f>
        <v>1</v>
      </c>
      <c r="S34" s="2">
        <f>COUNTIFS('BA History S2'!$B:$B,$A$34,'BA History S2'!L:L, 1)</f>
        <v>0</v>
      </c>
      <c r="T34" s="2">
        <f>COUNTIFS('BA History S2'!$B:$B,$A$34,'BA History S2'!M:M, 1)</f>
        <v>1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1</v>
      </c>
      <c r="AG34" s="2">
        <f>COUNTIFS('BA History S2'!$B:$B,$A$34,'BA History S2'!Z:Z, 1)</f>
        <v>2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1</v>
      </c>
      <c r="AK34" s="2">
        <f>COUNTIFS('BA History S2'!$B:$B,$A$34,'BA History S2'!AD:AD, 1)</f>
        <v>0</v>
      </c>
      <c r="AL34" s="2">
        <f>COUNTIFS('BA History S2'!$B:$B,$A$34,'BA History S2'!AE:AE, 1)</f>
        <v>1</v>
      </c>
      <c r="AM34" s="2">
        <f>COUNTIFS('BA History S2'!$B:$B,$A$34,'BA History S2'!AF:AF, 1)</f>
        <v>0</v>
      </c>
      <c r="AN34" s="2">
        <f>COUNTIFS('BA History S2'!$B:$B,$A$34,'BA History S2'!AG:AG, 1)</f>
        <v>1</v>
      </c>
    </row>
    <row r="35" spans="1:40" x14ac:dyDescent="0.25">
      <c r="A35" s="2" t="s">
        <v>147</v>
      </c>
      <c r="B35" s="2" t="s">
        <v>79</v>
      </c>
      <c r="C35" s="2"/>
      <c r="D35" s="2"/>
      <c r="E35" s="2"/>
      <c r="F35" s="34">
        <f>SUMIFS('BA History S2'!C:C,'BA History S2'!B:B,A35)</f>
        <v>404</v>
      </c>
      <c r="G35" s="66">
        <f>AVERAGEIFS('BA History S2'!C:C,'BA History S2'!B:B,A35)</f>
        <v>17.565217391304348</v>
      </c>
      <c r="H35" s="35">
        <f t="array" ref="H35">MAX(IF('BA History S2'!B:B=A35, 'BA History S2'!C:C))</f>
        <v>28</v>
      </c>
      <c r="I35" s="34">
        <f>COUNTIFS('BA History S2'!B:B,A35,'BA History S2'!D:D, 1)</f>
        <v>12</v>
      </c>
      <c r="J35" s="2">
        <f>COUNTIFS('BA History S2'!B:B,A35,'BA History S2'!D:D, 0)</f>
        <v>11</v>
      </c>
      <c r="K35" s="75">
        <f>LOOKUP(2, 1/('BA History S2'!$B:$B=A35), 'BA History S2'!$AK:$AK)</f>
        <v>0.52173913043478259</v>
      </c>
      <c r="L35" s="34">
        <f>SUMIFS('BA History S2'!F:F,'BA History S2'!B:B,A35)</f>
        <v>52</v>
      </c>
      <c r="M35" s="2">
        <f>SUMIFS('BA History S2'!E:E,'BA History S2'!B:B,A35)-L35</f>
        <v>46</v>
      </c>
      <c r="N35" s="75">
        <f>LOOKUP(2, 1/('BA History S2'!$B:$B=A35), 'BA History S2'!$AI:$AI)</f>
        <v>0.54999999999999993</v>
      </c>
      <c r="O35" s="34">
        <f>SUMIFS('BA History S2'!H:H,'BA History S2'!B:B,A35)</f>
        <v>218</v>
      </c>
      <c r="P35" s="2">
        <f>SUMIFS('BA History S2'!G:G,'BA History S2'!B:B,A35)-O35</f>
        <v>200</v>
      </c>
      <c r="Q35" s="89">
        <f>LOOKUP(2, 1/('BA History S2'!$B:$B=A35), 'BA History S2'!$AJ:$AJ)</f>
        <v>0.52956521739130435</v>
      </c>
      <c r="R35" s="2">
        <f>COUNTIFS('BA History S2'!$B:$B,$A$35,'BA History S2'!K:K, 1)</f>
        <v>4</v>
      </c>
      <c r="S35" s="2">
        <f>COUNTIFS('BA History S2'!$B:$B,$A$35,'BA History S2'!L:L, 1)</f>
        <v>5</v>
      </c>
      <c r="T35" s="2">
        <f>COUNTIFS('BA History S2'!$B:$B,$A$35,'BA History S2'!M:M, 1)</f>
        <v>3</v>
      </c>
      <c r="U35" s="2">
        <f>COUNTIFS('BA History S2'!$B:$B,$A$35,'BA History S2'!N:N, 1)</f>
        <v>4</v>
      </c>
      <c r="V35" s="2">
        <f>COUNTIFS('BA History S2'!$B:$B,$A$35,'BA History S2'!O:O, 1)</f>
        <v>2</v>
      </c>
      <c r="W35" s="2">
        <f>COUNTIFS('BA History S2'!$B:$B,$A$35,'BA History S2'!P:P, 1)</f>
        <v>2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3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9</v>
      </c>
      <c r="AK35" s="2">
        <f>COUNTIFS('BA History S2'!$B:$B,$A$35,'BA History S2'!AD:AD, 1)</f>
        <v>1</v>
      </c>
      <c r="AL35" s="2">
        <f>COUNTIFS('BA History S2'!$B:$B,$A$35,'BA History S2'!AE:AE, 1)</f>
        <v>5</v>
      </c>
      <c r="AM35" s="2">
        <f>COUNTIFS('BA History S2'!$B:$B,$A$35,'BA History S2'!AF:AF, 1)</f>
        <v>0</v>
      </c>
      <c r="AN35" s="2">
        <f>COUNTIFS('BA History S2'!$B:$B,$A$35,'BA History S2'!AG:AG, 1)</f>
        <v>3</v>
      </c>
    </row>
    <row r="36" spans="1:40" x14ac:dyDescent="0.25">
      <c r="A36" s="2" t="s">
        <v>17</v>
      </c>
      <c r="B36" s="2" t="s">
        <v>79</v>
      </c>
      <c r="C36" s="2">
        <v>1</v>
      </c>
      <c r="D36" s="2">
        <v>1</v>
      </c>
      <c r="E36" s="2"/>
      <c r="F36" s="34">
        <f>SUMIFS('BA History S2'!C:C,'BA History S2'!B:B,A36)</f>
        <v>334</v>
      </c>
      <c r="G36" s="66">
        <f>AVERAGEIFS('BA History S2'!C:C,'BA History S2'!B:B,A36)</f>
        <v>18.555555555555557</v>
      </c>
      <c r="H36" s="35">
        <f t="array" ref="H36">MAX(IF('BA History S2'!B:B=A36, 'BA History S2'!C:C))</f>
        <v>31</v>
      </c>
      <c r="I36" s="34">
        <f>COUNTIFS('BA History S2'!B:B,A36,'BA History S2'!D:D, 1)</f>
        <v>12</v>
      </c>
      <c r="J36" s="2">
        <f>COUNTIFS('BA History S2'!B:B,A36,'BA History S2'!D:D, 0)</f>
        <v>6</v>
      </c>
      <c r="K36" s="75">
        <f>LOOKUP(2, 1/('BA History S2'!$B:$B=A36), 'BA History S2'!$AK:$AK)</f>
        <v>0.66666666666666663</v>
      </c>
      <c r="L36" s="34">
        <f>SUMIFS('BA History S2'!F:F,'BA History S2'!B:B,A36)</f>
        <v>41</v>
      </c>
      <c r="M36" s="2">
        <f>SUMIFS('BA History S2'!E:E,'BA History S2'!B:B,A36)-L36</f>
        <v>29</v>
      </c>
      <c r="N36" s="75">
        <f>LOOKUP(2, 1/('BA History S2'!$B:$B=A36), 'BA History S2'!$AI:$AI)</f>
        <v>0.59444444444444444</v>
      </c>
      <c r="O36" s="34">
        <f>SUMIFS('BA History S2'!H:H,'BA History S2'!B:B,A36)</f>
        <v>154</v>
      </c>
      <c r="P36" s="2">
        <f>SUMIFS('BA History S2'!G:G,'BA History S2'!B:B,A36)-O36</f>
        <v>137</v>
      </c>
      <c r="Q36" s="89">
        <f>LOOKUP(2, 1/('BA History S2'!$B:$B=A36), 'BA History S2'!$AJ:$AJ)</f>
        <v>0.52555555555555555</v>
      </c>
      <c r="R36" s="2">
        <f>COUNTIFS('BA History S2'!$B:$B,$A$36,'BA History S2'!K:K, 1)</f>
        <v>2</v>
      </c>
      <c r="S36" s="2">
        <f>COUNTIFS('BA History S2'!$B:$B,$A$36,'BA History S2'!L:L, 1)</f>
        <v>2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1</v>
      </c>
      <c r="W36" s="2">
        <f>COUNTIFS('BA History S2'!$B:$B,$A$36,'BA History S2'!P:P, 1)</f>
        <v>1</v>
      </c>
      <c r="X36" s="2">
        <f>COUNTIFS('BA History S2'!$B:$B,$A$36,'BA History S2'!Q:Q, 1)</f>
        <v>2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4</v>
      </c>
      <c r="AH36" s="2">
        <f>COUNTIFS('BA History S2'!$B:$B,$A36,'BA History S2'!AA:AA, 1)</f>
        <v>0</v>
      </c>
      <c r="AI36" s="2">
        <f>COUNTIFS('BA History S2'!$B:$B,$A$36,'BA History S2'!AB:AB, 1)</f>
        <v>1</v>
      </c>
      <c r="AJ36" s="2">
        <f>COUNTIFS('BA History S2'!$B:$B,$A$36,'BA History S2'!AC:AC, 1)</f>
        <v>7</v>
      </c>
      <c r="AK36" s="2">
        <f>COUNTIFS('BA History S2'!$B:$B,$A$36,'BA History S2'!AD:AD, 1)</f>
        <v>3</v>
      </c>
      <c r="AL36" s="2">
        <f>COUNTIFS('BA History S2'!$B:$B,$A$36,'BA History S2'!AE:AE, 1)</f>
        <v>3</v>
      </c>
      <c r="AM36" s="2">
        <f>COUNTIFS('BA History S2'!$B:$B,$A$36,'BA History S2'!AF:AF, 1)</f>
        <v>2</v>
      </c>
      <c r="AN36" s="2">
        <f>COUNTIFS('BA History S2'!$B:$B,$A$36,'BA History S2'!AG:AG, 1)</f>
        <v>4</v>
      </c>
    </row>
    <row r="37" spans="1:40" x14ac:dyDescent="0.25">
      <c r="A37" s="2" t="s">
        <v>6</v>
      </c>
      <c r="B37" s="1" t="s">
        <v>158</v>
      </c>
      <c r="D37" s="1">
        <v>1</v>
      </c>
      <c r="E37" s="1">
        <v>1</v>
      </c>
      <c r="F37" s="34">
        <f>SUMIFS('BA History S2'!C:C,'BA History S2'!B:B,A37)</f>
        <v>856</v>
      </c>
      <c r="G37" s="66">
        <f>AVERAGEIFS('BA History S2'!C:C,'BA History S2'!B:B,A37)</f>
        <v>25.176470588235293</v>
      </c>
      <c r="H37" s="35">
        <f t="array" ref="H37">MAX(IF('BA History S2'!B:B=A37, 'BA History S2'!C:C))</f>
        <v>42</v>
      </c>
      <c r="I37" s="34">
        <f>COUNTIFS('BA History S2'!B:B,A37,'BA History S2'!D:D, 1)</f>
        <v>21</v>
      </c>
      <c r="J37" s="2">
        <f>COUNTIFS('BA History S2'!B:B,A37,'BA History S2'!D:D, 0)</f>
        <v>13</v>
      </c>
      <c r="K37" s="75">
        <f>LOOKUP(2, 1/('BA History S2'!$B:$B=A37), 'BA History S2'!$AK:$AK)</f>
        <v>0.61764705882352944</v>
      </c>
      <c r="L37" s="34">
        <f>SUMIFS('BA History S2'!F:F,'BA History S2'!B:B,A37)</f>
        <v>77</v>
      </c>
      <c r="M37" s="2">
        <f>SUMIFS('BA History S2'!E:E,'BA History S2'!B:B,A37)-L37</f>
        <v>59</v>
      </c>
      <c r="N37" s="75">
        <f>LOOKUP(2, 1/('BA History S2'!$B:$B=A37), 'BA History S2'!$AI:$AI)</f>
        <v>0.57941176470588229</v>
      </c>
      <c r="O37" s="34">
        <f>SUMIFS('BA History S2'!H:H,'BA History S2'!B:B,A37)</f>
        <v>302</v>
      </c>
      <c r="P37" s="2">
        <f>SUMIFS('BA History S2'!G:G,'BA History S2'!B:B,A37)-O37</f>
        <v>272</v>
      </c>
      <c r="Q37" s="89">
        <f>LOOKUP(2, 1/('BA History S2'!$B:$B=A37), 'BA History S2'!$AJ:$AJ)</f>
        <v>0.52852941176470603</v>
      </c>
      <c r="R37" s="2">
        <f>COUNTIFS('BA History S2'!$B:$B,$A$37,'BA History S2'!K:K, 1)</f>
        <v>4</v>
      </c>
      <c r="S37" s="2">
        <f>COUNTIFS('BA History S2'!$B:$B,$A$37,'BA History S2'!L:L, 1)</f>
        <v>4</v>
      </c>
      <c r="T37" s="2">
        <f>COUNTIFS('BA History S2'!$B:$B,$A$37,'BA History S2'!M:M, 1)</f>
        <v>9</v>
      </c>
      <c r="U37" s="2">
        <f>COUNTIFS('BA History S2'!$B:$B,$A$37,'BA History S2'!N:N, 1)</f>
        <v>6</v>
      </c>
      <c r="V37" s="2">
        <f>COUNTIFS('BA History S2'!$B:$B,$A$37,'BA History S2'!O:O, 1)</f>
        <v>1</v>
      </c>
      <c r="W37" s="2">
        <f>COUNTIFS('BA History S2'!$B:$B,$A$37,'BA History S2'!P:P, 1)</f>
        <v>2</v>
      </c>
      <c r="X37" s="2">
        <f>COUNTIFS('BA History S2'!$B:$B,$A$37,'BA History S2'!Q:Q, 1)</f>
        <v>2</v>
      </c>
      <c r="Y37" s="2">
        <f>COUNTIFS('BA History S2'!$B:$B,$A$37,'BA History S2'!R:R, 1)</f>
        <v>2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2</v>
      </c>
      <c r="AC37" s="2">
        <f>COUNTIFS('BA History S2'!$B:$B,$A$37,'BA History S2'!V:V, 1)</f>
        <v>3</v>
      </c>
      <c r="AD37" s="2">
        <f>COUNTIFS('BA History S2'!$B:$B,$A$37,'BA History S2'!W:W, 1)</f>
        <v>1</v>
      </c>
      <c r="AE37" s="2">
        <f>COUNTIFS('BA History S2'!$B:$B,$A$37,'BA History S2'!X:X, 1)</f>
        <v>0</v>
      </c>
      <c r="AF37" s="2">
        <f>COUNTIFS('BA History S2'!$B:$B,$A$37,'BA History S2'!Y:Y, 1)</f>
        <v>2</v>
      </c>
      <c r="AG37" s="2">
        <f>COUNTIFS('BA History S2'!$B:$B,$A$37,'BA History S2'!Z:Z, 1)</f>
        <v>9</v>
      </c>
      <c r="AH37" s="2">
        <f>COUNTIFS('BA History S2'!$B:$B,$A37,'BA History S2'!AA:AA, 1)</f>
        <v>1</v>
      </c>
      <c r="AI37" s="2">
        <f>COUNTIFS('BA History S2'!$B:$B,$A$37,'BA History S2'!AB:AB, 1)</f>
        <v>1</v>
      </c>
      <c r="AJ37" s="2">
        <f>COUNTIFS('BA History S2'!$B:$B,$A$37,'BA History S2'!AC:AC, 1)</f>
        <v>11</v>
      </c>
      <c r="AK37" s="2">
        <f>COUNTIFS('BA History S2'!$B:$B,$A$37,'BA History S2'!AD:AD, 1)</f>
        <v>5</v>
      </c>
      <c r="AL37" s="2">
        <f>COUNTIFS('BA History S2'!$B:$B,$A$37,'BA History S2'!AE:AE, 1)</f>
        <v>4</v>
      </c>
      <c r="AM37" s="2">
        <f>COUNTIFS('BA History S2'!$B:$B,$A$37,'BA History S2'!AF:AF, 1)</f>
        <v>1</v>
      </c>
      <c r="AN37" s="2">
        <f>COUNTIFS('BA History S2'!$B:$B,$A$37,'BA History S2'!AG:AG, 1)</f>
        <v>7</v>
      </c>
    </row>
    <row r="38" spans="1:40" x14ac:dyDescent="0.25">
      <c r="A38" s="2" t="s">
        <v>18</v>
      </c>
      <c r="B38" s="1" t="s">
        <v>79</v>
      </c>
      <c r="F38" s="34">
        <f>SUMIFS('BA History S2'!C:C,'BA History S2'!B:B,A38)</f>
        <v>96</v>
      </c>
      <c r="G38" s="66">
        <f>AVERAGEIFS('BA History S2'!C:C,'BA History S2'!B:B,A38)</f>
        <v>19.2</v>
      </c>
      <c r="H38" s="35">
        <f t="array" ref="H38">MAX(IF('BA History S2'!B:B=A38, 'BA History S2'!C:C))</f>
        <v>30</v>
      </c>
      <c r="I38" s="34">
        <f>COUNTIFS('BA History S2'!B:B,A38,'BA History S2'!D:D, 1)</f>
        <v>2</v>
      </c>
      <c r="J38" s="2">
        <f>COUNTIFS('BA History S2'!B:B,A38,'BA History S2'!D:D, 0)</f>
        <v>3</v>
      </c>
      <c r="K38" s="75">
        <f>LOOKUP(2, 1/('BA History S2'!$B:$B=A38), 'BA History S2'!$AK:$AK)</f>
        <v>0.4</v>
      </c>
      <c r="L38" s="34">
        <f>SUMIFS('BA History S2'!F:F,'BA History S2'!B:B,A38)</f>
        <v>8</v>
      </c>
      <c r="M38" s="2">
        <f>SUMIFS('BA History S2'!E:E,'BA History S2'!B:B,A38)-L38</f>
        <v>9</v>
      </c>
      <c r="N38" s="75">
        <f>LOOKUP(2, 1/('BA History S2'!$B:$B=A38), 'BA History S2'!$AI:$AI)</f>
        <v>0.5</v>
      </c>
      <c r="O38" s="34">
        <f>SUMIFS('BA History S2'!H:H,'BA History S2'!B:B,A38)</f>
        <v>37</v>
      </c>
      <c r="P38" s="2">
        <f>SUMIFS('BA History S2'!G:G,'BA History S2'!B:B,A38)-O38</f>
        <v>39</v>
      </c>
      <c r="Q38" s="89">
        <f>LOOKUP(2, 1/('BA History S2'!$B:$B=A38), 'BA History S2'!$AJ:$AJ)</f>
        <v>0.502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1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0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0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1</v>
      </c>
      <c r="AJ38" s="2">
        <f>COUNTIFS('BA History S2'!$B:$B,$A$38,'BA History S2'!AC:AC, 1)</f>
        <v>1</v>
      </c>
      <c r="AK38" s="2">
        <f>COUNTIFS('BA History S2'!$B:$B,$A$38,'BA History S2'!AD:AD, 1)</f>
        <v>0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178</v>
      </c>
      <c r="B39" s="1" t="s">
        <v>79</v>
      </c>
      <c r="C39" s="1">
        <v>1</v>
      </c>
      <c r="F39" s="34">
        <f>SUMIFS('BA History S2'!C:C,'BA History S2'!B:B,A39)</f>
        <v>26</v>
      </c>
      <c r="G39" s="66">
        <f>AVERAGEIFS('BA History S2'!C:C,'BA History S2'!B:B,A39)</f>
        <v>13</v>
      </c>
      <c r="H39" s="35">
        <f t="array" ref="H39">MAX(IF('BA History S2'!B:B=A39, 'BA History S2'!C:C))</f>
        <v>16</v>
      </c>
      <c r="I39" s="34">
        <f>COUNTIFS('BA History S2'!B:B,A39,'BA History S2'!D:D, 1)</f>
        <v>0</v>
      </c>
      <c r="J39" s="2">
        <f>COUNTIFS('BA History S2'!B:B,A39,'BA History S2'!D:D, 0)</f>
        <v>2</v>
      </c>
      <c r="K39" s="75">
        <f>LOOKUP(2, 1/('BA History S2'!$B:$B=A39), 'BA History S2'!$AK:$AK)</f>
        <v>0</v>
      </c>
      <c r="L39" s="34">
        <f>SUMIFS('BA History S2'!F:F,'BA History S2'!B:B,A39)</f>
        <v>3</v>
      </c>
      <c r="M39" s="2">
        <f>SUMIFS('BA History S2'!E:E,'BA History S2'!B:B,A39)-L39</f>
        <v>6</v>
      </c>
      <c r="N39" s="75">
        <f>LOOKUP(2, 1/('BA History S2'!$B:$B=A39), 'BA History S2'!$AI:$AI)</f>
        <v>0.32500000000000001</v>
      </c>
      <c r="O39" s="34">
        <f>SUMIFS('BA History S2'!H:H,'BA History S2'!B:B,A39)</f>
        <v>19</v>
      </c>
      <c r="P39" s="2">
        <f>SUMIFS('BA History S2'!G:G,'BA History S2'!B:B,A39)-O39</f>
        <v>22</v>
      </c>
      <c r="Q39" s="89">
        <f>LOOKUP(2, 1/('BA History S2'!$B:$B=A39), 'BA History S2'!$AJ:$AJ)</f>
        <v>0.46499999999999997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1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1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113</v>
      </c>
      <c r="B40" s="2" t="s">
        <v>79</v>
      </c>
      <c r="C40" s="2">
        <v>1</v>
      </c>
      <c r="D40" s="2">
        <v>2</v>
      </c>
      <c r="E40" s="2"/>
      <c r="F40" s="34">
        <f>SUMIFS('BA History S2'!C:C,'BA History S2'!B:B,A40)</f>
        <v>536</v>
      </c>
      <c r="G40" s="66">
        <f>AVERAGEIFS('BA History S2'!C:C,'BA History S2'!B:B,A40)</f>
        <v>20.615384615384617</v>
      </c>
      <c r="H40" s="35">
        <f t="array" ref="H40">MAX(IF('BA History S2'!B:B=A40, 'BA History S2'!C:C))</f>
        <v>36</v>
      </c>
      <c r="I40" s="34">
        <f>COUNTIFS('BA History S2'!B:B,A40,'BA History S2'!D:D, 1)</f>
        <v>15</v>
      </c>
      <c r="J40" s="2">
        <f>COUNTIFS('BA History S2'!B:B,A40,'BA History S2'!D:D, 0)</f>
        <v>11</v>
      </c>
      <c r="K40" s="75">
        <f>LOOKUP(2, 1/('BA History S2'!$B:$B=A40), 'BA History S2'!$AK:$AK)</f>
        <v>0.57692307692307687</v>
      </c>
      <c r="L40" s="34">
        <f>SUMIFS('BA History S2'!F:F,'BA History S2'!B:B,A40)</f>
        <v>60</v>
      </c>
      <c r="M40" s="2">
        <f>SUMIFS('BA History S2'!E:E,'BA History S2'!B:B,A40)-L40</f>
        <v>48</v>
      </c>
      <c r="N40" s="75">
        <f>LOOKUP(2, 1/('BA History S2'!$B:$B=A40), 'BA History S2'!$AI:$AI)</f>
        <v>0.57307692307692304</v>
      </c>
      <c r="O40" s="34">
        <f>SUMIFS('BA History S2'!H:H,'BA History S2'!B:B,A40)</f>
        <v>240</v>
      </c>
      <c r="P40" s="2">
        <f>SUMIFS('BA History S2'!G:G,'BA History S2'!B:B,A40)-O40</f>
        <v>221</v>
      </c>
      <c r="Q40" s="89">
        <f>LOOKUP(2, 1/('BA History S2'!$B:$B=A40), 'BA History S2'!$AJ:$AJ)</f>
        <v>0.54115384615384621</v>
      </c>
      <c r="R40" s="2">
        <f>COUNTIFS('BA History S2'!$B:$B,$A$40,'BA History S2'!K:K, 1)</f>
        <v>3</v>
      </c>
      <c r="S40" s="2">
        <f>COUNTIFS('BA History S2'!$B:$B,$A$40,'BA History S2'!L:L, 1)</f>
        <v>5</v>
      </c>
      <c r="T40" s="2">
        <f>COUNTIFS('BA History S2'!$B:$B,$A$40,'BA History S2'!M:M, 1)</f>
        <v>4</v>
      </c>
      <c r="U40" s="2">
        <f>COUNTIFS('BA History S2'!$B:$B,$A$40,'BA History S2'!N:N, 1)</f>
        <v>5</v>
      </c>
      <c r="V40" s="2">
        <f>COUNTIFS('BA History S2'!$B:$B,$A$40,'BA History S2'!O:O, 1)</f>
        <v>1</v>
      </c>
      <c r="W40" s="2">
        <f>COUNTIFS('BA History S2'!$B:$B,$A$40,'BA History S2'!P:P, 1)</f>
        <v>1</v>
      </c>
      <c r="X40" s="2">
        <f>COUNTIFS('BA History S2'!$B:$B,$A$40,'BA History S2'!Q:Q, 1)</f>
        <v>1</v>
      </c>
      <c r="Y40" s="2">
        <f>COUNTIFS('BA History S2'!$B:$B,$A$40,'BA History S2'!R:R, 1)</f>
        <v>1</v>
      </c>
      <c r="Z40" s="2">
        <f>COUNTIFS('BA History S2'!$B:$B,$A$40,'BA History S2'!S:S, 1)</f>
        <v>1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4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4</v>
      </c>
      <c r="AG40" s="2">
        <f>COUNTIFS('BA History S2'!$B:$B,$A$40,'BA History S2'!Z:Z, 1)</f>
        <v>8</v>
      </c>
      <c r="AH40" s="2">
        <f>COUNTIFS('BA History S2'!$B:$B,$A40,'BA History S2'!AA:AA, 1)</f>
        <v>0</v>
      </c>
      <c r="AI40" s="2">
        <f>COUNTIFS('BA History S2'!$B:$B,$A$40,'BA History S2'!AB:AB, 1)</f>
        <v>2</v>
      </c>
      <c r="AJ40" s="2">
        <f>COUNTIFS('BA History S2'!$B:$B,$A$40,'BA History S2'!AC:AC, 1)</f>
        <v>8</v>
      </c>
      <c r="AK40" s="2">
        <f>COUNTIFS('BA History S2'!$B:$B,$A$40,'BA History S2'!AD:AD, 1)</f>
        <v>4</v>
      </c>
      <c r="AL40" s="2">
        <f>COUNTIFS('BA History S2'!$B:$B,$A$40,'BA History S2'!AE:AE, 1)</f>
        <v>1</v>
      </c>
      <c r="AM40" s="2">
        <f>COUNTIFS('BA History S2'!$B:$B,$A$40,'BA History S2'!AF:AF, 1)</f>
        <v>0</v>
      </c>
      <c r="AN40" s="2">
        <f>COUNTIFS('BA History S2'!$B:$B,$A$40,'BA History S2'!AG:AG, 1)</f>
        <v>6</v>
      </c>
    </row>
    <row r="41" spans="1:40" x14ac:dyDescent="0.25">
      <c r="A41" s="2" t="s">
        <v>14</v>
      </c>
      <c r="B41" s="2" t="s">
        <v>79</v>
      </c>
      <c r="C41" s="2">
        <v>1</v>
      </c>
      <c r="D41" s="2"/>
      <c r="E41" s="2"/>
      <c r="F41" s="34">
        <f>SUMIFS('BA History S2'!C:C,'BA History S2'!B:B,A41)</f>
        <v>94</v>
      </c>
      <c r="G41" s="66">
        <f>AVERAGEIFS('BA History S2'!C:C,'BA History S2'!B:B,A41)</f>
        <v>13.428571428571429</v>
      </c>
      <c r="H41" s="35">
        <f t="array" ref="H41">MAX(IF('BA History S2'!B:B=A41, 'BA History S2'!C:C))</f>
        <v>21</v>
      </c>
      <c r="I41" s="34">
        <f>COUNTIFS('BA History S2'!B:B,A41,'BA History S2'!D:D, 1)</f>
        <v>4</v>
      </c>
      <c r="J41" s="2">
        <f>COUNTIFS('BA History S2'!B:B,A41,'BA History S2'!D:D, 0)</f>
        <v>3</v>
      </c>
      <c r="K41" s="75">
        <f>LOOKUP(2, 1/('BA History S2'!$B:$B=A41), 'BA History S2'!$AK:$AK)</f>
        <v>0.5714285714285714</v>
      </c>
      <c r="L41" s="34">
        <f>SUMIFS('BA History S2'!F:F,'BA History S2'!B:B,A41)</f>
        <v>14</v>
      </c>
      <c r="M41" s="2">
        <f>SUMIFS('BA History S2'!E:E,'BA History S2'!B:B,A41)-L41</f>
        <v>14</v>
      </c>
      <c r="N41" s="75">
        <f>LOOKUP(2, 1/('BA History S2'!$B:$B=A41), 'BA History S2'!$AI:$AI)</f>
        <v>0.49285714285714288</v>
      </c>
      <c r="O41" s="34">
        <f>SUMIFS('BA History S2'!H:H,'BA History S2'!B:B,A41)</f>
        <v>56</v>
      </c>
      <c r="P41" s="2">
        <f>SUMIFS('BA History S2'!G:G,'BA History S2'!B:B,A41)-O41</f>
        <v>61</v>
      </c>
      <c r="Q41" s="89">
        <f>LOOKUP(2, 1/('BA History S2'!$B:$B=A41), 'BA History S2'!$AJ:$AJ)</f>
        <v>0.4514285714285714</v>
      </c>
      <c r="R41" s="2">
        <f>COUNTIFS('BA History S2'!$B:$B,$A$41,'BA History S2'!K:K, 1)</f>
        <v>0</v>
      </c>
      <c r="S41" s="2">
        <f>COUNTIFS('BA History S2'!$B:$B,$A$41,'BA History S2'!L:L, 1)</f>
        <v>1</v>
      </c>
      <c r="T41" s="2">
        <f>COUNTIFS('BA History S2'!$B:$B,$A$41,'BA History S2'!M:M, 1)</f>
        <v>0</v>
      </c>
      <c r="U41" s="2">
        <f>COUNTIFS('BA History S2'!$B:$B,$A$41,'BA History S2'!N:N, 1)</f>
        <v>2</v>
      </c>
      <c r="V41" s="2">
        <f>COUNTIFS('BA History S2'!$B:$B,$A$41,'BA History S2'!O:O, 1)</f>
        <v>0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0</v>
      </c>
      <c r="AC41" s="2">
        <f>COUNTIFS('BA History S2'!$B:$B,$A$41,'BA History S2'!V:V, 1)</f>
        <v>1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2</v>
      </c>
      <c r="AG41" s="2">
        <f>COUNTIFS('BA History S2'!$B:$B,$A$41,'BA History S2'!Z:Z, 1)</f>
        <v>2</v>
      </c>
      <c r="AH41" s="2">
        <f>COUNTIFS('BA History S2'!$B:$B,$A41,'BA History S2'!AA:AA, 1)</f>
        <v>0</v>
      </c>
      <c r="AI41" s="2">
        <f>COUNTIFS('BA History S2'!$B:$B,$A$41,'BA History S2'!AB:AB, 1)</f>
        <v>0</v>
      </c>
      <c r="AJ41" s="2">
        <f>COUNTIFS('BA History S2'!$B:$B,$A$41,'BA History S2'!AC:AC, 1)</f>
        <v>4</v>
      </c>
      <c r="AK41" s="2">
        <f>COUNTIFS('BA History S2'!$B:$B,$A$41,'BA History S2'!AD:AD, 1)</f>
        <v>1</v>
      </c>
      <c r="AL41" s="2">
        <f>COUNTIFS('BA History S2'!$B:$B,$A$41,'BA History S2'!AE:AE, 1)</f>
        <v>0</v>
      </c>
      <c r="AM41" s="2">
        <f>COUNTIFS('BA History S2'!$B:$B,$A$41,'BA History S2'!AF:AF, 1)</f>
        <v>0</v>
      </c>
      <c r="AN41" s="2">
        <f>COUNTIFS('BA History S2'!$B:$B,$A$41,'BA History S2'!AG:AG, 1)</f>
        <v>0</v>
      </c>
    </row>
    <row r="42" spans="1:40" x14ac:dyDescent="0.25">
      <c r="A42" s="2" t="s">
        <v>70</v>
      </c>
      <c r="B42" s="2" t="s">
        <v>79</v>
      </c>
      <c r="C42" s="2"/>
      <c r="D42" s="2"/>
      <c r="E42" s="2"/>
      <c r="F42" s="34">
        <f>SUMIFS('BA History S2'!C:C,'BA History S2'!B:B,A42)</f>
        <v>27</v>
      </c>
      <c r="G42" s="66">
        <f>AVERAGEIFS('BA History S2'!C:C,'BA History S2'!B:B,A42)</f>
        <v>9</v>
      </c>
      <c r="H42" s="35">
        <f t="array" ref="H42">MAX(IF('BA History S2'!B:B=A42, 'BA History S2'!C:C))</f>
        <v>11</v>
      </c>
      <c r="I42" s="34">
        <f>COUNTIFS('BA History S2'!B:B,A42,'BA History S2'!D:D, 1)</f>
        <v>0</v>
      </c>
      <c r="J42" s="2">
        <f>COUNTIFS('BA History S2'!B:B,A42,'BA History S2'!D:D, 0)</f>
        <v>3</v>
      </c>
      <c r="K42" s="75">
        <f>LOOKUP(2, 1/('BA History S2'!$B:$B=A42), 'BA History S2'!$AK:$AK)</f>
        <v>0</v>
      </c>
      <c r="L42" s="34">
        <f>SUMIFS('BA History S2'!F:F,'BA History S2'!B:B,A42)</f>
        <v>2</v>
      </c>
      <c r="M42" s="2">
        <f>SUMIFS('BA History S2'!E:E,'BA History S2'!B:B,A42)-L42</f>
        <v>9</v>
      </c>
      <c r="N42" s="75">
        <f>LOOKUP(2, 1/('BA History S2'!$B:$B=A42), 'BA History S2'!$AI:$AI)</f>
        <v>0.16666666666666666</v>
      </c>
      <c r="O42" s="34">
        <f>SUMIFS('BA History S2'!H:H,'BA History S2'!B:B,A42)</f>
        <v>19</v>
      </c>
      <c r="P42" s="2">
        <f>SUMIFS('BA History S2'!G:G,'BA History S2'!B:B,A42)-O42</f>
        <v>28</v>
      </c>
      <c r="Q42" s="89">
        <f>LOOKUP(2, 1/('BA History S2'!$B:$B=A42), 'BA History S2'!$AJ:$AJ)</f>
        <v>0.40000000000000008</v>
      </c>
      <c r="R42" s="2">
        <f>COUNTIFS('BA History S2'!$B:$B,$A$42,'BA History S2'!K:K, 1)</f>
        <v>0</v>
      </c>
      <c r="S42" s="2">
        <f>COUNTIFS('BA History S2'!$B:$B,$A$42,'BA History S2'!L:L, 1)</f>
        <v>0</v>
      </c>
      <c r="T42" s="2">
        <f>COUNTIFS('BA History S2'!$B:$B,$A$42,'BA History S2'!M:M, 1)</f>
        <v>0</v>
      </c>
      <c r="U42" s="2">
        <f>COUNTIFS('BA History S2'!$B:$B,$A$42,'BA History S2'!N:N, 1)</f>
        <v>2</v>
      </c>
      <c r="V42" s="2">
        <f>COUNTIFS('BA History S2'!$B:$B,$A$42,'BA History S2'!O:O, 1)</f>
        <v>0</v>
      </c>
      <c r="W42" s="2">
        <f>COUNTIFS('BA History S2'!$B:$B,$A$42,'BA History S2'!P:P, 1)</f>
        <v>0</v>
      </c>
      <c r="X42" s="2">
        <f>COUNTIFS('BA History S2'!$B:$B,$A$42,'BA History S2'!Q:Q, 1)</f>
        <v>0</v>
      </c>
      <c r="Y42" s="2">
        <f>COUNTIFS('BA History S2'!$B:$B,$A$42,'BA History S2'!R:R, 1)</f>
        <v>0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0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0</v>
      </c>
      <c r="AG42" s="2">
        <f>COUNTIFS('BA History S2'!$B:$B,$A$42,'BA History S2'!Z:Z, 1)</f>
        <v>0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0</v>
      </c>
      <c r="AK42" s="2">
        <f>COUNTIFS('BA History S2'!$B:$B,$A$42,'BA History S2'!AD:AD, 1)</f>
        <v>0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4</v>
      </c>
      <c r="B43" s="1" t="s">
        <v>158</v>
      </c>
      <c r="C43" s="1">
        <v>1</v>
      </c>
      <c r="D43" s="1">
        <v>1</v>
      </c>
      <c r="F43" s="34">
        <f>SUMIFS('BA History S2'!C:C,'BA History S2'!B:B,A43)</f>
        <v>521</v>
      </c>
      <c r="G43" s="66">
        <f>AVERAGEIFS('BA History S2'!C:C,'BA History S2'!B:B,A43)</f>
        <v>26.05</v>
      </c>
      <c r="H43" s="35">
        <f t="array" ref="H43">MAX(IF('BA History S2'!B:B=A43, 'BA History S2'!C:C))</f>
        <v>43</v>
      </c>
      <c r="I43" s="34">
        <f>COUNTIFS('BA History S2'!B:B,A43,'BA History S2'!D:D, 1)</f>
        <v>13</v>
      </c>
      <c r="J43" s="2">
        <f>COUNTIFS('BA History S2'!B:B,A43,'BA History S2'!D:D, 0)</f>
        <v>7</v>
      </c>
      <c r="K43" s="75">
        <f>LOOKUP(2, 1/('BA History S2'!$B:$B=A43), 'BA History S2'!$AK:$AK)</f>
        <v>0.65</v>
      </c>
      <c r="L43" s="34">
        <f>SUMIFS('BA History S2'!F:F,'BA History S2'!B:B,A43)</f>
        <v>46</v>
      </c>
      <c r="M43" s="2">
        <f>SUMIFS('BA History S2'!E:E,'BA History S2'!B:B,A43)-L43</f>
        <v>38</v>
      </c>
      <c r="N43" s="75">
        <f>LOOKUP(2, 1/('BA History S2'!$B:$B=A43), 'BA History S2'!$AI:$AI)</f>
        <v>0.55000000000000004</v>
      </c>
      <c r="O43" s="34">
        <f>SUMIFS('BA History S2'!H:H,'BA History S2'!B:B,A43)</f>
        <v>186</v>
      </c>
      <c r="P43" s="2">
        <f>SUMIFS('BA History S2'!G:G,'BA History S2'!B:B,A43)-O43</f>
        <v>173</v>
      </c>
      <c r="Q43" s="89">
        <f>LOOKUP(2, 1/('BA History S2'!$B:$B=A43), 'BA History S2'!$AJ:$AJ)</f>
        <v>0.51949999999999996</v>
      </c>
      <c r="R43" s="2">
        <f>COUNTIFS('BA History S2'!$B:$B,$A$43,'BA History S2'!K:K, 1)</f>
        <v>3</v>
      </c>
      <c r="S43" s="2">
        <f>COUNTIFS('BA History S2'!$B:$B,$A$43,'BA History S2'!L:L, 1)</f>
        <v>4</v>
      </c>
      <c r="T43" s="2">
        <f>COUNTIFS('BA History S2'!$B:$B,$A$43,'BA History S2'!M:M, 1)</f>
        <v>5</v>
      </c>
      <c r="U43" s="2">
        <f>COUNTIFS('BA History S2'!$B:$B,$A$43,'BA History S2'!N:N, 1)</f>
        <v>4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1</v>
      </c>
      <c r="AC43" s="2">
        <f>COUNTIFS('BA History S2'!$B:$B,$A$43,'BA History S2'!V:V, 1)</f>
        <v>2</v>
      </c>
      <c r="AD43" s="2">
        <f>COUNTIFS('BA History S2'!$B:$B,$A$43,'BA History S2'!W:W, 1)</f>
        <v>2</v>
      </c>
      <c r="AE43" s="2">
        <f>COUNTIFS('BA History S2'!$B:$B,$A$43,'BA History S2'!X:X, 1)</f>
        <v>0</v>
      </c>
      <c r="AF43" s="2">
        <f>COUNTIFS('BA History S2'!$B:$B,$A$43,'BA History S2'!Y:Y, 1)</f>
        <v>4</v>
      </c>
      <c r="AG43" s="2">
        <f>COUNTIFS('BA History S2'!$B:$B,$A$43,'BA History S2'!Z:Z, 1)</f>
        <v>3</v>
      </c>
      <c r="AH43" s="2">
        <f>COUNTIFS('BA History S2'!$B:$B,$A43,'BA History S2'!AA:AA, 1)</f>
        <v>1</v>
      </c>
      <c r="AI43" s="2">
        <f>COUNTIFS('BA History S2'!$B:$B,$A$43,'BA History S2'!AB:AB, 1)</f>
        <v>2</v>
      </c>
      <c r="AJ43" s="2">
        <f>COUNTIFS('BA History S2'!$B:$B,$A$43,'BA History S2'!AC:AC, 1)</f>
        <v>7</v>
      </c>
      <c r="AK43" s="2">
        <f>COUNTIFS('BA History S2'!$B:$B,$A$43,'BA History S2'!AD:AD, 1)</f>
        <v>4</v>
      </c>
      <c r="AL43" s="2">
        <f>COUNTIFS('BA History S2'!$B:$B,$A$43,'BA History S2'!AE:AE, 1)</f>
        <v>2</v>
      </c>
      <c r="AM43" s="2">
        <f>COUNTIFS('BA History S2'!$B:$B,$A$43,'BA History S2'!AF:AF, 1)</f>
        <v>1</v>
      </c>
      <c r="AN43" s="2">
        <f>COUNTIFS('BA History S2'!$B:$B,$A$43,'BA History S2'!AG:AG, 1)</f>
        <v>1</v>
      </c>
    </row>
    <row r="44" spans="1:40" x14ac:dyDescent="0.25">
      <c r="A44" s="1" t="s">
        <v>107</v>
      </c>
      <c r="B44" s="2" t="s">
        <v>79</v>
      </c>
      <c r="C44" s="2"/>
      <c r="D44" s="2"/>
      <c r="E44" s="2"/>
      <c r="F44" s="34">
        <f>SUMIFS('BA History S2'!C:C,'BA History S2'!B:B,A44)</f>
        <v>412</v>
      </c>
      <c r="G44" s="66">
        <f>AVERAGEIFS('BA History S2'!C:C,'BA History S2'!B:B,A44)</f>
        <v>15.846153846153847</v>
      </c>
      <c r="H44" s="35">
        <f t="array" ref="H44">MAX(IF('BA History S2'!B:B=A44, 'BA History S2'!C:C))</f>
        <v>33</v>
      </c>
      <c r="I44" s="34">
        <f>COUNTIFS('BA History S2'!B:B,A44,'BA History S2'!D:D, 1)</f>
        <v>14</v>
      </c>
      <c r="J44" s="2">
        <f>COUNTIFS('BA History S2'!B:B,A44,'BA History S2'!D:D, 0)</f>
        <v>12</v>
      </c>
      <c r="K44" s="75">
        <f>LOOKUP(2, 1/('BA History S2'!$B:$B=A44), 'BA History S2'!$AK:$AK)</f>
        <v>0.53846153846153844</v>
      </c>
      <c r="L44" s="34">
        <f>SUMIFS('BA History S2'!F:F,'BA History S2'!B:B,A44)</f>
        <v>50</v>
      </c>
      <c r="M44" s="2">
        <f>SUMIFS('BA History S2'!E:E,'BA History S2'!B:B,A44)-L44</f>
        <v>53</v>
      </c>
      <c r="N44" s="75">
        <f>LOOKUP(2, 1/('BA History S2'!$B:$B=A44), 'BA History S2'!$AI:$AI)</f>
        <v>0.46730769230769226</v>
      </c>
      <c r="O44" s="34">
        <f>SUMIFS('BA History S2'!H:H,'BA History S2'!B:B,A44)</f>
        <v>212</v>
      </c>
      <c r="P44" s="2">
        <f>SUMIFS('BA History S2'!G:G,'BA History S2'!B:B,A44)-O44</f>
        <v>217</v>
      </c>
      <c r="Q44" s="89">
        <f>LOOKUP(2, 1/('BA History S2'!$B:$B=A44), 'BA History S2'!$AJ:$AJ)</f>
        <v>0.48538461538461536</v>
      </c>
      <c r="R44" s="2">
        <f>COUNTIFS('BA History S2'!$B:$B,$A$44,'BA History S2'!K:K, 1)</f>
        <v>3</v>
      </c>
      <c r="S44" s="2">
        <f>COUNTIFS('BA History S2'!$B:$B,$A$44,'BA History S2'!L:L, 1)</f>
        <v>1</v>
      </c>
      <c r="T44" s="2">
        <f>COUNTIFS('BA History S2'!$B:$B,$A$44,'BA History S2'!M:M, 1)</f>
        <v>8</v>
      </c>
      <c r="U44" s="2">
        <f>COUNTIFS('BA History S2'!$B:$B,$A$44,'BA History S2'!N:N, 1)</f>
        <v>3</v>
      </c>
      <c r="V44" s="2">
        <f>COUNTIFS('BA History S2'!$B:$B,$A$44,'BA History S2'!O:O, 1)</f>
        <v>2</v>
      </c>
      <c r="W44" s="2">
        <f>COUNTIFS('BA History S2'!$B:$B,$A$44,'BA History S2'!P:P, 1)</f>
        <v>0</v>
      </c>
      <c r="X44" s="2">
        <f>COUNTIFS('BA History S2'!$B:$B,$A$44,'BA History S2'!Q:Q, 1)</f>
        <v>0</v>
      </c>
      <c r="Y44" s="2">
        <f>COUNTIFS('BA History S2'!$B:$B,$A$44,'BA History S2'!R:R, 1)</f>
        <v>1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1</v>
      </c>
      <c r="AD44" s="2">
        <f>COUNTIFS('BA History S2'!$B:$B,$A$44,'BA History S2'!W:W, 1)</f>
        <v>1</v>
      </c>
      <c r="AE44" s="2">
        <f>COUNTIFS('BA History S2'!$B:$B,$A$44,'BA History S2'!X:X, 1)</f>
        <v>0</v>
      </c>
      <c r="AF44" s="2">
        <f>COUNTIFS('BA History S2'!$B:$B,$A$44,'BA History S2'!Y:Y, 1)</f>
        <v>3</v>
      </c>
      <c r="AG44" s="2">
        <f>COUNTIFS('BA History S2'!$B:$B,$A$44,'BA History S2'!Z:Z, 1)</f>
        <v>6</v>
      </c>
      <c r="AH44" s="2">
        <f>COUNTIFS('BA History S2'!$B:$B,$A44,'BA History S2'!AA:AA, 1)</f>
        <v>1</v>
      </c>
      <c r="AI44" s="2">
        <f>COUNTIFS('BA History S2'!$B:$B,$A$44,'BA History S2'!AB:AB, 1)</f>
        <v>0</v>
      </c>
      <c r="AJ44" s="2">
        <f>COUNTIFS('BA History S2'!$B:$B,$A$44,'BA History S2'!AC:AC, 1)</f>
        <v>5</v>
      </c>
      <c r="AK44" s="2">
        <f>COUNTIFS('BA History S2'!$B:$B,$A$44,'BA History S2'!AD:AD, 1)</f>
        <v>2</v>
      </c>
      <c r="AL44" s="2">
        <f>COUNTIFS('BA History S2'!$B:$B,$A$44,'BA History S2'!AE:AE, 1)</f>
        <v>6</v>
      </c>
      <c r="AM44" s="2">
        <f>COUNTIFS('BA History S2'!$B:$B,$A$44,'BA History S2'!AF:AF, 1)</f>
        <v>1</v>
      </c>
      <c r="AN44" s="2">
        <f>COUNTIFS('BA History S2'!$B:$B,$A$44,'BA History S2'!AG:AG, 1)</f>
        <v>4</v>
      </c>
    </row>
  </sheetData>
  <autoFilter ref="A1:AN44" xr:uid="{DA548192-1F03-46EA-8AB8-115EB9A7CE5D}">
    <sortState xmlns:xlrd2="http://schemas.microsoft.com/office/spreadsheetml/2017/richdata2" ref="A2:AN44">
      <sortCondition ref="A1:A4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562"/>
  <sheetViews>
    <sheetView workbookViewId="0">
      <pane xSplit="2" ySplit="1" topLeftCell="I532" activePane="bottomRight" state="frozen"/>
      <selection pane="topRight" activeCell="C1" sqref="C1"/>
      <selection pane="bottomLeft" activeCell="A2" sqref="A2"/>
      <selection pane="bottomRight" activeCell="R561" sqref="R56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tabSelected="1" workbookViewId="0">
      <selection activeCell="D25" sqref="D25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v2'!J51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v2'!J48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v2'!J55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v2'!J56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18</v>
      </c>
      <c r="C10" s="1" t="s">
        <v>235</v>
      </c>
      <c r="D10" s="1">
        <f t="shared" si="0"/>
        <v>1</v>
      </c>
      <c r="E10" s="100">
        <f t="shared" si="1"/>
        <v>18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22.5</v>
      </c>
      <c r="C13" s="1" t="s">
        <v>234</v>
      </c>
      <c r="D13" s="1">
        <f t="shared" si="0"/>
        <v>0.5</v>
      </c>
      <c r="E13" s="100">
        <f t="shared" si="1"/>
        <v>19.6875</v>
      </c>
    </row>
    <row r="14" spans="1:5" x14ac:dyDescent="0.25">
      <c r="A14" s="2" t="s">
        <v>152</v>
      </c>
      <c r="B14" s="4">
        <f>'Old Bow v2'!J18</f>
        <v>16</v>
      </c>
      <c r="C14" s="1" t="s">
        <v>235</v>
      </c>
      <c r="D14" s="1">
        <f t="shared" si="0"/>
        <v>1</v>
      </c>
      <c r="E14" s="100">
        <f t="shared" si="1"/>
        <v>16</v>
      </c>
    </row>
    <row r="15" spans="1:5" x14ac:dyDescent="0.25">
      <c r="A15" s="2" t="s">
        <v>141</v>
      </c>
      <c r="B15" s="4">
        <f>'Old Bow v2'!J44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v2'!J47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v2'!J54</f>
        <v>20.5</v>
      </c>
      <c r="C18" s="1" t="s">
        <v>234</v>
      </c>
      <c r="D18" s="1">
        <f t="shared" si="0"/>
        <v>0.5</v>
      </c>
      <c r="E18" s="100">
        <f t="shared" si="1"/>
        <v>17.9375</v>
      </c>
    </row>
    <row r="19" spans="1:5" x14ac:dyDescent="0.25">
      <c r="A19" s="2" t="s">
        <v>13</v>
      </c>
      <c r="B19" s="4">
        <f>'Old Bow v2'!J39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14.5</v>
      </c>
      <c r="C20" s="1" t="s">
        <v>235</v>
      </c>
      <c r="D20" s="1">
        <f t="shared" si="0"/>
        <v>1</v>
      </c>
      <c r="E20" s="100">
        <f t="shared" si="1"/>
        <v>14.5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v2'!J46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v2'!J49</f>
        <v>17.5</v>
      </c>
      <c r="C27" s="1" t="s">
        <v>234</v>
      </c>
      <c r="D27" s="1">
        <f t="shared" si="0"/>
        <v>0.5</v>
      </c>
      <c r="E27" s="100">
        <f t="shared" si="1"/>
        <v>15.3125</v>
      </c>
    </row>
    <row r="28" spans="1:5" x14ac:dyDescent="0.25">
      <c r="A28" s="2" t="s">
        <v>113</v>
      </c>
      <c r="B28" s="4">
        <f>'Old Bow v2'!J52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v2'!J50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v2'!J57</f>
        <v>10</v>
      </c>
      <c r="C44" s="1" t="s">
        <v>233</v>
      </c>
      <c r="D44" s="1">
        <f t="shared" si="2"/>
        <v>0.25</v>
      </c>
      <c r="E44" s="100">
        <f t="shared" si="1"/>
        <v>8.125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8.5</v>
      </c>
      <c r="C50" s="1" t="s">
        <v>233</v>
      </c>
      <c r="D50" s="1">
        <f t="shared" si="2"/>
        <v>0.25</v>
      </c>
      <c r="E50" s="100">
        <f t="shared" si="1"/>
        <v>6.90625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v2'!J45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v2'!J53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2026-05-27T00:42:28Z</dcterms:modified>
</cp:coreProperties>
</file>