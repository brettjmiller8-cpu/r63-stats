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F744557-C6DA-4695-82EF-529D3077CE8D}" xr6:coauthVersionLast="47" xr6:coauthVersionMax="47" xr10:uidLastSave="{00000000-0000-0000-0000-000000000000}"/>
  <bookViews>
    <workbookView xWindow="-120" yWindow="-120" windowWidth="38640" windowHeight="21120" activeTab="1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S2'!$A$1:$AJ$339</definedName>
    <definedName name="_xlnm._FilterDatabase" localSheetId="10" hidden="1">'BA S2'!$A$1:$AM$38</definedName>
    <definedName name="_xlnm._FilterDatabase" localSheetId="7" hidden="1">'BA v2'!$A$1:$AM$60</definedName>
    <definedName name="_xlnm._FilterDatabase" localSheetId="1" hidden="1">'OB History'!$A$1:$AD$958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5" i="19" l="1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M17" i="11"/>
  <c r="N17" i="11"/>
  <c r="O17" i="11" s="1"/>
  <c r="P17" i="11"/>
  <c r="Q17" i="11"/>
  <c r="R17" i="11" s="1"/>
  <c r="S17" i="1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S17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7" i="13" s="1"/>
  <c r="AC473" i="15"/>
  <c r="AD473" i="15"/>
  <c r="M17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G328" i="17"/>
  <c r="AH328" i="17"/>
  <c r="AI328" i="17"/>
  <c r="AJ328" i="17"/>
  <c r="AG329" i="17"/>
  <c r="AH329" i="17"/>
  <c r="AI329" i="17"/>
  <c r="AJ329" i="17"/>
  <c r="AG330" i="17"/>
  <c r="AH330" i="17"/>
  <c r="AI330" i="17"/>
  <c r="AJ330" i="17"/>
  <c r="AG331" i="17"/>
  <c r="AH331" i="17"/>
  <c r="AI331" i="17"/>
  <c r="AJ331" i="17"/>
  <c r="AG332" i="17"/>
  <c r="AH332" i="17"/>
  <c r="AI332" i="17"/>
  <c r="AJ332" i="17"/>
  <c r="AG333" i="17"/>
  <c r="AH333" i="17"/>
  <c r="AI333" i="17"/>
  <c r="AJ333" i="17"/>
  <c r="AG334" i="17"/>
  <c r="AH334" i="17"/>
  <c r="AI334" i="17"/>
  <c r="AJ334" i="17"/>
  <c r="AG335" i="17"/>
  <c r="AH335" i="17"/>
  <c r="AI335" i="17"/>
  <c r="AJ335" i="17"/>
  <c r="AG336" i="17"/>
  <c r="AH336" i="17"/>
  <c r="AI336" i="17"/>
  <c r="AJ336" i="17"/>
  <c r="AG337" i="17"/>
  <c r="AH337" i="17"/>
  <c r="AI337" i="17"/>
  <c r="AJ337" i="17"/>
  <c r="AG338" i="17"/>
  <c r="AH338" i="17"/>
  <c r="AI338" i="17"/>
  <c r="AJ338" i="17"/>
  <c r="K7" i="16" s="1"/>
  <c r="AG339" i="17"/>
  <c r="AH339" i="17"/>
  <c r="AI339" i="17"/>
  <c r="AJ339" i="17"/>
  <c r="AG1032" i="9"/>
  <c r="AH1032" i="9"/>
  <c r="AI1032" i="9"/>
  <c r="AJ1032" i="9"/>
  <c r="AG1033" i="9"/>
  <c r="AH1033" i="9"/>
  <c r="AI1033" i="9"/>
  <c r="AJ1033" i="9"/>
  <c r="AG1034" i="9"/>
  <c r="AH1034" i="9"/>
  <c r="AI1034" i="9"/>
  <c r="AJ1034" i="9"/>
  <c r="AG1035" i="9"/>
  <c r="AH1035" i="9"/>
  <c r="AI1035" i="9"/>
  <c r="AJ1035" i="9"/>
  <c r="AG1036" i="9"/>
  <c r="AH1036" i="9"/>
  <c r="AI1036" i="9"/>
  <c r="AJ1036" i="9"/>
  <c r="AG1037" i="9"/>
  <c r="AH1037" i="9"/>
  <c r="AI1037" i="9"/>
  <c r="AJ1037" i="9"/>
  <c r="AG1038" i="9"/>
  <c r="AH1038" i="9"/>
  <c r="AI1038" i="9"/>
  <c r="AJ1038" i="9"/>
  <c r="AG1039" i="9"/>
  <c r="AH1039" i="9"/>
  <c r="AI1039" i="9"/>
  <c r="AJ1039" i="9"/>
  <c r="AG1040" i="9"/>
  <c r="AH1040" i="9"/>
  <c r="AI1040" i="9"/>
  <c r="AJ1040" i="9"/>
  <c r="AG1041" i="9"/>
  <c r="AH1041" i="9"/>
  <c r="AI1041" i="9"/>
  <c r="AJ1041" i="9"/>
  <c r="AG1042" i="9"/>
  <c r="AH1042" i="9"/>
  <c r="AI1042" i="9"/>
  <c r="AJ1042" i="9"/>
  <c r="AG1043" i="9"/>
  <c r="AH1043" i="9"/>
  <c r="AI1043" i="9"/>
  <c r="AJ1043" i="9"/>
  <c r="AG1016" i="9"/>
  <c r="AH1016" i="9"/>
  <c r="AI1016" i="9"/>
  <c r="AJ1016" i="9"/>
  <c r="AG1017" i="9"/>
  <c r="AH1017" i="9"/>
  <c r="AI1017" i="9"/>
  <c r="AJ1017" i="9"/>
  <c r="AG1018" i="9"/>
  <c r="AH1018" i="9"/>
  <c r="AI1018" i="9"/>
  <c r="AJ1018" i="9"/>
  <c r="AG1019" i="9"/>
  <c r="AH1019" i="9"/>
  <c r="AI1019" i="9"/>
  <c r="AJ1019" i="9"/>
  <c r="AG1020" i="9"/>
  <c r="AH1020" i="9"/>
  <c r="AI1020" i="9"/>
  <c r="AJ1020" i="9"/>
  <c r="AG1021" i="9"/>
  <c r="AH1021" i="9"/>
  <c r="AI1021" i="9"/>
  <c r="AJ1021" i="9"/>
  <c r="AG1022" i="9"/>
  <c r="AH1022" i="9"/>
  <c r="AI1022" i="9"/>
  <c r="AJ1022" i="9"/>
  <c r="AG1023" i="9"/>
  <c r="AH1023" i="9"/>
  <c r="AI1023" i="9"/>
  <c r="AJ1023" i="9"/>
  <c r="AG1024" i="9"/>
  <c r="AH1024" i="9"/>
  <c r="AI1024" i="9"/>
  <c r="AJ1024" i="9"/>
  <c r="AG1025" i="9"/>
  <c r="AH1025" i="9"/>
  <c r="AI1025" i="9"/>
  <c r="AJ1025" i="9"/>
  <c r="AG1026" i="9"/>
  <c r="AH1026" i="9"/>
  <c r="AI1026" i="9"/>
  <c r="AJ1026" i="9"/>
  <c r="AG1027" i="9"/>
  <c r="AH1027" i="9"/>
  <c r="AI1027" i="9"/>
  <c r="AJ1027" i="9"/>
  <c r="AG1028" i="9"/>
  <c r="AH1028" i="9"/>
  <c r="AI1028" i="9"/>
  <c r="AJ1028" i="9"/>
  <c r="AG1029" i="9"/>
  <c r="AH1029" i="9"/>
  <c r="AI1029" i="9"/>
  <c r="AJ1029" i="9"/>
  <c r="AG1030" i="9"/>
  <c r="AH1030" i="9"/>
  <c r="AI1030" i="9"/>
  <c r="AJ1030" i="9"/>
  <c r="AG1031" i="9"/>
  <c r="AH1031" i="9"/>
  <c r="AI1031" i="9"/>
  <c r="AJ1031" i="9"/>
  <c r="AG312" i="17"/>
  <c r="AH312" i="17"/>
  <c r="AI312" i="17"/>
  <c r="AJ312" i="17"/>
  <c r="AG313" i="17"/>
  <c r="AH313" i="17"/>
  <c r="AI313" i="17"/>
  <c r="AJ313" i="17"/>
  <c r="AG314" i="17"/>
  <c r="AH314" i="17"/>
  <c r="AI314" i="17"/>
  <c r="AJ314" i="17"/>
  <c r="AG315" i="17"/>
  <c r="AH315" i="17"/>
  <c r="AI315" i="17"/>
  <c r="AJ315" i="17"/>
  <c r="AG316" i="17"/>
  <c r="AH316" i="17"/>
  <c r="AI316" i="17"/>
  <c r="AJ316" i="17"/>
  <c r="AG317" i="17"/>
  <c r="AH317" i="17"/>
  <c r="AI317" i="17"/>
  <c r="AJ317" i="17"/>
  <c r="AG318" i="17"/>
  <c r="AH318" i="17"/>
  <c r="AI318" i="17"/>
  <c r="AJ318" i="17"/>
  <c r="AG319" i="17"/>
  <c r="AH319" i="17"/>
  <c r="AI319" i="17"/>
  <c r="AJ319" i="17"/>
  <c r="AG320" i="17"/>
  <c r="AH320" i="17"/>
  <c r="AI320" i="17"/>
  <c r="AJ320" i="17"/>
  <c r="AG321" i="17"/>
  <c r="AH321" i="17"/>
  <c r="AI321" i="17"/>
  <c r="AJ321" i="17"/>
  <c r="AG322" i="17"/>
  <c r="AH322" i="17"/>
  <c r="AI322" i="17"/>
  <c r="AJ322" i="17"/>
  <c r="AG323" i="17"/>
  <c r="AH323" i="17"/>
  <c r="AI323" i="17"/>
  <c r="AJ323" i="17"/>
  <c r="AG324" i="17"/>
  <c r="AH324" i="17"/>
  <c r="AI324" i="17"/>
  <c r="AJ324" i="17"/>
  <c r="AG325" i="17"/>
  <c r="AH325" i="17"/>
  <c r="AI325" i="17"/>
  <c r="AJ325" i="17"/>
  <c r="AG326" i="17"/>
  <c r="AH326" i="17"/>
  <c r="AI326" i="17"/>
  <c r="AJ326" i="17"/>
  <c r="AG327" i="17"/>
  <c r="AH327" i="17"/>
  <c r="AI327" i="17"/>
  <c r="AJ327" i="17"/>
  <c r="AG300" i="17"/>
  <c r="AH300" i="17"/>
  <c r="AI300" i="17"/>
  <c r="AJ300" i="17"/>
  <c r="AG301" i="17"/>
  <c r="AH301" i="17"/>
  <c r="AI301" i="17"/>
  <c r="AJ301" i="17"/>
  <c r="AG302" i="17"/>
  <c r="AH302" i="17"/>
  <c r="AI302" i="17"/>
  <c r="AJ302" i="17"/>
  <c r="AG303" i="17"/>
  <c r="AH303" i="17"/>
  <c r="AI303" i="17"/>
  <c r="AJ303" i="17"/>
  <c r="AG304" i="17"/>
  <c r="AH304" i="17"/>
  <c r="AI304" i="17"/>
  <c r="AJ304" i="17"/>
  <c r="AG305" i="17"/>
  <c r="AH305" i="17"/>
  <c r="AI305" i="17"/>
  <c r="AJ305" i="17"/>
  <c r="AG306" i="17"/>
  <c r="AH306" i="17"/>
  <c r="AI306" i="17"/>
  <c r="AJ306" i="17"/>
  <c r="AG307" i="17"/>
  <c r="AH307" i="17"/>
  <c r="AI307" i="17"/>
  <c r="AJ307" i="17"/>
  <c r="AG308" i="17"/>
  <c r="AH308" i="17"/>
  <c r="AI308" i="17"/>
  <c r="AJ308" i="17"/>
  <c r="AG309" i="17"/>
  <c r="AH309" i="17"/>
  <c r="AI309" i="17"/>
  <c r="AJ309" i="17"/>
  <c r="AG310" i="17"/>
  <c r="AH310" i="17"/>
  <c r="AI310" i="17"/>
  <c r="AJ310" i="17"/>
  <c r="AG311" i="17"/>
  <c r="AH311" i="17"/>
  <c r="AI311" i="17"/>
  <c r="AJ311" i="17"/>
  <c r="AG1004" i="9"/>
  <c r="AH1004" i="9"/>
  <c r="AI1004" i="9"/>
  <c r="AJ1004" i="9"/>
  <c r="AG1005" i="9"/>
  <c r="AH1005" i="9"/>
  <c r="AI1005" i="9"/>
  <c r="AJ1005" i="9"/>
  <c r="AG1006" i="9"/>
  <c r="AH1006" i="9"/>
  <c r="AI1006" i="9"/>
  <c r="AJ1006" i="9"/>
  <c r="AG1007" i="9"/>
  <c r="AH1007" i="9"/>
  <c r="AI1007" i="9"/>
  <c r="AJ1007" i="9"/>
  <c r="AG1008" i="9"/>
  <c r="AH1008" i="9"/>
  <c r="AI1008" i="9"/>
  <c r="AJ1008" i="9"/>
  <c r="AG1009" i="9"/>
  <c r="AH1009" i="9"/>
  <c r="AI1009" i="9"/>
  <c r="AJ1009" i="9"/>
  <c r="AG1010" i="9"/>
  <c r="AH1010" i="9"/>
  <c r="AI1010" i="9"/>
  <c r="AJ1010" i="9"/>
  <c r="AG1011" i="9"/>
  <c r="AH1011" i="9"/>
  <c r="AI1011" i="9"/>
  <c r="AJ1011" i="9"/>
  <c r="AG1012" i="9"/>
  <c r="AH1012" i="9"/>
  <c r="AI1012" i="9"/>
  <c r="AJ1012" i="9"/>
  <c r="AG1013" i="9"/>
  <c r="AH1013" i="9"/>
  <c r="AI1013" i="9"/>
  <c r="AJ1013" i="9"/>
  <c r="AG1014" i="9"/>
  <c r="AH1014" i="9"/>
  <c r="AI1014" i="9"/>
  <c r="AJ1014" i="9"/>
  <c r="AG1015" i="9"/>
  <c r="AH1015" i="9"/>
  <c r="AI1015" i="9"/>
  <c r="AJ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5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F33" i="16"/>
  <c r="G33" i="16"/>
  <c r="H33" i="16" a="1"/>
  <c r="H33" i="16" s="1"/>
  <c r="I33" i="16"/>
  <c r="J33" i="16"/>
  <c r="K33" i="16"/>
  <c r="L33" i="16"/>
  <c r="M33" i="16" s="1"/>
  <c r="N33" i="16"/>
  <c r="O33" i="16"/>
  <c r="P33" i="16" s="1"/>
  <c r="Q33" i="16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F53" i="12"/>
  <c r="G53" i="12"/>
  <c r="H53" i="12" a="1"/>
  <c r="H53" i="12" s="1"/>
  <c r="I53" i="12"/>
  <c r="J53" i="12"/>
  <c r="K53" i="12"/>
  <c r="L53" i="12"/>
  <c r="M53" i="12" s="1"/>
  <c r="N53" i="12"/>
  <c r="O53" i="12"/>
  <c r="P53" i="12" s="1"/>
  <c r="Q53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8" i="16" s="1"/>
  <c r="AI241" i="17"/>
  <c r="AJ241" i="17"/>
  <c r="K28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5" i="1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T35" i="11"/>
  <c r="H35" i="11"/>
  <c r="I35" i="11"/>
  <c r="J35" i="11" a="1"/>
  <c r="J35" i="11" s="1"/>
  <c r="K35" i="11"/>
  <c r="L35" i="11"/>
  <c r="M35" i="11"/>
  <c r="N35" i="11"/>
  <c r="O35" i="11" s="1"/>
  <c r="P35" i="11"/>
  <c r="Q35" i="11"/>
  <c r="R35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S15" i="13" s="1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M15" i="11" s="1"/>
  <c r="AA792" i="10"/>
  <c r="AB792" i="10"/>
  <c r="AC792" i="10"/>
  <c r="AD792" i="10"/>
  <c r="AA793" i="10"/>
  <c r="AB793" i="10"/>
  <c r="AC793" i="10"/>
  <c r="AD793" i="10"/>
  <c r="AA794" i="10"/>
  <c r="AB794" i="10"/>
  <c r="P51" i="11" s="1"/>
  <c r="AC794" i="10"/>
  <c r="S51" i="11" s="1"/>
  <c r="AD794" i="10"/>
  <c r="M51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T34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R28" i="16"/>
  <c r="F28" i="16"/>
  <c r="G28" i="16"/>
  <c r="H28" i="16" a="1"/>
  <c r="H28" i="16" s="1"/>
  <c r="I28" i="16"/>
  <c r="J28" i="16"/>
  <c r="L28" i="16"/>
  <c r="M28" i="16" s="1"/>
  <c r="O28" i="16"/>
  <c r="P28" i="16" s="1"/>
  <c r="Q28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F45" i="12"/>
  <c r="G45" i="12"/>
  <c r="H45" i="12" a="1"/>
  <c r="H45" i="12" s="1"/>
  <c r="I45" i="12"/>
  <c r="J45" i="12"/>
  <c r="K45" i="12"/>
  <c r="L45" i="12"/>
  <c r="M45" i="12" s="1"/>
  <c r="N45" i="12"/>
  <c r="O45" i="12"/>
  <c r="P45" i="12" s="1"/>
  <c r="Q45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6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2" i="16" s="1"/>
  <c r="AI128" i="17"/>
  <c r="Q12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L35" i="16"/>
  <c r="R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AJ2" i="17"/>
  <c r="AH2" i="17"/>
  <c r="AG2" i="17"/>
  <c r="F36" i="16"/>
  <c r="G36" i="16"/>
  <c r="H36" i="16" a="1"/>
  <c r="H36" i="16" s="1"/>
  <c r="I36" i="16"/>
  <c r="J36" i="16"/>
  <c r="L36" i="16"/>
  <c r="M36" i="16" s="1"/>
  <c r="O36" i="16"/>
  <c r="P36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R14" i="16"/>
  <c r="F14" i="16"/>
  <c r="G14" i="16"/>
  <c r="H14" i="16" a="1"/>
  <c r="H14" i="16" s="1"/>
  <c r="I14" i="16"/>
  <c r="J14" i="16"/>
  <c r="K14" i="16"/>
  <c r="L14" i="16"/>
  <c r="M14" i="16" s="1"/>
  <c r="N14" i="16"/>
  <c r="O14" i="16"/>
  <c r="P14" i="16" s="1"/>
  <c r="Q14" i="16"/>
  <c r="N36" i="16"/>
  <c r="K36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O12" i="16"/>
  <c r="P12" i="16" s="1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F32" i="12"/>
  <c r="G32" i="12"/>
  <c r="H32" i="12" a="1"/>
  <c r="H32" i="12" s="1"/>
  <c r="I32" i="12"/>
  <c r="J32" i="12"/>
  <c r="K32" i="12"/>
  <c r="L32" i="12"/>
  <c r="M32" i="12" s="1"/>
  <c r="N32" i="12"/>
  <c r="O32" i="12"/>
  <c r="P32" i="12" s="1"/>
  <c r="Q32" i="12"/>
  <c r="K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Q19" i="16"/>
  <c r="F20" i="16"/>
  <c r="G20" i="16"/>
  <c r="H20" i="16" a="1"/>
  <c r="H20" i="16" s="1"/>
  <c r="I20" i="16"/>
  <c r="J20" i="16"/>
  <c r="L20" i="16"/>
  <c r="M20" i="16" s="1"/>
  <c r="N20" i="16"/>
  <c r="O20" i="16"/>
  <c r="P20" i="16" s="1"/>
  <c r="Q20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R21" i="16"/>
  <c r="F21" i="16"/>
  <c r="G21" i="16"/>
  <c r="H21" i="16" a="1"/>
  <c r="H21" i="16" s="1"/>
  <c r="I21" i="16"/>
  <c r="J21" i="16"/>
  <c r="K21" i="16"/>
  <c r="L21" i="16"/>
  <c r="M21" i="16" s="1"/>
  <c r="N21" i="16"/>
  <c r="O21" i="16"/>
  <c r="P21" i="16" s="1"/>
  <c r="Q21" i="16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O33" i="12"/>
  <c r="P33" i="12" s="1"/>
  <c r="Q33" i="12"/>
  <c r="O31" i="12"/>
  <c r="F33" i="12"/>
  <c r="G33" i="12"/>
  <c r="H33" i="12" a="1"/>
  <c r="H33" i="12" s="1"/>
  <c r="I33" i="12"/>
  <c r="J33" i="12"/>
  <c r="K33" i="12"/>
  <c r="L33" i="12"/>
  <c r="M33" i="12" s="1"/>
  <c r="N33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T22" i="13"/>
  <c r="T21" i="13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F18" i="16"/>
  <c r="G18" i="16"/>
  <c r="H18" i="16" a="1"/>
  <c r="H18" i="16" s="1"/>
  <c r="I18" i="16"/>
  <c r="J18" i="16"/>
  <c r="L18" i="16"/>
  <c r="M18" i="16" s="1"/>
  <c r="O18" i="16"/>
  <c r="P18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9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8" i="16"/>
  <c r="Q18" i="16"/>
  <c r="K18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T23" i="11"/>
  <c r="H23" i="11"/>
  <c r="I23" i="11"/>
  <c r="J23" i="11" a="1"/>
  <c r="J23" i="11" s="1"/>
  <c r="K23" i="11"/>
  <c r="L23" i="11"/>
  <c r="M23" i="11"/>
  <c r="N23" i="11"/>
  <c r="O23" i="11" s="1"/>
  <c r="P23" i="11"/>
  <c r="Q23" i="11"/>
  <c r="R23" i="11" s="1"/>
  <c r="S23" i="11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8" i="13"/>
  <c r="I18" i="13"/>
  <c r="J18" i="13" a="1"/>
  <c r="J18" i="13" s="1"/>
  <c r="K18" i="13"/>
  <c r="L18" i="13"/>
  <c r="M18" i="13"/>
  <c r="N18" i="13"/>
  <c r="O18" i="13" s="1"/>
  <c r="P18" i="13"/>
  <c r="Q18" i="13"/>
  <c r="R18" i="13" s="1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1" i="13"/>
  <c r="I21" i="13"/>
  <c r="J21" i="13" a="1"/>
  <c r="J21" i="13" s="1"/>
  <c r="K21" i="13"/>
  <c r="L21" i="13"/>
  <c r="N21" i="13"/>
  <c r="O21" i="13" s="1"/>
  <c r="Q21" i="13"/>
  <c r="R21" i="13" s="1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N27" i="13"/>
  <c r="O27" i="13" s="1"/>
  <c r="Q27" i="13"/>
  <c r="R27" i="13" s="1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N37" i="13"/>
  <c r="O37" i="13" s="1"/>
  <c r="Q37" i="13"/>
  <c r="R37" i="13" s="1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1" i="13" s="1"/>
  <c r="AC52" i="15"/>
  <c r="S21" i="13" s="1"/>
  <c r="AD52" i="15"/>
  <c r="M21" i="13" s="1"/>
  <c r="AA53" i="15"/>
  <c r="AB53" i="15"/>
  <c r="P36" i="13" s="1"/>
  <c r="AC53" i="15"/>
  <c r="S36" i="13" s="1"/>
  <c r="AD53" i="15"/>
  <c r="M36" i="13" s="1"/>
  <c r="AA54" i="15"/>
  <c r="AB54" i="15"/>
  <c r="P37" i="13" s="1"/>
  <c r="AC54" i="15"/>
  <c r="S37" i="13" s="1"/>
  <c r="AD54" i="15"/>
  <c r="M37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H42" i="11"/>
  <c r="I42" i="11"/>
  <c r="J42" i="11" a="1"/>
  <c r="J42" i="11" s="1"/>
  <c r="K42" i="11"/>
  <c r="L42" i="11"/>
  <c r="M42" i="11"/>
  <c r="N42" i="11"/>
  <c r="O42" i="11" s="1"/>
  <c r="P42" i="11"/>
  <c r="Q42" i="11"/>
  <c r="R42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5" i="13"/>
  <c r="AG35" i="13"/>
  <c r="AH35" i="13"/>
  <c r="AI35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5" i="13" s="1"/>
  <c r="AC31" i="15"/>
  <c r="S35" i="13" s="1"/>
  <c r="AD31" i="15"/>
  <c r="M35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6" i="13" s="1"/>
  <c r="AC37" i="15"/>
  <c r="S26" i="13" s="1"/>
  <c r="AD37" i="15"/>
  <c r="M26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2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9" i="13" s="1"/>
  <c r="AC23" i="15"/>
  <c r="S19" i="13" s="1"/>
  <c r="AD23" i="15"/>
  <c r="M19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0" i="13" s="1"/>
  <c r="AC6" i="15"/>
  <c r="S20" i="13" s="1"/>
  <c r="AD6" i="15"/>
  <c r="M20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7" i="13" s="1"/>
  <c r="AC11" i="15"/>
  <c r="S27" i="13" s="1"/>
  <c r="AD11" i="15"/>
  <c r="M27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R38" i="16"/>
  <c r="R37" i="16"/>
  <c r="R34" i="16"/>
  <c r="R31" i="16"/>
  <c r="R30" i="16"/>
  <c r="R29" i="16"/>
  <c r="R27" i="16"/>
  <c r="R26" i="16"/>
  <c r="R24" i="16"/>
  <c r="R23" i="16"/>
  <c r="R22" i="16"/>
  <c r="R19" i="16"/>
  <c r="R17" i="16"/>
  <c r="R16" i="16"/>
  <c r="R15" i="16"/>
  <c r="R13" i="16"/>
  <c r="R11" i="16"/>
  <c r="R6" i="16"/>
  <c r="R5" i="16"/>
  <c r="R4" i="16"/>
  <c r="R3" i="16"/>
  <c r="R2" i="16"/>
  <c r="Q3" i="16"/>
  <c r="Q4" i="16"/>
  <c r="Q5" i="16"/>
  <c r="Q6" i="16"/>
  <c r="Q13" i="16"/>
  <c r="Q15" i="16"/>
  <c r="Q16" i="16"/>
  <c r="Q17" i="16"/>
  <c r="Q22" i="16"/>
  <c r="Q23" i="16"/>
  <c r="Q24" i="16"/>
  <c r="Q26" i="16"/>
  <c r="Q27" i="16"/>
  <c r="Q29" i="16"/>
  <c r="Q30" i="16"/>
  <c r="Q31" i="16"/>
  <c r="Q34" i="16"/>
  <c r="Q35" i="16"/>
  <c r="Q37" i="16"/>
  <c r="Q38" i="16"/>
  <c r="Q2" i="16"/>
  <c r="O3" i="16"/>
  <c r="P3" i="16" s="1"/>
  <c r="O4" i="16"/>
  <c r="P4" i="16" s="1"/>
  <c r="O5" i="16"/>
  <c r="P5" i="16" s="1"/>
  <c r="O6" i="16"/>
  <c r="P6" i="16" s="1"/>
  <c r="O11" i="16"/>
  <c r="P11" i="16" s="1"/>
  <c r="O13" i="16"/>
  <c r="P13" i="16" s="1"/>
  <c r="O15" i="16"/>
  <c r="P15" i="16" s="1"/>
  <c r="O16" i="16"/>
  <c r="P16" i="16" s="1"/>
  <c r="O17" i="16"/>
  <c r="P17" i="16" s="1"/>
  <c r="O19" i="16"/>
  <c r="P19" i="16" s="1"/>
  <c r="O22" i="16"/>
  <c r="P22" i="16" s="1"/>
  <c r="O23" i="16"/>
  <c r="P23" i="16" s="1"/>
  <c r="O24" i="16"/>
  <c r="P24" i="16" s="1"/>
  <c r="O26" i="16"/>
  <c r="P26" i="16" s="1"/>
  <c r="O27" i="16"/>
  <c r="P27" i="16" s="1"/>
  <c r="O29" i="16"/>
  <c r="P29" i="16" s="1"/>
  <c r="O30" i="16"/>
  <c r="P30" i="16" s="1"/>
  <c r="O31" i="16"/>
  <c r="P31" i="16" s="1"/>
  <c r="O34" i="16"/>
  <c r="P34" i="16" s="1"/>
  <c r="O35" i="16"/>
  <c r="P35" i="16" s="1"/>
  <c r="O37" i="16"/>
  <c r="P37" i="16" s="1"/>
  <c r="O38" i="16"/>
  <c r="P38" i="16" s="1"/>
  <c r="O2" i="16"/>
  <c r="P2" i="16" s="1"/>
  <c r="N3" i="16"/>
  <c r="N4" i="16"/>
  <c r="N5" i="16"/>
  <c r="N6" i="16"/>
  <c r="N13" i="16"/>
  <c r="N15" i="16"/>
  <c r="N16" i="16"/>
  <c r="N17" i="16"/>
  <c r="N19" i="16"/>
  <c r="N22" i="16"/>
  <c r="N23" i="16"/>
  <c r="N24" i="16"/>
  <c r="N26" i="16"/>
  <c r="N27" i="16"/>
  <c r="N29" i="16"/>
  <c r="N30" i="16"/>
  <c r="N31" i="16"/>
  <c r="N34" i="16"/>
  <c r="N35" i="16"/>
  <c r="N37" i="16"/>
  <c r="N38" i="16"/>
  <c r="N2" i="16"/>
  <c r="L3" i="16"/>
  <c r="M3" i="16" s="1"/>
  <c r="L4" i="16"/>
  <c r="M4" i="16" s="1"/>
  <c r="L5" i="16"/>
  <c r="M5" i="16" s="1"/>
  <c r="L6" i="16"/>
  <c r="M6" i="16" s="1"/>
  <c r="L11" i="16"/>
  <c r="M11" i="16" s="1"/>
  <c r="L13" i="16"/>
  <c r="M13" i="16" s="1"/>
  <c r="L15" i="16"/>
  <c r="M15" i="16" s="1"/>
  <c r="L16" i="16"/>
  <c r="M16" i="16" s="1"/>
  <c r="L17" i="16"/>
  <c r="M17" i="16" s="1"/>
  <c r="L19" i="16"/>
  <c r="M19" i="16" s="1"/>
  <c r="L22" i="16"/>
  <c r="M22" i="16" s="1"/>
  <c r="L23" i="16"/>
  <c r="M23" i="16" s="1"/>
  <c r="L24" i="16"/>
  <c r="M24" i="16" s="1"/>
  <c r="L26" i="16"/>
  <c r="M26" i="16" s="1"/>
  <c r="L27" i="16"/>
  <c r="M27" i="16" s="1"/>
  <c r="L29" i="16"/>
  <c r="M29" i="16" s="1"/>
  <c r="L30" i="16"/>
  <c r="M30" i="16" s="1"/>
  <c r="L31" i="16"/>
  <c r="M31" i="16" s="1"/>
  <c r="L34" i="16"/>
  <c r="M34" i="16" s="1"/>
  <c r="M35" i="16"/>
  <c r="L37" i="16"/>
  <c r="M37" i="16" s="1"/>
  <c r="L38" i="16"/>
  <c r="M38" i="16" s="1"/>
  <c r="L2" i="16"/>
  <c r="M2" i="16" s="1"/>
  <c r="K3" i="16"/>
  <c r="K4" i="16"/>
  <c r="K5" i="16"/>
  <c r="K6" i="16"/>
  <c r="K13" i="16"/>
  <c r="K15" i="16"/>
  <c r="K16" i="16"/>
  <c r="K17" i="16"/>
  <c r="K19" i="16"/>
  <c r="K22" i="16"/>
  <c r="K23" i="16"/>
  <c r="K24" i="16"/>
  <c r="K26" i="16"/>
  <c r="K27" i="16"/>
  <c r="K29" i="16"/>
  <c r="K30" i="16"/>
  <c r="K31" i="16"/>
  <c r="K34" i="16"/>
  <c r="K35" i="16"/>
  <c r="K37" i="16"/>
  <c r="K38" i="16"/>
  <c r="J3" i="16"/>
  <c r="J4" i="16"/>
  <c r="J5" i="16"/>
  <c r="J6" i="16"/>
  <c r="J11" i="16"/>
  <c r="J13" i="16"/>
  <c r="J15" i="16"/>
  <c r="J16" i="16"/>
  <c r="J17" i="16"/>
  <c r="J19" i="16"/>
  <c r="J22" i="16"/>
  <c r="J23" i="16"/>
  <c r="J24" i="16"/>
  <c r="J26" i="16"/>
  <c r="J27" i="16"/>
  <c r="J29" i="16"/>
  <c r="J30" i="16"/>
  <c r="J31" i="16"/>
  <c r="J34" i="16"/>
  <c r="J35" i="16"/>
  <c r="J37" i="16"/>
  <c r="J38" i="16"/>
  <c r="J2" i="16"/>
  <c r="I3" i="16"/>
  <c r="I4" i="16"/>
  <c r="I5" i="16"/>
  <c r="I6" i="16"/>
  <c r="I11" i="16"/>
  <c r="I13" i="16"/>
  <c r="I15" i="16"/>
  <c r="I16" i="16"/>
  <c r="I17" i="16"/>
  <c r="I19" i="16"/>
  <c r="I22" i="16"/>
  <c r="I23" i="16"/>
  <c r="I24" i="16"/>
  <c r="I26" i="16"/>
  <c r="I27" i="16"/>
  <c r="I29" i="16"/>
  <c r="I30" i="16"/>
  <c r="I31" i="16"/>
  <c r="I34" i="16"/>
  <c r="I35" i="16"/>
  <c r="I37" i="16"/>
  <c r="I38" i="16"/>
  <c r="I2" i="16"/>
  <c r="H3" i="16" a="1"/>
  <c r="H3" i="16" s="1"/>
  <c r="H4" i="16" a="1"/>
  <c r="H4" i="16" s="1"/>
  <c r="H5" i="16" a="1"/>
  <c r="H5" i="16" s="1"/>
  <c r="H6" i="16" a="1"/>
  <c r="H6" i="16" s="1"/>
  <c r="H11" i="16" a="1"/>
  <c r="H11" i="16" s="1"/>
  <c r="H13" i="16" a="1"/>
  <c r="H13" i="16" s="1"/>
  <c r="H15" i="16" a="1"/>
  <c r="H15" i="16" s="1"/>
  <c r="H16" i="16" a="1"/>
  <c r="H16" i="16" s="1"/>
  <c r="H17" i="16" a="1"/>
  <c r="H17" i="16" s="1"/>
  <c r="H19" i="16" a="1"/>
  <c r="H19" i="16" s="1"/>
  <c r="H22" i="16" a="1"/>
  <c r="H22" i="16" s="1"/>
  <c r="H23" i="16" a="1"/>
  <c r="H23" i="16" s="1"/>
  <c r="H24" i="16" a="1"/>
  <c r="H24" i="16" s="1"/>
  <c r="H26" i="16" a="1"/>
  <c r="H26" i="16" s="1"/>
  <c r="H27" i="16" a="1"/>
  <c r="H27" i="16" s="1"/>
  <c r="H29" i="16" a="1"/>
  <c r="H29" i="16" s="1"/>
  <c r="H30" i="16" a="1"/>
  <c r="H30" i="16" s="1"/>
  <c r="H31" i="16" a="1"/>
  <c r="H31" i="16" s="1"/>
  <c r="H34" i="16" a="1"/>
  <c r="H34" i="16" s="1"/>
  <c r="H35" i="16" a="1"/>
  <c r="H35" i="16" s="1"/>
  <c r="H37" i="16" a="1"/>
  <c r="H37" i="16" s="1"/>
  <c r="H38" i="16" a="1"/>
  <c r="H38" i="16" s="1"/>
  <c r="H2" i="16" a="1"/>
  <c r="H2" i="16" s="1"/>
  <c r="G3" i="16"/>
  <c r="G4" i="16"/>
  <c r="G5" i="16"/>
  <c r="G6" i="16"/>
  <c r="G11" i="16"/>
  <c r="G13" i="16"/>
  <c r="G15" i="16"/>
  <c r="G16" i="16"/>
  <c r="G17" i="16"/>
  <c r="G19" i="16"/>
  <c r="G22" i="16"/>
  <c r="G23" i="16"/>
  <c r="G24" i="16"/>
  <c r="G26" i="16"/>
  <c r="G27" i="16"/>
  <c r="G29" i="16"/>
  <c r="G30" i="16"/>
  <c r="G31" i="16"/>
  <c r="G34" i="16"/>
  <c r="G35" i="16"/>
  <c r="G37" i="16"/>
  <c r="G38" i="16"/>
  <c r="G2" i="16"/>
  <c r="F3" i="16"/>
  <c r="F4" i="16"/>
  <c r="F5" i="16"/>
  <c r="F6" i="16"/>
  <c r="F11" i="16"/>
  <c r="F13" i="16"/>
  <c r="F15" i="16"/>
  <c r="F16" i="16"/>
  <c r="F17" i="16"/>
  <c r="F19" i="16"/>
  <c r="F22" i="16"/>
  <c r="F23" i="16"/>
  <c r="F24" i="16"/>
  <c r="F26" i="16"/>
  <c r="F27" i="16"/>
  <c r="F29" i="16"/>
  <c r="F30" i="16"/>
  <c r="F31" i="16"/>
  <c r="F34" i="16"/>
  <c r="F35" i="16"/>
  <c r="F37" i="16"/>
  <c r="F38" i="16"/>
  <c r="F2" i="16"/>
  <c r="K11" i="16"/>
  <c r="Q11" i="16"/>
  <c r="N11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8" i="13"/>
  <c r="AG18" i="13"/>
  <c r="AH18" i="13"/>
  <c r="AI18" i="13"/>
  <c r="AF19" i="13"/>
  <c r="AG19" i="13"/>
  <c r="AH19" i="13"/>
  <c r="AI19" i="13"/>
  <c r="AF20" i="13"/>
  <c r="AG20" i="13"/>
  <c r="AH20" i="13"/>
  <c r="AI20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29" i="13"/>
  <c r="AG29" i="13"/>
  <c r="AH29" i="13"/>
  <c r="AI29" i="13"/>
  <c r="AF31" i="13"/>
  <c r="AG31" i="13"/>
  <c r="AH31" i="13"/>
  <c r="AI31" i="13"/>
  <c r="AF36" i="13"/>
  <c r="AG36" i="13"/>
  <c r="AH36" i="13"/>
  <c r="AI36" i="13"/>
  <c r="AF37" i="13"/>
  <c r="AG37" i="13"/>
  <c r="AH37" i="13"/>
  <c r="AI37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Q43" i="12" s="1"/>
  <c r="AJ705" i="9"/>
  <c r="Q9" i="12"/>
  <c r="Q21" i="12"/>
  <c r="Q23" i="12"/>
  <c r="Q38" i="12"/>
  <c r="Q39" i="12"/>
  <c r="Q44" i="12"/>
  <c r="Q46" i="12"/>
  <c r="Q47" i="12"/>
  <c r="Q51" i="12"/>
  <c r="Q54" i="12"/>
  <c r="Q55" i="12"/>
  <c r="Q57" i="12"/>
  <c r="Q58" i="12"/>
  <c r="N7" i="12"/>
  <c r="N9" i="12"/>
  <c r="N19" i="12"/>
  <c r="N21" i="12"/>
  <c r="N23" i="12"/>
  <c r="N38" i="12"/>
  <c r="N39" i="12"/>
  <c r="N43" i="12"/>
  <c r="N44" i="12"/>
  <c r="N46" i="12"/>
  <c r="N47" i="12"/>
  <c r="N51" i="12"/>
  <c r="N54" i="12"/>
  <c r="N55" i="12"/>
  <c r="N57" i="12"/>
  <c r="N58" i="12"/>
  <c r="K7" i="12"/>
  <c r="K9" i="12"/>
  <c r="K19" i="12"/>
  <c r="K21" i="12"/>
  <c r="K23" i="12"/>
  <c r="K38" i="12"/>
  <c r="K39" i="12"/>
  <c r="K43" i="12"/>
  <c r="K44" i="12"/>
  <c r="K46" i="12"/>
  <c r="K47" i="12"/>
  <c r="K51" i="12"/>
  <c r="K54" i="12"/>
  <c r="K55" i="12"/>
  <c r="K57" i="12"/>
  <c r="K58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5" i="12" s="1"/>
  <c r="AI39" i="9"/>
  <c r="Q15" i="12" s="1"/>
  <c r="AJ39" i="9"/>
  <c r="K15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7" i="12" s="1"/>
  <c r="AI51" i="9"/>
  <c r="Q17" i="12" s="1"/>
  <c r="AJ51" i="9"/>
  <c r="K17" i="12" s="1"/>
  <c r="AG52" i="9"/>
  <c r="AH52" i="9"/>
  <c r="N60" i="12" s="1"/>
  <c r="AI52" i="9"/>
  <c r="Q60" i="12" s="1"/>
  <c r="AJ52" i="9"/>
  <c r="K60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6" i="12" s="1"/>
  <c r="AI58" i="9"/>
  <c r="Q36" i="12" s="1"/>
  <c r="AJ58" i="9"/>
  <c r="K36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9" i="12" s="1"/>
  <c r="AI81" i="9"/>
  <c r="Q29" i="12" s="1"/>
  <c r="AJ81" i="9"/>
  <c r="K29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9" i="12" s="1"/>
  <c r="AI102" i="9"/>
  <c r="Q59" i="12" s="1"/>
  <c r="AJ102" i="9"/>
  <c r="K59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8" i="12" s="1"/>
  <c r="AI183" i="9"/>
  <c r="Q48" i="12" s="1"/>
  <c r="AJ183" i="9"/>
  <c r="K48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1" i="12" s="1"/>
  <c r="AI266" i="9"/>
  <c r="Q31" i="12" s="1"/>
  <c r="AJ266" i="9"/>
  <c r="K31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4" i="12" s="1"/>
  <c r="AI325" i="9"/>
  <c r="Q34" i="12" s="1"/>
  <c r="AJ325" i="9"/>
  <c r="K34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2" i="12" s="1"/>
  <c r="AI364" i="9"/>
  <c r="Q12" i="12" s="1"/>
  <c r="AJ364" i="9"/>
  <c r="K12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2" i="12" s="1"/>
  <c r="AI381" i="9"/>
  <c r="Q22" i="12" s="1"/>
  <c r="AJ381" i="9"/>
  <c r="K22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50" i="12" s="1"/>
  <c r="AI436" i="9"/>
  <c r="Q50" i="12" s="1"/>
  <c r="AJ436" i="9"/>
  <c r="K50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5" i="12" s="1"/>
  <c r="AI467" i="9"/>
  <c r="Q35" i="12" s="1"/>
  <c r="AJ467" i="9"/>
  <c r="K35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9" i="12" s="1"/>
  <c r="AI476" i="9"/>
  <c r="Q49" i="12" s="1"/>
  <c r="AJ476" i="9"/>
  <c r="K49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8" i="12" s="1"/>
  <c r="AI497" i="9"/>
  <c r="Q28" i="12" s="1"/>
  <c r="AJ497" i="9"/>
  <c r="K28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1" i="12" s="1"/>
  <c r="AI515" i="9"/>
  <c r="Q11" i="12" s="1"/>
  <c r="AJ515" i="9"/>
  <c r="K11" i="12" s="1"/>
  <c r="AG516" i="9"/>
  <c r="AH516" i="9"/>
  <c r="N18" i="12" s="1"/>
  <c r="AI516" i="9"/>
  <c r="Q18" i="12" s="1"/>
  <c r="AJ516" i="9"/>
  <c r="K18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1" i="12" s="1"/>
  <c r="AI527" i="9"/>
  <c r="Q41" i="12" s="1"/>
  <c r="AJ527" i="9"/>
  <c r="K41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6" i="12" s="1"/>
  <c r="AI564" i="9"/>
  <c r="Q56" i="12" s="1"/>
  <c r="AJ564" i="9"/>
  <c r="K56" i="12" s="1"/>
  <c r="AG565" i="9"/>
  <c r="AH565" i="9"/>
  <c r="N13" i="12" s="1"/>
  <c r="AI565" i="9"/>
  <c r="Q13" i="12" s="1"/>
  <c r="AJ565" i="9"/>
  <c r="K13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4" i="12" s="1"/>
  <c r="AI571" i="9"/>
  <c r="Q24" i="12" s="1"/>
  <c r="AJ571" i="9"/>
  <c r="K24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6" i="12" s="1"/>
  <c r="AI575" i="9"/>
  <c r="Q16" i="12" s="1"/>
  <c r="AJ575" i="9"/>
  <c r="K16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4" i="12" s="1"/>
  <c r="AI593" i="9"/>
  <c r="Q14" i="12" s="1"/>
  <c r="AJ593" i="9"/>
  <c r="K14" i="12" s="1"/>
  <c r="AG594" i="9"/>
  <c r="AH594" i="9"/>
  <c r="N40" i="12" s="1"/>
  <c r="AI594" i="9"/>
  <c r="Q40" i="12" s="1"/>
  <c r="AJ594" i="9"/>
  <c r="K40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20" i="12" s="1"/>
  <c r="AI621" i="9"/>
  <c r="Q20" i="12" s="1"/>
  <c r="AJ621" i="9"/>
  <c r="K20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7" i="12" s="1"/>
  <c r="AI648" i="9"/>
  <c r="Q27" i="12" s="1"/>
  <c r="AJ648" i="9"/>
  <c r="K27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5" i="12" s="1"/>
  <c r="AI652" i="9"/>
  <c r="Q25" i="12" s="1"/>
  <c r="AJ652" i="9"/>
  <c r="K25" i="12" s="1"/>
  <c r="AG653" i="9"/>
  <c r="AH653" i="9"/>
  <c r="AI653" i="9"/>
  <c r="AJ653" i="9"/>
  <c r="AG654" i="9"/>
  <c r="AH654" i="9"/>
  <c r="N30" i="12" s="1"/>
  <c r="AI654" i="9"/>
  <c r="Q30" i="12" s="1"/>
  <c r="AJ654" i="9"/>
  <c r="K30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6" i="12" s="1"/>
  <c r="AI668" i="9"/>
  <c r="Q26" i="12" s="1"/>
  <c r="AJ668" i="9"/>
  <c r="K26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2" i="12" s="1"/>
  <c r="AI678" i="9"/>
  <c r="Q52" i="12" s="1"/>
  <c r="AJ678" i="9"/>
  <c r="K52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2" i="12" s="1"/>
  <c r="AI688" i="9"/>
  <c r="Q42" i="12" s="1"/>
  <c r="AJ688" i="9"/>
  <c r="K42" i="12" s="1"/>
  <c r="AG689" i="9"/>
  <c r="AH689" i="9"/>
  <c r="N37" i="12" s="1"/>
  <c r="AI689" i="9"/>
  <c r="Q37" i="12" s="1"/>
  <c r="AJ689" i="9"/>
  <c r="K37" i="12" s="1"/>
  <c r="AI2" i="9"/>
  <c r="AH2" i="9"/>
  <c r="AA475" i="10"/>
  <c r="AB475" i="10"/>
  <c r="P37" i="11" s="1"/>
  <c r="AC475" i="10"/>
  <c r="S37" i="11" s="1"/>
  <c r="AD475" i="10"/>
  <c r="M37" i="11" s="1"/>
  <c r="AA476" i="10"/>
  <c r="AB476" i="10"/>
  <c r="P4" i="11" s="1"/>
  <c r="AC476" i="10"/>
  <c r="S4" i="11" s="1"/>
  <c r="AD476" i="10"/>
  <c r="M4" i="11" s="1"/>
  <c r="AA477" i="10"/>
  <c r="AB477" i="10"/>
  <c r="P30" i="11" s="1"/>
  <c r="AC477" i="10"/>
  <c r="AD477" i="10"/>
  <c r="M30" i="11" s="1"/>
  <c r="AA478" i="10"/>
  <c r="AB478" i="10"/>
  <c r="P14" i="11" s="1"/>
  <c r="AC478" i="10"/>
  <c r="S14" i="11" s="1"/>
  <c r="AD478" i="10"/>
  <c r="M14" i="11" s="1"/>
  <c r="AA479" i="10"/>
  <c r="AB479" i="10"/>
  <c r="P24" i="11" s="1"/>
  <c r="AC479" i="10"/>
  <c r="S24" i="11" s="1"/>
  <c r="AD479" i="10"/>
  <c r="M24" i="11" s="1"/>
  <c r="AA480" i="10"/>
  <c r="AB480" i="10"/>
  <c r="P47" i="11" s="1"/>
  <c r="AC480" i="10"/>
  <c r="S47" i="11" s="1"/>
  <c r="AD480" i="10"/>
  <c r="M47" i="11" s="1"/>
  <c r="AA481" i="10"/>
  <c r="AB481" i="10"/>
  <c r="P34" i="11" s="1"/>
  <c r="AC481" i="10"/>
  <c r="AD481" i="10"/>
  <c r="M34" i="11" s="1"/>
  <c r="AA482" i="10"/>
  <c r="AB482" i="10"/>
  <c r="P46" i="11" s="1"/>
  <c r="AC482" i="10"/>
  <c r="S46" i="11" s="1"/>
  <c r="AD482" i="10"/>
  <c r="M46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3" i="11" s="1"/>
  <c r="AC485" i="10"/>
  <c r="AD485" i="10"/>
  <c r="M33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9" i="11" s="1"/>
  <c r="AC471" i="10"/>
  <c r="S19" i="11" s="1"/>
  <c r="AD471" i="10"/>
  <c r="M19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2" i="11" s="1"/>
  <c r="AC452" i="10"/>
  <c r="S22" i="11" s="1"/>
  <c r="AD452" i="10"/>
  <c r="M22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1" i="11" s="1"/>
  <c r="AC462" i="10"/>
  <c r="S31" i="11" s="1"/>
  <c r="AD462" i="10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L43" i="12"/>
  <c r="M43" i="12" s="1"/>
  <c r="O43" i="12"/>
  <c r="P43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7" i="11" s="1"/>
  <c r="AC445" i="10"/>
  <c r="S27" i="11" s="1"/>
  <c r="AD445" i="10"/>
  <c r="M27" i="11" s="1"/>
  <c r="AA446" i="10"/>
  <c r="AB446" i="10"/>
  <c r="AC446" i="10"/>
  <c r="AD446" i="10"/>
  <c r="AA447" i="10"/>
  <c r="AB447" i="10"/>
  <c r="P18" i="11" s="1"/>
  <c r="AC447" i="10"/>
  <c r="S18" i="11" s="1"/>
  <c r="AD447" i="10"/>
  <c r="M18" i="11" s="1"/>
  <c r="AA448" i="10"/>
  <c r="AB448" i="10"/>
  <c r="AC448" i="10"/>
  <c r="AD448" i="10"/>
  <c r="AA449" i="10"/>
  <c r="AB449" i="10"/>
  <c r="AC449" i="10"/>
  <c r="AD449" i="10"/>
  <c r="AA450" i="10"/>
  <c r="AB450" i="10"/>
  <c r="P26" i="11" s="1"/>
  <c r="AC450" i="10"/>
  <c r="S26" i="11" s="1"/>
  <c r="AD450" i="10"/>
  <c r="M26" i="11" s="1"/>
  <c r="H53" i="11"/>
  <c r="I53" i="11"/>
  <c r="J53" i="11" a="1"/>
  <c r="J53" i="11" s="1"/>
  <c r="K53" i="11"/>
  <c r="L53" i="11"/>
  <c r="N53" i="11"/>
  <c r="O53" i="11" s="1"/>
  <c r="Q53" i="11"/>
  <c r="R53" i="11" s="1"/>
  <c r="H43" i="11"/>
  <c r="I43" i="11"/>
  <c r="J43" i="11" a="1"/>
  <c r="J43" i="11" s="1"/>
  <c r="K43" i="11"/>
  <c r="L43" i="11"/>
  <c r="N43" i="11"/>
  <c r="O43" i="11" s="1"/>
  <c r="Q43" i="11"/>
  <c r="R43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F24" i="12"/>
  <c r="G24" i="12"/>
  <c r="H24" i="12" a="1"/>
  <c r="H24" i="12" s="1"/>
  <c r="I24" i="12"/>
  <c r="J24" i="12"/>
  <c r="L24" i="12"/>
  <c r="M24" i="12" s="1"/>
  <c r="O24" i="12"/>
  <c r="P24" i="12" s="1"/>
  <c r="O2" i="12"/>
  <c r="R7" i="12"/>
  <c r="R6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6" i="12"/>
  <c r="G16" i="12"/>
  <c r="H16" i="12" a="1"/>
  <c r="H16" i="12" s="1"/>
  <c r="I16" i="12"/>
  <c r="J16" i="12"/>
  <c r="L16" i="12"/>
  <c r="M16" i="12" s="1"/>
  <c r="O16" i="12"/>
  <c r="P16" i="12" s="1"/>
  <c r="AA415" i="10"/>
  <c r="AB415" i="10"/>
  <c r="P44" i="11" s="1"/>
  <c r="AC415" i="10"/>
  <c r="S44" i="11" s="1"/>
  <c r="AD415" i="10"/>
  <c r="M44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8" i="11" s="1"/>
  <c r="AC435" i="10"/>
  <c r="S38" i="11" s="1"/>
  <c r="AD435" i="10"/>
  <c r="M38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1" i="11"/>
  <c r="F25" i="12"/>
  <c r="G25" i="12"/>
  <c r="H25" i="12" a="1"/>
  <c r="H25" i="12" s="1"/>
  <c r="I25" i="12"/>
  <c r="J25" i="12"/>
  <c r="L25" i="12"/>
  <c r="M25" i="12" s="1"/>
  <c r="O25" i="12"/>
  <c r="P25" i="12" s="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N45" i="11"/>
  <c r="O45" i="11" s="1"/>
  <c r="Q45" i="11"/>
  <c r="R45" i="11" s="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N33" i="11"/>
  <c r="O33" i="11" s="1"/>
  <c r="Q33" i="11"/>
  <c r="R33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3" i="11" s="1"/>
  <c r="AC414" i="10"/>
  <c r="S43" i="11" s="1"/>
  <c r="AD414" i="10"/>
  <c r="M43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40" i="11" s="1"/>
  <c r="AC392" i="10"/>
  <c r="S40" i="11" s="1"/>
  <c r="AD392" i="10"/>
  <c r="M40" i="11" s="1"/>
  <c r="AA393" i="10"/>
  <c r="AB393" i="10"/>
  <c r="P21" i="11" s="1"/>
  <c r="AC393" i="10"/>
  <c r="S21" i="11" s="1"/>
  <c r="AD393" i="10"/>
  <c r="M21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3" i="12"/>
  <c r="G13" i="12"/>
  <c r="H13" i="12" a="1"/>
  <c r="H13" i="12" s="1"/>
  <c r="I13" i="12"/>
  <c r="J13" i="12"/>
  <c r="L13" i="12"/>
  <c r="M13" i="12" s="1"/>
  <c r="O13" i="12"/>
  <c r="P13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8" i="11"/>
  <c r="AC19" i="11"/>
  <c r="AC20" i="11"/>
  <c r="AC21" i="11"/>
  <c r="AC22" i="11"/>
  <c r="AC24" i="11"/>
  <c r="AC25" i="11"/>
  <c r="AC26" i="11"/>
  <c r="AC27" i="11"/>
  <c r="AC28" i="11"/>
  <c r="AC29" i="11"/>
  <c r="AC30" i="11"/>
  <c r="AC31" i="11"/>
  <c r="AC32" i="11"/>
  <c r="AC34" i="11"/>
  <c r="AC36" i="11"/>
  <c r="AC37" i="11"/>
  <c r="AC38" i="11"/>
  <c r="AC39" i="11"/>
  <c r="AC40" i="11"/>
  <c r="AC41" i="11"/>
  <c r="AC44" i="11"/>
  <c r="AC46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9" i="12"/>
  <c r="M49" i="12" s="1"/>
  <c r="O49" i="12"/>
  <c r="P49" i="12" s="1"/>
  <c r="I49" i="12"/>
  <c r="J49" i="12"/>
  <c r="F49" i="12"/>
  <c r="G49" i="12"/>
  <c r="H49" i="12" a="1"/>
  <c r="H49" i="12" s="1"/>
  <c r="AA377" i="10"/>
  <c r="AB377" i="10"/>
  <c r="AC377" i="10"/>
  <c r="AD377" i="10"/>
  <c r="AA361" i="10"/>
  <c r="AB361" i="10"/>
  <c r="P41" i="11" s="1"/>
  <c r="AC361" i="10"/>
  <c r="S41" i="11" s="1"/>
  <c r="AD361" i="10"/>
  <c r="M41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5" i="12"/>
  <c r="G35" i="12"/>
  <c r="H35" i="12" a="1"/>
  <c r="H35" i="12" s="1"/>
  <c r="I35" i="12"/>
  <c r="J35" i="12"/>
  <c r="L35" i="12"/>
  <c r="O35" i="12"/>
  <c r="P35" i="12" s="1"/>
  <c r="F36" i="12"/>
  <c r="G36" i="12"/>
  <c r="H36" i="12" a="1"/>
  <c r="H36" i="12" s="1"/>
  <c r="I36" i="12"/>
  <c r="J36" i="12"/>
  <c r="L36" i="12"/>
  <c r="M36" i="12" s="1"/>
  <c r="O36" i="12"/>
  <c r="P36" i="12" s="1"/>
  <c r="M31" i="11" l="1"/>
  <c r="M45" i="11"/>
  <c r="P45" i="11"/>
  <c r="S45" i="11"/>
  <c r="S33" i="11"/>
  <c r="S34" i="11"/>
  <c r="S30" i="11"/>
  <c r="P2" i="12"/>
  <c r="M35" i="12"/>
  <c r="L22" i="12"/>
  <c r="M22" i="12" s="1"/>
  <c r="O22" i="12"/>
  <c r="P22" i="12" s="1"/>
  <c r="I22" i="12"/>
  <c r="J22" i="12"/>
  <c r="F22" i="12"/>
  <c r="G22" i="12"/>
  <c r="H22" i="12" a="1"/>
  <c r="H22" i="12" s="1"/>
  <c r="I42" i="12"/>
  <c r="J42" i="12"/>
  <c r="L42" i="12"/>
  <c r="M42" i="12" s="1"/>
  <c r="O42" i="12"/>
  <c r="P42" i="12" s="1"/>
  <c r="F42" i="12"/>
  <c r="G42" i="12"/>
  <c r="H42" i="12" a="1"/>
  <c r="H42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Q26" i="11"/>
  <c r="R26" i="11" s="1"/>
  <c r="N26" i="11"/>
  <c r="L26" i="11"/>
  <c r="K26" i="11"/>
  <c r="I26" i="11"/>
  <c r="H26" i="11"/>
  <c r="J26" i="11" a="1"/>
  <c r="J26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7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1" i="12"/>
  <c r="P11" i="12" s="1"/>
  <c r="O12" i="12"/>
  <c r="P12" i="12" s="1"/>
  <c r="O14" i="12"/>
  <c r="P14" i="12" s="1"/>
  <c r="O46" i="12"/>
  <c r="P46" i="12" s="1"/>
  <c r="O15" i="12"/>
  <c r="P15" i="12" s="1"/>
  <c r="O17" i="12"/>
  <c r="P17" i="12" s="1"/>
  <c r="O18" i="12"/>
  <c r="P18" i="12" s="1"/>
  <c r="O19" i="12"/>
  <c r="P19" i="12" s="1"/>
  <c r="O20" i="12"/>
  <c r="P20" i="12" s="1"/>
  <c r="O21" i="12"/>
  <c r="P21" i="12" s="1"/>
  <c r="O23" i="12"/>
  <c r="P23" i="12" s="1"/>
  <c r="O26" i="12"/>
  <c r="P26" i="12" s="1"/>
  <c r="O27" i="12"/>
  <c r="P27" i="12" s="1"/>
  <c r="O28" i="12"/>
  <c r="P28" i="12" s="1"/>
  <c r="O29" i="12"/>
  <c r="P29" i="12" s="1"/>
  <c r="O30" i="12"/>
  <c r="P30" i="12" s="1"/>
  <c r="P31" i="12"/>
  <c r="O34" i="12"/>
  <c r="P34" i="12" s="1"/>
  <c r="O37" i="12"/>
  <c r="P37" i="12" s="1"/>
  <c r="O38" i="12"/>
  <c r="P38" i="12" s="1"/>
  <c r="O39" i="12"/>
  <c r="P39" i="12" s="1"/>
  <c r="O40" i="12"/>
  <c r="P40" i="12" s="1"/>
  <c r="O41" i="12"/>
  <c r="P41" i="12" s="1"/>
  <c r="O44" i="12"/>
  <c r="P44" i="12" s="1"/>
  <c r="O47" i="12"/>
  <c r="P47" i="12" s="1"/>
  <c r="O48" i="12"/>
  <c r="P48" i="12" s="1"/>
  <c r="O50" i="12"/>
  <c r="P50" i="12" s="1"/>
  <c r="O51" i="12"/>
  <c r="P51" i="12" s="1"/>
  <c r="O52" i="12"/>
  <c r="P52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1" i="12"/>
  <c r="M11" i="12" s="1"/>
  <c r="L12" i="12"/>
  <c r="M12" i="12" s="1"/>
  <c r="L14" i="12"/>
  <c r="M14" i="12" s="1"/>
  <c r="L46" i="12"/>
  <c r="L15" i="12"/>
  <c r="M15" i="12" s="1"/>
  <c r="L17" i="12"/>
  <c r="M17" i="12" s="1"/>
  <c r="L18" i="12"/>
  <c r="M18" i="12" s="1"/>
  <c r="L19" i="12"/>
  <c r="M19" i="12" s="1"/>
  <c r="L20" i="12"/>
  <c r="M20" i="12" s="1"/>
  <c r="L21" i="12"/>
  <c r="M21" i="12" s="1"/>
  <c r="L23" i="12"/>
  <c r="M23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7" i="12"/>
  <c r="M37" i="12" s="1"/>
  <c r="L38" i="12"/>
  <c r="M38" i="12" s="1"/>
  <c r="L39" i="12"/>
  <c r="M39" i="12" s="1"/>
  <c r="L40" i="12"/>
  <c r="M40" i="12" s="1"/>
  <c r="L41" i="12"/>
  <c r="M41" i="12" s="1"/>
  <c r="L44" i="12"/>
  <c r="M44" i="12" s="1"/>
  <c r="L47" i="12"/>
  <c r="M47" i="12" s="1"/>
  <c r="L48" i="12"/>
  <c r="M48" i="12" s="1"/>
  <c r="L50" i="12"/>
  <c r="M50" i="12" s="1"/>
  <c r="L51" i="12"/>
  <c r="M51" i="12" s="1"/>
  <c r="L52" i="12"/>
  <c r="M52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3" i="12"/>
  <c r="M3" i="12" s="1"/>
  <c r="J4" i="12"/>
  <c r="J5" i="12"/>
  <c r="J6" i="12"/>
  <c r="J7" i="12"/>
  <c r="J8" i="12"/>
  <c r="J9" i="12"/>
  <c r="J11" i="12"/>
  <c r="J12" i="12"/>
  <c r="J14" i="12"/>
  <c r="J46" i="12"/>
  <c r="J15" i="12"/>
  <c r="J17" i="12"/>
  <c r="J18" i="12"/>
  <c r="J19" i="12"/>
  <c r="J20" i="12"/>
  <c r="J21" i="12"/>
  <c r="J23" i="12"/>
  <c r="J26" i="12"/>
  <c r="J27" i="12"/>
  <c r="J28" i="12"/>
  <c r="J29" i="12"/>
  <c r="J30" i="12"/>
  <c r="J31" i="12"/>
  <c r="J34" i="12"/>
  <c r="J37" i="12"/>
  <c r="J38" i="12"/>
  <c r="J39" i="12"/>
  <c r="J40" i="12"/>
  <c r="J41" i="12"/>
  <c r="J44" i="12"/>
  <c r="J47" i="12"/>
  <c r="J48" i="12"/>
  <c r="J50" i="12"/>
  <c r="J51" i="12"/>
  <c r="J52" i="12"/>
  <c r="J54" i="12"/>
  <c r="J55" i="12"/>
  <c r="J56" i="12"/>
  <c r="J57" i="12"/>
  <c r="J58" i="12"/>
  <c r="J59" i="12"/>
  <c r="J60" i="12"/>
  <c r="J3" i="12"/>
  <c r="I46" i="12"/>
  <c r="I15" i="12"/>
  <c r="I17" i="12"/>
  <c r="I18" i="12"/>
  <c r="I19" i="12"/>
  <c r="I20" i="12"/>
  <c r="I21" i="12"/>
  <c r="I23" i="12"/>
  <c r="I26" i="12"/>
  <c r="I27" i="12"/>
  <c r="I28" i="12"/>
  <c r="I29" i="12"/>
  <c r="I30" i="12"/>
  <c r="I31" i="12"/>
  <c r="I34" i="12"/>
  <c r="I37" i="12"/>
  <c r="I38" i="12"/>
  <c r="I39" i="12"/>
  <c r="I40" i="12"/>
  <c r="I41" i="12"/>
  <c r="I44" i="12"/>
  <c r="I47" i="12"/>
  <c r="I48" i="12"/>
  <c r="I50" i="12"/>
  <c r="I51" i="12"/>
  <c r="I52" i="12"/>
  <c r="I54" i="12"/>
  <c r="I55" i="12"/>
  <c r="I56" i="12"/>
  <c r="I57" i="12"/>
  <c r="I58" i="12"/>
  <c r="I59" i="12"/>
  <c r="I60" i="12"/>
  <c r="I4" i="12"/>
  <c r="I5" i="12"/>
  <c r="I6" i="12"/>
  <c r="I7" i="12"/>
  <c r="I8" i="12"/>
  <c r="I9" i="12"/>
  <c r="I11" i="12"/>
  <c r="I12" i="12"/>
  <c r="I14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1" i="12" a="1"/>
  <c r="H11" i="12" s="1"/>
  <c r="H12" i="12" a="1"/>
  <c r="H12" i="12" s="1"/>
  <c r="H14" i="12" a="1"/>
  <c r="H14" i="12" s="1"/>
  <c r="H46" i="12" a="1"/>
  <c r="H46" i="12" s="1"/>
  <c r="H15" i="12" a="1"/>
  <c r="H15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3" i="12" a="1"/>
  <c r="H23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4" i="12" a="1"/>
  <c r="H34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4" i="12" a="1"/>
  <c r="H44" i="12" s="1"/>
  <c r="H47" i="12" a="1"/>
  <c r="H47" i="12" s="1"/>
  <c r="H48" i="12" a="1"/>
  <c r="H48" i="12" s="1"/>
  <c r="H50" i="12" a="1"/>
  <c r="H50" i="12" s="1"/>
  <c r="H51" i="12" a="1"/>
  <c r="H51" i="12" s="1"/>
  <c r="H52" i="12" a="1"/>
  <c r="H52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3" i="12" a="1"/>
  <c r="H3" i="12" s="1"/>
  <c r="G46" i="12"/>
  <c r="G15" i="12"/>
  <c r="G17" i="12"/>
  <c r="G18" i="12"/>
  <c r="G19" i="12"/>
  <c r="G20" i="12"/>
  <c r="G21" i="12"/>
  <c r="G23" i="12"/>
  <c r="G26" i="12"/>
  <c r="G27" i="12"/>
  <c r="G28" i="12"/>
  <c r="G29" i="12"/>
  <c r="G30" i="12"/>
  <c r="G31" i="12"/>
  <c r="G34" i="12"/>
  <c r="G37" i="12"/>
  <c r="G38" i="12"/>
  <c r="G39" i="12"/>
  <c r="G40" i="12"/>
  <c r="G41" i="12"/>
  <c r="G44" i="12"/>
  <c r="G47" i="12"/>
  <c r="G48" i="12"/>
  <c r="G50" i="12"/>
  <c r="G51" i="12"/>
  <c r="G52" i="12"/>
  <c r="G54" i="12"/>
  <c r="G55" i="12"/>
  <c r="G56" i="12"/>
  <c r="G57" i="12"/>
  <c r="G58" i="12"/>
  <c r="G59" i="12"/>
  <c r="G60" i="12"/>
  <c r="G4" i="12"/>
  <c r="G5" i="12"/>
  <c r="G6" i="12"/>
  <c r="G7" i="12"/>
  <c r="G8" i="12"/>
  <c r="G9" i="12"/>
  <c r="G11" i="12"/>
  <c r="G12" i="12"/>
  <c r="G14" i="12"/>
  <c r="G3" i="12"/>
  <c r="F4" i="12"/>
  <c r="F5" i="12"/>
  <c r="F6" i="12"/>
  <c r="F7" i="12"/>
  <c r="F8" i="12"/>
  <c r="F9" i="12"/>
  <c r="F11" i="12"/>
  <c r="F12" i="12"/>
  <c r="F14" i="12"/>
  <c r="F46" i="12"/>
  <c r="F15" i="12"/>
  <c r="F17" i="12"/>
  <c r="F18" i="12"/>
  <c r="F19" i="12"/>
  <c r="F20" i="12"/>
  <c r="F21" i="12"/>
  <c r="F23" i="12"/>
  <c r="F26" i="12"/>
  <c r="F27" i="12"/>
  <c r="F28" i="12"/>
  <c r="F29" i="12"/>
  <c r="F30" i="12"/>
  <c r="F31" i="12"/>
  <c r="F34" i="12"/>
  <c r="F37" i="12"/>
  <c r="F38" i="12"/>
  <c r="F39" i="12"/>
  <c r="F40" i="12"/>
  <c r="F41" i="12"/>
  <c r="F44" i="12"/>
  <c r="F47" i="12"/>
  <c r="F48" i="12"/>
  <c r="F50" i="12"/>
  <c r="F51" i="12"/>
  <c r="F52" i="12"/>
  <c r="F54" i="12"/>
  <c r="F55" i="12"/>
  <c r="F56" i="12"/>
  <c r="F57" i="12"/>
  <c r="F58" i="12"/>
  <c r="F59" i="12"/>
  <c r="F60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8" i="11"/>
  <c r="O18" i="11" s="1"/>
  <c r="N19" i="11"/>
  <c r="O19" i="11" s="1"/>
  <c r="N20" i="11"/>
  <c r="O20" i="11" s="1"/>
  <c r="N21" i="11"/>
  <c r="O21" i="11" s="1"/>
  <c r="N22" i="11"/>
  <c r="O22" i="11" s="1"/>
  <c r="N24" i="11"/>
  <c r="O24" i="11" s="1"/>
  <c r="N25" i="11"/>
  <c r="O25" i="11" s="1"/>
  <c r="N27" i="11"/>
  <c r="O27" i="11" s="1"/>
  <c r="N28" i="11"/>
  <c r="O28" i="11" s="1"/>
  <c r="N29" i="11"/>
  <c r="O29" i="11" s="1"/>
  <c r="N30" i="11"/>
  <c r="O30" i="11" s="1"/>
  <c r="N31" i="11"/>
  <c r="O31" i="11" s="1"/>
  <c r="N32" i="11"/>
  <c r="O32" i="11" s="1"/>
  <c r="N34" i="11"/>
  <c r="O34" i="11" s="1"/>
  <c r="N36" i="11"/>
  <c r="O36" i="11" s="1"/>
  <c r="N37" i="11"/>
  <c r="O37" i="11" s="1"/>
  <c r="N38" i="11"/>
  <c r="O38" i="11" s="1"/>
  <c r="N39" i="11"/>
  <c r="O39" i="11" s="1"/>
  <c r="N40" i="11"/>
  <c r="O40" i="11" s="1"/>
  <c r="N41" i="11"/>
  <c r="O41" i="11" s="1"/>
  <c r="N44" i="11"/>
  <c r="O44" i="11" s="1"/>
  <c r="N46" i="11"/>
  <c r="O46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8" i="11"/>
  <c r="L19" i="11"/>
  <c r="L20" i="11"/>
  <c r="L21" i="11"/>
  <c r="L22" i="11"/>
  <c r="L24" i="11"/>
  <c r="L25" i="11"/>
  <c r="L27" i="11"/>
  <c r="L28" i="11"/>
  <c r="L29" i="11"/>
  <c r="L30" i="11"/>
  <c r="L31" i="11"/>
  <c r="L32" i="11"/>
  <c r="L34" i="11"/>
  <c r="L36" i="11"/>
  <c r="L37" i="11"/>
  <c r="L38" i="11"/>
  <c r="L39" i="11"/>
  <c r="L40" i="11"/>
  <c r="L41" i="11"/>
  <c r="L44" i="11"/>
  <c r="L46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8" i="11"/>
  <c r="K19" i="11"/>
  <c r="K20" i="11"/>
  <c r="K21" i="11"/>
  <c r="K22" i="11"/>
  <c r="K24" i="11"/>
  <c r="K25" i="11"/>
  <c r="K27" i="11"/>
  <c r="K28" i="11"/>
  <c r="K29" i="11"/>
  <c r="K30" i="11"/>
  <c r="K31" i="11"/>
  <c r="K32" i="11"/>
  <c r="K34" i="11"/>
  <c r="K36" i="11"/>
  <c r="K37" i="11"/>
  <c r="K38" i="11"/>
  <c r="K39" i="11"/>
  <c r="K40" i="11"/>
  <c r="K41" i="11"/>
  <c r="K44" i="11"/>
  <c r="K46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8" i="11"/>
  <c r="R18" i="11" s="1"/>
  <c r="Q19" i="11"/>
  <c r="R19" i="11" s="1"/>
  <c r="Q20" i="11"/>
  <c r="R20" i="11" s="1"/>
  <c r="Q21" i="11"/>
  <c r="R21" i="11" s="1"/>
  <c r="Q22" i="11"/>
  <c r="R22" i="11" s="1"/>
  <c r="Q24" i="11"/>
  <c r="R24" i="11" s="1"/>
  <c r="Q25" i="11"/>
  <c r="R25" i="11" s="1"/>
  <c r="Q27" i="11"/>
  <c r="R27" i="11" s="1"/>
  <c r="Q28" i="11"/>
  <c r="R28" i="11" s="1"/>
  <c r="Q29" i="11"/>
  <c r="R29" i="11" s="1"/>
  <c r="Q30" i="11"/>
  <c r="R30" i="11" s="1"/>
  <c r="Q31" i="11"/>
  <c r="Q32" i="11"/>
  <c r="R32" i="11" s="1"/>
  <c r="Q34" i="11"/>
  <c r="R34" i="11" s="1"/>
  <c r="Q36" i="11"/>
  <c r="R36" i="11" s="1"/>
  <c r="Q37" i="11"/>
  <c r="R37" i="11" s="1"/>
  <c r="Q38" i="11"/>
  <c r="R38" i="11" s="1"/>
  <c r="Q39" i="11"/>
  <c r="R39" i="11" s="1"/>
  <c r="Q40" i="11"/>
  <c r="R40" i="11" s="1"/>
  <c r="Q41" i="11"/>
  <c r="R41" i="11" s="1"/>
  <c r="Q44" i="11"/>
  <c r="R44" i="11" s="1"/>
  <c r="Q46" i="11"/>
  <c r="R46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8" i="11" a="1"/>
  <c r="J18" i="11" s="1"/>
  <c r="J19" i="11" a="1"/>
  <c r="J19" i="11" s="1"/>
  <c r="J20" i="11" a="1"/>
  <c r="J20" i="11" s="1"/>
  <c r="J21" i="11" a="1"/>
  <c r="J21" i="11" s="1"/>
  <c r="J22" i="11" a="1"/>
  <c r="J22" i="11" s="1"/>
  <c r="J24" i="11" a="1"/>
  <c r="J24" i="11" s="1"/>
  <c r="J25" i="11" a="1"/>
  <c r="J25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4" i="11" a="1"/>
  <c r="J34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4" i="11" a="1"/>
  <c r="J44" i="11" s="1"/>
  <c r="J46" i="11" a="1"/>
  <c r="J46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8" i="11"/>
  <c r="I19" i="11"/>
  <c r="I20" i="11"/>
  <c r="I21" i="11"/>
  <c r="I22" i="11"/>
  <c r="I24" i="11"/>
  <c r="I25" i="11"/>
  <c r="I27" i="11"/>
  <c r="I28" i="11"/>
  <c r="I29" i="11"/>
  <c r="I30" i="11"/>
  <c r="I31" i="11"/>
  <c r="I32" i="11"/>
  <c r="I34" i="11"/>
  <c r="I36" i="11"/>
  <c r="I37" i="11"/>
  <c r="I38" i="11"/>
  <c r="I39" i="11"/>
  <c r="I40" i="11"/>
  <c r="I41" i="11"/>
  <c r="I44" i="11"/>
  <c r="I46" i="11"/>
  <c r="I48" i="11"/>
  <c r="I49" i="11"/>
  <c r="I52" i="11"/>
  <c r="I54" i="11"/>
  <c r="I55" i="11"/>
  <c r="H13" i="11"/>
  <c r="H14" i="11"/>
  <c r="H18" i="11"/>
  <c r="H19" i="11"/>
  <c r="H20" i="11"/>
  <c r="H21" i="11"/>
  <c r="H22" i="11"/>
  <c r="H24" i="11"/>
  <c r="H25" i="11"/>
  <c r="H27" i="11"/>
  <c r="H28" i="11"/>
  <c r="H29" i="11"/>
  <c r="H30" i="11"/>
  <c r="H31" i="11"/>
  <c r="H32" i="11"/>
  <c r="H34" i="11"/>
  <c r="H36" i="11"/>
  <c r="H37" i="11"/>
  <c r="H38" i="11"/>
  <c r="H39" i="11"/>
  <c r="H40" i="11"/>
  <c r="H41" i="11"/>
  <c r="H44" i="11"/>
  <c r="H46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9" i="11" l="1"/>
  <c r="S39" i="11"/>
  <c r="P39" i="11"/>
  <c r="M20" i="11"/>
  <c r="S20" i="11"/>
  <c r="P20" i="11"/>
  <c r="M28" i="11"/>
  <c r="S28" i="11"/>
  <c r="P28" i="11"/>
  <c r="M36" i="11"/>
  <c r="S36" i="11"/>
  <c r="P36" i="11"/>
  <c r="M32" i="11"/>
  <c r="S32" i="11"/>
  <c r="P32" i="11"/>
  <c r="M25" i="11"/>
  <c r="S25" i="11"/>
  <c r="P25" i="11"/>
  <c r="M6" i="11"/>
  <c r="S6" i="11"/>
  <c r="P6" i="11"/>
  <c r="M29" i="11"/>
  <c r="S29" i="11"/>
  <c r="P29" i="11"/>
  <c r="O26" i="11"/>
  <c r="M46" i="12"/>
  <c r="R31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<sst xmlns="http://schemas.openxmlformats.org/spreadsheetml/2006/main" count="4458" uniqueCount="216">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</sst>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A2" sqref="A2:A5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162</v>
      </c>
      <c r="I4" s="4">
        <f>AVERAGEIFS('OB History'!C:C,'OB History'!B:B,A4)</f>
        <v>9</v>
      </c>
      <c r="J4" s="35">
        <f t="array" ref="J4">MAX(IF('OB History'!B:B=A4, 'OB History'!C:C))</f>
        <v>19</v>
      </c>
      <c r="K4" s="34">
        <f>COUNTIFS('OB History'!B:B,A4,'OB History'!D:D, 1)</f>
        <v>8</v>
      </c>
      <c r="L4" s="2">
        <f>COUNTIFS('OB History'!B:B,A4,'OB History'!D:D, 0)</f>
        <v>10</v>
      </c>
      <c r="M4" s="88">
        <f>LOOKUP(2, 1/('OB History'!$B:$B=A4), 'OB History'!$AD:$AD)</f>
        <v>0.44444444444444442</v>
      </c>
      <c r="N4" s="34">
        <f>SUMIFS('OB History'!F:F,'OB History'!B:B,A4)</f>
        <v>30</v>
      </c>
      <c r="O4" s="2">
        <f>SUMIFS('OB History'!E:E,'OB History'!B:B,A4)-N4</f>
        <v>39</v>
      </c>
      <c r="P4" s="88">
        <f>LOOKUP(2, 1/('OB History'!$B:$B=A4), 'OB History'!$AB:$AB)</f>
        <v>0.42222222222222228</v>
      </c>
      <c r="Q4" s="34">
        <f>SUMIFS('OB History'!H:H,'OB History'!B:B,A4)</f>
        <v>138</v>
      </c>
      <c r="R4" s="2">
        <f>SUMIFS('OB History'!G:G,'OB History'!B:B,A4)-Q4</f>
        <v>152</v>
      </c>
      <c r="S4" s="88">
        <f>LOOKUP(2, 1/('OB History'!$B:$B=A4), 'OB History'!$AC:$AC)</f>
        <v>0.4705555555555555</v>
      </c>
      <c r="T4" s="2">
        <f>COUNTIFS('OB History'!$B:$B,$A$4,'OB History'!K:K, 1)</f>
        <v>1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4</v>
      </c>
      <c r="AH4" s="2">
        <f>COUNTIFS('OB History'!$B:$B,$A$4,'OB History'!Y:Y, 1)</f>
        <v>5</v>
      </c>
      <c r="AI4" s="2">
        <f>COUNTIFS('OB History'!$B:$B,$A$4,'OB History'!Z:Z,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404</v>
      </c>
      <c r="I7" s="4">
        <f>AVERAGEIFS('OB History'!C:C,'OB History'!B:B,A7)</f>
        <v>12.242424242424242</v>
      </c>
      <c r="J7" s="35">
        <f t="array" ref="J7">MAX(IF('OB History'!B:B=A7, 'OB History'!C:C))</f>
        <v>32</v>
      </c>
      <c r="K7" s="34">
        <f>COUNTIFS('OB History'!B:B,A7,'OB History'!D:D, 1)</f>
        <v>20</v>
      </c>
      <c r="L7" s="2">
        <f>COUNTIFS('OB History'!B:B,A7,'OB History'!D:D, 0)</f>
        <v>13</v>
      </c>
      <c r="M7" s="88">
        <f>LOOKUP(2, 1/('OB History'!$B:$B=A7), 'OB History'!$AD:$AD)</f>
        <v>0.60606060606060608</v>
      </c>
      <c r="N7" s="34">
        <f>SUMIFS('OB History'!F:F,'OB History'!B:B,A7)</f>
        <v>69</v>
      </c>
      <c r="O7" s="2">
        <f>SUMIFS('OB History'!E:E,'OB History'!B:B,A7)-N7</f>
        <v>62</v>
      </c>
      <c r="P7" s="88">
        <f>LOOKUP(2, 1/('OB History'!$B:$B=A7), 'OB History'!$AB:$AB)</f>
        <v>0.51363636363636367</v>
      </c>
      <c r="Q7" s="34">
        <f>SUMIFS('OB History'!H:H,'OB History'!B:B,'Old Bow v2'!A7)</f>
        <v>272</v>
      </c>
      <c r="R7" s="2">
        <f>SUMIFS('OB History'!G:G,'OB History'!B:B,'Old Bow v2'!A7)-Q7</f>
        <v>265</v>
      </c>
      <c r="S7" s="88">
        <f>LOOKUP(2, 1/('OB History'!$B:$B=A7), 'OB History'!$AC:$AC)</f>
        <v>0.50060606060606072</v>
      </c>
      <c r="T7" s="2">
        <f>COUNTIFS('OB History'!$B:$B,$A$7,'OB History'!K:K, 1)</f>
        <v>6</v>
      </c>
      <c r="U7" s="2">
        <f>COUNTIFS('OB History'!$B:$B,$A$7,'OB History'!L:L, 1)</f>
        <v>6</v>
      </c>
      <c r="V7" s="2">
        <f>COUNTIFS('OB History'!$B:$B,$A$7,'OB History'!M:M, 1)</f>
        <v>1</v>
      </c>
      <c r="W7" s="2">
        <f>COUNTIFS('OB History'!$B:$B,$A$7,'OB History'!N:N, 1)</f>
        <v>9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78</v>
      </c>
      <c r="I10" s="4">
        <f>AVERAGEIFS('OB History'!C:C,'OB History'!B:B,A10)</f>
        <v>15.6</v>
      </c>
      <c r="J10" s="35">
        <f t="array" ref="J10">MAX(IF('OB History'!B:B=A10, 'OB History'!C:C))</f>
        <v>22</v>
      </c>
      <c r="K10" s="34">
        <f>COUNTIFS('OB History'!B:B,A10,'OB History'!D:D, 1)</f>
        <v>4</v>
      </c>
      <c r="L10" s="2">
        <f>COUNTIFS('OB History'!B:B,A10,'OB History'!D:D, 0)</f>
        <v>1</v>
      </c>
      <c r="M10" s="88">
        <f>LOOKUP(2, 1/('OB History'!$B:$B=A10), 'OB History'!$AD:$AD)</f>
        <v>0.8</v>
      </c>
      <c r="N10" s="34">
        <f>SUMIFS('OB History'!F:F,'OB History'!B:B,A10)</f>
        <v>14</v>
      </c>
      <c r="O10" s="2">
        <f>SUMIFS('OB History'!E:E,'OB History'!B:B,A10)-N10</f>
        <v>3</v>
      </c>
      <c r="P10" s="88">
        <f>LOOKUP(2, 1/('OB History'!$B:$B=A10), 'OB History'!$AB:$AB)</f>
        <v>0.85</v>
      </c>
      <c r="Q10" s="34">
        <f>SUMIFS('OB History'!H:H,'OB History'!B:B,'Old Bow v2'!A10)</f>
        <v>44</v>
      </c>
      <c r="R10" s="2">
        <f>SUMIFS('OB History'!G:G,'OB History'!B:B,'Old Bow v2'!A10)-Q10</f>
        <v>27</v>
      </c>
      <c r="S10" s="88">
        <f>LOOKUP(2, 1/('OB History'!$B:$B=A10), 'OB History'!$AC:$AC)</f>
        <v>0.62799999999999989</v>
      </c>
      <c r="T10" s="2">
        <f>COUNTIFS('OB History'!$B:$B,$A$10,'OB History'!K:K, 1)</f>
        <v>0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2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3</v>
      </c>
      <c r="AH10" s="2">
        <f>COUNTIFS('OB History'!$B:$B,$A$10,'OB History'!Y:Y, 1)</f>
        <v>1</v>
      </c>
      <c r="AI10" s="2">
        <f>COUNTIFS('OB History'!$B:$B,$A$10,'OB History'!Z:Z, 1)</f>
        <v>2</v>
      </c>
    </row>
    <row r="11" spans="1:35" x14ac:dyDescent="0.25">
      <c r="A11" s="2" t="s">
        <v>25</v>
      </c>
      <c r="B11" s="2" t="s">
        <v>79</v>
      </c>
      <c r="C11" s="2" t="s">
        <v>79</v>
      </c>
      <c r="D11" s="3">
        <v>2</v>
      </c>
      <c r="E11" s="3"/>
      <c r="F11" s="3"/>
      <c r="G11" s="3"/>
      <c r="H11" s="34">
        <f>SUMIFS('OB History'!C:C,'OB History'!B:B,A11)</f>
        <v>557</v>
      </c>
      <c r="I11" s="4">
        <f>AVERAGEIFS('OB History'!C:C,'OB History'!B:B,A11)</f>
        <v>18.566666666666666</v>
      </c>
      <c r="J11" s="35">
        <f t="array" ref="J11">MAX(IF('OB History'!B:B=A11, 'OB History'!C:C))</f>
        <v>50</v>
      </c>
      <c r="K11" s="34">
        <f>COUNTIFS('OB History'!B:B,A11,'OB History'!D:D, 1)</f>
        <v>17</v>
      </c>
      <c r="L11" s="2">
        <f>COUNTIFS('OB History'!B:B,A11,'OB History'!D:D, 0)</f>
        <v>13</v>
      </c>
      <c r="M11" s="88">
        <f>LOOKUP(2, 1/('OB History'!$B:$B=A11), 'OB History'!$AD:$AD)</f>
        <v>0.56666666666666665</v>
      </c>
      <c r="N11" s="34">
        <f>SUMIFS('OB History'!F:F,'OB History'!B:B,A11)</f>
        <v>69</v>
      </c>
      <c r="O11" s="2">
        <f>SUMIFS('OB History'!E:E,'OB History'!B:B,A11)-N11</f>
        <v>57</v>
      </c>
      <c r="P11" s="88">
        <f>LOOKUP(2, 1/('OB History'!$B:$B=A11), 'OB History'!$AB:$AB)</f>
        <v>0.56333333333333324</v>
      </c>
      <c r="Q11" s="34">
        <f>SUMIFS('OB History'!H:H,'OB History'!B:B,'Old Bow v2'!A11)</f>
        <v>269</v>
      </c>
      <c r="R11" s="2">
        <f>SUMIFS('OB History'!G:G,'OB History'!B:B,'Old Bow v2'!A11)-Q11</f>
        <v>256</v>
      </c>
      <c r="S11" s="88">
        <f>LOOKUP(2, 1/('OB History'!$B:$B=A11), 'OB History'!$AC:$AC)</f>
        <v>0.52333333333333332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6</v>
      </c>
      <c r="Z11" s="2">
        <f>COUNTIFS('OB History'!$B:$B,$A$11,'OB History'!Q:Q, 1)</f>
        <v>6</v>
      </c>
      <c r="AA11" s="2">
        <f>COUNTIFS('OB History'!$B:$B,$A$11,'OB History'!R:R, 1)</f>
        <v>4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11</v>
      </c>
      <c r="AH11" s="2">
        <f>COUNTIFS('OB History'!$B:$B,$A$11,'OB History'!Y:Y, 1)</f>
        <v>6</v>
      </c>
      <c r="AI11" s="2">
        <f>COUNTIFS('OB History'!$B:$B,$A$11,'OB History'!Z:Z, 1)</f>
        <v>11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204</v>
      </c>
      <c r="I12" s="4">
        <f>AVERAGEIFS('OB History'!C:C,'OB History'!B:B,A12)</f>
        <v>13.6</v>
      </c>
      <c r="J12" s="35">
        <f t="array" ref="J12">MAX(IF('OB History'!B:B=A12, 'OB History'!C:C))</f>
        <v>27</v>
      </c>
      <c r="K12" s="34">
        <f>COUNTIFS('OB History'!B:B,A12,'OB History'!D:D, 1)</f>
        <v>4</v>
      </c>
      <c r="L12" s="2">
        <f>COUNTIFS('OB History'!B:B,A12,'OB History'!D:D, 0)</f>
        <v>11</v>
      </c>
      <c r="M12" s="88">
        <f>LOOKUP(2, 1/('OB History'!$B:$B=A12), 'OB History'!$AD:$AD)</f>
        <v>0.26666666666666666</v>
      </c>
      <c r="N12" s="34">
        <f>SUMIFS('OB History'!F:F,'OB History'!B:B,A12)</f>
        <v>24</v>
      </c>
      <c r="O12" s="2">
        <f>SUMIFS('OB History'!E:E,'OB History'!B:B,A12)-N12</f>
        <v>39</v>
      </c>
      <c r="P12" s="88">
        <f>LOOKUP(2, 1/('OB History'!$B:$B=A12), 'OB History'!$AB:$AB)</f>
        <v>0.36</v>
      </c>
      <c r="Q12" s="34">
        <f>SUMIFS('OB History'!H:H,'OB History'!B:B,'Old Bow v2'!A12)</f>
        <v>120</v>
      </c>
      <c r="R12" s="2">
        <f>SUMIFS('OB History'!G:G,'OB History'!B:B,'Old Bow v2'!A12)-Q12</f>
        <v>147</v>
      </c>
      <c r="S12" s="88">
        <f>LOOKUP(2, 1/('OB History'!$B:$B=A12), 'OB History'!$AC:$AC)</f>
        <v>0.4426666666666666</v>
      </c>
      <c r="T12" s="2">
        <f>COUNTIFS('OB History'!$B:$B,$A$12,'OB History'!K:K, 1)</f>
        <v>1</v>
      </c>
      <c r="U12" s="2">
        <f>COUNTIFS('OB History'!$B:$B,$A$12,'OB History'!L:L, 1)</f>
        <v>2</v>
      </c>
      <c r="V12" s="2">
        <f>COUNTIFS('OB History'!$B:$B,$A$12,'OB History'!M:M, 1)</f>
        <v>3</v>
      </c>
      <c r="W12" s="2">
        <f>COUNTIFS('OB History'!$B:$B,$A$12,'OB History'!N:N, 1)</f>
        <v>4</v>
      </c>
      <c r="X12" s="2">
        <f>COUNTIFS('OB History'!$B:$B,$A$12,'OB History'!O:O, 1)</f>
        <v>1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394</v>
      </c>
      <c r="I13" s="4">
        <f>AVERAGEIFS('OB History'!C:C,'OB History'!B:B,A13)</f>
        <v>15.153846153846153</v>
      </c>
      <c r="J13" s="35">
        <f t="array" ref="J13">MAX(IF('OB History'!B:B=A13, 'OB History'!C:C))</f>
        <v>44</v>
      </c>
      <c r="K13" s="34">
        <f>COUNTIFS('OB History'!B:B,A13,'OB History'!D:D, 1)</f>
        <v>15</v>
      </c>
      <c r="L13" s="2">
        <f>COUNTIFS('OB History'!B:B,A13,'OB History'!D:D, 0)</f>
        <v>11</v>
      </c>
      <c r="M13" s="88">
        <f>LOOKUP(2, 1/('OB History'!$B:$B=A13), 'OB History'!$AD:$AD)</f>
        <v>0.57692307692307687</v>
      </c>
      <c r="N13" s="34">
        <f>SUMIFS('OB History'!F:F,'OB History'!B:B,A13)</f>
        <v>56</v>
      </c>
      <c r="O13" s="2">
        <f>SUMIFS('OB History'!E:E,'OB History'!B:B,A13)-N13</f>
        <v>50</v>
      </c>
      <c r="P13" s="88">
        <f>LOOKUP(2, 1/('OB History'!$B:$B=A13), 'OB History'!$AB:$AB)</f>
        <v>0.52692307692307694</v>
      </c>
      <c r="Q13" s="34">
        <f>SUMIFS('OB History'!H:H,'OB History'!B:B,'Old Bow v2'!A13)</f>
        <v>222</v>
      </c>
      <c r="R13" s="2">
        <f>SUMIFS('OB History'!G:G,'OB History'!B:B,'Old Bow v2'!A13)-Q13</f>
        <v>211</v>
      </c>
      <c r="S13" s="88">
        <f>LOOKUP(2, 1/('OB History'!$B:$B=A13), 'OB History'!$AC:$AC)</f>
        <v>0.5146153846153847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4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4</v>
      </c>
      <c r="AA13" s="2">
        <f>COUNTIFS('OB History'!$B:$B,$A$13,'OB History'!R:R, 1)</f>
        <v>3</v>
      </c>
      <c r="AB13" s="2">
        <f>COUNTIFS('OB History'!$B:$B,$A$13,'OB History'!S:S, 1)</f>
        <v>0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7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472</v>
      </c>
      <c r="I14" s="4">
        <f>AVERAGEIFS('OB History'!C:C,'OB History'!B:B,A14)</f>
        <v>13.485714285714286</v>
      </c>
      <c r="J14" s="35">
        <f t="array" ref="J14">MAX(IF('OB History'!B:B=A14, 'OB History'!C:C))</f>
        <v>41</v>
      </c>
      <c r="K14" s="34">
        <f>COUNTIFS('OB History'!B:B,A14,'OB History'!D:D, 1)</f>
        <v>23</v>
      </c>
      <c r="L14" s="2">
        <f>COUNTIFS('OB History'!B:B,A14,'OB History'!D:D, 0)</f>
        <v>12</v>
      </c>
      <c r="M14" s="88">
        <f>LOOKUP(2, 1/('OB History'!$B:$B=A14), 'OB History'!$AD:$AD)</f>
        <v>0.65714285714285714</v>
      </c>
      <c r="N14" s="34">
        <f>SUMIFS('OB History'!F:F,'OB History'!B:B,A14)</f>
        <v>84</v>
      </c>
      <c r="O14" s="2">
        <f>SUMIFS('OB History'!E:E,'OB History'!B:B,A14)-N14</f>
        <v>58</v>
      </c>
      <c r="P14" s="88">
        <f>LOOKUP(2, 1/('OB History'!$B:$B=A14), 'OB History'!$AB:$AB)</f>
        <v>0.61</v>
      </c>
      <c r="Q14" s="34">
        <f>SUMIFS('OB History'!H:H,'OB History'!B:B,'Old Bow v2'!A14)</f>
        <v>319</v>
      </c>
      <c r="R14" s="2">
        <f>SUMIFS('OB History'!G:G,'OB History'!B:B,'Old Bow v2'!A14)-Q14</f>
        <v>269</v>
      </c>
      <c r="S14" s="88">
        <f>LOOKUP(2, 1/('OB History'!$B:$B=A14), 'OB History'!$AC:$AC)</f>
        <v>0.54942857142857149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10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2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6</v>
      </c>
      <c r="AI14" s="2">
        <f>COUNTIFS('OB History'!$B:$B,$A$14,'OB History'!Z:Z, 1)</f>
        <v>9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106</v>
      </c>
      <c r="I16" s="4">
        <f>AVERAGEIFS('OB History'!C:C,'OB History'!B:B,A16)</f>
        <v>13.25</v>
      </c>
      <c r="J16" s="35">
        <f t="array" ref="J16">MAX(IF('OB History'!B:B=A16, 'OB History'!C:C))</f>
        <v>19</v>
      </c>
      <c r="K16" s="34">
        <f>COUNTIFS('OB History'!B:B,A16,'OB History'!D:D, 1)</f>
        <v>1</v>
      </c>
      <c r="L16" s="2">
        <f>COUNTIFS('OB History'!B:B,A16,'OB History'!D:D, 0)</f>
        <v>7</v>
      </c>
      <c r="M16" s="88">
        <f>LOOKUP(2, 1/('OB History'!$B:$B=A16), 'OB History'!$AD:$AD)</f>
        <v>0.125</v>
      </c>
      <c r="N16" s="34">
        <f>SUMIFS('OB History'!F:F,'OB History'!B:B,A16)</f>
        <v>7</v>
      </c>
      <c r="O16" s="2">
        <f>SUMIFS('OB History'!E:E,'OB History'!B:B,A16)-N16</f>
        <v>23</v>
      </c>
      <c r="P16" s="88">
        <f>LOOKUP(2, 1/('OB History'!$B:$B=A16), 'OB History'!$AB:$AB)</f>
        <v>0.19375000000000001</v>
      </c>
      <c r="Q16" s="34">
        <f>SUMIFS('OB History'!H:H,'OB History'!B:B,'Old Bow v2'!A16)</f>
        <v>47</v>
      </c>
      <c r="R16" s="2">
        <f>SUMIFS('OB History'!G:G,'OB History'!B:B,'Old Bow v2'!A16)-Q16</f>
        <v>80</v>
      </c>
      <c r="S16" s="88">
        <f>LOOKUP(2, 1/('OB History'!$B:$B=A16), 'OB History'!$AC:$AC)</f>
        <v>0.34625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2</v>
      </c>
      <c r="AA16" s="2">
        <f>COUNTIFS('OB History'!$B:$B,$A$16,'OB History'!R:R, 1)</f>
        <v>1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1</v>
      </c>
    </row>
    <row r="17" spans="1:35" x14ac:dyDescent="0.25">
      <c r="A17" s="2" t="s">
        <v>215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0</v>
      </c>
      <c r="I17" s="4">
        <f>AVERAGEIFS('OB History'!C:C,'OB History'!B:B,A17)</f>
        <v>0</v>
      </c>
      <c r="J17" s="35">
        <f t="array" ref="J17">MAX(IF('OB History'!B:B=A17, 'OB History'!C:C))</f>
        <v>0</v>
      </c>
      <c r="K17" s="34">
        <f>COUNTIFS('OB History'!B:B,A17,'OB History'!D:D, 1)</f>
        <v>0</v>
      </c>
      <c r="L17" s="2">
        <f>COUNTIFS('OB History'!B:B,A17,'OB History'!D:D, 0)</f>
        <v>1</v>
      </c>
      <c r="M17" s="88">
        <f>LOOKUP(2, 1/('OB History'!$B:$B=A17), 'OB History'!$AD:$AD)</f>
        <v>0</v>
      </c>
      <c r="N17" s="34">
        <f>SUMIFS('OB History'!F:F,'OB History'!B:B,A17)</f>
        <v>0</v>
      </c>
      <c r="O17" s="2">
        <f>SUMIFS('OB History'!E:E,'OB History'!B:B,A17)-N17</f>
        <v>3</v>
      </c>
      <c r="P17" s="88">
        <f>LOOKUP(2, 1/('OB History'!$B:$B=A17), 'OB History'!$AB:$AB)</f>
        <v>0</v>
      </c>
      <c r="Q17" s="34">
        <f>SUMIFS('OB History'!H:H,'OB History'!B:B,'Old Bow v2'!A17)</f>
        <v>3</v>
      </c>
      <c r="R17" s="2">
        <f>SUMIFS('OB History'!G:G,'OB History'!B:B,'Old Bow v2'!A17)-Q17</f>
        <v>9</v>
      </c>
      <c r="S17" s="88">
        <f>LOOKUP(2, 1/('OB History'!$B:$B=A17), 'OB History'!$AC:$AC)</f>
        <v>0.25</v>
      </c>
      <c r="T17" s="2">
        <f>COUNTIFS('OB History'!$B:$B,$A$17,'OB History'!K:K, 1)</f>
        <v>0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0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ht="15.75" x14ac:dyDescent="0.25">
      <c r="A18" s="1" t="s">
        <v>45</v>
      </c>
      <c r="B18" s="80" t="s">
        <v>60</v>
      </c>
      <c r="C18" s="2" t="s">
        <v>79</v>
      </c>
      <c r="D18" s="3"/>
      <c r="E18" s="3"/>
      <c r="F18" s="3"/>
      <c r="G18" s="3"/>
      <c r="H18" s="34">
        <f>SUMIFS('OB History'!C:C,'OB History'!B:B,A18)</f>
        <v>309</v>
      </c>
      <c r="I18" s="4">
        <f>AVERAGEIFS('OB History'!C:C,'OB History'!B:B,A18)</f>
        <v>13.434782608695652</v>
      </c>
      <c r="J18" s="35">
        <f t="array" ref="J18">MAX(IF('OB History'!B:B=A18, 'OB History'!C:C))</f>
        <v>29</v>
      </c>
      <c r="K18" s="34">
        <f>COUNTIFS('OB History'!B:B,A18,'OB History'!D:D, 1)</f>
        <v>9</v>
      </c>
      <c r="L18" s="2">
        <f>COUNTIFS('OB History'!B:B,A18,'OB History'!D:D, 0)</f>
        <v>14</v>
      </c>
      <c r="M18" s="88">
        <f>LOOKUP(2, 1/('OB History'!$B:$B=A18), 'OB History'!$AD:$AD)</f>
        <v>0.39130434782608697</v>
      </c>
      <c r="N18" s="34">
        <f>SUMIFS('OB History'!F:F,'OB History'!B:B,A18)</f>
        <v>46</v>
      </c>
      <c r="O18" s="2">
        <f>SUMIFS('OB History'!E:E,'OB History'!B:B,A18)-N18</f>
        <v>53</v>
      </c>
      <c r="P18" s="88">
        <f>LOOKUP(2, 1/('OB History'!$B:$B=A18), 'OB History'!$AB:$AB)</f>
        <v>0.46086956521739136</v>
      </c>
      <c r="Q18" s="34">
        <f>SUMIFS('OB History'!H:H,'OB History'!B:B,'Old Bow v2'!A18)</f>
        <v>192</v>
      </c>
      <c r="R18" s="2">
        <f>SUMIFS('OB History'!G:G,'OB History'!B:B,'Old Bow v2'!A18)-Q18</f>
        <v>207</v>
      </c>
      <c r="S18" s="88">
        <f>LOOKUP(2, 1/('OB History'!$B:$B=A18), 'OB History'!$AC:$AC)</f>
        <v>0.48130434782608705</v>
      </c>
      <c r="T18" s="2">
        <f>COUNTIFS('OB History'!$B:$B,$A$18,'OB History'!K:K, 1)</f>
        <v>1</v>
      </c>
      <c r="U18" s="2">
        <f>COUNTIFS('OB History'!$B:$B,$A$18,'OB History'!L:L, 1)</f>
        <v>3</v>
      </c>
      <c r="V18" s="2">
        <f>COUNTIFS('OB History'!$B:$B,$A$18,'OB History'!M:M, 1)</f>
        <v>2</v>
      </c>
      <c r="W18" s="2">
        <f>COUNTIFS('OB History'!$B:$B,$A$18,'OB History'!N:N, 1)</f>
        <v>7</v>
      </c>
      <c r="X18" s="2">
        <f>COUNTIFS('OB History'!$B:$B,$A$18,'OB History'!O:O, 1)</f>
        <v>0</v>
      </c>
      <c r="Y18" s="2">
        <f>COUNTIFS('OB History'!$B:$B,$A$18,'OB History'!P:P, 1)</f>
        <v>6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1</v>
      </c>
      <c r="AC18" s="2">
        <f>COUNTIFS('OB History'!$B:$B,$A$18,'OB History'!T:T, 1)</f>
        <v>1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3</v>
      </c>
      <c r="AG18" s="2">
        <f>COUNTIFS('OB History'!$B:$B,$A$18,'OB History'!X:X, 1)</f>
        <v>8</v>
      </c>
      <c r="AH18" s="2">
        <f>COUNTIFS('OB History'!$B:$B,$A$18,'OB History'!Y:Y, 1)</f>
        <v>6</v>
      </c>
      <c r="AI18" s="2">
        <f>COUNTIFS('OB History'!$B:$B,$A$18,'OB History'!Z:Z, 1)</f>
        <v>8</v>
      </c>
    </row>
    <row r="19" spans="1:35" x14ac:dyDescent="0.25">
      <c r="A19" s="2" t="s">
        <v>50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43</v>
      </c>
      <c r="I19" s="4">
        <f>AVERAGEIFS('OB History'!C:C,'OB History'!B:B,A19)</f>
        <v>14.333333333333334</v>
      </c>
      <c r="J19" s="35">
        <f t="array" ref="J19">MAX(IF('OB History'!B:B=A19, 'OB History'!C:C))</f>
        <v>17</v>
      </c>
      <c r="K19" s="34">
        <f>COUNTIFS('OB History'!B:B,A19,'OB History'!D:D, 1)</f>
        <v>0</v>
      </c>
      <c r="L19" s="2">
        <f>COUNTIFS('OB History'!B:B,A19,'OB History'!D:D, 0)</f>
        <v>3</v>
      </c>
      <c r="M19" s="88">
        <f>LOOKUP(2, 1/('OB History'!$B:$B=A19), 'OB History'!$AD:$AD)</f>
        <v>0</v>
      </c>
      <c r="N19" s="34">
        <f>SUMIFS('OB History'!F:F,'OB History'!B:B,A19)</f>
        <v>4</v>
      </c>
      <c r="O19" s="2">
        <f>SUMIFS('OB History'!E:E,'OB History'!B:B,A19)-N19</f>
        <v>9</v>
      </c>
      <c r="P19" s="88">
        <f>LOOKUP(2, 1/('OB History'!$B:$B=A19), 'OB History'!$AB:$AB)</f>
        <v>0.3</v>
      </c>
      <c r="Q19" s="34">
        <f>SUMIFS('OB History'!H:H,'OB History'!B:B,'Old Bow v2'!A19)</f>
        <v>24</v>
      </c>
      <c r="R19" s="2">
        <f>SUMIFS('OB History'!G:G,'OB History'!B:B,'Old Bow v2'!A19)-Q19</f>
        <v>32</v>
      </c>
      <c r="S19" s="88">
        <f>LOOKUP(2, 1/('OB History'!$B:$B=A19), 'OB History'!$AC:$AC)</f>
        <v>0.41666666666666669</v>
      </c>
      <c r="T19" s="2">
        <f>COUNTIFS('OB History'!$B:$B,$A$19,'OB History'!K:K, 1)</f>
        <v>1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2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0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2" t="s">
        <v>52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39</v>
      </c>
      <c r="I20" s="4">
        <f>AVERAGEIFS('OB History'!C:C,'OB History'!B:B,A20)</f>
        <v>19.5</v>
      </c>
      <c r="J20" s="35">
        <f t="array" ref="J20">MAX(IF('OB History'!B:B=A20, 'OB History'!C:C))</f>
        <v>34</v>
      </c>
      <c r="K20" s="34">
        <f>COUNTIFS('OB History'!B:B,A20,'OB History'!D:D, 1)</f>
        <v>0</v>
      </c>
      <c r="L20" s="2">
        <f>COUNTIFS('OB History'!B:B,A20,'OB History'!D:D, 0)</f>
        <v>2</v>
      </c>
      <c r="M20" s="88">
        <f>LOOKUP(2, 1/('OB History'!$B:$B=A20), 'OB History'!$AD:$AD)</f>
        <v>0</v>
      </c>
      <c r="N20" s="34">
        <f>SUMIFS('OB History'!F:F,'OB History'!B:B,A20)</f>
        <v>2</v>
      </c>
      <c r="O20" s="2">
        <f>SUMIFS('OB History'!E:E,'OB History'!B:B,A20)-N20</f>
        <v>6</v>
      </c>
      <c r="P20" s="88">
        <f>LOOKUP(2, 1/('OB History'!$B:$B=A20), 'OB History'!$AB:$AB)</f>
        <v>0.2</v>
      </c>
      <c r="Q20" s="34">
        <f>SUMIFS('OB History'!H:H,'OB History'!B:B,'Old Bow v2'!A20)</f>
        <v>12</v>
      </c>
      <c r="R20" s="2">
        <f>SUMIFS('OB History'!G:G,'OB History'!B:B,'Old Bow v2'!A20)-Q20</f>
        <v>22</v>
      </c>
      <c r="S20" s="88">
        <f>LOOKUP(2, 1/('OB History'!$B:$B=A20), 'OB History'!$AC:$AC)</f>
        <v>0.34499999999999997</v>
      </c>
      <c r="T20" s="2">
        <f>COUNTIFS('OB History'!$B:$B,$A$20,'OB History'!K:K, 1)</f>
        <v>0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1</v>
      </c>
      <c r="Z20" s="2">
        <f>COUNTIFS('OB History'!$B:$B,$A$20,'OB History'!Q:Q, 1)</f>
        <v>0</v>
      </c>
      <c r="AA20" s="2">
        <f>COUNTIFS('OB History'!$B:$B,$A$20,'OB History'!R:R, 1)</f>
        <v>0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0</v>
      </c>
      <c r="AG20" s="2">
        <f>COUNTIFS('OB History'!$B:$B,$A$20,'OB History'!X:X, 1)</f>
        <v>1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103</v>
      </c>
      <c r="I21" s="4">
        <f>AVERAGEIFS('OB History'!C:C,'OB History'!B:B,A21)</f>
        <v>14.714285714285714</v>
      </c>
      <c r="J21" s="35">
        <f t="array" ref="J21">MAX(IF('OB History'!B:B=A21, 'OB History'!C:C))</f>
        <v>28</v>
      </c>
      <c r="K21" s="34">
        <f>COUNTIFS('OB History'!B:B,A21,'OB History'!D:D, 1)</f>
        <v>7</v>
      </c>
      <c r="L21" s="2">
        <f>COUNTIFS('OB History'!B:B,A21,'OB History'!D:D, 0)</f>
        <v>0</v>
      </c>
      <c r="M21" s="88">
        <f>LOOKUP(2, 1/('OB History'!$B:$B=A21), 'OB History'!$AD:$AD)</f>
        <v>1</v>
      </c>
      <c r="N21" s="34">
        <f>SUMIFS('OB History'!F:F,'OB History'!B:B,A21)</f>
        <v>21</v>
      </c>
      <c r="O21" s="2">
        <f>SUMIFS('OB History'!E:E,'OB History'!B:B,A21)-N21</f>
        <v>5</v>
      </c>
      <c r="P21" s="88">
        <f>LOOKUP(2, 1/('OB History'!$B:$B=A21), 'OB History'!$AB:$AB)</f>
        <v>0.85</v>
      </c>
      <c r="Q21" s="34">
        <f>SUMIFS('OB History'!H:H,'OB History'!B:B,'Old Bow v2'!A21)</f>
        <v>70</v>
      </c>
      <c r="R21" s="2">
        <f>SUMIFS('OB History'!G:G,'OB History'!B:B,'Old Bow v2'!A21)-Q21</f>
        <v>39</v>
      </c>
      <c r="S21" s="88">
        <f>LOOKUP(2, 1/('OB History'!$B:$B=A21), 'OB History'!$AC:$AC)</f>
        <v>0.65857142857142847</v>
      </c>
      <c r="T21" s="2">
        <f>COUNTIFS('OB History'!$B:$B,$A$21,'OB History'!K:K, 1)</f>
        <v>0</v>
      </c>
      <c r="U21" s="2">
        <f>COUNTIFS('OB History'!$B:$B,$A$21,'OB History'!L:L, 1)</f>
        <v>2</v>
      </c>
      <c r="V21" s="2">
        <f>COUNTIFS('OB History'!$B:$B,$A$21,'OB History'!M:M, 1)</f>
        <v>2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2</v>
      </c>
      <c r="AG21" s="2">
        <f>COUNTIFS('OB History'!$B:$B,$A$21,'OB History'!X:X, 1)</f>
        <v>5</v>
      </c>
      <c r="AH21" s="2">
        <f>COUNTIFS('OB History'!$B:$B,$A$21,'OB History'!Y:Y, 1)</f>
        <v>4</v>
      </c>
      <c r="AI21" s="2">
        <f>COUNTIFS('OB History'!$B:$B,$A$21,'OB History'!Z:Z, 1)</f>
        <v>2</v>
      </c>
    </row>
    <row r="22" spans="1:35" x14ac:dyDescent="0.25">
      <c r="A22" s="2" t="s">
        <v>1</v>
      </c>
      <c r="B22" s="6" t="s">
        <v>124</v>
      </c>
      <c r="C22" s="2" t="s">
        <v>79</v>
      </c>
      <c r="D22" s="3"/>
      <c r="E22" s="3"/>
      <c r="F22" s="3"/>
      <c r="G22" s="3"/>
      <c r="H22" s="34">
        <f>SUMIFS('OB History'!C:C,'OB History'!B:B,A22)</f>
        <v>309</v>
      </c>
      <c r="I22" s="4">
        <f>AVERAGEIFS('OB History'!C:C,'OB History'!B:B,A22)</f>
        <v>23.76923076923077</v>
      </c>
      <c r="J22" s="35">
        <f t="array" ref="J22">MAX(IF('OB History'!B:B=A22, 'OB History'!C:C))</f>
        <v>37</v>
      </c>
      <c r="K22" s="34">
        <f>COUNTIFS('OB History'!B:B,A22,'OB History'!D:D, 1)</f>
        <v>8</v>
      </c>
      <c r="L22" s="2">
        <f>COUNTIFS('OB History'!B:B,A22,'OB History'!D:D, 0)</f>
        <v>5</v>
      </c>
      <c r="M22" s="88">
        <f>LOOKUP(2, 1/('OB History'!$B:$B=A22), 'OB History'!$AD:$AD)</f>
        <v>0.61538461538461542</v>
      </c>
      <c r="N22" s="34">
        <f>SUMIFS('OB History'!F:F,'OB History'!B:B,A22)</f>
        <v>30</v>
      </c>
      <c r="O22" s="2">
        <f>SUMIFS('OB History'!E:E,'OB History'!B:B,A22)-N22</f>
        <v>26</v>
      </c>
      <c r="P22" s="88">
        <f>LOOKUP(2, 1/('OB History'!$B:$B=A22), 'OB History'!$AB:$AB)</f>
        <v>0.5346153846153846</v>
      </c>
      <c r="Q22" s="34">
        <f>SUMIFS('OB History'!H:H,'OB History'!B:B,'Old Bow v2'!A22)</f>
        <v>116</v>
      </c>
      <c r="R22" s="2">
        <f>SUMIFS('OB History'!G:G,'OB History'!B:B,'Old Bow v2'!A22)-Q22</f>
        <v>117</v>
      </c>
      <c r="S22" s="88">
        <f>LOOKUP(2, 1/('OB History'!$B:$B=A22), 'OB History'!$AC:$AC)</f>
        <v>0.49230769230769234</v>
      </c>
      <c r="T22" s="2">
        <f>COUNTIFS('OB History'!$B:$B,$A$22,'OB History'!K:K, 1)</f>
        <v>0</v>
      </c>
      <c r="U22" s="2">
        <f>COUNTIFS('OB History'!$B:$B,$A$22,'OB History'!L:L, 1)</f>
        <v>3</v>
      </c>
      <c r="V22" s="2">
        <f>COUNTIFS('OB History'!$B:$B,$A$22,'OB History'!M:M, 1)</f>
        <v>4</v>
      </c>
      <c r="W22" s="2">
        <f>COUNTIFS('OB History'!$B:$B,$A$22,'OB History'!N:N, 1)</f>
        <v>1</v>
      </c>
      <c r="X22" s="2">
        <f>COUNTIFS('OB History'!$B:$B,$A$22,'OB History'!O:O, 1)</f>
        <v>2</v>
      </c>
      <c r="Y22" s="2">
        <f>COUNTIFS('OB History'!$B:$B,$A$22,'OB History'!P:P, 1)</f>
        <v>2</v>
      </c>
      <c r="Z22" s="2">
        <f>COUNTIFS('OB History'!$B:$B,$A$22,'OB History'!Q:Q, 1)</f>
        <v>0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4</v>
      </c>
      <c r="AG22" s="2">
        <f>COUNTIFS('OB History'!$B:$B,$A$22,'OB History'!X:X, 1)</f>
        <v>4</v>
      </c>
      <c r="AH22" s="2">
        <f>COUNTIFS('OB History'!$B:$B,$A$22,'OB History'!Y:Y, 1)</f>
        <v>4</v>
      </c>
      <c r="AI22" s="2">
        <f>COUNTIFS('OB History'!$B:$B,$A$22,'OB History'!Z:Z, 1)</f>
        <v>5</v>
      </c>
    </row>
    <row r="23" spans="1:35" x14ac:dyDescent="0.25">
      <c r="A23" s="2" t="s">
        <v>150</v>
      </c>
      <c r="B23" s="6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257</v>
      </c>
      <c r="I23" s="4">
        <f>AVERAGEIFS('OB History'!C:C,'OB History'!B:B,A23)</f>
        <v>18.357142857142858</v>
      </c>
      <c r="J23" s="35">
        <f t="array" ref="J23">MAX(IF('OB History'!B:B=A23, 'OB History'!C:C))</f>
        <v>41</v>
      </c>
      <c r="K23" s="34">
        <f>COUNTIFS('OB History'!B:B,A23,'OB History'!D:D, 1)</f>
        <v>10</v>
      </c>
      <c r="L23" s="2">
        <f>COUNTIFS('OB History'!B:B,A23,'OB History'!D:D, 0)</f>
        <v>4</v>
      </c>
      <c r="M23" s="88">
        <f>LOOKUP(2, 1/('OB History'!$B:$B=A23), 'OB History'!$AD:$AD)</f>
        <v>0.7142857142857143</v>
      </c>
      <c r="N23" s="34">
        <f>SUMIFS('OB History'!F:F,'OB History'!B:B,A23)</f>
        <v>35</v>
      </c>
      <c r="O23" s="2">
        <f>SUMIFS('OB History'!E:E,'OB History'!B:B,A23)-N23</f>
        <v>21</v>
      </c>
      <c r="P23" s="88">
        <f>LOOKUP(2, 1/('OB History'!$B:$B=A23), 'OB History'!$AB:$AB)</f>
        <v>0.6607142857142857</v>
      </c>
      <c r="Q23" s="34">
        <f>SUMIFS('OB History'!H:H,'OB History'!B:B,'Old Bow v2'!A23)</f>
        <v>134</v>
      </c>
      <c r="R23" s="2">
        <f>SUMIFS('OB History'!G:G,'OB History'!B:B,'Old Bow v2'!A23)-Q23</f>
        <v>93</v>
      </c>
      <c r="S23" s="88">
        <f>LOOKUP(2, 1/('OB History'!$B:$B=A23), 'OB History'!$AC:$AC)</f>
        <v>0.60285714285714265</v>
      </c>
      <c r="T23" s="2">
        <f>COUNTIFS('OB History'!$B:$B,$A$23,'OB History'!K:K, 1)</f>
        <v>1</v>
      </c>
      <c r="U23" s="2">
        <f>COUNTIFS('OB History'!$B:$B,$A$23,'OB History'!L:L, 1)</f>
        <v>2</v>
      </c>
      <c r="V23" s="2">
        <f>COUNTIFS('OB History'!$B:$B,$A$23,'OB History'!M:M, 1)</f>
        <v>2</v>
      </c>
      <c r="W23" s="2">
        <f>COUNTIFS('OB History'!$B:$B,$A$23,'OB History'!N:N, 1)</f>
        <v>3</v>
      </c>
      <c r="X23" s="2">
        <f>COUNTIFS('OB History'!$B:$B,$A$23,'OB History'!O:O, 1)</f>
        <v>0</v>
      </c>
      <c r="Y23" s="2">
        <f>COUNTIFS('OB History'!$B:$B,$A$23,'OB History'!P:P, 1)</f>
        <v>4</v>
      </c>
      <c r="Z23" s="2">
        <f>COUNTIFS('OB History'!$B:$B,$A$23,'OB History'!Q:Q, 1)</f>
        <v>1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1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6</v>
      </c>
      <c r="AH23" s="2">
        <f>COUNTIFS('OB History'!$B:$B,$A$23,'OB History'!Y:Y, 1)</f>
        <v>7</v>
      </c>
      <c r="AI23" s="2">
        <f>COUNTIFS('OB History'!$B:$B,$A$23,'OB History'!Z:Z, 1)</f>
        <v>3</v>
      </c>
    </row>
    <row r="24" spans="1:35" x14ac:dyDescent="0.25">
      <c r="A24" s="2" t="s">
        <v>29</v>
      </c>
      <c r="B24" s="6" t="s">
        <v>171</v>
      </c>
      <c r="C24" s="2" t="s">
        <v>79</v>
      </c>
      <c r="D24" s="3">
        <v>1</v>
      </c>
      <c r="E24" s="3"/>
      <c r="F24" s="3"/>
      <c r="G24" s="3"/>
      <c r="H24" s="34">
        <f>SUMIFS('OB History'!C:C,'OB History'!B:B,A24)</f>
        <v>520</v>
      </c>
      <c r="I24" s="4">
        <f>AVERAGEIFS('OB History'!C:C,'OB History'!B:B,A24)</f>
        <v>10.833333333333334</v>
      </c>
      <c r="J24" s="35">
        <f t="array" ref="J24">MAX(IF('OB History'!B:B=A24, 'OB History'!C:C))</f>
        <v>21</v>
      </c>
      <c r="K24" s="34">
        <f>COUNTIFS('OB History'!B:B,A24,'OB History'!D:D, 1)</f>
        <v>22</v>
      </c>
      <c r="L24" s="2">
        <f>COUNTIFS('OB History'!B:B,A24,'OB History'!D:D, 0)</f>
        <v>26</v>
      </c>
      <c r="M24" s="88">
        <f>LOOKUP(2, 1/('OB History'!$B:$B=A24), 'OB History'!$AD:$AD)</f>
        <v>0.45833333333333331</v>
      </c>
      <c r="N24" s="34">
        <f>SUMIFS('OB History'!F:F,'OB History'!B:B,A24)</f>
        <v>94</v>
      </c>
      <c r="O24" s="2">
        <f>SUMIFS('OB History'!E:E,'OB History'!B:B,A24)-N24</f>
        <v>99</v>
      </c>
      <c r="P24" s="88">
        <f>LOOKUP(2, 1/('OB History'!$B:$B=A24), 'OB History'!$AB:$AB)</f>
        <v>0.48125000000000001</v>
      </c>
      <c r="Q24" s="34">
        <f>SUMIFS('OB History'!H:H,'OB History'!B:B,'Old Bow v2'!A24)</f>
        <v>401</v>
      </c>
      <c r="R24" s="2">
        <f>SUMIFS('OB History'!G:G,'OB History'!B:B,'Old Bow v2'!A24)-Q24</f>
        <v>401</v>
      </c>
      <c r="S24" s="88">
        <f>LOOKUP(2, 1/('OB History'!$B:$B=A24), 'OB History'!$AC:$AC)</f>
        <v>0.50458333333333327</v>
      </c>
      <c r="T24" s="2">
        <f>COUNTIFS('OB History'!$B:$B,$A$24,'OB History'!K:K, 1)</f>
        <v>6</v>
      </c>
      <c r="U24" s="2">
        <f>COUNTIFS('OB History'!$B:$B,$A$24,'OB History'!L:L, 1)</f>
        <v>8</v>
      </c>
      <c r="V24" s="2">
        <f>COUNTIFS('OB History'!$B:$B,$A$24,'OB History'!M:M, 1)</f>
        <v>2</v>
      </c>
      <c r="W24" s="2">
        <f>COUNTIFS('OB History'!$B:$B,$A$24,'OB History'!N:N, 1)</f>
        <v>12</v>
      </c>
      <c r="X24" s="2">
        <f>COUNTIFS('OB History'!$B:$B,$A$24,'OB History'!O:O, 1)</f>
        <v>4</v>
      </c>
      <c r="Y24" s="2">
        <f>COUNTIFS('OB History'!$B:$B,$A$24,'OB History'!P:P, 1)</f>
        <v>8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3</v>
      </c>
      <c r="AF24" s="2">
        <f>COUNTIFS('OB History'!$B:$B,$A$24,'OB History'!W:W, 1)</f>
        <v>14</v>
      </c>
      <c r="AG24" s="2">
        <f>COUNTIFS('OB History'!$B:$B,$A$24,'OB History'!X:X, 1)</f>
        <v>15</v>
      </c>
      <c r="AH24" s="2">
        <f>COUNTIFS('OB History'!$B:$B,$A$24,'OB History'!Y:Y, 1)</f>
        <v>10</v>
      </c>
      <c r="AI24" s="2">
        <f>COUNTIFS('OB History'!$B:$B,$A$24,'OB History'!Z:Z, 1)</f>
        <v>10</v>
      </c>
    </row>
    <row r="25" spans="1:35" x14ac:dyDescent="0.25">
      <c r="A25" s="2" t="s">
        <v>46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183</v>
      </c>
      <c r="I25" s="4">
        <f>AVERAGEIFS('OB History'!C:C,'OB History'!B:B,A25)</f>
        <v>20.333333333333332</v>
      </c>
      <c r="J25" s="35">
        <f t="array" ref="J25">MAX(IF('OB History'!B:B=A25, 'OB History'!C:C))</f>
        <v>36</v>
      </c>
      <c r="K25" s="34">
        <f>COUNTIFS('OB History'!B:B,A25,'OB History'!D:D, 1)</f>
        <v>4</v>
      </c>
      <c r="L25" s="2">
        <f>COUNTIFS('OB History'!B:B,A25,'OB History'!D:D, 0)</f>
        <v>5</v>
      </c>
      <c r="M25" s="88">
        <f>LOOKUP(2, 1/('OB History'!$B:$B=A25), 'OB History'!$AD:$AD)</f>
        <v>0.44444444444444442</v>
      </c>
      <c r="N25" s="34">
        <f>SUMIFS('OB History'!F:F,'OB History'!B:B,A25)</f>
        <v>16</v>
      </c>
      <c r="O25" s="2">
        <f>SUMIFS('OB History'!E:E,'OB History'!B:B,A25)-N25</f>
        <v>20</v>
      </c>
      <c r="P25" s="88">
        <f>LOOKUP(2, 1/('OB History'!$B:$B=A25), 'OB History'!$AB:$AB)</f>
        <v>0.41666666666666669</v>
      </c>
      <c r="Q25" s="34">
        <f>SUMIFS('OB History'!H:H,'OB History'!B:B,'Old Bow v2'!A25)</f>
        <v>70</v>
      </c>
      <c r="R25" s="2">
        <f>SUMIFS('OB History'!G:G,'OB History'!B:B,'Old Bow v2'!A25)-Q25</f>
        <v>83</v>
      </c>
      <c r="S25" s="88">
        <f>LOOKUP(2, 1/('OB History'!$B:$B=A25), 'OB History'!$AC:$AC)</f>
        <v>0.44999999999999996</v>
      </c>
      <c r="T25" s="2">
        <f>COUNTIFS('OB History'!$B:$B,$A$25,'OB History'!K:K, 1)</f>
        <v>0</v>
      </c>
      <c r="U25" s="2">
        <f>COUNTIFS('OB History'!$B:$B,$A$25,'OB History'!L:L, 1)</f>
        <v>1</v>
      </c>
      <c r="V25" s="2">
        <f>COUNTIFS('OB History'!$B:$B,$A$25,'OB History'!M:M, 1)</f>
        <v>1</v>
      </c>
      <c r="W25" s="2">
        <f>COUNTIFS('OB History'!$B:$B,$A$25,'OB History'!N:N, 1)</f>
        <v>1</v>
      </c>
      <c r="X25" s="2">
        <f>COUNTIFS('OB History'!$B:$B,$A$25,'OB History'!O:O, 1)</f>
        <v>0</v>
      </c>
      <c r="Y25" s="2">
        <f>COUNTIFS('OB History'!$B:$B,$A$25,'OB History'!P:P, 1)</f>
        <v>5</v>
      </c>
      <c r="Z25" s="2">
        <f>COUNTIFS('OB History'!$B:$B,$A$25,'OB History'!Q:Q, 1)</f>
        <v>0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0</v>
      </c>
      <c r="AF25" s="2">
        <f>COUNTIFS('OB History'!$B:$B,$A$25,'OB History'!W:W, 1)</f>
        <v>1</v>
      </c>
      <c r="AG25" s="2">
        <f>COUNTIFS('OB History'!$B:$B,$A$25,'OB History'!X:X, 1)</f>
        <v>3</v>
      </c>
      <c r="AH25" s="2">
        <f>COUNTIFS('OB History'!$B:$B,$A$25,'OB History'!Y:Y, 1)</f>
        <v>1</v>
      </c>
      <c r="AI25" s="2">
        <f>COUNTIFS('OB History'!$B:$B,$A$25,'OB History'!Z:Z, 1)</f>
        <v>2</v>
      </c>
    </row>
    <row r="26" spans="1:35" x14ac:dyDescent="0.25">
      <c r="A26" s="2" t="s">
        <v>139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186</v>
      </c>
      <c r="I26" s="4">
        <f>AVERAGEIFS('OB History'!C:C,'OB History'!B:B,A26)</f>
        <v>10.333333333333334</v>
      </c>
      <c r="J26" s="35">
        <f t="array" ref="J26">MAX(IF('OB History'!B:B=A26, 'OB History'!C:C))</f>
        <v>17</v>
      </c>
      <c r="K26" s="34">
        <f>COUNTIFS('OB History'!B:B,A26,'OB History'!D:D, 1)</f>
        <v>11</v>
      </c>
      <c r="L26" s="2">
        <f>COUNTIFS('OB History'!B:B,A26,'OB History'!D:D, 0)</f>
        <v>7</v>
      </c>
      <c r="M26" s="88">
        <f>LOOKUP(2, 1/('OB History'!$B:$B=A26), 'OB History'!$AD:$AD)</f>
        <v>0.61111111111111116</v>
      </c>
      <c r="N26" s="34">
        <f>SUMIFS('OB History'!F:F,'OB History'!B:B,A26)</f>
        <v>40</v>
      </c>
      <c r="O26" s="2">
        <f>SUMIFS('OB History'!E:E,'OB History'!B:B,A26)-N26</f>
        <v>36</v>
      </c>
      <c r="P26" s="88">
        <f>LOOKUP(2, 1/('OB History'!$B:$B=A26), 'OB History'!$AB:$AB)</f>
        <v>0.51666666666666661</v>
      </c>
      <c r="Q26" s="34">
        <f>SUMIFS('OB History'!H:H,'OB History'!B:B,'Old Bow v2'!A26)</f>
        <v>162</v>
      </c>
      <c r="R26" s="2">
        <f>SUMIFS('OB History'!G:G,'OB History'!B:B,'Old Bow v2'!A26)-Q26</f>
        <v>148</v>
      </c>
      <c r="S26" s="88">
        <f>LOOKUP(2, 1/('OB History'!$B:$B=A26), 'OB History'!$AC:$AC)</f>
        <v>0.52222222222222214</v>
      </c>
      <c r="T26" s="2">
        <f>COUNTIFS('OB History'!$B:$B,$A$26,'OB History'!K:K, 1)</f>
        <v>1</v>
      </c>
      <c r="U26" s="2">
        <f>COUNTIFS('OB History'!$B:$B,$A$26,'OB History'!L:L, 1)</f>
        <v>4</v>
      </c>
      <c r="V26" s="2">
        <f>COUNTIFS('OB History'!$B:$B,$A$26,'OB History'!M:M, 1)</f>
        <v>1</v>
      </c>
      <c r="W26" s="2">
        <f>COUNTIFS('OB History'!$B:$B,$A$26,'OB History'!N:N, 1)</f>
        <v>4</v>
      </c>
      <c r="X26" s="2">
        <f>COUNTIFS('OB History'!$B:$B,$A$26,'OB History'!O:O, 1)</f>
        <v>0</v>
      </c>
      <c r="Y26" s="2">
        <f>COUNTIFS('OB History'!$B:$B,$A$26,'OB History'!P:P, 1)</f>
        <v>3</v>
      </c>
      <c r="Z26" s="2">
        <f>COUNTIFS('OB History'!$B:$B,$A$26,'OB History'!Q:Q, 1)</f>
        <v>2</v>
      </c>
      <c r="AA26" s="2">
        <f>COUNTIFS('OB History'!$B:$B,$A$26,'OB History'!R:R, 1)</f>
        <v>3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2</v>
      </c>
      <c r="AF26" s="2">
        <f>COUNTIFS('OB History'!$B:$B,$A$26,'OB History'!W:W, 1)</f>
        <v>0</v>
      </c>
      <c r="AG26" s="2">
        <f>COUNTIFS('OB History'!$B:$B,$A$26,'OB History'!X:X, 1)</f>
        <v>10</v>
      </c>
      <c r="AH26" s="2">
        <f>COUNTIFS('OB History'!$B:$B,$A$26,'OB History'!Y:Y, 1)</f>
        <v>4</v>
      </c>
      <c r="AI26" s="2">
        <f>COUNTIFS('OB History'!$B:$B,$A$26,'OB History'!Z:Z, 1)</f>
        <v>6</v>
      </c>
    </row>
    <row r="27" spans="1:35" x14ac:dyDescent="0.25">
      <c r="A27" s="2" t="s">
        <v>28</v>
      </c>
      <c r="B27" s="6" t="s">
        <v>60</v>
      </c>
      <c r="C27" s="2" t="s">
        <v>79</v>
      </c>
      <c r="D27" s="3">
        <v>1</v>
      </c>
      <c r="E27" s="3"/>
      <c r="F27" s="3"/>
      <c r="G27" s="3"/>
      <c r="H27" s="34">
        <f>SUMIFS('OB History'!C:C,'OB History'!B:B,A27)</f>
        <v>355</v>
      </c>
      <c r="I27" s="4">
        <f>AVERAGEIFS('OB History'!C:C,'OB History'!B:B,A27)</f>
        <v>15.434782608695652</v>
      </c>
      <c r="J27" s="35">
        <f t="array" ref="J27">MAX(IF('OB History'!B:B=A27, 'OB History'!C:C))</f>
        <v>43</v>
      </c>
      <c r="K27" s="34">
        <f>COUNTIFS('OB History'!B:B,A27,'OB History'!D:D, 1)</f>
        <v>9</v>
      </c>
      <c r="L27" s="2">
        <f>COUNTIFS('OB History'!B:B,A27,'OB History'!D:D, 0)</f>
        <v>14</v>
      </c>
      <c r="M27" s="88">
        <f>LOOKUP(2, 1/('OB History'!$B:$B=A27), 'OB History'!$AD:$AD)</f>
        <v>0.39130434782608697</v>
      </c>
      <c r="N27" s="34">
        <f>SUMIFS('OB History'!F:F,'OB History'!B:B,A27)</f>
        <v>42</v>
      </c>
      <c r="O27" s="2">
        <f>SUMIFS('OB History'!E:E,'OB History'!B:B,A27)-N27</f>
        <v>56</v>
      </c>
      <c r="P27" s="88">
        <f>LOOKUP(2, 1/('OB History'!$B:$B=A27), 'OB History'!$AB:$AB)</f>
        <v>0.40217391304347827</v>
      </c>
      <c r="Q27" s="34">
        <f>SUMIFS('OB History'!H:H,'OB History'!B:B,'Old Bow v2'!A27)</f>
        <v>192</v>
      </c>
      <c r="R27" s="2">
        <f>SUMIFS('OB History'!G:G,'OB History'!B:B,'Old Bow v2'!A27)-Q27</f>
        <v>218</v>
      </c>
      <c r="S27" s="88">
        <f>LOOKUP(2, 1/('OB History'!$B:$B=A27), 'OB History'!$AC:$AC)</f>
        <v>0.45521739130434791</v>
      </c>
      <c r="T27" s="2">
        <f>COUNTIFS('OB History'!$B:$B,$A$27,'OB History'!K:K, 1)</f>
        <v>5</v>
      </c>
      <c r="U27" s="2">
        <f>COUNTIFS('OB History'!$B:$B,$A$27,'OB History'!L:L, 1)</f>
        <v>2</v>
      </c>
      <c r="V27" s="2">
        <f>COUNTIFS('OB History'!$B:$B,$A$27,'OB History'!M:M, 1)</f>
        <v>1</v>
      </c>
      <c r="W27" s="2">
        <f>COUNTIFS('OB History'!$B:$B,$A$27,'OB History'!N:N, 1)</f>
        <v>2</v>
      </c>
      <c r="X27" s="2">
        <f>COUNTIFS('OB History'!$B:$B,$A$27,'OB History'!O:O, 1)</f>
        <v>2</v>
      </c>
      <c r="Y27" s="2">
        <f>COUNTIFS('OB History'!$B:$B,$A$27,'OB History'!P:P, 1)</f>
        <v>4</v>
      </c>
      <c r="Z27" s="2">
        <f>COUNTIFS('OB History'!$B:$B,$A$27,'OB History'!Q:Q, 1)</f>
        <v>2</v>
      </c>
      <c r="AA27" s="2">
        <f>COUNTIFS('OB History'!$B:$B,$A$27,'OB History'!R:R, 1)</f>
        <v>1</v>
      </c>
      <c r="AB27" s="2">
        <f>COUNTIFS('OB History'!$B:$B,$A$27,'OB History'!S:S, 1)</f>
        <v>1</v>
      </c>
      <c r="AC27" s="2">
        <f>COUNTIFS('OB History'!$B:$B,$A$27,'OB History'!T:T, 1)</f>
        <v>0</v>
      </c>
      <c r="AD27" s="2">
        <f>COUNTIFS('OB History'!$B:$B,$A$27,'OB History'!U:U, 1)</f>
        <v>1</v>
      </c>
      <c r="AE27" s="2">
        <f>COUNTIFS('OB History'!$B:$B,$A$27,'OB History'!V:V, 1)</f>
        <v>1</v>
      </c>
      <c r="AF27" s="2">
        <f>COUNTIFS('OB History'!$B:$B,$A$27,'OB History'!W:W, 1)</f>
        <v>1</v>
      </c>
      <c r="AG27" s="2">
        <f>COUNTIFS('OB History'!$B:$B,$A$27,'OB History'!X:X, 1)</f>
        <v>8</v>
      </c>
      <c r="AH27" s="2">
        <f>COUNTIFS('OB History'!$B:$B,$A$27,'OB History'!Y:Y, 1)</f>
        <v>2</v>
      </c>
      <c r="AI27" s="2">
        <f>COUNTIFS('OB History'!$B:$B,$A$27,'OB History'!Z:Z, 1)</f>
        <v>9</v>
      </c>
    </row>
    <row r="28" spans="1:35" x14ac:dyDescent="0.25">
      <c r="A28" s="2" t="s">
        <v>53</v>
      </c>
      <c r="B28" s="6" t="s">
        <v>60</v>
      </c>
      <c r="C28" s="6" t="s">
        <v>79</v>
      </c>
      <c r="D28" s="3"/>
      <c r="E28" s="3"/>
      <c r="F28" s="3"/>
      <c r="G28" s="3"/>
      <c r="H28" s="34">
        <f>SUMIFS('OB History'!C:C,'OB History'!B:B,A28)</f>
        <v>43</v>
      </c>
      <c r="I28" s="4">
        <f>AVERAGEIFS('OB History'!C:C,'OB History'!B:B,A28)</f>
        <v>14.333333333333334</v>
      </c>
      <c r="J28" s="35">
        <f t="array" ref="J28">MAX(IF('OB History'!B:B=A28, 'OB History'!C:C))</f>
        <v>25</v>
      </c>
      <c r="K28" s="34">
        <f>COUNTIFS('OB History'!B:B,A28,'OB History'!D:D, 1)</f>
        <v>2</v>
      </c>
      <c r="L28" s="2">
        <f>COUNTIFS('OB History'!B:B,A28,'OB History'!D:D, 0)</f>
        <v>1</v>
      </c>
      <c r="M28" s="88">
        <f>LOOKUP(2, 1/('OB History'!$B:$B=A28), 'OB History'!$AD:$AD)</f>
        <v>0.66666666666666663</v>
      </c>
      <c r="N28" s="34">
        <f>SUMIFS('OB History'!F:F,'OB History'!B:B,A28)</f>
        <v>6</v>
      </c>
      <c r="O28" s="2">
        <f>SUMIFS('OB History'!E:E,'OB History'!B:B,A28)-N28</f>
        <v>7</v>
      </c>
      <c r="P28" s="88">
        <f>LOOKUP(2, 1/('OB History'!$B:$B=A28), 'OB History'!$AB:$AB)</f>
        <v>0.39999999999999997</v>
      </c>
      <c r="Q28" s="34">
        <f>SUMIFS('OB History'!H:H,'OB History'!B:B,'Old Bow v2'!A28)</f>
        <v>27</v>
      </c>
      <c r="R28" s="2">
        <f>SUMIFS('OB History'!G:G,'OB History'!B:B,'Old Bow v2'!A28)-Q28</f>
        <v>26</v>
      </c>
      <c r="S28" s="88">
        <f>LOOKUP(2, 1/('OB History'!$B:$B=A28), 'OB History'!$AC:$AC)</f>
        <v>0.48666666666666664</v>
      </c>
      <c r="T28" s="2">
        <f>COUNTIFS('OB History'!$B:$B,$A$28,'OB History'!K:K, 1)</f>
        <v>0</v>
      </c>
      <c r="U28" s="2">
        <f>COUNTIFS('OB History'!$B:$B,$A$28,'OB History'!L:L, 1)</f>
        <v>0</v>
      </c>
      <c r="V28" s="2">
        <f>COUNTIFS('OB History'!$B:$B,$A$28,'OB History'!M:M, 1)</f>
        <v>0</v>
      </c>
      <c r="W28" s="2">
        <f>COUNTIFS('OB History'!$B:$B,$A$28,'OB History'!N:N, 1)</f>
        <v>1</v>
      </c>
      <c r="X28" s="2">
        <f>COUNTIFS('OB History'!$B:$B,$A$28,'OB History'!O:O, 1)</f>
        <v>2</v>
      </c>
      <c r="Y28" s="2">
        <f>COUNTIFS('OB History'!$B:$B,$A$28,'OB History'!P:P, 1)</f>
        <v>1</v>
      </c>
      <c r="Z28" s="2">
        <f>COUNTIFS('OB History'!$B:$B,$A$28,'OB History'!Q:Q, 1)</f>
        <v>2</v>
      </c>
      <c r="AA28" s="2">
        <f>COUNTIFS('OB History'!$B:$B,$A$28,'OB History'!R:R, 1)</f>
        <v>0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0</v>
      </c>
      <c r="AF28" s="2">
        <f>COUNTIFS('OB History'!$B:$B,$A$28,'OB History'!W:W, 1)</f>
        <v>0</v>
      </c>
      <c r="AG28" s="2">
        <f>COUNTIFS('OB History'!$B:$B,$A$28,'OB History'!X:X, 1)</f>
        <v>0</v>
      </c>
      <c r="AH28" s="2">
        <f>COUNTIFS('OB History'!$B:$B,$A$28,'OB History'!Y:Y, 1)</f>
        <v>0</v>
      </c>
      <c r="AI28" s="2">
        <f>COUNTIFS('OB History'!$B:$B,$A$28,'OB History'!Z:Z, 1)</f>
        <v>0</v>
      </c>
    </row>
    <row r="29" spans="1:35" x14ac:dyDescent="0.25">
      <c r="A29" s="2" t="s">
        <v>51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180</v>
      </c>
      <c r="I29" s="4">
        <f>AVERAGEIFS('OB History'!C:C,'OB History'!B:B,A29)</f>
        <v>13.846153846153847</v>
      </c>
      <c r="J29" s="35">
        <f t="array" ref="J29">MAX(IF('OB History'!B:B=A29, 'OB History'!C:C))</f>
        <v>22</v>
      </c>
      <c r="K29" s="34">
        <f>COUNTIFS('OB History'!B:B,A29,'OB History'!D:D, 1)</f>
        <v>7</v>
      </c>
      <c r="L29" s="2">
        <f>COUNTIFS('OB History'!B:B,A29,'OB History'!D:D, 0)</f>
        <v>6</v>
      </c>
      <c r="M29" s="88">
        <f>LOOKUP(2, 1/('OB History'!$B:$B=A29), 'OB History'!$AD:$AD)</f>
        <v>0.53846153846153844</v>
      </c>
      <c r="N29" s="34">
        <f>SUMIFS('OB History'!F:F,'OB History'!B:B,A29)</f>
        <v>29</v>
      </c>
      <c r="O29" s="2">
        <f>SUMIFS('OB History'!E:E,'OB History'!B:B,A29)-N29</f>
        <v>26</v>
      </c>
      <c r="P29" s="88">
        <f>LOOKUP(2, 1/('OB History'!$B:$B=A29), 'OB History'!$AB:$AB)</f>
        <v>0.53846153846153855</v>
      </c>
      <c r="Q29" s="34">
        <f>SUMIFS('OB History'!H:H,'OB History'!B:B,'Old Bow v2'!A29)</f>
        <v>111</v>
      </c>
      <c r="R29" s="2">
        <f>SUMIFS('OB History'!G:G,'OB History'!B:B,'Old Bow v2'!A29)-Q29</f>
        <v>111</v>
      </c>
      <c r="S29" s="88">
        <f>LOOKUP(2, 1/('OB History'!$B:$B=A29), 'OB History'!$AC:$AC)</f>
        <v>0.50461538461538469</v>
      </c>
      <c r="T29" s="2">
        <f>COUNTIFS('OB History'!$B:$B,$A$29,'OB History'!K:K, 1)</f>
        <v>4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3</v>
      </c>
      <c r="X29" s="2">
        <f>COUNTIFS('OB History'!$B:$B,$A$29,'OB History'!O:O, 1)</f>
        <v>0</v>
      </c>
      <c r="Y29" s="2">
        <f>COUNTIFS('OB History'!$B:$B,$A$29,'OB History'!P:P, 1)</f>
        <v>3</v>
      </c>
      <c r="Z29" s="2">
        <f>COUNTIFS('OB History'!$B:$B,$A$29,'OB History'!Q:Q, 1)</f>
        <v>0</v>
      </c>
      <c r="AA29" s="2">
        <f>COUNTIFS('OB History'!$B:$B,$A$29,'OB History'!R:R, 1)</f>
        <v>1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5</v>
      </c>
      <c r="AG29" s="2">
        <f>COUNTIFS('OB History'!$B:$B,$A$29,'OB History'!X:X, 1)</f>
        <v>4</v>
      </c>
      <c r="AH29" s="2">
        <f>COUNTIFS('OB History'!$B:$B,$A$29,'OB History'!Y:Y, 1)</f>
        <v>3</v>
      </c>
      <c r="AI29" s="2">
        <f>COUNTIFS('OB History'!$B:$B,$A$29,'OB History'!Z:Z, 1)</f>
        <v>3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3"/>
      <c r="E30" s="3"/>
      <c r="F30" s="3"/>
      <c r="G30" s="3"/>
      <c r="H30" s="34">
        <f>SUMIFS('OB History'!C:C,'OB History'!B:B,A30)</f>
        <v>463</v>
      </c>
      <c r="I30" s="4">
        <f>AVERAGEIFS('OB History'!C:C,'OB History'!B:B,A30)</f>
        <v>14.46875</v>
      </c>
      <c r="J30" s="35">
        <f t="array" ref="J30">MAX(IF('OB History'!B:B=A30, 'OB History'!C:C))</f>
        <v>37</v>
      </c>
      <c r="K30" s="34">
        <f>COUNTIFS('OB History'!B:B,A30,'OB History'!D:D, 1)</f>
        <v>13</v>
      </c>
      <c r="L30" s="2">
        <f>COUNTIFS('OB History'!B:B,A30,'OB History'!D:D, 0)</f>
        <v>19</v>
      </c>
      <c r="M30" s="88">
        <f>LOOKUP(2, 1/('OB History'!$B:$B=A30), 'OB History'!$AD:$AD)</f>
        <v>0.40625</v>
      </c>
      <c r="N30" s="34">
        <f>SUMIFS('OB History'!F:F,'OB History'!B:B,A30)</f>
        <v>66</v>
      </c>
      <c r="O30" s="2">
        <f>SUMIFS('OB History'!E:E,'OB History'!B:B,A30)-N30</f>
        <v>70</v>
      </c>
      <c r="P30" s="88">
        <f>LOOKUP(2, 1/('OB History'!$B:$B=A30), 'OB History'!$AB:$AB)</f>
        <v>0.49062500000000003</v>
      </c>
      <c r="Q30" s="34">
        <f>SUMIFS('OB History'!H:H,'OB History'!B:B,'Old Bow v2'!A30)</f>
        <v>285</v>
      </c>
      <c r="R30" s="2">
        <f>SUMIFS('OB History'!G:G,'OB History'!B:B,'Old Bow v2'!A30)-Q30</f>
        <v>285</v>
      </c>
      <c r="S30" s="88">
        <f>LOOKUP(2, 1/('OB History'!$B:$B=A30), 'OB History'!$AC:$AC)</f>
        <v>0.50031250000000016</v>
      </c>
      <c r="T30" s="2">
        <f>COUNTIFS('OB History'!$B:$B,$A$30,'OB History'!K:K, 1)</f>
        <v>3</v>
      </c>
      <c r="U30" s="2">
        <f>COUNTIFS('OB History'!$B:$B,$A$30,'OB History'!L:L, 1)</f>
        <v>5</v>
      </c>
      <c r="V30" s="2">
        <f>COUNTIFS('OB History'!$B:$B,$A$30,'OB History'!M:M, 1)</f>
        <v>1</v>
      </c>
      <c r="W30" s="2">
        <f>COUNTIFS('OB History'!$B:$B,$A$30,'OB History'!N:N, 1)</f>
        <v>14</v>
      </c>
      <c r="X30" s="2">
        <f>COUNTIFS('OB History'!$B:$B,$A$30,'OB History'!O:O, 1)</f>
        <v>0</v>
      </c>
      <c r="Y30" s="2">
        <f>COUNTIFS('OB History'!$B:$B,$A$30,'OB History'!P:P, 1)</f>
        <v>7</v>
      </c>
      <c r="Z30" s="2">
        <f>COUNTIFS('OB History'!$B:$B,$A$30,'OB History'!Q:Q, 1)</f>
        <v>2</v>
      </c>
      <c r="AA30" s="2">
        <f>COUNTIFS('OB History'!$B:$B,$A$30,'OB History'!R:R, 1)</f>
        <v>3</v>
      </c>
      <c r="AB30" s="2">
        <f>COUNTIFS('OB History'!$B:$B,$A$30,'OB History'!S:S, 1)</f>
        <v>0</v>
      </c>
      <c r="AC30" s="2">
        <f>COUNTIFS('OB History'!$B:$B,$A$30,'OB History'!T:T, 1)</f>
        <v>1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8</v>
      </c>
      <c r="AG30" s="2">
        <f>COUNTIFS('OB History'!$B:$B,$A$30,'OB History'!X:X, 1)</f>
        <v>8</v>
      </c>
      <c r="AH30" s="2">
        <f>COUNTIFS('OB History'!$B:$B,$A$30,'OB History'!Y:Y, 1)</f>
        <v>5</v>
      </c>
      <c r="AI30" s="2">
        <f>COUNTIFS('OB History'!$B:$B,$A$30,'OB History'!Z:Z, 1)</f>
        <v>7</v>
      </c>
    </row>
    <row r="31" spans="1:35" x14ac:dyDescent="0.25">
      <c r="A31" s="1" t="s">
        <v>47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78</v>
      </c>
      <c r="I31" s="4">
        <f>AVERAGEIFS('OB History'!C:C,'OB History'!B:B,A31)</f>
        <v>7.8</v>
      </c>
      <c r="J31" s="35">
        <f t="array" ref="J31">MAX(IF('OB History'!B:B=A31, 'OB History'!C:C))</f>
        <v>14</v>
      </c>
      <c r="K31" s="34">
        <f>COUNTIFS('OB History'!B:B,A31,'OB History'!D:D, 1)</f>
        <v>5</v>
      </c>
      <c r="L31" s="2">
        <f>COUNTIFS('OB History'!B:B,A31,'OB History'!D:D, 0)</f>
        <v>5</v>
      </c>
      <c r="M31" s="88">
        <f>LOOKUP(2, 1/('OB History'!$B:$B=A31), 'OB History'!$AD:$AD)</f>
        <v>0.5</v>
      </c>
      <c r="N31" s="34">
        <f>SUMIFS('OB History'!F:F,'OB History'!B:B,A31)</f>
        <v>22</v>
      </c>
      <c r="O31" s="2">
        <f>SUMIFS('OB History'!E:E,'OB History'!B:B,A31)-N31</f>
        <v>22</v>
      </c>
      <c r="P31" s="88">
        <f>LOOKUP(2, 1/('OB History'!$B:$B=A31), 'OB History'!$AB:$AB)</f>
        <v>0.5</v>
      </c>
      <c r="Q31" s="34">
        <f>SUMIFS('OB History'!H:H,'OB History'!B:B,'Old Bow v2'!A31)</f>
        <v>93</v>
      </c>
      <c r="R31" s="2">
        <f>SUMIFS('OB History'!G:G,'OB History'!B:B,'Old Bow v2'!A31)-Q31</f>
        <v>94</v>
      </c>
      <c r="S31" s="88">
        <f>LOOKUP(2, 1/('OB History'!$B:$B=A31), 'OB History'!$AC:$AC)</f>
        <v>0.49299999999999999</v>
      </c>
      <c r="T31" s="2">
        <f>COUNTIFS('OB History'!$B:$B,$A$31,'OB History'!K:K, 1)</f>
        <v>1</v>
      </c>
      <c r="U31" s="2">
        <f>COUNTIFS('OB History'!$B:$B,$A$31,'OB History'!L:L, 1)</f>
        <v>1</v>
      </c>
      <c r="V31" s="2">
        <f>COUNTIFS('OB History'!$B:$B,$A$31,'OB History'!M:M, 1)</f>
        <v>1</v>
      </c>
      <c r="W31" s="2">
        <f>COUNTIFS('OB History'!$B:$B,$A$31,'OB History'!N:N, 1)</f>
        <v>4</v>
      </c>
      <c r="X31" s="2">
        <f>COUNTIFS('OB History'!$B:$B,$A$31,'OB History'!O:O, 1)</f>
        <v>1</v>
      </c>
      <c r="Y31" s="2">
        <f>COUNTIFS('OB History'!$B:$B,$A$31,'OB History'!P:P, 1)</f>
        <v>2</v>
      </c>
      <c r="Z31" s="2">
        <f>COUNTIFS('OB History'!$B:$B,$A$31,'OB History'!Q:Q, 1)</f>
        <v>0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4</v>
      </c>
      <c r="AG31" s="2">
        <f>COUNTIFS('OB History'!$B:$B,$A$31,'OB History'!X:X, 1)</f>
        <v>2</v>
      </c>
      <c r="AH31" s="2">
        <f>COUNTIFS('OB History'!$B:$B,$A$31,'OB History'!Y:Y, 1)</f>
        <v>0</v>
      </c>
      <c r="AI31" s="2">
        <f>COUNTIFS('OB History'!$B:$B,$A$31,'OB History'!Z:Z, 1)</f>
        <v>5</v>
      </c>
    </row>
    <row r="32" spans="1:35" x14ac:dyDescent="0.25">
      <c r="A32" s="2" t="s">
        <v>3</v>
      </c>
      <c r="B32" s="6" t="s">
        <v>60</v>
      </c>
      <c r="C32" s="1" t="s">
        <v>159</v>
      </c>
      <c r="D32" s="3"/>
      <c r="E32" s="3"/>
      <c r="F32" s="3"/>
      <c r="G32" s="3"/>
      <c r="H32" s="34">
        <f>SUMIFS('OB History'!C:C,'OB History'!B:B,A32)</f>
        <v>230</v>
      </c>
      <c r="I32" s="4">
        <f>AVERAGEIFS('OB History'!C:C,'OB History'!B:B,A32)</f>
        <v>23</v>
      </c>
      <c r="J32" s="35">
        <f t="array" ref="J32">MAX(IF('OB History'!B:B=A32, 'OB History'!C:C))</f>
        <v>44</v>
      </c>
      <c r="K32" s="34">
        <f>COUNTIFS('OB History'!B:B,A32,'OB History'!D:D, 1)</f>
        <v>6</v>
      </c>
      <c r="L32" s="2">
        <f>COUNTIFS('OB History'!B:B,A32,'OB History'!D:D, 0)</f>
        <v>4</v>
      </c>
      <c r="M32" s="88">
        <f>LOOKUP(2, 1/('OB History'!$B:$B=A32), 'OB History'!$AD:$AD)</f>
        <v>0.6</v>
      </c>
      <c r="N32" s="34">
        <f>SUMIFS('OB History'!F:F,'OB History'!B:B,A32)</f>
        <v>22</v>
      </c>
      <c r="O32" s="2">
        <f>SUMIFS('OB History'!E:E,'OB History'!B:B,A32)-N32</f>
        <v>21</v>
      </c>
      <c r="P32" s="88">
        <f>LOOKUP(2, 1/('OB History'!$B:$B=A32), 'OB History'!$AB:$AB)</f>
        <v>0.495</v>
      </c>
      <c r="Q32" s="34">
        <f>SUMIFS('OB History'!H:H,'OB History'!B:B,'Old Bow v2'!A32)</f>
        <v>87</v>
      </c>
      <c r="R32" s="2">
        <f>SUMIFS('OB History'!G:G,'OB History'!B:B,'Old Bow v2'!A32)-Q32</f>
        <v>88</v>
      </c>
      <c r="S32" s="88">
        <f>LOOKUP(2, 1/('OB History'!$B:$B=A32), 'OB History'!$AC:$AC)</f>
        <v>0.48999999999999994</v>
      </c>
      <c r="T32" s="2">
        <f>COUNTIFS('OB History'!$B:$B,$A$32,'OB History'!K:K, 1)</f>
        <v>2</v>
      </c>
      <c r="U32" s="2">
        <f>COUNTIFS('OB History'!$B:$B,$A$32,'OB History'!L:L, 1)</f>
        <v>3</v>
      </c>
      <c r="V32" s="2">
        <f>COUNTIFS('OB History'!$B:$B,$A$32,'OB History'!M:M, 1)</f>
        <v>1</v>
      </c>
      <c r="W32" s="2">
        <f>COUNTIFS('OB History'!$B:$B,$A$32,'OB History'!N:N, 1)</f>
        <v>1</v>
      </c>
      <c r="X32" s="2">
        <f>COUNTIFS('OB History'!$B:$B,$A$32,'OB History'!O:O, 1)</f>
        <v>2</v>
      </c>
      <c r="Y32" s="2">
        <f>COUNTIFS('OB History'!$B:$B,$A$32,'OB History'!P:P, 1)</f>
        <v>2</v>
      </c>
      <c r="Z32" s="2">
        <f>COUNTIFS('OB History'!$B:$B,$A$32,'OB History'!Q:Q, 1)</f>
        <v>3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1</v>
      </c>
      <c r="AG32" s="2">
        <f>COUNTIFS('OB History'!$B:$B,$A$32,'OB History'!X:X, 1)</f>
        <v>3</v>
      </c>
      <c r="AH32" s="2">
        <f>COUNTIFS('OB History'!$B:$B,$A$32,'OB History'!Y:Y, 1)</f>
        <v>2</v>
      </c>
      <c r="AI32" s="2">
        <f>COUNTIFS('OB History'!$B:$B,$A$32,'OB History'!Z:Z,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3">
        <v>1</v>
      </c>
      <c r="F33" s="3"/>
      <c r="G33" s="3"/>
      <c r="H33" s="34">
        <f>SUMIFS('OB History'!C:C,'OB History'!B:B,A33)</f>
        <v>422</v>
      </c>
      <c r="I33" s="4">
        <f>AVERAGEIFS('OB History'!C:C,'OB History'!B:B,A33)</f>
        <v>13.1875</v>
      </c>
      <c r="J33" s="35">
        <f t="array" ref="J33">MAX(IF('OB History'!B:B=A33, 'OB History'!C:C))</f>
        <v>23</v>
      </c>
      <c r="K33" s="34">
        <f>COUNTIFS('OB History'!B:B,A33,'OB History'!D:D, 1)</f>
        <v>19</v>
      </c>
      <c r="L33" s="2">
        <f>COUNTIFS('OB History'!B:B,A33,'OB History'!D:D, 0)</f>
        <v>13</v>
      </c>
      <c r="M33" s="88">
        <f>LOOKUP(2, 1/('OB History'!$B:$B=A33), 'OB History'!$AD:$AD)</f>
        <v>0.59375</v>
      </c>
      <c r="N33" s="34">
        <f>SUMIFS('OB History'!F:F,'OB History'!B:B,A33)</f>
        <v>71</v>
      </c>
      <c r="O33" s="2">
        <f>SUMIFS('OB History'!E:E,'OB History'!B:B,A33)-N33</f>
        <v>57</v>
      </c>
      <c r="P33" s="88">
        <f>LOOKUP(2, 1/('OB History'!$B:$B=A33), 'OB History'!$AB:$AB)</f>
        <v>0.56718749999999996</v>
      </c>
      <c r="Q33" s="34">
        <f>SUMIFS('OB History'!H:H,'OB History'!B:B,'Old Bow v2'!A33)</f>
        <v>275</v>
      </c>
      <c r="R33" s="2">
        <f>SUMIFS('OB History'!G:G,'OB History'!B:B,'Old Bow v2'!A33)-Q33</f>
        <v>250</v>
      </c>
      <c r="S33" s="88">
        <f>LOOKUP(2, 1/('OB History'!$B:$B=A33), 'OB History'!$AC:$AC)</f>
        <v>0.53</v>
      </c>
      <c r="T33" s="2">
        <f>COUNTIFS('OB History'!$B:$B,$A$33,'OB History'!K:K, 1)</f>
        <v>2</v>
      </c>
      <c r="U33" s="2">
        <f>COUNTIFS('OB History'!$B:$B,$A$33,'OB History'!L:L, 1)</f>
        <v>6</v>
      </c>
      <c r="V33" s="2">
        <f>COUNTIFS('OB History'!$B:$B,$A$33,'OB History'!M:M, 1)</f>
        <v>2</v>
      </c>
      <c r="W33" s="2">
        <f>COUNTIFS('OB History'!$B:$B,$A$33,'OB History'!N:N, 1)</f>
        <v>7</v>
      </c>
      <c r="X33" s="2">
        <f>COUNTIFS('OB History'!$B:$B,$A$33,'OB History'!O:O, 1)</f>
        <v>0</v>
      </c>
      <c r="Y33" s="2">
        <f>COUNTIFS('OB History'!$B:$B,$A$33,'OB History'!P:P, 1)</f>
        <v>4</v>
      </c>
      <c r="Z33" s="2">
        <f>COUNTIFS('OB History'!$B:$B,$A$33,'OB History'!Q:Q, 1)</f>
        <v>2</v>
      </c>
      <c r="AA33" s="2">
        <f>COUNTIFS('OB History'!$B:$B,$A$33,'OB History'!R:R, 1)</f>
        <v>4</v>
      </c>
      <c r="AB33" s="2">
        <f>COUNTIFS('OB History'!$B:$B,$A$33,'OB History'!S:S, 1)</f>
        <v>2</v>
      </c>
      <c r="AC33" s="2">
        <f>COUNTIFS('OB History'!$B:$B,$A$33,'OB History'!T:T, 1)</f>
        <v>2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4</v>
      </c>
      <c r="AG33" s="2">
        <f>COUNTIFS('OB History'!$B:$B,$A$33,'OB History'!X:X, 1)</f>
        <v>15</v>
      </c>
      <c r="AH33" s="2">
        <f>COUNTIFS('OB History'!$B:$B,$A$33,'OB History'!Y:Y, 1)</f>
        <v>9</v>
      </c>
      <c r="AI33" s="2">
        <f>COUNTIFS('OB History'!$B:$B,$A$33,'OB History'!Z:Z, 1)</f>
        <v>10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3"/>
      <c r="F34" s="3"/>
      <c r="G34" s="3"/>
      <c r="H34" s="34">
        <f>SUMIFS('OB History'!C:C,'OB History'!B:B,A34)</f>
        <v>957</v>
      </c>
      <c r="I34" s="4">
        <f>AVERAGEIFS('OB History'!C:C,'OB History'!B:B,A34)</f>
        <v>23.341463414634145</v>
      </c>
      <c r="J34" s="35">
        <f t="array" ref="J34">MAX(IF('OB History'!B:B=A34, 'OB History'!C:C))</f>
        <v>55</v>
      </c>
      <c r="K34" s="34">
        <f>COUNTIFS('OB History'!B:B,A34,'OB History'!D:D, 1)</f>
        <v>16</v>
      </c>
      <c r="L34" s="2">
        <f>COUNTIFS('OB History'!B:B,A34,'OB History'!D:D, 0)</f>
        <v>25</v>
      </c>
      <c r="M34" s="88">
        <f>LOOKUP(2, 1/('OB History'!$B:$B=A34), 'OB History'!$AD:$AD)</f>
        <v>0.3902439024390244</v>
      </c>
      <c r="N34" s="34">
        <f>SUMIFS('OB History'!F:F,'OB History'!B:B,A34)</f>
        <v>76</v>
      </c>
      <c r="O34" s="2">
        <f>SUMIFS('OB History'!E:E,'OB History'!B:B,A34)-N34</f>
        <v>91</v>
      </c>
      <c r="P34" s="88">
        <f>LOOKUP(2, 1/('OB History'!$B:$B=A34), 'OB History'!$AB:$AB)</f>
        <v>0.45975609756097563</v>
      </c>
      <c r="Q34" s="34">
        <f>SUMIFS('OB History'!H:H,'OB History'!B:B,'Old Bow v2'!A34)</f>
        <v>337</v>
      </c>
      <c r="R34" s="2">
        <f>SUMIFS('OB History'!G:G,'OB History'!B:B,'Old Bow v2'!A34)-Q34</f>
        <v>359</v>
      </c>
      <c r="S34" s="88">
        <f>LOOKUP(2, 1/('OB History'!$B:$B=A34), 'OB History'!$AC:$AC)</f>
        <v>0.48707317073170731</v>
      </c>
      <c r="T34" s="2">
        <f>COUNTIFS('OB History'!$B:$B,$A$34,'OB History'!K:K, 1)</f>
        <v>5</v>
      </c>
      <c r="U34" s="2">
        <f>COUNTIFS('OB History'!$B:$B,$A$34,'OB History'!L:L, 1)</f>
        <v>3</v>
      </c>
      <c r="V34" s="2">
        <f>COUNTIFS('OB History'!$B:$B,$A$34,'OB History'!M:M, 1)</f>
        <v>0</v>
      </c>
      <c r="W34" s="2">
        <f>COUNTIFS('OB History'!$B:$B,$A$34,'OB History'!N:N, 1)</f>
        <v>11</v>
      </c>
      <c r="X34" s="2">
        <f>COUNTIFS('OB History'!$B:$B,$A$34,'OB History'!O:O, 1)</f>
        <v>0</v>
      </c>
      <c r="Y34" s="2">
        <f>COUNTIFS('OB History'!$B:$B,$A$34,'OB History'!P:P, 1)</f>
        <v>7</v>
      </c>
      <c r="Z34" s="2">
        <f>COUNTIFS('OB History'!$B:$B,$A$34,'OB History'!Q:Q, 1)</f>
        <v>4</v>
      </c>
      <c r="AA34" s="2">
        <f>COUNTIFS('OB History'!$B:$B,$A$34,'OB History'!R:R, 1)</f>
        <v>1</v>
      </c>
      <c r="AB34" s="2">
        <f>COUNTIFS('OB History'!$B:$B,$A$34,'OB History'!S:S, 1)</f>
        <v>1</v>
      </c>
      <c r="AC34" s="2">
        <f>COUNTIFS('OB History'!$B:$B,$A$34,'OB History'!T:T, 1)</f>
        <v>1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7</v>
      </c>
      <c r="AG34" s="2">
        <f>COUNTIFS('OB History'!$B:$B,$A$34,'OB History'!X:X, 1)</f>
        <v>17</v>
      </c>
      <c r="AH34" s="2">
        <f>COUNTIFS('OB History'!$B:$B,$A$34,'OB History'!Y:Y, 1)</f>
        <v>7</v>
      </c>
      <c r="AI34" s="2">
        <f>COUNTIFS('OB History'!$B:$B,$A$34,'OB History'!Z:Z, 1)</f>
        <v>10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31</v>
      </c>
      <c r="I35" s="4">
        <f>AVERAGEIFS('OB History'!C:C,'OB History'!B:B,A35)</f>
        <v>15.5</v>
      </c>
      <c r="J35" s="35">
        <f t="array" ref="J35">MAX(IF('OB History'!B:B=A35, 'OB History'!C:C))</f>
        <v>16</v>
      </c>
      <c r="K35" s="34">
        <f>COUNTIFS('OB History'!B:B,A35,'OB History'!D:D, 1)</f>
        <v>0</v>
      </c>
      <c r="L35" s="2">
        <f>COUNTIFS('OB History'!B:B,A35,'OB History'!D:D, 0)</f>
        <v>2</v>
      </c>
      <c r="M35" s="88">
        <f>LOOKUP(2, 1/('OB History'!$B:$B=A35), 'OB History'!$AD:$AD)</f>
        <v>0</v>
      </c>
      <c r="N35" s="34">
        <f>SUMIFS('OB History'!F:F,'OB History'!B:B,A35)</f>
        <v>2</v>
      </c>
      <c r="O35" s="2">
        <f>SUMIFS('OB History'!E:E,'OB History'!B:B,A35)-N35</f>
        <v>6</v>
      </c>
      <c r="P35" s="88">
        <f>LOOKUP(2, 1/('OB History'!$B:$B=A35), 'OB History'!$AB:$AB)</f>
        <v>0.25</v>
      </c>
      <c r="Q35" s="34">
        <f>SUMIFS('OB History'!H:H,'OB History'!B:B,'Old Bow v2'!A35)</f>
        <v>16</v>
      </c>
      <c r="R35" s="2">
        <f>SUMIFS('OB History'!G:G,'OB History'!B:B,'Old Bow v2'!A35)-Q35</f>
        <v>22</v>
      </c>
      <c r="S35" s="88">
        <f>LOOKUP(2, 1/('OB History'!$B:$B=A35), 'OB History'!$AC:$AC)</f>
        <v>0.42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0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1</v>
      </c>
      <c r="AG35" s="2">
        <f>COUNTIFS('OB History'!$B:$B,$A$35,'OB History'!X:X, 1)</f>
        <v>0</v>
      </c>
      <c r="AH35" s="2">
        <f>COUNTIFS('OB History'!$B:$B,$A$35,'OB History'!Y:Y, 1)</f>
        <v>1</v>
      </c>
      <c r="AI35" s="2">
        <f>COUNTIFS('OB History'!$B:$B,$A$35,'OB History'!Z:Z, 1)</f>
        <v>0</v>
      </c>
    </row>
    <row r="36" spans="1:35" x14ac:dyDescent="0.25">
      <c r="A36" s="1" t="s">
        <v>43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4</v>
      </c>
      <c r="I36" s="4">
        <f>AVERAGEIFS('OB History'!C:C,'OB History'!B:B,A36)</f>
        <v>4</v>
      </c>
      <c r="J36" s="35">
        <f t="array" ref="J36">MAX(IF('OB History'!B:B=A36, 'OB History'!C:C))</f>
        <v>4</v>
      </c>
      <c r="K36" s="34">
        <f>COUNTIFS('OB History'!B:B,A36,'OB History'!D:D, 1)</f>
        <v>1</v>
      </c>
      <c r="L36" s="2">
        <f>COUNTIFS('OB History'!B:B,A36,'OB History'!D:D, 0)</f>
        <v>0</v>
      </c>
      <c r="M36" s="88">
        <f>LOOKUP(2, 1/('OB History'!$B:$B=A36), 'OB History'!$AD:$AD)</f>
        <v>1</v>
      </c>
      <c r="N36" s="34">
        <f>SUMIFS('OB History'!F:F,'OB History'!B:B,A36)</f>
        <v>3</v>
      </c>
      <c r="O36" s="2">
        <f>SUMIFS('OB History'!E:E,'OB History'!B:B,A36)-N36</f>
        <v>0</v>
      </c>
      <c r="P36" s="88">
        <f>LOOKUP(2, 1/('OB History'!$B:$B=A36), 'OB History'!$AB:$AB)</f>
        <v>1</v>
      </c>
      <c r="Q36" s="34">
        <f>SUMIFS('OB History'!H:H,'OB History'!B:B,'Old Bow v2'!A36)</f>
        <v>9</v>
      </c>
      <c r="R36" s="2">
        <f>SUMIFS('OB History'!G:G,'OB History'!B:B,'Old Bow v2'!A36)-Q36</f>
        <v>4</v>
      </c>
      <c r="S36" s="88">
        <f>LOOKUP(2, 1/('OB History'!$B:$B=A36), 'OB History'!$AC:$AC)</f>
        <v>0.69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1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0</v>
      </c>
      <c r="AG36" s="2">
        <f>COUNTIFS('OB History'!$B:$B,$A$36,'OB History'!X:X, 1)</f>
        <v>1</v>
      </c>
      <c r="AH36" s="2">
        <f>COUNTIFS('OB History'!$B:$B,$A$36,'OB History'!Y:Y, 1)</f>
        <v>0</v>
      </c>
      <c r="AI36" s="2">
        <f>COUNTIFS('OB History'!$B:$B,$A$36,'OB History'!Z:Z, 1)</f>
        <v>1</v>
      </c>
    </row>
    <row r="37" spans="1:35" x14ac:dyDescent="0.25">
      <c r="A37" s="2" t="s">
        <v>13</v>
      </c>
      <c r="B37" s="6" t="s">
        <v>124</v>
      </c>
      <c r="C37" s="1" t="s">
        <v>159</v>
      </c>
      <c r="D37" s="3">
        <v>6</v>
      </c>
      <c r="E37" s="3">
        <v>1</v>
      </c>
      <c r="F37" s="3">
        <v>1</v>
      </c>
      <c r="G37" s="3"/>
      <c r="H37" s="34">
        <f>SUMIFS('OB History'!C:C,'OB History'!B:B,A37)</f>
        <v>1663</v>
      </c>
      <c r="I37" s="4">
        <f>AVERAGEIFS('OB History'!C:C,'OB History'!B:B,A37)</f>
        <v>25.984375</v>
      </c>
      <c r="J37" s="35">
        <f t="array" ref="J37">MAX(IF('OB History'!B:B=A37, 'OB History'!C:C))</f>
        <v>58</v>
      </c>
      <c r="K37" s="34">
        <f>COUNTIFS('OB History'!B:B,A37,'OB History'!D:D, 1)</f>
        <v>40</v>
      </c>
      <c r="L37" s="2">
        <f>COUNTIFS('OB History'!B:B,A37,'OB History'!D:D, 0)</f>
        <v>24</v>
      </c>
      <c r="M37" s="88">
        <f>LOOKUP(2, 1/('OB History'!$B:$B=A37), 'OB History'!$AD:$AD)</f>
        <v>0.625</v>
      </c>
      <c r="N37" s="34">
        <f>SUMIFS('OB History'!F:F,'OB History'!B:B,A37)</f>
        <v>147</v>
      </c>
      <c r="O37" s="2">
        <f>SUMIFS('OB History'!E:E,'OB History'!B:B,A37)-N37</f>
        <v>111</v>
      </c>
      <c r="P37" s="88">
        <f>LOOKUP(2, 1/('OB History'!$B:$B=A37), 'OB History'!$AB:$AB)</f>
        <v>0.57578125000000002</v>
      </c>
      <c r="Q37" s="34">
        <f>SUMIFS('OB History'!H:H,'OB History'!B:B,'Old Bow v2'!A37)</f>
        <v>575</v>
      </c>
      <c r="R37" s="2">
        <f>SUMIFS('OB History'!G:G,'OB History'!B:B,'Old Bow v2'!A37)-Q37</f>
        <v>481</v>
      </c>
      <c r="S37" s="88">
        <f>LOOKUP(2, 1/('OB History'!$B:$B=A37), 'OB History'!$AC:$AC)</f>
        <v>0.54749999999999999</v>
      </c>
      <c r="T37" s="2">
        <f>COUNTIFS('OB History'!$B:$B,$A$37,'OB History'!K:K, 1)</f>
        <v>8</v>
      </c>
      <c r="U37" s="2">
        <f>COUNTIFS('OB History'!$B:$B,$A$37,'OB History'!L:L, 1)</f>
        <v>12</v>
      </c>
      <c r="V37" s="2">
        <f>COUNTIFS('OB History'!$B:$B,$A$37,'OB History'!M:M, 1)</f>
        <v>3</v>
      </c>
      <c r="W37" s="2">
        <f>COUNTIFS('OB History'!$B:$B,$A$37,'OB History'!N:N, 1)</f>
        <v>17</v>
      </c>
      <c r="X37" s="2">
        <f>COUNTIFS('OB History'!$B:$B,$A$37,'OB History'!O:O, 1)</f>
        <v>3</v>
      </c>
      <c r="Y37" s="2">
        <f>COUNTIFS('OB History'!$B:$B,$A$37,'OB History'!P:P, 1)</f>
        <v>18</v>
      </c>
      <c r="Z37" s="2">
        <f>COUNTIFS('OB History'!$B:$B,$A$37,'OB History'!Q:Q, 1)</f>
        <v>5</v>
      </c>
      <c r="AA37" s="2">
        <f>COUNTIFS('OB History'!$B:$B,$A$37,'OB History'!R:R, 1)</f>
        <v>5</v>
      </c>
      <c r="AB37" s="2">
        <f>COUNTIFS('OB History'!$B:$B,$A$37,'OB History'!S:S, 1)</f>
        <v>2</v>
      </c>
      <c r="AC37" s="2">
        <f>COUNTIFS('OB History'!$B:$B,$A$37,'OB History'!T:T, 1)</f>
        <v>4</v>
      </c>
      <c r="AD37" s="2">
        <f>COUNTIFS('OB History'!$B:$B,$A$37,'OB History'!U:U, 1)</f>
        <v>2</v>
      </c>
      <c r="AE37" s="2">
        <f>COUNTIFS('OB History'!$B:$B,$A$37,'OB History'!V:V, 1)</f>
        <v>5</v>
      </c>
      <c r="AF37" s="2">
        <f>COUNTIFS('OB History'!$B:$B,$A$37,'OB History'!W:W, 1)</f>
        <v>14</v>
      </c>
      <c r="AG37" s="2">
        <f>COUNTIFS('OB History'!$B:$B,$A$37,'OB History'!X:X, 1)</f>
        <v>17</v>
      </c>
      <c r="AH37" s="2">
        <f>COUNTIFS('OB History'!$B:$B,$A$37,'OB History'!Y:Y, 1)</f>
        <v>14</v>
      </c>
      <c r="AI37" s="2">
        <f>COUNTIFS('OB History'!$B:$B,$A$37,'OB History'!Z:Z, 1)</f>
        <v>18</v>
      </c>
    </row>
    <row r="38" spans="1:35" x14ac:dyDescent="0.25">
      <c r="A38" s="2" t="s">
        <v>2</v>
      </c>
      <c r="B38" s="6" t="s">
        <v>60</v>
      </c>
      <c r="C38" s="2" t="s">
        <v>79</v>
      </c>
      <c r="D38" s="3">
        <v>1</v>
      </c>
      <c r="E38" s="3"/>
      <c r="F38" s="3"/>
      <c r="G38" s="3"/>
      <c r="H38" s="34">
        <f>SUMIFS('OB History'!C:C,'OB History'!B:B,A38)</f>
        <v>525</v>
      </c>
      <c r="I38" s="4">
        <f>AVERAGEIFS('OB History'!C:C,'OB History'!B:B,A38)</f>
        <v>29.166666666666668</v>
      </c>
      <c r="J38" s="35">
        <f t="array" ref="J38">MAX(IF('OB History'!B:B=A38, 'OB History'!C:C))</f>
        <v>68</v>
      </c>
      <c r="K38" s="34">
        <f>COUNTIFS('OB History'!B:B,A38,'OB History'!D:D, 1)</f>
        <v>10</v>
      </c>
      <c r="L38" s="2">
        <f>COUNTIFS('OB History'!B:B,A38,'OB History'!D:D, 0)</f>
        <v>8</v>
      </c>
      <c r="M38" s="88">
        <f>LOOKUP(2, 1/('OB History'!$B:$B=A38), 'OB History'!$AD:$AD)</f>
        <v>0.55555555555555558</v>
      </c>
      <c r="N38" s="34">
        <f>SUMIFS('OB History'!F:F,'OB History'!B:B,A38)</f>
        <v>43</v>
      </c>
      <c r="O38" s="2">
        <f>SUMIFS('OB History'!E:E,'OB History'!B:B,A38)-N38</f>
        <v>32</v>
      </c>
      <c r="P38" s="88">
        <f>LOOKUP(2, 1/('OB History'!$B:$B=A38), 'OB History'!$AB:$AB)</f>
        <v>0.60277777777777786</v>
      </c>
      <c r="Q38" s="34">
        <f>SUMIFS('OB History'!H:H,'OB History'!B:B,'Old Bow v2'!A38)</f>
        <v>171</v>
      </c>
      <c r="R38" s="2">
        <f>SUMIFS('OB History'!G:G,'OB History'!B:B,'Old Bow v2'!A38)-Q38</f>
        <v>146</v>
      </c>
      <c r="S38" s="88">
        <f>LOOKUP(2, 1/('OB History'!$B:$B=A38), 'OB History'!$AC:$AC)</f>
        <v>0.55222222222222217</v>
      </c>
      <c r="T38" s="2">
        <f>COUNTIFS('OB History'!$B:$B,$A$38,'OB History'!K:K, 1)</f>
        <v>3</v>
      </c>
      <c r="U38" s="2">
        <f>COUNTIFS('OB History'!$B:$B,$A$38,'OB History'!L:L, 1)</f>
        <v>4</v>
      </c>
      <c r="V38" s="2">
        <f>COUNTIFS('OB History'!$B:$B,$A$38,'OB History'!M:M, 1)</f>
        <v>2</v>
      </c>
      <c r="W38" s="2">
        <f>COUNTIFS('OB History'!$B:$B,$A$38,'OB History'!N:N, 1)</f>
        <v>8</v>
      </c>
      <c r="X38" s="2">
        <f>COUNTIFS('OB History'!$B:$B,$A$38,'OB History'!O:O, 1)</f>
        <v>0</v>
      </c>
      <c r="Y38" s="2">
        <f>COUNTIFS('OB History'!$B:$B,$A$38,'OB History'!P:P, 1)</f>
        <v>4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5</v>
      </c>
      <c r="AG38" s="2">
        <f>COUNTIFS('OB History'!$B:$B,$A$38,'OB History'!X:X, 1)</f>
        <v>4</v>
      </c>
      <c r="AH38" s="2">
        <f>COUNTIFS('OB History'!$B:$B,$A$38,'OB History'!Y:Y, 1)</f>
        <v>5</v>
      </c>
      <c r="AI38" s="2">
        <f>COUNTIFS('OB History'!$B:$B,$A$38,'OB History'!Z:Z, 1)</f>
        <v>7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3"/>
      <c r="F39" s="3"/>
      <c r="G39" s="3"/>
      <c r="H39" s="34">
        <f>SUMIFS('OB History'!C:C,'OB History'!B:B,A39)</f>
        <v>65</v>
      </c>
      <c r="I39" s="4">
        <f>AVERAGEIFS('OB History'!C:C,'OB History'!B:B,A39)</f>
        <v>21.666666666666668</v>
      </c>
      <c r="J39" s="35">
        <f t="array" ref="J39">MAX(IF('OB History'!B:B=A39, 'OB History'!C:C))</f>
        <v>29</v>
      </c>
      <c r="K39" s="34">
        <f>COUNTIFS('OB History'!B:B,A39,'OB History'!D:D, 1)</f>
        <v>3</v>
      </c>
      <c r="L39" s="2">
        <f>COUNTIFS('OB History'!B:B,A39,'OB History'!D:D, 0)</f>
        <v>0</v>
      </c>
      <c r="M39" s="88">
        <f>LOOKUP(2, 1/('OB History'!$B:$B=A39), 'OB History'!$AD:$AD)</f>
        <v>1</v>
      </c>
      <c r="N39" s="34">
        <f>SUMIFS('OB History'!F:F,'OB History'!B:B,A39)</f>
        <v>9</v>
      </c>
      <c r="O39" s="2">
        <f>SUMIFS('OB History'!E:E,'OB History'!B:B,A39)-N39</f>
        <v>6</v>
      </c>
      <c r="P39" s="88">
        <f>LOOKUP(2, 1/('OB History'!$B:$B=A39), 'OB History'!$AB:$AB)</f>
        <v>0.6</v>
      </c>
      <c r="Q39" s="34">
        <f>SUMIFS('OB History'!H:H,'OB History'!B:B,'Old Bow v2'!A39)</f>
        <v>36</v>
      </c>
      <c r="R39" s="2">
        <f>SUMIFS('OB History'!G:G,'OB History'!B:B,'Old Bow v2'!A39)-Q39</f>
        <v>26</v>
      </c>
      <c r="S39" s="88">
        <f>LOOKUP(2, 1/('OB History'!$B:$B=A39), 'OB History'!$AC:$AC)</f>
        <v>0.57999999999999996</v>
      </c>
      <c r="T39" s="2">
        <f>COUNTIFS('OB History'!$B:$B,$A$39,'OB History'!K:K, 1)</f>
        <v>0</v>
      </c>
      <c r="U39" s="2">
        <f>COUNTIFS('OB History'!$B:$B,$A$39,'OB History'!L:L, 1)</f>
        <v>1</v>
      </c>
      <c r="V39" s="2">
        <f>COUNTIFS('OB History'!$B:$B,$A$39,'OB History'!M:M, 1)</f>
        <v>0</v>
      </c>
      <c r="W39" s="2">
        <f>COUNTIFS('OB History'!$B:$B,$A$39,'OB History'!N:N, 1)</f>
        <v>1</v>
      </c>
      <c r="X39" s="2">
        <f>COUNTIFS('OB History'!$B:$B,$A$39,'OB History'!O:O, 1)</f>
        <v>2</v>
      </c>
      <c r="Y39" s="2">
        <f>COUNTIFS('OB History'!$B:$B,$A$39,'OB History'!P:P, 1)</f>
        <v>1</v>
      </c>
      <c r="Z39" s="2">
        <f>COUNTIFS('OB History'!$B:$B,$A$39,'OB History'!Q:Q, 1)</f>
        <v>2</v>
      </c>
      <c r="AA39" s="2">
        <f>COUNTIFS('OB History'!$B:$B,$A$39,'OB History'!R:R, 1)</f>
        <v>0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1</v>
      </c>
      <c r="AF39" s="2">
        <f>COUNTIFS('OB History'!$B:$B,$A$39,'OB History'!W:W, 1)</f>
        <v>1</v>
      </c>
      <c r="AG39" s="2">
        <f>COUNTIFS('OB History'!$B:$B,$A$39,'OB History'!X:X, 1)</f>
        <v>0</v>
      </c>
      <c r="AH39" s="2">
        <f>COUNTIFS('OB History'!$B:$B,$A$39,'OB History'!Y:Y, 1)</f>
        <v>0</v>
      </c>
      <c r="AI39" s="2">
        <f>COUNTIFS('OB History'!$B:$B,$A$39,'OB History'!Z:Z,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3</v>
      </c>
      <c r="E40" s="3"/>
      <c r="F40" s="3"/>
      <c r="G40" s="3"/>
      <c r="H40" s="34">
        <f>SUMIFS('OB History'!C:C,'OB History'!B:B,A40)</f>
        <v>467</v>
      </c>
      <c r="I40" s="4">
        <f>AVERAGEIFS('OB History'!C:C,'OB History'!B:B,A40)</f>
        <v>24.578947368421051</v>
      </c>
      <c r="J40" s="35">
        <f t="array" ref="J40">MAX(IF('OB History'!B:B=A40, 'OB History'!C:C))</f>
        <v>51</v>
      </c>
      <c r="K40" s="34">
        <f>COUNTIFS('OB History'!B:B,A40,'OB History'!D:D, 1)</f>
        <v>10</v>
      </c>
      <c r="L40" s="2">
        <f>COUNTIFS('OB History'!B:B,A40,'OB History'!D:D, 0)</f>
        <v>9</v>
      </c>
      <c r="M40" s="88">
        <f>LOOKUP(2, 1/('OB History'!$B:$B=A40), 'OB History'!$AD:$AD)</f>
        <v>0.52631578947368418</v>
      </c>
      <c r="N40" s="34">
        <f>SUMIFS('OB History'!F:F,'OB History'!B:B,A40)</f>
        <v>40</v>
      </c>
      <c r="O40" s="2">
        <f>SUMIFS('OB History'!E:E,'OB History'!B:B,A40)-N40</f>
        <v>40</v>
      </c>
      <c r="P40" s="88">
        <f>LOOKUP(2, 1/('OB History'!$B:$B=A40), 'OB History'!$AB:$AB)</f>
        <v>0.50263157894736832</v>
      </c>
      <c r="Q40" s="34">
        <f>SUMIFS('OB History'!H:H,'OB History'!B:B,'Old Bow v2'!A40)</f>
        <v>167</v>
      </c>
      <c r="R40" s="2">
        <f>SUMIFS('OB History'!G:G,'OB History'!B:B,'Old Bow v2'!A40)-Q40</f>
        <v>166</v>
      </c>
      <c r="S40" s="88">
        <f>LOOKUP(2, 1/('OB History'!$B:$B=A40), 'OB History'!$AC:$AC)</f>
        <v>0.49631578947368421</v>
      </c>
      <c r="T40" s="2">
        <f>COUNTIFS('OB History'!$B:$B,$A$40,'OB History'!K:K, 1)</f>
        <v>3</v>
      </c>
      <c r="U40" s="2">
        <f>COUNTIFS('OB History'!$B:$B,$A$40,'OB History'!L:L, 1)</f>
        <v>5</v>
      </c>
      <c r="V40" s="2">
        <f>COUNTIFS('OB History'!$B:$B,$A$40,'OB History'!M:M, 1)</f>
        <v>4</v>
      </c>
      <c r="W40" s="2">
        <f>COUNTIFS('OB History'!$B:$B,$A$40,'OB History'!N:N, 1)</f>
        <v>4</v>
      </c>
      <c r="X40" s="2">
        <f>COUNTIFS('OB History'!$B:$B,$A$40,'OB History'!O:O, 1)</f>
        <v>3</v>
      </c>
      <c r="Y40" s="2">
        <f>COUNTIFS('OB History'!$B:$B,$A$40,'OB History'!P:P, 1)</f>
        <v>3</v>
      </c>
      <c r="Z40" s="2">
        <f>COUNTIFS('OB History'!$B:$B,$A$40,'OB History'!Q:Q, 1)</f>
        <v>0</v>
      </c>
      <c r="AA40" s="2">
        <f>COUNTIFS('OB History'!$B:$B,$A$40,'OB History'!R:R, 1)</f>
        <v>1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6</v>
      </c>
      <c r="AH40" s="2">
        <f>COUNTIFS('OB History'!$B:$B,$A$40,'OB History'!Y:Y, 1)</f>
        <v>5</v>
      </c>
      <c r="AI40" s="2">
        <f>COUNTIFS('OB History'!$B:$B,$A$40,'OB History'!Z:Z, 1)</f>
        <v>4</v>
      </c>
    </row>
    <row r="41" spans="1:35" x14ac:dyDescent="0.25">
      <c r="A41" s="2" t="s">
        <v>38</v>
      </c>
      <c r="B41" s="2" t="s">
        <v>79</v>
      </c>
      <c r="C41" s="2" t="s">
        <v>79</v>
      </c>
      <c r="D41" s="3">
        <v>1</v>
      </c>
      <c r="E41" s="3"/>
      <c r="F41" s="3"/>
      <c r="G41" s="3"/>
      <c r="H41" s="34">
        <f>SUMIFS('OB History'!C:C,'OB History'!B:B,A41)</f>
        <v>105</v>
      </c>
      <c r="I41" s="4">
        <f>AVERAGEIFS('OB History'!C:C,'OB History'!B:B,A41)</f>
        <v>8.0769230769230766</v>
      </c>
      <c r="J41" s="35">
        <f t="array" ref="J41">MAX(IF('OB History'!B:B=A41, 'OB History'!C:C))</f>
        <v>28</v>
      </c>
      <c r="K41" s="34">
        <f>COUNTIFS('OB History'!B:B,A41,'OB History'!D:D, 1)</f>
        <v>6</v>
      </c>
      <c r="L41" s="2">
        <f>COUNTIFS('OB History'!B:B,A41,'OB History'!D:D, 0)</f>
        <v>7</v>
      </c>
      <c r="M41" s="88">
        <f>LOOKUP(2, 1/('OB History'!$B:$B=A41), 'OB History'!$AD:$AD)</f>
        <v>0.46153846153846156</v>
      </c>
      <c r="N41" s="34">
        <f>SUMIFS('OB History'!F:F,'OB History'!B:B,A41)</f>
        <v>23</v>
      </c>
      <c r="O41" s="2">
        <f>SUMIFS('OB History'!E:E,'OB History'!B:B,A41)-N41</f>
        <v>28</v>
      </c>
      <c r="P41" s="88">
        <f>LOOKUP(2, 1/('OB History'!$B:$B=A41), 'OB History'!$AB:$AB)</f>
        <v>0.43076923076923079</v>
      </c>
      <c r="Q41" s="34">
        <f>SUMIFS('OB History'!H:H,'OB History'!B:B,'Old Bow v2'!A41)</f>
        <v>96</v>
      </c>
      <c r="R41" s="2">
        <f>SUMIFS('OB History'!G:G,'OB History'!B:B,'Old Bow v2'!A41)-Q41</f>
        <v>112</v>
      </c>
      <c r="S41" s="88">
        <f>LOOKUP(2, 1/('OB History'!$B:$B=A41), 'OB History'!$AC:$AC)</f>
        <v>0.4538461538461539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1</v>
      </c>
      <c r="W41" s="2">
        <f>COUNTIFS('OB History'!$B:$B,$A$41,'OB History'!N:N, 1)</f>
        <v>3</v>
      </c>
      <c r="X41" s="2">
        <f>COUNTIFS('OB History'!$B:$B,$A$41,'OB History'!O:O, 1)</f>
        <v>0</v>
      </c>
      <c r="Y41" s="2">
        <f>COUNTIFS('OB History'!$B:$B,$A$41,'OB History'!P:P, 1)</f>
        <v>3</v>
      </c>
      <c r="Z41" s="2">
        <f>COUNTIFS('OB History'!$B:$B,$A$41,'OB History'!Q:Q, 1)</f>
        <v>1</v>
      </c>
      <c r="AA41" s="2">
        <f>COUNTIFS('OB History'!$B:$B,$A$41,'OB History'!R:R, 1)</f>
        <v>3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2</v>
      </c>
      <c r="AG41" s="2">
        <f>COUNTIFS('OB History'!$B:$B,$A$41,'OB History'!X:X, 1)</f>
        <v>3</v>
      </c>
      <c r="AH41" s="2">
        <f>COUNTIFS('OB History'!$B:$B,$A$41,'OB History'!Y:Y, 1)</f>
        <v>2</v>
      </c>
      <c r="AI41" s="2">
        <f>COUNTIFS('OB History'!$B:$B,$A$41,'OB History'!Z:Z, 1)</f>
        <v>3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140</v>
      </c>
      <c r="I42" s="4">
        <f>AVERAGEIFS('OB History'!C:C,'OB History'!B:B,A42)</f>
        <v>15.555555555555555</v>
      </c>
      <c r="J42" s="35">
        <f t="array" ref="J42">MAX(IF('OB History'!B:B=A42, 'OB History'!C:C))</f>
        <v>24</v>
      </c>
      <c r="K42" s="34">
        <f>COUNTIFS('OB History'!B:B,A42,'OB History'!D:D, 1)</f>
        <v>2</v>
      </c>
      <c r="L42" s="2">
        <f>COUNTIFS('OB History'!B:B,A42,'OB History'!D:D, 0)</f>
        <v>7</v>
      </c>
      <c r="M42" s="88">
        <f>LOOKUP(2, 1/('OB History'!$B:$B=A42), 'OB History'!$AD:$AD)</f>
        <v>0.22222222222222221</v>
      </c>
      <c r="N42" s="34">
        <f>SUMIFS('OB History'!F:F,'OB History'!B:B,A42)</f>
        <v>12</v>
      </c>
      <c r="O42" s="2">
        <f>SUMIFS('OB History'!E:E,'OB History'!B:B,A42)-N42</f>
        <v>23</v>
      </c>
      <c r="P42" s="88">
        <f>LOOKUP(2, 1/('OB History'!$B:$B=A42), 'OB History'!$AB:$AB)</f>
        <v>0.33888888888888885</v>
      </c>
      <c r="Q42" s="34">
        <f>SUMIFS('OB History'!H:H,'OB History'!B:B,'Old Bow v2'!A42)</f>
        <v>61</v>
      </c>
      <c r="R42" s="2">
        <f>SUMIFS('OB History'!G:G,'OB History'!B:B,'Old Bow v2'!A42)-Q42</f>
        <v>86</v>
      </c>
      <c r="S42" s="88">
        <f>LOOKUP(2, 1/('OB History'!$B:$B=A42), 'OB History'!$AC:$AC)</f>
        <v>0.41333333333333333</v>
      </c>
      <c r="T42" s="2">
        <f>COUNTIFS('OB History'!$B:$B,$A$42,'OB History'!K:K, 1)</f>
        <v>2</v>
      </c>
      <c r="U42" s="2">
        <f>COUNTIFS('OB History'!$B:$B,$A$42,'OB History'!L:L, 1)</f>
        <v>1</v>
      </c>
      <c r="V42" s="2">
        <f>COUNTIFS('OB History'!$B:$B,$A$42,'OB History'!M:M, 1)</f>
        <v>0</v>
      </c>
      <c r="W42" s="2">
        <f>COUNTIFS('OB History'!$B:$B,$A$42,'OB History'!N:N, 1)</f>
        <v>1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1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1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1</v>
      </c>
      <c r="AH42" s="2">
        <f>COUNTIFS('OB History'!$B:$B,$A$42,'OB History'!Y:Y, 1)</f>
        <v>1</v>
      </c>
      <c r="AI42" s="2">
        <f>COUNTIFS('OB History'!$B:$B,$A$42,'OB History'!Z:Z, 1)</f>
        <v>1</v>
      </c>
    </row>
    <row r="43" spans="1:35" x14ac:dyDescent="0.25">
      <c r="A43" s="2" t="s">
        <v>149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4</v>
      </c>
      <c r="I43" s="4">
        <f>AVERAGEIFS('OB History'!C:C,'OB History'!B:B,A43)</f>
        <v>4</v>
      </c>
      <c r="J43" s="35">
        <f t="array" ref="J43">MAX(IF('OB History'!B:B=A43, 'OB History'!C:C))</f>
        <v>4</v>
      </c>
      <c r="K43" s="34">
        <f>COUNTIFS('OB History'!B:B,A43,'OB History'!D:D, 1)</f>
        <v>0</v>
      </c>
      <c r="L43" s="2">
        <f>COUNTIFS('OB History'!B:B,A43,'OB History'!D:D, 0)</f>
        <v>1</v>
      </c>
      <c r="M43" s="88">
        <f>LOOKUP(2, 1/('OB History'!$B:$B=A43), 'OB History'!$AD:$AD)</f>
        <v>0</v>
      </c>
      <c r="N43" s="34">
        <f>SUMIFS('OB History'!F:F,'OB History'!B:B,A43)</f>
        <v>2</v>
      </c>
      <c r="O43" s="2">
        <f>SUMIFS('OB History'!E:E,'OB History'!B:B,A43)-N43</f>
        <v>3</v>
      </c>
      <c r="P43" s="88">
        <f>LOOKUP(2, 1/('OB History'!$B:$B=A43), 'OB History'!$AB:$AB)</f>
        <v>0.4</v>
      </c>
      <c r="Q43" s="34">
        <f>SUMIFS('OB History'!H:H,'OB History'!B:B,'Old Bow v2'!A43)</f>
        <v>8</v>
      </c>
      <c r="R43" s="2">
        <f>SUMIFS('OB History'!G:G,'OB History'!B:B,'Old Bow v2'!A43)-Q43</f>
        <v>10</v>
      </c>
      <c r="S43" s="88">
        <f>LOOKUP(2, 1/('OB History'!$B:$B=A43), 'OB History'!$AC:$AC)</f>
        <v>0.44</v>
      </c>
      <c r="T43" s="2">
        <f>COUNTIFS('OB History'!$B:$B,$A$43,'OB History'!K:K, 1)</f>
        <v>1</v>
      </c>
      <c r="U43" s="2">
        <f>COUNTIFS('OB History'!$B:$B,$A$43,'OB History'!L:L, 1)</f>
        <v>0</v>
      </c>
      <c r="V43" s="2">
        <f>COUNTIFS('OB History'!$B:$B,$A$43,'OB History'!M:M, 1)</f>
        <v>0</v>
      </c>
      <c r="W43" s="2">
        <f>COUNTIFS('OB History'!$B:$B,$A$43,'OB History'!N:N, 1)</f>
        <v>0</v>
      </c>
      <c r="X43" s="2">
        <f>COUNTIFS('OB History'!$B:$B,$A$43,'OB History'!O:O, 1)</f>
        <v>0</v>
      </c>
      <c r="Y43" s="2">
        <f>COUNTIFS('OB History'!$B:$B,$A$43,'OB History'!P:P, 1)</f>
        <v>1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0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0</v>
      </c>
      <c r="AH43" s="2">
        <f>COUNTIFS('OB History'!$B:$B,$A$43,'OB History'!Y:Y, 1)</f>
        <v>0</v>
      </c>
      <c r="AI43" s="2">
        <f>COUNTIFS('OB History'!$B:$B,$A$43,'OB History'!Z:Z, 1)</f>
        <v>0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310</v>
      </c>
      <c r="I44" s="4">
        <f>AVERAGEIFS('OB History'!C:C,'OB History'!B:B,A44)</f>
        <v>19.375</v>
      </c>
      <c r="J44" s="35">
        <f t="array" ref="J44">MAX(IF('OB History'!B:B=A44, 'OB History'!C:C))</f>
        <v>40</v>
      </c>
      <c r="K44" s="34">
        <f>COUNTIFS('OB History'!B:B,A44,'OB History'!D:D, 1)</f>
        <v>6</v>
      </c>
      <c r="L44" s="2">
        <f>COUNTIFS('OB History'!B:B,A44,'OB History'!D:D, 0)</f>
        <v>10</v>
      </c>
      <c r="M44" s="88">
        <f>LOOKUP(2, 1/('OB History'!$B:$B=A44), 'OB History'!$AD:$AD)</f>
        <v>0.375</v>
      </c>
      <c r="N44" s="34">
        <f>SUMIFS('OB History'!F:F,'OB History'!B:B,A44)</f>
        <v>31</v>
      </c>
      <c r="O44" s="2">
        <f>SUMIFS('OB History'!E:E,'OB History'!B:B,A44)-N44</f>
        <v>37</v>
      </c>
      <c r="P44" s="88">
        <f>LOOKUP(2, 1/('OB History'!$B:$B=A44), 'OB History'!$AB:$AB)</f>
        <v>0.45624999999999993</v>
      </c>
      <c r="Q44" s="34">
        <f>SUMIFS('OB History'!H:H,'OB History'!B:B,'Old Bow v2'!A44)</f>
        <v>128</v>
      </c>
      <c r="R44" s="2">
        <f>SUMIFS('OB History'!G:G,'OB History'!B:B,'Old Bow v2'!A44)-Q44</f>
        <v>149</v>
      </c>
      <c r="S44" s="88">
        <f>LOOKUP(2, 1/('OB History'!$B:$B=A44), 'OB History'!$AC:$AC)</f>
        <v>0.45437499999999997</v>
      </c>
      <c r="T44" s="2">
        <f>COUNTIFS('OB History'!$B:$B,$A$44,'OB History'!K:K, 1)</f>
        <v>3</v>
      </c>
      <c r="U44" s="2">
        <f>COUNTIFS('OB History'!$B:$B,$A$44,'OB History'!L:L, 1)</f>
        <v>2</v>
      </c>
      <c r="V44" s="2">
        <f>COUNTIFS('OB History'!$B:$B,$A$44,'OB History'!M:M, 1)</f>
        <v>3</v>
      </c>
      <c r="W44" s="2">
        <f>COUNTIFS('OB History'!$B:$B,$A$44,'OB History'!N:N, 1)</f>
        <v>2</v>
      </c>
      <c r="X44" s="2">
        <f>COUNTIFS('OB History'!$B:$B,$A$44,'OB History'!O:O, 1)</f>
        <v>2</v>
      </c>
      <c r="Y44" s="2">
        <f>COUNTIFS('OB History'!$B:$B,$A$44,'OB History'!P:P, 1)</f>
        <v>2</v>
      </c>
      <c r="Z44" s="2">
        <f>COUNTIFS('OB History'!$B:$B,$A$44,'OB History'!Q:Q, 1)</f>
        <v>2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1</v>
      </c>
      <c r="AG44" s="2">
        <f>COUNTIFS('OB History'!$B:$B,$A$44,'OB History'!X:X, 1)</f>
        <v>5</v>
      </c>
      <c r="AH44" s="2">
        <f>COUNTIFS('OB History'!$B:$B,$A$44,'OB History'!Y:Y, 1)</f>
        <v>4</v>
      </c>
      <c r="AI44" s="2">
        <f>COUNTIFS('OB History'!$B:$B,$A$44,'OB History'!Z:Z, 1)</f>
        <v>4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206</v>
      </c>
      <c r="I45" s="4">
        <f>AVERAGEIFS('OB History'!C:C,'OB History'!B:B,A45)</f>
        <v>18.727272727272727</v>
      </c>
      <c r="J45" s="35">
        <f t="array" ref="J45">MAX(IF('OB History'!B:B=A45, 'OB History'!C:C))</f>
        <v>35</v>
      </c>
      <c r="K45" s="34">
        <f>COUNTIFS('OB History'!B:B,A45,'OB History'!D:D, 1)</f>
        <v>3</v>
      </c>
      <c r="L45" s="2">
        <f>COUNTIFS('OB History'!B:B,A45,'OB History'!D:D, 0)</f>
        <v>8</v>
      </c>
      <c r="M45" s="88">
        <f>LOOKUP(2, 1/('OB History'!$B:$B=A45), 'OB History'!$AD:$AD)</f>
        <v>0.27272727272727271</v>
      </c>
      <c r="N45" s="34">
        <f>SUMIFS('OB History'!F:F,'OB History'!B:B,A45)</f>
        <v>17</v>
      </c>
      <c r="O45" s="2">
        <f>SUMIFS('OB History'!E:E,'OB History'!B:B,A45)-N45</f>
        <v>27</v>
      </c>
      <c r="P45" s="88">
        <f>LOOKUP(2, 1/('OB History'!$B:$B=A45), 'OB History'!$AB:$AB)</f>
        <v>0.35909090909090913</v>
      </c>
      <c r="Q45" s="34">
        <f>SUMIFS('OB History'!H:H,'OB History'!B:B,'Old Bow v2'!A45)</f>
        <v>81</v>
      </c>
      <c r="R45" s="2">
        <f>SUMIFS('OB History'!G:G,'OB History'!B:B,'Old Bow v2'!A45)-Q45</f>
        <v>99</v>
      </c>
      <c r="S45" s="88">
        <f>LOOKUP(2, 1/('OB History'!$B:$B=A45), 'OB History'!$AC:$AC)</f>
        <v>0.43636363636363645</v>
      </c>
      <c r="T45" s="2">
        <f>COUNTIFS('OB History'!$B:$B,$A$45,'OB History'!K:K, 1)</f>
        <v>3</v>
      </c>
      <c r="U45" s="2">
        <f>COUNTIFS('OB History'!$B:$B,$A$45,'OB History'!L:L, 1)</f>
        <v>1</v>
      </c>
      <c r="V45" s="2">
        <f>COUNTIFS('OB History'!$B:$B,$A$45,'OB History'!M:M, 1)</f>
        <v>2</v>
      </c>
      <c r="W45" s="2">
        <f>COUNTIFS('OB History'!$B:$B,$A$45,'OB History'!N:N, 1)</f>
        <v>2</v>
      </c>
      <c r="X45" s="2">
        <f>COUNTIFS('OB History'!$B:$B,$A$45,'OB History'!O:O, 1)</f>
        <v>1</v>
      </c>
      <c r="Y45" s="2">
        <f>COUNTIFS('OB History'!$B:$B,$A$45,'OB History'!P:P, 1)</f>
        <v>3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1</v>
      </c>
      <c r="AH45" s="2">
        <f>COUNTIFS('OB History'!$B:$B,$A$45,'OB History'!Y:Y, 1)</f>
        <v>2</v>
      </c>
      <c r="AI45" s="2">
        <f>COUNTIFS('OB History'!$B:$B,$A$45,'OB History'!Z:Z, 1)</f>
        <v>1</v>
      </c>
    </row>
    <row r="46" spans="1:35" ht="14.25" customHeight="1" x14ac:dyDescent="0.25">
      <c r="A46" s="2" t="s">
        <v>17</v>
      </c>
      <c r="B46" s="2" t="s">
        <v>79</v>
      </c>
      <c r="C46" s="2" t="s">
        <v>79</v>
      </c>
      <c r="D46" s="3">
        <v>11</v>
      </c>
      <c r="E46" s="3">
        <v>3</v>
      </c>
      <c r="F46" s="3"/>
      <c r="G46" s="3"/>
      <c r="H46" s="34">
        <f>SUMIFS('OB History'!C:C,'OB History'!B:B,A46)</f>
        <v>1389</v>
      </c>
      <c r="I46" s="4">
        <f>AVERAGEIFS('OB History'!C:C,'OB History'!B:B,A46)</f>
        <v>24.803571428571427</v>
      </c>
      <c r="J46" s="35">
        <f t="array" ref="J46">MAX(IF('OB History'!B:B=A46, 'OB History'!C:C))</f>
        <v>58</v>
      </c>
      <c r="K46" s="34">
        <f>COUNTIFS('OB History'!B:B,A46,'OB History'!D:D, 1)</f>
        <v>24</v>
      </c>
      <c r="L46" s="2">
        <f>COUNTIFS('OB History'!B:B,A46,'OB History'!D:D, 0)</f>
        <v>32</v>
      </c>
      <c r="M46" s="88">
        <f>LOOKUP(2, 1/('OB History'!$B:$B=A46), 'OB History'!$AD:$AD)</f>
        <v>0.42857142857142855</v>
      </c>
      <c r="N46" s="34">
        <f>SUMIFS('OB History'!F:F,'OB History'!B:B,A46)</f>
        <v>109</v>
      </c>
      <c r="O46" s="2">
        <f>SUMIFS('OB History'!E:E,'OB History'!B:B,A46)-N46</f>
        <v>118</v>
      </c>
      <c r="P46" s="88">
        <f>LOOKUP(2, 1/('OB History'!$B:$B=A46), 'OB History'!$AB:$AB)</f>
        <v>0.48214285714285726</v>
      </c>
      <c r="Q46" s="34">
        <f>SUMIFS('OB History'!H:H,'OB History'!B:B,'Old Bow v2'!A46)</f>
        <v>467</v>
      </c>
      <c r="R46" s="2">
        <f>SUMIFS('OB History'!G:G,'OB History'!B:B,'Old Bow v2'!A46)-Q46</f>
        <v>471</v>
      </c>
      <c r="S46" s="88">
        <f>LOOKUP(2, 1/('OB History'!$B:$B=A46), 'OB History'!$AC:$AC)</f>
        <v>0.5026785714285712</v>
      </c>
      <c r="T46" s="2">
        <f>COUNTIFS('OB History'!$B:$B,$A$46,'OB History'!K:K, 1)</f>
        <v>7</v>
      </c>
      <c r="U46" s="2">
        <f>COUNTIFS('OB History'!$B:$B,$A$46,'OB History'!L:L, 1)</f>
        <v>7</v>
      </c>
      <c r="V46" s="2">
        <f>COUNTIFS('OB History'!$B:$B,$A$46,'OB History'!M:M, 1)</f>
        <v>3</v>
      </c>
      <c r="W46" s="2">
        <f>COUNTIFS('OB History'!$B:$B,$A$46,'OB History'!N:N, 1)</f>
        <v>11</v>
      </c>
      <c r="X46" s="2">
        <f>COUNTIFS('OB History'!$B:$B,$A$46,'OB History'!O:O, 1)</f>
        <v>1</v>
      </c>
      <c r="Y46" s="2">
        <f>COUNTIFS('OB History'!$B:$B,$A$46,'OB History'!P:P, 1)</f>
        <v>10</v>
      </c>
      <c r="Z46" s="2">
        <f>COUNTIFS('OB History'!$B:$B,$A$46,'OB History'!Q:Q, 1)</f>
        <v>5</v>
      </c>
      <c r="AA46" s="2">
        <f>COUNTIFS('OB History'!$B:$B,$A$46,'OB History'!R:R, 1)</f>
        <v>5</v>
      </c>
      <c r="AB46" s="2">
        <f>COUNTIFS('OB History'!$B:$B,$A$46,'OB History'!S:S, 1)</f>
        <v>1</v>
      </c>
      <c r="AC46" s="2">
        <f>COUNTIFS('OB History'!$B:$B,$A$46,'OB History'!T:T, 1)</f>
        <v>2</v>
      </c>
      <c r="AD46" s="2">
        <f>COUNTIFS('OB History'!$B:$B,$A$46,'OB History'!U:U, 1)</f>
        <v>1</v>
      </c>
      <c r="AE46" s="2">
        <f>COUNTIFS('OB History'!$B:$B,$A$46,'OB History'!V:V, 1)</f>
        <v>3</v>
      </c>
      <c r="AF46" s="2">
        <f>COUNTIFS('OB History'!$B:$B,$A$46,'OB History'!W:W, 1)</f>
        <v>7</v>
      </c>
      <c r="AG46" s="2">
        <f>COUNTIFS('OB History'!$B:$B,$A$46,'OB History'!X:X, 1)</f>
        <v>21</v>
      </c>
      <c r="AH46" s="2">
        <f>COUNTIFS('OB History'!$B:$B,$A$46,'OB History'!Y:Y, 1)</f>
        <v>8</v>
      </c>
      <c r="AI46" s="2">
        <f>COUNTIFS('OB History'!$B:$B,$A$46,'OB History'!Z:Z, 1)</f>
        <v>17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7</v>
      </c>
      <c r="E47" s="3">
        <v>1</v>
      </c>
      <c r="F47" s="3"/>
      <c r="G47" s="3"/>
      <c r="H47" s="34">
        <f>SUMIFS('OB History'!C:C,'OB History'!B:B,A47)</f>
        <v>421</v>
      </c>
      <c r="I47" s="4">
        <f>AVERAGEIFS('OB History'!C:C,'OB History'!B:B,A47)</f>
        <v>16.84</v>
      </c>
      <c r="J47" s="35">
        <f t="array" ref="J47">MAX(IF('OB History'!B:B=A47, 'OB History'!C:C))</f>
        <v>43</v>
      </c>
      <c r="K47" s="34">
        <f>COUNTIFS('OB History'!B:B,A47,'OB History'!D:D, 1)</f>
        <v>8</v>
      </c>
      <c r="L47" s="2">
        <f>COUNTIFS('OB History'!B:B,A47,'OB History'!D:D, 0)</f>
        <v>17</v>
      </c>
      <c r="M47" s="88">
        <f>LOOKUP(2, 1/('OB History'!$B:$B=A47), 'OB History'!$AD:$AD)</f>
        <v>0.32</v>
      </c>
      <c r="N47" s="34">
        <f>SUMIFS('OB History'!F:F,'OB History'!B:B,A47)</f>
        <v>42</v>
      </c>
      <c r="O47" s="2">
        <f>SUMIFS('OB History'!E:E,'OB History'!B:B,A47)-N47</f>
        <v>63</v>
      </c>
      <c r="P47" s="88">
        <f>LOOKUP(2, 1/('OB History'!$B:$B=A47), 'OB History'!$AB:$AB)</f>
        <v>0.38</v>
      </c>
      <c r="Q47" s="34">
        <f>SUMIFS('OB History'!H:H,'OB History'!B:B,'Old Bow v2'!A47)</f>
        <v>201</v>
      </c>
      <c r="R47" s="2">
        <f>SUMIFS('OB History'!G:G,'OB History'!B:B,'Old Bow v2'!A47)-Q47</f>
        <v>227</v>
      </c>
      <c r="S47" s="88">
        <f>LOOKUP(2, 1/('OB History'!$B:$B=A47), 'OB History'!$AC:$AC)</f>
        <v>0.45600000000000002</v>
      </c>
      <c r="T47" s="2">
        <f>COUNTIFS('OB History'!$B:$B,$A$47,'OB History'!K:K, 1)</f>
        <v>4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7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3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3</v>
      </c>
      <c r="AG47" s="2">
        <f>COUNTIFS('OB History'!$B:$B,$A$47,'OB History'!X:X, 1)</f>
        <v>4</v>
      </c>
      <c r="AH47" s="2">
        <f>COUNTIFS('OB History'!$B:$B,$A$47,'OB History'!Y:Y, 1)</f>
        <v>4</v>
      </c>
      <c r="AI47" s="2">
        <f>COUNTIFS('OB History'!$B:$B,$A$47,'OB History'!Z:Z, 1)</f>
        <v>3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1</v>
      </c>
      <c r="E48" s="3">
        <v>1</v>
      </c>
      <c r="F48" s="3"/>
      <c r="G48" s="3"/>
      <c r="H48" s="34">
        <f>SUMIFS('OB History'!C:C,'OB History'!B:B,A48)</f>
        <v>725</v>
      </c>
      <c r="I48" s="4">
        <f>AVERAGEIFS('OB History'!C:C,'OB History'!B:B,A48)</f>
        <v>24.166666666666668</v>
      </c>
      <c r="J48" s="35">
        <f t="array" ref="J48">MAX(IF('OB History'!B:B=A48, 'OB History'!C:C))</f>
        <v>66</v>
      </c>
      <c r="K48" s="34">
        <f>COUNTIFS('OB History'!B:B,A48,'OB History'!D:D, 1)</f>
        <v>21</v>
      </c>
      <c r="L48" s="2">
        <f>COUNTIFS('OB History'!B:B,A48,'OB History'!D:D, 0)</f>
        <v>9</v>
      </c>
      <c r="M48" s="88">
        <f>LOOKUP(2, 1/('OB History'!$B:$B=A48), 'OB History'!$AD:$AD)</f>
        <v>0.7</v>
      </c>
      <c r="N48" s="34">
        <f>SUMIFS('OB History'!F:F,'OB History'!B:B,A48)</f>
        <v>74</v>
      </c>
      <c r="O48" s="2">
        <f>SUMIFS('OB History'!E:E,'OB History'!B:B,A48)-N48</f>
        <v>47</v>
      </c>
      <c r="P48" s="88">
        <f>LOOKUP(2, 1/('OB History'!$B:$B=A48), 'OB History'!$AB:$AB)</f>
        <v>0.63500000000000001</v>
      </c>
      <c r="Q48" s="34">
        <f>SUMIFS('OB History'!H:H,'OB History'!B:B,'Old Bow v2'!A48)</f>
        <v>281</v>
      </c>
      <c r="R48" s="2">
        <f>SUMIFS('OB History'!G:G,'OB History'!B:B,'Old Bow v2'!A48)-Q48</f>
        <v>230</v>
      </c>
      <c r="S48" s="88">
        <f>LOOKUP(2, 1/('OB History'!$B:$B=A48), 'OB History'!$AC:$AC)</f>
        <v>0.56033333333333324</v>
      </c>
      <c r="T48" s="2">
        <f>COUNTIFS('OB History'!$B:$B,$A$48,'OB History'!K:K, 1)</f>
        <v>2</v>
      </c>
      <c r="U48" s="2">
        <f>COUNTIFS('OB History'!$B:$B,$A$48,'OB History'!L:L, 1)</f>
        <v>7</v>
      </c>
      <c r="V48" s="2">
        <f>COUNTIFS('OB History'!$B:$B,$A$48,'OB History'!M:M, 1)</f>
        <v>8</v>
      </c>
      <c r="W48" s="2">
        <f>COUNTIFS('OB History'!$B:$B,$A$48,'OB History'!N:N, 1)</f>
        <v>5</v>
      </c>
      <c r="X48" s="2">
        <f>COUNTIFS('OB History'!$B:$B,$A$48,'OB History'!O:O, 1)</f>
        <v>2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10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6</v>
      </c>
      <c r="E49" s="3">
        <v>3</v>
      </c>
      <c r="F49" s="3"/>
      <c r="G49" s="3">
        <v>1</v>
      </c>
      <c r="H49" s="34">
        <f>SUMIFS('OB History'!C:C,'OB History'!B:B,A49)</f>
        <v>904</v>
      </c>
      <c r="I49" s="4">
        <f>AVERAGEIFS('OB History'!C:C,'OB History'!B:B,A49)</f>
        <v>27.393939393939394</v>
      </c>
      <c r="J49" s="35">
        <f t="array" ref="J49">MAX(IF('OB History'!B:B=A49, 'OB History'!C:C))</f>
        <v>58</v>
      </c>
      <c r="K49" s="34">
        <f>COUNTIFS('OB History'!B:B,A49,'OB History'!D:D, 1)</f>
        <v>16</v>
      </c>
      <c r="L49" s="2">
        <f>COUNTIFS('OB History'!B:B,A49,'OB History'!D:D, 0)</f>
        <v>17</v>
      </c>
      <c r="M49" s="88">
        <f>LOOKUP(2, 1/('OB History'!$B:$B=A49), 'OB History'!$AD:$AD)</f>
        <v>0.48484848484848486</v>
      </c>
      <c r="N49" s="34">
        <f>SUMIFS('OB History'!F:F,'OB History'!B:B,A49)</f>
        <v>67</v>
      </c>
      <c r="O49" s="2">
        <f>SUMIFS('OB History'!E:E,'OB History'!B:B,A49)-N49</f>
        <v>69</v>
      </c>
      <c r="P49" s="88">
        <f>LOOKUP(2, 1/('OB History'!$B:$B=A49), 'OB History'!$AB:$AB)</f>
        <v>0.48636363636363639</v>
      </c>
      <c r="Q49" s="34">
        <f>SUMIFS('OB History'!H:H,'OB History'!B:B,'Old Bow v2'!A49)</f>
        <v>279</v>
      </c>
      <c r="R49" s="2">
        <f>SUMIFS('OB History'!G:G,'OB History'!B:B,'Old Bow v2'!A49)-Q49</f>
        <v>286</v>
      </c>
      <c r="S49" s="88">
        <f>LOOKUP(2, 1/('OB History'!$B:$B=A49), 'OB History'!$AC:$AC)</f>
        <v>0.49212121212121218</v>
      </c>
      <c r="T49" s="2">
        <f>COUNTIFS('OB History'!$B:$B,$A$49,'OB History'!K:K, 1)</f>
        <v>5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11</v>
      </c>
      <c r="X49" s="2">
        <f>COUNTIFS('OB History'!$B:$B,$A$49,'OB History'!O:O, 1)</f>
        <v>3</v>
      </c>
      <c r="Y49" s="2">
        <f>COUNTIFS('OB History'!$B:$B,$A$49,'OB History'!P:P, 1)</f>
        <v>8</v>
      </c>
      <c r="Z49" s="2">
        <f>COUNTIFS('OB History'!$B:$B,$A$49,'OB History'!Q:Q, 1)</f>
        <v>4</v>
      </c>
      <c r="AA49" s="2">
        <f>COUNTIFS('OB History'!$B:$B,$A$49,'OB History'!R:R, 1)</f>
        <v>3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7</v>
      </c>
      <c r="AG49" s="2">
        <f>COUNTIFS('OB History'!$B:$B,$A$49,'OB History'!X:X, 1)</f>
        <v>8</v>
      </c>
      <c r="AH49" s="2">
        <f>COUNTIFS('OB History'!$B:$B,$A$49,'OB History'!Y:Y, 1)</f>
        <v>4</v>
      </c>
      <c r="AI49" s="2">
        <f>COUNTIFS('OB History'!$B:$B,$A$49,'OB History'!Z:Z, 1)</f>
        <v>8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305</v>
      </c>
      <c r="I50" s="4">
        <f>AVERAGEIFS('OB History'!C:C,'OB History'!B:B,A50)</f>
        <v>20.333333333333332</v>
      </c>
      <c r="J50" s="35">
        <f t="array" ref="J50">MAX(IF('OB History'!B:B=A50, 'OB History'!C:C))</f>
        <v>50</v>
      </c>
      <c r="K50" s="34">
        <f>COUNTIFS('OB History'!B:B,A50,'OB History'!D:D, 1)</f>
        <v>10</v>
      </c>
      <c r="L50" s="2">
        <f>COUNTIFS('OB History'!B:B,A50,'OB History'!D:D, 0)</f>
        <v>5</v>
      </c>
      <c r="M50" s="88">
        <f>LOOKUP(2, 1/('OB History'!$B:$B=A50), 'OB History'!$AD:$AD)</f>
        <v>0.66666666666666663</v>
      </c>
      <c r="N50" s="34">
        <f>SUMIFS('OB History'!F:F,'OB History'!B:B,A50)</f>
        <v>33</v>
      </c>
      <c r="O50" s="2">
        <f>SUMIFS('OB History'!E:E,'OB History'!B:B,A50)-N50</f>
        <v>24</v>
      </c>
      <c r="P50" s="88">
        <f>LOOKUP(2, 1/('OB History'!$B:$B=A50), 'OB History'!$AB:$AB)</f>
        <v>0.58000000000000007</v>
      </c>
      <c r="Q50" s="34">
        <f>SUMIFS('OB History'!H:H,'OB History'!B:B,'Old Bow v2'!A50)</f>
        <v>126</v>
      </c>
      <c r="R50" s="2">
        <f>SUMIFS('OB History'!G:G,'OB History'!B:B,'Old Bow v2'!A50)-Q50</f>
        <v>112</v>
      </c>
      <c r="S50" s="88">
        <f>LOOKUP(2, 1/('OB History'!$B:$B=A50), 'OB History'!$AC:$AC)</f>
        <v>0.5246666666666665</v>
      </c>
      <c r="T50" s="2">
        <f>COUNTIFS('OB History'!$B:$B,$A$50,'OB History'!K:K, 1)</f>
        <v>0</v>
      </c>
      <c r="U50" s="2">
        <f>COUNTIFS('OB History'!$B:$B,$A$50,'OB History'!L:L, 1)</f>
        <v>6</v>
      </c>
      <c r="V50" s="2">
        <f>COUNTIFS('OB History'!$B:$B,$A$50,'OB History'!M:M, 1)</f>
        <v>3</v>
      </c>
      <c r="W50" s="2">
        <f>COUNTIFS('OB History'!$B:$B,$A$50,'OB History'!N:N, 1)</f>
        <v>3</v>
      </c>
      <c r="X50" s="2">
        <f>COUNTIFS('OB History'!$B:$B,$A$50,'OB History'!O:O, 1)</f>
        <v>1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1118</v>
      </c>
      <c r="I52" s="4">
        <f>AVERAGEIFS('OB History'!C:C,'OB History'!B:B,A52)</f>
        <v>24.844444444444445</v>
      </c>
      <c r="J52" s="35">
        <f t="array" ref="J52">MAX(IF('OB History'!B:B=A52, 'OB History'!C:C))</f>
        <v>56</v>
      </c>
      <c r="K52" s="34">
        <f>COUNTIFS('OB History'!B:B,A52,'OB History'!D:D, 1)</f>
        <v>21</v>
      </c>
      <c r="L52" s="2">
        <f>COUNTIFS('OB History'!B:B,A52,'OB History'!D:D, 0)</f>
        <v>24</v>
      </c>
      <c r="M52" s="88">
        <f>LOOKUP(2, 1/('OB History'!$B:$B=A52), 'OB History'!$AD:$AD)</f>
        <v>0.46666666666666667</v>
      </c>
      <c r="N52" s="34">
        <f>SUMIFS('OB History'!F:F,'OB History'!B:B,A52)</f>
        <v>87</v>
      </c>
      <c r="O52" s="2">
        <f>SUMIFS('OB History'!E:E,'OB History'!B:B,A52)-N52</f>
        <v>96</v>
      </c>
      <c r="P52" s="88">
        <f>LOOKUP(2, 1/('OB History'!$B:$B=A52), 'OB History'!$AB:$AB)</f>
        <v>0.47555555555555551</v>
      </c>
      <c r="Q52" s="34">
        <f>SUMIFS('OB History'!H:H,'OB History'!B:B,'Old Bow v2'!A52)</f>
        <v>366</v>
      </c>
      <c r="R52" s="2">
        <f>SUMIFS('OB History'!G:G,'OB History'!B:B,'Old Bow v2'!A52)-Q52</f>
        <v>395</v>
      </c>
      <c r="S52" s="88">
        <f>LOOKUP(2, 1/('OB History'!$B:$B=A52), 'OB History'!$AC:$AC)</f>
        <v>0.48688888888888898</v>
      </c>
      <c r="T52" s="2">
        <f>COUNTIFS('OB History'!$B:$B,$A$52,'OB History'!K:K, 1)</f>
        <v>5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5</v>
      </c>
      <c r="AI52" s="2">
        <f>COUNTIFS('OB History'!$B:$B,$A$52,'OB History'!Z:Z, 1)</f>
        <v>11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296</v>
      </c>
      <c r="I54" s="4">
        <f>AVERAGEIFS('OB History'!C:C,'OB History'!B:B,A54)</f>
        <v>21.142857142857142</v>
      </c>
      <c r="J54" s="35">
        <f t="array" ref="J54">MAX(IF('OB History'!B:B=A54, 'OB History'!C:C))</f>
        <v>46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27</v>
      </c>
      <c r="O54" s="2">
        <f>SUMIFS('OB History'!E:E,'OB History'!B:B,A54)-N54</f>
        <v>28</v>
      </c>
      <c r="P54" s="88">
        <f>LOOKUP(2, 1/('OB History'!$B:$B=A54), 'OB History'!$AB:$AB)</f>
        <v>0.48571428571428571</v>
      </c>
      <c r="Q54" s="34">
        <f>SUMIFS('OB History'!H:H,'OB History'!B:B,'Old Bow v2'!A54)</f>
        <v>112</v>
      </c>
      <c r="R54" s="2">
        <f>SUMIFS('OB History'!G:G,'OB History'!B:B,'Old Bow v2'!A54)-Q54</f>
        <v>114</v>
      </c>
      <c r="S54" s="88">
        <f>LOOKUP(2, 1/('OB History'!$B:$B=A54), 'OB History'!$AC:$AC)</f>
        <v>0.48499999999999999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1</v>
      </c>
      <c r="AG54" s="2">
        <f>COUNTIFS('OB History'!$B:$B,$A$54,'OB History'!X:X, 1)</f>
        <v>3</v>
      </c>
      <c r="AH54" s="2">
        <f>COUNTIFS('OB History'!$B:$B,$A$54,'OB History'!Y:Y, 1)</f>
        <v>3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156</v>
      </c>
      <c r="I55" s="4">
        <f>AVERAGEIFS('OB History'!C:C,'OB History'!B:B,A55)</f>
        <v>10.4</v>
      </c>
      <c r="J55" s="35">
        <f t="array" ref="J55">MAX(IF('OB History'!B:B=A55, 'OB History'!C:C))</f>
        <v>20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35</v>
      </c>
      <c r="O55" s="2">
        <f>SUMIFS('OB History'!E:E,'OB History'!B:B,A55)-N55</f>
        <v>27</v>
      </c>
      <c r="P55" s="88">
        <f>LOOKUP(2, 1/('OB History'!$B:$B=A55), 'OB History'!$AB:$AB)</f>
        <v>0.58333333333333337</v>
      </c>
      <c r="Q55" s="34">
        <f>SUMIFS('OB History'!H:H,'OB History'!B:B,'Old Bow v2'!A55)</f>
        <v>137</v>
      </c>
      <c r="R55" s="2">
        <f>SUMIFS('OB History'!G:G,'OB History'!B:B,'Old Bow v2'!A55)-Q55</f>
        <v>116</v>
      </c>
      <c r="S55" s="88">
        <f>LOOKUP(2, 1/('OB History'!$B:$B=A55), 'OB History'!$AC:$AC)</f>
        <v>0.54600000000000004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2</v>
      </c>
      <c r="AA55" s="2">
        <f>COUNTIFS('OB History'!$B:$B,$A$55,'OB History'!R:R, 1)</f>
        <v>1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4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958"/>
  <sheetViews>
    <sheetView workbookViewId="0">
      <pane ySplit="1" topLeftCell="A2" activePane="bottomLeft" state="frozen"/>
      <selection pane="bottomLeft" activeCell="B959" sqref="B95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T3" sqref="T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122</v>
      </c>
      <c r="I4" s="4">
        <f>AVERAGEIFS('OB History S2'!C:C,'OB History S2'!B:B,A4)</f>
        <v>8.1333333333333329</v>
      </c>
      <c r="J4" s="35">
        <f t="array" ref="J4">MAX(IF('OB History S2'!B:B=A4, 'OB History S2'!C:C))</f>
        <v>18</v>
      </c>
      <c r="K4" s="34">
        <f>COUNTIFS('OB History S2'!B:B,A4,'OB History S2'!D:D, 1)</f>
        <v>5</v>
      </c>
      <c r="L4" s="2">
        <f>COUNTIFS('OB History S2'!B:B,A4,'OB History S2'!D:D, 0)</f>
        <v>10</v>
      </c>
      <c r="M4" s="88">
        <f>LOOKUP(2, 1/('OB History S2'!$B:$B=A4), 'OB History S2'!$AD:$AD)</f>
        <v>0.33333333333333331</v>
      </c>
      <c r="N4" s="34">
        <f>SUMIFS('OB History S2'!F:F,'OB History S2'!B:B,A4)</f>
        <v>21</v>
      </c>
      <c r="O4" s="2">
        <f>SUMIFS('OB History S2'!E:E,'OB History S2'!B:B,A4)-N4</f>
        <v>34</v>
      </c>
      <c r="P4" s="88">
        <f>LOOKUP(2, 1/('OB History S2'!$B:$B=A4), 'OB History S2'!$AB:$AB)</f>
        <v>0.37666666666666671</v>
      </c>
      <c r="Q4" s="34">
        <f>SUMIFS('OB History S2'!H:H,'OB History S2'!B:B,A4)</f>
        <v>105</v>
      </c>
      <c r="R4" s="2">
        <f>SUMIFS('OB History S2'!G:G,'OB History S2'!B:B,A4)-Q4</f>
        <v>126</v>
      </c>
      <c r="S4" s="88">
        <f>LOOKUP(2, 1/('OB History S2'!$B:$B=A4), 'OB History S2'!$AC:$AC)</f>
        <v>0.45133333333333331</v>
      </c>
      <c r="T4" s="2">
        <f>COUNTIFS('OB History S2'!$B:$B,$A$4,'OB History S2'!K:K, 1)</f>
        <v>1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2</v>
      </c>
      <c r="AH4" s="2">
        <f>COUNTIFS('OB History S2'!$B:$B,$A$4,'OB History S2'!Y:Y, 1)</f>
        <v>4</v>
      </c>
      <c r="AI4" s="2">
        <f>COUNTIFS('OB History S2'!$B:$B,$A$4,'OB History S2'!Z:Z,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259</v>
      </c>
      <c r="I7" s="4">
        <f>AVERAGEIFS('OB History S2'!C:C,'OB History S2'!B:B,A7)</f>
        <v>12.95</v>
      </c>
      <c r="J7" s="35">
        <f t="array" ref="J7">MAX(IF('OB History S2'!B:B=A7, 'OB History S2'!C:C))</f>
        <v>32</v>
      </c>
      <c r="K7" s="34">
        <f>COUNTIFS('OB History S2'!B:B,A7,'OB History S2'!D:D, 1)</f>
        <v>11</v>
      </c>
      <c r="L7" s="2">
        <f>COUNTIFS('OB History S2'!B:B,A7,'OB History S2'!D:D, 0)</f>
        <v>9</v>
      </c>
      <c r="M7" s="88">
        <f>LOOKUP(2, 1/('OB History S2'!$B:$B=A7), 'OB History S2'!$AD:$AD)</f>
        <v>0.55000000000000004</v>
      </c>
      <c r="N7" s="34">
        <f>SUMIFS('OB History S2'!F:F,'OB History S2'!B:B,A7)</f>
        <v>40</v>
      </c>
      <c r="O7" s="2">
        <f>SUMIFS('OB History S2'!E:E,'OB History S2'!B:B,A7)-N7</f>
        <v>38</v>
      </c>
      <c r="P7" s="88">
        <f>LOOKUP(2, 1/('OB History S2'!$B:$B=A7), 'OB History S2'!$AB:$AB)</f>
        <v>0.50249999999999995</v>
      </c>
      <c r="Q7" s="34">
        <f>SUMIFS('OB History S2'!H:H,'OB History S2'!B:B,A7)</f>
        <v>155</v>
      </c>
      <c r="R7" s="2">
        <f>SUMIFS('OB History S2'!G:G,'OB History S2'!B:B,A7)-Q7</f>
        <v>163</v>
      </c>
      <c r="S7" s="88">
        <f>LOOKUP(2, 1/('OB History S2'!$B:$B=A7), 'OB History S2'!$AC:$AC)</f>
        <v>0.47800000000000004</v>
      </c>
      <c r="T7" s="2">
        <f>COUNTIFS('OB History S2'!$B:$B,$A$7,'OB History S2'!K:K, 1)</f>
        <v>4</v>
      </c>
      <c r="U7" s="2">
        <f>COUNTIFS('OB History S2'!$B:$B,$A$7,'OB History S2'!L:L, 1)</f>
        <v>3</v>
      </c>
      <c r="V7" s="2">
        <f>COUNTIFS('OB History S2'!$B:$B,$A$7,'OB History S2'!M:M, 1)</f>
        <v>0</v>
      </c>
      <c r="W7" s="2">
        <f>COUNTIFS('OB History S2'!$B:$B,$A$7,'OB History S2'!N:N, 1)</f>
        <v>5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78</v>
      </c>
      <c r="I10" s="4">
        <f>AVERAGEIFS('OB History S2'!C:C,'OB History S2'!B:B,A10)</f>
        <v>15.6</v>
      </c>
      <c r="J10" s="35">
        <f t="array" ref="J10">MAX(IF('OB History S2'!B:B=A10, 'OB History S2'!C:C))</f>
        <v>22</v>
      </c>
      <c r="K10" s="34">
        <f>COUNTIFS('OB History S2'!B:B,A10,'OB History S2'!D:D, 1)</f>
        <v>4</v>
      </c>
      <c r="L10" s="2">
        <f>COUNTIFS('OB History S2'!B:B,A10,'OB History S2'!D:D, 0)</f>
        <v>1</v>
      </c>
      <c r="M10" s="88">
        <f>LOOKUP(2, 1/('OB History S2'!$B:$B=A10), 'OB History S2'!$AD:$AD)</f>
        <v>0.8</v>
      </c>
      <c r="N10" s="34">
        <f>SUMIFS('OB History S2'!F:F,'OB History S2'!B:B,A10)</f>
        <v>14</v>
      </c>
      <c r="O10" s="2">
        <f>SUMIFS('OB History S2'!E:E,'OB History S2'!B:B,A10)-N10</f>
        <v>3</v>
      </c>
      <c r="P10" s="88">
        <f>LOOKUP(2, 1/('OB History S2'!$B:$B=A10), 'OB History S2'!$AB:$AB)</f>
        <v>0.85</v>
      </c>
      <c r="Q10" s="34">
        <f>SUMIFS('OB History S2'!H:H,'OB History S2'!B:B,A10)</f>
        <v>44</v>
      </c>
      <c r="R10" s="2">
        <f>SUMIFS('OB History S2'!G:G,'OB History S2'!B:B,A10)-Q10</f>
        <v>27</v>
      </c>
      <c r="S10" s="88">
        <f>LOOKUP(2, 1/('OB History S2'!$B:$B=A10), 'OB History S2'!$AC:$AC)</f>
        <v>0.62799999999999989</v>
      </c>
      <c r="T10" s="2">
        <f>COUNTIFS('OB History S2'!$B:$B,$A$10,'OB History S2'!K:K, 1)</f>
        <v>0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3</v>
      </c>
      <c r="AH10" s="2">
        <f>COUNTIFS('OB History S2'!$B:$B,$A$10,'OB History S2'!Y:Y, 1)</f>
        <v>1</v>
      </c>
      <c r="AI10" s="2">
        <f>COUNTIFS('OB History S2'!$B:$B,$A$10,'OB History S2'!Z:Z, 1)</f>
        <v>2</v>
      </c>
    </row>
    <row r="11" spans="1:35" x14ac:dyDescent="0.25">
      <c r="A11" s="1" t="s">
        <v>25</v>
      </c>
      <c r="B11" s="6" t="s">
        <v>79</v>
      </c>
      <c r="C11" s="2" t="s">
        <v>79</v>
      </c>
      <c r="D11" s="2">
        <v>2</v>
      </c>
      <c r="E11" s="2"/>
      <c r="F11" s="2"/>
      <c r="G11" s="2"/>
      <c r="H11" s="34">
        <f>SUMIFS('OB History S2'!C:C,'OB History S2'!B:B,A11)</f>
        <v>334</v>
      </c>
      <c r="I11" s="4">
        <f>AVERAGEIFS('OB History S2'!C:C,'OB History S2'!B:B,A11)</f>
        <v>20.875</v>
      </c>
      <c r="J11" s="35">
        <f t="array" ref="J11">MAX(IF('OB History S2'!B:B=A11, 'OB History S2'!C:C))</f>
        <v>50</v>
      </c>
      <c r="K11" s="34">
        <f>COUNTIFS('OB History S2'!B:B,A11,'OB History S2'!D:D, 1)</f>
        <v>9</v>
      </c>
      <c r="L11" s="2">
        <f>COUNTIFS('OB History S2'!B:B,A11,'OB History S2'!D:D, 0)</f>
        <v>7</v>
      </c>
      <c r="M11" s="88">
        <f>LOOKUP(2, 1/('OB History S2'!$B:$B=A11), 'OB History S2'!$AD:$AD)</f>
        <v>0.5625</v>
      </c>
      <c r="N11" s="34">
        <f>SUMIFS('OB History S2'!F:F,'OB History S2'!B:B,A11)</f>
        <v>35</v>
      </c>
      <c r="O11" s="2">
        <f>SUMIFS('OB History S2'!E:E,'OB History S2'!B:B,A11)-N11</f>
        <v>33</v>
      </c>
      <c r="P11" s="88">
        <f>LOOKUP(2, 1/('OB History S2'!$B:$B=A11), 'OB History S2'!$AB:$AB)</f>
        <v>0.50624999999999998</v>
      </c>
      <c r="Q11" s="34">
        <f>SUMIFS('OB History S2'!H:H,'OB History S2'!B:B,A11)</f>
        <v>138</v>
      </c>
      <c r="R11" s="2">
        <f>SUMIFS('OB History S2'!G:G,'OB History S2'!B:B,A11)-Q11</f>
        <v>144</v>
      </c>
      <c r="S11" s="88">
        <f>LOOKUP(2, 1/('OB History S2'!$B:$B=A11), 'OB History S2'!$AC:$AC)</f>
        <v>0.49187499999999995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3</v>
      </c>
      <c r="Z11" s="2">
        <f>COUNTIFS('OB History S2'!$B:$B,$A$11,'OB History S2'!Q:Q, 1)</f>
        <v>3</v>
      </c>
      <c r="AA11" s="2">
        <f>COUNTIFS('OB History S2'!$B:$B,$A$11,'OB History S2'!R:R, 1)</f>
        <v>2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5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122</v>
      </c>
      <c r="I12" s="4">
        <f>AVERAGEIFS('OB History S2'!C:C,'OB History S2'!B:B,A12)</f>
        <v>13.555555555555555</v>
      </c>
      <c r="J12" s="35">
        <f t="array" ref="J12">MAX(IF('OB History S2'!B:B=A12, 'OB History S2'!C:C))</f>
        <v>27</v>
      </c>
      <c r="K12" s="34">
        <f>COUNTIFS('OB History S2'!B:B,A12,'OB History S2'!D:D, 1)</f>
        <v>2</v>
      </c>
      <c r="L12" s="2">
        <f>COUNTIFS('OB History S2'!B:B,A12,'OB History S2'!D:D, 0)</f>
        <v>7</v>
      </c>
      <c r="M12" s="88">
        <f>LOOKUP(2, 1/('OB History S2'!$B:$B=A12), 'OB History S2'!$AD:$AD)</f>
        <v>0.22222222222222221</v>
      </c>
      <c r="N12" s="34">
        <f>SUMIFS('OB History S2'!F:F,'OB History S2'!B:B,A12)</f>
        <v>12</v>
      </c>
      <c r="O12" s="2">
        <f>SUMIFS('OB History S2'!E:E,'OB History S2'!B:B,A12)-N12</f>
        <v>23</v>
      </c>
      <c r="P12" s="88">
        <f>LOOKUP(2, 1/('OB History S2'!$B:$B=A12), 'OB History S2'!$AB:$AB)</f>
        <v>0.32222222222222219</v>
      </c>
      <c r="Q12" s="34">
        <f>SUMIFS('OB History S2'!H:H,'OB History S2'!B:B,A12)</f>
        <v>66</v>
      </c>
      <c r="R12" s="2">
        <f>SUMIFS('OB History S2'!G:G,'OB History S2'!B:B,A12)-Q12</f>
        <v>86</v>
      </c>
      <c r="S12" s="88">
        <f>LOOKUP(2, 1/('OB History S2'!$B:$B=A12), 'OB History S2'!$AC:$AC)</f>
        <v>0.42777777777777781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2</v>
      </c>
      <c r="W12" s="2">
        <f>COUNTIFS('OB History S2'!$B:$B,$A$12,'OB History S2'!N:N, 1)</f>
        <v>3</v>
      </c>
      <c r="X12" s="2">
        <f>COUNTIFS('OB History S2'!$B:$B,$A$12,'OB History S2'!O:O, 1)</f>
        <v>1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158</v>
      </c>
      <c r="I13" s="4">
        <f>AVERAGEIFS('OB History S2'!C:C,'OB History S2'!B:B,A13)</f>
        <v>17.555555555555557</v>
      </c>
      <c r="J13" s="35">
        <f t="array" ref="J13">MAX(IF('OB History S2'!B:B=A13, 'OB History S2'!C:C))</f>
        <v>44</v>
      </c>
      <c r="K13" s="34">
        <f>COUNTIFS('OB History S2'!B:B,A13,'OB History S2'!D:D, 1)</f>
        <v>7</v>
      </c>
      <c r="L13" s="2">
        <f>COUNTIFS('OB History S2'!B:B,A13,'OB History S2'!D:D, 0)</f>
        <v>2</v>
      </c>
      <c r="M13" s="88">
        <f>LOOKUP(2, 1/('OB History S2'!$B:$B=A13), 'OB History S2'!$AD:$AD)</f>
        <v>0.77777777777777779</v>
      </c>
      <c r="N13" s="34">
        <f>SUMIFS('OB History S2'!F:F,'OB History S2'!B:B,A13)</f>
        <v>24</v>
      </c>
      <c r="O13" s="2">
        <f>SUMIFS('OB History S2'!E:E,'OB History S2'!B:B,A13)-N13</f>
        <v>13</v>
      </c>
      <c r="P13" s="88">
        <f>LOOKUP(2, 1/('OB History S2'!$B:$B=A13), 'OB History S2'!$AB:$AB)</f>
        <v>0.66666666666666663</v>
      </c>
      <c r="Q13" s="34">
        <f>SUMIFS('OB History S2'!H:H,'OB History S2'!B:B,A13)</f>
        <v>85</v>
      </c>
      <c r="R13" s="2">
        <f>SUMIFS('OB History S2'!G:G,'OB History S2'!B:B,A13)-Q13</f>
        <v>60</v>
      </c>
      <c r="S13" s="88">
        <f>LOOKUP(2, 1/('OB History S2'!$B:$B=A13), 'OB History S2'!$AC:$AC)</f>
        <v>0.59666666666666679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2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3</v>
      </c>
      <c r="AA13" s="2">
        <f>COUNTIFS('OB History S2'!$B:$B,$A$13,'OB History S2'!R:R, 1)</f>
        <v>3</v>
      </c>
      <c r="AB13" s="2">
        <f>COUNTIFS('OB History S2'!$B:$B,$A$13,'OB History S2'!S:S, 1)</f>
        <v>0</v>
      </c>
      <c r="AC13" s="2">
        <f>COUNTIFS('OB History S2'!$B:$B,$A$13,'OB History S2'!T:T, 1)</f>
        <v>1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195</v>
      </c>
      <c r="I14" s="4">
        <f>AVERAGEIFS('OB History S2'!C:C,'OB History S2'!B:B,A14)</f>
        <v>16.25</v>
      </c>
      <c r="J14" s="35">
        <f t="array" ref="J14">MAX(IF('OB History S2'!B:B=A14, 'OB History S2'!C:C))</f>
        <v>41</v>
      </c>
      <c r="K14" s="34">
        <f>COUNTIFS('OB History S2'!B:B,A14,'OB History S2'!D:D, 1)</f>
        <v>5</v>
      </c>
      <c r="L14" s="2">
        <f>COUNTIFS('OB History S2'!B:B,A14,'OB History S2'!D:D, 0)</f>
        <v>7</v>
      </c>
      <c r="M14" s="88">
        <f>LOOKUP(2, 1/('OB History S2'!$B:$B=A14), 'OB History S2'!$AD:$AD)</f>
        <v>0.41666666666666669</v>
      </c>
      <c r="N14" s="34">
        <f>SUMIFS('OB History S2'!F:F,'OB History S2'!B:B,A14)</f>
        <v>22</v>
      </c>
      <c r="O14" s="2">
        <f>SUMIFS('OB History S2'!E:E,'OB History S2'!B:B,A14)-N14</f>
        <v>25</v>
      </c>
      <c r="P14" s="88">
        <f>LOOKUP(2, 1/('OB History S2'!$B:$B=A14), 'OB History S2'!$AB:$AB)</f>
        <v>0.47083333333333338</v>
      </c>
      <c r="Q14" s="34">
        <f>SUMIFS('OB History S2'!H:H,'OB History S2'!B:B,A14)</f>
        <v>93</v>
      </c>
      <c r="R14" s="2">
        <f>SUMIFS('OB History S2'!G:G,'OB History S2'!B:B,A14)-Q14</f>
        <v>104</v>
      </c>
      <c r="S14" s="88">
        <f>LOOKUP(2, 1/('OB History S2'!$B:$B=A14), 'OB History S2'!$AC:$AC)</f>
        <v>0.46250000000000008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1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1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4</v>
      </c>
      <c r="AI14" s="2">
        <f>COUNTIFS('OB History S2'!$B:$B,$A$14,'OB History S2'!Z:Z, 1)</f>
        <v>3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106</v>
      </c>
      <c r="I16" s="4">
        <f>AVERAGEIFS('OB History S2'!C:C,'OB History S2'!B:B,A16)</f>
        <v>13.25</v>
      </c>
      <c r="J16" s="35">
        <f t="array" ref="J16">MAX(IF('OB History S2'!B:B=A16, 'OB History S2'!C:C))</f>
        <v>19</v>
      </c>
      <c r="K16" s="34">
        <f>COUNTIFS('OB History S2'!B:B,A16,'OB History S2'!D:D, 1)</f>
        <v>1</v>
      </c>
      <c r="L16" s="2">
        <f>COUNTIFS('OB History S2'!B:B,A16,'OB History S2'!D:D, 0)</f>
        <v>7</v>
      </c>
      <c r="M16" s="88">
        <f>LOOKUP(2, 1/('OB History S2'!$B:$B=A16), 'OB History S2'!$AD:$AD)</f>
        <v>0.125</v>
      </c>
      <c r="N16" s="34">
        <f>SUMIFS('OB History S2'!F:F,'OB History S2'!B:B,A16)</f>
        <v>7</v>
      </c>
      <c r="O16" s="2">
        <f>SUMIFS('OB History S2'!E:E,'OB History S2'!B:B,A16)-N16</f>
        <v>23</v>
      </c>
      <c r="P16" s="88">
        <f>LOOKUP(2, 1/('OB History S2'!$B:$B=A16), 'OB History S2'!$AB:$AB)</f>
        <v>0.19375000000000001</v>
      </c>
      <c r="Q16" s="34">
        <f>SUMIFS('OB History S2'!H:H,'OB History S2'!B:B,A16)</f>
        <v>47</v>
      </c>
      <c r="R16" s="2">
        <f>SUMIFS('OB History S2'!G:G,'OB History S2'!B:B,A16)-Q16</f>
        <v>80</v>
      </c>
      <c r="S16" s="88">
        <f>LOOKUP(2, 1/('OB History S2'!$B:$B=A16), 'OB History S2'!$AC:$AC)</f>
        <v>0.34625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2</v>
      </c>
      <c r="AA16" s="2">
        <f>COUNTIFS('OB History S2'!$B:$B,$A$16,'OB History S2'!R:R, 1)</f>
        <v>1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1</v>
      </c>
    </row>
    <row r="17" spans="1:35" x14ac:dyDescent="0.25">
      <c r="A17" s="1" t="s">
        <v>215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0</v>
      </c>
      <c r="I17" s="4">
        <f>AVERAGEIFS('OB History S2'!C:C,'OB History S2'!B:B,A17)</f>
        <v>0</v>
      </c>
      <c r="J17" s="35">
        <f t="array" ref="J17">MAX(IF('OB History S2'!B:B=A17, 'OB History S2'!C:C))</f>
        <v>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0</v>
      </c>
      <c r="O17" s="2">
        <f>SUMIFS('OB History S2'!E:E,'OB History S2'!B:B,A17)-N17</f>
        <v>3</v>
      </c>
      <c r="P17" s="88">
        <f>LOOKUP(2, 1/('OB History S2'!$B:$B=A17), 'OB History S2'!$AB:$AB)</f>
        <v>0</v>
      </c>
      <c r="Q17" s="34">
        <f>SUMIFS('OB History S2'!H:H,'OB History S2'!B:B,A17)</f>
        <v>3</v>
      </c>
      <c r="R17" s="2">
        <f>SUMIFS('OB History S2'!G:G,'OB History S2'!B:B,A17)-Q17</f>
        <v>9</v>
      </c>
      <c r="S17" s="88">
        <f>LOOKUP(2, 1/('OB History S2'!$B:$B=A17), 'OB History S2'!$AC:$AC)</f>
        <v>0.25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0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ht="15.75" x14ac:dyDescent="0.25">
      <c r="A18" s="1" t="s">
        <v>45</v>
      </c>
      <c r="B18" s="80" t="s">
        <v>60</v>
      </c>
      <c r="C18" s="2" t="s">
        <v>79</v>
      </c>
      <c r="D18" s="2"/>
      <c r="E18" s="2"/>
      <c r="F18" s="2"/>
      <c r="G18" s="2"/>
      <c r="H18" s="34">
        <f>SUMIFS('OB History S2'!C:C,'OB History S2'!B:B,A18)</f>
        <v>126</v>
      </c>
      <c r="I18" s="4">
        <f>AVERAGEIFS('OB History S2'!C:C,'OB History S2'!B:B,A18)</f>
        <v>15.75</v>
      </c>
      <c r="J18" s="35">
        <f t="array" ref="J18">MAX(IF('OB History S2'!B:B=A18, 'OB History S2'!C:C))</f>
        <v>29</v>
      </c>
      <c r="K18" s="34">
        <f>COUNTIFS('OB History S2'!B:B,A18,'OB History S2'!D:D, 1)</f>
        <v>4</v>
      </c>
      <c r="L18" s="2">
        <f>COUNTIFS('OB History S2'!B:B,A18,'OB History S2'!D:D, 0)</f>
        <v>4</v>
      </c>
      <c r="M18" s="88">
        <f>LOOKUP(2, 1/('OB History S2'!$B:$B=A18), 'OB History S2'!$AD:$AD)</f>
        <v>0.5</v>
      </c>
      <c r="N18" s="34">
        <f>SUMIFS('OB History S2'!F:F,'OB History S2'!B:B,A18)</f>
        <v>18</v>
      </c>
      <c r="O18" s="2">
        <f>SUMIFS('OB History S2'!E:E,'OB History S2'!B:B,A18)-N18</f>
        <v>18</v>
      </c>
      <c r="P18" s="88">
        <f>LOOKUP(2, 1/('OB History S2'!$B:$B=A18), 'OB History S2'!$AB:$AB)</f>
        <v>0.5</v>
      </c>
      <c r="Q18" s="34">
        <f>SUMIFS('OB History S2'!H:H,'OB History S2'!B:B,A18)</f>
        <v>68</v>
      </c>
      <c r="R18" s="2">
        <f>SUMIFS('OB History S2'!G:G,'OB History S2'!B:B,A18)-Q18</f>
        <v>72</v>
      </c>
      <c r="S18" s="88">
        <f>LOOKUP(2, 1/('OB History S2'!$B:$B=A18), 'OB History S2'!$AC:$AC)</f>
        <v>0.48624999999999996</v>
      </c>
      <c r="T18" s="2">
        <f>COUNTIFS('OB History S2'!$B:$B,$A$18,'OB History S2'!K:K, 1)</f>
        <v>1</v>
      </c>
      <c r="U18" s="2">
        <f>COUNTIFS('OB History S2'!$B:$B,$A$18,'OB History S2'!L:L, 1)</f>
        <v>1</v>
      </c>
      <c r="V18" s="2">
        <f>COUNTIFS('OB History S2'!$B:$B,$A$18,'OB History S2'!M:M, 1)</f>
        <v>2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1</v>
      </c>
      <c r="AC18" s="2">
        <f>COUNTIFS('OB History S2'!$B:$B,$A$18,'OB History S2'!T:T, 1)</f>
        <v>1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2</v>
      </c>
      <c r="AH18" s="2">
        <f>COUNTIFS('OB History S2'!$B:$B,$A$18,'OB History S2'!Y:Y, 1)</f>
        <v>3</v>
      </c>
      <c r="AI18" s="2">
        <f>COUNTIFS('OB History S2'!$B:$B,$A$18,'OB History S2'!Z:Z, 1)</f>
        <v>3</v>
      </c>
    </row>
    <row r="19" spans="1:35" x14ac:dyDescent="0.25">
      <c r="A19" s="2" t="s">
        <v>52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34</v>
      </c>
      <c r="I19" s="4">
        <f>AVERAGEIFS('OB History S2'!C:C,'OB History S2'!B:B,A19)</f>
        <v>34</v>
      </c>
      <c r="J19" s="35">
        <f t="array" ref="J19">MAX(IF('OB History S2'!B:B=A19, 'OB History S2'!C:C))</f>
        <v>34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2</v>
      </c>
      <c r="O19" s="2">
        <f>SUMIFS('OB History S2'!E:E,'OB History S2'!B:B,A19)-N19</f>
        <v>3</v>
      </c>
      <c r="P19" s="88">
        <f>LOOKUP(2, 1/('OB History S2'!$B:$B=A19), 'OB History S2'!$AB:$AB)</f>
        <v>0.4</v>
      </c>
      <c r="Q19" s="34">
        <f>SUMIFS('OB History S2'!H:H,'OB History S2'!B:B,A19)</f>
        <v>8</v>
      </c>
      <c r="R19" s="2">
        <f>SUMIFS('OB History S2'!G:G,'OB History S2'!B:B,A19)-Q19</f>
        <v>13</v>
      </c>
      <c r="S19" s="88">
        <f>LOOKUP(2, 1/('OB History S2'!$B:$B=A19), 'OB History S2'!$AC:$AC)</f>
        <v>0.38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1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74</v>
      </c>
      <c r="I20" s="4">
        <f>AVERAGEIFS('OB History S2'!C:C,'OB History S2'!B:B,A20)</f>
        <v>14.8</v>
      </c>
      <c r="J20" s="35">
        <f t="array" ref="J20">MAX(IF('OB History S2'!B:B=A20, 'OB History S2'!C:C))</f>
        <v>28</v>
      </c>
      <c r="K20" s="34">
        <f>COUNTIFS('OB History S2'!B:B,A20,'OB History S2'!D:D, 1)</f>
        <v>5</v>
      </c>
      <c r="L20" s="2">
        <f>COUNTIFS('OB History S2'!B:B,A20,'OB History S2'!D:D, 0)</f>
        <v>0</v>
      </c>
      <c r="M20" s="88">
        <f>LOOKUP(2, 1/('OB History S2'!$B:$B=A20), 'OB History S2'!$AD:$AD)</f>
        <v>1</v>
      </c>
      <c r="N20" s="34">
        <f>SUMIFS('OB History S2'!F:F,'OB History S2'!B:B,A20)</f>
        <v>15</v>
      </c>
      <c r="O20" s="2">
        <f>SUMIFS('OB History S2'!E:E,'OB History S2'!B:B,A20)-N20</f>
        <v>3</v>
      </c>
      <c r="P20" s="88">
        <f>LOOKUP(2, 1/('OB History S2'!$B:$B=A20), 'OB History S2'!$AB:$AB)</f>
        <v>0.86999999999999988</v>
      </c>
      <c r="Q20" s="34">
        <f>SUMIFS('OB History S2'!H:H,'OB History S2'!B:B,A20)</f>
        <v>49</v>
      </c>
      <c r="R20" s="2">
        <f>SUMIFS('OB History S2'!G:G,'OB History S2'!B:B,A20)-Q20</f>
        <v>26</v>
      </c>
      <c r="S20" s="88">
        <f>LOOKUP(2, 1/('OB History S2'!$B:$B=A20), 'OB History S2'!$AC:$AC)</f>
        <v>0.67</v>
      </c>
      <c r="T20" s="2">
        <f>COUNTIFS('OB History S2'!$B:$B,$A$20,'OB History S2'!K:K, 1)</f>
        <v>0</v>
      </c>
      <c r="U20" s="2">
        <f>COUNTIFS('OB History S2'!$B:$B,$A$20,'OB History S2'!L:L, 1)</f>
        <v>2</v>
      </c>
      <c r="V20" s="2">
        <f>COUNTIFS('OB History S2'!$B:$B,$A$20,'OB History S2'!M:M, 1)</f>
        <v>1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1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1</v>
      </c>
      <c r="B21" s="6" t="s">
        <v>124</v>
      </c>
      <c r="C21" s="2" t="s">
        <v>79</v>
      </c>
      <c r="D21" s="2"/>
      <c r="E21" s="2"/>
      <c r="F21" s="2"/>
      <c r="G21" s="2"/>
      <c r="H21" s="34">
        <f>SUMIFS('OB History S2'!C:C,'OB History S2'!B:B,A21)</f>
        <v>63</v>
      </c>
      <c r="I21" s="4">
        <f>AVERAGEIFS('OB History S2'!C:C,'OB History S2'!B:B,A21)</f>
        <v>15.75</v>
      </c>
      <c r="J21" s="35">
        <f t="array" ref="J21">MAX(IF('OB History S2'!B:B=A21, 'OB History S2'!C:C))</f>
        <v>24</v>
      </c>
      <c r="K21" s="34">
        <f>COUNTIFS('OB History S2'!B:B,A21,'OB History S2'!D:D, 1)</f>
        <v>1</v>
      </c>
      <c r="L21" s="2">
        <f>COUNTIFS('OB History S2'!B:B,A21,'OB History S2'!D:D, 0)</f>
        <v>3</v>
      </c>
      <c r="M21" s="88">
        <f>LOOKUP(2, 1/('OB History S2'!$B:$B=A21), 'OB History S2'!$AD:$AD)</f>
        <v>0.25</v>
      </c>
      <c r="N21" s="34">
        <f>SUMIFS('OB History S2'!F:F,'OB History S2'!B:B,A21)</f>
        <v>6</v>
      </c>
      <c r="O21" s="2">
        <f>SUMIFS('OB History S2'!E:E,'OB History S2'!B:B,A21)-N21</f>
        <v>10</v>
      </c>
      <c r="P21" s="88">
        <f>LOOKUP(2, 1/('OB History S2'!$B:$B=A21), 'OB History S2'!$AB:$AB)</f>
        <v>0.35</v>
      </c>
      <c r="Q21" s="34">
        <f>SUMIFS('OB History S2'!H:H,'OB History S2'!B:B,A21)</f>
        <v>24</v>
      </c>
      <c r="R21" s="2">
        <f>SUMIFS('OB History S2'!G:G,'OB History S2'!B:B,A21)-Q21</f>
        <v>36</v>
      </c>
      <c r="S21" s="88">
        <f>LOOKUP(2, 1/('OB History S2'!$B:$B=A21), 'OB History S2'!$AC:$AC)</f>
        <v>0.375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1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0</v>
      </c>
      <c r="AH21" s="2">
        <f>COUNTIFS('OB History S2'!$B:$B,$A$21,'OB History S2'!Y:Y, 1)</f>
        <v>2</v>
      </c>
      <c r="AI21" s="2">
        <f>COUNTIFS('OB History S2'!$B:$B,$A$21,'OB History S2'!Z:Z, 1)</f>
        <v>0</v>
      </c>
    </row>
    <row r="22" spans="1:35" x14ac:dyDescent="0.25">
      <c r="A22" s="1" t="s">
        <v>150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257</v>
      </c>
      <c r="I22" s="4">
        <f>AVERAGEIFS('OB History S2'!C:C,'OB History S2'!B:B,A22)</f>
        <v>18.357142857142858</v>
      </c>
      <c r="J22" s="35">
        <f t="array" ref="J22">MAX(IF('OB History S2'!B:B=A22, 'OB History S2'!C:C))</f>
        <v>41</v>
      </c>
      <c r="K22" s="34">
        <f>COUNTIFS('OB History S2'!B:B,A22,'OB History S2'!D:D, 1)</f>
        <v>10</v>
      </c>
      <c r="L22" s="2">
        <f>COUNTIFS('OB History S2'!B:B,A22,'OB History S2'!D:D, 0)</f>
        <v>4</v>
      </c>
      <c r="M22" s="88">
        <f>LOOKUP(2, 1/('OB History S2'!$B:$B=A22), 'OB History S2'!$AD:$AD)</f>
        <v>0.7142857142857143</v>
      </c>
      <c r="N22" s="34">
        <f>SUMIFS('OB History S2'!F:F,'OB History S2'!B:B,A22)</f>
        <v>35</v>
      </c>
      <c r="O22" s="2">
        <f>SUMIFS('OB History S2'!E:E,'OB History S2'!B:B,A22)-N22</f>
        <v>21</v>
      </c>
      <c r="P22" s="88">
        <f>LOOKUP(2, 1/('OB History S2'!$B:$B=A22), 'OB History S2'!$AB:$AB)</f>
        <v>0.6607142857142857</v>
      </c>
      <c r="Q22" s="34">
        <f>SUMIFS('OB History S2'!H:H,'OB History S2'!B:B,A22)</f>
        <v>134</v>
      </c>
      <c r="R22" s="2">
        <f>SUMIFS('OB History S2'!G:G,'OB History S2'!B:B,A22)-Q22</f>
        <v>93</v>
      </c>
      <c r="S22" s="88">
        <f>LOOKUP(2, 1/('OB History S2'!$B:$B=A22), 'OB History S2'!$AC:$AC)</f>
        <v>0.60285714285714265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2</v>
      </c>
      <c r="W22" s="2">
        <f>COUNTIFS('OB History S2'!$B:$B,$A$22,'OB History S2'!N:N, 1)</f>
        <v>3</v>
      </c>
      <c r="X22" s="2">
        <f>COUNTIFS('OB History S2'!$B:$B,$A$22,'OB History S2'!O:O, 1)</f>
        <v>0</v>
      </c>
      <c r="Y22" s="2">
        <f>COUNTIFS('OB History S2'!$B:$B,$A$22,'OB History S2'!P:P, 1)</f>
        <v>4</v>
      </c>
      <c r="Z22" s="2">
        <f>COUNTIFS('OB History S2'!$B:$B,$A$22,'OB History S2'!Q:Q, 1)</f>
        <v>1</v>
      </c>
      <c r="AA22" s="2">
        <f>COUNTIFS('OB History S2'!$B:$B,$A$22,'OB History S2'!R:R, 1)</f>
        <v>1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1</v>
      </c>
      <c r="AE22" s="2">
        <f>COUNTIFS('OB History S2'!$B:$B,$A$22,'OB History S2'!V:V, 1)</f>
        <v>0</v>
      </c>
      <c r="AF22" s="2">
        <f>COUNTIFS('OB History S2'!$B:$B,$A$22,'OB History S2'!W:W, 1)</f>
        <v>4</v>
      </c>
      <c r="AG22" s="2">
        <f>COUNTIFS('OB History S2'!$B:$B,$A$22,'OB History S2'!X:X, 1)</f>
        <v>6</v>
      </c>
      <c r="AH22" s="2">
        <f>COUNTIFS('OB History S2'!$B:$B,$A$22,'OB History S2'!Y:Y, 1)</f>
        <v>7</v>
      </c>
      <c r="AI22" s="2">
        <f>COUNTIFS('OB History S2'!$B:$B,$A$22,'OB History S2'!Z:Z, 1)</f>
        <v>3</v>
      </c>
    </row>
    <row r="23" spans="1:35" x14ac:dyDescent="0.25">
      <c r="A23" s="2" t="s">
        <v>29</v>
      </c>
      <c r="B23" s="6" t="s">
        <v>172</v>
      </c>
      <c r="C23" s="2" t="s">
        <v>79</v>
      </c>
      <c r="D23" s="2">
        <v>1</v>
      </c>
      <c r="E23" s="2"/>
      <c r="F23" s="2"/>
      <c r="G23" s="2"/>
      <c r="H23" s="34">
        <f>SUMIFS('OB History S2'!C:C,'OB History S2'!B:B,A23)</f>
        <v>276</v>
      </c>
      <c r="I23" s="4">
        <f>AVERAGEIFS('OB History S2'!C:C,'OB History S2'!B:B,A23)</f>
        <v>12</v>
      </c>
      <c r="J23" s="35">
        <f t="array" ref="J23">MAX(IF('OB History S2'!B:B=A23, 'OB History S2'!C:C))</f>
        <v>21</v>
      </c>
      <c r="K23" s="34">
        <f>COUNTIFS('OB History S2'!B:B,A23,'OB History S2'!D:D, 1)</f>
        <v>9</v>
      </c>
      <c r="L23" s="2">
        <f>COUNTIFS('OB History S2'!B:B,A23,'OB History S2'!D:D, 0)</f>
        <v>14</v>
      </c>
      <c r="M23" s="88">
        <f>LOOKUP(2, 1/('OB History S2'!$B:$B=A23), 'OB History S2'!$AD:$AD)</f>
        <v>0.39130434782608697</v>
      </c>
      <c r="N23" s="34">
        <f>SUMIFS('OB History S2'!F:F,'OB History S2'!B:B,A23)</f>
        <v>41</v>
      </c>
      <c r="O23" s="2">
        <f>SUMIFS('OB History S2'!E:E,'OB History S2'!B:B,A23)-N23</f>
        <v>49</v>
      </c>
      <c r="P23" s="88">
        <f>LOOKUP(2, 1/('OB History S2'!$B:$B=A23), 'OB History S2'!$AB:$AB)</f>
        <v>0.44782608695652171</v>
      </c>
      <c r="Q23" s="34">
        <f>SUMIFS('OB History S2'!H:H,'OB History S2'!B:B,A23)</f>
        <v>180</v>
      </c>
      <c r="R23" s="2">
        <f>SUMIFS('OB History S2'!G:G,'OB History S2'!B:B,A23)-Q23</f>
        <v>190</v>
      </c>
      <c r="S23" s="88">
        <f>LOOKUP(2, 1/('OB History S2'!$B:$B=A23), 'OB History S2'!$AC:$AC)</f>
        <v>0.49086956521739133</v>
      </c>
      <c r="T23" s="2">
        <f>COUNTIFS('OB History S2'!$B:$B,$A$23,'OB History S2'!K:K, 1)</f>
        <v>4</v>
      </c>
      <c r="U23" s="2">
        <f>COUNTIFS('OB History S2'!$B:$B,$A$23,'OB History S2'!L:L, 1)</f>
        <v>3</v>
      </c>
      <c r="V23" s="2">
        <f>COUNTIFS('OB History S2'!$B:$B,$A$23,'OB History S2'!M:M, 1)</f>
        <v>0</v>
      </c>
      <c r="W23" s="2">
        <f>COUNTIFS('OB History S2'!$B:$B,$A$23,'OB History S2'!N:N, 1)</f>
        <v>4</v>
      </c>
      <c r="X23" s="2">
        <f>COUNTIFS('OB History S2'!$B:$B,$A$23,'OB History S2'!O:O, 1)</f>
        <v>2</v>
      </c>
      <c r="Y23" s="2">
        <f>COUNTIFS('OB History S2'!$B:$B,$A$23,'OB History S2'!P:P, 1)</f>
        <v>4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1</v>
      </c>
      <c r="AF23" s="2">
        <f>COUNTIFS('OB History S2'!$B:$B,$A$23,'OB History S2'!W:W, 1)</f>
        <v>9</v>
      </c>
      <c r="AG23" s="2">
        <f>COUNTIFS('OB History S2'!$B:$B,$A$23,'OB History S2'!X:X, 1)</f>
        <v>5</v>
      </c>
      <c r="AH23" s="2">
        <f>COUNTIFS('OB History S2'!$B:$B,$A$23,'OB History S2'!Y:Y, 1)</f>
        <v>7</v>
      </c>
      <c r="AI23" s="2">
        <f>COUNTIFS('OB History S2'!$B:$B,$A$23,'OB History S2'!Z:Z, 1)</f>
        <v>1</v>
      </c>
    </row>
    <row r="24" spans="1:35" x14ac:dyDescent="0.25">
      <c r="A24" s="2" t="s">
        <v>28</v>
      </c>
      <c r="B24" s="6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94</v>
      </c>
      <c r="I24" s="4">
        <f>AVERAGEIFS('OB History S2'!C:C,'OB History S2'!B:B,A24)</f>
        <v>23.5</v>
      </c>
      <c r="J24" s="35">
        <f t="array" ref="J24">MAX(IF('OB History S2'!B:B=A24, 'OB History S2'!C:C))</f>
        <v>43</v>
      </c>
      <c r="K24" s="34">
        <f>COUNTIFS('OB History S2'!B:B,A24,'OB History S2'!D:D, 1)</f>
        <v>2</v>
      </c>
      <c r="L24" s="2">
        <f>COUNTIFS('OB History S2'!B:B,A24,'OB History S2'!D:D, 0)</f>
        <v>2</v>
      </c>
      <c r="M24" s="88">
        <f>LOOKUP(2, 1/('OB History S2'!$B:$B=A24), 'OB History S2'!$AD:$AD)</f>
        <v>0.5</v>
      </c>
      <c r="N24" s="34">
        <f>SUMIFS('OB History S2'!F:F,'OB History S2'!B:B,A24)</f>
        <v>9</v>
      </c>
      <c r="O24" s="2">
        <f>SUMIFS('OB History S2'!E:E,'OB History S2'!B:B,A24)-N24</f>
        <v>9</v>
      </c>
      <c r="P24" s="88">
        <f>LOOKUP(2, 1/('OB History S2'!$B:$B=A24), 'OB History S2'!$AB:$AB)</f>
        <v>0.5</v>
      </c>
      <c r="Q24" s="34">
        <f>SUMIFS('OB History S2'!H:H,'OB History S2'!B:B,A24)</f>
        <v>37</v>
      </c>
      <c r="R24" s="2">
        <f>SUMIFS('OB History S2'!G:G,'OB History S2'!B:B,A24)-Q24</f>
        <v>37</v>
      </c>
      <c r="S24" s="88">
        <f>LOOKUP(2, 1/('OB History S2'!$B:$B=A24), 'OB History S2'!$AC:$AC)</f>
        <v>0.505</v>
      </c>
      <c r="T24" s="2">
        <f>COUNTIFS('OB History S2'!$B:$B,$A$24,'OB History S2'!K:K, 1)</f>
        <v>1</v>
      </c>
      <c r="U24" s="2">
        <f>COUNTIFS('OB History S2'!$B:$B,$A$24,'OB History S2'!L:L, 1)</f>
        <v>1</v>
      </c>
      <c r="V24" s="2">
        <f>COUNTIFS('OB History S2'!$B:$B,$A$24,'OB History S2'!M:M, 1)</f>
        <v>0</v>
      </c>
      <c r="W24" s="2">
        <f>COUNTIFS('OB History S2'!$B:$B,$A$24,'OB History S2'!N:N, 1)</f>
        <v>0</v>
      </c>
      <c r="X24" s="2">
        <f>COUNTIFS('OB History S2'!$B:$B,$A$24,'OB History S2'!O:O, 1)</f>
        <v>1</v>
      </c>
      <c r="Y24" s="2">
        <f>COUNTIFS('OB History S2'!$B:$B,$A$24,'OB History S2'!P:P, 1)</f>
        <v>0</v>
      </c>
      <c r="Z24" s="2">
        <f>COUNTIFS('OB History S2'!$B:$B,$A$24,'OB History S2'!Q:Q, 1)</f>
        <v>1</v>
      </c>
      <c r="AA24" s="2">
        <f>COUNTIFS('OB History S2'!$B:$B,$A$24,'OB History S2'!R:R, 1)</f>
        <v>0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4</v>
      </c>
      <c r="AH24" s="2">
        <f>COUNTIFS('OB History S2'!$B:$B,$A$24,'OB History S2'!Y:Y, 1)</f>
        <v>0</v>
      </c>
      <c r="AI24" s="2">
        <f>COUNTIFS('OB History S2'!$B:$B,$A$24,'OB History S2'!Z:Z, 1)</f>
        <v>1</v>
      </c>
    </row>
    <row r="25" spans="1:35" x14ac:dyDescent="0.25">
      <c r="A25" s="2" t="s">
        <v>139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132</v>
      </c>
      <c r="I25" s="4">
        <f>AVERAGEIFS('OB History S2'!C:C,'OB History S2'!B:B,A25)</f>
        <v>10.153846153846153</v>
      </c>
      <c r="J25" s="35">
        <f t="array" ref="J25">MAX(IF('OB History S2'!B:B=A25, 'OB History S2'!C:C))</f>
        <v>17</v>
      </c>
      <c r="K25" s="34">
        <f>COUNTIFS('OB History S2'!B:B,A25,'OB History S2'!D:D, 1)</f>
        <v>8</v>
      </c>
      <c r="L25" s="2">
        <f>COUNTIFS('OB History S2'!B:B,A25,'OB History S2'!D:D, 0)</f>
        <v>5</v>
      </c>
      <c r="M25" s="88">
        <f>LOOKUP(2, 1/('OB History S2'!$B:$B=A25), 'OB History S2'!$AD:$AD)</f>
        <v>0.61538461538461542</v>
      </c>
      <c r="N25" s="34">
        <f>SUMIFS('OB History S2'!F:F,'OB History S2'!B:B,A25)</f>
        <v>27</v>
      </c>
      <c r="O25" s="2">
        <f>SUMIFS('OB History S2'!E:E,'OB History S2'!B:B,A25)-N25</f>
        <v>26</v>
      </c>
      <c r="P25" s="88">
        <f>LOOKUP(2, 1/('OB History S2'!$B:$B=A25), 'OB History S2'!$AB:$AB)</f>
        <v>0.48461538461538461</v>
      </c>
      <c r="Q25" s="34">
        <f>SUMIFS('OB History S2'!H:H,'OB History S2'!B:B,A25)</f>
        <v>110</v>
      </c>
      <c r="R25" s="2">
        <f>SUMIFS('OB History S2'!G:G,'OB History S2'!B:B,A25)-Q25</f>
        <v>103</v>
      </c>
      <c r="S25" s="88">
        <f>LOOKUP(2, 1/('OB History S2'!$B:$B=A25), 'OB History S2'!$AC:$AC)</f>
        <v>0.51076923076923075</v>
      </c>
      <c r="T25" s="2">
        <f>COUNTIFS('OB History S2'!$B:$B,$A$25,'OB History S2'!K:K, 1)</f>
        <v>1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3</v>
      </c>
      <c r="X25" s="2">
        <f>COUNTIFS('OB History S2'!$B:$B,$A$25,'OB History S2'!O:O, 1)</f>
        <v>0</v>
      </c>
      <c r="Y25" s="2">
        <f>COUNTIFS('OB History S2'!$B:$B,$A$25,'OB History S2'!P:P, 1)</f>
        <v>2</v>
      </c>
      <c r="Z25" s="2">
        <f>COUNTIFS('OB History S2'!$B:$B,$A$25,'OB History S2'!Q:Q, 1)</f>
        <v>2</v>
      </c>
      <c r="AA25" s="2">
        <f>COUNTIFS('OB History S2'!$B:$B,$A$25,'OB History S2'!R:R, 1)</f>
        <v>2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6</v>
      </c>
      <c r="AH25" s="2">
        <f>COUNTIFS('OB History S2'!$B:$B,$A$25,'OB History S2'!Y:Y, 1)</f>
        <v>2</v>
      </c>
      <c r="AI25" s="2">
        <f>COUNTIFS('OB History S2'!$B:$B,$A$25,'OB History S2'!Z:Z, 1)</f>
        <v>5</v>
      </c>
    </row>
    <row r="26" spans="1:35" ht="15.75" x14ac:dyDescent="0.25">
      <c r="A26" s="2" t="s">
        <v>20</v>
      </c>
      <c r="B26" s="80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122</v>
      </c>
      <c r="I26" s="4">
        <f>AVERAGEIFS('OB History S2'!C:C,'OB History S2'!B:B,A26)</f>
        <v>15.25</v>
      </c>
      <c r="J26" s="35">
        <f t="array" ref="J26">MAX(IF('OB History S2'!B:B=A26, 'OB History S2'!C:C))</f>
        <v>37</v>
      </c>
      <c r="K26" s="34">
        <f>COUNTIFS('OB History S2'!B:B,A26,'OB History S2'!D:D, 1)</f>
        <v>3</v>
      </c>
      <c r="L26" s="2">
        <f>COUNTIFS('OB History S2'!B:B,A26,'OB History S2'!D:D, 0)</f>
        <v>5</v>
      </c>
      <c r="M26" s="88">
        <f>LOOKUP(2, 1/('OB History S2'!$B:$B=A26), 'OB History S2'!$AD:$AD)</f>
        <v>0.375</v>
      </c>
      <c r="N26" s="34">
        <f>SUMIFS('OB History S2'!F:F,'OB History S2'!B:B,A26)</f>
        <v>16</v>
      </c>
      <c r="O26" s="2">
        <f>SUMIFS('OB History S2'!E:E,'OB History S2'!B:B,A26)-N26</f>
        <v>17</v>
      </c>
      <c r="P26" s="88">
        <f>LOOKUP(2, 1/('OB History S2'!$B:$B=A26), 'OB History S2'!$AB:$AB)</f>
        <v>0.49374999999999997</v>
      </c>
      <c r="Q26" s="34">
        <f>SUMIFS('OB History S2'!H:H,'OB History S2'!B:B,A26)</f>
        <v>70</v>
      </c>
      <c r="R26" s="2">
        <f>SUMIFS('OB History S2'!G:G,'OB History S2'!B:B,A26)-Q26</f>
        <v>68</v>
      </c>
      <c r="S26" s="88">
        <f>LOOKUP(2, 1/('OB History S2'!$B:$B=A26), 'OB History S2'!$AC:$AC)</f>
        <v>0.50875000000000004</v>
      </c>
      <c r="T26" s="2">
        <f>COUNTIFS('OB History S2'!$B:$B,$A$26,'OB History S2'!K:K, 1)</f>
        <v>2</v>
      </c>
      <c r="U26" s="2">
        <f>COUNTIFS('OB History S2'!$B:$B,$A$26,'OB History S2'!L:L, 1)</f>
        <v>1</v>
      </c>
      <c r="V26" s="2">
        <f>COUNTIFS('OB History S2'!$B:$B,$A$26,'OB History S2'!M:M, 1)</f>
        <v>1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3</v>
      </c>
      <c r="AI26" s="2">
        <f>COUNTIFS('OB History S2'!$B:$B,$A$26,'OB History S2'!Z:Z, 1)</f>
        <v>2</v>
      </c>
    </row>
    <row r="27" spans="1:35" x14ac:dyDescent="0.25">
      <c r="A27" s="1" t="s">
        <v>47</v>
      </c>
      <c r="B27" s="2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9</v>
      </c>
      <c r="I27" s="4">
        <f>AVERAGEIFS('OB History S2'!C:C,'OB History S2'!B:B,A27)</f>
        <v>9</v>
      </c>
      <c r="J27" s="35">
        <f t="array" ref="J27">MAX(IF('OB History S2'!B:B=A27, 'OB History S2'!C:C))</f>
        <v>9</v>
      </c>
      <c r="K27" s="34">
        <f>COUNTIFS('OB History S2'!B:B,A27,'OB History S2'!D:D, 1)</f>
        <v>0</v>
      </c>
      <c r="L27" s="2">
        <f>COUNTIFS('OB History S2'!B:B,A27,'OB History S2'!D:D, 0)</f>
        <v>1</v>
      </c>
      <c r="M27" s="88">
        <f>LOOKUP(2, 1/('OB History S2'!$B:$B=A27), 'OB History S2'!$AD:$AD)</f>
        <v>0</v>
      </c>
      <c r="N27" s="34">
        <f>SUMIFS('OB History S2'!F:F,'OB History S2'!B:B,A27)</f>
        <v>2</v>
      </c>
      <c r="O27" s="2">
        <f>SUMIFS('OB History S2'!E:E,'OB History S2'!B:B,A27)-N27</f>
        <v>3</v>
      </c>
      <c r="P27" s="88">
        <f>LOOKUP(2, 1/('OB History S2'!$B:$B=A27), 'OB History S2'!$AB:$AB)</f>
        <v>0.4</v>
      </c>
      <c r="Q27" s="34">
        <f>SUMIFS('OB History S2'!H:H,'OB History S2'!B:B,A27)</f>
        <v>10</v>
      </c>
      <c r="R27" s="2">
        <f>SUMIFS('OB History S2'!G:G,'OB History S2'!B:B,A27)-Q27</f>
        <v>11</v>
      </c>
      <c r="S27" s="88">
        <f>LOOKUP(2, 1/('OB History S2'!$B:$B=A27), 'OB History S2'!$AC:$AC)</f>
        <v>0.48</v>
      </c>
      <c r="T27" s="2">
        <f>COUNTIFS('OB History S2'!$B:$B,$A$27,'OB History S2'!K:K, 1)</f>
        <v>1</v>
      </c>
      <c r="U27" s="2">
        <f>COUNTIFS('OB History S2'!$B:$B,$A$27,'OB History S2'!L:L, 1)</f>
        <v>0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0</v>
      </c>
      <c r="Y27" s="2">
        <f>COUNTIFS('OB History S2'!$B:$B,$A$27,'OB History S2'!P:P, 1)</f>
        <v>0</v>
      </c>
      <c r="Z27" s="2">
        <f>COUNTIFS('OB History S2'!$B:$B,$A$27,'OB History S2'!Q:Q, 1)</f>
        <v>0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0</v>
      </c>
      <c r="AH27" s="2">
        <f>COUNTIFS('OB History S2'!$B:$B,$A$27,'OB History S2'!Y:Y, 1)</f>
        <v>0</v>
      </c>
      <c r="AI27" s="2">
        <f>COUNTIFS('OB History S2'!$B:$B,$A$27,'OB History S2'!Z:Z, 1)</f>
        <v>0</v>
      </c>
    </row>
    <row r="28" spans="1:35" x14ac:dyDescent="0.25">
      <c r="A28" s="2" t="s">
        <v>148</v>
      </c>
      <c r="B28" s="6" t="s">
        <v>79</v>
      </c>
      <c r="C28" s="6" t="s">
        <v>79</v>
      </c>
      <c r="D28" s="3">
        <v>4</v>
      </c>
      <c r="E28" s="6">
        <v>1</v>
      </c>
      <c r="F28" s="6"/>
      <c r="G28" s="6"/>
      <c r="H28" s="34">
        <f>SUMIFS('OB History S2'!C:C,'OB History S2'!B:B,A28)</f>
        <v>372</v>
      </c>
      <c r="I28" s="4">
        <f>AVERAGEIFS('OB History S2'!C:C,'OB History S2'!B:B,A28)</f>
        <v>13.285714285714286</v>
      </c>
      <c r="J28" s="35">
        <f t="array" ref="J28">MAX(IF('OB History S2'!B:B=A28, 'OB History S2'!C:C))</f>
        <v>23</v>
      </c>
      <c r="K28" s="34">
        <f>COUNTIFS('OB History S2'!B:B,A28,'OB History S2'!D:D, 1)</f>
        <v>18</v>
      </c>
      <c r="L28" s="2">
        <f>COUNTIFS('OB History S2'!B:B,A28,'OB History S2'!D:D, 0)</f>
        <v>10</v>
      </c>
      <c r="M28" s="88">
        <f>LOOKUP(2, 1/('OB History S2'!$B:$B=A28), 'OB History S2'!$AD:$AD)</f>
        <v>0.6428571428571429</v>
      </c>
      <c r="N28" s="34">
        <f>SUMIFS('OB History S2'!F:F,'OB History S2'!B:B,A28)</f>
        <v>63</v>
      </c>
      <c r="O28" s="2">
        <f>SUMIFS('OB History S2'!E:E,'OB History S2'!B:B,A28)-N28</f>
        <v>46</v>
      </c>
      <c r="P28" s="88">
        <f>LOOKUP(2, 1/('OB History S2'!$B:$B=A28), 'OB History S2'!$AB:$AB)</f>
        <v>0.5892857142857143</v>
      </c>
      <c r="Q28" s="34">
        <f>SUMIFS('OB History S2'!H:H,'OB History S2'!B:B,A28)</f>
        <v>239</v>
      </c>
      <c r="R28" s="2">
        <f>SUMIFS('OB History S2'!G:G,'OB History S2'!B:B,A28)-Q28</f>
        <v>206</v>
      </c>
      <c r="S28" s="88">
        <f>LOOKUP(2, 1/('OB History S2'!$B:$B=A28), 'OB History S2'!$AC:$AC)</f>
        <v>0.54250000000000009</v>
      </c>
      <c r="T28" s="2">
        <f>COUNTIFS('OB History S2'!$B:$B,$A$28,'OB History S2'!K:K, 1)</f>
        <v>1</v>
      </c>
      <c r="U28" s="2">
        <f>COUNTIFS('OB History S2'!$B:$B,$A$28,'OB History S2'!L:L, 1)</f>
        <v>6</v>
      </c>
      <c r="V28" s="2">
        <f>COUNTIFS('OB History S2'!$B:$B,$A$28,'OB History S2'!M:M, 1)</f>
        <v>2</v>
      </c>
      <c r="W28" s="2">
        <f>COUNTIFS('OB History S2'!$B:$B,$A$28,'OB History S2'!N:N, 1)</f>
        <v>6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2</v>
      </c>
      <c r="AA28" s="2">
        <f>COUNTIFS('OB History S2'!$B:$B,$A$28,'OB History S2'!R:R, 1)</f>
        <v>4</v>
      </c>
      <c r="AB28" s="2">
        <f>COUNTIFS('OB History S2'!$B:$B,$A$28,'OB History S2'!S:S, 1)</f>
        <v>2</v>
      </c>
      <c r="AC28" s="2">
        <f>COUNTIFS('OB History S2'!$B:$B,$A$28,'OB History S2'!T:T, 1)</f>
        <v>2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4</v>
      </c>
      <c r="AG28" s="2">
        <f>COUNTIFS('OB History S2'!$B:$B,$A$28,'OB History S2'!X:X, 1)</f>
        <v>12</v>
      </c>
      <c r="AH28" s="2">
        <f>COUNTIFS('OB History S2'!$B:$B,$A$28,'OB History S2'!Y:Y, 1)</f>
        <v>7</v>
      </c>
      <c r="AI28" s="2">
        <f>COUNTIFS('OB History S2'!$B:$B,$A$28,'OB History S2'!Z:Z, 1)</f>
        <v>10</v>
      </c>
    </row>
    <row r="29" spans="1:35" x14ac:dyDescent="0.25">
      <c r="A29" s="2" t="s">
        <v>15</v>
      </c>
      <c r="B29" s="2" t="s">
        <v>79</v>
      </c>
      <c r="C29" s="2" t="s">
        <v>79</v>
      </c>
      <c r="D29" s="3">
        <v>3</v>
      </c>
      <c r="E29" s="2"/>
      <c r="F29" s="2"/>
      <c r="G29" s="2"/>
      <c r="H29" s="34">
        <f>SUMIFS('OB History S2'!C:C,'OB History S2'!B:B,A29)</f>
        <v>376</v>
      </c>
      <c r="I29" s="4">
        <f>AVERAGEIFS('OB History S2'!C:C,'OB History S2'!B:B,A29)</f>
        <v>20.888888888888889</v>
      </c>
      <c r="J29" s="35">
        <f t="array" ref="J29">MAX(IF('OB History S2'!B:B=A29, 'OB History S2'!C:C))</f>
        <v>39</v>
      </c>
      <c r="K29" s="34">
        <f>COUNTIFS('OB History S2'!B:B,A29,'OB History S2'!D:D, 1)</f>
        <v>9</v>
      </c>
      <c r="L29" s="2">
        <f>COUNTIFS('OB History S2'!B:B,A29,'OB History S2'!D:D, 0)</f>
        <v>9</v>
      </c>
      <c r="M29" s="88">
        <f>LOOKUP(2, 1/('OB History S2'!$B:$B=A29), 'OB History S2'!$AD:$AD)</f>
        <v>0.5</v>
      </c>
      <c r="N29" s="34">
        <f>SUMIFS('OB History S2'!F:F,'OB History S2'!B:B,A29)</f>
        <v>35</v>
      </c>
      <c r="O29" s="2">
        <f>SUMIFS('OB History S2'!E:E,'OB History S2'!B:B,A29)-N29</f>
        <v>36</v>
      </c>
      <c r="P29" s="88">
        <f>LOOKUP(2, 1/('OB History S2'!$B:$B=A29), 'OB History S2'!$AB:$AB)</f>
        <v>0.49444444444444435</v>
      </c>
      <c r="Q29" s="34">
        <f>SUMIFS('OB History S2'!H:H,'OB History S2'!B:B,A29)</f>
        <v>149</v>
      </c>
      <c r="R29" s="2">
        <f>SUMIFS('OB History S2'!G:G,'OB History S2'!B:B,A29)-Q29</f>
        <v>145</v>
      </c>
      <c r="S29" s="88">
        <f>LOOKUP(2, 1/('OB History S2'!$B:$B=A29), 'OB History S2'!$AC:$AC)</f>
        <v>0.50722222222222213</v>
      </c>
      <c r="T29" s="2">
        <f>COUNTIFS('OB History S2'!$B:$B,$A$29,'OB History S2'!K:K, 1)</f>
        <v>3</v>
      </c>
      <c r="U29" s="2">
        <f>COUNTIFS('OB History S2'!$B:$B,$A$29,'OB History S2'!L:L, 1)</f>
        <v>3</v>
      </c>
      <c r="V29" s="2">
        <f>COUNTIFS('OB History S2'!$B:$B,$A$29,'OB History S2'!M:M, 1)</f>
        <v>0</v>
      </c>
      <c r="W29" s="2">
        <f>COUNTIFS('OB History S2'!$B:$B,$A$29,'OB History S2'!N:N, 1)</f>
        <v>5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3</v>
      </c>
      <c r="AA29" s="2">
        <f>COUNTIFS('OB History S2'!$B:$B,$A$29,'OB History S2'!R:R, 1)</f>
        <v>1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2</v>
      </c>
      <c r="AG29" s="2">
        <f>COUNTIFS('OB History S2'!$B:$B,$A$29,'OB History S2'!X:X, 1)</f>
        <v>5</v>
      </c>
      <c r="AH29" s="2">
        <f>COUNTIFS('OB History S2'!$B:$B,$A$29,'OB History S2'!Y:Y, 1)</f>
        <v>3</v>
      </c>
      <c r="AI29" s="2">
        <f>COUNTIFS('OB History S2'!$B:$B,$A$29,'OB History S2'!Z:Z, 1)</f>
        <v>3</v>
      </c>
    </row>
    <row r="30" spans="1:35" x14ac:dyDescent="0.25">
      <c r="A30" s="2" t="s">
        <v>161</v>
      </c>
      <c r="B30" s="2" t="s">
        <v>79</v>
      </c>
      <c r="C30" s="2" t="s">
        <v>79</v>
      </c>
      <c r="D30" s="3"/>
      <c r="E30" s="2"/>
      <c r="F30" s="2"/>
      <c r="G30" s="2"/>
      <c r="H30" s="34">
        <f>SUMIFS('OB History S2'!C:C,'OB History S2'!B:B,A30)</f>
        <v>31</v>
      </c>
      <c r="I30" s="4">
        <f>AVERAGEIFS('OB History S2'!C:C,'OB History S2'!B:B,A30)</f>
        <v>15.5</v>
      </c>
      <c r="J30" s="35">
        <f t="array" ref="J30">MAX(IF('OB History S2'!B:B=A30, 'OB History S2'!C:C))</f>
        <v>16</v>
      </c>
      <c r="K30" s="34">
        <f>COUNTIFS('OB History S2'!B:B,A30,'OB History S2'!D:D, 1)</f>
        <v>0</v>
      </c>
      <c r="L30" s="2">
        <f>COUNTIFS('OB History S2'!B:B,A30,'OB History S2'!D:D, 0)</f>
        <v>2</v>
      </c>
      <c r="M30" s="88">
        <f>LOOKUP(2, 1/('OB History S2'!$B:$B=A30), 'OB History S2'!$AD:$AD)</f>
        <v>0</v>
      </c>
      <c r="N30" s="34">
        <f>SUMIFS('OB History S2'!F:F,'OB History S2'!B:B,A30)</f>
        <v>2</v>
      </c>
      <c r="O30" s="2">
        <f>SUMIFS('OB History S2'!E:E,'OB History S2'!B:B,A30)-N30</f>
        <v>6</v>
      </c>
      <c r="P30" s="88">
        <f>LOOKUP(2, 1/('OB History S2'!$B:$B=A30), 'OB History S2'!$AB:$AB)</f>
        <v>0.25</v>
      </c>
      <c r="Q30" s="34">
        <f>SUMIFS('OB History S2'!H:H,'OB History S2'!B:B,A30)</f>
        <v>16</v>
      </c>
      <c r="R30" s="2">
        <f>SUMIFS('OB History S2'!G:G,'OB History S2'!B:B,A30)-Q30</f>
        <v>22</v>
      </c>
      <c r="S30" s="88">
        <f>LOOKUP(2, 1/('OB History S2'!$B:$B=A30), 'OB History S2'!$AC:$AC)</f>
        <v>0.42</v>
      </c>
      <c r="T30" s="2">
        <f>COUNTIFS('OB History S2'!$B:$B,$A$30,'OB History S2'!K:K, 1)</f>
        <v>0</v>
      </c>
      <c r="U30" s="2">
        <f>COUNTIFS('OB History S2'!$B:$B,$A$30,'OB History S2'!L:L, 1)</f>
        <v>0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0</v>
      </c>
      <c r="AH30" s="2">
        <f>COUNTIFS('OB History S2'!$B:$B,$A$30,'OB History S2'!Y:Y, 1)</f>
        <v>1</v>
      </c>
      <c r="AI30" s="2">
        <f>COUNTIFS('OB History S2'!$B:$B,$A$30,'OB History S2'!Z:Z, 1)</f>
        <v>0</v>
      </c>
    </row>
    <row r="31" spans="1:35" x14ac:dyDescent="0.25">
      <c r="A31" s="2" t="s">
        <v>13</v>
      </c>
      <c r="B31" s="6" t="s">
        <v>124</v>
      </c>
      <c r="C31" s="6" t="s">
        <v>60</v>
      </c>
      <c r="D31" s="3">
        <v>6</v>
      </c>
      <c r="E31" s="6">
        <v>1</v>
      </c>
      <c r="F31" s="6">
        <v>1</v>
      </c>
      <c r="G31" s="6"/>
      <c r="H31" s="34">
        <f>SUMIFS('OB History S2'!C:C,'OB History S2'!B:B,A31)</f>
        <v>745</v>
      </c>
      <c r="I31" s="4">
        <f>AVERAGEIFS('OB History S2'!C:C,'OB History S2'!B:B,A31)</f>
        <v>24.032258064516128</v>
      </c>
      <c r="J31" s="35">
        <f t="array" ref="J31">MAX(IF('OB History S2'!B:B=A31, 'OB History S2'!C:C))</f>
        <v>58</v>
      </c>
      <c r="K31" s="34">
        <f>COUNTIFS('OB History S2'!B:B,A31,'OB History S2'!D:D, 1)</f>
        <v>20</v>
      </c>
      <c r="L31" s="2">
        <f>COUNTIFS('OB History S2'!B:B,A31,'OB History S2'!D:D, 0)</f>
        <v>11</v>
      </c>
      <c r="M31" s="88">
        <f>LOOKUP(2, 1/('OB History S2'!$B:$B=A31), 'OB History S2'!$AD:$AD)</f>
        <v>0.64516129032258063</v>
      </c>
      <c r="N31" s="34">
        <f>SUMIFS('OB History S2'!F:F,'OB History S2'!B:B,A31)</f>
        <v>73</v>
      </c>
      <c r="O31" s="2">
        <f>SUMIFS('OB History S2'!E:E,'OB History S2'!B:B,A31)-N31</f>
        <v>48</v>
      </c>
      <c r="P31" s="88">
        <f>LOOKUP(2, 1/('OB History S2'!$B:$B=A31), 'OB History S2'!$AB:$AB)</f>
        <v>0.62096774193548387</v>
      </c>
      <c r="Q31" s="34">
        <f>SUMIFS('OB History S2'!H:H,'OB History S2'!B:B,A31)</f>
        <v>279</v>
      </c>
      <c r="R31" s="2">
        <f>SUMIFS('OB History S2'!G:G,'OB History S2'!B:B,A31)-Q31</f>
        <v>214</v>
      </c>
      <c r="S31" s="88">
        <f>LOOKUP(2, 1/('OB History S2'!$B:$B=A31), 'OB History S2'!$AC:$AC)</f>
        <v>0.57290322580645159</v>
      </c>
      <c r="T31" s="2">
        <f>COUNTIFS('OB History S2'!$B:$B,$A$31,'OB History S2'!K:K, 1)</f>
        <v>5</v>
      </c>
      <c r="U31" s="2">
        <f>COUNTIFS('OB History S2'!$B:$B,$A$31,'OB History S2'!L:L, 1)</f>
        <v>5</v>
      </c>
      <c r="V31" s="2">
        <f>COUNTIFS('OB History S2'!$B:$B,$A$31,'OB History S2'!M:M, 1)</f>
        <v>1</v>
      </c>
      <c r="W31" s="2">
        <f>COUNTIFS('OB History S2'!$B:$B,$A$31,'OB History S2'!N:N, 1)</f>
        <v>8</v>
      </c>
      <c r="X31" s="2">
        <f>COUNTIFS('OB History S2'!$B:$B,$A$31,'OB History S2'!O:O, 1)</f>
        <v>0</v>
      </c>
      <c r="Y31" s="2">
        <f>COUNTIFS('OB History S2'!$B:$B,$A$31,'OB History S2'!P:P, 1)</f>
        <v>6</v>
      </c>
      <c r="Z31" s="2">
        <f>COUNTIFS('OB History S2'!$B:$B,$A$31,'OB History S2'!Q:Q, 1)</f>
        <v>1</v>
      </c>
      <c r="AA31" s="2">
        <f>COUNTIFS('OB History S2'!$B:$B,$A$31,'OB History S2'!R:R, 1)</f>
        <v>4</v>
      </c>
      <c r="AB31" s="2">
        <f>COUNTIFS('OB History S2'!$B:$B,$A$31,'OB History S2'!S:S, 1)</f>
        <v>1</v>
      </c>
      <c r="AC31" s="2">
        <f>COUNTIFS('OB History S2'!$B:$B,$A$31,'OB History S2'!T:T, 1)</f>
        <v>3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7</v>
      </c>
      <c r="AG31" s="2">
        <f>COUNTIFS('OB History S2'!$B:$B,$A$31,'OB History S2'!X:X, 1)</f>
        <v>9</v>
      </c>
      <c r="AH31" s="2">
        <f>COUNTIFS('OB History S2'!$B:$B,$A$31,'OB History S2'!Y:Y, 1)</f>
        <v>12</v>
      </c>
      <c r="AI31" s="2">
        <f>COUNTIFS('OB History S2'!$B:$B,$A$31,'OB History S2'!Z:Z, 1)</f>
        <v>9</v>
      </c>
    </row>
    <row r="32" spans="1:35" x14ac:dyDescent="0.25">
      <c r="A32" s="2" t="s">
        <v>2</v>
      </c>
      <c r="B32" s="6" t="s">
        <v>60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171</v>
      </c>
      <c r="I32" s="4">
        <f>AVERAGEIFS('OB History S2'!C:C,'OB History S2'!B:B,A32)</f>
        <v>34.200000000000003</v>
      </c>
      <c r="J32" s="35">
        <f t="array" ref="J32">MAX(IF('OB History S2'!B:B=A32, 'OB History S2'!C:C))</f>
        <v>68</v>
      </c>
      <c r="K32" s="34">
        <f>COUNTIFS('OB History S2'!B:B,A32,'OB History S2'!D:D, 1)</f>
        <v>3</v>
      </c>
      <c r="L32" s="2">
        <f>COUNTIFS('OB History S2'!B:B,A32,'OB History S2'!D:D, 0)</f>
        <v>2</v>
      </c>
      <c r="M32" s="88">
        <f>LOOKUP(2, 1/('OB History S2'!$B:$B=A32), 'OB History S2'!$AD:$AD)</f>
        <v>0.6</v>
      </c>
      <c r="N32" s="34">
        <f>SUMIFS('OB History S2'!F:F,'OB History S2'!B:B,A32)</f>
        <v>13</v>
      </c>
      <c r="O32" s="2">
        <f>SUMIFS('OB History S2'!E:E,'OB History S2'!B:B,A32)-N32</f>
        <v>6</v>
      </c>
      <c r="P32" s="88">
        <f>LOOKUP(2, 1/('OB History S2'!$B:$B=A32), 'OB History S2'!$AB:$AB)</f>
        <v>0.76</v>
      </c>
      <c r="Q32" s="34">
        <f>SUMIFS('OB History S2'!H:H,'OB History S2'!B:B,A32)</f>
        <v>47</v>
      </c>
      <c r="R32" s="2">
        <f>SUMIFS('OB History S2'!G:G,'OB History S2'!B:B,A32)-Q32</f>
        <v>37</v>
      </c>
      <c r="S32" s="88">
        <f>LOOKUP(2, 1/('OB History S2'!$B:$B=A32), 'OB History S2'!$AC:$AC)</f>
        <v>0.58599999999999997</v>
      </c>
      <c r="T32" s="2">
        <f>COUNTIFS('OB History S2'!$B:$B,$A$32,'OB History S2'!K:K, 1)</f>
        <v>1</v>
      </c>
      <c r="U32" s="2">
        <f>COUNTIFS('OB History S2'!$B:$B,$A$32,'OB History S2'!L:L, 1)</f>
        <v>2</v>
      </c>
      <c r="V32" s="2">
        <f>COUNTIFS('OB History S2'!$B:$B,$A$32,'OB History S2'!M:M, 1)</f>
        <v>0</v>
      </c>
      <c r="W32" s="2">
        <f>COUNTIFS('OB History S2'!$B:$B,$A$32,'OB History S2'!N:N, 1)</f>
        <v>2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3</v>
      </c>
      <c r="AH32" s="2">
        <f>COUNTIFS('OB History S2'!$B:$B,$A$32,'OB History S2'!Y:Y, 1)</f>
        <v>1</v>
      </c>
      <c r="AI32" s="2">
        <f>COUNTIFS('OB History S2'!$B:$B,$A$32,'OB History S2'!Z:Z, 1)</f>
        <v>3</v>
      </c>
    </row>
    <row r="33" spans="1:35" x14ac:dyDescent="0.25">
      <c r="A33" s="2" t="s">
        <v>5</v>
      </c>
      <c r="B33" s="6" t="s">
        <v>124</v>
      </c>
      <c r="C33" s="1" t="s">
        <v>159</v>
      </c>
      <c r="D33" s="3">
        <v>1</v>
      </c>
      <c r="E33" s="6"/>
      <c r="F33" s="6"/>
      <c r="G33" s="6"/>
      <c r="H33" s="34">
        <f>SUMIFS('OB History S2'!C:C,'OB History S2'!B:B,A33)</f>
        <v>231</v>
      </c>
      <c r="I33" s="4">
        <f>AVERAGEIFS('OB History S2'!C:C,'OB History S2'!B:B,A33)</f>
        <v>25.666666666666668</v>
      </c>
      <c r="J33" s="35">
        <f t="array" ref="J33">MAX(IF('OB History S2'!B:B=A33, 'OB History S2'!C:C))</f>
        <v>51</v>
      </c>
      <c r="K33" s="34">
        <f>COUNTIFS('OB History S2'!B:B,A33,'OB History S2'!D:D, 1)</f>
        <v>5</v>
      </c>
      <c r="L33" s="2">
        <f>COUNTIFS('OB History S2'!B:B,A33,'OB History S2'!D:D, 0)</f>
        <v>4</v>
      </c>
      <c r="M33" s="88">
        <f>LOOKUP(2, 1/('OB History S2'!$B:$B=A33), 'OB History S2'!$AD:$AD)</f>
        <v>0.55555555555555558</v>
      </c>
      <c r="N33" s="34">
        <f>SUMIFS('OB History S2'!F:F,'OB History S2'!B:B,A33)</f>
        <v>19</v>
      </c>
      <c r="O33" s="2">
        <f>SUMIFS('OB History S2'!E:E,'OB History S2'!B:B,A33)-N33</f>
        <v>17</v>
      </c>
      <c r="P33" s="88">
        <f>LOOKUP(2, 1/('OB History S2'!$B:$B=A33), 'OB History S2'!$AB:$AB)</f>
        <v>0.53888888888888886</v>
      </c>
      <c r="Q33" s="34">
        <f>SUMIFS('OB History S2'!H:H,'OB History S2'!B:B,A33)</f>
        <v>76</v>
      </c>
      <c r="R33" s="2">
        <f>SUMIFS('OB History S2'!G:G,'OB History S2'!B:B,A33)-Q33</f>
        <v>71</v>
      </c>
      <c r="S33" s="88">
        <f>LOOKUP(2, 1/('OB History S2'!$B:$B=A33), 'OB History S2'!$AC:$AC)</f>
        <v>0.51444444444444448</v>
      </c>
      <c r="T33" s="2">
        <f>COUNTIFS('OB History S2'!$B:$B,$A$33,'OB History S2'!K:K, 1)</f>
        <v>2</v>
      </c>
      <c r="U33" s="2">
        <f>COUNTIFS('OB History S2'!$B:$B,$A$33,'OB History S2'!L:L, 1)</f>
        <v>4</v>
      </c>
      <c r="V33" s="2">
        <f>COUNTIFS('OB History S2'!$B:$B,$A$33,'OB History S2'!M:M, 1)</f>
        <v>1</v>
      </c>
      <c r="W33" s="2">
        <f>COUNTIFS('OB History S2'!$B:$B,$A$33,'OB History S2'!N:N, 1)</f>
        <v>2</v>
      </c>
      <c r="X33" s="2">
        <f>COUNTIFS('OB History S2'!$B:$B,$A$33,'OB History S2'!O:O, 1)</f>
        <v>2</v>
      </c>
      <c r="Y33" s="2">
        <f>COUNTIFS('OB History S2'!$B:$B,$A$33,'OB History S2'!P:P, 1)</f>
        <v>2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2</v>
      </c>
      <c r="AI33" s="2">
        <f>COUNTIFS('OB History S2'!$B:$B,$A$33,'OB History S2'!Z:Z, 1)</f>
        <v>2</v>
      </c>
    </row>
    <row r="34" spans="1:35" x14ac:dyDescent="0.25">
      <c r="A34" s="2" t="s">
        <v>38</v>
      </c>
      <c r="B34" s="6" t="s">
        <v>79</v>
      </c>
      <c r="C34" s="6" t="s">
        <v>79</v>
      </c>
      <c r="D34" s="3">
        <v>1</v>
      </c>
      <c r="E34" s="6"/>
      <c r="F34" s="6"/>
      <c r="G34" s="6"/>
      <c r="H34" s="34">
        <f>SUMIFS('OB History S2'!C:C,'OB History S2'!B:B,A34)</f>
        <v>81</v>
      </c>
      <c r="I34" s="4">
        <f>AVERAGEIFS('OB History S2'!C:C,'OB History S2'!B:B,A34)</f>
        <v>11.571428571428571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3</v>
      </c>
      <c r="M34" s="88">
        <f>LOOKUP(2, 1/('OB History S2'!$B:$B=A34), 'OB History S2'!$AD:$AD)</f>
        <v>0.5714285714285714</v>
      </c>
      <c r="N34" s="34">
        <f>SUMIFS('OB History S2'!F:F,'OB History S2'!B:B,A34)</f>
        <v>15</v>
      </c>
      <c r="O34" s="2">
        <f>SUMIFS('OB History S2'!E:E,'OB History S2'!B:B,A34)-N34</f>
        <v>15</v>
      </c>
      <c r="P34" s="88">
        <f>LOOKUP(2, 1/('OB History S2'!$B:$B=A34), 'OB History S2'!$AB:$AB)</f>
        <v>0.47857142857142859</v>
      </c>
      <c r="Q34" s="34">
        <f>SUMIFS('OB History S2'!H:H,'OB History S2'!B:B,A34)</f>
        <v>61</v>
      </c>
      <c r="R34" s="2">
        <f>SUMIFS('OB History S2'!G:G,'OB History S2'!B:B,A34)-Q34</f>
        <v>62</v>
      </c>
      <c r="S34" s="88">
        <f>LOOKUP(2, 1/('OB History S2'!$B:$B=A34), 'OB History S2'!$AC:$AC)</f>
        <v>0.48571428571428571</v>
      </c>
      <c r="T34" s="2">
        <f>COUNTIFS('OB History S2'!$B:$B,$A$34,'OB History S2'!K:K, 1)</f>
        <v>0</v>
      </c>
      <c r="U34" s="2">
        <f>COUNTIFS('OB History S2'!$B:$B,$A$34,'OB History S2'!L:L, 1)</f>
        <v>0</v>
      </c>
      <c r="V34" s="2">
        <f>COUNTIFS('OB History S2'!$B:$B,$A$34,'OB History S2'!M:M, 1)</f>
        <v>0</v>
      </c>
      <c r="W34" s="2">
        <f>COUNTIFS('OB History S2'!$B:$B,$A$34,'OB History S2'!N:N, 1)</f>
        <v>2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2</v>
      </c>
      <c r="AB34" s="2">
        <f>COUNTIFS('OB History S2'!$B:$B,$A$34,'OB History S2'!S:S, 1)</f>
        <v>0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3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141</v>
      </c>
      <c r="B35" s="2" t="s">
        <v>79</v>
      </c>
      <c r="C35" s="2" t="s">
        <v>79</v>
      </c>
      <c r="D35" s="3">
        <v>1</v>
      </c>
      <c r="E35" s="2"/>
      <c r="F35" s="2"/>
      <c r="G35" s="2"/>
      <c r="H35" s="34">
        <f>SUMIFS('OB History S2'!C:C,'OB History S2'!B:B,A35)</f>
        <v>140</v>
      </c>
      <c r="I35" s="4">
        <f>AVERAGEIFS('OB History S2'!C:C,'OB History S2'!B:B,A35)</f>
        <v>15.555555555555555</v>
      </c>
      <c r="J35" s="35">
        <f t="array" ref="J35">MAX(IF('OB History S2'!B:B=A35, 'OB History S2'!C:C))</f>
        <v>24</v>
      </c>
      <c r="K35" s="34">
        <f>COUNTIFS('OB History S2'!B:B,A35,'OB History S2'!D:D, 1)</f>
        <v>2</v>
      </c>
      <c r="L35" s="2">
        <f>COUNTIFS('OB History S2'!B:B,A35,'OB History S2'!D:D, 0)</f>
        <v>7</v>
      </c>
      <c r="M35" s="88">
        <f>LOOKUP(2, 1/('OB History S2'!$B:$B=A35), 'OB History S2'!$AD:$AD)</f>
        <v>0.22222222222222221</v>
      </c>
      <c r="N35" s="34">
        <f>SUMIFS('OB History S2'!F:F,'OB History S2'!B:B,A35)</f>
        <v>12</v>
      </c>
      <c r="O35" s="2">
        <f>SUMIFS('OB History S2'!E:E,'OB History S2'!B:B,A35)-N35</f>
        <v>23</v>
      </c>
      <c r="P35" s="88">
        <f>LOOKUP(2, 1/('OB History S2'!$B:$B=A35), 'OB History S2'!$AB:$AB)</f>
        <v>0.33888888888888885</v>
      </c>
      <c r="Q35" s="34">
        <f>SUMIFS('OB History S2'!H:H,'OB History S2'!B:B,A35)</f>
        <v>61</v>
      </c>
      <c r="R35" s="2">
        <f>SUMIFS('OB History S2'!G:G,'OB History S2'!B:B,A35)-Q35</f>
        <v>86</v>
      </c>
      <c r="S35" s="88">
        <f>LOOKUP(2, 1/('OB History S2'!$B:$B=A35), 'OB History S2'!$AC:$AC)</f>
        <v>0.41333333333333333</v>
      </c>
      <c r="T35" s="2">
        <f>COUNTIFS('OB History S2'!$B:$B,$A$35,'OB History S2'!K:K, 1)</f>
        <v>2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1</v>
      </c>
      <c r="Z35" s="2">
        <f>COUNTIFS('OB History S2'!$B:$B,$A$35,'OB History S2'!Q:Q, 1)</f>
        <v>1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1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2</v>
      </c>
      <c r="AG35" s="2">
        <f>COUNTIFS('OB History S2'!$B:$B,$A$35,'OB History S2'!X:X, 1)</f>
        <v>1</v>
      </c>
      <c r="AH35" s="2">
        <f>COUNTIFS('OB History S2'!$B:$B,$A$35,'OB History S2'!Y:Y, 1)</f>
        <v>1</v>
      </c>
      <c r="AI35" s="2">
        <f>COUNTIFS('OB History S2'!$B:$B,$A$35,'OB History S2'!Z:Z, 1)</f>
        <v>1</v>
      </c>
    </row>
    <row r="36" spans="1:35" x14ac:dyDescent="0.25">
      <c r="A36" s="2" t="s">
        <v>40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245</v>
      </c>
      <c r="I36" s="4">
        <f>AVERAGEIFS('OB History S2'!C:C,'OB History S2'!B:B,A36)</f>
        <v>20.416666666666668</v>
      </c>
      <c r="J36" s="35">
        <f t="array" ref="J36">MAX(IF('OB History S2'!B:B=A36, 'OB History S2'!C:C))</f>
        <v>40</v>
      </c>
      <c r="K36" s="34">
        <f>COUNTIFS('OB History S2'!B:B,A36,'OB History S2'!D:D, 1)</f>
        <v>6</v>
      </c>
      <c r="L36" s="2">
        <f>COUNTIFS('OB History S2'!B:B,A36,'OB History S2'!D:D, 0)</f>
        <v>6</v>
      </c>
      <c r="M36" s="88">
        <f>LOOKUP(2, 1/('OB History S2'!$B:$B=A36), 'OB History S2'!$AD:$AD)</f>
        <v>0.5</v>
      </c>
      <c r="N36" s="34">
        <f>SUMIFS('OB History S2'!F:F,'OB History S2'!B:B,A36)</f>
        <v>27</v>
      </c>
      <c r="O36" s="2">
        <f>SUMIFS('OB History S2'!E:E,'OB History S2'!B:B,A36)-N36</f>
        <v>25</v>
      </c>
      <c r="P36" s="88">
        <f>LOOKUP(2, 1/('OB History S2'!$B:$B=A36), 'OB History S2'!$AB:$AB)</f>
        <v>0.53333333333333333</v>
      </c>
      <c r="Q36" s="34">
        <f>SUMIFS('OB History S2'!H:H,'OB History S2'!B:B,A36)</f>
        <v>105</v>
      </c>
      <c r="R36" s="2">
        <f>SUMIFS('OB History S2'!G:G,'OB History S2'!B:B,A36)-Q36</f>
        <v>107</v>
      </c>
      <c r="S36" s="88">
        <f>LOOKUP(2, 1/('OB History S2'!$B:$B=A36), 'OB History S2'!$AC:$AC)</f>
        <v>0.49499999999999994</v>
      </c>
      <c r="T36" s="2">
        <f>COUNTIFS('OB History S2'!$B:$B,$A$36,'OB History S2'!K:K, 1)</f>
        <v>2</v>
      </c>
      <c r="U36" s="2">
        <f>COUNTIFS('OB History S2'!$B:$B,$A$36,'OB History S2'!L:L, 1)</f>
        <v>2</v>
      </c>
      <c r="V36" s="2">
        <f>COUNTIFS('OB History S2'!$B:$B,$A$36,'OB History S2'!M:M, 1)</f>
        <v>3</v>
      </c>
      <c r="W36" s="2">
        <f>COUNTIFS('OB History S2'!$B:$B,$A$36,'OB History S2'!N:N, 1)</f>
        <v>2</v>
      </c>
      <c r="X36" s="2">
        <f>COUNTIFS('OB History S2'!$B:$B,$A$36,'OB History S2'!O:O, 1)</f>
        <v>2</v>
      </c>
      <c r="Y36" s="2">
        <f>COUNTIFS('OB History S2'!$B:$B,$A$36,'OB History S2'!P:P, 1)</f>
        <v>2</v>
      </c>
      <c r="Z36" s="2">
        <f>COUNTIFS('OB History S2'!$B:$B,$A$36,'OB History S2'!Q:Q, 1)</f>
        <v>2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4</v>
      </c>
      <c r="AH36" s="2">
        <f>COUNTIFS('OB History S2'!$B:$B,$A$36,'OB History S2'!Y:Y, 1)</f>
        <v>3</v>
      </c>
      <c r="AI36" s="2">
        <f>COUNTIFS('OB History S2'!$B:$B,$A$36,'OB History S2'!Z:Z, 1)</f>
        <v>3</v>
      </c>
    </row>
    <row r="37" spans="1:35" x14ac:dyDescent="0.25">
      <c r="A37" s="2" t="s">
        <v>147</v>
      </c>
      <c r="B37" s="2" t="s">
        <v>79</v>
      </c>
      <c r="C37" s="2" t="s">
        <v>79</v>
      </c>
      <c r="D37" s="3"/>
      <c r="E37" s="2"/>
      <c r="F37" s="2"/>
      <c r="G37" s="2"/>
      <c r="H37" s="34">
        <f>SUMIFS('OB History S2'!C:C,'OB History S2'!B:B,A37)</f>
        <v>145</v>
      </c>
      <c r="I37" s="4">
        <f>AVERAGEIFS('OB History S2'!C:C,'OB History S2'!B:B,A37)</f>
        <v>18.125</v>
      </c>
      <c r="J37" s="35">
        <f t="array" ref="J37">MAX(IF('OB History S2'!B:B=A37, 'OB History S2'!C:C))</f>
        <v>35</v>
      </c>
      <c r="K37" s="34">
        <f>COUNTIFS('OB History S2'!B:B,A37,'OB History S2'!D:D, 1)</f>
        <v>3</v>
      </c>
      <c r="L37" s="2">
        <f>COUNTIFS('OB History S2'!B:B,A37,'OB History S2'!D:D, 0)</f>
        <v>5</v>
      </c>
      <c r="M37" s="88">
        <f>LOOKUP(2, 1/('OB History S2'!$B:$B=A37), 'OB History S2'!$AD:$AD)</f>
        <v>0.375</v>
      </c>
      <c r="N37" s="34">
        <f>SUMIFS('OB History S2'!F:F,'OB History S2'!B:B,A37)</f>
        <v>11</v>
      </c>
      <c r="O37" s="2">
        <f>SUMIFS('OB History S2'!E:E,'OB History S2'!B:B,A37)-N37</f>
        <v>18</v>
      </c>
      <c r="P37" s="88">
        <f>LOOKUP(2, 1/('OB History S2'!$B:$B=A37), 'OB History S2'!$AB:$AB)</f>
        <v>0.34375</v>
      </c>
      <c r="Q37" s="34">
        <f>SUMIFS('OB History S2'!H:H,'OB History S2'!B:B,A37)</f>
        <v>54</v>
      </c>
      <c r="R37" s="2">
        <f>SUMIFS('OB History S2'!G:G,'OB History S2'!B:B,A37)-Q37</f>
        <v>67</v>
      </c>
      <c r="S37" s="88">
        <f>LOOKUP(2, 1/('OB History S2'!$B:$B=A37), 'OB History S2'!$AC:$AC)</f>
        <v>0.43</v>
      </c>
      <c r="T37" s="2">
        <f>COUNTIFS('OB History S2'!$B:$B,$A$37,'OB History S2'!K:K, 1)</f>
        <v>1</v>
      </c>
      <c r="U37" s="2">
        <f>COUNTIFS('OB History S2'!$B:$B,$A$37,'OB History S2'!L:L, 1)</f>
        <v>1</v>
      </c>
      <c r="V37" s="2">
        <f>COUNTIFS('OB History S2'!$B:$B,$A$37,'OB History S2'!M:M, 1)</f>
        <v>2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1</v>
      </c>
      <c r="AI37" s="2">
        <f>COUNTIFS('OB History S2'!$B:$B,$A$37,'OB History S2'!Z:Z, 1)</f>
        <v>1</v>
      </c>
    </row>
    <row r="38" spans="1:35" x14ac:dyDescent="0.25">
      <c r="A38" s="2" t="s">
        <v>17</v>
      </c>
      <c r="B38" s="2" t="s">
        <v>79</v>
      </c>
      <c r="C38" s="2" t="s">
        <v>79</v>
      </c>
      <c r="D38" s="3">
        <v>11</v>
      </c>
      <c r="E38" s="2">
        <v>3</v>
      </c>
      <c r="F38" s="2"/>
      <c r="G38" s="2"/>
      <c r="H38" s="34">
        <f>SUMIFS('OB History S2'!C:C,'OB History S2'!B:B,A38)</f>
        <v>557</v>
      </c>
      <c r="I38" s="4">
        <f>AVERAGEIFS('OB History S2'!C:C,'OB History S2'!B:B,A38)</f>
        <v>22.28</v>
      </c>
      <c r="J38" s="35">
        <f t="array" ref="J38">MAX(IF('OB History S2'!B:B=A38, 'OB History S2'!C:C))</f>
        <v>58</v>
      </c>
      <c r="K38" s="34">
        <f>COUNTIFS('OB History S2'!B:B,A38,'OB History S2'!D:D, 1)</f>
        <v>12</v>
      </c>
      <c r="L38" s="2">
        <f>COUNTIFS('OB History S2'!B:B,A38,'OB History S2'!D:D, 0)</f>
        <v>13</v>
      </c>
      <c r="M38" s="88">
        <f>LOOKUP(2, 1/('OB History S2'!$B:$B=A38), 'OB History S2'!$AD:$AD)</f>
        <v>0.48</v>
      </c>
      <c r="N38" s="34">
        <f>SUMIFS('OB History S2'!F:F,'OB History S2'!B:B,A38)</f>
        <v>45</v>
      </c>
      <c r="O38" s="2">
        <f>SUMIFS('OB History S2'!E:E,'OB History S2'!B:B,A38)-N38</f>
        <v>52</v>
      </c>
      <c r="P38" s="88">
        <f>LOOKUP(2, 1/('OB History S2'!$B:$B=A38), 'OB History S2'!$AB:$AB)</f>
        <v>0.44600000000000001</v>
      </c>
      <c r="Q38" s="34">
        <f>SUMIFS('OB History S2'!H:H,'OB History S2'!B:B,A38)</f>
        <v>195</v>
      </c>
      <c r="R38" s="2">
        <f>SUMIFS('OB History S2'!G:G,'OB History S2'!B:B,A38)-Q38</f>
        <v>203</v>
      </c>
      <c r="S38" s="88">
        <f>LOOKUP(2, 1/('OB History S2'!$B:$B=A38), 'OB History S2'!$AC:$AC)</f>
        <v>0.4847999999999999</v>
      </c>
      <c r="T38" s="2">
        <f>COUNTIFS('OB History S2'!$B:$B,$A$38,'OB History S2'!K:K, 1)</f>
        <v>1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3</v>
      </c>
      <c r="X38" s="2">
        <f>COUNTIFS('OB History S2'!$B:$B,$A$38,'OB History S2'!O:O, 1)</f>
        <v>1</v>
      </c>
      <c r="Y38" s="2">
        <f>COUNTIFS('OB History S2'!$B:$B,$A$38,'OB History S2'!P:P, 1)</f>
        <v>0</v>
      </c>
      <c r="Z38" s="2">
        <f>COUNTIFS('OB History S2'!$B:$B,$A$38,'OB History S2'!Q:Q, 1)</f>
        <v>3</v>
      </c>
      <c r="AA38" s="2">
        <f>COUNTIFS('OB History S2'!$B:$B,$A$38,'OB History S2'!R:R, 1)</f>
        <v>5</v>
      </c>
      <c r="AB38" s="2">
        <f>COUNTIFS('OB History S2'!$B:$B,$A$38,'OB History S2'!S:S, 1)</f>
        <v>0</v>
      </c>
      <c r="AC38" s="2">
        <f>COUNTIFS('OB History S2'!$B:$B,$A$38,'OB History S2'!T:T, 1)</f>
        <v>2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1</v>
      </c>
      <c r="AG38" s="2">
        <f>COUNTIFS('OB History S2'!$B:$B,$A$38,'OB History S2'!X:X, 1)</f>
        <v>12</v>
      </c>
      <c r="AH38" s="2">
        <f>COUNTIFS('OB History S2'!$B:$B,$A$38,'OB History S2'!Y:Y, 1)</f>
        <v>3</v>
      </c>
      <c r="AI38" s="2">
        <f>COUNTIFS('OB History S2'!$B:$B,$A$38,'OB History S2'!Z:Z, 1)</f>
        <v>7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6</v>
      </c>
      <c r="E39" s="3">
        <v>1</v>
      </c>
      <c r="F39" s="3"/>
      <c r="G39" s="3"/>
      <c r="H39" s="34">
        <f>SUMIFS('OB History S2'!C:C,'OB History S2'!B:B,A39)</f>
        <v>406</v>
      </c>
      <c r="I39" s="4">
        <f>AVERAGEIFS('OB History S2'!C:C,'OB History S2'!B:B,A39)</f>
        <v>17.652173913043477</v>
      </c>
      <c r="J39" s="35">
        <f t="array" ref="J39">MAX(IF('OB History S2'!B:B=A39, 'OB History S2'!C:C))</f>
        <v>43</v>
      </c>
      <c r="K39" s="34">
        <f>COUNTIFS('OB History S2'!B:B,A39,'OB History S2'!D:D, 1)</f>
        <v>7</v>
      </c>
      <c r="L39" s="2">
        <f>COUNTIFS('OB History S2'!B:B,A39,'OB History S2'!D:D, 0)</f>
        <v>16</v>
      </c>
      <c r="M39" s="88">
        <f>LOOKUP(2, 1/('OB History S2'!$B:$B=A39), 'OB History S2'!$AD:$AD)</f>
        <v>0.30434782608695654</v>
      </c>
      <c r="N39" s="34">
        <f>SUMIFS('OB History S2'!F:F,'OB History S2'!B:B,A39)</f>
        <v>37</v>
      </c>
      <c r="O39" s="2">
        <f>SUMIFS('OB History S2'!E:E,'OB History S2'!B:B,A39)-N39</f>
        <v>59</v>
      </c>
      <c r="P39" s="88">
        <f>LOOKUP(2, 1/('OB History S2'!$B:$B=A39), 'OB History S2'!$AB:$AB)</f>
        <v>0.36304347826086952</v>
      </c>
      <c r="Q39" s="34">
        <f>SUMIFS('OB History S2'!H:H,'OB History S2'!B:B,A39)</f>
        <v>179</v>
      </c>
      <c r="R39" s="2">
        <f>SUMIFS('OB History S2'!G:G,'OB History S2'!B:B,A39)-Q39</f>
        <v>211</v>
      </c>
      <c r="S39" s="88">
        <f>LOOKUP(2, 1/('OB History S2'!$B:$B=A39), 'OB History S2'!$AC:$AC)</f>
        <v>0.44478260869565228</v>
      </c>
      <c r="T39" s="2">
        <f>COUNTIFS('OB History S2'!$B:$B,$A$39,'OB History S2'!K:K, 1)</f>
        <v>3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6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3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3</v>
      </c>
      <c r="AG39" s="2">
        <f>COUNTIFS('OB History S2'!$B:$B,$A$39,'OB History S2'!X:X, 1)</f>
        <v>4</v>
      </c>
      <c r="AH39" s="2">
        <f>COUNTIFS('OB History S2'!$B:$B,$A$39,'OB History S2'!Y:Y, 1)</f>
        <v>4</v>
      </c>
      <c r="AI39" s="2">
        <f>COUNTIFS('OB History S2'!$B:$B,$A$39,'OB History S2'!Z:Z, 1)</f>
        <v>3</v>
      </c>
    </row>
    <row r="40" spans="1:35" x14ac:dyDescent="0.25">
      <c r="A40" s="2" t="s">
        <v>6</v>
      </c>
      <c r="B40" s="2" t="s">
        <v>60</v>
      </c>
      <c r="C40" s="2" t="s">
        <v>79</v>
      </c>
      <c r="D40" s="3">
        <v>1</v>
      </c>
      <c r="E40" s="2">
        <v>1</v>
      </c>
      <c r="F40" s="2"/>
      <c r="G40" s="2"/>
      <c r="H40" s="34">
        <f>SUMIFS('OB History S2'!C:C,'OB History S2'!B:B,A40)</f>
        <v>313</v>
      </c>
      <c r="I40" s="4">
        <f>AVERAGEIFS('OB History S2'!C:C,'OB History S2'!B:B,A40)</f>
        <v>26.083333333333332</v>
      </c>
      <c r="J40" s="35">
        <f t="array" ref="J40">MAX(IF('OB History S2'!B:B=A40, 'OB History S2'!C:C))</f>
        <v>66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28</v>
      </c>
      <c r="O40" s="2">
        <f>SUMIFS('OB History S2'!E:E,'OB History S2'!B:B,A40)-N40</f>
        <v>20</v>
      </c>
      <c r="P40" s="88">
        <f>LOOKUP(2, 1/('OB History S2'!$B:$B=A40), 'OB History S2'!$AB:$AB)</f>
        <v>0.61666666666666659</v>
      </c>
      <c r="Q40" s="34">
        <f>SUMIFS('OB History S2'!H:H,'OB History S2'!B:B,A40)</f>
        <v>111</v>
      </c>
      <c r="R40" s="2">
        <f>SUMIFS('OB History S2'!G:G,'OB History S2'!B:B,A40)-Q40</f>
        <v>91</v>
      </c>
      <c r="S40" s="88">
        <f>LOOKUP(2, 1/('OB History S2'!$B:$B=A40), 'OB History S2'!$AC:$AC)</f>
        <v>0.5625</v>
      </c>
      <c r="T40" s="2">
        <f>COUNTIFS('OB History S2'!$B:$B,$A$40,'OB History S2'!K:K, 1)</f>
        <v>1</v>
      </c>
      <c r="U40" s="2">
        <f>COUNTIFS('OB History S2'!$B:$B,$A$40,'OB History S2'!L:L, 1)</f>
        <v>2</v>
      </c>
      <c r="V40" s="2">
        <f>COUNTIFS('OB History S2'!$B:$B,$A$40,'OB History S2'!M:M, 1)</f>
        <v>5</v>
      </c>
      <c r="W40" s="2">
        <f>COUNTIFS('OB History S2'!$B:$B,$A$40,'OB History S2'!N:N, 1)</f>
        <v>3</v>
      </c>
      <c r="X40" s="2">
        <f>COUNTIFS('OB History S2'!$B:$B,$A$40,'OB History S2'!O:O, 1)</f>
        <v>1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2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3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6</v>
      </c>
      <c r="E41" s="2">
        <v>4</v>
      </c>
      <c r="F41" s="2"/>
      <c r="G41" s="2">
        <v>1</v>
      </c>
      <c r="H41" s="34">
        <f>SUMIFS('OB History S2'!C:C,'OB History S2'!B:B,A41)</f>
        <v>490</v>
      </c>
      <c r="I41" s="4">
        <f>AVERAGEIFS('OB History S2'!C:C,'OB History S2'!B:B,A41)</f>
        <v>28.823529411764707</v>
      </c>
      <c r="J41" s="35">
        <f t="array" ref="J41">MAX(IF('OB History S2'!B:B=A41, 'OB History S2'!C:C))</f>
        <v>58</v>
      </c>
      <c r="K41" s="34">
        <f>COUNTIFS('OB History S2'!B:B,A41,'OB History S2'!D:D, 1)</f>
        <v>10</v>
      </c>
      <c r="L41" s="2">
        <f>COUNTIFS('OB History S2'!B:B,A41,'OB History S2'!D:D, 0)</f>
        <v>7</v>
      </c>
      <c r="M41" s="88">
        <f>LOOKUP(2, 1/('OB History S2'!$B:$B=A41), 'OB History S2'!$AD:$AD)</f>
        <v>0.58823529411764708</v>
      </c>
      <c r="N41" s="34">
        <f>SUMIFS('OB History S2'!F:F,'OB History S2'!B:B,A41)</f>
        <v>37</v>
      </c>
      <c r="O41" s="2">
        <f>SUMIFS('OB History S2'!E:E,'OB History S2'!B:B,A41)-N41</f>
        <v>31</v>
      </c>
      <c r="P41" s="88">
        <f>LOOKUP(2, 1/('OB History S2'!$B:$B=A41), 'OB History S2'!$AB:$AB)</f>
        <v>0.54411764705882348</v>
      </c>
      <c r="Q41" s="34">
        <f>SUMIFS('OB History S2'!H:H,'OB History S2'!B:B,A41)</f>
        <v>146</v>
      </c>
      <c r="R41" s="2">
        <f>SUMIFS('OB History S2'!G:G,'OB History S2'!B:B,A41)-Q41</f>
        <v>135</v>
      </c>
      <c r="S41" s="88">
        <f>LOOKUP(2, 1/('OB History S2'!$B:$B=A41), 'OB History S2'!$AC:$AC)</f>
        <v>0.52588235294117658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5</v>
      </c>
      <c r="X41" s="2">
        <f>COUNTIFS('OB History S2'!$B:$B,$A$41,'OB History S2'!O:O, 1)</f>
        <v>2</v>
      </c>
      <c r="Y41" s="2">
        <f>COUNTIFS('OB History S2'!$B:$B,$A$41,'OB History S2'!P:P, 1)</f>
        <v>4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3</v>
      </c>
      <c r="AG41" s="2">
        <f>COUNTIFS('OB History S2'!$B:$B,$A$41,'OB History S2'!X:X, 1)</f>
        <v>4</v>
      </c>
      <c r="AH41" s="2">
        <f>COUNTIFS('OB History S2'!$B:$B,$A$41,'OB History S2'!Y:Y, 1)</f>
        <v>4</v>
      </c>
      <c r="AI41" s="2">
        <f>COUNTIFS('OB History S2'!$B:$B,$A$41,'OB History S2'!Z:Z, 1)</f>
        <v>4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297</v>
      </c>
      <c r="I42" s="4">
        <f>AVERAGEIFS('OB History S2'!C:C,'OB History S2'!B:B,A42)</f>
        <v>21.214285714285715</v>
      </c>
      <c r="J42" s="35">
        <f t="array" ref="J42">MAX(IF('OB History S2'!B:B=A42, 'OB History S2'!C:C))</f>
        <v>50</v>
      </c>
      <c r="K42" s="34">
        <f>COUNTIFS('OB History S2'!B:B,A42,'OB History S2'!D:D, 1)</f>
        <v>9</v>
      </c>
      <c r="L42" s="2">
        <f>COUNTIFS('OB History S2'!B:B,A42,'OB History S2'!D:D, 0)</f>
        <v>5</v>
      </c>
      <c r="M42" s="88">
        <f>LOOKUP(2, 1/('OB History S2'!$B:$B=A42), 'OB History S2'!$AD:$AD)</f>
        <v>0.6428571428571429</v>
      </c>
      <c r="N42" s="34">
        <f>SUMIFS('OB History S2'!F:F,'OB History S2'!B:B,A42)</f>
        <v>30</v>
      </c>
      <c r="O42" s="2">
        <f>SUMIFS('OB History S2'!E:E,'OB History S2'!B:B,A42)-N42</f>
        <v>22</v>
      </c>
      <c r="P42" s="88">
        <f>LOOKUP(2, 1/('OB History S2'!$B:$B=A42), 'OB History S2'!$AB:$AB)</f>
        <v>0.57857142857142851</v>
      </c>
      <c r="Q42" s="34">
        <f>SUMIFS('OB History S2'!H:H,'OB History S2'!B:B,A42)</f>
        <v>114</v>
      </c>
      <c r="R42" s="2">
        <f>SUMIFS('OB History S2'!G:G,'OB History S2'!B:B,A42)-Q42</f>
        <v>103</v>
      </c>
      <c r="S42" s="88">
        <f>LOOKUP(2, 1/('OB History S2'!$B:$B=A42), 'OB History S2'!$AC:$AC)</f>
        <v>0.52142857142857135</v>
      </c>
      <c r="T42" s="2">
        <f>COUNTIFS('OB History S2'!$B:$B,$A$42,'OB History S2'!K:K, 1)</f>
        <v>0</v>
      </c>
      <c r="U42" s="2">
        <f>COUNTIFS('OB History S2'!$B:$B,$A$42,'OB History S2'!L:L, 1)</f>
        <v>6</v>
      </c>
      <c r="V42" s="2">
        <f>COUNTIFS('OB History S2'!$B:$B,$A$42,'OB History S2'!M:M, 1)</f>
        <v>2</v>
      </c>
      <c r="W42" s="2">
        <f>COUNTIFS('OB History S2'!$B:$B,$A$42,'OB History S2'!N:N, 1)</f>
        <v>3</v>
      </c>
      <c r="X42" s="2">
        <f>COUNTIFS('OB History S2'!$B:$B,$A$42,'OB History S2'!O:O, 1)</f>
        <v>1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169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421</v>
      </c>
      <c r="I44" s="4">
        <f>AVERAGEIFS('OB History S2'!C:C,'OB History S2'!B:B,A44)</f>
        <v>23.388888888888889</v>
      </c>
      <c r="J44" s="35">
        <f t="array" ref="J44">MAX(IF('OB History S2'!B:B=A44, 'OB History S2'!C:C))</f>
        <v>51</v>
      </c>
      <c r="K44" s="34">
        <f>COUNTIFS('OB History S2'!B:B,A44,'OB History S2'!D:D, 1)</f>
        <v>5</v>
      </c>
      <c r="L44" s="2">
        <f>COUNTIFS('OB History S2'!B:B,A44,'OB History S2'!D:D, 0)</f>
        <v>13</v>
      </c>
      <c r="M44" s="88">
        <f>LOOKUP(2, 1/('OB History S2'!$B:$B=A44), 'OB History S2'!$AD:$AD)</f>
        <v>0.27777777777777779</v>
      </c>
      <c r="N44" s="34">
        <f>SUMIFS('OB History S2'!F:F,'OB History S2'!B:B,A44)</f>
        <v>27</v>
      </c>
      <c r="O44" s="2">
        <f>SUMIFS('OB History S2'!E:E,'OB History S2'!B:B,A44)-N44</f>
        <v>44</v>
      </c>
      <c r="P44" s="88">
        <f>LOOKUP(2, 1/('OB History S2'!$B:$B=A44), 'OB History S2'!$AB:$AB)</f>
        <v>0.36388888888888887</v>
      </c>
      <c r="Q44" s="34">
        <f>SUMIFS('OB History S2'!H:H,'OB History S2'!B:B,A44)</f>
        <v>126</v>
      </c>
      <c r="R44" s="2">
        <f>SUMIFS('OB History S2'!G:G,'OB History S2'!B:B,A44)-Q44</f>
        <v>166</v>
      </c>
      <c r="S44" s="88">
        <f>LOOKUP(2, 1/('OB History S2'!$B:$B=A44), 'OB History S2'!$AC:$AC)</f>
        <v>0.43611111111111112</v>
      </c>
      <c r="T44" s="2">
        <f>COUNTIFS('OB History S2'!$B:$B,$A$44,'OB History S2'!K:K, 1)</f>
        <v>2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3</v>
      </c>
      <c r="AI44" s="2">
        <f>COUNTIFS('OB History S2'!$B:$B,$A$44,'OB History S2'!Z:Z, 1)</f>
        <v>3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226</v>
      </c>
      <c r="I46" s="4">
        <f>AVERAGEIFS('OB History S2'!C:C,'OB History S2'!B:B,A46)</f>
        <v>22.6</v>
      </c>
      <c r="J46" s="35">
        <f t="array" ref="J46">MAX(IF('OB History S2'!B:B=A46, 'OB History S2'!C:C))</f>
        <v>46</v>
      </c>
      <c r="K46" s="34">
        <f>COUNTIFS('OB History S2'!B:B,A46,'OB History S2'!D:D, 1)</f>
        <v>5</v>
      </c>
      <c r="L46" s="2">
        <f>COUNTIFS('OB History S2'!B:B,A46,'OB History S2'!D:D, 0)</f>
        <v>5</v>
      </c>
      <c r="M46" s="88">
        <f>LOOKUP(2, 1/('OB History S2'!$B:$B=A46), 'OB History S2'!$AD:$AD)</f>
        <v>0.5</v>
      </c>
      <c r="N46" s="34">
        <f>SUMIFS('OB History S2'!F:F,'OB History S2'!B:B,A46)</f>
        <v>18</v>
      </c>
      <c r="O46" s="2">
        <f>SUMIFS('OB History S2'!E:E,'OB History S2'!B:B,A46)-N46</f>
        <v>22</v>
      </c>
      <c r="P46" s="88">
        <f>LOOKUP(2, 1/('OB History S2'!$B:$B=A46), 'OB History S2'!$AB:$AB)</f>
        <v>0.44500000000000001</v>
      </c>
      <c r="Q46" s="34">
        <f>SUMIFS('OB History S2'!H:H,'OB History S2'!B:B,A46)</f>
        <v>79</v>
      </c>
      <c r="R46" s="2">
        <f>SUMIFS('OB History S2'!G:G,'OB History S2'!B:B,A46)-Q46</f>
        <v>87</v>
      </c>
      <c r="S46" s="88">
        <f>LOOKUP(2, 1/('OB History S2'!$B:$B=A46), 'OB History S2'!$AC:$AC)</f>
        <v>0.46299999999999997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3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65</v>
      </c>
      <c r="I47" s="4">
        <f>AVERAGEIFS('OB History S2'!C:C,'OB History S2'!B:B,A47)</f>
        <v>10.833333333333334</v>
      </c>
      <c r="J47" s="35">
        <f t="array" ref="J47">MAX(IF('OB History S2'!B:B=A47, 'OB History S2'!C:C))</f>
        <v>20</v>
      </c>
      <c r="K47" s="34">
        <f>COUNTIFS('OB History S2'!B:B,A47,'OB History S2'!D:D, 1)</f>
        <v>4</v>
      </c>
      <c r="L47" s="2">
        <f>COUNTIFS('OB History S2'!B:B,A47,'OB History S2'!D:D, 0)</f>
        <v>2</v>
      </c>
      <c r="M47" s="88">
        <f>LOOKUP(2, 1/('OB History S2'!$B:$B=A47), 'OB History S2'!$AD:$AD)</f>
        <v>0.66666666666666663</v>
      </c>
      <c r="N47" s="34">
        <f>SUMIFS('OB History S2'!F:F,'OB History S2'!B:B,A47)</f>
        <v>15</v>
      </c>
      <c r="O47" s="2">
        <f>SUMIFS('OB History S2'!E:E,'OB History S2'!B:B,A47)-N47</f>
        <v>8</v>
      </c>
      <c r="P47" s="88">
        <f>LOOKUP(2, 1/('OB History S2'!$B:$B=A47), 'OB History S2'!$AB:$AB)</f>
        <v>0.69166666666666676</v>
      </c>
      <c r="Q47" s="34">
        <f>SUMIFS('OB History S2'!H:H,'OB History S2'!B:B,A47)</f>
        <v>57</v>
      </c>
      <c r="R47" s="2">
        <f>SUMIFS('OB History S2'!G:G,'OB History S2'!B:B,A47)-Q47</f>
        <v>38</v>
      </c>
      <c r="S47" s="88">
        <f>LOOKUP(2, 1/('OB History S2'!$B:$B=A47), 'OB History S2'!$AC:$AC)</f>
        <v>0.61666666666666659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1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2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workbookViewId="0">
      <pane ySplit="1" topLeftCell="A2" activePane="bottomLeft" state="frozen"/>
      <selection pane="bottomLeft" activeCell="P495" sqref="P49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60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R10" sqref="R10:AM1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History'!$AJ:$AJ)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History'!$AH:$AH)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History'!$AI:$AI)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History'!$B:$B,$A$9,'BA History'!AA:AA, 1)</f>
        <v>2</v>
      </c>
      <c r="AI9" s="2">
        <f>COUNTIFS('BA History'!$B:$B,$A$9,'BA History'!AB:AB, 1)</f>
        <v>12</v>
      </c>
      <c r="AJ9" s="2">
        <f>COUNTIFS('BA History'!$B:$B,$A$9,'BA History'!AC:AC, 1)</f>
        <v>4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19</v>
      </c>
      <c r="G10" s="66">
        <f>AVERAGEIFS('BA History'!C:C,'BA History'!B:B,A10)</f>
        <v>9.5</v>
      </c>
      <c r="H10" s="35">
        <f t="array" ref="H10">MAX(IF('BA History'!B:B=A10, 'BA History'!C:C))</f>
        <v>11</v>
      </c>
      <c r="I10" s="34">
        <f>COUNTIFS('BA History'!B:B,A10,'BA History'!D:D, 1)</f>
        <v>1</v>
      </c>
      <c r="J10" s="2">
        <f>COUNTIFS('BA History'!B:B,A10,'BA History'!D:D, 0)</f>
        <v>1</v>
      </c>
      <c r="K10" s="75">
        <f>LOOKUP(2, 1/('BA History'!$B:$B=A10), 'BA History'!$AJ:$AJ)</f>
        <v>0.5</v>
      </c>
      <c r="L10" s="34">
        <f>SUMIFS('BA History'!F:F,'BA History'!B:B,A10)</f>
        <v>3</v>
      </c>
      <c r="M10" s="2">
        <f>SUMIFS('BA History'!E:E,'BA History'!B:B,A10)-L10</f>
        <v>4</v>
      </c>
      <c r="N10" s="75">
        <f>LOOKUP(2, 1/('BA History'!$B:$B=A10), 'BA History'!$AH:$AH)</f>
        <v>0.375</v>
      </c>
      <c r="O10" s="34">
        <f>SUMIFS('BA History'!H:H,'BA History'!B:B,A10)</f>
        <v>15</v>
      </c>
      <c r="P10" s="2">
        <f>SUMIFS('BA History'!G:G,'BA History'!B:B,A10)-O10</f>
        <v>14</v>
      </c>
      <c r="Q10" s="89">
        <f>LOOKUP(2, 1/('BA History'!$B:$B=A10), 'BA History'!$AI:$AI)</f>
        <v>0.51500000000000001</v>
      </c>
      <c r="R10" s="2">
        <f>COUNTIFS('BA History'!$B:$B,$A$10,'BA History'!K:K, 1)</f>
        <v>0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0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0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0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1</v>
      </c>
    </row>
    <row r="11" spans="1:39" x14ac:dyDescent="0.25">
      <c r="A11" s="2" t="s">
        <v>25</v>
      </c>
      <c r="B11" s="2" t="s">
        <v>79</v>
      </c>
      <c r="C11" s="2"/>
      <c r="D11" s="2"/>
      <c r="E11" s="2"/>
      <c r="F11" s="34">
        <f>SUMIFS('BA History'!C:C,'BA History'!B:B,A11)</f>
        <v>58</v>
      </c>
      <c r="G11" s="66">
        <f>AVERAGEIFS('BA History'!C:C,'BA History'!B:B,A11)</f>
        <v>9.6666666666666661</v>
      </c>
      <c r="H11" s="35">
        <f t="array" ref="H11">MAX(IF('BA History'!B:B=A11, 'BA History'!C:C))</f>
        <v>15</v>
      </c>
      <c r="I11" s="34">
        <f>COUNTIFS('BA History'!B:B,A11,'BA History'!D:D, 1)</f>
        <v>4</v>
      </c>
      <c r="J11" s="2">
        <f>COUNTIFS('BA History'!B:B,A11,'BA History'!D:D, 0)</f>
        <v>2</v>
      </c>
      <c r="K11" s="75">
        <f>LOOKUP(2, 1/('BA History'!$B:$B=A11), 'BA History'!$AJ:$AJ)</f>
        <v>0.66666666666666663</v>
      </c>
      <c r="L11" s="34">
        <f>SUMIFS('BA History'!F:F,'BA History'!B:B,A11)</f>
        <v>14</v>
      </c>
      <c r="M11" s="2">
        <f>SUMIFS('BA History'!E:E,'BA History'!B:B,A11)-L11</f>
        <v>8</v>
      </c>
      <c r="N11" s="75">
        <f>LOOKUP(2, 1/('BA History'!$B:$B=A11), 'BA History'!$AH:$AH)</f>
        <v>0.66666666666666663</v>
      </c>
      <c r="O11" s="34">
        <f>SUMIFS('BA History'!H:H,'BA History'!B:B,A11)</f>
        <v>53</v>
      </c>
      <c r="P11" s="2">
        <f>SUMIFS('BA History'!G:G,'BA History'!B:B,A11)-O11</f>
        <v>35</v>
      </c>
      <c r="Q11" s="89">
        <f>LOOKUP(2, 1/('BA History'!$B:$B=A11), 'BA History'!$AI:$AI)</f>
        <v>0.63833333333333331</v>
      </c>
      <c r="R11" s="2">
        <f>COUNTIFS('BA History'!$B:$B,$A$11,'BA History'!K:K, 1)</f>
        <v>2</v>
      </c>
      <c r="S11" s="2">
        <f>COUNTIFS('BA History'!$B:$B,$A$11,'BA History'!L:L, 1)</f>
        <v>0</v>
      </c>
      <c r="T11" s="2">
        <f>COUNTIFS('BA History'!$B:$B,$A$11,'BA History'!M:M, 1)</f>
        <v>1</v>
      </c>
      <c r="U11" s="2">
        <f>COUNTIFS('BA History'!$B:$B,$A$11,'BA History'!N:N, 1)</f>
        <v>1</v>
      </c>
      <c r="V11" s="2">
        <f>COUNTIFS('BA History'!$B:$B,$A$11,'BA History'!O:O, 1)</f>
        <v>1</v>
      </c>
      <c r="W11" s="2">
        <f>COUNTIFS('BA History'!$B:$B,$A$11,'BA History'!P:P, 1)</f>
        <v>1</v>
      </c>
      <c r="X11" s="2">
        <f>COUNTIFS('BA History'!$B:$B,$A$11,'BA History'!Q:Q, 1)</f>
        <v>2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1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2</v>
      </c>
      <c r="AG11" s="2">
        <f>COUNTIFS('BA History'!$B:$B,$A$11,'BA History'!Z:Z, 1)</f>
        <v>2</v>
      </c>
      <c r="AH11" s="2">
        <f>COUNTIFS('BA History'!$B:$B,$A$11,'BA History'!AA:AA, 1)</f>
        <v>0</v>
      </c>
      <c r="AI11" s="2">
        <f>COUNTIFS('BA History'!$B:$B,$A$11,'BA History'!AB:AB, 1)</f>
        <v>1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</row>
    <row r="12" spans="1:39" x14ac:dyDescent="0.25">
      <c r="A12" s="2" t="s">
        <v>115</v>
      </c>
      <c r="B12" s="2" t="s">
        <v>79</v>
      </c>
      <c r="C12" s="2"/>
      <c r="D12" s="2"/>
      <c r="E12" s="2"/>
      <c r="F12" s="34">
        <f>SUMIFS('BA History'!C:C,'BA History'!B:B,A12)</f>
        <v>109</v>
      </c>
      <c r="G12" s="66">
        <f>AVERAGEIFS('BA History'!C:C,'BA History'!B:B,A12)</f>
        <v>13.625</v>
      </c>
      <c r="H12" s="35">
        <f t="array" ref="H12">MAX(IF('BA History'!B:B=A12, 'BA History'!C:C))</f>
        <v>23</v>
      </c>
      <c r="I12" s="34">
        <f>COUNTIFS('BA History'!B:B,A12,'BA History'!D:D, 1)</f>
        <v>3</v>
      </c>
      <c r="J12" s="2">
        <f>COUNTIFS('BA History'!B:B,A12,'BA History'!D:D, 0)</f>
        <v>5</v>
      </c>
      <c r="K12" s="75">
        <f>LOOKUP(2, 1/('BA History'!$B:$B=A12), 'BA History'!$AJ:$AJ)</f>
        <v>0.375</v>
      </c>
      <c r="L12" s="34">
        <f>SUMIFS('BA History'!F:F,'BA History'!B:B,A12)</f>
        <v>16</v>
      </c>
      <c r="M12" s="2">
        <f>SUMIFS('BA History'!E:E,'BA History'!B:B,A12)-L12</f>
        <v>19</v>
      </c>
      <c r="N12" s="75">
        <f>LOOKUP(2, 1/('BA History'!$B:$B=A12), 'BA History'!$AH:$AH)</f>
        <v>0.45624999999999999</v>
      </c>
      <c r="O12" s="34">
        <f>SUMIFS('BA History'!H:H,'BA History'!B:B,A12)</f>
        <v>66</v>
      </c>
      <c r="P12" s="2">
        <f>SUMIFS('BA History'!G:G,'BA History'!B:B,A12)-O12</f>
        <v>71</v>
      </c>
      <c r="Q12" s="89">
        <f>LOOKUP(2, 1/('BA History'!$B:$B=A12), 'BA History'!$AI:$AI)</f>
        <v>0.48374999999999996</v>
      </c>
      <c r="R12" s="2">
        <f>COUNTIFS('BA History'!$B:$B,$A$12,'BA History'!K:K, 1)</f>
        <v>1</v>
      </c>
      <c r="S12" s="2">
        <f>COUNTIFS('BA History'!$B:$B,$A$12,'BA History'!L:L, 1)</f>
        <v>2</v>
      </c>
      <c r="T12" s="2">
        <f>COUNTIFS('BA History'!$B:$B,$A$12,'BA History'!M:M, 1)</f>
        <v>1</v>
      </c>
      <c r="U12" s="2">
        <f>COUNTIFS('BA History'!$B:$B,$A$12,'BA History'!N:N, 1)</f>
        <v>0</v>
      </c>
      <c r="V12" s="2">
        <f>COUNTIFS('BA History'!$B:$B,$A$12,'BA History'!O:O, 1)</f>
        <v>1</v>
      </c>
      <c r="W12" s="2">
        <f>COUNTIFS('BA History'!$B:$B,$A$12,'BA History'!P:P, 1)</f>
        <v>0</v>
      </c>
      <c r="X12" s="2">
        <f>COUNTIFS('BA History'!$B:$B,$A$12,'BA History'!Q:Q, 1)</f>
        <v>1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1</v>
      </c>
      <c r="AC12" s="2">
        <f>COUNTIFS('BA History'!$B:$B,$A$12,'BA History'!V:V, 1)</f>
        <v>1</v>
      </c>
      <c r="AD12" s="2">
        <f>COUNTIFS('BA History'!$B:$B,$A$12,'BA History'!W:W, 1)</f>
        <v>1</v>
      </c>
      <c r="AE12" s="2">
        <f>COUNTIFS('BA History'!$B:$B,$A$12,'BA History'!X:X, 1)</f>
        <v>1</v>
      </c>
      <c r="AF12" s="2">
        <f>COUNTIFS('BA History'!$B:$B,$A$12,'BA History'!Y:Y, 1)</f>
        <v>1</v>
      </c>
      <c r="AG12" s="2">
        <f>COUNTIFS('BA History'!$B:$B,$A$12,'BA History'!Z:Z, 1)</f>
        <v>1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2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1</v>
      </c>
    </row>
    <row r="13" spans="1:39" x14ac:dyDescent="0.25">
      <c r="A13" s="2" t="s">
        <v>146</v>
      </c>
      <c r="B13" s="2" t="s">
        <v>79</v>
      </c>
      <c r="C13" s="2"/>
      <c r="D13" s="2"/>
      <c r="E13" s="2"/>
      <c r="F13" s="34">
        <f>SUMIFS('BA History'!C:C,'BA History'!B:B,A13)</f>
        <v>70</v>
      </c>
      <c r="G13" s="66">
        <f>AVERAGEIFS('BA History'!C:C,'BA History'!B:B,A13)</f>
        <v>8.75</v>
      </c>
      <c r="H13" s="35">
        <f t="array" ref="H13">MAX(IF('BA History'!B:B=A13, 'BA History'!C:C))</f>
        <v>18</v>
      </c>
      <c r="I13" s="34">
        <f>COUNTIFS('BA History'!B:B,A13,'BA History'!D:D, 1)</f>
        <v>1</v>
      </c>
      <c r="J13" s="2">
        <f>COUNTIFS('BA History'!B:B,A13,'BA History'!D:D, 0)</f>
        <v>7</v>
      </c>
      <c r="K13" s="75">
        <f>LOOKUP(2, 1/('BA History'!$B:$B=A13), 'BA History'!$AJ:$AJ)</f>
        <v>0.125</v>
      </c>
      <c r="L13" s="34">
        <f>SUMIFS('BA History'!F:F,'BA History'!B:B,A13)</f>
        <v>6</v>
      </c>
      <c r="M13" s="2">
        <f>SUMIFS('BA History'!E:E,'BA History'!B:B,A13)-L13</f>
        <v>21</v>
      </c>
      <c r="N13" s="75">
        <f>LOOKUP(2, 1/('BA History'!$B:$B=A13), 'BA History'!$AH:$AH)</f>
        <v>0.21875</v>
      </c>
      <c r="O13" s="34">
        <f>SUMIFS('BA History'!H:H,'BA History'!B:B,A13)</f>
        <v>40</v>
      </c>
      <c r="P13" s="2">
        <f>SUMIFS('BA History'!G:G,'BA History'!B:B,A13)-O13</f>
        <v>71</v>
      </c>
      <c r="Q13" s="89">
        <f>LOOKUP(2, 1/('BA History'!$B:$B=A13), 'BA History'!$AI:$AI)</f>
        <v>0.33875</v>
      </c>
      <c r="R13" s="2">
        <f>COUNTIFS('BA History'!$B:$B,$A$13,'BA History'!K:K, 1)</f>
        <v>0</v>
      </c>
      <c r="S13" s="2">
        <f>COUNTIFS('BA History'!$B:$B,$A$13,'BA History'!L:L, 1)</f>
        <v>0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2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0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0</v>
      </c>
      <c r="AG13" s="2">
        <f>COUNTIFS('BA History'!$B:$B,$A$13,'BA History'!Z:Z, 1)</f>
        <v>0</v>
      </c>
      <c r="AH13" s="2">
        <f>COUNTIFS('BA History'!$B:$B,$A$13,'BA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1</v>
      </c>
      <c r="AK13" s="2">
        <f>COUNTIFS('BA History'!$B:$B,$A$13,'BA History'!AD:AD, 1)</f>
        <v>1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27</v>
      </c>
      <c r="B14" s="2" t="s">
        <v>79</v>
      </c>
      <c r="C14" s="2"/>
      <c r="D14" s="2"/>
      <c r="E14" s="2"/>
      <c r="F14" s="34">
        <f>SUMIFS('BA History'!C:C,'BA History'!B:B,A14)</f>
        <v>114</v>
      </c>
      <c r="G14" s="66">
        <f>AVERAGEIFS('BA History'!C:C,'BA History'!B:B,A14)</f>
        <v>11.4</v>
      </c>
      <c r="H14" s="35">
        <f t="array" ref="H14">MAX(IF('BA History'!B:B=A14, 'BA History'!C:C))</f>
        <v>20</v>
      </c>
      <c r="I14" s="34">
        <f>COUNTIFS('BA History'!B:B,A14,'BA History'!D:D, 1)</f>
        <v>3</v>
      </c>
      <c r="J14" s="2">
        <f>COUNTIFS('BA History'!B:B,A14,'BA History'!D:D, 0)</f>
        <v>7</v>
      </c>
      <c r="K14" s="75">
        <f>LOOKUP(2, 1/('BA History'!$B:$B=A14), 'BA History'!$AJ:$AJ)</f>
        <v>0.3</v>
      </c>
      <c r="L14" s="34">
        <f>SUMIFS('BA History'!F:F,'BA History'!B:B,A14)</f>
        <v>17</v>
      </c>
      <c r="M14" s="2">
        <f>SUMIFS('BA History'!E:E,'BA History'!B:B,A14)-L14</f>
        <v>25</v>
      </c>
      <c r="N14" s="75">
        <f>LOOKUP(2, 1/('BA History'!$B:$B=A14), 'BA History'!$AH:$AH)</f>
        <v>0.4</v>
      </c>
      <c r="O14" s="34">
        <f>SUMIFS('BA History'!H:H,'BA History'!B:B,A14)</f>
        <v>72</v>
      </c>
      <c r="P14" s="2">
        <f>SUMIFS('BA History'!G:G,'BA History'!B:B,A14)-O14</f>
        <v>102</v>
      </c>
      <c r="Q14" s="89">
        <f>LOOKUP(2, 1/('BA History'!$B:$B=A14), 'BA History'!$AI:$AI)</f>
        <v>0.39800000000000002</v>
      </c>
      <c r="R14" s="2">
        <f>COUNTIFS('BA History'!$B:$B,$A$14,'BA History'!K:K, 1)</f>
        <v>0</v>
      </c>
      <c r="S14" s="2">
        <f>COUNTIFS('BA History'!$B:$B,$A$14,'BA History'!L:L, 1)</f>
        <v>1</v>
      </c>
      <c r="T14" s="2">
        <f>COUNTIFS('BA History'!$B:$B,$A$14,'BA History'!M:M, 1)</f>
        <v>1</v>
      </c>
      <c r="U14" s="2">
        <f>COUNTIFS('BA History'!$B:$B,$A$14,'BA History'!N:N, 1)</f>
        <v>2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1</v>
      </c>
      <c r="AC14" s="2">
        <f>COUNTIFS('BA History'!$B:$B,$A$14,'BA History'!V:V, 1)</f>
        <v>1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2</v>
      </c>
      <c r="AH14" s="2">
        <f>COUNTIFS('BA History'!$B:$B,$A$14,'BA History'!AA:AA, 1)</f>
        <v>1</v>
      </c>
      <c r="AI14" s="2">
        <f>COUNTIFS('BA History'!$B:$B,$A$14,'BA History'!AB:AB, 1)</f>
        <v>4</v>
      </c>
      <c r="AJ14" s="2">
        <f>COUNTIFS('BA History'!$B:$B,$A$14,'BA History'!AC:AC, 1)</f>
        <v>2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1</v>
      </c>
    </row>
    <row r="15" spans="1:39" x14ac:dyDescent="0.25">
      <c r="A15" s="2" t="s">
        <v>74</v>
      </c>
      <c r="B15" s="2" t="s">
        <v>79</v>
      </c>
      <c r="C15" s="2"/>
      <c r="D15" s="2"/>
      <c r="E15" s="2"/>
      <c r="F15" s="34">
        <f>SUMIFS('BA History'!C:C,'BA History'!B:B,A15)</f>
        <v>9</v>
      </c>
      <c r="G15" s="66">
        <f>AVERAGEIFS('BA History'!C:C,'BA History'!B:B,A15)</f>
        <v>9</v>
      </c>
      <c r="H15" s="35">
        <f t="array" ref="H15">MAX(IF('BA History'!B:B=A15, 'BA History'!C:C))</f>
        <v>9</v>
      </c>
      <c r="I15" s="34">
        <f>COUNTIFS('BA History'!B:B,A15,'BA History'!D:D, 1)</f>
        <v>0</v>
      </c>
      <c r="J15" s="2">
        <f>COUNTIFS('BA History'!B:B,A15,'BA History'!D:D, 0)</f>
        <v>1</v>
      </c>
      <c r="K15" s="75">
        <f>LOOKUP(2, 1/('BA History'!$B:$B=A15), 'BA History'!$AJ:$AJ)</f>
        <v>0</v>
      </c>
      <c r="L15" s="34">
        <f>SUMIFS('BA History'!F:F,'BA History'!B:B,A15)</f>
        <v>1</v>
      </c>
      <c r="M15" s="2">
        <f>SUMIFS('BA History'!E:E,'BA History'!B:B,A15)-L15</f>
        <v>3</v>
      </c>
      <c r="N15" s="75">
        <f>LOOKUP(2, 1/('BA History'!$B:$B=A15), 'BA History'!$AH:$AH)</f>
        <v>0.25</v>
      </c>
      <c r="O15" s="34">
        <f>SUMIFS('BA History'!H:H,'BA History'!B:B,A15)</f>
        <v>6</v>
      </c>
      <c r="P15" s="2">
        <f>SUMIFS('BA History'!G:G,'BA History'!B:B,A15)-O15</f>
        <v>9</v>
      </c>
      <c r="Q15" s="89">
        <f>LOOKUP(2, 1/('BA History'!$B:$B=A15), 'BA History'!$AI:$AI)</f>
        <v>0.4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0</v>
      </c>
      <c r="U15" s="2">
        <f>COUNTIFS('BA History'!$B:$B,$A$15,'BA History'!N:N, 1)</f>
        <v>0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1</v>
      </c>
      <c r="AH15" s="2">
        <f>COUNTIFS('BA History'!$B:$B,$A$15,'BA History'!AA:AA, 1)</f>
        <v>0</v>
      </c>
      <c r="AI15" s="2">
        <f>COUNTIFS('BA History'!$B:$B,$A$15,'BA History'!AB:AB, 1)</f>
        <v>0</v>
      </c>
      <c r="AJ15" s="2">
        <f>COUNTIFS('BA History'!$B:$B,$A$15,'BA History'!AC:AC, 1)</f>
        <v>0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152</v>
      </c>
      <c r="B16" s="2" t="s">
        <v>79</v>
      </c>
      <c r="C16" s="2"/>
      <c r="D16" s="2"/>
      <c r="E16" s="2"/>
      <c r="F16" s="34">
        <f>SUMIFS('BA History'!C:C,'BA History'!B:B,A16)</f>
        <v>65</v>
      </c>
      <c r="G16" s="66">
        <f>AVERAGEIFS('BA History'!C:C,'BA History'!B:B,A16)</f>
        <v>13</v>
      </c>
      <c r="H16" s="35">
        <f t="array" ref="H16">MAX(IF('BA History'!B:B=A16, 'BA History'!C:C))</f>
        <v>19</v>
      </c>
      <c r="I16" s="34">
        <f>COUNTIFS('BA History'!B:B,A16,'BA History'!D:D, 1)</f>
        <v>2</v>
      </c>
      <c r="J16" s="2">
        <f>COUNTIFS('BA History'!B:B,A16,'BA History'!D:D, 0)</f>
        <v>3</v>
      </c>
      <c r="K16" s="75">
        <f>LOOKUP(2, 1/('BA History'!$B:$B=A16), 'BA History'!$AJ:$AJ)</f>
        <v>0.4</v>
      </c>
      <c r="L16" s="34">
        <f>SUMIFS('BA History'!F:F,'BA History'!B:B,A16)</f>
        <v>11</v>
      </c>
      <c r="M16" s="2">
        <f>SUMIFS('BA History'!E:E,'BA History'!B:B,A16)-L16</f>
        <v>11</v>
      </c>
      <c r="N16" s="75">
        <f>LOOKUP(2, 1/('BA History'!$B:$B=A16), 'BA History'!$AH:$AH)</f>
        <v>0.49000000000000005</v>
      </c>
      <c r="O16" s="34">
        <f>SUMIFS('BA History'!H:H,'BA History'!B:B,A16)</f>
        <v>47</v>
      </c>
      <c r="P16" s="2">
        <f>SUMIFS('BA History'!G:G,'BA History'!B:B,A16)-O16</f>
        <v>46</v>
      </c>
      <c r="Q16" s="89">
        <f>LOOKUP(2, 1/('BA History'!$B:$B=A16), 'BA History'!$AI:$AI)</f>
        <v>0.5</v>
      </c>
      <c r="R16" s="2">
        <f>COUNTIFS('BA History'!$B:$B,$A$16,'BA History'!K:K, 1)</f>
        <v>1</v>
      </c>
      <c r="S16" s="2">
        <f>COUNTIFS('BA History'!$B:$B,$A$16,'BA History'!L:L, 1)</f>
        <v>0</v>
      </c>
      <c r="T16" s="2">
        <f>COUNTIFS('BA History'!$B:$B,$A$16,'BA History'!M:M, 1)</f>
        <v>2</v>
      </c>
      <c r="U16" s="2">
        <f>COUNTIFS('BA History'!$B:$B,$A$16,'BA History'!N:N, 1)</f>
        <v>2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1</v>
      </c>
      <c r="AD16" s="2">
        <f>COUNTIFS('BA History'!$B:$B,$A$16,'BA History'!W:W, 1)</f>
        <v>1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2</v>
      </c>
      <c r="AJ16" s="2">
        <f>COUNTIFS('BA History'!$B:$B,$A$16,'BA History'!AC:AC, 1)</f>
        <v>2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</row>
    <row r="17" spans="1:39" x14ac:dyDescent="0.25">
      <c r="A17" s="2" t="s">
        <v>89</v>
      </c>
      <c r="B17" s="2" t="s">
        <v>79</v>
      </c>
      <c r="C17" s="2"/>
      <c r="D17" s="2"/>
      <c r="E17" s="2"/>
      <c r="F17" s="34">
        <f>SUMIFS('BA History'!C:C,'BA History'!B:B,A17)</f>
        <v>3</v>
      </c>
      <c r="G17" s="66">
        <f>AVERAGEIFS('BA History'!C:C,'BA History'!B:B,A17)</f>
        <v>3</v>
      </c>
      <c r="H17" s="35">
        <f t="array" ref="H17">MAX(IF('BA History'!B:B=A17, 'BA History'!C:C))</f>
        <v>3</v>
      </c>
      <c r="I17" s="34">
        <f>COUNTIFS('BA History'!B:B,A17,'BA History'!D:D, 1)</f>
        <v>0</v>
      </c>
      <c r="J17" s="2">
        <f>COUNTIFS('BA History'!B:B,A17,'BA History'!D:D, 0)</f>
        <v>1</v>
      </c>
      <c r="K17" s="75">
        <f>LOOKUP(2, 1/('BA History'!$B:$B=A17), 'BA History'!$AJ:$AJ)</f>
        <v>0</v>
      </c>
      <c r="L17" s="34">
        <f>SUMIFS('BA History'!F:F,'BA History'!B:B,A17)</f>
        <v>0</v>
      </c>
      <c r="M17" s="2">
        <f>SUMIFS('BA History'!E:E,'BA History'!B:B,A17)-L17</f>
        <v>3</v>
      </c>
      <c r="N17" s="75">
        <f>LOOKUP(2, 1/('BA History'!$B:$B=A17), 'BA History'!$AH:$AH)</f>
        <v>0</v>
      </c>
      <c r="O17" s="34">
        <f>SUMIFS('BA History'!H:H,'BA History'!B:B,A17)</f>
        <v>4</v>
      </c>
      <c r="P17" s="2">
        <f>SUMIFS('BA History'!G:G,'BA History'!B:B,A17)-O17</f>
        <v>9</v>
      </c>
      <c r="Q17" s="89">
        <f>LOOKUP(2, 1/('BA History'!$B:$B=A17), 'BA History'!$AI:$AI)</f>
        <v>0.31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0</v>
      </c>
      <c r="U17" s="2">
        <f>COUNTIFS('BA History'!$B:$B,$A$17,'BA History'!N:N, 1)</f>
        <v>0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0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History'!$B:$B,$A$17,'BA History'!AA:AA, 1)</f>
        <v>0</v>
      </c>
      <c r="AI17" s="2">
        <f>COUNTIFS('BA History'!$B:$B,$A$17,'BA History'!AB:AB, 1)</f>
        <v>0</v>
      </c>
      <c r="AJ17" s="2">
        <f>COUNTIFS('BA History'!$B:$B,$A$17,'BA History'!AC:AC, 1)</f>
        <v>0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History'!$B:$B,$A$18,'BA History'!AF:AF, 1)</f>
        <v>0</v>
      </c>
    </row>
    <row r="18" spans="1:39" x14ac:dyDescent="0.25">
      <c r="A18" s="2" t="s">
        <v>45</v>
      </c>
      <c r="B18" s="2" t="s">
        <v>79</v>
      </c>
      <c r="C18" s="2"/>
      <c r="D18" s="2"/>
      <c r="E18" s="2"/>
      <c r="F18" s="34">
        <f>SUMIFS('BA History'!C:C,'BA History'!B:B,A18)</f>
        <v>66</v>
      </c>
      <c r="G18" s="66">
        <f>AVERAGEIFS('BA History'!C:C,'BA History'!B:B,A18)</f>
        <v>9.4285714285714288</v>
      </c>
      <c r="H18" s="35">
        <f t="array" ref="H18">MAX(IF('BA History'!B:B=A18, 'BA History'!C:C))</f>
        <v>14</v>
      </c>
      <c r="I18" s="34">
        <f>COUNTIFS('BA History'!B:B,A18,'BA History'!D:D, 1)</f>
        <v>3</v>
      </c>
      <c r="J18" s="2">
        <f>COUNTIFS('BA History'!B:B,A18,'BA History'!D:D, 0)</f>
        <v>4</v>
      </c>
      <c r="K18" s="75">
        <f>LOOKUP(2, 1/('BA History'!$B:$B=A18), 'BA History'!$AJ:$AJ)</f>
        <v>0.42857142857142855</v>
      </c>
      <c r="L18" s="34">
        <f>SUMIFS('BA History'!F:F,'BA History'!B:B,A18)</f>
        <v>13</v>
      </c>
      <c r="M18" s="2">
        <f>SUMIFS('BA History'!E:E,'BA History'!B:B,A18)-L18</f>
        <v>15</v>
      </c>
      <c r="N18" s="75">
        <f>LOOKUP(2, 1/('BA History'!$B:$B=A18), 'BA History'!$AH:$AH)</f>
        <v>0.45999999999999996</v>
      </c>
      <c r="O18" s="34">
        <f>SUMIFS('BA History'!H:H,'BA History'!B:B,A18)</f>
        <v>62</v>
      </c>
      <c r="P18" s="2">
        <f>SUMIFS('BA History'!G:G,'BA History'!B:B,A18)-O18</f>
        <v>66</v>
      </c>
      <c r="Q18" s="89">
        <f>LOOKUP(2, 1/('BA History'!$B:$B=A18), 'BA History'!$AI:$AI)</f>
        <v>0.48142857142857143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1</v>
      </c>
      <c r="U18" s="2">
        <f>COUNTIFS('BA History'!$B:$B,$A$18,'BA History'!N:N, 1)</f>
        <v>2</v>
      </c>
      <c r="V18" s="2">
        <f>COUNTIFS('BA History'!$B:$B,$A$18,'BA History'!O:O, 1)</f>
        <v>1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1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2</v>
      </c>
      <c r="AG18" s="2">
        <f>COUNTIFS('BA History'!$B:$B,$A$18,'BA History'!Z:Z, 1)</f>
        <v>1</v>
      </c>
      <c r="AH18" s="2">
        <f>COUNTIFS('BA History'!$B:$B,$A$18,'BA History'!AA:AA, 1)</f>
        <v>1</v>
      </c>
      <c r="AI18" s="2">
        <f>COUNTIFS('BA History'!$B:$B,$A$18,'BA History'!AB:AB, 1)</f>
        <v>2</v>
      </c>
      <c r="AJ18" s="2">
        <f>COUNTIFS('BA History'!$B:$B,$A$18,'BA History'!AC:AC, 1)</f>
        <v>2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</row>
    <row r="19" spans="1:39" x14ac:dyDescent="0.25">
      <c r="A19" s="2" t="s">
        <v>50</v>
      </c>
      <c r="B19" s="2" t="s">
        <v>79</v>
      </c>
      <c r="C19" s="2"/>
      <c r="D19" s="2">
        <v>1</v>
      </c>
      <c r="E19" s="2"/>
      <c r="F19" s="34">
        <f>SUMIFS('BA History'!C:C,'BA History'!B:B,A19)</f>
        <v>767</v>
      </c>
      <c r="G19" s="66">
        <f>AVERAGEIFS('BA History'!C:C,'BA History'!B:B,A19)</f>
        <v>17.837209302325583</v>
      </c>
      <c r="H19" s="35">
        <f t="array" ref="H19">MAX(IF('BA History'!B:B=A19, 'BA History'!C:C))</f>
        <v>31</v>
      </c>
      <c r="I19" s="34">
        <f>COUNTIFS('BA History'!B:B,A19,'BA History'!D:D, 1)</f>
        <v>21</v>
      </c>
      <c r="J19" s="2">
        <f>COUNTIFS('BA History'!B:B,A19,'BA History'!D:D, 0)</f>
        <v>22</v>
      </c>
      <c r="K19" s="75">
        <f>LOOKUP(2, 1/('BA History'!$B:$B=A19), 'BA History'!$AJ:$AJ)</f>
        <v>0.48837209302325579</v>
      </c>
      <c r="L19" s="34">
        <f>SUMIFS('BA History'!F:F,'BA History'!B:B,A19)</f>
        <v>85</v>
      </c>
      <c r="M19" s="2">
        <f>SUMIFS('BA History'!E:E,'BA History'!B:B,A19)-L19</f>
        <v>88</v>
      </c>
      <c r="N19" s="75">
        <f>LOOKUP(2, 1/('BA History'!$B:$B=A19), 'BA History'!$AH:$AH)</f>
        <v>0.49372093023255825</v>
      </c>
      <c r="O19" s="34">
        <f>SUMIFS('BA History'!H:H,'BA History'!B:B,A19)</f>
        <v>363</v>
      </c>
      <c r="P19" s="2">
        <f>SUMIFS('BA History'!G:G,'BA History'!B:B,A19)-O19</f>
        <v>363</v>
      </c>
      <c r="Q19" s="89">
        <f>LOOKUP(2, 1/('BA History'!$B:$B=A19), 'BA History'!$AI:$AI)</f>
        <v>0.50906976744186039</v>
      </c>
      <c r="R19" s="2">
        <f>COUNTIFS('BA History'!$B:$B,$A$19,'BA History'!K:K, 1)</f>
        <v>3</v>
      </c>
      <c r="S19" s="2">
        <f>COUNTIFS('BA History'!$B:$B,$A$19,'BA History'!L:L, 1)</f>
        <v>7</v>
      </c>
      <c r="T19" s="2">
        <f>COUNTIFS('BA History'!$B:$B,$A$19,'BA History'!M:M, 1)</f>
        <v>5</v>
      </c>
      <c r="U19" s="2">
        <f>COUNTIFS('BA History'!$B:$B,$A$19,'BA History'!N:N, 1)</f>
        <v>8</v>
      </c>
      <c r="V19" s="2">
        <f>COUNTIFS('BA History'!$B:$B,$A$19,'BA History'!O:O, 1)</f>
        <v>2</v>
      </c>
      <c r="W19" s="2">
        <f>COUNTIFS('BA History'!$B:$B,$A$19,'BA History'!P:P, 1)</f>
        <v>1</v>
      </c>
      <c r="X19" s="2">
        <f>COUNTIFS('BA History'!$B:$B,$A$19,'BA History'!Q:Q, 1)</f>
        <v>4</v>
      </c>
      <c r="Y19" s="2">
        <f>COUNTIFS('BA History'!$B:$B,$A$19,'BA History'!R:R, 1)</f>
        <v>1</v>
      </c>
      <c r="Z19" s="2">
        <f>COUNTIFS('BA History'!$B:$B,$A$19,'BA History'!S:S, 1)</f>
        <v>0</v>
      </c>
      <c r="AA19" s="2">
        <f>COUNTIFS('BA History'!$B:$B,$A$19,'BA History'!T:T, 1)</f>
        <v>1</v>
      </c>
      <c r="AB19" s="2">
        <f>COUNTIFS('BA History'!$B:$B,$A$19,'BA History'!U:U, 1)</f>
        <v>0</v>
      </c>
      <c r="AC19" s="2">
        <f>COUNTIFS('BA History'!$B:$B,$A$19,'BA History'!V:V, 1)</f>
        <v>9</v>
      </c>
      <c r="AD19" s="2">
        <f>COUNTIFS('BA History'!$B:$B,$A$19,'BA History'!W:W, 1)</f>
        <v>2</v>
      </c>
      <c r="AE19" s="2">
        <f>COUNTIFS('BA History'!$B:$B,$A$19,'BA History'!X:X, 1)</f>
        <v>1</v>
      </c>
      <c r="AF19" s="2">
        <f>COUNTIFS('BA History'!$B:$B,$A$19,'BA History'!Y:Y, 1)</f>
        <v>4</v>
      </c>
      <c r="AG19" s="2">
        <f>COUNTIFS('BA History'!$B:$B,$A$19,'BA History'!Z:Z, 1)</f>
        <v>9</v>
      </c>
      <c r="AH19" s="2">
        <f>COUNTIFS('BA History'!$B:$B,$A$19,'BA History'!AA:AA, 1)</f>
        <v>1</v>
      </c>
      <c r="AI19" s="2">
        <f>COUNTIFS('BA History'!$B:$B,$A$19,'BA History'!AB:AB, 1)</f>
        <v>11</v>
      </c>
      <c r="AJ19" s="2">
        <f>COUNTIFS('BA History'!$B:$B,$A$19,'BA History'!AC:AC, 1)</f>
        <v>2</v>
      </c>
      <c r="AK19" s="2">
        <f>COUNTIFS('BA History'!$B:$B,$A$19,'BA History'!AD:AD, 1)</f>
        <v>9</v>
      </c>
      <c r="AL19" s="2">
        <f>COUNTIFS('BA History'!$B:$B,$A$19,'BA History'!AE:AE, 1)</f>
        <v>2</v>
      </c>
      <c r="AM19" s="2">
        <f>COUNTIFS('BA History'!$B:$B,$A$19,'BA History'!AF:AF, 1)</f>
        <v>3</v>
      </c>
    </row>
    <row r="20" spans="1:39" x14ac:dyDescent="0.25">
      <c r="A20" s="2" t="s">
        <v>52</v>
      </c>
      <c r="B20" s="2" t="s">
        <v>79</v>
      </c>
      <c r="C20" s="2">
        <v>1</v>
      </c>
      <c r="D20" s="2"/>
      <c r="E20" s="2"/>
      <c r="F20" s="34">
        <f>SUMIFS('BA History'!C:C,'BA History'!B:B,A20)</f>
        <v>235</v>
      </c>
      <c r="G20" s="66">
        <f>AVERAGEIFS('BA History'!C:C,'BA History'!B:B,A20)</f>
        <v>15.666666666666666</v>
      </c>
      <c r="H20" s="35">
        <f t="array" ref="H20">MAX(IF('BA History'!B:B=A20, 'BA History'!C:C))</f>
        <v>31</v>
      </c>
      <c r="I20" s="34">
        <f>COUNTIFS('BA History'!B:B,A20,'BA History'!D:D, 1)</f>
        <v>5</v>
      </c>
      <c r="J20" s="2">
        <f>COUNTIFS('BA History'!B:B,A20,'BA History'!D:D, 0)</f>
        <v>10</v>
      </c>
      <c r="K20" s="75">
        <f>LOOKUP(2, 1/('BA History'!$B:$B=A20), 'BA History'!$AJ:$AJ)</f>
        <v>0.33333333333333331</v>
      </c>
      <c r="L20" s="34">
        <f>SUMIFS('BA History'!F:F,'BA History'!B:B,A20)</f>
        <v>29</v>
      </c>
      <c r="M20" s="2">
        <f>SUMIFS('BA History'!E:E,'BA History'!B:B,A20)-L20</f>
        <v>35</v>
      </c>
      <c r="N20" s="75">
        <f>LOOKUP(2, 1/('BA History'!$B:$B=A20), 'BA History'!$AH:$AH)</f>
        <v>0.47000000000000003</v>
      </c>
      <c r="O20" s="34">
        <f>SUMIFS('BA History'!H:H,'BA History'!B:B,A20)</f>
        <v>121</v>
      </c>
      <c r="P20" s="2">
        <f>SUMIFS('BA History'!G:G,'BA History'!B:B,A20)-O20</f>
        <v>134</v>
      </c>
      <c r="Q20" s="89">
        <f>LOOKUP(2, 1/('BA History'!$B:$B=A20), 'BA History'!$AI:$AI)</f>
        <v>0.48600000000000004</v>
      </c>
      <c r="R20" s="2">
        <f>COUNTIFS('BA History'!$B:$B,$A$20,'BA History'!K:K, 1)</f>
        <v>1</v>
      </c>
      <c r="S20" s="2">
        <f>COUNTIFS('BA History'!$B:$B,$A$20,'BA History'!L:L, 1)</f>
        <v>2</v>
      </c>
      <c r="T20" s="2">
        <f>COUNTIFS('BA History'!$B:$B,$A$20,'BA History'!M:M, 1)</f>
        <v>2</v>
      </c>
      <c r="U20" s="2">
        <f>COUNTIFS('BA History'!$B:$B,$A$20,'BA History'!N:N, 1)</f>
        <v>3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1</v>
      </c>
      <c r="Y20" s="2">
        <f>COUNTIFS('BA History'!$B:$B,$A$20,'BA History'!R:R, 1)</f>
        <v>0</v>
      </c>
      <c r="Z20" s="2">
        <f>COUNTIFS('BA History'!$B:$B,$A$20,'BA History'!S:S, 1)</f>
        <v>0</v>
      </c>
      <c r="AA20" s="2">
        <f>COUNTIFS('BA History'!$B:$B,$A$20,'BA History'!T:T, 1)</f>
        <v>0</v>
      </c>
      <c r="AB20" s="2">
        <f>COUNTIFS('BA History'!$B:$B,$A$20,'BA History'!U:U, 1)</f>
        <v>4</v>
      </c>
      <c r="AC20" s="2">
        <f>COUNTIFS('BA History'!$B:$B,$A$20,'BA History'!V:V, 1)</f>
        <v>0</v>
      </c>
      <c r="AD20" s="2">
        <f>COUNTIFS('BA History'!$B:$B,$A$20,'BA History'!W:W, 1)</f>
        <v>1</v>
      </c>
      <c r="AE20" s="2">
        <f>COUNTIFS('BA History'!$B:$B,$A$20,'BA History'!X:X, 1)</f>
        <v>0</v>
      </c>
      <c r="AF20" s="2">
        <f>COUNTIFS('BA History'!$B:$B,$A$20,'BA History'!Y:Y, 1)</f>
        <v>1</v>
      </c>
      <c r="AG20" s="2">
        <f>COUNTIFS('BA History'!$B:$B,$A$20,'BA History'!Z:Z, 1)</f>
        <v>4</v>
      </c>
      <c r="AH20" s="2">
        <f>COUNTIFS('BA History'!$B:$B,$A$20,'BA History'!AA:AA, 1)</f>
        <v>0</v>
      </c>
      <c r="AI20" s="2">
        <f>COUNTIFS('BA History'!$B:$B,$A$20,'BA History'!AB:AB, 1)</f>
        <v>5</v>
      </c>
      <c r="AJ20" s="2">
        <f>COUNTIFS('BA History'!$B:$B,$A$20,'BA History'!AC:AC, 1)</f>
        <v>3</v>
      </c>
      <c r="AK20" s="2">
        <f>COUNTIFS('BA History'!$B:$B,$A$20,'BA History'!AD:AD, 1)</f>
        <v>1</v>
      </c>
      <c r="AL20" s="2">
        <f>COUNTIFS('BA History'!$B:$B,$A$20,'BA History'!AE:AE, 1)</f>
        <v>0</v>
      </c>
      <c r="AM20" s="2">
        <f>COUNTIFS('BA History'!$B:$B,$A$20,'BA History'!AF:AF, 1)</f>
        <v>0</v>
      </c>
    </row>
    <row r="21" spans="1:39" x14ac:dyDescent="0.25">
      <c r="A21" s="2" t="s">
        <v>44</v>
      </c>
      <c r="B21" s="2" t="s">
        <v>79</v>
      </c>
      <c r="C21" s="2">
        <v>1</v>
      </c>
      <c r="D21" s="2"/>
      <c r="E21" s="2"/>
      <c r="F21" s="34">
        <f>SUMIFS('BA History'!C:C,'BA History'!B:B,A21)</f>
        <v>750</v>
      </c>
      <c r="G21" s="66">
        <f>AVERAGEIFS('BA History'!C:C,'BA History'!B:B,A21)</f>
        <v>16.666666666666668</v>
      </c>
      <c r="H21" s="35">
        <f t="array" ref="H21">MAX(IF('BA History'!B:B=A21, 'BA History'!C:C))</f>
        <v>36</v>
      </c>
      <c r="I21" s="34">
        <f>COUNTIFS('BA History'!B:B,A21,'BA History'!D:D, 1)</f>
        <v>29</v>
      </c>
      <c r="J21" s="2">
        <f>COUNTIFS('BA History'!B:B,A21,'BA History'!D:D, 0)</f>
        <v>16</v>
      </c>
      <c r="K21" s="75">
        <f>LOOKUP(2, 1/('BA History'!$B:$B=A21), 'BA History'!$AJ:$AJ)</f>
        <v>0.64444444444444449</v>
      </c>
      <c r="L21" s="34">
        <f>SUMIFS('BA History'!F:F,'BA History'!B:B,A21)</f>
        <v>100</v>
      </c>
      <c r="M21" s="2">
        <f>SUMIFS('BA History'!E:E,'BA History'!B:B,A21)-L21</f>
        <v>81</v>
      </c>
      <c r="N21" s="75">
        <f>LOOKUP(2, 1/('BA History'!$B:$B=A21), 'BA History'!$AH:$AH)</f>
        <v>0.54888888888888887</v>
      </c>
      <c r="O21" s="34">
        <f>SUMIFS('BA History'!H:H,'BA History'!B:B,A21)</f>
        <v>403</v>
      </c>
      <c r="P21" s="2">
        <f>SUMIFS('BA History'!G:G,'BA History'!B:B,A21)-O21</f>
        <v>353</v>
      </c>
      <c r="Q21" s="89">
        <f>LOOKUP(2, 1/('BA History'!$B:$B=A21), 'BA History'!$AI:$AI)</f>
        <v>0.5411111111111111</v>
      </c>
      <c r="R21" s="2">
        <f>COUNTIFS('BA History'!$B:$B,$A$21,'BA History'!K:K, 1)</f>
        <v>4</v>
      </c>
      <c r="S21" s="2">
        <f>COUNTIFS('BA History'!$B:$B,$A$21,'BA History'!L:L, 1)</f>
        <v>4</v>
      </c>
      <c r="T21" s="2">
        <f>COUNTIFS('BA History'!$B:$B,$A$21,'BA History'!M:M, 1)</f>
        <v>11</v>
      </c>
      <c r="U21" s="2">
        <f>COUNTIFS('BA History'!$B:$B,$A$21,'BA History'!N:N, 1)</f>
        <v>10</v>
      </c>
      <c r="V21" s="2">
        <f>COUNTIFS('BA History'!$B:$B,$A$21,'BA History'!O:O, 1)</f>
        <v>2</v>
      </c>
      <c r="W21" s="2">
        <f>COUNTIFS('BA History'!$B:$B,$A$21,'BA History'!P:P, 1)</f>
        <v>0</v>
      </c>
      <c r="X21" s="2">
        <f>COUNTIFS('BA History'!$B:$B,$A$21,'BA History'!Q:Q, 1)</f>
        <v>3</v>
      </c>
      <c r="Y21" s="2">
        <f>COUNTIFS('BA History'!$B:$B,$A$21,'BA History'!R:R, 1)</f>
        <v>2</v>
      </c>
      <c r="Z21" s="2">
        <f>COUNTIFS('BA History'!$B:$B,$A$21,'BA History'!S:S, 1)</f>
        <v>2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5</v>
      </c>
      <c r="AD21" s="2">
        <f>COUNTIFS('BA History'!$B:$B,$A$21,'BA History'!W:W, 1)</f>
        <v>4</v>
      </c>
      <c r="AE21" s="2">
        <f>COUNTIFS('BA History'!$B:$B,$A$21,'BA History'!X:X, 1)</f>
        <v>1</v>
      </c>
      <c r="AF21" s="2">
        <f>COUNTIFS('BA History'!$B:$B,$A$21,'BA History'!Y:Y, 1)</f>
        <v>6</v>
      </c>
      <c r="AG21" s="2">
        <f>COUNTIFS('BA History'!$B:$B,$A$21,'BA History'!Z:Z, 1)</f>
        <v>10</v>
      </c>
      <c r="AH21" s="2">
        <f>COUNTIFS('BA History'!$B:$B,$A$21,'BA History'!AA:AA, 1)</f>
        <v>3</v>
      </c>
      <c r="AI21" s="2">
        <f>COUNTIFS('BA History'!$B:$B,$A$21,'BA History'!AB:AB, 1)</f>
        <v>11</v>
      </c>
      <c r="AJ21" s="2">
        <f>COUNTIFS('BA History'!$B:$B,$A$21,'BA History'!AC:AC, 1)</f>
        <v>6</v>
      </c>
      <c r="AK21" s="2">
        <f>COUNTIFS('BA History'!$B:$B,$A$21,'BA History'!AD:AD, 1)</f>
        <v>6</v>
      </c>
      <c r="AL21" s="2">
        <f>COUNTIFS('BA History'!$B:$B,$A$21,'BA History'!AE:AE, 1)</f>
        <v>1</v>
      </c>
      <c r="AM21" s="2">
        <f>COUNTIFS('BA History'!$B:$B,$A$21,'BA History'!AF:AF, 1)</f>
        <v>9</v>
      </c>
    </row>
    <row r="22" spans="1:39" x14ac:dyDescent="0.25">
      <c r="A22" s="2" t="s">
        <v>167</v>
      </c>
      <c r="B22" s="2" t="s">
        <v>79</v>
      </c>
      <c r="C22" s="2"/>
      <c r="D22" s="2"/>
      <c r="E22" s="2"/>
      <c r="F22" s="34">
        <f>SUMIFS('BA History'!C:C,'BA History'!B:B,A22)</f>
        <v>30</v>
      </c>
      <c r="G22" s="66">
        <f>AVERAGEIFS('BA History'!C:C,'BA History'!B:B,A22)</f>
        <v>10</v>
      </c>
      <c r="H22" s="35">
        <f t="array" ref="H22">MAX(IF('BA History'!B:B=A22, 'BA History'!C:C))</f>
        <v>14</v>
      </c>
      <c r="I22" s="34">
        <f>COUNTIFS('BA History'!B:B,A22,'BA History'!D:D, 1)</f>
        <v>1</v>
      </c>
      <c r="J22" s="2">
        <f>COUNTIFS('BA History'!B:B,A22,'BA History'!D:D, 0)</f>
        <v>2</v>
      </c>
      <c r="K22" s="75">
        <f>LOOKUP(2, 1/('BA History'!$B:$B=A22), 'BA History'!$AJ:$AJ)</f>
        <v>0.33333333333333331</v>
      </c>
      <c r="L22" s="34">
        <f>SUMIFS('BA History'!F:F,'BA History'!B:B,A22)</f>
        <v>6</v>
      </c>
      <c r="M22" s="2">
        <f>SUMIFS('BA History'!E:E,'BA History'!B:B,A22)-L22</f>
        <v>7</v>
      </c>
      <c r="N22" s="75">
        <f>LOOKUP(2, 1/('BA History'!$B:$B=A22), 'BA History'!$AH:$AH)</f>
        <v>0.46666666666666662</v>
      </c>
      <c r="O22" s="34">
        <f>SUMIFS('BA History'!H:H,'BA History'!B:B,A22)</f>
        <v>27</v>
      </c>
      <c r="P22" s="2">
        <f>SUMIFS('BA History'!G:G,'BA History'!B:B,A22)-O22</f>
        <v>29</v>
      </c>
      <c r="Q22" s="89">
        <f>LOOKUP(2, 1/('BA History'!$B:$B=A22), 'BA History'!$AI:$AI)</f>
        <v>0.48333333333333334</v>
      </c>
      <c r="R22" s="2">
        <f>COUNTIFS('BA History'!$B:$B,$A$22,'BA History'!K:K, 1)</f>
        <v>0</v>
      </c>
      <c r="S22" s="2">
        <f>COUNTIFS('BA History'!$B:$B,$A$22,'BA History'!L:L, 1)</f>
        <v>0</v>
      </c>
      <c r="T22" s="2">
        <f>COUNTIFS('BA History'!$B:$B,$A$22,'BA History'!M:M, 1)</f>
        <v>0</v>
      </c>
      <c r="U22" s="2">
        <f>COUNTIFS('BA History'!$B:$B,$A$22,'BA History'!N:N, 1)</f>
        <v>0</v>
      </c>
      <c r="V22" s="2">
        <f>COUNTIFS('BA History'!$B:$B,$A$22,'BA History'!O:O, 1)</f>
        <v>0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0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0</v>
      </c>
      <c r="AD22" s="2">
        <f>COUNTIFS('BA History'!$B:$B,$A$22,'BA History'!W:W, 1)</f>
        <v>0</v>
      </c>
      <c r="AE22" s="2">
        <f>COUNTIFS('BA History'!$B:$B,$A$22,'BA History'!X:X, 1)</f>
        <v>0</v>
      </c>
      <c r="AF22" s="2">
        <f>COUNTIFS('BA History'!$B:$B,$A$22,'BA History'!Y:Y, 1)</f>
        <v>1</v>
      </c>
      <c r="AG22" s="2">
        <f>COUNTIFS('BA History'!$B:$B,$A$22,'BA History'!Z:Z, 1)</f>
        <v>1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0</v>
      </c>
      <c r="AK22" s="2">
        <f>COUNTIFS('BA History'!$B:$B,$A$22,'BA History'!AD:AD, 1)</f>
        <v>0</v>
      </c>
      <c r="AL22" s="2">
        <f>COUNTIFS('BA History'!$B:$B,$A$22,'BA History'!AE:AE, 1)</f>
        <v>0</v>
      </c>
      <c r="AM22" s="2">
        <f>COUNTIFS('BA History'!$B:$B,$A$22,'BA History'!AF:AF, 1)</f>
        <v>0</v>
      </c>
    </row>
    <row r="23" spans="1:39" x14ac:dyDescent="0.25">
      <c r="A23" s="2" t="s">
        <v>1</v>
      </c>
      <c r="B23" s="1" t="s">
        <v>158</v>
      </c>
      <c r="C23" s="1"/>
      <c r="D23" s="1"/>
      <c r="E23" s="1"/>
      <c r="F23" s="34">
        <f>SUMIFS('BA History'!C:C,'BA History'!B:B,A23)</f>
        <v>1065</v>
      </c>
      <c r="G23" s="66">
        <f>AVERAGEIFS('BA History'!C:C,'BA History'!B:B,A23)</f>
        <v>27.307692307692307</v>
      </c>
      <c r="H23" s="35">
        <f t="array" ref="H23">MAX(IF('BA History'!B:B=A23, 'BA History'!C:C))</f>
        <v>50</v>
      </c>
      <c r="I23" s="34">
        <f>COUNTIFS('BA History'!B:B,A23,'BA History'!D:D, 1)</f>
        <v>20</v>
      </c>
      <c r="J23" s="2">
        <f>COUNTIFS('BA History'!B:B,A23,'BA History'!D:D, 0)</f>
        <v>19</v>
      </c>
      <c r="K23" s="75">
        <f>LOOKUP(2, 1/('BA History'!$B:$B=A23), 'BA History'!$AJ:$AJ)</f>
        <v>0.51282051282051277</v>
      </c>
      <c r="L23" s="34">
        <f>SUMIFS('BA History'!F:F,'BA History'!B:B,A23)</f>
        <v>78</v>
      </c>
      <c r="M23" s="2">
        <f>SUMIFS('BA History'!E:E,'BA History'!B:B,A23)-L23</f>
        <v>78</v>
      </c>
      <c r="N23" s="75">
        <f>LOOKUP(2, 1/('BA History'!$B:$B=A23), 'BA History'!$AH:$AH)</f>
        <v>0.49615384615384617</v>
      </c>
      <c r="O23" s="34">
        <f>SUMIFS('BA History'!H:H,'BA History'!B:B,A23)</f>
        <v>319</v>
      </c>
      <c r="P23" s="2">
        <f>SUMIFS('BA History'!G:G,'BA History'!B:B,A23)-O23</f>
        <v>323</v>
      </c>
      <c r="Q23" s="89">
        <f>LOOKUP(2, 1/('BA History'!$B:$B=A23), 'BA History'!$AI:$AI)</f>
        <v>0.49948717948717958</v>
      </c>
      <c r="R23" s="2">
        <f>COUNTIFS('BA History'!$B:$B,$A$23,'BA History'!K:K, 1)</f>
        <v>4</v>
      </c>
      <c r="S23" s="2">
        <f>COUNTIFS('BA History'!$B:$B,$A$23,'BA History'!L:L, 1)</f>
        <v>7</v>
      </c>
      <c r="T23" s="2">
        <f>COUNTIFS('BA History'!$B:$B,$A$23,'BA History'!M:M, 1)</f>
        <v>6</v>
      </c>
      <c r="U23" s="2">
        <f>COUNTIFS('BA History'!$B:$B,$A$23,'BA History'!N:N, 1)</f>
        <v>6</v>
      </c>
      <c r="V23" s="2">
        <f>COUNTIFS('BA History'!$B:$B,$A$23,'BA History'!O:O, 1)</f>
        <v>4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1</v>
      </c>
      <c r="Z23" s="2">
        <f>COUNTIFS('BA History'!$B:$B,$A$23,'BA History'!S:S, 1)</f>
        <v>2</v>
      </c>
      <c r="AA23" s="2">
        <f>COUNTIFS('BA History'!$B:$B,$A$23,'BA History'!T:T, 1)</f>
        <v>0</v>
      </c>
      <c r="AB23" s="2">
        <f>COUNTIFS('BA History'!$B:$B,$A$23,'BA History'!U:U, 1)</f>
        <v>2</v>
      </c>
      <c r="AC23" s="2">
        <f>COUNTIFS('BA History'!$B:$B,$A$23,'BA History'!V:V, 1)</f>
        <v>6</v>
      </c>
      <c r="AD23" s="2">
        <f>COUNTIFS('BA History'!$B:$B,$A$23,'BA History'!W:W, 1)</f>
        <v>2</v>
      </c>
      <c r="AE23" s="2">
        <f>COUNTIFS('BA History'!$B:$B,$A$23,'BA History'!X:X, 1)</f>
        <v>0</v>
      </c>
      <c r="AF23" s="2">
        <f>COUNTIFS('BA History'!$B:$B,$A$23,'BA History'!Y:Y, 1)</f>
        <v>5</v>
      </c>
      <c r="AG23" s="2">
        <f>COUNTIFS('BA History'!$B:$B,$A$23,'BA History'!Z:Z, 1)</f>
        <v>6</v>
      </c>
      <c r="AH23" s="2">
        <f>COUNTIFS('BA History'!$B:$B,$A$23,'BA History'!AA:AA, 1)</f>
        <v>1</v>
      </c>
      <c r="AI23" s="2">
        <f>COUNTIFS('BA History'!$B:$B,$A$23,'BA History'!AB:AB, 1)</f>
        <v>6</v>
      </c>
      <c r="AJ23" s="2">
        <f>COUNTIFS('BA History'!$B:$B,$A$23,'BA History'!AC:AC, 1)</f>
        <v>5</v>
      </c>
      <c r="AK23" s="2">
        <f>COUNTIFS('BA History'!$B:$B,$A$23,'BA History'!AD:AD, 1)</f>
        <v>9</v>
      </c>
      <c r="AL23" s="2">
        <f>COUNTIFS('BA History'!$B:$B,$A$23,'BA History'!AE:AE, 1)</f>
        <v>1</v>
      </c>
      <c r="AM23" s="2">
        <f>COUNTIFS('BA History'!$B:$B,$A$23,'BA History'!AF:AF, 1)</f>
        <v>5</v>
      </c>
    </row>
    <row r="24" spans="1:39" ht="15.75" x14ac:dyDescent="0.25">
      <c r="A24" s="2" t="s">
        <v>151</v>
      </c>
      <c r="B24" s="95" t="s">
        <v>79</v>
      </c>
      <c r="C24" s="95"/>
      <c r="D24" s="95"/>
      <c r="E24" s="95"/>
      <c r="F24" s="34">
        <f>SUMIFS('BA History'!C:C,'BA History'!B:B,A24)</f>
        <v>7</v>
      </c>
      <c r="G24" s="66">
        <f>AVERAGEIFS('BA History'!C:C,'BA History'!B:B,A24)</f>
        <v>7</v>
      </c>
      <c r="H24" s="35">
        <f t="array" ref="H24">MAX(IF('BA History'!B:B=A24, 'BA History'!C:C))</f>
        <v>7</v>
      </c>
      <c r="I24" s="34">
        <f>COUNTIFS('BA History'!B:B,A24,'BA History'!D:D, 1)</f>
        <v>0</v>
      </c>
      <c r="J24" s="2">
        <f>COUNTIFS('BA History'!B:B,A24,'BA History'!D:D, 0)</f>
        <v>1</v>
      </c>
      <c r="K24" s="75">
        <f>LOOKUP(2, 1/('BA History'!$B:$B=A24), 'BA History'!$AJ:$AJ)</f>
        <v>0</v>
      </c>
      <c r="L24" s="34">
        <f>SUMIFS('BA History'!F:F,'BA History'!B:B,A24)</f>
        <v>1</v>
      </c>
      <c r="M24" s="2">
        <f>SUMIFS('BA History'!E:E,'BA History'!B:B,A24)-L24</f>
        <v>4</v>
      </c>
      <c r="N24" s="75">
        <f>LOOKUP(2, 1/('BA History'!$B:$B=A24), 'BA History'!$AH:$AH)</f>
        <v>0.2</v>
      </c>
      <c r="O24" s="34">
        <f>SUMIFS('BA History'!H:H,'BA History'!B:B,A24)</f>
        <v>5</v>
      </c>
      <c r="P24" s="2">
        <f>SUMIFS('BA History'!G:G,'BA History'!B:B,A24)-O24</f>
        <v>14</v>
      </c>
      <c r="Q24" s="89">
        <f>LOOKUP(2, 1/('BA History'!$B:$B=A24), 'BA History'!$AI:$AI)</f>
        <v>0.26</v>
      </c>
      <c r="R24" s="2">
        <f>COUNTIFS('BA History'!$B:$B,$A$24,'BA History'!K:K, 1)</f>
        <v>0</v>
      </c>
      <c r="S24" s="2">
        <f>COUNTIFS('BA History'!$B:$B,$A$24,'BA History'!L:L, 1)</f>
        <v>1</v>
      </c>
      <c r="T24" s="2">
        <f>COUNTIFS('BA History'!$B:$B,$A$24,'BA History'!M:M, 1)</f>
        <v>0</v>
      </c>
      <c r="U24" s="2">
        <f>COUNTIFS('BA History'!$B:$B,$A$24,'BA History'!N:N, 1)</f>
        <v>0</v>
      </c>
      <c r="V24" s="2">
        <f>COUNTIFS('BA History'!$B:$B,$A$24,'BA History'!O:O, 1)</f>
        <v>0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0</v>
      </c>
      <c r="AD24" s="2">
        <f>COUNTIFS('BA History'!$B:$B,$A$24,'BA History'!W:W, 1)</f>
        <v>0</v>
      </c>
      <c r="AE24" s="2">
        <f>COUNTIFS('BA History'!$B:$B,$A$24,'BA History'!X:X, 1)</f>
        <v>0</v>
      </c>
      <c r="AF24" s="2">
        <f>COUNTIFS('BA History'!$B:$B,$A$24,'BA History'!Y:Y, 1)</f>
        <v>0</v>
      </c>
      <c r="AG24" s="2">
        <f>COUNTIFS('BA History'!$B:$B,$A$24,'BA History'!Z:Z, 1)</f>
        <v>0</v>
      </c>
      <c r="AH24" s="2">
        <f>COUNTIFS('BA History'!$B:$B,$A$24,'BA History'!AA:AA, 1)</f>
        <v>0</v>
      </c>
      <c r="AI24" s="2">
        <f>COUNTIFS('BA History'!$B:$B,$A$24,'BA History'!AB:AB, 1)</f>
        <v>0</v>
      </c>
      <c r="AJ24" s="2">
        <f>COUNTIFS('BA History'!$B:$B,$A$24,'BA History'!AC:AC, 1)</f>
        <v>0</v>
      </c>
      <c r="AK24" s="2">
        <f>COUNTIFS('BA History'!$B:$B,$A$24,'BA History'!AD:AD, 1)</f>
        <v>0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ht="15.75" x14ac:dyDescent="0.25">
      <c r="A25" s="2" t="s">
        <v>150</v>
      </c>
      <c r="B25" s="95" t="s">
        <v>79</v>
      </c>
      <c r="C25" s="95">
        <v>1</v>
      </c>
      <c r="D25" s="95"/>
      <c r="E25" s="95"/>
      <c r="F25" s="34">
        <f>SUMIFS('BA History'!C:C,'BA History'!B:B,A25)</f>
        <v>341</v>
      </c>
      <c r="G25" s="66">
        <f>AVERAGEIFS('BA History'!C:C,'BA History'!B:B,A25)</f>
        <v>17.05</v>
      </c>
      <c r="H25" s="35">
        <f t="array" ref="H25">MAX(IF('BA History'!B:B=A25, 'BA History'!C:C))</f>
        <v>30</v>
      </c>
      <c r="I25" s="34">
        <f>COUNTIFS('BA History'!B:B,A25,'BA History'!D:D, 1)</f>
        <v>12</v>
      </c>
      <c r="J25" s="2">
        <f>COUNTIFS('BA History'!B:B,A25,'BA History'!D:D, 0)</f>
        <v>8</v>
      </c>
      <c r="K25" s="75">
        <f>LOOKUP(2, 1/('BA History'!$B:$B=A25), 'BA History'!$AJ:$AJ)</f>
        <v>0.6</v>
      </c>
      <c r="L25" s="34">
        <f>SUMIFS('BA History'!F:F,'BA History'!B:B,A25)</f>
        <v>47</v>
      </c>
      <c r="M25" s="2">
        <f>SUMIFS('BA History'!E:E,'BA History'!B:B,A25)-L25</f>
        <v>34</v>
      </c>
      <c r="N25" s="75">
        <f>LOOKUP(2, 1/('BA History'!$B:$B=A25), 'BA History'!$AH:$AH)</f>
        <v>0.59749999999999992</v>
      </c>
      <c r="O25" s="34">
        <f>SUMIFS('BA History'!H:H,'BA History'!B:B,A25)</f>
        <v>181</v>
      </c>
      <c r="P25" s="2">
        <f>SUMIFS('BA History'!G:G,'BA History'!B:B,A25)-O25</f>
        <v>147</v>
      </c>
      <c r="Q25" s="89">
        <f>LOOKUP(2, 1/('BA History'!$B:$B=A25), 'BA History'!$AI:$AI)</f>
        <v>0.57000000000000006</v>
      </c>
      <c r="R25" s="2">
        <f>COUNTIFS('BA History'!$B:$B,$A$25,'BA History'!K:K, 1)</f>
        <v>0</v>
      </c>
      <c r="S25" s="2">
        <f>COUNTIFS('BA History'!$B:$B,$A$25,'BA History'!L:L, 1)</f>
        <v>2</v>
      </c>
      <c r="T25" s="2">
        <f>COUNTIFS('BA History'!$B:$B,$A$25,'BA History'!M:M, 1)</f>
        <v>6</v>
      </c>
      <c r="U25" s="2">
        <f>COUNTIFS('BA History'!$B:$B,$A$25,'BA History'!N:N, 1)</f>
        <v>5</v>
      </c>
      <c r="V25" s="2">
        <f>COUNTIFS('BA History'!$B:$B,$A$25,'BA History'!O:O, 1)</f>
        <v>1</v>
      </c>
      <c r="W25" s="2">
        <f>COUNTIFS('BA History'!$B:$B,$A$25,'BA History'!P:P, 1)</f>
        <v>1</v>
      </c>
      <c r="X25" s="2">
        <f>COUNTIFS('BA History'!$B:$B,$A$25,'BA History'!Q:Q, 1)</f>
        <v>2</v>
      </c>
      <c r="Y25" s="2">
        <f>COUNTIFS('BA History'!$B:$B,$A$25,'BA History'!R:R, 1)</f>
        <v>0</v>
      </c>
      <c r="Z25" s="2">
        <f>COUNTIFS('BA History'!$B:$B,$A$25,'BA History'!S:S, 1)</f>
        <v>1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2</v>
      </c>
      <c r="AD25" s="2">
        <f>COUNTIFS('BA History'!$B:$B,$A$25,'BA History'!W:W, 1)</f>
        <v>3</v>
      </c>
      <c r="AE25" s="2">
        <f>COUNTIFS('BA History'!$B:$B,$A$25,'BA History'!X:X, 1)</f>
        <v>0</v>
      </c>
      <c r="AF25" s="2">
        <f>COUNTIFS('BA History'!$B:$B,$A$25,'BA History'!Y:Y, 1)</f>
        <v>3</v>
      </c>
      <c r="AG25" s="2">
        <f>COUNTIFS('BA History'!$B:$B,$A$25,'BA History'!Z:Z, 1)</f>
        <v>8</v>
      </c>
      <c r="AH25" s="2">
        <f>COUNTIFS('BA History'!$B:$B,$A$25,'BA History'!AA:AA, 1)</f>
        <v>0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0</v>
      </c>
      <c r="AM25" s="2">
        <f>COUNTIFS('BA History'!$B:$B,$A$25,'BA History'!AF:AF, 1)</f>
        <v>3</v>
      </c>
    </row>
    <row r="26" spans="1:39" x14ac:dyDescent="0.25">
      <c r="A26" s="2" t="s">
        <v>46</v>
      </c>
      <c r="B26" s="1" t="s">
        <v>158</v>
      </c>
      <c r="C26" s="1"/>
      <c r="D26" s="1"/>
      <c r="E26" s="1"/>
      <c r="F26" s="34">
        <f>SUMIFS('BA History'!C:C,'BA History'!B:B,A26)</f>
        <v>521</v>
      </c>
      <c r="G26" s="66">
        <f>AVERAGEIFS('BA History'!C:C,'BA History'!B:B,A26)</f>
        <v>17.96551724137931</v>
      </c>
      <c r="H26" s="35">
        <f t="array" ref="H26">MAX(IF('BA History'!B:B=A26, 'BA History'!C:C))</f>
        <v>34</v>
      </c>
      <c r="I26" s="34">
        <f>COUNTIFS('BA History'!B:B,A26,'BA History'!D:D, 1)</f>
        <v>10</v>
      </c>
      <c r="J26" s="2">
        <f>COUNTIFS('BA History'!B:B,A26,'BA History'!D:D, 0)</f>
        <v>19</v>
      </c>
      <c r="K26" s="75">
        <f>LOOKUP(2, 1/('BA History'!$B:$B=A26), 'BA History'!$AJ:$AJ)</f>
        <v>0.34482758620689657</v>
      </c>
      <c r="L26" s="34">
        <f>SUMIFS('BA History'!F:F,'BA History'!B:B,A26)</f>
        <v>51</v>
      </c>
      <c r="M26" s="2">
        <f>SUMIFS('BA History'!E:E,'BA History'!B:B,A26)-L26</f>
        <v>72</v>
      </c>
      <c r="N26" s="75">
        <f>LOOKUP(2, 1/('BA History'!$B:$B=A26), 'BA History'!$AH:$AH)</f>
        <v>0.39310344827586202</v>
      </c>
      <c r="O26" s="34">
        <f>SUMIFS('BA History'!H:H,'BA History'!B:B,A26)</f>
        <v>231</v>
      </c>
      <c r="P26" s="2">
        <f>SUMIFS('BA History'!G:G,'BA History'!B:B,A26)-O26</f>
        <v>280</v>
      </c>
      <c r="Q26" s="89">
        <f>LOOKUP(2, 1/('BA History'!$B:$B=A26), 'BA History'!$AI:$AI)</f>
        <v>0.43551724137931036</v>
      </c>
      <c r="R26" s="2">
        <f>COUNTIFS('BA History'!$B:$B,$A$26,'BA History'!K:K, 1)</f>
        <v>6</v>
      </c>
      <c r="S26" s="2">
        <f>COUNTIFS('BA History'!$B:$B,$A$26,'BA History'!L:L, 1)</f>
        <v>4</v>
      </c>
      <c r="T26" s="2">
        <f>COUNTIFS('BA History'!$B:$B,$A$26,'BA History'!M:M, 1)</f>
        <v>3</v>
      </c>
      <c r="U26" s="2">
        <f>COUNTIFS('BA History'!$B:$B,$A$26,'BA History'!N:N, 1)</f>
        <v>4</v>
      </c>
      <c r="V26" s="2">
        <f>COUNTIFS('BA History'!$B:$B,$A$26,'BA History'!O:O, 1)</f>
        <v>1</v>
      </c>
      <c r="W26" s="2">
        <f>COUNTIFS('BA History'!$B:$B,$A$26,'BA History'!P:P, 1)</f>
        <v>0</v>
      </c>
      <c r="X26" s="2">
        <f>COUNTIFS('BA History'!$B:$B,$A$26,'BA History'!Q:Q, 1)</f>
        <v>0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1</v>
      </c>
      <c r="AD26" s="2">
        <f>COUNTIFS('BA History'!$B:$B,$A$26,'BA History'!W:W, 1)</f>
        <v>3</v>
      </c>
      <c r="AE26" s="2">
        <f>COUNTIFS('BA History'!$B:$B,$A$26,'BA History'!X:X, 1)</f>
        <v>1</v>
      </c>
      <c r="AF26" s="2">
        <f>COUNTIFS('BA History'!$B:$B,$A$26,'BA History'!Y:Y, 1)</f>
        <v>1</v>
      </c>
      <c r="AG26" s="2">
        <f>COUNTIFS('BA History'!$B:$B,$A$26,'BA History'!Z:Z, 1)</f>
        <v>7</v>
      </c>
      <c r="AH26" s="2">
        <f>COUNTIFS('BA History'!$B:$B,$A$26,'BA History'!AA:AA, 1)</f>
        <v>2</v>
      </c>
      <c r="AI26" s="2">
        <f>COUNTIFS('BA History'!$B:$B,$A$26,'BA History'!AB:AB, 1)</f>
        <v>6</v>
      </c>
      <c r="AJ26" s="2">
        <f>COUNTIFS('BA History'!$B:$B,$A$26,'BA History'!AC:AC, 1)</f>
        <v>1</v>
      </c>
      <c r="AK26" s="2">
        <f>COUNTIFS('BA History'!$B:$B,$A$26,'BA History'!AD:AD, 1)</f>
        <v>3</v>
      </c>
      <c r="AL26" s="2">
        <f>COUNTIFS('BA History'!$B:$B,$A$26,'BA History'!AE:AE, 1)</f>
        <v>2</v>
      </c>
      <c r="AM26" s="2">
        <f>COUNTIFS('BA History'!$B:$B,$A$26,'BA History'!AF:AF, 1)</f>
        <v>4</v>
      </c>
    </row>
    <row r="27" spans="1:39" x14ac:dyDescent="0.25">
      <c r="A27" s="2" t="s">
        <v>28</v>
      </c>
      <c r="B27" s="2" t="s">
        <v>79</v>
      </c>
      <c r="C27" s="2"/>
      <c r="D27" s="2"/>
      <c r="E27" s="2"/>
      <c r="F27" s="34">
        <f>SUMIFS('BA History'!C:C,'BA History'!B:B,A27)</f>
        <v>398</v>
      </c>
      <c r="G27" s="66">
        <f>AVERAGEIFS('BA History'!C:C,'BA History'!B:B,A27)</f>
        <v>13.724137931034482</v>
      </c>
      <c r="H27" s="35">
        <f t="array" ref="H27">MAX(IF('BA History'!B:B=A27, 'BA History'!C:C))</f>
        <v>25</v>
      </c>
      <c r="I27" s="34">
        <f>COUNTIFS('BA History'!B:B,A27,'BA History'!D:D, 1)</f>
        <v>12</v>
      </c>
      <c r="J27" s="2">
        <f>COUNTIFS('BA History'!B:B,A27,'BA History'!D:D, 0)</f>
        <v>17</v>
      </c>
      <c r="K27" s="75">
        <f>LOOKUP(2, 1/('BA History'!$B:$B=A27), 'BA History'!$AJ:$AJ)</f>
        <v>0.41379310344827586</v>
      </c>
      <c r="L27" s="34">
        <f>SUMIFS('BA History'!F:F,'BA History'!B:B,A27)</f>
        <v>49</v>
      </c>
      <c r="M27" s="2">
        <f>SUMIFS('BA History'!E:E,'BA History'!B:B,A27)-L27</f>
        <v>61</v>
      </c>
      <c r="N27" s="75">
        <f>LOOKUP(2, 1/('BA History'!$B:$B=A27), 'BA History'!$AH:$AH)</f>
        <v>0.44413793103448274</v>
      </c>
      <c r="O27" s="34">
        <f>SUMIFS('BA History'!H:H,'BA History'!B:B,A27)</f>
        <v>210</v>
      </c>
      <c r="P27" s="2">
        <f>SUMIFS('BA History'!G:G,'BA History'!B:B,A27)-O27</f>
        <v>236</v>
      </c>
      <c r="Q27" s="89">
        <f>LOOKUP(2, 1/('BA History'!$B:$B=A27), 'BA History'!$AI:$AI)</f>
        <v>0.46379310344827579</v>
      </c>
      <c r="R27" s="2">
        <f>COUNTIFS('BA History'!$B:$B,$A$27,'BA History'!K:K, 1)</f>
        <v>1</v>
      </c>
      <c r="S27" s="2">
        <f>COUNTIFS('BA History'!$B:$B,$A$27,'BA History'!L:L, 1)</f>
        <v>4</v>
      </c>
      <c r="T27" s="2">
        <f>COUNTIFS('BA History'!$B:$B,$A$27,'BA History'!M:M, 1)</f>
        <v>2</v>
      </c>
      <c r="U27" s="2">
        <f>COUNTIFS('BA History'!$B:$B,$A$27,'BA History'!N:N, 1)</f>
        <v>5</v>
      </c>
      <c r="V27" s="2">
        <f>COUNTIFS('BA History'!$B:$B,$A$27,'BA History'!O:O, 1)</f>
        <v>3</v>
      </c>
      <c r="W27" s="2">
        <f>COUNTIFS('BA History'!$B:$B,$A$27,'BA History'!P:P, 1)</f>
        <v>1</v>
      </c>
      <c r="X27" s="2">
        <f>COUNTIFS('BA History'!$B:$B,$A$27,'BA History'!Q:Q, 1)</f>
        <v>2</v>
      </c>
      <c r="Y27" s="2">
        <f>COUNTIFS('BA History'!$B:$B,$A$27,'BA History'!R:R, 1)</f>
        <v>1</v>
      </c>
      <c r="Z27" s="2">
        <f>COUNTIFS('BA History'!$B:$B,$A$27,'BA History'!S:S, 1)</f>
        <v>1</v>
      </c>
      <c r="AA27" s="2">
        <f>COUNTIFS('BA History'!$B:$B,$A$27,'BA History'!T:T, 1)</f>
        <v>1</v>
      </c>
      <c r="AB27" s="2">
        <f>COUNTIFS('BA History'!$B:$B,$A$27,'BA History'!U:U, 1)</f>
        <v>3</v>
      </c>
      <c r="AC27" s="2">
        <f>COUNTIFS('BA History'!$B:$B,$A$27,'BA History'!V:V, 1)</f>
        <v>2</v>
      </c>
      <c r="AD27" s="2">
        <f>COUNTIFS('BA History'!$B:$B,$A$27,'BA History'!W:W, 1)</f>
        <v>0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4</v>
      </c>
      <c r="AH27" s="2">
        <f>COUNTIFS('BA History'!$B:$B,$A$27,'BA History'!AA:AA, 1)</f>
        <v>2</v>
      </c>
      <c r="AI27" s="2">
        <f>COUNTIFS('BA History'!$B:$B,$A$27,'BA History'!AB:AB, 1)</f>
        <v>4</v>
      </c>
      <c r="AJ27" s="2">
        <f>COUNTIFS('BA History'!$B:$B,$A$27,'BA History'!AC:AC, 1)</f>
        <v>3</v>
      </c>
      <c r="AK27" s="2">
        <f>COUNTIFS('BA History'!$B:$B,$A$27,'BA History'!AD:AD, 1)</f>
        <v>5</v>
      </c>
      <c r="AL27" s="2">
        <f>COUNTIFS('BA History'!$B:$B,$A$27,'BA History'!AE:AE, 1)</f>
        <v>0</v>
      </c>
      <c r="AM27" s="2">
        <f>COUNTIFS('BA History'!$B:$B,$A$27,'BA History'!AF:AF, 1)</f>
        <v>1</v>
      </c>
    </row>
    <row r="28" spans="1:39" x14ac:dyDescent="0.25">
      <c r="A28" s="2" t="s">
        <v>53</v>
      </c>
      <c r="B28" s="2" t="s">
        <v>79</v>
      </c>
      <c r="C28" s="2">
        <v>1</v>
      </c>
      <c r="D28" s="2"/>
      <c r="E28" s="2"/>
      <c r="F28" s="34">
        <f>SUMIFS('BA History'!C:C,'BA History'!B:B,A28)</f>
        <v>429</v>
      </c>
      <c r="G28" s="66">
        <f>AVERAGEIFS('BA History'!C:C,'BA History'!B:B,A28)</f>
        <v>14.793103448275861</v>
      </c>
      <c r="H28" s="35">
        <f t="array" ref="H28">MAX(IF('BA History'!B:B=A28, 'BA History'!C:C))</f>
        <v>36</v>
      </c>
      <c r="I28" s="34">
        <f>COUNTIFS('BA History'!B:B,A28,'BA History'!D:D, 1)</f>
        <v>11</v>
      </c>
      <c r="J28" s="2">
        <f>COUNTIFS('BA History'!B:B,A28,'BA History'!D:D, 0)</f>
        <v>18</v>
      </c>
      <c r="K28" s="75">
        <f>LOOKUP(2, 1/('BA History'!$B:$B=A28), 'BA History'!$AJ:$AJ)</f>
        <v>0.37931034482758619</v>
      </c>
      <c r="L28" s="34">
        <f>SUMIFS('BA History'!F:F,'BA History'!B:B,A28)</f>
        <v>51</v>
      </c>
      <c r="M28" s="2">
        <f>SUMIFS('BA History'!E:E,'BA History'!B:B,A28)-L28</f>
        <v>59</v>
      </c>
      <c r="N28" s="75">
        <f>LOOKUP(2, 1/('BA History'!$B:$B=A28), 'BA History'!$AH:$AH)</f>
        <v>0.47758620689655179</v>
      </c>
      <c r="O28" s="34">
        <f>SUMIFS('BA History'!H:H,'BA History'!B:B,A28)</f>
        <v>216</v>
      </c>
      <c r="P28" s="2">
        <f>SUMIFS('BA History'!G:G,'BA History'!B:B,A28)-O28</f>
        <v>233</v>
      </c>
      <c r="Q28" s="89">
        <f>LOOKUP(2, 1/('BA History'!$B:$B=A28), 'BA History'!$AI:$AI)</f>
        <v>0.4875862068965518</v>
      </c>
      <c r="R28" s="2">
        <f>COUNTIFS('BA History'!$B:$B,$A$28,'BA History'!K:K, 1)</f>
        <v>2</v>
      </c>
      <c r="S28" s="2">
        <f>COUNTIFS('BA History'!$B:$B,$A$28,'BA History'!L:L, 1)</f>
        <v>5</v>
      </c>
      <c r="T28" s="2">
        <f>COUNTIFS('BA History'!$B:$B,$A$28,'BA History'!M:M, 1)</f>
        <v>0</v>
      </c>
      <c r="U28" s="2">
        <f>COUNTIFS('BA History'!$B:$B,$A$28,'BA History'!N:N, 1)</f>
        <v>7</v>
      </c>
      <c r="V28" s="2">
        <f>COUNTIFS('BA History'!$B:$B,$A$28,'BA History'!O:O, 1)</f>
        <v>1</v>
      </c>
      <c r="W28" s="2">
        <f>COUNTIFS('BA History'!$B:$B,$A$28,'BA History'!P:P, 1)</f>
        <v>0</v>
      </c>
      <c r="X28" s="2">
        <f>COUNTIFS('BA History'!$B:$B,$A$28,'BA History'!Q:Q, 1)</f>
        <v>2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2</v>
      </c>
      <c r="AD28" s="2">
        <f>COUNTIFS('BA History'!$B:$B,$A$28,'BA History'!W:W, 1)</f>
        <v>1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9</v>
      </c>
      <c r="AH28" s="2">
        <f>COUNTIFS('BA History'!$B:$B,$A$28,'BA History'!AA:AA, 1)</f>
        <v>1</v>
      </c>
      <c r="AI28" s="2">
        <f>COUNTIFS('BA History'!$B:$B,$A$28,'BA History'!AB:AB, 1)</f>
        <v>8</v>
      </c>
      <c r="AJ28" s="2">
        <f>COUNTIFS('BA History'!$B:$B,$A$28,'BA History'!AC:AC, 1)</f>
        <v>3</v>
      </c>
      <c r="AK28" s="2">
        <f>COUNTIFS('BA History'!$B:$B,$A$28,'BA History'!AD:AD, 1)</f>
        <v>2</v>
      </c>
      <c r="AL28" s="2">
        <f>COUNTIFS('BA History'!$B:$B,$A$28,'BA History'!AE:AE, 1)</f>
        <v>1</v>
      </c>
      <c r="AM28" s="2">
        <f>COUNTIFS('BA History'!$B:$B,$A$28,'BA History'!AF:AF, 1)</f>
        <v>3</v>
      </c>
    </row>
    <row r="29" spans="1:39" x14ac:dyDescent="0.25">
      <c r="A29" s="2" t="s">
        <v>51</v>
      </c>
      <c r="B29" s="2" t="s">
        <v>79</v>
      </c>
      <c r="C29" s="2"/>
      <c r="D29" s="2"/>
      <c r="E29" s="2"/>
      <c r="F29" s="34">
        <f>SUMIFS('BA History'!C:C,'BA History'!B:B,A29)</f>
        <v>21</v>
      </c>
      <c r="G29" s="66">
        <f>AVERAGEIFS('BA History'!C:C,'BA History'!B:B,A29)</f>
        <v>10.5</v>
      </c>
      <c r="H29" s="35">
        <f t="array" ref="H29">MAX(IF('BA History'!B:B=A29, 'BA History'!C:C))</f>
        <v>16</v>
      </c>
      <c r="I29" s="34">
        <f>COUNTIFS('BA History'!B:B,A29,'BA History'!D:D, 1)</f>
        <v>1</v>
      </c>
      <c r="J29" s="2">
        <f>COUNTIFS('BA History'!B:B,A29,'BA History'!D:D, 0)</f>
        <v>1</v>
      </c>
      <c r="K29" s="75">
        <f>LOOKUP(2, 1/('BA History'!$B:$B=A29), 'BA History'!$AJ:$AJ)</f>
        <v>0.5</v>
      </c>
      <c r="L29" s="34">
        <f>SUMIFS('BA History'!F:F,'BA History'!B:B,A29)</f>
        <v>2</v>
      </c>
      <c r="M29" s="2">
        <f>SUMIFS('BA History'!E:E,'BA History'!B:B,A29)-L29</f>
        <v>4</v>
      </c>
      <c r="N29" s="75">
        <f>LOOKUP(2, 1/('BA History'!$B:$B=A29), 'BA History'!$AH:$AH)</f>
        <v>0.33500000000000002</v>
      </c>
      <c r="O29" s="34">
        <f>SUMIFS('BA History'!H:H,'BA History'!B:B,A29)</f>
        <v>10</v>
      </c>
      <c r="P29" s="2">
        <f>SUMIFS('BA History'!G:G,'BA History'!B:B,A29)-O29</f>
        <v>16</v>
      </c>
      <c r="Q29" s="89">
        <f>LOOKUP(2, 1/('BA History'!$B:$B=A29), 'BA History'!$AI:$AI)</f>
        <v>0.35499999999999998</v>
      </c>
      <c r="R29" s="2">
        <f>COUNTIFS('BA History'!$B:$B,$A$29,'BA History'!K:K, 1)</f>
        <v>0</v>
      </c>
      <c r="S29" s="2">
        <f>COUNTIFS('BA History'!$B:$B,$A$29,'BA History'!L:L, 1)</f>
        <v>0</v>
      </c>
      <c r="T29" s="2">
        <f>COUNTIFS('BA History'!$B:$B,$A$29,'BA History'!M:M, 1)</f>
        <v>0</v>
      </c>
      <c r="U29" s="2">
        <f>COUNTIFS('BA History'!$B:$B,$A$29,'BA History'!N:N, 1)</f>
        <v>0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0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0</v>
      </c>
      <c r="AH29" s="2">
        <f>COUNTIFS('BA History'!$B:$B,$A$29,'BA History'!AA:AA, 1)</f>
        <v>0</v>
      </c>
      <c r="AI29" s="2">
        <f>COUNTIFS('BA History'!$B:$B,$A$29,'BA History'!AB:AB, 1)</f>
        <v>0</v>
      </c>
      <c r="AJ29" s="2">
        <f>COUNTIFS('BA History'!$B:$B,$A$29,'BA History'!AC:AC, 1)</f>
        <v>1</v>
      </c>
      <c r="AK29" s="2">
        <f>COUNTIFS('BA History'!$B:$B,$A$29,'BA History'!AD:AD, 1)</f>
        <v>0</v>
      </c>
      <c r="AL29" s="2">
        <f>COUNTIFS('BA History'!$B:$B,$A$29,'BA History'!AE:AE, 1)</f>
        <v>0</v>
      </c>
      <c r="AM29" s="2">
        <f>COUNTIFS('BA History'!$B:$B,$A$29,'BA History'!AF:AF, 1)</f>
        <v>0</v>
      </c>
    </row>
    <row r="30" spans="1:39" x14ac:dyDescent="0.25">
      <c r="A30" s="2" t="s">
        <v>47</v>
      </c>
      <c r="B30" s="2" t="s">
        <v>79</v>
      </c>
      <c r="C30" s="2"/>
      <c r="D30" s="2"/>
      <c r="E30" s="2"/>
      <c r="F30" s="34">
        <f>SUMIFS('BA History'!C:C,'BA History'!B:B,A30)</f>
        <v>40</v>
      </c>
      <c r="G30" s="66">
        <f>AVERAGEIFS('BA History'!C:C,'BA History'!B:B,A30)</f>
        <v>6.666666666666667</v>
      </c>
      <c r="H30" s="35">
        <f t="array" ref="H30">MAX(IF('BA History'!B:B=A30, 'BA History'!C:C))</f>
        <v>11</v>
      </c>
      <c r="I30" s="34">
        <f>COUNTIFS('BA History'!B:B,A30,'BA History'!D:D, 1)</f>
        <v>2</v>
      </c>
      <c r="J30" s="2">
        <f>COUNTIFS('BA History'!B:B,A30,'BA History'!D:D, 0)</f>
        <v>4</v>
      </c>
      <c r="K30" s="75">
        <f>LOOKUP(2, 1/('BA History'!$B:$B=A30), 'BA History'!$AJ:$AJ)</f>
        <v>0.33333333333333331</v>
      </c>
      <c r="L30" s="34">
        <f>SUMIFS('BA History'!F:F,'BA History'!B:B,A30)</f>
        <v>13</v>
      </c>
      <c r="M30" s="2">
        <f>SUMIFS('BA History'!E:E,'BA History'!B:B,A30)-L30</f>
        <v>14</v>
      </c>
      <c r="N30" s="75">
        <f>LOOKUP(2, 1/('BA History'!$B:$B=A30), 'BA History'!$AH:$AH)</f>
        <v>0.5083333333333333</v>
      </c>
      <c r="O30" s="34">
        <f>SUMIFS('BA History'!H:H,'BA History'!B:B,A30)</f>
        <v>51</v>
      </c>
      <c r="P30" s="2">
        <f>SUMIFS('BA History'!G:G,'BA History'!B:B,A30)-O30</f>
        <v>54</v>
      </c>
      <c r="Q30" s="89">
        <f>LOOKUP(2, 1/('BA History'!$B:$B=A30), 'BA History'!$AI:$AI)</f>
        <v>0.51666666666666661</v>
      </c>
      <c r="R30" s="2">
        <f>COUNTIFS('BA History'!$B:$B,$A$30,'BA History'!K:K, 1)</f>
        <v>2</v>
      </c>
      <c r="S30" s="2">
        <f>COUNTIFS('BA History'!$B:$B,$A$30,'BA History'!L:L, 1)</f>
        <v>1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2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1</v>
      </c>
    </row>
    <row r="31" spans="1:39" x14ac:dyDescent="0.25">
      <c r="A31" s="2" t="s">
        <v>3</v>
      </c>
      <c r="B31" s="1" t="s">
        <v>158</v>
      </c>
      <c r="C31" s="1"/>
      <c r="D31" s="1"/>
      <c r="E31" s="1"/>
      <c r="F31" s="34">
        <f>SUMIFS('BA History'!C:C,'BA History'!B:B,A31)</f>
        <v>157</v>
      </c>
      <c r="G31" s="66">
        <f>AVERAGEIFS('BA History'!C:C,'BA History'!B:B,A31)</f>
        <v>19.625</v>
      </c>
      <c r="H31" s="35">
        <f t="array" ref="H31">MAX(IF('BA History'!B:B=A31, 'BA History'!C:C))</f>
        <v>27</v>
      </c>
      <c r="I31" s="34">
        <f>COUNTIFS('BA History'!B:B,A31,'BA History'!D:D, 1)</f>
        <v>3</v>
      </c>
      <c r="J31" s="2">
        <f>COUNTIFS('BA History'!B:B,A31,'BA History'!D:D, 0)</f>
        <v>5</v>
      </c>
      <c r="K31" s="75">
        <f>LOOKUP(2, 1/('BA History'!$B:$B=A31), 'BA History'!$AJ:$AJ)</f>
        <v>0.375</v>
      </c>
      <c r="L31" s="34">
        <f>SUMIFS('BA History'!F:F,'BA History'!B:B,A31)</f>
        <v>16</v>
      </c>
      <c r="M31" s="2">
        <f>SUMIFS('BA History'!E:E,'BA History'!B:B,A31)-L31</f>
        <v>20</v>
      </c>
      <c r="N31" s="75">
        <f>LOOKUP(2, 1/('BA History'!$B:$B=A31), 'BA History'!$AH:$AH)</f>
        <v>0.42499999999999999</v>
      </c>
      <c r="O31" s="34">
        <f>SUMIFS('BA History'!H:H,'BA History'!B:B,A31)</f>
        <v>74</v>
      </c>
      <c r="P31" s="2">
        <f>SUMIFS('BA History'!G:G,'BA History'!B:B,A31)-O31</f>
        <v>83</v>
      </c>
      <c r="Q31" s="89">
        <f>LOOKUP(2, 1/('BA History'!$B:$B=A31), 'BA History'!$AI:$AI)</f>
        <v>0.46875</v>
      </c>
      <c r="R31" s="2">
        <f>COUNTIFS('BA History'!$B:$B,$A$31,'BA History'!K:K, 1)</f>
        <v>0</v>
      </c>
      <c r="S31" s="2">
        <f>COUNTIFS('BA History'!$B:$B,$A$31,'BA History'!L:L, 1)</f>
        <v>2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1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1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2</v>
      </c>
      <c r="AG31" s="2">
        <f>COUNTIFS('BA History'!$B:$B,$A$31,'BA History'!Z:Z, 1)</f>
        <v>1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3</v>
      </c>
      <c r="AK31" s="2">
        <f>COUNTIFS('BA History'!$B:$B,$A$31,'BA History'!AD:AD, 1)</f>
        <v>2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148</v>
      </c>
      <c r="B32" s="1" t="s">
        <v>79</v>
      </c>
      <c r="C32" s="1"/>
      <c r="D32" s="1"/>
      <c r="E32" s="1"/>
      <c r="F32" s="34">
        <f>SUMIFS('BA History'!C:C,'BA History'!B:B,A32)</f>
        <v>2</v>
      </c>
      <c r="G32" s="66">
        <f>AVERAGEIFS('BA History'!C:C,'BA History'!B:B,A32)</f>
        <v>2</v>
      </c>
      <c r="H32" s="35">
        <f t="array" ref="H32">MAX(IF('BA History'!B:B=A32, 'BA History'!C:C))</f>
        <v>2</v>
      </c>
      <c r="I32" s="34">
        <f>COUNTIFS('BA History'!B:B,A32,'BA History'!D:D, 1)</f>
        <v>1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3</v>
      </c>
      <c r="M32" s="2">
        <f>SUMIFS('BA History'!E:E,'BA History'!B:B,A32)-L32</f>
        <v>2</v>
      </c>
      <c r="N32" s="75">
        <f>LOOKUP(2, 1/('BA History'!$B:$B=A32), 'BA History'!$AH:$AH)</f>
        <v>0.6</v>
      </c>
      <c r="O32" s="34">
        <f>SUMIFS('BA History'!H:H,'BA History'!B:B,A32)</f>
        <v>10</v>
      </c>
      <c r="P32" s="2">
        <f>SUMIFS('BA History'!G:G,'BA History'!B:B,A32)-O32</f>
        <v>9</v>
      </c>
      <c r="Q32" s="89">
        <f>LOOKUP(2, 1/('BA History'!$B:$B=A32), 'BA History'!$AI:$AI)</f>
        <v>0.53</v>
      </c>
      <c r="R32" s="2">
        <f>COUNTIFS('BA History'!$B:$B,$A$32,'BA History'!K:K, 1)</f>
        <v>0</v>
      </c>
      <c r="S32" s="2">
        <f>COUNTIFS('BA History'!$B:$B,$A$32,'BA History'!L:L, 1)</f>
        <v>1</v>
      </c>
      <c r="T32" s="2">
        <f>COUNTIFS('BA History'!$B:$B,$A$32,'BA History'!M:M, 1)</f>
        <v>0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0</v>
      </c>
      <c r="AG32" s="2">
        <f>COUNTIFS('BA History'!$B:$B,$A$32,'BA History'!Z:Z, 1)</f>
        <v>0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0</v>
      </c>
      <c r="AK32" s="2">
        <f>COUNTIFS('BA History'!$B:$B,$A$32,'BA History'!AD:AD, 1)</f>
        <v>0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161</v>
      </c>
      <c r="B33" s="1" t="s">
        <v>79</v>
      </c>
      <c r="C33" s="1"/>
      <c r="D33" s="1"/>
      <c r="E33" s="1"/>
      <c r="F33" s="34">
        <f>SUMIFS('BA History'!C:C,'BA History'!B:B,A33)</f>
        <v>85</v>
      </c>
      <c r="G33" s="66">
        <f>AVERAGEIFS('BA History'!C:C,'BA History'!B:B,A33)</f>
        <v>9.4444444444444446</v>
      </c>
      <c r="H33" s="35">
        <f t="array" ref="H33">MAX(IF('BA History'!B:B=A33, 'BA History'!C:C))</f>
        <v>24</v>
      </c>
      <c r="I33" s="34">
        <f>COUNTIFS('BA History'!B:B,A33,'BA History'!D:D, 1)</f>
        <v>5</v>
      </c>
      <c r="J33" s="2">
        <f>COUNTIFS('BA History'!B:B,A33,'BA History'!D:D, 0)</f>
        <v>4</v>
      </c>
      <c r="K33" s="75">
        <f>LOOKUP(2, 1/('BA History'!$B:$B=A33), 'BA History'!$AJ:$AJ)</f>
        <v>0.55555555555555558</v>
      </c>
      <c r="L33" s="34">
        <f>SUMIFS('BA History'!F:F,'BA History'!B:B,A33)</f>
        <v>21</v>
      </c>
      <c r="M33" s="2">
        <f>SUMIFS('BA History'!E:E,'BA History'!B:B,A33)-L33</f>
        <v>16</v>
      </c>
      <c r="N33" s="75">
        <f>LOOKUP(2, 1/('BA History'!$B:$B=A33), 'BA History'!$AH:$AH)</f>
        <v>0.58888888888888891</v>
      </c>
      <c r="O33" s="34">
        <f>SUMIFS('BA History'!H:H,'BA History'!B:B,A33)</f>
        <v>81</v>
      </c>
      <c r="P33" s="2">
        <f>SUMIFS('BA History'!G:G,'BA History'!B:B,A33)-O33</f>
        <v>76</v>
      </c>
      <c r="Q33" s="89">
        <f>LOOKUP(2, 1/('BA History'!$B:$B=A33), 'BA History'!$AI:$AI)</f>
        <v>0.53111111111111109</v>
      </c>
      <c r="R33" s="2">
        <f>COUNTIFS('BA History'!$B:$B,$A$33,'BA History'!K:K, 1)</f>
        <v>1</v>
      </c>
      <c r="S33" s="2">
        <f>COUNTIFS('BA History'!$B:$B,$A$33,'BA History'!L:L, 1)</f>
        <v>2</v>
      </c>
      <c r="T33" s="2">
        <f>COUNTIFS('BA History'!$B:$B,$A$33,'BA History'!M:M, 1)</f>
        <v>2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1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1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1</v>
      </c>
      <c r="AG33" s="2">
        <f>COUNTIFS('BA History'!$B:$B,$A$33,'BA History'!Z:Z, 1)</f>
        <v>3</v>
      </c>
      <c r="AH33" s="2">
        <f>COUNTIFS('BA History'!$B:$B,$A$33,'BA History'!AA:AA, 1)</f>
        <v>0</v>
      </c>
      <c r="AI33" s="2">
        <f>COUNTIFS('BA History'!$B:$B,$A$33,'BA History'!AB:AB, 1)</f>
        <v>3</v>
      </c>
      <c r="AJ33" s="2">
        <f>COUNTIFS('BA History'!$B:$B,$A$33,'BA History'!AC:AC, 1)</f>
        <v>2</v>
      </c>
      <c r="AK33" s="2">
        <f>COUNTIFS('BA History'!$B:$B,$A$33,'BA History'!AD:AD, 1)</f>
        <v>1</v>
      </c>
      <c r="AL33" s="2">
        <f>COUNTIFS('BA History'!$B:$B,$A$33,'BA History'!AE:AE, 1)</f>
        <v>1</v>
      </c>
      <c r="AM33" s="2">
        <f>COUNTIFS('BA History'!$B:$B,$A$33,'BA History'!AF:AF, 1)</f>
        <v>2</v>
      </c>
    </row>
    <row r="34" spans="1:39" x14ac:dyDescent="0.25">
      <c r="A34" s="2" t="s">
        <v>15</v>
      </c>
      <c r="B34" s="2" t="s">
        <v>79</v>
      </c>
      <c r="C34" s="2"/>
      <c r="D34" s="2"/>
      <c r="E34" s="2"/>
      <c r="F34" s="34">
        <f>SUMIFS('BA History'!C:C,'BA History'!B:B,A34)</f>
        <v>4</v>
      </c>
      <c r="G34" s="66">
        <f>AVERAGEIFS('BA History'!C:C,'BA History'!B:B,A34)</f>
        <v>4</v>
      </c>
      <c r="H34" s="35">
        <f t="array" ref="H34">MAX(IF('BA History'!B:B=A34, 'BA History'!C:C))</f>
        <v>4</v>
      </c>
      <c r="I34" s="34">
        <f>COUNTIFS('BA History'!B:B,A34,'BA History'!D:D, 1)</f>
        <v>0</v>
      </c>
      <c r="J34" s="2">
        <f>COUNTIFS('BA History'!B:B,A34,'BA History'!D:D, 0)</f>
        <v>1</v>
      </c>
      <c r="K34" s="75">
        <f>LOOKUP(2, 1/('BA History'!$B:$B=A34), 'BA History'!$AJ:$AJ)</f>
        <v>0</v>
      </c>
      <c r="L34" s="34">
        <f>SUMIFS('BA History'!F:F,'BA History'!B:B,A34)</f>
        <v>0</v>
      </c>
      <c r="M34" s="2">
        <f>SUMIFS('BA History'!E:E,'BA History'!B:B,A34)-L34</f>
        <v>3</v>
      </c>
      <c r="N34" s="75">
        <f>LOOKUP(2, 1/('BA History'!$B:$B=A34), 'BA History'!$AH:$AH)</f>
        <v>0</v>
      </c>
      <c r="O34" s="34">
        <f>SUMIFS('BA History'!H:H,'BA History'!B:B,A34)</f>
        <v>1</v>
      </c>
      <c r="P34" s="2">
        <f>SUMIFS('BA History'!G:G,'BA History'!B:B,A34)-O34</f>
        <v>9</v>
      </c>
      <c r="Q34" s="89">
        <f>LOOKUP(2, 1/('BA History'!$B:$B=A34), 'BA History'!$AI:$AI)</f>
        <v>0.1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0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142</v>
      </c>
      <c r="B35" s="2" t="s">
        <v>79</v>
      </c>
      <c r="C35" s="2"/>
      <c r="D35" s="2"/>
      <c r="E35" s="2"/>
      <c r="F35" s="34">
        <f>SUMIFS('BA History'!C:C,'BA History'!B:B,A35)</f>
        <v>25</v>
      </c>
      <c r="G35" s="66">
        <f>AVERAGEIFS('BA History'!C:C,'BA History'!B:B,A35)</f>
        <v>8.3333333333333339</v>
      </c>
      <c r="H35" s="35">
        <f t="array" ref="H35">MAX(IF('BA History'!B:B=A35, 'BA History'!C:C))</f>
        <v>9</v>
      </c>
      <c r="I35" s="34">
        <f>COUNTIFS('BA History'!B:B,A35,'BA History'!D:D, 1)</f>
        <v>0</v>
      </c>
      <c r="J35" s="2">
        <f>COUNTIFS('BA History'!B:B,A35,'BA History'!D:D, 0)</f>
        <v>3</v>
      </c>
      <c r="K35" s="75">
        <f>LOOKUP(2, 1/('BA History'!$B:$B=A35), 'BA History'!$AJ:$AJ)</f>
        <v>0</v>
      </c>
      <c r="L35" s="34">
        <f>SUMIFS('BA History'!F:F,'BA History'!B:B,A35)</f>
        <v>2</v>
      </c>
      <c r="M35" s="2">
        <f>SUMIFS('BA History'!E:E,'BA History'!B:B,A35)-L35</f>
        <v>9</v>
      </c>
      <c r="N35" s="75">
        <f>LOOKUP(2, 1/('BA History'!$B:$B=A35), 'BA History'!$AH:$AH)</f>
        <v>0.16666666666666666</v>
      </c>
      <c r="O35" s="34">
        <f>SUMIFS('BA History'!H:H,'BA History'!B:B,A35)</f>
        <v>14</v>
      </c>
      <c r="P35" s="2">
        <f>SUMIFS('BA History'!G:G,'BA History'!B:B,A35)-O35</f>
        <v>29</v>
      </c>
      <c r="Q35" s="89">
        <f>LOOKUP(2, 1/('BA History'!$B:$B=A35), 'BA History'!$AI:$AI)</f>
        <v>0.32666666666666666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2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90</v>
      </c>
      <c r="B36" s="2" t="s">
        <v>79</v>
      </c>
      <c r="C36" s="2"/>
      <c r="D36" s="2"/>
      <c r="E36" s="2"/>
      <c r="F36" s="34">
        <f>SUMIFS('BA History'!C:C,'BA History'!B:B,A36)</f>
        <v>3</v>
      </c>
      <c r="G36" s="66">
        <f>AVERAGEIFS('BA History'!C:C,'BA History'!B:B,A36)</f>
        <v>3</v>
      </c>
      <c r="H36" s="35">
        <f t="array" ref="H36">MAX(IF('BA History'!B:B=A36, 'BA History'!C:C))</f>
        <v>3</v>
      </c>
      <c r="I36" s="34">
        <f>COUNTIFS('BA History'!B:B,A36,'BA History'!D:D, 1)</f>
        <v>1</v>
      </c>
      <c r="J36" s="2">
        <f>COUNTIFS('BA History'!B:B,A36,'BA History'!D:D, 0)</f>
        <v>0</v>
      </c>
      <c r="K36" s="75">
        <f>LOOKUP(2, 1/('BA History'!$B:$B=A36), 'BA History'!$AJ:$AJ)</f>
        <v>1</v>
      </c>
      <c r="L36" s="34">
        <f>SUMIFS('BA History'!F:F,'BA History'!B:B,A36)</f>
        <v>3</v>
      </c>
      <c r="M36" s="2">
        <f>SUMIFS('BA History'!E:E,'BA History'!B:B,A36)-L36</f>
        <v>0</v>
      </c>
      <c r="N36" s="75">
        <f>LOOKUP(2, 1/('BA History'!$B:$B=A36), 'BA History'!$AH:$AH)</f>
        <v>1</v>
      </c>
      <c r="O36" s="34">
        <f>SUMIFS('BA History'!H:H,'BA History'!B:B,A36)</f>
        <v>9</v>
      </c>
      <c r="P36" s="2">
        <f>SUMIFS('BA History'!G:G,'BA History'!B:B,A36)-O36</f>
        <v>5</v>
      </c>
      <c r="Q36" s="89">
        <f>LOOKUP(2, 1/('BA History'!$B:$B=A36), 'BA History'!$AI:$AI)</f>
        <v>0.64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1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History'!$B:$B,$A$36,'BA History'!AA:AA, 1)</f>
        <v>0</v>
      </c>
      <c r="AI36" s="2">
        <f>COUNTIFS('BA History'!$B:$B,$A$36,'BA History'!AB:AB, 1)</f>
        <v>1</v>
      </c>
      <c r="AJ36" s="2">
        <f>COUNTIFS('BA History'!$B:$B,$A$36,'BA History'!AC:AC, 1)</f>
        <v>1</v>
      </c>
      <c r="AK36" s="2">
        <f>COUNTIFS('BA History'!$B:$B,$A$36,'BA History'!AD:AD, 1)</f>
        <v>0</v>
      </c>
      <c r="AL36" s="2">
        <f>COUNTIFS('BA History'!$B:$B,$A$36,'BA History'!AE:AE, 1)</f>
        <v>0</v>
      </c>
      <c r="AM36" s="2">
        <f>COUNTIFS('BA History'!$B:$B,$A$36,'BA History'!AF:AF, 1)</f>
        <v>0</v>
      </c>
    </row>
    <row r="37" spans="1:39" x14ac:dyDescent="0.25">
      <c r="A37" s="2" t="s">
        <v>13</v>
      </c>
      <c r="B37" s="2" t="s">
        <v>79</v>
      </c>
      <c r="C37" s="2"/>
      <c r="D37" s="2"/>
      <c r="E37" s="2"/>
      <c r="F37" s="34">
        <f>SUMIFS('BA History'!C:C,'BA History'!B:B,A37)</f>
        <v>269</v>
      </c>
      <c r="G37" s="66">
        <f>AVERAGEIFS('BA History'!C:C,'BA History'!B:B,A37)</f>
        <v>14.157894736842104</v>
      </c>
      <c r="H37" s="35">
        <f t="array" ref="H37">MAX(IF('BA History'!B:B=A37, 'BA History'!C:C))</f>
        <v>23</v>
      </c>
      <c r="I37" s="34">
        <f>COUNTIFS('BA History'!B:B,A37,'BA History'!D:D, 1)</f>
        <v>8</v>
      </c>
      <c r="J37" s="2">
        <f>COUNTIFS('BA History'!B:B,A37,'BA History'!D:D, 0)</f>
        <v>11</v>
      </c>
      <c r="K37" s="75">
        <f>LOOKUP(2, 1/('BA History'!$B:$B=A37), 'BA History'!$AJ:$AJ)</f>
        <v>0.42105263157894735</v>
      </c>
      <c r="L37" s="34">
        <f>SUMIFS('BA History'!F:F,'BA History'!B:B,A37)</f>
        <v>35</v>
      </c>
      <c r="M37" s="2">
        <f>SUMIFS('BA History'!E:E,'BA History'!B:B,A37)-L37</f>
        <v>37</v>
      </c>
      <c r="N37" s="75">
        <f>LOOKUP(2, 1/('BA History'!$B:$B=A37), 'BA History'!$AH:$AH)</f>
        <v>0.49736842105263152</v>
      </c>
      <c r="O37" s="34">
        <f>SUMIFS('BA History'!H:H,'BA History'!B:B,A37)</f>
        <v>147</v>
      </c>
      <c r="P37" s="2">
        <f>SUMIFS('BA History'!G:G,'BA History'!B:B,A37)-O37</f>
        <v>160</v>
      </c>
      <c r="Q37" s="89">
        <f>LOOKUP(2, 1/('BA History'!$B:$B=A37), 'BA History'!$AI:$AI)</f>
        <v>0.4947368421052632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2</v>
      </c>
      <c r="U37" s="2">
        <f>COUNTIFS('BA History'!$B:$B,$A$37,'BA History'!N:N, 1)</f>
        <v>1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1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0</v>
      </c>
      <c r="AD37" s="2">
        <f>COUNTIFS('BA History'!$B:$B,$A$37,'BA History'!W:W, 1)</f>
        <v>1</v>
      </c>
      <c r="AE37" s="2">
        <f>COUNTIFS('BA History'!$B:$B,$A$37,'BA History'!X:X, 1)</f>
        <v>0</v>
      </c>
      <c r="AF37" s="2">
        <f>COUNTIFS('BA History'!$B:$B,$A$37,'BA History'!Y:Y, 1)</f>
        <v>4</v>
      </c>
      <c r="AG37" s="2">
        <f>COUNTIFS('BA History'!$B:$B,$A$37,'BA History'!Z:Z, 1)</f>
        <v>5</v>
      </c>
      <c r="AH37" s="2">
        <f>COUNTIFS('BA History'!$B:$B,$A$37,'BA History'!AA:AA, 1)</f>
        <v>0</v>
      </c>
      <c r="AI37" s="2">
        <f>COUNTIFS('BA History'!$B:$B,$A$37,'BA History'!AB:AB, 1)</f>
        <v>4</v>
      </c>
      <c r="AJ37" s="2">
        <f>COUNTIFS('BA History'!$B:$B,$A$37,'BA History'!AC:AC, 1)</f>
        <v>3</v>
      </c>
      <c r="AK37" s="2">
        <f>COUNTIFS('BA History'!$B:$B,$A$37,'BA History'!AD:AD, 1)</f>
        <v>3</v>
      </c>
      <c r="AL37" s="2">
        <f>COUNTIFS('BA History'!$B:$B,$A$37,'BA History'!AE:AE, 1)</f>
        <v>1</v>
      </c>
      <c r="AM37" s="2">
        <f>COUNTIFS('BA History'!$B:$B,$A$37,'BA History'!AF:AF, 1)</f>
        <v>3</v>
      </c>
    </row>
    <row r="38" spans="1:39" x14ac:dyDescent="0.25">
      <c r="A38" s="2" t="s">
        <v>2</v>
      </c>
      <c r="B38" s="1" t="s">
        <v>158</v>
      </c>
      <c r="C38" s="1">
        <v>1</v>
      </c>
      <c r="D38" s="1"/>
      <c r="E38" s="1"/>
      <c r="F38" s="34">
        <f>SUMIFS('BA History'!C:C,'BA History'!B:B,A38)</f>
        <v>937</v>
      </c>
      <c r="G38" s="66">
        <f>AVERAGEIFS('BA History'!C:C,'BA History'!B:B,A38)</f>
        <v>22.30952380952381</v>
      </c>
      <c r="H38" s="35">
        <f t="array" ref="H38">MAX(IF('BA History'!B:B=A38, 'BA History'!C:C))</f>
        <v>43</v>
      </c>
      <c r="I38" s="34">
        <f>COUNTIFS('BA History'!B:B,A38,'BA History'!D:D, 1)</f>
        <v>21</v>
      </c>
      <c r="J38" s="2">
        <f>COUNTIFS('BA History'!B:B,A38,'BA History'!D:D, 0)</f>
        <v>21</v>
      </c>
      <c r="K38" s="75">
        <f>LOOKUP(2, 1/('BA History'!$B:$B=A38), 'BA History'!$AJ:$AJ)</f>
        <v>0.5</v>
      </c>
      <c r="L38" s="34">
        <f>SUMIFS('BA History'!F:F,'BA History'!B:B,A38)</f>
        <v>83</v>
      </c>
      <c r="M38" s="2">
        <f>SUMIFS('BA History'!E:E,'BA History'!B:B,A38)-L38</f>
        <v>79</v>
      </c>
      <c r="N38" s="75">
        <f>LOOKUP(2, 1/('BA History'!$B:$B=A38), 'BA History'!$AH:$AH)</f>
        <v>0.5149999999999999</v>
      </c>
      <c r="O38" s="34">
        <f>SUMIFS('BA History'!H:H,'BA History'!B:B,A38)</f>
        <v>353</v>
      </c>
      <c r="P38" s="2">
        <f>SUMIFS('BA History'!G:G,'BA History'!B:B,A38)-O38</f>
        <v>321</v>
      </c>
      <c r="Q38" s="89">
        <f>LOOKUP(2, 1/('BA History'!$B:$B=A38), 'BA History'!$AI:$AI)</f>
        <v>0.53214285714285714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5</v>
      </c>
      <c r="U38" s="2">
        <f>COUNTIFS('BA History'!$B:$B,$A$38,'BA History'!N:N, 1)</f>
        <v>9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2</v>
      </c>
      <c r="Y38" s="2">
        <f>COUNTIFS('BA History'!$B:$B,$A$38,'BA History'!R:R, 1)</f>
        <v>1</v>
      </c>
      <c r="Z38" s="2">
        <f>COUNTIFS('BA History'!$B:$B,$A$38,'BA History'!S:S, 1)</f>
        <v>2</v>
      </c>
      <c r="AA38" s="2">
        <f>COUNTIFS('BA History'!$B:$B,$A$38,'BA History'!T:T, 1)</f>
        <v>0</v>
      </c>
      <c r="AB38" s="2">
        <f>COUNTIFS('BA History'!$B:$B,$A$38,'BA History'!U:U, 1)</f>
        <v>2</v>
      </c>
      <c r="AC38" s="2">
        <f>COUNTIFS('BA History'!$B:$B,$A$38,'BA History'!V:V, 1)</f>
        <v>4</v>
      </c>
      <c r="AD38" s="2">
        <f>COUNTIFS('BA History'!$B:$B,$A$38,'BA History'!W:W, 1)</f>
        <v>1</v>
      </c>
      <c r="AE38" s="2">
        <f>COUNTIFS('BA History'!$B:$B,$A$38,'BA History'!X:X, 1)</f>
        <v>1</v>
      </c>
      <c r="AF38" s="2">
        <f>COUNTIFS('BA History'!$B:$B,$A$38,'BA History'!Y:Y, 1)</f>
        <v>6</v>
      </c>
      <c r="AG38" s="2">
        <f>COUNTIFS('BA History'!$B:$B,$A$38,'BA History'!Z:Z, 1)</f>
        <v>9</v>
      </c>
      <c r="AH38" s="2">
        <f>COUNTIFS('BA History'!$B:$B,$A$38,'BA History'!AA:AA, 1)</f>
        <v>0</v>
      </c>
      <c r="AI38" s="2">
        <f>COUNTIFS('BA History'!$B:$B,$A$38,'BA History'!AB:AB, 1)</f>
        <v>15</v>
      </c>
      <c r="AJ38" s="2">
        <f>COUNTIFS('BA History'!$B:$B,$A$38,'BA History'!AC:AC, 1)</f>
        <v>5</v>
      </c>
      <c r="AK38" s="2">
        <f>COUNTIFS('BA History'!$B:$B,$A$38,'BA History'!AD:AD, 1)</f>
        <v>7</v>
      </c>
      <c r="AL38" s="2">
        <f>COUNTIFS('BA History'!$B:$B,$A$38,'BA History'!AE:AE, 1)</f>
        <v>0</v>
      </c>
      <c r="AM38" s="2">
        <f>COUNTIFS('BA History'!$B:$B,$A$38,'BA History'!AF:AF, 1)</f>
        <v>5</v>
      </c>
    </row>
    <row r="39" spans="1:39" x14ac:dyDescent="0.25">
      <c r="A39" s="2" t="s">
        <v>54</v>
      </c>
      <c r="B39" s="2" t="s">
        <v>79</v>
      </c>
      <c r="C39" s="2">
        <v>3</v>
      </c>
      <c r="D39" s="2">
        <v>1</v>
      </c>
      <c r="E39" s="2"/>
      <c r="F39" s="34">
        <f>SUMIFS('BA History'!C:C,'BA History'!B:B,A39)</f>
        <v>1401</v>
      </c>
      <c r="G39" s="66">
        <f>AVERAGEIFS('BA History'!C:C,'BA History'!B:B,A39)</f>
        <v>23.745762711864408</v>
      </c>
      <c r="H39" s="35">
        <f t="array" ref="H39">MAX(IF('BA History'!B:B=A39, 'BA History'!C:C))</f>
        <v>47</v>
      </c>
      <c r="I39" s="34">
        <f>COUNTIFS('BA History'!B:B,A39,'BA History'!D:D, 1)</f>
        <v>32</v>
      </c>
      <c r="J39" s="2">
        <f>COUNTIFS('BA History'!B:B,A39,'BA History'!D:D, 0)</f>
        <v>27</v>
      </c>
      <c r="K39" s="75">
        <f>LOOKUP(2, 1/('BA History'!$B:$B=A39), 'BA History'!$AJ:$AJ)</f>
        <v>0.5423728813559322</v>
      </c>
      <c r="L39" s="34">
        <f>SUMIFS('BA History'!F:F,'BA History'!B:B,A39)</f>
        <v>124</v>
      </c>
      <c r="M39" s="2">
        <f>SUMIFS('BA History'!E:E,'BA History'!B:B,A39)-L39</f>
        <v>112</v>
      </c>
      <c r="N39" s="75">
        <f>LOOKUP(2, 1/('BA History'!$B:$B=A39), 'BA History'!$AH:$AH)</f>
        <v>0.52576271186440682</v>
      </c>
      <c r="O39" s="34">
        <f>SUMIFS('BA History'!H:H,'BA History'!B:B,A39)</f>
        <v>498</v>
      </c>
      <c r="P39" s="2">
        <f>SUMIFS('BA History'!G:G,'BA History'!B:B,A39)-O39</f>
        <v>480</v>
      </c>
      <c r="Q39" s="89">
        <f>LOOKUP(2, 1/('BA History'!$B:$B=A39), 'BA History'!$AI:$AI)</f>
        <v>0.5099999999999999</v>
      </c>
      <c r="R39" s="2">
        <f>COUNTIFS('BA History'!$B:$B,$A$39,'BA History'!K:K, 1)</f>
        <v>5</v>
      </c>
      <c r="S39" s="2">
        <f>COUNTIFS('BA History'!$B:$B,$A$39,'BA History'!L:L, 1)</f>
        <v>10</v>
      </c>
      <c r="T39" s="2">
        <f>COUNTIFS('BA History'!$B:$B,$A$39,'BA History'!M:M, 1)</f>
        <v>9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4</v>
      </c>
      <c r="Y39" s="2">
        <f>COUNTIFS('BA History'!$B:$B,$A$39,'BA History'!R:R, 1)</f>
        <v>2</v>
      </c>
      <c r="Z39" s="2">
        <f>COUNTIFS('BA History'!$B:$B,$A$39,'BA History'!S:S, 1)</f>
        <v>1</v>
      </c>
      <c r="AA39" s="2">
        <f>COUNTIFS('BA History'!$B:$B,$A$39,'BA History'!T:T, 1)</f>
        <v>1</v>
      </c>
      <c r="AB39" s="2">
        <f>COUNTIFS('BA History'!$B:$B,$A$39,'BA History'!U:U, 1)</f>
        <v>4</v>
      </c>
      <c r="AC39" s="2">
        <f>COUNTIFS('BA History'!$B:$B,$A$39,'BA History'!V:V, 1)</f>
        <v>9</v>
      </c>
      <c r="AD39" s="2">
        <f>COUNTIFS('BA History'!$B:$B,$A$39,'BA History'!W:W, 1)</f>
        <v>1</v>
      </c>
      <c r="AE39" s="2">
        <f>COUNTIFS('BA History'!$B:$B,$A$39,'BA History'!X:X, 1)</f>
        <v>0</v>
      </c>
      <c r="AF39" s="2">
        <f>COUNTIFS('BA History'!$B:$B,$A$39,'BA History'!Y:Y, 1)</f>
        <v>9</v>
      </c>
      <c r="AG39" s="2">
        <f>COUNTIFS('BA History'!$B:$B,$A$39,'BA History'!Z:Z, 1)</f>
        <v>11</v>
      </c>
      <c r="AH39" s="2">
        <f>COUNTIFS('BA History'!$B:$B,$A$39,'BA History'!AA:AA, 1)</f>
        <v>3</v>
      </c>
      <c r="AI39" s="2">
        <f>COUNTIFS('BA History'!$B:$B,$A$39,'BA History'!AB:AB, 1)</f>
        <v>15</v>
      </c>
      <c r="AJ39" s="2">
        <f>COUNTIFS('BA History'!$B:$B,$A$39,'BA History'!AC:AC, 1)</f>
        <v>10</v>
      </c>
      <c r="AK39" s="2">
        <f>COUNTIFS('BA History'!$B:$B,$A$39,'BA History'!AD:AD, 1)</f>
        <v>9</v>
      </c>
      <c r="AL39" s="2">
        <f>COUNTIFS('BA History'!$B:$B,$A$39,'BA History'!AE:AE, 1)</f>
        <v>2</v>
      </c>
      <c r="AM39" s="2">
        <f>COUNTIFS('BA History'!$B:$B,$A$39,'BA History'!AF:AF, 1)</f>
        <v>7</v>
      </c>
    </row>
    <row r="40" spans="1:39" x14ac:dyDescent="0.25">
      <c r="A40" s="2" t="s">
        <v>5</v>
      </c>
      <c r="B40" s="1" t="s">
        <v>158</v>
      </c>
      <c r="C40" s="1">
        <v>1</v>
      </c>
      <c r="D40" s="1">
        <v>1</v>
      </c>
      <c r="E40" s="1"/>
      <c r="F40" s="34">
        <f>SUMIFS('BA History'!C:C,'BA History'!B:B,A40)</f>
        <v>621</v>
      </c>
      <c r="G40" s="66">
        <f>AVERAGEIFS('BA History'!C:C,'BA History'!B:B,A40)</f>
        <v>19.40625</v>
      </c>
      <c r="H40" s="35">
        <f t="array" ref="H40">MAX(IF('BA History'!B:B=A40, 'BA History'!C:C))</f>
        <v>37</v>
      </c>
      <c r="I40" s="34">
        <f>COUNTIFS('BA History'!B:B,A40,'BA History'!D:D, 1)</f>
        <v>22</v>
      </c>
      <c r="J40" s="2">
        <f>COUNTIFS('BA History'!B:B,A40,'BA History'!D:D, 0)</f>
        <v>10</v>
      </c>
      <c r="K40" s="75">
        <f>LOOKUP(2, 1/('BA History'!$B:$B=A40), 'BA History'!$AJ:$AJ)</f>
        <v>0.6875</v>
      </c>
      <c r="L40" s="34">
        <f>SUMIFS('BA History'!F:F,'BA History'!B:B,A40)</f>
        <v>74</v>
      </c>
      <c r="M40" s="2">
        <f>SUMIFS('BA History'!E:E,'BA History'!B:B,A40)-L40</f>
        <v>52</v>
      </c>
      <c r="N40" s="75">
        <f>LOOKUP(2, 1/('BA History'!$B:$B=A40), 'BA History'!$AH:$AH)</f>
        <v>0.59281249999999996</v>
      </c>
      <c r="O40" s="34">
        <f>SUMIFS('BA History'!H:H,'BA History'!B:B,A40)</f>
        <v>287</v>
      </c>
      <c r="P40" s="2">
        <f>SUMIFS('BA History'!G:G,'BA History'!B:B,A40)-O40</f>
        <v>245</v>
      </c>
      <c r="Q40" s="89">
        <f>LOOKUP(2, 1/('BA History'!$B:$B=A40), 'BA History'!$AI:$AI)</f>
        <v>0.54718750000000016</v>
      </c>
      <c r="R40" s="2">
        <f>COUNTIFS('BA History'!$B:$B,$A$40,'BA History'!K:K, 1)</f>
        <v>2</v>
      </c>
      <c r="S40" s="2">
        <f>COUNTIFS('BA History'!$B:$B,$A$40,'BA History'!L:L, 1)</f>
        <v>7</v>
      </c>
      <c r="T40" s="2">
        <f>COUNTIFS('BA History'!$B:$B,$A$40,'BA History'!M:M, 1)</f>
        <v>6</v>
      </c>
      <c r="U40" s="2">
        <f>COUNTIFS('BA History'!$B:$B,$A$40,'BA History'!N:N, 1)</f>
        <v>10</v>
      </c>
      <c r="V40" s="2">
        <f>COUNTIFS('BA History'!$B:$B,$A$40,'BA History'!O:O, 1)</f>
        <v>2</v>
      </c>
      <c r="W40" s="2">
        <f>COUNTIFS('BA History'!$B:$B,$A$40,'BA History'!P:P, 1)</f>
        <v>0</v>
      </c>
      <c r="X40" s="2">
        <f>COUNTIFS('BA History'!$B:$B,$A$40,'BA History'!Q:Q, 1)</f>
        <v>2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4</v>
      </c>
      <c r="AD40" s="2">
        <f>COUNTIFS('BA History'!$B:$B,$A$40,'BA History'!W:W, 1)</f>
        <v>1</v>
      </c>
      <c r="AE40" s="2">
        <f>COUNTIFS('BA History'!$B:$B,$A$40,'BA History'!X:X, 1)</f>
        <v>1</v>
      </c>
      <c r="AF40" s="2">
        <f>COUNTIFS('BA History'!$B:$B,$A$40,'BA History'!Y:Y, 1)</f>
        <v>5</v>
      </c>
      <c r="AG40" s="2">
        <f>COUNTIFS('BA History'!$B:$B,$A$40,'BA History'!Z:Z, 1)</f>
        <v>6</v>
      </c>
      <c r="AH40" s="2">
        <f>COUNTIFS('BA History'!$B:$B,$A$40,'BA History'!AA:AA, 1)</f>
        <v>4</v>
      </c>
      <c r="AI40" s="2">
        <f>COUNTIFS('BA History'!$B:$B,$A$40,'BA History'!AB:AB, 1)</f>
        <v>10</v>
      </c>
      <c r="AJ40" s="2">
        <f>COUNTIFS('BA History'!$B:$B,$A$40,'BA History'!AC:AC, 1)</f>
        <v>6</v>
      </c>
      <c r="AK40" s="2">
        <f>COUNTIFS('BA History'!$B:$B,$A$40,'BA History'!AD:AD, 1)</f>
        <v>4</v>
      </c>
      <c r="AL40" s="2">
        <f>COUNTIFS('BA History'!$B:$B,$A$40,'BA History'!AE:AE, 1)</f>
        <v>0</v>
      </c>
      <c r="AM40" s="2">
        <f>COUNTIFS('BA History'!$B:$B,$A$40,'BA History'!AF:AF, 1)</f>
        <v>3</v>
      </c>
    </row>
    <row r="41" spans="1:39" x14ac:dyDescent="0.25">
      <c r="A41" s="2" t="s">
        <v>38</v>
      </c>
      <c r="B41" s="2" t="s">
        <v>79</v>
      </c>
      <c r="C41" s="2"/>
      <c r="D41" s="2"/>
      <c r="E41" s="2"/>
      <c r="F41" s="34">
        <f>SUMIFS('BA History'!C:C,'BA History'!B:B,A41)</f>
        <v>23</v>
      </c>
      <c r="G41" s="66">
        <f>AVERAGEIFS('BA History'!C:C,'BA History'!B:B,A41)</f>
        <v>4.5999999999999996</v>
      </c>
      <c r="H41" s="35">
        <f t="array" ref="H41">MAX(IF('BA History'!B:B=A41, 'BA History'!C:C))</f>
        <v>11</v>
      </c>
      <c r="I41" s="34">
        <f>COUNTIFS('BA History'!B:B,A41,'BA History'!D:D, 1)</f>
        <v>2</v>
      </c>
      <c r="J41" s="2">
        <f>COUNTIFS('BA History'!B:B,A41,'BA History'!D:D, 0)</f>
        <v>3</v>
      </c>
      <c r="K41" s="75">
        <f>LOOKUP(2, 1/('BA History'!$B:$B=A41), 'BA History'!$AJ:$AJ)</f>
        <v>0.4</v>
      </c>
      <c r="L41" s="34">
        <f>SUMIFS('BA History'!F:F,'BA History'!B:B,A41)</f>
        <v>10</v>
      </c>
      <c r="M41" s="2">
        <f>SUMIFS('BA History'!E:E,'BA History'!B:B,A41)-L41</f>
        <v>12</v>
      </c>
      <c r="N41" s="75">
        <f>LOOKUP(2, 1/('BA History'!$B:$B=A41), 'BA History'!$AH:$AH)</f>
        <v>0.43</v>
      </c>
      <c r="O41" s="34">
        <f>SUMIFS('BA History'!H:H,'BA History'!B:B,A41)</f>
        <v>41</v>
      </c>
      <c r="P41" s="2">
        <f>SUMIFS('BA History'!G:G,'BA History'!B:B,A41)-O41</f>
        <v>49</v>
      </c>
      <c r="Q41" s="89">
        <f>LOOKUP(2, 1/('BA History'!$B:$B=A41), 'BA History'!$AI:$AI)</f>
        <v>0.43600000000000005</v>
      </c>
      <c r="R41" s="2">
        <f>COUNTIFS('BA History'!$B:$B,$A$41,'BA History'!K:K, 1)</f>
        <v>1</v>
      </c>
      <c r="S41" s="2">
        <f>COUNTIFS('BA History'!$B:$B,$A$41,'BA History'!L:L, 1)</f>
        <v>1</v>
      </c>
      <c r="T41" s="2">
        <f>COUNTIFS('BA History'!$B:$B,$A$41,'BA History'!M:M, 1)</f>
        <v>1</v>
      </c>
      <c r="U41" s="2">
        <f>COUNTIFS('BA History'!$B:$B,$A$41,'BA History'!N:N, 1)</f>
        <v>0</v>
      </c>
      <c r="V41" s="2">
        <f>COUNTIFS('BA History'!$B:$B,$A$41,'BA History'!O:O, 1)</f>
        <v>1</v>
      </c>
      <c r="W41" s="2">
        <f>COUNTIFS('BA History'!$B:$B,$A$41,'BA History'!P:P, 1)</f>
        <v>0</v>
      </c>
      <c r="X41" s="2">
        <f>COUNTIFS('BA History'!$B:$B,$A$41,'BA History'!Q:Q, 1)</f>
        <v>0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2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1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1</v>
      </c>
      <c r="AJ41" s="2">
        <f>COUNTIFS('BA History'!$B:$B,$A$41,'BA History'!AC:AC, 1)</f>
        <v>0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141</v>
      </c>
      <c r="B42" s="2" t="s">
        <v>79</v>
      </c>
      <c r="C42" s="2"/>
      <c r="D42" s="2"/>
      <c r="E42" s="2"/>
      <c r="F42" s="34">
        <f>SUMIFS('BA History'!C:C,'BA History'!B:B,A42)</f>
        <v>225</v>
      </c>
      <c r="G42" s="66">
        <f>AVERAGEIFS('BA History'!C:C,'BA History'!B:B,A42)</f>
        <v>14.0625</v>
      </c>
      <c r="H42" s="35">
        <f t="array" ref="H42">MAX(IF('BA History'!B:B=A42, 'BA History'!C:C))</f>
        <v>22</v>
      </c>
      <c r="I42" s="34">
        <f>COUNTIFS('BA History'!B:B,A42,'BA History'!D:D, 1)</f>
        <v>9</v>
      </c>
      <c r="J42" s="2">
        <f>COUNTIFS('BA History'!B:B,A42,'BA History'!D:D, 0)</f>
        <v>7</v>
      </c>
      <c r="K42" s="75">
        <f>LOOKUP(2, 1/('BA History'!$B:$B=A42), 'BA History'!$AJ:$AJ)</f>
        <v>0.5625</v>
      </c>
      <c r="L42" s="34">
        <f>SUMIFS('BA History'!F:F,'BA History'!B:B,A42)</f>
        <v>30</v>
      </c>
      <c r="M42" s="2">
        <f>SUMIFS('BA History'!E:E,'BA History'!B:B,A42)-L42</f>
        <v>31</v>
      </c>
      <c r="N42" s="75">
        <f>LOOKUP(2, 1/('BA History'!$B:$B=A42), 'BA History'!$AH:$AH)</f>
        <v>0.47187499999999999</v>
      </c>
      <c r="O42" s="34">
        <f>SUMIFS('BA History'!H:H,'BA History'!B:B,A42)</f>
        <v>128</v>
      </c>
      <c r="P42" s="2">
        <f>SUMIFS('BA History'!G:G,'BA History'!B:B,A42)-O42</f>
        <v>126</v>
      </c>
      <c r="Q42" s="89">
        <f>LOOKUP(2, 1/('BA History'!$B:$B=A42), 'BA History'!$AI:$AI)</f>
        <v>0.50187500000000007</v>
      </c>
      <c r="R42" s="2">
        <f>COUNTIFS('BA History'!$B:$B,$A$42,'BA History'!K:K, 1)</f>
        <v>3</v>
      </c>
      <c r="S42" s="2">
        <f>COUNTIFS('BA History'!$B:$B,$A$42,'BA History'!L:L, 1)</f>
        <v>2</v>
      </c>
      <c r="T42" s="2">
        <f>COUNTIFS('BA History'!$B:$B,$A$42,'BA History'!M:M, 1)</f>
        <v>2</v>
      </c>
      <c r="U42" s="2">
        <f>COUNTIFS('BA History'!$B:$B,$A$42,'BA History'!N:N, 1)</f>
        <v>3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1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2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1</v>
      </c>
      <c r="AH42" s="2">
        <f>COUNTIFS('BA History'!$B:$B,$A$42,'BA History'!AA:AA, 1)</f>
        <v>0</v>
      </c>
      <c r="AI42" s="2">
        <f>COUNTIFS('BA History'!$B:$B,$A$42,'BA History'!AB:AB, 1)</f>
        <v>5</v>
      </c>
      <c r="AJ42" s="2">
        <f>COUNTIFS('BA History'!$B:$B,$A$42,'BA History'!AC:AC, 1)</f>
        <v>2</v>
      </c>
      <c r="AK42" s="2">
        <f>COUNTIFS('BA History'!$B:$B,$A$42,'BA History'!AD:AD, 1)</f>
        <v>4</v>
      </c>
      <c r="AL42" s="2">
        <f>COUNTIFS('BA History'!$B:$B,$A$42,'BA History'!AE:AE, 1)</f>
        <v>0</v>
      </c>
      <c r="AM42" s="2">
        <f>COUNTIFS('BA History'!$B:$B,$A$42,'BA History'!AF:AF, 1)</f>
        <v>2</v>
      </c>
    </row>
    <row r="43" spans="1:39" x14ac:dyDescent="0.25">
      <c r="A43" s="2" t="s">
        <v>153</v>
      </c>
      <c r="B43" s="2" t="s">
        <v>79</v>
      </c>
      <c r="C43" s="2"/>
      <c r="D43" s="2"/>
      <c r="E43" s="2"/>
      <c r="F43" s="34">
        <f>SUMIFS('BA History'!C:C,'BA History'!B:B,A43)</f>
        <v>57</v>
      </c>
      <c r="G43" s="66">
        <f>AVERAGEIFS('BA History'!C:C,'BA History'!B:B,A43)</f>
        <v>11.4</v>
      </c>
      <c r="H43" s="35">
        <f t="array" ref="H43">MAX(IF('BA History'!B:B=A43, 'BA History'!C:C))</f>
        <v>14</v>
      </c>
      <c r="I43" s="34">
        <f>COUNTIFS('BA History'!B:B,A43,'BA History'!D:D, 1)</f>
        <v>3</v>
      </c>
      <c r="J43" s="2">
        <f>COUNTIFS('BA History'!B:B,A43,'BA History'!D:D, 0)</f>
        <v>2</v>
      </c>
      <c r="K43" s="75">
        <f>LOOKUP(2, 1/('BA History'!$B:$B=A43), 'BA History'!$AJ:$AJ)</f>
        <v>0.6</v>
      </c>
      <c r="L43" s="34">
        <f>SUMIFS('BA History'!F:F,'BA History'!B:B,A43)</f>
        <v>10</v>
      </c>
      <c r="M43" s="2">
        <f>SUMIFS('BA History'!E:E,'BA History'!B:B,A43)-L43</f>
        <v>11</v>
      </c>
      <c r="N43" s="75">
        <f>LOOKUP(2, 1/('BA History'!$B:$B=A43), 'BA History'!$AH:$AH)</f>
        <v>0.44000000000000006</v>
      </c>
      <c r="O43" s="34">
        <f>SUMIFS('BA History'!H:H,'BA History'!B:B,A43)</f>
        <v>44</v>
      </c>
      <c r="P43" s="2">
        <f>SUMIFS('BA History'!G:G,'BA History'!B:B,A43)-O43</f>
        <v>46</v>
      </c>
      <c r="Q43" s="89">
        <f>LOOKUP(2, 1/('BA History'!$B:$B=A43), 'BA History'!$AI:$AI)</f>
        <v>0.44799999999999995</v>
      </c>
      <c r="R43" s="2">
        <f>COUNTIFS('BA History'!$B:$B,$A$43,'BA History'!K:K, 1)</f>
        <v>0</v>
      </c>
      <c r="S43" s="2">
        <f>COUNTIFS('BA History'!$B:$B,$A$43,'BA History'!L:L, 1)</f>
        <v>1</v>
      </c>
      <c r="T43" s="2">
        <f>COUNTIFS('BA History'!$B:$B,$A$43,'BA History'!M:M, 1)</f>
        <v>0</v>
      </c>
      <c r="U43" s="2">
        <f>COUNTIFS('BA History'!$B:$B,$A$43,'BA History'!N:N, 1)</f>
        <v>1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1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2</v>
      </c>
      <c r="AH43" s="2">
        <f>COUNTIFS('BA History'!$B:$B,$A$43,'BA History'!AA:AA, 1)</f>
        <v>0</v>
      </c>
      <c r="AI43" s="2">
        <f>COUNTIFS('BA History'!$B:$B,$A$43,'BA History'!AB:AB, 1)</f>
        <v>3</v>
      </c>
      <c r="AJ43" s="2">
        <f>COUNTIFS('BA History'!$B:$B,$A$43,'BA History'!AC:AC, 1)</f>
        <v>0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</row>
    <row r="44" spans="1:39" x14ac:dyDescent="0.25">
      <c r="A44" s="2" t="s">
        <v>40</v>
      </c>
      <c r="B44" s="2" t="s">
        <v>79</v>
      </c>
      <c r="C44" s="2"/>
      <c r="D44" s="2"/>
      <c r="E44" s="2"/>
      <c r="F44" s="34">
        <f>SUMIFS('BA History'!C:C,'BA History'!B:B,A44)</f>
        <v>1196</v>
      </c>
      <c r="G44" s="66">
        <f>AVERAGEIFS('BA History'!C:C,'BA History'!B:B,A44)</f>
        <v>18.6875</v>
      </c>
      <c r="H44" s="35">
        <f t="array" ref="H44">MAX(IF('BA History'!B:B=A44, 'BA History'!C:C))</f>
        <v>37</v>
      </c>
      <c r="I44" s="34">
        <f>COUNTIFS('BA History'!B:B,A44,'BA History'!D:D, 1)</f>
        <v>27</v>
      </c>
      <c r="J44" s="2">
        <f>COUNTIFS('BA History'!B:B,A44,'BA History'!D:D, 0)</f>
        <v>37</v>
      </c>
      <c r="K44" s="75">
        <f>LOOKUP(2, 1/('BA History'!$B:$B=A44), 'BA History'!$AJ:$AJ)</f>
        <v>0.421875</v>
      </c>
      <c r="L44" s="34">
        <f>SUMIFS('BA History'!F:F,'BA History'!B:B,A44)</f>
        <v>124</v>
      </c>
      <c r="M44" s="2">
        <f>SUMIFS('BA History'!E:E,'BA History'!B:B,A44)-L44</f>
        <v>138</v>
      </c>
      <c r="N44" s="75">
        <f>LOOKUP(2, 1/('BA History'!$B:$B=A44), 'BA History'!$AH:$AH)</f>
        <v>0.47499999999999987</v>
      </c>
      <c r="O44" s="34">
        <f>SUMIFS('BA History'!H:H,'BA History'!B:B,A44)</f>
        <v>527</v>
      </c>
      <c r="P44" s="2">
        <f>SUMIFS('BA History'!G:G,'BA History'!B:B,A44)-O44</f>
        <v>556</v>
      </c>
      <c r="Q44" s="89">
        <f>LOOKUP(2, 1/('BA History'!$B:$B=A44), 'BA History'!$AI:$AI)</f>
        <v>0.48328125000000005</v>
      </c>
      <c r="R44" s="2">
        <f>COUNTIFS('BA History'!$B:$B,$A$44,'BA History'!K:K, 1)</f>
        <v>4</v>
      </c>
      <c r="S44" s="2">
        <f>COUNTIFS('BA History'!$B:$B,$A$44,'BA History'!L:L, 1)</f>
        <v>10</v>
      </c>
      <c r="T44" s="2">
        <f>COUNTIFS('BA History'!$B:$B,$A$44,'BA History'!M:M, 1)</f>
        <v>14</v>
      </c>
      <c r="U44" s="2">
        <f>COUNTIFS('BA History'!$B:$B,$A$44,'BA History'!N:N, 1)</f>
        <v>15</v>
      </c>
      <c r="V44" s="2">
        <f>COUNTIFS('BA History'!$B:$B,$A$44,'BA History'!O:O, 1)</f>
        <v>4</v>
      </c>
      <c r="W44" s="2">
        <f>COUNTIFS('BA History'!$B:$B,$A$44,'BA History'!P:P, 1)</f>
        <v>1</v>
      </c>
      <c r="X44" s="2">
        <f>COUNTIFS('BA History'!$B:$B,$A$44,'BA History'!Q:Q, 1)</f>
        <v>4</v>
      </c>
      <c r="Y44" s="2">
        <f>COUNTIFS('BA History'!$B:$B,$A$44,'BA History'!R:R, 1)</f>
        <v>3</v>
      </c>
      <c r="Z44" s="2">
        <f>COUNTIFS('BA History'!$B:$B,$A$44,'BA History'!S:S, 1)</f>
        <v>2</v>
      </c>
      <c r="AA44" s="2">
        <f>COUNTIFS('BA History'!$B:$B,$A$44,'BA History'!T:T, 1)</f>
        <v>0</v>
      </c>
      <c r="AB44" s="2">
        <f>COUNTIFS('BA History'!$B:$B,$A$44,'BA History'!U:U, 1)</f>
        <v>4</v>
      </c>
      <c r="AC44" s="2">
        <f>COUNTIFS('BA History'!$B:$B,$A$44,'BA History'!V:V, 1)</f>
        <v>7</v>
      </c>
      <c r="AD44" s="2">
        <f>COUNTIFS('BA History'!$B:$B,$A$44,'BA History'!W:W, 1)</f>
        <v>2</v>
      </c>
      <c r="AE44" s="2">
        <f>COUNTIFS('BA History'!$B:$B,$A$44,'BA History'!X:X, 1)</f>
        <v>1</v>
      </c>
      <c r="AF44" s="2">
        <f>COUNTIFS('BA History'!$B:$B,$A$44,'BA History'!Y:Y, 1)</f>
        <v>6</v>
      </c>
      <c r="AG44" s="2">
        <f>COUNTIFS('BA History'!$B:$B,$A$44,'BA History'!Z:Z, 1)</f>
        <v>11</v>
      </c>
      <c r="AH44" s="2">
        <f>COUNTIFS('BA History'!$B:$B,$A$44,'BA History'!AA:AA, 1)</f>
        <v>1</v>
      </c>
      <c r="AI44" s="2">
        <f>COUNTIFS('BA History'!$B:$B,$A$44,'BA History'!AB:AB, 1)</f>
        <v>6</v>
      </c>
      <c r="AJ44" s="2">
        <f>COUNTIFS('BA History'!$B:$B,$A$44,'BA History'!AC:AC, 1)</f>
        <v>7</v>
      </c>
      <c r="AK44" s="2">
        <f>COUNTIFS('BA History'!$B:$B,$A$44,'BA History'!AD:AD, 1)</f>
        <v>15</v>
      </c>
      <c r="AL44" s="2">
        <f>COUNTIFS('BA History'!$B:$B,$A$44,'BA History'!AE:AE, 1)</f>
        <v>0</v>
      </c>
      <c r="AM44" s="2">
        <f>COUNTIFS('BA History'!$B:$B,$A$44,'BA History'!AF:AF, 1)</f>
        <v>7</v>
      </c>
    </row>
    <row r="45" spans="1:39" x14ac:dyDescent="0.25">
      <c r="A45" s="2" t="s">
        <v>166</v>
      </c>
      <c r="B45" s="2" t="s">
        <v>79</v>
      </c>
      <c r="C45" s="2">
        <v>1</v>
      </c>
      <c r="D45" s="2"/>
      <c r="E45" s="2"/>
      <c r="F45" s="34">
        <f>SUMIFS('BA History'!C:C,'BA History'!B:B,A45)</f>
        <v>40</v>
      </c>
      <c r="G45" s="66">
        <f>AVERAGEIFS('BA History'!C:C,'BA History'!B:B,A45)</f>
        <v>10</v>
      </c>
      <c r="H45" s="35">
        <f t="array" ref="H45">MAX(IF('BA History'!B:B=A45, 'BA History'!C:C))</f>
        <v>21</v>
      </c>
      <c r="I45" s="34">
        <f>COUNTIFS('BA History'!B:B,A45,'BA History'!D:D, 1)</f>
        <v>3</v>
      </c>
      <c r="J45" s="2">
        <f>COUNTIFS('BA History'!B:B,A45,'BA History'!D:D, 0)</f>
        <v>1</v>
      </c>
      <c r="K45" s="75">
        <f>LOOKUP(2, 1/('BA History'!$B:$B=A45), 'BA History'!$AJ:$AJ)</f>
        <v>0.75</v>
      </c>
      <c r="L45" s="34">
        <f>SUMIFS('BA History'!F:F,'BA History'!B:B,A45)</f>
        <v>9</v>
      </c>
      <c r="M45" s="2">
        <f>SUMIFS('BA History'!E:E,'BA History'!B:B,A45)-L45</f>
        <v>8</v>
      </c>
      <c r="N45" s="75">
        <f>LOOKUP(2, 1/('BA History'!$B:$B=A45), 'BA History'!$AH:$AH)</f>
        <v>0.48750000000000004</v>
      </c>
      <c r="O45" s="34">
        <f>SUMIFS('BA History'!H:H,'BA History'!B:B,A45)</f>
        <v>38</v>
      </c>
      <c r="P45" s="2">
        <f>SUMIFS('BA History'!G:G,'BA History'!B:B,A45)-O45</f>
        <v>35</v>
      </c>
      <c r="Q45" s="89">
        <f>LOOKUP(2, 1/('BA History'!$B:$B=A45), 'BA History'!$AI:$AI)</f>
        <v>0.49249999999999999</v>
      </c>
      <c r="R45" s="2">
        <f>COUNTIFS('BA History'!$B:$B,$A$45,'BA History'!K:K, 1)</f>
        <v>1</v>
      </c>
      <c r="S45" s="2">
        <f>COUNTIFS('BA History'!$B:$B,$A$45,'BA History'!L:L, 1)</f>
        <v>0</v>
      </c>
      <c r="T45" s="2">
        <f>COUNTIFS('BA History'!$B:$B,$A$45,'BA History'!M:M, 1)</f>
        <v>1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0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1</v>
      </c>
      <c r="AG45" s="2">
        <f>COUNTIFS('BA History'!$B:$B,$A$45,'BA History'!Z:Z, 1)</f>
        <v>2</v>
      </c>
      <c r="AH45" s="2">
        <f>COUNTIFS('BA History'!$B:$B,$A$45,'BA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0</v>
      </c>
      <c r="AK45" s="2">
        <f>COUNTIFS('BA History'!$B:$B,$A$45,'BA History'!AD:AD, 1)</f>
        <v>1</v>
      </c>
      <c r="AL45" s="2">
        <f>COUNTIFS('BA History'!$B:$B,$A$45,'BA History'!AE:AE, 1)</f>
        <v>0</v>
      </c>
      <c r="AM45" s="2">
        <f>COUNTIFS('BA History'!$B:$B,$A$45,'BA History'!AF:AF, 1)</f>
        <v>1</v>
      </c>
    </row>
    <row r="46" spans="1:39" x14ac:dyDescent="0.25">
      <c r="A46" s="2" t="s">
        <v>147</v>
      </c>
      <c r="B46" s="2" t="s">
        <v>79</v>
      </c>
      <c r="C46" s="2"/>
      <c r="D46" s="2"/>
      <c r="E46" s="2"/>
      <c r="F46" s="34">
        <f>SUMIFS('BA History'!C:C,'BA History'!B:B,A46)</f>
        <v>380</v>
      </c>
      <c r="G46" s="66">
        <f>AVERAGEIFS('BA History'!C:C,'BA History'!B:B,A46)</f>
        <v>12.666666666666666</v>
      </c>
      <c r="H46" s="35">
        <f t="array" ref="H46">MAX(IF('BA History'!B:B=A46, 'BA History'!C:C))</f>
        <v>33</v>
      </c>
      <c r="I46" s="34">
        <f>COUNTIFS('BA History'!B:B,A46,'BA History'!D:D, 1)</f>
        <v>15</v>
      </c>
      <c r="J46" s="2">
        <f>COUNTIFS('BA History'!B:B,A46,'BA History'!D:D, 0)</f>
        <v>15</v>
      </c>
      <c r="K46" s="75">
        <f>LOOKUP(2, 1/('BA History'!$B:$B=A46), 'BA History'!$AJ:$AJ)</f>
        <v>0.5</v>
      </c>
      <c r="L46" s="34">
        <f>SUMIFS('BA History'!F:F,'BA History'!B:B,A46)</f>
        <v>63</v>
      </c>
      <c r="M46" s="2">
        <f>SUMIFS('BA History'!E:E,'BA History'!B:B,A46)-L46</f>
        <v>57</v>
      </c>
      <c r="N46" s="75">
        <f>LOOKUP(2, 1/('BA History'!$B:$B=A46), 'BA History'!$AH:$AH)</f>
        <v>0.55000000000000004</v>
      </c>
      <c r="O46" s="34">
        <f>SUMIFS('BA History'!H:H,'BA History'!B:B,A46)</f>
        <v>254</v>
      </c>
      <c r="P46" s="2">
        <f>SUMIFS('BA History'!G:G,'BA History'!B:B,A46)-O46</f>
        <v>241</v>
      </c>
      <c r="Q46" s="89">
        <f>LOOKUP(2, 1/('BA History'!$B:$B=A46), 'BA History'!$AI:$AI)</f>
        <v>0.52833333333333343</v>
      </c>
      <c r="R46" s="2">
        <f>COUNTIFS('BA History'!$B:$B,$A$46,'BA History'!K:K, 1)</f>
        <v>4</v>
      </c>
      <c r="S46" s="2">
        <f>COUNTIFS('BA History'!$B:$B,$A$46,'BA History'!L:L, 1)</f>
        <v>5</v>
      </c>
      <c r="T46" s="2">
        <f>COUNTIFS('BA History'!$B:$B,$A$46,'BA History'!M:M, 1)</f>
        <v>4</v>
      </c>
      <c r="U46" s="2">
        <f>COUNTIFS('BA History'!$B:$B,$A$46,'BA History'!N:N, 1)</f>
        <v>7</v>
      </c>
      <c r="V46" s="2">
        <f>COUNTIFS('BA History'!$B:$B,$A$46,'BA History'!O:O, 1)</f>
        <v>1</v>
      </c>
      <c r="W46" s="2">
        <f>COUNTIFS('BA History'!$B:$B,$A$46,'BA History'!P:P, 1)</f>
        <v>1</v>
      </c>
      <c r="X46" s="2">
        <f>COUNTIFS('BA History'!$B:$B,$A$46,'BA History'!Q:Q, 1)</f>
        <v>1</v>
      </c>
      <c r="Y46" s="2">
        <f>COUNTIFS('BA History'!$B:$B,$A$46,'BA History'!R:R, 1)</f>
        <v>1</v>
      </c>
      <c r="Z46" s="2">
        <f>COUNTIFS('BA History'!$B:$B,$A$46,'BA History'!S:S, 1)</f>
        <v>1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2</v>
      </c>
      <c r="AD46" s="2">
        <f>COUNTIFS('BA History'!$B:$B,$A$46,'BA History'!W:W, 1)</f>
        <v>1</v>
      </c>
      <c r="AE46" s="2">
        <f>COUNTIFS('BA History'!$B:$B,$A$46,'BA History'!X:X, 1)</f>
        <v>0</v>
      </c>
      <c r="AF46" s="2">
        <f>COUNTIFS('BA History'!$B:$B,$A$46,'BA History'!Y:Y, 1)</f>
        <v>6</v>
      </c>
      <c r="AG46" s="2">
        <f>COUNTIFS('BA History'!$B:$B,$A$46,'BA History'!Z:Z, 1)</f>
        <v>10</v>
      </c>
      <c r="AH46" s="2">
        <f>COUNTIFS('BA History'!$B:$B,$A$46,'BA History'!AA:AA, 1)</f>
        <v>0</v>
      </c>
      <c r="AI46" s="2">
        <f>COUNTIFS('BA History'!$B:$B,$A$46,'BA History'!AB:AB, 1)</f>
        <v>11</v>
      </c>
      <c r="AJ46" s="2">
        <f>COUNTIFS('BA History'!$B:$B,$A$46,'BA History'!AC:AC, 1)</f>
        <v>0</v>
      </c>
      <c r="AK46" s="2">
        <f>COUNTIFS('BA History'!$B:$B,$A$46,'BA History'!AD:AD, 1)</f>
        <v>3</v>
      </c>
      <c r="AL46" s="2">
        <f>COUNTIFS('BA History'!$B:$B,$A$46,'BA History'!AE:AE, 1)</f>
        <v>0</v>
      </c>
      <c r="AM46" s="2">
        <f>COUNTIFS('BA History'!$B:$B,$A$46,'BA History'!AF:AF, 1)</f>
        <v>5</v>
      </c>
    </row>
    <row r="47" spans="1:39" x14ac:dyDescent="0.25">
      <c r="A47" s="2" t="s">
        <v>17</v>
      </c>
      <c r="B47" s="2" t="s">
        <v>79</v>
      </c>
      <c r="C47" s="2">
        <v>1</v>
      </c>
      <c r="D47" s="2">
        <v>1</v>
      </c>
      <c r="E47" s="2"/>
      <c r="F47" s="34">
        <f>SUMIFS('BA History'!C:C,'BA History'!B:B,A47)</f>
        <v>793</v>
      </c>
      <c r="G47" s="66">
        <f>AVERAGEIFS('BA History'!C:C,'BA History'!B:B,A47)</f>
        <v>19.824999999999999</v>
      </c>
      <c r="H47" s="35">
        <f t="array" ref="H47">MAX(IF('BA History'!B:B=A47, 'BA History'!C:C))</f>
        <v>32</v>
      </c>
      <c r="I47" s="34">
        <f>COUNTIFS('BA History'!B:B,A47,'BA History'!D:D, 1)</f>
        <v>23</v>
      </c>
      <c r="J47" s="2">
        <f>COUNTIFS('BA History'!B:B,A47,'BA History'!D:D, 0)</f>
        <v>17</v>
      </c>
      <c r="K47" s="75">
        <f>LOOKUP(2, 1/('BA History'!$B:$B=A47), 'BA History'!$AJ:$AJ)</f>
        <v>0.57499999999999996</v>
      </c>
      <c r="L47" s="34">
        <f>SUMIFS('BA History'!F:F,'BA History'!B:B,A47)</f>
        <v>86</v>
      </c>
      <c r="M47" s="2">
        <f>SUMIFS('BA History'!E:E,'BA History'!B:B,A47)-L47</f>
        <v>73</v>
      </c>
      <c r="N47" s="75">
        <f>LOOKUP(2, 1/('BA History'!$B:$B=A47), 'BA History'!$AH:$AH)</f>
        <v>0.54800000000000004</v>
      </c>
      <c r="O47" s="34">
        <f>SUMIFS('BA History'!H:H,'BA History'!B:B,A47)</f>
        <v>334</v>
      </c>
      <c r="P47" s="2">
        <f>SUMIFS('BA History'!G:G,'BA History'!B:B,A47)-O47</f>
        <v>323</v>
      </c>
      <c r="Q47" s="89">
        <f>LOOKUP(2, 1/('BA History'!$B:$B=A47), 'BA History'!$AI:$AI)</f>
        <v>0.50350000000000006</v>
      </c>
      <c r="R47" s="2">
        <f>COUNTIFS('BA History'!$B:$B,$A$47,'BA History'!K:K, 1)</f>
        <v>6</v>
      </c>
      <c r="S47" s="2">
        <f>COUNTIFS('BA History'!$B:$B,$A$47,'BA History'!L:L, 1)</f>
        <v>3</v>
      </c>
      <c r="T47" s="2">
        <f>COUNTIFS('BA History'!$B:$B,$A$47,'BA History'!M:M, 1)</f>
        <v>7</v>
      </c>
      <c r="U47" s="2">
        <f>COUNTIFS('BA History'!$B:$B,$A$47,'BA History'!N:N, 1)</f>
        <v>9</v>
      </c>
      <c r="V47" s="2">
        <f>COUNTIFS('BA History'!$B:$B,$A$47,'BA History'!O:O, 1)</f>
        <v>0</v>
      </c>
      <c r="W47" s="2">
        <f>COUNTIFS('BA History'!$B:$B,$A$47,'BA History'!P:P, 1)</f>
        <v>1</v>
      </c>
      <c r="X47" s="2">
        <f>COUNTIFS('BA History'!$B:$B,$A$47,'BA History'!Q:Q, 1)</f>
        <v>3</v>
      </c>
      <c r="Y47" s="2">
        <f>COUNTIFS('BA History'!$B:$B,$A$47,'BA History'!R:R, 1)</f>
        <v>1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2</v>
      </c>
      <c r="AC47" s="2">
        <f>COUNTIFS('BA History'!$B:$B,$A$47,'BA History'!V:V, 1)</f>
        <v>4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3</v>
      </c>
      <c r="AG47" s="2">
        <f>COUNTIFS('BA History'!$B:$B,$A$47,'BA History'!Z:Z, 1)</f>
        <v>10</v>
      </c>
      <c r="AH47" s="2">
        <f>COUNTIFS('BA History'!$B:$B,$A$47,'BA History'!AA:AA, 1)</f>
        <v>2</v>
      </c>
      <c r="AI47" s="2">
        <f>COUNTIFS('BA History'!$B:$B,$A$47,'BA History'!AB:AB, 1)</f>
        <v>11</v>
      </c>
      <c r="AJ47" s="2">
        <f>COUNTIFS('BA History'!$B:$B,$A$47,'BA History'!AC:AC, 1)</f>
        <v>8</v>
      </c>
      <c r="AK47" s="2">
        <f>COUNTIFS('BA History'!$B:$B,$A$47,'BA History'!AD:AD, 1)</f>
        <v>9</v>
      </c>
      <c r="AL47" s="2">
        <f>COUNTIFS('BA History'!$B:$B,$A$47,'BA History'!AE:AE, 1)</f>
        <v>2</v>
      </c>
      <c r="AM47" s="2">
        <f>COUNTIFS('BA History'!$B:$B,$A$47,'BA History'!AF:AF, 1)</f>
        <v>5</v>
      </c>
    </row>
    <row r="48" spans="1:39" ht="14.25" customHeight="1" x14ac:dyDescent="0.25">
      <c r="A48" s="1" t="s">
        <v>105</v>
      </c>
      <c r="B48" s="2" t="s">
        <v>79</v>
      </c>
      <c r="C48" s="2"/>
      <c r="D48" s="2"/>
      <c r="E48" s="2"/>
      <c r="F48" s="34">
        <f>SUMIFS('BA History'!C:C,'BA History'!B:B,A48)</f>
        <v>12</v>
      </c>
      <c r="G48" s="66">
        <f>AVERAGEIFS('BA History'!C:C,'BA History'!B:B,A48)</f>
        <v>12</v>
      </c>
      <c r="H48" s="35">
        <f t="array" ref="H48">MAX(IF('BA History'!B:B=A48, 'BA History'!C:C))</f>
        <v>12</v>
      </c>
      <c r="I48" s="34">
        <f>COUNTIFS('BA History'!B:B,A48,'BA History'!D:D, 1)</f>
        <v>1</v>
      </c>
      <c r="J48" s="2">
        <f>COUNTIFS('BA History'!B:B,A48,'BA History'!D:D, 0)</f>
        <v>0</v>
      </c>
      <c r="K48" s="75">
        <f>LOOKUP(2, 1/('BA History'!$B:$B=A48), 'BA History'!$AJ:$AJ)</f>
        <v>1</v>
      </c>
      <c r="L48" s="34">
        <f>SUMIFS('BA History'!F:F,'BA History'!B:B,A48)</f>
        <v>3</v>
      </c>
      <c r="M48" s="2">
        <f>SUMIFS('BA History'!E:E,'BA History'!B:B,A48)-L48</f>
        <v>2</v>
      </c>
      <c r="N48" s="75">
        <f>LOOKUP(2, 1/('BA History'!$B:$B=A48), 'BA History'!$AH:$AH)</f>
        <v>0.6</v>
      </c>
      <c r="O48" s="34">
        <f>SUMIFS('BA History'!H:H,'BA History'!B:B,A48)</f>
        <v>9</v>
      </c>
      <c r="P48" s="2">
        <f>SUMIFS('BA History'!G:G,'BA History'!B:B,A48)-O48</f>
        <v>10</v>
      </c>
      <c r="Q48" s="89">
        <f>LOOKUP(2, 1/('BA History'!$B:$B=A48), 'BA History'!$AI:$AI)</f>
        <v>0.47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1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1</v>
      </c>
      <c r="AJ48" s="2">
        <f>COUNTIFS('BA History'!$B:$B,$A$48,'BA History'!AC:AC, 1)</f>
        <v>1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ht="14.25" customHeight="1" x14ac:dyDescent="0.25">
      <c r="A49" s="1" t="s">
        <v>143</v>
      </c>
      <c r="B49" s="2" t="s">
        <v>79</v>
      </c>
      <c r="C49" s="2"/>
      <c r="D49" s="2"/>
      <c r="E49" s="2"/>
      <c r="F49" s="34">
        <f>SUMIFS('BA History'!C:C,'BA History'!B:B,A49)</f>
        <v>4</v>
      </c>
      <c r="G49" s="66">
        <f>AVERAGEIFS('BA History'!C:C,'BA History'!B:B,A49)</f>
        <v>4</v>
      </c>
      <c r="H49" s="35">
        <f t="array" ref="H49">MAX(IF('BA History'!B:B=A49, 'BA History'!C:C))</f>
        <v>4</v>
      </c>
      <c r="I49" s="34">
        <f>COUNTIFS('BA History'!B:B,A49,'BA History'!D:D, 1)</f>
        <v>0</v>
      </c>
      <c r="J49" s="2">
        <f>COUNTIFS('BA History'!B:B,A49,'BA History'!D:D, 0)</f>
        <v>1</v>
      </c>
      <c r="K49" s="75">
        <f>LOOKUP(2, 1/('BA History'!$B:$B=A49), 'BA History'!$AJ:$AJ)</f>
        <v>0</v>
      </c>
      <c r="L49" s="34">
        <f>SUMIFS('BA History'!F:F,'BA History'!B:B,A49)</f>
        <v>1</v>
      </c>
      <c r="M49" s="2">
        <f>SUMIFS('BA History'!E:E,'BA History'!B:B,A49)-L49</f>
        <v>3</v>
      </c>
      <c r="N49" s="75">
        <f>LOOKUP(2, 1/('BA History'!$B:$B=A49), 'BA History'!$AH:$AH)</f>
        <v>0.25</v>
      </c>
      <c r="O49" s="34">
        <f>SUMIFS('BA History'!H:H,'BA History'!B:B,A49)</f>
        <v>7</v>
      </c>
      <c r="P49" s="2">
        <f>SUMIFS('BA History'!G:G,'BA History'!B:B,A49)-O49</f>
        <v>9</v>
      </c>
      <c r="Q49" s="89">
        <f>LOOKUP(2, 1/('BA History'!$B:$B=A49), 'BA History'!$AI:$AI)</f>
        <v>0.44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1</v>
      </c>
      <c r="AG49" s="2">
        <f>COUNTIFS('BA History'!$B:$B,$A$49,'BA History'!Z:Z, 1)</f>
        <v>0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0</v>
      </c>
      <c r="AK49" s="2">
        <f>COUNTIFS('BA History'!$B:$B,$A$49,'BA History'!AD:AD, 1)</f>
        <v>0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1" t="s">
        <v>118</v>
      </c>
      <c r="B50" s="2" t="s">
        <v>79</v>
      </c>
      <c r="C50" s="2"/>
      <c r="D50" s="2"/>
      <c r="E50" s="2"/>
      <c r="F50" s="34">
        <f>SUMIFS('BA History'!C:C,'BA History'!B:B,A50)</f>
        <v>30</v>
      </c>
      <c r="G50" s="66">
        <f>AVERAGEIFS('BA History'!C:C,'BA History'!B:B,A50)</f>
        <v>15</v>
      </c>
      <c r="H50" s="35">
        <f t="array" ref="H50">MAX(IF('BA History'!B:B=A50, 'BA History'!C:C))</f>
        <v>20</v>
      </c>
      <c r="I50" s="34">
        <f>COUNTIFS('BA History'!B:B,A50,'BA History'!D:D, 1)</f>
        <v>1</v>
      </c>
      <c r="J50" s="2">
        <f>COUNTIFS('BA History'!B:B,A50,'BA History'!D:D, 0)</f>
        <v>1</v>
      </c>
      <c r="K50" s="75">
        <f>LOOKUP(2, 1/('BA History'!$B:$B=A50), 'BA History'!$AJ:$AJ)</f>
        <v>0.5</v>
      </c>
      <c r="L50" s="34">
        <f>SUMIFS('BA History'!F:F,'BA History'!B:B,A50)</f>
        <v>4</v>
      </c>
      <c r="M50" s="2">
        <f>SUMIFS('BA History'!E:E,'BA History'!B:B,A50)-L50</f>
        <v>4</v>
      </c>
      <c r="N50" s="75">
        <f>LOOKUP(2, 1/('BA History'!$B:$B=A50), 'BA History'!$AH:$AH)</f>
        <v>0.5</v>
      </c>
      <c r="O50" s="34">
        <f>SUMIFS('BA History'!H:H,'BA History'!B:B,A50)</f>
        <v>15</v>
      </c>
      <c r="P50" s="2">
        <f>SUMIFS('BA History'!G:G,'BA History'!B:B,A50)-O50</f>
        <v>15</v>
      </c>
      <c r="Q50" s="89">
        <f>LOOKUP(2, 1/('BA History'!$B:$B=A50), 'BA History'!$AI:$AI)</f>
        <v>0.51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1</v>
      </c>
      <c r="AH50" s="2">
        <f>COUNTIFS('BA History'!$B:$B,$A$50,'BA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6</v>
      </c>
      <c r="B51" s="1" t="s">
        <v>158</v>
      </c>
      <c r="C51" s="1"/>
      <c r="D51" s="1">
        <v>1</v>
      </c>
      <c r="E51" s="1">
        <v>1</v>
      </c>
      <c r="F51" s="34">
        <f>SUMIFS('BA History'!C:C,'BA History'!B:B,A51)</f>
        <v>1494</v>
      </c>
      <c r="G51" s="66">
        <f>AVERAGEIFS('BA History'!C:C,'BA History'!B:B,A51)</f>
        <v>22.298507462686569</v>
      </c>
      <c r="H51" s="35">
        <f t="array" ref="H51">MAX(IF('BA History'!B:B=A51, 'BA History'!C:C))</f>
        <v>37</v>
      </c>
      <c r="I51" s="34">
        <f>COUNTIFS('BA History'!B:B,A51,'BA History'!D:D, 1)</f>
        <v>41</v>
      </c>
      <c r="J51" s="2">
        <f>COUNTIFS('BA History'!B:B,A51,'BA History'!D:D, 0)</f>
        <v>26</v>
      </c>
      <c r="K51" s="75">
        <f>LOOKUP(2, 1/('BA History'!$B:$B=A51), 'BA History'!$AJ:$AJ)</f>
        <v>0.61194029850746268</v>
      </c>
      <c r="L51" s="34">
        <f>SUMIFS('BA History'!F:F,'BA History'!B:B,A51)</f>
        <v>146</v>
      </c>
      <c r="M51" s="2">
        <f>SUMIFS('BA History'!E:E,'BA History'!B:B,A51)-L51</f>
        <v>120</v>
      </c>
      <c r="N51" s="75">
        <f>LOOKUP(2, 1/('BA History'!$B:$B=A51), 'BA History'!$AH:$AH)</f>
        <v>0.54746268656716424</v>
      </c>
      <c r="O51" s="34">
        <f>SUMIFS('BA History'!H:H,'BA History'!B:B,A51)</f>
        <v>582</v>
      </c>
      <c r="P51" s="2">
        <f>SUMIFS('BA History'!G:G,'BA History'!B:B,A51)-O51</f>
        <v>525</v>
      </c>
      <c r="Q51" s="89">
        <f>LOOKUP(2, 1/('BA History'!$B:$B=A51), 'BA History'!$AI:$AI)</f>
        <v>0.52417910447761196</v>
      </c>
      <c r="R51" s="2">
        <f>COUNTIFS('BA History'!$B:$B,$A$51,'BA History'!K:K, 1)</f>
        <v>7</v>
      </c>
      <c r="S51" s="2">
        <f>COUNTIFS('BA History'!$B:$B,$A$51,'BA History'!L:L, 1)</f>
        <v>7</v>
      </c>
      <c r="T51" s="2">
        <f>COUNTIFS('BA History'!$B:$B,$A$51,'BA History'!M:M, 1)</f>
        <v>13</v>
      </c>
      <c r="U51" s="2">
        <f>COUNTIFS('BA History'!$B:$B,$A$51,'BA History'!N:N, 1)</f>
        <v>11</v>
      </c>
      <c r="V51" s="2">
        <f>COUNTIFS('BA History'!$B:$B,$A$51,'BA History'!O:O, 1)</f>
        <v>2</v>
      </c>
      <c r="W51" s="2">
        <f>COUNTIFS('BA History'!$B:$B,$A$51,'BA History'!P:P, 1)</f>
        <v>1</v>
      </c>
      <c r="X51" s="2">
        <f>COUNTIFS('BA History'!$B:$B,$A$51,'BA History'!Q:Q, 1)</f>
        <v>5</v>
      </c>
      <c r="Y51" s="2">
        <f>COUNTIFS('BA History'!$B:$B,$A$51,'BA History'!R:R, 1)</f>
        <v>4</v>
      </c>
      <c r="Z51" s="2">
        <f>COUNTIFS('BA History'!$B:$B,$A$51,'BA History'!S:S, 1)</f>
        <v>1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11</v>
      </c>
      <c r="AD51" s="2">
        <f>COUNTIFS('BA History'!$B:$B,$A$51,'BA History'!W:W, 1)</f>
        <v>4</v>
      </c>
      <c r="AE51" s="2">
        <f>COUNTIFS('BA History'!$B:$B,$A$51,'BA History'!X:X, 1)</f>
        <v>2</v>
      </c>
      <c r="AF51" s="2">
        <f>COUNTIFS('BA History'!$B:$B,$A$51,'BA History'!Y:Y, 1)</f>
        <v>7</v>
      </c>
      <c r="AG51" s="2">
        <f>COUNTIFS('BA History'!$B:$B,$A$51,'BA History'!Z:Z, 1)</f>
        <v>20</v>
      </c>
      <c r="AH51" s="2">
        <f>COUNTIFS('BA History'!$B:$B,$A$51,'BA History'!AA:AA, 1)</f>
        <v>2</v>
      </c>
      <c r="AI51" s="2">
        <f>COUNTIFS('BA History'!$B:$B,$A$51,'BA History'!AB:AB, 1)</f>
        <v>18</v>
      </c>
      <c r="AJ51" s="2">
        <f>COUNTIFS('BA History'!$B:$B,$A$51,'BA History'!AC:AC, 1)</f>
        <v>8</v>
      </c>
      <c r="AK51" s="2">
        <f>COUNTIFS('BA History'!$B:$B,$A$51,'BA History'!AD:AD, 1)</f>
        <v>9</v>
      </c>
      <c r="AL51" s="2">
        <f>COUNTIFS('BA History'!$B:$B,$A$51,'BA History'!AE:AE, 1)</f>
        <v>2</v>
      </c>
      <c r="AM51" s="2">
        <f>COUNTIFS('BA History'!$B:$B,$A$51,'BA History'!AF:AF, 1)</f>
        <v>10</v>
      </c>
    </row>
    <row r="52" spans="1:39" x14ac:dyDescent="0.25">
      <c r="A52" s="2" t="s">
        <v>18</v>
      </c>
      <c r="B52" s="2" t="s">
        <v>79</v>
      </c>
      <c r="C52" s="2"/>
      <c r="D52" s="2"/>
      <c r="E52" s="2"/>
      <c r="F52" s="34">
        <f>SUMIFS('BA History'!C:C,'BA History'!B:B,A52)</f>
        <v>161</v>
      </c>
      <c r="G52" s="66">
        <f>AVERAGEIFS('BA History'!C:C,'BA History'!B:B,A52)</f>
        <v>17.888888888888889</v>
      </c>
      <c r="H52" s="35">
        <f t="array" ref="H52">MAX(IF('BA History'!B:B=A52, 'BA History'!C:C))</f>
        <v>26</v>
      </c>
      <c r="I52" s="34">
        <f>COUNTIFS('BA History'!B:B,A52,'BA History'!D:D, 1)</f>
        <v>7</v>
      </c>
      <c r="J52" s="2">
        <f>COUNTIFS('BA History'!B:B,A52,'BA History'!D:D, 0)</f>
        <v>2</v>
      </c>
      <c r="K52" s="75">
        <f>LOOKUP(2, 1/('BA History'!$B:$B=A52), 'BA History'!$AJ:$AJ)</f>
        <v>0.77777777777777779</v>
      </c>
      <c r="L52" s="34">
        <f>SUMIFS('BA History'!F:F,'BA History'!B:B,A52)</f>
        <v>22</v>
      </c>
      <c r="M52" s="2">
        <f>SUMIFS('BA History'!E:E,'BA History'!B:B,A52)-L52</f>
        <v>10</v>
      </c>
      <c r="N52" s="75">
        <f>LOOKUP(2, 1/('BA History'!$B:$B=A52), 'BA History'!$AH:$AH)</f>
        <v>0.70555555555555549</v>
      </c>
      <c r="O52" s="34">
        <f>SUMIFS('BA History'!H:H,'BA History'!B:B,A52)</f>
        <v>79</v>
      </c>
      <c r="P52" s="2">
        <f>SUMIFS('BA History'!G:G,'BA History'!B:B,A52)-O52</f>
        <v>58</v>
      </c>
      <c r="Q52" s="89">
        <f>LOOKUP(2, 1/('BA History'!$B:$B=A52), 'BA History'!$AI:$AI)</f>
        <v>0.58777777777777773</v>
      </c>
      <c r="R52" s="2">
        <f>COUNTIFS('BA History'!$B:$B,$A$52,'BA History'!K:K, 1)</f>
        <v>0</v>
      </c>
      <c r="S52" s="2">
        <f>COUNTIFS('BA History'!$B:$B,$A$52,'BA History'!L:L, 1)</f>
        <v>4</v>
      </c>
      <c r="T52" s="2">
        <f>COUNTIFS('BA History'!$B:$B,$A$52,'BA History'!M:M, 1)</f>
        <v>1</v>
      </c>
      <c r="U52" s="2">
        <f>COUNTIFS('BA History'!$B:$B,$A$52,'BA History'!N:N, 1)</f>
        <v>3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1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1</v>
      </c>
      <c r="AE52" s="2">
        <f>COUNTIFS('BA History'!$B:$B,$A$52,'BA History'!X:X, 1)</f>
        <v>1</v>
      </c>
      <c r="AF52" s="2">
        <f>COUNTIFS('BA History'!$B:$B,$A$52,'BA History'!Y:Y, 1)</f>
        <v>1</v>
      </c>
      <c r="AG52" s="2">
        <f>COUNTIFS('BA History'!$B:$B,$A$52,'BA History'!Z:Z, 1)</f>
        <v>3</v>
      </c>
      <c r="AH52" s="2">
        <f>COUNTIFS('BA History'!$B:$B,$A$52,'BA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0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178</v>
      </c>
      <c r="B53" s="2" t="s">
        <v>79</v>
      </c>
      <c r="C53" s="2">
        <v>1</v>
      </c>
      <c r="D53" s="2"/>
      <c r="E53" s="2"/>
      <c r="F53" s="34">
        <f>SUMIFS('BA History'!C:C,'BA History'!B:B,A53)</f>
        <v>26</v>
      </c>
      <c r="G53" s="66">
        <f>AVERAGEIFS('BA History'!C:C,'BA History'!B:B,A53)</f>
        <v>13</v>
      </c>
      <c r="H53" s="35">
        <f t="array" ref="H53">MAX(IF('BA History'!B:B=A53, 'BA History'!C:C))</f>
        <v>16</v>
      </c>
      <c r="I53" s="34">
        <f>COUNTIFS('BA History'!B:B,A53,'BA History'!D:D, 1)</f>
        <v>0</v>
      </c>
      <c r="J53" s="2">
        <f>COUNTIFS('BA History'!B:B,A53,'BA History'!D:D, 0)</f>
        <v>2</v>
      </c>
      <c r="K53" s="75">
        <f>LOOKUP(2, 1/('BA History'!$B:$B=A53), 'BA History'!$AJ:$AJ)</f>
        <v>0</v>
      </c>
      <c r="L53" s="34">
        <f>SUMIFS('BA History'!F:F,'BA History'!B:B,A53)</f>
        <v>3</v>
      </c>
      <c r="M53" s="2">
        <f>SUMIFS('BA History'!E:E,'BA History'!B:B,A53)-L53</f>
        <v>6</v>
      </c>
      <c r="N53" s="75">
        <f>LOOKUP(2, 1/('BA History'!$B:$B=A53), 'BA History'!$AH:$AH)</f>
        <v>0.32500000000000001</v>
      </c>
      <c r="O53" s="34">
        <f>SUMIFS('BA History'!H:H,'BA History'!B:B,A53)</f>
        <v>19</v>
      </c>
      <c r="P53" s="2">
        <f>SUMIFS('BA History'!G:G,'BA History'!B:B,A53)-O53</f>
        <v>22</v>
      </c>
      <c r="Q53" s="89">
        <f>LOOKUP(2, 1/('BA History'!$B:$B=A53), 'BA History'!$AI:$AI)</f>
        <v>0.46499999999999997</v>
      </c>
      <c r="R53" s="2">
        <f>COUNTIFS('BA History'!$B:$B,$A$53,'BA History'!K:K, 1)</f>
        <v>0</v>
      </c>
      <c r="S53" s="2">
        <f>COUNTIFS('BA History'!$B:$B,$A$53,'BA History'!L:L, 1)</f>
        <v>0</v>
      </c>
      <c r="T53" s="2">
        <f>COUNTIFS('BA History'!$B:$B,$A$53,'BA History'!M:M, 1)</f>
        <v>0</v>
      </c>
      <c r="U53" s="2">
        <f>COUNTIFS('BA History'!$B:$B,$A$53,'BA History'!N:N, 1)</f>
        <v>1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0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0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1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113</v>
      </c>
      <c r="B54" s="2" t="s">
        <v>79</v>
      </c>
      <c r="C54" s="2">
        <v>1</v>
      </c>
      <c r="D54" s="2">
        <v>1</v>
      </c>
      <c r="E54" s="2"/>
      <c r="F54" s="34">
        <f>SUMIFS('BA History'!C:C,'BA History'!B:B,A54)</f>
        <v>726</v>
      </c>
      <c r="G54" s="66">
        <f>AVERAGEIFS('BA History'!C:C,'BA History'!B:B,A54)</f>
        <v>17.707317073170731</v>
      </c>
      <c r="H54" s="35">
        <f t="array" ref="H54">MAX(IF('BA History'!B:B=A54, 'BA History'!C:C))</f>
        <v>36</v>
      </c>
      <c r="I54" s="34">
        <f>COUNTIFS('BA History'!B:B,A54,'BA History'!D:D, 1)</f>
        <v>21</v>
      </c>
      <c r="J54" s="2">
        <f>COUNTIFS('BA History'!B:B,A54,'BA History'!D:D, 0)</f>
        <v>20</v>
      </c>
      <c r="K54" s="75">
        <f>LOOKUP(2, 1/('BA History'!$B:$B=A54), 'BA History'!$AJ:$AJ)</f>
        <v>0.51219512195121952</v>
      </c>
      <c r="L54" s="34">
        <f>SUMIFS('BA History'!F:F,'BA History'!B:B,A54)</f>
        <v>86</v>
      </c>
      <c r="M54" s="2">
        <f>SUMIFS('BA History'!E:E,'BA History'!B:B,A54)-L54</f>
        <v>75</v>
      </c>
      <c r="N54" s="75">
        <f>LOOKUP(2, 1/('BA History'!$B:$B=A54), 'BA History'!$AH:$AH)</f>
        <v>0.54878048780487798</v>
      </c>
      <c r="O54" s="34">
        <f>SUMIFS('BA History'!H:H,'BA History'!B:B,A54)</f>
        <v>338</v>
      </c>
      <c r="P54" s="2">
        <f>SUMIFS('BA History'!G:G,'BA History'!B:B,A54)-O54</f>
        <v>320</v>
      </c>
      <c r="Q54" s="89">
        <f>LOOKUP(2, 1/('BA History'!$B:$B=A54), 'BA History'!$AI:$AI)</f>
        <v>0.52243902439024403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11</v>
      </c>
      <c r="U54" s="2">
        <f>COUNTIFS('BA History'!$B:$B,$A$54,'BA History'!N:N, 1)</f>
        <v>8</v>
      </c>
      <c r="V54" s="2">
        <f>COUNTIFS('BA History'!$B:$B,$A$54,'BA History'!O:O, 1)</f>
        <v>2</v>
      </c>
      <c r="W54" s="2">
        <f>COUNTIFS('BA History'!$B:$B,$A$54,'BA History'!P:P, 1)</f>
        <v>1</v>
      </c>
      <c r="X54" s="2">
        <f>COUNTIFS('BA History'!$B:$B,$A$54,'BA History'!Q:Q, 1)</f>
        <v>3</v>
      </c>
      <c r="Y54" s="2">
        <f>COUNTIFS('BA History'!$B:$B,$A$54,'BA History'!R:R, 1)</f>
        <v>2</v>
      </c>
      <c r="Z54" s="2">
        <f>COUNTIFS('BA History'!$B:$B,$A$54,'BA History'!S:S, 1)</f>
        <v>1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5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9</v>
      </c>
      <c r="AH54" s="2">
        <f>COUNTIFS('BA History'!$B:$B,$A$54,'BA History'!AA:AA, 1)</f>
        <v>0</v>
      </c>
      <c r="AI54" s="2">
        <f>COUNTIFS('BA History'!$B:$B,$A$54,'BA History'!AB:AB, 1)</f>
        <v>12</v>
      </c>
      <c r="AJ54" s="2">
        <f>COUNTIFS('BA History'!$B:$B,$A$54,'BA History'!AC:AC, 1)</f>
        <v>8</v>
      </c>
      <c r="AK54" s="2">
        <f>COUNTIFS('BA History'!$B:$B,$A$54,'BA History'!AD:AD, 1)</f>
        <v>2</v>
      </c>
      <c r="AL54" s="2">
        <f>COUNTIFS('BA History'!$B:$B,$A$54,'BA History'!AE:AE, 1)</f>
        <v>0</v>
      </c>
      <c r="AM54" s="2">
        <f>COUNTIFS('BA History'!$B:$B,$A$54,'BA History'!AF:AF, 1)</f>
        <v>4</v>
      </c>
    </row>
    <row r="55" spans="1:39" x14ac:dyDescent="0.25">
      <c r="A55" s="2" t="s">
        <v>14</v>
      </c>
      <c r="B55" s="2" t="s">
        <v>79</v>
      </c>
      <c r="C55" s="2">
        <v>1</v>
      </c>
      <c r="D55" s="2"/>
      <c r="E55" s="2"/>
      <c r="F55" s="34">
        <f>SUMIFS('BA History'!C:C,'BA History'!B:B,A55)</f>
        <v>352</v>
      </c>
      <c r="G55" s="66">
        <f>AVERAGEIFS('BA History'!C:C,'BA History'!B:B,A55)</f>
        <v>16.761904761904763</v>
      </c>
      <c r="H55" s="35">
        <f t="array" ref="H55">MAX(IF('BA History'!B:B=A55, 'BA History'!C:C))</f>
        <v>30</v>
      </c>
      <c r="I55" s="34">
        <f>COUNTIFS('BA History'!B:B,A55,'BA History'!D:D, 1)</f>
        <v>10</v>
      </c>
      <c r="J55" s="2">
        <f>COUNTIFS('BA History'!B:B,A55,'BA History'!D:D, 0)</f>
        <v>11</v>
      </c>
      <c r="K55" s="75">
        <f>LOOKUP(2, 1/('BA History'!$B:$B=A55), 'BA History'!$AJ:$AJ)</f>
        <v>0.47619047619047616</v>
      </c>
      <c r="L55" s="34">
        <f>SUMIFS('BA History'!F:F,'BA History'!B:B,A55)</f>
        <v>41</v>
      </c>
      <c r="M55" s="2">
        <f>SUMIFS('BA History'!E:E,'BA History'!B:B,A55)-L55</f>
        <v>45</v>
      </c>
      <c r="N55" s="75">
        <f>LOOKUP(2, 1/('BA History'!$B:$B=A55), 'BA History'!$AH:$AH)</f>
        <v>0.48190476190476189</v>
      </c>
      <c r="O55" s="34">
        <f>SUMIFS('BA History'!H:H,'BA History'!B:B,A55)</f>
        <v>176</v>
      </c>
      <c r="P55" s="2">
        <f>SUMIFS('BA History'!G:G,'BA History'!B:B,A55)-O55</f>
        <v>177</v>
      </c>
      <c r="Q55" s="89">
        <f>LOOKUP(2, 1/('BA History'!$B:$B=A55), 'BA History'!$AI:$AI)</f>
        <v>0.49666666666666665</v>
      </c>
      <c r="R55" s="2">
        <f>COUNTIFS('BA History'!$B:$B,$A$55,'BA History'!K:K, 1)</f>
        <v>1</v>
      </c>
      <c r="S55" s="2">
        <f>COUNTIFS('BA History'!$B:$B,$A$55,'BA History'!L:L, 1)</f>
        <v>3</v>
      </c>
      <c r="T55" s="2">
        <f>COUNTIFS('BA History'!$B:$B,$A$55,'BA History'!M:M, 1)</f>
        <v>0</v>
      </c>
      <c r="U55" s="2">
        <f>COUNTIFS('BA History'!$B:$B,$A$55,'BA History'!N:N, 1)</f>
        <v>2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3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1</v>
      </c>
      <c r="AB55" s="2">
        <f>COUNTIFS('BA History'!$B:$B,$A$55,'BA History'!U:U, 1)</f>
        <v>1</v>
      </c>
      <c r="AC55" s="2">
        <f>COUNTIFS('BA History'!$B:$B,$A$55,'BA History'!V:V, 1)</f>
        <v>2</v>
      </c>
      <c r="AD55" s="2">
        <f>COUNTIFS('BA History'!$B:$B,$A$55,'BA History'!W:W, 1)</f>
        <v>2</v>
      </c>
      <c r="AE55" s="2">
        <f>COUNTIFS('BA History'!$B:$B,$A$55,'BA History'!X:X, 1)</f>
        <v>1</v>
      </c>
      <c r="AF55" s="2">
        <f>COUNTIFS('BA History'!$B:$B,$A$55,'BA History'!Y:Y, 1)</f>
        <v>5</v>
      </c>
      <c r="AG55" s="2">
        <f>COUNTIFS('BA History'!$B:$B,$A$55,'BA History'!Z:Z, 1)</f>
        <v>6</v>
      </c>
      <c r="AH55" s="2">
        <f>COUNTIFS('BA History'!$B:$B,$A$55,'BA History'!AA:AA, 1)</f>
        <v>1</v>
      </c>
      <c r="AI55" s="2">
        <f>COUNTIFS('BA History'!$B:$B,$A$55,'BA History'!AB:AB, 1)</f>
        <v>8</v>
      </c>
      <c r="AJ55" s="2">
        <f>COUNTIFS('BA History'!$B:$B,$A$55,'BA History'!AC:AC, 1)</f>
        <v>4</v>
      </c>
      <c r="AK55" s="2">
        <f>COUNTIFS('BA History'!$B:$B,$A$55,'BA History'!AD:AD, 1)</f>
        <v>0</v>
      </c>
      <c r="AL55" s="2">
        <f>COUNTIFS('BA History'!$B:$B,$A$55,'BA History'!AE:AE, 1)</f>
        <v>0</v>
      </c>
      <c r="AM55" s="2">
        <f>COUNTIFS('BA History'!$B:$B,$A$55,'BA History'!AF:AF, 1)</f>
        <v>0</v>
      </c>
    </row>
    <row r="56" spans="1:39" x14ac:dyDescent="0.25">
      <c r="A56" s="2" t="s">
        <v>70</v>
      </c>
      <c r="B56" s="2" t="s">
        <v>79</v>
      </c>
      <c r="C56" s="2"/>
      <c r="D56" s="2"/>
      <c r="E56" s="2"/>
      <c r="F56" s="34">
        <f>SUMIFS('BA History'!C:C,'BA History'!B:B,A56)</f>
        <v>89</v>
      </c>
      <c r="G56" s="66">
        <f>AVERAGEIFS('BA History'!C:C,'BA History'!B:B,A56)</f>
        <v>11.125</v>
      </c>
      <c r="H56" s="35">
        <f t="array" ref="H56">MAX(IF('BA History'!B:B=A56, 'BA History'!C:C))</f>
        <v>19</v>
      </c>
      <c r="I56" s="34">
        <f>COUNTIFS('BA History'!B:B,A56,'BA History'!D:D, 1)</f>
        <v>5</v>
      </c>
      <c r="J56" s="2">
        <f>COUNTIFS('BA History'!B:B,A56,'BA History'!D:D, 0)</f>
        <v>3</v>
      </c>
      <c r="K56" s="75">
        <f>LOOKUP(2, 1/('BA History'!$B:$B=A56), 'BA History'!$AJ:$AJ)</f>
        <v>0.625</v>
      </c>
      <c r="L56" s="34">
        <f>SUMIFS('BA History'!F:F,'BA History'!B:B,A56)</f>
        <v>17</v>
      </c>
      <c r="M56" s="2">
        <f>SUMIFS('BA History'!E:E,'BA History'!B:B,A56)-L56</f>
        <v>16</v>
      </c>
      <c r="N56" s="75">
        <f>LOOKUP(2, 1/('BA History'!$B:$B=A56), 'BA History'!$AH:$AH)</f>
        <v>0.50625000000000009</v>
      </c>
      <c r="O56" s="34">
        <f>SUMIFS('BA History'!H:H,'BA History'!B:B,A56)</f>
        <v>70</v>
      </c>
      <c r="P56" s="2">
        <f>SUMIFS('BA History'!G:G,'BA History'!B:B,A56)-O56</f>
        <v>68</v>
      </c>
      <c r="Q56" s="89">
        <f>LOOKUP(2, 1/('BA History'!$B:$B=A56), 'BA History'!$AI:$AI)</f>
        <v>0.50624999999999998</v>
      </c>
      <c r="R56" s="2">
        <f>COUNTIFS('BA History'!$B:$B,$A$56,'BA History'!K:K, 1)</f>
        <v>1</v>
      </c>
      <c r="S56" s="2">
        <f>COUNTIFS('BA History'!$B:$B,$A$56,'BA History'!L:L, 1)</f>
        <v>1</v>
      </c>
      <c r="T56" s="2">
        <f>COUNTIFS('BA History'!$B:$B,$A$56,'BA History'!M:M, 1)</f>
        <v>2</v>
      </c>
      <c r="U56" s="2">
        <f>COUNTIFS('BA History'!$B:$B,$A$56,'BA History'!N:N, 1)</f>
        <v>4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1</v>
      </c>
      <c r="AD56" s="2">
        <f>COUNTIFS('BA History'!$B:$B,$A$56,'BA History'!W:W, 1)</f>
        <v>1</v>
      </c>
      <c r="AE56" s="2">
        <f>COUNTIFS('BA History'!$B:$B,$A$56,'BA History'!X:X, 1)</f>
        <v>0</v>
      </c>
      <c r="AF56" s="2">
        <f>COUNTIFS('BA History'!$B:$B,$A$56,'BA History'!Y:Y, 1)</f>
        <v>1</v>
      </c>
      <c r="AG56" s="2">
        <f>COUNTIFS('BA History'!$B:$B,$A$56,'BA History'!Z:Z, 1)</f>
        <v>0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3</v>
      </c>
      <c r="AL56" s="2">
        <f>COUNTIFS('BA History'!$B:$B,$A$56,'BA History'!AE:AE, 1)</f>
        <v>0</v>
      </c>
      <c r="AM56" s="2">
        <f>COUNTIFS('BA History'!$B:$B,$A$56,'BA History'!AF:AF, 1)</f>
        <v>2</v>
      </c>
    </row>
    <row r="57" spans="1:39" x14ac:dyDescent="0.25">
      <c r="A57" s="2" t="s">
        <v>4</v>
      </c>
      <c r="B57" s="1" t="s">
        <v>158</v>
      </c>
      <c r="C57" s="1">
        <v>1</v>
      </c>
      <c r="D57" s="1">
        <v>1</v>
      </c>
      <c r="E57" s="1"/>
      <c r="F57" s="34">
        <f>SUMIFS('BA History'!C:C,'BA History'!B:B,A57)</f>
        <v>893</v>
      </c>
      <c r="G57" s="66">
        <f>AVERAGEIFS('BA History'!C:C,'BA History'!B:B,A57)</f>
        <v>24.805555555555557</v>
      </c>
      <c r="H57" s="35">
        <f t="array" ref="H57">MAX(IF('BA History'!B:B=A57, 'BA History'!C:C))</f>
        <v>41</v>
      </c>
      <c r="I57" s="34">
        <f>COUNTIFS('BA History'!B:B,A57,'BA History'!D:D, 1)</f>
        <v>13</v>
      </c>
      <c r="J57" s="2">
        <f>COUNTIFS('BA History'!B:B,A57,'BA History'!D:D, 0)</f>
        <v>23</v>
      </c>
      <c r="K57" s="75">
        <f>LOOKUP(2, 1/('BA History'!$B:$B=A57), 'BA History'!$AJ:$AJ)</f>
        <v>0.3611111111111111</v>
      </c>
      <c r="L57" s="34">
        <f>SUMIFS('BA History'!F:F,'BA History'!B:B,A57)</f>
        <v>66</v>
      </c>
      <c r="M57" s="2">
        <f>SUMIFS('BA History'!E:E,'BA History'!B:B,A57)-L57</f>
        <v>82</v>
      </c>
      <c r="N57" s="75">
        <f>LOOKUP(2, 1/('BA History'!$B:$B=A57), 'BA History'!$AH:$AH)</f>
        <v>0.44999999999999996</v>
      </c>
      <c r="O57" s="34">
        <f>SUMIFS('BA History'!H:H,'BA History'!B:B,A57)</f>
        <v>288</v>
      </c>
      <c r="P57" s="2">
        <f>SUMIFS('BA History'!G:G,'BA History'!B:B,A57)-O57</f>
        <v>326</v>
      </c>
      <c r="Q57" s="89">
        <f>LOOKUP(2, 1/('BA History'!$B:$B=A57), 'BA History'!$AI:$AI)</f>
        <v>0.46527777777777779</v>
      </c>
      <c r="R57" s="2">
        <f>COUNTIFS('BA History'!$B:$B,$A$57,'BA History'!K:K, 1)</f>
        <v>3</v>
      </c>
      <c r="S57" s="2">
        <f>COUNTIFS('BA History'!$B:$B,$A$57,'BA History'!L:L, 1)</f>
        <v>7</v>
      </c>
      <c r="T57" s="2">
        <f>COUNTIFS('BA History'!$B:$B,$A$57,'BA History'!M:M, 1)</f>
        <v>6</v>
      </c>
      <c r="U57" s="2">
        <f>COUNTIFS('BA History'!$B:$B,$A$57,'BA History'!N:N, 1)</f>
        <v>8</v>
      </c>
      <c r="V57" s="2">
        <f>COUNTIFS('BA History'!$B:$B,$A$57,'BA History'!O:O, 1)</f>
        <v>1</v>
      </c>
      <c r="W57" s="2">
        <f>COUNTIFS('BA History'!$B:$B,$A$57,'BA History'!P:P, 1)</f>
        <v>0</v>
      </c>
      <c r="X57" s="2">
        <f>COUNTIFS('BA History'!$B:$B,$A$57,'BA History'!Q:Q, 1)</f>
        <v>1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2</v>
      </c>
      <c r="AC57" s="2">
        <f>COUNTIFS('BA History'!$B:$B,$A$57,'BA History'!V:V, 1)</f>
        <v>2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9</v>
      </c>
      <c r="AG57" s="2">
        <f>COUNTIFS('BA History'!$B:$B,$A$57,'BA History'!Z:Z, 1)</f>
        <v>3</v>
      </c>
      <c r="AH57" s="2">
        <f>COUNTIFS('BA History'!$B:$B,$A$57,'BA History'!AA:AA, 1)</f>
        <v>0</v>
      </c>
      <c r="AI57" s="2">
        <f>COUNTIFS('BA History'!$B:$B,$A$57,'BA History'!AB:AB, 1)</f>
        <v>9</v>
      </c>
      <c r="AJ57" s="2">
        <f>COUNTIFS('BA History'!$B:$B,$A$57,'BA History'!AC:AC, 1)</f>
        <v>7</v>
      </c>
      <c r="AK57" s="2">
        <f>COUNTIFS('BA History'!$B:$B,$A$57,'BA History'!AD:AD, 1)</f>
        <v>5</v>
      </c>
      <c r="AL57" s="2">
        <f>COUNTIFS('BA History'!$B:$B,$A$57,'BA History'!AE:AE, 1)</f>
        <v>1</v>
      </c>
      <c r="AM57" s="2">
        <f>COUNTIFS('BA History'!$B:$B,$A$57,'BA History'!AF:AF, 1)</f>
        <v>1</v>
      </c>
    </row>
    <row r="58" spans="1:39" x14ac:dyDescent="0.25">
      <c r="A58" s="1" t="s">
        <v>107</v>
      </c>
      <c r="B58" s="2" t="s">
        <v>79</v>
      </c>
      <c r="C58" s="2"/>
      <c r="D58" s="2"/>
      <c r="E58" s="2"/>
      <c r="F58" s="34">
        <f>SUMIFS('BA History'!C:C,'BA History'!B:B,A58)</f>
        <v>706</v>
      </c>
      <c r="G58" s="66">
        <f>AVERAGEIFS('BA History'!C:C,'BA History'!B:B,A58)</f>
        <v>16.045454545454547</v>
      </c>
      <c r="H58" s="35">
        <f t="array" ref="H58">MAX(IF('BA History'!B:B=A58, 'BA History'!C:C))</f>
        <v>35</v>
      </c>
      <c r="I58" s="34">
        <f>COUNTIFS('BA History'!B:B,A58,'BA History'!D:D, 1)</f>
        <v>25</v>
      </c>
      <c r="J58" s="2">
        <f>COUNTIFS('BA History'!B:B,A58,'BA History'!D:D, 0)</f>
        <v>19</v>
      </c>
      <c r="K58" s="75">
        <f>LOOKUP(2, 1/('BA History'!$B:$B=A58), 'BA History'!$AJ:$AJ)</f>
        <v>0.56818181818181823</v>
      </c>
      <c r="L58" s="34">
        <f>SUMIFS('BA History'!F:F,'BA History'!B:B,A58)</f>
        <v>92</v>
      </c>
      <c r="M58" s="2">
        <f>SUMIFS('BA History'!E:E,'BA History'!B:B,A58)-L58</f>
        <v>85</v>
      </c>
      <c r="N58" s="75">
        <f>LOOKUP(2, 1/('BA History'!$B:$B=A58), 'BA History'!$AH:$AH)</f>
        <v>0.51022727272727275</v>
      </c>
      <c r="O58" s="34">
        <f>SUMIFS('BA History'!H:H,'BA History'!B:B,A58)</f>
        <v>381</v>
      </c>
      <c r="P58" s="2">
        <f>SUMIFS('BA History'!G:G,'BA History'!B:B,A58)-O58</f>
        <v>352</v>
      </c>
      <c r="Q58" s="89">
        <f>LOOKUP(2, 1/('BA History'!$B:$B=A58), 'BA History'!$AI:$AI)</f>
        <v>0.51545454545454539</v>
      </c>
      <c r="R58" s="2">
        <f>COUNTIFS('BA History'!$B:$B,$A$58,'BA History'!K:K, 1)</f>
        <v>5</v>
      </c>
      <c r="S58" s="2">
        <f>COUNTIFS('BA History'!$B:$B,$A$58,'BA History'!L:L, 1)</f>
        <v>3</v>
      </c>
      <c r="T58" s="2">
        <f>COUNTIFS('BA History'!$B:$B,$A$58,'BA History'!M:M, 1)</f>
        <v>12</v>
      </c>
      <c r="U58" s="2">
        <f>COUNTIFS('BA History'!$B:$B,$A$58,'BA History'!N:N, 1)</f>
        <v>12</v>
      </c>
      <c r="V58" s="2">
        <f>COUNTIFS('BA History'!$B:$B,$A$58,'BA History'!O:O, 1)</f>
        <v>2</v>
      </c>
      <c r="W58" s="2">
        <f>COUNTIFS('BA History'!$B:$B,$A$58,'BA History'!P:P, 1)</f>
        <v>1</v>
      </c>
      <c r="X58" s="2">
        <f>COUNTIFS('BA History'!$B:$B,$A$58,'BA History'!Q:Q, 1)</f>
        <v>2</v>
      </c>
      <c r="Y58" s="2">
        <f>COUNTIFS('BA History'!$B:$B,$A$58,'BA History'!R:R, 1)</f>
        <v>2</v>
      </c>
      <c r="Z58" s="2">
        <f>COUNTIFS('BA History'!$B:$B,$A$58,'BA History'!S:S, 1)</f>
        <v>1</v>
      </c>
      <c r="AA58" s="2">
        <f>COUNTIFS('BA History'!$B:$B,$A$58,'BA History'!T:T, 1)</f>
        <v>0</v>
      </c>
      <c r="AB58" s="2">
        <f>COUNTIFS('BA History'!$B:$B,$A$58,'BA History'!U:U, 1)</f>
        <v>1</v>
      </c>
      <c r="AC58" s="2">
        <f>COUNTIFS('BA History'!$B:$B,$A$58,'BA History'!V:V, 1)</f>
        <v>3</v>
      </c>
      <c r="AD58" s="2">
        <f>COUNTIFS('BA History'!$B:$B,$A$58,'BA History'!W:W, 1)</f>
        <v>2</v>
      </c>
      <c r="AE58" s="2">
        <f>COUNTIFS('BA History'!$B:$B,$A$58,'BA History'!X:X, 1)</f>
        <v>0</v>
      </c>
      <c r="AF58" s="2">
        <f>COUNTIFS('BA History'!$B:$B,$A$58,'BA History'!Y:Y, 1)</f>
        <v>7</v>
      </c>
      <c r="AG58" s="2">
        <f>COUNTIFS('BA History'!$B:$B,$A$58,'BA History'!Z:Z, 1)</f>
        <v>10</v>
      </c>
      <c r="AH58" s="2">
        <f>COUNTIFS('BA History'!$B:$B,$A$58,'BA History'!AA:AA, 1)</f>
        <v>1</v>
      </c>
      <c r="AI58" s="2">
        <f>COUNTIFS('BA History'!$B:$B,$A$58,'BA History'!AB:AB, 1)</f>
        <v>8</v>
      </c>
      <c r="AJ58" s="2">
        <f>COUNTIFS('BA History'!$B:$B,$A$58,'BA History'!AC:AC, 1)</f>
        <v>5</v>
      </c>
      <c r="AK58" s="2">
        <f>COUNTIFS('BA History'!$B:$B,$A$58,'BA History'!AD:AD, 1)</f>
        <v>9</v>
      </c>
      <c r="AL58" s="2">
        <f>COUNTIFS('BA History'!$B:$B,$A$58,'BA History'!AE:AE, 1)</f>
        <v>0</v>
      </c>
      <c r="AM58" s="2">
        <f>COUNTIFS('BA History'!$B:$B,$A$58,'BA History'!AF:AF, 1)</f>
        <v>6</v>
      </c>
    </row>
    <row r="59" spans="1:39" x14ac:dyDescent="0.25">
      <c r="A59" s="2" t="s">
        <v>94</v>
      </c>
      <c r="B59" s="2" t="s">
        <v>79</v>
      </c>
      <c r="C59" s="2"/>
      <c r="D59" s="2"/>
      <c r="E59" s="2"/>
      <c r="F59" s="34">
        <f>SUMIFS('BA History'!C:C,'BA History'!B:B,A59)</f>
        <v>18</v>
      </c>
      <c r="G59" s="66">
        <f>AVERAGEIFS('BA History'!C:C,'BA History'!B:B,A59)</f>
        <v>18</v>
      </c>
      <c r="H59" s="35">
        <f t="array" ref="H59">MAX(IF('BA History'!B:B=A59, 'BA History'!C:C))</f>
        <v>18</v>
      </c>
      <c r="I59" s="34">
        <f>COUNTIFS('BA History'!B:B,A59,'BA History'!D:D, 1)</f>
        <v>1</v>
      </c>
      <c r="J59" s="2">
        <f>COUNTIFS('BA History'!B:B,A59,'BA History'!D:D, 0)</f>
        <v>0</v>
      </c>
      <c r="K59" s="75">
        <f>LOOKUP(2, 1/('BA History'!$B:$B=A59), 'BA History'!$AJ:$AJ)</f>
        <v>1</v>
      </c>
      <c r="L59" s="34">
        <f>SUMIFS('BA History'!F:F,'BA History'!B:B,A59)</f>
        <v>3</v>
      </c>
      <c r="M59" s="2">
        <f>SUMIFS('BA History'!E:E,'BA History'!B:B,A59)-L59</f>
        <v>2</v>
      </c>
      <c r="N59" s="75">
        <f>LOOKUP(2, 1/('BA History'!$B:$B=A59), 'BA History'!$AH:$AH)</f>
        <v>0.6</v>
      </c>
      <c r="O59" s="34">
        <f>SUMIFS('BA History'!H:H,'BA History'!B:B,A59)</f>
        <v>11</v>
      </c>
      <c r="P59" s="2">
        <f>SUMIFS('BA History'!G:G,'BA History'!B:B,A59)-O59</f>
        <v>10</v>
      </c>
      <c r="Q59" s="89">
        <f>LOOKUP(2, 1/('BA History'!$B:$B=A59), 'BA History'!$AI:$AI)</f>
        <v>0.52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1</v>
      </c>
      <c r="AE59" s="2">
        <f>COUNTIFS('BA History'!$B:$B,$A$59,'BA History'!X:X, 1)</f>
        <v>1</v>
      </c>
      <c r="AF59" s="2">
        <f>COUNTIFS('BA History'!$B:$B,$A$59,'BA History'!Y:Y, 1)</f>
        <v>0</v>
      </c>
      <c r="AG59" s="2">
        <f>COUNTIFS('BA History'!$B:$B,$A$59,'BA History'!Z:Z, 1)</f>
        <v>1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  <row r="60" spans="1:39" ht="15.75" thickBot="1" x14ac:dyDescent="0.3">
      <c r="A60" s="2" t="s">
        <v>55</v>
      </c>
      <c r="B60" s="2" t="s">
        <v>79</v>
      </c>
      <c r="C60" s="2"/>
      <c r="D60" s="2"/>
      <c r="E60" s="2"/>
      <c r="F60" s="34">
        <f>SUMIFS('BA History'!C:C,'BA History'!B:B,A60)</f>
        <v>2</v>
      </c>
      <c r="G60" s="66">
        <f>AVERAGEIFS('BA History'!C:C,'BA History'!B:B,A60)</f>
        <v>2</v>
      </c>
      <c r="H60" s="35">
        <f t="array" ref="H60">MAX(IF('BA History'!B:B=A60, 'BA History'!C:C))</f>
        <v>2</v>
      </c>
      <c r="I60" s="34">
        <f>COUNTIFS('BA History'!B:B,A60,'BA History'!D:D, 1)</f>
        <v>0</v>
      </c>
      <c r="J60" s="2">
        <f>COUNTIFS('BA History'!B:B,A60,'BA History'!D:D, 0)</f>
        <v>1</v>
      </c>
      <c r="K60" s="75">
        <f>LOOKUP(2, 1/('BA History'!$B:$B=A60), 'BA History'!$AJ:$AJ)</f>
        <v>0</v>
      </c>
      <c r="L60" s="34">
        <f>SUMIFS('BA History'!F:F,'BA History'!B:B,A60)</f>
        <v>0</v>
      </c>
      <c r="M60" s="2">
        <f>SUMIFS('BA History'!E:E,'BA History'!B:B,A60)-L60</f>
        <v>3</v>
      </c>
      <c r="N60" s="75">
        <f>LOOKUP(2, 1/('BA History'!$B:$B=A60), 'BA History'!$AH:$AH)</f>
        <v>0</v>
      </c>
      <c r="O60" s="34">
        <f>SUMIFS('BA History'!H:H,'BA History'!B:B,A60)</f>
        <v>4</v>
      </c>
      <c r="P60" s="48">
        <v>9</v>
      </c>
      <c r="Q60" s="89">
        <f>LOOKUP(2, 1/('BA History'!$B:$B=A60), 'BA History'!$AI:$AI)</f>
        <v>0.31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0</v>
      </c>
      <c r="AE60" s="2">
        <f>COUNTIFS('BA History'!$B:$B,$A$60,'BA History'!X:X, 1)</f>
        <v>0</v>
      </c>
      <c r="AF60" s="2">
        <f>COUNTIFS('BA History'!$B:$B,$A$60,'BA History'!Y:Y, 1)</f>
        <v>0</v>
      </c>
      <c r="AG60" s="2">
        <f>COUNTIFS('BA History'!$B:$B,$A$60,'BA History'!Z:Z, 1)</f>
        <v>0</v>
      </c>
      <c r="AH60" s="2">
        <f>COUNTIFS('BA History'!$B:$B,$A$60,'BA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</row>
  </sheetData>
  <autoFilter ref="A1:AM60" xr:uid="{DA548192-1F03-46EA-8AB8-115EB9A7CE5D}">
    <sortState xmlns:xlrd2="http://schemas.microsoft.com/office/spreadsheetml/2017/richdata2" ref="A2:AM60">
      <sortCondition ref="A1:A60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43"/>
  <sheetViews>
    <sheetView workbookViewId="0">
      <pane xSplit="2" ySplit="1" topLeftCell="L1013" activePane="bottomRight" state="frozen"/>
      <selection pane="topRight" activeCell="C1" sqref="C1"/>
      <selection pane="bottomLeft" activeCell="A2" sqref="A2"/>
      <selection pane="bottomRight" activeCell="A1032" sqref="A1032:AF104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  <row r="1004" spans="1:36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0</v>
      </c>
      <c r="AD1004">
        <v>0</v>
      </c>
      <c r="AE1004">
        <v>0</v>
      </c>
      <c r="AF1004">
        <v>1</v>
      </c>
      <c r="AG1004" s="86">
        <f>AVERAGEIFS($C$2:C1004, $B$2:B1004, B1004)</f>
        <v>19.923076923076923</v>
      </c>
      <c r="AH1004" s="86">
        <f>AVERAGEIFS($I$2:I1004, $B$2:B1004, B1004)</f>
        <v>0.53641025641025641</v>
      </c>
      <c r="AI1004" s="86">
        <f>AVERAGEIFS($J$2:J1004, $B$2:B1004, B1004)</f>
        <v>0.49871794871794878</v>
      </c>
      <c r="AJ1004" s="86">
        <f>AVERAGEIFS($D$2:D1004, $B$2:B1004, B1004)</f>
        <v>0.5641025641025641</v>
      </c>
    </row>
    <row r="1005" spans="1:36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1</v>
      </c>
      <c r="AC1005">
        <v>0</v>
      </c>
      <c r="AD1005">
        <v>0</v>
      </c>
      <c r="AE1005">
        <v>0</v>
      </c>
      <c r="AF1005">
        <v>1</v>
      </c>
      <c r="AG1005" s="86">
        <f>AVERAGEIFS($C$2:C1005, $B$2:B1005, B1005)</f>
        <v>17.88095238095238</v>
      </c>
      <c r="AH1005" s="86">
        <f>AVERAGEIFS($I$2:I1005, $B$2:B1005, B1005)</f>
        <v>0.50547619047619052</v>
      </c>
      <c r="AI1005" s="86">
        <f>AVERAGEIFS($J$2:J1005, $B$2:B1005, B1005)</f>
        <v>0.51380952380952372</v>
      </c>
      <c r="AJ1005" s="86">
        <f>AVERAGEIFS($D$2:D1005, $B$2:B1005, B1005)</f>
        <v>0.5</v>
      </c>
    </row>
    <row r="1006" spans="1:36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1</v>
      </c>
      <c r="AC1006">
        <v>0</v>
      </c>
      <c r="AD1006">
        <v>0</v>
      </c>
      <c r="AE1006">
        <v>0</v>
      </c>
      <c r="AF1006">
        <v>1</v>
      </c>
      <c r="AG1006" s="86">
        <f>AVERAGEIFS($C$2:C1006, $B$2:B1006, B1006)</f>
        <v>23.706896551724139</v>
      </c>
      <c r="AH1006" s="86">
        <f>AVERAGEIFS($I$2:I1006, $B$2:B1006, B1006)</f>
        <v>0.53482758620689663</v>
      </c>
      <c r="AI1006" s="86">
        <f>AVERAGEIFS($J$2:J1006, $B$2:B1006, B1006)</f>
        <v>0.51344827586206887</v>
      </c>
      <c r="AJ1006" s="86">
        <f>AVERAGEIFS($D$2:D1006, $B$2:B1006, B1006)</f>
        <v>0.55172413793103448</v>
      </c>
    </row>
    <row r="1007" spans="1:36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 s="86">
        <f>AVERAGEIFS($C$2:C1007, $B$2:B1007, B1007)</f>
        <v>19.741935483870968</v>
      </c>
      <c r="AH1007" s="86">
        <f>AVERAGEIFS($I$2:I1007, $B$2:B1007, B1007)</f>
        <v>0.61193548387096774</v>
      </c>
      <c r="AI1007" s="86">
        <f>AVERAGEIFS($J$2:J1007, $B$2:B1007, B1007)</f>
        <v>0.55322580645161312</v>
      </c>
      <c r="AJ1007" s="86">
        <f>AVERAGEIFS($D$2:D1007, $B$2:B1007, B1007)</f>
        <v>0.70967741935483875</v>
      </c>
    </row>
    <row r="1008" spans="1:36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1</v>
      </c>
      <c r="AC1008">
        <v>0</v>
      </c>
      <c r="AD1008">
        <v>0</v>
      </c>
      <c r="AE1008">
        <v>0</v>
      </c>
      <c r="AF1008">
        <v>1</v>
      </c>
      <c r="AG1008" s="86">
        <f>AVERAGEIFS($C$2:C1008, $B$2:B1008, B1008)</f>
        <v>9.4444444444444446</v>
      </c>
      <c r="AH1008" s="86">
        <f>AVERAGEIFS($I$2:I1008, $B$2:B1008, B1008)</f>
        <v>0.58888888888888891</v>
      </c>
      <c r="AI1008" s="86">
        <f>AVERAGEIFS($J$2:J1008, $B$2:B1008, B1008)</f>
        <v>0.53111111111111109</v>
      </c>
      <c r="AJ1008" s="86">
        <f>AVERAGEIFS($D$2:D1008, $B$2:B1008, B1008)</f>
        <v>0.55555555555555558</v>
      </c>
    </row>
    <row r="1009" spans="1:36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0</v>
      </c>
      <c r="AF1009">
        <v>1</v>
      </c>
      <c r="AG1009" s="86">
        <f>AVERAGEIFS($C$2:C1009, $B$2:B1009, B1009)</f>
        <v>11</v>
      </c>
      <c r="AH1009" s="86">
        <f>AVERAGEIFS($I$2:I1009, $B$2:B1009, B1009)</f>
        <v>0.75</v>
      </c>
      <c r="AI1009" s="86">
        <f>AVERAGEIFS($J$2:J1009, $B$2:B1009, B1009)</f>
        <v>0.67</v>
      </c>
      <c r="AJ1009" s="86">
        <f>AVERAGEIFS($D$2:D1009, $B$2:B1009, B1009)</f>
        <v>1</v>
      </c>
    </row>
    <row r="1010" spans="1:36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 s="86">
        <f>AVERAGEIFS($C$2:C1010, $B$2:B1010, B1010)</f>
        <v>14.071428571428571</v>
      </c>
      <c r="AH1010" s="86">
        <f>AVERAGEIFS($I$2:I1010, $B$2:B1010, B1010)</f>
        <v>0.46785714285714286</v>
      </c>
      <c r="AI1010" s="86">
        <f>AVERAGEIFS($J$2:J1010, $B$2:B1010, B1010)</f>
        <v>0.49857142857142867</v>
      </c>
      <c r="AJ1010" s="86">
        <f>AVERAGEIFS($D$2:D1010, $B$2:B1010, B1010)</f>
        <v>0.5714285714285714</v>
      </c>
    </row>
    <row r="1011" spans="1:36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 s="86">
        <f>AVERAGEIFS($C$2:C1011, $B$2:B1011, B1011)</f>
        <v>12.724137931034482</v>
      </c>
      <c r="AH1011" s="86">
        <f>AVERAGEIFS($I$2:I1011, $B$2:B1011, B1011)</f>
        <v>0.53448275862068961</v>
      </c>
      <c r="AI1011" s="86">
        <f>AVERAGEIFS($J$2:J1011, $B$2:B1011, B1011)</f>
        <v>0.52448275862068972</v>
      </c>
      <c r="AJ1011" s="86">
        <f>AVERAGEIFS($D$2:D1011, $B$2:B1011, B1011)</f>
        <v>0.48275862068965519</v>
      </c>
    </row>
    <row r="1012" spans="1:36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 s="86">
        <f>AVERAGEIFS($C$2:C1012, $B$2:B1012, B1012)</f>
        <v>17.263157894736842</v>
      </c>
      <c r="AH1012" s="86">
        <f>AVERAGEIFS($I$2:I1012, $B$2:B1012, B1012)</f>
        <v>0.62894736842105259</v>
      </c>
      <c r="AI1012" s="86">
        <f>AVERAGEIFS($J$2:J1012, $B$2:B1012, B1012)</f>
        <v>0.58105263157894749</v>
      </c>
      <c r="AJ1012" s="86">
        <f>AVERAGEIFS($D$2:D1012, $B$2:B1012, B1012)</f>
        <v>0.63157894736842102</v>
      </c>
    </row>
    <row r="1013" spans="1:36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 s="86">
        <f>AVERAGEIFS($C$2:C1013, $B$2:B1013, B1013)</f>
        <v>24.62857142857143</v>
      </c>
      <c r="AH1013" s="86">
        <f>AVERAGEIFS($I$2:I1013, $B$2:B1013, B1013)</f>
        <v>0.43428571428571427</v>
      </c>
      <c r="AI1013" s="86">
        <f>AVERAGEIFS($J$2:J1013, $B$2:B1013, B1013)</f>
        <v>0.4588571428571428</v>
      </c>
      <c r="AJ1013" s="86">
        <f>AVERAGEIFS($D$2:D1013, $B$2:B1013, B1013)</f>
        <v>0.34285714285714286</v>
      </c>
    </row>
    <row r="1014" spans="1:36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 s="86">
        <f>AVERAGEIFS($C$2:C1014, $B$2:B1014, B1014)</f>
        <v>18.347826086956523</v>
      </c>
      <c r="AH1014" s="86">
        <f>AVERAGEIFS($I$2:I1014, $B$2:B1014, B1014)</f>
        <v>0.44239130434782614</v>
      </c>
      <c r="AI1014" s="86">
        <f>AVERAGEIFS($J$2:J1014, $B$2:B1014, B1014)</f>
        <v>0.45065217391304324</v>
      </c>
      <c r="AJ1014" s="86">
        <f>AVERAGEIFS($D$2:D1014, $B$2:B1014, B1014)</f>
        <v>0.45652173913043476</v>
      </c>
    </row>
    <row r="1015" spans="1:36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 s="86">
        <f>AVERAGEIFS($C$2:C1015, $B$2:B1015, B1015)</f>
        <v>13</v>
      </c>
      <c r="AH1015" s="86">
        <f>AVERAGEIFS($I$2:I1015, $B$2:B1015, B1015)</f>
        <v>0.49000000000000005</v>
      </c>
      <c r="AI1015" s="86">
        <f>AVERAGEIFS($J$2:J1015, $B$2:B1015, B1015)</f>
        <v>0.5</v>
      </c>
      <c r="AJ1015" s="86">
        <f>AVERAGEIFS($D$2:D1015, $B$2:B1015, B1015)</f>
        <v>0.4</v>
      </c>
    </row>
    <row r="1016" spans="1:36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 s="86">
        <f>AVERAGEIFS($C$2:C1016, $B$2:B1016, B1016)</f>
        <v>18.777777777777779</v>
      </c>
      <c r="AH1016" s="86">
        <f>AVERAGEIFS($I$2:I1016, $B$2:B1016, B1016)</f>
        <v>0.48253968253968238</v>
      </c>
      <c r="AI1016" s="86">
        <f>AVERAGEIFS($J$2:J1016, $B$2:B1016, B1016)</f>
        <v>0.4852380952380953</v>
      </c>
      <c r="AJ1016" s="86">
        <f>AVERAGEIFS($D$2:D1016, $B$2:B1016, B1016)</f>
        <v>0.42857142857142855</v>
      </c>
    </row>
    <row r="1017" spans="1:36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 s="86">
        <f>AVERAGEIFS($C$2:C1017, $B$2:B1017, B1017)</f>
        <v>23.745762711864408</v>
      </c>
      <c r="AH1017" s="86">
        <f>AVERAGEIFS($I$2:I1017, $B$2:B1017, B1017)</f>
        <v>0.52576271186440682</v>
      </c>
      <c r="AI1017" s="86">
        <f>AVERAGEIFS($J$2:J1017, $B$2:B1017, B1017)</f>
        <v>0.5099999999999999</v>
      </c>
      <c r="AJ1017" s="86">
        <f>AVERAGEIFS($D$2:D1017, $B$2:B1017, B1017)</f>
        <v>0.5423728813559322</v>
      </c>
    </row>
    <row r="1018" spans="1:36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 s="86">
        <f>AVERAGEIFS($C$2:C1018, $B$2:B1018, B1018)</f>
        <v>22.30952380952381</v>
      </c>
      <c r="AH1018" s="86">
        <f>AVERAGEIFS($I$2:I1018, $B$2:B1018, B1018)</f>
        <v>0.5149999999999999</v>
      </c>
      <c r="AI1018" s="86">
        <f>AVERAGEIFS($J$2:J1018, $B$2:B1018, B1018)</f>
        <v>0.53214285714285714</v>
      </c>
      <c r="AJ1018" s="86">
        <f>AVERAGEIFS($D$2:D1018, $B$2:B1018, B1018)</f>
        <v>0.5</v>
      </c>
    </row>
    <row r="1019" spans="1:36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 s="86">
        <f>AVERAGEIFS($C$2:C1019, $B$2:B1019, B1019)</f>
        <v>17.774999999999999</v>
      </c>
      <c r="AH1019" s="86">
        <f>AVERAGEIFS($I$2:I1019, $B$2:B1019, B1019)</f>
        <v>0.53749999999999987</v>
      </c>
      <c r="AI1019" s="86">
        <f>AVERAGEIFS($J$2:J1019, $B$2:B1019, B1019)</f>
        <v>0.51950000000000007</v>
      </c>
      <c r="AJ1019" s="86">
        <f>AVERAGEIFS($D$2:D1019, $B$2:B1019, B1019)</f>
        <v>0.5</v>
      </c>
    </row>
    <row r="1020" spans="1:36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 s="86">
        <f>AVERAGEIFS($C$2:C1020, $B$2:B1020, B1020)</f>
        <v>14.793103448275861</v>
      </c>
      <c r="AH1020" s="86">
        <f>AVERAGEIFS($I$2:I1020, $B$2:B1020, B1020)</f>
        <v>0.47758620689655179</v>
      </c>
      <c r="AI1020" s="86">
        <f>AVERAGEIFS($J$2:J1020, $B$2:B1020, B1020)</f>
        <v>0.4875862068965518</v>
      </c>
      <c r="AJ1020" s="86">
        <f>AVERAGEIFS($D$2:D1020, $B$2:B1020, B1020)</f>
        <v>0.37931034482758619</v>
      </c>
    </row>
    <row r="1021" spans="1:36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 s="86">
        <f>AVERAGEIFS($C$2:C1021, $B$2:B1021, B1021)</f>
        <v>18.875</v>
      </c>
      <c r="AH1021" s="86">
        <f>AVERAGEIFS($I$2:I1021, $B$2:B1021, B1021)</f>
        <v>0.66874999999999996</v>
      </c>
      <c r="AI1021" s="86">
        <f>AVERAGEIFS($J$2:J1021, $B$2:B1021, B1021)</f>
        <v>0.58124999999999993</v>
      </c>
      <c r="AJ1021" s="86">
        <f>AVERAGEIFS($D$2:D1021, $B$2:B1021, B1021)</f>
        <v>0.75</v>
      </c>
    </row>
    <row r="1022" spans="1:36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 s="86">
        <f>AVERAGEIFS($C$2:C1022, $B$2:B1022, B1022)</f>
        <v>17.837209302325583</v>
      </c>
      <c r="AH1022" s="86">
        <f>AVERAGEIFS($I$2:I1022, $B$2:B1022, B1022)</f>
        <v>0.49372093023255825</v>
      </c>
      <c r="AI1022" s="86">
        <f>AVERAGEIFS($J$2:J1022, $B$2:B1022, B1022)</f>
        <v>0.50906976744186039</v>
      </c>
      <c r="AJ1022" s="86">
        <f>AVERAGEIFS($D$2:D1022, $B$2:B1022, B1022)</f>
        <v>0.48837209302325579</v>
      </c>
    </row>
    <row r="1023" spans="1:36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 s="86">
        <f>AVERAGEIFS($C$2:C1023, $B$2:B1023, B1023)</f>
        <v>14</v>
      </c>
      <c r="AH1023" s="86">
        <f>AVERAGEIFS($I$2:I1023, $B$2:B1023, B1023)</f>
        <v>0.46944444444444439</v>
      </c>
      <c r="AI1023" s="86">
        <f>AVERAGEIFS($J$2:J1023, $B$2:B1023, B1023)</f>
        <v>0.48666666666666664</v>
      </c>
      <c r="AJ1023" s="86">
        <f>AVERAGEIFS($D$2:D1023, $B$2:B1023, B1023)</f>
        <v>0.3888888888888889</v>
      </c>
    </row>
    <row r="1024" spans="1:36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0</v>
      </c>
      <c r="AE1024">
        <v>0</v>
      </c>
      <c r="AF1024">
        <v>0</v>
      </c>
      <c r="AG1024" s="86">
        <f>AVERAGEIFS($C$2:C1024, $B$2:B1024, B1024)</f>
        <v>18.170212765957448</v>
      </c>
      <c r="AH1024" s="86">
        <f>AVERAGEIFS($I$2:I1024, $B$2:B1024, B1024)</f>
        <v>0.45425531914893619</v>
      </c>
      <c r="AI1024" s="86">
        <f>AVERAGEIFS($J$2:J1024, $B$2:B1024, B1024)</f>
        <v>0.45574468085106362</v>
      </c>
      <c r="AJ1024" s="86">
        <f>AVERAGEIFS($D$2:D1024, $B$2:B1024, B1024)</f>
        <v>0.46808510638297873</v>
      </c>
    </row>
    <row r="1025" spans="1:36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1</v>
      </c>
      <c r="AD1025">
        <v>0</v>
      </c>
      <c r="AE1025">
        <v>0</v>
      </c>
      <c r="AF1025">
        <v>0</v>
      </c>
      <c r="AG1025" s="86">
        <f>AVERAGEIFS($C$2:C1025, $B$2:B1025, B1025)</f>
        <v>27.307692307692307</v>
      </c>
      <c r="AH1025" s="86">
        <f>AVERAGEIFS($I$2:I1025, $B$2:B1025, B1025)</f>
        <v>0.49615384615384617</v>
      </c>
      <c r="AI1025" s="86">
        <f>AVERAGEIFS($J$2:J1025, $B$2:B1025, B1025)</f>
        <v>0.49948717948717958</v>
      </c>
      <c r="AJ1025" s="86">
        <f>AVERAGEIFS($D$2:D1025, $B$2:B1025, B1025)</f>
        <v>0.51282051282051277</v>
      </c>
    </row>
    <row r="1026" spans="1:36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0</v>
      </c>
      <c r="AE1026">
        <v>0</v>
      </c>
      <c r="AF1026">
        <v>0</v>
      </c>
      <c r="AG1026" s="86">
        <f>AVERAGEIFS($C$2:C1026, $B$2:B1026, B1026)</f>
        <v>22.439393939393938</v>
      </c>
      <c r="AH1026" s="86">
        <f>AVERAGEIFS($I$2:I1026, $B$2:B1026, B1026)</f>
        <v>0.54060606060606076</v>
      </c>
      <c r="AI1026" s="86">
        <f>AVERAGEIFS($J$2:J1026, $B$2:B1026, B1026)</f>
        <v>0.52242424242424235</v>
      </c>
      <c r="AJ1026" s="86">
        <f>AVERAGEIFS($D$2:D1026, $B$2:B1026, B1026)</f>
        <v>0.60606060606060608</v>
      </c>
    </row>
    <row r="1027" spans="1:36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1</v>
      </c>
      <c r="AD1027">
        <v>0</v>
      </c>
      <c r="AE1027">
        <v>0</v>
      </c>
      <c r="AF1027">
        <v>0</v>
      </c>
      <c r="AG1027" s="86">
        <f>AVERAGEIFS($C$2:C1027, $B$2:B1027, B1027)</f>
        <v>24.805555555555557</v>
      </c>
      <c r="AH1027" s="86">
        <f>AVERAGEIFS($I$2:I1027, $B$2:B1027, B1027)</f>
        <v>0.44999999999999996</v>
      </c>
      <c r="AI1027" s="86">
        <f>AVERAGEIFS($J$2:J1027, $B$2:B1027, B1027)</f>
        <v>0.46527777777777779</v>
      </c>
      <c r="AJ1027" s="86">
        <f>AVERAGEIFS($D$2:D1027, $B$2:B1027, B1027)</f>
        <v>0.3611111111111111</v>
      </c>
    </row>
    <row r="1028" spans="1:36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1</v>
      </c>
      <c r="AD1028">
        <v>0</v>
      </c>
      <c r="AE1028">
        <v>0</v>
      </c>
      <c r="AF1028">
        <v>0</v>
      </c>
      <c r="AG1028" s="86">
        <f>AVERAGEIFS($C$2:C1028, $B$2:B1028, B1028)</f>
        <v>19.824999999999999</v>
      </c>
      <c r="AH1028" s="86">
        <f>AVERAGEIFS($I$2:I1028, $B$2:B1028, B1028)</f>
        <v>0.54800000000000004</v>
      </c>
      <c r="AI1028" s="86">
        <f>AVERAGEIFS($J$2:J1028, $B$2:B1028, B1028)</f>
        <v>0.50350000000000006</v>
      </c>
      <c r="AJ1028" s="86">
        <f>AVERAGEIFS($D$2:D1028, $B$2:B1028, B1028)</f>
        <v>0.57499999999999996</v>
      </c>
    </row>
    <row r="1029" spans="1:36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1</v>
      </c>
      <c r="AD1029">
        <v>0</v>
      </c>
      <c r="AE1029">
        <v>0</v>
      </c>
      <c r="AF1029">
        <v>0</v>
      </c>
      <c r="AG1029" s="86">
        <f>AVERAGEIFS($C$2:C1029, $B$2:B1029, B1029)</f>
        <v>14.066666666666666</v>
      </c>
      <c r="AH1029" s="86">
        <f>AVERAGEIFS($I$2:I1029, $B$2:B1029, B1029)</f>
        <v>0.5033333333333333</v>
      </c>
      <c r="AI1029" s="86">
        <f>AVERAGEIFS($J$2:J1029, $B$2:B1029, B1029)</f>
        <v>0.51133333333333342</v>
      </c>
      <c r="AJ1029" s="86">
        <f>AVERAGEIFS($D$2:D1029, $B$2:B1029, B1029)</f>
        <v>0.6</v>
      </c>
    </row>
    <row r="1030" spans="1:36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1</v>
      </c>
      <c r="AD1030">
        <v>0</v>
      </c>
      <c r="AE1030">
        <v>0</v>
      </c>
      <c r="AF1030">
        <v>0</v>
      </c>
      <c r="AG1030" s="86">
        <f>AVERAGEIFS($C$2:C1030, $B$2:B1030, B1030)</f>
        <v>16.761904761904763</v>
      </c>
      <c r="AH1030" s="86">
        <f>AVERAGEIFS($I$2:I1030, $B$2:B1030, B1030)</f>
        <v>0.48190476190476189</v>
      </c>
      <c r="AI1030" s="86">
        <f>AVERAGEIFS($J$2:J1030, $B$2:B1030, B1030)</f>
        <v>0.49666666666666665</v>
      </c>
      <c r="AJ1030" s="86">
        <f>AVERAGEIFS($D$2:D1030, $B$2:B1030, B1030)</f>
        <v>0.47619047619047616</v>
      </c>
    </row>
    <row r="1031" spans="1:36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0</v>
      </c>
      <c r="AE1031">
        <v>0</v>
      </c>
      <c r="AF1031">
        <v>0</v>
      </c>
      <c r="AG1031" s="86">
        <f>AVERAGEIFS($C$2:C1031, $B$2:B1031, B1031)</f>
        <v>16.666666666666668</v>
      </c>
      <c r="AH1031" s="86">
        <f>AVERAGEIFS($I$2:I1031, $B$2:B1031, B1031)</f>
        <v>0.54888888888888887</v>
      </c>
      <c r="AI1031" s="86">
        <f>AVERAGEIFS($J$2:J1031, $B$2:B1031, B1031)</f>
        <v>0.5411111111111111</v>
      </c>
      <c r="AJ1031" s="86">
        <f>AVERAGEIFS($D$2:D1031, $B$2:B1031, B1031)</f>
        <v>0.64444444444444449</v>
      </c>
    </row>
    <row r="1032" spans="1:36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1</v>
      </c>
      <c r="AC1032">
        <v>0</v>
      </c>
      <c r="AD1032">
        <v>0</v>
      </c>
      <c r="AE1032">
        <v>0</v>
      </c>
      <c r="AF1032">
        <v>0</v>
      </c>
      <c r="AG1032" s="86">
        <f>AVERAGEIFS($C$2:C1032, $B$2:B1032, B1032)</f>
        <v>18</v>
      </c>
      <c r="AH1032" s="86">
        <f>AVERAGEIFS($I$2:I1032, $B$2:B1032, B1032)</f>
        <v>0.46562500000000001</v>
      </c>
      <c r="AI1032" s="86">
        <f>AVERAGEIFS($J$2:J1032, $B$2:B1032, B1032)</f>
        <v>0.45958333333333318</v>
      </c>
      <c r="AJ1032" s="86">
        <f>AVERAGEIFS($D$2:D1032, $B$2:B1032, B1032)</f>
        <v>0.47916666666666669</v>
      </c>
    </row>
    <row r="1033" spans="1:36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1</v>
      </c>
      <c r="AC1033">
        <v>0</v>
      </c>
      <c r="AD1033">
        <v>0</v>
      </c>
      <c r="AE1033">
        <v>0</v>
      </c>
      <c r="AF1033">
        <v>0</v>
      </c>
      <c r="AG1033" s="86">
        <f>AVERAGEIFS($C$2:C1033, $B$2:B1033, B1033)</f>
        <v>22.298507462686569</v>
      </c>
      <c r="AH1033" s="86">
        <f>AVERAGEIFS($I$2:I1033, $B$2:B1033, B1033)</f>
        <v>0.54746268656716424</v>
      </c>
      <c r="AI1033" s="86">
        <f>AVERAGEIFS($J$2:J1033, $B$2:B1033, B1033)</f>
        <v>0.52417910447761196</v>
      </c>
      <c r="AJ1033" s="86">
        <f>AVERAGEIFS($D$2:D1033, $B$2:B1033, B1033)</f>
        <v>0.61194029850746268</v>
      </c>
    </row>
    <row r="1034" spans="1:36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1</v>
      </c>
      <c r="AC1034">
        <v>0</v>
      </c>
      <c r="AD1034">
        <v>0</v>
      </c>
      <c r="AE1034">
        <v>0</v>
      </c>
      <c r="AF1034">
        <v>0</v>
      </c>
      <c r="AG1034" s="86">
        <f>AVERAGEIFS($C$2:C1034, $B$2:B1034, B1034)</f>
        <v>17.707317073170731</v>
      </c>
      <c r="AH1034" s="86">
        <f>AVERAGEIFS($I$2:I1034, $B$2:B1034, B1034)</f>
        <v>0.54878048780487798</v>
      </c>
      <c r="AI1034" s="86">
        <f>AVERAGEIFS($J$2:J1034, $B$2:B1034, B1034)</f>
        <v>0.52243902439024403</v>
      </c>
      <c r="AJ1034" s="86">
        <f>AVERAGEIFS($D$2:D1034, $B$2:B1034, B1034)</f>
        <v>0.51219512195121952</v>
      </c>
    </row>
    <row r="1035" spans="1:36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1</v>
      </c>
      <c r="AC1035">
        <v>0</v>
      </c>
      <c r="AD1035">
        <v>0</v>
      </c>
      <c r="AE1035">
        <v>0</v>
      </c>
      <c r="AF1035">
        <v>0</v>
      </c>
      <c r="AG1035" s="86">
        <f>AVERAGEIFS($C$2:C1035, $B$2:B1035, B1035)</f>
        <v>17.888888888888889</v>
      </c>
      <c r="AH1035" s="86">
        <f>AVERAGEIFS($I$2:I1035, $B$2:B1035, B1035)</f>
        <v>0.70555555555555549</v>
      </c>
      <c r="AI1035" s="86">
        <f>AVERAGEIFS($J$2:J1035, $B$2:B1035, B1035)</f>
        <v>0.58777777777777773</v>
      </c>
      <c r="AJ1035" s="86">
        <f>AVERAGEIFS($D$2:D1035, $B$2:B1035, B1035)</f>
        <v>0.77777777777777779</v>
      </c>
    </row>
    <row r="1036" spans="1:36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1</v>
      </c>
      <c r="AC1036">
        <v>0</v>
      </c>
      <c r="AD1036">
        <v>0</v>
      </c>
      <c r="AE1036">
        <v>0</v>
      </c>
      <c r="AF1036">
        <v>0</v>
      </c>
      <c r="AG1036" s="86">
        <f>AVERAGEIFS($C$2:C1036, $B$2:B1036, B1036)</f>
        <v>12.666666666666666</v>
      </c>
      <c r="AH1036" s="86">
        <f>AVERAGEIFS($I$2:I1036, $B$2:B1036, B1036)</f>
        <v>0.55000000000000004</v>
      </c>
      <c r="AI1036" s="86">
        <f>AVERAGEIFS($J$2:J1036, $B$2:B1036, B1036)</f>
        <v>0.52833333333333343</v>
      </c>
      <c r="AJ1036" s="86">
        <f>AVERAGEIFS($D$2:D1036, $B$2:B1036, B1036)</f>
        <v>0.5</v>
      </c>
    </row>
    <row r="1037" spans="1:36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 s="86">
        <f>AVERAGEIFS($C$2:C1037, $B$2:B1037, B1037)</f>
        <v>14.157894736842104</v>
      </c>
      <c r="AH1037" s="86">
        <f>AVERAGEIFS($I$2:I1037, $B$2:B1037, B1037)</f>
        <v>0.49736842105263152</v>
      </c>
      <c r="AI1037" s="86">
        <f>AVERAGEIFS($J$2:J1037, $B$2:B1037, B1037)</f>
        <v>0.4947368421052632</v>
      </c>
      <c r="AJ1037" s="86">
        <f>AVERAGEIFS($D$2:D1037, $B$2:B1037, B1037)</f>
        <v>0.42105263157894735</v>
      </c>
    </row>
    <row r="1038" spans="1:36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 s="86">
        <f>AVERAGEIFS($C$2:C1038, $B$2:B1038, B1038)</f>
        <v>18.6875</v>
      </c>
      <c r="AH1038" s="86">
        <f>AVERAGEIFS($I$2:I1038, $B$2:B1038, B1038)</f>
        <v>0.47499999999999987</v>
      </c>
      <c r="AI1038" s="86">
        <f>AVERAGEIFS($J$2:J1038, $B$2:B1038, B1038)</f>
        <v>0.48328125000000005</v>
      </c>
      <c r="AJ1038" s="86">
        <f>AVERAGEIFS($D$2:D1038, $B$2:B1038, B1038)</f>
        <v>0.421875</v>
      </c>
    </row>
    <row r="1039" spans="1:36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 s="86">
        <f>AVERAGEIFS($C$2:C1039, $B$2:B1039, B1039)</f>
        <v>19.40625</v>
      </c>
      <c r="AH1039" s="86">
        <f>AVERAGEIFS($I$2:I1039, $B$2:B1039, B1039)</f>
        <v>0.59281249999999996</v>
      </c>
      <c r="AI1039" s="86">
        <f>AVERAGEIFS($J$2:J1039, $B$2:B1039, B1039)</f>
        <v>0.54718750000000016</v>
      </c>
      <c r="AJ1039" s="86">
        <f>AVERAGEIFS($D$2:D1039, $B$2:B1039, B1039)</f>
        <v>0.6875</v>
      </c>
    </row>
    <row r="1040" spans="1:36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 s="86">
        <f>AVERAGEIFS($C$2:C1040, $B$2:B1040, B1040)</f>
        <v>17.05</v>
      </c>
      <c r="AH1040" s="86">
        <f>AVERAGEIFS($I$2:I1040, $B$2:B1040, B1040)</f>
        <v>0.59749999999999992</v>
      </c>
      <c r="AI1040" s="86">
        <f>AVERAGEIFS($J$2:J1040, $B$2:B1040, B1040)</f>
        <v>0.57000000000000006</v>
      </c>
      <c r="AJ1040" s="86">
        <f>AVERAGEIFS($D$2:D1040, $B$2:B1040, B1040)</f>
        <v>0.6</v>
      </c>
    </row>
    <row r="1041" spans="1:36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 s="86">
        <f>AVERAGEIFS($C$2:C1041, $B$2:B1041, B1041)</f>
        <v>14.0625</v>
      </c>
      <c r="AH1041" s="86">
        <f>AVERAGEIFS($I$2:I1041, $B$2:B1041, B1041)</f>
        <v>0.47187499999999999</v>
      </c>
      <c r="AI1041" s="86">
        <f>AVERAGEIFS($J$2:J1041, $B$2:B1041, B1041)</f>
        <v>0.50187500000000007</v>
      </c>
      <c r="AJ1041" s="86">
        <f>AVERAGEIFS($D$2:D1041, $B$2:B1041, B1041)</f>
        <v>0.5625</v>
      </c>
    </row>
    <row r="1042" spans="1:36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 s="86">
        <f>AVERAGEIFS($C$2:C1042, $B$2:B1042, B1042)</f>
        <v>9.5</v>
      </c>
      <c r="AH1042" s="86">
        <f>AVERAGEIFS($I$2:I1042, $B$2:B1042, B1042)</f>
        <v>0.375</v>
      </c>
      <c r="AI1042" s="86">
        <f>AVERAGEIFS($J$2:J1042, $B$2:B1042, B1042)</f>
        <v>0.51500000000000001</v>
      </c>
      <c r="AJ1042" s="86">
        <f>AVERAGEIFS($D$2:D1042, $B$2:B1042, B1042)</f>
        <v>0.5</v>
      </c>
    </row>
    <row r="1043" spans="1:36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 s="86">
        <f>AVERAGEIFS($C$2:C1043, $B$2:B1043, B1043)</f>
        <v>8.75</v>
      </c>
      <c r="AH1043" s="86">
        <f>AVERAGEIFS($I$2:I1043, $B$2:B1043, B1043)</f>
        <v>0.21875</v>
      </c>
      <c r="AI1043" s="86">
        <f>AVERAGEIFS($J$2:J1043, $B$2:B1043, B1043)</f>
        <v>0.33875</v>
      </c>
      <c r="AJ1043" s="86">
        <f>AVERAGEIFS($D$2:D1043, $B$2:B1043, B1043)</f>
        <v>0.125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2" sqref="H32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S2'!$AJ:$AJ)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S2'!$AH:$AH)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S2'!$AI:$AI)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S2'!$B:$B,$A$6,'BA History S2'!AA:AA, 1)</f>
        <v>0</v>
      </c>
      <c r="AI6" s="2">
        <f>COUNTIFS('BA History S2'!$B:$B,$A$6,'BA History S2'!AB:AB, 1)</f>
        <v>9</v>
      </c>
      <c r="AJ6" s="2">
        <f>COUNTIFS('BA History S2'!$B:$B,$A$6,'BA History S2'!AC:AC, 1)</f>
        <v>1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19</v>
      </c>
      <c r="G7" s="66">
        <f>AVERAGEIFS('BA History S2'!C:C,'BA History S2'!B:B,A7)</f>
        <v>9.5</v>
      </c>
      <c r="H7" s="35">
        <f t="array" ref="H7">MAX(IF('BA History S2'!B:B=A7, 'BA History S2'!C:C))</f>
        <v>11</v>
      </c>
      <c r="I7" s="34">
        <f>COUNTIFS('BA History S2'!B:B,A7,'BA History S2'!D:D, 1)</f>
        <v>1</v>
      </c>
      <c r="J7" s="2">
        <f>COUNTIFS('BA History S2'!B:B,A7,'BA History S2'!D:D, 0)</f>
        <v>1</v>
      </c>
      <c r="K7" s="75">
        <f>LOOKUP(2, 1/('BA History S2'!$B:$B=A7), 'BA History S2'!$AJ:$AJ)</f>
        <v>0.5</v>
      </c>
      <c r="L7" s="34">
        <f>SUMIFS('BA History S2'!F:F,'BA History S2'!B:B,A7)</f>
        <v>3</v>
      </c>
      <c r="M7" s="2">
        <f>SUMIFS('BA History S2'!E:E,'BA History S2'!B:B,A7)-L7</f>
        <v>4</v>
      </c>
      <c r="N7" s="75">
        <f>LOOKUP(2, 1/('BA History S2'!$B:$B=A7), 'BA History S2'!$AH:$AH)</f>
        <v>0.375</v>
      </c>
      <c r="O7" s="34">
        <f>SUMIFS('BA History S2'!H:H,'BA History S2'!B:B,A7)</f>
        <v>15</v>
      </c>
      <c r="P7" s="2">
        <f>SUMIFS('BA History S2'!G:G,'BA History S2'!B:B,A7)-O7</f>
        <v>14</v>
      </c>
      <c r="Q7" s="89">
        <f>LOOKUP(2, 1/('BA History S2'!$B:$B=A7), 'BA History S2'!$AI:$AI)</f>
        <v>0.51500000000000001</v>
      </c>
      <c r="R7" s="2">
        <f>COUNTIFS('BA History S2'!$B:$B,$A$7,'BA History S2'!K:K, 1)</f>
        <v>0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0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1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1</v>
      </c>
    </row>
    <row r="8" spans="1:39" x14ac:dyDescent="0.25">
      <c r="A8" s="2" t="s">
        <v>146</v>
      </c>
      <c r="B8" s="2" t="s">
        <v>79</v>
      </c>
      <c r="C8" s="2"/>
      <c r="D8" s="2"/>
      <c r="E8" s="2"/>
      <c r="F8" s="34">
        <f>SUMIFS('BA History S2'!C:C,'BA History S2'!B:B,A8)</f>
        <v>27</v>
      </c>
      <c r="G8" s="66">
        <f>AVERAGEIFS('BA History S2'!C:C,'BA History S2'!B:B,A8)</f>
        <v>9</v>
      </c>
      <c r="H8" s="35">
        <f t="array" ref="H8">MAX(IF('BA History S2'!B:B=A8, 'BA History S2'!C:C))</f>
        <v>13</v>
      </c>
      <c r="I8" s="34">
        <f>COUNTIFS('BA History S2'!B:B,A8,'BA History S2'!D:D, 1)</f>
        <v>0</v>
      </c>
      <c r="J8" s="2">
        <f>COUNTIFS('BA History S2'!B:B,A8,'BA History S2'!D:D, 0)</f>
        <v>3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9</v>
      </c>
      <c r="N8" s="75">
        <f>LOOKUP(2, 1/('BA History S2'!$B:$B=A8), 'BA History S2'!$AH:$AH)</f>
        <v>8.3333333333333329E-2</v>
      </c>
      <c r="O8" s="34">
        <f>SUMIFS('BA History S2'!H:H,'BA History S2'!B:B,A8)</f>
        <v>14</v>
      </c>
      <c r="P8" s="2">
        <f>SUMIFS('BA History S2'!G:G,'BA History S2'!B:B,A8)-O8</f>
        <v>28</v>
      </c>
      <c r="Q8" s="89">
        <f>LOOKUP(2, 1/('BA History S2'!$B:$B=A8), 'BA History S2'!$AI:$AI)</f>
        <v>0.3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27</v>
      </c>
      <c r="B9" s="2" t="s">
        <v>79</v>
      </c>
      <c r="C9" s="2"/>
      <c r="D9" s="2"/>
      <c r="E9" s="2"/>
      <c r="F9" s="34">
        <f>SUMIFS('BA History S2'!C:C,'BA History S2'!B:B,A9)</f>
        <v>21</v>
      </c>
      <c r="G9" s="66">
        <f>AVERAGEIFS('BA History S2'!C:C,'BA History S2'!B:B,A9)</f>
        <v>10.5</v>
      </c>
      <c r="H9" s="35">
        <f t="array" ref="H9">MAX(IF('BA History S2'!B:B=A9, 'BA History S2'!C:C))</f>
        <v>15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S2'!$AJ:$AJ)</f>
        <v>0.5</v>
      </c>
      <c r="L9" s="34">
        <f>SUMIFS('BA History S2'!F:F,'BA History S2'!B:B,A9)</f>
        <v>5</v>
      </c>
      <c r="M9" s="2">
        <f>SUMIFS('BA History S2'!E:E,'BA History S2'!B:B,A9)-L9</f>
        <v>3</v>
      </c>
      <c r="N9" s="75">
        <f>LOOKUP(2, 1/('BA History S2'!$B:$B=A9), 'BA History S2'!$AH:$AH)</f>
        <v>0.7</v>
      </c>
      <c r="O9" s="34">
        <f>SUMIFS('BA History S2'!H:H,'BA History S2'!B:B,A9)</f>
        <v>20</v>
      </c>
      <c r="P9" s="2">
        <f>SUMIFS('BA History S2'!G:G,'BA History S2'!B:B,A9)-O9</f>
        <v>18</v>
      </c>
      <c r="Q9" s="89">
        <f>LOOKUP(2, 1/('BA History S2'!$B:$B=A9), 'BA History S2'!$AI:$AI)</f>
        <v>0.55000000000000004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1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1</v>
      </c>
    </row>
    <row r="10" spans="1:39" x14ac:dyDescent="0.25">
      <c r="A10" s="2" t="s">
        <v>152</v>
      </c>
      <c r="B10" s="2" t="s">
        <v>79</v>
      </c>
      <c r="C10" s="2"/>
      <c r="D10" s="2"/>
      <c r="E10" s="2"/>
      <c r="F10" s="34">
        <f>SUMIFS('BA History S2'!C:C,'BA History S2'!B:B,A10)</f>
        <v>53</v>
      </c>
      <c r="G10" s="66">
        <f>AVERAGEIFS('BA History S2'!C:C,'BA History S2'!B:B,A10)</f>
        <v>13.25</v>
      </c>
      <c r="H10" s="35">
        <f t="array" ref="H10">MAX(IF('BA History S2'!B:B=A10, 'BA History S2'!C:C))</f>
        <v>19</v>
      </c>
      <c r="I10" s="34">
        <f>COUNTIFS('BA History S2'!B:B,A10,'BA History S2'!D:D, 1)</f>
        <v>1</v>
      </c>
      <c r="J10" s="2">
        <f>COUNTIFS('BA History S2'!B:B,A10,'BA History S2'!D:D, 0)</f>
        <v>3</v>
      </c>
      <c r="K10" s="75">
        <f>LOOKUP(2, 1/('BA History S2'!$B:$B=A10), 'BA History S2'!$AJ:$AJ)</f>
        <v>0.25</v>
      </c>
      <c r="L10" s="34">
        <f>SUMIFS('BA History S2'!F:F,'BA History S2'!B:B,A10)</f>
        <v>7</v>
      </c>
      <c r="M10" s="2">
        <f>SUMIFS('BA History S2'!E:E,'BA History S2'!B:B,A10)-L10</f>
        <v>10</v>
      </c>
      <c r="N10" s="75">
        <f>LOOKUP(2, 1/('BA History S2'!$B:$B=A10), 'BA History S2'!$AH:$AH)</f>
        <v>0.41249999999999998</v>
      </c>
      <c r="O10" s="34">
        <f>SUMIFS('BA History S2'!H:H,'BA History S2'!B:B,A10)</f>
        <v>33</v>
      </c>
      <c r="P10" s="2">
        <f>SUMIFS('BA History S2'!G:G,'BA History S2'!B:B,A10)-O10</f>
        <v>41</v>
      </c>
      <c r="Q10" s="89">
        <f>LOOKUP(2, 1/('BA History S2'!$B:$B=A10), 'BA History S2'!$AI:$AI)</f>
        <v>0.44000000000000006</v>
      </c>
      <c r="R10" s="2">
        <f>COUNTIFS('BA History S2'!$B:$B,$A$10,'BA History S2'!K:K, 1)</f>
        <v>1</v>
      </c>
      <c r="S10" s="2">
        <f>COUNTIFS('BA History S2'!$B:$B,$A$10,'BA History S2'!L:L, 1)</f>
        <v>0</v>
      </c>
      <c r="T10" s="2">
        <f>COUNTIFS('BA History S2'!$B:$B,$A$10,'BA History S2'!M:M, 1)</f>
        <v>1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50</v>
      </c>
      <c r="B11" s="2" t="s">
        <v>79</v>
      </c>
      <c r="C11" s="2"/>
      <c r="D11" s="2">
        <v>1</v>
      </c>
      <c r="E11" s="2"/>
      <c r="F11" s="34">
        <f>SUMIFS('BA History S2'!C:C,'BA History S2'!B:B,A11)</f>
        <v>155</v>
      </c>
      <c r="G11" s="66">
        <f>AVERAGEIFS('BA History S2'!C:C,'BA History S2'!B:B,A11)</f>
        <v>15.5</v>
      </c>
      <c r="H11" s="35">
        <f t="array" ref="H11">MAX(IF('BA History S2'!B:B=A11, 'BA History S2'!C:C))</f>
        <v>22</v>
      </c>
      <c r="I11" s="34">
        <f>COUNTIFS('BA History S2'!B:B,A11,'BA History S2'!D:D, 1)</f>
        <v>3</v>
      </c>
      <c r="J11" s="2">
        <f>COUNTIFS('BA History S2'!B:B,A11,'BA History S2'!D:D, 0)</f>
        <v>7</v>
      </c>
      <c r="K11" s="75">
        <f>LOOKUP(2, 1/('BA History S2'!$B:$B=A11), 'BA History S2'!$AJ:$AJ)</f>
        <v>0.3</v>
      </c>
      <c r="L11" s="34">
        <f>SUMIFS('BA History S2'!F:F,'BA History S2'!B:B,A11)</f>
        <v>15</v>
      </c>
      <c r="M11" s="2">
        <f>SUMIFS('BA History S2'!E:E,'BA History S2'!B:B,A11)-L11</f>
        <v>26</v>
      </c>
      <c r="N11" s="75">
        <f>LOOKUP(2, 1/('BA History S2'!$B:$B=A11), 'BA History S2'!$AH:$AH)</f>
        <v>0.33500000000000002</v>
      </c>
      <c r="O11" s="34">
        <f>SUMIFS('BA History S2'!H:H,'BA History S2'!B:B,A11)</f>
        <v>75</v>
      </c>
      <c r="P11" s="2">
        <f>SUMIFS('BA History S2'!G:G,'BA History S2'!B:B,A11)-O11</f>
        <v>96</v>
      </c>
      <c r="Q11" s="89">
        <f>LOOKUP(2, 1/('BA History S2'!$B:$B=A11), 'BA History S2'!$AI:$AI)</f>
        <v>0.41999999999999993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S2'!$B:$B,$A$11,'BA History S2'!AA:AA, 1)</f>
        <v>0</v>
      </c>
      <c r="AI11" s="2">
        <f>COUNTIFS('BA History S2'!$B:$B,$A$11,'BA History S2'!AB:AB, 1)</f>
        <v>3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1</v>
      </c>
      <c r="AM11" s="2">
        <f>COUNTIFS('BA History S2'!$B:$B,$A$11,'BA History S2'!AF:AF, 1)</f>
        <v>1</v>
      </c>
    </row>
    <row r="12" spans="1:39" x14ac:dyDescent="0.25">
      <c r="A12" s="2" t="s">
        <v>52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27</v>
      </c>
      <c r="G12" s="66">
        <f>AVERAGEIFS('BA History S2'!C:C,'BA History S2'!B:B,A12)</f>
        <v>13.5</v>
      </c>
      <c r="H12" s="35">
        <f t="array" ref="H12">MAX(IF('BA History S2'!B:B=A12, 'BA History S2'!C:C))</f>
        <v>17</v>
      </c>
      <c r="I12" s="34">
        <f>COUNTIFS('BA History S2'!B:B,A12,'BA History S2'!D:D, 1)</f>
        <v>0</v>
      </c>
      <c r="J12" s="2">
        <f>COUNTIFS('BA History S2'!B:B,A12,'BA History S2'!D:D, 0)</f>
        <v>2</v>
      </c>
      <c r="K12" s="75">
        <f>LOOKUP(2, 1/('BA History S2'!$B:$B=A12), 'BA History S2'!$AJ:$AJ)</f>
        <v>0</v>
      </c>
      <c r="L12" s="34">
        <f>SUMIFS('BA History S2'!F:F,'BA History S2'!B:B,A12)</f>
        <v>3</v>
      </c>
      <c r="M12" s="2">
        <f>SUMIFS('BA History S2'!E:E,'BA History S2'!B:B,A12)-L12</f>
        <v>6</v>
      </c>
      <c r="N12" s="75">
        <f>LOOKUP(2, 1/('BA History S2'!$B:$B=A12), 'BA History S2'!$AH:$AH)</f>
        <v>0.32500000000000001</v>
      </c>
      <c r="O12" s="34">
        <f>SUMIFS('BA History S2'!H:H,'BA History S2'!B:B,A12)</f>
        <v>17</v>
      </c>
      <c r="P12" s="2">
        <f>SUMIFS('BA History S2'!G:G,'BA History S2'!B:B,A12)-O12</f>
        <v>21</v>
      </c>
      <c r="Q12" s="89">
        <f>LOOKUP(2, 1/('BA History S2'!$B:$B=A12), 'BA History S2'!$AI:$AI)</f>
        <v>0.44499999999999995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1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1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44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303</v>
      </c>
      <c r="G13" s="66">
        <f>AVERAGEIFS('BA History S2'!C:C,'BA History S2'!B:B,A13)</f>
        <v>16.833333333333332</v>
      </c>
      <c r="H13" s="35">
        <f t="array" ref="H13">MAX(IF('BA History S2'!B:B=A13, 'BA History S2'!C:C))</f>
        <v>28</v>
      </c>
      <c r="I13" s="34">
        <f>COUNTIFS('BA History S2'!B:B,A13,'BA History S2'!D:D, 1)</f>
        <v>12</v>
      </c>
      <c r="J13" s="2">
        <f>COUNTIFS('BA History S2'!B:B,A13,'BA History S2'!D:D, 0)</f>
        <v>6</v>
      </c>
      <c r="K13" s="75">
        <f>LOOKUP(2, 1/('BA History S2'!$B:$B=A13), 'BA History S2'!$AJ:$AJ)</f>
        <v>0.66666666666666663</v>
      </c>
      <c r="L13" s="34">
        <f>SUMIFS('BA History S2'!F:F,'BA History S2'!B:B,A13)</f>
        <v>42</v>
      </c>
      <c r="M13" s="2">
        <f>SUMIFS('BA History S2'!E:E,'BA History S2'!B:B,A13)-L13</f>
        <v>30</v>
      </c>
      <c r="N13" s="75">
        <f>LOOKUP(2, 1/('BA History S2'!$B:$B=A13), 'BA History S2'!$AH:$AH)</f>
        <v>0.6</v>
      </c>
      <c r="O13" s="34">
        <f>SUMIFS('BA History S2'!H:H,'BA History S2'!B:B,A13)</f>
        <v>164</v>
      </c>
      <c r="P13" s="2">
        <f>SUMIFS('BA History S2'!G:G,'BA History S2'!B:B,A13)-O13</f>
        <v>140</v>
      </c>
      <c r="Q13" s="89">
        <f>LOOKUP(2, 1/('BA History S2'!$B:$B=A13), 'BA History S2'!$AI:$AI)</f>
        <v>0.55722222222222217</v>
      </c>
      <c r="R13" s="2">
        <f>COUNTIFS('BA History S2'!$B:$B,$A$13,'BA History S2'!K:K, 1)</f>
        <v>1</v>
      </c>
      <c r="S13" s="2">
        <f>COUNTIFS('BA History S2'!$B:$B,$A$13,'BA History S2'!L:L, 1)</f>
        <v>1</v>
      </c>
      <c r="T13" s="2">
        <f>COUNTIFS('BA History S2'!$B:$B,$A$13,'BA History S2'!M:M, 1)</f>
        <v>6</v>
      </c>
      <c r="U13" s="2">
        <f>COUNTIFS('BA History S2'!$B:$B,$A$13,'BA History S2'!N:N, 1)</f>
        <v>5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1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3</v>
      </c>
      <c r="AG13" s="2">
        <f>COUNTIFS('BA History S2'!$B:$B,$A$13,'BA History S2'!Z:Z, 1)</f>
        <v>4</v>
      </c>
      <c r="AH13" s="2">
        <f>COUNTIFS('BA History S2'!$B:$B,$A$13,'BA History S2'!AA:AA, 1)</f>
        <v>1</v>
      </c>
      <c r="AI13" s="2">
        <f>COUNTIFS('BA History S2'!$B:$B,$A$13,'BA History S2'!AB:AB, 1)</f>
        <v>6</v>
      </c>
      <c r="AJ13" s="2">
        <f>COUNTIFS('BA History S2'!$B:$B,$A$13,'BA History S2'!AC:AC, 1)</f>
        <v>2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5</v>
      </c>
    </row>
    <row r="14" spans="1:39" x14ac:dyDescent="0.25">
      <c r="A14" s="2" t="s">
        <v>167</v>
      </c>
      <c r="B14" s="2" t="s">
        <v>79</v>
      </c>
      <c r="C14" s="2"/>
      <c r="D14" s="2"/>
      <c r="E14" s="2"/>
      <c r="F14" s="34">
        <f>SUMIFS('BA History S2'!C:C,'BA History S2'!B:B,A14)</f>
        <v>20</v>
      </c>
      <c r="G14" s="66">
        <f>AVERAGEIFS('BA History S2'!C:C,'BA History S2'!B:B,A14)</f>
        <v>10</v>
      </c>
      <c r="H14" s="35">
        <f t="array" ref="H14">MAX(IF('BA History S2'!B:B=A14, 'BA History S2'!C:C))</f>
        <v>14</v>
      </c>
      <c r="I14" s="34">
        <f>COUNTIFS('BA History S2'!B:B,A14,'BA History S2'!D:D, 1)</f>
        <v>1</v>
      </c>
      <c r="J14" s="2">
        <f>COUNTIFS('BA History S2'!B:B,A14,'BA History S2'!D:D, 0)</f>
        <v>1</v>
      </c>
      <c r="K14" s="75">
        <f>LOOKUP(2, 1/('BA History S2'!$B:$B=A14), 'BA History S2'!$AJ:$AJ)</f>
        <v>0.5</v>
      </c>
      <c r="L14" s="34">
        <f>SUMIFS('BA History S2'!F:F,'BA History S2'!B:B,A14)</f>
        <v>4</v>
      </c>
      <c r="M14" s="2">
        <f>SUMIFS('BA History S2'!E:E,'BA History S2'!B:B,A14)-L14</f>
        <v>4</v>
      </c>
      <c r="N14" s="75">
        <f>LOOKUP(2, 1/('BA History S2'!$B:$B=A14), 'BA History S2'!$AH:$AH)</f>
        <v>0.5</v>
      </c>
      <c r="O14" s="34">
        <f>SUMIFS('BA History S2'!H:H,'BA History S2'!B:B,A14)</f>
        <v>17</v>
      </c>
      <c r="P14" s="2">
        <f>SUMIFS('BA History S2'!G:G,'BA History S2'!B:B,A14)-O14</f>
        <v>17</v>
      </c>
      <c r="Q14" s="89">
        <f>LOOKUP(2, 1/('BA History S2'!$B:$B=A14), 'BA History S2'!$AI:$AI)</f>
        <v>0.5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0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1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0</v>
      </c>
      <c r="AK14" s="2">
        <f>COUNTIFS('BA History S2'!$B:$B,$A$14,'BA History S2'!AD:AD, 1)</f>
        <v>0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1</v>
      </c>
      <c r="B15" s="1" t="s">
        <v>158</v>
      </c>
      <c r="F15" s="34">
        <f>SUMIFS('BA History S2'!C:C,'BA History S2'!B:B,A15)</f>
        <v>437</v>
      </c>
      <c r="G15" s="66">
        <f>AVERAGEIFS('BA History S2'!C:C,'BA History S2'!B:B,A15)</f>
        <v>27.3125</v>
      </c>
      <c r="H15" s="35">
        <f t="array" ref="H15">MAX(IF('BA History S2'!B:B=A15, 'BA History S2'!C:C))</f>
        <v>49</v>
      </c>
      <c r="I15" s="34">
        <f>COUNTIFS('BA History S2'!B:B,A15,'BA History S2'!D:D, 1)</f>
        <v>9</v>
      </c>
      <c r="J15" s="2">
        <f>COUNTIFS('BA History S2'!B:B,A15,'BA History S2'!D:D, 0)</f>
        <v>7</v>
      </c>
      <c r="K15" s="75">
        <f>LOOKUP(2, 1/('BA History S2'!$B:$B=A15), 'BA History S2'!$AJ:$AJ)</f>
        <v>0.5625</v>
      </c>
      <c r="L15" s="34">
        <f>SUMIFS('BA History S2'!F:F,'BA History S2'!B:B,A15)</f>
        <v>35</v>
      </c>
      <c r="M15" s="2">
        <f>SUMIFS('BA History S2'!E:E,'BA History S2'!B:B,A15)-L15</f>
        <v>28</v>
      </c>
      <c r="N15" s="75">
        <f>LOOKUP(2, 1/('BA History S2'!$B:$B=A15), 'BA History S2'!$AH:$AH)</f>
        <v>0.57187500000000002</v>
      </c>
      <c r="O15" s="34">
        <f>SUMIFS('BA History S2'!H:H,'BA History S2'!B:B,A15)</f>
        <v>139</v>
      </c>
      <c r="P15" s="2">
        <f>SUMIFS('BA History S2'!G:G,'BA History S2'!B:B,A15)-O15</f>
        <v>121</v>
      </c>
      <c r="Q15" s="89">
        <f>LOOKUP(2, 1/('BA History S2'!$B:$B=A15), 'BA History S2'!$AI:$AI)</f>
        <v>0.55562499999999992</v>
      </c>
      <c r="R15" s="2">
        <f>COUNTIFS('BA History S2'!$B:$B,$A$15,'BA History S2'!K:K, 1)</f>
        <v>2</v>
      </c>
      <c r="S15" s="2">
        <f>COUNTIFS('BA History S2'!$B:$B,$A$15,'BA History S2'!L:L, 1)</f>
        <v>2</v>
      </c>
      <c r="T15" s="2">
        <f>COUNTIFS('BA History S2'!$B:$B,$A$15,'BA History S2'!M:M, 1)</f>
        <v>2</v>
      </c>
      <c r="U15" s="2">
        <f>COUNTIFS('BA History S2'!$B:$B,$A$15,'BA History S2'!N:N, 1)</f>
        <v>4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2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3</v>
      </c>
      <c r="AH15" s="2">
        <f>COUNTIFS('BA History S2'!$B:$B,$A$15,'BA History S2'!AA:AA, 1)</f>
        <v>0</v>
      </c>
      <c r="AI15" s="2">
        <f>COUNTIFS('BA History S2'!$B:$B,$A$15,'BA History S2'!AB:AB, 1)</f>
        <v>3</v>
      </c>
      <c r="AJ15" s="2">
        <f>COUNTIFS('BA History S2'!$B:$B,$A$15,'BA History S2'!AC:AC, 1)</f>
        <v>2</v>
      </c>
      <c r="AK15" s="2">
        <f>COUNTIFS('BA History S2'!$B:$B,$A$15,'BA History S2'!AD:AD, 1)</f>
        <v>4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ht="15.75" x14ac:dyDescent="0.25">
      <c r="A16" s="2" t="s">
        <v>150</v>
      </c>
      <c r="B16" s="95" t="s">
        <v>79</v>
      </c>
      <c r="C16" s="95">
        <v>1</v>
      </c>
      <c r="D16" s="95"/>
      <c r="E16" s="95"/>
      <c r="F16" s="34">
        <f>SUMIFS('BA History S2'!C:C,'BA History S2'!B:B,A16)</f>
        <v>261</v>
      </c>
      <c r="G16" s="66">
        <f>AVERAGEIFS('BA History S2'!C:C,'BA History S2'!B:B,A16)</f>
        <v>18.642857142857142</v>
      </c>
      <c r="H16" s="35">
        <f t="array" ref="H16">MAX(IF('BA History S2'!B:B=A16, 'BA History S2'!C:C))</f>
        <v>30</v>
      </c>
      <c r="I16" s="34">
        <f>COUNTIFS('BA History S2'!B:B,A16,'BA History S2'!D:D, 1)</f>
        <v>10</v>
      </c>
      <c r="J16" s="2">
        <f>COUNTIFS('BA History S2'!B:B,A16,'BA History S2'!D:D, 0)</f>
        <v>4</v>
      </c>
      <c r="K16" s="75">
        <f>LOOKUP(2, 1/('BA History S2'!$B:$B=A16), 'BA History S2'!$AJ:$AJ)</f>
        <v>0.7142857142857143</v>
      </c>
      <c r="L16" s="34">
        <f>SUMIFS('BA History S2'!F:F,'BA History S2'!B:B,A16)</f>
        <v>34</v>
      </c>
      <c r="M16" s="2">
        <f>SUMIFS('BA History S2'!E:E,'BA History S2'!B:B,A16)-L16</f>
        <v>19</v>
      </c>
      <c r="N16" s="75">
        <f>LOOKUP(2, 1/('BA History S2'!$B:$B=A16), 'BA History S2'!$AH:$AH)</f>
        <v>0.65357142857142858</v>
      </c>
      <c r="O16" s="34">
        <f>SUMIFS('BA History S2'!H:H,'BA History S2'!B:B,A16)</f>
        <v>123</v>
      </c>
      <c r="P16" s="2">
        <f>SUMIFS('BA History S2'!G:G,'BA History S2'!B:B,A16)-O16</f>
        <v>90</v>
      </c>
      <c r="Q16" s="89">
        <f>LOOKUP(2, 1/('BA History S2'!$B:$B=A16), 'BA History S2'!$AI:$AI)</f>
        <v>0.59785714285714275</v>
      </c>
      <c r="R16" s="2">
        <f>COUNTIFS('BA History S2'!$B:$B,$A$16,'BA History S2'!K:K, 1)</f>
        <v>0</v>
      </c>
      <c r="S16" s="2">
        <f>COUNTIFS('BA History S2'!$B:$B,$A$16,'BA History S2'!L:L, 1)</f>
        <v>1</v>
      </c>
      <c r="T16" s="2">
        <f>COUNTIFS('BA History S2'!$B:$B,$A$16,'BA History S2'!M:M, 1)</f>
        <v>4</v>
      </c>
      <c r="U16" s="2">
        <f>COUNTIFS('BA History S2'!$B:$B,$A$16,'BA History S2'!N:N, 1)</f>
        <v>5</v>
      </c>
      <c r="V16" s="2">
        <f>COUNTIFS('BA History S2'!$B:$B,$A$16,'BA History S2'!O:O, 1)</f>
        <v>0</v>
      </c>
      <c r="W16" s="2">
        <f>COUNTIFS('BA History S2'!$B:$B,$A$16,'BA History S2'!P:P, 1)</f>
        <v>1</v>
      </c>
      <c r="X16" s="2">
        <f>COUNTIFS('BA History S2'!$B:$B,$A$16,'BA History S2'!Q:Q, 1)</f>
        <v>1</v>
      </c>
      <c r="Y16" s="2">
        <f>COUNTIFS('BA History S2'!$B:$B,$A$16,'BA History S2'!R:R, 1)</f>
        <v>0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2</v>
      </c>
      <c r="AG16" s="2">
        <f>COUNTIFS('BA History S2'!$B:$B,$A$16,'BA History S2'!Z:Z, 1)</f>
        <v>7</v>
      </c>
      <c r="AH16" s="2">
        <f>COUNTIFS('BA History S2'!$B:$B,$A$16,'BA History S2'!AA:AA, 1)</f>
        <v>0</v>
      </c>
      <c r="AI16" s="2">
        <f>COUNTIFS('BA History S2'!$B:$B,$A$16,'BA History S2'!AB:AB, 1)</f>
        <v>4</v>
      </c>
      <c r="AJ16" s="2">
        <f>COUNTIFS('BA History S2'!$B:$B,$A$16,'BA History S2'!AC:AC, 1)</f>
        <v>1</v>
      </c>
      <c r="AK16" s="2">
        <f>COUNTIFS('BA History S2'!$B:$B,$A$16,'BA History S2'!AD:AD, 1)</f>
        <v>2</v>
      </c>
      <c r="AL16" s="2">
        <f>COUNTIFS('BA History S2'!$B:$B,$A$16,'BA History S2'!AE:AE, 1)</f>
        <v>0</v>
      </c>
      <c r="AM16" s="2">
        <f>COUNTIFS('BA History S2'!$B:$B,$A$16,'BA History S2'!AF:AF, 1)</f>
        <v>3</v>
      </c>
    </row>
    <row r="17" spans="1:39" x14ac:dyDescent="0.25">
      <c r="A17" s="2" t="s">
        <v>46</v>
      </c>
      <c r="B17" s="1" t="s">
        <v>158</v>
      </c>
      <c r="F17" s="34">
        <f>SUMIFS('BA History S2'!C:C,'BA History S2'!B:B,A17)</f>
        <v>96</v>
      </c>
      <c r="G17" s="66">
        <f>AVERAGEIFS('BA History S2'!C:C,'BA History S2'!B:B,A17)</f>
        <v>16</v>
      </c>
      <c r="H17" s="35">
        <f t="array" ref="H17">MAX(IF('BA History S2'!B:B=A17, 'BA History S2'!C:C))</f>
        <v>34</v>
      </c>
      <c r="I17" s="34">
        <f>COUNTIFS('BA History S2'!B:B,A17,'BA History S2'!D:D, 1)</f>
        <v>1</v>
      </c>
      <c r="J17" s="2">
        <f>COUNTIFS('BA History S2'!B:B,A17,'BA History S2'!D:D, 0)</f>
        <v>5</v>
      </c>
      <c r="K17" s="75">
        <f>LOOKUP(2, 1/('BA History S2'!$B:$B=A17), 'BA History S2'!$AJ:$AJ)</f>
        <v>0.16666666666666666</v>
      </c>
      <c r="L17" s="34">
        <f>SUMIFS('BA History S2'!F:F,'BA History S2'!B:B,A17)</f>
        <v>8</v>
      </c>
      <c r="M17" s="2">
        <f>SUMIFS('BA History S2'!E:E,'BA History S2'!B:B,A17)-L17</f>
        <v>17</v>
      </c>
      <c r="N17" s="75">
        <f>LOOKUP(2, 1/('BA History S2'!$B:$B=A17), 'BA History S2'!$AH:$AH)</f>
        <v>0.27499999999999997</v>
      </c>
      <c r="O17" s="34">
        <f>SUMIFS('BA History S2'!H:H,'BA History S2'!B:B,A17)</f>
        <v>41</v>
      </c>
      <c r="P17" s="2">
        <f>SUMIFS('BA History S2'!G:G,'BA History S2'!B:B,A17)-O17</f>
        <v>62</v>
      </c>
      <c r="Q17" s="89">
        <f>LOOKUP(2, 1/('BA History S2'!$B:$B=A17), 'BA History S2'!$AI:$AI)</f>
        <v>0.35499999999999998</v>
      </c>
      <c r="R17" s="2">
        <f>COUNTIFS('BA History S2'!$B:$B,$A$17,'BA History S2'!K:K, 1)</f>
        <v>1</v>
      </c>
      <c r="S17" s="2">
        <f>COUNTIFS('BA History S2'!$B:$B,$A$17,'BA History S2'!L:L, 1)</f>
        <v>2</v>
      </c>
      <c r="T17" s="2">
        <f>COUNTIFS('BA History S2'!$B:$B,$A$17,'BA History S2'!M:M, 1)</f>
        <v>0</v>
      </c>
      <c r="U17" s="2">
        <f>COUNTIFS('BA History S2'!$B:$B,$A$17,'BA History S2'!N:N, 1)</f>
        <v>1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1</v>
      </c>
    </row>
    <row r="18" spans="1:39" x14ac:dyDescent="0.25">
      <c r="A18" s="2" t="s">
        <v>28</v>
      </c>
      <c r="B18" s="1" t="s">
        <v>79</v>
      </c>
      <c r="F18" s="34">
        <f>SUMIFS('BA History S2'!C:C,'BA History S2'!B:B,A18)</f>
        <v>26</v>
      </c>
      <c r="G18" s="66">
        <f>AVERAGEIFS('BA History S2'!C:C,'BA History S2'!B:B,A18)</f>
        <v>13</v>
      </c>
      <c r="H18" s="35">
        <f t="array" ref="H18">MAX(IF('BA History S2'!B:B=A18, 'BA History S2'!C:C))</f>
        <v>17</v>
      </c>
      <c r="I18" s="34">
        <f>COUNTIFS('BA History S2'!B:B,A18,'BA History S2'!D:D, 1)</f>
        <v>1</v>
      </c>
      <c r="J18" s="2">
        <f>COUNTIFS('BA History S2'!B:B,A18,'BA History S2'!D:D, 0)</f>
        <v>1</v>
      </c>
      <c r="K18" s="75">
        <f>LOOKUP(2, 1/('BA History S2'!$B:$B=A18), 'BA History S2'!$AJ:$AJ)</f>
        <v>0.5</v>
      </c>
      <c r="L18" s="34">
        <f>SUMIFS('BA History S2'!F:F,'BA History S2'!B:B,A18)</f>
        <v>3</v>
      </c>
      <c r="M18" s="2">
        <f>SUMIFS('BA History S2'!E:E,'BA History S2'!B:B,A18)-L18</f>
        <v>4</v>
      </c>
      <c r="N18" s="75">
        <f>LOOKUP(2, 1/('BA History S2'!$B:$B=A18), 'BA History S2'!$AH:$AH)</f>
        <v>0.375</v>
      </c>
      <c r="O18" s="34">
        <f>SUMIFS('BA History S2'!H:H,'BA History S2'!B:B,A18)</f>
        <v>12</v>
      </c>
      <c r="P18" s="2">
        <f>SUMIFS('BA History S2'!G:G,'BA History S2'!B:B,A18)-O18</f>
        <v>15</v>
      </c>
      <c r="Q18" s="89">
        <f>LOOKUP(2, 1/('BA History S2'!$B:$B=A18), 'BA History S2'!$AI:$AI)</f>
        <v>0.375</v>
      </c>
      <c r="R18" s="2">
        <f>COUNTIFS('BA History S2'!$B:$B,$A$18,'BA History S2'!K:K, 1)</f>
        <v>0</v>
      </c>
      <c r="S18" s="2">
        <f>COUNTIFS('BA History S2'!$B:$B,$A$18,'BA History S2'!L:L, 1)</f>
        <v>0</v>
      </c>
      <c r="T18" s="2">
        <f>COUNTIFS('BA History S2'!$B:$B,$A$18,'BA History S2'!M:M, 1)</f>
        <v>0</v>
      </c>
      <c r="U18" s="2">
        <f>COUNTIFS('BA History S2'!$B:$B,$A$18,'BA History S2'!N:N, 1)</f>
        <v>0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1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53</v>
      </c>
      <c r="B19" s="2" t="s">
        <v>79</v>
      </c>
      <c r="C19" s="2">
        <v>1</v>
      </c>
      <c r="D19" s="2"/>
      <c r="E19" s="2"/>
      <c r="F19" s="34">
        <f>SUMIFS('BA History S2'!C:C,'BA History S2'!B:B,A19)</f>
        <v>188</v>
      </c>
      <c r="G19" s="66">
        <f>AVERAGEIFS('BA History S2'!C:C,'BA History S2'!B:B,A19)</f>
        <v>13.428571428571429</v>
      </c>
      <c r="H19" s="35">
        <f t="array" ref="H19">MAX(IF('BA History S2'!B:B=A19, 'BA History S2'!C:C))</f>
        <v>27</v>
      </c>
      <c r="I19" s="34">
        <f>COUNTIFS('BA History S2'!B:B,A19,'BA History S2'!D:D, 1)</f>
        <v>3</v>
      </c>
      <c r="J19" s="2">
        <f>COUNTIFS('BA History S2'!B:B,A19,'BA History S2'!D:D, 0)</f>
        <v>11</v>
      </c>
      <c r="K19" s="75">
        <f>LOOKUP(2, 1/('BA History S2'!$B:$B=A19), 'BA History S2'!$AJ:$AJ)</f>
        <v>0.21428571428571427</v>
      </c>
      <c r="L19" s="34">
        <f>SUMIFS('BA History S2'!F:F,'BA History S2'!B:B,A19)</f>
        <v>21</v>
      </c>
      <c r="M19" s="2">
        <f>SUMIFS('BA History S2'!E:E,'BA History S2'!B:B,A19)-L19</f>
        <v>33</v>
      </c>
      <c r="N19" s="75">
        <f>LOOKUP(2, 1/('BA History S2'!$B:$B=A19), 'BA History S2'!$AH:$AH)</f>
        <v>0.40714285714285708</v>
      </c>
      <c r="O19" s="34">
        <f>SUMIFS('BA History S2'!H:H,'BA History S2'!B:B,A19)</f>
        <v>102</v>
      </c>
      <c r="P19" s="2">
        <f>SUMIFS('BA History S2'!G:G,'BA History S2'!B:B,A19)-O19</f>
        <v>125</v>
      </c>
      <c r="Q19" s="89">
        <f>LOOKUP(2, 1/('BA History S2'!$B:$B=A19), 'BA History S2'!$AI:$AI)</f>
        <v>0.45357142857142846</v>
      </c>
      <c r="R19" s="2">
        <f>COUNTIFS('BA History S2'!$B:$B,$A$19,'BA History S2'!K:K, 1)</f>
        <v>1</v>
      </c>
      <c r="S19" s="2">
        <f>COUNTIFS('BA History S2'!$B:$B,$A$19,'BA History S2'!L:L, 1)</f>
        <v>3</v>
      </c>
      <c r="T19" s="2">
        <f>COUNTIFS('BA History S2'!$B:$B,$A$19,'BA History S2'!M:M, 1)</f>
        <v>0</v>
      </c>
      <c r="U19" s="2">
        <f>COUNTIFS('BA History S2'!$B:$B,$A$19,'BA History S2'!N:N, 1)</f>
        <v>3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1</v>
      </c>
      <c r="AI19" s="2">
        <f>COUNTIFS('BA History S2'!$B:$B,$A$19,'BA History S2'!AB:AB, 1)</f>
        <v>3</v>
      </c>
      <c r="AJ19" s="2">
        <f>COUNTIFS('BA History S2'!$B:$B,$A$19,'BA History S2'!AC:AC, 1)</f>
        <v>2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3</v>
      </c>
    </row>
    <row r="20" spans="1:39" x14ac:dyDescent="0.25">
      <c r="A20" s="2" t="s">
        <v>148</v>
      </c>
      <c r="B20" s="2" t="s">
        <v>79</v>
      </c>
      <c r="C20" s="2"/>
      <c r="D20" s="2"/>
      <c r="E20" s="2"/>
      <c r="F20" s="34">
        <f>SUMIFS('BA History S2'!C:C,'BA History S2'!B:B,A20)</f>
        <v>2</v>
      </c>
      <c r="G20" s="66">
        <f>AVERAGEIFS('BA History S2'!C:C,'BA History S2'!B:B,A20)</f>
        <v>2</v>
      </c>
      <c r="H20" s="35">
        <f t="array" ref="H20">MAX(IF('BA History S2'!B:B=A20, 'BA History S2'!C:C))</f>
        <v>2</v>
      </c>
      <c r="I20" s="34">
        <f>COUNTIFS('BA History S2'!B:B,A20,'BA History S2'!D:D, 1)</f>
        <v>1</v>
      </c>
      <c r="J20" s="2">
        <f>COUNTIFS('BA History S2'!B:B,A20,'BA History S2'!D:D, 0)</f>
        <v>0</v>
      </c>
      <c r="K20" s="75">
        <f>LOOKUP(2, 1/('BA History S2'!$B:$B=A20), 'BA History S2'!$AJ:$AJ)</f>
        <v>1</v>
      </c>
      <c r="L20" s="34">
        <f>SUMIFS('BA History S2'!F:F,'BA History S2'!B:B,A20)</f>
        <v>3</v>
      </c>
      <c r="M20" s="2">
        <f>SUMIFS('BA History S2'!E:E,'BA History S2'!B:B,A20)-L20</f>
        <v>2</v>
      </c>
      <c r="N20" s="75">
        <f>LOOKUP(2, 1/('BA History S2'!$B:$B=A20), 'BA History S2'!$AH:$AH)</f>
        <v>0.6</v>
      </c>
      <c r="O20" s="34">
        <f>SUMIFS('BA History S2'!H:H,'BA History S2'!B:B,A20)</f>
        <v>10</v>
      </c>
      <c r="P20" s="2">
        <f>SUMIFS('BA History S2'!G:G,'BA History S2'!B:B,A20)-O20</f>
        <v>9</v>
      </c>
      <c r="Q20" s="89">
        <f>LOOKUP(2, 1/('BA History S2'!$B:$B=A20), 'BA History S2'!$AI:$AI)</f>
        <v>0.53</v>
      </c>
      <c r="R20" s="2">
        <f>COUNTIFS('BA History S2'!$B:$B,$A$20,'BA History S2'!K:K, 1)</f>
        <v>0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0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</row>
    <row r="21" spans="1:39" x14ac:dyDescent="0.25">
      <c r="A21" s="2" t="s">
        <v>161</v>
      </c>
      <c r="B21" s="2" t="s">
        <v>79</v>
      </c>
      <c r="C21" s="2"/>
      <c r="D21" s="2"/>
      <c r="E21" s="2"/>
      <c r="F21" s="34">
        <f>SUMIFS('BA History S2'!C:C,'BA History S2'!B:B,A21)</f>
        <v>85</v>
      </c>
      <c r="G21" s="66">
        <f>AVERAGEIFS('BA History S2'!C:C,'BA History S2'!B:B,A21)</f>
        <v>9.4444444444444446</v>
      </c>
      <c r="H21" s="35">
        <f t="array" ref="H21">MAX(IF('BA History S2'!B:B=A21, 'BA History S2'!C:C))</f>
        <v>24</v>
      </c>
      <c r="I21" s="34">
        <f>COUNTIFS('BA History S2'!B:B,A21,'BA History S2'!D:D, 1)</f>
        <v>5</v>
      </c>
      <c r="J21" s="2">
        <f>COUNTIFS('BA History S2'!B:B,A21,'BA History S2'!D:D, 0)</f>
        <v>4</v>
      </c>
      <c r="K21" s="75">
        <f>LOOKUP(2, 1/('BA History S2'!$B:$B=A21), 'BA History S2'!$AJ:$AJ)</f>
        <v>0.55555555555555558</v>
      </c>
      <c r="L21" s="34">
        <f>SUMIFS('BA History S2'!F:F,'BA History S2'!B:B,A21)</f>
        <v>21</v>
      </c>
      <c r="M21" s="2">
        <f>SUMIFS('BA History S2'!E:E,'BA History S2'!B:B,A21)-L21</f>
        <v>16</v>
      </c>
      <c r="N21" s="75">
        <f>LOOKUP(2, 1/('BA History S2'!$B:$B=A21), 'BA History S2'!$AH:$AH)</f>
        <v>0.58888888888888891</v>
      </c>
      <c r="O21" s="34">
        <f>SUMIFS('BA History S2'!H:H,'BA History S2'!B:B,A21)</f>
        <v>81</v>
      </c>
      <c r="P21" s="2">
        <f>SUMIFS('BA History S2'!G:G,'BA History S2'!B:B,A21)-O21</f>
        <v>76</v>
      </c>
      <c r="Q21" s="89">
        <f>LOOKUP(2, 1/('BA History S2'!$B:$B=A21), 'BA History S2'!$AI:$AI)</f>
        <v>0.53111111111111109</v>
      </c>
      <c r="R21" s="2">
        <f>COUNTIFS('BA History S2'!$B:$B,$A$21,'BA History S2'!K:K, 1)</f>
        <v>1</v>
      </c>
      <c r="S21" s="2">
        <f>COUNTIFS('BA History S2'!$B:$B,$A$21,'BA History S2'!L:L, 1)</f>
        <v>2</v>
      </c>
      <c r="T21" s="2">
        <f>COUNTIFS('BA History S2'!$B:$B,$A$21,'BA History S2'!M:M, 1)</f>
        <v>2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3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2</v>
      </c>
    </row>
    <row r="22" spans="1:39" x14ac:dyDescent="0.25">
      <c r="A22" s="2" t="s">
        <v>13</v>
      </c>
      <c r="B22" s="2" t="s">
        <v>79</v>
      </c>
      <c r="C22" s="2"/>
      <c r="D22" s="2"/>
      <c r="E22" s="2"/>
      <c r="F22" s="34">
        <f>SUMIFS('BA History S2'!C:C,'BA History S2'!B:B,A22)</f>
        <v>123</v>
      </c>
      <c r="G22" s="66">
        <f>AVERAGEIFS('BA History S2'!C:C,'BA History S2'!B:B,A22)</f>
        <v>15.375</v>
      </c>
      <c r="H22" s="35">
        <f t="array" ref="H22">MAX(IF('BA History S2'!B:B=A22, 'BA History S2'!C:C))</f>
        <v>23</v>
      </c>
      <c r="I22" s="34">
        <f>COUNTIFS('BA History S2'!B:B,A22,'BA History S2'!D:D, 1)</f>
        <v>4</v>
      </c>
      <c r="J22" s="2">
        <f>COUNTIFS('BA History S2'!B:B,A22,'BA History S2'!D:D, 0)</f>
        <v>4</v>
      </c>
      <c r="K22" s="75">
        <f>LOOKUP(2, 1/('BA History S2'!$B:$B=A22), 'BA History S2'!$AJ:$AJ)</f>
        <v>0.5</v>
      </c>
      <c r="L22" s="34">
        <f>SUMIFS('BA History S2'!F:F,'BA History S2'!B:B,A22)</f>
        <v>14</v>
      </c>
      <c r="M22" s="2">
        <f>SUMIFS('BA History S2'!E:E,'BA History S2'!B:B,A22)-L22</f>
        <v>14</v>
      </c>
      <c r="N22" s="75">
        <f>LOOKUP(2, 1/('BA History S2'!$B:$B=A22), 'BA History S2'!$AH:$AH)</f>
        <v>0.5</v>
      </c>
      <c r="O22" s="34">
        <f>SUMIFS('BA History S2'!H:H,'BA History S2'!B:B,A22)</f>
        <v>58</v>
      </c>
      <c r="P22" s="2">
        <f>SUMIFS('BA History S2'!G:G,'BA History S2'!B:B,A22)-O22</f>
        <v>64</v>
      </c>
      <c r="Q22" s="89">
        <f>LOOKUP(2, 1/('BA History S2'!$B:$B=A22), 'BA History S2'!$AI:$AI)</f>
        <v>0.46625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0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2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</row>
    <row r="23" spans="1:39" x14ac:dyDescent="0.25">
      <c r="A23" s="2" t="s">
        <v>2</v>
      </c>
      <c r="B23" s="1" t="s">
        <v>158</v>
      </c>
      <c r="C23" s="1">
        <v>1</v>
      </c>
      <c r="F23" s="34">
        <f>SUMIFS('BA History S2'!C:C,'BA History S2'!B:B,A23)</f>
        <v>207</v>
      </c>
      <c r="G23" s="66">
        <f>AVERAGEIFS('BA History S2'!C:C,'BA History S2'!B:B,A23)</f>
        <v>17.25</v>
      </c>
      <c r="H23" s="35">
        <f t="array" ref="H23">MAX(IF('BA History S2'!B:B=A23, 'BA History S2'!C:C))</f>
        <v>33</v>
      </c>
      <c r="I23" s="34">
        <f>COUNTIFS('BA History S2'!B:B,A23,'BA History S2'!D:D, 1)</f>
        <v>4</v>
      </c>
      <c r="J23" s="2">
        <f>COUNTIFS('BA History S2'!B:B,A23,'BA History S2'!D:D, 0)</f>
        <v>8</v>
      </c>
      <c r="K23" s="75">
        <f>LOOKUP(2, 1/('BA History S2'!$B:$B=A23), 'BA History S2'!$AJ:$AJ)</f>
        <v>0.33333333333333331</v>
      </c>
      <c r="L23" s="34">
        <f>SUMIFS('BA History S2'!F:F,'BA History S2'!B:B,A23)</f>
        <v>19</v>
      </c>
      <c r="M23" s="2">
        <f>SUMIFS('BA History S2'!E:E,'BA History S2'!B:B,A23)-L23</f>
        <v>27</v>
      </c>
      <c r="N23" s="75">
        <f>LOOKUP(2, 1/('BA History S2'!$B:$B=A23), 'BA History S2'!$AH:$AH)</f>
        <v>0.39999999999999997</v>
      </c>
      <c r="O23" s="34">
        <f>SUMIFS('BA History S2'!H:H,'BA History S2'!B:B,A23)</f>
        <v>96</v>
      </c>
      <c r="P23" s="2">
        <f>SUMIFS('BA History S2'!G:G,'BA History S2'!B:B,A23)-O23</f>
        <v>100</v>
      </c>
      <c r="Q23" s="89">
        <f>LOOKUP(2, 1/('BA History S2'!$B:$B=A23), 'BA History S2'!$AI:$AI)</f>
        <v>0.48083333333333339</v>
      </c>
      <c r="R23" s="2">
        <f>COUNTIFS('BA History S2'!$B:$B,$A$23,'BA History S2'!K:K, 1)</f>
        <v>1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2</v>
      </c>
      <c r="AK23" s="2">
        <f>COUNTIFS('BA History S2'!$B:$B,$A$23,'BA History S2'!AD:AD, 1)</f>
        <v>3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54</v>
      </c>
      <c r="B24" s="2" t="s">
        <v>79</v>
      </c>
      <c r="C24" s="2">
        <v>3</v>
      </c>
      <c r="D24" s="2">
        <v>1</v>
      </c>
      <c r="E24" s="2"/>
      <c r="F24" s="34">
        <f>SUMIFS('BA History S2'!C:C,'BA History S2'!B:B,A24)</f>
        <v>268</v>
      </c>
      <c r="G24" s="66">
        <f>AVERAGEIFS('BA History S2'!C:C,'BA History S2'!B:B,A24)</f>
        <v>22.333333333333332</v>
      </c>
      <c r="H24" s="35">
        <f t="array" ref="H24">MAX(IF('BA History S2'!B:B=A24, 'BA History S2'!C:C))</f>
        <v>47</v>
      </c>
      <c r="I24" s="34">
        <f>COUNTIFS('BA History S2'!B:B,A24,'BA History S2'!D:D, 1)</f>
        <v>6</v>
      </c>
      <c r="J24" s="2">
        <f>COUNTIFS('BA History S2'!B:B,A24,'BA History S2'!D:D, 0)</f>
        <v>6</v>
      </c>
      <c r="K24" s="75">
        <f>LOOKUP(2, 1/('BA History S2'!$B:$B=A24), 'BA History S2'!$AJ:$AJ)</f>
        <v>0.5</v>
      </c>
      <c r="L24" s="34">
        <f>SUMIFS('BA History S2'!F:F,'BA History S2'!B:B,A24)</f>
        <v>22</v>
      </c>
      <c r="M24" s="2">
        <f>SUMIFS('BA History S2'!E:E,'BA History S2'!B:B,A24)-L24</f>
        <v>22</v>
      </c>
      <c r="N24" s="75">
        <f>LOOKUP(2, 1/('BA History S2'!$B:$B=A24), 'BA History S2'!$AH:$AH)</f>
        <v>0.5</v>
      </c>
      <c r="O24" s="34">
        <f>SUMIFS('BA History S2'!H:H,'BA History S2'!B:B,A24)</f>
        <v>91</v>
      </c>
      <c r="P24" s="2">
        <f>SUMIFS('BA History S2'!G:G,'BA History S2'!B:B,A24)-O24</f>
        <v>89</v>
      </c>
      <c r="Q24" s="89">
        <f>LOOKUP(2, 1/('BA History S2'!$B:$B=A24), 'BA History S2'!$AI:$AI)</f>
        <v>0.5066666666666666</v>
      </c>
      <c r="R24" s="2">
        <f>COUNTIFS('BA History S2'!$B:$B,$A$24,'BA History S2'!K:K, 1)</f>
        <v>0</v>
      </c>
      <c r="S24" s="2">
        <f>COUNTIFS('BA History S2'!$B:$B,$A$24,'BA History S2'!L:L, 1)</f>
        <v>3</v>
      </c>
      <c r="T24" s="2">
        <f>COUNTIFS('BA History S2'!$B:$B,$A$24,'BA History S2'!M:M, 1)</f>
        <v>2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2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2</v>
      </c>
      <c r="AH24" s="2">
        <f>COUNTIFS('BA History S2'!$B:$B,$A$24,'BA History S2'!AA:AA, 1)</f>
        <v>0</v>
      </c>
      <c r="AI24" s="2">
        <f>COUNTIFS('BA History S2'!$B:$B,$A$24,'BA History S2'!AB:AB, 1)</f>
        <v>2</v>
      </c>
      <c r="AJ24" s="2">
        <f>COUNTIFS('BA History S2'!$B:$B,$A$24,'BA History S2'!AC:AC, 1)</f>
        <v>2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3</v>
      </c>
    </row>
    <row r="25" spans="1:39" x14ac:dyDescent="0.25">
      <c r="A25" s="2" t="s">
        <v>5</v>
      </c>
      <c r="B25" s="1" t="s">
        <v>158</v>
      </c>
      <c r="C25" s="1">
        <v>1</v>
      </c>
      <c r="D25" s="1">
        <v>1</v>
      </c>
      <c r="F25" s="34">
        <f>SUMIFS('BA History S2'!C:C,'BA History S2'!B:B,A25)</f>
        <v>284</v>
      </c>
      <c r="G25" s="66">
        <f>AVERAGEIFS('BA History S2'!C:C,'BA History S2'!B:B,A25)</f>
        <v>17.75</v>
      </c>
      <c r="H25" s="35">
        <f t="array" ref="H25">MAX(IF('BA History S2'!B:B=A25, 'BA History S2'!C:C))</f>
        <v>37</v>
      </c>
      <c r="I25" s="34">
        <f>COUNTIFS('BA History S2'!B:B,A25,'BA History S2'!D:D, 1)</f>
        <v>9</v>
      </c>
      <c r="J25" s="2">
        <f>COUNTIFS('BA History S2'!B:B,A25,'BA History S2'!D:D, 0)</f>
        <v>7</v>
      </c>
      <c r="K25" s="75">
        <f>LOOKUP(2, 1/('BA History S2'!$B:$B=A25), 'BA History S2'!$AJ:$AJ)</f>
        <v>0.5625</v>
      </c>
      <c r="L25" s="34">
        <f>SUMIFS('BA History S2'!F:F,'BA History S2'!B:B,A25)</f>
        <v>34</v>
      </c>
      <c r="M25" s="2">
        <f>SUMIFS('BA History S2'!E:E,'BA History S2'!B:B,A25)-L25</f>
        <v>31</v>
      </c>
      <c r="N25" s="75">
        <f>LOOKUP(2, 1/('BA History S2'!$B:$B=A25), 'BA History S2'!$AH:$AH)</f>
        <v>0.52187500000000009</v>
      </c>
      <c r="O25" s="34">
        <f>SUMIFS('BA History S2'!H:H,'BA History S2'!B:B,A25)</f>
        <v>138</v>
      </c>
      <c r="P25" s="2">
        <f>SUMIFS('BA History S2'!G:G,'BA History S2'!B:B,A25)-O25</f>
        <v>132</v>
      </c>
      <c r="Q25" s="89">
        <f>LOOKUP(2, 1/('BA History S2'!$B:$B=A25), 'BA History S2'!$AI:$AI)</f>
        <v>0.51500000000000001</v>
      </c>
      <c r="R25" s="2">
        <f>COUNTIFS('BA History S2'!$B:$B,$A$25,'BA History S2'!K:K, 1)</f>
        <v>1</v>
      </c>
      <c r="S25" s="2">
        <f>COUNTIFS('BA History S2'!$B:$B,$A$25,'BA History S2'!L:L, 1)</f>
        <v>4</v>
      </c>
      <c r="T25" s="2">
        <f>COUNTIFS('BA History S2'!$B:$B,$A$25,'BA History S2'!M:M, 1)</f>
        <v>5</v>
      </c>
      <c r="U25" s="2">
        <f>COUNTIFS('BA History S2'!$B:$B,$A$25,'BA History S2'!N:N, 1)</f>
        <v>5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2</v>
      </c>
      <c r="AG25" s="2">
        <f>COUNTIFS('BA History S2'!$B:$B,$A$25,'BA History S2'!Z:Z, 1)</f>
        <v>4</v>
      </c>
      <c r="AH25" s="2">
        <f>COUNTIFS('BA History S2'!$B:$B,$A$25,'BA History S2'!AA:AA, 1)</f>
        <v>1</v>
      </c>
      <c r="AI25" s="2">
        <f>COUNTIFS('BA History S2'!$B:$B,$A$25,'BA History S2'!AB:AB, 1)</f>
        <v>7</v>
      </c>
      <c r="AJ25" s="2">
        <f>COUNTIFS('BA History S2'!$B:$B,$A$25,'BA History S2'!AC:AC, 1)</f>
        <v>1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141</v>
      </c>
      <c r="B26" s="2" t="s">
        <v>79</v>
      </c>
      <c r="C26" s="2"/>
      <c r="D26" s="2"/>
      <c r="E26" s="2"/>
      <c r="F26" s="34">
        <f>SUMIFS('BA History S2'!C:C,'BA History S2'!B:B,A26)</f>
        <v>143</v>
      </c>
      <c r="G26" s="66">
        <f>AVERAGEIFS('BA History S2'!C:C,'BA History S2'!B:B,A26)</f>
        <v>14.3</v>
      </c>
      <c r="H26" s="35">
        <f t="array" ref="H26">MAX(IF('BA History S2'!B:B=A26, 'BA History S2'!C:C))</f>
        <v>20</v>
      </c>
      <c r="I26" s="34">
        <f>COUNTIFS('BA History S2'!B:B,A26,'BA History S2'!D:D, 1)</f>
        <v>6</v>
      </c>
      <c r="J26" s="2">
        <f>COUNTIFS('BA History S2'!B:B,A26,'BA History S2'!D:D, 0)</f>
        <v>4</v>
      </c>
      <c r="K26" s="75">
        <f>LOOKUP(2, 1/('BA History S2'!$B:$B=A26), 'BA History S2'!$AJ:$AJ)</f>
        <v>0.6</v>
      </c>
      <c r="L26" s="34">
        <f>SUMIFS('BA History S2'!F:F,'BA History S2'!B:B,A26)</f>
        <v>20</v>
      </c>
      <c r="M26" s="2">
        <f>SUMIFS('BA History S2'!E:E,'BA History S2'!B:B,A26)-L26</f>
        <v>19</v>
      </c>
      <c r="N26" s="75">
        <f>LOOKUP(2, 1/('BA History S2'!$B:$B=A26), 'BA History S2'!$AH:$AH)</f>
        <v>0.495</v>
      </c>
      <c r="O26" s="34">
        <f>SUMIFS('BA History S2'!H:H,'BA History S2'!B:B,A26)</f>
        <v>83</v>
      </c>
      <c r="P26" s="2">
        <f>SUMIFS('BA History S2'!G:G,'BA History S2'!B:B,A26)-O26</f>
        <v>80</v>
      </c>
      <c r="Q26" s="89">
        <f>LOOKUP(2, 1/('BA History S2'!$B:$B=A26), 'BA History S2'!$AI:$AI)</f>
        <v>0.502</v>
      </c>
      <c r="R26" s="2">
        <f>COUNTIFS('BA History S2'!$B:$B,$A$26,'BA History S2'!K:K, 1)</f>
        <v>1</v>
      </c>
      <c r="S26" s="2">
        <f>COUNTIFS('BA History S2'!$B:$B,$A$26,'BA History S2'!L:L, 1)</f>
        <v>1</v>
      </c>
      <c r="T26" s="2">
        <f>COUNTIFS('BA History S2'!$B:$B,$A$26,'BA History S2'!M:M, 1)</f>
        <v>1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1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2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40</v>
      </c>
      <c r="B27" s="2" t="s">
        <v>79</v>
      </c>
      <c r="C27" s="2"/>
      <c r="D27" s="2"/>
      <c r="E27" s="2"/>
      <c r="F27" s="34">
        <f>SUMIFS('BA History S2'!C:C,'BA History S2'!B:B,A27)</f>
        <v>382</v>
      </c>
      <c r="G27" s="66">
        <f>AVERAGEIFS('BA History S2'!C:C,'BA History S2'!B:B,A27)</f>
        <v>20.105263157894736</v>
      </c>
      <c r="H27" s="35">
        <f t="array" ref="H27">MAX(IF('BA History S2'!B:B=A27, 'BA History S2'!C:C))</f>
        <v>37</v>
      </c>
      <c r="I27" s="34">
        <f>COUNTIFS('BA History S2'!B:B,A27,'BA History S2'!D:D, 1)</f>
        <v>8</v>
      </c>
      <c r="J27" s="2">
        <f>COUNTIFS('BA History S2'!B:B,A27,'BA History S2'!D:D, 0)</f>
        <v>11</v>
      </c>
      <c r="K27" s="75">
        <f>LOOKUP(2, 1/('BA History S2'!$B:$B=A27), 'BA History S2'!$AJ:$AJ)</f>
        <v>0.42105263157894735</v>
      </c>
      <c r="L27" s="34">
        <f>SUMIFS('BA History S2'!F:F,'BA History S2'!B:B,A27)</f>
        <v>35</v>
      </c>
      <c r="M27" s="2">
        <f>SUMIFS('BA History S2'!E:E,'BA History S2'!B:B,A27)-L27</f>
        <v>42</v>
      </c>
      <c r="N27" s="75">
        <f>LOOKUP(2, 1/('BA History S2'!$B:$B=A27), 'BA History S2'!$AH:$AH)</f>
        <v>0.44210526315789478</v>
      </c>
      <c r="O27" s="34">
        <f>SUMIFS('BA History S2'!H:H,'BA History S2'!B:B,A27)</f>
        <v>160</v>
      </c>
      <c r="P27" s="2">
        <f>SUMIFS('BA History S2'!G:G,'BA History S2'!B:B,A27)-O27</f>
        <v>165</v>
      </c>
      <c r="Q27" s="89">
        <f>LOOKUP(2, 1/('BA History S2'!$B:$B=A27), 'BA History S2'!$AI:$AI)</f>
        <v>0.4852631578947369</v>
      </c>
      <c r="R27" s="2">
        <f>COUNTIFS('BA History S2'!$B:$B,$A$27,'BA History S2'!K:K, 1)</f>
        <v>0</v>
      </c>
      <c r="S27" s="2">
        <f>COUNTIFS('BA History S2'!$B:$B,$A$27,'BA History S2'!L:L, 1)</f>
        <v>4</v>
      </c>
      <c r="T27" s="2">
        <f>COUNTIFS('BA History S2'!$B:$B,$A$27,'BA History S2'!M:M, 1)</f>
        <v>4</v>
      </c>
      <c r="U27" s="2">
        <f>COUNTIFS('BA History S2'!$B:$B,$A$27,'BA History S2'!N:N, 1)</f>
        <v>4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5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3</v>
      </c>
      <c r="AK27" s="2">
        <f>COUNTIFS('BA History S2'!$B:$B,$A$27,'BA History S2'!AD:AD, 1)</f>
        <v>3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166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40</v>
      </c>
      <c r="G28" s="66">
        <f>AVERAGEIFS('BA History S2'!C:C,'BA History S2'!B:B,A28)</f>
        <v>10</v>
      </c>
      <c r="H28" s="35">
        <f t="array" ref="H28">MAX(IF('BA History S2'!B:B=A28, 'BA History S2'!C:C))</f>
        <v>21</v>
      </c>
      <c r="I28" s="34">
        <f>COUNTIFS('BA History S2'!B:B,A28,'BA History S2'!D:D, 1)</f>
        <v>3</v>
      </c>
      <c r="J28" s="2">
        <f>COUNTIFS('BA History S2'!B:B,A28,'BA History S2'!D:D, 0)</f>
        <v>1</v>
      </c>
      <c r="K28" s="75">
        <f>LOOKUP(2, 1/('BA History S2'!$B:$B=A28), 'BA History S2'!$AJ:$AJ)</f>
        <v>0.75</v>
      </c>
      <c r="L28" s="34">
        <f>SUMIFS('BA History S2'!F:F,'BA History S2'!B:B,A28)</f>
        <v>9</v>
      </c>
      <c r="M28" s="2">
        <f>SUMIFS('BA History S2'!E:E,'BA History S2'!B:B,A28)-L28</f>
        <v>8</v>
      </c>
      <c r="N28" s="75">
        <f>LOOKUP(2, 1/('BA History S2'!$B:$B=A28), 'BA History S2'!$AH:$AH)</f>
        <v>0.48750000000000004</v>
      </c>
      <c r="O28" s="34">
        <f>SUMIFS('BA History S2'!H:H,'BA History S2'!B:B,A28)</f>
        <v>38</v>
      </c>
      <c r="P28" s="2">
        <f>SUMIFS('BA History S2'!G:G,'BA History S2'!B:B,A28)-O28</f>
        <v>35</v>
      </c>
      <c r="Q28" s="89">
        <f>LOOKUP(2, 1/('BA History S2'!$B:$B=A28), 'BA History S2'!$AI:$AI)</f>
        <v>0.49249999999999999</v>
      </c>
      <c r="R28" s="2">
        <f>COUNTIFS('BA History S2'!$B:$B,$A$28,'BA History S2'!K:K, 1)</f>
        <v>1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1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147</v>
      </c>
      <c r="B29" s="2" t="s">
        <v>79</v>
      </c>
      <c r="C29" s="2"/>
      <c r="D29" s="2"/>
      <c r="E29" s="2"/>
      <c r="F29" s="34">
        <f>SUMIFS('BA History S2'!C:C,'BA History S2'!B:B,A29)</f>
        <v>186</v>
      </c>
      <c r="G29" s="66">
        <f>AVERAGEIFS('BA History S2'!C:C,'BA History S2'!B:B,A29)</f>
        <v>14.307692307692308</v>
      </c>
      <c r="H29" s="35">
        <f t="array" ref="H29">MAX(IF('BA History S2'!B:B=A29, 'BA History S2'!C:C))</f>
        <v>26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26</v>
      </c>
      <c r="M29" s="2">
        <f>SUMIFS('BA History S2'!E:E,'BA History S2'!B:B,A29)-L29</f>
        <v>28</v>
      </c>
      <c r="N29" s="75">
        <f>LOOKUP(2, 1/('BA History S2'!$B:$B=A29), 'BA History S2'!$AH:$AH)</f>
        <v>0.50384615384615383</v>
      </c>
      <c r="O29" s="34">
        <f>SUMIFS('BA History S2'!H:H,'BA History S2'!B:B,A29)</f>
        <v>116</v>
      </c>
      <c r="P29" s="2">
        <f>SUMIFS('BA History S2'!G:G,'BA History S2'!B:B,A29)-O29</f>
        <v>112</v>
      </c>
      <c r="Q29" s="89">
        <f>LOOKUP(2, 1/('BA History S2'!$B:$B=A29), 'BA History S2'!$AI:$AI)</f>
        <v>0.52076923076923076</v>
      </c>
      <c r="R29" s="2">
        <f>COUNTIFS('BA History S2'!$B:$B,$A$29,'BA History S2'!K:K, 1)</f>
        <v>1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1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5</v>
      </c>
      <c r="AJ29" s="2">
        <f>COUNTIFS('BA History S2'!$B:$B,$A$29,'BA History S2'!AC:AC, 1)</f>
        <v>0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17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254</v>
      </c>
      <c r="G30" s="66">
        <f>AVERAGEIFS('BA History S2'!C:C,'BA History S2'!B:B,A30)</f>
        <v>18.142857142857142</v>
      </c>
      <c r="H30" s="35">
        <f t="array" ref="H30">MAX(IF('BA History S2'!B:B=A30, 'BA History S2'!C:C))</f>
        <v>28</v>
      </c>
      <c r="I30" s="34">
        <f>COUNTIFS('BA History S2'!B:B,A30,'BA History S2'!D:D, 1)</f>
        <v>11</v>
      </c>
      <c r="J30" s="2">
        <f>COUNTIFS('BA History S2'!B:B,A30,'BA History S2'!D:D, 0)</f>
        <v>3</v>
      </c>
      <c r="K30" s="75">
        <f>LOOKUP(2, 1/('BA History S2'!$B:$B=A30), 'BA History S2'!$AJ:$AJ)</f>
        <v>0.7857142857142857</v>
      </c>
      <c r="L30" s="34">
        <f>SUMIFS('BA History S2'!F:F,'BA History S2'!B:B,A30)</f>
        <v>35</v>
      </c>
      <c r="M30" s="2">
        <f>SUMIFS('BA History S2'!E:E,'BA History S2'!B:B,A30)-L30</f>
        <v>20</v>
      </c>
      <c r="N30" s="75">
        <f>LOOKUP(2, 1/('BA History S2'!$B:$B=A30), 'BA History S2'!$AH:$AH)</f>
        <v>0.64642857142857135</v>
      </c>
      <c r="O30" s="34">
        <f>SUMIFS('BA History S2'!H:H,'BA History S2'!B:B,A30)</f>
        <v>124</v>
      </c>
      <c r="P30" s="2">
        <f>SUMIFS('BA History S2'!G:G,'BA History S2'!B:B,A30)-O30</f>
        <v>102</v>
      </c>
      <c r="Q30" s="89">
        <f>LOOKUP(2, 1/('BA History S2'!$B:$B=A30), 'BA History S2'!$AI:$AI)</f>
        <v>0.54428571428571426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4</v>
      </c>
      <c r="U30" s="2">
        <f>COUNTIFS('BA History S2'!$B:$B,$A$30,'BA History S2'!N:N, 1)</f>
        <v>2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2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1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1</v>
      </c>
      <c r="AM30" s="2">
        <f>COUNTIFS('BA History S2'!$B:$B,$A$30,'BA History S2'!AF:AF, 1)</f>
        <v>3</v>
      </c>
    </row>
    <row r="31" spans="1:39" x14ac:dyDescent="0.25">
      <c r="A31" s="2" t="s">
        <v>6</v>
      </c>
      <c r="B31" s="1" t="s">
        <v>158</v>
      </c>
      <c r="D31" s="1">
        <v>1</v>
      </c>
      <c r="E31" s="1">
        <v>1</v>
      </c>
      <c r="F31" s="34">
        <f>SUMIFS('BA History S2'!C:C,'BA History S2'!B:B,A31)</f>
        <v>470</v>
      </c>
      <c r="G31" s="66">
        <f>AVERAGEIFS('BA History S2'!C:C,'BA History S2'!B:B,A31)</f>
        <v>22.38095238095238</v>
      </c>
      <c r="H31" s="35">
        <f t="array" ref="H31">MAX(IF('BA History S2'!B:B=A31, 'BA History S2'!C:C))</f>
        <v>36</v>
      </c>
      <c r="I31" s="34">
        <f>COUNTIFS('BA History S2'!B:B,A31,'BA History S2'!D:D, 1)</f>
        <v>12</v>
      </c>
      <c r="J31" s="2">
        <f>COUNTIFS('BA History S2'!B:B,A31,'BA History S2'!D:D, 0)</f>
        <v>9</v>
      </c>
      <c r="K31" s="75">
        <f>LOOKUP(2, 1/('BA History S2'!$B:$B=A31), 'BA History S2'!$AJ:$AJ)</f>
        <v>0.5714285714285714</v>
      </c>
      <c r="L31" s="34">
        <f>SUMIFS('BA History S2'!F:F,'BA History S2'!B:B,A31)</f>
        <v>44</v>
      </c>
      <c r="M31" s="2">
        <f>SUMIFS('BA History S2'!E:E,'BA History S2'!B:B,A31)-L31</f>
        <v>37</v>
      </c>
      <c r="N31" s="75">
        <f>LOOKUP(2, 1/('BA History S2'!$B:$B=A31), 'BA History S2'!$AH:$AH)</f>
        <v>0.54761904761904767</v>
      </c>
      <c r="O31" s="34">
        <f>SUMIFS('BA History S2'!H:H,'BA History S2'!B:B,A31)</f>
        <v>173</v>
      </c>
      <c r="P31" s="2">
        <f>SUMIFS('BA History S2'!G:G,'BA History S2'!B:B,A31)-O31</f>
        <v>165</v>
      </c>
      <c r="Q31" s="89">
        <f>LOOKUP(2, 1/('BA History S2'!$B:$B=A31), 'BA History S2'!$AI:$AI)</f>
        <v>0.50809523809523804</v>
      </c>
      <c r="R31" s="2">
        <f>COUNTIFS('BA History S2'!$B:$B,$A$31,'BA History S2'!K:K, 1)</f>
        <v>2</v>
      </c>
      <c r="S31" s="2">
        <f>COUNTIFS('BA History S2'!$B:$B,$A$31,'BA History S2'!L:L, 1)</f>
        <v>3</v>
      </c>
      <c r="T31" s="2">
        <f>COUNTIFS('BA History S2'!$B:$B,$A$31,'BA History S2'!M:M, 1)</f>
        <v>5</v>
      </c>
      <c r="U31" s="2">
        <f>COUNTIFS('BA History S2'!$B:$B,$A$31,'BA History S2'!N:N, 1)</f>
        <v>3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6</v>
      </c>
      <c r="AH31" s="2">
        <f>COUNTIFS('BA History S2'!$B:$B,$A$31,'BA History S2'!AA:AA, 1)</f>
        <v>1</v>
      </c>
      <c r="AI31" s="2">
        <f>COUNTIFS('BA History S2'!$B:$B,$A$31,'BA History S2'!AB:AB, 1)</f>
        <v>7</v>
      </c>
      <c r="AJ31" s="2">
        <f>COUNTIFS('BA History S2'!$B:$B,$A$31,'BA History S2'!AC:AC, 1)</f>
        <v>4</v>
      </c>
      <c r="AK31" s="2">
        <f>COUNTIFS('BA History S2'!$B:$B,$A$31,'BA History S2'!AD:AD, 1)</f>
        <v>1</v>
      </c>
      <c r="AL31" s="2">
        <f>COUNTIFS('BA History S2'!$B:$B,$A$31,'BA History S2'!AE:AE, 1)</f>
        <v>1</v>
      </c>
      <c r="AM31" s="2">
        <f>COUNTIFS('BA History S2'!$B:$B,$A$31,'BA History S2'!AF:AF, 1)</f>
        <v>4</v>
      </c>
    </row>
    <row r="32" spans="1:39" x14ac:dyDescent="0.25">
      <c r="A32" s="2" t="s">
        <v>18</v>
      </c>
      <c r="B32" s="1" t="s">
        <v>79</v>
      </c>
      <c r="F32" s="34">
        <f>SUMIFS('BA History S2'!C:C,'BA History S2'!B:B,A32)</f>
        <v>32</v>
      </c>
      <c r="G32" s="66">
        <f>AVERAGEIFS('BA History S2'!C:C,'BA History S2'!B:B,A32)</f>
        <v>16</v>
      </c>
      <c r="H32" s="35">
        <f t="array" ref="H32">MAX(IF('BA History S2'!B:B=A32, 'BA History S2'!C:C))</f>
        <v>22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S2'!$AJ:$AJ)</f>
        <v>0.5</v>
      </c>
      <c r="L32" s="34">
        <f>SUMIFS('BA History S2'!F:F,'BA History S2'!B:B,A32)</f>
        <v>3</v>
      </c>
      <c r="M32" s="2">
        <f>SUMIFS('BA History S2'!E:E,'BA History S2'!B:B,A32)-L32</f>
        <v>3</v>
      </c>
      <c r="N32" s="75">
        <f>LOOKUP(2, 1/('BA History S2'!$B:$B=A32), 'BA History S2'!$AH:$AH)</f>
        <v>0.5</v>
      </c>
      <c r="O32" s="34">
        <f>SUMIFS('BA History S2'!H:H,'BA History S2'!B:B,A32)</f>
        <v>13</v>
      </c>
      <c r="P32" s="2">
        <f>SUMIFS('BA History S2'!G:G,'BA History S2'!B:B,A32)-O32</f>
        <v>14</v>
      </c>
      <c r="Q32" s="89">
        <f>LOOKUP(2, 1/('BA History S2'!$B:$B=A32), 'BA History S2'!$AI:$AI)</f>
        <v>0.47499999999999998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0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1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178</v>
      </c>
      <c r="B33" s="1" t="s">
        <v>79</v>
      </c>
      <c r="C33" s="1">
        <v>1</v>
      </c>
      <c r="F33" s="34">
        <f>SUMIFS('BA History S2'!C:C,'BA History S2'!B:B,A33)</f>
        <v>26</v>
      </c>
      <c r="G33" s="66">
        <f>AVERAGEIFS('BA History S2'!C:C,'BA History S2'!B:B,A33)</f>
        <v>13</v>
      </c>
      <c r="H33" s="35">
        <f t="array" ref="H33">MAX(IF('BA History S2'!B:B=A33, 'BA History S2'!C:C))</f>
        <v>16</v>
      </c>
      <c r="I33" s="34">
        <f>COUNTIFS('BA History S2'!B:B,A33,'BA History S2'!D:D, 1)</f>
        <v>0</v>
      </c>
      <c r="J33" s="2">
        <f>COUNTIFS('BA History S2'!B:B,A33,'BA History S2'!D:D, 0)</f>
        <v>2</v>
      </c>
      <c r="K33" s="75">
        <f>LOOKUP(2, 1/('BA History S2'!$B:$B=A33), 'BA History S2'!$AJ:$AJ)</f>
        <v>0</v>
      </c>
      <c r="L33" s="34">
        <f>SUMIFS('BA History S2'!F:F,'BA History S2'!B:B,A33)</f>
        <v>3</v>
      </c>
      <c r="M33" s="2">
        <f>SUMIFS('BA History S2'!E:E,'BA History S2'!B:B,A33)-L33</f>
        <v>6</v>
      </c>
      <c r="N33" s="75">
        <f>LOOKUP(2, 1/('BA History S2'!$B:$B=A33), 'BA History S2'!$AH:$AH)</f>
        <v>0.32500000000000001</v>
      </c>
      <c r="O33" s="34">
        <f>SUMIFS('BA History S2'!H:H,'BA History S2'!B:B,A33)</f>
        <v>19</v>
      </c>
      <c r="P33" s="2">
        <f>SUMIFS('BA History S2'!G:G,'BA History S2'!B:B,A33)-O33</f>
        <v>22</v>
      </c>
      <c r="Q33" s="89">
        <f>LOOKUP(2, 1/('BA History S2'!$B:$B=A33), 'BA History S2'!$AI:$AI)</f>
        <v>0.46499999999999997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113</v>
      </c>
      <c r="B34" s="2" t="s">
        <v>79</v>
      </c>
      <c r="C34" s="2">
        <v>1</v>
      </c>
      <c r="D34" s="2">
        <v>1</v>
      </c>
      <c r="E34" s="2"/>
      <c r="F34" s="34">
        <f>SUMIFS('BA History S2'!C:C,'BA History S2'!B:B,A34)</f>
        <v>365</v>
      </c>
      <c r="G34" s="66">
        <f>AVERAGEIFS('BA History S2'!C:C,'BA History S2'!B:B,A34)</f>
        <v>19.210526315789473</v>
      </c>
      <c r="H34" s="35">
        <f t="array" ref="H34">MAX(IF('BA History S2'!B:B=A34, 'BA History S2'!C:C))</f>
        <v>36</v>
      </c>
      <c r="I34" s="34">
        <f>COUNTIFS('BA History S2'!B:B,A34,'BA History S2'!D:D, 1)</f>
        <v>10</v>
      </c>
      <c r="J34" s="2">
        <f>COUNTIFS('BA History S2'!B:B,A34,'BA History S2'!D:D, 0)</f>
        <v>9</v>
      </c>
      <c r="K34" s="75">
        <f>LOOKUP(2, 1/('BA History S2'!$B:$B=A34), 'BA History S2'!$AJ:$AJ)</f>
        <v>0.52631578947368418</v>
      </c>
      <c r="L34" s="34">
        <f>SUMIFS('BA History S2'!F:F,'BA History S2'!B:B,A34)</f>
        <v>41</v>
      </c>
      <c r="M34" s="2">
        <f>SUMIFS('BA History S2'!E:E,'BA History S2'!B:B,A34)-L34</f>
        <v>34</v>
      </c>
      <c r="N34" s="75">
        <f>LOOKUP(2, 1/('BA History S2'!$B:$B=A34), 'BA History S2'!$AH:$AH)</f>
        <v>0.56842105263157894</v>
      </c>
      <c r="O34" s="34">
        <f>SUMIFS('BA History S2'!H:H,'BA History S2'!B:B,A34)</f>
        <v>165</v>
      </c>
      <c r="P34" s="2">
        <f>SUMIFS('BA History S2'!G:G,'BA History S2'!B:B,A34)-O34</f>
        <v>150</v>
      </c>
      <c r="Q34" s="89">
        <f>LOOKUP(2, 1/('BA History S2'!$B:$B=A34), 'BA History S2'!$AI:$AI)</f>
        <v>0.55000000000000004</v>
      </c>
      <c r="R34" s="2">
        <f>COUNTIFS('BA History S2'!$B:$B,$A$34,'BA History S2'!K:K, 1)</f>
        <v>0</v>
      </c>
      <c r="S34" s="2">
        <f>COUNTIFS('BA History S2'!$B:$B,$A$34,'BA History S2'!L:L, 1)</f>
        <v>5</v>
      </c>
      <c r="T34" s="2">
        <f>COUNTIFS('BA History S2'!$B:$B,$A$34,'BA History S2'!M:M, 1)</f>
        <v>2</v>
      </c>
      <c r="U34" s="2">
        <f>COUNTIFS('BA History S2'!$B:$B,$A$34,'BA History S2'!N:N, 1)</f>
        <v>3</v>
      </c>
      <c r="V34" s="2">
        <f>COUNTIFS('BA History S2'!$B:$B,$A$34,'BA History S2'!O:O, 1)</f>
        <v>1</v>
      </c>
      <c r="W34" s="2">
        <f>COUNTIFS('BA History S2'!$B:$B,$A$34,'BA History S2'!P:P, 1)</f>
        <v>1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S2'!$B:$B,$A$34,'BA History S2'!AA:AA, 1)</f>
        <v>0</v>
      </c>
      <c r="AI34" s="2">
        <f>COUNTIFS('BA History S2'!$B:$B,$A$34,'BA History S2'!AB:AB, 1)</f>
        <v>7</v>
      </c>
      <c r="AJ34" s="2">
        <f>COUNTIFS('BA History S2'!$B:$B,$A$34,'BA History S2'!AC:AC, 1)</f>
        <v>4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4</v>
      </c>
    </row>
    <row r="35" spans="1:39" x14ac:dyDescent="0.25">
      <c r="A35" s="2" t="s">
        <v>14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66</v>
      </c>
      <c r="G35" s="66">
        <f>AVERAGEIFS('BA History S2'!C:C,'BA History S2'!B:B,A35)</f>
        <v>13.2</v>
      </c>
      <c r="H35" s="35">
        <f t="array" ref="H35">MAX(IF('BA History S2'!B:B=A35, 'BA History S2'!C:C))</f>
        <v>21</v>
      </c>
      <c r="I35" s="34">
        <f>COUNTIFS('BA History S2'!B:B,A35,'BA History S2'!D:D, 1)</f>
        <v>2</v>
      </c>
      <c r="J35" s="2">
        <f>COUNTIFS('BA History S2'!B:B,A35,'BA History S2'!D:D, 0)</f>
        <v>3</v>
      </c>
      <c r="K35" s="75">
        <f>LOOKUP(2, 1/('BA History S2'!$B:$B=A35), 'BA History S2'!$AJ:$AJ)</f>
        <v>0.4</v>
      </c>
      <c r="L35" s="34">
        <f>SUMIFS('BA History S2'!F:F,'BA History S2'!B:B,A35)</f>
        <v>8</v>
      </c>
      <c r="M35" s="2">
        <f>SUMIFS('BA History S2'!E:E,'BA History S2'!B:B,A35)-L35</f>
        <v>11</v>
      </c>
      <c r="N35" s="75">
        <f>LOOKUP(2, 1/('BA History S2'!$B:$B=A35), 'BA History S2'!$AH:$AH)</f>
        <v>0.42000000000000004</v>
      </c>
      <c r="O35" s="34">
        <f>SUMIFS('BA History S2'!H:H,'BA History S2'!B:B,A35)</f>
        <v>34</v>
      </c>
      <c r="P35" s="2">
        <f>SUMIFS('BA History S2'!G:G,'BA History S2'!B:B,A35)-O35</f>
        <v>43</v>
      </c>
      <c r="Q35" s="89">
        <f>LOOKUP(2, 1/('BA History S2'!$B:$B=A35), 'BA History S2'!$AI:$AI)</f>
        <v>0.41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0</v>
      </c>
      <c r="AH35" s="2">
        <f>COUNTIFS('BA History S2'!$B:$B,$A$35,'BA History S2'!AA:AA, 1)</f>
        <v>0</v>
      </c>
      <c r="AI35" s="2">
        <f>COUNTIFS('BA History S2'!$B:$B,$A$35,'BA History S2'!AB:AB, 1)</f>
        <v>3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</row>
    <row r="36" spans="1:39" x14ac:dyDescent="0.25">
      <c r="A36" s="2" t="s">
        <v>70</v>
      </c>
      <c r="B36" s="2" t="s">
        <v>79</v>
      </c>
      <c r="C36" s="2"/>
      <c r="D36" s="2"/>
      <c r="E36" s="2"/>
      <c r="F36" s="34">
        <f>SUMIFS('BA History S2'!C:C,'BA History S2'!B:B,A36)</f>
        <v>16</v>
      </c>
      <c r="G36" s="66">
        <f>AVERAGEIFS('BA History S2'!C:C,'BA History S2'!B:B,A36)</f>
        <v>8</v>
      </c>
      <c r="H36" s="35">
        <f t="array" ref="H36">MAX(IF('BA History S2'!B:B=A36, 'BA History S2'!C:C))</f>
        <v>9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S2'!$AJ:$AJ)</f>
        <v>0</v>
      </c>
      <c r="L36" s="34">
        <f>SUMIFS('BA History S2'!F:F,'BA History S2'!B:B,A36)</f>
        <v>2</v>
      </c>
      <c r="M36" s="2">
        <f>SUMIFS('BA History S2'!E:E,'BA History S2'!B:B,A36)-L36</f>
        <v>6</v>
      </c>
      <c r="N36" s="75">
        <f>LOOKUP(2, 1/('BA History S2'!$B:$B=A36), 'BA History S2'!$AH:$AH)</f>
        <v>0.25</v>
      </c>
      <c r="O36" s="34">
        <f>SUMIFS('BA History S2'!H:H,'BA History S2'!B:B,A36)</f>
        <v>14</v>
      </c>
      <c r="P36" s="2">
        <f>SUMIFS('BA History S2'!G:G,'BA History S2'!B:B,A36)-O36</f>
        <v>19</v>
      </c>
      <c r="Q36" s="89">
        <f>LOOKUP(2, 1/('BA History S2'!$B:$B=A36), 'BA History S2'!$AI:$AI)</f>
        <v>0.42000000000000004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S2'!$B:$B,$A$36,'BA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0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</row>
    <row r="37" spans="1:39" x14ac:dyDescent="0.25">
      <c r="A37" s="2" t="s">
        <v>4</v>
      </c>
      <c r="B37" s="1" t="s">
        <v>158</v>
      </c>
      <c r="C37" s="1">
        <v>1</v>
      </c>
      <c r="D37" s="1">
        <v>1</v>
      </c>
      <c r="F37" s="34">
        <f>SUMIFS('BA History S2'!C:C,'BA History S2'!B:B,A37)</f>
        <v>346</v>
      </c>
      <c r="G37" s="66">
        <f>AVERAGEIFS('BA History S2'!C:C,'BA History S2'!B:B,A37)</f>
        <v>26.615384615384617</v>
      </c>
      <c r="H37" s="35">
        <f t="array" ref="H37">MAX(IF('BA History S2'!B:B=A37, 'BA History S2'!C:C))</f>
        <v>38</v>
      </c>
      <c r="I37" s="34">
        <f>COUNTIFS('BA History S2'!B:B,A37,'BA History S2'!D:D, 1)</f>
        <v>8</v>
      </c>
      <c r="J37" s="2">
        <f>COUNTIFS('BA History S2'!B:B,A37,'BA History S2'!D:D, 0)</f>
        <v>5</v>
      </c>
      <c r="K37" s="75">
        <f>LOOKUP(2, 1/('BA History S2'!$B:$B=A37), 'BA History S2'!$AJ:$AJ)</f>
        <v>0.61538461538461542</v>
      </c>
      <c r="L37" s="34">
        <f>SUMIFS('BA History S2'!F:F,'BA History S2'!B:B,A37)</f>
        <v>30</v>
      </c>
      <c r="M37" s="2">
        <f>SUMIFS('BA History S2'!E:E,'BA History S2'!B:B,A37)-L37</f>
        <v>24</v>
      </c>
      <c r="N37" s="75">
        <f>LOOKUP(2, 1/('BA History S2'!$B:$B=A37), 'BA History S2'!$AH:$AH)</f>
        <v>0.57307692307692304</v>
      </c>
      <c r="O37" s="34">
        <f>SUMIFS('BA History S2'!H:H,'BA History S2'!B:B,A37)</f>
        <v>120</v>
      </c>
      <c r="P37" s="2">
        <f>SUMIFS('BA History S2'!G:G,'BA History S2'!B:B,A37)-O37</f>
        <v>112</v>
      </c>
      <c r="Q37" s="89">
        <f>LOOKUP(2, 1/('BA History S2'!$B:$B=A37), 'BA History S2'!$AI:$AI)</f>
        <v>0.52153846153846151</v>
      </c>
      <c r="R37" s="2">
        <f>COUNTIFS('BA History S2'!$B:$B,$A$37,'BA History S2'!K:K, 1)</f>
        <v>2</v>
      </c>
      <c r="S37" s="2">
        <f>COUNTIFS('BA History S2'!$B:$B,$A$37,'BA History S2'!L:L, 1)</f>
        <v>3</v>
      </c>
      <c r="T37" s="2">
        <f>COUNTIFS('BA History S2'!$B:$B,$A$37,'BA History S2'!M:M, 1)</f>
        <v>3</v>
      </c>
      <c r="U37" s="2">
        <f>COUNTIFS('BA History S2'!$B:$B,$A$37,'BA History S2'!N:N, 1)</f>
        <v>3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1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1</v>
      </c>
      <c r="AH37" s="2">
        <f>COUNTIFS('BA History S2'!$B:$B,$A$37,'BA History S2'!AA:AA, 1)</f>
        <v>0</v>
      </c>
      <c r="AI37" s="2">
        <f>COUNTIFS('BA History S2'!$B:$B,$A$37,'BA History S2'!AB:AB, 1)</f>
        <v>6</v>
      </c>
      <c r="AJ37" s="2">
        <f>COUNTIFS('BA History S2'!$B:$B,$A$37,'BA History S2'!AC:AC, 1)</f>
        <v>4</v>
      </c>
      <c r="AK37" s="2">
        <f>COUNTIFS('BA History S2'!$B:$B,$A$37,'BA History S2'!AD:AD, 1)</f>
        <v>2</v>
      </c>
      <c r="AL37" s="2">
        <f>COUNTIFS('BA History S2'!$B:$B,$A$37,'BA History S2'!AE:AE, 1)</f>
        <v>1</v>
      </c>
      <c r="AM37" s="2">
        <f>COUNTIFS('BA History S2'!$B:$B,$A$37,'BA History S2'!AF:AF, 1)</f>
        <v>1</v>
      </c>
    </row>
    <row r="38" spans="1:39" x14ac:dyDescent="0.25">
      <c r="A38" s="1" t="s">
        <v>107</v>
      </c>
      <c r="B38" s="2" t="s">
        <v>79</v>
      </c>
      <c r="C38" s="2"/>
      <c r="D38" s="2"/>
      <c r="E38" s="2"/>
      <c r="F38" s="34">
        <f>SUMIFS('BA History S2'!C:C,'BA History S2'!B:B,A38)</f>
        <v>247</v>
      </c>
      <c r="G38" s="66">
        <f>AVERAGEIFS('BA History S2'!C:C,'BA History S2'!B:B,A38)</f>
        <v>14.529411764705882</v>
      </c>
      <c r="H38" s="35">
        <f t="array" ref="H38">MAX(IF('BA History S2'!B:B=A38, 'BA History S2'!C:C))</f>
        <v>27</v>
      </c>
      <c r="I38" s="34">
        <f>COUNTIFS('BA History S2'!B:B,A38,'BA History S2'!D:D, 1)</f>
        <v>9</v>
      </c>
      <c r="J38" s="2">
        <f>COUNTIFS('BA History S2'!B:B,A38,'BA History S2'!D:D, 0)</f>
        <v>8</v>
      </c>
      <c r="K38" s="75">
        <f>LOOKUP(2, 1/('BA History S2'!$B:$B=A38), 'BA History S2'!$AJ:$AJ)</f>
        <v>0.52941176470588236</v>
      </c>
      <c r="L38" s="34">
        <f>SUMIFS('BA History S2'!F:F,'BA History S2'!B:B,A38)</f>
        <v>31</v>
      </c>
      <c r="M38" s="2">
        <f>SUMIFS('BA History S2'!E:E,'BA History S2'!B:B,A38)-L38</f>
        <v>35</v>
      </c>
      <c r="N38" s="75">
        <f>LOOKUP(2, 1/('BA History S2'!$B:$B=A38), 'BA History S2'!$AH:$AH)</f>
        <v>0.438235294117647</v>
      </c>
      <c r="O38" s="34">
        <f>SUMIFS('BA History S2'!H:H,'BA History S2'!B:B,A38)</f>
        <v>133</v>
      </c>
      <c r="P38" s="2">
        <f>SUMIFS('BA History S2'!G:G,'BA History S2'!B:B,A38)-O38</f>
        <v>139</v>
      </c>
      <c r="Q38" s="89">
        <f>LOOKUP(2, 1/('BA History S2'!$B:$B=A38), 'BA History S2'!$AI:$AI)</f>
        <v>0.47529411764705881</v>
      </c>
      <c r="R38" s="2">
        <f>COUNTIFS('BA History S2'!$B:$B,$A$38,'BA History S2'!K:K, 1)</f>
        <v>3</v>
      </c>
      <c r="S38" s="2">
        <f>COUNTIFS('BA History S2'!$B:$B,$A$38,'BA History S2'!L:L, 1)</f>
        <v>1</v>
      </c>
      <c r="T38" s="2">
        <f>COUNTIFS('BA History S2'!$B:$B,$A$38,'BA History S2'!M:M, 1)</f>
        <v>5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3</v>
      </c>
      <c r="AH38" s="2">
        <f>COUNTIFS('BA History S2'!$B:$B,$A$38,'BA History S2'!AA:AA, 1)</f>
        <v>0</v>
      </c>
      <c r="AI38" s="2">
        <f>COUNTIFS('BA History S2'!$B:$B,$A$38,'BA History S2'!AB:AB, 1)</f>
        <v>4</v>
      </c>
      <c r="AJ38" s="2">
        <f>COUNTIFS('BA History S2'!$B:$B,$A$38,'BA History S2'!AC:AC, 1)</f>
        <v>2</v>
      </c>
      <c r="AK38" s="2">
        <f>COUNTIFS('BA History S2'!$B:$B,$A$38,'BA History S2'!AD:AD, 1)</f>
        <v>4</v>
      </c>
      <c r="AL38" s="2">
        <f>COUNTIFS('BA History S2'!$B:$B,$A$38,'BA History S2'!AE:AE, 1)</f>
        <v>0</v>
      </c>
      <c r="AM38" s="2">
        <f>COUNTIFS('BA History S2'!$B:$B,$A$38,'BA History S2'!AF:AF, 1)</f>
        <v>2</v>
      </c>
    </row>
  </sheetData>
  <autoFilter ref="A1:AM38" xr:uid="{DA548192-1F03-46EA-8AB8-115EB9A7CE5D}">
    <sortState xmlns:xlrd2="http://schemas.microsoft.com/office/spreadsheetml/2017/richdata2" ref="A2:AM38">
      <sortCondition ref="A1:A38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  <row r="300" spans="1:36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1</v>
      </c>
      <c r="AG300" s="86">
        <f>AVERAGEIFS($C$2:C300, $B$2:B300, B300)</f>
        <v>18.307692307692307</v>
      </c>
      <c r="AH300" s="86">
        <f>AVERAGEIFS($I$2:I300, $B$2:B300, B300)</f>
        <v>0.61923076923076914</v>
      </c>
      <c r="AI300" s="86">
        <f>AVERAGEIFS($J$2:J300, $B$2:B300, B300)</f>
        <v>0.533076923076923</v>
      </c>
      <c r="AJ300" s="86">
        <f>AVERAGEIFS($D$2:D300, $B$2:B300, B300)</f>
        <v>0.76923076923076927</v>
      </c>
    </row>
    <row r="301" spans="1:36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1</v>
      </c>
      <c r="AG301" s="86">
        <f>AVERAGEIFS($C$2:C301, $B$2:B301, B301)</f>
        <v>15.444444444444445</v>
      </c>
      <c r="AH301" s="86">
        <f>AVERAGEIFS($I$2:I301, $B$2:B301, B301)</f>
        <v>0.37222222222222223</v>
      </c>
      <c r="AI301" s="86">
        <f>AVERAGEIFS($J$2:J301, $B$2:B301, B301)</f>
        <v>0.43222222222222217</v>
      </c>
      <c r="AJ301" s="86">
        <f>AVERAGEIFS($D$2:D301, $B$2:B301, B301)</f>
        <v>0.33333333333333331</v>
      </c>
    </row>
    <row r="302" spans="1:36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1</v>
      </c>
      <c r="AG302" s="86">
        <f>AVERAGEIFS($C$2:C302, $B$2:B302, B302)</f>
        <v>22</v>
      </c>
      <c r="AH302" s="86">
        <f>AVERAGEIFS($I$2:I302, $B$2:B302, B302)</f>
        <v>0.54545454545454541</v>
      </c>
      <c r="AI302" s="86">
        <f>AVERAGEIFS($J$2:J302, $B$2:B302, B302)</f>
        <v>0.52454545454545454</v>
      </c>
      <c r="AJ302" s="86">
        <f>AVERAGEIFS($D$2:D302, $B$2:B302, B302)</f>
        <v>0.54545454545454541</v>
      </c>
    </row>
    <row r="303" spans="1:36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1</v>
      </c>
      <c r="AG303" s="86">
        <f>AVERAGEIFS($C$2:C303, $B$2:B303, B303)</f>
        <v>18.333333333333332</v>
      </c>
      <c r="AH303" s="86">
        <f>AVERAGEIFS($I$2:I303, $B$2:B303, B303)</f>
        <v>0.55666666666666675</v>
      </c>
      <c r="AI303" s="86">
        <f>AVERAGEIFS($J$2:J303, $B$2:B303, B303)</f>
        <v>0.52533333333333332</v>
      </c>
      <c r="AJ303" s="86">
        <f>AVERAGEIFS($D$2:D303, $B$2:B303, B303)</f>
        <v>0.6</v>
      </c>
    </row>
    <row r="304" spans="1:36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1</v>
      </c>
      <c r="AG304" s="86">
        <f>AVERAGEIFS($C$2:C304, $B$2:B304, B304)</f>
        <v>9.4444444444444446</v>
      </c>
      <c r="AH304" s="86">
        <f>AVERAGEIFS($I$2:I304, $B$2:B304, B304)</f>
        <v>0.58888888888888891</v>
      </c>
      <c r="AI304" s="86">
        <f>AVERAGEIFS($J$2:J304, $B$2:B304, B304)</f>
        <v>0.53111111111111109</v>
      </c>
      <c r="AJ304" s="86">
        <f>AVERAGEIFS($D$2:D304, $B$2:B304, B304)</f>
        <v>0.55555555555555558</v>
      </c>
    </row>
    <row r="305" spans="1:36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1</v>
      </c>
      <c r="AG305" s="86">
        <f>AVERAGEIFS($C$2:C305, $B$2:B305, B305)</f>
        <v>11</v>
      </c>
      <c r="AH305" s="86">
        <f>AVERAGEIFS($I$2:I305, $B$2:B305, B305)</f>
        <v>0.75</v>
      </c>
      <c r="AI305" s="86">
        <f>AVERAGEIFS($J$2:J305, $B$2:B305, B305)</f>
        <v>0.67</v>
      </c>
      <c r="AJ305" s="86">
        <f>AVERAGEIFS($D$2:D305, $B$2:B305, B305)</f>
        <v>1</v>
      </c>
    </row>
    <row r="306" spans="1:36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86">
        <f>AVERAGEIFS($C$2:C306, $B$2:B306, B306)</f>
        <v>14.375</v>
      </c>
      <c r="AH306" s="86">
        <f>AVERAGEIFS($I$2:I306, $B$2:B306, B306)</f>
        <v>0.49375000000000002</v>
      </c>
      <c r="AI306" s="86">
        <f>AVERAGEIFS($J$2:J306, $B$2:B306, B306)</f>
        <v>0.49624999999999997</v>
      </c>
      <c r="AJ306" s="86">
        <f>AVERAGEIFS($D$2:D306, $B$2:B306, B306)</f>
        <v>0.625</v>
      </c>
    </row>
    <row r="307" spans="1:36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86">
        <f>AVERAGEIFS($C$2:C307, $B$2:B307, B307)</f>
        <v>14.583333333333334</v>
      </c>
      <c r="AH307" s="86">
        <f>AVERAGEIFS($I$2:I307, $B$2:B307, B307)</f>
        <v>0.46249999999999997</v>
      </c>
      <c r="AI307" s="86">
        <f>AVERAGEIFS($J$2:J307, $B$2:B307, B307)</f>
        <v>0.51083333333333336</v>
      </c>
      <c r="AJ307" s="86">
        <f>AVERAGEIFS($D$2:D307, $B$2:B307, B307)</f>
        <v>0.33333333333333331</v>
      </c>
    </row>
    <row r="308" spans="1:36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86">
        <f>AVERAGEIFS($C$2:C308, $B$2:B308, B308)</f>
        <v>19.076923076923077</v>
      </c>
      <c r="AH308" s="86">
        <f>AVERAGEIFS($I$2:I308, $B$2:B308, B308)</f>
        <v>0.7038461538461539</v>
      </c>
      <c r="AI308" s="86">
        <f>AVERAGEIFS($J$2:J308, $B$2:B308, B308)</f>
        <v>0.61615384615384616</v>
      </c>
      <c r="AJ308" s="86">
        <f>AVERAGEIFS($D$2:D308, $B$2:B308, B308)</f>
        <v>0.76923076923076927</v>
      </c>
    </row>
    <row r="309" spans="1:36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86">
        <f>AVERAGEIFS($C$2:C309, $B$2:B309, B309)</f>
        <v>26.25</v>
      </c>
      <c r="AH309" s="86">
        <f>AVERAGEIFS($I$2:I309, $B$2:B309, B309)</f>
        <v>0.53749999999999998</v>
      </c>
      <c r="AI309" s="86">
        <f>AVERAGEIFS($J$2:J309, $B$2:B309, B309)</f>
        <v>0.50749999999999995</v>
      </c>
      <c r="AJ309" s="86">
        <f>AVERAGEIFS($D$2:D309, $B$2:B309, B309)</f>
        <v>0.58333333333333337</v>
      </c>
    </row>
    <row r="310" spans="1:36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86">
        <f>AVERAGEIFS($C$2:C310, $B$2:B310, B310)</f>
        <v>17.444444444444443</v>
      </c>
      <c r="AH310" s="86">
        <f>AVERAGEIFS($I$2:I310, $B$2:B310, B310)</f>
        <v>0.43611111111111112</v>
      </c>
      <c r="AI310" s="86">
        <f>AVERAGEIFS($J$2:J310, $B$2:B310, B310)</f>
        <v>0.44555555555555565</v>
      </c>
      <c r="AJ310" s="86">
        <f>AVERAGEIFS($D$2:D310, $B$2:B310, B310)</f>
        <v>0.44444444444444442</v>
      </c>
    </row>
    <row r="311" spans="1:36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86">
        <f>AVERAGEIFS($C$2:C311, $B$2:B311, B311)</f>
        <v>13.25</v>
      </c>
      <c r="AH311" s="86">
        <f>AVERAGEIFS($I$2:I311, $B$2:B311, B311)</f>
        <v>0.41249999999999998</v>
      </c>
      <c r="AI311" s="86">
        <f>AVERAGEIFS($J$2:J311, $B$2:B311, B311)</f>
        <v>0.44000000000000006</v>
      </c>
      <c r="AJ311" s="86">
        <f>AVERAGEIFS($D$2:D311, $B$2:B311, B311)</f>
        <v>0.25</v>
      </c>
    </row>
    <row r="312" spans="1:36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20.5</v>
      </c>
      <c r="AH312" s="86">
        <f>AVERAGEIFS($I$2:I312, $B$2:B312, B312)</f>
        <v>0.46666666666666667</v>
      </c>
      <c r="AI312" s="86">
        <f>AVERAGEIFS($J$2:J312, $B$2:B312, B312)</f>
        <v>0.49222222222222228</v>
      </c>
      <c r="AJ312" s="86">
        <f>AVERAGEIFS($D$2:D312, $B$2:B312, B312)</f>
        <v>0.44444444444444442</v>
      </c>
    </row>
    <row r="313" spans="1:36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22.333333333333332</v>
      </c>
      <c r="AH313" s="86">
        <f>AVERAGEIFS($I$2:I313, $B$2:B313, B313)</f>
        <v>0.5</v>
      </c>
      <c r="AI313" s="86">
        <f>AVERAGEIFS($J$2:J313, $B$2:B313, B313)</f>
        <v>0.5066666666666666</v>
      </c>
      <c r="AJ313" s="86">
        <f>AVERAGEIFS($D$2:D313, $B$2:B313, B313)</f>
        <v>0.5</v>
      </c>
    </row>
    <row r="314" spans="1:36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17.25</v>
      </c>
      <c r="AH314" s="86">
        <f>AVERAGEIFS($I$2:I314, $B$2:B314, B314)</f>
        <v>0.39999999999999997</v>
      </c>
      <c r="AI314" s="86">
        <f>AVERAGEIFS($J$2:J314, $B$2:B314, B314)</f>
        <v>0.48083333333333339</v>
      </c>
      <c r="AJ314" s="86">
        <f>AVERAGEIFS($D$2:D314, $B$2:B314, B314)</f>
        <v>0.33333333333333331</v>
      </c>
    </row>
    <row r="315" spans="1:36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19.444444444444443</v>
      </c>
      <c r="AH315" s="86">
        <f>AVERAGEIFS($I$2:I315, $B$2:B315, B315)</f>
        <v>0.54444444444444451</v>
      </c>
      <c r="AI315" s="86">
        <f>AVERAGEIFS($J$2:J315, $B$2:B315, B315)</f>
        <v>0.54500000000000004</v>
      </c>
      <c r="AJ315" s="86">
        <f>AVERAGEIFS($D$2:D315, $B$2:B315, B315)</f>
        <v>0.5</v>
      </c>
    </row>
    <row r="316" spans="1:36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13.428571428571429</v>
      </c>
      <c r="AH316" s="86">
        <f>AVERAGEIFS($I$2:I316, $B$2:B316, B316)</f>
        <v>0.40714285714285708</v>
      </c>
      <c r="AI316" s="86">
        <f>AVERAGEIFS($J$2:J316, $B$2:B316, B316)</f>
        <v>0.45357142857142846</v>
      </c>
      <c r="AJ316" s="86">
        <f>AVERAGEIFS($D$2:D316, $B$2:B316, B316)</f>
        <v>0.21428571428571427</v>
      </c>
    </row>
    <row r="317" spans="1:36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22</v>
      </c>
      <c r="AH317" s="86">
        <f>AVERAGEIFS($I$2:I317, $B$2:B317, B317)</f>
        <v>0</v>
      </c>
      <c r="AI317" s="86">
        <f>AVERAGEIFS($J$2:J317, $B$2:B317, B317)</f>
        <v>0.31</v>
      </c>
      <c r="AJ317" s="86">
        <f>AVERAGEIFS($D$2:D317, $B$2:B317, B317)</f>
        <v>0</v>
      </c>
    </row>
    <row r="318" spans="1:36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15.5</v>
      </c>
      <c r="AH318" s="86">
        <f>AVERAGEIFS($I$2:I318, $B$2:B318, B318)</f>
        <v>0.33500000000000002</v>
      </c>
      <c r="AI318" s="86">
        <f>AVERAGEIFS($J$2:J318, $B$2:B318, B318)</f>
        <v>0.41999999999999993</v>
      </c>
      <c r="AJ318" s="86">
        <f>AVERAGEIFS($D$2:D318, $B$2:B318, B318)</f>
        <v>0.3</v>
      </c>
    </row>
    <row r="319" spans="1:36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15.142857142857142</v>
      </c>
      <c r="AH319" s="86">
        <f>AVERAGEIFS($I$2:I319, $B$2:B319, B319)</f>
        <v>0.42857142857142855</v>
      </c>
      <c r="AI319" s="86">
        <f>AVERAGEIFS($J$2:J319, $B$2:B319, B319)</f>
        <v>0.44142857142857139</v>
      </c>
      <c r="AJ319" s="86">
        <f>AVERAGEIFS($D$2:D319, $B$2:B319, B319)</f>
        <v>0.42857142857142855</v>
      </c>
    </row>
    <row r="320" spans="1:36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1</v>
      </c>
      <c r="AD320">
        <v>0</v>
      </c>
      <c r="AE320">
        <v>0</v>
      </c>
      <c r="AF320">
        <v>0</v>
      </c>
      <c r="AG320" s="86">
        <f>AVERAGEIFS($C$2:C320, $B$2:B320, B320)</f>
        <v>17.05263157894737</v>
      </c>
      <c r="AH320" s="86">
        <f>AVERAGEIFS($I$2:I320, $B$2:B320, B320)</f>
        <v>0.46578947368421053</v>
      </c>
      <c r="AI320" s="86">
        <f>AVERAGEIFS($J$2:J320, $B$2:B320, B320)</f>
        <v>0.45842105263157901</v>
      </c>
      <c r="AJ320" s="86">
        <f>AVERAGEIFS($D$2:D320, $B$2:B320, B320)</f>
        <v>0.47368421052631576</v>
      </c>
    </row>
    <row r="321" spans="1:36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1</v>
      </c>
      <c r="AD321">
        <v>0</v>
      </c>
      <c r="AE321">
        <v>0</v>
      </c>
      <c r="AF321">
        <v>0</v>
      </c>
      <c r="AG321" s="86">
        <f>AVERAGEIFS($C$2:C321, $B$2:B321, B321)</f>
        <v>27.3125</v>
      </c>
      <c r="AH321" s="86">
        <f>AVERAGEIFS($I$2:I321, $B$2:B321, B321)</f>
        <v>0.57187500000000002</v>
      </c>
      <c r="AI321" s="86">
        <f>AVERAGEIFS($J$2:J321, $B$2:B321, B321)</f>
        <v>0.55562499999999992</v>
      </c>
      <c r="AJ321" s="86">
        <f>AVERAGEIFS($D$2:D321, $B$2:B321, B321)</f>
        <v>0.5625</v>
      </c>
    </row>
    <row r="322" spans="1:36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1</v>
      </c>
      <c r="AD322">
        <v>0</v>
      </c>
      <c r="AE322">
        <v>0</v>
      </c>
      <c r="AF322">
        <v>0</v>
      </c>
      <c r="AG322" s="86">
        <f>AVERAGEIFS($C$2:C322, $B$2:B322, B322)</f>
        <v>22.85</v>
      </c>
      <c r="AH322" s="86">
        <f>AVERAGEIFS($I$2:I322, $B$2:B322, B322)</f>
        <v>0.52500000000000002</v>
      </c>
      <c r="AI322" s="86">
        <f>AVERAGEIFS($J$2:J322, $B$2:B322, B322)</f>
        <v>0.50149999999999995</v>
      </c>
      <c r="AJ322" s="86">
        <f>AVERAGEIFS($D$2:D322, $B$2:B322, B322)</f>
        <v>0.55000000000000004</v>
      </c>
    </row>
    <row r="323" spans="1:36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1</v>
      </c>
      <c r="AD323">
        <v>0</v>
      </c>
      <c r="AE323">
        <v>0</v>
      </c>
      <c r="AF323">
        <v>0</v>
      </c>
      <c r="AG323" s="86">
        <f>AVERAGEIFS($C$2:C323, $B$2:B323, B323)</f>
        <v>26.615384615384617</v>
      </c>
      <c r="AH323" s="86">
        <f>AVERAGEIFS($I$2:I323, $B$2:B323, B323)</f>
        <v>0.57307692307692304</v>
      </c>
      <c r="AI323" s="86">
        <f>AVERAGEIFS($J$2:J323, $B$2:B323, B323)</f>
        <v>0.52153846153846151</v>
      </c>
      <c r="AJ323" s="86">
        <f>AVERAGEIFS($D$2:D323, $B$2:B323, B323)</f>
        <v>0.61538461538461542</v>
      </c>
    </row>
    <row r="324" spans="1:36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1</v>
      </c>
      <c r="AD324">
        <v>0</v>
      </c>
      <c r="AE324">
        <v>0</v>
      </c>
      <c r="AF324">
        <v>0</v>
      </c>
      <c r="AG324" s="86">
        <f>AVERAGEIFS($C$2:C324, $B$2:B324, B324)</f>
        <v>18.142857142857142</v>
      </c>
      <c r="AH324" s="86">
        <f>AVERAGEIFS($I$2:I324, $B$2:B324, B324)</f>
        <v>0.64642857142857135</v>
      </c>
      <c r="AI324" s="86">
        <f>AVERAGEIFS($J$2:J324, $B$2:B324, B324)</f>
        <v>0.54428571428571426</v>
      </c>
      <c r="AJ324" s="86">
        <f>AVERAGEIFS($D$2:D324, $B$2:B324, B324)</f>
        <v>0.7857142857142857</v>
      </c>
    </row>
    <row r="325" spans="1:36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1</v>
      </c>
      <c r="AD325">
        <v>0</v>
      </c>
      <c r="AE325">
        <v>0</v>
      </c>
      <c r="AF325">
        <v>0</v>
      </c>
      <c r="AG325" s="86">
        <f>AVERAGEIFS($C$2:C325, $B$2:B325, B325)</f>
        <v>14.333333333333334</v>
      </c>
      <c r="AH325" s="86">
        <f>AVERAGEIFS($I$2:I325, $B$2:B325, B325)</f>
        <v>0.55000000000000004</v>
      </c>
      <c r="AI325" s="86">
        <f>AVERAGEIFS($J$2:J325, $B$2:B325, B325)</f>
        <v>0.51777777777777778</v>
      </c>
      <c r="AJ325" s="86">
        <f>AVERAGEIFS($D$2:D325, $B$2:B325, B325)</f>
        <v>0.66666666666666663</v>
      </c>
    </row>
    <row r="326" spans="1:36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 s="86">
        <f>AVERAGEIFS($C$2:C326, $B$2:B326, B326)</f>
        <v>13.2</v>
      </c>
      <c r="AH326" s="86">
        <f>AVERAGEIFS($I$2:I326, $B$2:B326, B326)</f>
        <v>0.42000000000000004</v>
      </c>
      <c r="AI326" s="86">
        <f>AVERAGEIFS($J$2:J326, $B$2:B326, B326)</f>
        <v>0.41</v>
      </c>
      <c r="AJ326" s="86">
        <f>AVERAGEIFS($D$2:D326, $B$2:B326, B326)</f>
        <v>0.4</v>
      </c>
    </row>
    <row r="327" spans="1:36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 s="86">
        <f>AVERAGEIFS($C$2:C327, $B$2:B327, B327)</f>
        <v>16.833333333333332</v>
      </c>
      <c r="AH327" s="86">
        <f>AVERAGEIFS($I$2:I327, $B$2:B327, B327)</f>
        <v>0.6</v>
      </c>
      <c r="AI327" s="86">
        <f>AVERAGEIFS($J$2:J327, $B$2:B327, B327)</f>
        <v>0.55722222222222217</v>
      </c>
      <c r="AJ327" s="86">
        <f>AVERAGEIFS($D$2:D327, $B$2:B327, B327)</f>
        <v>0.66666666666666663</v>
      </c>
    </row>
    <row r="328" spans="1:36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 s="86">
        <f>AVERAGEIFS($C$2:C328, $B$2:B328, B328)</f>
        <v>16.7</v>
      </c>
      <c r="AH328" s="86">
        <f>AVERAGEIFS($I$2:I328, $B$2:B328, B328)</f>
        <v>0.49249999999999999</v>
      </c>
      <c r="AI328" s="86">
        <f>AVERAGEIFS($J$2:J328, $B$2:B328, B328)</f>
        <v>0.46750000000000008</v>
      </c>
      <c r="AJ328" s="86">
        <f>AVERAGEIFS($D$2:D328, $B$2:B328, B328)</f>
        <v>0.5</v>
      </c>
    </row>
    <row r="329" spans="1:36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 s="86">
        <f>AVERAGEIFS($C$2:C329, $B$2:B329, B329)</f>
        <v>22.38095238095238</v>
      </c>
      <c r="AH329" s="86">
        <f>AVERAGEIFS($I$2:I329, $B$2:B329, B329)</f>
        <v>0.54761904761904767</v>
      </c>
      <c r="AI329" s="86">
        <f>AVERAGEIFS($J$2:J329, $B$2:B329, B329)</f>
        <v>0.50809523809523804</v>
      </c>
      <c r="AJ329" s="86">
        <f>AVERAGEIFS($D$2:D329, $B$2:B329, B329)</f>
        <v>0.5714285714285714</v>
      </c>
    </row>
    <row r="330" spans="1:36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 s="86">
        <f>AVERAGEIFS($C$2:C330, $B$2:B330, B330)</f>
        <v>19.210526315789473</v>
      </c>
      <c r="AH330" s="86">
        <f>AVERAGEIFS($I$2:I330, $B$2:B330, B330)</f>
        <v>0.56842105263157894</v>
      </c>
      <c r="AI330" s="86">
        <f>AVERAGEIFS($J$2:J330, $B$2:B330, B330)</f>
        <v>0.55000000000000004</v>
      </c>
      <c r="AJ330" s="86">
        <f>AVERAGEIFS($D$2:D330, $B$2:B330, B330)</f>
        <v>0.52631578947368418</v>
      </c>
    </row>
    <row r="331" spans="1:36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1</v>
      </c>
      <c r="AC331">
        <v>0</v>
      </c>
      <c r="AD331">
        <v>0</v>
      </c>
      <c r="AE331">
        <v>0</v>
      </c>
      <c r="AF331">
        <v>0</v>
      </c>
      <c r="AG331" s="86">
        <f>AVERAGEIFS($C$2:C331, $B$2:B331, B331)</f>
        <v>16</v>
      </c>
      <c r="AH331" s="86">
        <f>AVERAGEIFS($I$2:I331, $B$2:B331, B331)</f>
        <v>0.5</v>
      </c>
      <c r="AI331" s="86">
        <f>AVERAGEIFS($J$2:J331, $B$2:B331, B331)</f>
        <v>0.47499999999999998</v>
      </c>
      <c r="AJ331" s="86">
        <f>AVERAGEIFS($D$2:D331, $B$2:B331, B331)</f>
        <v>0.5</v>
      </c>
    </row>
    <row r="332" spans="1:36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1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14.307692307692308</v>
      </c>
      <c r="AH332" s="86">
        <f>AVERAGEIFS($I$2:I332, $B$2:B332, B332)</f>
        <v>0.50384615384615383</v>
      </c>
      <c r="AI332" s="86">
        <f>AVERAGEIFS($J$2:J332, $B$2:B332, B332)</f>
        <v>0.52076923076923076</v>
      </c>
      <c r="AJ332" s="86">
        <f>AVERAGEIFS($D$2:D332, $B$2:B332, B332)</f>
        <v>0.38461538461538464</v>
      </c>
    </row>
    <row r="333" spans="1:36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1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15.375</v>
      </c>
      <c r="AH333" s="86">
        <f>AVERAGEIFS($I$2:I333, $B$2:B333, B333)</f>
        <v>0.5</v>
      </c>
      <c r="AI333" s="86">
        <f>AVERAGEIFS($J$2:J333, $B$2:B333, B333)</f>
        <v>0.46625</v>
      </c>
      <c r="AJ333" s="86">
        <f>AVERAGEIFS($D$2:D333, $B$2:B333, B333)</f>
        <v>0.5</v>
      </c>
    </row>
    <row r="334" spans="1:36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20.105263157894736</v>
      </c>
      <c r="AH334" s="86">
        <f>AVERAGEIFS($I$2:I334, $B$2:B334, B334)</f>
        <v>0.44210526315789478</v>
      </c>
      <c r="AI334" s="86">
        <f>AVERAGEIFS($J$2:J334, $B$2:B334, B334)</f>
        <v>0.4852631578947369</v>
      </c>
      <c r="AJ334" s="86">
        <f>AVERAGEIFS($D$2:D334, $B$2:B334, B334)</f>
        <v>0.42105263157894735</v>
      </c>
    </row>
    <row r="335" spans="1:36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17.75</v>
      </c>
      <c r="AH335" s="86">
        <f>AVERAGEIFS($I$2:I335, $B$2:B335, B335)</f>
        <v>0.52187500000000009</v>
      </c>
      <c r="AI335" s="86">
        <f>AVERAGEIFS($J$2:J335, $B$2:B335, B335)</f>
        <v>0.51500000000000001</v>
      </c>
      <c r="AJ335" s="86">
        <f>AVERAGEIFS($D$2:D335, $B$2:B335, B335)</f>
        <v>0.5625</v>
      </c>
    </row>
    <row r="336" spans="1:36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18.642857142857142</v>
      </c>
      <c r="AH336" s="86">
        <f>AVERAGEIFS($I$2:I336, $B$2:B336, B336)</f>
        <v>0.65357142857142858</v>
      </c>
      <c r="AI336" s="86">
        <f>AVERAGEIFS($J$2:J336, $B$2:B336, B336)</f>
        <v>0.59785714285714275</v>
      </c>
      <c r="AJ336" s="86">
        <f>AVERAGEIFS($D$2:D336, $B$2:B336, B336)</f>
        <v>0.7142857142857143</v>
      </c>
    </row>
    <row r="337" spans="1:36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14.3</v>
      </c>
      <c r="AH337" s="86">
        <f>AVERAGEIFS($I$2:I337, $B$2:B337, B337)</f>
        <v>0.495</v>
      </c>
      <c r="AI337" s="86">
        <f>AVERAGEIFS($J$2:J337, $B$2:B337, B337)</f>
        <v>0.502</v>
      </c>
      <c r="AJ337" s="86">
        <f>AVERAGEIFS($D$2:D337, $B$2:B337, B337)</f>
        <v>0.6</v>
      </c>
    </row>
    <row r="338" spans="1:36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86">
        <f>AVERAGEIFS($C$2:C338, $B$2:B338, B338)</f>
        <v>9.5</v>
      </c>
      <c r="AH338" s="86">
        <f>AVERAGEIFS($I$2:I338, $B$2:B338, B338)</f>
        <v>0.375</v>
      </c>
      <c r="AI338" s="86">
        <f>AVERAGEIFS($J$2:J338, $B$2:B338, B338)</f>
        <v>0.51500000000000001</v>
      </c>
      <c r="AJ338" s="86">
        <f>AVERAGEIFS($D$2:D338, $B$2:B338, B338)</f>
        <v>0.5</v>
      </c>
    </row>
    <row r="339" spans="1:36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86">
        <f>AVERAGEIFS($C$2:C339, $B$2:B339, B339)</f>
        <v>9</v>
      </c>
      <c r="AH339" s="86">
        <f>AVERAGEIFS($I$2:I339, $B$2:B339, B339)</f>
        <v>8.3333333333333329E-2</v>
      </c>
      <c r="AI339" s="86">
        <f>AVERAGEIFS($J$2:J339, $B$2:B339, B339)</f>
        <v>0.3</v>
      </c>
      <c r="AJ339" s="86">
        <f>AVERAGEIFS($D$2:D339, $B$2:B339, B339)</f>
        <v>0</v>
      </c>
    </row>
  </sheetData>
  <autoFilter ref="A1:AJ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07"/>
  <sheetViews>
    <sheetView tabSelected="1" workbookViewId="0">
      <selection activeCell="AL15" sqref="AL1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2" sqref="A2:A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97</v>
      </c>
      <c r="E5" s="4">
        <f>AVERAGEIFS('Tourney History'!C:C,'Tourney History'!B:B,A5)</f>
        <v>16.166666666666668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2</v>
      </c>
      <c r="I5" s="88">
        <f>LOOKUP(2, 1/('Tourney History'!$B:$B=A5), 'Tourney History'!$AD:$AD)</f>
        <v>0.66666666666666663</v>
      </c>
      <c r="J5" s="34">
        <f>SUMIFS('Tourney History'!F:F,'Tourney History'!B:B,A5)</f>
        <v>13</v>
      </c>
      <c r="K5" s="2">
        <f>SUMIFS('Tourney History'!E:E,'Tourney History'!B:B,A5)-J5</f>
        <v>12</v>
      </c>
      <c r="L5" s="88">
        <f>LOOKUP(2, 1/('Tourney History'!$B:$B=A5), 'Tourney History'!$AB:$AB)</f>
        <v>0.4916666666666667</v>
      </c>
      <c r="M5" s="34">
        <f>SUMIFS('Tourney History'!H:H,'Tourney History'!B:B,A5)</f>
        <v>54</v>
      </c>
      <c r="N5" s="2">
        <f>SUMIFS('Tourney History'!G:G,'Tourney History'!B:B,A5)-M5</f>
        <v>46</v>
      </c>
      <c r="O5" s="88">
        <f>LOOKUP(2, 1/('Tourney History'!$B:$B=A5), 'Tourney History'!$AC:$AC)</f>
        <v>0.52999999999999992</v>
      </c>
      <c r="P5" s="2">
        <f>COUNTIFS('Tourney History'!$B:$B,$A$5,'Tourney History'!K:K, 1)</f>
        <v>1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135</v>
      </c>
      <c r="E6" s="4">
        <f>AVERAGEIFS('Tourney History'!C:C,'Tourney History'!B:B,A6)</f>
        <v>15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6</v>
      </c>
      <c r="I6" s="88">
        <f>LOOKUP(2, 1/('Tourney History'!$B:$B=A6), 'Tourney History'!$AD:$AD)</f>
        <v>0.33333333333333331</v>
      </c>
      <c r="J6" s="34">
        <f>SUMIFS('Tourney History'!F:F,'Tourney History'!B:B,A6)</f>
        <v>17</v>
      </c>
      <c r="K6" s="2">
        <f>SUMIFS('Tourney History'!E:E,'Tourney History'!B:B,A6)-J6</f>
        <v>21</v>
      </c>
      <c r="L6" s="88">
        <f>LOOKUP(2, 1/('Tourney History'!$B:$B=A6), 'Tourney History'!$AB:$AB)</f>
        <v>0.44999999999999996</v>
      </c>
      <c r="M6" s="34">
        <f>SUMIFS('Tourney History'!H:H,'Tourney History'!B:B,A6)</f>
        <v>73</v>
      </c>
      <c r="N6" s="2">
        <f>SUMIFS('Tourney History'!G:G,'Tourney History'!B:B,A6)-M6</f>
        <v>82</v>
      </c>
      <c r="O6" s="88">
        <f>LOOKUP(2, 1/('Tourney History'!$B:$B=A6), 'Tourney History'!$AC:$AC)</f>
        <v>0.46555555555555561</v>
      </c>
      <c r="P6" s="2">
        <f>COUNTIFS('Tourney History'!$B:$B,$A$6,'Tourney History'!K:K, 1)</f>
        <v>1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18</v>
      </c>
      <c r="E7" s="4">
        <f>AVERAGEIFS('Tourney History'!C:C,'Tourney History'!B:B,A7)</f>
        <v>9</v>
      </c>
      <c r="F7" s="35">
        <f t="array" ref="F7">MAX(IF('Tourney History'!B:B=A7, 'Tourney History'!C:C))</f>
        <v>12</v>
      </c>
      <c r="G7" s="34">
        <f>COUNTIFS('Tourney History'!B:B,A7,'Tourney History'!D:D, 1)</f>
        <v>2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6</v>
      </c>
      <c r="K7" s="2">
        <f>SUMIFS('Tourney History'!E:E,'Tourney History'!B:B,A7)-J7</f>
        <v>2</v>
      </c>
      <c r="L7" s="88">
        <f>LOOKUP(2, 1/('Tourney History'!$B:$B=A7), 'Tourney History'!$AB:$AB)</f>
        <v>0.8</v>
      </c>
      <c r="M7" s="34">
        <f>SUMIFS('Tourney History'!H:H,'Tourney History'!B:B,A7)</f>
        <v>20</v>
      </c>
      <c r="N7" s="2">
        <f>SUMIFS('Tourney History'!G:G,'Tourney History'!B:B,A7)-M7</f>
        <v>12</v>
      </c>
      <c r="O7" s="88">
        <f>LOOKUP(2, 1/('Tourney History'!$B:$B=A7), 'Tourney History'!$AC:$AC)</f>
        <v>0.66999999999999993</v>
      </c>
      <c r="P7" s="2">
        <f>COUNTIFS('Tourney History'!$B:$B,$A$7,'Tourney History'!K:K, 1)</f>
        <v>0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1</v>
      </c>
      <c r="AC7" s="2">
        <f>COUNTIFS('Tourney History'!$B:$B,$A$7,'Tourney History'!X:X, 1)</f>
        <v>0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156</v>
      </c>
      <c r="E10" s="4">
        <f>AVERAGEIFS('Tourney History'!C:C,'Tourney History'!B:B,A10)</f>
        <v>19.5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4</v>
      </c>
      <c r="I10" s="88">
        <f>LOOKUP(2, 1/('Tourney History'!$B:$B=A10), 'Tourney History'!$AD:$AD)</f>
        <v>0.5</v>
      </c>
      <c r="J10" s="34">
        <f>SUMIFS('Tourney History'!F:F,'Tourney History'!B:B,A10)</f>
        <v>17</v>
      </c>
      <c r="K10" s="2">
        <f>SUMIFS('Tourney History'!E:E,'Tourney History'!B:B,A10)-J10</f>
        <v>19</v>
      </c>
      <c r="L10" s="88">
        <f>LOOKUP(2, 1/('Tourney History'!$B:$B=A10), 'Tourney History'!$AB:$AB)</f>
        <v>0.45</v>
      </c>
      <c r="M10" s="34">
        <f>SUMIFS('Tourney History'!H:H,'Tourney History'!B:B,A10)</f>
        <v>72</v>
      </c>
      <c r="N10" s="2">
        <f>SUMIFS('Tourney History'!G:G,'Tourney History'!B:B,A10)-M10</f>
        <v>77</v>
      </c>
      <c r="O10" s="88">
        <f>LOOKUP(2, 1/('Tourney History'!$B:$B=A10), 'Tourney History'!$AC:$AC)</f>
        <v>0.46375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43</v>
      </c>
      <c r="E20" s="4">
        <f>AVERAGEIFS('Tourney History'!C:C,'Tourney History'!B:B,A20)</f>
        <v>14.333333333333334</v>
      </c>
      <c r="F20" s="35">
        <f t="array" ref="F20">MAX(IF('Tourney History'!B:B=A20, 'Tourney History'!C:C))</f>
        <v>25</v>
      </c>
      <c r="G20" s="34">
        <f>COUNTIFS('Tourney History'!B:B,A20,'Tourney History'!D:D, 1)</f>
        <v>2</v>
      </c>
      <c r="H20" s="2">
        <f>COUNTIFS('Tourney History'!B:B,A20,'Tourney History'!D:D, 0)</f>
        <v>1</v>
      </c>
      <c r="I20" s="88">
        <f>LOOKUP(2, 1/('Tourney History'!$B:$B=A20), 'Tourney History'!$AD:$AD)</f>
        <v>0.66666666666666663</v>
      </c>
      <c r="J20" s="34">
        <f>SUMIFS('Tourney History'!F:F,'Tourney History'!B:B,A20)</f>
        <v>6</v>
      </c>
      <c r="K20" s="2">
        <f>SUMIFS('Tourney History'!E:E,'Tourney History'!B:B,A20)-J20</f>
        <v>7</v>
      </c>
      <c r="L20" s="88">
        <f>LOOKUP(2, 1/('Tourney History'!$B:$B=A20), 'Tourney History'!$AB:$AB)</f>
        <v>0.39999999999999997</v>
      </c>
      <c r="M20" s="34">
        <f>SUMIFS('Tourney History'!H:H,'Tourney History'!B:B,A20)</f>
        <v>27</v>
      </c>
      <c r="N20" s="2">
        <f>SUMIFS('Tourney History'!G:G,'Tourney History'!B:B,A20)-M20</f>
        <v>26</v>
      </c>
      <c r="O20" s="88">
        <f>LOOKUP(2, 1/('Tourney History'!$B:$B=A20), 'Tourney History'!$AC:$AC)</f>
        <v>0.48666666666666664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0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164</v>
      </c>
      <c r="E22" s="4">
        <f>AVERAGEIFS('Tourney History'!C:C,'Tourney History'!B:B,A22)</f>
        <v>18.222222222222221</v>
      </c>
      <c r="F22" s="35">
        <f t="array" ref="F22">MAX(IF('Tourney History'!B:B=A22, 'Tourney History'!C:C))</f>
        <v>37</v>
      </c>
      <c r="G22" s="34">
        <f>COUNTIFS('Tourney History'!B:B,A22,'Tourney History'!D:D, 1)</f>
        <v>3</v>
      </c>
      <c r="H22" s="2">
        <f>COUNTIFS('Tourney History'!B:B,A22,'Tourney History'!D:D, 0)</f>
        <v>6</v>
      </c>
      <c r="I22" s="88">
        <f>LOOKUP(2, 1/('Tourney History'!$B:$B=A22), 'Tourney History'!$AD:$AD)</f>
        <v>0.33333333333333331</v>
      </c>
      <c r="J22" s="34">
        <f>SUMIFS('Tourney History'!F:F,'Tourney History'!B:B,A22)</f>
        <v>19</v>
      </c>
      <c r="K22" s="2">
        <f>SUMIFS('Tourney History'!E:E,'Tourney History'!B:B,A22)-J22</f>
        <v>21</v>
      </c>
      <c r="L22" s="88">
        <f>LOOKUP(2, 1/('Tourney History'!$B:$B=A22), 'Tourney History'!$AB:$AB)</f>
        <v>0.48333333333333328</v>
      </c>
      <c r="M22" s="34">
        <f>SUMIFS('Tourney History'!H:H,'Tourney History'!B:B,A22)</f>
        <v>83</v>
      </c>
      <c r="N22" s="2">
        <f>SUMIFS('Tourney History'!G:G,'Tourney History'!B:B,A22)-M22</f>
        <v>84</v>
      </c>
      <c r="O22" s="88">
        <f>LOOKUP(2, 1/('Tourney History'!$B:$B=A22), 'Tourney History'!$AC:$AC)</f>
        <v>0.5066666666666666</v>
      </c>
      <c r="P22" s="2">
        <f>COUNTIFS('Tourney History'!$B:$B,$A$22,'Tourney History'!K:K, 1)</f>
        <v>1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4</v>
      </c>
      <c r="AC22" s="2">
        <f>COUNTIFS('Tourney History'!$B:$B,$A$22,'Tourney History'!X:X, 1)</f>
        <v>2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48</v>
      </c>
      <c r="E23" s="4">
        <f>AVERAGEIFS('Tourney History'!C:C,'Tourney History'!B:B,A23)</f>
        <v>9.6</v>
      </c>
      <c r="F23" s="35">
        <f t="array" ref="F23">MAX(IF('Tourney History'!B:B=A23, 'Tourney History'!C:C))</f>
        <v>13</v>
      </c>
      <c r="G23" s="34">
        <f>COUNTIFS('Tourney History'!B:B,A23,'Tourney History'!D:D, 1)</f>
        <v>2</v>
      </c>
      <c r="H23" s="2">
        <f>COUNTIFS('Tourney History'!B:B,A23,'Tourney History'!D:D, 0)</f>
        <v>3</v>
      </c>
      <c r="I23" s="88">
        <f>LOOKUP(2, 1/('Tourney History'!$B:$B=A23), 'Tourney History'!$AD:$AD)</f>
        <v>0.4</v>
      </c>
      <c r="J23" s="34">
        <f>SUMIFS('Tourney History'!F:F,'Tourney History'!B:B,A23)</f>
        <v>9</v>
      </c>
      <c r="K23" s="2">
        <f>SUMIFS('Tourney History'!E:E,'Tourney History'!B:B,A23)-J23</f>
        <v>11</v>
      </c>
      <c r="L23" s="88">
        <f>LOOKUP(2, 1/('Tourney History'!$B:$B=A23), 'Tourney History'!$AB:$AB)</f>
        <v>0.45</v>
      </c>
      <c r="M23" s="34">
        <f>SUMIFS('Tourney History'!H:H,'Tourney History'!B:B,A23)</f>
        <v>42</v>
      </c>
      <c r="N23" s="2">
        <f>SUMIFS('Tourney History'!G:G,'Tourney History'!B:B,A23)-M23</f>
        <v>44</v>
      </c>
      <c r="O23" s="88">
        <f>LOOKUP(2, 1/('Tourney History'!$B:$B=A23), 'Tourney History'!$AC:$AC)</f>
        <v>0.47400000000000003</v>
      </c>
      <c r="P23" s="2">
        <f>COUNTIFS('Tourney History'!$B:$B,$A$23,'Tourney History'!K:K, 1)</f>
        <v>0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1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268</v>
      </c>
      <c r="E25" s="4">
        <f>AVERAGEIFS('Tourney History'!C:C,'Tourney History'!B:B,A25)</f>
        <v>33.5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6</v>
      </c>
      <c r="I25" s="88">
        <f>LOOKUP(2, 1/('Tourney History'!$B:$B=A25), 'Tourney History'!$AD:$AD)</f>
        <v>0.25</v>
      </c>
      <c r="J25" s="34">
        <f>SUMIFS('Tourney History'!F:F,'Tourney History'!B:B,A25)</f>
        <v>16</v>
      </c>
      <c r="K25" s="2">
        <f>SUMIFS('Tourney History'!E:E,'Tourney History'!B:B,A25)-J25</f>
        <v>19</v>
      </c>
      <c r="L25" s="88">
        <f>LOOKUP(2, 1/('Tourney History'!$B:$B=A25), 'Tourney History'!$AB:$AB)</f>
        <v>0.48124999999999996</v>
      </c>
      <c r="M25" s="34">
        <f>SUMIFS('Tourney History'!H:H,'Tourney History'!B:B,A25)</f>
        <v>71</v>
      </c>
      <c r="N25" s="2">
        <f>SUMIFS('Tourney History'!G:G,'Tourney History'!B:B,A25)-M25</f>
        <v>79</v>
      </c>
      <c r="O25" s="88">
        <f>LOOKUP(2, 1/('Tourney History'!$B:$B=A25), 'Tourney History'!$AC:$AC)</f>
        <v>0.48499999999999999</v>
      </c>
      <c r="P25" s="2">
        <f>COUNTIFS('Tourney History'!$B:$B,$A$25,'Tourney History'!K:K, 1)</f>
        <v>1</v>
      </c>
      <c r="Q25" s="2">
        <f>COUNTIFS('Tourney History'!$B:$B,$A$25,'Tourney History'!L:L, 1)</f>
        <v>1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199</v>
      </c>
      <c r="E29" s="4">
        <f>AVERAGEIFS('Tourney History'!C:C,'Tourney History'!B:B,A29)</f>
        <v>33.166666666666664</v>
      </c>
      <c r="F29" s="35">
        <f t="array" ref="F29">MAX(IF('Tourney History'!B:B=A29, 'Tourney History'!C:C))</f>
        <v>51</v>
      </c>
      <c r="G29" s="34">
        <f>COUNTIFS('Tourney History'!B:B,A29,'Tourney History'!D:D, 1)</f>
        <v>5</v>
      </c>
      <c r="H29" s="2">
        <f>COUNTIFS('Tourney History'!B:B,A29,'Tourney History'!D:D, 0)</f>
        <v>1</v>
      </c>
      <c r="I29" s="88">
        <f>LOOKUP(2, 1/('Tourney History'!$B:$B=A29), 'Tourney History'!$AD:$AD)</f>
        <v>0.83333333333333337</v>
      </c>
      <c r="J29" s="34">
        <f>SUMIFS('Tourney History'!F:F,'Tourney History'!B:B,A29)</f>
        <v>16</v>
      </c>
      <c r="K29" s="2">
        <f>SUMIFS('Tourney History'!E:E,'Tourney History'!B:B,A29)-J29</f>
        <v>11</v>
      </c>
      <c r="L29" s="88">
        <f>LOOKUP(2, 1/('Tourney History'!$B:$B=A29), 'Tourney History'!$AB:$AB)</f>
        <v>0.59166666666666667</v>
      </c>
      <c r="M29" s="34">
        <f>SUMIFS('Tourney History'!H:H,'Tourney History'!B:B,A29)</f>
        <v>63</v>
      </c>
      <c r="N29" s="2">
        <f>SUMIFS('Tourney History'!G:G,'Tourney History'!B:B,A29)-M29</f>
        <v>53</v>
      </c>
      <c r="O29" s="88">
        <f>LOOKUP(2, 1/('Tourney History'!$B:$B=A29), 'Tourney History'!$AC:$AC)</f>
        <v>0.53833333333333333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80</v>
      </c>
      <c r="E34" s="4">
        <f>AVERAGEIFS('Tourney History'!C:C,'Tourney History'!B:B,A34)</f>
        <v>40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0</v>
      </c>
      <c r="I34" s="88">
        <f>LOOKUP(2, 1/('Tourney History'!$B:$B=A34), 'Tourney History'!$AD:$AD)</f>
        <v>1</v>
      </c>
      <c r="J34" s="34">
        <f>SUMIFS('Tourney History'!F:F,'Tourney History'!B:B,A34)</f>
        <v>6</v>
      </c>
      <c r="K34" s="2">
        <f>SUMIFS('Tourney History'!E:E,'Tourney History'!B:B,A34)-J34</f>
        <v>4</v>
      </c>
      <c r="L34" s="88">
        <f>LOOKUP(2, 1/('Tourney History'!$B:$B=A34), 'Tourney History'!$AB:$AB)</f>
        <v>0.6</v>
      </c>
      <c r="M34" s="34">
        <f>SUMIFS('Tourney History'!H:H,'Tourney History'!B:B,A34)</f>
        <v>23</v>
      </c>
      <c r="N34" s="2">
        <f>SUMIFS('Tourney History'!G:G,'Tourney History'!B:B,A34)-M34</f>
        <v>17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1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353</v>
      </c>
      <c r="E38" s="4">
        <f>AVERAGEIFS('Tourney History'!C:C,'Tourney History'!B:B,A38)</f>
        <v>39.222222222222221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4</v>
      </c>
      <c r="I38" s="88">
        <f>LOOKUP(2, 1/('Tourney History'!$B:$B=A38), 'Tourney History'!$AD:$AD)</f>
        <v>0.55555555555555558</v>
      </c>
      <c r="J38" s="34">
        <f>SUMIFS('Tourney History'!F:F,'Tourney History'!B:B,A38)</f>
        <v>20</v>
      </c>
      <c r="K38" s="2">
        <f>SUMIFS('Tourney History'!E:E,'Tourney History'!B:B,A38)-J38</f>
        <v>19</v>
      </c>
      <c r="L38" s="88">
        <f>LOOKUP(2, 1/('Tourney History'!$B:$B=A38), 'Tourney History'!$AB:$AB)</f>
        <v>0.52222222222222225</v>
      </c>
      <c r="M38" s="34">
        <f>SUMIFS('Tourney History'!H:H,'Tourney History'!B:B,A38)</f>
        <v>86</v>
      </c>
      <c r="N38" s="2">
        <f>SUMIFS('Tourney History'!G:G,'Tourney History'!B:B,A38)-M38</f>
        <v>82</v>
      </c>
      <c r="O38" s="88">
        <f>LOOKUP(2, 1/('Tourney History'!$B:$B=A38), 'Tourney History'!$AC:$AC)</f>
        <v>0.52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139</v>
      </c>
      <c r="E40" s="4">
        <f>AVERAGEIFS('Tourney History'!C:C,'Tourney History'!B:B,A40)</f>
        <v>27.8</v>
      </c>
      <c r="F40" s="35">
        <f t="array" ref="F40">MAX(IF('Tourney History'!B:B=A40, 'Tourney History'!C:C))</f>
        <v>46</v>
      </c>
      <c r="G40" s="34">
        <f>COUNTIFS('Tourney History'!B:B,A40,'Tourney History'!D:D, 1)</f>
        <v>4</v>
      </c>
      <c r="H40" s="2">
        <f>COUNTIFS('Tourney History'!B:B,A40,'Tourney History'!D:D, 0)</f>
        <v>1</v>
      </c>
      <c r="I40" s="88">
        <f>LOOKUP(2, 1/('Tourney History'!$B:$B=A40), 'Tourney History'!$AD:$AD)</f>
        <v>0.8</v>
      </c>
      <c r="J40" s="34">
        <f>SUMIFS('Tourney History'!F:F,'Tourney History'!B:B,A40)</f>
        <v>12</v>
      </c>
      <c r="K40" s="2">
        <f>SUMIFS('Tourney History'!E:E,'Tourney History'!B:B,A40)-J40</f>
        <v>10</v>
      </c>
      <c r="L40" s="88">
        <f>LOOKUP(2, 1/('Tourney History'!$B:$B=A40), 'Tourney History'!$AB:$AB)</f>
        <v>0.51</v>
      </c>
      <c r="M40" s="34">
        <f>SUMIFS('Tourney History'!H:H,'Tourney History'!B:B,A40)</f>
        <v>47</v>
      </c>
      <c r="N40" s="2">
        <f>SUMIFS('Tourney History'!G:G,'Tourney History'!B:B,A40)-M40</f>
        <v>42</v>
      </c>
      <c r="O40" s="88">
        <f>LOOKUP(2, 1/('Tourney History'!$B:$B=A40), 'Tourney History'!$AC:$AC)</f>
        <v>0.49799999999999994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G16" sqref="G16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2026-05-09T14:28:14Z</dcterms:modified>
</cp:coreProperties>
</file>