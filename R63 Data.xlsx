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3D39C989-A0F1-4730-A0AA-78EE02479F97}" xr6:coauthVersionLast="47" xr6:coauthVersionMax="47" xr10:uidLastSave="{00000000-0000-0000-0000-000000000000}"/>
  <bookViews>
    <workbookView xWindow="735" yWindow="735" windowWidth="28800" windowHeight="15345" activeTab="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BA comments" sheetId="6" state="hidden" r:id="rId13"/>
    <sheet name="Match Analyzer BA" sheetId="8" state="hidden" r:id="rId14"/>
  </sheets>
  <definedNames>
    <definedName name="_xlnm._FilterDatabase" localSheetId="8" hidden="1">BA!$A$1:$AH$47</definedName>
    <definedName name="_xlnm._FilterDatabase" localSheetId="9" hidden="1">'BA History'!$A$1:$AJ$689</definedName>
    <definedName name="_xlnm._FilterDatabase" localSheetId="11" hidden="1">'BA History S2'!$A$1:$AJ$1</definedName>
    <definedName name="_xlnm._FilterDatabase" localSheetId="10" hidden="1">'BA S2'!$A$1:$AJ$24</definedName>
    <definedName name="_xlnm._FilterDatabase" localSheetId="7" hidden="1">'BA v2'!$A$1:$AJ$55</definedName>
    <definedName name="_xlnm._FilterDatabase" localSheetId="1" hidden="1">'OB History'!$A$1:$AD$542</definedName>
    <definedName name="_xlnm._FilterDatabase" localSheetId="3" hidden="1">'OB History S2'!$A$1:$AD$478</definedName>
    <definedName name="_xlnm._FilterDatabase" localSheetId="2" hidden="1">'OB Season 2'!$A$1:$AE$35</definedName>
    <definedName name="_xlnm._FilterDatabase" localSheetId="4" hidden="1">'Old Bow'!$A$1:$AD$37</definedName>
    <definedName name="_xlnm._FilterDatabase" localSheetId="0" hidden="1">'Old Bow v2'!$A$1:$AE$49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4" i="15" l="1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P35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7" i="13"/>
  <c r="E17" i="13"/>
  <c r="F17" i="13" a="1"/>
  <c r="F17" i="13" s="1"/>
  <c r="G17" i="13"/>
  <c r="H17" i="13"/>
  <c r="I17" i="13"/>
  <c r="J17" i="13"/>
  <c r="K17" i="13" s="1"/>
  <c r="L17" i="13"/>
  <c r="M17" i="13"/>
  <c r="N17" i="13" s="1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D19" i="13"/>
  <c r="E19" i="13"/>
  <c r="F19" i="13" a="1"/>
  <c r="F19" i="13"/>
  <c r="G19" i="13"/>
  <c r="H19" i="13"/>
  <c r="J19" i="13"/>
  <c r="K19" i="13" s="1"/>
  <c r="M19" i="13"/>
  <c r="N19" i="13" s="1"/>
  <c r="P19" i="13"/>
  <c r="Q19" i="13"/>
  <c r="R19" i="13"/>
  <c r="S19" i="13"/>
  <c r="T19" i="13"/>
  <c r="U19" i="13"/>
  <c r="V19" i="13"/>
  <c r="W19" i="13"/>
  <c r="X19" i="13"/>
  <c r="Y19" i="13"/>
  <c r="Z19" i="13"/>
  <c r="AA19" i="13"/>
  <c r="D21" i="13"/>
  <c r="E21" i="13"/>
  <c r="F21" i="13" a="1"/>
  <c r="F21" i="13" s="1"/>
  <c r="G21" i="13"/>
  <c r="H21" i="13"/>
  <c r="J21" i="13"/>
  <c r="K21" i="13" s="1"/>
  <c r="M21" i="13"/>
  <c r="N21" i="13" s="1"/>
  <c r="P21" i="13"/>
  <c r="Q21" i="13"/>
  <c r="R21" i="13"/>
  <c r="S21" i="13"/>
  <c r="T21" i="13"/>
  <c r="U21" i="13"/>
  <c r="V21" i="13"/>
  <c r="W21" i="13"/>
  <c r="X21" i="13"/>
  <c r="Y21" i="13"/>
  <c r="Z21" i="13"/>
  <c r="AA21" i="13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I23" i="13"/>
  <c r="J23" i="13"/>
  <c r="K23" i="13" s="1"/>
  <c r="L23" i="13"/>
  <c r="M23" i="13"/>
  <c r="N23" i="13" s="1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J26" i="13"/>
  <c r="K26" i="13" s="1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7" i="13"/>
  <c r="E27" i="13"/>
  <c r="F27" i="13" a="1"/>
  <c r="F27" i="13" s="1"/>
  <c r="G27" i="13"/>
  <c r="H27" i="13"/>
  <c r="J27" i="13"/>
  <c r="K27" i="13" s="1"/>
  <c r="M27" i="13"/>
  <c r="N27" i="13" s="1"/>
  <c r="P27" i="13"/>
  <c r="Q27" i="13"/>
  <c r="R27" i="13"/>
  <c r="S27" i="13"/>
  <c r="T27" i="13"/>
  <c r="U27" i="13"/>
  <c r="V27" i="13"/>
  <c r="W27" i="13"/>
  <c r="X27" i="13"/>
  <c r="Y27" i="13"/>
  <c r="Z27" i="13"/>
  <c r="AA27" i="13"/>
  <c r="D28" i="13"/>
  <c r="E28" i="13"/>
  <c r="F28" i="13" a="1"/>
  <c r="F28" i="13" s="1"/>
  <c r="G28" i="13"/>
  <c r="H28" i="13"/>
  <c r="J28" i="13"/>
  <c r="K28" i="13" s="1"/>
  <c r="L28" i="13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I29" i="13"/>
  <c r="J29" i="13"/>
  <c r="K29" i="13" s="1"/>
  <c r="L29" i="13"/>
  <c r="M29" i="13"/>
  <c r="N29" i="13" s="1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AB17" i="13"/>
  <c r="AC17" i="13"/>
  <c r="AD17" i="13"/>
  <c r="AE17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O3" i="13"/>
  <c r="AB19" i="13"/>
  <c r="AC19" i="13"/>
  <c r="AD19" i="13"/>
  <c r="AE19" i="13"/>
  <c r="D36" i="13"/>
  <c r="E36" i="13"/>
  <c r="F36" i="13" a="1"/>
  <c r="F36" i="13" s="1"/>
  <c r="G36" i="13"/>
  <c r="H36" i="13"/>
  <c r="I36" i="13"/>
  <c r="J36" i="13"/>
  <c r="K36" i="13" s="1"/>
  <c r="L36" i="13"/>
  <c r="M36" i="13"/>
  <c r="N36" i="13" s="1"/>
  <c r="O3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9" i="13" s="1"/>
  <c r="AC52" i="15"/>
  <c r="O19" i="13" s="1"/>
  <c r="AD52" i="15"/>
  <c r="I19" i="13" s="1"/>
  <c r="AA53" i="15"/>
  <c r="AB53" i="15"/>
  <c r="L27" i="13" s="1"/>
  <c r="AC53" i="15"/>
  <c r="O27" i="13" s="1"/>
  <c r="AD53" i="15"/>
  <c r="I27" i="13" s="1"/>
  <c r="AA54" i="15"/>
  <c r="AB54" i="15"/>
  <c r="AC54" i="15"/>
  <c r="O28" i="13" s="1"/>
  <c r="AD54" i="15"/>
  <c r="I28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I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O37" i="1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6" i="13"/>
  <c r="AC26" i="13"/>
  <c r="AD26" i="13"/>
  <c r="AE26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6" i="13" s="1"/>
  <c r="AC31" i="15"/>
  <c r="AD31" i="15"/>
  <c r="I26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1" i="13" s="1"/>
  <c r="AC37" i="15"/>
  <c r="O21" i="13" s="1"/>
  <c r="AD37" i="15"/>
  <c r="I21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0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2" i="13" s="1"/>
  <c r="AC11" i="15"/>
  <c r="O22" i="13" s="1"/>
  <c r="AD11" i="15"/>
  <c r="I22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N3" i="16"/>
  <c r="N4" i="16"/>
  <c r="N5" i="16"/>
  <c r="N6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" i="16"/>
  <c r="L3" i="16"/>
  <c r="M3" i="16" s="1"/>
  <c r="L4" i="16"/>
  <c r="M4" i="16" s="1"/>
  <c r="L5" i="16"/>
  <c r="M5" i="16" s="1"/>
  <c r="L6" i="16"/>
  <c r="M6" i="16" s="1"/>
  <c r="L7" i="16"/>
  <c r="M7" i="16" s="1"/>
  <c r="L8" i="16"/>
  <c r="M8" i="16" s="1"/>
  <c r="L9" i="16"/>
  <c r="M9" i="16" s="1"/>
  <c r="L10" i="16"/>
  <c r="M10" i="16" s="1"/>
  <c r="L11" i="16"/>
  <c r="M11" i="16" s="1"/>
  <c r="L12" i="16"/>
  <c r="M12" i="16" s="1"/>
  <c r="L13" i="16"/>
  <c r="M13" i="16" s="1"/>
  <c r="L14" i="16"/>
  <c r="M14" i="16" s="1"/>
  <c r="L15" i="16"/>
  <c r="M15" i="16" s="1"/>
  <c r="L16" i="16"/>
  <c r="M16" i="16" s="1"/>
  <c r="L17" i="16"/>
  <c r="M17" i="16" s="1"/>
  <c r="L18" i="16"/>
  <c r="M18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" i="16"/>
  <c r="M2" i="16" s="1"/>
  <c r="K3" i="16"/>
  <c r="K4" i="16"/>
  <c r="K5" i="16"/>
  <c r="K6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" i="16"/>
  <c r="I3" i="16"/>
  <c r="J3" i="16" s="1"/>
  <c r="I4" i="16"/>
  <c r="J4" i="16" s="1"/>
  <c r="I5" i="16"/>
  <c r="J5" i="16" s="1"/>
  <c r="I6" i="16"/>
  <c r="J6" i="16" s="1"/>
  <c r="I7" i="16"/>
  <c r="J7" i="16" s="1"/>
  <c r="I8" i="16"/>
  <c r="J8" i="16" s="1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6" i="16"/>
  <c r="J16" i="16" s="1"/>
  <c r="I17" i="16"/>
  <c r="J17" i="16" s="1"/>
  <c r="I18" i="16"/>
  <c r="J18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" i="16"/>
  <c r="J2" i="16" s="1"/>
  <c r="H3" i="16"/>
  <c r="H4" i="16"/>
  <c r="H5" i="16"/>
  <c r="H6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" i="16"/>
  <c r="E3" i="16" a="1"/>
  <c r="E3" i="16" s="1"/>
  <c r="E4" i="16" a="1"/>
  <c r="E4" i="16" s="1"/>
  <c r="E5" i="16" a="1"/>
  <c r="E5" i="16" s="1"/>
  <c r="E6" i="16" a="1"/>
  <c r="E6" i="16" s="1"/>
  <c r="E7" i="16" a="1"/>
  <c r="E7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3" i="16" a="1"/>
  <c r="E13" i="16" s="1"/>
  <c r="E14" i="16" a="1"/>
  <c r="E14" i="16" s="1"/>
  <c r="E15" i="16" a="1"/>
  <c r="E15" i="16" s="1"/>
  <c r="E16" i="16" a="1"/>
  <c r="E16" i="16" s="1"/>
  <c r="E17" i="16" a="1"/>
  <c r="E17" i="16" s="1"/>
  <c r="E18" i="16" a="1"/>
  <c r="E18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" i="16" a="1"/>
  <c r="E2" i="16" s="1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" i="16"/>
  <c r="H7" i="16"/>
  <c r="N7" i="16"/>
  <c r="K7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18" i="13"/>
  <c r="AC18" i="13"/>
  <c r="AD18" i="13"/>
  <c r="AE18" i="13"/>
  <c r="AB21" i="13"/>
  <c r="AC21" i="13"/>
  <c r="AD21" i="13"/>
  <c r="AE21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7" i="13"/>
  <c r="AC27" i="13"/>
  <c r="AD27" i="13"/>
  <c r="AE27" i="13"/>
  <c r="AB28" i="13"/>
  <c r="AC28" i="13"/>
  <c r="AD28" i="13"/>
  <c r="AE28" i="13"/>
  <c r="AB29" i="13"/>
  <c r="AC29" i="13"/>
  <c r="AD29" i="13"/>
  <c r="AE29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P34" i="13"/>
  <c r="P33" i="13"/>
  <c r="P32" i="13"/>
  <c r="P31" i="13"/>
  <c r="P30" i="13"/>
  <c r="P8" i="13"/>
  <c r="P6" i="13"/>
  <c r="P5" i="13"/>
  <c r="P4" i="13"/>
  <c r="O8" i="13"/>
  <c r="O30" i="13"/>
  <c r="O32" i="13"/>
  <c r="O33" i="13"/>
  <c r="M4" i="13"/>
  <c r="N4" i="13" s="1"/>
  <c r="M5" i="13"/>
  <c r="N5" i="13" s="1"/>
  <c r="M6" i="13"/>
  <c r="N6" i="13" s="1"/>
  <c r="M8" i="13"/>
  <c r="N8" i="13" s="1"/>
  <c r="M30" i="13"/>
  <c r="N30" i="13" s="1"/>
  <c r="M31" i="13"/>
  <c r="N31" i="13" s="1"/>
  <c r="M32" i="13"/>
  <c r="N32" i="13" s="1"/>
  <c r="M33" i="13"/>
  <c r="N33" i="13" s="1"/>
  <c r="M34" i="13"/>
  <c r="N34" i="13" s="1"/>
  <c r="M35" i="13"/>
  <c r="N35" i="13" s="1"/>
  <c r="J4" i="13"/>
  <c r="K4" i="13" s="1"/>
  <c r="J5" i="13"/>
  <c r="K5" i="13" s="1"/>
  <c r="J6" i="13"/>
  <c r="K6" i="13" s="1"/>
  <c r="J8" i="13"/>
  <c r="K8" i="13" s="1"/>
  <c r="J30" i="13"/>
  <c r="K30" i="13" s="1"/>
  <c r="J31" i="13"/>
  <c r="K31" i="13" s="1"/>
  <c r="J32" i="13"/>
  <c r="K32" i="13" s="1"/>
  <c r="J33" i="13"/>
  <c r="K33" i="13" s="1"/>
  <c r="J34" i="13"/>
  <c r="K34" i="13" s="1"/>
  <c r="J35" i="13"/>
  <c r="K35" i="13" s="1"/>
  <c r="I35" i="13"/>
  <c r="H4" i="13"/>
  <c r="H5" i="13"/>
  <c r="H6" i="13"/>
  <c r="H8" i="13"/>
  <c r="H30" i="13"/>
  <c r="H31" i="13"/>
  <c r="H32" i="13"/>
  <c r="H33" i="13"/>
  <c r="H34" i="13"/>
  <c r="H35" i="13"/>
  <c r="G4" i="13"/>
  <c r="G5" i="13"/>
  <c r="G6" i="13"/>
  <c r="G8" i="13"/>
  <c r="G30" i="13"/>
  <c r="G31" i="13"/>
  <c r="G32" i="13"/>
  <c r="G33" i="13"/>
  <c r="G34" i="13"/>
  <c r="G35" i="13"/>
  <c r="F4" i="13" a="1"/>
  <c r="F4" i="13" s="1"/>
  <c r="F5" i="13" a="1"/>
  <c r="F5" i="13" s="1"/>
  <c r="F6" i="13" a="1"/>
  <c r="F6" i="13" s="1"/>
  <c r="F8" i="13" a="1"/>
  <c r="F8" i="13" s="1"/>
  <c r="F30" i="13" a="1"/>
  <c r="F30" i="13" s="1"/>
  <c r="F31" i="13" a="1"/>
  <c r="F31" i="13" s="1"/>
  <c r="F32" i="13" a="1"/>
  <c r="F32" i="13" s="1"/>
  <c r="F33" i="13" a="1"/>
  <c r="F33" i="13" s="1"/>
  <c r="F34" i="13" a="1"/>
  <c r="F34" i="13" s="1"/>
  <c r="F35" i="13" a="1"/>
  <c r="F35" i="13" s="1"/>
  <c r="E4" i="13"/>
  <c r="E5" i="13"/>
  <c r="E6" i="13"/>
  <c r="E8" i="13"/>
  <c r="E30" i="13"/>
  <c r="E31" i="13"/>
  <c r="E32" i="13"/>
  <c r="E33" i="13"/>
  <c r="E34" i="13"/>
  <c r="E35" i="13"/>
  <c r="D4" i="13"/>
  <c r="D5" i="13"/>
  <c r="D6" i="13"/>
  <c r="D8" i="13"/>
  <c r="D30" i="13"/>
  <c r="D31" i="13"/>
  <c r="D32" i="13"/>
  <c r="D33" i="13"/>
  <c r="D34" i="13"/>
  <c r="D35" i="13"/>
  <c r="O5" i="13"/>
  <c r="L33" i="13"/>
  <c r="I33" i="13"/>
  <c r="L32" i="13"/>
  <c r="I32" i="13"/>
  <c r="L6" i="13"/>
  <c r="O6" i="13"/>
  <c r="I6" i="13"/>
  <c r="L34" i="13"/>
  <c r="O34" i="13"/>
  <c r="I34" i="13"/>
  <c r="L31" i="13"/>
  <c r="O31" i="13"/>
  <c r="I31" i="13"/>
  <c r="L8" i="13"/>
  <c r="L35" i="13"/>
  <c r="O35" i="13"/>
  <c r="L4" i="13"/>
  <c r="O4" i="13"/>
  <c r="I4" i="13"/>
  <c r="L30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4" i="12"/>
  <c r="H45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L40" i="11" s="1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O40" i="11" l="1"/>
  <c r="O29" i="11"/>
  <c r="O30" i="11"/>
  <c r="O26" i="11"/>
  <c r="M2" i="12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2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<sst xmlns="http://schemas.openxmlformats.org/spreadsheetml/2006/main" count="2526" uniqueCount="161">
  <si>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</si>
  <si>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</si>
  <si>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</si>
  <si>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</si>
  <si>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</si>
  <si>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</si>
  <si>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</si>
  <si>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</si>
  <si>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</si>
  <si>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</si>
  <si>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</si>
  <si>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</si>
  <si>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</si>
  <si>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</si>
  <si>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</si>
  <si>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</si>
  <si>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</si>
  <si>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</si>
  <si>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</si>
  <si>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</si>
  <si>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</si>
  <si>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</si>
  <si>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</si>
  <si>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</si>
  <si>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</si>
  <si>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</si>
  <si>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</si>
  <si>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</si>
  <si>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</si>
  <si>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</si>
  <si>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</si>
  <si>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</si>
  <si>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</si>
  <si>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</si>
  <si>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</si>
  <si>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</si>
  <si>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</si>
  <si>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</si>
  <si>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</si>
  <si>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</si>
  <si>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</si>
  <si>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</si>
  <si>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</si>
  <si>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</si>
  <si>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</si>
  <si>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</si>
  <si>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</si>
  <si>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</si>
  <si>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</si>
  <si>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</si>
  <si>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</si>
  <si>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</si>
  <si>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</si>
  <si>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</si>
  <si>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</si>
  <si>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</si>
  <si>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</si>
  <si>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</si>
  <si>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</si>
  <si>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</si>
  <si>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</si>
  <si>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</si>
  <si>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</si>
  <si>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</si>
  <si>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</si>
  <si>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</si>
  <si>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</si>
  <si>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</si>
  <si>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</si>
  <si>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</si>
  <si>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</si>
  <si>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</si>
  <si>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</si>
  <si>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</si>
  <si>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</si>
  <si>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</si>
  <si>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</si>
  <si>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</si>
  <si>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</si>
  <si>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</si>
  <si>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</si>
  <si>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</si>
  <si>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</si>
  <si>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</si>
  <si>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</si>
  <si>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</si>
  <si>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</si>
  <si>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</si>
  <si>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</si>
  <si>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</si>
  <si>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</si>
  <si>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</si>
  <si>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</si>
  <si>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</si>
  <si>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</si>
  <si>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</si>
  <si>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</si>
  <si>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</si>
  <si>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</si>
  <si>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</si>
  <si>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</si>
  <si>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</si>
  <si>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</si>
  <si>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</si>
  <si>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</si>
  <si>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</si>
  <si>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</si>
  <si>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</si>
  <si>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</si>
  <si>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</si>
  <si>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</si>
  <si>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</si>
  <si>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</si>
  <si>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</si>
  <si>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</si>
  <si>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</si>
  <si>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</si>
  <si>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</si>
  <si>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</si>
  <si>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</si>
  <si>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</si>
  <si>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</si>
  <si>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</si>
  <si>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</si>
  <si>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</si>
  <si>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</si>
  <si>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</si>
  <si>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</si>
  <si>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</si>
  <si>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</si>
  <si>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</si>
  <si>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</si>
  <si>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</si>
  <si>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</si>
  <si>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</si>
  <si>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</si>
  <si>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</si>
  <si>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</si>
  <si>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</si>
  <si>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</si>
  <si>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</si>
  <si>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</si>
  <si>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</si>
  <si>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</si>
  <si>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</si>
  <si>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</si>
  <si>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</si>
  <si>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</si>
  <si>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</si>
  <si>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</si>
  <si>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</si>
  <si>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</si>
  <si>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</si>
  <si>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</si>
  <si>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</si>
  <si>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</si>
  <si>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</si>
  <si>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</si>
  <si>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Undisupted</t>
  </si>
  <si>
    <t>Dreams</t>
  </si>
  <si>
    <t>HOpes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</si>
</sst>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N2" activePane="bottomRight" state="frozen"/>
      <selection pane="topRight" activeCell="B1" sqref="B1"/>
      <selection pane="bottomLeft" activeCell="A2" sqref="A2"/>
      <selection pane="bottomRight" activeCell="AE2" sqref="AE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45</v>
      </c>
      <c r="E2" s="4">
        <f>AVERAGEIFS('OB History'!C:C,'OB History'!B:B,A2)</f>
        <v>11.25</v>
      </c>
      <c r="F2" s="35">
        <f t="array" ref="F2">MAX(IF('OB History'!B:B=A2, 'OB History'!C:C))</f>
        <v>22</v>
      </c>
      <c r="G2" s="34">
        <f>COUNTIFS('OB History'!B:B,A2,'OB History'!D:D, 1)</f>
        <v>3</v>
      </c>
      <c r="H2" s="2">
        <f>COUNTIFS('OB History'!B:B,A2,'OB History'!D:D, 0)</f>
        <v>1</v>
      </c>
      <c r="I2" s="88">
        <f>LOOKUP(2, 1/('OB History'!$B:$B=A2), 'OB History'!$AD:$AD)</f>
        <v>0.75</v>
      </c>
      <c r="J2" s="34">
        <f>SUMIFS('OB History'!F:F,'OB History'!B:B,A2)</f>
        <v>10</v>
      </c>
      <c r="K2" s="2">
        <f>SUMIFS('OB History'!E:E,'OB History'!B:B,A2)-J2</f>
        <v>7</v>
      </c>
      <c r="L2" s="88">
        <f>LOOKUP(2, 1/('OB History'!$B:$B=A2), 'OB History'!$AB:$AB)</f>
        <v>0.58750000000000002</v>
      </c>
      <c r="M2" s="34">
        <f>SUMIFS('OB History'!H:H,'OB History'!B:B,A2)</f>
        <v>36</v>
      </c>
      <c r="N2" s="2">
        <f>SUMIFS('OB History'!G:G,'OB History'!B:B,A2)-M2</f>
        <v>31</v>
      </c>
      <c r="O2" s="88">
        <f>LOOKUP(2, 1/('OB History'!$B:$B=A2), 'OB History'!$AC:$AC)</f>
        <v>0.55000000000000004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2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342</v>
      </c>
      <c r="E4" s="4">
        <f>AVERAGEIFS('OB History'!C:C,'OB History'!B:B,A4)</f>
        <v>20.117647058823529</v>
      </c>
      <c r="F4" s="35">
        <f t="array" ref="F4">MAX(IF('OB History'!B:B=A4, 'OB History'!C:C))</f>
        <v>36</v>
      </c>
      <c r="G4" s="34">
        <f>COUNTIFS('OB History'!B:B,A4,'OB History'!D:D, 1)</f>
        <v>7</v>
      </c>
      <c r="H4" s="2">
        <f>COUNTIFS('OB History'!B:B,A4,'OB History'!D:D, 0)</f>
        <v>10</v>
      </c>
      <c r="I4" s="88">
        <f>LOOKUP(2, 1/('OB History'!$B:$B=A4), 'OB History'!$AD:$AD)</f>
        <v>0.41176470588235292</v>
      </c>
      <c r="J4" s="34">
        <f>SUMIFS('OB History'!F:F,'OB History'!B:B,A4)</f>
        <v>31</v>
      </c>
      <c r="K4" s="2">
        <f>SUMIFS('OB History'!E:E,'OB History'!B:B,A4)-J4</f>
        <v>39</v>
      </c>
      <c r="L4" s="88">
        <f>LOOKUP(2, 1/('OB History'!$B:$B=A4), 'OB History'!$AB:$AB)</f>
        <v>0.43235294117647055</v>
      </c>
      <c r="M4" s="34">
        <f>SUMIFS('OB History'!H:H,'OB History'!B:B,A4)</f>
        <v>134</v>
      </c>
      <c r="N4" s="2">
        <f>SUMIFS('OB History'!G:G,'OB History'!B:B,A4)-M4</f>
        <v>148</v>
      </c>
      <c r="O4" s="88">
        <f>LOOKUP(2, 1/('OB History'!$B:$B=A4), 'OB History'!$AC:$AC)</f>
        <v>0.46294117647058813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1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200</v>
      </c>
      <c r="E6" s="4">
        <f>AVERAGEIFS('OB History'!C:C,'OB History'!B:B,A6)</f>
        <v>11.764705882352942</v>
      </c>
      <c r="F6" s="35">
        <f t="array" ref="F6">MAX(IF('OB History'!B:B=A6, 'OB History'!C:C))</f>
        <v>21</v>
      </c>
      <c r="G6" s="34">
        <f>COUNTIFS('OB History'!B:B,A6,'OB History'!D:D, 1)</f>
        <v>10</v>
      </c>
      <c r="H6" s="2">
        <f>COUNTIFS('OB History'!B:B,A6,'OB History'!D:D, 0)</f>
        <v>7</v>
      </c>
      <c r="I6" s="88">
        <f>LOOKUP(2, 1/('OB History'!$B:$B=A6), 'OB History'!$AD:$AD)</f>
        <v>0.58823529411764708</v>
      </c>
      <c r="J6" s="34">
        <f>SUMIFS('OB History'!F:F,'OB History'!B:B,A6)</f>
        <v>35</v>
      </c>
      <c r="K6" s="2">
        <f>SUMIFS('OB History'!E:E,'OB History'!B:B,A6)-J6</f>
        <v>34</v>
      </c>
      <c r="L6" s="88">
        <f>LOOKUP(2, 1/('OB History'!$B:$B=A6), 'OB History'!$AB:$AB)</f>
        <v>0.4882352941176471</v>
      </c>
      <c r="M6" s="34">
        <f>SUMIFS('OB History'!H:H,'OB History'!B:B,'Old Bow v2'!A6)</f>
        <v>142</v>
      </c>
      <c r="N6" s="2">
        <f>SUMIFS('OB History'!G:G,'OB History'!B:B,'Old Bow v2'!A6)-M6</f>
        <v>138</v>
      </c>
      <c r="O6" s="88">
        <f>LOOKUP(2, 1/('OB History'!$B:$B=A6), 'OB History'!$AC:$AC)</f>
        <v>0.501764705882353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4</v>
      </c>
      <c r="AD6" s="2">
        <f>COUNTIFS('OB History'!$B:$B,$A$6,'OB History'!Y:Y, 1)</f>
        <v>2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333</v>
      </c>
      <c r="E7" s="4">
        <f>AVERAGEIFS('OB History'!C:C,'OB History'!B:B,A7)</f>
        <v>11.892857142857142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18</v>
      </c>
      <c r="I7" s="88">
        <f>LOOKUP(2, 1/('OB History'!$B:$B=A7), 'OB History'!$AD:$AD)</f>
        <v>0.35714285714285715</v>
      </c>
      <c r="J7" s="34">
        <f>SUMIFS('OB History'!F:F,'OB History'!B:B,A7)</f>
        <v>47</v>
      </c>
      <c r="K7" s="2">
        <f>SUMIFS('OB History'!E:E,'OB History'!B:B,A7)-J7</f>
        <v>69</v>
      </c>
      <c r="L7" s="88">
        <f>LOOKUP(2, 1/('OB History'!$B:$B=A7), 'OB History'!$AB:$AB)</f>
        <v>0.37857142857142856</v>
      </c>
      <c r="M7" s="34">
        <f>SUMIFS('OB History'!H:H,'OB History'!B:B,'Old Bow v2'!A7)</f>
        <v>215</v>
      </c>
      <c r="N7" s="2">
        <f>SUMIFS('OB History'!G:G,'OB History'!B:B,'Old Bow v2'!A7)-M7</f>
        <v>261</v>
      </c>
      <c r="O7" s="88">
        <f>LOOKUP(2, 1/('OB History'!$B:$B=A7), 'OB History'!$AC:$AC)</f>
        <v>0.43392857142857144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10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260</v>
      </c>
      <c r="E9" s="4">
        <f>AVERAGEIFS('OB History'!C:C,'OB History'!B:B,A9)</f>
        <v>16.25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8</v>
      </c>
      <c r="I9" s="88">
        <f>LOOKUP(2, 1/('OB History'!$B:$B=A9), 'OB History'!$AD:$AD)</f>
        <v>0.5</v>
      </c>
      <c r="J9" s="34">
        <f>SUMIFS('OB History'!F:F,'OB History'!B:B,A9)</f>
        <v>36</v>
      </c>
      <c r="K9" s="2">
        <f>SUMIFS('OB History'!E:E,'OB History'!B:B,A9)-J9</f>
        <v>30</v>
      </c>
      <c r="L9" s="88">
        <f>LOOKUP(2, 1/('OB History'!$B:$B=A9), 'OB History'!$AB:$AB)</f>
        <v>0.58125000000000004</v>
      </c>
      <c r="M9" s="34">
        <f>SUMIFS('OB History'!H:H,'OB History'!B:B,'Old Bow v2'!A9)</f>
        <v>140</v>
      </c>
      <c r="N9" s="2">
        <f>SUMIFS('OB History'!G:G,'OB History'!B:B,'Old Bow v2'!A9)-M9</f>
        <v>132</v>
      </c>
      <c r="O9" s="88">
        <f>LOOKUP(2, 1/('OB History'!$B:$B=A9), 'OB History'!$AC:$AC)</f>
        <v>0.52874999999999994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3</v>
      </c>
      <c r="AE9" s="2">
        <f>COUNTIFS('OB History'!$B:$B,$A$9,'OB History'!Z:Z, 1)</f>
        <v>6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260</v>
      </c>
      <c r="E11" s="4">
        <f>AVERAGEIFS('OB History'!C:C,'OB History'!B:B,A11)</f>
        <v>13.684210526315789</v>
      </c>
      <c r="F11" s="35">
        <f t="array" ref="F11">MAX(IF('OB History'!B:B=A11, 'OB History'!C:C))</f>
        <v>29</v>
      </c>
      <c r="G11" s="34">
        <f>COUNTIFS('OB History'!B:B,A11,'OB History'!D:D, 1)</f>
        <v>10</v>
      </c>
      <c r="H11" s="2">
        <f>COUNTIFS('OB History'!B:B,A11,'OB History'!D:D, 0)</f>
        <v>9</v>
      </c>
      <c r="I11" s="88">
        <f>LOOKUP(2, 1/('OB History'!$B:$B=A11), 'OB History'!$AD:$AD)</f>
        <v>0.52631578947368418</v>
      </c>
      <c r="J11" s="34">
        <f>SUMIFS('OB History'!F:F,'OB History'!B:B,A11)</f>
        <v>38</v>
      </c>
      <c r="K11" s="2">
        <f>SUMIFS('OB History'!E:E,'OB History'!B:B,A11)-J11</f>
        <v>39</v>
      </c>
      <c r="L11" s="88">
        <f>LOOKUP(2, 1/('OB History'!$B:$B=A11), 'OB History'!$AB:$AB)</f>
        <v>0.48421052631578942</v>
      </c>
      <c r="M11" s="34">
        <f>SUMIFS('OB History'!H:H,'OB History'!B:B,'Old Bow v2'!A11)</f>
        <v>157</v>
      </c>
      <c r="N11" s="2">
        <f>SUMIFS('OB History'!G:G,'OB History'!B:B,'Old Bow v2'!A11)-M11</f>
        <v>160</v>
      </c>
      <c r="O11" s="88">
        <f>LOOKUP(2, 1/('OB History'!$B:$B=A11), 'OB History'!$AC:$AC)</f>
        <v>0.49368421052631584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7</v>
      </c>
      <c r="AD11" s="2">
        <f>COUNTIFS('OB History'!$B:$B,$A$11,'OB History'!Y:Y, 1)</f>
        <v>3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223</v>
      </c>
      <c r="E14" s="4">
        <f>AVERAGEIFS('OB History'!C:C,'OB History'!B:B,A14)</f>
        <v>12.388888888888889</v>
      </c>
      <c r="F14" s="35">
        <f t="array" ref="F14">MAX(IF('OB History'!B:B=A14, 'OB History'!C:C))</f>
        <v>19</v>
      </c>
      <c r="G14" s="34">
        <f>COUNTIFS('OB History'!B:B,A14,'OB History'!D:D, 1)</f>
        <v>6</v>
      </c>
      <c r="H14" s="2">
        <f>COUNTIFS('OB History'!B:B,A14,'OB History'!D:D, 0)</f>
        <v>12</v>
      </c>
      <c r="I14" s="88">
        <f>LOOKUP(2, 1/('OB History'!$B:$B=A14), 'OB History'!$AD:$AD)</f>
        <v>0.33333333333333331</v>
      </c>
      <c r="J14" s="34">
        <f>SUMIFS('OB History'!F:F,'OB History'!B:B,A14)</f>
        <v>33</v>
      </c>
      <c r="K14" s="2">
        <f>SUMIFS('OB History'!E:E,'OB History'!B:B,A14)-J14</f>
        <v>43</v>
      </c>
      <c r="L14" s="88">
        <f>LOOKUP(2, 1/('OB History'!$B:$B=A14), 'OB History'!$AB:$AB)</f>
        <v>0.42777777777777781</v>
      </c>
      <c r="M14" s="34">
        <f>SUMIFS('OB History'!H:H,'OB History'!B:B,'Old Bow v2'!A14)</f>
        <v>146</v>
      </c>
      <c r="N14" s="2">
        <f>SUMIFS('OB History'!G:G,'OB History'!B:B,'Old Bow v2'!A14)-M14</f>
        <v>163</v>
      </c>
      <c r="O14" s="88">
        <f>LOOKUP(2, 1/('OB History'!$B:$B=A14), 'OB History'!$AC:$AC)</f>
        <v>0.46833333333333332</v>
      </c>
      <c r="P14" s="2">
        <f>COUNTIFS('OB History'!$B:$B,$A$14,'OB History'!K:K, 1)</f>
        <v>0</v>
      </c>
      <c r="Q14" s="2">
        <f>COUNTIFS('OB History'!$B:$B,$A$14,'OB History'!L:L, 1)</f>
        <v>2</v>
      </c>
      <c r="R14" s="2">
        <f>COUNTIFS('OB History'!$B:$B,$A$14,'OB History'!M:M, 1)</f>
        <v>1</v>
      </c>
      <c r="S14" s="2">
        <f>COUNTIFS('OB History'!$B:$B,$A$14,'OB History'!N:N, 1)</f>
        <v>6</v>
      </c>
      <c r="T14" s="2">
        <f>COUNTIFS('OB History'!$B:$B,$A$14,'OB History'!O:O, 1)</f>
        <v>0</v>
      </c>
      <c r="U14" s="2">
        <f>COUNTIFS('OB History'!$B:$B,$A$14,'OB History'!P:P, 1)</f>
        <v>4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4</v>
      </c>
      <c r="AE14" s="2">
        <f>COUNTIFS('OB History'!$B:$B,$A$14,'OB History'!Z:Z, 1)</f>
        <v>6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260</v>
      </c>
      <c r="E18" s="4">
        <f>AVERAGEIFS('OB History'!C:C,'OB History'!B:B,A18)</f>
        <v>26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3</v>
      </c>
      <c r="I18" s="88">
        <f>LOOKUP(2, 1/('OB History'!$B:$B=A18), 'OB History'!$AD:$AD)</f>
        <v>0.7</v>
      </c>
      <c r="J18" s="34">
        <f>SUMIFS('OB History'!F:F,'OB History'!B:B,A18)</f>
        <v>24</v>
      </c>
      <c r="K18" s="2">
        <f>SUMIFS('OB History'!E:E,'OB History'!B:B,A18)-J18</f>
        <v>19</v>
      </c>
      <c r="L18" s="88">
        <f>LOOKUP(2, 1/('OB History'!$B:$B=A18), 'OB History'!$AB:$AB)</f>
        <v>0.55499999999999994</v>
      </c>
      <c r="M18" s="34">
        <f>SUMIFS('OB History'!H:H,'OB History'!B:B,'Old Bow v2'!A18)</f>
        <v>94</v>
      </c>
      <c r="N18" s="2">
        <f>SUMIFS('OB History'!G:G,'OB History'!B:B,'Old Bow v2'!A18)-M18</f>
        <v>90</v>
      </c>
      <c r="O18" s="88">
        <f>LOOKUP(2, 1/('OB History'!$B:$B=A18), 'OB History'!$AC:$AC)</f>
        <v>0.50800000000000001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0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2</v>
      </c>
      <c r="AC18" s="2">
        <f>COUNTIFS('OB History'!$B:$B,$A$18,'OB History'!X:X, 1)</f>
        <v>4</v>
      </c>
      <c r="AD18" s="2">
        <f>COUNTIFS('OB History'!$B:$B,$A$18,'OB History'!Y:Y, 1)</f>
        <v>2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23</v>
      </c>
      <c r="E19" s="4">
        <f>AVERAGEIFS('OB History'!C:C,'OB History'!B:B,A19)</f>
        <v>11.5</v>
      </c>
      <c r="F19" s="35">
        <f t="array" ref="F19">MAX(IF('OB History'!B:B=A19, 'OB History'!C:C))</f>
        <v>14</v>
      </c>
      <c r="G19" s="34">
        <f>COUNTIFS('OB History'!B:B,A19,'OB History'!D:D, 1)</f>
        <v>2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6</v>
      </c>
      <c r="K19" s="2">
        <f>SUMIFS('OB History'!E:E,'OB History'!B:B,A19)-J19</f>
        <v>2</v>
      </c>
      <c r="L19" s="88">
        <f>LOOKUP(2, 1/('OB History'!$B:$B=A19), 'OB History'!$AB:$AB)</f>
        <v>0.75</v>
      </c>
      <c r="M19" s="34">
        <f>SUMIFS('OB History'!H:H,'OB History'!B:B,'Old Bow v2'!A19)</f>
        <v>20</v>
      </c>
      <c r="N19" s="2">
        <f>SUMIFS('OB History'!G:G,'OB History'!B:B,'Old Bow v2'!A19)-M19</f>
        <v>9</v>
      </c>
      <c r="O19" s="88">
        <f>LOOKUP(2, 1/('OB History'!$B:$B=A19), 'OB History'!$AC:$AC)</f>
        <v>0.68500000000000005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0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1</v>
      </c>
      <c r="AD19" s="2">
        <f>COUNTIFS('OB History'!$B:$B,$A$19,'OB History'!Y:Y, 1)</f>
        <v>1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302</v>
      </c>
      <c r="E20" s="4">
        <f>AVERAGEIFS('OB History'!C:C,'OB History'!B:B,A20)</f>
        <v>10.413793103448276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14</v>
      </c>
      <c r="I20" s="88">
        <f>LOOKUP(2, 1/('OB History'!$B:$B=A20), 'OB History'!$AD:$AD)</f>
        <v>0.51724137931034486</v>
      </c>
      <c r="J20" s="34">
        <f>SUMIFS('OB History'!F:F,'OB History'!B:B,A20)</f>
        <v>61</v>
      </c>
      <c r="K20" s="2">
        <f>SUMIFS('OB History'!E:E,'OB History'!B:B,A20)-J20</f>
        <v>57</v>
      </c>
      <c r="L20" s="88">
        <f>LOOKUP(2, 1/('OB History'!$B:$B=A20), 'OB History'!$AB:$AB)</f>
        <v>0.51551724137931043</v>
      </c>
      <c r="M20" s="34">
        <f>SUMIFS('OB History'!H:H,'OB History'!B:B,'Old Bow v2'!A20)</f>
        <v>253</v>
      </c>
      <c r="N20" s="2">
        <f>SUMIFS('OB History'!G:G,'OB History'!B:B,'Old Bow v2'!A20)-M20</f>
        <v>238</v>
      </c>
      <c r="O20" s="88">
        <f>LOOKUP(2, 1/('OB History'!$B:$B=A20), 'OB History'!$AC:$AC)</f>
        <v>0.52344827586206899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8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7</v>
      </c>
      <c r="AC20" s="2">
        <f>COUNTIFS('OB History'!$B:$B,$A$20,'OB History'!X:X, 1)</f>
        <v>11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69</v>
      </c>
      <c r="E22" s="4">
        <f>AVERAGEIFS('OB History'!C:C,'OB History'!B:B,A22)</f>
        <v>9.8571428571428577</v>
      </c>
      <c r="F22" s="35">
        <f t="array" ref="F22">MAX(IF('OB History'!B:B=A22, 'OB History'!C:C))</f>
        <v>13</v>
      </c>
      <c r="G22" s="34">
        <f>COUNTIFS('OB History'!B:B,A22,'OB History'!D:D, 1)</f>
        <v>3</v>
      </c>
      <c r="H22" s="2">
        <f>COUNTIFS('OB History'!B:B,A22,'OB History'!D:D, 0)</f>
        <v>4</v>
      </c>
      <c r="I22" s="88">
        <f>LOOKUP(2, 1/('OB History'!$B:$B=A22), 'OB History'!$AD:$AD)</f>
        <v>0.42857142857142855</v>
      </c>
      <c r="J22" s="34">
        <f>SUMIFS('OB History'!F:F,'OB History'!B:B,A22)</f>
        <v>15</v>
      </c>
      <c r="K22" s="2">
        <f>SUMIFS('OB History'!E:E,'OB History'!B:B,A22)-J22</f>
        <v>16</v>
      </c>
      <c r="L22" s="88">
        <f>LOOKUP(2, 1/('OB History'!$B:$B=A22), 'OB History'!$AB:$AB)</f>
        <v>0.5</v>
      </c>
      <c r="M22" s="34">
        <f>SUMIFS('OB History'!H:H,'OB History'!B:B,'Old Bow v2'!A22)</f>
        <v>61</v>
      </c>
      <c r="N22" s="2">
        <f>SUMIFS('OB History'!G:G,'OB History'!B:B,'Old Bow v2'!A22)-M22</f>
        <v>65</v>
      </c>
      <c r="O22" s="88">
        <f>LOOKUP(2, 1/('OB History'!$B:$B=A22), 'OB History'!$AC:$AC)</f>
        <v>0.48428571428571426</v>
      </c>
      <c r="P22" s="2">
        <f>COUNTIFS('OB History'!$B:$B,$A$22,'OB History'!K:K, 1)</f>
        <v>0</v>
      </c>
      <c r="Q22" s="2">
        <f>COUNTIFS('OB History'!$B:$B,$A$22,'OB History'!L:L, 1)</f>
        <v>0</v>
      </c>
      <c r="R22" s="2">
        <f>COUNTIFS('OB History'!$B:$B,$A$22,'OB History'!M:M, 1)</f>
        <v>1</v>
      </c>
      <c r="S22" s="2">
        <f>COUNTIFS('OB History'!$B:$B,$A$22,'OB History'!N:N, 1)</f>
        <v>1</v>
      </c>
      <c r="T22" s="2">
        <f>COUNTIFS('OB History'!$B:$B,$A$22,'OB History'!O:O, 1)</f>
        <v>0</v>
      </c>
      <c r="U22" s="2">
        <f>COUNTIFS('OB History'!$B:$B,$A$22,'OB History'!P:P, 1)</f>
        <v>1</v>
      </c>
      <c r="V22" s="2">
        <f>COUNTIFS('OB History'!$B:$B,$A$22,'OB History'!Q:Q, 1)</f>
        <v>0</v>
      </c>
      <c r="W22" s="2">
        <f>COUNTIFS('OB History'!$B:$B,$A$22,'OB History'!R:R, 1)</f>
        <v>1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5</v>
      </c>
      <c r="AD22" s="2">
        <f>COUNTIFS('OB History'!$B:$B,$A$22,'OB History'!Y:Y, 1)</f>
        <v>2</v>
      </c>
      <c r="AE22" s="2">
        <f>COUNTIFS('OB History'!$B:$B,$A$22,'OB History'!Z:Z, 1)</f>
        <v>2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261</v>
      </c>
      <c r="E23" s="4">
        <f>AVERAGEIFS('OB History'!C:C,'OB History'!B:B,A23)</f>
        <v>13.736842105263158</v>
      </c>
      <c r="F23" s="35">
        <f t="array" ref="F23">MAX(IF('OB History'!B:B=A23, 'OB History'!C:C))</f>
        <v>27</v>
      </c>
      <c r="G23" s="34">
        <f>COUNTIFS('OB History'!B:B,A23,'OB History'!D:D, 1)</f>
        <v>7</v>
      </c>
      <c r="H23" s="2">
        <f>COUNTIFS('OB History'!B:B,A23,'OB History'!D:D, 0)</f>
        <v>12</v>
      </c>
      <c r="I23" s="88">
        <f>LOOKUP(2, 1/('OB History'!$B:$B=A23), 'OB History'!$AD:$AD)</f>
        <v>0.36842105263157893</v>
      </c>
      <c r="J23" s="34">
        <f>SUMIFS('OB History'!F:F,'OB History'!B:B,A23)</f>
        <v>33</v>
      </c>
      <c r="K23" s="2">
        <f>SUMIFS('OB History'!E:E,'OB History'!B:B,A23)-J23</f>
        <v>47</v>
      </c>
      <c r="L23" s="88">
        <f>LOOKUP(2, 1/('OB History'!$B:$B=A23), 'OB History'!$AB:$AB)</f>
        <v>0.38157894736842107</v>
      </c>
      <c r="M23" s="34">
        <f>SUMIFS('OB History'!H:H,'OB History'!B:B,'Old Bow v2'!A23)</f>
        <v>155</v>
      </c>
      <c r="N23" s="2">
        <f>SUMIFS('OB History'!G:G,'OB History'!B:B,'Old Bow v2'!A23)-M23</f>
        <v>181</v>
      </c>
      <c r="O23" s="88">
        <f>LOOKUP(2, 1/('OB History'!$B:$B=A23), 'OB History'!$AC:$AC)</f>
        <v>0.44473684210526321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1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4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351</v>
      </c>
      <c r="E26" s="4">
        <f>AVERAGEIFS('OB History'!C:C,'OB History'!B:B,A26)</f>
        <v>14.04</v>
      </c>
      <c r="F26" s="35">
        <f t="array" ref="F26">MAX(IF('OB History'!B:B=A26, 'OB History'!C:C))</f>
        <v>28</v>
      </c>
      <c r="G26" s="34">
        <f>COUNTIFS('OB History'!B:B,A26,'OB History'!D:D, 1)</f>
        <v>10</v>
      </c>
      <c r="H26" s="2">
        <f>COUNTIFS('OB History'!B:B,A26,'OB History'!D:D, 0)</f>
        <v>15</v>
      </c>
      <c r="I26" s="88">
        <f>LOOKUP(2, 1/('OB History'!$B:$B=A26), 'OB History'!$AD:$AD)</f>
        <v>0.4</v>
      </c>
      <c r="J26" s="34">
        <f>SUMIFS('OB History'!F:F,'OB History'!B:B,A26)</f>
        <v>50</v>
      </c>
      <c r="K26" s="2">
        <f>SUMIFS('OB History'!E:E,'OB History'!B:B,A26)-J26</f>
        <v>56</v>
      </c>
      <c r="L26" s="88">
        <f>LOOKUP(2, 1/('OB History'!$B:$B=A26), 'OB History'!$AB:$AB)</f>
        <v>0.47</v>
      </c>
      <c r="M26" s="34">
        <f>SUMIFS('OB History'!H:H,'OB History'!B:B,'Old Bow v2'!A26)</f>
        <v>219</v>
      </c>
      <c r="N26" s="2">
        <f>SUMIFS('OB History'!G:G,'OB History'!B:B,'Old Bow v2'!A26)-M26</f>
        <v>226</v>
      </c>
      <c r="O26" s="88">
        <f>LOOKUP(2, 1/('OB History'!$B:$B=A26), 'OB History'!$AC:$AC)</f>
        <v>0.49000000000000005</v>
      </c>
      <c r="P26" s="2">
        <f>COUNTIFS('OB History'!$B:$B,$A$26,'OB History'!K:K, 1)</f>
        <v>1</v>
      </c>
      <c r="Q26" s="2">
        <f>COUNTIFS('OB History'!$B:$B,$A$26,'OB History'!L:L, 1)</f>
        <v>4</v>
      </c>
      <c r="R26" s="2">
        <f>COUNTIFS('OB History'!$B:$B,$A$26,'OB History'!M:M, 1)</f>
        <v>0</v>
      </c>
      <c r="S26" s="2">
        <f>COUNTIFS('OB History'!$B:$B,$A$26,'OB History'!N:N, 1)</f>
        <v>12</v>
      </c>
      <c r="T26" s="2">
        <f>COUNTIFS('OB History'!$B:$B,$A$26,'OB History'!O:O, 1)</f>
        <v>0</v>
      </c>
      <c r="U26" s="2">
        <f>COUNTIFS('OB History'!$B:$B,$A$26,'OB History'!P:P, 1)</f>
        <v>4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2</v>
      </c>
      <c r="AE26" s="2">
        <f>COUNTIFS('OB History'!$B:$B,$A$26,'OB History'!Z:Z, 1)</f>
        <v>5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6" t="s">
        <v>60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139</v>
      </c>
      <c r="E29" s="4">
        <f>AVERAGEIFS('OB History'!C:C,'OB History'!B:B,A29)</f>
        <v>13.9</v>
      </c>
      <c r="F29" s="35">
        <f t="array" ref="F29">MAX(IF('OB History'!B:B=A29, 'OB History'!C:C))</f>
        <v>23</v>
      </c>
      <c r="G29" s="34">
        <f>COUNTIFS('OB History'!B:B,A29,'OB History'!D:D, 1)</f>
        <v>7</v>
      </c>
      <c r="H29" s="2">
        <f>COUNTIFS('OB History'!B:B,A29,'OB History'!D:D, 0)</f>
        <v>3</v>
      </c>
      <c r="I29" s="88">
        <f>LOOKUP(2, 1/('OB History'!$B:$B=A29), 'OB History'!$AD:$AD)</f>
        <v>0.7</v>
      </c>
      <c r="J29" s="34">
        <f>SUMIFS('OB History'!F:F,'OB History'!B:B,A29)</f>
        <v>26</v>
      </c>
      <c r="K29" s="2">
        <f>SUMIFS('OB History'!E:E,'OB History'!B:B,A29)-J29</f>
        <v>17</v>
      </c>
      <c r="L29" s="88">
        <f>LOOKUP(2, 1/('OB History'!$B:$B=A29), 'OB History'!$AB:$AB)</f>
        <v>0.63500000000000001</v>
      </c>
      <c r="M29" s="34">
        <f>SUMIFS('OB History'!H:H,'OB History'!B:B,'Old Bow v2'!A29)</f>
        <v>98</v>
      </c>
      <c r="N29" s="2">
        <f>SUMIFS('OB History'!G:G,'OB History'!B:B,'Old Bow v2'!A29)-M29</f>
        <v>77</v>
      </c>
      <c r="O29" s="88">
        <f>LOOKUP(2, 1/('OB History'!$B:$B=A29), 'OB History'!$AC:$AC)</f>
        <v>0.57899999999999996</v>
      </c>
      <c r="P29" s="2">
        <f>COUNTIFS('OB History'!$B:$B,$A$29,'OB History'!K:K, 1)</f>
        <v>1</v>
      </c>
      <c r="Q29" s="2">
        <f>COUNTIFS('OB History'!$B:$B,$A$29,'OB History'!L:L, 1)</f>
        <v>3</v>
      </c>
      <c r="R29" s="2">
        <f>COUNTIFS('OB History'!$B:$B,$A$29,'OB History'!M:M, 1)</f>
        <v>1</v>
      </c>
      <c r="S29" s="2">
        <f>COUNTIFS('OB History'!$B:$B,$A$29,'OB History'!N:N, 1)</f>
        <v>2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1</v>
      </c>
      <c r="AC29" s="2">
        <f>COUNTIFS('OB History'!$B:$B,$A$29,'OB History'!X:X, 1)</f>
        <v>6</v>
      </c>
      <c r="AD29" s="2">
        <f>COUNTIFS('OB History'!$B:$B,$A$29,'OB History'!Y:Y, 1)</f>
        <v>6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689</v>
      </c>
      <c r="E30" s="4">
        <f>AVERAGEIFS('OB History'!C:C,'OB History'!B:B,A30)</f>
        <v>25.518518518518519</v>
      </c>
      <c r="F30" s="35">
        <f t="array" ref="F30">MAX(IF('OB History'!B:B=A30, 'OB History'!C:C))</f>
        <v>55</v>
      </c>
      <c r="G30" s="34">
        <f>COUNTIFS('OB History'!B:B,A30,'OB History'!D:D, 1)</f>
        <v>9</v>
      </c>
      <c r="H30" s="2">
        <f>COUNTIFS('OB History'!B:B,A30,'OB History'!D:D, 0)</f>
        <v>18</v>
      </c>
      <c r="I30" s="88">
        <f>LOOKUP(2, 1/('OB History'!$B:$B=A30), 'OB History'!$AD:$AD)</f>
        <v>0.33333333333333331</v>
      </c>
      <c r="J30" s="34">
        <f>SUMIFS('OB History'!F:F,'OB History'!B:B,A30)</f>
        <v>50</v>
      </c>
      <c r="K30" s="2">
        <f>SUMIFS('OB History'!E:E,'OB History'!B:B,A30)-J30</f>
        <v>62</v>
      </c>
      <c r="L30" s="88">
        <f>LOOKUP(2, 1/('OB History'!$B:$B=A30), 'OB History'!$AB:$AB)</f>
        <v>0.45740740740740737</v>
      </c>
      <c r="M30" s="34">
        <f>SUMIFS('OB History'!H:H,'OB History'!B:B,'Old Bow v2'!A30)</f>
        <v>221</v>
      </c>
      <c r="N30" s="2">
        <f>SUMIFS('OB History'!G:G,'OB History'!B:B,'Old Bow v2'!A30)-M30</f>
        <v>244</v>
      </c>
      <c r="O30" s="88">
        <f>LOOKUP(2, 1/('OB History'!$B:$B=A30), 'OB History'!$AC:$AC)</f>
        <v>0.48148148148148157</v>
      </c>
      <c r="P30" s="2">
        <f>COUNTIFS('OB History'!$B:$B,$A$30,'OB History'!K:K, 1)</f>
        <v>2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5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15</v>
      </c>
      <c r="AD30" s="2">
        <f>COUNTIFS('OB History'!$B:$B,$A$30,'OB History'!Y:Y, 1)</f>
        <v>4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6" t="s">
        <v>60</v>
      </c>
      <c r="D32" s="34">
        <f>SUMIFS('OB History'!C:C,'OB History'!B:B,A32)</f>
        <v>1069</v>
      </c>
      <c r="E32" s="4">
        <f>AVERAGEIFS('OB History'!C:C,'OB History'!B:B,A32)</f>
        <v>27.410256410256409</v>
      </c>
      <c r="F32" s="35">
        <f t="array" ref="F32">MAX(IF('OB History'!B:B=A32, 'OB History'!C:C))</f>
        <v>57</v>
      </c>
      <c r="G32" s="34">
        <f>COUNTIFS('OB History'!B:B,A32,'OB History'!D:D, 1)</f>
        <v>25</v>
      </c>
      <c r="H32" s="2">
        <f>COUNTIFS('OB History'!B:B,A32,'OB History'!D:D, 0)</f>
        <v>14</v>
      </c>
      <c r="I32" s="88">
        <f>LOOKUP(2, 1/('OB History'!$B:$B=A32), 'OB History'!$AD:$AD)</f>
        <v>0.64102564102564108</v>
      </c>
      <c r="J32" s="34">
        <f>SUMIFS('OB History'!F:F,'OB History'!B:B,A32)</f>
        <v>91</v>
      </c>
      <c r="K32" s="2">
        <f>SUMIFS('OB History'!E:E,'OB History'!B:B,A32)-J32</f>
        <v>70</v>
      </c>
      <c r="L32" s="88">
        <f>LOOKUP(2, 1/('OB History'!$B:$B=A32), 'OB History'!$AB:$AB)</f>
        <v>0.56666666666666665</v>
      </c>
      <c r="M32" s="34">
        <f>SUMIFS('OB History'!H:H,'OB History'!B:B,'Old Bow v2'!A32)</f>
        <v>357</v>
      </c>
      <c r="N32" s="2">
        <f>SUMIFS('OB History'!G:G,'OB History'!B:B,'Old Bow v2'!A32)-M32</f>
        <v>301</v>
      </c>
      <c r="O32" s="88">
        <f>LOOKUP(2, 1/('OB History'!$B:$B=A32), 'OB History'!$AC:$AC)</f>
        <v>0.54512820512820503</v>
      </c>
      <c r="P32" s="2">
        <f>COUNTIFS('OB History'!$B:$B,$A$32,'OB History'!K:K, 1)</f>
        <v>4</v>
      </c>
      <c r="Q32" s="2">
        <f>COUNTIFS('OB History'!$B:$B,$A$32,'OB History'!L:L, 1)</f>
        <v>9</v>
      </c>
      <c r="R32" s="2">
        <f>COUNTIFS('OB History'!$B:$B,$A$32,'OB History'!M:M, 1)</f>
        <v>3</v>
      </c>
      <c r="S32" s="2">
        <f>COUNTIFS('OB History'!$B:$B,$A$32,'OB History'!N:N, 1)</f>
        <v>10</v>
      </c>
      <c r="T32" s="2">
        <f>COUNTIFS('OB History'!$B:$B,$A$32,'OB History'!O:O, 1)</f>
        <v>3</v>
      </c>
      <c r="U32" s="2">
        <f>COUNTIFS('OB History'!$B:$B,$A$32,'OB History'!P:P, 1)</f>
        <v>13</v>
      </c>
      <c r="V32" s="2">
        <f>COUNTIFS('OB History'!$B:$B,$A$32,'OB History'!Q:Q, 1)</f>
        <v>4</v>
      </c>
      <c r="W32" s="2">
        <f>COUNTIFS('OB History'!$B:$B,$A$32,'OB History'!R:R, 1)</f>
        <v>1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10</v>
      </c>
      <c r="AD32" s="2">
        <f>COUNTIFS('OB History'!$B:$B,$A$32,'OB History'!Y:Y, 1)</f>
        <v>5</v>
      </c>
      <c r="AE32" s="2">
        <f>COUNTIFS('OB History'!$B:$B,$A$32,'OB History'!Z:Z, 1)</f>
        <v>10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24</v>
      </c>
      <c r="E36" s="4">
        <f>AVERAGEIFS('OB History'!C:C,'OB History'!B:B,A36)</f>
        <v>4</v>
      </c>
      <c r="F36" s="35">
        <f t="array" ref="F36">MAX(IF('OB History'!B:B=A36, 'OB History'!C:C))</f>
        <v>7</v>
      </c>
      <c r="G36" s="34">
        <f>COUNTIFS('OB History'!B:B,A36,'OB History'!D:D, 1)</f>
        <v>2</v>
      </c>
      <c r="H36" s="2">
        <f>COUNTIFS('OB History'!B:B,A36,'OB History'!D:D, 0)</f>
        <v>4</v>
      </c>
      <c r="I36" s="88">
        <f>LOOKUP(2, 1/('OB History'!$B:$B=A36), 'OB History'!$AD:$AD)</f>
        <v>0.33333333333333331</v>
      </c>
      <c r="J36" s="34">
        <f>SUMIFS('OB History'!F:F,'OB History'!B:B,A36)</f>
        <v>8</v>
      </c>
      <c r="K36" s="2">
        <f>SUMIFS('OB History'!E:E,'OB History'!B:B,A36)-J36</f>
        <v>13</v>
      </c>
      <c r="L36" s="88">
        <f>LOOKUP(2, 1/('OB History'!$B:$B=A36), 'OB History'!$AB:$AB)</f>
        <v>0.375</v>
      </c>
      <c r="M36" s="34">
        <f>SUMIFS('OB History'!H:H,'OB History'!B:B,'Old Bow v2'!A36)</f>
        <v>35</v>
      </c>
      <c r="N36" s="2">
        <f>SUMIFS('OB History'!G:G,'OB History'!B:B,'Old Bow v2'!A36)-M36</f>
        <v>50</v>
      </c>
      <c r="O36" s="88">
        <f>LOOKUP(2, 1/('OB History'!$B:$B=A36), 'OB History'!$AC:$AC)</f>
        <v>0.41666666666666669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1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0</v>
      </c>
      <c r="AD36" s="2">
        <f>COUNTIFS('OB History'!$B:$B,$A$36,'OB History'!Y:Y, 1)</f>
        <v>0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143</v>
      </c>
      <c r="E39" s="4">
        <f>AVERAGEIFS('OB History'!C:C,'OB History'!B:B,A39)</f>
        <v>17.875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6</v>
      </c>
      <c r="I39" s="88">
        <f>LOOKUP(2, 1/('OB History'!$B:$B=A39), 'OB History'!$AD:$AD)</f>
        <v>0.25</v>
      </c>
      <c r="J39" s="34">
        <f>SUMIFS('OB History'!F:F,'OB History'!B:B,A39)</f>
        <v>12</v>
      </c>
      <c r="K39" s="2">
        <f>SUMIFS('OB History'!E:E,'OB History'!B:B,A39)-J39</f>
        <v>20</v>
      </c>
      <c r="L39" s="88">
        <f>LOOKUP(2, 1/('OB History'!$B:$B=A39), 'OB History'!$AB:$AB)</f>
        <v>0.36249999999999999</v>
      </c>
      <c r="M39" s="34">
        <f>SUMIFS('OB History'!H:H,'OB History'!B:B,'Old Bow v2'!A39)</f>
        <v>53</v>
      </c>
      <c r="N39" s="2">
        <f>SUMIFS('OB History'!G:G,'OB History'!B:B,'Old Bow v2'!A39)-M39</f>
        <v>78</v>
      </c>
      <c r="O39" s="88">
        <f>LOOKUP(2, 1/('OB History'!$B:$B=A39), 'OB History'!$AC:$AC)</f>
        <v>0.38750000000000001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0</v>
      </c>
      <c r="S39" s="2">
        <f>COUNTIFS('OB History'!$B:$B,$A$39,'OB History'!N:N, 1)</f>
        <v>0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3</v>
      </c>
      <c r="AD39" s="2">
        <f>COUNTIFS('OB History'!$B:$B,$A$39,'OB History'!Y:Y, 1)</f>
        <v>2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918</v>
      </c>
      <c r="E41" s="4">
        <f>AVERAGEIFS('OB History'!C:C,'OB History'!B:B,A41)</f>
        <v>25.5</v>
      </c>
      <c r="F41" s="35">
        <f t="array" ref="F41">MAX(IF('OB History'!B:B=A41, 'OB History'!C:C))</f>
        <v>49</v>
      </c>
      <c r="G41" s="34">
        <f>COUNTIFS('OB History'!B:B,A41,'OB History'!D:D, 1)</f>
        <v>14</v>
      </c>
      <c r="H41" s="2">
        <f>COUNTIFS('OB History'!B:B,A41,'OB History'!D:D, 0)</f>
        <v>22</v>
      </c>
      <c r="I41" s="88">
        <f>LOOKUP(2, 1/('OB History'!$B:$B=A41), 'OB History'!$AD:$AD)</f>
        <v>0.3888888888888889</v>
      </c>
      <c r="J41" s="34">
        <f>SUMIFS('OB History'!F:F,'OB History'!B:B,A41)</f>
        <v>72</v>
      </c>
      <c r="K41" s="2">
        <f>SUMIFS('OB History'!E:E,'OB History'!B:B,A41)-J41</f>
        <v>77</v>
      </c>
      <c r="L41" s="88">
        <f>LOOKUP(2, 1/('OB History'!$B:$B=A41), 'OB History'!$AB:$AB)</f>
        <v>0.49861111111111117</v>
      </c>
      <c r="M41" s="34">
        <f>SUMIFS('OB History'!H:H,'OB History'!B:B,'Old Bow v2'!A41)</f>
        <v>307</v>
      </c>
      <c r="N41" s="2">
        <f>SUMIFS('OB History'!G:G,'OB History'!B:B,'Old Bow v2'!A41)-M41</f>
        <v>307</v>
      </c>
      <c r="O41" s="88">
        <f>LOOKUP(2, 1/('OB History'!$B:$B=A41), 'OB History'!$AC:$AC)</f>
        <v>0.51138888888888878</v>
      </c>
      <c r="P41" s="2">
        <f>COUNTIFS('OB History'!$B:$B,$A$41,'OB History'!K:K, 1)</f>
        <v>6</v>
      </c>
      <c r="Q41" s="2">
        <f>COUNTIFS('OB History'!$B:$B,$A$41,'OB History'!L:L, 1)</f>
        <v>3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2</v>
      </c>
      <c r="W41" s="2">
        <f>COUNTIFS('OB History'!$B:$B,$A$41,'OB History'!R:R, 1)</f>
        <v>0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11</v>
      </c>
      <c r="AD41" s="2">
        <f>COUNTIFS('OB History'!$B:$B,$A$41,'OB History'!Y:Y, 1)</f>
        <v>7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79</v>
      </c>
      <c r="E42" s="4">
        <f>AVERAGEIFS('OB History'!C:C,'OB History'!B:B,A42)</f>
        <v>15.8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3</v>
      </c>
      <c r="I42" s="88">
        <f>LOOKUP(2, 1/('OB History'!$B:$B=A42), 'OB History'!$AD:$AD)</f>
        <v>0.4</v>
      </c>
      <c r="J42" s="34">
        <f>SUMIFS('OB History'!F:F,'OB History'!B:B,A42)</f>
        <v>10</v>
      </c>
      <c r="K42" s="2">
        <f>SUMIFS('OB History'!E:E,'OB History'!B:B,A42)-J42</f>
        <v>12</v>
      </c>
      <c r="L42" s="88">
        <f>LOOKUP(2, 1/('OB History'!$B:$B=A42), 'OB History'!$AB:$AB)</f>
        <v>0.45</v>
      </c>
      <c r="M42" s="34">
        <f>SUMIFS('OB History'!H:H,'OB History'!B:B,'Old Bow v2'!A42)</f>
        <v>44</v>
      </c>
      <c r="N42" s="2">
        <f>SUMIFS('OB History'!G:G,'OB History'!B:B,'Old Bow v2'!A42)-M42</f>
        <v>44</v>
      </c>
      <c r="O42" s="88">
        <f>LOOKUP(2, 1/('OB History'!$B:$B=A42), 'OB History'!$AC:$AC)</f>
        <v>0.48399999999999999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1</v>
      </c>
      <c r="S42" s="2">
        <f>COUNTIFS('OB History'!$B:$B,$A$42,'OB History'!N:N, 1)</f>
        <v>1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0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1</v>
      </c>
      <c r="AD42" s="2">
        <f>COUNTIFS('OB History'!$B:$B,$A$42,'OB History'!Y:Y, 1)</f>
        <v>1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464</v>
      </c>
      <c r="E43" s="4">
        <f>AVERAGEIFS('OB History'!C:C,'OB History'!B:B,A43)</f>
        <v>23.2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5</v>
      </c>
      <c r="I43" s="88">
        <f>LOOKUP(2, 1/('OB History'!$B:$B=A43), 'OB History'!$AD:$AD)</f>
        <v>0.75</v>
      </c>
      <c r="J43" s="34">
        <f>SUMIFS('OB History'!F:F,'OB History'!B:B,A43)</f>
        <v>49</v>
      </c>
      <c r="K43" s="2">
        <f>SUMIFS('OB History'!E:E,'OB History'!B:B,A43)-J43</f>
        <v>32</v>
      </c>
      <c r="L43" s="88">
        <f>LOOKUP(2, 1/('OB History'!$B:$B=A43), 'OB History'!$AB:$AB)</f>
        <v>0.61249999999999993</v>
      </c>
      <c r="M43" s="34">
        <f>SUMIFS('OB History'!H:H,'OB History'!B:B,'Old Bow v2'!A43)</f>
        <v>187</v>
      </c>
      <c r="N43" s="2">
        <f>SUMIFS('OB History'!G:G,'OB History'!B:B,'Old Bow v2'!A43)-M43</f>
        <v>156</v>
      </c>
      <c r="O43" s="88">
        <f>LOOKUP(2, 1/('OB History'!$B:$B=A43), 'OB History'!$AC:$AC)</f>
        <v>0.54949999999999999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4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1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41</v>
      </c>
      <c r="E45" s="4">
        <f>AVERAGEIFS('OB History'!C:C,'OB History'!B:B,A45)</f>
        <v>13.666666666666666</v>
      </c>
      <c r="F45" s="35">
        <f t="array" ref="F45">MAX(IF('OB History'!B:B=A45, 'OB History'!C:C))</f>
        <v>19</v>
      </c>
      <c r="G45" s="34">
        <f>COUNTIFS('OB History'!B:B,A45,'OB History'!D:D, 1)</f>
        <v>2</v>
      </c>
      <c r="H45" s="2">
        <f>COUNTIFS('OB History'!B:B,A45,'OB History'!D:D, 0)</f>
        <v>1</v>
      </c>
      <c r="I45" s="88">
        <f>LOOKUP(2, 1/('OB History'!$B:$B=A45), 'OB History'!$AD:$AD)</f>
        <v>0.66666666666666663</v>
      </c>
      <c r="J45" s="34">
        <f>SUMIFS('OB History'!F:F,'OB History'!B:B,A45)</f>
        <v>6</v>
      </c>
      <c r="K45" s="2">
        <f>SUMIFS('OB History'!E:E,'OB History'!B:B,A45)-J45</f>
        <v>7</v>
      </c>
      <c r="L45" s="88">
        <f>LOOKUP(2, 1/('OB History'!$B:$B=A45), 'OB History'!$AB:$AB)</f>
        <v>0.39999999999999997</v>
      </c>
      <c r="M45" s="34">
        <f>SUMIFS('OB History'!H:H,'OB History'!B:B,'Old Bow v2'!A45)</f>
        <v>25</v>
      </c>
      <c r="N45" s="2">
        <f>SUMIFS('OB History'!G:G,'OB History'!B:B,'Old Bow v2'!A45)-M45</f>
        <v>28</v>
      </c>
      <c r="O45" s="88">
        <f>LOOKUP(2, 1/('OB History'!$B:$B=A45), 'OB History'!$AC:$AC)</f>
        <v>0.42333333333333328</v>
      </c>
      <c r="P45" s="2">
        <f>COUNTIFS('OB History'!$B:$B,$A$45,'OB History'!K:K, 1)</f>
        <v>0</v>
      </c>
      <c r="Q45" s="2">
        <f>COUNTIFS('OB History'!$B:$B,$A$45,'OB History'!L:L, 1)</f>
        <v>1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0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2</v>
      </c>
      <c r="AD45" s="2">
        <f>COUNTIFS('OB History'!$B:$B,$A$45,'OB History'!Y:Y, 1)</f>
        <v>1</v>
      </c>
      <c r="AE45" s="2">
        <f>COUNTIFS('OB History'!$B:$B,$A$45,'OB History'!Z:Z, 1)</f>
        <v>0</v>
      </c>
    </row>
    <row r="46" spans="1:31" x14ac:dyDescent="0.25">
      <c r="A46" s="2" t="s">
        <v>14</v>
      </c>
      <c r="B46" s="6" t="s">
        <v>124</v>
      </c>
      <c r="C46" s="6" t="s">
        <v>124</v>
      </c>
      <c r="D46" s="34">
        <f>SUMIFS('OB History'!C:C,'OB History'!B:B,A46)</f>
        <v>767</v>
      </c>
      <c r="E46" s="4">
        <f>AVERAGEIFS('OB History'!C:C,'OB History'!B:B,A46)</f>
        <v>25.566666666666666</v>
      </c>
      <c r="F46" s="35">
        <f t="array" ref="F46">MAX(IF('OB History'!B:B=A46, 'OB History'!C:C))</f>
        <v>56</v>
      </c>
      <c r="G46" s="34">
        <f>COUNTIFS('OB History'!B:B,A46,'OB History'!D:D, 1)</f>
        <v>17</v>
      </c>
      <c r="H46" s="2">
        <f>COUNTIFS('OB History'!B:B,A46,'OB History'!D:D, 0)</f>
        <v>13</v>
      </c>
      <c r="I46" s="88">
        <f>LOOKUP(2, 1/('OB History'!$B:$B=A46), 'OB History'!$AD:$AD)</f>
        <v>0.56666666666666665</v>
      </c>
      <c r="J46" s="34">
        <f>SUMIFS('OB History'!F:F,'OB History'!B:B,A46)</f>
        <v>65</v>
      </c>
      <c r="K46" s="2">
        <f>SUMIFS('OB History'!E:E,'OB History'!B:B,A46)-J46</f>
        <v>58</v>
      </c>
      <c r="L46" s="88">
        <f>LOOKUP(2, 1/('OB History'!$B:$B=A46), 'OB History'!$AB:$AB)</f>
        <v>0.54166666666666663</v>
      </c>
      <c r="M46" s="34">
        <f>SUMIFS('OB History'!H:H,'OB History'!B:B,'Old Bow v2'!A46)</f>
        <v>261</v>
      </c>
      <c r="N46" s="2">
        <f>SUMIFS('OB History'!G:G,'OB History'!B:B,'Old Bow v2'!A46)-M46</f>
        <v>253</v>
      </c>
      <c r="O46" s="88">
        <f>LOOKUP(2, 1/('OB History'!$B:$B=A46), 'OB History'!$AC:$AC)</f>
        <v>0.51900000000000002</v>
      </c>
      <c r="P46" s="2">
        <f>COUNTIFS('OB History'!$B:$B,$A$46,'OB History'!K:K, 1)</f>
        <v>3</v>
      </c>
      <c r="Q46" s="2">
        <f>COUNTIFS('OB History'!$B:$B,$A$46,'OB History'!L:L, 1)</f>
        <v>7</v>
      </c>
      <c r="R46" s="2">
        <f>COUNTIFS('OB History'!$B:$B,$A$46,'OB History'!M:M, 1)</f>
        <v>3</v>
      </c>
      <c r="S46" s="2">
        <f>COUNTIFS('OB History'!$B:$B,$A$46,'OB History'!N:N, 1)</f>
        <v>7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0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6</v>
      </c>
      <c r="AC46" s="2">
        <f>COUNTIFS('OB History'!$B:$B,$A$46,'OB History'!X:X, 1)</f>
        <v>16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118</v>
      </c>
      <c r="E48" s="4">
        <f>AVERAGEIFS('OB History'!C:C,'OB History'!B:B,A48)</f>
        <v>19.666666666666668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2</v>
      </c>
      <c r="I48" s="88">
        <f>LOOKUP(2, 1/('OB History'!$B:$B=A48), 'OB History'!$AD:$AD)</f>
        <v>0.66666666666666663</v>
      </c>
      <c r="J48" s="34">
        <f>SUMIFS('OB History'!F:F,'OB History'!B:B,A48)</f>
        <v>12</v>
      </c>
      <c r="K48" s="2">
        <f>SUMIFS('OB History'!E:E,'OB History'!B:B,A48)-J48</f>
        <v>11</v>
      </c>
      <c r="L48" s="88">
        <f>LOOKUP(2, 1/('OB History'!$B:$B=A48), 'OB History'!$AB:$AB)</f>
        <v>0.4916666666666667</v>
      </c>
      <c r="M48" s="34">
        <f>SUMIFS('OB History'!H:H,'OB History'!B:B,'Old Bow v2'!A48)</f>
        <v>46</v>
      </c>
      <c r="N48" s="2">
        <f>SUMIFS('OB History'!G:G,'OB History'!B:B,'Old Bow v2'!A48)-M48</f>
        <v>46</v>
      </c>
      <c r="O48" s="88">
        <f>LOOKUP(2, 1/('OB History'!$B:$B=A48), 'OB History'!$AC:$AC)</f>
        <v>0.47666666666666674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2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0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574"/>
  <sheetViews>
    <sheetView topLeftCell="C1" workbookViewId="0">
      <pane ySplit="1" topLeftCell="A542" activePane="bottomLeft" state="frozen"/>
      <selection pane="bottomLeft" activeCell="AA558" sqref="AA558:AD57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158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21</v>
      </c>
      <c r="AB529" s="86">
        <f>AVERAGEIFS($I$2:I529, $B$2:B529, B529)</f>
        <v>1</v>
      </c>
      <c r="AC529" s="86">
        <f>AVERAGEIFS($J$2:J529, $B$2:B529, B529)</f>
        <v>0.69</v>
      </c>
      <c r="AD529" s="86">
        <f>AVERAGEIFS($D$2:D529, $B$2:B529, B529)</f>
        <v>1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159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</sheetData>
  <autoFilter ref="A1:AD542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6"/>
  <sheetViews>
    <sheetView tabSelected="1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16</v>
      </c>
      <c r="E2" s="4">
        <f>AVERAGEIFS('OB History S2'!C:C,'OB History S2'!B:B,A2)</f>
        <v>8</v>
      </c>
      <c r="F2" s="35">
        <f t="array" ref="F2">MAX(IF('OB History S2'!B:B=A2, 'OB History S2'!C:C))</f>
        <v>8</v>
      </c>
      <c r="G2" s="34">
        <f>COUNTIFS('OB History S2'!B:B,A2,'OB History S2'!D:D, 1)</f>
        <v>2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6</v>
      </c>
      <c r="K2" s="2">
        <f>SUMIFS('OB History S2'!E:E,'OB History S2'!B:B,A2)-J2</f>
        <v>2</v>
      </c>
      <c r="L2" s="88">
        <f>LOOKUP(2, 1/('OB History S2'!$B:$B=A2), 'OB History S2'!$AB:$AB)</f>
        <v>0.75</v>
      </c>
      <c r="M2" s="34">
        <f>SUMIFS('OB History S2'!H:H,'OB History S2'!B:B,A2)</f>
        <v>20</v>
      </c>
      <c r="N2" s="2">
        <f>SUMIFS('OB History S2'!G:G,'OB History S2'!B:B,A2)-M2</f>
        <v>9</v>
      </c>
      <c r="O2" s="88">
        <f>LOOKUP(2, 1/('OB History S2'!$B:$B=A2), 'OB History S2'!$AC:$AC)</f>
        <v>0.68500000000000005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36</v>
      </c>
      <c r="E4" s="4">
        <f>AVERAGEIFS('OB History S2'!C:C,'OB History S2'!B:B,A4)</f>
        <v>36</v>
      </c>
      <c r="F4" s="35">
        <f t="array" ref="F4">MAX(IF('OB History S2'!B:B=A4, 'OB History S2'!C:C))</f>
        <v>36</v>
      </c>
      <c r="G4" s="34">
        <f>COUNTIFS('OB History S2'!B:B,A4,'OB History S2'!D:D, 1)</f>
        <v>1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3</v>
      </c>
      <c r="K4" s="2">
        <f>SUMIFS('OB History S2'!E:E,'OB History S2'!B:B,A4)-J4</f>
        <v>2</v>
      </c>
      <c r="L4" s="88">
        <f>LOOKUP(2, 1/('OB History S2'!$B:$B=A4), 'OB History S2'!$AB:$AB)</f>
        <v>0.6</v>
      </c>
      <c r="M4" s="34">
        <f>SUMIFS('OB History S2'!H:H,'OB History S2'!B:B,A4)</f>
        <v>13</v>
      </c>
      <c r="N4" s="2">
        <f>SUMIFS('OB History S2'!G:G,'OB History S2'!B:B,A4)-M4</f>
        <v>8</v>
      </c>
      <c r="O4" s="88">
        <f>LOOKUP(2, 1/('OB History S2'!$B:$B=A4), 'OB History S2'!$AC:$AC)</f>
        <v>0.62</v>
      </c>
      <c r="P4" s="2">
        <f>COUNTIFS('OB History S2'!$B:$B,$A$4,'OB History S2'!K:K, 1)</f>
        <v>0</v>
      </c>
      <c r="Q4" s="2">
        <f>COUNTIFS('OB History S2'!$B:$B,$A$4,'OB History S2'!L:L, 1)</f>
        <v>0</v>
      </c>
      <c r="R4" s="2">
        <f>COUNTIFS('OB History S2'!$B:$B,$A$4,'OB History S2'!M:M, 1)</f>
        <v>1</v>
      </c>
      <c r="S4" s="2">
        <f>COUNTIFS('OB History S2'!$B:$B,$A$4,'OB History S2'!N:N, 1)</f>
        <v>0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1</v>
      </c>
      <c r="AE4" s="2">
        <f>COUNTIFS('OB History S2'!$B:$B,$A$4,'OB History S2'!Z:Z, 1)</f>
        <v>0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55</v>
      </c>
      <c r="E6" s="4">
        <f>AVERAGEIFS('OB History S2'!C:C,'OB History S2'!B:B,A6)</f>
        <v>13.75</v>
      </c>
      <c r="F6" s="35">
        <f t="array" ref="F6">MAX(IF('OB History S2'!B:B=A6, 'OB History S2'!C:C))</f>
        <v>20</v>
      </c>
      <c r="G6" s="34">
        <f>COUNTIFS('OB History S2'!B:B,A6,'OB History S2'!D:D, 1)</f>
        <v>1</v>
      </c>
      <c r="H6" s="2">
        <f>COUNTIFS('OB History S2'!B:B,A6,'OB History S2'!D:D, 0)</f>
        <v>3</v>
      </c>
      <c r="I6" s="88">
        <f>LOOKUP(2, 1/('OB History S2'!$B:$B=A6), 'OB History S2'!$AD:$AD)</f>
        <v>0.25</v>
      </c>
      <c r="J6" s="34">
        <f>SUMIFS('OB History S2'!F:F,'OB History S2'!B:B,A6)</f>
        <v>6</v>
      </c>
      <c r="K6" s="2">
        <f>SUMIFS('OB History S2'!E:E,'OB History S2'!B:B,A6)-J6</f>
        <v>10</v>
      </c>
      <c r="L6" s="88">
        <f>LOOKUP(2, 1/('OB History S2'!$B:$B=A6), 'OB History S2'!$AB:$AB)</f>
        <v>0.35</v>
      </c>
      <c r="M6" s="34">
        <f>SUMIFS('OB History S2'!H:H,'OB History S2'!B:B,A6)</f>
        <v>25</v>
      </c>
      <c r="N6" s="2">
        <f>SUMIFS('OB History S2'!G:G,'OB History S2'!B:B,A6)-M6</f>
        <v>36</v>
      </c>
      <c r="O6" s="88">
        <f>LOOKUP(2, 1/('OB History S2'!$B:$B=A6), 'OB History S2'!$AC:$AC)</f>
        <v>0.39249999999999996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0</v>
      </c>
      <c r="AD6" s="2">
        <f>COUNTIFS('OB History S2'!$B:$B,$A$6,'OB History S2'!Y:Y, 1)</f>
        <v>1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10</v>
      </c>
      <c r="E7" s="4">
        <f>AVERAGEIFS('OB History S2'!C:C,'OB History S2'!B:B,A7)</f>
        <v>10</v>
      </c>
      <c r="F7" s="35">
        <f t="array" ref="F7">MAX(IF('OB History S2'!B:B=A7, 'OB History S2'!C:C))</f>
        <v>10</v>
      </c>
      <c r="G7" s="34">
        <f>COUNTIFS('OB History S2'!B:B,A7,'OB History S2'!D:D, 1)</f>
        <v>0</v>
      </c>
      <c r="H7" s="2">
        <f>COUNTIFS('OB History S2'!B:B,A7,'OB History S2'!D:D, 0)</f>
        <v>1</v>
      </c>
      <c r="I7" s="88">
        <f>LOOKUP(2, 1/('OB History S2'!$B:$B=A7), 'OB History S2'!$AD:$AD)</f>
        <v>0</v>
      </c>
      <c r="J7" s="34">
        <f>SUMIFS('OB History S2'!F:F,'OB History S2'!B:B,A7)</f>
        <v>1</v>
      </c>
      <c r="K7" s="2">
        <f>SUMIFS('OB History S2'!E:E,'OB History S2'!B:B,A7)-J7</f>
        <v>3</v>
      </c>
      <c r="L7" s="88">
        <f>LOOKUP(2, 1/('OB History S2'!$B:$B=A7), 'OB History S2'!$AB:$AB)</f>
        <v>0.25</v>
      </c>
      <c r="M7" s="34">
        <f>SUMIFS('OB History S2'!H:H,'OB History S2'!B:B,A7)</f>
        <v>4</v>
      </c>
      <c r="N7" s="2">
        <f>SUMIFS('OB History S2'!G:G,'OB History S2'!B:B,A7)-M7</f>
        <v>11</v>
      </c>
      <c r="O7" s="88">
        <f>LOOKUP(2, 1/('OB History S2'!$B:$B=A7), 'OB History S2'!$AC:$AC)</f>
        <v>0.27</v>
      </c>
      <c r="P7" s="2">
        <f>COUNTIFS('OB History S2'!$B:$B,$A$7,'OB History S2'!K:K, 1)</f>
        <v>0</v>
      </c>
      <c r="Q7" s="2">
        <f>COUNTIFS('OB History S2'!$B:$B,$A$7,'OB History S2'!L:L, 1)</f>
        <v>0</v>
      </c>
      <c r="R7" s="2">
        <f>COUNTIFS('OB History S2'!$B:$B,$A$7,'OB History S2'!M:M, 1)</f>
        <v>0</v>
      </c>
      <c r="S7" s="2">
        <f>COUNTIFS('OB History S2'!$B:$B,$A$7,'OB History S2'!N:N, 1)</f>
        <v>0</v>
      </c>
      <c r="T7" s="2">
        <f>COUNTIFS('OB History S2'!$B:$B,$A$7,'OB History S2'!O:O, 1)</f>
        <v>0</v>
      </c>
      <c r="U7" s="2">
        <f>COUNTIFS('OB History S2'!$B:$B,$A$7,'OB History S2'!P:P, 1)</f>
        <v>0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0</v>
      </c>
      <c r="AE7" s="2">
        <f>COUNTIFS('OB History S2'!$B:$B,$A$7,'OB History S2'!Z:Z, 1)</f>
        <v>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37</v>
      </c>
      <c r="E9" s="4">
        <f>AVERAGEIFS('OB History S2'!C:C,'OB History S2'!B:B,A9)</f>
        <v>18.5</v>
      </c>
      <c r="F9" s="35">
        <f t="array" ref="F9">MAX(IF('OB History S2'!B:B=A9, 'OB History S2'!C:C))</f>
        <v>19</v>
      </c>
      <c r="G9" s="34">
        <f>COUNTIFS('OB History S2'!B:B,A9,'OB History S2'!D:D, 1)</f>
        <v>0</v>
      </c>
      <c r="H9" s="2">
        <f>COUNTIFS('OB History S2'!B:B,A9,'OB History S2'!D:D, 0)</f>
        <v>2</v>
      </c>
      <c r="I9" s="88">
        <f>LOOKUP(2, 1/('OB History S2'!$B:$B=A9), 'OB History S2'!$AD:$AD)</f>
        <v>0</v>
      </c>
      <c r="J9" s="34">
        <f>SUMIFS('OB History S2'!F:F,'OB History S2'!B:B,A9)</f>
        <v>2</v>
      </c>
      <c r="K9" s="2">
        <f>SUMIFS('OB History S2'!E:E,'OB History S2'!B:B,A9)-J9</f>
        <v>6</v>
      </c>
      <c r="L9" s="88">
        <f>LOOKUP(2, 1/('OB History S2'!$B:$B=A9), 'OB History S2'!$AB:$AB)</f>
        <v>0.25</v>
      </c>
      <c r="M9" s="34">
        <f>SUMIFS('OB History S2'!H:H,'OB History S2'!B:B,A9)</f>
        <v>9</v>
      </c>
      <c r="N9" s="2">
        <f>SUMIFS('OB History S2'!G:G,'OB History S2'!B:B,A9)-M9</f>
        <v>20</v>
      </c>
      <c r="O9" s="88">
        <f>LOOKUP(2, 1/('OB History S2'!$B:$B=A9), 'OB History S2'!$AC:$AC)</f>
        <v>0.315</v>
      </c>
      <c r="P9" s="2">
        <f>COUNTIFS('OB History S2'!$B:$B,$A$9,'OB History S2'!K:K, 1)</f>
        <v>0</v>
      </c>
      <c r="Q9" s="2">
        <f>COUNTIFS('OB History S2'!$B:$B,$A$9,'OB History S2'!L:L, 1)</f>
        <v>0</v>
      </c>
      <c r="R9" s="2">
        <f>COUNTIFS('OB History S2'!$B:$B,$A$9,'OB History S2'!M:M, 1)</f>
        <v>0</v>
      </c>
      <c r="S9" s="2">
        <f>COUNTIFS('OB History S2'!$B:$B,$A$9,'OB History S2'!N:N, 1)</f>
        <v>0</v>
      </c>
      <c r="T9" s="2">
        <f>COUNTIFS('OB History S2'!$B:$B,$A$9,'OB History S2'!O:O, 1)</f>
        <v>0</v>
      </c>
      <c r="U9" s="2">
        <f>COUNTIFS('OB History S2'!$B:$B,$A$9,'OB History S2'!P:P, 1)</f>
        <v>0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0</v>
      </c>
      <c r="AE9" s="2">
        <f>COUNTIFS('OB History S2'!$B:$B,$A$9,'OB History S2'!Z:Z, 1)</f>
        <v>1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24</v>
      </c>
      <c r="E11" s="4">
        <f>AVERAGEIFS('OB History S2'!C:C,'OB History S2'!B:B,A11)</f>
        <v>12</v>
      </c>
      <c r="F11" s="35">
        <f t="array" ref="F11">MAX(IF('OB History S2'!B:B=A11, 'OB History S2'!C:C))</f>
        <v>14</v>
      </c>
      <c r="G11" s="34">
        <f>COUNTIFS('OB History S2'!B:B,A11,'OB History S2'!D:D, 1)</f>
        <v>2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6</v>
      </c>
      <c r="K11" s="2">
        <f>SUMIFS('OB History S2'!E:E,'OB History S2'!B:B,A11)-J11</f>
        <v>2</v>
      </c>
      <c r="L11" s="88">
        <f>LOOKUP(2, 1/('OB History S2'!$B:$B=A11), 'OB History S2'!$AB:$AB)</f>
        <v>0.75</v>
      </c>
      <c r="M11" s="34">
        <f>SUMIFS('OB History S2'!H:H,'OB History S2'!B:B,A11)</f>
        <v>20</v>
      </c>
      <c r="N11" s="2">
        <f>SUMIFS('OB History S2'!G:G,'OB History S2'!B:B,A11)-M11</f>
        <v>9</v>
      </c>
      <c r="O11" s="88">
        <f>LOOKUP(2, 1/('OB History S2'!$B:$B=A11), 'OB History S2'!$AC:$AC)</f>
        <v>0.68500000000000005</v>
      </c>
      <c r="P11" s="2">
        <f>COUNTIFS('OB History S2'!$B:$B,$A$11,'OB History S2'!K:K, 1)</f>
        <v>0</v>
      </c>
      <c r="Q11" s="2">
        <f>COUNTIFS('OB History S2'!$B:$B,$A$11,'OB History S2'!L:L, 1)</f>
        <v>0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0</v>
      </c>
      <c r="W11" s="2">
        <f>COUNTIFS('OB History S2'!$B:$B,$A$11,'OB History S2'!R:R, 1)</f>
        <v>0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1</v>
      </c>
      <c r="AD11" s="2">
        <f>COUNTIFS('OB History S2'!$B:$B,$A$11,'OB History S2'!Y:Y, 1)</f>
        <v>1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19</v>
      </c>
      <c r="E13" s="4">
        <f>AVERAGEIFS('OB History S2'!C:C,'OB History S2'!B:B,A13)</f>
        <v>19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8</v>
      </c>
      <c r="N13" s="2">
        <f>SUMIFS('OB History S2'!G:G,'OB History S2'!B:B,A13)-M13</f>
        <v>13</v>
      </c>
      <c r="O13" s="88">
        <f>LOOKUP(2, 1/('OB History S2'!$B:$B=A13), 'OB History S2'!$AC:$AC)</f>
        <v>0.38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40</v>
      </c>
      <c r="E14" s="4">
        <f>AVERAGEIFS('OB History S2'!C:C,'OB History S2'!B:B,A14)</f>
        <v>13.333333333333334</v>
      </c>
      <c r="F14" s="35">
        <f t="array" ref="F14">MAX(IF('OB History S2'!B:B=A14, 'OB History S2'!C:C))</f>
        <v>16</v>
      </c>
      <c r="G14" s="34">
        <f>COUNTIFS('OB History S2'!B:B,A14,'OB History S2'!D:D, 1)</f>
        <v>1</v>
      </c>
      <c r="H14" s="2">
        <f>COUNTIFS('OB History S2'!B:B,A14,'OB History S2'!D:D, 0)</f>
        <v>2</v>
      </c>
      <c r="I14" s="88">
        <f>LOOKUP(2, 1/('OB History S2'!$B:$B=A14), 'OB History S2'!$AD:$AD)</f>
        <v>0.33333333333333331</v>
      </c>
      <c r="J14" s="34">
        <f>SUMIFS('OB History S2'!F:F,'OB History S2'!B:B,A14)</f>
        <v>5</v>
      </c>
      <c r="K14" s="2">
        <f>SUMIFS('OB History S2'!E:E,'OB History S2'!B:B,A14)-J14</f>
        <v>8</v>
      </c>
      <c r="L14" s="88">
        <f>LOOKUP(2, 1/('OB History S2'!$B:$B=A14), 'OB History S2'!$AB:$AB)</f>
        <v>0.3666666666666667</v>
      </c>
      <c r="M14" s="34">
        <f>SUMIFS('OB History S2'!H:H,'OB History S2'!B:B,A14)</f>
        <v>22</v>
      </c>
      <c r="N14" s="2">
        <f>SUMIFS('OB History S2'!G:G,'OB History S2'!B:B,A14)-M14</f>
        <v>28</v>
      </c>
      <c r="O14" s="88">
        <f>LOOKUP(2, 1/('OB History S2'!$B:$B=A14), 'OB History S2'!$AC:$AC)</f>
        <v>0.41666666666666669</v>
      </c>
      <c r="P14" s="2">
        <f>COUNTIFS('OB History S2'!$B:$B,$A$14,'OB History S2'!K:K, 1)</f>
        <v>0</v>
      </c>
      <c r="Q14" s="2">
        <f>COUNTIFS('OB History S2'!$B:$B,$A$14,'OB History S2'!L:L, 1)</f>
        <v>0</v>
      </c>
      <c r="R14" s="2">
        <f>COUNTIFS('OB History S2'!$B:$B,$A$14,'OB History S2'!M:M, 1)</f>
        <v>1</v>
      </c>
      <c r="S14" s="2">
        <f>COUNTIFS('OB History S2'!$B:$B,$A$14,'OB History S2'!N:N, 1)</f>
        <v>0</v>
      </c>
      <c r="T14" s="2">
        <f>COUNTIFS('OB History S2'!$B:$B,$A$14,'OB History S2'!O:O, 1)</f>
        <v>0</v>
      </c>
      <c r="U14" s="2">
        <f>COUNTIFS('OB History S2'!$B:$B,$A$14,'OB History S2'!P:P, 1)</f>
        <v>0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1</v>
      </c>
      <c r="AE14" s="2">
        <f>COUNTIFS('OB History S2'!$B:$B,$A$14,'OB History S2'!Z:Z, 1)</f>
        <v>1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1" t="s">
        <v>151</v>
      </c>
      <c r="B17" s="2" t="s">
        <v>79</v>
      </c>
      <c r="C17" s="2" t="s">
        <v>79</v>
      </c>
      <c r="D17" s="34">
        <f>SUMIFS('OB History S2'!C:C,'OB History S2'!B:B,A17)</f>
        <v>23</v>
      </c>
      <c r="E17" s="4">
        <f>AVERAGEIFS('OB History S2'!C:C,'OB History S2'!B:B,A17)</f>
        <v>11.5</v>
      </c>
      <c r="F17" s="35">
        <f t="array" ref="F17">MAX(IF('OB History S2'!B:B=A17, 'OB History S2'!C:C))</f>
        <v>14</v>
      </c>
      <c r="G17" s="34">
        <f>COUNTIFS('OB History S2'!B:B,A17,'OB History S2'!D:D, 1)</f>
        <v>2</v>
      </c>
      <c r="H17" s="2">
        <f>COUNTIFS('OB History S2'!B:B,A17,'OB History S2'!D:D, 0)</f>
        <v>0</v>
      </c>
      <c r="I17" s="88">
        <f>LOOKUP(2, 1/('OB History S2'!$B:$B=A17), 'OB History S2'!$AD:$AD)</f>
        <v>1</v>
      </c>
      <c r="J17" s="34">
        <f>SUMIFS('OB History S2'!F:F,'OB History S2'!B:B,A17)</f>
        <v>6</v>
      </c>
      <c r="K17" s="2">
        <f>SUMIFS('OB History S2'!E:E,'OB History S2'!B:B,A17)-J17</f>
        <v>2</v>
      </c>
      <c r="L17" s="88">
        <f>LOOKUP(2, 1/('OB History S2'!$B:$B=A17), 'OB History S2'!$AB:$AB)</f>
        <v>0.75</v>
      </c>
      <c r="M17" s="34">
        <f>SUMIFS('OB History S2'!H:H,'OB History S2'!B:B,A17)</f>
        <v>20</v>
      </c>
      <c r="N17" s="2">
        <f>SUMIFS('OB History S2'!G:G,'OB History S2'!B:B,A17)-M17</f>
        <v>9</v>
      </c>
      <c r="O17" s="88">
        <f>LOOKUP(2, 1/('OB History S2'!$B:$B=A17), 'OB History S2'!$AC:$AC)</f>
        <v>0.68500000000000005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1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1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1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 S2'!C:C,'OB History S2'!B:B,A18)</f>
        <v>58</v>
      </c>
      <c r="E18" s="4">
        <f>AVERAGEIFS('OB History S2'!C:C,'OB History S2'!B:B,A18)</f>
        <v>14.5</v>
      </c>
      <c r="F18" s="35">
        <f t="array" ref="F18">MAX(IF('OB History S2'!B:B=A18, 'OB History S2'!C:C))</f>
        <v>20</v>
      </c>
      <c r="G18" s="34">
        <f>COUNTIFS('OB History S2'!B:B,A18,'OB History S2'!D:D, 1)</f>
        <v>2</v>
      </c>
      <c r="H18" s="2">
        <f>COUNTIFS('OB History S2'!B:B,A18,'OB History S2'!D:D, 0)</f>
        <v>2</v>
      </c>
      <c r="I18" s="88">
        <f>LOOKUP(2, 1/('OB History S2'!$B:$B=A18), 'OB History S2'!$AD:$AD)</f>
        <v>0.5</v>
      </c>
      <c r="J18" s="34">
        <f>SUMIFS('OB History S2'!F:F,'OB History S2'!B:B,A18)</f>
        <v>8</v>
      </c>
      <c r="K18" s="2">
        <f>SUMIFS('OB History S2'!E:E,'OB History S2'!B:B,A18)-J18</f>
        <v>7</v>
      </c>
      <c r="L18" s="88">
        <f>LOOKUP(2, 1/('OB History S2'!$B:$B=A18), 'OB History S2'!$AB:$AB)</f>
        <v>0.53749999999999998</v>
      </c>
      <c r="M18" s="34">
        <f>SUMIFS('OB History S2'!H:H,'OB History S2'!B:B,A18)</f>
        <v>32</v>
      </c>
      <c r="N18" s="2">
        <f>SUMIFS('OB History S2'!G:G,'OB History S2'!B:B,A18)-M18</f>
        <v>27</v>
      </c>
      <c r="O18" s="88">
        <f>LOOKUP(2, 1/('OB History S2'!$B:$B=A18), 'OB History S2'!$AC:$AC)</f>
        <v>0.5625</v>
      </c>
      <c r="P18" s="2">
        <f>COUNTIFS('OB History S2'!$B:$B,$A$18,'OB History S2'!K:K, 1)</f>
        <v>1</v>
      </c>
      <c r="Q18" s="2">
        <f>COUNTIFS('OB History S2'!$B:$B,$A$18,'OB History S2'!L:L, 1)</f>
        <v>1</v>
      </c>
      <c r="R18" s="2">
        <f>COUNTIFS('OB History S2'!$B:$B,$A$18,'OB History S2'!M:M, 1)</f>
        <v>0</v>
      </c>
      <c r="S18" s="2">
        <f>COUNTIFS('OB History S2'!$B:$B,$A$18,'OB History S2'!N:N, 1)</f>
        <v>0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0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0</v>
      </c>
      <c r="AA18" s="2">
        <f>COUNTIFS('OB History S2'!$B:$B,$A$18,'OB History S2'!V:V, 1)</f>
        <v>0</v>
      </c>
      <c r="AB18" s="2">
        <f>COUNTIFS('OB History S2'!$B:$B,$A$18,'OB History S2'!W:W, 1)</f>
        <v>2</v>
      </c>
      <c r="AC18" s="2">
        <f>COUNTIFS('OB History S2'!$B:$B,$A$18,'OB History S2'!X:X, 1)</f>
        <v>1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1</v>
      </c>
      <c r="B19" s="6" t="s">
        <v>124</v>
      </c>
      <c r="C19" s="2" t="s">
        <v>79</v>
      </c>
      <c r="D19" s="34">
        <f>SUMIFS('OB History S2'!C:C,'OB History S2'!B:B,A19)</f>
        <v>14</v>
      </c>
      <c r="E19" s="4">
        <f>AVERAGEIFS('OB History S2'!C:C,'OB History S2'!B:B,A19)</f>
        <v>14</v>
      </c>
      <c r="F19" s="35">
        <f t="array" ref="F19">MAX(IF('OB History S2'!B:B=A19, 'OB History S2'!C:C))</f>
        <v>14</v>
      </c>
      <c r="G19" s="34">
        <f>COUNTIFS('OB History S2'!B:B,A19,'OB History S2'!D:D, 1)</f>
        <v>0</v>
      </c>
      <c r="H19" s="2">
        <f>COUNTIFS('OB History S2'!B:B,A19,'OB History S2'!D:D, 0)</f>
        <v>1</v>
      </c>
      <c r="I19" s="88">
        <f>LOOKUP(2, 1/('OB History S2'!$B:$B=A19), 'OB History S2'!$AD:$AD)</f>
        <v>0</v>
      </c>
      <c r="J19" s="34">
        <f>SUMIFS('OB History S2'!F:F,'OB History S2'!B:B,A19)</f>
        <v>0</v>
      </c>
      <c r="K19" s="2">
        <f>SUMIFS('OB History S2'!E:E,'OB History S2'!B:B,A19)-J19</f>
        <v>3</v>
      </c>
      <c r="L19" s="88">
        <f>LOOKUP(2, 1/('OB History S2'!$B:$B=A19), 'OB History S2'!$AB:$AB)</f>
        <v>0</v>
      </c>
      <c r="M19" s="34">
        <f>SUMIFS('OB History S2'!H:H,'OB History S2'!B:B,A19)</f>
        <v>2</v>
      </c>
      <c r="N19" s="2">
        <f>SUMIFS('OB History S2'!G:G,'OB History S2'!B:B,A19)-M19</f>
        <v>9</v>
      </c>
      <c r="O19" s="88">
        <f>LOOKUP(2, 1/('OB History S2'!$B:$B=A19), 'OB History S2'!$AC:$AC)</f>
        <v>0.18</v>
      </c>
      <c r="P19" s="2">
        <f>COUNTIFS('OB History S2'!$B:$B,$A$19,'OB History S2'!K:K, 1)</f>
        <v>0</v>
      </c>
      <c r="Q19" s="2">
        <f>COUNTIFS('OB History S2'!$B:$B,$A$19,'OB History S2'!L:L, 1)</f>
        <v>0</v>
      </c>
      <c r="R19" s="2">
        <f>COUNTIFS('OB History S2'!$B:$B,$A$19,'OB History S2'!M:M, 1)</f>
        <v>0</v>
      </c>
      <c r="S19" s="2">
        <f>COUNTIFS('OB History S2'!$B:$B,$A$19,'OB History S2'!N:N, 1)</f>
        <v>0</v>
      </c>
      <c r="T19" s="2">
        <f>COUNTIFS('OB History S2'!$B:$B,$A$19,'OB History S2'!O:O, 1)</f>
        <v>0</v>
      </c>
      <c r="U19" s="2">
        <f>COUNTIFS('OB History S2'!$B:$B,$A$19,'OB History S2'!P:P, 1)</f>
        <v>0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0</v>
      </c>
      <c r="AC19" s="2">
        <f>COUNTIFS('OB History S2'!$B:$B,$A$19,'OB History S2'!X:X, 1)</f>
        <v>0</v>
      </c>
      <c r="AD19" s="2">
        <f>COUNTIFS('OB History S2'!$B:$B,$A$19,'OB History S2'!Y:Y, 1)</f>
        <v>0</v>
      </c>
      <c r="AE19" s="2">
        <f>COUNTIFS('OB History S2'!$B:$B,$A$19,'OB History S2'!Z:Z, 1)</f>
        <v>0</v>
      </c>
    </row>
    <row r="20" spans="1:31" x14ac:dyDescent="0.25">
      <c r="A20" s="2" t="s">
        <v>140</v>
      </c>
      <c r="B20" s="6" t="s">
        <v>79</v>
      </c>
      <c r="C20" s="2" t="s">
        <v>79</v>
      </c>
      <c r="D20" s="34">
        <f>SUMIFS('OB History S2'!C:C,'OB History S2'!B:B,A20)</f>
        <v>15</v>
      </c>
      <c r="E20" s="4">
        <f>AVERAGEIFS('OB History S2'!C:C,'OB History S2'!B:B,A20)</f>
        <v>7.5</v>
      </c>
      <c r="F20" s="35">
        <f t="array" ref="F20">MAX(IF('OB History S2'!B:B=A20, 'OB History S2'!C:C))</f>
        <v>8</v>
      </c>
      <c r="G20" s="34">
        <f>COUNTIFS('OB History S2'!B:B,A20,'OB History S2'!D:D, 1)</f>
        <v>0</v>
      </c>
      <c r="H20" s="2">
        <f>COUNTIFS('OB History S2'!B:B,A20,'OB History S2'!D:D, 0)</f>
        <v>2</v>
      </c>
      <c r="I20" s="88">
        <f>LOOKUP(2, 1/('OB History S2'!$B:$B=A20), 'OB History S2'!$AD:$AD)</f>
        <v>0</v>
      </c>
      <c r="J20" s="34">
        <f>SUMIFS('OB History S2'!F:F,'OB History S2'!B:B,A20)</f>
        <v>2</v>
      </c>
      <c r="K20" s="2">
        <f>SUMIFS('OB History S2'!E:E,'OB History S2'!B:B,A20)-J20</f>
        <v>6</v>
      </c>
      <c r="L20" s="88">
        <f>LOOKUP(2, 1/('OB History S2'!$B:$B=A20), 'OB History S2'!$AB:$AB)</f>
        <v>0.25</v>
      </c>
      <c r="M20" s="34">
        <f>SUMIFS('OB History S2'!H:H,'OB History S2'!B:B,A20)</f>
        <v>9</v>
      </c>
      <c r="N20" s="2">
        <f>SUMIFS('OB History S2'!G:G,'OB History S2'!B:B,A20)-M20</f>
        <v>20</v>
      </c>
      <c r="O20" s="88">
        <f>LOOKUP(2, 1/('OB History S2'!$B:$B=A20), 'OB History S2'!$AC:$AC)</f>
        <v>0.315</v>
      </c>
      <c r="P20" s="2">
        <f>COUNTIFS('OB History S2'!$B:$B,$A$20,'OB History S2'!K:K, 1)</f>
        <v>0</v>
      </c>
      <c r="Q20" s="2">
        <f>COUNTIFS('OB History S2'!$B:$B,$A$20,'OB History S2'!L:L, 1)</f>
        <v>0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0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1</v>
      </c>
      <c r="AD20" s="2">
        <f>COUNTIFS('OB History S2'!$B:$B,$A$20,'OB History S2'!Y:Y, 1)</f>
        <v>0</v>
      </c>
      <c r="AE20" s="2">
        <f>COUNTIFS('OB History S2'!$B:$B,$A$20,'OB History S2'!Z:Z, 1)</f>
        <v>1</v>
      </c>
    </row>
    <row r="21" spans="1:31" ht="15.75" x14ac:dyDescent="0.25">
      <c r="A21" s="2" t="s">
        <v>20</v>
      </c>
      <c r="B21" s="80" t="s">
        <v>60</v>
      </c>
      <c r="C21" s="2" t="s">
        <v>79</v>
      </c>
      <c r="D21" s="34">
        <f>SUMIFS('OB History S2'!C:C,'OB History S2'!B:B,A21)</f>
        <v>10</v>
      </c>
      <c r="E21" s="4">
        <f>AVERAGEIFS('OB History S2'!C:C,'OB History S2'!B:B,A21)</f>
        <v>10</v>
      </c>
      <c r="F21" s="35">
        <f t="array" ref="F21">MAX(IF('OB History S2'!B:B=A21, 'OB History S2'!C:C))</f>
        <v>10</v>
      </c>
      <c r="G21" s="34">
        <f>COUNTIFS('OB History S2'!B:B,A21,'OB History S2'!D:D, 1)</f>
        <v>0</v>
      </c>
      <c r="H21" s="2">
        <f>COUNTIFS('OB History S2'!B:B,A21,'OB History S2'!D:D, 0)</f>
        <v>1</v>
      </c>
      <c r="I21" s="88">
        <f>LOOKUP(2, 1/('OB History S2'!$B:$B=A21), 'OB History S2'!$AD:$AD)</f>
        <v>0</v>
      </c>
      <c r="J21" s="34">
        <f>SUMIFS('OB History S2'!F:F,'OB History S2'!B:B,A21)</f>
        <v>0</v>
      </c>
      <c r="K21" s="2">
        <f>SUMIFS('OB History S2'!E:E,'OB History S2'!B:B,A21)-J21</f>
        <v>3</v>
      </c>
      <c r="L21" s="88">
        <f>LOOKUP(2, 1/('OB History S2'!$B:$B=A21), 'OB History S2'!$AB:$AB)</f>
        <v>0</v>
      </c>
      <c r="M21" s="34">
        <f>SUMIFS('OB History S2'!H:H,'OB History S2'!B:B,A21)</f>
        <v>4</v>
      </c>
      <c r="N21" s="2">
        <f>SUMIFS('OB History S2'!G:G,'OB History S2'!B:B,A21)-M21</f>
        <v>9</v>
      </c>
      <c r="O21" s="88">
        <f>LOOKUP(2, 1/('OB History S2'!$B:$B=A21), 'OB History S2'!$AC:$AC)</f>
        <v>0.31</v>
      </c>
      <c r="P21" s="2">
        <f>COUNTIFS('OB History S2'!$B:$B,$A$21,'OB History S2'!K:K, 1)</f>
        <v>0</v>
      </c>
      <c r="Q21" s="2">
        <f>COUNTIFS('OB History S2'!$B:$B,$A$21,'OB History S2'!L:L, 1)</f>
        <v>0</v>
      </c>
      <c r="R21" s="2">
        <f>COUNTIFS('OB History S2'!$B:$B,$A$21,'OB History S2'!M:M, 1)</f>
        <v>0</v>
      </c>
      <c r="S21" s="2">
        <f>COUNTIFS('OB History S2'!$B:$B,$A$21,'OB History S2'!N:N, 1)</f>
        <v>0</v>
      </c>
      <c r="T21" s="2">
        <f>COUNTIFS('OB History S2'!$B:$B,$A$21,'OB History S2'!O:O, 1)</f>
        <v>0</v>
      </c>
      <c r="U21" s="2">
        <f>COUNTIFS('OB History S2'!$B:$B,$A$21,'OB History S2'!P:P, 1)</f>
        <v>0</v>
      </c>
      <c r="V21" s="2">
        <f>COUNTIFS('OB History S2'!$B:$B,$A$21,'OB History S2'!Q:Q, 1)</f>
        <v>0</v>
      </c>
      <c r="W21" s="2">
        <f>COUNTIFS('OB History S2'!$B:$B,$A$21,'OB History S2'!R:R, 1)</f>
        <v>0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0</v>
      </c>
      <c r="AD21" s="2">
        <f>COUNTIFS('OB History S2'!$B:$B,$A$21,'OB History S2'!Y:Y, 1)</f>
        <v>0</v>
      </c>
      <c r="AE21" s="2">
        <f>COUNTIFS('OB History S2'!$B:$B,$A$21,'OB History S2'!Z:Z, 1)</f>
        <v>0</v>
      </c>
    </row>
    <row r="22" spans="1:31" x14ac:dyDescent="0.25">
      <c r="A22" s="1" t="s">
        <v>47</v>
      </c>
      <c r="B22" s="2" t="s">
        <v>79</v>
      </c>
      <c r="C22" s="2" t="s">
        <v>79</v>
      </c>
      <c r="D22" s="34">
        <f>SUMIFS('OB History S2'!C:C,'OB History S2'!B:B,A22)</f>
        <v>9</v>
      </c>
      <c r="E22" s="4">
        <f>AVERAGEIFS('OB History S2'!C:C,'OB History S2'!B:B,A22)</f>
        <v>9</v>
      </c>
      <c r="F22" s="35">
        <f t="array" ref="F22">MAX(IF('OB History S2'!B:B=A22, 'OB History S2'!C:C))</f>
        <v>9</v>
      </c>
      <c r="G22" s="34">
        <f>COUNTIFS('OB History S2'!B:B,A22,'OB History S2'!D:D, 1)</f>
        <v>0</v>
      </c>
      <c r="H22" s="2">
        <f>COUNTIFS('OB History S2'!B:B,A22,'OB History S2'!D:D, 0)</f>
        <v>1</v>
      </c>
      <c r="I22" s="88">
        <f>LOOKUP(2, 1/('OB History S2'!$B:$B=A22), 'OB History S2'!$AD:$AD)</f>
        <v>0</v>
      </c>
      <c r="J22" s="34">
        <f>SUMIFS('OB History S2'!F:F,'OB History S2'!B:B,A22)</f>
        <v>2</v>
      </c>
      <c r="K22" s="2">
        <f>SUMIFS('OB History S2'!E:E,'OB History S2'!B:B,A22)-J22</f>
        <v>3</v>
      </c>
      <c r="L22" s="88">
        <f>LOOKUP(2, 1/('OB History S2'!$B:$B=A22), 'OB History S2'!$AB:$AB)</f>
        <v>0.4</v>
      </c>
      <c r="M22" s="34">
        <f>SUMIFS('OB History S2'!H:H,'OB History S2'!B:B,A22)</f>
        <v>10</v>
      </c>
      <c r="N22" s="2">
        <f>SUMIFS('OB History S2'!G:G,'OB History S2'!B:B,A22)-M22</f>
        <v>11</v>
      </c>
      <c r="O22" s="88">
        <f>LOOKUP(2, 1/('OB History S2'!$B:$B=A22), 'OB History S2'!$AC:$AC)</f>
        <v>0.48</v>
      </c>
      <c r="P22" s="2">
        <f>COUNTIFS('OB History S2'!$B:$B,$A$22,'OB History S2'!K:K, 1)</f>
        <v>1</v>
      </c>
      <c r="Q22" s="2">
        <f>COUNTIFS('OB History S2'!$B:$B,$A$22,'OB History S2'!L:L, 1)</f>
        <v>0</v>
      </c>
      <c r="R22" s="2">
        <f>COUNTIFS('OB History S2'!$B:$B,$A$22,'OB History S2'!M:M, 1)</f>
        <v>0</v>
      </c>
      <c r="S22" s="2">
        <f>COUNTIFS('OB History S2'!$B:$B,$A$22,'OB History S2'!N:N, 1)</f>
        <v>0</v>
      </c>
      <c r="T22" s="2">
        <f>COUNTIFS('OB History S2'!$B:$B,$A$22,'OB History S2'!O:O, 1)</f>
        <v>0</v>
      </c>
      <c r="U22" s="2">
        <f>COUNTIFS('OB History S2'!$B:$B,$A$22,'OB History S2'!P:P, 1)</f>
        <v>0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1</v>
      </c>
      <c r="AC22" s="2">
        <f>COUNTIFS('OB History S2'!$B:$B,$A$22,'OB History S2'!X:X, 1)</f>
        <v>0</v>
      </c>
      <c r="AD22" s="2">
        <f>COUNTIFS('OB History S2'!$B:$B,$A$22,'OB History S2'!Y:Y, 1)</f>
        <v>0</v>
      </c>
      <c r="AE22" s="2">
        <f>COUNTIFS('OB History S2'!$B:$B,$A$22,'OB History S2'!Z:Z, 1)</f>
        <v>0</v>
      </c>
    </row>
    <row r="23" spans="1:31" x14ac:dyDescent="0.25">
      <c r="A23" s="2" t="s">
        <v>149</v>
      </c>
      <c r="B23" s="6" t="s">
        <v>79</v>
      </c>
      <c r="C23" s="6" t="s">
        <v>79</v>
      </c>
      <c r="D23" s="34">
        <f>SUMIFS('OB History S2'!C:C,'OB History S2'!B:B,A23)</f>
        <v>89</v>
      </c>
      <c r="E23" s="4">
        <f>AVERAGEIFS('OB History S2'!C:C,'OB History S2'!B:B,A23)</f>
        <v>14.833333333333334</v>
      </c>
      <c r="F23" s="35">
        <f t="array" ref="F23">MAX(IF('OB History S2'!B:B=A23, 'OB History S2'!C:C))</f>
        <v>23</v>
      </c>
      <c r="G23" s="34">
        <f>COUNTIFS('OB History S2'!B:B,A23,'OB History S2'!D:D, 1)</f>
        <v>6</v>
      </c>
      <c r="H23" s="2">
        <f>COUNTIFS('OB History S2'!B:B,A23,'OB History S2'!D:D, 0)</f>
        <v>0</v>
      </c>
      <c r="I23" s="88">
        <f>LOOKUP(2, 1/('OB History S2'!$B:$B=A23), 'OB History S2'!$AD:$AD)</f>
        <v>1</v>
      </c>
      <c r="J23" s="34">
        <f>SUMIFS('OB History S2'!F:F,'OB History S2'!B:B,A23)</f>
        <v>18</v>
      </c>
      <c r="K23" s="2">
        <f>SUMIFS('OB History S2'!E:E,'OB History S2'!B:B,A23)-J23</f>
        <v>6</v>
      </c>
      <c r="L23" s="88">
        <f>LOOKUP(2, 1/('OB History S2'!$B:$B=A23), 'OB History S2'!$AB:$AB)</f>
        <v>0.78333333333333333</v>
      </c>
      <c r="M23" s="34">
        <f>SUMIFS('OB History S2'!H:H,'OB History S2'!B:B,A23)</f>
        <v>62</v>
      </c>
      <c r="N23" s="2">
        <f>SUMIFS('OB History S2'!G:G,'OB History S2'!B:B,A23)-M23</f>
        <v>33</v>
      </c>
      <c r="O23" s="88">
        <f>LOOKUP(2, 1/('OB History S2'!$B:$B=A23), 'OB History S2'!$AC:$AC)</f>
        <v>0.66999999999999993</v>
      </c>
      <c r="P23" s="2">
        <f>COUNTIFS('OB History S2'!$B:$B,$A$23,'OB History S2'!K:K, 1)</f>
        <v>0</v>
      </c>
      <c r="Q23" s="2">
        <f>COUNTIFS('OB History S2'!$B:$B,$A$23,'OB History S2'!L:L, 1)</f>
        <v>3</v>
      </c>
      <c r="R23" s="2">
        <f>COUNTIFS('OB History S2'!$B:$B,$A$23,'OB History S2'!M:M, 1)</f>
        <v>1</v>
      </c>
      <c r="S23" s="2">
        <f>COUNTIFS('OB History S2'!$B:$B,$A$23,'OB History S2'!N:N, 1)</f>
        <v>1</v>
      </c>
      <c r="T23" s="2">
        <f>COUNTIFS('OB History S2'!$B:$B,$A$23,'OB History S2'!O:O, 1)</f>
        <v>0</v>
      </c>
      <c r="U23" s="2">
        <f>COUNTIFS('OB History S2'!$B:$B,$A$23,'OB History S2'!P:P, 1)</f>
        <v>1</v>
      </c>
      <c r="V23" s="2">
        <f>COUNTIFS('OB History S2'!$B:$B,$A$23,'OB History S2'!Q:Q, 1)</f>
        <v>1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1</v>
      </c>
      <c r="Z23" s="2">
        <f>COUNTIFS('OB History S2'!$B:$B,$A$23,'OB History S2'!U:U, 1)</f>
        <v>1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3</v>
      </c>
      <c r="AD23" s="2">
        <f>COUNTIFS('OB History S2'!$B:$B,$A$23,'OB History S2'!Y:Y, 1)</f>
        <v>4</v>
      </c>
      <c r="AE23" s="2">
        <f>COUNTIFS('OB History S2'!$B:$B,$A$23,'OB History S2'!Z:Z, 1)</f>
        <v>1</v>
      </c>
    </row>
    <row r="24" spans="1:31" x14ac:dyDescent="0.25">
      <c r="A24" s="2" t="s">
        <v>15</v>
      </c>
      <c r="B24" s="2" t="s">
        <v>79</v>
      </c>
      <c r="C24" s="2" t="s">
        <v>79</v>
      </c>
      <c r="D24" s="34">
        <f>SUMIFS('OB History S2'!C:C,'OB History S2'!B:B,A24)</f>
        <v>108</v>
      </c>
      <c r="E24" s="4">
        <f>AVERAGEIFS('OB History S2'!C:C,'OB History S2'!B:B,A24)</f>
        <v>27</v>
      </c>
      <c r="F24" s="35">
        <f t="array" ref="F24">MAX(IF('OB History S2'!B:B=A24, 'OB History S2'!C:C))</f>
        <v>39</v>
      </c>
      <c r="G24" s="34">
        <f>COUNTIFS('OB History S2'!B:B,A24,'OB History S2'!D:D, 1)</f>
        <v>2</v>
      </c>
      <c r="H24" s="2">
        <f>COUNTIFS('OB History S2'!B:B,A24,'OB History S2'!D:D, 0)</f>
        <v>2</v>
      </c>
      <c r="I24" s="88">
        <f>LOOKUP(2, 1/('OB History S2'!$B:$B=A24), 'OB History S2'!$AD:$AD)</f>
        <v>0.5</v>
      </c>
      <c r="J24" s="34">
        <f>SUMIFS('OB History S2'!F:F,'OB History S2'!B:B,A24)</f>
        <v>9</v>
      </c>
      <c r="K24" s="2">
        <f>SUMIFS('OB History S2'!E:E,'OB History S2'!B:B,A24)-J24</f>
        <v>7</v>
      </c>
      <c r="L24" s="88">
        <f>LOOKUP(2, 1/('OB History S2'!$B:$B=A24), 'OB History S2'!$AB:$AB)</f>
        <v>0.6</v>
      </c>
      <c r="M24" s="34">
        <f>SUMIFS('OB History S2'!H:H,'OB History S2'!B:B,A24)</f>
        <v>33</v>
      </c>
      <c r="N24" s="2">
        <f>SUMIFS('OB History S2'!G:G,'OB History S2'!B:B,A24)-M24</f>
        <v>30</v>
      </c>
      <c r="O24" s="88">
        <f>LOOKUP(2, 1/('OB History S2'!$B:$B=A24), 'OB History S2'!$AC:$AC)</f>
        <v>0.53999999999999992</v>
      </c>
      <c r="P24" s="2">
        <f>COUNTIFS('OB History S2'!$B:$B,$A$24,'OB History S2'!K:K, 1)</f>
        <v>0</v>
      </c>
      <c r="Q24" s="2">
        <f>COUNTIFS('OB History S2'!$B:$B,$A$24,'OB History S2'!L:L, 1)</f>
        <v>1</v>
      </c>
      <c r="R24" s="2">
        <f>COUNTIFS('OB History S2'!$B:$B,$A$24,'OB History S2'!M:M, 1)</f>
        <v>0</v>
      </c>
      <c r="S24" s="2">
        <f>COUNTIFS('OB History S2'!$B:$B,$A$24,'OB History S2'!N:N, 1)</f>
        <v>1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0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0</v>
      </c>
      <c r="AC24" s="2">
        <f>COUNTIFS('OB History S2'!$B:$B,$A$24,'OB History S2'!X:X, 1)</f>
        <v>3</v>
      </c>
      <c r="AD24" s="2">
        <f>COUNTIFS('OB History S2'!$B:$B,$A$24,'OB History S2'!Y:Y, 1)</f>
        <v>0</v>
      </c>
      <c r="AE24" s="2">
        <f>COUNTIFS('OB History S2'!$B:$B,$A$24,'OB History S2'!Z:Z, 1)</f>
        <v>1</v>
      </c>
    </row>
    <row r="25" spans="1:31" x14ac:dyDescent="0.25">
      <c r="A25" s="2" t="s">
        <v>13</v>
      </c>
      <c r="B25" s="6" t="s">
        <v>124</v>
      </c>
      <c r="C25" s="6" t="s">
        <v>60</v>
      </c>
      <c r="D25" s="34">
        <f>SUMIFS('OB History S2'!C:C,'OB History S2'!B:B,A25)</f>
        <v>151</v>
      </c>
      <c r="E25" s="4">
        <f>AVERAGEIFS('OB History S2'!C:C,'OB History S2'!B:B,A25)</f>
        <v>25.166666666666668</v>
      </c>
      <c r="F25" s="35">
        <f t="array" ref="F25">MAX(IF('OB History S2'!B:B=A25, 'OB History S2'!C:C))</f>
        <v>35</v>
      </c>
      <c r="G25" s="34">
        <f>COUNTIFS('OB History S2'!B:B,A25,'OB History S2'!D:D, 1)</f>
        <v>5</v>
      </c>
      <c r="H25" s="2">
        <f>COUNTIFS('OB History S2'!B:B,A25,'OB History S2'!D:D, 0)</f>
        <v>1</v>
      </c>
      <c r="I25" s="88">
        <f>LOOKUP(2, 1/('OB History S2'!$B:$B=A25), 'OB History S2'!$AD:$AD)</f>
        <v>0.83333333333333337</v>
      </c>
      <c r="J25" s="34">
        <f>SUMIFS('OB History S2'!F:F,'OB History S2'!B:B,A25)</f>
        <v>17</v>
      </c>
      <c r="K25" s="2">
        <f>SUMIFS('OB History S2'!E:E,'OB History S2'!B:B,A25)-J25</f>
        <v>7</v>
      </c>
      <c r="L25" s="88">
        <f>LOOKUP(2, 1/('OB History S2'!$B:$B=A25), 'OB History S2'!$AB:$AB)</f>
        <v>0.75</v>
      </c>
      <c r="M25" s="34">
        <f>SUMIFS('OB History S2'!H:H,'OB History S2'!B:B,A25)</f>
        <v>61</v>
      </c>
      <c r="N25" s="2">
        <f>SUMIFS('OB History S2'!G:G,'OB History S2'!B:B,A25)-M25</f>
        <v>34</v>
      </c>
      <c r="O25" s="88">
        <f>LOOKUP(2, 1/('OB History S2'!$B:$B=A25), 'OB History S2'!$AC:$AC)</f>
        <v>0.66333333333333333</v>
      </c>
      <c r="P25" s="2">
        <f>COUNTIFS('OB History S2'!$B:$B,$A$25,'OB History S2'!K:K, 1)</f>
        <v>1</v>
      </c>
      <c r="Q25" s="2">
        <f>COUNTIFS('OB History S2'!$B:$B,$A$25,'OB History S2'!L:L, 1)</f>
        <v>2</v>
      </c>
      <c r="R25" s="2">
        <f>COUNTIFS('OB History S2'!$B:$B,$A$25,'OB History S2'!M:M, 1)</f>
        <v>1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1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1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2</v>
      </c>
      <c r="AC25" s="2">
        <f>COUNTIFS('OB History S2'!$B:$B,$A$25,'OB History S2'!X:X, 1)</f>
        <v>2</v>
      </c>
      <c r="AD25" s="2">
        <f>COUNTIFS('OB History S2'!$B:$B,$A$25,'OB History S2'!Y:Y, 1)</f>
        <v>3</v>
      </c>
      <c r="AE25" s="2">
        <f>COUNTIFS('OB History S2'!$B:$B,$A$25,'OB History S2'!Z:Z, 1)</f>
        <v>1</v>
      </c>
    </row>
    <row r="26" spans="1:31" x14ac:dyDescent="0.25">
      <c r="A26" s="2" t="s">
        <v>142</v>
      </c>
      <c r="B26" s="2" t="s">
        <v>79</v>
      </c>
      <c r="C26" s="2" t="s">
        <v>79</v>
      </c>
      <c r="D26" s="34">
        <f>SUMIFS('OB History S2'!C:C,'OB History S2'!B:B,A26)</f>
        <v>51</v>
      </c>
      <c r="E26" s="4">
        <f>AVERAGEIFS('OB History S2'!C:C,'OB History S2'!B:B,A26)</f>
        <v>17</v>
      </c>
      <c r="F26" s="35">
        <f t="array" ref="F26">MAX(IF('OB History S2'!B:B=A26, 'OB History S2'!C:C))</f>
        <v>20</v>
      </c>
      <c r="G26" s="34">
        <f>COUNTIFS('OB History S2'!B:B,A26,'OB History S2'!D:D, 1)</f>
        <v>1</v>
      </c>
      <c r="H26" s="2">
        <f>COUNTIFS('OB History S2'!B:B,A26,'OB History S2'!D:D, 0)</f>
        <v>2</v>
      </c>
      <c r="I26" s="88">
        <f>LOOKUP(2, 1/('OB History S2'!$B:$B=A26), 'OB History S2'!$AD:$AD)</f>
        <v>0.33333333333333331</v>
      </c>
      <c r="J26" s="34">
        <f>SUMIFS('OB History S2'!F:F,'OB History S2'!B:B,A26)</f>
        <v>7</v>
      </c>
      <c r="K26" s="2">
        <f>SUMIFS('OB History S2'!E:E,'OB History S2'!B:B,A26)-J26</f>
        <v>6</v>
      </c>
      <c r="L26" s="88">
        <f>LOOKUP(2, 1/('OB History S2'!$B:$B=A26), 'OB History S2'!$AB:$AB)</f>
        <v>0.6</v>
      </c>
      <c r="M26" s="34">
        <f>SUMIFS('OB History S2'!H:H,'OB History S2'!B:B,A26)</f>
        <v>27</v>
      </c>
      <c r="N26" s="2">
        <f>SUMIFS('OB History S2'!G:G,'OB History S2'!B:B,A26)-M26</f>
        <v>28</v>
      </c>
      <c r="O26" s="88">
        <f>LOOKUP(2, 1/('OB History S2'!$B:$B=A26), 'OB History S2'!$AC:$AC)</f>
        <v>0.51666666666666661</v>
      </c>
      <c r="P26" s="2">
        <f>COUNTIFS('OB History S2'!$B:$B,$A$26,'OB History S2'!K:K, 1)</f>
        <v>1</v>
      </c>
      <c r="Q26" s="2">
        <f>COUNTIFS('OB History S2'!$B:$B,$A$26,'OB History S2'!L:L, 1)</f>
        <v>1</v>
      </c>
      <c r="R26" s="2">
        <f>COUNTIFS('OB History S2'!$B:$B,$A$26,'OB History S2'!M:M, 1)</f>
        <v>0</v>
      </c>
      <c r="S26" s="2">
        <f>COUNTIFS('OB History S2'!$B:$B,$A$26,'OB History S2'!N:N, 1)</f>
        <v>0</v>
      </c>
      <c r="T26" s="2">
        <f>COUNTIFS('OB History S2'!$B:$B,$A$26,'OB History S2'!O:O, 1)</f>
        <v>0</v>
      </c>
      <c r="U26" s="2">
        <f>COUNTIFS('OB History S2'!$B:$B,$A$26,'OB History S2'!P:P, 1)</f>
        <v>1</v>
      </c>
      <c r="V26" s="2">
        <f>COUNTIFS('OB History S2'!$B:$B,$A$26,'OB History S2'!Q:Q, 1)</f>
        <v>1</v>
      </c>
      <c r="W26" s="2">
        <f>COUNTIFS('OB History S2'!$B:$B,$A$26,'OB History S2'!R:R, 1)</f>
        <v>0</v>
      </c>
      <c r="X26" s="2">
        <f>COUNTIFS('OB History S2'!$B:$B,$A$26,'OB History S2'!S:S, 1)</f>
        <v>0</v>
      </c>
      <c r="Y26" s="2">
        <f>COUNTIFS('OB History S2'!$B:$B,$A$26,'OB History S2'!T:T, 1)</f>
        <v>0</v>
      </c>
      <c r="Z26" s="2">
        <f>COUNTIFS('OB History S2'!$B:$B,$A$26,'OB History S2'!U:U, 1)</f>
        <v>0</v>
      </c>
      <c r="AA26" s="2">
        <f>COUNTIFS('OB History S2'!$B:$B,$A$26,'OB History S2'!V:V, 1)</f>
        <v>0</v>
      </c>
      <c r="AB26" s="2">
        <f>COUNTIFS('OB History S2'!$B:$B,$A$26,'OB History S2'!W:W, 1)</f>
        <v>1</v>
      </c>
      <c r="AC26" s="2">
        <f>COUNTIFS('OB History S2'!$B:$B,$A$26,'OB History S2'!X:X, 1)</f>
        <v>1</v>
      </c>
      <c r="AD26" s="2">
        <f>COUNTIFS('OB History S2'!$B:$B,$A$26,'OB History S2'!Y:Y, 1)</f>
        <v>0</v>
      </c>
      <c r="AE26" s="2">
        <f>COUNTIFS('OB History S2'!$B:$B,$A$26,'OB History S2'!Z:Z, 1)</f>
        <v>1</v>
      </c>
    </row>
    <row r="27" spans="1:31" x14ac:dyDescent="0.25">
      <c r="A27" s="2" t="s">
        <v>40</v>
      </c>
      <c r="B27" s="2" t="s">
        <v>79</v>
      </c>
      <c r="C27" s="2" t="s">
        <v>79</v>
      </c>
      <c r="D27" s="34">
        <f>SUMIFS('OB History S2'!C:C,'OB History S2'!B:B,A27)</f>
        <v>78</v>
      </c>
      <c r="E27" s="4">
        <f>AVERAGEIFS('OB History S2'!C:C,'OB History S2'!B:B,A27)</f>
        <v>19.5</v>
      </c>
      <c r="F27" s="35">
        <f t="array" ref="F27">MAX(IF('OB History S2'!B:B=A27, 'OB History S2'!C:C))</f>
        <v>25</v>
      </c>
      <c r="G27" s="34">
        <f>COUNTIFS('OB History S2'!B:B,A27,'OB History S2'!D:D, 1)</f>
        <v>2</v>
      </c>
      <c r="H27" s="2">
        <f>COUNTIFS('OB History S2'!B:B,A27,'OB History S2'!D:D, 0)</f>
        <v>2</v>
      </c>
      <c r="I27" s="88">
        <f>LOOKUP(2, 1/('OB History S2'!$B:$B=A27), 'OB History S2'!$AD:$AD)</f>
        <v>0.5</v>
      </c>
      <c r="J27" s="34">
        <f>SUMIFS('OB History S2'!F:F,'OB History S2'!B:B,A27)</f>
        <v>8</v>
      </c>
      <c r="K27" s="2">
        <f>SUMIFS('OB History S2'!E:E,'OB History S2'!B:B,A27)-J27</f>
        <v>8</v>
      </c>
      <c r="L27" s="88">
        <f>LOOKUP(2, 1/('OB History S2'!$B:$B=A27), 'OB History S2'!$AB:$AB)</f>
        <v>0.5</v>
      </c>
      <c r="M27" s="34">
        <f>SUMIFS('OB History S2'!H:H,'OB History S2'!B:B,A27)</f>
        <v>30</v>
      </c>
      <c r="N27" s="2">
        <f>SUMIFS('OB History S2'!G:G,'OB History S2'!B:B,A27)-M27</f>
        <v>36</v>
      </c>
      <c r="O27" s="88">
        <f>LOOKUP(2, 1/('OB History S2'!$B:$B=A27), 'OB History S2'!$AC:$AC)</f>
        <v>0.44249999999999995</v>
      </c>
      <c r="P27" s="2">
        <f>COUNTIFS('OB History S2'!$B:$B,$A$27,'OB History S2'!K:K, 1)</f>
        <v>0</v>
      </c>
      <c r="Q27" s="2">
        <f>COUNTIFS('OB History S2'!$B:$B,$A$27,'OB History S2'!L:L, 1)</f>
        <v>2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1</v>
      </c>
      <c r="V27" s="2">
        <f>COUNTIFS('OB History S2'!$B:$B,$A$27,'OB History S2'!Q:Q, 1)</f>
        <v>1</v>
      </c>
      <c r="W27" s="2">
        <f>COUNTIFS('OB History S2'!$B:$B,$A$27,'OB History S2'!R:R, 1)</f>
        <v>0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2</v>
      </c>
      <c r="AD27" s="2">
        <f>COUNTIFS('OB History S2'!$B:$B,$A$27,'OB History S2'!Y:Y, 1)</f>
        <v>1</v>
      </c>
      <c r="AE27" s="2">
        <f>COUNTIFS('OB History S2'!$B:$B,$A$27,'OB History S2'!Z:Z, 1)</f>
        <v>1</v>
      </c>
    </row>
    <row r="28" spans="1:31" x14ac:dyDescent="0.25">
      <c r="A28" s="2" t="s">
        <v>148</v>
      </c>
      <c r="B28" s="2" t="s">
        <v>79</v>
      </c>
      <c r="C28" s="2" t="s">
        <v>79</v>
      </c>
      <c r="D28" s="34">
        <f>SUMIFS('OB History S2'!C:C,'OB History S2'!B:B,A28)</f>
        <v>24</v>
      </c>
      <c r="E28" s="4">
        <f>AVERAGEIFS('OB History S2'!C:C,'OB History S2'!B:B,A28)</f>
        <v>12</v>
      </c>
      <c r="F28" s="35">
        <f t="array" ref="F28">MAX(IF('OB History S2'!B:B=A28, 'OB History S2'!C:C))</f>
        <v>17</v>
      </c>
      <c r="G28" s="34">
        <f>COUNTIFS('OB History S2'!B:B,A28,'OB History S2'!D:D, 1)</f>
        <v>0</v>
      </c>
      <c r="H28" s="2">
        <f>COUNTIFS('OB History S2'!B:B,A28,'OB History S2'!D:D, 0)</f>
        <v>2</v>
      </c>
      <c r="I28" s="88">
        <f>LOOKUP(2, 1/('OB History S2'!$B:$B=A28), 'OB History S2'!$AD:$AD)</f>
        <v>0</v>
      </c>
      <c r="J28" s="34">
        <f>SUMIFS('OB History S2'!F:F,'OB History S2'!B:B,A28)</f>
        <v>0</v>
      </c>
      <c r="K28" s="2">
        <f>SUMIFS('OB History S2'!E:E,'OB History S2'!B:B,A28)-J28</f>
        <v>6</v>
      </c>
      <c r="L28" s="88">
        <f>LOOKUP(2, 1/('OB History S2'!$B:$B=A28), 'OB History S2'!$AB:$AB)</f>
        <v>0</v>
      </c>
      <c r="M28" s="34">
        <f>SUMIFS('OB History S2'!H:H,'OB History S2'!B:B,A28)</f>
        <v>6</v>
      </c>
      <c r="N28" s="2">
        <f>SUMIFS('OB History S2'!G:G,'OB History S2'!B:B,A28)-M28</f>
        <v>18</v>
      </c>
      <c r="O28" s="88">
        <f>LOOKUP(2, 1/('OB History S2'!$B:$B=A28), 'OB History S2'!$AC:$AC)</f>
        <v>0.245</v>
      </c>
      <c r="P28" s="2">
        <f>COUNTIFS('OB History S2'!$B:$B,$A$28,'OB History S2'!K:K, 1)</f>
        <v>0</v>
      </c>
      <c r="Q28" s="2">
        <f>COUNTIFS('OB History S2'!$B:$B,$A$28,'OB History S2'!L:L, 1)</f>
        <v>0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0</v>
      </c>
      <c r="V28" s="2">
        <f>COUNTIFS('OB History S2'!$B:$B,$A$28,'OB History S2'!Q:Q, 1)</f>
        <v>0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0</v>
      </c>
      <c r="AC28" s="2">
        <f>COUNTIFS('OB History S2'!$B:$B,$A$28,'OB History S2'!X:X, 1)</f>
        <v>0</v>
      </c>
      <c r="AD28" s="2">
        <f>COUNTIFS('OB History S2'!$B:$B,$A$28,'OB History S2'!Y:Y, 1)</f>
        <v>0</v>
      </c>
      <c r="AE28" s="2">
        <f>COUNTIFS('OB History S2'!$B:$B,$A$28,'OB History S2'!Z:Z, 1)</f>
        <v>0</v>
      </c>
    </row>
    <row r="29" spans="1:31" x14ac:dyDescent="0.25">
      <c r="A29" s="2" t="s">
        <v>17</v>
      </c>
      <c r="B29" s="2" t="s">
        <v>79</v>
      </c>
      <c r="C29" s="2" t="s">
        <v>79</v>
      </c>
      <c r="D29" s="34">
        <f>SUMIFS('OB History S2'!C:C,'OB History S2'!B:B,A29)</f>
        <v>86</v>
      </c>
      <c r="E29" s="4">
        <f>AVERAGEIFS('OB History S2'!C:C,'OB History S2'!B:B,A29)</f>
        <v>17.2</v>
      </c>
      <c r="F29" s="35">
        <f t="array" ref="F29">MAX(IF('OB History S2'!B:B=A29, 'OB History S2'!C:C))</f>
        <v>27</v>
      </c>
      <c r="G29" s="34">
        <f>COUNTIFS('OB History S2'!B:B,A29,'OB History S2'!D:D, 1)</f>
        <v>2</v>
      </c>
      <c r="H29" s="2">
        <f>COUNTIFS('OB History S2'!B:B,A29,'OB History S2'!D:D, 0)</f>
        <v>3</v>
      </c>
      <c r="I29" s="88">
        <f>LOOKUP(2, 1/('OB History S2'!$B:$B=A29), 'OB History S2'!$AD:$AD)</f>
        <v>0.4</v>
      </c>
      <c r="J29" s="34">
        <f>SUMIFS('OB History S2'!F:F,'OB History S2'!B:B,A29)</f>
        <v>8</v>
      </c>
      <c r="K29" s="2">
        <f>SUMIFS('OB History S2'!E:E,'OB History S2'!B:B,A29)-J29</f>
        <v>11</v>
      </c>
      <c r="L29" s="88">
        <f>LOOKUP(2, 1/('OB History S2'!$B:$B=A29), 'OB History S2'!$AB:$AB)</f>
        <v>0.42000000000000004</v>
      </c>
      <c r="M29" s="34">
        <f>SUMIFS('OB History S2'!H:H,'OB History S2'!B:B,A29)</f>
        <v>35</v>
      </c>
      <c r="N29" s="2">
        <f>SUMIFS('OB History S2'!G:G,'OB History S2'!B:B,A29)-M29</f>
        <v>39</v>
      </c>
      <c r="O29" s="88">
        <f>LOOKUP(2, 1/('OB History S2'!$B:$B=A29), 'OB History S2'!$AC:$AC)</f>
        <v>0.47599999999999998</v>
      </c>
      <c r="P29" s="2">
        <f>COUNTIFS('OB History S2'!$B:$B,$A$29,'OB History S2'!K:K, 1)</f>
        <v>0</v>
      </c>
      <c r="Q29" s="2">
        <f>COUNTIFS('OB History S2'!$B:$B,$A$29,'OB History S2'!L:L, 1)</f>
        <v>1</v>
      </c>
      <c r="R29" s="2">
        <f>COUNTIFS('OB History S2'!$B:$B,$A$29,'OB History S2'!M:M, 1)</f>
        <v>1</v>
      </c>
      <c r="S29" s="2">
        <f>COUNTIFS('OB History S2'!$B:$B,$A$29,'OB History S2'!N:N, 1)</f>
        <v>0</v>
      </c>
      <c r="T29" s="2">
        <f>COUNTIFS('OB History S2'!$B:$B,$A$29,'OB History S2'!O:O, 1)</f>
        <v>0</v>
      </c>
      <c r="U29" s="2">
        <f>COUNTIFS('OB History S2'!$B:$B,$A$29,'OB History S2'!P:P, 1)</f>
        <v>0</v>
      </c>
      <c r="V29" s="2">
        <f>COUNTIFS('OB History S2'!$B:$B,$A$29,'OB History S2'!Q:Q, 1)</f>
        <v>0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1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0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156</v>
      </c>
      <c r="B30" s="2" t="s">
        <v>79</v>
      </c>
      <c r="C30" s="2" t="s">
        <v>79</v>
      </c>
      <c r="D30" s="34">
        <f>SUMIFS('OB History S2'!C:C,'OB History S2'!B:B,A30)</f>
        <v>64</v>
      </c>
      <c r="E30" s="4">
        <f>AVERAGEIFS('OB History S2'!C:C,'OB History S2'!B:B,A30)</f>
        <v>21.333333333333332</v>
      </c>
      <c r="F30" s="35">
        <f t="array" ref="F30">MAX(IF('OB History S2'!B:B=A30, 'OB History S2'!C:C))</f>
        <v>27</v>
      </c>
      <c r="G30" s="34">
        <f>COUNTIFS('OB History S2'!B:B,A30,'OB History S2'!D:D, 1)</f>
        <v>1</v>
      </c>
      <c r="H30" s="2">
        <f>COUNTIFS('OB History S2'!B:B,A30,'OB History S2'!D:D, 0)</f>
        <v>2</v>
      </c>
      <c r="I30" s="88">
        <f>LOOKUP(2, 1/('OB History S2'!$B:$B=A30), 'OB History S2'!$AD:$AD)</f>
        <v>0.33333333333333331</v>
      </c>
      <c r="J30" s="34">
        <f>SUMIFS('OB History S2'!F:F,'OB History S2'!B:B,A30)</f>
        <v>5</v>
      </c>
      <c r="K30" s="2">
        <f>SUMIFS('OB History S2'!E:E,'OB History S2'!B:B,A30)-J30</f>
        <v>8</v>
      </c>
      <c r="L30" s="88">
        <f>LOOKUP(2, 1/('OB History S2'!$B:$B=A30), 'OB History S2'!$AB:$AB)</f>
        <v>0.3666666666666667</v>
      </c>
      <c r="M30" s="34">
        <f>SUMIFS('OB History S2'!H:H,'OB History S2'!B:B,A30)</f>
        <v>22</v>
      </c>
      <c r="N30" s="2">
        <f>SUMIFS('OB History S2'!G:G,'OB History S2'!B:B,A30)-M30</f>
        <v>28</v>
      </c>
      <c r="O30" s="88">
        <f>LOOKUP(2, 1/('OB History S2'!$B:$B=A30), 'OB History S2'!$AC:$AC)</f>
        <v>0.41666666666666669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1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1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1</v>
      </c>
      <c r="AD30" s="2">
        <f>COUNTIFS('OB History S2'!$B:$B,$A$30,'OB History S2'!Y:Y, 1)</f>
        <v>1</v>
      </c>
      <c r="AE30" s="2">
        <f>COUNTIFS('OB History S2'!$B:$B,$A$30,'OB History S2'!Z:Z, 1)</f>
        <v>1</v>
      </c>
    </row>
    <row r="31" spans="1:31" x14ac:dyDescent="0.25">
      <c r="A31" s="2" t="s">
        <v>6</v>
      </c>
      <c r="B31" s="2" t="s">
        <v>60</v>
      </c>
      <c r="C31" s="2" t="s">
        <v>79</v>
      </c>
      <c r="D31" s="34">
        <f>SUMIFS('OB History S2'!C:C,'OB History S2'!B:B,A31)</f>
        <v>52</v>
      </c>
      <c r="E31" s="4">
        <f>AVERAGEIFS('OB History S2'!C:C,'OB History S2'!B:B,A31)</f>
        <v>26</v>
      </c>
      <c r="F31" s="35">
        <f t="array" ref="F31">MAX(IF('OB History S2'!B:B=A31, 'OB History S2'!C:C))</f>
        <v>42</v>
      </c>
      <c r="G31" s="34">
        <f>COUNTIFS('OB History S2'!B:B,A31,'OB History S2'!D:D, 1)</f>
        <v>1</v>
      </c>
      <c r="H31" s="2">
        <f>COUNTIFS('OB History S2'!B:B,A31,'OB History S2'!D:D, 0)</f>
        <v>1</v>
      </c>
      <c r="I31" s="88">
        <f>LOOKUP(2, 1/('OB History S2'!$B:$B=A31), 'OB History S2'!$AD:$AD)</f>
        <v>0.5</v>
      </c>
      <c r="J31" s="34">
        <f>SUMIFS('OB History S2'!F:F,'OB History S2'!B:B,A31)</f>
        <v>3</v>
      </c>
      <c r="K31" s="2">
        <f>SUMIFS('OB History S2'!E:E,'OB History S2'!B:B,A31)-J31</f>
        <v>5</v>
      </c>
      <c r="L31" s="88">
        <f>LOOKUP(2, 1/('OB History S2'!$B:$B=A31), 'OB History S2'!$AB:$AB)</f>
        <v>0.3</v>
      </c>
      <c r="M31" s="34">
        <f>SUMIFS('OB History S2'!H:H,'OB History S2'!B:B,A31)</f>
        <v>17</v>
      </c>
      <c r="N31" s="2">
        <f>SUMIFS('OB History S2'!G:G,'OB History S2'!B:B,A31)-M31</f>
        <v>17</v>
      </c>
      <c r="O31" s="88">
        <f>LOOKUP(2, 1/('OB History S2'!$B:$B=A31), 'OB History S2'!$AC:$AC)</f>
        <v>0.46499999999999997</v>
      </c>
      <c r="P31" s="2">
        <f>COUNTIFS('OB History S2'!$B:$B,$A$31,'OB History S2'!K:K, 1)</f>
        <v>0</v>
      </c>
      <c r="Q31" s="2">
        <f>COUNTIFS('OB History S2'!$B:$B,$A$31,'OB History S2'!L:L, 1)</f>
        <v>0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0</v>
      </c>
      <c r="W31" s="2">
        <f>COUNTIFS('OB History S2'!$B:$B,$A$31,'OB History S2'!R:R, 1)</f>
        <v>0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0</v>
      </c>
      <c r="AD31" s="2">
        <f>COUNTIFS('OB History S2'!$B:$B,$A$31,'OB History S2'!Y:Y, 1)</f>
        <v>1</v>
      </c>
      <c r="AE31" s="2">
        <f>COUNTIFS('OB History S2'!$B:$B,$A$31,'OB History S2'!Z:Z, 1)</f>
        <v>0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SUMIFS('OB History S2'!C:C,'OB History S2'!B:B,A32)</f>
        <v>90</v>
      </c>
      <c r="E32" s="4">
        <f>AVERAGEIFS('OB History S2'!C:C,'OB History S2'!B:B,A32)</f>
        <v>22.5</v>
      </c>
      <c r="F32" s="35">
        <f t="array" ref="F32">MAX(IF('OB History S2'!B:B=A32, 'OB History S2'!C:C))</f>
        <v>28</v>
      </c>
      <c r="G32" s="34">
        <f>COUNTIFS('OB History S2'!B:B,A32,'OB History S2'!D:D, 1)</f>
        <v>4</v>
      </c>
      <c r="H32" s="2">
        <f>COUNTIFS('OB History S2'!B:B,A32,'OB History S2'!D:D, 0)</f>
        <v>0</v>
      </c>
      <c r="I32" s="88">
        <f>LOOKUP(2, 1/('OB History S2'!$B:$B=A32), 'OB History S2'!$AD:$AD)</f>
        <v>1</v>
      </c>
      <c r="J32" s="34">
        <f>SUMIFS('OB History S2'!F:F,'OB History S2'!B:B,A32)</f>
        <v>12</v>
      </c>
      <c r="K32" s="2">
        <f>SUMIFS('OB History S2'!E:E,'OB History S2'!B:B,A32)-J32</f>
        <v>2</v>
      </c>
      <c r="L32" s="88">
        <f>LOOKUP(2, 1/('OB History S2'!$B:$B=A32), 'OB History S2'!$AB:$AB)</f>
        <v>0.875</v>
      </c>
      <c r="M32" s="34">
        <f>SUMIFS('OB History S2'!H:H,'OB History S2'!B:B,A32)</f>
        <v>38</v>
      </c>
      <c r="N32" s="2">
        <f>SUMIFS('OB History S2'!G:G,'OB History S2'!B:B,A32)-M32</f>
        <v>15</v>
      </c>
      <c r="O32" s="88">
        <f>LOOKUP(2, 1/('OB History S2'!$B:$B=A32), 'OB History S2'!$AC:$AC)</f>
        <v>0.72</v>
      </c>
      <c r="P32" s="2">
        <f>COUNTIFS('OB History S2'!$B:$B,$A$32,'OB History S2'!K:K, 1)</f>
        <v>0</v>
      </c>
      <c r="Q32" s="2">
        <f>COUNTIFS('OB History S2'!$B:$B,$A$32,'OB History S2'!L:L, 1)</f>
        <v>2</v>
      </c>
      <c r="R32" s="2">
        <f>COUNTIFS('OB History S2'!$B:$B,$A$32,'OB History S2'!M:M, 1)</f>
        <v>0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1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0</v>
      </c>
      <c r="Z32" s="2">
        <f>COUNTIFS('OB History S2'!$B:$B,$A$32,'OB History S2'!U:U, 1)</f>
        <v>1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2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113</v>
      </c>
      <c r="B33" s="2" t="s">
        <v>79</v>
      </c>
      <c r="C33" s="2" t="s">
        <v>79</v>
      </c>
      <c r="D33" s="34">
        <f>SUMIFS('OB History S2'!C:C,'OB History S2'!B:B,A33)</f>
        <v>54</v>
      </c>
      <c r="E33" s="4">
        <f>AVERAGEIFS('OB History S2'!C:C,'OB History S2'!B:B,A33)</f>
        <v>18</v>
      </c>
      <c r="F33" s="35">
        <f t="array" ref="F33">MAX(IF('OB History S2'!B:B=A33, 'OB History S2'!C:C))</f>
        <v>21</v>
      </c>
      <c r="G33" s="34">
        <f>COUNTIFS('OB History S2'!B:B,A33,'OB History S2'!D:D, 1)</f>
        <v>2</v>
      </c>
      <c r="H33" s="2">
        <f>COUNTIFS('OB History S2'!B:B,A33,'OB History S2'!D:D, 0)</f>
        <v>1</v>
      </c>
      <c r="I33" s="88">
        <f>LOOKUP(2, 1/('OB History S2'!$B:$B=A33), 'OB History S2'!$AD:$AD)</f>
        <v>0.66666666666666663</v>
      </c>
      <c r="J33" s="34">
        <f>SUMIFS('OB History S2'!F:F,'OB History S2'!B:B,A33)</f>
        <v>6</v>
      </c>
      <c r="K33" s="2">
        <f>SUMIFS('OB History S2'!E:E,'OB History S2'!B:B,A33)-J33</f>
        <v>5</v>
      </c>
      <c r="L33" s="88">
        <f>LOOKUP(2, 1/('OB History S2'!$B:$B=A33), 'OB History S2'!$AB:$AB)</f>
        <v>0.53333333333333333</v>
      </c>
      <c r="M33" s="34">
        <f>SUMIFS('OB History S2'!H:H,'OB History S2'!B:B,A33)</f>
        <v>22</v>
      </c>
      <c r="N33" s="2">
        <f>SUMIFS('OB History S2'!G:G,'OB History S2'!B:B,A33)-M33</f>
        <v>23</v>
      </c>
      <c r="O33" s="88">
        <f>LOOKUP(2, 1/('OB History S2'!$B:$B=A33), 'OB History S2'!$AC:$AC)</f>
        <v>0.46333333333333332</v>
      </c>
      <c r="P33" s="2">
        <f>COUNTIFS('OB History S2'!$B:$B,$A$33,'OB History S2'!K:K, 1)</f>
        <v>0</v>
      </c>
      <c r="Q33" s="2">
        <f>COUNTIFS('OB History S2'!$B:$B,$A$33,'OB History S2'!L:L, 1)</f>
        <v>2</v>
      </c>
      <c r="R33" s="2">
        <f>COUNTIFS('OB History S2'!$B:$B,$A$33,'OB History S2'!M:M, 1)</f>
        <v>0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0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1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14</v>
      </c>
      <c r="B34" s="6" t="s">
        <v>124</v>
      </c>
      <c r="C34" s="6" t="s">
        <v>124</v>
      </c>
      <c r="D34" s="34">
        <f>SUMIFS('OB History S2'!C:C,'OB History S2'!B:B,A34)</f>
        <v>70</v>
      </c>
      <c r="E34" s="4">
        <f>AVERAGEIFS('OB History S2'!C:C,'OB History S2'!B:B,A34)</f>
        <v>23.333333333333332</v>
      </c>
      <c r="F34" s="35">
        <f t="array" ref="F34">MAX(IF('OB History S2'!B:B=A34, 'OB History S2'!C:C))</f>
        <v>37</v>
      </c>
      <c r="G34" s="34">
        <f>COUNTIFS('OB History S2'!B:B,A34,'OB History S2'!D:D, 1)</f>
        <v>1</v>
      </c>
      <c r="H34" s="2">
        <f>COUNTIFS('OB History S2'!B:B,A34,'OB History S2'!D:D, 0)</f>
        <v>2</v>
      </c>
      <c r="I34" s="88">
        <f>LOOKUP(2, 1/('OB History S2'!$B:$B=A34), 'OB History S2'!$AD:$AD)</f>
        <v>0.33333333333333331</v>
      </c>
      <c r="J34" s="34">
        <f>SUMIFS('OB History S2'!F:F,'OB History S2'!B:B,A34)</f>
        <v>5</v>
      </c>
      <c r="K34" s="2">
        <f>SUMIFS('OB History S2'!E:E,'OB History S2'!B:B,A34)-J34</f>
        <v>6</v>
      </c>
      <c r="L34" s="88">
        <f>LOOKUP(2, 1/('OB History S2'!$B:$B=A34), 'OB History S2'!$AB:$AB)</f>
        <v>0.46666666666666662</v>
      </c>
      <c r="M34" s="34">
        <f>SUMIFS('OB History S2'!H:H,'OB History S2'!B:B,A34)</f>
        <v>21</v>
      </c>
      <c r="N34" s="2">
        <f>SUMIFS('OB History S2'!G:G,'OB History S2'!B:B,A34)-M34</f>
        <v>24</v>
      </c>
      <c r="O34" s="88">
        <f>LOOKUP(2, 1/('OB History S2'!$B:$B=A34), 'OB History S2'!$AC:$AC)</f>
        <v>0.5033333333333333</v>
      </c>
      <c r="P34" s="2">
        <f>COUNTIFS('OB History S2'!$B:$B,$A$34,'OB History S2'!K:K, 1)</f>
        <v>0</v>
      </c>
      <c r="Q34" s="2">
        <f>COUNTIFS('OB History S2'!$B:$B,$A$34,'OB History S2'!L:L, 1)</f>
        <v>1</v>
      </c>
      <c r="R34" s="2">
        <f>COUNTIFS('OB History S2'!$B:$B,$A$34,'OB History S2'!M:M, 1)</f>
        <v>0</v>
      </c>
      <c r="S34" s="2">
        <f>COUNTIFS('OB History S2'!$B:$B,$A$34,'OB History S2'!N:N, 1)</f>
        <v>0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0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0</v>
      </c>
      <c r="AA34" s="2">
        <f>COUNTIFS('OB History S2'!$B:$B,$A$34,'OB History S2'!V:V, 1)</f>
        <v>0</v>
      </c>
      <c r="AB34" s="2">
        <f>COUNTIFS('OB History S2'!$B:$B,$A$34,'OB History S2'!W:W, 1)</f>
        <v>0</v>
      </c>
      <c r="AC34" s="2">
        <f>COUNTIFS('OB History S2'!$B:$B,$A$34,'OB History S2'!X:X, 1)</f>
        <v>2</v>
      </c>
      <c r="AD34" s="2">
        <f>COUNTIFS('OB History S2'!$B:$B,$A$34,'OB History S2'!Y:Y, 1)</f>
        <v>1</v>
      </c>
      <c r="AE34" s="2">
        <f>COUNTIFS('OB History S2'!$B:$B,$A$34,'OB History S2'!Z:Z, 1)</f>
        <v>0</v>
      </c>
    </row>
    <row r="35" spans="1:31" x14ac:dyDescent="0.25">
      <c r="A35" s="2" t="s">
        <v>4</v>
      </c>
      <c r="B35" s="2" t="s">
        <v>79</v>
      </c>
      <c r="C35" s="2" t="s">
        <v>79</v>
      </c>
      <c r="D35" s="34">
        <f>SUMIFS('OB History S2'!C:C,'OB History S2'!B:B,A35)</f>
        <v>48</v>
      </c>
      <c r="E35" s="4">
        <f>AVERAGEIFS('OB History S2'!C:C,'OB History S2'!B:B,A35)</f>
        <v>24</v>
      </c>
      <c r="F35" s="35">
        <f t="array" ref="F35">MAX(IF('OB History S2'!B:B=A35, 'OB History S2'!C:C))</f>
        <v>31</v>
      </c>
      <c r="G35" s="34">
        <f>COUNTIFS('OB History S2'!B:B,A35,'OB History S2'!D:D, 1)</f>
        <v>1</v>
      </c>
      <c r="H35" s="2">
        <f>COUNTIFS('OB History S2'!B:B,A35,'OB History S2'!D:D, 0)</f>
        <v>1</v>
      </c>
      <c r="I35" s="88">
        <f>LOOKUP(2, 1/('OB History S2'!$B:$B=A35), 'OB History S2'!$AD:$AD)</f>
        <v>0.5</v>
      </c>
      <c r="J35" s="34">
        <f>SUMIFS('OB History S2'!F:F,'OB History S2'!B:B,A35)</f>
        <v>3</v>
      </c>
      <c r="K35" s="2">
        <f>SUMIFS('OB History S2'!E:E,'OB History S2'!B:B,A35)-J35</f>
        <v>5</v>
      </c>
      <c r="L35" s="88">
        <f>LOOKUP(2, 1/('OB History S2'!$B:$B=A35), 'OB History S2'!$AB:$AB)</f>
        <v>0.3</v>
      </c>
      <c r="M35" s="34">
        <f>SUMIFS('OB History S2'!H:H,'OB History S2'!B:B,A35)</f>
        <v>13</v>
      </c>
      <c r="N35" s="2">
        <f>SUMIFS('OB History S2'!G:G,'OB History S2'!B:B,A35)-M35</f>
        <v>19</v>
      </c>
      <c r="O35" s="88">
        <f>LOOKUP(2, 1/('OB History S2'!$B:$B=A35), 'OB History S2'!$AC:$AC)</f>
        <v>0.35</v>
      </c>
      <c r="P35" s="2">
        <f>COUNTIFS('OB History S2'!$B:$B,$A$35,'OB History S2'!K:K, 1)</f>
        <v>0</v>
      </c>
      <c r="Q35" s="2">
        <f>COUNTIFS('OB History S2'!$B:$B,$A$35,'OB History S2'!L:L, 1)</f>
        <v>1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0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1</v>
      </c>
      <c r="AD35" s="2">
        <f>COUNTIFS('OB History S2'!$B:$B,$A$35,'OB History S2'!Y:Y, 1)</f>
        <v>1</v>
      </c>
      <c r="AE35" s="2">
        <f>COUNTIFS('OB History S2'!$B:$B,$A$35,'OB History S2'!Z:Z, 1)</f>
        <v>0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SUMIFS('OB History S2'!C:C,'OB History S2'!B:B,A36)</f>
        <v>16</v>
      </c>
      <c r="E36" s="4">
        <f>AVERAGEIFS('OB History S2'!C:C,'OB History S2'!B:B,A36)</f>
        <v>5.333333333333333</v>
      </c>
      <c r="F36" s="35">
        <f t="array" ref="F36">MAX(IF('OB History S2'!B:B=A36, 'OB History S2'!C:C))</f>
        <v>7</v>
      </c>
      <c r="G36" s="34">
        <f>COUNTIFS('OB History S2'!B:B,A36,'OB History S2'!D:D, 1)</f>
        <v>2</v>
      </c>
      <c r="H36" s="2">
        <f>COUNTIFS('OB History S2'!B:B,A36,'OB History S2'!D:D, 0)</f>
        <v>1</v>
      </c>
      <c r="I36" s="88">
        <f>LOOKUP(2, 1/('OB History S2'!$B:$B=A36), 'OB History S2'!$AD:$AD)</f>
        <v>0.66666666666666663</v>
      </c>
      <c r="J36" s="34">
        <f>SUMIFS('OB History S2'!F:F,'OB History S2'!B:B,A36)</f>
        <v>7</v>
      </c>
      <c r="K36" s="2">
        <f>SUMIFS('OB History S2'!E:E,'OB History S2'!B:B,A36)-J36</f>
        <v>4</v>
      </c>
      <c r="L36" s="88">
        <f>LOOKUP(2, 1/('OB History S2'!$B:$B=A36), 'OB History S2'!$AB:$AB)</f>
        <v>0.66666666666666663</v>
      </c>
      <c r="M36" s="34">
        <f>SUMIFS('OB History S2'!H:H,'OB History S2'!B:B,A36)</f>
        <v>25</v>
      </c>
      <c r="N36" s="2">
        <f>SUMIFS('OB History S2'!G:G,'OB History S2'!B:B,A36)-M36</f>
        <v>15</v>
      </c>
      <c r="O36" s="88">
        <f>LOOKUP(2, 1/('OB History S2'!$B:$B=A36), 'OB History S2'!$AC:$AC)</f>
        <v>0.6366666666666666</v>
      </c>
      <c r="P36" s="2">
        <f>COUNTIFS('OB History S2'!$B:$B,$A$36,'OB History S2'!K:K, 1)</f>
        <v>0</v>
      </c>
      <c r="Q36" s="2">
        <f>COUNTIFS('OB History S2'!$B:$B,$A$36,'OB History S2'!L:L, 1)</f>
        <v>1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0</v>
      </c>
      <c r="V36" s="2">
        <f>COUNTIFS('OB History S2'!$B:$B,$A$36,'OB History S2'!Q:Q, 1)</f>
        <v>0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1</v>
      </c>
      <c r="AA36" s="2">
        <f>COUNTIFS('OB History S2'!$B:$B,$A$36,'OB History S2'!V:V, 1)</f>
        <v>0</v>
      </c>
      <c r="AB36" s="2">
        <f>COUNTIFS('OB History S2'!$B:$B,$A$36,'OB History S2'!W:W, 1)</f>
        <v>0</v>
      </c>
      <c r="AC36" s="2">
        <f>COUNTIFS('OB History S2'!$B:$B,$A$36,'OB History S2'!X:X, 1)</f>
        <v>3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</sheetData>
  <autoFilter ref="A1:AE35" xr:uid="{EEC03B8F-669F-4FC0-BA62-50F3D395660C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57" activePane="bottomLeft" state="frozen"/>
      <selection pane="bottomLeft" activeCell="K85" sqref="K85:Z8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6" t="s">
        <v>119</v>
      </c>
      <c r="B4" s="97"/>
      <c r="C4" s="97"/>
    </row>
    <row r="5" spans="1:3" x14ac:dyDescent="0.25">
      <c r="A5" s="96" t="s">
        <v>120</v>
      </c>
      <c r="B5" s="97"/>
      <c r="C5" s="97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99" t="s">
        <v>7</v>
      </c>
      <c r="D1" s="100"/>
      <c r="E1" s="100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100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1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2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2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2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2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2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2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2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2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1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8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8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8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8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8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8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8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8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5" sqref="A2:A55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235</v>
      </c>
      <c r="D5" s="66">
        <f>AVERAGEIFS('BA History'!C:C,'BA History'!B:B,A5)</f>
        <v>12.368421052631579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9</v>
      </c>
      <c r="H5" s="75">
        <f>LOOKUP(2, 1/('BA History'!$B:$B=A5), 'BA History'!$AJ:$AJ)</f>
        <v>0.52631578947368418</v>
      </c>
      <c r="I5" s="34">
        <f>SUMIFS('BA History'!F:F,'BA History'!B:B,A5)</f>
        <v>37</v>
      </c>
      <c r="J5" s="2">
        <f>SUMIFS('BA History'!E:E,'BA History'!B:B,A5)-I5</f>
        <v>40</v>
      </c>
      <c r="K5" s="75">
        <f>LOOKUP(2, 1/('BA History'!$B:$B=A5), 'BA History'!$AH:$AH)</f>
        <v>0.45263157894736838</v>
      </c>
      <c r="L5" s="34">
        <f>SUMIFS('BA History'!H:H,'BA History'!B:B,A5)</f>
        <v>151</v>
      </c>
      <c r="M5" s="2">
        <f>SUMIFS('BA History'!G:G,'BA History'!B:B,A5)-L5</f>
        <v>160</v>
      </c>
      <c r="N5" s="89">
        <f>LOOKUP(2, 1/('BA History'!$B:$B=A5), 'BA History'!$AI:$AI)</f>
        <v>0.47210526315789475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555</v>
      </c>
      <c r="D9" s="66">
        <f>AVERAGEIFS('BA History'!C:C,'BA History'!B:B,A9)</f>
        <v>19.137931034482758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16</v>
      </c>
      <c r="H9" s="75">
        <f>LOOKUP(2, 1/('BA History'!$B:$B=A9), 'BA History'!$AJ:$AJ)</f>
        <v>0.44827586206896552</v>
      </c>
      <c r="I9" s="34">
        <f>SUMIFS('BA History'!F:F,'BA History'!B:B,A9)</f>
        <v>54</v>
      </c>
      <c r="J9" s="2">
        <f>SUMIFS('BA History'!E:E,'BA History'!B:B,A9)-I9</f>
        <v>66</v>
      </c>
      <c r="K9" s="75">
        <f>LOOKUP(2, 1/('BA History'!$B:$B=A9), 'BA History'!$AH:$AH)</f>
        <v>0.43965517241379304</v>
      </c>
      <c r="L9" s="34">
        <f>SUMIFS('BA History'!H:H,'BA History'!B:B,A9)</f>
        <v>229</v>
      </c>
      <c r="M9" s="2">
        <f>SUMIFS('BA History'!G:G,'BA History'!B:B,A9)-L9</f>
        <v>266</v>
      </c>
      <c r="N9" s="89">
        <f>LOOKUP(2, 1/('BA History'!$B:$B=A9), 'BA History'!$AI:$AI)</f>
        <v>0.45344827586206893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4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626</v>
      </c>
      <c r="D18" s="66">
        <f>AVERAGEIFS('BA History'!C:C,'BA History'!B:B,A18)</f>
        <v>18.411764705882351</v>
      </c>
      <c r="E18" s="35">
        <f t="array" ref="E18">MAX(IF('BA History'!B:B=A18, 'BA History'!C:C))</f>
        <v>31</v>
      </c>
      <c r="F18" s="34">
        <f>COUNTIFS('BA History'!B:B,A18,'BA History'!D:D, 1)</f>
        <v>18</v>
      </c>
      <c r="G18" s="2">
        <f>COUNTIFS('BA History'!B:B,A18,'BA History'!D:D, 0)</f>
        <v>16</v>
      </c>
      <c r="H18" s="75">
        <f>LOOKUP(2, 1/('BA History'!$B:$B=A18), 'BA History'!$AJ:$AJ)</f>
        <v>0.52941176470588236</v>
      </c>
      <c r="I18" s="34">
        <f>SUMIFS('BA History'!F:F,'BA History'!B:B,A18)</f>
        <v>71</v>
      </c>
      <c r="J18" s="2">
        <f>SUMIFS('BA History'!E:E,'BA History'!B:B,A18)-I18</f>
        <v>65</v>
      </c>
      <c r="K18" s="75">
        <f>LOOKUP(2, 1/('BA History'!$B:$B=A18), 'BA History'!$AH:$AH)</f>
        <v>0.53323529411764714</v>
      </c>
      <c r="L18" s="34">
        <f>SUMIFS('BA History'!H:H,'BA History'!B:B,A18)</f>
        <v>295</v>
      </c>
      <c r="M18" s="2">
        <f>SUMIFS('BA History'!G:G,'BA History'!B:B,A18)-L18</f>
        <v>278</v>
      </c>
      <c r="N18" s="89">
        <f>LOOKUP(2, 1/('BA History'!$B:$B=A18), 'BA History'!$AI:$AI)</f>
        <v>0.53176470588235281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6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485</v>
      </c>
      <c r="D20" s="66">
        <f>AVERAGEIFS('BA History'!C:C,'BA History'!B:B,A20)</f>
        <v>16.724137931034484</v>
      </c>
      <c r="E20" s="35">
        <f t="array" ref="E20">MAX(IF('BA History'!B:B=A20, 'BA History'!C:C))</f>
        <v>36</v>
      </c>
      <c r="F20" s="34">
        <f>COUNTIFS('BA History'!B:B,A20,'BA History'!D:D, 1)</f>
        <v>18</v>
      </c>
      <c r="G20" s="2">
        <f>COUNTIFS('BA History'!B:B,A20,'BA History'!D:D, 0)</f>
        <v>11</v>
      </c>
      <c r="H20" s="75">
        <f>LOOKUP(2, 1/('BA History'!$B:$B=A20), 'BA History'!$AJ:$AJ)</f>
        <v>0.62068965517241381</v>
      </c>
      <c r="I20" s="34">
        <f>SUMIFS('BA History'!F:F,'BA History'!B:B,A20)</f>
        <v>62</v>
      </c>
      <c r="J20" s="2">
        <f>SUMIFS('BA History'!E:E,'BA History'!B:B,A20)-I20</f>
        <v>55</v>
      </c>
      <c r="K20" s="75">
        <f>LOOKUP(2, 1/('BA History'!$B:$B=A20), 'BA History'!$AH:$AH)</f>
        <v>0.51379310344827578</v>
      </c>
      <c r="L20" s="34">
        <f>SUMIFS('BA History'!H:H,'BA History'!B:B,A20)</f>
        <v>256</v>
      </c>
      <c r="M20" s="2">
        <f>SUMIFS('BA History'!G:G,'BA History'!B:B,A20)-L20</f>
        <v>232</v>
      </c>
      <c r="N20" s="89">
        <f>LOOKUP(2, 1/('BA History'!$B:$B=A20), 'BA History'!$AI:$AI)</f>
        <v>0.52655172413793105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6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5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674</v>
      </c>
      <c r="D22" s="66">
        <f>AVERAGEIFS('BA History'!C:C,'BA History'!B:B,A22)</f>
        <v>26.96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14</v>
      </c>
      <c r="H22" s="75">
        <f>LOOKUP(2, 1/('BA History'!$B:$B=A22), 'BA History'!$AJ:$AJ)</f>
        <v>0.44</v>
      </c>
      <c r="I22" s="34">
        <f>SUMIFS('BA History'!F:F,'BA History'!B:B,A22)</f>
        <v>44</v>
      </c>
      <c r="J22" s="2">
        <f>SUMIFS('BA History'!E:E,'BA History'!B:B,A22)-I22</f>
        <v>56</v>
      </c>
      <c r="K22" s="75">
        <f>LOOKUP(2, 1/('BA History'!$B:$B=A22), 'BA History'!$AH:$AH)</f>
        <v>0.41800000000000004</v>
      </c>
      <c r="L22" s="34">
        <f>SUMIFS('BA History'!H:H,'BA History'!B:B,A22)</f>
        <v>191</v>
      </c>
      <c r="M22" s="2">
        <f>SUMIFS('BA History'!G:G,'BA History'!B:B,A22)-L22</f>
        <v>222</v>
      </c>
      <c r="N22" s="89">
        <f>LOOKUP(2, 1/('BA History'!$B:$B=A22), 'BA History'!$AI:$AI)</f>
        <v>0.45160000000000006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101</v>
      </c>
      <c r="D24" s="66">
        <f>AVERAGEIFS('BA History'!C:C,'BA History'!B:B,A24)</f>
        <v>14.428571428571429</v>
      </c>
      <c r="E24" s="35">
        <f t="array" ref="E24">MAX(IF('BA History'!B:B=A24, 'BA History'!C:C))</f>
        <v>21</v>
      </c>
      <c r="F24" s="34">
        <f>COUNTIFS('BA History'!B:B,A24,'BA History'!D:D, 1)</f>
        <v>3</v>
      </c>
      <c r="G24" s="2">
        <f>COUNTIFS('BA History'!B:B,A24,'BA History'!D:D, 0)</f>
        <v>4</v>
      </c>
      <c r="H24" s="75">
        <f>LOOKUP(2, 1/('BA History'!$B:$B=A24), 'BA History'!$AJ:$AJ)</f>
        <v>0.42857142857142855</v>
      </c>
      <c r="I24" s="34">
        <f>SUMIFS('BA History'!F:F,'BA History'!B:B,A24)</f>
        <v>16</v>
      </c>
      <c r="J24" s="2">
        <f>SUMIFS('BA History'!E:E,'BA History'!B:B,A24)-I24</f>
        <v>16</v>
      </c>
      <c r="K24" s="75">
        <f>LOOKUP(2, 1/('BA History'!$B:$B=A24), 'BA History'!$AH:$AH)</f>
        <v>0.50714285714285712</v>
      </c>
      <c r="L24" s="34">
        <f>SUMIFS('BA History'!H:H,'BA History'!B:B,A24)</f>
        <v>69</v>
      </c>
      <c r="M24" s="2">
        <f>SUMIFS('BA History'!G:G,'BA History'!B:B,A24)-L24</f>
        <v>64</v>
      </c>
      <c r="N24" s="89">
        <f>LOOKUP(2, 1/('BA History'!$B:$B=A24), 'BA History'!$AI:$AI)</f>
        <v>0.51999999999999991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437</v>
      </c>
      <c r="D25" s="66">
        <f>AVERAGEIFS('BA History'!C:C,'BA History'!B:B,A25)</f>
        <v>17.48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16</v>
      </c>
      <c r="H25" s="75">
        <f>LOOKUP(2, 1/('BA History'!$B:$B=A25), 'BA History'!$AJ:$AJ)</f>
        <v>0.36</v>
      </c>
      <c r="I25" s="34">
        <f>SUMIFS('BA History'!F:F,'BA History'!B:B,A25)</f>
        <v>44</v>
      </c>
      <c r="J25" s="2">
        <f>SUMIFS('BA History'!E:E,'BA History'!B:B,A25)-I25</f>
        <v>61</v>
      </c>
      <c r="K25" s="75">
        <f>LOOKUP(2, 1/('BA History'!$B:$B=A25), 'BA History'!$AH:$AH)</f>
        <v>0.39999999999999991</v>
      </c>
      <c r="L25" s="34">
        <f>SUMIFS('BA History'!H:H,'BA History'!B:B,A25)</f>
        <v>201</v>
      </c>
      <c r="M25" s="2">
        <f>SUMIFS('BA History'!G:G,'BA History'!B:B,A25)-L25</f>
        <v>238</v>
      </c>
      <c r="N25" s="89">
        <f>LOOKUP(2, 1/('BA History'!$B:$B=A25), 'BA History'!$AI:$AI)</f>
        <v>0.44800000000000006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252</v>
      </c>
      <c r="D27" s="66">
        <f>AVERAGEIFS('BA History'!C:C,'BA History'!B:B,A27)</f>
        <v>15.75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7</v>
      </c>
      <c r="H27" s="75">
        <f>LOOKUP(2, 1/('BA History'!$B:$B=A27), 'BA History'!$AJ:$AJ)</f>
        <v>0.5625</v>
      </c>
      <c r="I27" s="34">
        <f>SUMIFS('BA History'!F:F,'BA History'!B:B,A27)</f>
        <v>33</v>
      </c>
      <c r="J27" s="2">
        <f>SUMIFS('BA History'!E:E,'BA History'!B:B,A27)-I27</f>
        <v>26</v>
      </c>
      <c r="K27" s="75">
        <f>LOOKUP(2, 1/('BA History'!$B:$B=A27), 'BA History'!$AH:$AH)</f>
        <v>0.57187500000000002</v>
      </c>
      <c r="L27" s="34">
        <f>SUMIFS('BA History'!H:H,'BA History'!B:B,A27)</f>
        <v>123</v>
      </c>
      <c r="M27" s="2">
        <f>SUMIFS('BA History'!G:G,'BA History'!B:B,A27)-L27</f>
        <v>112</v>
      </c>
      <c r="N27" s="89">
        <f>LOOKUP(2, 1/('BA History'!$B:$B=A27), 'BA History'!$AI:$AI)</f>
        <v>0.53</v>
      </c>
      <c r="O27" s="2">
        <f>COUNTIFS('BA History'!$B:$B,$A$27,'BA History'!K:K, 1)</f>
        <v>1</v>
      </c>
      <c r="P27" s="2">
        <f>COUNTIFS('BA History'!$B:$B,$A$27,'BA History'!L:L, 1)</f>
        <v>3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763</v>
      </c>
      <c r="D35" s="66">
        <f>AVERAGEIFS('BA History'!C:C,'BA History'!B:B,A35)</f>
        <v>24.612903225806452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14</v>
      </c>
      <c r="H35" s="75">
        <f>LOOKUP(2, 1/('BA History'!$B:$B=A35), 'BA History'!$AJ:$AJ)</f>
        <v>0.54838709677419351</v>
      </c>
      <c r="I35" s="34">
        <f>SUMIFS('BA History'!F:F,'BA History'!B:B,A35)</f>
        <v>65</v>
      </c>
      <c r="J35" s="2">
        <f>SUMIFS('BA History'!E:E,'BA History'!B:B,A35)-I35</f>
        <v>55</v>
      </c>
      <c r="K35" s="75">
        <f>LOOKUP(2, 1/('BA History'!$B:$B=A35), 'BA History'!$AH:$AH)</f>
        <v>0.55096774193548381</v>
      </c>
      <c r="L35" s="34">
        <f>SUMIFS('BA History'!H:H,'BA History'!B:B,A35)</f>
        <v>265</v>
      </c>
      <c r="M35" s="2">
        <f>SUMIFS('BA History'!G:G,'BA History'!B:B,A35)-L35</f>
        <v>231</v>
      </c>
      <c r="N35" s="89">
        <f>LOOKUP(2, 1/('BA History'!$B:$B=A35), 'BA History'!$AI:$AI)</f>
        <v>0.54903225806451628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1149</v>
      </c>
      <c r="D36" s="66">
        <f>AVERAGEIFS('BA History'!C:C,'BA History'!B:B,A36)</f>
        <v>23.9375</v>
      </c>
      <c r="E36" s="35">
        <f t="array" ref="E36">MAX(IF('BA History'!B:B=A36, 'BA History'!C:C))</f>
        <v>37</v>
      </c>
      <c r="F36" s="34">
        <f>COUNTIFS('BA History'!B:B,A36,'BA History'!D:D, 1)</f>
        <v>27</v>
      </c>
      <c r="G36" s="2">
        <f>COUNTIFS('BA History'!B:B,A36,'BA History'!D:D, 0)</f>
        <v>21</v>
      </c>
      <c r="H36" s="75">
        <f>LOOKUP(2, 1/('BA History'!$B:$B=A36), 'BA History'!$AJ:$AJ)</f>
        <v>0.5625</v>
      </c>
      <c r="I36" s="34">
        <f>SUMIFS('BA History'!F:F,'BA History'!B:B,A36)</f>
        <v>105</v>
      </c>
      <c r="J36" s="2">
        <f>SUMIFS('BA History'!E:E,'BA History'!B:B,A36)-I36</f>
        <v>90</v>
      </c>
      <c r="K36" s="75">
        <f>LOOKUP(2, 1/('BA History'!$B:$B=A36), 'BA History'!$AH:$AH)</f>
        <v>0.54208333333333336</v>
      </c>
      <c r="L36" s="34">
        <f>SUMIFS('BA History'!H:H,'BA History'!B:B,A36)</f>
        <v>416</v>
      </c>
      <c r="M36" s="2">
        <f>SUMIFS('BA History'!G:G,'BA History'!B:B,A36)-L36</f>
        <v>395</v>
      </c>
      <c r="N36" s="89">
        <f>LOOKUP(2, 1/('BA History'!$B:$B=A36), 'BA History'!$AI:$AI)</f>
        <v>0.51458333333333328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9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83</v>
      </c>
      <c r="D39" s="66">
        <f>AVERAGEIFS('BA History'!C:C,'BA History'!B:B,A39)</f>
        <v>11.857142857142858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4</v>
      </c>
      <c r="H39" s="75">
        <f>LOOKUP(2, 1/('BA History'!$B:$B=A39), 'BA History'!$AJ:$AJ)</f>
        <v>0.42857142857142855</v>
      </c>
      <c r="I39" s="34">
        <f>SUMIFS('BA History'!F:F,'BA History'!B:B,A39)</f>
        <v>10</v>
      </c>
      <c r="J39" s="2">
        <f>SUMIFS('BA History'!E:E,'BA History'!B:B,A39)-I39</f>
        <v>15</v>
      </c>
      <c r="K39" s="75">
        <f>LOOKUP(2, 1/('BA History'!$B:$B=A39), 'BA History'!$AH:$AH)</f>
        <v>0.37142857142857144</v>
      </c>
      <c r="L39" s="34">
        <f>SUMIFS('BA History'!H:H,'BA History'!B:B,A39)</f>
        <v>49</v>
      </c>
      <c r="M39" s="2">
        <f>SUMIFS('BA History'!G:G,'BA History'!B:B,A39)-L39</f>
        <v>55</v>
      </c>
      <c r="N39" s="89">
        <f>LOOKUP(2, 1/('BA History'!$B:$B=A39), 'BA History'!$AI:$AI)</f>
        <v>0.47428571428571431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856</v>
      </c>
      <c r="D41" s="66">
        <f>AVERAGEIFS('BA History'!C:C,'BA History'!B:B,A41)</f>
        <v>18.212765957446809</v>
      </c>
      <c r="E41" s="35">
        <f t="array" ref="E41">MAX(IF('BA History'!B:B=A41, 'BA History'!C:C))</f>
        <v>35</v>
      </c>
      <c r="F41" s="34">
        <f>COUNTIFS('BA History'!B:B,A41,'BA History'!D:D, 1)</f>
        <v>21</v>
      </c>
      <c r="G41" s="2">
        <f>COUNTIFS('BA History'!B:B,A41,'BA History'!D:D, 0)</f>
        <v>26</v>
      </c>
      <c r="H41" s="75">
        <f>LOOKUP(2, 1/('BA History'!$B:$B=A41), 'BA History'!$AJ:$AJ)</f>
        <v>0.44680851063829785</v>
      </c>
      <c r="I41" s="34">
        <f>SUMIFS('BA History'!F:F,'BA History'!B:B,A41)</f>
        <v>95</v>
      </c>
      <c r="J41" s="2">
        <f>SUMIFS('BA History'!E:E,'BA History'!B:B,A41)-I41</f>
        <v>98</v>
      </c>
      <c r="K41" s="75">
        <f>LOOKUP(2, 1/('BA History'!$B:$B=A41), 'BA History'!$AH:$AH)</f>
        <v>0.49999999999999983</v>
      </c>
      <c r="L41" s="34">
        <f>SUMIFS('BA History'!H:H,'BA History'!B:B,A41)</f>
        <v>388</v>
      </c>
      <c r="M41" s="2">
        <f>SUMIFS('BA History'!G:G,'BA History'!B:B,A41)-L41</f>
        <v>406</v>
      </c>
      <c r="N41" s="89">
        <f>LOOKUP(2, 1/('BA History'!$B:$B=A41), 'BA History'!$AI:$AI)</f>
        <v>0.48680851063829794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12</v>
      </c>
      <c r="R41" s="2">
        <f>COUNTIFS('BA History'!$B:$B,$A$41,'BA History'!N:N, 1)</f>
        <v>11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4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209</v>
      </c>
      <c r="D42" s="66">
        <f>AVERAGEIFS('BA History'!C:C,'BA History'!B:B,A42)</f>
        <v>11.611111111111111</v>
      </c>
      <c r="E42" s="35">
        <f t="array" ref="E42">MAX(IF('BA History'!B:B=A42, 'BA History'!C:C))</f>
        <v>33</v>
      </c>
      <c r="F42" s="34">
        <f>COUNTIFS('BA History'!B:B,A42,'BA History'!D:D, 1)</f>
        <v>10</v>
      </c>
      <c r="G42" s="2">
        <f>COUNTIFS('BA History'!B:B,A42,'BA History'!D:D, 0)</f>
        <v>8</v>
      </c>
      <c r="H42" s="75">
        <f>LOOKUP(2, 1/('BA History'!$B:$B=A42), 'BA History'!$AJ:$AJ)</f>
        <v>0.55555555555555558</v>
      </c>
      <c r="I42" s="34">
        <f>SUMIFS('BA History'!F:F,'BA History'!B:B,A42)</f>
        <v>38</v>
      </c>
      <c r="J42" s="2">
        <f>SUMIFS('BA History'!E:E,'BA History'!B:B,A42)-I42</f>
        <v>32</v>
      </c>
      <c r="K42" s="75">
        <f>LOOKUP(2, 1/('BA History'!$B:$B=A42), 'BA History'!$AH:$AH)</f>
        <v>0.56666666666666665</v>
      </c>
      <c r="L42" s="34">
        <f>SUMIFS('BA History'!H:H,'BA History'!B:B,A42)</f>
        <v>146</v>
      </c>
      <c r="M42" s="2">
        <f>SUMIFS('BA History'!G:G,'BA History'!B:B,A42)-L42</f>
        <v>139</v>
      </c>
      <c r="N42" s="89">
        <f>LOOKUP(2, 1/('BA History'!$B:$B=A42), 'BA History'!$AI:$AI)</f>
        <v>0.52888888888888874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4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6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577</v>
      </c>
      <c r="D43" s="66">
        <f>AVERAGEIFS('BA History'!C:C,'BA History'!B:B,A43)</f>
        <v>20.607142857142858</v>
      </c>
      <c r="E43" s="35">
        <f t="array" ref="E43">MAX(IF('BA History'!B:B=A43, 'BA History'!C:C))</f>
        <v>32</v>
      </c>
      <c r="F43" s="34">
        <f>COUNTIFS('BA History'!B:B,A43,'BA History'!D:D, 1)</f>
        <v>14</v>
      </c>
      <c r="G43" s="2">
        <f>COUNTIFS('BA History'!B:B,A43,'BA History'!D:D, 0)</f>
        <v>14</v>
      </c>
      <c r="H43" s="75">
        <f>LOOKUP(2, 1/('BA History'!$B:$B=A43), 'BA History'!$AJ:$AJ)</f>
        <v>0.5</v>
      </c>
      <c r="I43" s="34">
        <f>SUMIFS('BA History'!F:F,'BA History'!B:B,A43)</f>
        <v>57</v>
      </c>
      <c r="J43" s="2">
        <f>SUMIFS('BA History'!E:E,'BA History'!B:B,A43)-I43</f>
        <v>55</v>
      </c>
      <c r="K43" s="75">
        <f>LOOKUP(2, 1/('BA History'!$B:$B=A43), 'BA History'!$AH:$AH)</f>
        <v>0.51321428571428573</v>
      </c>
      <c r="L43" s="34">
        <f>SUMIFS('BA History'!H:H,'BA History'!B:B,A43)</f>
        <v>231</v>
      </c>
      <c r="M43" s="2">
        <f>SUMIFS('BA History'!G:G,'BA History'!B:B,A43)-L43</f>
        <v>236</v>
      </c>
      <c r="N43" s="89">
        <f>LOOKUP(2, 1/('BA History'!$B:$B=A43), 'BA History'!$AI:$AI)</f>
        <v>0.48892857142857155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7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7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1063</v>
      </c>
      <c r="D47" s="66">
        <f>AVERAGEIFS('BA History'!C:C,'BA History'!B:B,A47)</f>
        <v>22.145833333333332</v>
      </c>
      <c r="E47" s="35">
        <f t="array" ref="E47">MAX(IF('BA History'!B:B=A47, 'BA History'!C:C))</f>
        <v>37</v>
      </c>
      <c r="F47" s="34">
        <f>COUNTIFS('BA History'!B:B,A47,'BA History'!D:D, 1)</f>
        <v>31</v>
      </c>
      <c r="G47" s="2">
        <f>COUNTIFS('BA History'!B:B,A47,'BA History'!D:D, 0)</f>
        <v>17</v>
      </c>
      <c r="H47" s="75">
        <f>LOOKUP(2, 1/('BA History'!$B:$B=A47), 'BA History'!$AJ:$AJ)</f>
        <v>0.64583333333333337</v>
      </c>
      <c r="I47" s="34">
        <f>SUMIFS('BA History'!F:F,'BA History'!B:B,A47)</f>
        <v>108</v>
      </c>
      <c r="J47" s="2">
        <f>SUMIFS('BA History'!E:E,'BA History'!B:B,A47)-I47</f>
        <v>85</v>
      </c>
      <c r="K47" s="75">
        <f>LOOKUP(2, 1/('BA History'!$B:$B=A47), 'BA History'!$AH:$AH)</f>
        <v>0.5558333333333334</v>
      </c>
      <c r="L47" s="34">
        <f>SUMIFS('BA History'!H:H,'BA History'!B:B,A47)</f>
        <v>430</v>
      </c>
      <c r="M47" s="2">
        <f>SUMIFS('BA History'!G:G,'BA History'!B:B,A47)-L47</f>
        <v>375</v>
      </c>
      <c r="N47" s="89">
        <f>LOOKUP(2, 1/('BA History'!$B:$B=A47), 'BA History'!$AI:$AI)</f>
        <v>0.53374999999999995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10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4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372</v>
      </c>
      <c r="D49" s="66">
        <f>AVERAGEIFS('BA History'!C:C,'BA History'!B:B,A49)</f>
        <v>16.173913043478262</v>
      </c>
      <c r="E49" s="35">
        <f t="array" ref="E49">MAX(IF('BA History'!B:B=A49, 'BA History'!C:C))</f>
        <v>28</v>
      </c>
      <c r="F49" s="34">
        <f>COUNTIFS('BA History'!B:B,A49,'BA History'!D:D, 1)</f>
        <v>12</v>
      </c>
      <c r="G49" s="2">
        <f>COUNTIFS('BA History'!B:B,A49,'BA History'!D:D, 0)</f>
        <v>11</v>
      </c>
      <c r="H49" s="75">
        <f>LOOKUP(2, 1/('BA History'!$B:$B=A49), 'BA History'!$AJ:$AJ)</f>
        <v>0.52173913043478259</v>
      </c>
      <c r="I49" s="34">
        <f>SUMIFS('BA History'!F:F,'BA History'!B:B,A49)</f>
        <v>48</v>
      </c>
      <c r="J49" s="2">
        <f>SUMIFS('BA History'!E:E,'BA History'!B:B,A49)-I49</f>
        <v>41</v>
      </c>
      <c r="K49" s="75">
        <f>LOOKUP(2, 1/('BA History'!$B:$B=A49), 'BA History'!$AH:$AH)</f>
        <v>0.55217391304347829</v>
      </c>
      <c r="L49" s="34">
        <f>SUMIFS('BA History'!H:H,'BA History'!B:B,A49)</f>
        <v>182</v>
      </c>
      <c r="M49" s="2">
        <f>SUMIFS('BA History'!G:G,'BA History'!B:B,A49)-L49</f>
        <v>174</v>
      </c>
      <c r="N49" s="89">
        <f>LOOKUP(2, 1/('BA History'!$B:$B=A49), 'BA History'!$AI:$AI)</f>
        <v>0.50695652173913053</v>
      </c>
      <c r="O49" s="2">
        <f>COUNTIFS('BA History'!$B:$B,$A$49,'BA History'!K:K, 1)</f>
        <v>2</v>
      </c>
      <c r="P49" s="2">
        <f>COUNTIFS('BA History'!$B:$B,$A$49,'BA History'!L:L, 1)</f>
        <v>2</v>
      </c>
      <c r="Q49" s="2">
        <f>COUNTIFS('BA History'!$B:$B,$A$49,'BA History'!M:M, 1)</f>
        <v>9</v>
      </c>
      <c r="R49" s="2">
        <f>COUNTIFS('BA History'!$B:$B,$A$49,'BA History'!N:N, 1)</f>
        <v>5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3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5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563</v>
      </c>
      <c r="D52" s="66">
        <f>AVERAGEIFS('BA History'!C:C,'BA History'!B:B,A52)</f>
        <v>23.458333333333332</v>
      </c>
      <c r="E52" s="35">
        <f t="array" ref="E52">MAX(IF('BA History'!B:B=A52, 'BA History'!C:C))</f>
        <v>41</v>
      </c>
      <c r="F52" s="34">
        <f>COUNTIFS('BA History'!B:B,A52,'BA History'!D:D, 1)</f>
        <v>6</v>
      </c>
      <c r="G52" s="2">
        <f>COUNTIFS('BA History'!B:B,A52,'BA History'!D:D, 0)</f>
        <v>18</v>
      </c>
      <c r="H52" s="75">
        <f>LOOKUP(2, 1/('BA History'!$B:$B=A52), 'BA History'!$AJ:$AJ)</f>
        <v>0.25</v>
      </c>
      <c r="I52" s="34">
        <f>SUMIFS('BA History'!F:F,'BA History'!B:B,A52)</f>
        <v>39</v>
      </c>
      <c r="J52" s="2">
        <f>SUMIFS('BA History'!E:E,'BA History'!B:B,A52)-I52</f>
        <v>58</v>
      </c>
      <c r="K52" s="75">
        <f>LOOKUP(2, 1/('BA History'!$B:$B=A52), 'BA History'!$AH:$AH)</f>
        <v>0.40625</v>
      </c>
      <c r="L52" s="34">
        <f>SUMIFS('BA History'!H:H,'BA History'!B:B,A52)</f>
        <v>177</v>
      </c>
      <c r="M52" s="2">
        <f>SUMIFS('BA History'!G:G,'BA History'!B:B,A52)-L52</f>
        <v>218</v>
      </c>
      <c r="N52" s="89">
        <f>LOOKUP(2, 1/('BA History'!$B:$B=A52), 'BA History'!$AI:$AI)</f>
        <v>0.44416666666666665</v>
      </c>
      <c r="O52" s="2">
        <f>COUNTIFS('BA History'!$B:$B,$A$52,'BA History'!K:K, 1)</f>
        <v>1</v>
      </c>
      <c r="P52" s="2">
        <f>COUNTIFS('BA History'!$B:$B,$A$52,'BA History'!L:L, 1)</f>
        <v>5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3</v>
      </c>
      <c r="AG52" s="2">
        <f>COUNTIFS('BA History'!$B:$B,$A$52,'BA History'!AC:AC, 1)</f>
        <v>4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485</v>
      </c>
      <c r="D53" s="66">
        <f>AVERAGEIFS('BA History'!C:C,'BA History'!B:B,A53)</f>
        <v>16.724137931034484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12</v>
      </c>
      <c r="H53" s="75">
        <f>LOOKUP(2, 1/('BA History'!$B:$B=A53), 'BA History'!$AJ:$AJ)</f>
        <v>0.58620689655172409</v>
      </c>
      <c r="I53" s="34">
        <f>SUMIFS('BA History'!F:F,'BA History'!B:B,A53)</f>
        <v>64</v>
      </c>
      <c r="J53" s="2">
        <f>SUMIFS('BA History'!E:E,'BA History'!B:B,A53)-I53</f>
        <v>54</v>
      </c>
      <c r="K53" s="75">
        <f>LOOKUP(2, 1/('BA History'!$B:$B=A53), 'BA History'!$AH:$AH)</f>
        <v>0.54310344827586199</v>
      </c>
      <c r="L53" s="34">
        <f>SUMIFS('BA History'!H:H,'BA History'!B:B,A53)</f>
        <v>263</v>
      </c>
      <c r="M53" s="2">
        <f>SUMIFS('BA History'!G:G,'BA History'!B:B,A53)-L53</f>
        <v>229</v>
      </c>
      <c r="N53" s="89">
        <f>LOOKUP(2, 1/('BA History'!$B:$B=A53), 'BA History'!$AI:$AI)</f>
        <v>0.53517241379310354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38"/>
  <sheetViews>
    <sheetView workbookViewId="0">
      <pane xSplit="2" ySplit="1" topLeftCell="C688" activePane="bottomRight" state="frozen"/>
      <selection pane="topRight" activeCell="C1" sqref="C1"/>
      <selection pane="bottomLeft" activeCell="A2" sqref="A2"/>
      <selection pane="bottomRight" activeCell="E737" sqref="E73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160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</sheetData>
  <autoFilter ref="A1:AJ689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7" sqref="E37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17</v>
      </c>
      <c r="D4" s="66">
        <f>AVERAGEIFS('BA History S2'!C:C,'BA History S2'!B:B,A4)</f>
        <v>8.5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2</v>
      </c>
      <c r="H4" s="75">
        <f>LOOKUP(2, 1/('BA History S2'!$B:$B=A4), 'BA History S2'!$AJ:$AJ)</f>
        <v>0</v>
      </c>
      <c r="I4" s="34">
        <f>SUMIFS('BA History S2'!F:F,'BA History S2'!B:B,A4)</f>
        <v>2</v>
      </c>
      <c r="J4" s="2">
        <f>SUMIFS('BA History S2'!E:E,'BA History S2'!B:B,A4)-I4</f>
        <v>6</v>
      </c>
      <c r="K4" s="75">
        <f>LOOKUP(2, 1/('BA History S2'!$B:$B=A4), 'BA History S2'!$AH:$AH)</f>
        <v>0.25</v>
      </c>
      <c r="L4" s="34">
        <f>SUMIFS('BA History S2'!H:H,'BA History S2'!B:B,A4)</f>
        <v>15</v>
      </c>
      <c r="M4" s="2">
        <f>SUMIFS('BA History S2'!G:G,'BA History S2'!B:B,A4)-L4</f>
        <v>21</v>
      </c>
      <c r="N4" s="89">
        <f>LOOKUP(2, 1/('BA History S2'!$B:$B=A4), 'BA History S2'!$AI:$AI)</f>
        <v>0.41500000000000004</v>
      </c>
      <c r="O4" s="2">
        <f>COUNTIFS('BA History S2'!$B:$B,$A$4,'BA History S2'!K:K, 1)</f>
        <v>0</v>
      </c>
      <c r="P4" s="2">
        <f>COUNTIFS('BA History S2'!$B:$B,$A$4,'BA History S2'!L:L, 1)</f>
        <v>0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0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0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25</v>
      </c>
      <c r="D6" s="66">
        <f>AVERAGEIFS('BA History S2'!C:C,'BA History S2'!B:B,A6)</f>
        <v>25</v>
      </c>
      <c r="E6" s="35">
        <f t="array" ref="E6">MAX(IF('BA History S2'!B:B=A6, 'BA History S2'!C:C))</f>
        <v>25</v>
      </c>
      <c r="F6" s="34">
        <f>COUNTIFS('BA History S2'!B:B,A6,'BA History S2'!D:D, 1)</f>
        <v>0</v>
      </c>
      <c r="G6" s="2">
        <f>COUNTIFS('BA History S2'!B:B,A6,'BA History S2'!D:D, 0)</f>
        <v>1</v>
      </c>
      <c r="H6" s="75">
        <f>LOOKUP(2, 1/('BA History S2'!$B:$B=A6), 'BA History S2'!$AJ:$AJ)</f>
        <v>0</v>
      </c>
      <c r="I6" s="34">
        <f>SUMIFS('BA History S2'!F:F,'BA History S2'!B:B,A6)</f>
        <v>1</v>
      </c>
      <c r="J6" s="2">
        <f>SUMIFS('BA History S2'!E:E,'BA History S2'!B:B,A6)-I6</f>
        <v>3</v>
      </c>
      <c r="K6" s="75">
        <f>LOOKUP(2, 1/('BA History S2'!$B:$B=A6), 'BA History S2'!$AH:$AH)</f>
        <v>0.25</v>
      </c>
      <c r="L6" s="34">
        <f>SUMIFS('BA History S2'!H:H,'BA History S2'!B:B,A6)</f>
        <v>8</v>
      </c>
      <c r="M6" s="2">
        <f>SUMIFS('BA History S2'!G:G,'BA History S2'!B:B,A6)-L6</f>
        <v>10</v>
      </c>
      <c r="N6" s="89">
        <f>LOOKUP(2, 1/('BA History S2'!$B:$B=A6), 'BA History S2'!$AI:$AI)</f>
        <v>0.44</v>
      </c>
      <c r="O6" s="2">
        <f>COUNTIFS('BA History S2'!$B:$B,$A$6,'BA History S2'!K:K, 1)</f>
        <v>0</v>
      </c>
      <c r="P6" s="2">
        <f>COUNTIFS('BA History S2'!$B:$B,$A$6,'BA History S2'!L:L, 1)</f>
        <v>0</v>
      </c>
      <c r="Q6" s="2">
        <f>COUNTIFS('BA History S2'!$B:$B,$A$6,'BA History S2'!M:M, 1)</f>
        <v>0</v>
      </c>
      <c r="R6" s="2">
        <f>COUNTIFS('BA History S2'!$B:$B,$A$6,'BA History S2'!N:N, 1)</f>
        <v>0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0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1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50</v>
      </c>
      <c r="B7" s="2" t="s">
        <v>79</v>
      </c>
      <c r="C7" s="34">
        <f>SUMIFS('BA History S2'!C:C,'BA History S2'!B:B,A7)</f>
        <v>14</v>
      </c>
      <c r="D7" s="66">
        <f>AVERAGEIFS('BA History S2'!C:C,'BA History S2'!B:B,A7)</f>
        <v>14</v>
      </c>
      <c r="E7" s="35">
        <f t="array" ref="E7">MAX(IF('BA History S2'!B:B=A7, 'BA History S2'!C:C))</f>
        <v>14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3</v>
      </c>
      <c r="K7" s="75">
        <f>LOOKUP(2, 1/('BA History S2'!$B:$B=A7), 'BA History S2'!$AH:$AH)</f>
        <v>0.25</v>
      </c>
      <c r="L7" s="34">
        <f>SUMIFS('BA History S2'!H:H,'BA History S2'!B:B,A7)</f>
        <v>7</v>
      </c>
      <c r="M7" s="2">
        <f>SUMIFS('BA History S2'!G:G,'BA History S2'!B:B,A7)-L7</f>
        <v>11</v>
      </c>
      <c r="N7" s="89">
        <f>LOOKUP(2, 1/('BA History S2'!$B:$B=A7), 'BA History S2'!$AI:$AI)</f>
        <v>0.39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1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44</v>
      </c>
      <c r="B8" s="2" t="s">
        <v>79</v>
      </c>
      <c r="C8" s="34">
        <f>SUMIFS('BA History S2'!C:C,'BA History S2'!B:B,A8)</f>
        <v>38</v>
      </c>
      <c r="D8" s="66">
        <f>AVERAGEIFS('BA History S2'!C:C,'BA History S2'!B:B,A8)</f>
        <v>19</v>
      </c>
      <c r="E8" s="35">
        <f t="array" ref="E8">MAX(IF('BA History S2'!B:B=A8, 'BA History S2'!C:C))</f>
        <v>20</v>
      </c>
      <c r="F8" s="34">
        <f>COUNTIFS('BA History S2'!B:B,A8,'BA History S2'!D:D, 1)</f>
        <v>1</v>
      </c>
      <c r="G8" s="2">
        <f>COUNTIFS('BA History S2'!B:B,A8,'BA History S2'!D:D, 0)</f>
        <v>1</v>
      </c>
      <c r="H8" s="75">
        <f>LOOKUP(2, 1/('BA History S2'!$B:$B=A8), 'BA History S2'!$AJ:$AJ)</f>
        <v>0.5</v>
      </c>
      <c r="I8" s="34">
        <f>SUMIFS('BA History S2'!F:F,'BA History S2'!B:B,A8)</f>
        <v>4</v>
      </c>
      <c r="J8" s="2">
        <f>SUMIFS('BA History S2'!E:E,'BA History S2'!B:B,A8)-I8</f>
        <v>4</v>
      </c>
      <c r="K8" s="75">
        <f>LOOKUP(2, 1/('BA History S2'!$B:$B=A8), 'BA History S2'!$AH:$AH)</f>
        <v>0.5</v>
      </c>
      <c r="L8" s="34">
        <f>SUMIFS('BA History S2'!H:H,'BA History S2'!B:B,A8)</f>
        <v>17</v>
      </c>
      <c r="M8" s="2">
        <f>SUMIFS('BA History S2'!G:G,'BA History S2'!B:B,A8)-L8</f>
        <v>19</v>
      </c>
      <c r="N8" s="89">
        <f>LOOKUP(2, 1/('BA History S2'!$B:$B=A8), 'BA History S2'!$AI:$AI)</f>
        <v>0.47500000000000003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0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1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1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ht="15.75" x14ac:dyDescent="0.25">
      <c r="A9" s="2" t="s">
        <v>1</v>
      </c>
      <c r="B9" s="80" t="s">
        <v>60</v>
      </c>
      <c r="C9" s="34">
        <f>SUMIFS('BA History S2'!C:C,'BA History S2'!B:B,A9)</f>
        <v>46</v>
      </c>
      <c r="D9" s="66">
        <f>AVERAGEIFS('BA History S2'!C:C,'BA History S2'!B:B,A9)</f>
        <v>23</v>
      </c>
      <c r="E9" s="35">
        <f t="array" ref="E9">MAX(IF('BA History S2'!B:B=A9, 'BA History S2'!C:C))</f>
        <v>24</v>
      </c>
      <c r="F9" s="34">
        <f>COUNTIFS('BA History S2'!B:B,A9,'BA History S2'!D:D, 1)</f>
        <v>0</v>
      </c>
      <c r="G9" s="2">
        <f>COUNTIFS('BA History S2'!B:B,A9,'BA History S2'!D:D, 0)</f>
        <v>2</v>
      </c>
      <c r="H9" s="75">
        <f>LOOKUP(2, 1/('BA History S2'!$B:$B=A9), 'BA History S2'!$AJ:$AJ)</f>
        <v>0</v>
      </c>
      <c r="I9" s="34">
        <f>SUMIFS('BA History S2'!F:F,'BA History S2'!B:B,A9)</f>
        <v>1</v>
      </c>
      <c r="J9" s="2">
        <f>SUMIFS('BA History S2'!E:E,'BA History S2'!B:B,A9)-I9</f>
        <v>6</v>
      </c>
      <c r="K9" s="75">
        <f>LOOKUP(2, 1/('BA History S2'!$B:$B=A9), 'BA History S2'!$AH:$AH)</f>
        <v>0.125</v>
      </c>
      <c r="L9" s="34">
        <f>SUMIFS('BA History S2'!H:H,'BA History S2'!B:B,A9)</f>
        <v>11</v>
      </c>
      <c r="M9" s="2">
        <f>SUMIFS('BA History S2'!G:G,'BA History S2'!B:B,A9)-L9</f>
        <v>20</v>
      </c>
      <c r="N9" s="89">
        <f>LOOKUP(2, 1/('BA History S2'!$B:$B=A9), 'BA History S2'!$AI:$AI)</f>
        <v>0.35</v>
      </c>
      <c r="O9" s="2">
        <f>COUNTIFS('BA History S2'!$B:$B,$A$9,'BA History S2'!K:K, 1)</f>
        <v>0</v>
      </c>
      <c r="P9" s="2">
        <f>COUNTIFS('BA History S2'!$B:$B,$A$9,'BA History S2'!L:L, 1)</f>
        <v>0</v>
      </c>
      <c r="Q9" s="2">
        <f>COUNTIFS('BA History S2'!$B:$B,$A$9,'BA History S2'!M:M, 1)</f>
        <v>0</v>
      </c>
      <c r="R9" s="2">
        <f>COUNTIFS('BA History S2'!$B:$B,$A$9,'BA History S2'!N:N, 1)</f>
        <v>0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0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ht="15.75" x14ac:dyDescent="0.25">
      <c r="A10" s="2" t="s">
        <v>151</v>
      </c>
      <c r="B10" s="95" t="s">
        <v>79</v>
      </c>
      <c r="C10" s="34">
        <f>SUMIFS('BA History S2'!C:C,'BA History S2'!B:B,A10)</f>
        <v>21</v>
      </c>
      <c r="D10" s="66">
        <f>AVERAGEIFS('BA History S2'!C:C,'BA History S2'!B:B,A10)</f>
        <v>21</v>
      </c>
      <c r="E10" s="35">
        <f t="array" ref="E10">MAX(IF('BA History S2'!B:B=A10, 'BA History S2'!C:C))</f>
        <v>21</v>
      </c>
      <c r="F10" s="34">
        <f>COUNTIFS('BA History S2'!B:B,A10,'BA History S2'!D:D, 1)</f>
        <v>1</v>
      </c>
      <c r="G10" s="2">
        <f>COUNTIFS('BA History S2'!B:B,A10,'BA History S2'!D:D, 0)</f>
        <v>0</v>
      </c>
      <c r="H10" s="75">
        <f>LOOKUP(2, 1/('BA History S2'!$B:$B=A10), 'BA History S2'!$AJ:$AJ)</f>
        <v>1</v>
      </c>
      <c r="I10" s="34">
        <f>SUMIFS('BA History S2'!F:F,'BA History S2'!B:B,A10)</f>
        <v>3</v>
      </c>
      <c r="J10" s="2">
        <f>SUMIFS('BA History S2'!E:E,'BA History S2'!B:B,A10)-I10</f>
        <v>1</v>
      </c>
      <c r="K10" s="75">
        <f>LOOKUP(2, 1/('BA History S2'!$B:$B=A10), 'BA History S2'!$AH:$AH)</f>
        <v>0.75</v>
      </c>
      <c r="L10" s="34">
        <f>SUMIFS('BA History S2'!H:H,'BA History S2'!B:B,A10)</f>
        <v>11</v>
      </c>
      <c r="M10" s="2">
        <f>SUMIFS('BA History S2'!G:G,'BA History S2'!B:B,A10)-L10</f>
        <v>7</v>
      </c>
      <c r="N10" s="89">
        <f>LOOKUP(2, 1/('BA History S2'!$B:$B=A10), 'BA History S2'!$AI:$AI)</f>
        <v>0.61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1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1</v>
      </c>
      <c r="AG10" s="2">
        <f>COUNTIFS('BA History S2'!$B:$B,$A$10,'BA History S2'!AC:AC, 1)</f>
        <v>0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46</v>
      </c>
      <c r="B11" s="80" t="s">
        <v>60</v>
      </c>
      <c r="C11" s="34">
        <f>SUMIFS('BA History S2'!C:C,'BA History S2'!B:B,A11)</f>
        <v>12</v>
      </c>
      <c r="D11" s="66">
        <f>AVERAGEIFS('BA History S2'!C:C,'BA History S2'!B:B,A11)</f>
        <v>6</v>
      </c>
      <c r="E11" s="35">
        <f t="array" ref="E11">MAX(IF('BA History S2'!B:B=A11, 'BA History S2'!C:C))</f>
        <v>7</v>
      </c>
      <c r="F11" s="34">
        <f>COUNTIFS('BA History S2'!B:B,A11,'BA History S2'!D:D, 1)</f>
        <v>0</v>
      </c>
      <c r="G11" s="2">
        <f>COUNTIFS('BA History S2'!B:B,A11,'BA History S2'!D:D, 0)</f>
        <v>2</v>
      </c>
      <c r="H11" s="75">
        <f>LOOKUP(2, 1/('BA History S2'!$B:$B=A11), 'BA History S2'!$AJ:$AJ)</f>
        <v>0</v>
      </c>
      <c r="I11" s="34">
        <f>SUMIFS('BA History S2'!F:F,'BA History S2'!B:B,A11)</f>
        <v>1</v>
      </c>
      <c r="J11" s="2">
        <f>SUMIFS('BA History S2'!E:E,'BA History S2'!B:B,A11)-I11</f>
        <v>6</v>
      </c>
      <c r="K11" s="75">
        <f>LOOKUP(2, 1/('BA History S2'!$B:$B=A11), 'BA History S2'!$AH:$AH)</f>
        <v>0.125</v>
      </c>
      <c r="L11" s="34">
        <f>SUMIFS('BA History S2'!H:H,'BA History S2'!B:B,A11)</f>
        <v>11</v>
      </c>
      <c r="M11" s="2">
        <f>SUMIFS('BA History S2'!G:G,'BA History S2'!B:B,A11)-L11</f>
        <v>20</v>
      </c>
      <c r="N11" s="89">
        <f>LOOKUP(2, 1/('BA History S2'!$B:$B=A11), 'BA History S2'!$AI:$AI)</f>
        <v>0.35</v>
      </c>
      <c r="O11" s="2">
        <f>COUNTIFS('BA History S2'!$B:$B,$A$11,'BA History S2'!K:K, 1)</f>
        <v>0</v>
      </c>
      <c r="P11" s="2">
        <f>COUNTIFS('BA History S2'!$B:$B,$A$11,'BA History S2'!L:L, 1)</f>
        <v>0</v>
      </c>
      <c r="Q11" s="2">
        <f>COUNTIFS('BA History S2'!$B:$B,$A$11,'BA History S2'!M:M, 1)</f>
        <v>0</v>
      </c>
      <c r="R11" s="2">
        <f>COUNTIFS('BA History S2'!$B:$B,$A$11,'BA History S2'!N:N, 1)</f>
        <v>0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0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0</v>
      </c>
      <c r="AE11" s="2">
        <f>COUNTIFS('BA History S2'!$B:$B,$A$11,'BA History S2'!AA:AA, 1)</f>
        <v>0</v>
      </c>
      <c r="AF11" s="2">
        <f>COUNTIFS('BA History S2'!$B:$B,$A$11,'BA History S2'!AB:AB, 1)</f>
        <v>0</v>
      </c>
      <c r="AG11" s="2">
        <f>COUNTIFS('BA History S2'!$B:$B,$A$11,'BA History S2'!AC:AC, 1)</f>
        <v>0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53</v>
      </c>
      <c r="B12" s="2" t="s">
        <v>79</v>
      </c>
      <c r="C12" s="34">
        <f>SUMIFS('BA History S2'!C:C,'BA History S2'!B:B,A12)</f>
        <v>11</v>
      </c>
      <c r="D12" s="66">
        <f>AVERAGEIFS('BA History S2'!C:C,'BA History S2'!B:B,A12)</f>
        <v>11</v>
      </c>
      <c r="E12" s="35">
        <f t="array" ref="E12">MAX(IF('BA History S2'!B:B=A12, 'BA History S2'!C:C))</f>
        <v>11</v>
      </c>
      <c r="F12" s="34">
        <f>COUNTIFS('BA History S2'!B:B,A12,'BA History S2'!D:D, 1)</f>
        <v>1</v>
      </c>
      <c r="G12" s="2">
        <f>COUNTIFS('BA History S2'!B:B,A12,'BA History S2'!D:D, 0)</f>
        <v>0</v>
      </c>
      <c r="H12" s="75">
        <f>LOOKUP(2, 1/('BA History S2'!$B:$B=A12), 'BA History S2'!$AJ:$AJ)</f>
        <v>1</v>
      </c>
      <c r="I12" s="34">
        <f>SUMIFS('BA History S2'!F:F,'BA History S2'!B:B,A12)</f>
        <v>3</v>
      </c>
      <c r="J12" s="2">
        <f>SUMIFS('BA History S2'!E:E,'BA History S2'!B:B,A12)-I12</f>
        <v>0</v>
      </c>
      <c r="K12" s="75">
        <f>LOOKUP(2, 1/('BA History S2'!$B:$B=A12), 'BA History S2'!$AH:$AH)</f>
        <v>1</v>
      </c>
      <c r="L12" s="34">
        <f>SUMIFS('BA History S2'!H:H,'BA History S2'!B:B,A12)</f>
        <v>9</v>
      </c>
      <c r="M12" s="2">
        <f>SUMIFS('BA History S2'!G:G,'BA History S2'!B:B,A12)-L12</f>
        <v>4</v>
      </c>
      <c r="N12" s="89">
        <f>LOOKUP(2, 1/('BA History S2'!$B:$B=A12), 'BA History S2'!$AI:$AI)</f>
        <v>0.69</v>
      </c>
      <c r="O12" s="2">
        <f>COUNTIFS('BA History S2'!$B:$B,$A$12,'BA History S2'!K:K, 1)</f>
        <v>0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0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1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13</v>
      </c>
      <c r="B13" s="2" t="s">
        <v>79</v>
      </c>
      <c r="C13" s="34">
        <f>SUMIFS('BA History S2'!C:C,'BA History S2'!B:B,A13)</f>
        <v>34</v>
      </c>
      <c r="D13" s="66">
        <f>AVERAGEIFS('BA History S2'!C:C,'BA History S2'!B:B,A13)</f>
        <v>17</v>
      </c>
      <c r="E13" s="35">
        <f t="array" ref="E13">MAX(IF('BA History S2'!B:B=A13, 'BA History S2'!C:C))</f>
        <v>20</v>
      </c>
      <c r="F13" s="34">
        <f>COUNTIFS('BA History S2'!B:B,A13,'BA History S2'!D:D, 1)</f>
        <v>1</v>
      </c>
      <c r="G13" s="2">
        <f>COUNTIFS('BA History S2'!B:B,A13,'BA History S2'!D:D, 0)</f>
        <v>1</v>
      </c>
      <c r="H13" s="75">
        <f>LOOKUP(2, 1/('BA History S2'!$B:$B=A13), 'BA History S2'!$AJ:$AJ)</f>
        <v>0.5</v>
      </c>
      <c r="I13" s="34">
        <f>SUMIFS('BA History S2'!F:F,'BA History S2'!B:B,A13)</f>
        <v>4</v>
      </c>
      <c r="J13" s="2">
        <f>SUMIFS('BA History S2'!E:E,'BA History S2'!B:B,A13)-I13</f>
        <v>3</v>
      </c>
      <c r="K13" s="75">
        <f>LOOKUP(2, 1/('BA History S2'!$B:$B=A13), 'BA History S2'!$AH:$AH)</f>
        <v>0.625</v>
      </c>
      <c r="L13" s="34">
        <f>SUMIFS('BA History S2'!H:H,'BA History S2'!B:B,A13)</f>
        <v>16</v>
      </c>
      <c r="M13" s="2">
        <f>SUMIFS('BA History S2'!G:G,'BA History S2'!B:B,A13)-L13</f>
        <v>15</v>
      </c>
      <c r="N13" s="89">
        <f>LOOKUP(2, 1/('BA History S2'!$B:$B=A13), 'BA History S2'!$AI:$AI)</f>
        <v>0.54</v>
      </c>
      <c r="O13" s="2">
        <f>COUNTIFS('BA History S2'!$B:$B,$A$13,'BA History S2'!K:K, 1)</f>
        <v>0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1</v>
      </c>
    </row>
    <row r="14" spans="1:36" ht="15.75" x14ac:dyDescent="0.25">
      <c r="A14" s="2" t="s">
        <v>2</v>
      </c>
      <c r="B14" s="80" t="s">
        <v>60</v>
      </c>
      <c r="C14" s="34">
        <f>SUMIFS('BA History S2'!C:C,'BA History S2'!B:B,A14)</f>
        <v>33</v>
      </c>
      <c r="D14" s="66">
        <f>AVERAGEIFS('BA History S2'!C:C,'BA History S2'!B:B,A14)</f>
        <v>33</v>
      </c>
      <c r="E14" s="35">
        <f t="array" ref="E14">MAX(IF('BA History S2'!B:B=A14, 'BA History S2'!C:C))</f>
        <v>33</v>
      </c>
      <c r="F14" s="34">
        <f>COUNTIFS('BA History S2'!B:B,A14,'BA History S2'!D:D, 1)</f>
        <v>0</v>
      </c>
      <c r="G14" s="2">
        <f>COUNTIFS('BA History S2'!B:B,A14,'BA History S2'!D:D, 0)</f>
        <v>1</v>
      </c>
      <c r="H14" s="75">
        <f>LOOKUP(2, 1/('BA History S2'!$B:$B=A14), 'BA History S2'!$AJ:$AJ)</f>
        <v>0</v>
      </c>
      <c r="I14" s="34">
        <f>SUMIFS('BA History S2'!F:F,'BA History S2'!B:B,A14)</f>
        <v>1</v>
      </c>
      <c r="J14" s="2">
        <f>SUMIFS('BA History S2'!E:E,'BA History S2'!B:B,A14)-I14</f>
        <v>3</v>
      </c>
      <c r="K14" s="75">
        <f>LOOKUP(2, 1/('BA History S2'!$B:$B=A14), 'BA History S2'!$AH:$AH)</f>
        <v>0.25</v>
      </c>
      <c r="L14" s="34">
        <f>SUMIFS('BA History S2'!H:H,'BA History S2'!B:B,A14)</f>
        <v>8</v>
      </c>
      <c r="M14" s="2">
        <f>SUMIFS('BA History S2'!G:G,'BA History S2'!B:B,A14)-L14</f>
        <v>10</v>
      </c>
      <c r="N14" s="89">
        <f>LOOKUP(2, 1/('BA History S2'!$B:$B=A14), 'BA History S2'!$AI:$AI)</f>
        <v>0.44</v>
      </c>
      <c r="O14" s="2">
        <f>COUNTIFS('BA History S2'!$B:$B,$A$14,'BA History S2'!K:K, 1)</f>
        <v>0</v>
      </c>
      <c r="P14" s="2">
        <f>COUNTIFS('BA History S2'!$B:$B,$A$14,'BA History S2'!L:L, 1)</f>
        <v>0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0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0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54</v>
      </c>
      <c r="B15" s="2" t="s">
        <v>79</v>
      </c>
      <c r="C15" s="34">
        <f>SUMIFS('BA History S2'!C:C,'BA History S2'!B:B,A15)</f>
        <v>16</v>
      </c>
      <c r="D15" s="66">
        <f>AVERAGEIFS('BA History S2'!C:C,'BA History S2'!B:B,A15)</f>
        <v>16</v>
      </c>
      <c r="E15" s="35">
        <f t="array" ref="E15">MAX(IF('BA History S2'!B:B=A15, 'BA History S2'!C:C))</f>
        <v>16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0</v>
      </c>
      <c r="K15" s="75">
        <f>LOOKUP(2, 1/('BA History S2'!$B:$B=A15), 'BA History S2'!$AH:$AH)</f>
        <v>1</v>
      </c>
      <c r="L15" s="34">
        <f>SUMIFS('BA History S2'!H:H,'BA History S2'!B:B,A15)</f>
        <v>9</v>
      </c>
      <c r="M15" s="2">
        <f>SUMIFS('BA History S2'!G:G,'BA History S2'!B:B,A15)-L15</f>
        <v>4</v>
      </c>
      <c r="N15" s="89">
        <f>LOOKUP(2, 1/('BA History S2'!$B:$B=A15), 'BA History S2'!$AI:$AI)</f>
        <v>0.69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142</v>
      </c>
      <c r="B16" s="2" t="s">
        <v>79</v>
      </c>
      <c r="C16" s="34">
        <f>SUMIFS('BA History S2'!C:C,'BA History S2'!B:B,A16)</f>
        <v>1</v>
      </c>
      <c r="D16" s="66">
        <f>AVERAGEIFS('BA History S2'!C:C,'BA History S2'!B:B,A16)</f>
        <v>1</v>
      </c>
      <c r="E16" s="35">
        <f t="array" ref="E16">MAX(IF('BA History S2'!B:B=A16, 'BA History S2'!C:C))</f>
        <v>1</v>
      </c>
      <c r="F16" s="34">
        <f>COUNTIFS('BA History S2'!B:B,A16,'BA History S2'!D:D, 1)</f>
        <v>0</v>
      </c>
      <c r="G16" s="2">
        <f>COUNTIFS('BA History S2'!B:B,A16,'BA History S2'!D:D, 0)</f>
        <v>1</v>
      </c>
      <c r="H16" s="75">
        <f>LOOKUP(2, 1/('BA History S2'!$B:$B=A16), 'BA History S2'!$AJ:$AJ)</f>
        <v>0</v>
      </c>
      <c r="I16" s="34">
        <f>SUMIFS('BA History S2'!F:F,'BA History S2'!B:B,A16)</f>
        <v>0</v>
      </c>
      <c r="J16" s="2">
        <f>SUMIFS('BA History S2'!E:E,'BA History S2'!B:B,A16)-I16</f>
        <v>3</v>
      </c>
      <c r="K16" s="75">
        <f>LOOKUP(2, 1/('BA History S2'!$B:$B=A16), 'BA History S2'!$AH:$AH)</f>
        <v>0</v>
      </c>
      <c r="L16" s="34">
        <f>SUMIFS('BA History S2'!H:H,'BA History S2'!B:B,A16)</f>
        <v>4</v>
      </c>
      <c r="M16" s="2">
        <f>SUMIFS('BA History S2'!G:G,'BA History S2'!B:B,A16)-L16</f>
        <v>9</v>
      </c>
      <c r="N16" s="89">
        <f>LOOKUP(2, 1/('BA History S2'!$B:$B=A16), 'BA History S2'!$AI:$AI)</f>
        <v>0.31</v>
      </c>
      <c r="O16" s="2">
        <f>COUNTIFS('BA History S2'!$B:$B,$A$16,'BA History S2'!K:K, 1)</f>
        <v>0</v>
      </c>
      <c r="P16" s="2">
        <f>COUNTIFS('BA History S2'!$B:$B,$A$16,'BA History S2'!L:L, 1)</f>
        <v>0</v>
      </c>
      <c r="Q16" s="2">
        <f>COUNTIFS('BA History S2'!$B:$B,$A$16,'BA History S2'!M:M, 1)</f>
        <v>0</v>
      </c>
      <c r="R16" s="2">
        <f>COUNTIFS('BA History S2'!$B:$B,$A$16,'BA History S2'!N:N, 1)</f>
        <v>0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40</v>
      </c>
      <c r="B17" s="2" t="s">
        <v>79</v>
      </c>
      <c r="C17" s="34">
        <f>SUMIFS('BA History S2'!C:C,'BA History S2'!B:B,A17)</f>
        <v>42</v>
      </c>
      <c r="D17" s="66">
        <f>AVERAGEIFS('BA History S2'!C:C,'BA History S2'!B:B,A17)</f>
        <v>21</v>
      </c>
      <c r="E17" s="35">
        <f t="array" ref="E17">MAX(IF('BA History S2'!B:B=A17, 'BA History S2'!C:C))</f>
        <v>25</v>
      </c>
      <c r="F17" s="34">
        <f>COUNTIFS('BA History S2'!B:B,A17,'BA History S2'!D:D, 1)</f>
        <v>2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6</v>
      </c>
      <c r="J17" s="2">
        <f>SUMIFS('BA History S2'!E:E,'BA History S2'!B:B,A17)-I17</f>
        <v>2</v>
      </c>
      <c r="K17" s="75">
        <f>LOOKUP(2, 1/('BA History S2'!$B:$B=A17), 'BA History S2'!$AH:$AH)</f>
        <v>0.75</v>
      </c>
      <c r="L17" s="34">
        <f>SUMIFS('BA History S2'!H:H,'BA History S2'!B:B,A17)</f>
        <v>21</v>
      </c>
      <c r="M17" s="2">
        <f>SUMIFS('BA History S2'!G:G,'BA History S2'!B:B,A17)-L17</f>
        <v>15</v>
      </c>
      <c r="N17" s="89">
        <f>LOOKUP(2, 1/('BA History S2'!$B:$B=A17), 'BA History S2'!$AI:$AI)</f>
        <v>0.58499999999999996</v>
      </c>
      <c r="O17" s="2">
        <f>COUNTIFS('BA History S2'!$B:$B,$A$17,'BA History S2'!K:K, 1)</f>
        <v>0</v>
      </c>
      <c r="P17" s="2">
        <f>COUNTIFS('BA History S2'!$B:$B,$A$17,'BA History S2'!L:L, 1)</f>
        <v>0</v>
      </c>
      <c r="Q17" s="2">
        <f>COUNTIFS('BA History S2'!$B:$B,$A$17,'BA History S2'!M:M, 1)</f>
        <v>2</v>
      </c>
      <c r="R17" s="2">
        <f>COUNTIFS('BA History S2'!$B:$B,$A$17,'BA History S2'!N:N, 1)</f>
        <v>0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0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0</v>
      </c>
    </row>
    <row r="18" spans="1:36" x14ac:dyDescent="0.25">
      <c r="A18" s="2" t="s">
        <v>148</v>
      </c>
      <c r="B18" s="2" t="s">
        <v>79</v>
      </c>
      <c r="C18" s="34">
        <f>SUMIFS('BA History S2'!C:C,'BA History S2'!B:B,A18)</f>
        <v>15</v>
      </c>
      <c r="D18" s="66">
        <f>AVERAGEIFS('BA History S2'!C:C,'BA History S2'!B:B,A18)</f>
        <v>15</v>
      </c>
      <c r="E18" s="35">
        <f t="array" ref="E18">MAX(IF('BA History S2'!B:B=A18, 'BA History S2'!C:C))</f>
        <v>15</v>
      </c>
      <c r="F18" s="34">
        <f>COUNTIFS('BA History S2'!B:B,A18,'BA History S2'!D:D, 1)</f>
        <v>0</v>
      </c>
      <c r="G18" s="2">
        <f>COUNTIFS('BA History S2'!B:B,A18,'BA History S2'!D:D, 0)</f>
        <v>1</v>
      </c>
      <c r="H18" s="75">
        <f>LOOKUP(2, 1/('BA History S2'!$B:$B=A18), 'BA History S2'!$AJ:$AJ)</f>
        <v>0</v>
      </c>
      <c r="I18" s="34">
        <f>SUMIFS('BA History S2'!F:F,'BA History S2'!B:B,A18)</f>
        <v>1</v>
      </c>
      <c r="J18" s="2">
        <f>SUMIFS('BA History S2'!E:E,'BA History S2'!B:B,A18)-I18</f>
        <v>3</v>
      </c>
      <c r="K18" s="75">
        <f>LOOKUP(2, 1/('BA History S2'!$B:$B=A18), 'BA History S2'!$AH:$AH)</f>
        <v>0.25</v>
      </c>
      <c r="L18" s="34">
        <f>SUMIFS('BA History S2'!H:H,'BA History S2'!B:B,A18)</f>
        <v>8</v>
      </c>
      <c r="M18" s="2">
        <f>SUMIFS('BA History S2'!G:G,'BA History S2'!B:B,A18)-L18</f>
        <v>10</v>
      </c>
      <c r="N18" s="89">
        <f>LOOKUP(2, 1/('BA History S2'!$B:$B=A18), 'BA History S2'!$AI:$AI)</f>
        <v>0.44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0</v>
      </c>
      <c r="R18" s="2">
        <f>COUNTIFS('BA History S2'!$B:$B,$A$18,'BA History S2'!N:N, 1)</f>
        <v>0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17</v>
      </c>
      <c r="B19" s="2" t="s">
        <v>79</v>
      </c>
      <c r="C19" s="34">
        <f>SUMIFS('BA History S2'!C:C,'BA History S2'!B:B,A19)</f>
        <v>38</v>
      </c>
      <c r="D19" s="66">
        <f>AVERAGEIFS('BA History S2'!C:C,'BA History S2'!B:B,A19)</f>
        <v>19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0.58499999999999996</v>
      </c>
      <c r="O19" s="2">
        <f>COUNTIFS('BA History S2'!$B:$B,$A$19,'BA History S2'!K:K, 1)</f>
        <v>0</v>
      </c>
      <c r="P19" s="2">
        <f>COUNTIFS('BA History S2'!$B:$B,$A$19,'BA History S2'!L:L, 1)</f>
        <v>0</v>
      </c>
      <c r="Q19" s="2">
        <f>COUNTIFS('BA History S2'!$B:$B,$A$19,'BA History S2'!M:M, 1)</f>
        <v>2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1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0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ht="15.75" x14ac:dyDescent="0.25">
      <c r="A20" s="2" t="s">
        <v>6</v>
      </c>
      <c r="B20" s="80" t="s">
        <v>60</v>
      </c>
      <c r="C20" s="34">
        <f>SUMIFS('BA History S2'!C:C,'BA History S2'!B:B,A20)</f>
        <v>39</v>
      </c>
      <c r="D20" s="66">
        <f>AVERAGEIFS('BA History S2'!C:C,'BA History S2'!B:B,A20)</f>
        <v>19.5</v>
      </c>
      <c r="E20" s="35">
        <f t="array" ref="E20">MAX(IF('BA History S2'!B:B=A20, 'BA History S2'!C:C))</f>
        <v>22</v>
      </c>
      <c r="F20" s="34">
        <f>COUNTIFS('BA History S2'!B:B,A20,'BA History S2'!D:D, 1)</f>
        <v>2</v>
      </c>
      <c r="G20" s="2">
        <f>COUNTIFS('BA History S2'!B:B,A20,'BA History S2'!D:D, 0)</f>
        <v>0</v>
      </c>
      <c r="H20" s="75">
        <f>LOOKUP(2, 1/('BA History S2'!$B:$B=A20), 'BA History S2'!$AJ:$AJ)</f>
        <v>1</v>
      </c>
      <c r="I20" s="34">
        <f>SUMIFS('BA History S2'!F:F,'BA History S2'!B:B,A20)</f>
        <v>6</v>
      </c>
      <c r="J20" s="2">
        <f>SUMIFS('BA History S2'!E:E,'BA History S2'!B:B,A20)-I20</f>
        <v>2</v>
      </c>
      <c r="K20" s="75">
        <f>LOOKUP(2, 1/('BA History S2'!$B:$B=A20), 'BA History S2'!$AH:$AH)</f>
        <v>0.75</v>
      </c>
      <c r="L20" s="34">
        <f>SUMIFS('BA History S2'!H:H,'BA History S2'!B:B,A20)</f>
        <v>21</v>
      </c>
      <c r="M20" s="2">
        <f>SUMIFS('BA History S2'!G:G,'BA History S2'!B:B,A20)-L20</f>
        <v>15</v>
      </c>
      <c r="N20" s="89">
        <f>LOOKUP(2, 1/('BA History S2'!$B:$B=A20), 'BA History S2'!$AI:$AI)</f>
        <v>0.58499999999999996</v>
      </c>
      <c r="O20" s="2">
        <f>COUNTIFS('BA History S2'!$B:$B,$A$20,'BA History S2'!K:K, 1)</f>
        <v>0</v>
      </c>
      <c r="P20" s="2">
        <f>COUNTIFS('BA History S2'!$B:$B,$A$20,'BA History S2'!L:L, 1)</f>
        <v>0</v>
      </c>
      <c r="Q20" s="2">
        <f>COUNTIFS('BA History S2'!$B:$B,$A$20,'BA History S2'!M:M, 1)</f>
        <v>2</v>
      </c>
      <c r="R20" s="2">
        <f>COUNTIFS('BA History S2'!$B:$B,$A$20,'BA History S2'!N:N, 1)</f>
        <v>0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0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113</v>
      </c>
      <c r="B21" s="2" t="s">
        <v>79</v>
      </c>
      <c r="C21" s="34">
        <f>SUMIFS('BA History S2'!C:C,'BA History S2'!B:B,A21)</f>
        <v>11</v>
      </c>
      <c r="D21" s="66">
        <f>AVERAGEIFS('BA History S2'!C:C,'BA History S2'!B:B,A21)</f>
        <v>11</v>
      </c>
      <c r="E21" s="35">
        <f t="array" ref="E21">MAX(IF('BA History S2'!B:B=A21, 'BA History S2'!C:C))</f>
        <v>11</v>
      </c>
      <c r="F21" s="34">
        <f>COUNTIFS('BA History S2'!B:B,A21,'BA History S2'!D:D, 1)</f>
        <v>1</v>
      </c>
      <c r="G21" s="2">
        <f>COUNTIFS('BA History S2'!B:B,A21,'BA History S2'!D:D, 0)</f>
        <v>0</v>
      </c>
      <c r="H21" s="75">
        <f>LOOKUP(2, 1/('BA History S2'!$B:$B=A21), 'BA History S2'!$AJ:$AJ)</f>
        <v>1</v>
      </c>
      <c r="I21" s="34">
        <f>SUMIFS('BA History S2'!F:F,'BA History S2'!B:B,A21)</f>
        <v>3</v>
      </c>
      <c r="J21" s="2">
        <f>SUMIFS('BA History S2'!E:E,'BA History S2'!B:B,A21)-I21</f>
        <v>0</v>
      </c>
      <c r="K21" s="75">
        <f>LOOKUP(2, 1/('BA History S2'!$B:$B=A21), 'BA History S2'!$AH:$AH)</f>
        <v>1</v>
      </c>
      <c r="L21" s="34">
        <f>SUMIFS('BA History S2'!H:H,'BA History S2'!B:B,A21)</f>
        <v>9</v>
      </c>
      <c r="M21" s="2">
        <f>SUMIFS('BA History S2'!G:G,'BA History S2'!B:B,A21)-L21</f>
        <v>4</v>
      </c>
      <c r="N21" s="89">
        <f>LOOKUP(2, 1/('BA History S2'!$B:$B=A21), 'BA History S2'!$AI:$AI)</f>
        <v>0.69</v>
      </c>
      <c r="O21" s="2">
        <f>COUNTIFS('BA History S2'!$B:$B,$A$21,'BA History S2'!K:K, 1)</f>
        <v>0</v>
      </c>
      <c r="P21" s="2">
        <f>COUNTIFS('BA History S2'!$B:$B,$A$21,'BA History S2'!L:L, 1)</f>
        <v>1</v>
      </c>
      <c r="Q21" s="2">
        <f>COUNTIFS('BA History S2'!$B:$B,$A$21,'BA History S2'!M:M, 1)</f>
        <v>0</v>
      </c>
      <c r="R21" s="2">
        <f>COUNTIFS('BA History S2'!$B:$B,$A$21,'BA History S2'!N:N, 1)</f>
        <v>0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0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0</v>
      </c>
      <c r="AE21" s="2">
        <f>COUNTIFS('BA History S2'!$B:$B,$A$21,'BA History S2'!AA:AA, 1)</f>
        <v>0</v>
      </c>
      <c r="AF21" s="2">
        <f>COUNTIFS('BA History S2'!$B:$B,$A$21,'BA History S2'!AB:AB, 1)</f>
        <v>0</v>
      </c>
      <c r="AG21" s="2">
        <f>COUNTIFS('BA History S2'!$B:$B,$A$21,'BA History S2'!AC:AC, 1)</f>
        <v>1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</v>
      </c>
      <c r="B22" s="2" t="s">
        <v>79</v>
      </c>
      <c r="C22" s="34">
        <f>SUMIFS('BA History S2'!C:C,'BA History S2'!B:B,A22)</f>
        <v>10</v>
      </c>
      <c r="D22" s="66">
        <f>AVERAGEIFS('BA History S2'!C:C,'BA History S2'!B:B,A22)</f>
        <v>10</v>
      </c>
      <c r="E22" s="35">
        <f t="array" ref="E22">MAX(IF('BA History S2'!B:B=A22, 'BA History S2'!C:C))</f>
        <v>10</v>
      </c>
      <c r="F22" s="34">
        <f>COUNTIFS('BA History S2'!B:B,A22,'BA History S2'!D:D, 1)</f>
        <v>0</v>
      </c>
      <c r="G22" s="2">
        <f>COUNTIFS('BA History S2'!B:B,A22,'BA History S2'!D:D, 0)</f>
        <v>1</v>
      </c>
      <c r="H22" s="75">
        <f>LOOKUP(2, 1/('BA History S2'!$B:$B=A22), 'BA History S2'!$AJ:$AJ)</f>
        <v>0</v>
      </c>
      <c r="I22" s="34">
        <f>SUMIFS('BA History S2'!F:F,'BA History S2'!B:B,A22)</f>
        <v>1</v>
      </c>
      <c r="J22" s="2">
        <f>SUMIFS('BA History S2'!E:E,'BA History S2'!B:B,A22)-I22</f>
        <v>3</v>
      </c>
      <c r="K22" s="75">
        <f>LOOKUP(2, 1/('BA History S2'!$B:$B=A22), 'BA History S2'!$AH:$AH)</f>
        <v>0.25</v>
      </c>
      <c r="L22" s="34">
        <f>SUMIFS('BA History S2'!H:H,'BA History S2'!B:B,A22)</f>
        <v>8</v>
      </c>
      <c r="M22" s="2">
        <f>SUMIFS('BA History S2'!G:G,'BA History S2'!B:B,A22)-L22</f>
        <v>10</v>
      </c>
      <c r="N22" s="89">
        <f>LOOKUP(2, 1/('BA History S2'!$B:$B=A22), 'BA History S2'!$AI:$AI)</f>
        <v>0.44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0</v>
      </c>
      <c r="R22" s="2">
        <f>COUNTIFS('BA History S2'!$B:$B,$A$22,'BA History S2'!N:N, 1)</f>
        <v>0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0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0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ht="15.75" x14ac:dyDescent="0.25">
      <c r="A23" s="2" t="s">
        <v>4</v>
      </c>
      <c r="B23" s="80" t="s">
        <v>60</v>
      </c>
      <c r="C23" s="34">
        <f>SUMIFS('BA History S2'!C:C,'BA History S2'!B:B,A23)</f>
        <v>16</v>
      </c>
      <c r="D23" s="66">
        <f>AVERAGEIFS('BA History S2'!C:C,'BA History S2'!B:B,A23)</f>
        <v>16</v>
      </c>
      <c r="E23" s="35">
        <f t="array" ref="E23">MAX(IF('BA History S2'!B:B=A23, 'BA History S2'!C:C))</f>
        <v>16</v>
      </c>
      <c r="F23" s="34">
        <f>COUNTIFS('BA History S2'!B:B,A23,'BA History S2'!D:D, 1)</f>
        <v>1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3</v>
      </c>
      <c r="J23" s="2">
        <f>SUMIFS('BA History S2'!E:E,'BA History S2'!B:B,A23)-I23</f>
        <v>0</v>
      </c>
      <c r="K23" s="75">
        <f>LOOKUP(2, 1/('BA History S2'!$B:$B=A23), 'BA History S2'!$AH:$AH)</f>
        <v>1</v>
      </c>
      <c r="L23" s="34">
        <f>SUMIFS('BA History S2'!H:H,'BA History S2'!B:B,A23)</f>
        <v>9</v>
      </c>
      <c r="M23" s="2">
        <f>SUMIFS('BA History S2'!G:G,'BA History S2'!B:B,A23)-L23</f>
        <v>4</v>
      </c>
      <c r="N23" s="89">
        <f>LOOKUP(2, 1/('BA History S2'!$B:$B=A23), 'BA History S2'!$AI:$AI)</f>
        <v>0.69</v>
      </c>
      <c r="O23" s="2">
        <f>COUNTIFS('BA History S2'!$B:$B,$A$23,'BA History S2'!K:K, 1)</f>
        <v>0</v>
      </c>
      <c r="P23" s="2">
        <f>COUNTIFS('BA History S2'!$B:$B,$A$23,'BA History S2'!L:L, 1)</f>
        <v>1</v>
      </c>
      <c r="Q23" s="2">
        <f>COUNTIFS('BA History S2'!$B:$B,$A$23,'BA History S2'!M:M, 1)</f>
        <v>0</v>
      </c>
      <c r="R23" s="2">
        <f>COUNTIFS('BA History S2'!$B:$B,$A$23,'BA History S2'!N:N, 1)</f>
        <v>0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0</v>
      </c>
      <c r="AE23" s="2">
        <f>COUNTIFS('BA History S2'!$B:$B,$A$23,'BA History S2'!AA:AA, 1)</f>
        <v>0</v>
      </c>
      <c r="AF23" s="2">
        <f>COUNTIFS('BA History S2'!$B:$B,$A$23,'BA History S2'!AB:AB, 1)</f>
        <v>0</v>
      </c>
      <c r="AG23" s="2">
        <f>COUNTIFS('BA History S2'!$B:$B,$A$23,'BA History S2'!AC:AC, 1)</f>
        <v>1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1" t="s">
        <v>107</v>
      </c>
      <c r="B24" s="2" t="s">
        <v>79</v>
      </c>
      <c r="C24" s="34">
        <f>SUMIFS('BA History S2'!C:C,'BA History S2'!B:B,A24)</f>
        <v>26</v>
      </c>
      <c r="D24" s="66">
        <f>AVERAGEIFS('BA History S2'!C:C,'BA History S2'!B:B,A24)</f>
        <v>13</v>
      </c>
      <c r="E24" s="35">
        <f t="array" ref="E24">MAX(IF('BA History S2'!B:B=A24, 'BA History S2'!C:C))</f>
        <v>19</v>
      </c>
      <c r="F24" s="34">
        <f>COUNTIFS('BA History S2'!B:B,A24,'BA History S2'!D:D, 1)</f>
        <v>1</v>
      </c>
      <c r="G24" s="2">
        <f>COUNTIFS('BA History S2'!B:B,A24,'BA History S2'!D:D, 0)</f>
        <v>1</v>
      </c>
      <c r="H24" s="75">
        <f>LOOKUP(2, 1/('BA History S2'!$B:$B=A24), 'BA History S2'!$AJ:$AJ)</f>
        <v>0.5</v>
      </c>
      <c r="I24" s="34">
        <f>SUMIFS('BA History S2'!F:F,'BA History S2'!B:B,A24)</f>
        <v>3</v>
      </c>
      <c r="J24" s="2">
        <f>SUMIFS('BA History S2'!E:E,'BA History S2'!B:B,A24)-I24</f>
        <v>4</v>
      </c>
      <c r="K24" s="75">
        <f>LOOKUP(2, 1/('BA History S2'!$B:$B=A24), 'BA History S2'!$AH:$AH)</f>
        <v>0.375</v>
      </c>
      <c r="L24" s="34">
        <f>SUMIFS('BA History S2'!H:H,'BA History S2'!B:B,A24)</f>
        <v>15</v>
      </c>
      <c r="M24" s="2">
        <f>SUMIFS('BA History S2'!G:G,'BA History S2'!B:B,A24)-L24</f>
        <v>16</v>
      </c>
      <c r="N24" s="89">
        <f>LOOKUP(2, 1/('BA History S2'!$B:$B=A24), 'BA History S2'!$AI:$AI)</f>
        <v>0.45999999999999996</v>
      </c>
      <c r="O24" s="2">
        <f>COUNTIFS('BA History S2'!$B:$B,$A$24,'BA History S2'!K:K, 1)</f>
        <v>0</v>
      </c>
      <c r="P24" s="2">
        <f>COUNTIFS('BA History S2'!$B:$B,$A$24,'BA History S2'!L:L, 1)</f>
        <v>0</v>
      </c>
      <c r="Q24" s="2">
        <f>COUNTIFS('BA History S2'!$B:$B,$A$24,'BA History S2'!M:M, 1)</f>
        <v>1</v>
      </c>
      <c r="R24" s="2">
        <f>COUNTIFS('BA History S2'!$B:$B,$A$24,'BA History S2'!N:N, 1)</f>
        <v>0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0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</sheetData>
  <autoFilter ref="A1:AJ24" xr:uid="{DA548192-1F03-46EA-8AB8-115EB9A7CE5D}">
    <sortState xmlns:xlrd2="http://schemas.microsoft.com/office/spreadsheetml/2017/richdata2" ref="A2:AJ24">
      <sortCondition ref="A1:A2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47" sqref="I4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</sheetData>
  <autoFilter ref="A1:AJ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99" t="s">
        <v>7</v>
      </c>
      <c r="D1" s="100"/>
      <c r="E1" s="101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99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2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2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2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2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2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2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2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2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8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8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8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8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8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8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8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8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2026-04-06T04:56:49Z</dcterms:modified>
</cp:coreProperties>
</file>