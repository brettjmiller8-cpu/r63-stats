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758C3F4-8F6B-416C-9366-E76BBD75F32F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History'!$A$1:$AJ$648</definedName>
    <definedName name="_xlnm._FilterDatabase" localSheetId="5" hidden="1">'BA v2'!$A$1:$AJ$55</definedName>
    <definedName name="_xlnm._FilterDatabase" localSheetId="4" hidden="1">'OB History'!$A$1:$AD$450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678" i="9" l="1"/>
  <c r="AH678" i="9"/>
  <c r="AI678" i="9"/>
  <c r="AJ678" i="9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AI683" i="9"/>
  <c r="AJ683" i="9"/>
  <c r="AG684" i="9"/>
  <c r="AH684" i="9"/>
  <c r="AI684" i="9"/>
  <c r="AJ684" i="9"/>
  <c r="AG685" i="9"/>
  <c r="AH685" i="9"/>
  <c r="AI685" i="9"/>
  <c r="AJ685" i="9"/>
  <c r="AG686" i="9"/>
  <c r="AH686" i="9"/>
  <c r="AI686" i="9"/>
  <c r="AJ686" i="9"/>
  <c r="AG687" i="9"/>
  <c r="AH687" i="9"/>
  <c r="AI687" i="9"/>
  <c r="AJ687" i="9"/>
  <c r="AG688" i="9"/>
  <c r="AH688" i="9"/>
  <c r="AI688" i="9"/>
  <c r="AJ688" i="9"/>
  <c r="AG689" i="9"/>
  <c r="AH689" i="9"/>
  <c r="AI689" i="9"/>
  <c r="AJ689" i="9"/>
  <c r="AG677" i="9"/>
  <c r="AH677" i="9"/>
  <c r="AI677" i="9"/>
  <c r="AJ677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AI668" i="9"/>
  <c r="AJ668" i="9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AI652" i="9"/>
  <c r="AJ652" i="9"/>
  <c r="AG653" i="9"/>
  <c r="AH653" i="9"/>
  <c r="AI653" i="9"/>
  <c r="AJ653" i="9"/>
  <c r="AG654" i="9"/>
  <c r="AH654" i="9"/>
  <c r="AI654" i="9"/>
  <c r="AJ654" i="9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AI648" i="9"/>
  <c r="AJ648" i="9"/>
  <c r="AG619" i="9"/>
  <c r="AH619" i="9"/>
  <c r="AI619" i="9"/>
  <c r="AJ619" i="9"/>
  <c r="AG620" i="9"/>
  <c r="AH620" i="9"/>
  <c r="AI620" i="9"/>
  <c r="AJ620" i="9"/>
  <c r="AG621" i="9"/>
  <c r="AH621" i="9"/>
  <c r="AI621" i="9"/>
  <c r="AJ621" i="9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594" i="9"/>
  <c r="AH594" i="9"/>
  <c r="AI594" i="9"/>
  <c r="AJ594" i="9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AI593" i="9"/>
  <c r="AJ593" i="9"/>
  <c r="AA441" i="10"/>
  <c r="AB441" i="10"/>
  <c r="AC441" i="10"/>
  <c r="AD441" i="10"/>
  <c r="AA442" i="10"/>
  <c r="AB442" i="10"/>
  <c r="AC442" i="10"/>
  <c r="AD442" i="10"/>
  <c r="AA443" i="10"/>
  <c r="AB443" i="10"/>
  <c r="AC443" i="10"/>
  <c r="AD443" i="10"/>
  <c r="AA444" i="10"/>
  <c r="AB444" i="10"/>
  <c r="AC444" i="10"/>
  <c r="AD444" i="10"/>
  <c r="AA445" i="10"/>
  <c r="AB445" i="10"/>
  <c r="AC445" i="10"/>
  <c r="AD445" i="10"/>
  <c r="AA446" i="10"/>
  <c r="AB446" i="10"/>
  <c r="AC446" i="10"/>
  <c r="AD446" i="10"/>
  <c r="AA447" i="10"/>
  <c r="AB447" i="10"/>
  <c r="AC447" i="10"/>
  <c r="AD447" i="10"/>
  <c r="AA448" i="10"/>
  <c r="AB448" i="10"/>
  <c r="AC448" i="10"/>
  <c r="AD448" i="10"/>
  <c r="AA449" i="10"/>
  <c r="AB449" i="10"/>
  <c r="AC449" i="10"/>
  <c r="AD449" i="10"/>
  <c r="AA450" i="10"/>
  <c r="AB450" i="10"/>
  <c r="AC450" i="10"/>
  <c r="AD450" i="10"/>
  <c r="AG419" i="9"/>
  <c r="D42" i="11"/>
  <c r="E42" i="11"/>
  <c r="F42" i="11" a="1"/>
  <c r="F42" i="11" s="1"/>
  <c r="G42" i="11"/>
  <c r="H42" i="11"/>
  <c r="J42" i="11"/>
  <c r="K42" i="11" s="1"/>
  <c r="M42" i="11"/>
  <c r="N42" i="11" s="1"/>
  <c r="D34" i="11"/>
  <c r="E34" i="11"/>
  <c r="F34" i="11" a="1"/>
  <c r="F34" i="11" s="1"/>
  <c r="G34" i="11"/>
  <c r="H34" i="11"/>
  <c r="J34" i="11"/>
  <c r="K34" i="11" s="1"/>
  <c r="M34" i="11"/>
  <c r="N34" i="11" s="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4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A415" i="10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C24" i="12"/>
  <c r="D24" i="12"/>
  <c r="E24" i="12" a="1"/>
  <c r="E24" i="12" s="1"/>
  <c r="F24" i="12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J36" i="11"/>
  <c r="K36" i="11" s="1"/>
  <c r="M36" i="11"/>
  <c r="N36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H9" i="11"/>
  <c r="J9" i="11"/>
  <c r="K9" i="11" s="1"/>
  <c r="M9" i="11"/>
  <c r="N9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H40" i="12" l="1"/>
  <c r="N40" i="12"/>
  <c r="K40" i="12"/>
  <c r="I42" i="11"/>
  <c r="I34" i="11"/>
  <c r="O42" i="11"/>
  <c r="L42" i="11"/>
  <c r="O34" i="11"/>
  <c r="L34" i="11"/>
  <c r="I9" i="11"/>
  <c r="H23" i="12"/>
  <c r="N23" i="12"/>
  <c r="K23" i="12"/>
  <c r="H15" i="12"/>
  <c r="N15" i="12"/>
  <c r="K15" i="12"/>
  <c r="I26" i="11"/>
  <c r="I36" i="11"/>
  <c r="O26" i="11"/>
  <c r="H24" i="12"/>
  <c r="N24" i="12"/>
  <c r="K24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5" i="12"/>
  <c r="N45" i="12"/>
  <c r="K45" i="12"/>
  <c r="H32" i="12"/>
  <c r="J32" i="12"/>
  <c r="K32" i="12" s="1"/>
  <c r="N32" i="12"/>
  <c r="H33" i="12"/>
  <c r="K33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2" i="12"/>
  <c r="M42" i="12" s="1"/>
  <c r="N42" i="12" s="1"/>
  <c r="L14" i="12"/>
  <c r="M14" i="12" s="1"/>
  <c r="N14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2" i="12"/>
  <c r="M22" i="12" s="1"/>
  <c r="N22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1" i="12"/>
  <c r="M41" i="12" s="1"/>
  <c r="L43" i="12"/>
  <c r="M43" i="12" s="1"/>
  <c r="L44" i="12"/>
  <c r="M44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N49" i="12" s="1"/>
  <c r="L50" i="12"/>
  <c r="M50" i="12" s="1"/>
  <c r="L51" i="12"/>
  <c r="M51" i="12" s="1"/>
  <c r="N51" i="12" s="1"/>
  <c r="L52" i="12"/>
  <c r="M52" i="12" s="1"/>
  <c r="N52" i="12" s="1"/>
  <c r="L53" i="12"/>
  <c r="M53" i="12" s="1"/>
  <c r="L54" i="12"/>
  <c r="M54" i="12" s="1"/>
  <c r="L55" i="12"/>
  <c r="N55" i="12" s="1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2" i="12"/>
  <c r="I14" i="12"/>
  <c r="J14" i="12" s="1"/>
  <c r="K14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2" i="12"/>
  <c r="J22" i="12" s="1"/>
  <c r="K22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1" i="12"/>
  <c r="J41" i="12" s="1"/>
  <c r="I43" i="12"/>
  <c r="J43" i="12" s="1"/>
  <c r="I44" i="12"/>
  <c r="J44" i="12" s="1"/>
  <c r="K44" i="12" s="1"/>
  <c r="I46" i="12"/>
  <c r="J46" i="12" s="1"/>
  <c r="K46" i="12" s="1"/>
  <c r="I47" i="12"/>
  <c r="J47" i="12" s="1"/>
  <c r="K47" i="12" s="1"/>
  <c r="I48" i="12"/>
  <c r="J48" i="12" s="1"/>
  <c r="I49" i="12"/>
  <c r="J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55" i="12"/>
  <c r="J55" i="12" s="1"/>
  <c r="K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H19" i="12" s="1"/>
  <c r="F20" i="12"/>
  <c r="F22" i="12"/>
  <c r="F25" i="12"/>
  <c r="F26" i="12"/>
  <c r="H26" i="12" s="1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H30" i="12"/>
  <c r="H29" i="12"/>
  <c r="H28" i="12"/>
  <c r="H25" i="12"/>
  <c r="H20" i="12"/>
  <c r="H18" i="12"/>
  <c r="H17" i="12"/>
  <c r="H16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27" i="12" l="1"/>
  <c r="H11" i="12"/>
  <c r="I21" i="11"/>
  <c r="I2" i="11"/>
  <c r="L2" i="11"/>
  <c r="O3" i="11"/>
  <c r="O2" i="11"/>
  <c r="H10" i="12"/>
  <c r="H21" i="12"/>
  <c r="H6" i="12"/>
  <c r="N21" i="12"/>
  <c r="K21" i="12"/>
  <c r="H13" i="12"/>
  <c r="H8" i="12"/>
  <c r="H39" i="12"/>
  <c r="N39" i="12"/>
  <c r="K39" i="12"/>
  <c r="I19" i="11"/>
  <c r="O19" i="11"/>
  <c r="K19" i="11"/>
  <c r="L19" i="11" s="1"/>
  <c r="H4" i="12"/>
  <c r="H9" i="12"/>
  <c r="H5" i="12"/>
  <c r="H7" i="12"/>
  <c r="H37" i="12"/>
  <c r="H42" i="12"/>
  <c r="J42" i="12"/>
  <c r="K42" i="12" s="1"/>
  <c r="H46" i="12"/>
  <c r="K43" i="12"/>
  <c r="H44" i="12"/>
  <c r="H22" i="12"/>
  <c r="N50" i="12"/>
  <c r="N29" i="12"/>
  <c r="N10" i="12"/>
  <c r="H31" i="12"/>
  <c r="K49" i="12"/>
  <c r="K48" i="12"/>
  <c r="N44" i="12"/>
  <c r="N43" i="12"/>
  <c r="N41" i="12"/>
  <c r="N19" i="12"/>
  <c r="N54" i="12"/>
  <c r="N53" i="12"/>
  <c r="N3" i="12"/>
  <c r="K41" i="12"/>
  <c r="K19" i="12"/>
  <c r="H36" i="12"/>
  <c r="H55" i="12"/>
  <c r="H35" i="12"/>
  <c r="H54" i="12"/>
  <c r="H34" i="12"/>
  <c r="H53" i="12"/>
  <c r="H52" i="12"/>
  <c r="H51" i="12"/>
  <c r="H50" i="12"/>
  <c r="H49" i="12"/>
  <c r="H48" i="12"/>
  <c r="H47" i="12"/>
  <c r="H43" i="12"/>
  <c r="H41" i="12"/>
  <c r="H38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<sst xmlns="http://schemas.openxmlformats.org/spreadsheetml/2006/main" count="1933" uniqueCount="155">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</sst>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145</v>
      </c>
      <c r="E5" s="90">
        <f>AVERAGEIFS('OB History'!C:C,'OB History'!B:B,A5)</f>
        <v>11.153846153846153</v>
      </c>
      <c r="F5" s="91">
        <f t="array" ref="F5">MAX(IF('OB History'!B:B=A5, 'OB History'!C:C))</f>
        <v>21</v>
      </c>
      <c r="G5" s="89">
        <f>COUNTIFS('OB History'!B:B,A5,'OB History'!D:D, 1)</f>
        <v>9</v>
      </c>
      <c r="H5" s="92">
        <f>COUNTIFS('OB History'!B:B,A5,'OB History'!D:D, 0)</f>
        <v>4</v>
      </c>
      <c r="I5" s="41">
        <f t="shared" si="0"/>
        <v>0.69230769230769229</v>
      </c>
      <c r="J5" s="89">
        <f>SUMIFS('OB History'!F:F,'OB History'!B:B,A5)</f>
        <v>29</v>
      </c>
      <c r="K5" s="92">
        <f>SUMIFS('OB History'!E:E,'OB History'!B:B,A5)-J5</f>
        <v>24</v>
      </c>
      <c r="L5" s="41">
        <f t="shared" si="1"/>
        <v>0.54716981132075471</v>
      </c>
      <c r="M5" s="89">
        <f>SUMIFS('OB History'!H:H,'OB History'!B:B,'Old Bow v2'!A5)</f>
        <v>117</v>
      </c>
      <c r="N5" s="92">
        <f>SUMIFS('OB History'!G:G,'OB History'!B:B,'Old Bow v2'!A5)-M5</f>
        <v>102</v>
      </c>
      <c r="O5" s="41">
        <f t="shared" si="2"/>
        <v>0.53424657534246578</v>
      </c>
      <c r="P5" s="92">
        <f>COUNTIFS('OB History'!$B:$B,$A$5,'OB History'!K:K, 1)</f>
        <v>2</v>
      </c>
      <c r="Q5" s="92">
        <f>COUNTIFS('OB History'!$B:$B,$A$5,'OB History'!L:L, 1)</f>
        <v>3</v>
      </c>
      <c r="R5" s="92">
        <f>COUNTIFS('OB History'!$B:$B,$A$5,'OB History'!M:M, 1)</f>
        <v>1</v>
      </c>
      <c r="S5" s="92">
        <f>COUNTIFS('OB History'!$B:$B,$A$5,'OB History'!N:N, 1)</f>
        <v>4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4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314</v>
      </c>
      <c r="E6" s="90">
        <f>AVERAGEIFS('OB History'!C:C,'OB History'!B:B,A6)</f>
        <v>12.076923076923077</v>
      </c>
      <c r="F6" s="91">
        <f t="array" ref="F6">MAX(IF('OB History'!B:B=A6, 'OB History'!C:C))</f>
        <v>26</v>
      </c>
      <c r="G6" s="89">
        <f>COUNTIFS('OB History'!B:B,A6,'OB History'!D:D, 1)</f>
        <v>10</v>
      </c>
      <c r="H6" s="92">
        <f>COUNTIFS('OB History'!B:B,A6,'OB History'!D:D, 0)</f>
        <v>16</v>
      </c>
      <c r="I6" s="41">
        <f t="shared" si="0"/>
        <v>0.38461538461538464</v>
      </c>
      <c r="J6" s="89">
        <f>SUMIFS('OB History'!F:F,'OB History'!B:B,A6)</f>
        <v>46</v>
      </c>
      <c r="K6" s="92">
        <f>SUMIFS('OB History'!E:E,'OB History'!B:B,A6)-J6</f>
        <v>63</v>
      </c>
      <c r="L6" s="41">
        <f t="shared" si="1"/>
        <v>0.42201834862385323</v>
      </c>
      <c r="M6" s="89">
        <f>SUMIFS('OB History'!H:H,'OB History'!B:B,'Old Bow v2'!A6)</f>
        <v>209</v>
      </c>
      <c r="N6" s="92">
        <f>SUMIFS('OB History'!G:G,'OB History'!B:B,'Old Bow v2'!A6)-M6</f>
        <v>241</v>
      </c>
      <c r="O6" s="41">
        <f t="shared" si="2"/>
        <v>0.46444444444444444</v>
      </c>
      <c r="P6" s="92">
        <f>COUNTIFS('OB History'!$B:$B,$A$6,'OB History'!K:K, 1)</f>
        <v>3</v>
      </c>
      <c r="Q6" s="92">
        <f>COUNTIFS('OB History'!$B:$B,$A$6,'OB History'!L:L, 1)</f>
        <v>1</v>
      </c>
      <c r="R6" s="92">
        <f>COUNTIFS('OB History'!$B:$B,$A$6,'OB History'!M:M, 1)</f>
        <v>1</v>
      </c>
      <c r="S6" s="92">
        <f>COUNTIFS('OB History'!$B:$B,$A$6,'OB History'!N:N, 1)</f>
        <v>5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9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147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2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2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183</v>
      </c>
      <c r="E12" s="90">
        <f>AVERAGEIFS('OB History'!C:C,'OB History'!B:B,A12)</f>
        <v>12.2</v>
      </c>
      <c r="F12" s="91">
        <f t="array" ref="F12">MAX(IF('OB History'!B:B=A12, 'OB History'!C:C))</f>
        <v>19</v>
      </c>
      <c r="G12" s="89">
        <f>COUNTIFS('OB History'!B:B,A12,'OB History'!D:D, 1)</f>
        <v>5</v>
      </c>
      <c r="H12" s="92">
        <f>COUNTIFS('OB History'!B:B,A12,'OB History'!D:D, 0)</f>
        <v>10</v>
      </c>
      <c r="I12" s="42">
        <f t="shared" si="0"/>
        <v>0.33333333333333331</v>
      </c>
      <c r="J12" s="89">
        <f>SUMIFS('OB History'!F:F,'OB History'!B:B,A12)</f>
        <v>28</v>
      </c>
      <c r="K12" s="92">
        <f>SUMIFS('OB History'!E:E,'OB History'!B:B,A12)-J12</f>
        <v>35</v>
      </c>
      <c r="L12" s="42">
        <f t="shared" si="1"/>
        <v>0.44444444444444442</v>
      </c>
      <c r="M12" s="89">
        <f>SUMIFS('OB History'!H:H,'OB History'!B:B,'Old Bow v2'!A12)</f>
        <v>124</v>
      </c>
      <c r="N12" s="92">
        <f>SUMIFS('OB History'!G:G,'OB History'!B:B,'Old Bow v2'!A12)-M12</f>
        <v>135</v>
      </c>
      <c r="O12" s="42">
        <f t="shared" si="2"/>
        <v>0.47876447876447875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6</v>
      </c>
      <c r="AD12" s="92">
        <f>COUNTIFS('OB History'!$B:$B,$A$12,'OB History'!Y:Y, 1)</f>
        <v>3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3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228</v>
      </c>
      <c r="E17" s="90">
        <f>AVERAGEIFS('OB History'!C:C,'OB History'!B:B,A17)</f>
        <v>9.9130434782608692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12</v>
      </c>
      <c r="I17" s="41">
        <f t="shared" si="0"/>
        <v>0.47826086956521741</v>
      </c>
      <c r="J17" s="89">
        <f>SUMIFS('OB History'!F:F,'OB History'!B:B,A17)</f>
        <v>47</v>
      </c>
      <c r="K17" s="92">
        <f>SUMIFS('OB History'!E:E,'OB History'!B:B,A17)-J17</f>
        <v>49</v>
      </c>
      <c r="L17" s="41">
        <f t="shared" si="1"/>
        <v>0.48958333333333331</v>
      </c>
      <c r="M17" s="89">
        <f>SUMIFS('OB History'!H:H,'OB History'!B:B,'Old Bow v2'!A17)</f>
        <v>201</v>
      </c>
      <c r="N17" s="92">
        <f>SUMIFS('OB History'!G:G,'OB History'!B:B,'Old Bow v2'!A17)-M17</f>
        <v>203</v>
      </c>
      <c r="O17" s="41">
        <f t="shared" si="2"/>
        <v>0.49752475247524752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1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10</v>
      </c>
      <c r="AD17" s="92">
        <f>COUNTIFS('OB History'!$B:$B,$A$17,'OB History'!Y:Y, 1)</f>
        <v>3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1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54</v>
      </c>
      <c r="E19" s="90">
        <f>AVERAGEIFS('OB History'!C:C,'OB History'!B:B,A19)</f>
        <v>10.8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2</v>
      </c>
      <c r="I19" s="41">
        <f t="shared" si="0"/>
        <v>0.6</v>
      </c>
      <c r="J19" s="89">
        <f>SUMIFS('OB History'!F:F,'OB History'!B:B,A19)</f>
        <v>13</v>
      </c>
      <c r="K19" s="92">
        <f>SUMIFS('OB History'!E:E,'OB History'!B:B,A19)-J19</f>
        <v>10</v>
      </c>
      <c r="L19" s="41">
        <f t="shared" si="1"/>
        <v>0.56521739130434778</v>
      </c>
      <c r="M19" s="89">
        <f>SUMIFS('OB History'!H:H,'OB History'!B:B,'Old Bow v2'!A19)</f>
        <v>52</v>
      </c>
      <c r="N19" s="92">
        <f>SUMIFS('OB History'!G:G,'OB History'!B:B,'Old Bow v2'!A19)-M19</f>
        <v>45</v>
      </c>
      <c r="O19" s="41">
        <f t="shared" si="2"/>
        <v>0.53608247422680411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4</v>
      </c>
      <c r="AD19" s="92">
        <f>COUNTIFS('OB History'!$B:$B,$A$19,'OB History'!Y:Y, 1)</f>
        <v>2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261</v>
      </c>
      <c r="E20" s="90">
        <f>AVERAGEIFS('OB History'!C:C,'OB History'!B:B,A20)</f>
        <v>13.736842105263158</v>
      </c>
      <c r="F20" s="91">
        <f t="array" ref="F20">MAX(IF('OB History'!B:B=A20, 'OB History'!C:C))</f>
        <v>27</v>
      </c>
      <c r="G20" s="89">
        <f>COUNTIFS('OB History'!B:B,A20,'OB History'!D:D, 1)</f>
        <v>7</v>
      </c>
      <c r="H20" s="92">
        <f>COUNTIFS('OB History'!B:B,A20,'OB History'!D:D, 0)</f>
        <v>12</v>
      </c>
      <c r="I20" s="41">
        <f t="shared" si="0"/>
        <v>0.36842105263157893</v>
      </c>
      <c r="J20" s="89">
        <f>SUMIFS('OB History'!F:F,'OB History'!B:B,A20)</f>
        <v>33</v>
      </c>
      <c r="K20" s="92">
        <f>SUMIFS('OB History'!E:E,'OB History'!B:B,A20)-J20</f>
        <v>47</v>
      </c>
      <c r="L20" s="41">
        <f t="shared" si="1"/>
        <v>0.41249999999999998</v>
      </c>
      <c r="M20" s="89">
        <f>SUMIFS('OB History'!H:H,'OB History'!B:B,'Old Bow v2'!A20)</f>
        <v>155</v>
      </c>
      <c r="N20" s="92">
        <f>SUMIFS('OB History'!G:G,'OB History'!B:B,'Old Bow v2'!A20)-M20</f>
        <v>181</v>
      </c>
      <c r="O20" s="41">
        <f t="shared" si="2"/>
        <v>0.46130952380952384</v>
      </c>
      <c r="P20" s="92">
        <f>COUNTIFS('OB History'!$B:$B,$A$20,'OB History'!K:K, 1)</f>
        <v>4</v>
      </c>
      <c r="Q20" s="92">
        <f>COUNTIFS('OB History'!$B:$B,$A$20,'OB History'!L:L, 1)</f>
        <v>1</v>
      </c>
      <c r="R20" s="92">
        <f>COUNTIFS('OB History'!$B:$B,$A$20,'OB History'!M:M, 1)</f>
        <v>1</v>
      </c>
      <c r="S20" s="92">
        <f>COUNTIFS('OB History'!$B:$B,$A$20,'OB History'!N:N, 1)</f>
        <v>2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8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65</v>
      </c>
      <c r="E24" s="90">
        <f>AVERAGEIFS('OB History'!C:C,'OB History'!B:B,A24)</f>
        <v>8.125</v>
      </c>
      <c r="F24" s="91">
        <f t="array" ref="F24">MAX(IF('OB History'!B:B=A24, 'OB History'!C:C))</f>
        <v>14</v>
      </c>
      <c r="G24" s="89">
        <f>COUNTIFS('OB History'!B:B,A24,'OB History'!D:D, 1)</f>
        <v>5</v>
      </c>
      <c r="H24" s="92">
        <f>COUNTIFS('OB History'!B:B,A24,'OB History'!D:D, 0)</f>
        <v>3</v>
      </c>
      <c r="I24" s="42">
        <f t="shared" si="0"/>
        <v>0.625</v>
      </c>
      <c r="J24" s="89">
        <f>SUMIFS('OB History'!F:F,'OB History'!B:B,A24)</f>
        <v>20</v>
      </c>
      <c r="K24" s="92">
        <f>SUMIFS('OB History'!E:E,'OB History'!B:B,A24)-J24</f>
        <v>16</v>
      </c>
      <c r="L24" s="42">
        <f t="shared" si="1"/>
        <v>0.55555555555555558</v>
      </c>
      <c r="M24" s="89">
        <f>SUMIFS('OB History'!H:H,'OB History'!B:B,'Old Bow v2'!A24)</f>
        <v>81</v>
      </c>
      <c r="N24" s="92">
        <f>SUMIFS('OB History'!G:G,'OB History'!B:B,'Old Bow v2'!A24)-M24</f>
        <v>74</v>
      </c>
      <c r="O24" s="42">
        <f t="shared" si="2"/>
        <v>0.52258064516129032</v>
      </c>
      <c r="P24" s="92">
        <f>COUNTIFS('OB History'!$B:$B,$A$24,'OB History'!K:K, 1)</f>
        <v>0</v>
      </c>
      <c r="Q24" s="92">
        <f>COUNTIFS('OB History'!$B:$B,$A$24,'OB History'!L:L, 1)</f>
        <v>1</v>
      </c>
      <c r="R24" s="92">
        <f>COUNTIFS('OB History'!$B:$B,$A$24,'OB History'!M:M, 1)</f>
        <v>1</v>
      </c>
      <c r="S24" s="92">
        <f>COUNTIFS('OB History'!$B:$B,$A$24,'OB History'!N:N, 1)</f>
        <v>4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5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1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149</v>
      </c>
      <c r="B26" s="6" t="s">
        <v>79</v>
      </c>
      <c r="C26" s="6" t="s">
        <v>79</v>
      </c>
      <c r="D26" s="89">
        <f>SUMIFS('OB History'!C:C,'OB History'!B:B,A26)</f>
        <v>22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2</v>
      </c>
      <c r="I26" s="41">
        <f t="shared" ref="I26" si="6">G26/(G26+H26)</f>
        <v>0</v>
      </c>
      <c r="J26" s="89">
        <f>SUMIFS('OB History'!F:F,'OB History'!B:B,A26)</f>
        <v>4</v>
      </c>
      <c r="K26" s="92">
        <f>SUMIFS('OB History'!E:E,'OB History'!B:B,A26)-J26</f>
        <v>6</v>
      </c>
      <c r="L26" s="41">
        <f t="shared" ref="L26" si="7">J26/(J26+K26)</f>
        <v>0.4</v>
      </c>
      <c r="M26" s="89">
        <f>SUMIFS('OB History'!H:H,'OB History'!B:B,'Old Bow v2'!A26)</f>
        <v>20</v>
      </c>
      <c r="N26" s="92">
        <f>SUMIFS('OB History'!G:G,'OB History'!B:B,'Old Bow v2'!A26)-M26</f>
        <v>22</v>
      </c>
      <c r="O26" s="41">
        <f t="shared" ref="O26" si="8">M26/(M26+N26)</f>
        <v>0.47619047619047616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1</v>
      </c>
      <c r="AD26" s="92">
        <f>COUNTIFS('OB History'!$B:$B,$A$26,'OB History'!Y:Y, 1)</f>
        <v>1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887</v>
      </c>
      <c r="E29" s="90">
        <f>AVERAGEIFS('OB History'!C:C,'OB History'!B:B,A29)</f>
        <v>28.612903225806452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12</v>
      </c>
      <c r="I29" s="41">
        <f t="shared" si="0"/>
        <v>0.61290322580645162</v>
      </c>
      <c r="J29" s="89">
        <f>SUMIFS('OB History'!F:F,'OB History'!B:B,A29)</f>
        <v>71</v>
      </c>
      <c r="K29" s="92">
        <f>SUMIFS('OB History'!E:E,'OB History'!B:B,A29)-J29</f>
        <v>59</v>
      </c>
      <c r="L29" s="41">
        <f t="shared" si="1"/>
        <v>0.5461538461538461</v>
      </c>
      <c r="M29" s="89">
        <f>SUMIFS('OB History'!H:H,'OB History'!B:B,'Old Bow v2'!A29)</f>
        <v>283</v>
      </c>
      <c r="N29" s="92">
        <f>SUMIFS('OB History'!G:G,'OB History'!B:B,'Old Bow v2'!A29)-M29</f>
        <v>252</v>
      </c>
      <c r="O29" s="41">
        <f t="shared" si="2"/>
        <v>0.52897196261682244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2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8</v>
      </c>
      <c r="AD29" s="92">
        <f>COUNTIFS('OB History'!$B:$B,$A$29,'OB History'!Y:Y, 1)</f>
        <v>2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2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3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1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150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f>AVERAGEIFS('OB History'!C:C,'OB History'!B:B,A34)</f>
        <v>4</v>
      </c>
      <c r="F34" s="91">
        <f t="array" ref="F34">MAX(IF('OB History'!B:B=A34, 'OB History'!C:C))</f>
        <v>4</v>
      </c>
      <c r="G34" s="89">
        <f>COUNTIFS('OB History'!B:B,A34,'OB History'!D:D, 1)</f>
        <v>0</v>
      </c>
      <c r="H34" s="92">
        <f>COUNTIFS('OB History'!B:B,A34,'OB History'!D:D, 0)</f>
        <v>1</v>
      </c>
      <c r="I34" s="41">
        <f t="shared" ref="I34" si="9">G34/(G34+H34)</f>
        <v>0</v>
      </c>
      <c r="J34" s="89">
        <f>SUMIFS('OB History'!F:F,'OB History'!B:B,A34)</f>
        <v>2</v>
      </c>
      <c r="K34" s="92">
        <f>SUMIFS('OB History'!E:E,'OB History'!B:B,A34)-J34</f>
        <v>3</v>
      </c>
      <c r="L34" s="41">
        <f t="shared" ref="L34" si="10">J34/(J34+K34)</f>
        <v>0.4</v>
      </c>
      <c r="M34" s="89">
        <f>SUMIFS('OB History'!H:H,'OB History'!B:B,'Old Bow v2'!A34)</f>
        <v>8</v>
      </c>
      <c r="N34" s="92">
        <f>SUMIFS('OB History'!G:G,'OB History'!B:B,'Old Bow v2'!A34)-M34</f>
        <v>10</v>
      </c>
      <c r="O34" s="41">
        <f t="shared" ref="O34" si="11">M34/(M34+N34)</f>
        <v>0.44444444444444442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1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148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12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3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4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2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2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5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6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7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663</v>
      </c>
      <c r="E41" s="90">
        <f>AVERAGEIFS('OB History'!C:C,'OB History'!B:B,A41)</f>
        <v>25.5</v>
      </c>
      <c r="F41" s="91">
        <f t="array" ref="F41">MAX(IF('OB History'!B:B=A41, 'OB History'!C:C))</f>
        <v>56</v>
      </c>
      <c r="G41" s="89">
        <f>COUNTIFS('OB History'!B:B,A41,'OB History'!D:D, 1)</f>
        <v>15</v>
      </c>
      <c r="H41" s="92">
        <f>COUNTIFS('OB History'!B:B,A41,'OB History'!D:D, 0)</f>
        <v>11</v>
      </c>
      <c r="I41" s="41">
        <f t="shared" si="0"/>
        <v>0.57692307692307687</v>
      </c>
      <c r="J41" s="89">
        <f>SUMIFS('OB History'!F:F,'OB History'!B:B,A41)</f>
        <v>57</v>
      </c>
      <c r="K41" s="92">
        <f>SUMIFS('OB History'!E:E,'OB History'!B:B,A41)-J41</f>
        <v>52</v>
      </c>
      <c r="L41" s="41">
        <f t="shared" si="1"/>
        <v>0.52293577981651373</v>
      </c>
      <c r="M41" s="89">
        <f>SUMIFS('OB History'!H:H,'OB History'!B:B,'Old Bow v2'!A41)</f>
        <v>231</v>
      </c>
      <c r="N41" s="92">
        <f>SUMIFS('OB History'!G:G,'OB History'!B:B,'Old Bow v2'!A41)-M41</f>
        <v>227</v>
      </c>
      <c r="O41" s="41">
        <f t="shared" si="2"/>
        <v>0.50436681222707425</v>
      </c>
      <c r="P41" s="92">
        <f>COUNTIFS('OB History'!$B:$B,$A$41,'OB History'!K:K, 1)</f>
        <v>3</v>
      </c>
      <c r="Q41" s="92">
        <f>COUNTIFS('OB History'!$B:$B,$A$41,'OB History'!L:L, 1)</f>
        <v>5</v>
      </c>
      <c r="R41" s="92">
        <f>COUNTIFS('OB History'!$B:$B,$A$41,'OB History'!M:M, 1)</f>
        <v>2</v>
      </c>
      <c r="S41" s="92">
        <f>COUNTIFS('OB History'!$B:$B,$A$41,'OB History'!N:N, 1)</f>
        <v>7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7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f>SUMIFS('OB History'!C:C,'OB History'!B:B,A42)</f>
        <v>46</v>
      </c>
      <c r="E42" s="90">
        <f>AVERAGEIFS('OB History'!C:C,'OB History'!B:B,A42)</f>
        <v>23</v>
      </c>
      <c r="F42" s="91">
        <f t="array" ref="F42">MAX(IF('OB History'!B:B=A42, 'OB History'!C:C))</f>
        <v>25</v>
      </c>
      <c r="G42" s="89">
        <f>COUNTIFS('OB History'!B:B,A42,'OB History'!D:D, 1)</f>
        <v>1</v>
      </c>
      <c r="H42" s="92">
        <f>COUNTIFS('OB History'!B:B,A42,'OB History'!D:D, 0)</f>
        <v>1</v>
      </c>
      <c r="I42" s="41">
        <f t="shared" ref="I42" si="18">G42/(G42+H42)</f>
        <v>0.5</v>
      </c>
      <c r="J42" s="89">
        <f>SUMIFS('OB History'!F:F,'OB History'!B:B,A42)</f>
        <v>5</v>
      </c>
      <c r="K42" s="92">
        <f>SUMIFS('OB History'!E:E,'OB History'!B:B,A42)-J42</f>
        <v>5</v>
      </c>
      <c r="L42" s="41">
        <f t="shared" ref="L42" si="19">J42/(J42+K42)</f>
        <v>0.5</v>
      </c>
      <c r="M42" s="89">
        <f>SUMIFS('OB History'!H:H,'OB History'!B:B,'Old Bow v2'!A42)</f>
        <v>20</v>
      </c>
      <c r="N42" s="92">
        <f>SUMIFS('OB History'!G:G,'OB History'!B:B,'Old Bow v2'!A42)-M42</f>
        <v>19</v>
      </c>
      <c r="O42" s="41">
        <f t="shared" ref="O42" si="20">M42/(M42+N42)</f>
        <v>0.51282051282051277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2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1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50"/>
  <sheetViews>
    <sheetView workbookViewId="0">
      <pane ySplit="1" topLeftCell="A420" activePane="bottomLeft" state="frozen"/>
      <selection pane="bottomLeft" activeCell="C447" sqref="C44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</sheetData>
  <autoFilter ref="A1:AD45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G61" sqref="G6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145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146</v>
      </c>
      <c r="D2" s="66">
        <f>AVERAGEIFS('BA History'!C:C,'BA History'!B:B,A2)</f>
        <v>13.272727272727273</v>
      </c>
      <c r="E2" s="35">
        <f t="array" ref="E2">MAX(IF('BA History'!B:B=A2, 'BA History'!C:C))</f>
        <v>23</v>
      </c>
      <c r="F2" s="34">
        <f>COUNTIFS('BA History'!B:B,A2,'BA History'!D:D, 1)</f>
        <v>5</v>
      </c>
      <c r="G2" s="2">
        <f>COUNTIFS('BA History'!B:B,A2,'BA History'!D:D, 0)</f>
        <v>6</v>
      </c>
      <c r="H2" s="75">
        <f t="shared" ref="H2:H34" si="0">F2/(F2+G2)</f>
        <v>0.45454545454545453</v>
      </c>
      <c r="I2" s="34">
        <f>SUMIFS('BA History'!F:F,'BA History'!B:B,A2)</f>
        <v>22</v>
      </c>
      <c r="J2" s="2">
        <f>SUMIFS('BA History'!E:E,'BA History'!B:B,A2)-I2</f>
        <v>24</v>
      </c>
      <c r="K2" s="75">
        <f t="shared" ref="K2:K34" si="1">I2/(I2+J2)</f>
        <v>0.47826086956521741</v>
      </c>
      <c r="L2" s="34">
        <f>SUMIFS('BA History'!H:H,'BA History'!B:B,A2)</f>
        <v>92</v>
      </c>
      <c r="M2" s="2">
        <f>SUMIFS('BA History'!G:G,'BA History'!B:B,A2)-L2</f>
        <v>94</v>
      </c>
      <c r="N2" s="93">
        <f t="shared" ref="N2:N34" si="2">L2/(L2+M2)</f>
        <v>0.4946236559139785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4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2</v>
      </c>
      <c r="AG2" s="2">
        <f>COUNTIFS('BA History'!$B:$B,$A$2,'BA History'!AC:AC, 1)</f>
        <v>0</v>
      </c>
      <c r="AH2" s="2">
        <f>COUNTIFS('BA History'!$B:$B,$A$2,'BA History'!AD:AD, 1)</f>
        <v>2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si="0"/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si="1"/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si="2"/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0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1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2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218</v>
      </c>
      <c r="D5" s="66">
        <f>AVERAGEIFS('BA History'!C:C,'BA History'!B:B,A5)</f>
        <v>12.823529411764707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7</v>
      </c>
      <c r="H5" s="75">
        <f t="shared" si="0"/>
        <v>0.58823529411764708</v>
      </c>
      <c r="I5" s="34">
        <f>SUMIFS('BA History'!F:F,'BA History'!B:B,A5)</f>
        <v>35</v>
      </c>
      <c r="J5" s="2">
        <f>SUMIFS('BA History'!E:E,'BA History'!B:B,A5)-I5</f>
        <v>34</v>
      </c>
      <c r="K5" s="75">
        <f t="shared" si="1"/>
        <v>0.50724637681159424</v>
      </c>
      <c r="L5" s="34">
        <f>SUMIFS('BA History'!H:H,'BA History'!B:B,A5)</f>
        <v>136</v>
      </c>
      <c r="M5" s="2">
        <f>SUMIFS('BA History'!G:G,'BA History'!B:B,A5)-L5</f>
        <v>139</v>
      </c>
      <c r="N5" s="93">
        <f t="shared" si="2"/>
        <v>0.49454545454545457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1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3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0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1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2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364</v>
      </c>
      <c r="D7" s="66">
        <f>AVERAGEIFS('BA History'!C:C,'BA History'!B:B,A7)</f>
        <v>10.705882352941176</v>
      </c>
      <c r="E7" s="35">
        <f t="array" ref="E7">MAX(IF('BA History'!B:B=A7, 'BA History'!C:C))</f>
        <v>20</v>
      </c>
      <c r="F7" s="34">
        <f>COUNTIFS('BA History'!B:B,A7,'BA History'!D:D, 1)</f>
        <v>15</v>
      </c>
      <c r="G7" s="2">
        <f>COUNTIFS('BA History'!B:B,A7,'BA History'!D:D, 0)</f>
        <v>19</v>
      </c>
      <c r="H7" s="75">
        <f t="shared" si="0"/>
        <v>0.44117647058823528</v>
      </c>
      <c r="I7" s="34">
        <f>SUMIFS('BA History'!F:F,'BA History'!B:B,A7)</f>
        <v>67</v>
      </c>
      <c r="J7" s="2">
        <f>SUMIFS('BA History'!E:E,'BA History'!B:B,A7)-I7</f>
        <v>73</v>
      </c>
      <c r="K7" s="75">
        <f t="shared" si="1"/>
        <v>0.47857142857142859</v>
      </c>
      <c r="L7" s="34">
        <f>SUMIFS('BA History'!H:H,'BA History'!B:B,A7)</f>
        <v>291</v>
      </c>
      <c r="M7" s="2">
        <f>SUMIFS('BA History'!G:G,'BA History'!B:B,A7)-L7</f>
        <v>294</v>
      </c>
      <c r="N7" s="93">
        <f t="shared" si="2"/>
        <v>0.49743589743589745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7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0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1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2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511</v>
      </c>
      <c r="D9" s="66">
        <f>AVERAGEIFS('BA History'!C:C,'BA History'!B:B,A9)</f>
        <v>18.925925925925927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14</v>
      </c>
      <c r="H9" s="75">
        <f t="shared" si="0"/>
        <v>0.48148148148148145</v>
      </c>
      <c r="I9" s="34">
        <f>SUMIFS('BA History'!F:F,'BA History'!B:B,A9)</f>
        <v>52</v>
      </c>
      <c r="J9" s="2">
        <f>SUMIFS('BA History'!E:E,'BA History'!B:B,A9)-I9</f>
        <v>60</v>
      </c>
      <c r="K9" s="75">
        <f t="shared" si="1"/>
        <v>0.4642857142857143</v>
      </c>
      <c r="L9" s="34">
        <f>SUMIFS('BA History'!H:H,'BA History'!B:B,A9)</f>
        <v>213</v>
      </c>
      <c r="M9" s="2">
        <f>SUMIFS('BA History'!G:G,'BA History'!B:B,A9)-L9</f>
        <v>246</v>
      </c>
      <c r="N9" s="93">
        <f t="shared" si="2"/>
        <v>0.46405228758169936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2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0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1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2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si="0"/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si="1"/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si="2"/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 t="shared" si="0"/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 t="shared" si="1"/>
        <v>0.35294117647058826</v>
      </c>
      <c r="L13" s="34">
        <f>SUMIFS('BA History'!H:H,'BA History'!B:B,A13)</f>
        <v>52</v>
      </c>
      <c r="M13" s="2">
        <f>SUMIFS('BA History'!G:G,'BA History'!B:B,A13)-L13</f>
        <v>84</v>
      </c>
      <c r="N13" s="93">
        <f t="shared" si="2"/>
        <v>0.38235294117647056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0"/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si="1"/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si="2"/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 t="shared" ref="H15" si="3">F15/(F15+G15)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 t="shared" ref="K15" si="4">I15/(I15+J15)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93">
        <f t="shared" ref="N15" si="5">L15/(L15+M15)</f>
        <v>0.73684210526315785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0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2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0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2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588</v>
      </c>
      <c r="D18" s="66">
        <f>AVERAGEIFS('BA History'!C:C,'BA History'!B:B,A18)</f>
        <v>18.375</v>
      </c>
      <c r="E18" s="35">
        <f t="array" ref="E18">MAX(IF('BA History'!B:B=A18, 'BA History'!C:C))</f>
        <v>31</v>
      </c>
      <c r="F18" s="34">
        <f>COUNTIFS('BA History'!B:B,A18,'BA History'!D:D, 1)</f>
        <v>17</v>
      </c>
      <c r="G18" s="2">
        <f>COUNTIFS('BA History'!B:B,A18,'BA History'!D:D, 0)</f>
        <v>15</v>
      </c>
      <c r="H18" s="75">
        <f t="shared" si="0"/>
        <v>0.53125</v>
      </c>
      <c r="I18" s="34">
        <f>SUMIFS('BA History'!F:F,'BA History'!B:B,A18)</f>
        <v>67</v>
      </c>
      <c r="J18" s="2">
        <f>SUMIFS('BA History'!E:E,'BA History'!B:B,A18)-I18</f>
        <v>61</v>
      </c>
      <c r="K18" s="75">
        <f t="shared" si="1"/>
        <v>0.5234375</v>
      </c>
      <c r="L18" s="34">
        <f>SUMIFS('BA History'!H:H,'BA History'!B:B,A18)</f>
        <v>278</v>
      </c>
      <c r="M18" s="2">
        <f>SUMIFS('BA History'!G:G,'BA History'!B:B,A18)-L18</f>
        <v>259</v>
      </c>
      <c r="N18" s="93">
        <f t="shared" si="2"/>
        <v>0.51769087523277468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5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7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 t="shared" si="0"/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 t="shared" si="1"/>
        <v>0.47272727272727272</v>
      </c>
      <c r="L19" s="34">
        <f>SUMIFS('BA History'!H:H,'BA History'!B:B,A19)</f>
        <v>104</v>
      </c>
      <c r="M19" s="2">
        <f>SUMIFS('BA History'!G:G,'BA History'!B:B,A19)-L19</f>
        <v>113</v>
      </c>
      <c r="N19" s="93">
        <f t="shared" si="2"/>
        <v>0.47926267281105989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411</v>
      </c>
      <c r="D20" s="66">
        <f>AVERAGEIFS('BA History'!C:C,'BA History'!B:B,A20)</f>
        <v>15.807692307692308</v>
      </c>
      <c r="E20" s="35">
        <f t="array" ref="E20">MAX(IF('BA History'!B:B=A20, 'BA History'!C:C))</f>
        <v>31</v>
      </c>
      <c r="F20" s="34">
        <f>COUNTIFS('BA History'!B:B,A20,'BA History'!D:D, 1)</f>
        <v>17</v>
      </c>
      <c r="G20" s="2">
        <f>COUNTIFS('BA History'!B:B,A20,'BA History'!D:D, 0)</f>
        <v>9</v>
      </c>
      <c r="H20" s="75">
        <f t="shared" si="0"/>
        <v>0.65384615384615385</v>
      </c>
      <c r="I20" s="34">
        <f>SUMIFS('BA History'!F:F,'BA History'!B:B,A20)</f>
        <v>57</v>
      </c>
      <c r="J20" s="2">
        <f>SUMIFS('BA History'!E:E,'BA History'!B:B,A20)-I20</f>
        <v>48</v>
      </c>
      <c r="K20" s="75">
        <f t="shared" si="1"/>
        <v>0.54285714285714282</v>
      </c>
      <c r="L20" s="34">
        <f>SUMIFS('BA History'!H:H,'BA History'!B:B,A20)</f>
        <v>231</v>
      </c>
      <c r="M20" s="2">
        <f>SUMIFS('BA History'!G:G,'BA History'!B:B,A20)-L20</f>
        <v>203</v>
      </c>
      <c r="N20" s="93">
        <f t="shared" si="2"/>
        <v>0.532258064516129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5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6</v>
      </c>
      <c r="AE20" s="2">
        <f>COUNTIFS('BA History'!$B:$B,$A$20,'BA History'!AA:AA, 1)</f>
        <v>2</v>
      </c>
      <c r="AF20" s="2">
        <f>COUNTIFS('BA History'!$B:$B,$A$20,'BA History'!AB:AB, 1)</f>
        <v>4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si="0"/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si="1"/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si="2"/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590</v>
      </c>
      <c r="D22" s="66">
        <f>AVERAGEIFS('BA History'!C:C,'BA History'!B:B,A22)</f>
        <v>26.818181818181817</v>
      </c>
      <c r="E22" s="35">
        <f t="array" ref="E22">MAX(IF('BA History'!B:B=A22, 'BA History'!C:C))</f>
        <v>50</v>
      </c>
      <c r="F22" s="34">
        <f>COUNTIFS('BA History'!B:B,A22,'BA History'!D:D, 1)</f>
        <v>10</v>
      </c>
      <c r="G22" s="2">
        <f>COUNTIFS('BA History'!B:B,A22,'BA History'!D:D, 0)</f>
        <v>12</v>
      </c>
      <c r="H22" s="75">
        <f t="shared" si="0"/>
        <v>0.45454545454545453</v>
      </c>
      <c r="I22" s="34">
        <f>SUMIFS('BA History'!F:F,'BA History'!B:B,A22)</f>
        <v>40</v>
      </c>
      <c r="J22" s="2">
        <f>SUMIFS('BA History'!E:E,'BA History'!B:B,A22)-I22</f>
        <v>49</v>
      </c>
      <c r="K22" s="75">
        <f t="shared" si="1"/>
        <v>0.449438202247191</v>
      </c>
      <c r="L22" s="34">
        <f>SUMIFS('BA History'!H:H,'BA History'!B:B,A22)</f>
        <v>170</v>
      </c>
      <c r="M22" s="2">
        <f>SUMIFS('BA History'!G:G,'BA History'!B:B,A22)-L22</f>
        <v>194</v>
      </c>
      <c r="N22" s="93">
        <f t="shared" si="2"/>
        <v>0.46703296703296704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1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2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 t="shared" ref="H23" si="6">F23/(F23+G23)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 t="shared" ref="K23" si="7">I23/(I23+J23)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93">
        <f t="shared" ref="N23" si="8">L23/(L23+M23)</f>
        <v>0.26315789473684209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100" t="s">
        <v>79</v>
      </c>
      <c r="C24" s="34">
        <f>SUMIFS('BA History'!C:C,'BA History'!B:B,A24)</f>
        <v>80</v>
      </c>
      <c r="D24" s="66">
        <f>AVERAGEIFS('BA History'!C:C,'BA History'!B:B,A24)</f>
        <v>13.333333333333334</v>
      </c>
      <c r="E24" s="35">
        <f t="array" ref="E24">MAX(IF('BA History'!B:B=A24, 'BA History'!C:C))</f>
        <v>17</v>
      </c>
      <c r="F24" s="34">
        <f>COUNTIFS('BA History'!B:B,A24,'BA History'!D:D, 1)</f>
        <v>2</v>
      </c>
      <c r="G24" s="2">
        <f>COUNTIFS('BA History'!B:B,A24,'BA History'!D:D, 0)</f>
        <v>4</v>
      </c>
      <c r="H24" s="75">
        <f t="shared" si="0"/>
        <v>0.33333333333333331</v>
      </c>
      <c r="I24" s="34">
        <f>SUMIFS('BA History'!F:F,'BA History'!B:B,A24)</f>
        <v>13</v>
      </c>
      <c r="J24" s="2">
        <f>SUMIFS('BA History'!E:E,'BA History'!B:B,A24)-I24</f>
        <v>15</v>
      </c>
      <c r="K24" s="75">
        <f t="shared" si="1"/>
        <v>0.4642857142857143</v>
      </c>
      <c r="L24" s="34">
        <f>SUMIFS('BA History'!H:H,'BA History'!B:B,A24)</f>
        <v>58</v>
      </c>
      <c r="M24" s="2">
        <f>SUMIFS('BA History'!G:G,'BA History'!B:B,A24)-L24</f>
        <v>57</v>
      </c>
      <c r="N24" s="93">
        <f t="shared" si="2"/>
        <v>0.5043478260869565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2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425</v>
      </c>
      <c r="D25" s="66">
        <f>AVERAGEIFS('BA History'!C:C,'BA History'!B:B,A25)</f>
        <v>18.478260869565219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14</v>
      </c>
      <c r="H25" s="75">
        <f t="shared" si="0"/>
        <v>0.39130434782608697</v>
      </c>
      <c r="I25" s="34">
        <f>SUMIFS('BA History'!F:F,'BA History'!B:B,A25)</f>
        <v>43</v>
      </c>
      <c r="J25" s="2">
        <f>SUMIFS('BA History'!E:E,'BA History'!B:B,A25)-I25</f>
        <v>55</v>
      </c>
      <c r="K25" s="75">
        <f t="shared" si="1"/>
        <v>0.43877551020408162</v>
      </c>
      <c r="L25" s="34">
        <f>SUMIFS('BA History'!H:H,'BA History'!B:B,A25)</f>
        <v>190</v>
      </c>
      <c r="M25" s="2">
        <f>SUMIFS('BA History'!G:G,'BA History'!B:B,A25)-L25</f>
        <v>218</v>
      </c>
      <c r="N25" s="93">
        <f t="shared" si="2"/>
        <v>0.46568627450980393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 t="shared" si="0"/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 t="shared" si="1"/>
        <v>0.44660194174757284</v>
      </c>
      <c r="L26" s="34">
        <f>SUMIFS('BA History'!H:H,'BA History'!B:B,A26)</f>
        <v>198</v>
      </c>
      <c r="M26" s="2">
        <f>SUMIFS('BA History'!G:G,'BA History'!B:B,A26)-L26</f>
        <v>221</v>
      </c>
      <c r="N26" s="93">
        <f t="shared" si="2"/>
        <v>0.47255369928400953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0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2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0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2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 t="shared" si="0"/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 t="shared" si="1"/>
        <v>0.48148148148148145</v>
      </c>
      <c r="L29" s="34">
        <f>SUMIFS('BA History'!H:H,'BA History'!B:B,A29)</f>
        <v>51</v>
      </c>
      <c r="M29" s="2">
        <f>SUMIFS('BA History'!G:G,'BA History'!B:B,A29)-L29</f>
        <v>54</v>
      </c>
      <c r="N29" s="93">
        <f t="shared" si="2"/>
        <v>0.48571428571428571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0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2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0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2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si="0"/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si="1"/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si="2"/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0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2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146</v>
      </c>
      <c r="D34" s="66">
        <f>AVERAGEIFS('BA History'!C:C,'BA History'!B:B,A34)</f>
        <v>13.272727272727273</v>
      </c>
      <c r="E34" s="35">
        <f t="array" ref="E34">MAX(IF('BA History'!B:B=A34, 'BA History'!C:C))</f>
        <v>21</v>
      </c>
      <c r="F34" s="34">
        <f>COUNTIFS('BA History'!B:B,A34,'BA History'!D:D, 1)</f>
        <v>4</v>
      </c>
      <c r="G34" s="2">
        <f>COUNTIFS('BA History'!B:B,A34,'BA History'!D:D, 0)</f>
        <v>7</v>
      </c>
      <c r="H34" s="75">
        <f t="shared" si="0"/>
        <v>0.36363636363636365</v>
      </c>
      <c r="I34" s="34">
        <f>SUMIFS('BA History'!F:F,'BA History'!B:B,A34)</f>
        <v>21</v>
      </c>
      <c r="J34" s="2">
        <f>SUMIFS('BA History'!E:E,'BA History'!B:B,A34)-I34</f>
        <v>23</v>
      </c>
      <c r="K34" s="75">
        <f t="shared" si="1"/>
        <v>0.47727272727272729</v>
      </c>
      <c r="L34" s="34">
        <f>SUMIFS('BA History'!H:H,'BA History'!B:B,A34)</f>
        <v>89</v>
      </c>
      <c r="M34" s="2">
        <f>SUMIFS('BA History'!G:G,'BA History'!B:B,A34)-L34</f>
        <v>96</v>
      </c>
      <c r="N34" s="93">
        <f t="shared" si="2"/>
        <v>0.48108108108108111</v>
      </c>
      <c r="O34" s="2">
        <f>COUNTIFS('BA History'!$B:$B,$A$34,'BA History'!K:K, 1)</f>
        <v>4</v>
      </c>
      <c r="P34" s="2">
        <f>COUNTIFS('BA History'!$B:$B,$A$34,'BA History'!L:L, 1)</f>
        <v>0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1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2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696</v>
      </c>
      <c r="D35" s="66">
        <f>AVERAGEIFS('BA History'!C:C,'BA History'!B:B,A35)</f>
        <v>24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12</v>
      </c>
      <c r="H35" s="75">
        <f t="shared" ref="H35:H55" si="9">F35/(F35+G35)</f>
        <v>0.58620689655172409</v>
      </c>
      <c r="I35" s="34">
        <f>SUMIFS('BA History'!F:F,'BA History'!B:B,A35)</f>
        <v>63</v>
      </c>
      <c r="J35" s="2">
        <f>SUMIFS('BA History'!E:E,'BA History'!B:B,A35)-I35</f>
        <v>49</v>
      </c>
      <c r="K35" s="75">
        <f t="shared" ref="K35:K55" si="10">I35/(I35+J35)</f>
        <v>0.5625</v>
      </c>
      <c r="L35" s="34">
        <f>SUMIFS('BA History'!H:H,'BA History'!B:B,A35)</f>
        <v>249</v>
      </c>
      <c r="M35" s="2">
        <f>SUMIFS('BA History'!G:G,'BA History'!B:B,A35)-L35</f>
        <v>211</v>
      </c>
      <c r="N35" s="93">
        <f t="shared" ref="N35:N55" si="11">L35/(L35+M35)</f>
        <v>0.54130434782608694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10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1104</v>
      </c>
      <c r="D36" s="66">
        <f>AVERAGEIFS('BA History'!C:C,'BA History'!B:B,A36)</f>
        <v>24</v>
      </c>
      <c r="E36" s="35">
        <f t="array" ref="E36">MAX(IF('BA History'!B:B=A36, 'BA History'!C:C))</f>
        <v>37</v>
      </c>
      <c r="F36" s="34">
        <f>COUNTIFS('BA History'!B:B,A36,'BA History'!D:D, 1)</f>
        <v>25</v>
      </c>
      <c r="G36" s="2">
        <f>COUNTIFS('BA History'!B:B,A36,'BA History'!D:D, 0)</f>
        <v>21</v>
      </c>
      <c r="H36" s="75">
        <f t="shared" si="9"/>
        <v>0.54347826086956519</v>
      </c>
      <c r="I36" s="34">
        <f>SUMIFS('BA History'!F:F,'BA History'!B:B,A36)</f>
        <v>99</v>
      </c>
      <c r="J36" s="2">
        <f>SUMIFS('BA History'!E:E,'BA History'!B:B,A36)-I36</f>
        <v>89</v>
      </c>
      <c r="K36" s="75">
        <f t="shared" si="10"/>
        <v>0.52659574468085102</v>
      </c>
      <c r="L36" s="34">
        <f>SUMIFS('BA History'!H:H,'BA History'!B:B,A36)</f>
        <v>397</v>
      </c>
      <c r="M36" s="2">
        <f>SUMIFS('BA History'!G:G,'BA History'!B:B,A36)-L36</f>
        <v>383</v>
      </c>
      <c r="N36" s="93">
        <f t="shared" si="11"/>
        <v>0.50897435897435894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7</v>
      </c>
      <c r="R36" s="2">
        <f>COUNTIFS('BA History'!$B:$B,$A$36,'BA History'!N:N, 1)</f>
        <v>7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6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8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8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 t="shared" si="9"/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 t="shared" si="10"/>
        <v>0.65573770491803274</v>
      </c>
      <c r="L37" s="34">
        <f>SUMIFS('BA History'!H:H,'BA History'!B:B,A37)</f>
        <v>149</v>
      </c>
      <c r="M37" s="2">
        <f>SUMIFS('BA History'!G:G,'BA History'!B:B,A37)-L37</f>
        <v>113</v>
      </c>
      <c r="N37" s="93">
        <f t="shared" si="11"/>
        <v>0.56870229007633588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82</v>
      </c>
      <c r="D39" s="66">
        <f>AVERAGEIFS('BA History'!C:C,'BA History'!B:B,A39)</f>
        <v>13.666666666666666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3</v>
      </c>
      <c r="H39" s="75">
        <f t="shared" si="9"/>
        <v>0.5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 t="shared" si="10"/>
        <v>0.45454545454545453</v>
      </c>
      <c r="L39" s="34">
        <f>SUMIFS('BA History'!H:H,'BA History'!B:B,A39)</f>
        <v>45</v>
      </c>
      <c r="M39" s="2">
        <f>SUMIFS('BA History'!G:G,'BA History'!B:B,A39)-L39</f>
        <v>46</v>
      </c>
      <c r="N39" s="93">
        <f t="shared" si="11"/>
        <v>0.49450549450549453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43</v>
      </c>
      <c r="D40" s="66">
        <f>AVERAGEIFS('BA History'!C:C,'BA History'!B:B,A40)</f>
        <v>10.75</v>
      </c>
      <c r="E40" s="35">
        <f t="array" ref="E40">MAX(IF('BA History'!B:B=A40, 'BA History'!C:C))</f>
        <v>13</v>
      </c>
      <c r="F40" s="34">
        <f>COUNTIFS('BA History'!B:B,A40,'BA History'!D:D, 1)</f>
        <v>3</v>
      </c>
      <c r="G40" s="2">
        <f>COUNTIFS('BA History'!B:B,A40,'BA History'!D:D, 0)</f>
        <v>1</v>
      </c>
      <c r="H40" s="75">
        <f t="shared" ref="H40" si="12">F40/(F40+G40)</f>
        <v>0.75</v>
      </c>
      <c r="I40" s="34">
        <f>SUMIFS('BA History'!F:F,'BA History'!B:B,A40)</f>
        <v>9</v>
      </c>
      <c r="J40" s="2">
        <f>SUMIFS('BA History'!E:E,'BA History'!B:B,A40)-I40</f>
        <v>8</v>
      </c>
      <c r="K40" s="75">
        <f t="shared" ref="K40" si="13">I40/(I40+J40)</f>
        <v>0.52941176470588236</v>
      </c>
      <c r="L40" s="34">
        <f>SUMIFS('BA History'!H:H,'BA History'!B:B,A40)</f>
        <v>36</v>
      </c>
      <c r="M40" s="2">
        <f>SUMIFS('BA History'!G:G,'BA History'!B:B,A40)-L40</f>
        <v>36</v>
      </c>
      <c r="N40" s="93">
        <f t="shared" ref="N40" si="14">L40/(L40+M40)</f>
        <v>0.5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796</v>
      </c>
      <c r="D41" s="66">
        <f>AVERAGEIFS('BA History'!C:C,'BA History'!B:B,A41)</f>
        <v>18.09090909090909</v>
      </c>
      <c r="E41" s="35">
        <f t="array" ref="E41">MAX(IF('BA History'!B:B=A41, 'BA History'!C:C))</f>
        <v>35</v>
      </c>
      <c r="F41" s="34">
        <f>COUNTIFS('BA History'!B:B,A41,'BA History'!D:D, 1)</f>
        <v>18</v>
      </c>
      <c r="G41" s="2">
        <f>COUNTIFS('BA History'!B:B,A41,'BA History'!D:D, 0)</f>
        <v>26</v>
      </c>
      <c r="H41" s="75">
        <f t="shared" si="9"/>
        <v>0.40909090909090912</v>
      </c>
      <c r="I41" s="34">
        <f>SUMIFS('BA History'!F:F,'BA History'!B:B,A41)</f>
        <v>86</v>
      </c>
      <c r="J41" s="2">
        <f>SUMIFS('BA History'!E:E,'BA History'!B:B,A41)-I41</f>
        <v>95</v>
      </c>
      <c r="K41" s="75">
        <f t="shared" si="10"/>
        <v>0.47513812154696133</v>
      </c>
      <c r="L41" s="34">
        <f>SUMIFS('BA History'!H:H,'BA History'!B:B,A41)</f>
        <v>357</v>
      </c>
      <c r="M41" s="2">
        <f>SUMIFS('BA History'!G:G,'BA History'!B:B,A41)-L41</f>
        <v>383</v>
      </c>
      <c r="N41" s="93">
        <f t="shared" si="11"/>
        <v>0.48243243243243245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10</v>
      </c>
      <c r="R41" s="2">
        <f>COUNTIFS('BA History'!$B:$B,$A$41,'BA History'!N:N, 1)</f>
        <v>10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3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4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12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161</v>
      </c>
      <c r="D42" s="66">
        <f>AVERAGEIFS('BA History'!C:C,'BA History'!B:B,A42)</f>
        <v>10.0625</v>
      </c>
      <c r="E42" s="35">
        <f t="array" ref="E42">MAX(IF('BA History'!B:B=A42, 'BA History'!C:C))</f>
        <v>21</v>
      </c>
      <c r="F42" s="34">
        <f>COUNTIFS('BA History'!B:B,A42,'BA History'!D:D, 1)</f>
        <v>9</v>
      </c>
      <c r="G42" s="2">
        <f>COUNTIFS('BA History'!B:B,A42,'BA History'!D:D, 0)</f>
        <v>7</v>
      </c>
      <c r="H42" s="75">
        <f t="shared" si="9"/>
        <v>0.5625</v>
      </c>
      <c r="I42" s="34">
        <f>SUMIFS('BA History'!F:F,'BA History'!B:B,A42)</f>
        <v>34</v>
      </c>
      <c r="J42" s="2">
        <f>SUMIFS('BA History'!E:E,'BA History'!B:B,A42)-I42</f>
        <v>28</v>
      </c>
      <c r="K42" s="75">
        <f t="shared" si="10"/>
        <v>0.54838709677419351</v>
      </c>
      <c r="L42" s="34">
        <f>SUMIFS('BA History'!H:H,'BA History'!B:B,A42)</f>
        <v>128</v>
      </c>
      <c r="M42" s="2">
        <f>SUMIFS('BA History'!G:G,'BA History'!B:B,A42)-L42</f>
        <v>121</v>
      </c>
      <c r="N42" s="93">
        <f t="shared" si="11"/>
        <v>0.51405622489959835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3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5</v>
      </c>
      <c r="AE42" s="2">
        <f>COUNTIFS('BA History'!$B:$B,$A$42,'BA History'!AA:AA, 1)</f>
        <v>0</v>
      </c>
      <c r="AF42" s="2">
        <f>COUNTIFS('BA History'!$B:$B,$A$42,'BA History'!AB:AB, 1)</f>
        <v>6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507</v>
      </c>
      <c r="D43" s="66">
        <f>AVERAGEIFS('BA History'!C:C,'BA History'!B:B,A43)</f>
        <v>20.28</v>
      </c>
      <c r="E43" s="35">
        <f t="array" ref="E43">MAX(IF('BA History'!B:B=A43, 'BA History'!C:C))</f>
        <v>32</v>
      </c>
      <c r="F43" s="34">
        <f>COUNTIFS('BA History'!B:B,A43,'BA History'!D:D, 1)</f>
        <v>11</v>
      </c>
      <c r="G43" s="2">
        <f>COUNTIFS('BA History'!B:B,A43,'BA History'!D:D, 0)</f>
        <v>14</v>
      </c>
      <c r="H43" s="75">
        <f t="shared" si="9"/>
        <v>0.44</v>
      </c>
      <c r="I43" s="34">
        <f>SUMIFS('BA History'!F:F,'BA History'!B:B,A43)</f>
        <v>48</v>
      </c>
      <c r="J43" s="2">
        <f>SUMIFS('BA History'!E:E,'BA History'!B:B,A43)-I43</f>
        <v>52</v>
      </c>
      <c r="K43" s="75">
        <f t="shared" si="10"/>
        <v>0.48</v>
      </c>
      <c r="L43" s="34">
        <f>SUMIFS('BA History'!H:H,'BA History'!B:B,A43)</f>
        <v>200</v>
      </c>
      <c r="M43" s="2">
        <f>SUMIFS('BA History'!G:G,'BA History'!B:B,A43)-L43</f>
        <v>213</v>
      </c>
      <c r="N43" s="93">
        <f t="shared" si="11"/>
        <v>0.48426150121065376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6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5</v>
      </c>
      <c r="AE43" s="2">
        <f>COUNTIFS('BA History'!$B:$B,$A$43,'BA History'!AA:AA, 1)</f>
        <v>1</v>
      </c>
      <c r="AF43" s="2">
        <f>COUNTIFS('BA History'!$B:$B,$A$43,'BA History'!AB:AB, 1)</f>
        <v>6</v>
      </c>
      <c r="AG43" s="2">
        <f>COUNTIFS('BA History'!$B:$B,$A$43,'BA History'!AC:AC, 1)</f>
        <v>5</v>
      </c>
      <c r="AH43" s="2">
        <f>COUNTIFS('BA History'!$B:$B,$A$43,'BA History'!AD:AD, 1)</f>
        <v>6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 t="shared" si="9"/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 t="shared" si="10"/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93">
        <f t="shared" si="11"/>
        <v>0.47368421052631576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 t="shared" si="9"/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 t="shared" si="10"/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93">
        <f t="shared" si="11"/>
        <v>0.4375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 t="shared" si="9"/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 t="shared" si="10"/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93">
        <f t="shared" si="11"/>
        <v>0.5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995</v>
      </c>
      <c r="D47" s="66">
        <f>AVERAGEIFS('BA History'!C:C,'BA History'!B:B,A47)</f>
        <v>22.111111111111111</v>
      </c>
      <c r="E47" s="35">
        <f t="array" ref="E47">MAX(IF('BA History'!B:B=A47, 'BA History'!C:C))</f>
        <v>37</v>
      </c>
      <c r="F47" s="34">
        <f>COUNTIFS('BA History'!B:B,A47,'BA History'!D:D, 1)</f>
        <v>29</v>
      </c>
      <c r="G47" s="2">
        <f>COUNTIFS('BA History'!B:B,A47,'BA History'!D:D, 0)</f>
        <v>16</v>
      </c>
      <c r="H47" s="75">
        <f t="shared" si="9"/>
        <v>0.64444444444444449</v>
      </c>
      <c r="I47" s="34">
        <f>SUMIFS('BA History'!F:F,'BA History'!B:B,A47)</f>
        <v>101</v>
      </c>
      <c r="J47" s="2">
        <f>SUMIFS('BA History'!E:E,'BA History'!B:B,A47)-I47</f>
        <v>80</v>
      </c>
      <c r="K47" s="75">
        <f t="shared" si="10"/>
        <v>0.55801104972375692</v>
      </c>
      <c r="L47" s="34">
        <f>SUMIFS('BA History'!H:H,'BA History'!B:B,A47)</f>
        <v>401</v>
      </c>
      <c r="M47" s="2">
        <f>SUMIFS('BA History'!G:G,'BA History'!B:B,A47)-L47</f>
        <v>350</v>
      </c>
      <c r="N47" s="93">
        <f t="shared" si="11"/>
        <v>0.53395472703062585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8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4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14</v>
      </c>
      <c r="AE47" s="2">
        <f>COUNTIFS('BA History'!$B:$B,$A$47,'BA History'!AA:AA, 1)</f>
        <v>1</v>
      </c>
      <c r="AF47" s="2">
        <f>COUNTIFS('BA History'!$B:$B,$A$47,'BA History'!AB:AB, 1)</f>
        <v>10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 t="shared" si="9"/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 t="shared" si="10"/>
        <v>0.73076923076923073</v>
      </c>
      <c r="L48" s="34">
        <f>SUMIFS('BA History'!H:H,'BA History'!B:B,A48)</f>
        <v>66</v>
      </c>
      <c r="M48" s="2">
        <f>SUMIFS('BA History'!G:G,'BA History'!B:B,A48)-L48</f>
        <v>44</v>
      </c>
      <c r="N48" s="93">
        <f t="shared" si="11"/>
        <v>0.6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338</v>
      </c>
      <c r="D49" s="66">
        <f>AVERAGEIFS('BA History'!C:C,'BA History'!B:B,A49)</f>
        <v>16.095238095238095</v>
      </c>
      <c r="E49" s="35">
        <f t="array" ref="E49">MAX(IF('BA History'!B:B=A49, 'BA History'!C:C))</f>
        <v>28</v>
      </c>
      <c r="F49" s="34">
        <f>COUNTIFS('BA History'!B:B,A49,'BA History'!D:D, 1)</f>
        <v>10</v>
      </c>
      <c r="G49" s="2">
        <f>COUNTIFS('BA History'!B:B,A49,'BA History'!D:D, 0)</f>
        <v>11</v>
      </c>
      <c r="H49" s="75">
        <f t="shared" si="9"/>
        <v>0.47619047619047616</v>
      </c>
      <c r="I49" s="34">
        <f>SUMIFS('BA History'!F:F,'BA History'!B:B,A49)</f>
        <v>42</v>
      </c>
      <c r="J49" s="2">
        <f>SUMIFS('BA History'!E:E,'BA History'!B:B,A49)-I49</f>
        <v>40</v>
      </c>
      <c r="K49" s="75">
        <f t="shared" si="10"/>
        <v>0.51219512195121952</v>
      </c>
      <c r="L49" s="34">
        <f>SUMIFS('BA History'!H:H,'BA History'!B:B,A49)</f>
        <v>163</v>
      </c>
      <c r="M49" s="2">
        <f>SUMIFS('BA History'!G:G,'BA History'!B:B,A49)-L49</f>
        <v>162</v>
      </c>
      <c r="N49" s="93">
        <f t="shared" si="11"/>
        <v>0.50153846153846149</v>
      </c>
      <c r="O49" s="2">
        <f>COUNTIFS('BA History'!$B:$B,$A$49,'BA History'!K:K, 1)</f>
        <v>2</v>
      </c>
      <c r="P49" s="2">
        <f>COUNTIFS('BA History'!$B:$B,$A$49,'BA History'!L:L, 1)</f>
        <v>1</v>
      </c>
      <c r="Q49" s="2">
        <f>COUNTIFS('BA History'!$B:$B,$A$49,'BA History'!M:M, 1)</f>
        <v>9</v>
      </c>
      <c r="R49" s="2">
        <f>COUNTIFS('BA History'!$B:$B,$A$49,'BA History'!N:N, 1)</f>
        <v>4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2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2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256</v>
      </c>
      <c r="D50" s="66">
        <f>AVERAGEIFS('BA History'!C:C,'BA History'!B:B,A50)</f>
        <v>17.066666666666666</v>
      </c>
      <c r="E50" s="35">
        <f t="array" ref="E50">MAX(IF('BA History'!B:B=A50, 'BA History'!C:C))</f>
        <v>27</v>
      </c>
      <c r="F50" s="34">
        <f>COUNTIFS('BA History'!B:B,A50,'BA History'!D:D, 1)</f>
        <v>8</v>
      </c>
      <c r="G50" s="2">
        <f>COUNTIFS('BA History'!B:B,A50,'BA History'!D:D, 0)</f>
        <v>7</v>
      </c>
      <c r="H50" s="75">
        <f t="shared" si="9"/>
        <v>0.53333333333333333</v>
      </c>
      <c r="I50" s="34">
        <f>SUMIFS('BA History'!F:F,'BA History'!B:B,A50)</f>
        <v>32</v>
      </c>
      <c r="J50" s="2">
        <f>SUMIFS('BA History'!E:E,'BA History'!B:B,A50)-I50</f>
        <v>31</v>
      </c>
      <c r="K50" s="75">
        <f t="shared" si="10"/>
        <v>0.50793650793650791</v>
      </c>
      <c r="L50" s="34">
        <f>SUMIFS('BA History'!H:H,'BA History'!B:B,A50)</f>
        <v>134</v>
      </c>
      <c r="M50" s="2">
        <f>SUMIFS('BA History'!G:G,'BA History'!B:B,A50)-L50</f>
        <v>124</v>
      </c>
      <c r="N50" s="93">
        <f t="shared" si="11"/>
        <v>0.51937984496124034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4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 t="shared" si="9"/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 t="shared" si="10"/>
        <v>0.6</v>
      </c>
      <c r="L51" s="34">
        <f>SUMIFS('BA History'!H:H,'BA History'!B:B,A51)</f>
        <v>56</v>
      </c>
      <c r="M51" s="2">
        <f>SUMIFS('BA History'!G:G,'BA History'!B:B,A51)-L51</f>
        <v>49</v>
      </c>
      <c r="N51" s="93">
        <f t="shared" si="11"/>
        <v>0.53333333333333333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516</v>
      </c>
      <c r="D52" s="66">
        <f>AVERAGEIFS('BA History'!C:C,'BA History'!B:B,A52)</f>
        <v>23.454545454545453</v>
      </c>
      <c r="E52" s="35">
        <f t="array" ref="E52">MAX(IF('BA History'!B:B=A52, 'BA History'!C:C))</f>
        <v>41</v>
      </c>
      <c r="F52" s="34">
        <f>COUNTIFS('BA History'!B:B,A52,'BA History'!D:D, 1)</f>
        <v>5</v>
      </c>
      <c r="G52" s="2">
        <f>COUNTIFS('BA History'!B:B,A52,'BA History'!D:D, 0)</f>
        <v>17</v>
      </c>
      <c r="H52" s="75">
        <f t="shared" si="9"/>
        <v>0.22727272727272727</v>
      </c>
      <c r="I52" s="34">
        <f>SUMIFS('BA History'!F:F,'BA History'!B:B,A52)</f>
        <v>35</v>
      </c>
      <c r="J52" s="2">
        <f>SUMIFS('BA History'!E:E,'BA History'!B:B,A52)-I52</f>
        <v>55</v>
      </c>
      <c r="K52" s="75">
        <f t="shared" si="10"/>
        <v>0.3888888888888889</v>
      </c>
      <c r="L52" s="34">
        <f>SUMIFS('BA History'!H:H,'BA History'!B:B,A52)</f>
        <v>160</v>
      </c>
      <c r="M52" s="2">
        <f>SUMIFS('BA History'!G:G,'BA History'!B:B,A52)-L52</f>
        <v>204</v>
      </c>
      <c r="N52" s="93">
        <f t="shared" si="11"/>
        <v>0.43956043956043955</v>
      </c>
      <c r="O52" s="2">
        <f>COUNTIFS('BA History'!$B:$B,$A$52,'BA History'!K:K, 1)</f>
        <v>1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2</v>
      </c>
      <c r="AG52" s="2">
        <f>COUNTIFS('BA History'!$B:$B,$A$52,'BA History'!AC:AC, 1)</f>
        <v>3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424</v>
      </c>
      <c r="D53" s="66">
        <f>AVERAGEIFS('BA History'!C:C,'BA History'!B:B,A53)</f>
        <v>16.307692307692307</v>
      </c>
      <c r="E53" s="35">
        <f t="array" ref="E53">MAX(IF('BA History'!B:B=A53, 'BA History'!C:C))</f>
        <v>29</v>
      </c>
      <c r="F53" s="34">
        <f>COUNTIFS('BA History'!B:B,A53,'BA History'!D:D, 1)</f>
        <v>16</v>
      </c>
      <c r="G53" s="2">
        <f>COUNTIFS('BA History'!B:B,A53,'BA History'!D:D, 0)</f>
        <v>10</v>
      </c>
      <c r="H53" s="75">
        <f t="shared" si="9"/>
        <v>0.61538461538461542</v>
      </c>
      <c r="I53" s="34">
        <f>SUMIFS('BA History'!F:F,'BA History'!B:B,A53)</f>
        <v>60</v>
      </c>
      <c r="J53" s="2">
        <f>SUMIFS('BA History'!E:E,'BA History'!B:B,A53)-I53</f>
        <v>47</v>
      </c>
      <c r="K53" s="75">
        <f t="shared" si="10"/>
        <v>0.56074766355140182</v>
      </c>
      <c r="L53" s="34">
        <f>SUMIFS('BA History'!H:H,'BA History'!B:B,A53)</f>
        <v>240</v>
      </c>
      <c r="M53" s="2">
        <f>SUMIFS('BA History'!G:G,'BA History'!B:B,A53)-L53</f>
        <v>203</v>
      </c>
      <c r="N53" s="93">
        <f t="shared" si="11"/>
        <v>0.54176072234762984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7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3</v>
      </c>
      <c r="AG53" s="2">
        <f>COUNTIFS('BA History'!$B:$B,$A$53,'BA History'!AC:AC, 1)</f>
        <v>3</v>
      </c>
      <c r="AH53" s="2">
        <f>COUNTIFS('BA History'!$B:$B,$A$53,'BA History'!AD:AD, 1)</f>
        <v>5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 t="shared" si="9"/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 t="shared" si="10"/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93">
        <f t="shared" si="11"/>
        <v>0.52380952380952384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6">
        <f t="shared" si="9"/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6">
        <f t="shared" si="10"/>
        <v>0</v>
      </c>
      <c r="L55" s="34">
        <f>SUMIFS('BA History'!H:H,'BA History'!B:B,A55)</f>
        <v>4</v>
      </c>
      <c r="M55" s="48">
        <v>9</v>
      </c>
      <c r="N55" s="94">
        <f t="shared" si="11"/>
        <v>0.30769230769230771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689"/>
  <sheetViews>
    <sheetView tabSelected="1" workbookViewId="0">
      <pane xSplit="2" ySplit="1" topLeftCell="C644" activePane="bottomRight" state="frozen"/>
      <selection pane="topRight" activeCell="C1" sqref="C1"/>
      <selection pane="bottomLeft" activeCell="A2" sqref="A2"/>
      <selection pane="bottomRight" activeCell="G694" sqref="G69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AVERAGEIFS($I$2:J2, $B$2:C2, C2)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AVERAGEIFS($I$2:J3, $B$2:C3, C3)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AVERAGEIFS($I$2:J4, $B$2:C4, C4)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AVERAGEIFS($I$2:J5, $B$2:C5, C5)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AVERAGEIFS($I$2:J6, $B$2:C6, C6)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AVERAGEIFS($I$2:J7, $B$2:C7, C7)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AVERAGEIFS($I$2:J8, $B$2:C8, C8)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AVERAGEIFS($I$2:J9, $B$2:C9, C9)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AVERAGEIFS($I$2:J10, $B$2:C10, C10)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AVERAGEIFS($I$2:J11, $B$2:C11, C11)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AVERAGEIFS($I$2:J12, $B$2:C12, C12)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AVERAGEIFS($I$2:J13, $B$2:C13, C13)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AVERAGEIFS($I$2:J14, $B$2:C14, C14)</f>
        <v>0.48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AVERAGEIFS($I$2:J15, $B$2:C15, C15)</f>
        <v>0.48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AVERAGEIFS($I$2:J16, $B$2:C16, C16)</f>
        <v>0.57499999999999996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AVERAGEIFS($I$2:J17, $B$2:C17, C17)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AVERAGEIFS($I$2:J18, $B$2:C18, C18)</f>
        <v>0.48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AVERAGEIFS($I$2:J19, $B$2:C19, C19)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AVERAGEIFS($I$2:J20, $B$2:C20, C20)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AVERAGEIFS($I$2:J21, $B$2:C21, C21)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AVERAGEIFS($I$2:J22, $B$2:C22, C22)</f>
        <v>0.52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AVERAGEIFS($I$2:J23, $B$2:C23, C23)</f>
        <v>0.52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AVERAGEIFS($I$2:J24, $B$2:C24, C24)</f>
        <v>0.52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AVERAGEIFS($I$2:J25, $B$2:C25, C25)</f>
        <v>0.52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AVERAGEIFS($I$2:J26, $B$2:C26, C26)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AVERAGEIFS($I$2:J27, $B$2:C27, C27)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AVERAGEIFS($I$2:J28, $B$2:C28, C28)</f>
        <v>0.52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AVERAGEIFS($I$2:J29, $B$2:C29, C29)</f>
        <v>0.58333333333333337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AVERAGEIFS($I$2:J30, $B$2:C30, C30)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AVERAGEIFS($I$2:J31, $B$2:C31, C31)</f>
        <v>0.6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AVERAGEIFS($I$2:J32, $B$2:C32, C32)</f>
        <v>0.6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AVERAGEIFS($I$2:J33, $B$2:C33, C33)</f>
        <v>0.6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AVERAGEIFS($I$2:J34, $B$2:C34, C34)</f>
        <v>0.63500000000000001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AVERAGEIFS($I$2:J35, $B$2:C35, C35)</f>
        <v>0.4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AVERAGEIFS($I$2:J36, $B$2:C36, C36)</f>
        <v>0.53333333333333333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AVERAGEIFS($I$2:J37, $B$2:C37, C37)</f>
        <v>0.4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AVERAGEIFS($I$2:J38, $B$2:C38, C38)</f>
        <v>0.55666666666666664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AVERAGEIFS($I$2:J39, $B$2:C39, C39)</f>
        <v>0.36499999999999999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AVERAGEIFS($I$2:J40, $B$2:C40, C40)</f>
        <v>0.36499999999999999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AVERAGEIFS($I$2:J41, $B$2:C41, C41)</f>
        <v>0.61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AVERAGEIFS($I$2:J42, $B$2:C42, C42)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AVERAGEIFS($I$2:J43, $B$2:C43, C43)</f>
        <v>0.69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AVERAGEIFS($I$2:J44, $B$2:C44, C44)</f>
        <v>0.62666666666666659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AVERAGEIFS($I$2:J45, $B$2:C45, C45)</f>
        <v>0.47333333333333333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AVERAGEIFS($I$2:J46, $B$2:C46, C46)</f>
        <v>0.58499999999999996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AVERAGEIFS($I$2:J47, $B$2:C47, C47)</f>
        <v>0.55000000000000004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AVERAGEIFS($I$2:J48, $B$2:C48, C48)</f>
        <v>0.35499999999999998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AVERAGEIFS($I$2:J49, $B$2:C49, C49)</f>
        <v>0.38666666666666671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AVERAGEIFS($I$2:J50, $B$2:C50, C50)</f>
        <v>0.41500000000000004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AVERAGEIFS($I$2:J51, $B$2:C51, C51)</f>
        <v>0.32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AVERAGEIFS($I$2:J52, $B$2:C52, C52)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AVERAGEIFS($I$2:J53, $B$2:C53, C53)</f>
        <v>0.64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AVERAGEIFS($I$2:J54, $B$2:C54, C54)</f>
        <v>0.61599999999999999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AVERAGEIFS($I$2:J55, $B$2:C55, C55)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AVERAGEIFS($I$2:J56, $B$2:C56, C56)</f>
        <v>0.64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AVERAGEIFS($I$2:J57, $B$2:C57, C57)</f>
        <v>0.51500000000000001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AVERAGEIFS($I$2:J58, $B$2:C58, C58)</f>
        <v>0.42666666666666669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AVERAGEIFS($I$2:J59, $B$2:C59, C59)</f>
        <v>0.50250000000000006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AVERAGEIFS($I$2:J60, $B$2:C60, C60)</f>
        <v>0.35666666666666663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AVERAGEIFS($I$2:J61, $B$2:C61, C61)</f>
        <v>0.38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AVERAGEIFS($I$2:J62, $B$2:C62, C62)</f>
        <v>0.55999999999999994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AVERAGEIFS($I$2:J63, $B$2:C63, C63)</f>
        <v>0.42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AVERAGEIFS($I$2:J64, $B$2:C64, C64)</f>
        <v>0.51500000000000001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AVERAGEIFS($I$2:J65, $B$2:C65, C65)</f>
        <v>0.73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AVERAGEIFS($I$2:J66, $B$2:C66, C66)</f>
        <v>0.47249999999999992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AVERAGEIFS($I$2:J67, $B$2:C67, C67)</f>
        <v>0.62249999999999994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AVERAGEIFS($I$2:J68, $B$2:C68, C68)</f>
        <v>0.66199999999999992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AVERAGEIFS($I$2:J69, $B$2:C69, C69)</f>
        <v>0.6166666666666667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AVERAGEIFS($I$2:J70, $B$2:C70, C70)</f>
        <v>0.64999999999999991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AVERAGEIFS($I$2:J71, $B$2:C71, C71)</f>
        <v>0.35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AVERAGEIFS($I$2:J72, $B$2:C72, C72)</f>
        <v>0.33999999999999997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AVERAGEIFS($I$2:J73, $B$2:C73, C73)</f>
        <v>0.30333333333333329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AVERAGEIFS($I$2:J74, $B$2:C74, C74)</f>
        <v>0.49333333333333323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AVERAGEIFS($I$2:J75, $B$2:C75, C75)</f>
        <v>0.32999999999999996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AVERAGEIFS($I$2:J76, $B$2:C76, C76)</f>
        <v>0.245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AVERAGEIFS($I$2:J77, $B$2:C77, C77)</f>
        <v>0.53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AVERAGEIFS($I$2:J78, $B$2:C78, C78)</f>
        <v>0.60166666666666668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AVERAGEIFS($I$2:J79, $B$2:C79, C79)</f>
        <v>0.61499999999999999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AVERAGEIFS($I$2:J80, $B$2:C80, C80)</f>
        <v>0.66333333333333333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AVERAGEIFS($I$2:J81, $B$2:C81, C81)</f>
        <v>0.55399999999999994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AVERAGEIFS($I$2:J82, $B$2:C82, C82)</f>
        <v>0.45250000000000001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AVERAGEIFS($I$2:J83, $B$2:C83, C83)</f>
        <v>0.435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AVERAGEIFS($I$2:J84, $B$2:C84, C84)</f>
        <v>0.49600000000000011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AVERAGEIFS($I$2:J85, $B$2:C85, C85)</f>
        <v>0.61499999999999999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AVERAGEIFS($I$2:J86, $B$2:C86, C86)</f>
        <v>0.53999999999999992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AVERAGEIFS($I$2:J87, $B$2:C87, C87)</f>
        <v>0.53499999999999992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AVERAGEIFS($I$2:J88, $B$2:C88, C88)</f>
        <v>0.54666666666666663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AVERAGEIFS($I$2:J89, $B$2:C89, C89)</f>
        <v>0.61199999999999999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AVERAGEIFS($I$2:J90, $B$2:C90, C90)</f>
        <v>0.61199999999999999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AVERAGEIFS($I$2:J91, $B$2:C91, C91)</f>
        <v>0.49799999999999994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AVERAGEIFS($I$2:J92, $B$2:C92, C92)</f>
        <v>0.48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AVERAGEIFS($I$2:J93, $B$2:C93, C93)</f>
        <v>0.55666666666666664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AVERAGEIFS($I$2:J94, $B$2:C94, C94)</f>
        <v>0.48200000000000004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AVERAGEIFS($I$2:J95, $B$2:C95, C95)</f>
        <v>0.48000000000000004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AVERAGEIFS($I$2:J96, $B$2:C96, C96)</f>
        <v>0.54499999999999993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AVERAGEIFS($I$2:J97, $B$2:C97, C97)</f>
        <v>0.49666666666666659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AVERAGEIFS($I$2:J98, $B$2:C98, C98)</f>
        <v>0.44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AVERAGEIFS($I$2:J99, $B$2:C99, C99)</f>
        <v>0.49199999999999999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AVERAGEIFS($I$2:J100, $B$2:C100, C100)</f>
        <v>0.32750000000000001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AVERAGEIFS($I$2:J101, $B$2:C101, C101)</f>
        <v>0.59666666666666668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AVERAGEIFS($I$2:J102, $B$2:C102, C102)</f>
        <v>0.50249999999999995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AVERAGEIFS($I$2:J103, $B$2:C103, C103)</f>
        <v>0.54749999999999999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AVERAGEIFS($I$2:J104, $B$2:C104, C104)</f>
        <v>0.46666666666666662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AVERAGEIFS($I$2:J105, $B$2:C105, C105)</f>
        <v>0.49666666666666665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AVERAGEIFS($I$2:J106, $B$2:C106, C106)</f>
        <v>0.48000000000000004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AVERAGEIFS($I$2:J107, $B$2:C107, C107)</f>
        <v>0.39333333333333331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AVERAGEIFS($I$2:J108, $B$2:C108, C108)</f>
        <v>0.47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AVERAGEIFS($I$2:J109, $B$2:C109, C109)</f>
        <v>0.4366666666666667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AVERAGEIFS($I$2:J110, $B$2:C110, C110)</f>
        <v>0.35799999999999998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AVERAGEIFS($I$2:J111, $B$2:C111, C111)</f>
        <v>0.49125000000000002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AVERAGEIFS($I$2:J112, $B$2:C112, C112)</f>
        <v>0.37833333333333335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AVERAGEIFS($I$2:J113, $B$2:C113, C113)</f>
        <v>0.54428571428571415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AVERAGEIFS($I$2:J114, $B$2:C114, C114)</f>
        <v>0.48999999999999994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AVERAGEIFS($I$2:J115, $B$2:C115, C115)</f>
        <v>0.55249999999999999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AVERAGEIFS($I$2:J116, $B$2:C116, C116)</f>
        <v>0.48666666666666664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AVERAGEIFS($I$2:J117, $B$2:C117, C117)</f>
        <v>0.38571428571428573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AVERAGEIFS($I$2:J118, $B$2:C118, C118)</f>
        <v>0.46749999999999997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AVERAGEIFS($I$2:J119, $B$2:C119, C119)</f>
        <v>0.57000000000000006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AVERAGEIFS($I$2:J120, $B$2:C120, C120)</f>
        <v>0.54200000000000004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AVERAGEIFS($I$2:J121, $B$2:C121, C121)</f>
        <v>0.40500000000000003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AVERAGEIFS($I$2:J122, $B$2:C122, C122)</f>
        <v>0.42000000000000004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AVERAGEIFS($I$2:J123, $B$2:C123, C123)</f>
        <v>0.43500000000000005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AVERAGEIFS($I$2:J124, $B$2:C124, C124)</f>
        <v>0.47000000000000003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AVERAGEIFS($I$2:J125, $B$2:C125, C125)</f>
        <v>0.54600000000000004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AVERAGEIFS($I$2:J126, $B$2:C126, C126)</f>
        <v>0.51500000000000001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AVERAGEIFS($I$2:J127, $B$2:C127, C127)</f>
        <v>0.48285714285714282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AVERAGEIFS($I$2:J128, $B$2:C128, C128)</f>
        <v>0.48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AVERAGEIFS($I$2:J129, $B$2:C129, C129)</f>
        <v>0.48499999999999993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AVERAGEIFS($I$2:J130, $B$2:C130, C130)</f>
        <v>0.46750000000000003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AVERAGEIFS($I$2:J131, $B$2:C131, C131)</f>
        <v>0.51444444444444448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AVERAGEIFS($I$2:J132, $B$2:C132, C132)</f>
        <v>0.45700000000000002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AVERAGEIFS($I$2:J133, $B$2:C133, C133)</f>
        <v>0.52857142857142858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AVERAGEIFS($I$2:J134, $B$2:C134, C134)</f>
        <v>0.53857142857142859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AVERAGEIFS($I$2:J135, $B$2:C135, C135)</f>
        <v>0.52500000000000002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AVERAGEIFS($I$2:J136, $B$2:C136, C136)</f>
        <v>0.53333333333333333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AVERAGEIFS($I$2:J137, $B$2:C137, C137)</f>
        <v>0.48399999999999999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AVERAGEIFS($I$2:J138, $B$2:C138, C138)</f>
        <v>0.4975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AVERAGEIFS($I$2:J139, $B$2:C139, C139)</f>
        <v>0.58666666666666656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AVERAGEIFS($I$2:J140, $B$2:C140, C140)</f>
        <v>0.53285714285714281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AVERAGEIFS($I$2:J141, $B$2:C141, C141)</f>
        <v>0.28999999999999998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AVERAGEIFS($I$2:J142, $B$2:C142, C142)</f>
        <v>0.26999999999999996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AVERAGEIFS($I$2:J143, $B$2:C143, C143)</f>
        <v>0.58000000000000007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AVERAGEIFS($I$2:J144, $B$2:C144, C144)</f>
        <v>0.6166666666666667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AVERAGEIFS($I$2:J145, $B$2:C145, C145)</f>
        <v>0.45499999999999996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AVERAGEIFS($I$2:J146, $B$2:C146, C146)</f>
        <v>0.51333333333333331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AVERAGEIFS($I$2:J147, $B$2:C147, C147)</f>
        <v>0.52999999999999992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AVERAGEIFS($I$2:J148, $B$2:C148, C148)</f>
        <v>0.34399999999999997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AVERAGEIFS($I$2:J149, $B$2:C149, C149)</f>
        <v>0.42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AVERAGEIFS($I$2:J150, $B$2:C150, C150)</f>
        <v>0.47399999999999992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AVERAGEIFS($I$2:J151, $B$2:C151, C151)</f>
        <v>0.44818181818181824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AVERAGEIFS($I$2:J152, $B$2:C152, C152)</f>
        <v>0.51500000000000001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AVERAGEIFS($I$2:J153, $B$2:C153, C153)</f>
        <v>0.49800000000000005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AVERAGEIFS($I$2:J154, $B$2:C154, C154)</f>
        <v>0.28333333333333333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AVERAGEIFS($I$2:J155, $B$2:C155, C155)</f>
        <v>0.56000000000000005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AVERAGEIFS($I$2:J156, $B$2:C156, C156)</f>
        <v>0.61428571428571421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AVERAGEIFS($I$2:J157, $B$2:C157, C157)</f>
        <v>0.53200000000000003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AVERAGEIFS($I$2:J158, $B$2:C158, C158)</f>
        <v>0.49399999999999994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AVERAGEIFS($I$2:J159, $B$2:C159, C159)</f>
        <v>0.5116666666666666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AVERAGEIFS($I$2:J160, $B$2:C160, C160)</f>
        <v>0.54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AVERAGEIFS($I$2:J161, $B$2:C161, C161)</f>
        <v>0.56857142857142862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AVERAGEIFS($I$2:J162, $B$2:C162, C162)</f>
        <v>0.44416666666666677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AVERAGEIFS($I$2:J163, $B$2:C163, C163)</f>
        <v>0.52624999999999988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AVERAGEIFS($I$2:J164, $B$2:C164, C164)</f>
        <v>0.51222222222222213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AVERAGEIFS($I$2:J165, $B$2:C165, C165)</f>
        <v>0.51624999999999999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AVERAGEIFS($I$2:J166, $B$2:C166, C166)</f>
        <v>0.50333333333333341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AVERAGEIFS($I$2:J167, $B$2:C167, C167)</f>
        <v>0.47400000000000003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AVERAGEIFS($I$2:J168, $B$2:C168, C168)</f>
        <v>0.49222222222222217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AVERAGEIFS($I$2:J169, $B$2:C169, C169)</f>
        <v>0.52666666666666673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AVERAGEIFS($I$2:J170, $B$2:C170, C170)</f>
        <v>0.46399999999999997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AVERAGEIFS($I$2:J171, $B$2:C171, C171)</f>
        <v>0.51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AVERAGEIFS($I$2:J172, $B$2:C172, C172)</f>
        <v>0.52499999999999991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AVERAGEIFS($I$2:J173, $B$2:C173, C173)</f>
        <v>0.4466666666666666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AVERAGEIFS($I$2:J174, $B$2:C174, C174)</f>
        <v>0.47833333333333333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AVERAGEIFS($I$2:J175, $B$2:C175, C175)</f>
        <v>0.49299999999999999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AVERAGEIFS($I$2:J176, $B$2:C176, C176)</f>
        <v>0.47833333333333328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AVERAGEIFS($I$2:J177, $B$2:C177, C177)</f>
        <v>0.38166666666666665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AVERAGEIFS($I$2:J178, $B$2:C178, C178)</f>
        <v>0.52399999999999991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AVERAGEIFS($I$2:J179, $B$2:C179, C179)</f>
        <v>0.47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AVERAGEIFS($I$2:J180, $B$2:C180, C180)</f>
        <v>0.49090909090909085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AVERAGEIFS($I$2:J181, $B$2:C181, C181)</f>
        <v>0.47714285714285715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AVERAGEIFS($I$2:J182, $B$2:C182, C182)</f>
        <v>0.505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AVERAGEIFS($I$2:J183, $B$2:C183, C183)</f>
        <v>0.49545454545454548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AVERAGEIFS($I$2:J184, $B$2:C184, C184)</f>
        <v>0.53000000000000014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AVERAGEIFS($I$2:J185, $B$2:C185, C185)</f>
        <v>0.49416666666666664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AVERAGEIFS($I$2:J186, $B$2:C186, C186)</f>
        <v>0.59142857142857153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AVERAGEIFS($I$2:J187, $B$2:C187, C187)</f>
        <v>0.60375000000000001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AVERAGEIFS($I$2:J188, $B$2:C188, C188)</f>
        <v>0.51714285714285713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AVERAGEIFS($I$2:J189, $B$2:C189, C189)</f>
        <v>0.51400000000000001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AVERAGEIFS($I$2:J190, $B$2:C190, C190)</f>
        <v>0.53000000000000014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AVERAGEIFS($I$2:J191, $B$2:C191, C191)</f>
        <v>0.55000000000000004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AVERAGEIFS($I$2:J192, $B$2:C192, C192)</f>
        <v>0.55666666666666664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AVERAGEIFS($I$2:J193, $B$2:C193, C193)</f>
        <v>0.60000000000000009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AVERAGEIFS($I$2:J194, $B$2:C194, C194)</f>
        <v>0.52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AVERAGEIFS($I$2:J195, $B$2:C195, C195)</f>
        <v>0.48166666666666663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AVERAGEIFS($I$2:J196, $B$2:C196, C196)</f>
        <v>0.55999999999999994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AVERAGEIFS($I$2:J197, $B$2:C197, C197)</f>
        <v>0.40857142857142853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AVERAGEIFS($I$2:J198, $B$2:C198, C198)</f>
        <v>0.51857142857142857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AVERAGEIFS($I$2:J199, $B$2:C199, C199)</f>
        <v>0.45499999999999996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AVERAGEIFS($I$2:J200, $B$2:C200, C200)</f>
        <v>0.53500000000000003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AVERAGEIFS($I$2:J201, $B$2:C201, C201)</f>
        <v>0.44249999999999995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AVERAGEIFS($I$2:J202, $B$2:C202, C202)</f>
        <v>0.49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AVERAGEIFS($I$2:J203, $B$2:C203, C203)</f>
        <v>0.47125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AVERAGEIFS($I$2:J204, $B$2:C204, C204)</f>
        <v>0.46666666666666667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AVERAGEIFS($I$2:J205, $B$2:C205, C205)</f>
        <v>0.55166666666666664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AVERAGEIFS($I$2:J206, $B$2:C206, C206)</f>
        <v>0.53857142857142859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AVERAGEIFS($I$2:J207, $B$2:C207, C207)</f>
        <v>0.54749999999999999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AVERAGEIFS($I$2:J208, $B$2:C208, C208)</f>
        <v>0.53444444444444439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AVERAGEIFS($I$2:J209, $B$2:C209, C209)</f>
        <v>0.52272727272727271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AVERAGEIFS($I$2:J210, $B$2:C210, C210)</f>
        <v>0.45899999999999996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AVERAGEIFS($I$2:J211, $B$2:C211, C211)</f>
        <v>0.54625000000000001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AVERAGEIFS($I$2:J212, $B$2:C212, C212)</f>
        <v>0.52888888888888885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AVERAGEIFS($I$2:J213, $B$2:C213, C213)</f>
        <v>0.4527272727272727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AVERAGEIFS($I$2:J214, $B$2:C214, C214)</f>
        <v>0.31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AVERAGEIFS($I$2:J215, $B$2:C215, C215)</f>
        <v>0.56000000000000005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AVERAGEIFS($I$2:J216, $B$2:C216, C216)</f>
        <v>0.42500000000000004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AVERAGEIFS($I$2:J217, $B$2:C217, C217)</f>
        <v>0.49615384615384611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AVERAGEIFS($I$2:J218, $B$2:C218, C218)</f>
        <v>0.58250000000000002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AVERAGEIFS($I$2:J219, $B$2:C219, C219)</f>
        <v>0.52799999999999991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AVERAGEIFS($I$2:J220, $B$2:C220, C220)</f>
        <v>0.52727272727272723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AVERAGEIFS($I$2:J221, $B$2:C221, C221)</f>
        <v>0.45833333333333331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AVERAGEIFS($I$2:J222, $B$2:C222, C222)</f>
        <v>0.52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AVERAGEIFS($I$2:J223, $B$2:C223, C223)</f>
        <v>0.48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AVERAGEIFS($I$2:J224, $B$2:C224, C224)</f>
        <v>0.48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AVERAGEIFS($I$2:J225, $B$2:C225, C225)</f>
        <v>0.47857142857142859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AVERAGEIFS($I$2:J226, $B$2:C226, C226)</f>
        <v>0.51249999999999996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AVERAGEIFS($I$2:J227, $B$2:C227, C227)</f>
        <v>0.50888888888888895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AVERAGEIFS($I$2:J228, $B$2:C228, C228)</f>
        <v>0.501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AVERAGEIFS($I$2:J229, $B$2:C229, C229)</f>
        <v>0.54142857142857148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AVERAGEIFS($I$2:J230, $B$2:C230, C230)</f>
        <v>0.41749999999999998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AVERAGEIFS($I$2:J231, $B$2:C231, C231)</f>
        <v>0.48142857142857137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AVERAGEIFS($I$2:J232, $B$2:C232, C232)</f>
        <v>0.48124999999999996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AVERAGEIFS($I$2:J233, $B$2:C233, C233)</f>
        <v>0.52333333333333332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AVERAGEIFS($I$2:J234, $B$2:C234, C234)</f>
        <v>0.51916666666666667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AVERAGEIFS($I$2:J235, $B$2:C235, C235)</f>
        <v>0.52375000000000016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AVERAGEIFS($I$2:J236, $B$2:C236, C236)</f>
        <v>0.48555555555555546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AVERAGEIFS($I$2:J237, $B$2:C237, C237)</f>
        <v>0.54666666666666675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AVERAGEIFS($I$2:J238, $B$2:C238, C238)</f>
        <v>0.54600000000000004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AVERAGEIFS($I$2:J239, $B$2:C239, C239)</f>
        <v>0.57555555555555549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AVERAGEIFS($I$2:J240, $B$2:C240, C240)</f>
        <v>0.51923076923076927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AVERAGEIFS($I$2:J241, $B$2:C241, C241)</f>
        <v>0.56500000000000006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AVERAGEIFS($I$2:J242, $B$2:C242, C242)</f>
        <v>0.57999999999999996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AVERAGEIFS($I$2:J243, $B$2:C243, C243)</f>
        <v>0.56800000000000006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AVERAGEIFS($I$2:J244, $B$2:C244, C244)</f>
        <v>0.56399999999999995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AVERAGEIFS($I$2:J245, $B$2:C245, C245)</f>
        <v>0.57599999999999996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AVERAGEIFS($I$2:J246, $B$2:C246, C246)</f>
        <v>0.4546153846153847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AVERAGEIFS($I$2:J247, $B$2:C247, C247)</f>
        <v>0.53899999999999992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AVERAGEIFS($I$2:J248, $B$2:C248, C248)</f>
        <v>0.46769230769230768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AVERAGEIFS($I$2:J249, $B$2:C249, C249)</f>
        <v>0.42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AVERAGEIFS($I$2:J250, $B$2:C250, C250)</f>
        <v>0.43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AVERAGEIFS($I$2:J251, $B$2:C251, C251)</f>
        <v>0.42333333333333334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AVERAGEIFS($I$2:J252, $B$2:C252, C252)</f>
        <v>0.53333333333333333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AVERAGEIFS($I$2:J253, $B$2:C253, C253)</f>
        <v>0.5066666666666666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AVERAGEIFS($I$2:J254, $B$2:C254, C254)</f>
        <v>0.48461538461538461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AVERAGEIFS($I$2:J255, $B$2:C255, C255)</f>
        <v>0.5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AVERAGEIFS($I$2:J256, $B$2:C256, C256)</f>
        <v>0.56181818181818177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AVERAGEIFS($I$2:J257, $B$2:C257, C257)</f>
        <v>0.57999999999999996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AVERAGEIFS($I$2:J258, $B$2:C258, C258)</f>
        <v>0.54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AVERAGEIFS($I$2:J259, $B$2:C259, C259)</f>
        <v>0.51714285714285713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AVERAGEIFS($I$2:J260, $B$2:C260, C260)</f>
        <v>0.59800000000000009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AVERAGEIFS($I$2:J261, $B$2:C261, C261)</f>
        <v>0.43555555555555553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AVERAGEIFS($I$2:J262, $B$2:C262, C262)</f>
        <v>0.46250000000000002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AVERAGEIFS($I$2:J263, $B$2:C263, C263)</f>
        <v>0.47899999999999993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AVERAGEIFS($I$2:J264, $B$2:C264, C264)</f>
        <v>0.47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AVERAGEIFS($I$2:J265, $B$2:C265, C265)</f>
        <v>0.54999999999999993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AVERAGEIFS($I$2:J266, $B$2:C266, C266)</f>
        <v>0.53999999999999992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AVERAGEIFS($I$2:J267, $B$2:C267, C267)</f>
        <v>0.52500000000000002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AVERAGEIFS($I$2:J268, $B$2:C268, C268)</f>
        <v>0.53142857142857136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AVERAGEIFS($I$2:J269, $B$2:C269, C269)</f>
        <v>0.44785714285714295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AVERAGEIFS($I$2:J270, $B$2:C270, C270)</f>
        <v>0.4872727272727273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AVERAGEIFS($I$2:J271, $B$2:C271, C271)</f>
        <v>0.5078571428571429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AVERAGEIFS($I$2:J272, $B$2:C272, C272)</f>
        <v>0.52272727272727271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AVERAGEIFS($I$2:J273, $B$2:C273, C273)</f>
        <v>0.50142857142857145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AVERAGEIFS($I$2:J274, $B$2:C274, C274)</f>
        <v>0.49875000000000003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AVERAGEIFS($I$2:J275, $B$2:C275, C275)</f>
        <v>0.53249999999999997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AVERAGEIFS($I$2:J276, $B$2:C276, C276)</f>
        <v>0.49571428571428566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AVERAGEIFS($I$2:J277, $B$2:C277, C277)</f>
        <v>0.60181818181818181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AVERAGEIFS($I$2:J278, $B$2:C278, C278)</f>
        <v>0.53666666666666674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AVERAGEIFS($I$2:J279, $B$2:C279, C279)</f>
        <v>0.60499999999999998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AVERAGEIFS($I$2:J280, $B$2:C280, C280)</f>
        <v>0.55374999999999996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AVERAGEIFS($I$2:J281, $B$2:C281, C281)</f>
        <v>0.58846153846153837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AVERAGEIFS($I$2:J282, $B$2:C282, C282)</f>
        <v>0.52199999999999991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AVERAGEIFS($I$2:J283, $B$2:C283, C283)</f>
        <v>0.44800000000000006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AVERAGEIFS($I$2:J284, $B$2:C284, C284)</f>
        <v>0.47090909090909078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AVERAGEIFS($I$2:J285, $B$2:C285, C285)</f>
        <v>0.52153846153846151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AVERAGEIFS($I$2:J286, $B$2:C286, C286)</f>
        <v>0.51214285714285712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AVERAGEIFS($I$2:J287, $B$2:C287, C287)</f>
        <v>0.47499999999999998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AVERAGEIFS($I$2:J288, $B$2:C288, C288)</f>
        <v>0.52749999999999997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AVERAGEIFS($I$2:J289, $B$2:C289, C289)</f>
        <v>0.53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AVERAGEIFS($I$2:J290, $B$2:C290, C290)</f>
        <v>0.47785714285714287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AVERAGEIFS($I$2:J291, $B$2:C291, C291)</f>
        <v>0.54400000000000015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AVERAGEIFS($I$2:J292, $B$2:C292, C292)</f>
        <v>0.51090909090909087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AVERAGEIFS($I$2:J293, $B$2:C293, C293)</f>
        <v>0.48928571428571427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AVERAGEIFS($I$2:J294, $B$2:C294, C294)</f>
        <v>0.52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AVERAGEIFS($I$2:J295, $B$2:C295, C295)</f>
        <v>0.57499999999999996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AVERAGEIFS($I$2:J296, $B$2:C296, C296)</f>
        <v>0.5006666666666667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AVERAGEIFS($I$2:J297, $B$2:C297, C297)</f>
        <v>0.49437500000000006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AVERAGEIFS($I$2:J298, $B$2:C298, C298)</f>
        <v>0.4933333333333334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AVERAGEIFS($I$2:J299, $B$2:C299, C299)</f>
        <v>0.48874999999999996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AVERAGEIFS($I$2:J300, $B$2:C300, C300)</f>
        <v>0.52444444444444438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AVERAGEIFS($I$2:J301, $B$2:C301, C301)</f>
        <v>0.46533333333333338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AVERAGEIFS($I$2:J302, $B$2:C302, C302)</f>
        <v>0.55599999999999983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AVERAGEIFS($I$2:J303, $B$2:C303, C303)</f>
        <v>0.43733333333333341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AVERAGEIFS($I$2:J304, $B$2:C304, C304)</f>
        <v>0.49249999999999999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AVERAGEIFS($I$2:J305, $B$2:C305, C305)</f>
        <v>0.501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AVERAGEIFS($I$2:J306, $B$2:C306, C306)</f>
        <v>0.50705882352941178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AVERAGEIFS($I$2:J307, $B$2:C307, C307)</f>
        <v>0.48062500000000002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AVERAGEIFS($I$2:J308, $B$2:C308, C308)</f>
        <v>0.52533333333333332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AVERAGEIFS($I$2:J309, $B$2:C309, C309)</f>
        <v>0.49411764705882355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AVERAGEIFS($I$2:J310, $B$2:C310, C310)</f>
        <v>0.4916666666666667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AVERAGEIFS($I$2:J311, $B$2:C311, C311)</f>
        <v>0.55099999999999993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AVERAGEIFS($I$2:J312, $B$2:C312, C312)</f>
        <v>0.58272727272727276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AVERAGEIFS($I$2:J313, $B$2:C313, C313)</f>
        <v>0.52181818181818185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AVERAGEIFS($I$2:J314, $B$2:C314, C314)</f>
        <v>0.52384615384615385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AVERAGEIFS($I$2:J315, $B$2:C315, C315)</f>
        <v>0.53727272727272724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AVERAGEIFS($I$2:J316, $B$2:C316, C316)</f>
        <v>0.5675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AVERAGEIFS($I$2:J317, $B$2:C317, C317)</f>
        <v>0.59307692307692317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AVERAGEIFS($I$2:J318, $B$2:C318, C318)</f>
        <v>0.56499999999999995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AVERAGEIFS($I$2:J319, $B$2:C319, C319)</f>
        <v>0.45400000000000001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AVERAGEIFS($I$2:J320, $B$2:C320, C320)</f>
        <v>0.49874999999999992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AVERAGEIFS($I$2:J321, $B$2:C321, C321)</f>
        <v>0.55785714285714294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AVERAGEIFS($I$2:J322, $B$2:C322, C322)</f>
        <v>0.40199999999999997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AVERAGEIFS($I$2:J323, $B$2:C323, C323)</f>
        <v>0.44555555555555554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AVERAGEIFS($I$2:J324, $B$2:C324, C324)</f>
        <v>0.5133333333333332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AVERAGEIFS($I$2:J325, $B$2:C325, C325)</f>
        <v>0.31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AVERAGEIFS($I$2:J326, $B$2:C326, C326)</f>
        <v>0.58416666666666661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AVERAGEIFS($I$2:J327, $B$2:C327, C327)</f>
        <v>0.48166666666666652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AVERAGEIFS($I$2:J328, $B$2:C328, C328)</f>
        <v>0.52833333333333332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AVERAGEIFS($I$2:J329, $B$2:C329, C329)</f>
        <v>0.53384615384615386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AVERAGEIFS($I$2:J330, $B$2:C330, C330)</f>
        <v>0.5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AVERAGEIFS($I$2:J331, $B$2:C331, C331)</f>
        <v>0.44750000000000006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AVERAGEIFS($I$2:J332, $B$2:C332, C332)</f>
        <v>0.46875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AVERAGEIFS($I$2:J333, $B$2:C333, C333)</f>
        <v>0.44470588235294128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AVERAGEIFS($I$2:J334, $B$2:C334, C334)</f>
        <v>0.44222222222222229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AVERAGEIFS($I$2:J335, $B$2:C335, C335)</f>
        <v>0.50111111111111117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AVERAGEIFS($I$2:J336, $B$2:C336, C336)</f>
        <v>0.48000000000000004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AVERAGEIFS($I$2:J337, $B$2:C337, C337)</f>
        <v>0.51500000000000001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AVERAGEIFS($I$2:J338, $B$2:C338, C338)</f>
        <v>0.57999999999999996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AVERAGEIFS($I$2:J339, $B$2:C339, C339)</f>
        <v>0.55749999999999988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AVERAGEIFS($I$2:J340, $B$2:C340, C340)</f>
        <v>0.50421052631578944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AVERAGEIFS($I$2:J341, $B$2:C341, C341)</f>
        <v>0.50800000000000001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AVERAGEIFS($I$2:J342, $B$2:C342, C342)</f>
        <v>0.51142857142857145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AVERAGEIFS($I$2:J343, $B$2:C343, C343)</f>
        <v>0.46545454545454545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AVERAGEIFS($I$2:J344, $B$2:C344, C344)</f>
        <v>0.48142857142857143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AVERAGEIFS($I$2:J345, $B$2:C345, C345)</f>
        <v>0.48466666666666663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AVERAGEIFS($I$2:J346, $B$2:C346, C346)</f>
        <v>0.52214285714285713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AVERAGEIFS($I$2:J347, $B$2:C347, C347)</f>
        <v>0.57153846153846155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AVERAGEIFS($I$2:J348, $B$2:C348, C348)</f>
        <v>0.49684210526315797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AVERAGEIFS($I$2:J349, $B$2:C349, C349)</f>
        <v>0.50866666666666671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AVERAGEIFS($I$2:J350, $B$2:C350, C350)</f>
        <v>0.59250000000000003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AVERAGEIFS($I$2:J351, $B$2:C351, C351)</f>
        <v>0.58285714285714285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AVERAGEIFS($I$2:J352, $B$2:C352, C352)</f>
        <v>0.45736842105263165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AVERAGEIFS($I$2:J353, $B$2:C353, C353)</f>
        <v>0.47100000000000009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AVERAGEIFS($I$2:J354, $B$2:C354, C354)</f>
        <v>0.56933333333333336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AVERAGEIFS($I$2:J355, $B$2:C355, C355)</f>
        <v>0.5149999999999999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AVERAGEIFS($I$2:J356, $B$2:C356, C356)</f>
        <v>0.49866666666666659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AVERAGEIFS($I$2:J357, $B$2:C357, C357)</f>
        <v>0.46384615384615391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AVERAGEIFS($I$2:J358, $B$2:C358, C358)</f>
        <v>0.55062500000000003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AVERAGEIFS($I$2:J359, $B$2:C359, C359)</f>
        <v>0.42799999999999994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AVERAGEIFS($I$2:J360, $B$2:C360, C360)</f>
        <v>0.55333333333333334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AVERAGEIFS($I$2:J361, $B$2:C361, C361)</f>
        <v>0.48222222222222222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AVERAGEIFS($I$2:J362, $B$2:C362, C362)</f>
        <v>0.59199999999999997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AVERAGEIFS($I$2:J363, $B$2:C363, C363)</f>
        <v>0.55941176470588228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AVERAGEIFS($I$2:J364, $B$2:C364, C364)</f>
        <v>0.58333333333333337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AVERAGEIFS($I$2:J365, $B$2:C365, C365)</f>
        <v>0.48999999999999988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AVERAGEIFS($I$2:J366, $B$2:C366, C366)</f>
        <v>0.50437499999999991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AVERAGEIFS($I$2:J367, $B$2:C367, C367)</f>
        <v>0.50150000000000006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AVERAGEIFS($I$2:J368, $B$2:C368, C368)</f>
        <v>0.50750000000000006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AVERAGEIFS($I$2:J369, $B$2:C369, C369)</f>
        <v>0.54166666666666674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AVERAGEIFS($I$2:J370, $B$2:C370, C370)</f>
        <v>0.48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AVERAGEIFS($I$2:J371, $B$2:C371, C371)</f>
        <v>0.551111111111111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AVERAGEIFS($I$2:J372, $B$2:C372, C372)</f>
        <v>0.49882352941176461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AVERAGEIFS($I$2:J373, $B$2:C373, C373)</f>
        <v>0.50681818181818183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AVERAGEIFS($I$2:J374, $B$2:C374, C374)</f>
        <v>0.50260869565217392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AVERAGEIFS($I$2:J375, $B$2:C375, C375)</f>
        <v>0.49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AVERAGEIFS($I$2:J376, $B$2:C376, C376)</f>
        <v>0.46416666666666667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AVERAGEIFS($I$2:J377, $B$2:C377, C377)</f>
        <v>0.51611111111111108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AVERAGEIFS($I$2:J378, $B$2:C378, C378)</f>
        <v>0.496111111111111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AVERAGEIFS($I$2:J379, $B$2:C379, C379)</f>
        <v>0.46285714285714297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AVERAGEIFS($I$2:J380, $B$2:C380, C380)</f>
        <v>0.505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AVERAGEIFS($I$2:J381, $B$2:C381, C381)</f>
        <v>0.54470588235294115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AVERAGEIFS($I$2:J382, $B$2:C382, C382)</f>
        <v>0.49894736842105258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AVERAGEIFS($I$2:J383, $B$2:C383, C383)</f>
        <v>0.50458333333333338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AVERAGEIFS($I$2:J384, $B$2:C384, C384)</f>
        <v>0.52399999999999991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AVERAGEIFS($I$2:J385, $B$2:C385, C385)</f>
        <v>0.47076923076923077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AVERAGEIFS($I$2:J386, $B$2:C386, C386)</f>
        <v>0.50380952380952393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AVERAGEIFS($I$2:J387, $B$2:C387, C387)</f>
        <v>0.43909090909090903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AVERAGEIFS($I$2:J388, $B$2:C388, C388)</f>
        <v>0.58750000000000002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AVERAGEIFS($I$2:J389, $B$2:C389, C389)</f>
        <v>0.50750000000000006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AVERAGEIFS($I$2:J390, $B$2:C390, C390)</f>
        <v>0.50299999999999989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AVERAGEIFS($I$2:J391, $B$2:C391, C391)</f>
        <v>0.53437499999999993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AVERAGEIFS($I$2:J392, $B$2:C392, C392)</f>
        <v>0.54352941176470582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AVERAGEIFS($I$2:J393, $B$2:C393, C393)</f>
        <v>0.5099999999999999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AVERAGEIFS($I$2:J394, $B$2:C394, C394)</f>
        <v>0.40666666666666668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AVERAGEIFS($I$2:J395, $B$2:C395, C395)</f>
        <v>0.47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AVERAGEIFS($I$2:J396, $B$2:C396, C396)</f>
        <v>0.47714285714285698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AVERAGEIFS($I$2:J397, $B$2:C397, C397)</f>
        <v>0.49680000000000007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AVERAGEIFS($I$2:J398, $B$2:C398, C398)</f>
        <v>0.45928571428571424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AVERAGEIFS($I$2:J399, $B$2:C399, C399)</f>
        <v>0.49888888888888883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AVERAGEIFS($I$2:J400, $B$2:C400, C400)</f>
        <v>0.5149999999999999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AVERAGEIFS($I$2:J401, $B$2:C401, C401)</f>
        <v>0.53210526315789475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AVERAGEIFS($I$2:J402, $B$2:C402, C402)</f>
        <v>0.48761904761904773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AVERAGEIFS($I$2:J403, $B$2:C403, C403)</f>
        <v>0.5181818181818183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AVERAGEIFS($I$2:J404, $B$2:C404, C404)</f>
        <v>0.44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AVERAGEIFS($I$2:J405, $B$2:C405, C405)</f>
        <v>0.5344444444444445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AVERAGEIFS($I$2:J406, $B$2:C406, C406)</f>
        <v>0.52444444444444438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AVERAGEIFS($I$2:J407, $B$2:C407, C407)</f>
        <v>0.47363636363636369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AVERAGEIFS($I$2:J408, $B$2:C408, C408)</f>
        <v>0.48210526315789465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AVERAGEIFS($I$2:J409, $B$2:C409, C409)</f>
        <v>0.50631578947368416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AVERAGEIFS($I$2:J410, $B$2:C410, C410)</f>
        <v>0.3166666666666666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AVERAGEIFS($I$2:J411, $B$2:C411, C411)</f>
        <v>0.48999999999999994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AVERAGEIFS($I$2:J412, $B$2:C412, C412)</f>
        <v>0.42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AVERAGEIFS($I$2:J413, $B$2:C413, C413)</f>
        <v>0.5557894736842105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AVERAGEIFS($I$2:J414, $B$2:C414, C414)</f>
        <v>0.53749999999999998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AVERAGEIFS($I$2:J415, $B$2:C415, C415)</f>
        <v>0.45666666666666661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AVERAGEIFS($I$2:J416, $B$2:C416, C416)</f>
        <v>0.54500000000000004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AVERAGEIFS($I$2:J417, $B$2:C417, C417)</f>
        <v>0.47133333333333327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AVERAGEIFS($I$2:J418, $B$2:C418, C418)</f>
        <v>0.64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AVERAGEIFS($I$2:J419, $B$2:C419, C419)</f>
        <v>0.481875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AVERAGEIFS($I$2:J420, $B$2:C420, C420)</f>
        <v>0.46437499999999998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AVERAGEIFS($I$2:J421, $B$2:C421, C421)</f>
        <v>0.46869565217391307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AVERAGEIFS($I$2:J422, $B$2:C422, C422)</f>
        <v>0.44923076923076921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AVERAGEIFS($I$2:J423, $B$2:C423, C423)</f>
        <v>0.51130434782608702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AVERAGEIFS($I$2:J424, $B$2:C424, C424)</f>
        <v>0.32285714285714284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AVERAGEIFS($I$2:J425, $B$2:C425, C425)</f>
        <v>0.51454545454545453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AVERAGEIFS($I$2:J426, $B$2:C426, C426)</f>
        <v>0.52047619047619043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AVERAGEIFS($I$2:J427, $B$2:C427, C427)</f>
        <v>0.51235294117647068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AVERAGEIFS($I$2:J428, $B$2:C428, C428)</f>
        <v>0.50192307692307703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AVERAGEIFS($I$2:J429, $B$2:C429, C429)</f>
        <v>0.52499999999999991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AVERAGEIFS($I$2:J430, $B$2:C430, C430)</f>
        <v>0.53454545454545443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AVERAGEIFS($I$2:J431, $B$2:C431, C431)</f>
        <v>0.53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AVERAGEIFS($I$2:J432, $B$2:C432, C432)</f>
        <v>0.47699999999999998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AVERAGEIFS($I$2:J433, $B$2:C433, C433)</f>
        <v>0.43416666666666659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AVERAGEIFS($I$2:J434, $B$2:C434, C434)</f>
        <v>0.42999999999999994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AVERAGEIFS($I$2:J435, $B$2:C435, C435)</f>
        <v>0.48476190476190473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AVERAGEIFS($I$2:J436, $B$2:C436, C436)</f>
        <v>0.47066666666666651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AVERAGEIFS($I$2:J437, $B$2:C437, C437)</f>
        <v>0.49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AVERAGEIFS($I$2:J438, $B$2:C438, C438)</f>
        <v>0.53388888888888897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AVERAGEIFS($I$2:J439, $B$2:C439, C439)</f>
        <v>0.39499999999999996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AVERAGEIFS($I$2:J440, $B$2:C440, C440)</f>
        <v>0.49714285714285711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AVERAGEIFS($I$2:J441, $B$2:C441, C441)</f>
        <v>0.45111111111111107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AVERAGEIFS($I$2:J442, $B$2:C442, C442)</f>
        <v>0.46357142857142852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AVERAGEIFS($I$2:J443, $B$2:C443, C443)</f>
        <v>0.34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AVERAGEIFS($I$2:J444, $B$2:C444, C444)</f>
        <v>0.41599999999999993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AVERAGEIFS($I$2:J445, $B$2:C445, C445)</f>
        <v>0.50454545454545452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AVERAGEIFS($I$2:J446, $B$2:C446, C446)</f>
        <v>0.26800000000000002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AVERAGEIFS($I$2:J447, $B$2:C447, C447)</f>
        <v>0.49833333333333324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AVERAGEIFS($I$2:J448, $B$2:C448, C448)</f>
        <v>0.47083333333333327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AVERAGEIFS($I$2:J449, $B$2:C449, C449)</f>
        <v>0.56625000000000003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AVERAGEIFS($I$2:J450, $B$2:C450, C450)</f>
        <v>0.47681818181818181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AVERAGEIFS($I$2:J451, $B$2:C451, C451)</f>
        <v>0.45333333333333325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AVERAGEIFS($I$2:J452, $B$2:C452, C452)</f>
        <v>0.45846153846153836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AVERAGEIFS($I$2:J453, $B$2:C453, C453)</f>
        <v>0.43928571428571422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AVERAGEIFS($I$2:J454, $B$2:C454, C454)</f>
        <v>0.46062499999999984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AVERAGEIFS($I$2:J455, $B$2:C455, C455)</f>
        <v>0.49411764705882355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AVERAGEIFS($I$2:J456, $B$2:C456, C456)</f>
        <v>0.55166666666666653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AVERAGEIFS($I$2:J457, $B$2:C457, C457)</f>
        <v>0.45600000000000002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AVERAGEIFS($I$2:J458, $B$2:C458, C458)</f>
        <v>0.50111111111111106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AVERAGEIFS($I$2:J459, $B$2:C459, C459)</f>
        <v>0.505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AVERAGEIFS($I$2:J460, $B$2:C460, C460)</f>
        <v>0.51875000000000004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AVERAGEIFS($I$2:J461, $B$2:C461, C461)</f>
        <v>0.50962962962962965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AVERAGEIFS($I$2:J462, $B$2:C462, C462)</f>
        <v>0.44272727272727264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AVERAGEIFS($I$2:J463, $B$2:C463, C463)</f>
        <v>0.47187499999999999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AVERAGEIFS($I$2:J464, $B$2:C464, C464)</f>
        <v>0.47933333333333344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AVERAGEIFS($I$2:J465, $B$2:C465, C465)</f>
        <v>0.52639999999999998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AVERAGEIFS($I$2:J466, $B$2:C466, C466)</f>
        <v>0.27166666666666667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AVERAGEIFS($I$2:J467, $B$2:C467, C467)</f>
        <v>0.44312499999999994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AVERAGEIFS($I$2:J468, $B$2:C468, C468)</f>
        <v>0.52090909090909099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AVERAGEIFS($I$2:J469, $B$2:C469, C469)</f>
        <v>0.51730769230769225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AVERAGEIFS($I$2:J470, $B$2:C470, C470)</f>
        <v>0.50888888888888884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AVERAGEIFS($I$2:J471, $B$2:C471, C471)</f>
        <v>0.50157894736842101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AVERAGEIFS($I$2:J472, $B$2:C472, C472)</f>
        <v>0.56666666666666665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AVERAGEIFS($I$2:J473, $B$2:C473, C473)</f>
        <v>0.49454545454545451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AVERAGEIFS($I$2:J474, $B$2:C474, C474)</f>
        <v>0.50642857142857134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AVERAGEIFS($I$2:J475, $B$2:C475, C475)</f>
        <v>0.47000000000000003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AVERAGEIFS($I$2:J476, $B$2:C476, C476)</f>
        <v>0.36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AVERAGEIFS($I$2:J477, $B$2:C477, C477)</f>
        <v>0.55210526315789465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AVERAGEIFS($I$2:J478, $B$2:C478, C478)</f>
        <v>0.55249999999999999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AVERAGEIFS($I$2:J479, $B$2:C479, C479)</f>
        <v>0.50421052631578944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AVERAGEIFS($I$2:J480, $B$2:C480, C480)</f>
        <v>0.50700000000000001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AVERAGEIFS($I$2:J481, $B$2:C481, C481)</f>
        <v>0.49739130434782608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AVERAGEIFS($I$2:J482, $B$2:C482, C482)</f>
        <v>0.48043478260869571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AVERAGEIFS($I$2:J483, $B$2:C483, C483)</f>
        <v>0.53727272727272724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AVERAGEIFS($I$2:J484, $B$2:C484, C484)</f>
        <v>0.57352941176470584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AVERAGEIFS($I$2:J485, $B$2:C485, C485)</f>
        <v>0.51275862068965505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AVERAGEIFS($I$2:J486, $B$2:C486, C486)</f>
        <v>0.48916666666666669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AVERAGEIFS($I$2:J487, $B$2:C487, C487)</f>
        <v>0.48222222222222222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AVERAGEIFS($I$2:J488, $B$2:C488, C488)</f>
        <v>0.54095238095238096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AVERAGEIFS($I$2:J489, $B$2:C489, C489)</f>
        <v>0.51090909090909087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AVERAGEIFS($I$2:J490, $B$2:C490, C490)</f>
        <v>0.49761904761904768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AVERAGEIFS($I$2:J491, $B$2:C491, C491)</f>
        <v>0.50333333333333341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AVERAGEIFS($I$2:J492, $B$2:C492, C492)</f>
        <v>0.43166666666666659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AVERAGEIFS($I$2:J493, $B$2:C493, C493)</f>
        <v>0.52357142857142869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AVERAGEIFS($I$2:J494, $B$2:C494, C494)</f>
        <v>0.53655172413793106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AVERAGEIFS($I$2:J495, $B$2:C495, C495)</f>
        <v>0.51590909090909098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AVERAGEIFS($I$2:J496, $B$2:C496, C496)</f>
        <v>0.5056250000000001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AVERAGEIFS($I$2:J497, $B$2:C497, C497)</f>
        <v>0.50560000000000005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AVERAGEIFS($I$2:J498, $B$2:C498, C498)</f>
        <v>0.49899999999999989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AVERAGEIFS($I$2:J499, $B$2:C499, C499)</f>
        <v>0.49782608695652181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AVERAGEIFS($I$2:J500, $B$2:C500, C500)</f>
        <v>0.46210526315789469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AVERAGEIFS($I$2:J501, $B$2:C501, C501)</f>
        <v>0.42294117647058815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AVERAGEIFS($I$2:J502, $B$2:C502, C502)</f>
        <v>0.46769230769230757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AVERAGEIFS($I$2:J503, $B$2:C503, C503)</f>
        <v>0.46999999999999992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AVERAGEIFS($I$2:J504, $B$2:C504, C504)</f>
        <v>0.44999999999999996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AVERAGEIFS($I$2:J505, $B$2:C505, C505)</f>
        <v>0.51391304347826083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AVERAGEIFS($I$2:J506, $B$2:C506, C506)</f>
        <v>0.51666666666666672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AVERAGEIFS($I$2:J507, $B$2:C507, C507)</f>
        <v>0.50161290322580632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AVERAGEIFS($I$2:J508, $B$2:C508, C508)</f>
        <v>0.50846153846153852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AVERAGEIFS($I$2:J509, $B$2:C509, C509)</f>
        <v>0.46799999999999997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AVERAGEIFS($I$2:J510, $B$2:C510, C510)</f>
        <v>0.47571428571428559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AVERAGEIFS($I$2:J511, $B$2:C511, C511)</f>
        <v>0.5066666666666666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AVERAGEIFS($I$2:J512, $B$2:C512, C512)</f>
        <v>0.46722222222222221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AVERAGEIFS($I$2:J513, $B$2:C513, C513)</f>
        <v>0.53266666666666673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AVERAGEIFS($I$2:J514, $B$2:C514, C514)</f>
        <v>0.49906249999999991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AVERAGEIFS($I$2:J515, $B$2:C515, C515)</f>
        <v>0.49458333333333337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AVERAGEIFS($I$2:J516, $B$2:C516, C516)</f>
        <v>0.50058823529411778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AVERAGEIFS($I$2:J517, $B$2:C517, C517)</f>
        <v>0.49611111111111117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AVERAGEIFS($I$2:J518, $B$2:C518, C518)</f>
        <v>0.52789473684210531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AVERAGEIFS($I$2:J519, $B$2:C519, C519)</f>
        <v>0.5099999999999999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AVERAGEIFS($I$2:J520, $B$2:C520, C520)</f>
        <v>0.51800000000000002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AVERAGEIFS($I$2:J521, $B$2:C521, C521)</f>
        <v>0.5722222222222223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AVERAGEIFS($I$2:J522, $B$2:C522, C522)</f>
        <v>0.51923076923076927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AVERAGEIFS($I$2:J523, $B$2:C523, C523)</f>
        <v>0.53322580645161299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AVERAGEIFS($I$2:J524, $B$2:C524, C524)</f>
        <v>0.47208333333333341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AVERAGEIFS($I$2:J525, $B$2:C525, C525)</f>
        <v>0.55000000000000004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AVERAGEIFS($I$2:J526, $B$2:C526, C526)</f>
        <v>0.52857142857142869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AVERAGEIFS($I$2:J527, $B$2:C527, C527)</f>
        <v>0.52400000000000002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AVERAGEIFS($I$2:J528, $B$2:C528, C528)</f>
        <v>0.4975757575757575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AVERAGEIFS($I$2:J529, $B$2:C529, C529)</f>
        <v>0.54500000000000004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AVERAGEIFS($I$2:J530, $B$2:C530, C530)</f>
        <v>0.49617647058823522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AVERAGEIFS($I$2:J531, $B$2:C531, C531)</f>
        <v>0.52913043478260868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AVERAGEIFS($I$2:J532, $B$2:C532, C532)</f>
        <v>0.46105263157894738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AVERAGEIFS($I$2:J533, $B$2:C533, C533)</f>
        <v>0.56052631578947365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AVERAGEIFS($I$2:J534, $B$2:C534, C534)</f>
        <v>0.48880000000000001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AVERAGEIFS($I$2:J535, $B$2:C535, C535)</f>
        <v>0.49399999999999994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AVERAGEIFS($I$2:J536, $B$2:C536, C536)</f>
        <v>0.48842105263157903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AVERAGEIFS($I$2:J537, $B$2:C537, C537)</f>
        <v>0.56500000000000006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AVERAGEIFS($I$2:J538, $B$2:C538, C538)</f>
        <v>0.55999999999999994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AVERAGEIFS($I$2:J539, $B$2:C539, C539)</f>
        <v>0.5605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AVERAGEIFS($I$2:J540, $B$2:C540, C540)</f>
        <v>0.56476190476190469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AVERAGEIFS($I$2:J541, $B$2:C541, C541)</f>
        <v>0.47666666666666668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AVERAGEIFS($I$2:J542, $B$2:C542, C542)</f>
        <v>0.50057142857142845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AVERAGEIFS($I$2:J543, $B$2:C543, C543)</f>
        <v>0.53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AVERAGEIFS($I$2:J544, $B$2:C544, C544)</f>
        <v>0.54875000000000007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AVERAGEIFS($I$2:J545, $B$2:C545, C545)</f>
        <v>0.5636363636363636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AVERAGEIFS($I$2:J546, $B$2:C546, C546)</f>
        <v>0.52000000000000013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AVERAGEIFS($I$2:J547, $B$2:C547, C547)</f>
        <v>0.49099999999999999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AVERAGEIFS($I$2:J548, $B$2:C548, C548)</f>
        <v>0.52476190476190476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AVERAGEIFS($I$2:J549, $B$2:C549, C549)</f>
        <v>0.59000000000000008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AVERAGEIFS($I$2:J550, $B$2:C550, C550)</f>
        <v>0.54749999999999999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AVERAGEIFS($I$2:J551, $B$2:C551, C551)</f>
        <v>0.56000000000000005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AVERAGEIFS($I$2:J552, $B$2:C552, C552)</f>
        <v>0.55545454545454553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AVERAGEIFS($I$2:J553, $B$2:C553, C553)</f>
        <v>0.46058823529411752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AVERAGEIFS($I$2:J554, $B$2:C554, C554)</f>
        <v>0.49944444444444436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AVERAGEIFS($I$2:J555, $B$2:C555, C555)</f>
        <v>0.49238095238095236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AVERAGEIFS($I$2:J556, $B$2:C556, C556)</f>
        <v>0.52607142857142863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AVERAGEIFS($I$2:J557, $B$2:C557, C557)</f>
        <v>0.50459459459459455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AVERAGEIFS($I$2:J558, $B$2:C558, C558)</f>
        <v>0.5094736842105263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AVERAGEIFS($I$2:J559, $B$2:C559, C559)</f>
        <v>0.50047619047619052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AVERAGEIFS($I$2:J560, $B$2:C560, C560)</f>
        <v>0.50136363636363634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AVERAGEIFS($I$2:J561, $B$2:C561, C561)</f>
        <v>0.46560000000000007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AVERAGEIFS($I$2:J562, $B$2:C562, C562)</f>
        <v>0.4596153846153847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AVERAGEIFS($I$2:J563, $B$2:C563, C563)</f>
        <v>0.49304347826086958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AVERAGEIFS($I$2:J564, $B$2:C564, C564)</f>
        <v>0.50111111111111117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AVERAGEIFS($I$2:J565, $B$2:C565, C565)</f>
        <v>0.41666666666666657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AVERAGEIFS($I$2:J566, $B$2:C566, C566)</f>
        <v>0.48000000000000004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AVERAGEIFS($I$2:J567, $B$2:C567, C567)</f>
        <v>0.4522222222222223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AVERAGEIFS($I$2:J568, $B$2:C568, C568)</f>
        <v>0.48333333333333334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AVERAGEIFS($I$2:J569, $B$2:C569, C569)</f>
        <v>0.49250000000000005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AVERAGEIFS($I$2:J570, $B$2:C570, C570)</f>
        <v>0.48461538461538467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AVERAGEIFS($I$2:J571, $B$2:C571, C571)</f>
        <v>0.46857142857142858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AVERAGEIFS($I$2:J572, $B$2:C572, C572)</f>
        <v>0.47611111111111093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AVERAGEIFS($I$2:J573, $B$2:C573, C573)</f>
        <v>0.533448275862069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AVERAGEIFS($I$2:J574, $B$2:C574, C574)</f>
        <v>0.53791666666666671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AVERAGEIFS($I$2:J575, $B$2:C575, C575)</f>
        <v>0.49359999999999998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AVERAGEIFS($I$2:J576, $B$2:C576, C576)</f>
        <v>0.46250000000000008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AVERAGEIFS($I$2:J577, $B$2:C577, C577)</f>
        <v>0.48666666666666669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AVERAGEIFS($I$2:J578, $B$2:C578, C578)</f>
        <v>0.47241379310344839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AVERAGEIFS($I$2:J579, $B$2:C579, C579)</f>
        <v>0.49052631578947353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AVERAGEIFS($I$2:J580, $B$2:C580, C580)</f>
        <v>0.50137931034482763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AVERAGEIFS($I$2:J581, $B$2:C581, C581)</f>
        <v>0.54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AVERAGEIFS($I$2:J582, $B$2:C582, C582)</f>
        <v>0.43421052631578938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AVERAGEIFS($I$2:J583, $B$2:C583, C583)</f>
        <v>0.55045454545454542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AVERAGEIFS($I$2:J584, $B$2:C584, C584)</f>
        <v>0.51564102564102565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AVERAGEIFS($I$2:J585, $B$2:C585, C585)</f>
        <v>0.50791666666666668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AVERAGEIFS($I$2:J586, $B$2:C586, C586)</f>
        <v>0.46500000000000008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AVERAGEIFS($I$2:J587, $B$2:C587, C587)</f>
        <v>0.45806451612903237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AVERAGEIFS($I$2:J588, $B$2:C588, C588)</f>
        <v>0.48909090909090908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AVERAGEIFS($I$2:J589, $B$2:C589, C589)</f>
        <v>0.49759999999999999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AVERAGEIFS($I$2:J590, $B$2:C590, C590)</f>
        <v>0.45156250000000009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AVERAGEIFS($I$2:J591, $B$2:C591, C591)</f>
        <v>0.41769230769230759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AVERAGEIFS($I$2:J592, $B$2:C592, C592)</f>
        <v>0.51227272727272721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AVERAGEIFS($I$2:J593, $B$2:C593, C593)</f>
        <v>0.40571428571428564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AVERAGEIFS($I$2:J594, $B$2:C594, C594)</f>
        <v>0.45949999999999996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AVERAGEIFS($I$2:J595, $B$2:C595, C595)</f>
        <v>0.4920000000000001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AVERAGEIFS($I$2:J596, $B$2:C596, C596)</f>
        <v>0.45090909090909098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AVERAGEIFS($I$2:J597, $B$2:C597, C597)</f>
        <v>0.499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AVERAGEIFS($I$2:J598, $B$2:C598, C598)</f>
        <v>0.29428571428571432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AVERAGEIFS($I$2:J599, $B$2:C599, C599)</f>
        <v>0.49115384615384616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AVERAGEIFS($I$2:J600, $B$2:C600, C600)</f>
        <v>0.50869565217391299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AVERAGEIFS($I$2:J601, $B$2:C601, C601)</f>
        <v>0.54090909090909101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AVERAGEIFS($I$2:J602, $B$2:C602, C602)</f>
        <v>0.53920000000000001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AVERAGEIFS($I$2:J603, $B$2:C603, C603)</f>
        <v>0.45441176470588246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AVERAGEIFS($I$2:J604, $B$2:C604, C604)</f>
        <v>0.49449999999999983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AVERAGEIFS($I$2:J605, $B$2:C605, C605)</f>
        <v>0.49260869565217391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AVERAGEIFS($I$2:J606, $B$2:C606, C606)</f>
        <v>0.50038461538461543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AVERAGEIFS($I$2:J607, $B$2:C607, C607)</f>
        <v>0.55000000000000004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AVERAGEIFS($I$2:J608, $B$2:C608, C608)</f>
        <v>0.5344444444444445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AVERAGEIFS($I$2:J609, $B$2:C609, C609)</f>
        <v>0.51428571428571423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AVERAGEIFS($I$2:J610, $B$2:C610, C610)</f>
        <v>0.49192307692307696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AVERAGEIFS($I$2:J611, $B$2:C611, C611)</f>
        <v>0.50296296296296295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AVERAGEIFS($I$2:J612, $B$2:C612, C612)</f>
        <v>0.44099999999999995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AVERAGEIFS($I$2:J613, $B$2:C613, C613)</f>
        <v>0.43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AVERAGEIFS($I$2:J614, $B$2:C614, C614)</f>
        <v>0.53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AVERAGEIFS($I$2:J615, $B$2:C615, C615)</f>
        <v>0.51349999999999996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AVERAGEIFS($I$2:J616, $B$2:C616, C616)</f>
        <v>0.49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AVERAGEIFS($I$2:J617, $B$2:C617, C617)</f>
        <v>0.48888888888888887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AVERAGEIFS($I$2:J618, $B$2:C618, C618)</f>
        <v>0.40733333333333321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AVERAGEIFS($I$2:J619, $B$2:C619, C619)</f>
        <v>0.51380952380952372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AVERAGEIFS($I$2:J620, $B$2:C620, C620)</f>
        <v>0.54193548387096779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AVERAGEIFS($I$2:J621, $B$2:C621, C621)</f>
        <v>0.51714285714285713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AVERAGEIFS($I$2:J622, $B$2:C622, C622)</f>
        <v>0.50703703703703706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AVERAGEIFS($I$2:J623, $B$2:C623, C623)</f>
        <v>0.52500000000000002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AVERAGEIFS($I$2:J624, $B$2:C624, C624)</f>
        <v>0.52292682926829259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AVERAGEIFS($I$2:J625, $B$2:C625, C625)</f>
        <v>0.54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AVERAGEIFS($I$2:J626, $B$2:C626, C626)</f>
        <v>0.51285714285714279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AVERAGEIFS($I$2:J627, $B$2:C627, C627)</f>
        <v>0.47499999999999998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AVERAGEIFS($I$2:J628, $B$2:C628, C628)</f>
        <v>0.47439999999999999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AVERAGEIFS($I$2:J629, $B$2:C629, C629)</f>
        <v>0.45066666666666655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AVERAGEIFS($I$2:J630, $B$2:C630, C630)</f>
        <v>0.46250000000000002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AVERAGEIFS($I$2:J631, $B$2:C631, C631)</f>
        <v>0.52307692307692311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AVERAGEIFS($I$2:J632, $B$2:C632, C632)</f>
        <v>0.5032558139534884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AVERAGEIFS($I$2:J633, $B$2:C633, C633)</f>
        <v>0.49227272727272725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AVERAGEIFS($I$2:J634, $B$2:C634, C634)</f>
        <v>0.52399999999999991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AVERAGEIFS($I$2:J635, $B$2:C635, C635)</f>
        <v>0.55062500000000003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AVERAGEIFS($I$2:J636, $B$2:C636, C636)</f>
        <v>0.4876923076923077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AVERAGEIFS($I$2:J637, $B$2:C637, C637)</f>
        <v>0.55000000000000004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AVERAGEIFS($I$2:J638, $B$2:C638, C638)</f>
        <v>0.55878787878787883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AVERAGEIFS($I$2:J639, $B$2:C639, C639)</f>
        <v>0.53407407407407403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AVERAGEIFS($I$2:J640, $B$2:C640, C640)</f>
        <v>0.50935483870967746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AVERAGEIFS($I$2:J641, $B$2:C641, C641)</f>
        <v>0.50777777777777777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AVERAGEIFS($I$2:J642, $B$2:C642, C642)</f>
        <v>0.42857142857142849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AVERAGEIFS($I$2:J643, $B$2:C643, C643)</f>
        <v>0.54764705882352949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AVERAGEIFS($I$2:J644, $B$2:C644, C644)</f>
        <v>0.46482758620689651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AVERAGEIFS($I$2:J645, $B$2:C645, C645)</f>
        <v>0.50551724137931031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AVERAGEIFS($I$2:J646, $B$2:C646, C646)</f>
        <v>0.52142857142857146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AVERAGEIFS($I$2:J647, $B$2:C647, C647)</f>
        <v>0.5391304347826088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AVERAGEIFS($I$2:J648, $B$2:C648, C648)</f>
        <v>0.49535714285714288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AVERAGEIFS($I$2:J649, $B$2:C649, C649)</f>
        <v>0.56600000000000006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AVERAGEIFS($I$2:J650, $B$2:C650, C650)</f>
        <v>0.47166666666666662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AVERAGEIFS($I$2:J651, $B$2:C651, C651)</f>
        <v>0.54739130434782612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AVERAGEIFS($I$2:J652, $B$2:C652, C652)</f>
        <v>0.45514285714285724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AVERAGEIFS($I$2:J653, $B$2:C653, C653)</f>
        <v>0.4948275862068966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AVERAGEIFS($I$2:J654, $B$2:C654, C654)</f>
        <v>0.43090909090909085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AVERAGEIFS($I$2:J655, $B$2:C655, C655)</f>
        <v>0.46238095238095234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AVERAGEIFS($I$2:J656, $B$2:C656, C656)</f>
        <v>0.48399999999999999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AVERAGEIFS($I$2:J657, $B$2:C657, C657)</f>
        <v>0.46499999999999991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AVERAGEIFS($I$2:J658, $B$2:C658, C658)</f>
        <v>0.54625000000000001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AVERAGEIFS($I$2:J659, $B$2:C659, C659)</f>
        <v>0.45694444444444454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AVERAGEIFS($I$2:J660, $B$2:C660, C660)</f>
        <v>0.50600000000000001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AVERAGEIFS($I$2:J661, $B$2:C661, C661)</f>
        <v>0.53400000000000003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AVERAGEIFS($I$2:J662, $B$2:C662, C662)</f>
        <v>0.52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AVERAGEIFS($I$2:J663, $B$2:C663, C663)</f>
        <v>0.50599999999999989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AVERAGEIFS($I$2:J664, $B$2:C664, C664)</f>
        <v>0.54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AVERAGEIFS($I$2:J665, $B$2:C665, C665)</f>
        <v>0.53291666666666682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AVERAGEIFS($I$2:J666, $B$2:C666, C666)</f>
        <v>0.50818181818181807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AVERAGEIFS($I$2:J667, $B$2:C667, C667)</f>
        <v>0.50304347826086948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AVERAGEIFS($I$2:J668, $B$2:C668, C668)</f>
        <v>0.50225806451612909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AVERAGEIFS($I$2:J669, $B$2:C669, C669)</f>
        <v>0.50562499999999999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AVERAGEIFS($I$2:J670, $B$2:C670, C670)</f>
        <v>0.49142857142857138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AVERAGEIFS($I$2:J671, $B$2:C671, C671)</f>
        <v>0.54090909090909089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AVERAGEIFS($I$2:J672, $B$2:C672, C672)</f>
        <v>0.4986666666666667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AVERAGEIFS($I$2:J673, $B$2:C673, C673)</f>
        <v>0.53600000000000003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AVERAGEIFS($I$2:J674, $B$2:C674, C674)</f>
        <v>0.61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AVERAGEIFS($I$2:J675, $B$2:C675, C675)</f>
        <v>0.5244827586206896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AVERAGEIFS($I$2:J676, $B$2:C676, C676)</f>
        <v>0.50749999999999995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AVERAGEIFS($I$2:J677, $B$2:C677, C677)</f>
        <v>0.50568181818181823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AVERAGEIFS($I$2:J678, $B$2:C678, C678)</f>
        <v>0.52100000000000002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AVERAGEIFS($I$2:J679, $B$2:C679, C679)</f>
        <v>0.47260869565217389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AVERAGEIFS($I$2:J680, $B$2:C680, C680)</f>
        <v>0.54382352941176482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AVERAGEIFS($I$2:J681, $B$2:C681, C681)</f>
        <v>0.50322580645161297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AVERAGEIFS($I$2:J682, $B$2:C682, C682)</f>
        <v>0.47066666666666662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AVERAGEIFS($I$2:J683, $B$2:C683, C683)</f>
        <v>0.47294117647058831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AVERAGEIFS($I$2:J684, $B$2:C684, C684)</f>
        <v>0.50159999999999993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AVERAGEIFS($I$2:J685, $B$2:C685, C685)</f>
        <v>0.49615384615384606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AVERAGEIFS($I$2:J686, $B$2:C686, C686)</f>
        <v>0.50121212121212122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AVERAGEIFS($I$2:J687, $B$2:C687, C687)</f>
        <v>0.50468750000000007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AVERAGEIFS($I$2:J688, $B$2:C688, C688)</f>
        <v>0.49875000000000003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AVERAGEIFS($I$2:J689, $B$2:C689, C689)</f>
        <v>0.491111111111111</v>
      </c>
      <c r="AJ689" s="86">
        <f>AVERAGEIFS($D$2:D689, $B$2:B689, B689)</f>
        <v>0.36363636363636365</v>
      </c>
    </row>
  </sheetData>
  <autoFilter ref="A1:AJ648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2026-03-29T15:20:45Z</dcterms:modified>
</cp:coreProperties>
</file>