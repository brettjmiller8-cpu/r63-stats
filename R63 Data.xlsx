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0D1B6537-8DBA-41F5-8CA8-5BA1A702A012}" xr6:coauthVersionLast="47" xr6:coauthVersionMax="47" xr10:uidLastSave="{00000000-0000-0000-0000-000000000000}"/>
  <bookViews>
    <workbookView xWindow="-28920" yWindow="-120" windowWidth="29040" windowHeight="15720" activeTab="7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History'!$A$1:$AJ$518</definedName>
    <definedName name="_xlnm._FilterDatabase" localSheetId="5" hidden="1">'BA v2'!$A$1:$AJ$53</definedName>
    <definedName name="_xlnm._FilterDatabase" localSheetId="4" hidden="1">'OB History'!$A$1:$AD$389</definedName>
    <definedName name="_xlnm._FilterDatabase" localSheetId="1" hidden="1">'Old Bow'!$A$1:$AD$37</definedName>
    <definedName name="_xlnm._FilterDatabase" localSheetId="0" hidden="1">'Old Bow v2'!$A$1:$AE$41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503" i="9" l="1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AI515" i="9"/>
  <c r="AJ515" i="9"/>
  <c r="AG516" i="9"/>
  <c r="AH516" i="9"/>
  <c r="AI516" i="9"/>
  <c r="AJ516" i="9"/>
  <c r="AG517" i="9"/>
  <c r="AH517" i="9"/>
  <c r="AI517" i="9"/>
  <c r="AJ517" i="9"/>
  <c r="AG518" i="9"/>
  <c r="AH518" i="9"/>
  <c r="AI518" i="9"/>
  <c r="AJ518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AI497" i="9"/>
  <c r="AJ497" i="9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AI502" i="9"/>
  <c r="AJ50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AE9" i="11"/>
  <c r="P9" i="11"/>
  <c r="D9" i="11"/>
  <c r="E9" i="11"/>
  <c r="F9" i="11" a="1"/>
  <c r="F9" i="11" s="1"/>
  <c r="G9" i="11"/>
  <c r="I9" i="11" s="1"/>
  <c r="H9" i="11"/>
  <c r="J9" i="11"/>
  <c r="K9" i="11" s="1"/>
  <c r="M9" i="11"/>
  <c r="N9" i="11" s="1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2" i="11"/>
  <c r="Y3" i="11"/>
  <c r="Y4" i="11"/>
  <c r="Y5" i="11"/>
  <c r="Y6" i="11"/>
  <c r="Y7" i="11"/>
  <c r="Y8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6" i="11"/>
  <c r="Y27" i="11"/>
  <c r="Y28" i="11"/>
  <c r="Y29" i="11"/>
  <c r="Y30" i="11"/>
  <c r="Y31" i="11"/>
  <c r="Y32" i="11"/>
  <c r="Y33" i="11"/>
  <c r="Y34" i="11"/>
  <c r="Y35" i="11"/>
  <c r="Y36" i="11"/>
  <c r="Y37" i="11"/>
  <c r="Y38" i="11"/>
  <c r="Y39" i="11"/>
  <c r="Y40" i="11"/>
  <c r="Y41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L2" i="12"/>
  <c r="W9" i="12"/>
  <c r="W10" i="12"/>
  <c r="W11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8" i="12"/>
  <c r="W7" i="12"/>
  <c r="W6" i="12"/>
  <c r="W5" i="12"/>
  <c r="W4" i="12"/>
  <c r="W3" i="12"/>
  <c r="P42" i="12"/>
  <c r="Q42" i="12"/>
  <c r="R42" i="12"/>
  <c r="S42" i="12"/>
  <c r="T42" i="12"/>
  <c r="U42" i="12"/>
  <c r="V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I42" i="12"/>
  <c r="J42" i="12" s="1"/>
  <c r="L42" i="12"/>
  <c r="M42" i="12" s="1"/>
  <c r="F42" i="12"/>
  <c r="G42" i="12"/>
  <c r="C42" i="12"/>
  <c r="D42" i="12"/>
  <c r="E42" i="12" a="1"/>
  <c r="E42" i="12" s="1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AI476" i="9"/>
  <c r="AJ476" i="9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AI481" i="9"/>
  <c r="AJ481" i="9"/>
  <c r="AG482" i="9"/>
  <c r="AH482" i="9"/>
  <c r="AI482" i="9"/>
  <c r="AJ482" i="9"/>
  <c r="AA377" i="10"/>
  <c r="AB377" i="10"/>
  <c r="AC377" i="10"/>
  <c r="AD377" i="10"/>
  <c r="AA361" i="10"/>
  <c r="AB361" i="10"/>
  <c r="AC361" i="10"/>
  <c r="AD361" i="10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F39" i="11" a="1"/>
  <c r="F39" i="11" s="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D33" i="11"/>
  <c r="F33" i="11" a="1"/>
  <c r="F33" i="11" s="1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AI436" i="9"/>
  <c r="AJ436" i="9"/>
  <c r="P31" i="12"/>
  <c r="Q31" i="12"/>
  <c r="R31" i="12"/>
  <c r="S31" i="12"/>
  <c r="T31" i="12"/>
  <c r="U31" i="12"/>
  <c r="V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C31" i="12"/>
  <c r="D31" i="12"/>
  <c r="E31" i="12" a="1"/>
  <c r="E31" i="12" s="1"/>
  <c r="F31" i="12"/>
  <c r="G31" i="12"/>
  <c r="I31" i="12"/>
  <c r="L31" i="12"/>
  <c r="M31" i="12" s="1"/>
  <c r="C32" i="12"/>
  <c r="D32" i="12"/>
  <c r="E32" i="12" a="1"/>
  <c r="E32" i="12" s="1"/>
  <c r="F32" i="12"/>
  <c r="G32" i="12"/>
  <c r="I32" i="12"/>
  <c r="J32" i="12" s="1"/>
  <c r="L32" i="12"/>
  <c r="M32" i="12" s="1"/>
  <c r="N32" i="12" s="1"/>
  <c r="O32" i="12"/>
  <c r="P32" i="12"/>
  <c r="Q32" i="12"/>
  <c r="R32" i="12"/>
  <c r="S32" i="12"/>
  <c r="T32" i="12"/>
  <c r="U32" i="12"/>
  <c r="V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AI467" i="9"/>
  <c r="AJ467" i="9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H12" i="12" l="1"/>
  <c r="O9" i="11"/>
  <c r="L9" i="11"/>
  <c r="N12" i="12"/>
  <c r="K12" i="12"/>
  <c r="H2" i="12"/>
  <c r="M2" i="12"/>
  <c r="N2" i="12" s="1"/>
  <c r="K2" i="12"/>
  <c r="H42" i="12"/>
  <c r="N42" i="12"/>
  <c r="K42" i="12"/>
  <c r="H31" i="12"/>
  <c r="J31" i="12"/>
  <c r="K31" i="12" s="1"/>
  <c r="N31" i="12"/>
  <c r="H32" i="12"/>
  <c r="K32" i="12"/>
  <c r="P22" i="12"/>
  <c r="Q22" i="12"/>
  <c r="R22" i="12"/>
  <c r="S22" i="12"/>
  <c r="T22" i="12"/>
  <c r="U22" i="12"/>
  <c r="V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I22" i="12"/>
  <c r="J22" i="12" s="1"/>
  <c r="L22" i="12"/>
  <c r="M22" i="12" s="1"/>
  <c r="F22" i="12"/>
  <c r="G22" i="12"/>
  <c r="C22" i="12"/>
  <c r="D22" i="12"/>
  <c r="E22" i="12" a="1"/>
  <c r="E22" i="12" s="1"/>
  <c r="AF43" i="12"/>
  <c r="AG43" i="12"/>
  <c r="AH43" i="12"/>
  <c r="AI43" i="12"/>
  <c r="AJ43" i="12"/>
  <c r="P43" i="12"/>
  <c r="Q43" i="12"/>
  <c r="R43" i="12"/>
  <c r="S43" i="12"/>
  <c r="T43" i="12"/>
  <c r="U43" i="12"/>
  <c r="V43" i="12"/>
  <c r="X43" i="12"/>
  <c r="Y43" i="12"/>
  <c r="Z43" i="12"/>
  <c r="AA43" i="12"/>
  <c r="AB43" i="12"/>
  <c r="AC43" i="12"/>
  <c r="AD43" i="12"/>
  <c r="AE43" i="12"/>
  <c r="O43" i="12"/>
  <c r="I43" i="12"/>
  <c r="J43" i="12" s="1"/>
  <c r="L43" i="12"/>
  <c r="M43" i="12" s="1"/>
  <c r="F43" i="12"/>
  <c r="G43" i="12"/>
  <c r="C43" i="12"/>
  <c r="D43" i="12"/>
  <c r="P38" i="12"/>
  <c r="Q38" i="12"/>
  <c r="R38" i="12"/>
  <c r="S38" i="12"/>
  <c r="T38" i="12"/>
  <c r="U38" i="12"/>
  <c r="V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F38" i="12"/>
  <c r="G38" i="12"/>
  <c r="I38" i="12"/>
  <c r="J38" i="12" s="1"/>
  <c r="L38" i="12"/>
  <c r="M38" i="12" s="1"/>
  <c r="C38" i="12"/>
  <c r="D38" i="12"/>
  <c r="P21" i="12"/>
  <c r="Q21" i="12"/>
  <c r="R21" i="12"/>
  <c r="S21" i="12"/>
  <c r="T21" i="12"/>
  <c r="U21" i="12"/>
  <c r="V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L21" i="12"/>
  <c r="M21" i="12" s="1"/>
  <c r="I21" i="12"/>
  <c r="J21" i="12" s="1"/>
  <c r="F21" i="12"/>
  <c r="G21" i="12"/>
  <c r="C21" i="12"/>
  <c r="D21" i="12"/>
  <c r="E21" i="12" a="1"/>
  <c r="E21" i="12" s="1"/>
  <c r="E43" i="12" a="1"/>
  <c r="E43" i="12" s="1"/>
  <c r="E38" i="12" a="1"/>
  <c r="E38" i="12" s="1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Q2" i="11"/>
  <c r="R2" i="11"/>
  <c r="S2" i="11"/>
  <c r="T2" i="11"/>
  <c r="U2" i="11"/>
  <c r="V2" i="11"/>
  <c r="W2" i="11"/>
  <c r="X2" i="11"/>
  <c r="Z2" i="11"/>
  <c r="AA2" i="11"/>
  <c r="AB2" i="11"/>
  <c r="AC2" i="11"/>
  <c r="AD2" i="11"/>
  <c r="AE2" i="11"/>
  <c r="P2" i="11"/>
  <c r="M2" i="11"/>
  <c r="N2" i="11" s="1"/>
  <c r="J2" i="11"/>
  <c r="K2" i="11" s="1"/>
  <c r="H2" i="11"/>
  <c r="G2" i="11"/>
  <c r="F2" i="11" a="1"/>
  <c r="F2" i="11" s="1"/>
  <c r="E2" i="11"/>
  <c r="D2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Q19" i="11"/>
  <c r="R19" i="11"/>
  <c r="S19" i="11"/>
  <c r="T19" i="11"/>
  <c r="U19" i="11"/>
  <c r="V19" i="11"/>
  <c r="W19" i="11"/>
  <c r="X19" i="11"/>
  <c r="Z19" i="11"/>
  <c r="AA19" i="11"/>
  <c r="AB19" i="11"/>
  <c r="AC19" i="11"/>
  <c r="AD19" i="11"/>
  <c r="AE19" i="11"/>
  <c r="P19" i="11"/>
  <c r="M19" i="11"/>
  <c r="N19" i="11" s="1"/>
  <c r="J19" i="11"/>
  <c r="H19" i="11"/>
  <c r="G19" i="11"/>
  <c r="E19" i="11"/>
  <c r="D19" i="11"/>
  <c r="F19" i="11" a="1"/>
  <c r="F19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P13" i="12"/>
  <c r="Q13" i="12"/>
  <c r="R13" i="12"/>
  <c r="S13" i="12"/>
  <c r="T13" i="12"/>
  <c r="U13" i="12"/>
  <c r="V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P14" i="12"/>
  <c r="Q14" i="12"/>
  <c r="R14" i="12"/>
  <c r="S14" i="12"/>
  <c r="T14" i="12"/>
  <c r="U14" i="12"/>
  <c r="V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P15" i="12"/>
  <c r="Q15" i="12"/>
  <c r="R15" i="12"/>
  <c r="S15" i="12"/>
  <c r="T15" i="12"/>
  <c r="U15" i="12"/>
  <c r="V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P16" i="12"/>
  <c r="Q16" i="12"/>
  <c r="R16" i="12"/>
  <c r="S16" i="12"/>
  <c r="T16" i="12"/>
  <c r="U16" i="12"/>
  <c r="V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P17" i="12"/>
  <c r="Q17" i="12"/>
  <c r="R17" i="12"/>
  <c r="S17" i="12"/>
  <c r="T17" i="12"/>
  <c r="U17" i="12"/>
  <c r="V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P18" i="12"/>
  <c r="Q18" i="12"/>
  <c r="R18" i="12"/>
  <c r="S18" i="12"/>
  <c r="T18" i="12"/>
  <c r="U18" i="12"/>
  <c r="V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P19" i="12"/>
  <c r="Q19" i="12"/>
  <c r="R19" i="12"/>
  <c r="S19" i="12"/>
  <c r="T19" i="12"/>
  <c r="U19" i="12"/>
  <c r="V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P20" i="12"/>
  <c r="Q20" i="12"/>
  <c r="R20" i="12"/>
  <c r="S20" i="12"/>
  <c r="T20" i="12"/>
  <c r="U20" i="12"/>
  <c r="V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P23" i="12"/>
  <c r="Q23" i="12"/>
  <c r="R23" i="12"/>
  <c r="S23" i="12"/>
  <c r="T23" i="12"/>
  <c r="U23" i="12"/>
  <c r="V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P24" i="12"/>
  <c r="Q24" i="12"/>
  <c r="R24" i="12"/>
  <c r="S24" i="12"/>
  <c r="T24" i="12"/>
  <c r="U24" i="12"/>
  <c r="V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P25" i="12"/>
  <c r="Q25" i="12"/>
  <c r="R25" i="12"/>
  <c r="S25" i="12"/>
  <c r="T25" i="12"/>
  <c r="U25" i="12"/>
  <c r="V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P26" i="12"/>
  <c r="Q26" i="12"/>
  <c r="R26" i="12"/>
  <c r="S26" i="12"/>
  <c r="T26" i="12"/>
  <c r="U26" i="12"/>
  <c r="V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P27" i="12"/>
  <c r="Q27" i="12"/>
  <c r="R27" i="12"/>
  <c r="S27" i="12"/>
  <c r="T27" i="12"/>
  <c r="U27" i="12"/>
  <c r="V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P28" i="12"/>
  <c r="Q28" i="12"/>
  <c r="R28" i="12"/>
  <c r="S28" i="12"/>
  <c r="T28" i="12"/>
  <c r="U28" i="12"/>
  <c r="V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P29" i="12"/>
  <c r="Q29" i="12"/>
  <c r="R29" i="12"/>
  <c r="S29" i="12"/>
  <c r="T29" i="12"/>
  <c r="U29" i="12"/>
  <c r="V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P30" i="12"/>
  <c r="Q30" i="12"/>
  <c r="R30" i="12"/>
  <c r="S30" i="12"/>
  <c r="T30" i="12"/>
  <c r="U30" i="12"/>
  <c r="V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P33" i="12"/>
  <c r="Q33" i="12"/>
  <c r="R33" i="12"/>
  <c r="S33" i="12"/>
  <c r="T33" i="12"/>
  <c r="U33" i="12"/>
  <c r="V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P34" i="12"/>
  <c r="Q34" i="12"/>
  <c r="R34" i="12"/>
  <c r="S34" i="12"/>
  <c r="T34" i="12"/>
  <c r="U34" i="12"/>
  <c r="V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P35" i="12"/>
  <c r="Q35" i="12"/>
  <c r="R35" i="12"/>
  <c r="S35" i="12"/>
  <c r="T35" i="12"/>
  <c r="U35" i="12"/>
  <c r="V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P36" i="12"/>
  <c r="Q36" i="12"/>
  <c r="R36" i="12"/>
  <c r="S36" i="12"/>
  <c r="T36" i="12"/>
  <c r="U36" i="12"/>
  <c r="V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P37" i="12"/>
  <c r="Q37" i="12"/>
  <c r="R37" i="12"/>
  <c r="S37" i="12"/>
  <c r="T37" i="12"/>
  <c r="U37" i="12"/>
  <c r="V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P39" i="12"/>
  <c r="Q39" i="12"/>
  <c r="R39" i="12"/>
  <c r="S39" i="12"/>
  <c r="T39" i="12"/>
  <c r="U39" i="12"/>
  <c r="V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P40" i="12"/>
  <c r="Q40" i="12"/>
  <c r="R40" i="12"/>
  <c r="S40" i="12"/>
  <c r="T40" i="12"/>
  <c r="U40" i="12"/>
  <c r="V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P41" i="12"/>
  <c r="Q41" i="12"/>
  <c r="R41" i="12"/>
  <c r="S41" i="12"/>
  <c r="T41" i="12"/>
  <c r="U41" i="12"/>
  <c r="V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P44" i="12"/>
  <c r="Q44" i="12"/>
  <c r="R44" i="12"/>
  <c r="S44" i="12"/>
  <c r="T44" i="12"/>
  <c r="U44" i="12"/>
  <c r="V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P45" i="12"/>
  <c r="Q45" i="12"/>
  <c r="R45" i="12"/>
  <c r="S45" i="12"/>
  <c r="T45" i="12"/>
  <c r="U45" i="12"/>
  <c r="V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P46" i="12"/>
  <c r="Q46" i="12"/>
  <c r="R46" i="12"/>
  <c r="S46" i="12"/>
  <c r="T46" i="12"/>
  <c r="U46" i="12"/>
  <c r="V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P47" i="12"/>
  <c r="Q47" i="12"/>
  <c r="R47" i="12"/>
  <c r="S47" i="12"/>
  <c r="T47" i="12"/>
  <c r="U47" i="12"/>
  <c r="V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P48" i="12"/>
  <c r="Q48" i="12"/>
  <c r="R48" i="12"/>
  <c r="S48" i="12"/>
  <c r="T48" i="12"/>
  <c r="U48" i="12"/>
  <c r="V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P49" i="12"/>
  <c r="Q49" i="12"/>
  <c r="R49" i="12"/>
  <c r="S49" i="12"/>
  <c r="T49" i="12"/>
  <c r="U49" i="12"/>
  <c r="V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P50" i="12"/>
  <c r="Q50" i="12"/>
  <c r="R50" i="12"/>
  <c r="S50" i="12"/>
  <c r="T50" i="12"/>
  <c r="U50" i="12"/>
  <c r="V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P51" i="12"/>
  <c r="Q51" i="12"/>
  <c r="R51" i="12"/>
  <c r="S51" i="12"/>
  <c r="T51" i="12"/>
  <c r="U51" i="12"/>
  <c r="V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P52" i="12"/>
  <c r="Q52" i="12"/>
  <c r="R52" i="12"/>
  <c r="S52" i="12"/>
  <c r="T52" i="12"/>
  <c r="U52" i="12"/>
  <c r="V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P53" i="12"/>
  <c r="Q53" i="12"/>
  <c r="R53" i="12"/>
  <c r="S53" i="12"/>
  <c r="T53" i="12"/>
  <c r="U53" i="12"/>
  <c r="V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O52" i="12"/>
  <c r="O51" i="12"/>
  <c r="O50" i="12"/>
  <c r="O49" i="12"/>
  <c r="O48" i="12"/>
  <c r="O47" i="12"/>
  <c r="O46" i="12"/>
  <c r="O45" i="12"/>
  <c r="O44" i="12"/>
  <c r="O41" i="12"/>
  <c r="O40" i="12"/>
  <c r="O39" i="12"/>
  <c r="O37" i="12"/>
  <c r="O36" i="12"/>
  <c r="O35" i="12"/>
  <c r="O34" i="12"/>
  <c r="O33" i="12"/>
  <c r="O30" i="12"/>
  <c r="O29" i="12"/>
  <c r="O28" i="12"/>
  <c r="O27" i="12"/>
  <c r="O26" i="12"/>
  <c r="O25" i="12"/>
  <c r="O24" i="12"/>
  <c r="O23" i="12"/>
  <c r="O20" i="12"/>
  <c r="O19" i="12"/>
  <c r="O18" i="12"/>
  <c r="O17" i="12"/>
  <c r="O16" i="12"/>
  <c r="O15" i="12"/>
  <c r="O14" i="12"/>
  <c r="O13" i="12"/>
  <c r="P11" i="12"/>
  <c r="Q11" i="12"/>
  <c r="R11" i="12"/>
  <c r="S11" i="12"/>
  <c r="T11" i="12"/>
  <c r="U11" i="12"/>
  <c r="V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O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O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N4" i="12" s="1"/>
  <c r="L5" i="12"/>
  <c r="M5" i="12" s="1"/>
  <c r="N5" i="12" s="1"/>
  <c r="L6" i="12"/>
  <c r="M6" i="12" s="1"/>
  <c r="N6" i="12" s="1"/>
  <c r="L7" i="12"/>
  <c r="M7" i="12" s="1"/>
  <c r="N7" i="12" s="1"/>
  <c r="L8" i="12"/>
  <c r="M8" i="12" s="1"/>
  <c r="N8" i="12" s="1"/>
  <c r="L9" i="12"/>
  <c r="M9" i="12" s="1"/>
  <c r="N9" i="12" s="1"/>
  <c r="L10" i="12"/>
  <c r="M10" i="12" s="1"/>
  <c r="L11" i="12"/>
  <c r="M11" i="12" s="1"/>
  <c r="N11" i="12" s="1"/>
  <c r="L13" i="12"/>
  <c r="M13" i="12" s="1"/>
  <c r="N13" i="12" s="1"/>
  <c r="L14" i="12"/>
  <c r="M14" i="12" s="1"/>
  <c r="N14" i="12" s="1"/>
  <c r="L15" i="12"/>
  <c r="M15" i="12" s="1"/>
  <c r="N15" i="12" s="1"/>
  <c r="L16" i="12"/>
  <c r="M16" i="12" s="1"/>
  <c r="N16" i="12" s="1"/>
  <c r="L17" i="12"/>
  <c r="M17" i="12" s="1"/>
  <c r="N17" i="12" s="1"/>
  <c r="L18" i="12"/>
  <c r="M18" i="12" s="1"/>
  <c r="N18" i="12" s="1"/>
  <c r="L19" i="12"/>
  <c r="M19" i="12" s="1"/>
  <c r="L20" i="12"/>
  <c r="M20" i="12" s="1"/>
  <c r="N20" i="12" s="1"/>
  <c r="L23" i="12"/>
  <c r="M23" i="12" s="1"/>
  <c r="N23" i="12" s="1"/>
  <c r="L24" i="12"/>
  <c r="M24" i="12" s="1"/>
  <c r="N24" i="12" s="1"/>
  <c r="L25" i="12"/>
  <c r="M25" i="12" s="1"/>
  <c r="N25" i="12" s="1"/>
  <c r="L26" i="12"/>
  <c r="M26" i="12" s="1"/>
  <c r="N26" i="12" s="1"/>
  <c r="L27" i="12"/>
  <c r="M27" i="12" s="1"/>
  <c r="N27" i="12" s="1"/>
  <c r="L28" i="12"/>
  <c r="M28" i="12" s="1"/>
  <c r="L29" i="12"/>
  <c r="M29" i="12" s="1"/>
  <c r="N29" i="12" s="1"/>
  <c r="L30" i="12"/>
  <c r="M30" i="12" s="1"/>
  <c r="N30" i="12" s="1"/>
  <c r="L33" i="12"/>
  <c r="M33" i="12" s="1"/>
  <c r="N33" i="12" s="1"/>
  <c r="L34" i="12"/>
  <c r="M34" i="12" s="1"/>
  <c r="N34" i="12" s="1"/>
  <c r="L35" i="12"/>
  <c r="M35" i="12" s="1"/>
  <c r="N35" i="12" s="1"/>
  <c r="L36" i="12"/>
  <c r="M36" i="12" s="1"/>
  <c r="N36" i="12" s="1"/>
  <c r="L37" i="12"/>
  <c r="M37" i="12" s="1"/>
  <c r="N37" i="12" s="1"/>
  <c r="L39" i="12"/>
  <c r="M39" i="12" s="1"/>
  <c r="L40" i="12"/>
  <c r="M40" i="12" s="1"/>
  <c r="L41" i="12"/>
  <c r="M41" i="12" s="1"/>
  <c r="L44" i="12"/>
  <c r="M44" i="12" s="1"/>
  <c r="N44" i="12" s="1"/>
  <c r="L45" i="12"/>
  <c r="M45" i="12" s="1"/>
  <c r="N45" i="12" s="1"/>
  <c r="L46" i="12"/>
  <c r="M46" i="12" s="1"/>
  <c r="N46" i="12" s="1"/>
  <c r="L47" i="12"/>
  <c r="M47" i="12" s="1"/>
  <c r="N47" i="12" s="1"/>
  <c r="L48" i="12"/>
  <c r="M48" i="12" s="1"/>
  <c r="L49" i="12"/>
  <c r="M49" i="12" s="1"/>
  <c r="N49" i="12" s="1"/>
  <c r="L50" i="12"/>
  <c r="M50" i="12" s="1"/>
  <c r="N50" i="12" s="1"/>
  <c r="L51" i="12"/>
  <c r="M51" i="12" s="1"/>
  <c r="L52" i="12"/>
  <c r="M52" i="12" s="1"/>
  <c r="L53" i="12"/>
  <c r="L3" i="12"/>
  <c r="M3" i="12" s="1"/>
  <c r="I4" i="12"/>
  <c r="J4" i="12" s="1"/>
  <c r="K4" i="12" s="1"/>
  <c r="I5" i="12"/>
  <c r="J5" i="12" s="1"/>
  <c r="K5" i="12" s="1"/>
  <c r="I6" i="12"/>
  <c r="J6" i="12" s="1"/>
  <c r="K6" i="12" s="1"/>
  <c r="I7" i="12"/>
  <c r="J7" i="12" s="1"/>
  <c r="K7" i="12" s="1"/>
  <c r="I8" i="12"/>
  <c r="J8" i="12" s="1"/>
  <c r="K8" i="12" s="1"/>
  <c r="I9" i="12"/>
  <c r="J9" i="12" s="1"/>
  <c r="K9" i="12" s="1"/>
  <c r="I10" i="12"/>
  <c r="J10" i="12" s="1"/>
  <c r="K10" i="12" s="1"/>
  <c r="I11" i="12"/>
  <c r="J11" i="12" s="1"/>
  <c r="K11" i="12" s="1"/>
  <c r="I13" i="12"/>
  <c r="J13" i="12" s="1"/>
  <c r="K13" i="12" s="1"/>
  <c r="I14" i="12"/>
  <c r="I15" i="12"/>
  <c r="J15" i="12" s="1"/>
  <c r="K15" i="12" s="1"/>
  <c r="I16" i="12"/>
  <c r="J16" i="12" s="1"/>
  <c r="K16" i="12" s="1"/>
  <c r="I17" i="12"/>
  <c r="J17" i="12" s="1"/>
  <c r="K17" i="12" s="1"/>
  <c r="I18" i="12"/>
  <c r="J18" i="12" s="1"/>
  <c r="K18" i="12" s="1"/>
  <c r="I19" i="12"/>
  <c r="J19" i="12" s="1"/>
  <c r="I20" i="12"/>
  <c r="J20" i="12" s="1"/>
  <c r="K20" i="12" s="1"/>
  <c r="I23" i="12"/>
  <c r="J23" i="12" s="1"/>
  <c r="K23" i="12" s="1"/>
  <c r="I24" i="12"/>
  <c r="J24" i="12" s="1"/>
  <c r="K24" i="12" s="1"/>
  <c r="I25" i="12"/>
  <c r="J25" i="12" s="1"/>
  <c r="K25" i="12" s="1"/>
  <c r="I26" i="12"/>
  <c r="J26" i="12" s="1"/>
  <c r="K26" i="12" s="1"/>
  <c r="I27" i="12"/>
  <c r="J27" i="12" s="1"/>
  <c r="K27" i="12" s="1"/>
  <c r="I28" i="12"/>
  <c r="J28" i="12" s="1"/>
  <c r="K28" i="12" s="1"/>
  <c r="I29" i="12"/>
  <c r="J29" i="12" s="1"/>
  <c r="K29" i="12" s="1"/>
  <c r="I30" i="12"/>
  <c r="J30" i="12" s="1"/>
  <c r="K30" i="12" s="1"/>
  <c r="I33" i="12"/>
  <c r="J33" i="12" s="1"/>
  <c r="K33" i="12" s="1"/>
  <c r="I34" i="12"/>
  <c r="J34" i="12" s="1"/>
  <c r="K34" i="12" s="1"/>
  <c r="I35" i="12"/>
  <c r="J35" i="12" s="1"/>
  <c r="K35" i="12" s="1"/>
  <c r="I36" i="12"/>
  <c r="J36" i="12" s="1"/>
  <c r="K36" i="12" s="1"/>
  <c r="I37" i="12"/>
  <c r="J37" i="12" s="1"/>
  <c r="K37" i="12" s="1"/>
  <c r="I39" i="12"/>
  <c r="J39" i="12" s="1"/>
  <c r="I40" i="12"/>
  <c r="J40" i="12" s="1"/>
  <c r="I41" i="12"/>
  <c r="J41" i="12" s="1"/>
  <c r="K41" i="12" s="1"/>
  <c r="I44" i="12"/>
  <c r="J44" i="12" s="1"/>
  <c r="K44" i="12" s="1"/>
  <c r="I45" i="12"/>
  <c r="J45" i="12" s="1"/>
  <c r="K45" i="12" s="1"/>
  <c r="I46" i="12"/>
  <c r="J46" i="12" s="1"/>
  <c r="I47" i="12"/>
  <c r="J47" i="12" s="1"/>
  <c r="I48" i="12"/>
  <c r="J48" i="12" s="1"/>
  <c r="K48" i="12" s="1"/>
  <c r="I49" i="12"/>
  <c r="J49" i="12" s="1"/>
  <c r="K49" i="12" s="1"/>
  <c r="I50" i="12"/>
  <c r="J50" i="12" s="1"/>
  <c r="K50" i="12" s="1"/>
  <c r="I51" i="12"/>
  <c r="J51" i="12" s="1"/>
  <c r="K51" i="12" s="1"/>
  <c r="I52" i="12"/>
  <c r="J52" i="12" s="1"/>
  <c r="K52" i="12" s="1"/>
  <c r="I53" i="12"/>
  <c r="J53" i="12" s="1"/>
  <c r="K53" i="12" s="1"/>
  <c r="I3" i="12"/>
  <c r="J3" i="12" s="1"/>
  <c r="G4" i="12"/>
  <c r="G5" i="12"/>
  <c r="G6" i="12"/>
  <c r="G7" i="12"/>
  <c r="G8" i="12"/>
  <c r="G9" i="12"/>
  <c r="G10" i="12"/>
  <c r="G11" i="12"/>
  <c r="G13" i="12"/>
  <c r="G14" i="12"/>
  <c r="G15" i="12"/>
  <c r="G16" i="12"/>
  <c r="G17" i="12"/>
  <c r="G18" i="12"/>
  <c r="G19" i="12"/>
  <c r="G20" i="12"/>
  <c r="G23" i="12"/>
  <c r="G24" i="12"/>
  <c r="G25" i="12"/>
  <c r="G26" i="12"/>
  <c r="G27" i="12"/>
  <c r="G28" i="12"/>
  <c r="G29" i="12"/>
  <c r="G30" i="12"/>
  <c r="G33" i="12"/>
  <c r="G34" i="12"/>
  <c r="G35" i="12"/>
  <c r="G36" i="12"/>
  <c r="G37" i="12"/>
  <c r="G39" i="12"/>
  <c r="G40" i="12"/>
  <c r="G41" i="12"/>
  <c r="G44" i="12"/>
  <c r="G45" i="12"/>
  <c r="G46" i="12"/>
  <c r="G47" i="12"/>
  <c r="G48" i="12"/>
  <c r="G49" i="12"/>
  <c r="G50" i="12"/>
  <c r="G51" i="12"/>
  <c r="G52" i="12"/>
  <c r="G53" i="12"/>
  <c r="G3" i="12"/>
  <c r="F14" i="12"/>
  <c r="F15" i="12"/>
  <c r="F16" i="12"/>
  <c r="F17" i="12"/>
  <c r="F18" i="12"/>
  <c r="F19" i="12"/>
  <c r="F20" i="12"/>
  <c r="F23" i="12"/>
  <c r="F24" i="12"/>
  <c r="F25" i="12"/>
  <c r="F26" i="12"/>
  <c r="F27" i="12"/>
  <c r="F28" i="12"/>
  <c r="F29" i="12"/>
  <c r="F30" i="12"/>
  <c r="F33" i="12"/>
  <c r="F34" i="12"/>
  <c r="F35" i="12"/>
  <c r="F36" i="12"/>
  <c r="F37" i="12"/>
  <c r="F39" i="12"/>
  <c r="F40" i="12"/>
  <c r="F41" i="12"/>
  <c r="F44" i="12"/>
  <c r="F45" i="12"/>
  <c r="F46" i="12"/>
  <c r="F47" i="12"/>
  <c r="F48" i="12"/>
  <c r="F49" i="12"/>
  <c r="F50" i="12"/>
  <c r="F51" i="12"/>
  <c r="F52" i="12"/>
  <c r="F53" i="12"/>
  <c r="F4" i="12"/>
  <c r="F5" i="12"/>
  <c r="F6" i="12"/>
  <c r="F7" i="12"/>
  <c r="F8" i="12"/>
  <c r="F9" i="12"/>
  <c r="F10" i="12"/>
  <c r="F11" i="12"/>
  <c r="H11" i="12" s="1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14" i="12" a="1"/>
  <c r="E14" i="12" s="1"/>
  <c r="E15" i="12" a="1"/>
  <c r="E15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3" i="12" a="1"/>
  <c r="E23" i="12" s="1"/>
  <c r="E24" i="12" a="1"/>
  <c r="E24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3" i="12" a="1"/>
  <c r="E33" i="12" s="1"/>
  <c r="E34" i="12" a="1"/>
  <c r="E34" i="12" s="1"/>
  <c r="E35" i="12" a="1"/>
  <c r="E35" i="12" s="1"/>
  <c r="E36" i="12" a="1"/>
  <c r="E36" i="12" s="1"/>
  <c r="E37" i="12" a="1"/>
  <c r="E37" i="12" s="1"/>
  <c r="E39" i="12" a="1"/>
  <c r="E39" i="12" s="1"/>
  <c r="E40" i="12" a="1"/>
  <c r="E40" i="12" s="1"/>
  <c r="E41" i="12" a="1"/>
  <c r="E41" i="12" s="1"/>
  <c r="E44" i="12" a="1"/>
  <c r="E44" i="12" s="1"/>
  <c r="E45" i="12" a="1"/>
  <c r="E45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3" i="12" a="1"/>
  <c r="E3" i="12" s="1"/>
  <c r="D14" i="12"/>
  <c r="D15" i="12"/>
  <c r="D16" i="12"/>
  <c r="D17" i="12"/>
  <c r="D18" i="12"/>
  <c r="D19" i="12"/>
  <c r="D20" i="12"/>
  <c r="D23" i="12"/>
  <c r="D24" i="12"/>
  <c r="D25" i="12"/>
  <c r="D26" i="12"/>
  <c r="D27" i="12"/>
  <c r="D28" i="12"/>
  <c r="D29" i="12"/>
  <c r="D30" i="12"/>
  <c r="D33" i="12"/>
  <c r="D34" i="12"/>
  <c r="D35" i="12"/>
  <c r="D36" i="12"/>
  <c r="D37" i="12"/>
  <c r="D39" i="12"/>
  <c r="D40" i="12"/>
  <c r="D41" i="12"/>
  <c r="D44" i="12"/>
  <c r="D45" i="12"/>
  <c r="D46" i="12"/>
  <c r="D47" i="12"/>
  <c r="D48" i="12"/>
  <c r="D49" i="12"/>
  <c r="D50" i="12"/>
  <c r="D51" i="12"/>
  <c r="D52" i="12"/>
  <c r="D53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14" i="12"/>
  <c r="C15" i="12"/>
  <c r="C16" i="12"/>
  <c r="C17" i="12"/>
  <c r="C18" i="12"/>
  <c r="C19" i="12"/>
  <c r="C20" i="12"/>
  <c r="C23" i="12"/>
  <c r="C24" i="12"/>
  <c r="C25" i="12"/>
  <c r="C26" i="12"/>
  <c r="C27" i="12"/>
  <c r="C28" i="12"/>
  <c r="C29" i="12"/>
  <c r="C30" i="12"/>
  <c r="C33" i="12"/>
  <c r="C34" i="12"/>
  <c r="C35" i="12"/>
  <c r="C36" i="12"/>
  <c r="C37" i="12"/>
  <c r="C39" i="12"/>
  <c r="C40" i="12"/>
  <c r="C41" i="12"/>
  <c r="C44" i="12"/>
  <c r="C45" i="12"/>
  <c r="C46" i="12"/>
  <c r="C47" i="12"/>
  <c r="C48" i="12"/>
  <c r="C49" i="12"/>
  <c r="C50" i="12"/>
  <c r="C51" i="12"/>
  <c r="C52" i="12"/>
  <c r="C53" i="12"/>
  <c r="C3" i="12"/>
  <c r="N53" i="12"/>
  <c r="H29" i="12"/>
  <c r="H28" i="12"/>
  <c r="H27" i="12"/>
  <c r="H26" i="12"/>
  <c r="H25" i="12"/>
  <c r="H24" i="12"/>
  <c r="H20" i="12"/>
  <c r="H19" i="12"/>
  <c r="H18" i="12"/>
  <c r="H17" i="12"/>
  <c r="H16" i="12"/>
  <c r="H15" i="12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AI381" i="9"/>
  <c r="AJ381" i="9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AI364" i="9"/>
  <c r="AJ364" i="9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AI325" i="9"/>
  <c r="AJ325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68" i="9"/>
  <c r="AH268" i="9"/>
  <c r="AI268" i="9"/>
  <c r="AJ268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AI259" i="9"/>
  <c r="AJ259" i="9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AI266" i="9"/>
  <c r="AJ266" i="9"/>
  <c r="AG267" i="9"/>
  <c r="AH267" i="9"/>
  <c r="AI267" i="9"/>
  <c r="AJ267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AI253" i="9"/>
  <c r="AJ253" i="9"/>
  <c r="AG254" i="9"/>
  <c r="AH254" i="9"/>
  <c r="AI254" i="9"/>
  <c r="AJ254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AI183" i="9"/>
  <c r="AJ183" i="9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01" i="9"/>
  <c r="AH101" i="9"/>
  <c r="AI101" i="9"/>
  <c r="AJ101" i="9"/>
  <c r="AG102" i="9"/>
  <c r="AH102" i="9"/>
  <c r="AI102" i="9"/>
  <c r="AJ102" i="9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AI81" i="9"/>
  <c r="AJ81" i="9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AI58" i="9"/>
  <c r="AJ58" i="9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AI51" i="9"/>
  <c r="AJ51" i="9"/>
  <c r="AG52" i="9"/>
  <c r="AH52" i="9"/>
  <c r="AI52" i="9"/>
  <c r="AJ52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AI39" i="9"/>
  <c r="AJ39" i="9"/>
  <c r="AG40" i="9"/>
  <c r="AH40" i="9"/>
  <c r="AI40" i="9"/>
  <c r="AJ40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J2" i="9"/>
  <c r="AJ3" i="9"/>
  <c r="AJ4" i="9"/>
  <c r="AJ5" i="9"/>
  <c r="AJ6" i="9"/>
  <c r="AJ7" i="9"/>
  <c r="AJ8" i="9"/>
  <c r="AJ9" i="9"/>
  <c r="AJ10" i="9"/>
  <c r="AJ11" i="9"/>
  <c r="AJ12" i="9"/>
  <c r="AJ13" i="9"/>
  <c r="AI2" i="9"/>
  <c r="AI3" i="9"/>
  <c r="AI4" i="9"/>
  <c r="AI5" i="9"/>
  <c r="AI6" i="9"/>
  <c r="AI7" i="9"/>
  <c r="AI8" i="9"/>
  <c r="AI9" i="9"/>
  <c r="AI10" i="9"/>
  <c r="AI11" i="9"/>
  <c r="AI12" i="9"/>
  <c r="AI13" i="9"/>
  <c r="AH2" i="9"/>
  <c r="AH3" i="9"/>
  <c r="AH4" i="9"/>
  <c r="AH5" i="9"/>
  <c r="AH6" i="9"/>
  <c r="AH7" i="9"/>
  <c r="AH8" i="9"/>
  <c r="AH9" i="9"/>
  <c r="AH10" i="9"/>
  <c r="AH11" i="9"/>
  <c r="AH12" i="9"/>
  <c r="AH13" i="9"/>
  <c r="AG2" i="9"/>
  <c r="AG3" i="9"/>
  <c r="AG4" i="9"/>
  <c r="AG5" i="9"/>
  <c r="AG6" i="9"/>
  <c r="AG7" i="9"/>
  <c r="AG8" i="9"/>
  <c r="AG9" i="9"/>
  <c r="AG10" i="9"/>
  <c r="AG11" i="9"/>
  <c r="AG12" i="9"/>
  <c r="AG13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40" i="11"/>
  <c r="R40" i="11"/>
  <c r="S40" i="11"/>
  <c r="T40" i="11"/>
  <c r="U40" i="11"/>
  <c r="V40" i="11"/>
  <c r="W40" i="11"/>
  <c r="X40" i="11"/>
  <c r="Z40" i="11"/>
  <c r="AA40" i="11"/>
  <c r="AB40" i="11"/>
  <c r="AC40" i="11"/>
  <c r="AD40" i="11"/>
  <c r="AE40" i="11"/>
  <c r="P40" i="11"/>
  <c r="Q38" i="11"/>
  <c r="R38" i="11"/>
  <c r="S38" i="11"/>
  <c r="T38" i="11"/>
  <c r="U38" i="11"/>
  <c r="V38" i="11"/>
  <c r="W38" i="11"/>
  <c r="X38" i="11"/>
  <c r="Z38" i="11"/>
  <c r="AA38" i="11"/>
  <c r="AB38" i="11"/>
  <c r="AC38" i="11"/>
  <c r="AD38" i="11"/>
  <c r="AE38" i="11"/>
  <c r="P38" i="11"/>
  <c r="Q37" i="11"/>
  <c r="R37" i="11"/>
  <c r="S37" i="11"/>
  <c r="T37" i="11"/>
  <c r="U37" i="11"/>
  <c r="V37" i="11"/>
  <c r="W37" i="11"/>
  <c r="X37" i="11"/>
  <c r="Z37" i="11"/>
  <c r="AA37" i="11"/>
  <c r="AB37" i="11"/>
  <c r="AC37" i="11"/>
  <c r="AD37" i="11"/>
  <c r="AE37" i="11"/>
  <c r="P37" i="11"/>
  <c r="Q36" i="11"/>
  <c r="R36" i="11"/>
  <c r="S36" i="11"/>
  <c r="T36" i="11"/>
  <c r="U36" i="11"/>
  <c r="V36" i="11"/>
  <c r="W36" i="11"/>
  <c r="X36" i="11"/>
  <c r="Z36" i="11"/>
  <c r="AA36" i="11"/>
  <c r="AB36" i="11"/>
  <c r="AC36" i="11"/>
  <c r="AD36" i="11"/>
  <c r="AE36" i="11"/>
  <c r="P36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P35" i="1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P34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9" i="11"/>
  <c r="R29" i="11"/>
  <c r="S29" i="11"/>
  <c r="T29" i="11"/>
  <c r="U29" i="11"/>
  <c r="V29" i="11"/>
  <c r="W29" i="11"/>
  <c r="X29" i="11"/>
  <c r="Z29" i="11"/>
  <c r="AA29" i="11"/>
  <c r="AB29" i="11"/>
  <c r="AC29" i="11"/>
  <c r="AD29" i="11"/>
  <c r="AE29" i="11"/>
  <c r="P29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6" i="11"/>
  <c r="R26" i="11"/>
  <c r="S26" i="11"/>
  <c r="T26" i="11"/>
  <c r="U26" i="11"/>
  <c r="V26" i="11"/>
  <c r="W26" i="11"/>
  <c r="X26" i="11"/>
  <c r="Z26" i="11"/>
  <c r="AA26" i="11"/>
  <c r="AB26" i="11"/>
  <c r="AC26" i="11"/>
  <c r="AD26" i="11"/>
  <c r="AE26" i="11"/>
  <c r="P26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Q13" i="11"/>
  <c r="R13" i="11"/>
  <c r="S13" i="11"/>
  <c r="T13" i="11"/>
  <c r="U13" i="11"/>
  <c r="V13" i="11"/>
  <c r="W13" i="11"/>
  <c r="X13" i="11"/>
  <c r="Z13" i="11"/>
  <c r="AA13" i="11"/>
  <c r="AB13" i="11"/>
  <c r="AC13" i="11"/>
  <c r="AD13" i="11"/>
  <c r="AE13" i="11"/>
  <c r="P13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10" i="11"/>
  <c r="R10" i="11"/>
  <c r="S10" i="11"/>
  <c r="T10" i="11"/>
  <c r="U10" i="11"/>
  <c r="V10" i="11"/>
  <c r="W10" i="11"/>
  <c r="X10" i="11"/>
  <c r="Z10" i="11"/>
  <c r="AA10" i="11"/>
  <c r="AB10" i="11"/>
  <c r="AC10" i="11"/>
  <c r="AD10" i="11"/>
  <c r="AE10" i="11"/>
  <c r="P10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Q7" i="11"/>
  <c r="R7" i="11"/>
  <c r="S7" i="11"/>
  <c r="T7" i="11"/>
  <c r="U7" i="11"/>
  <c r="V7" i="11"/>
  <c r="W7" i="11"/>
  <c r="X7" i="11"/>
  <c r="Z7" i="11"/>
  <c r="AA7" i="11"/>
  <c r="AB7" i="11"/>
  <c r="AC7" i="11"/>
  <c r="AD7" i="11"/>
  <c r="AE7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M3" i="11"/>
  <c r="N3" i="11" s="1"/>
  <c r="J4" i="11"/>
  <c r="K4" i="11" s="1"/>
  <c r="L4" i="11" s="1"/>
  <c r="J5" i="11"/>
  <c r="K5" i="11" s="1"/>
  <c r="J6" i="11"/>
  <c r="K6" i="11" s="1"/>
  <c r="J7" i="11"/>
  <c r="K7" i="11" s="1"/>
  <c r="J8" i="11"/>
  <c r="K8" i="11" s="1"/>
  <c r="J10" i="11"/>
  <c r="K10" i="11" s="1"/>
  <c r="J11" i="11"/>
  <c r="K11" i="11" s="1"/>
  <c r="L11" i="11" s="1"/>
  <c r="J12" i="11"/>
  <c r="K12" i="11" s="1"/>
  <c r="L12" i="11" s="1"/>
  <c r="J13" i="11"/>
  <c r="K13" i="11" s="1"/>
  <c r="L13" i="11" s="1"/>
  <c r="J14" i="11"/>
  <c r="K14" i="11" s="1"/>
  <c r="L14" i="11" s="1"/>
  <c r="J15" i="11"/>
  <c r="K15" i="11" s="1"/>
  <c r="L15" i="11" s="1"/>
  <c r="J16" i="11"/>
  <c r="K16" i="11" s="1"/>
  <c r="L16" i="11" s="1"/>
  <c r="J17" i="11"/>
  <c r="K17" i="11" s="1"/>
  <c r="J18" i="11"/>
  <c r="K18" i="11" s="1"/>
  <c r="L18" i="11" s="1"/>
  <c r="J20" i="11"/>
  <c r="K20" i="11" s="1"/>
  <c r="L20" i="11" s="1"/>
  <c r="J21" i="11"/>
  <c r="K21" i="11" s="1"/>
  <c r="J22" i="11"/>
  <c r="K22" i="11" s="1"/>
  <c r="L22" i="11" s="1"/>
  <c r="J23" i="11"/>
  <c r="K23" i="11" s="1"/>
  <c r="L23" i="11" s="1"/>
  <c r="J24" i="11"/>
  <c r="K24" i="11" s="1"/>
  <c r="L24" i="11" s="1"/>
  <c r="J25" i="11"/>
  <c r="K25" i="11" s="1"/>
  <c r="L25" i="11" s="1"/>
  <c r="J26" i="11"/>
  <c r="K26" i="11" s="1"/>
  <c r="J27" i="11"/>
  <c r="K27" i="11" s="1"/>
  <c r="J28" i="11"/>
  <c r="K28" i="11" s="1"/>
  <c r="L28" i="11" s="1"/>
  <c r="J29" i="11"/>
  <c r="K29" i="11" s="1"/>
  <c r="L29" i="11" s="1"/>
  <c r="J30" i="11"/>
  <c r="K30" i="11" s="1"/>
  <c r="L30" i="11" s="1"/>
  <c r="J31" i="11"/>
  <c r="K31" i="11" s="1"/>
  <c r="L31" i="11" s="1"/>
  <c r="J32" i="11"/>
  <c r="K32" i="11" s="1"/>
  <c r="L32" i="11" s="1"/>
  <c r="J34" i="11"/>
  <c r="K34" i="11" s="1"/>
  <c r="L34" i="11" s="1"/>
  <c r="J35" i="11"/>
  <c r="K35" i="11" s="1"/>
  <c r="J36" i="11"/>
  <c r="K36" i="11" s="1"/>
  <c r="L36" i="11" s="1"/>
  <c r="J37" i="11"/>
  <c r="K37" i="11" s="1"/>
  <c r="L37" i="11" s="1"/>
  <c r="J38" i="11"/>
  <c r="K38" i="11" s="1"/>
  <c r="J40" i="11"/>
  <c r="K40" i="11" s="1"/>
  <c r="L40" i="11" s="1"/>
  <c r="J41" i="11"/>
  <c r="K41" i="11" s="1"/>
  <c r="L41" i="11" s="1"/>
  <c r="J3" i="11"/>
  <c r="K3" i="11" s="1"/>
  <c r="L3" i="11" s="1"/>
  <c r="H4" i="11"/>
  <c r="H5" i="11"/>
  <c r="H6" i="11"/>
  <c r="H7" i="11"/>
  <c r="H8" i="11"/>
  <c r="H10" i="11"/>
  <c r="H11" i="11"/>
  <c r="H12" i="11"/>
  <c r="H13" i="11"/>
  <c r="H14" i="11"/>
  <c r="H15" i="11"/>
  <c r="H16" i="11"/>
  <c r="H17" i="11"/>
  <c r="H18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4" i="11"/>
  <c r="H35" i="11"/>
  <c r="H36" i="11"/>
  <c r="H37" i="11"/>
  <c r="H38" i="11"/>
  <c r="H40" i="11"/>
  <c r="H41" i="11"/>
  <c r="H3" i="11"/>
  <c r="G4" i="11"/>
  <c r="G5" i="11"/>
  <c r="G6" i="11"/>
  <c r="G7" i="11"/>
  <c r="G8" i="11"/>
  <c r="G10" i="11"/>
  <c r="G11" i="11"/>
  <c r="G12" i="11"/>
  <c r="G13" i="11"/>
  <c r="G14" i="11"/>
  <c r="G15" i="11"/>
  <c r="G16" i="11"/>
  <c r="G17" i="11"/>
  <c r="G18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4" i="11"/>
  <c r="G35" i="11"/>
  <c r="G36" i="11"/>
  <c r="G37" i="11"/>
  <c r="G38" i="11"/>
  <c r="G40" i="11"/>
  <c r="G41" i="11"/>
  <c r="G3" i="11"/>
  <c r="M4" i="11"/>
  <c r="N4" i="11" s="1"/>
  <c r="M5" i="11"/>
  <c r="N5" i="11" s="1"/>
  <c r="O5" i="11" s="1"/>
  <c r="M6" i="11"/>
  <c r="N6" i="11" s="1"/>
  <c r="O6" i="11" s="1"/>
  <c r="M7" i="11"/>
  <c r="N7" i="11" s="1"/>
  <c r="O7" i="11" s="1"/>
  <c r="M8" i="11"/>
  <c r="N8" i="11" s="1"/>
  <c r="O8" i="11" s="1"/>
  <c r="M11" i="11"/>
  <c r="N11" i="11" s="1"/>
  <c r="O11" i="11" s="1"/>
  <c r="M12" i="11"/>
  <c r="N12" i="11" s="1"/>
  <c r="O12" i="11" s="1"/>
  <c r="M13" i="11"/>
  <c r="N13" i="11" s="1"/>
  <c r="O13" i="11" s="1"/>
  <c r="M14" i="11"/>
  <c r="N14" i="11" s="1"/>
  <c r="O14" i="11" s="1"/>
  <c r="M15" i="11"/>
  <c r="N15" i="11" s="1"/>
  <c r="O15" i="11" s="1"/>
  <c r="M16" i="11"/>
  <c r="N16" i="11" s="1"/>
  <c r="O16" i="11" s="1"/>
  <c r="M17" i="11"/>
  <c r="N17" i="11" s="1"/>
  <c r="O17" i="11" s="1"/>
  <c r="M18" i="11"/>
  <c r="N18" i="11" s="1"/>
  <c r="O18" i="11" s="1"/>
  <c r="M20" i="11"/>
  <c r="N20" i="11" s="1"/>
  <c r="O20" i="11" s="1"/>
  <c r="M21" i="11"/>
  <c r="N21" i="11" s="1"/>
  <c r="O21" i="11" s="1"/>
  <c r="M22" i="11"/>
  <c r="N22" i="11" s="1"/>
  <c r="O22" i="11" s="1"/>
  <c r="M23" i="11"/>
  <c r="N23" i="11" s="1"/>
  <c r="O23" i="11" s="1"/>
  <c r="M24" i="11"/>
  <c r="M25" i="11"/>
  <c r="N25" i="11" s="1"/>
  <c r="M26" i="11"/>
  <c r="N26" i="11" s="1"/>
  <c r="M27" i="11"/>
  <c r="N27" i="11" s="1"/>
  <c r="M28" i="11"/>
  <c r="N28" i="11" s="1"/>
  <c r="M29" i="11"/>
  <c r="N29" i="11" s="1"/>
  <c r="M30" i="11"/>
  <c r="N30" i="11" s="1"/>
  <c r="O30" i="11" s="1"/>
  <c r="M31" i="11"/>
  <c r="N31" i="11" s="1"/>
  <c r="O31" i="11" s="1"/>
  <c r="M32" i="11"/>
  <c r="N32" i="11" s="1"/>
  <c r="O32" i="11" s="1"/>
  <c r="M34" i="11"/>
  <c r="N34" i="11" s="1"/>
  <c r="O34" i="11" s="1"/>
  <c r="M35" i="11"/>
  <c r="N35" i="11" s="1"/>
  <c r="O35" i="11" s="1"/>
  <c r="M36" i="11"/>
  <c r="N36" i="11" s="1"/>
  <c r="O36" i="11" s="1"/>
  <c r="M37" i="11"/>
  <c r="N37" i="11" s="1"/>
  <c r="O37" i="11" s="1"/>
  <c r="M38" i="11"/>
  <c r="N38" i="11" s="1"/>
  <c r="O38" i="11" s="1"/>
  <c r="M40" i="11"/>
  <c r="N40" i="11" s="1"/>
  <c r="M41" i="11"/>
  <c r="N41" i="11" s="1"/>
  <c r="O41" i="11" s="1"/>
  <c r="F11" i="11" a="1"/>
  <c r="F11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20" i="11" a="1"/>
  <c r="F20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4" i="11" a="1"/>
  <c r="F34" i="11" s="1"/>
  <c r="F35" i="11" a="1"/>
  <c r="F35" i="11" s="1"/>
  <c r="F36" i="11" a="1"/>
  <c r="F36" i="11" s="1"/>
  <c r="F37" i="11" a="1"/>
  <c r="F37" i="11" s="1"/>
  <c r="F38" i="11" a="1"/>
  <c r="F38" i="11" s="1"/>
  <c r="F40" i="11" a="1"/>
  <c r="F40" i="11" s="1"/>
  <c r="F41" i="11" a="1"/>
  <c r="F41" i="11" s="1"/>
  <c r="F3" i="11" a="1"/>
  <c r="F3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10" i="11" a="1"/>
  <c r="F10" i="11" s="1"/>
  <c r="E3" i="11"/>
  <c r="E4" i="11"/>
  <c r="E5" i="11"/>
  <c r="E6" i="11"/>
  <c r="E7" i="11"/>
  <c r="E8" i="11"/>
  <c r="E11" i="11"/>
  <c r="E12" i="11"/>
  <c r="E13" i="11"/>
  <c r="E14" i="11"/>
  <c r="E15" i="11"/>
  <c r="E16" i="11"/>
  <c r="E17" i="11"/>
  <c r="E18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4" i="11"/>
  <c r="E35" i="11"/>
  <c r="E36" i="11"/>
  <c r="E37" i="11"/>
  <c r="E38" i="11"/>
  <c r="E40" i="11"/>
  <c r="E41" i="11"/>
  <c r="D10" i="11"/>
  <c r="D11" i="11"/>
  <c r="D12" i="11"/>
  <c r="D13" i="11"/>
  <c r="D14" i="11"/>
  <c r="D15" i="11"/>
  <c r="D16" i="11"/>
  <c r="D17" i="11"/>
  <c r="D18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4" i="11"/>
  <c r="D35" i="11"/>
  <c r="D36" i="11"/>
  <c r="D37" i="11"/>
  <c r="D38" i="11"/>
  <c r="D40" i="11"/>
  <c r="D41" i="11"/>
  <c r="D3" i="11"/>
  <c r="D4" i="11"/>
  <c r="D5" i="11"/>
  <c r="D6" i="11"/>
  <c r="D7" i="11"/>
  <c r="D8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0" i="11"/>
  <c r="N10" i="11" s="1"/>
  <c r="E10" i="11"/>
  <c r="AA9" i="10"/>
  <c r="I20" i="11"/>
  <c r="I17" i="11"/>
  <c r="I13" i="11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21" i="11" l="1"/>
  <c r="I2" i="11"/>
  <c r="L2" i="11"/>
  <c r="O3" i="11"/>
  <c r="O2" i="11"/>
  <c r="H10" i="12"/>
  <c r="H22" i="12"/>
  <c r="H6" i="12"/>
  <c r="N22" i="12"/>
  <c r="K22" i="12"/>
  <c r="H43" i="12"/>
  <c r="H13" i="12"/>
  <c r="H8" i="12"/>
  <c r="H21" i="12"/>
  <c r="H38" i="12"/>
  <c r="N43" i="12"/>
  <c r="K43" i="12"/>
  <c r="N38" i="12"/>
  <c r="K38" i="12"/>
  <c r="N21" i="12"/>
  <c r="K21" i="12"/>
  <c r="I19" i="11"/>
  <c r="O19" i="11"/>
  <c r="K19" i="11"/>
  <c r="L19" i="11" s="1"/>
  <c r="H4" i="12"/>
  <c r="H9" i="12"/>
  <c r="H5" i="12"/>
  <c r="H7" i="12"/>
  <c r="H36" i="12"/>
  <c r="H14" i="12"/>
  <c r="J14" i="12"/>
  <c r="K14" i="12" s="1"/>
  <c r="H44" i="12"/>
  <c r="K40" i="12"/>
  <c r="H41" i="12"/>
  <c r="H23" i="12"/>
  <c r="N48" i="12"/>
  <c r="N28" i="12"/>
  <c r="N10" i="12"/>
  <c r="H30" i="12"/>
  <c r="K47" i="12"/>
  <c r="K46" i="12"/>
  <c r="N41" i="12"/>
  <c r="N40" i="12"/>
  <c r="N39" i="12"/>
  <c r="N19" i="12"/>
  <c r="N52" i="12"/>
  <c r="N51" i="12"/>
  <c r="N3" i="12"/>
  <c r="K39" i="12"/>
  <c r="K19" i="12"/>
  <c r="H35" i="12"/>
  <c r="H53" i="12"/>
  <c r="H34" i="12"/>
  <c r="H52" i="12"/>
  <c r="H33" i="12"/>
  <c r="H51" i="12"/>
  <c r="H50" i="12"/>
  <c r="H49" i="12"/>
  <c r="H48" i="12"/>
  <c r="H47" i="12"/>
  <c r="H46" i="12"/>
  <c r="H45" i="12"/>
  <c r="H40" i="12"/>
  <c r="H39" i="12"/>
  <c r="H37" i="12"/>
  <c r="H3" i="12"/>
  <c r="L35" i="11"/>
  <c r="L17" i="11"/>
  <c r="L8" i="11"/>
  <c r="L38" i="11"/>
  <c r="L21" i="11"/>
  <c r="I23" i="11"/>
  <c r="I26" i="11"/>
  <c r="I24" i="11"/>
  <c r="I22" i="11"/>
  <c r="I16" i="11"/>
  <c r="I15" i="11"/>
  <c r="I14" i="11"/>
  <c r="I18" i="11"/>
  <c r="I25" i="11"/>
  <c r="L6" i="11"/>
  <c r="L5" i="11"/>
  <c r="O26" i="11"/>
  <c r="O4" i="11"/>
  <c r="I12" i="11"/>
  <c r="N24" i="11"/>
  <c r="O24" i="11" s="1"/>
  <c r="I11" i="11"/>
  <c r="I27" i="11"/>
  <c r="O25" i="11"/>
  <c r="L26" i="11"/>
  <c r="O29" i="11"/>
  <c r="O28" i="11"/>
  <c r="O40" i="11"/>
  <c r="O27" i="11"/>
  <c r="L7" i="11"/>
  <c r="L27" i="11"/>
  <c r="I4" i="11"/>
  <c r="I5" i="11"/>
  <c r="I6" i="11"/>
  <c r="I3" i="11"/>
  <c r="I8" i="11"/>
  <c r="I7" i="11"/>
  <c r="I38" i="11"/>
  <c r="I37" i="11"/>
  <c r="I36" i="11"/>
  <c r="I35" i="11"/>
  <c r="I34" i="11"/>
  <c r="I32" i="11"/>
  <c r="I31" i="11"/>
  <c r="I30" i="11"/>
  <c r="I29" i="11"/>
  <c r="I28" i="11"/>
  <c r="I41" i="11"/>
  <c r="I40" i="11"/>
  <c r="L10" i="11"/>
  <c r="O10" i="11"/>
  <c r="I10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  <c r="K3" i="12"/>
</calcChain>
</file>

<file path=xl/sharedStrings.xml><?xml version="1.0" encoding="utf-8"?>
<sst xmlns="http://schemas.openxmlformats.org/spreadsheetml/2006/main" count="1688" uniqueCount="151">
  <si>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</si>
  <si>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</si>
  <si>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</si>
  <si>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</si>
  <si>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</si>
  <si>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</si>
  <si>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</si>
  <si>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</si>
  <si>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</si>
  <si>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</si>
  <si>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</si>
  <si>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</si>
  <si>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</si>
  <si>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</si>
  <si>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</si>
  <si>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</si>
  <si>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</si>
  <si>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</si>
  <si>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</si>
  <si>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</si>
  <si>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</si>
  <si>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</si>
  <si>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</si>
  <si>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</si>
  <si>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</si>
  <si>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</si>
  <si>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</si>
  <si>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</si>
  <si>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</si>
  <si>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</si>
  <si>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</si>
  <si>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</si>
  <si>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</si>
  <si>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</si>
  <si>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</si>
  <si>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</si>
  <si>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</si>
  <si>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</si>
  <si>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</si>
  <si>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</si>
  <si>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</si>
  <si>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</si>
  <si>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</si>
  <si>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</si>
  <si>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</si>
  <si>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</si>
  <si>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</si>
  <si>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</si>
  <si>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</si>
  <si>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</si>
  <si>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</si>
  <si>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</si>
  <si>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</si>
  <si>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</si>
  <si>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</si>
  <si>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</si>
  <si>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</si>
  <si>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</si>
  <si>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</si>
  <si>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</si>
  <si>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</si>
  <si>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</si>
  <si>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</si>
  <si>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</si>
  <si>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</si>
  <si>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</si>
  <si>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</si>
  <si>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</si>
  <si>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</si>
  <si>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</si>
  <si>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</si>
  <si>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</si>
  <si>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</si>
  <si>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</si>
  <si>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</si>
  <si>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</si>
  <si>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</si>
  <si>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</si>
  <si>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</si>
  <si>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</si>
  <si>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</si>
  <si>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</si>
  <si>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</si>
  <si>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</si>
  <si>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</si>
  <si>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</si>
  <si>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</si>
  <si>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</si>
  <si>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</si>
  <si>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</si>
  <si>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</si>
  <si>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</si>
  <si>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</si>
  <si>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</si>
  <si>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</si>
  <si>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</si>
  <si>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</si>
  <si>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</si>
  <si>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</si>
  <si>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</si>
  <si>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</si>
  <si>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</si>
  <si>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</si>
  <si>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</si>
  <si>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</si>
  <si>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</si>
  <si>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</si>
  <si>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</si>
  <si>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</si>
  <si>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</si>
  <si>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</si>
  <si>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</si>
  <si>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</si>
  <si>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</si>
  <si>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</si>
  <si>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</si>
  <si>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</si>
  <si>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</si>
  <si>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</si>
  <si>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</si>
  <si>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</si>
  <si>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</si>
  <si>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</si>
  <si>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</si>
  <si>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</si>
  <si>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</si>
  <si>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</si>
  <si>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</si>
  <si>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</si>
  <si>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</si>
  <si>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</si>
  <si>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</si>
  <si>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</si>
  <si>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</si>
  <si>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</si>
  <si>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</si>
  <si>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</si>
  <si>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</si>
  <si>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</si>
  <si>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</si>
  <si>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</si>
  <si>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</si>
  <si>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</si>
  <si>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Stevo</t>
  </si>
  <si>
    <t>Georgieo</t>
  </si>
  <si>
    <t>Ominous</t>
  </si>
  <si>
    <t>Slippery</t>
  </si>
  <si>
    <t>Hotel</t>
  </si>
  <si>
    <t>Parkade</t>
  </si>
  <si>
    <t>Dreamz</t>
  </si>
  <si>
    <t>StevO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</si>
</sst>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" fontId="0" fillId="6" borderId="8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5" sqref="C4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148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141</v>
      </c>
      <c r="B2" s="2" t="s">
        <v>79</v>
      </c>
      <c r="C2" s="2" t="s">
        <v>79</v>
      </c>
      <c r="D2" s="89">
        <f>SUMIFS('OB History'!C:C,'OB History'!B:B,A2)</f>
        <v>4</v>
      </c>
      <c r="E2" s="90">
        <f>AVERAGEIFS('OB History'!C:C,'OB History'!B:B,A2)</f>
        <v>4</v>
      </c>
      <c r="F2" s="91">
        <f t="array" ref="F2">MAX(IF('OB History'!B:B=A2, 'OB History'!C:C))</f>
        <v>4</v>
      </c>
      <c r="G2" s="89">
        <f>COUNTIFS('OB History'!B:B,A2,'OB History'!D:D, 1)</f>
        <v>1</v>
      </c>
      <c r="H2" s="92">
        <f>COUNTIFS('OB History'!B:B,A2,'OB History'!D:D, 0)</f>
        <v>0</v>
      </c>
      <c r="I2" s="41">
        <f t="shared" ref="I2:I41" si="0">G2/(G2+H2)</f>
        <v>1</v>
      </c>
      <c r="J2" s="89">
        <f>SUMIFS('OB History'!F:F,'OB History'!B:B,A2)</f>
        <v>3</v>
      </c>
      <c r="K2" s="92">
        <f>SUMIFS('OB History'!E:E,'OB History'!B:B,A2)-J2</f>
        <v>2</v>
      </c>
      <c r="L2" s="41">
        <f t="shared" ref="L2:L41" si="1">J2/(J2+K2)</f>
        <v>0.6</v>
      </c>
      <c r="M2" s="89">
        <f>SUMIFS('OB History'!H:H,'OB History'!B:B,A2)</f>
        <v>12</v>
      </c>
      <c r="N2" s="92">
        <f>SUMIFS('OB History'!G:G,'OB History'!B:B,A2)-M2</f>
        <v>9</v>
      </c>
      <c r="O2" s="41">
        <f t="shared" ref="O2:O41" si="2">M2/(M2+N2)</f>
        <v>0.5714285714285714</v>
      </c>
      <c r="P2" s="92">
        <f>COUNTIFS('OB History'!$B:$B,$A$2,'OB History'!K:K, 1)</f>
        <v>0</v>
      </c>
      <c r="Q2" s="92">
        <f>COUNTIFS('OB History'!$B:$B,$A$2,'OB History'!L:L, 1)</f>
        <v>0</v>
      </c>
      <c r="R2" s="92">
        <f>COUNTIFS('OB History'!$B:$B,$A$2,'OB History'!M:M, 1)</f>
        <v>0</v>
      </c>
      <c r="S2" s="92">
        <f>COUNTIFS('OB History'!$B:$B,$A$2,'OB History'!N:N, 1)</f>
        <v>0</v>
      </c>
      <c r="T2" s="92">
        <f>COUNTIFS('OB History'!$B:$B,$A$2,'OB History'!O:O, 1)</f>
        <v>0</v>
      </c>
      <c r="U2" s="92">
        <f>COUNTIFS('OB History'!$B:$B,$A$2,'OB History'!P:P, 1)</f>
        <v>1</v>
      </c>
      <c r="V2" s="92">
        <f>COUNTIFS('OB History'!$B:$B,$A$2,'OB History'!Q:Q, 1)</f>
        <v>0</v>
      </c>
      <c r="W2" s="92">
        <f>COUNTIFS('OB History'!$B:$B,$A$2,'OB History'!R:R, 1)</f>
        <v>0</v>
      </c>
      <c r="X2" s="92">
        <f>COUNTIFS('OB History'!$B:$B,$A$2,'OB History'!S:S, 1)</f>
        <v>0</v>
      </c>
      <c r="Y2" s="92">
        <f>COUNTIFS('OB History'!$B:$B,$A$2,'OB History'!T:T, 1)</f>
        <v>0</v>
      </c>
      <c r="Z2" s="92">
        <f>COUNTIFS('OB History'!$B:$B,$A$2,'OB History'!U:U, 1)</f>
        <v>0</v>
      </c>
      <c r="AA2" s="92">
        <f>COUNTIFS('OB History'!$B:$B,$A$2,'OB History'!V:V, 1)</f>
        <v>1</v>
      </c>
      <c r="AB2" s="92">
        <f>COUNTIFS('OB History'!$B:$B,$A$2,'OB History'!W:W, 1)</f>
        <v>0</v>
      </c>
      <c r="AC2" s="92">
        <f>COUNTIFS('OB History'!$B:$B,$A$2,'OB History'!X:X, 1)</f>
        <v>1</v>
      </c>
      <c r="AD2" s="92">
        <f>COUNTIFS('OB History'!$B:$B,$A$2,'OB History'!Y:Y, 1)</f>
        <v>0</v>
      </c>
      <c r="AE2" s="92">
        <f>COUNTIFS('OB History'!$B:$B,$A$2,'OB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89">
        <f>SUMIFS('OB History'!C:C,'OB History'!B:B,A3)</f>
        <v>260</v>
      </c>
      <c r="E3" s="90">
        <f>AVERAGEIFS('OB History'!C:C,'OB History'!B:B,A3)</f>
        <v>18.571428571428573</v>
      </c>
      <c r="F3" s="91">
        <f t="array" ref="F3">MAX(IF('OB History'!B:B=A3, 'OB History'!C:C))</f>
        <v>30</v>
      </c>
      <c r="G3" s="89">
        <f>COUNTIFS('OB History'!B:B,A3,'OB History'!D:D, 1)</f>
        <v>5</v>
      </c>
      <c r="H3" s="92">
        <f>COUNTIFS('OB History'!B:B,A3,'OB History'!D:D, 0)</f>
        <v>9</v>
      </c>
      <c r="I3" s="41">
        <f t="shared" si="0"/>
        <v>0.35714285714285715</v>
      </c>
      <c r="J3" s="89">
        <f>SUMIFS('OB History'!F:F,'OB History'!B:B,A3)</f>
        <v>25</v>
      </c>
      <c r="K3" s="92">
        <f>SUMIFS('OB History'!E:E,'OB History'!B:B,A3)-J3</f>
        <v>32</v>
      </c>
      <c r="L3" s="41">
        <f t="shared" si="1"/>
        <v>0.43859649122807015</v>
      </c>
      <c r="M3" s="89">
        <f>SUMIFS('OB History'!H:H,'OB History'!B:B,A3)</f>
        <v>107</v>
      </c>
      <c r="N3" s="92">
        <f>SUMIFS('OB History'!G:G,'OB History'!B:B,A3)-M3</f>
        <v>123</v>
      </c>
      <c r="O3" s="41">
        <f t="shared" si="2"/>
        <v>0.4652173913043478</v>
      </c>
      <c r="P3" s="92">
        <f>COUNTIFS('OB History'!$B:$B,$A$3,'OB History'!K:K, 1)</f>
        <v>3</v>
      </c>
      <c r="Q3" s="92">
        <f>COUNTIFS('OB History'!$B:$B,$A$3,'OB History'!L:L, 1)</f>
        <v>0</v>
      </c>
      <c r="R3" s="92">
        <f>COUNTIFS('OB History'!$B:$B,$A$3,'OB History'!M:M, 1)</f>
        <v>0</v>
      </c>
      <c r="S3" s="92">
        <f>COUNTIFS('OB History'!$B:$B,$A$3,'OB History'!N:N, 1)</f>
        <v>5</v>
      </c>
      <c r="T3" s="92">
        <f>COUNTIFS('OB History'!$B:$B,$A$3,'OB History'!O:O, 1)</f>
        <v>0</v>
      </c>
      <c r="U3" s="92">
        <f>COUNTIFS('OB History'!$B:$B,$A$3,'OB History'!P:P, 1)</f>
        <v>3</v>
      </c>
      <c r="V3" s="92">
        <f>COUNTIFS('OB History'!$B:$B,$A$3,'OB History'!Q:Q, 1)</f>
        <v>0</v>
      </c>
      <c r="W3" s="92">
        <f>COUNTIFS('OB History'!$B:$B,$A$3,'OB History'!R:R, 1)</f>
        <v>0</v>
      </c>
      <c r="X3" s="92">
        <f>COUNTIFS('OB History'!$B:$B,$A$3,'OB History'!S:S, 1)</f>
        <v>0</v>
      </c>
      <c r="Y3" s="92">
        <f>COUNTIFS('OB History'!$B:$B,$A$3,'OB History'!T:T, 1)</f>
        <v>0</v>
      </c>
      <c r="Z3" s="92">
        <f>COUNTIFS('OB History'!$B:$B,$A$3,'OB History'!U:U, 1)</f>
        <v>0</v>
      </c>
      <c r="AA3" s="92">
        <f>COUNTIFS('OB History'!$B:$B,$A$3,'OB History'!V:V, 1)</f>
        <v>0</v>
      </c>
      <c r="AB3" s="92">
        <f>COUNTIFS('OB History'!$B:$B,$A$3,'OB History'!W:W, 1)</f>
        <v>1</v>
      </c>
      <c r="AC3" s="92">
        <f>COUNTIFS('OB History'!$B:$B,$A$3,'OB History'!X:X, 1)</f>
        <v>6</v>
      </c>
      <c r="AD3" s="92">
        <f>COUNTIFS('OB History'!$B:$B,$A$3,'OB History'!Y:Y, 1)</f>
        <v>1</v>
      </c>
      <c r="AE3" s="92">
        <f>COUNTIFS('OB History'!$B:$B,$A$3,'OB History'!Z:Z, 1)</f>
        <v>6</v>
      </c>
    </row>
    <row r="4" spans="1:31" x14ac:dyDescent="0.25">
      <c r="A4" s="2" t="s">
        <v>34</v>
      </c>
      <c r="B4" s="2" t="s">
        <v>79</v>
      </c>
      <c r="C4" s="2" t="s">
        <v>79</v>
      </c>
      <c r="D4" s="89">
        <f>SUMIFS('OB History'!C:C,'OB History'!B:B,A4)</f>
        <v>11</v>
      </c>
      <c r="E4" s="90">
        <f>AVERAGEIFS('OB History'!C:C,'OB History'!B:B,A4)</f>
        <v>5.5</v>
      </c>
      <c r="F4" s="91">
        <f t="array" ref="F4">MAX(IF('OB History'!B:B=A4, 'OB History'!C:C))</f>
        <v>6</v>
      </c>
      <c r="G4" s="89">
        <f>COUNTIFS('OB History'!B:B,A4,'OB History'!D:D, 1)</f>
        <v>2</v>
      </c>
      <c r="H4" s="92">
        <f>COUNTIFS('OB History'!B:B,A4,'OB History'!D:D, 0)</f>
        <v>0</v>
      </c>
      <c r="I4" s="41">
        <f t="shared" si="0"/>
        <v>1</v>
      </c>
      <c r="J4" s="89">
        <f>SUMIFS('OB History'!F:F,'OB History'!B:B,A4)</f>
        <v>6</v>
      </c>
      <c r="K4" s="92">
        <f>SUMIFS('OB History'!E:E,'OB History'!B:B,A4)-J4</f>
        <v>1</v>
      </c>
      <c r="L4" s="41">
        <f t="shared" si="1"/>
        <v>0.8571428571428571</v>
      </c>
      <c r="M4" s="89">
        <f>SUMIFS('OB History'!H:H,'OB History'!B:B,'Old Bow v2'!A4)</f>
        <v>19</v>
      </c>
      <c r="N4" s="92">
        <f>SUMIFS('OB History'!G:G,'OB History'!B:B,'Old Bow v2'!A4)-M4</f>
        <v>8</v>
      </c>
      <c r="O4" s="41">
        <f t="shared" si="2"/>
        <v>0.70370370370370372</v>
      </c>
      <c r="P4" s="92">
        <f>COUNTIFS('OB History'!$B:$B,$A$4,'OB History'!K:K, 1)</f>
        <v>0</v>
      </c>
      <c r="Q4" s="92">
        <f>COUNTIFS('OB History'!$B:$B,$A$4,'OB History'!L:L, 1)</f>
        <v>1</v>
      </c>
      <c r="R4" s="92">
        <f>COUNTIFS('OB History'!$B:$B,$A$4,'OB History'!M:M, 1)</f>
        <v>0</v>
      </c>
      <c r="S4" s="92">
        <f>COUNTIFS('OB History'!$B:$B,$A$4,'OB History'!N:N, 1)</f>
        <v>2</v>
      </c>
      <c r="T4" s="92">
        <f>COUNTIFS('OB History'!$B:$B,$A$4,'OB History'!O:O, 1)</f>
        <v>0</v>
      </c>
      <c r="U4" s="92">
        <f>COUNTIFS('OB History'!$B:$B,$A$4,'OB History'!P:P, 1)</f>
        <v>1</v>
      </c>
      <c r="V4" s="92">
        <f>COUNTIFS('OB History'!$B:$B,$A$4,'OB History'!Q:Q, 1)</f>
        <v>0</v>
      </c>
      <c r="W4" s="92">
        <f>COUNTIFS('OB History'!$B:$B,$A$4,'OB History'!R:R, 1)</f>
        <v>0</v>
      </c>
      <c r="X4" s="92">
        <f>COUNTIFS('OB History'!$B:$B,$A$4,'OB History'!S:S, 1)</f>
        <v>0</v>
      </c>
      <c r="Y4" s="92">
        <f>COUNTIFS('OB History'!$B:$B,$A$4,'OB History'!T:T, 1)</f>
        <v>0</v>
      </c>
      <c r="Z4" s="92">
        <f>COUNTIFS('OB History'!$B:$B,$A$4,'OB History'!U:U, 1)</f>
        <v>0</v>
      </c>
      <c r="AA4" s="92">
        <f>COUNTIFS('OB History'!$B:$B,$A$4,'OB History'!V:V, 1)</f>
        <v>0</v>
      </c>
      <c r="AB4" s="92">
        <f>COUNTIFS('OB History'!$B:$B,$A$4,'OB History'!W:W, 1)</f>
        <v>1</v>
      </c>
      <c r="AC4" s="92">
        <f>COUNTIFS('OB History'!$B:$B,$A$4,'OB History'!X:X, 1)</f>
        <v>1</v>
      </c>
      <c r="AD4" s="92">
        <f>COUNTIFS('OB History'!$B:$B,$A$4,'OB History'!Y:Y, 1)</f>
        <v>0</v>
      </c>
      <c r="AE4" s="92">
        <f>COUNTIFS('OB History'!$B:$B,$A$4,'OB History'!Z:Z, 1)</f>
        <v>0</v>
      </c>
    </row>
    <row r="5" spans="1:31" ht="15.75" x14ac:dyDescent="0.25">
      <c r="A5" s="2" t="s">
        <v>35</v>
      </c>
      <c r="B5" s="80" t="s">
        <v>60</v>
      </c>
      <c r="C5" s="2" t="s">
        <v>79</v>
      </c>
      <c r="D5" s="89">
        <f>SUMIFS('OB History'!C:C,'OB History'!B:B,A5)</f>
        <v>115</v>
      </c>
      <c r="E5" s="90">
        <f>AVERAGEIFS('OB History'!C:C,'OB History'!B:B,A5)</f>
        <v>10.454545454545455</v>
      </c>
      <c r="F5" s="91">
        <f t="array" ref="F5">MAX(IF('OB History'!B:B=A5, 'OB History'!C:C))</f>
        <v>21</v>
      </c>
      <c r="G5" s="89">
        <f>COUNTIFS('OB History'!B:B,A5,'OB History'!D:D, 1)</f>
        <v>7</v>
      </c>
      <c r="H5" s="92">
        <f>COUNTIFS('OB History'!B:B,A5,'OB History'!D:D, 0)</f>
        <v>4</v>
      </c>
      <c r="I5" s="41">
        <f t="shared" si="0"/>
        <v>0.63636363636363635</v>
      </c>
      <c r="J5" s="89">
        <f>SUMIFS('OB History'!F:F,'OB History'!B:B,A5)</f>
        <v>23</v>
      </c>
      <c r="K5" s="92">
        <f>SUMIFS('OB History'!E:E,'OB History'!B:B,A5)-J5</f>
        <v>20</v>
      </c>
      <c r="L5" s="41">
        <f t="shared" si="1"/>
        <v>0.53488372093023251</v>
      </c>
      <c r="M5" s="89">
        <f>SUMIFS('OB History'!H:H,'OB History'!B:B,'Old Bow v2'!A5)</f>
        <v>93</v>
      </c>
      <c r="N5" s="92">
        <f>SUMIFS('OB History'!G:G,'OB History'!B:B,'Old Bow v2'!A5)-M5</f>
        <v>81</v>
      </c>
      <c r="O5" s="41">
        <f t="shared" si="2"/>
        <v>0.53448275862068961</v>
      </c>
      <c r="P5" s="92">
        <f>COUNTIFS('OB History'!$B:$B,$A$5,'OB History'!K:K, 1)</f>
        <v>2</v>
      </c>
      <c r="Q5" s="92">
        <f>COUNTIFS('OB History'!$B:$B,$A$5,'OB History'!L:L, 1)</f>
        <v>2</v>
      </c>
      <c r="R5" s="92">
        <f>COUNTIFS('OB History'!$B:$B,$A$5,'OB History'!M:M, 1)</f>
        <v>0</v>
      </c>
      <c r="S5" s="92">
        <f>COUNTIFS('OB History'!$B:$B,$A$5,'OB History'!N:N, 1)</f>
        <v>3</v>
      </c>
      <c r="T5" s="92">
        <f>COUNTIFS('OB History'!$B:$B,$A$5,'OB History'!O:O, 1)</f>
        <v>0</v>
      </c>
      <c r="U5" s="92">
        <f>COUNTIFS('OB History'!$B:$B,$A$5,'OB History'!P:P, 1)</f>
        <v>5</v>
      </c>
      <c r="V5" s="92">
        <f>COUNTIFS('OB History'!$B:$B,$A$5,'OB History'!Q:Q, 1)</f>
        <v>0</v>
      </c>
      <c r="W5" s="92">
        <f>COUNTIFS('OB History'!$B:$B,$A$5,'OB History'!R:R, 1)</f>
        <v>0</v>
      </c>
      <c r="X5" s="92">
        <f>COUNTIFS('OB History'!$B:$B,$A$5,'OB History'!S:S, 1)</f>
        <v>0</v>
      </c>
      <c r="Y5" s="92">
        <f>COUNTIFS('OB History'!$B:$B,$A$5,'OB History'!T:T, 1)</f>
        <v>0</v>
      </c>
      <c r="Z5" s="92">
        <f>COUNTIFS('OB History'!$B:$B,$A$5,'OB History'!U:U, 1)</f>
        <v>0</v>
      </c>
      <c r="AA5" s="92">
        <f>COUNTIFS('OB History'!$B:$B,$A$5,'OB History'!V:V, 1)</f>
        <v>0</v>
      </c>
      <c r="AB5" s="92">
        <f>COUNTIFS('OB History'!$B:$B,$A$5,'OB History'!W:W, 1)</f>
        <v>4</v>
      </c>
      <c r="AC5" s="92">
        <f>COUNTIFS('OB History'!$B:$B,$A$5,'OB History'!X:X, 1)</f>
        <v>3</v>
      </c>
      <c r="AD5" s="92">
        <f>COUNTIFS('OB History'!$B:$B,$A$5,'OB History'!Y:Y, 1)</f>
        <v>1</v>
      </c>
      <c r="AE5" s="92">
        <f>COUNTIFS('OB History'!$B:$B,$A$5,'OB History'!Z:Z, 1)</f>
        <v>3</v>
      </c>
    </row>
    <row r="6" spans="1:31" x14ac:dyDescent="0.25">
      <c r="A6" s="2" t="s">
        <v>19</v>
      </c>
      <c r="B6" s="2" t="s">
        <v>79</v>
      </c>
      <c r="C6" s="2" t="s">
        <v>79</v>
      </c>
      <c r="D6" s="89">
        <f>SUMIFS('OB History'!C:C,'OB History'!B:B,A6)</f>
        <v>274</v>
      </c>
      <c r="E6" s="90">
        <f>AVERAGEIFS('OB History'!C:C,'OB History'!B:B,A6)</f>
        <v>11.913043478260869</v>
      </c>
      <c r="F6" s="91">
        <f t="array" ref="F6">MAX(IF('OB History'!B:B=A6, 'OB History'!C:C))</f>
        <v>26</v>
      </c>
      <c r="G6" s="89">
        <f>COUNTIFS('OB History'!B:B,A6,'OB History'!D:D, 1)</f>
        <v>8</v>
      </c>
      <c r="H6" s="92">
        <f>COUNTIFS('OB History'!B:B,A6,'OB History'!D:D, 0)</f>
        <v>15</v>
      </c>
      <c r="I6" s="41">
        <f t="shared" si="0"/>
        <v>0.34782608695652173</v>
      </c>
      <c r="J6" s="89">
        <f>SUMIFS('OB History'!F:F,'OB History'!B:B,A6)</f>
        <v>38</v>
      </c>
      <c r="K6" s="92">
        <f>SUMIFS('OB History'!E:E,'OB History'!B:B,A6)-J6</f>
        <v>56</v>
      </c>
      <c r="L6" s="41">
        <f t="shared" si="1"/>
        <v>0.40425531914893614</v>
      </c>
      <c r="M6" s="89">
        <f>SUMIFS('OB History'!H:H,'OB History'!B:B,'Old Bow v2'!A6)</f>
        <v>176</v>
      </c>
      <c r="N6" s="92">
        <f>SUMIFS('OB History'!G:G,'OB History'!B:B,'Old Bow v2'!A6)-M6</f>
        <v>209</v>
      </c>
      <c r="O6" s="41">
        <f t="shared" si="2"/>
        <v>0.45714285714285713</v>
      </c>
      <c r="P6" s="92">
        <f>COUNTIFS('OB History'!$B:$B,$A$6,'OB History'!K:K, 1)</f>
        <v>3</v>
      </c>
      <c r="Q6" s="92">
        <f>COUNTIFS('OB History'!$B:$B,$A$6,'OB History'!L:L, 1)</f>
        <v>0</v>
      </c>
      <c r="R6" s="92">
        <f>COUNTIFS('OB History'!$B:$B,$A$6,'OB History'!M:M, 1)</f>
        <v>0</v>
      </c>
      <c r="S6" s="92">
        <f>COUNTIFS('OB History'!$B:$B,$A$6,'OB History'!N:N, 1)</f>
        <v>3</v>
      </c>
      <c r="T6" s="92">
        <f>COUNTIFS('OB History'!$B:$B,$A$6,'OB History'!O:O, 1)</f>
        <v>0</v>
      </c>
      <c r="U6" s="92">
        <f>COUNTIFS('OB History'!$B:$B,$A$6,'OB History'!P:P, 1)</f>
        <v>6</v>
      </c>
      <c r="V6" s="92">
        <f>COUNTIFS('OB History'!$B:$B,$A$6,'OB History'!Q:Q, 1)</f>
        <v>1</v>
      </c>
      <c r="W6" s="92">
        <f>COUNTIFS('OB History'!$B:$B,$A$6,'OB History'!R:R, 1)</f>
        <v>0</v>
      </c>
      <c r="X6" s="92">
        <f>COUNTIFS('OB History'!$B:$B,$A$6,'OB History'!S:S, 1)</f>
        <v>1</v>
      </c>
      <c r="Y6" s="92">
        <f>COUNTIFS('OB History'!$B:$B,$A$6,'OB History'!T:T, 1)</f>
        <v>0</v>
      </c>
      <c r="Z6" s="92">
        <f>COUNTIFS('OB History'!$B:$B,$A$6,'OB History'!U:U, 1)</f>
        <v>1</v>
      </c>
      <c r="AA6" s="92">
        <f>COUNTIFS('OB History'!$B:$B,$A$6,'OB History'!V:V, 1)</f>
        <v>1</v>
      </c>
      <c r="AB6" s="92">
        <f>COUNTIFS('OB History'!$B:$B,$A$6,'OB History'!W:W, 1)</f>
        <v>4</v>
      </c>
      <c r="AC6" s="92">
        <f>COUNTIFS('OB History'!$B:$B,$A$6,'OB History'!X:X, 1)</f>
        <v>11</v>
      </c>
      <c r="AD6" s="92">
        <f>COUNTIFS('OB History'!$B:$B,$A$6,'OB History'!Y:Y, 1)</f>
        <v>0</v>
      </c>
      <c r="AE6" s="92">
        <f>COUNTIFS('OB History'!$B:$B,$A$6,'OB History'!Z:Z, 1)</f>
        <v>6</v>
      </c>
    </row>
    <row r="7" spans="1:31" x14ac:dyDescent="0.25">
      <c r="A7" s="1" t="s">
        <v>42</v>
      </c>
      <c r="B7" s="72" t="s">
        <v>79</v>
      </c>
      <c r="C7" s="2" t="s">
        <v>79</v>
      </c>
      <c r="D7" s="89">
        <f>SUMIFS('OB History'!C:C,'OB History'!B:B,A7)</f>
        <v>15</v>
      </c>
      <c r="E7" s="90">
        <f>AVERAGEIFS('OB History'!C:C,'OB History'!B:B,A7)</f>
        <v>7.5</v>
      </c>
      <c r="F7" s="91">
        <f t="array" ref="F7">MAX(IF('OB History'!B:B=A7, 'OB History'!C:C))</f>
        <v>10</v>
      </c>
      <c r="G7" s="89">
        <f>COUNTIFS('OB History'!B:B,A7,'OB History'!D:D, 1)</f>
        <v>0</v>
      </c>
      <c r="H7" s="92">
        <f>COUNTIFS('OB History'!B:B,A7,'OB History'!D:D, 0)</f>
        <v>2</v>
      </c>
      <c r="I7" s="42">
        <f t="shared" si="0"/>
        <v>0</v>
      </c>
      <c r="J7" s="89">
        <f>SUMIFS('OB History'!F:F,'OB History'!B:B,A7)</f>
        <v>2</v>
      </c>
      <c r="K7" s="92">
        <f>SUMIFS('OB History'!E:E,'OB History'!B:B,A7)-J7</f>
        <v>6</v>
      </c>
      <c r="L7" s="42">
        <f t="shared" si="1"/>
        <v>0.25</v>
      </c>
      <c r="M7" s="89">
        <f>SUMIFS('OB History'!H:H,'OB History'!B:B,'Old Bow v2'!A7)</f>
        <v>9</v>
      </c>
      <c r="N7" s="92">
        <f>SUMIFS('OB History'!G:G,'OB History'!B:B,'Old Bow v2'!A7)-M7</f>
        <v>21</v>
      </c>
      <c r="O7" s="42">
        <f t="shared" si="2"/>
        <v>0.3</v>
      </c>
      <c r="P7" s="92">
        <f>COUNTIFS('OB History'!$B:$B,$A$7,'OB History'!K:K, 1)</f>
        <v>0</v>
      </c>
      <c r="Q7" s="92">
        <f>COUNTIFS('OB History'!$B:$B,$A$7,'OB History'!L:L, 1)</f>
        <v>0</v>
      </c>
      <c r="R7" s="92">
        <f>COUNTIFS('OB History'!$B:$B,$A$7,'OB History'!M:M, 1)</f>
        <v>0</v>
      </c>
      <c r="S7" s="92">
        <f>COUNTIFS('OB History'!$B:$B,$A$7,'OB History'!N:N, 1)</f>
        <v>0</v>
      </c>
      <c r="T7" s="92">
        <f>COUNTIFS('OB History'!$B:$B,$A$7,'OB History'!O:O, 1)</f>
        <v>0</v>
      </c>
      <c r="U7" s="92">
        <f>COUNTIFS('OB History'!$B:$B,$A$7,'OB History'!P:P, 1)</f>
        <v>0</v>
      </c>
      <c r="V7" s="92">
        <f>COUNTIFS('OB History'!$B:$B,$A$7,'OB History'!Q:Q, 1)</f>
        <v>0</v>
      </c>
      <c r="W7" s="92">
        <f>COUNTIFS('OB History'!$B:$B,$A$7,'OB History'!R:R, 1)</f>
        <v>0</v>
      </c>
      <c r="X7" s="92">
        <f>COUNTIFS('OB History'!$B:$B,$A$7,'OB History'!S:S, 1)</f>
        <v>0</v>
      </c>
      <c r="Y7" s="92">
        <f>COUNTIFS('OB History'!$B:$B,$A$7,'OB History'!T:T, 1)</f>
        <v>0</v>
      </c>
      <c r="Z7" s="92">
        <f>COUNTIFS('OB History'!$B:$B,$A$7,'OB History'!U:U, 1)</f>
        <v>0</v>
      </c>
      <c r="AA7" s="92">
        <f>COUNTIFS('OB History'!$B:$B,$A$7,'OB History'!V:V, 1)</f>
        <v>1</v>
      </c>
      <c r="AB7" s="92">
        <f>COUNTIFS('OB History'!$B:$B,$A$7,'OB History'!W:W, 1)</f>
        <v>0</v>
      </c>
      <c r="AC7" s="92">
        <f>COUNTIFS('OB History'!$B:$B,$A$7,'OB History'!X:X, 1)</f>
        <v>0</v>
      </c>
      <c r="AD7" s="92">
        <f>COUNTIFS('OB History'!$B:$B,$A$7,'OB History'!Y:Y, 1)</f>
        <v>1</v>
      </c>
      <c r="AE7" s="92">
        <f>COUNTIFS('OB History'!$B:$B,$A$7,'OB History'!Z:Z, 1)</f>
        <v>0</v>
      </c>
    </row>
    <row r="8" spans="1:31" x14ac:dyDescent="0.25">
      <c r="A8" s="2" t="s">
        <v>25</v>
      </c>
      <c r="B8" s="2" t="s">
        <v>79</v>
      </c>
      <c r="C8" s="2" t="s">
        <v>79</v>
      </c>
      <c r="D8" s="89">
        <f>SUMIFS('OB History'!C:C,'OB History'!B:B,A8)</f>
        <v>168</v>
      </c>
      <c r="E8" s="90">
        <f>AVERAGEIFS('OB History'!C:C,'OB History'!B:B,A8)</f>
        <v>15.272727272727273</v>
      </c>
      <c r="F8" s="91">
        <f t="array" ref="F8">MAX(IF('OB History'!B:B=A8, 'OB History'!C:C))</f>
        <v>22</v>
      </c>
      <c r="G8" s="89">
        <f>COUNTIFS('OB History'!B:B,A8,'OB History'!D:D, 1)</f>
        <v>7</v>
      </c>
      <c r="H8" s="92">
        <f>COUNTIFS('OB History'!B:B,A8,'OB History'!D:D, 0)</f>
        <v>4</v>
      </c>
      <c r="I8" s="41">
        <f t="shared" si="0"/>
        <v>0.63636363636363635</v>
      </c>
      <c r="J8" s="89">
        <f>SUMIFS('OB History'!F:F,'OB History'!B:B,A8)</f>
        <v>28</v>
      </c>
      <c r="K8" s="92">
        <f>SUMIFS('OB History'!E:E,'OB History'!B:B,A8)-J8</f>
        <v>16</v>
      </c>
      <c r="L8" s="41">
        <f t="shared" si="1"/>
        <v>0.63636363636363635</v>
      </c>
      <c r="M8" s="89">
        <f>SUMIFS('OB History'!H:H,'OB History'!B:B,'Old Bow v2'!A8)</f>
        <v>105</v>
      </c>
      <c r="N8" s="92">
        <f>SUMIFS('OB History'!G:G,'OB History'!B:B,'Old Bow v2'!A8)-M8</f>
        <v>79</v>
      </c>
      <c r="O8" s="41">
        <f t="shared" si="2"/>
        <v>0.57065217391304346</v>
      </c>
      <c r="P8" s="92">
        <f>COUNTIFS('OB History'!$B:$B,$A$8,'OB History'!K:K, 1)</f>
        <v>2</v>
      </c>
      <c r="Q8" s="92">
        <f>COUNTIFS('OB History'!$B:$B,$A$8,'OB History'!L:L, 1)</f>
        <v>0</v>
      </c>
      <c r="R8" s="92">
        <f>COUNTIFS('OB History'!$B:$B,$A$8,'OB History'!M:M, 1)</f>
        <v>0</v>
      </c>
      <c r="S8" s="92">
        <f>COUNTIFS('OB History'!$B:$B,$A$8,'OB History'!N:N, 1)</f>
        <v>3</v>
      </c>
      <c r="T8" s="92">
        <f>COUNTIFS('OB History'!$B:$B,$A$8,'OB History'!O:O, 1)</f>
        <v>0</v>
      </c>
      <c r="U8" s="92">
        <f>COUNTIFS('OB History'!$B:$B,$A$8,'OB History'!P:P, 1)</f>
        <v>3</v>
      </c>
      <c r="V8" s="92">
        <f>COUNTIFS('OB History'!$B:$B,$A$8,'OB History'!Q:Q, 1)</f>
        <v>3</v>
      </c>
      <c r="W8" s="92">
        <f>COUNTIFS('OB History'!$B:$B,$A$8,'OB History'!R:R, 1)</f>
        <v>1</v>
      </c>
      <c r="X8" s="92">
        <f>COUNTIFS('OB History'!$B:$B,$A$8,'OB History'!S:S, 1)</f>
        <v>0</v>
      </c>
      <c r="Y8" s="92">
        <f>COUNTIFS('OB History'!$B:$B,$A$8,'OB History'!T:T, 1)</f>
        <v>1</v>
      </c>
      <c r="Z8" s="92">
        <f>COUNTIFS('OB History'!$B:$B,$A$8,'OB History'!U:U, 1)</f>
        <v>0</v>
      </c>
      <c r="AA8" s="92">
        <f>COUNTIFS('OB History'!$B:$B,$A$8,'OB History'!V:V, 1)</f>
        <v>1</v>
      </c>
      <c r="AB8" s="92">
        <f>COUNTIFS('OB History'!$B:$B,$A$8,'OB History'!W:W, 1)</f>
        <v>3</v>
      </c>
      <c r="AC8" s="92">
        <f>COUNTIFS('OB History'!$B:$B,$A$8,'OB History'!X:X, 1)</f>
        <v>4</v>
      </c>
      <c r="AD8" s="92">
        <f>COUNTIFS('OB History'!$B:$B,$A$8,'OB History'!Y:Y, 1)</f>
        <v>2</v>
      </c>
      <c r="AE8" s="92">
        <f>COUNTIFS('OB History'!$B:$B,$A$8,'OB History'!Z:Z, 1)</f>
        <v>5</v>
      </c>
    </row>
    <row r="9" spans="1:31" x14ac:dyDescent="0.25">
      <c r="A9" s="2" t="s">
        <v>149</v>
      </c>
      <c r="B9" s="2" t="s">
        <v>79</v>
      </c>
      <c r="C9" s="2" t="s">
        <v>79</v>
      </c>
      <c r="D9" s="89">
        <f>SUMIFS('OB History'!C:C,'OB History'!B:B,A9)</f>
        <v>17</v>
      </c>
      <c r="E9" s="90">
        <f>AVERAGEIFS('OB History'!C:C,'OB History'!B:B,A9)</f>
        <v>17</v>
      </c>
      <c r="F9" s="91">
        <f t="array" ref="F9">MAX(IF('OB History'!B:B=A9, 'OB History'!C:C))</f>
        <v>17</v>
      </c>
      <c r="G9" s="89">
        <f>COUNTIFS('OB History'!B:B,A9,'OB History'!D:D, 1)</f>
        <v>0</v>
      </c>
      <c r="H9" s="92">
        <f>COUNTIFS('OB History'!B:B,A9,'OB History'!D:D, 0)</f>
        <v>1</v>
      </c>
      <c r="I9" s="41">
        <f t="shared" ref="I9" si="3">G9/(G9+H9)</f>
        <v>0</v>
      </c>
      <c r="J9" s="89">
        <f>SUMIFS('OB History'!F:F,'OB History'!B:B,A9)</f>
        <v>1</v>
      </c>
      <c r="K9" s="92">
        <f>SUMIFS('OB History'!E:E,'OB History'!B:B,A9)-J9</f>
        <v>3</v>
      </c>
      <c r="L9" s="41">
        <f t="shared" ref="L9" si="4">J9/(J9+K9)</f>
        <v>0.25</v>
      </c>
      <c r="M9" s="89">
        <f>SUMIFS('OB History'!H:H,'OB History'!B:B,'Old Bow v2'!A9)</f>
        <v>7</v>
      </c>
      <c r="N9" s="92">
        <f>SUMIFS('OB History'!G:G,'OB History'!B:B,'Old Bow v2'!A9)-M9</f>
        <v>11</v>
      </c>
      <c r="O9" s="41">
        <f t="shared" ref="O9" si="5">M9/(M9+N9)</f>
        <v>0.3888888888888889</v>
      </c>
      <c r="P9" s="92">
        <f>COUNTIFS('OB History'!$B:$B,$A$9,'OB History'!K:K, 1)</f>
        <v>0</v>
      </c>
      <c r="Q9" s="92">
        <f>COUNTIFS('OB History'!$B:$B,$A$9,'OB History'!L:L, 1)</f>
        <v>0</v>
      </c>
      <c r="R9" s="92">
        <f>COUNTIFS('OB History'!$B:$B,$A$9,'OB History'!M:M, 1)</f>
        <v>0</v>
      </c>
      <c r="S9" s="92">
        <f>COUNTIFS('OB History'!$B:$B,$A$9,'OB History'!N:N, 1)</f>
        <v>0</v>
      </c>
      <c r="T9" s="92">
        <f>COUNTIFS('OB History'!$B:$B,$A$9,'OB History'!O:O, 1)</f>
        <v>0</v>
      </c>
      <c r="U9" s="92">
        <f>COUNTIFS('OB History'!$B:$B,$A$9,'OB History'!P:P, 1)</f>
        <v>0</v>
      </c>
      <c r="V9" s="92">
        <f>COUNTIFS('OB History'!$B:$B,$A$9,'OB History'!Q:Q, 1)</f>
        <v>0</v>
      </c>
      <c r="W9" s="92">
        <f>COUNTIFS('OB History'!$B:$B,$A$9,'OB History'!R:R, 1)</f>
        <v>0</v>
      </c>
      <c r="X9" s="92">
        <f>COUNTIFS('OB History'!$B:$B,$A$9,'OB History'!S:S, 1)</f>
        <v>0</v>
      </c>
      <c r="Y9" s="92">
        <f>COUNTIFS('OB History'!$B:$B,$A$9,'OB History'!T:T, 1)</f>
        <v>0</v>
      </c>
      <c r="Z9" s="92">
        <f>COUNTIFS('OB History'!$B:$B,$A$9,'OB History'!U:U, 1)</f>
        <v>0</v>
      </c>
      <c r="AA9" s="92">
        <f>COUNTIFS('OB History'!$B:$B,$A$9,'OB History'!V:V, 1)</f>
        <v>0</v>
      </c>
      <c r="AB9" s="92">
        <f>COUNTIFS('OB History'!$B:$B,$A$9,'OB History'!W:W, 1)</f>
        <v>0</v>
      </c>
      <c r="AC9" s="92">
        <f>COUNTIFS('OB History'!$B:$B,$A$9,'OB History'!X:X, 1)</f>
        <v>1</v>
      </c>
      <c r="AD9" s="92">
        <f>COUNTIFS('OB History'!$B:$B,$A$9,'OB History'!Y:Y, 1)</f>
        <v>0</v>
      </c>
      <c r="AE9" s="92">
        <f>COUNTIFS('OB History'!$B:$B,$A$9,'OB History'!Z:Z, 1)</f>
        <v>0</v>
      </c>
    </row>
    <row r="10" spans="1:31" x14ac:dyDescent="0.25">
      <c r="A10" s="2" t="s">
        <v>27</v>
      </c>
      <c r="B10" s="6" t="s">
        <v>76</v>
      </c>
      <c r="C10" s="6" t="s">
        <v>79</v>
      </c>
      <c r="D10" s="89">
        <f>SUMIFS('OB History'!C:C,'OB History'!B:B,A10)</f>
        <v>202</v>
      </c>
      <c r="E10" s="90">
        <f>AVERAGEIFS('OB History'!C:C,'OB History'!B:B,A10)</f>
        <v>13.466666666666667</v>
      </c>
      <c r="F10" s="91">
        <f t="array" ref="F10">MAX(IF('OB History'!B:B=A10, 'OB History'!C:C))</f>
        <v>24</v>
      </c>
      <c r="G10" s="89">
        <f>COUNTIFS('OB History'!B:B,A10,'OB History'!D:D, 1)</f>
        <v>7</v>
      </c>
      <c r="H10" s="92">
        <f>COUNTIFS('OB History'!B:B,A10,'OB History'!D:D, 0)</f>
        <v>8</v>
      </c>
      <c r="I10" s="88">
        <f t="shared" si="0"/>
        <v>0.46666666666666667</v>
      </c>
      <c r="J10" s="89">
        <f>SUMIFS('OB History'!F:F,'OB History'!B:B,A10)</f>
        <v>29</v>
      </c>
      <c r="K10" s="92">
        <f>SUMIFS('OB History'!E:E,'OB History'!B:B,A10)-J10</f>
        <v>32</v>
      </c>
      <c r="L10" s="88">
        <f t="shared" si="1"/>
        <v>0.47540983606557374</v>
      </c>
      <c r="M10" s="89">
        <f>SUMIFS('OB History'!H:H,'OB History'!B:B,'Old Bow v2'!A10)</f>
        <v>123</v>
      </c>
      <c r="N10" s="92">
        <f>SUMIFS('OB History'!G:G,'OB History'!B:B,'Old Bow v2'!A10)-M10</f>
        <v>134</v>
      </c>
      <c r="O10" s="88">
        <f t="shared" si="2"/>
        <v>0.47859922178988329</v>
      </c>
      <c r="P10" s="92">
        <f>COUNTIFS('OB History'!$B:$B,$A$10,'OB History'!K:K, 1)</f>
        <v>0</v>
      </c>
      <c r="Q10" s="92">
        <f>COUNTIFS('OB History'!$B:$B,$A$10,'OB History'!L:L, 1)</f>
        <v>1</v>
      </c>
      <c r="R10" s="92">
        <f>COUNTIFS('OB History'!$B:$B,$A$10,'OB History'!M:M, 1)</f>
        <v>0</v>
      </c>
      <c r="S10" s="92">
        <f>COUNTIFS('OB History'!$B:$B,$A$10,'OB History'!N:N, 1)</f>
        <v>2</v>
      </c>
      <c r="T10" s="92">
        <f>COUNTIFS('OB History'!$B:$B,$A$10,'OB History'!O:O, 1)</f>
        <v>2</v>
      </c>
      <c r="U10" s="92">
        <f>COUNTIFS('OB History'!$B:$B,$A$10,'OB History'!P:P, 1)</f>
        <v>4</v>
      </c>
      <c r="V10" s="92">
        <f>COUNTIFS('OB History'!$B:$B,$A$10,'OB History'!Q:Q, 1)</f>
        <v>1</v>
      </c>
      <c r="W10" s="92">
        <f>COUNTIFS('OB History'!$B:$B,$A$10,'OB History'!R:R, 1)</f>
        <v>0</v>
      </c>
      <c r="X10" s="92">
        <f>COUNTIFS('OB History'!$B:$B,$A$10,'OB History'!S:S, 1)</f>
        <v>0</v>
      </c>
      <c r="Y10" s="92">
        <f>COUNTIFS('OB History'!$B:$B,$A$10,'OB History'!T:T, 1)</f>
        <v>0</v>
      </c>
      <c r="Z10" s="92">
        <f>COUNTIFS('OB History'!$B:$B,$A$10,'OB History'!U:U, 1)</f>
        <v>0</v>
      </c>
      <c r="AA10" s="92">
        <f>COUNTIFS('OB History'!$B:$B,$A$10,'OB History'!V:V, 1)</f>
        <v>1</v>
      </c>
      <c r="AB10" s="92">
        <f>COUNTIFS('OB History'!$B:$B,$A$10,'OB History'!W:W, 1)</f>
        <v>4</v>
      </c>
      <c r="AC10" s="92">
        <f>COUNTIFS('OB History'!$B:$B,$A$10,'OB History'!X:X, 1)</f>
        <v>6</v>
      </c>
      <c r="AD10" s="92">
        <f>COUNTIFS('OB History'!$B:$B,$A$10,'OB History'!Y:Y, 1)</f>
        <v>2</v>
      </c>
      <c r="AE10" s="92">
        <f>COUNTIFS('OB History'!$B:$B,$A$10,'OB History'!Z:Z, 1)</f>
        <v>4</v>
      </c>
    </row>
    <row r="11" spans="1:31" x14ac:dyDescent="0.25">
      <c r="A11" s="2" t="s">
        <v>26</v>
      </c>
      <c r="B11" s="6" t="s">
        <v>60</v>
      </c>
      <c r="C11" s="6" t="s">
        <v>79</v>
      </c>
      <c r="D11" s="89">
        <f>SUMIFS('OB History'!C:C,'OB History'!B:B,A11)</f>
        <v>235</v>
      </c>
      <c r="E11" s="90">
        <f>AVERAGEIFS('OB History'!C:C,'OB History'!B:B,A11)</f>
        <v>12.368421052631579</v>
      </c>
      <c r="F11" s="91">
        <f t="array" ref="F11">MAX(IF('OB History'!B:B=A11, 'OB History'!C:C))</f>
        <v>24</v>
      </c>
      <c r="G11" s="89">
        <f>COUNTIFS('OB History'!B:B,A11,'OB History'!D:D, 1)</f>
        <v>14</v>
      </c>
      <c r="H11" s="92">
        <f>COUNTIFS('OB History'!B:B,A11,'OB History'!D:D, 0)</f>
        <v>5</v>
      </c>
      <c r="I11" s="41">
        <f t="shared" si="0"/>
        <v>0.73684210526315785</v>
      </c>
      <c r="J11" s="89">
        <f>SUMIFS('OB History'!F:F,'OB History'!B:B,A11)</f>
        <v>50</v>
      </c>
      <c r="K11" s="92">
        <f>SUMIFS('OB History'!E:E,'OB History'!B:B,A11)-J11</f>
        <v>28</v>
      </c>
      <c r="L11" s="41">
        <f t="shared" si="1"/>
        <v>0.64102564102564108</v>
      </c>
      <c r="M11" s="89">
        <f>SUMIFS('OB History'!H:H,'OB History'!B:B,'Old Bow v2'!A11)</f>
        <v>183</v>
      </c>
      <c r="N11" s="92">
        <f>SUMIFS('OB History'!G:G,'OB History'!B:B,'Old Bow v2'!A11)-M11</f>
        <v>139</v>
      </c>
      <c r="O11" s="41">
        <f t="shared" si="2"/>
        <v>0.56832298136645965</v>
      </c>
      <c r="P11" s="92">
        <f>COUNTIFS('OB History'!$B:$B,$A$11,'OB History'!K:K, 1)</f>
        <v>1</v>
      </c>
      <c r="Q11" s="92">
        <f>COUNTIFS('OB History'!$B:$B,$A$11,'OB History'!L:L, 1)</f>
        <v>2</v>
      </c>
      <c r="R11" s="92">
        <f>COUNTIFS('OB History'!$B:$B,$A$11,'OB History'!M:M, 1)</f>
        <v>0</v>
      </c>
      <c r="S11" s="92">
        <f>COUNTIFS('OB History'!$B:$B,$A$11,'OB History'!N:N, 1)</f>
        <v>8</v>
      </c>
      <c r="T11" s="92">
        <f>COUNTIFS('OB History'!$B:$B,$A$11,'OB History'!O:O, 1)</f>
        <v>2</v>
      </c>
      <c r="U11" s="92">
        <f>COUNTIFS('OB History'!$B:$B,$A$11,'OB History'!P:P, 1)</f>
        <v>8</v>
      </c>
      <c r="V11" s="92">
        <f>COUNTIFS('OB History'!$B:$B,$A$11,'OB History'!Q:Q, 1)</f>
        <v>4</v>
      </c>
      <c r="W11" s="92">
        <f>COUNTIFS('OB History'!$B:$B,$A$11,'OB History'!R:R, 1)</f>
        <v>2</v>
      </c>
      <c r="X11" s="92">
        <f>COUNTIFS('OB History'!$B:$B,$A$11,'OB History'!S:S, 1)</f>
        <v>1</v>
      </c>
      <c r="Y11" s="92">
        <f>COUNTIFS('OB History'!$B:$B,$A$11,'OB History'!T:T, 1)</f>
        <v>1</v>
      </c>
      <c r="Z11" s="92">
        <f>COUNTIFS('OB History'!$B:$B,$A$11,'OB History'!U:U, 1)</f>
        <v>1</v>
      </c>
      <c r="AA11" s="92">
        <f>COUNTIFS('OB History'!$B:$B,$A$11,'OB History'!V:V, 1)</f>
        <v>2</v>
      </c>
      <c r="AB11" s="92">
        <f>COUNTIFS('OB History'!$B:$B,$A$11,'OB History'!W:W, 1)</f>
        <v>4</v>
      </c>
      <c r="AC11" s="92">
        <f>COUNTIFS('OB History'!$B:$B,$A$11,'OB History'!X:X, 1)</f>
        <v>6</v>
      </c>
      <c r="AD11" s="92">
        <f>COUNTIFS('OB History'!$B:$B,$A$11,'OB History'!Y:Y, 1)</f>
        <v>2</v>
      </c>
      <c r="AE11" s="92">
        <f>COUNTIFS('OB History'!$B:$B,$A$11,'OB History'!Z:Z, 1)</f>
        <v>4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89">
        <f>SUMIFS('OB History'!C:C,'OB History'!B:B,A12)</f>
        <v>130</v>
      </c>
      <c r="E12" s="90">
        <f>AVERAGEIFS('OB History'!C:C,'OB History'!B:B,A12)</f>
        <v>10.833333333333334</v>
      </c>
      <c r="F12" s="91">
        <f t="array" ref="F12">MAX(IF('OB History'!B:B=A12, 'OB History'!C:C))</f>
        <v>17</v>
      </c>
      <c r="G12" s="89">
        <f>COUNTIFS('OB History'!B:B,A12,'OB History'!D:D, 1)</f>
        <v>5</v>
      </c>
      <c r="H12" s="92">
        <f>COUNTIFS('OB History'!B:B,A12,'OB History'!D:D, 0)</f>
        <v>7</v>
      </c>
      <c r="I12" s="42">
        <f t="shared" si="0"/>
        <v>0.41666666666666669</v>
      </c>
      <c r="J12" s="89">
        <f>SUMIFS('OB History'!F:F,'OB History'!B:B,A12)</f>
        <v>22</v>
      </c>
      <c r="K12" s="92">
        <f>SUMIFS('OB History'!E:E,'OB History'!B:B,A12)-J12</f>
        <v>26</v>
      </c>
      <c r="L12" s="42">
        <f t="shared" si="1"/>
        <v>0.45833333333333331</v>
      </c>
      <c r="M12" s="89">
        <f>SUMIFS('OB History'!H:H,'OB History'!B:B,'Old Bow v2'!A12)</f>
        <v>95</v>
      </c>
      <c r="N12" s="92">
        <f>SUMIFS('OB History'!G:G,'OB History'!B:B,'Old Bow v2'!A12)-M12</f>
        <v>99</v>
      </c>
      <c r="O12" s="42">
        <f t="shared" si="2"/>
        <v>0.48969072164948452</v>
      </c>
      <c r="P12" s="92">
        <f>COUNTIFS('OB History'!$B:$B,$A$12,'OB History'!K:K, 1)</f>
        <v>0</v>
      </c>
      <c r="Q12" s="92">
        <f>COUNTIFS('OB History'!$B:$B,$A$12,'OB History'!L:L, 1)</f>
        <v>2</v>
      </c>
      <c r="R12" s="92">
        <f>COUNTIFS('OB History'!$B:$B,$A$12,'OB History'!M:M, 1)</f>
        <v>0</v>
      </c>
      <c r="S12" s="92">
        <f>COUNTIFS('OB History'!$B:$B,$A$12,'OB History'!N:N, 1)</f>
        <v>5</v>
      </c>
      <c r="T12" s="92">
        <f>COUNTIFS('OB History'!$B:$B,$A$12,'OB History'!O:O, 1)</f>
        <v>0</v>
      </c>
      <c r="U12" s="92">
        <f>COUNTIFS('OB History'!$B:$B,$A$12,'OB History'!P:P, 1)</f>
        <v>4</v>
      </c>
      <c r="V12" s="92">
        <f>COUNTIFS('OB History'!$B:$B,$A$12,'OB History'!Q:Q, 1)</f>
        <v>0</v>
      </c>
      <c r="W12" s="92">
        <f>COUNTIFS('OB History'!$B:$B,$A$12,'OB History'!R:R, 1)</f>
        <v>0</v>
      </c>
      <c r="X12" s="92">
        <f>COUNTIFS('OB History'!$B:$B,$A$12,'OB History'!S:S, 1)</f>
        <v>0</v>
      </c>
      <c r="Y12" s="92">
        <f>COUNTIFS('OB History'!$B:$B,$A$12,'OB History'!T:T, 1)</f>
        <v>0</v>
      </c>
      <c r="Z12" s="92">
        <f>COUNTIFS('OB History'!$B:$B,$A$12,'OB History'!U:U, 1)</f>
        <v>0</v>
      </c>
      <c r="AA12" s="92">
        <f>COUNTIFS('OB History'!$B:$B,$A$12,'OB History'!V:V, 1)</f>
        <v>0</v>
      </c>
      <c r="AB12" s="92">
        <f>COUNTIFS('OB History'!$B:$B,$A$12,'OB History'!W:W, 1)</f>
        <v>2</v>
      </c>
      <c r="AC12" s="92">
        <f>COUNTIFS('OB History'!$B:$B,$A$12,'OB History'!X:X, 1)</f>
        <v>4</v>
      </c>
      <c r="AD12" s="92">
        <f>COUNTIFS('OB History'!$B:$B,$A$12,'OB History'!Y:Y, 1)</f>
        <v>1</v>
      </c>
      <c r="AE12" s="92">
        <f>COUNTIFS('OB History'!$B:$B,$A$12,'OB History'!Z:Z, 1)</f>
        <v>4</v>
      </c>
    </row>
    <row r="13" spans="1:31" x14ac:dyDescent="0.25">
      <c r="A13" s="2" t="s">
        <v>50</v>
      </c>
      <c r="B13" s="2" t="s">
        <v>79</v>
      </c>
      <c r="C13" s="2" t="s">
        <v>79</v>
      </c>
      <c r="D13" s="89">
        <f>SUMIFS('OB History'!C:C,'OB History'!B:B,A13)</f>
        <v>26</v>
      </c>
      <c r="E13" s="90">
        <f>AVERAGEIFS('OB History'!C:C,'OB History'!B:B,A13)</f>
        <v>13</v>
      </c>
      <c r="F13" s="91">
        <f t="array" ref="F13">MAX(IF('OB History'!B:B=A13, 'OB History'!C:C))</f>
        <v>14</v>
      </c>
      <c r="G13" s="89">
        <f>COUNTIFS('OB History'!B:B,A13,'OB History'!D:D, 1)</f>
        <v>0</v>
      </c>
      <c r="H13" s="92">
        <f>COUNTIFS('OB History'!B:B,A13,'OB History'!D:D, 0)</f>
        <v>2</v>
      </c>
      <c r="I13" s="42">
        <f t="shared" si="0"/>
        <v>0</v>
      </c>
      <c r="J13" s="89">
        <f>SUMIFS('OB History'!F:F,'OB History'!B:B,A13)</f>
        <v>2</v>
      </c>
      <c r="K13" s="92">
        <f>SUMIFS('OB History'!E:E,'OB History'!B:B,A13)-J13</f>
        <v>6</v>
      </c>
      <c r="L13" s="42">
        <f t="shared" si="1"/>
        <v>0.25</v>
      </c>
      <c r="M13" s="89">
        <f>SUMIFS('OB History'!H:H,'OB History'!B:B,'Old Bow v2'!A13)</f>
        <v>13</v>
      </c>
      <c r="N13" s="92">
        <f>SUMIFS('OB History'!G:G,'OB History'!B:B,'Old Bow v2'!A13)-M13</f>
        <v>22</v>
      </c>
      <c r="O13" s="42">
        <f t="shared" si="2"/>
        <v>0.37142857142857144</v>
      </c>
      <c r="P13" s="92">
        <f>COUNTIFS('OB History'!$B:$B,$A$13,'OB History'!K:K, 1)</f>
        <v>0</v>
      </c>
      <c r="Q13" s="92">
        <f>COUNTIFS('OB History'!$B:$B,$A$13,'OB History'!L:L, 1)</f>
        <v>0</v>
      </c>
      <c r="R13" s="92">
        <f>COUNTIFS('OB History'!$B:$B,$A$13,'OB History'!M:M, 1)</f>
        <v>0</v>
      </c>
      <c r="S13" s="92">
        <f>COUNTIFS('OB History'!$B:$B,$A$13,'OB History'!N:N, 1)</f>
        <v>0</v>
      </c>
      <c r="T13" s="92">
        <f>COUNTIFS('OB History'!$B:$B,$A$13,'OB History'!O:O, 1)</f>
        <v>0</v>
      </c>
      <c r="U13" s="92">
        <f>COUNTIFS('OB History'!$B:$B,$A$13,'OB History'!P:P, 1)</f>
        <v>1</v>
      </c>
      <c r="V13" s="92">
        <f>COUNTIFS('OB History'!$B:$B,$A$13,'OB History'!Q:Q, 1)</f>
        <v>0</v>
      </c>
      <c r="W13" s="92">
        <f>COUNTIFS('OB History'!$B:$B,$A$13,'OB History'!R:R, 1)</f>
        <v>0</v>
      </c>
      <c r="X13" s="92">
        <f>COUNTIFS('OB History'!$B:$B,$A$13,'OB History'!S:S, 1)</f>
        <v>0</v>
      </c>
      <c r="Y13" s="92">
        <f>COUNTIFS('OB History'!$B:$B,$A$13,'OB History'!T:T, 1)</f>
        <v>0</v>
      </c>
      <c r="Z13" s="92">
        <f>COUNTIFS('OB History'!$B:$B,$A$13,'OB History'!U:U, 1)</f>
        <v>0</v>
      </c>
      <c r="AA13" s="92">
        <f>COUNTIFS('OB History'!$B:$B,$A$13,'OB History'!V:V, 1)</f>
        <v>0</v>
      </c>
      <c r="AB13" s="92">
        <f>COUNTIFS('OB History'!$B:$B,$A$13,'OB History'!W:W, 1)</f>
        <v>1</v>
      </c>
      <c r="AC13" s="92">
        <f>COUNTIFS('OB History'!$B:$B,$A$13,'OB History'!X:X, 1)</f>
        <v>0</v>
      </c>
      <c r="AD13" s="92">
        <f>COUNTIFS('OB History'!$B:$B,$A$13,'OB History'!Y:Y, 1)</f>
        <v>0</v>
      </c>
      <c r="AE13" s="92">
        <f>COUNTIFS('OB History'!$B:$B,$A$13,'OB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89">
        <f>SUMIFS('OB History'!C:C,'OB History'!B:B,A14)</f>
        <v>5</v>
      </c>
      <c r="E14" s="90">
        <f>AVERAGEIFS('OB History'!C:C,'OB History'!B:B,A14)</f>
        <v>5</v>
      </c>
      <c r="F14" s="91">
        <f t="array" ref="F14">MAX(IF('OB History'!B:B=A14, 'OB History'!C:C))</f>
        <v>5</v>
      </c>
      <c r="G14" s="89">
        <f>COUNTIFS('OB History'!B:B,A14,'OB History'!D:D, 1)</f>
        <v>0</v>
      </c>
      <c r="H14" s="92">
        <f>COUNTIFS('OB History'!B:B,A14,'OB History'!D:D, 0)</f>
        <v>1</v>
      </c>
      <c r="I14" s="42">
        <f t="shared" si="0"/>
        <v>0</v>
      </c>
      <c r="J14" s="89">
        <f>SUMIFS('OB History'!F:F,'OB History'!B:B,A14)</f>
        <v>0</v>
      </c>
      <c r="K14" s="92">
        <f>SUMIFS('OB History'!E:E,'OB History'!B:B,A14)-J14</f>
        <v>3</v>
      </c>
      <c r="L14" s="42">
        <f t="shared" si="1"/>
        <v>0</v>
      </c>
      <c r="M14" s="89">
        <f>SUMIFS('OB History'!H:H,'OB History'!B:B,'Old Bow v2'!A14)</f>
        <v>4</v>
      </c>
      <c r="N14" s="92">
        <f>SUMIFS('OB History'!G:G,'OB History'!B:B,'Old Bow v2'!A14)-M14</f>
        <v>9</v>
      </c>
      <c r="O14" s="42">
        <f t="shared" si="2"/>
        <v>0.30769230769230771</v>
      </c>
      <c r="P14" s="92">
        <f>COUNTIFS('OB History'!$B:$B,$A$14,'OB History'!K:K, 1)</f>
        <v>0</v>
      </c>
      <c r="Q14" s="92">
        <f>COUNTIFS('OB History'!$B:$B,$A$14,'OB History'!L:L, 1)</f>
        <v>0</v>
      </c>
      <c r="R14" s="92">
        <f>COUNTIFS('OB History'!$B:$B,$A$14,'OB History'!M:M, 1)</f>
        <v>0</v>
      </c>
      <c r="S14" s="92">
        <f>COUNTIFS('OB History'!$B:$B,$A$14,'OB History'!N:N, 1)</f>
        <v>0</v>
      </c>
      <c r="T14" s="92">
        <f>COUNTIFS('OB History'!$B:$B,$A$14,'OB History'!O:O, 1)</f>
        <v>0</v>
      </c>
      <c r="U14" s="92">
        <f>COUNTIFS('OB History'!$B:$B,$A$14,'OB History'!P:P, 1)</f>
        <v>0</v>
      </c>
      <c r="V14" s="92">
        <f>COUNTIFS('OB History'!$B:$B,$A$14,'OB History'!Q:Q, 1)</f>
        <v>0</v>
      </c>
      <c r="W14" s="92">
        <f>COUNTIFS('OB History'!$B:$B,$A$14,'OB History'!R:R, 1)</f>
        <v>0</v>
      </c>
      <c r="X14" s="92">
        <f>COUNTIFS('OB History'!$B:$B,$A$14,'OB History'!S:S, 1)</f>
        <v>0</v>
      </c>
      <c r="Y14" s="92">
        <f>COUNTIFS('OB History'!$B:$B,$A$14,'OB History'!T:T, 1)</f>
        <v>0</v>
      </c>
      <c r="Z14" s="92">
        <f>COUNTIFS('OB History'!$B:$B,$A$14,'OB History'!U:U, 1)</f>
        <v>0</v>
      </c>
      <c r="AA14" s="92">
        <f>COUNTIFS('OB History'!$B:$B,$A$14,'OB History'!V:V, 1)</f>
        <v>0</v>
      </c>
      <c r="AB14" s="92">
        <f>COUNTIFS('OB History'!$B:$B,$A$14,'OB History'!W:W, 1)</f>
        <v>0</v>
      </c>
      <c r="AC14" s="92">
        <f>COUNTIFS('OB History'!$B:$B,$A$14,'OB History'!X:X, 1)</f>
        <v>0</v>
      </c>
      <c r="AD14" s="92">
        <f>COUNTIFS('OB History'!$B:$B,$A$14,'OB History'!Y:Y, 1)</f>
        <v>0</v>
      </c>
      <c r="AE14" s="92">
        <f>COUNTIFS('OB History'!$B:$B,$A$14,'OB History'!Z:Z, 1)</f>
        <v>0</v>
      </c>
    </row>
    <row r="15" spans="1:31" x14ac:dyDescent="0.25">
      <c r="A15" s="1" t="s">
        <v>44</v>
      </c>
      <c r="B15" s="2" t="s">
        <v>79</v>
      </c>
      <c r="C15" s="2" t="s">
        <v>79</v>
      </c>
      <c r="D15" s="89">
        <f>SUMIFS('OB History'!C:C,'OB History'!B:B,A15)</f>
        <v>12</v>
      </c>
      <c r="E15" s="90">
        <f>AVERAGEIFS('OB History'!C:C,'OB History'!B:B,A15)</f>
        <v>12</v>
      </c>
      <c r="F15" s="91">
        <f t="array" ref="F15">MAX(IF('OB History'!B:B=A15, 'OB History'!C:C))</f>
        <v>12</v>
      </c>
      <c r="G15" s="89">
        <f>COUNTIFS('OB History'!B:B,A15,'OB History'!D:D, 1)</f>
        <v>1</v>
      </c>
      <c r="H15" s="92">
        <f>COUNTIFS('OB History'!B:B,A15,'OB History'!D:D, 0)</f>
        <v>0</v>
      </c>
      <c r="I15" s="42">
        <f t="shared" si="0"/>
        <v>1</v>
      </c>
      <c r="J15" s="89">
        <f>SUMIFS('OB History'!F:F,'OB History'!B:B,A15)</f>
        <v>3</v>
      </c>
      <c r="K15" s="92">
        <f>SUMIFS('OB History'!E:E,'OB History'!B:B,A15)-J15</f>
        <v>0</v>
      </c>
      <c r="L15" s="42">
        <f t="shared" si="1"/>
        <v>1</v>
      </c>
      <c r="M15" s="89">
        <f>SUMIFS('OB History'!H:H,'OB History'!B:B,'Old Bow v2'!A15)</f>
        <v>9</v>
      </c>
      <c r="N15" s="92">
        <f>SUMIFS('OB History'!G:G,'OB History'!B:B,'Old Bow v2'!A15)-M15</f>
        <v>4</v>
      </c>
      <c r="O15" s="42">
        <f t="shared" si="2"/>
        <v>0.69230769230769229</v>
      </c>
      <c r="P15" s="92">
        <f>COUNTIFS('OB History'!$B:$B,$A$15,'OB History'!K:K, 1)</f>
        <v>0</v>
      </c>
      <c r="Q15" s="92">
        <f>COUNTIFS('OB History'!$B:$B,$A$15,'OB History'!L:L, 1)</f>
        <v>0</v>
      </c>
      <c r="R15" s="92">
        <f>COUNTIFS('OB History'!$B:$B,$A$15,'OB History'!M:M, 1)</f>
        <v>0</v>
      </c>
      <c r="S15" s="92">
        <f>COUNTIFS('OB History'!$B:$B,$A$15,'OB History'!N:N, 1)</f>
        <v>0</v>
      </c>
      <c r="T15" s="92">
        <f>COUNTIFS('OB History'!$B:$B,$A$15,'OB History'!O:O, 1)</f>
        <v>0</v>
      </c>
      <c r="U15" s="92">
        <f>COUNTIFS('OB History'!$B:$B,$A$15,'OB History'!P:P, 1)</f>
        <v>1</v>
      </c>
      <c r="V15" s="92">
        <f>COUNTIFS('OB History'!$B:$B,$A$15,'OB History'!Q:Q, 1)</f>
        <v>0</v>
      </c>
      <c r="W15" s="92">
        <f>COUNTIFS('OB History'!$B:$B,$A$15,'OB History'!R:R, 1)</f>
        <v>0</v>
      </c>
      <c r="X15" s="92">
        <f>COUNTIFS('OB History'!$B:$B,$A$15,'OB History'!S:S, 1)</f>
        <v>0</v>
      </c>
      <c r="Y15" s="92">
        <f>COUNTIFS('OB History'!$B:$B,$A$15,'OB History'!T:T, 1)</f>
        <v>0</v>
      </c>
      <c r="Z15" s="92">
        <f>COUNTIFS('OB History'!$B:$B,$A$15,'OB History'!U:U, 1)</f>
        <v>0</v>
      </c>
      <c r="AA15" s="92">
        <f>COUNTIFS('OB History'!$B:$B,$A$15,'OB History'!V:V, 1)</f>
        <v>0</v>
      </c>
      <c r="AB15" s="92">
        <f>COUNTIFS('OB History'!$B:$B,$A$15,'OB History'!W:W, 1)</f>
        <v>0</v>
      </c>
      <c r="AC15" s="92">
        <f>COUNTIFS('OB History'!$B:$B,$A$15,'OB History'!X:X, 1)</f>
        <v>1</v>
      </c>
      <c r="AD15" s="92">
        <f>COUNTIFS('OB History'!$B:$B,$A$15,'OB History'!Y:Y, 1)</f>
        <v>0</v>
      </c>
      <c r="AE15" s="92">
        <f>COUNTIFS('OB History'!$B:$B,$A$15,'OB History'!Z:Z, 1)</f>
        <v>1</v>
      </c>
    </row>
    <row r="16" spans="1:31" x14ac:dyDescent="0.25">
      <c r="A16" s="2" t="s">
        <v>1</v>
      </c>
      <c r="B16" s="6" t="s">
        <v>60</v>
      </c>
      <c r="C16" s="2" t="s">
        <v>79</v>
      </c>
      <c r="D16" s="89">
        <f>SUMIFS('OB History'!C:C,'OB History'!B:B,A16)</f>
        <v>167</v>
      </c>
      <c r="E16" s="90">
        <f>AVERAGEIFS('OB History'!C:C,'OB History'!B:B,A16)</f>
        <v>27.833333333333332</v>
      </c>
      <c r="F16" s="91">
        <f t="array" ref="F16">MAX(IF('OB History'!B:B=A16, 'OB History'!C:C))</f>
        <v>37</v>
      </c>
      <c r="G16" s="89">
        <f>COUNTIFS('OB History'!B:B,A16,'OB History'!D:D, 1)</f>
        <v>4</v>
      </c>
      <c r="H16" s="92">
        <f>COUNTIFS('OB History'!B:B,A16,'OB History'!D:D, 0)</f>
        <v>2</v>
      </c>
      <c r="I16" s="41">
        <f t="shared" si="0"/>
        <v>0.66666666666666663</v>
      </c>
      <c r="J16" s="89">
        <f>SUMIFS('OB History'!F:F,'OB History'!B:B,A16)</f>
        <v>15</v>
      </c>
      <c r="K16" s="92">
        <f>SUMIFS('OB History'!E:E,'OB History'!B:B,A16)-J16</f>
        <v>12</v>
      </c>
      <c r="L16" s="41">
        <f t="shared" si="1"/>
        <v>0.55555555555555558</v>
      </c>
      <c r="M16" s="89">
        <f>SUMIFS('OB History'!H:H,'OB History'!B:B,'Old Bow v2'!A16)</f>
        <v>60</v>
      </c>
      <c r="N16" s="92">
        <f>SUMIFS('OB History'!G:G,'OB History'!B:B,'Old Bow v2'!A16)-M16</f>
        <v>60</v>
      </c>
      <c r="O16" s="41">
        <f t="shared" si="2"/>
        <v>0.5</v>
      </c>
      <c r="P16" s="92">
        <f>COUNTIFS('OB History'!$B:$B,$A$16,'OB History'!K:K, 1)</f>
        <v>0</v>
      </c>
      <c r="Q16" s="92">
        <f>COUNTIFS('OB History'!$B:$B,$A$16,'OB History'!L:L, 1)</f>
        <v>1</v>
      </c>
      <c r="R16" s="92">
        <f>COUNTIFS('OB History'!$B:$B,$A$16,'OB History'!M:M, 1)</f>
        <v>0</v>
      </c>
      <c r="S16" s="92">
        <f>COUNTIFS('OB History'!$B:$B,$A$16,'OB History'!N:N, 1)</f>
        <v>0</v>
      </c>
      <c r="T16" s="92">
        <f>COUNTIFS('OB History'!$B:$B,$A$16,'OB History'!O:O, 1)</f>
        <v>1</v>
      </c>
      <c r="U16" s="92">
        <f>COUNTIFS('OB History'!$B:$B,$A$16,'OB History'!P:P, 1)</f>
        <v>1</v>
      </c>
      <c r="V16" s="92">
        <f>COUNTIFS('OB History'!$B:$B,$A$16,'OB History'!Q:Q, 1)</f>
        <v>0</v>
      </c>
      <c r="W16" s="92">
        <f>COUNTIFS('OB History'!$B:$B,$A$16,'OB History'!R:R, 1)</f>
        <v>0</v>
      </c>
      <c r="X16" s="92">
        <f>COUNTIFS('OB History'!$B:$B,$A$16,'OB History'!S:S, 1)</f>
        <v>0</v>
      </c>
      <c r="Y16" s="92">
        <f>COUNTIFS('OB History'!$B:$B,$A$16,'OB History'!T:T, 1)</f>
        <v>0</v>
      </c>
      <c r="Z16" s="92">
        <f>COUNTIFS('OB History'!$B:$B,$A$16,'OB History'!U:U, 1)</f>
        <v>0</v>
      </c>
      <c r="AA16" s="92">
        <f>COUNTIFS('OB History'!$B:$B,$A$16,'OB History'!V:V, 1)</f>
        <v>0</v>
      </c>
      <c r="AB16" s="92">
        <f>COUNTIFS('OB History'!$B:$B,$A$16,'OB History'!W:W, 1)</f>
        <v>1</v>
      </c>
      <c r="AC16" s="92">
        <f>COUNTIFS('OB History'!$B:$B,$A$16,'OB History'!X:X, 1)</f>
        <v>3</v>
      </c>
      <c r="AD16" s="92">
        <f>COUNTIFS('OB History'!$B:$B,$A$16,'OB History'!Y:Y, 1)</f>
        <v>2</v>
      </c>
      <c r="AE16" s="92">
        <f>COUNTIFS('OB History'!$B:$B,$A$16,'OB History'!Z:Z, 1)</f>
        <v>4</v>
      </c>
    </row>
    <row r="17" spans="1:31" x14ac:dyDescent="0.25">
      <c r="A17" s="2" t="s">
        <v>29</v>
      </c>
      <c r="B17" s="6" t="s">
        <v>124</v>
      </c>
      <c r="C17" s="2" t="s">
        <v>79</v>
      </c>
      <c r="D17" s="89">
        <f>SUMIFS('OB History'!C:C,'OB History'!B:B,A17)</f>
        <v>185</v>
      </c>
      <c r="E17" s="90">
        <f>AVERAGEIFS('OB History'!C:C,'OB History'!B:B,A17)</f>
        <v>9.7368421052631575</v>
      </c>
      <c r="F17" s="91">
        <f t="array" ref="F17">MAX(IF('OB History'!B:B=A17, 'OB History'!C:C))</f>
        <v>21</v>
      </c>
      <c r="G17" s="89">
        <f>COUNTIFS('OB History'!B:B,A17,'OB History'!D:D, 1)</f>
        <v>9</v>
      </c>
      <c r="H17" s="92">
        <f>COUNTIFS('OB History'!B:B,A17,'OB History'!D:D, 0)</f>
        <v>10</v>
      </c>
      <c r="I17" s="41">
        <f t="shared" si="0"/>
        <v>0.47368421052631576</v>
      </c>
      <c r="J17" s="89">
        <f>SUMIFS('OB History'!F:F,'OB History'!B:B,A17)</f>
        <v>37</v>
      </c>
      <c r="K17" s="92">
        <f>SUMIFS('OB History'!E:E,'OB History'!B:B,A17)-J17</f>
        <v>39</v>
      </c>
      <c r="L17" s="41">
        <f t="shared" si="1"/>
        <v>0.48684210526315791</v>
      </c>
      <c r="M17" s="89">
        <f>SUMIFS('OB History'!H:H,'OB History'!B:B,'Old Bow v2'!A17)</f>
        <v>159</v>
      </c>
      <c r="N17" s="92">
        <f>SUMIFS('OB History'!G:G,'OB History'!B:B,'Old Bow v2'!A17)-M17</f>
        <v>161</v>
      </c>
      <c r="O17" s="41">
        <f t="shared" si="2"/>
        <v>0.49687500000000001</v>
      </c>
      <c r="P17" s="92">
        <f>COUNTIFS('OB History'!$B:$B,$A$17,'OB History'!K:K, 1)</f>
        <v>2</v>
      </c>
      <c r="Q17" s="92">
        <f>COUNTIFS('OB History'!$B:$B,$A$17,'OB History'!L:L, 1)</f>
        <v>2</v>
      </c>
      <c r="R17" s="92">
        <f>COUNTIFS('OB History'!$B:$B,$A$17,'OB History'!M:M, 1)</f>
        <v>0</v>
      </c>
      <c r="S17" s="92">
        <f>COUNTIFS('OB History'!$B:$B,$A$17,'OB History'!N:N, 1)</f>
        <v>5</v>
      </c>
      <c r="T17" s="92">
        <f>COUNTIFS('OB History'!$B:$B,$A$17,'OB History'!O:O, 1)</f>
        <v>1</v>
      </c>
      <c r="U17" s="92">
        <f>COUNTIFS('OB History'!$B:$B,$A$17,'OB History'!P:P, 1)</f>
        <v>3</v>
      </c>
      <c r="V17" s="92">
        <f>COUNTIFS('OB History'!$B:$B,$A$17,'OB History'!Q:Q, 1)</f>
        <v>1</v>
      </c>
      <c r="W17" s="92">
        <f>COUNTIFS('OB History'!$B:$B,$A$17,'OB History'!R:R, 1)</f>
        <v>0</v>
      </c>
      <c r="X17" s="92">
        <f>COUNTIFS('OB History'!$B:$B,$A$17,'OB History'!S:S, 1)</f>
        <v>0</v>
      </c>
      <c r="Y17" s="92">
        <f>COUNTIFS('OB History'!$B:$B,$A$17,'OB History'!T:T, 1)</f>
        <v>0</v>
      </c>
      <c r="Z17" s="92">
        <f>COUNTIFS('OB History'!$B:$B,$A$17,'OB History'!U:U, 1)</f>
        <v>0</v>
      </c>
      <c r="AA17" s="92">
        <f>COUNTIFS('OB History'!$B:$B,$A$17,'OB History'!V:V, 1)</f>
        <v>1</v>
      </c>
      <c r="AB17" s="92">
        <f>COUNTIFS('OB History'!$B:$B,$A$17,'OB History'!W:W, 1)</f>
        <v>4</v>
      </c>
      <c r="AC17" s="92">
        <f>COUNTIFS('OB History'!$B:$B,$A$17,'OB History'!X:X, 1)</f>
        <v>8</v>
      </c>
      <c r="AD17" s="92">
        <f>COUNTIFS('OB History'!$B:$B,$A$17,'OB History'!Y:Y, 1)</f>
        <v>2</v>
      </c>
      <c r="AE17" s="92">
        <f>COUNTIFS('OB History'!$B:$B,$A$17,'OB History'!Z:Z, 1)</f>
        <v>7</v>
      </c>
    </row>
    <row r="18" spans="1:31" x14ac:dyDescent="0.25">
      <c r="A18" s="2" t="s">
        <v>46</v>
      </c>
      <c r="B18" s="2" t="s">
        <v>79</v>
      </c>
      <c r="C18" s="2" t="s">
        <v>79</v>
      </c>
      <c r="D18" s="89">
        <f>SUMIFS('OB History'!C:C,'OB History'!B:B,A18)</f>
        <v>183</v>
      </c>
      <c r="E18" s="90">
        <f>AVERAGEIFS('OB History'!C:C,'OB History'!B:B,A18)</f>
        <v>20.333333333333332</v>
      </c>
      <c r="F18" s="91">
        <f t="array" ref="F18">MAX(IF('OB History'!B:B=A18, 'OB History'!C:C))</f>
        <v>36</v>
      </c>
      <c r="G18" s="89">
        <f>COUNTIFS('OB History'!B:B,A18,'OB History'!D:D, 1)</f>
        <v>4</v>
      </c>
      <c r="H18" s="92">
        <f>COUNTIFS('OB History'!B:B,A18,'OB History'!D:D, 0)</f>
        <v>5</v>
      </c>
      <c r="I18" s="41">
        <f t="shared" si="0"/>
        <v>0.44444444444444442</v>
      </c>
      <c r="J18" s="89">
        <f>SUMIFS('OB History'!F:F,'OB History'!B:B,A18)</f>
        <v>16</v>
      </c>
      <c r="K18" s="92">
        <f>SUMIFS('OB History'!E:E,'OB History'!B:B,A18)-J18</f>
        <v>20</v>
      </c>
      <c r="L18" s="41">
        <f t="shared" si="1"/>
        <v>0.44444444444444442</v>
      </c>
      <c r="M18" s="89">
        <f>SUMIFS('OB History'!H:H,'OB History'!B:B,'Old Bow v2'!A18)</f>
        <v>70</v>
      </c>
      <c r="N18" s="92">
        <f>SUMIFS('OB History'!G:G,'OB History'!B:B,'Old Bow v2'!A18)-M18</f>
        <v>83</v>
      </c>
      <c r="O18" s="41">
        <f t="shared" si="2"/>
        <v>0.45751633986928103</v>
      </c>
      <c r="P18" s="92">
        <f>COUNTIFS('OB History'!$B:$B,$A$18,'OB History'!K:K, 1)</f>
        <v>0</v>
      </c>
      <c r="Q18" s="92">
        <f>COUNTIFS('OB History'!$B:$B,$A$18,'OB History'!L:L, 1)</f>
        <v>1</v>
      </c>
      <c r="R18" s="92">
        <f>COUNTIFS('OB History'!$B:$B,$A$18,'OB History'!M:M, 1)</f>
        <v>0</v>
      </c>
      <c r="S18" s="92">
        <f>COUNTIFS('OB History'!$B:$B,$A$18,'OB History'!N:N, 1)</f>
        <v>1</v>
      </c>
      <c r="T18" s="92">
        <f>COUNTIFS('OB History'!$B:$B,$A$18,'OB History'!O:O, 1)</f>
        <v>0</v>
      </c>
      <c r="U18" s="92">
        <f>COUNTIFS('OB History'!$B:$B,$A$18,'OB History'!P:P, 1)</f>
        <v>5</v>
      </c>
      <c r="V18" s="92">
        <f>COUNTIFS('OB History'!$B:$B,$A$18,'OB History'!Q:Q, 1)</f>
        <v>0</v>
      </c>
      <c r="W18" s="92">
        <f>COUNTIFS('OB History'!$B:$B,$A$18,'OB History'!R:R, 1)</f>
        <v>1</v>
      </c>
      <c r="X18" s="92">
        <f>COUNTIFS('OB History'!$B:$B,$A$18,'OB History'!S:S, 1)</f>
        <v>0</v>
      </c>
      <c r="Y18" s="92">
        <f>COUNTIFS('OB History'!$B:$B,$A$18,'OB History'!T:T, 1)</f>
        <v>0</v>
      </c>
      <c r="Z18" s="92">
        <f>COUNTIFS('OB History'!$B:$B,$A$18,'OB History'!U:U, 1)</f>
        <v>0</v>
      </c>
      <c r="AA18" s="92">
        <f>COUNTIFS('OB History'!$B:$B,$A$18,'OB History'!V:V, 1)</f>
        <v>0</v>
      </c>
      <c r="AB18" s="92">
        <f>COUNTIFS('OB History'!$B:$B,$A$18,'OB History'!W:W, 1)</f>
        <v>1</v>
      </c>
      <c r="AC18" s="92">
        <f>COUNTIFS('OB History'!$B:$B,$A$18,'OB History'!X:X, 1)</f>
        <v>3</v>
      </c>
      <c r="AD18" s="92">
        <f>COUNTIFS('OB History'!$B:$B,$A$18,'OB History'!Y:Y, 1)</f>
        <v>1</v>
      </c>
      <c r="AE18" s="92">
        <f>COUNTIFS('OB History'!$B:$B,$A$18,'OB History'!Z:Z, 1)</f>
        <v>2</v>
      </c>
    </row>
    <row r="19" spans="1:31" x14ac:dyDescent="0.25">
      <c r="A19" s="2" t="s">
        <v>140</v>
      </c>
      <c r="B19" s="2" t="s">
        <v>79</v>
      </c>
      <c r="C19" s="2" t="s">
        <v>79</v>
      </c>
      <c r="D19" s="89">
        <f>SUMIFS('OB History'!C:C,'OB History'!B:B,A19)</f>
        <v>33</v>
      </c>
      <c r="E19" s="90">
        <f>AVERAGEIFS('OB History'!C:C,'OB History'!B:B,A19)</f>
        <v>11</v>
      </c>
      <c r="F19" s="91">
        <f t="array" ref="F19">MAX(IF('OB History'!B:B=A19, 'OB History'!C:C))</f>
        <v>13</v>
      </c>
      <c r="G19" s="89">
        <f>COUNTIFS('OB History'!B:B,A19,'OB History'!D:D, 1)</f>
        <v>2</v>
      </c>
      <c r="H19" s="92">
        <f>COUNTIFS('OB History'!B:B,A19,'OB History'!D:D, 0)</f>
        <v>1</v>
      </c>
      <c r="I19" s="41">
        <f t="shared" si="0"/>
        <v>0.66666666666666663</v>
      </c>
      <c r="J19" s="89">
        <f>SUMIFS('OB History'!F:F,'OB History'!B:B,A19)</f>
        <v>8</v>
      </c>
      <c r="K19" s="92">
        <f>SUMIFS('OB History'!E:E,'OB History'!B:B,A19)-J19</f>
        <v>5</v>
      </c>
      <c r="L19" s="41">
        <f t="shared" si="1"/>
        <v>0.61538461538461542</v>
      </c>
      <c r="M19" s="89">
        <f>SUMIFS('OB History'!H:H,'OB History'!B:B,'Old Bow v2'!A19)</f>
        <v>28</v>
      </c>
      <c r="N19" s="92">
        <f>SUMIFS('OB History'!G:G,'OB History'!B:B,'Old Bow v2'!A19)-M19</f>
        <v>24</v>
      </c>
      <c r="O19" s="41">
        <f t="shared" si="2"/>
        <v>0.53846153846153844</v>
      </c>
      <c r="P19" s="92">
        <f>COUNTIFS('OB History'!$B:$B,$A$19,'OB History'!K:K, 1)</f>
        <v>0</v>
      </c>
      <c r="Q19" s="92">
        <f>COUNTIFS('OB History'!$B:$B,$A$19,'OB History'!L:L, 1)</f>
        <v>0</v>
      </c>
      <c r="R19" s="92">
        <f>COUNTIFS('OB History'!$B:$B,$A$19,'OB History'!M:M, 1)</f>
        <v>0</v>
      </c>
      <c r="S19" s="92">
        <f>COUNTIFS('OB History'!$B:$B,$A$19,'OB History'!N:N, 1)</f>
        <v>1</v>
      </c>
      <c r="T19" s="92">
        <f>COUNTIFS('OB History'!$B:$B,$A$19,'OB History'!O:O, 1)</f>
        <v>0</v>
      </c>
      <c r="U19" s="92">
        <f>COUNTIFS('OB History'!$B:$B,$A$19,'OB History'!P:P, 1)</f>
        <v>1</v>
      </c>
      <c r="V19" s="92">
        <f>COUNTIFS('OB History'!$B:$B,$A$19,'OB History'!Q:Q, 1)</f>
        <v>0</v>
      </c>
      <c r="W19" s="92">
        <f>COUNTIFS('OB History'!$B:$B,$A$19,'OB History'!R:R, 1)</f>
        <v>0</v>
      </c>
      <c r="X19" s="92">
        <f>COUNTIFS('OB History'!$B:$B,$A$19,'OB History'!S:S, 1)</f>
        <v>0</v>
      </c>
      <c r="Y19" s="92">
        <f>COUNTIFS('OB History'!$B:$B,$A$19,'OB History'!T:T, 1)</f>
        <v>0</v>
      </c>
      <c r="Z19" s="92">
        <f>COUNTIFS('OB History'!$B:$B,$A$19,'OB History'!U:U, 1)</f>
        <v>0</v>
      </c>
      <c r="AA19" s="92">
        <f>COUNTIFS('OB History'!$B:$B,$A$19,'OB History'!V:V, 1)</f>
        <v>2</v>
      </c>
      <c r="AB19" s="92">
        <f>COUNTIFS('OB History'!$B:$B,$A$19,'OB History'!W:W, 1)</f>
        <v>0</v>
      </c>
      <c r="AC19" s="92">
        <f>COUNTIFS('OB History'!$B:$B,$A$19,'OB History'!X:X, 1)</f>
        <v>2</v>
      </c>
      <c r="AD19" s="92">
        <f>COUNTIFS('OB History'!$B:$B,$A$19,'OB History'!Y:Y, 1)</f>
        <v>1</v>
      </c>
      <c r="AE19" s="92">
        <f>COUNTIFS('OB History'!$B:$B,$A$19,'OB History'!Z:Z, 1)</f>
        <v>1</v>
      </c>
    </row>
    <row r="20" spans="1:31" x14ac:dyDescent="0.25">
      <c r="A20" s="2" t="s">
        <v>28</v>
      </c>
      <c r="B20" s="6" t="s">
        <v>60</v>
      </c>
      <c r="C20" s="2" t="s">
        <v>79</v>
      </c>
      <c r="D20" s="89">
        <f>SUMIFS('OB History'!C:C,'OB History'!B:B,A20)</f>
        <v>221</v>
      </c>
      <c r="E20" s="90">
        <f>AVERAGEIFS('OB History'!C:C,'OB History'!B:B,A20)</f>
        <v>13.8125</v>
      </c>
      <c r="F20" s="91">
        <f t="array" ref="F20">MAX(IF('OB History'!B:B=A20, 'OB History'!C:C))</f>
        <v>27</v>
      </c>
      <c r="G20" s="89">
        <f>COUNTIFS('OB History'!B:B,A20,'OB History'!D:D, 1)</f>
        <v>6</v>
      </c>
      <c r="H20" s="92">
        <f>COUNTIFS('OB History'!B:B,A20,'OB History'!D:D, 0)</f>
        <v>10</v>
      </c>
      <c r="I20" s="41">
        <f t="shared" si="0"/>
        <v>0.375</v>
      </c>
      <c r="J20" s="89">
        <f>SUMIFS('OB History'!F:F,'OB History'!B:B,A20)</f>
        <v>26</v>
      </c>
      <c r="K20" s="92">
        <f>SUMIFS('OB History'!E:E,'OB History'!B:B,A20)-J20</f>
        <v>39</v>
      </c>
      <c r="L20" s="41">
        <f t="shared" si="1"/>
        <v>0.4</v>
      </c>
      <c r="M20" s="89">
        <f>SUMIFS('OB History'!H:H,'OB History'!B:B,'Old Bow v2'!A20)</f>
        <v>125</v>
      </c>
      <c r="N20" s="92">
        <f>SUMIFS('OB History'!G:G,'OB History'!B:B,'Old Bow v2'!A20)-M20</f>
        <v>148</v>
      </c>
      <c r="O20" s="41">
        <f t="shared" si="2"/>
        <v>0.45787545787545786</v>
      </c>
      <c r="P20" s="92">
        <f>COUNTIFS('OB History'!$B:$B,$A$20,'OB History'!K:K, 1)</f>
        <v>3</v>
      </c>
      <c r="Q20" s="92">
        <f>COUNTIFS('OB History'!$B:$B,$A$20,'OB History'!L:L, 1)</f>
        <v>0</v>
      </c>
      <c r="R20" s="92">
        <f>COUNTIFS('OB History'!$B:$B,$A$20,'OB History'!M:M, 1)</f>
        <v>0</v>
      </c>
      <c r="S20" s="92">
        <f>COUNTIFS('OB History'!$B:$B,$A$20,'OB History'!N:N, 1)</f>
        <v>0</v>
      </c>
      <c r="T20" s="92">
        <f>COUNTIFS('OB History'!$B:$B,$A$20,'OB History'!O:O, 1)</f>
        <v>1</v>
      </c>
      <c r="U20" s="92">
        <f>COUNTIFS('OB History'!$B:$B,$A$20,'OB History'!P:P, 1)</f>
        <v>3</v>
      </c>
      <c r="V20" s="92">
        <f>COUNTIFS('OB History'!$B:$B,$A$20,'OB History'!Q:Q, 1)</f>
        <v>1</v>
      </c>
      <c r="W20" s="92">
        <f>COUNTIFS('OB History'!$B:$B,$A$20,'OB History'!R:R, 1)</f>
        <v>0</v>
      </c>
      <c r="X20" s="92">
        <f>COUNTIFS('OB History'!$B:$B,$A$20,'OB History'!S:S, 1)</f>
        <v>1</v>
      </c>
      <c r="Y20" s="92">
        <f>COUNTIFS('OB History'!$B:$B,$A$20,'OB History'!T:T, 1)</f>
        <v>0</v>
      </c>
      <c r="Z20" s="92">
        <f>COUNTIFS('OB History'!$B:$B,$A$20,'OB History'!U:U, 1)</f>
        <v>1</v>
      </c>
      <c r="AA20" s="92">
        <f>COUNTIFS('OB History'!$B:$B,$A$20,'OB History'!V:V, 1)</f>
        <v>1</v>
      </c>
      <c r="AB20" s="92">
        <f>COUNTIFS('OB History'!$B:$B,$A$20,'OB History'!W:W, 1)</f>
        <v>1</v>
      </c>
      <c r="AC20" s="92">
        <f>COUNTIFS('OB History'!$B:$B,$A$20,'OB History'!X:X, 1)</f>
        <v>4</v>
      </c>
      <c r="AD20" s="92">
        <f>COUNTIFS('OB History'!$B:$B,$A$20,'OB History'!Y:Y, 1)</f>
        <v>2</v>
      </c>
      <c r="AE20" s="92">
        <f>COUNTIFS('OB History'!$B:$B,$A$20,'OB History'!Z:Z, 1)</f>
        <v>7</v>
      </c>
    </row>
    <row r="21" spans="1:31" x14ac:dyDescent="0.25">
      <c r="A21" s="2" t="s">
        <v>53</v>
      </c>
      <c r="B21" s="6" t="s">
        <v>60</v>
      </c>
      <c r="C21" s="6" t="s">
        <v>79</v>
      </c>
      <c r="D21" s="89">
        <f>SUMIFS('OB History'!C:C,'OB History'!B:B,A21)</f>
        <v>43</v>
      </c>
      <c r="E21" s="90">
        <f>AVERAGEIFS('OB History'!C:C,'OB History'!B:B,A21)</f>
        <v>14.333333333333334</v>
      </c>
      <c r="F21" s="91">
        <f t="array" ref="F21">MAX(IF('OB History'!B:B=A21, 'OB History'!C:C))</f>
        <v>25</v>
      </c>
      <c r="G21" s="89">
        <f>COUNTIFS('OB History'!B:B,A21,'OB History'!D:D, 1)</f>
        <v>2</v>
      </c>
      <c r="H21" s="92">
        <f>COUNTIFS('OB History'!B:B,A21,'OB History'!D:D, 0)</f>
        <v>1</v>
      </c>
      <c r="I21" s="42">
        <f t="shared" si="0"/>
        <v>0.66666666666666663</v>
      </c>
      <c r="J21" s="89">
        <f>SUMIFS('OB History'!F:F,'OB History'!B:B,A21)</f>
        <v>6</v>
      </c>
      <c r="K21" s="92">
        <f>SUMIFS('OB History'!E:E,'OB History'!B:B,A21)-J21</f>
        <v>7</v>
      </c>
      <c r="L21" s="42">
        <f t="shared" si="1"/>
        <v>0.46153846153846156</v>
      </c>
      <c r="M21" s="89">
        <f>SUMIFS('OB History'!H:H,'OB History'!B:B,'Old Bow v2'!A21)</f>
        <v>27</v>
      </c>
      <c r="N21" s="92">
        <f>SUMIFS('OB History'!G:G,'OB History'!B:B,'Old Bow v2'!A21)-M21</f>
        <v>26</v>
      </c>
      <c r="O21" s="42">
        <f t="shared" si="2"/>
        <v>0.50943396226415094</v>
      </c>
      <c r="P21" s="92">
        <f>COUNTIFS('OB History'!$B:$B,$A$21,'OB History'!K:K, 1)</f>
        <v>0</v>
      </c>
      <c r="Q21" s="92">
        <f>COUNTIFS('OB History'!$B:$B,$A$21,'OB History'!L:L, 1)</f>
        <v>0</v>
      </c>
      <c r="R21" s="92">
        <f>COUNTIFS('OB History'!$B:$B,$A$21,'OB History'!M:M, 1)</f>
        <v>0</v>
      </c>
      <c r="S21" s="92">
        <f>COUNTIFS('OB History'!$B:$B,$A$21,'OB History'!N:N, 1)</f>
        <v>1</v>
      </c>
      <c r="T21" s="92">
        <f>COUNTIFS('OB History'!$B:$B,$A$21,'OB History'!O:O, 1)</f>
        <v>2</v>
      </c>
      <c r="U21" s="92">
        <f>COUNTIFS('OB History'!$B:$B,$A$21,'OB History'!P:P, 1)</f>
        <v>1</v>
      </c>
      <c r="V21" s="92">
        <f>COUNTIFS('OB History'!$B:$B,$A$21,'OB History'!Q:Q, 1)</f>
        <v>2</v>
      </c>
      <c r="W21" s="92">
        <f>COUNTIFS('OB History'!$B:$B,$A$21,'OB History'!R:R, 1)</f>
        <v>0</v>
      </c>
      <c r="X21" s="92">
        <f>COUNTIFS('OB History'!$B:$B,$A$21,'OB History'!S:S, 1)</f>
        <v>0</v>
      </c>
      <c r="Y21" s="92">
        <f>COUNTIFS('OB History'!$B:$B,$A$21,'OB History'!T:T, 1)</f>
        <v>0</v>
      </c>
      <c r="Z21" s="92">
        <f>COUNTIFS('OB History'!$B:$B,$A$21,'OB History'!U:U, 1)</f>
        <v>0</v>
      </c>
      <c r="AA21" s="92">
        <f>COUNTIFS('OB History'!$B:$B,$A$21,'OB History'!V:V, 1)</f>
        <v>0</v>
      </c>
      <c r="AB21" s="92">
        <f>COUNTIFS('OB History'!$B:$B,$A$21,'OB History'!W:W, 1)</f>
        <v>0</v>
      </c>
      <c r="AC21" s="92">
        <f>COUNTIFS('OB History'!$B:$B,$A$21,'OB History'!X:X, 1)</f>
        <v>0</v>
      </c>
      <c r="AD21" s="92">
        <f>COUNTIFS('OB History'!$B:$B,$A$21,'OB History'!Y:Y, 1)</f>
        <v>0</v>
      </c>
      <c r="AE21" s="92">
        <f>COUNTIFS('OB History'!$B:$B,$A$21,'OB History'!Z:Z, 1)</f>
        <v>0</v>
      </c>
    </row>
    <row r="22" spans="1:31" x14ac:dyDescent="0.25">
      <c r="A22" s="2" t="s">
        <v>51</v>
      </c>
      <c r="B22" s="2" t="s">
        <v>79</v>
      </c>
      <c r="C22" s="2" t="s">
        <v>79</v>
      </c>
      <c r="D22" s="89">
        <f>SUMIFS('OB History'!C:C,'OB History'!B:B,A22)</f>
        <v>180</v>
      </c>
      <c r="E22" s="90">
        <f>AVERAGEIFS('OB History'!C:C,'OB History'!B:B,A22)</f>
        <v>13.846153846153847</v>
      </c>
      <c r="F22" s="91">
        <f t="array" ref="F22">MAX(IF('OB History'!B:B=A22, 'OB History'!C:C))</f>
        <v>22</v>
      </c>
      <c r="G22" s="89">
        <f>COUNTIFS('OB History'!B:B,A22,'OB History'!D:D, 1)</f>
        <v>7</v>
      </c>
      <c r="H22" s="92">
        <f>COUNTIFS('OB History'!B:B,A22,'OB History'!D:D, 0)</f>
        <v>6</v>
      </c>
      <c r="I22" s="42">
        <f t="shared" si="0"/>
        <v>0.53846153846153844</v>
      </c>
      <c r="J22" s="89">
        <f>SUMIFS('OB History'!F:F,'OB History'!B:B,A22)</f>
        <v>29</v>
      </c>
      <c r="K22" s="92">
        <f>SUMIFS('OB History'!E:E,'OB History'!B:B,A22)-J22</f>
        <v>26</v>
      </c>
      <c r="L22" s="42">
        <f t="shared" si="1"/>
        <v>0.52727272727272723</v>
      </c>
      <c r="M22" s="89">
        <f>SUMIFS('OB History'!H:H,'OB History'!B:B,'Old Bow v2'!A22)</f>
        <v>111</v>
      </c>
      <c r="N22" s="92">
        <f>SUMIFS('OB History'!G:G,'OB History'!B:B,'Old Bow v2'!A22)-M22</f>
        <v>111</v>
      </c>
      <c r="O22" s="42">
        <f t="shared" si="2"/>
        <v>0.5</v>
      </c>
      <c r="P22" s="92">
        <f>COUNTIFS('OB History'!$B:$B,$A$22,'OB History'!K:K, 1)</f>
        <v>4</v>
      </c>
      <c r="Q22" s="92">
        <f>COUNTIFS('OB History'!$B:$B,$A$22,'OB History'!L:L, 1)</f>
        <v>1</v>
      </c>
      <c r="R22" s="92">
        <f>COUNTIFS('OB History'!$B:$B,$A$22,'OB History'!M:M, 1)</f>
        <v>0</v>
      </c>
      <c r="S22" s="92">
        <f>COUNTIFS('OB History'!$B:$B,$A$22,'OB History'!N:N, 1)</f>
        <v>3</v>
      </c>
      <c r="T22" s="92">
        <f>COUNTIFS('OB History'!$B:$B,$A$22,'OB History'!O:O, 1)</f>
        <v>0</v>
      </c>
      <c r="U22" s="92">
        <f>COUNTIFS('OB History'!$B:$B,$A$22,'OB History'!P:P, 1)</f>
        <v>3</v>
      </c>
      <c r="V22" s="92">
        <f>COUNTIFS('OB History'!$B:$B,$A$22,'OB History'!Q:Q, 1)</f>
        <v>0</v>
      </c>
      <c r="W22" s="92">
        <f>COUNTIFS('OB History'!$B:$B,$A$22,'OB History'!R:R, 1)</f>
        <v>1</v>
      </c>
      <c r="X22" s="92">
        <f>COUNTIFS('OB History'!$B:$B,$A$22,'OB History'!S:S, 1)</f>
        <v>0</v>
      </c>
      <c r="Y22" s="92">
        <f>COUNTIFS('OB History'!$B:$B,$A$22,'OB History'!T:T, 1)</f>
        <v>0</v>
      </c>
      <c r="Z22" s="92">
        <f>COUNTIFS('OB History'!$B:$B,$A$22,'OB History'!U:U, 1)</f>
        <v>0</v>
      </c>
      <c r="AA22" s="92">
        <f>COUNTIFS('OB History'!$B:$B,$A$22,'OB History'!V:V, 1)</f>
        <v>2</v>
      </c>
      <c r="AB22" s="92">
        <f>COUNTIFS('OB History'!$B:$B,$A$22,'OB History'!W:W, 1)</f>
        <v>5</v>
      </c>
      <c r="AC22" s="92">
        <f>COUNTIFS('OB History'!$B:$B,$A$22,'OB History'!X:X, 1)</f>
        <v>4</v>
      </c>
      <c r="AD22" s="92">
        <f>COUNTIFS('OB History'!$B:$B,$A$22,'OB History'!Y:Y, 1)</f>
        <v>3</v>
      </c>
      <c r="AE22" s="92">
        <f>COUNTIFS('OB History'!$B:$B,$A$22,'OB History'!Z:Z, 1)</f>
        <v>3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89">
        <f>SUMIFS('OB History'!C:C,'OB History'!B:B,A23)</f>
        <v>274</v>
      </c>
      <c r="E23" s="90">
        <f>AVERAGEIFS('OB History'!C:C,'OB History'!B:B,A23)</f>
        <v>13.7</v>
      </c>
      <c r="F23" s="91">
        <f t="array" ref="F23">MAX(IF('OB History'!B:B=A23, 'OB History'!C:C))</f>
        <v>28</v>
      </c>
      <c r="G23" s="89">
        <f>COUNTIFS('OB History'!B:B,A23,'OB History'!D:D, 1)</f>
        <v>8</v>
      </c>
      <c r="H23" s="92">
        <f>COUNTIFS('OB History'!B:B,A23,'OB History'!D:D, 0)</f>
        <v>12</v>
      </c>
      <c r="I23" s="41">
        <f t="shared" si="0"/>
        <v>0.4</v>
      </c>
      <c r="J23" s="89">
        <f>SUMIFS('OB History'!F:F,'OB History'!B:B,A23)</f>
        <v>40</v>
      </c>
      <c r="K23" s="92">
        <f>SUMIFS('OB History'!E:E,'OB History'!B:B,A23)-J23</f>
        <v>44</v>
      </c>
      <c r="L23" s="41">
        <f t="shared" si="1"/>
        <v>0.47619047619047616</v>
      </c>
      <c r="M23" s="89">
        <f>SUMIFS('OB History'!H:H,'OB History'!B:B,'Old Bow v2'!A23)</f>
        <v>175</v>
      </c>
      <c r="N23" s="92">
        <f>SUMIFS('OB History'!G:G,'OB History'!B:B,'Old Bow v2'!A23)-M23</f>
        <v>177</v>
      </c>
      <c r="O23" s="41">
        <f t="shared" si="2"/>
        <v>0.49715909090909088</v>
      </c>
      <c r="P23" s="92">
        <f>COUNTIFS('OB History'!$B:$B,$A$23,'OB History'!K:K, 1)</f>
        <v>1</v>
      </c>
      <c r="Q23" s="92">
        <f>COUNTIFS('OB History'!$B:$B,$A$23,'OB History'!L:L, 1)</f>
        <v>3</v>
      </c>
      <c r="R23" s="92">
        <f>COUNTIFS('OB History'!$B:$B,$A$23,'OB History'!M:M, 1)</f>
        <v>0</v>
      </c>
      <c r="S23" s="92">
        <f>COUNTIFS('OB History'!$B:$B,$A$23,'OB History'!N:N, 1)</f>
        <v>8</v>
      </c>
      <c r="T23" s="92">
        <f>COUNTIFS('OB History'!$B:$B,$A$23,'OB History'!O:O, 1)</f>
        <v>0</v>
      </c>
      <c r="U23" s="92">
        <f>COUNTIFS('OB History'!$B:$B,$A$23,'OB History'!P:P, 1)</f>
        <v>3</v>
      </c>
      <c r="V23" s="92">
        <f>COUNTIFS('OB History'!$B:$B,$A$23,'OB History'!Q:Q, 1)</f>
        <v>2</v>
      </c>
      <c r="W23" s="92">
        <f>COUNTIFS('OB History'!$B:$B,$A$23,'OB History'!R:R, 1)</f>
        <v>1</v>
      </c>
      <c r="X23" s="92">
        <f>COUNTIFS('OB History'!$B:$B,$A$23,'OB History'!S:S, 1)</f>
        <v>0</v>
      </c>
      <c r="Y23" s="92">
        <f>COUNTIFS('OB History'!$B:$B,$A$23,'OB History'!T:T, 1)</f>
        <v>1</v>
      </c>
      <c r="Z23" s="92">
        <f>COUNTIFS('OB History'!$B:$B,$A$23,'OB History'!U:U, 1)</f>
        <v>0</v>
      </c>
      <c r="AA23" s="92">
        <f>COUNTIFS('OB History'!$B:$B,$A$23,'OB History'!V:V, 1)</f>
        <v>2</v>
      </c>
      <c r="AB23" s="92">
        <f>COUNTIFS('OB History'!$B:$B,$A$23,'OB History'!W:W, 1)</f>
        <v>8</v>
      </c>
      <c r="AC23" s="92">
        <f>COUNTIFS('OB History'!$B:$B,$A$23,'OB History'!X:X, 1)</f>
        <v>6</v>
      </c>
      <c r="AD23" s="92">
        <f>COUNTIFS('OB History'!$B:$B,$A$23,'OB History'!Y:Y, 1)</f>
        <v>1</v>
      </c>
      <c r="AE23" s="92">
        <f>COUNTIFS('OB History'!$B:$B,$A$23,'OB History'!Z:Z, 1)</f>
        <v>4</v>
      </c>
    </row>
    <row r="24" spans="1:31" x14ac:dyDescent="0.25">
      <c r="A24" s="1" t="s">
        <v>47</v>
      </c>
      <c r="B24" s="2" t="s">
        <v>79</v>
      </c>
      <c r="C24" s="2" t="s">
        <v>79</v>
      </c>
      <c r="D24" s="89">
        <f>SUMIFS('OB History'!C:C,'OB History'!B:B,A24)</f>
        <v>38</v>
      </c>
      <c r="E24" s="90">
        <f>AVERAGEIFS('OB History'!C:C,'OB History'!B:B,A24)</f>
        <v>7.6</v>
      </c>
      <c r="F24" s="91">
        <f t="array" ref="F24">MAX(IF('OB History'!B:B=A24, 'OB History'!C:C))</f>
        <v>13</v>
      </c>
      <c r="G24" s="89">
        <f>COUNTIFS('OB History'!B:B,A24,'OB History'!D:D, 1)</f>
        <v>2</v>
      </c>
      <c r="H24" s="92">
        <f>COUNTIFS('OB History'!B:B,A24,'OB History'!D:D, 0)</f>
        <v>3</v>
      </c>
      <c r="I24" s="42">
        <f t="shared" si="0"/>
        <v>0.4</v>
      </c>
      <c r="J24" s="89">
        <f>SUMIFS('OB History'!F:F,'OB History'!B:B,A24)</f>
        <v>11</v>
      </c>
      <c r="K24" s="92">
        <f>SUMIFS('OB History'!E:E,'OB History'!B:B,A24)-J24</f>
        <v>10</v>
      </c>
      <c r="L24" s="42">
        <f t="shared" si="1"/>
        <v>0.52380952380952384</v>
      </c>
      <c r="M24" s="89">
        <f>SUMIFS('OB History'!H:H,'OB History'!B:B,'Old Bow v2'!A24)</f>
        <v>47</v>
      </c>
      <c r="N24" s="92">
        <f>SUMIFS('OB History'!G:G,'OB History'!B:B,'Old Bow v2'!A24)-M24</f>
        <v>46</v>
      </c>
      <c r="O24" s="42">
        <f t="shared" si="2"/>
        <v>0.5053763440860215</v>
      </c>
      <c r="P24" s="92">
        <f>COUNTIFS('OB History'!$B:$B,$A$24,'OB History'!K:K, 1)</f>
        <v>0</v>
      </c>
      <c r="Q24" s="92">
        <f>COUNTIFS('OB History'!$B:$B,$A$24,'OB History'!L:L, 1)</f>
        <v>0</v>
      </c>
      <c r="R24" s="92">
        <f>COUNTIFS('OB History'!$B:$B,$A$24,'OB History'!M:M, 1)</f>
        <v>0</v>
      </c>
      <c r="S24" s="92">
        <f>COUNTIFS('OB History'!$B:$B,$A$24,'OB History'!N:N, 1)</f>
        <v>2</v>
      </c>
      <c r="T24" s="92">
        <f>COUNTIFS('OB History'!$B:$B,$A$24,'OB History'!O:O, 1)</f>
        <v>0</v>
      </c>
      <c r="U24" s="92">
        <f>COUNTIFS('OB History'!$B:$B,$A$24,'OB History'!P:P, 1)</f>
        <v>1</v>
      </c>
      <c r="V24" s="92">
        <f>COUNTIFS('OB History'!$B:$B,$A$24,'OB History'!Q:Q, 1)</f>
        <v>0</v>
      </c>
      <c r="W24" s="92">
        <f>COUNTIFS('OB History'!$B:$B,$A$24,'OB History'!R:R, 1)</f>
        <v>0</v>
      </c>
      <c r="X24" s="92">
        <f>COUNTIFS('OB History'!$B:$B,$A$24,'OB History'!S:S, 1)</f>
        <v>0</v>
      </c>
      <c r="Y24" s="92">
        <f>COUNTIFS('OB History'!$B:$B,$A$24,'OB History'!T:T, 1)</f>
        <v>0</v>
      </c>
      <c r="Z24" s="92">
        <f>COUNTIFS('OB History'!$B:$B,$A$24,'OB History'!U:U, 1)</f>
        <v>0</v>
      </c>
      <c r="AA24" s="92">
        <f>COUNTIFS('OB History'!$B:$B,$A$24,'OB History'!V:V, 1)</f>
        <v>0</v>
      </c>
      <c r="AB24" s="92">
        <f>COUNTIFS('OB History'!$B:$B,$A$24,'OB History'!W:W, 1)</f>
        <v>3</v>
      </c>
      <c r="AC24" s="92">
        <f>COUNTIFS('OB History'!$B:$B,$A$24,'OB History'!X:X, 1)</f>
        <v>1</v>
      </c>
      <c r="AD24" s="92">
        <f>COUNTIFS('OB History'!$B:$B,$A$24,'OB History'!Y:Y, 1)</f>
        <v>0</v>
      </c>
      <c r="AE24" s="92">
        <f>COUNTIFS('OB History'!$B:$B,$A$24,'OB History'!Z:Z, 1)</f>
        <v>3</v>
      </c>
    </row>
    <row r="25" spans="1:31" x14ac:dyDescent="0.25">
      <c r="A25" s="2" t="s">
        <v>3</v>
      </c>
      <c r="B25" s="6" t="s">
        <v>60</v>
      </c>
      <c r="C25" s="6" t="s">
        <v>60</v>
      </c>
      <c r="D25" s="89">
        <f>SUMIFS('OB History'!C:C,'OB History'!B:B,A25)</f>
        <v>230</v>
      </c>
      <c r="E25" s="90">
        <f>AVERAGEIFS('OB History'!C:C,'OB History'!B:B,A25)</f>
        <v>23</v>
      </c>
      <c r="F25" s="91">
        <f t="array" ref="F25">MAX(IF('OB History'!B:B=A25, 'OB History'!C:C))</f>
        <v>44</v>
      </c>
      <c r="G25" s="89">
        <f>COUNTIFS('OB History'!B:B,A25,'OB History'!D:D, 1)</f>
        <v>6</v>
      </c>
      <c r="H25" s="92">
        <f>COUNTIFS('OB History'!B:B,A25,'OB History'!D:D, 0)</f>
        <v>4</v>
      </c>
      <c r="I25" s="41">
        <f t="shared" si="0"/>
        <v>0.6</v>
      </c>
      <c r="J25" s="89">
        <f>SUMIFS('OB History'!F:F,'OB History'!B:B,A25)</f>
        <v>22</v>
      </c>
      <c r="K25" s="92">
        <f>SUMIFS('OB History'!E:E,'OB History'!B:B,A25)-J25</f>
        <v>21</v>
      </c>
      <c r="L25" s="41">
        <f t="shared" si="1"/>
        <v>0.51162790697674421</v>
      </c>
      <c r="M25" s="89">
        <f>SUMIFS('OB History'!H:H,'OB History'!B:B,'Old Bow v2'!A25)</f>
        <v>87</v>
      </c>
      <c r="N25" s="92">
        <f>SUMIFS('OB History'!G:G,'OB History'!B:B,'Old Bow v2'!A25)-M25</f>
        <v>88</v>
      </c>
      <c r="O25" s="41">
        <f t="shared" si="2"/>
        <v>0.49714285714285716</v>
      </c>
      <c r="P25" s="92">
        <f>COUNTIFS('OB History'!$B:$B,$A$25,'OB History'!K:K, 1)</f>
        <v>2</v>
      </c>
      <c r="Q25" s="92">
        <f>COUNTIFS('OB History'!$B:$B,$A$25,'OB History'!L:L, 1)</f>
        <v>3</v>
      </c>
      <c r="R25" s="92">
        <f>COUNTIFS('OB History'!$B:$B,$A$25,'OB History'!M:M, 1)</f>
        <v>0</v>
      </c>
      <c r="S25" s="92">
        <f>COUNTIFS('OB History'!$B:$B,$A$25,'OB History'!N:N, 1)</f>
        <v>1</v>
      </c>
      <c r="T25" s="92">
        <f>COUNTIFS('OB History'!$B:$B,$A$25,'OB History'!O:O, 1)</f>
        <v>2</v>
      </c>
      <c r="U25" s="92">
        <f>COUNTIFS('OB History'!$B:$B,$A$25,'OB History'!P:P, 1)</f>
        <v>2</v>
      </c>
      <c r="V25" s="92">
        <f>COUNTIFS('OB History'!$B:$B,$A$25,'OB History'!Q:Q, 1)</f>
        <v>3</v>
      </c>
      <c r="W25" s="92">
        <f>COUNTIFS('OB History'!$B:$B,$A$25,'OB History'!R:R, 1)</f>
        <v>0</v>
      </c>
      <c r="X25" s="92">
        <f>COUNTIFS('OB History'!$B:$B,$A$25,'OB History'!S:S, 1)</f>
        <v>0</v>
      </c>
      <c r="Y25" s="92">
        <f>COUNTIFS('OB History'!$B:$B,$A$25,'OB History'!T:T, 1)</f>
        <v>0</v>
      </c>
      <c r="Z25" s="92">
        <f>COUNTIFS('OB History'!$B:$B,$A$25,'OB History'!U:U, 1)</f>
        <v>0</v>
      </c>
      <c r="AA25" s="92">
        <f>COUNTIFS('OB History'!$B:$B,$A$25,'OB History'!V:V, 1)</f>
        <v>1</v>
      </c>
      <c r="AB25" s="92">
        <f>COUNTIFS('OB History'!$B:$B,$A$25,'OB History'!W:W, 1)</f>
        <v>1</v>
      </c>
      <c r="AC25" s="92">
        <f>COUNTIFS('OB History'!$B:$B,$A$25,'OB History'!X:X, 1)</f>
        <v>3</v>
      </c>
      <c r="AD25" s="92">
        <f>COUNTIFS('OB History'!$B:$B,$A$25,'OB History'!Y:Y, 1)</f>
        <v>2</v>
      </c>
      <c r="AE25" s="92">
        <f>COUNTIFS('OB History'!$B:$B,$A$25,'OB History'!Z:Z, 1)</f>
        <v>1</v>
      </c>
    </row>
    <row r="26" spans="1:31" x14ac:dyDescent="0.25">
      <c r="A26" s="2" t="s">
        <v>15</v>
      </c>
      <c r="B26" s="2" t="s">
        <v>79</v>
      </c>
      <c r="C26" s="2" t="s">
        <v>79</v>
      </c>
      <c r="D26" s="89">
        <f>SUMIFS('OB History'!C:C,'OB History'!B:B,A26)</f>
        <v>503</v>
      </c>
      <c r="E26" s="90">
        <f>AVERAGEIFS('OB History'!C:C,'OB History'!B:B,A26)</f>
        <v>25.15</v>
      </c>
      <c r="F26" s="91">
        <f t="array" ref="F26">MAX(IF('OB History'!B:B=A26, 'OB History'!C:C))</f>
        <v>55</v>
      </c>
      <c r="G26" s="89">
        <f>COUNTIFS('OB History'!B:B,A26,'OB History'!D:D, 1)</f>
        <v>6</v>
      </c>
      <c r="H26" s="92">
        <f>COUNTIFS('OB History'!B:B,A26,'OB History'!D:D, 0)</f>
        <v>14</v>
      </c>
      <c r="I26" s="41">
        <f t="shared" si="0"/>
        <v>0.3</v>
      </c>
      <c r="J26" s="89">
        <f>SUMIFS('OB History'!F:F,'OB History'!B:B,A26)</f>
        <v>35</v>
      </c>
      <c r="K26" s="92">
        <f>SUMIFS('OB History'!E:E,'OB History'!B:B,A26)-J26</f>
        <v>47</v>
      </c>
      <c r="L26" s="41">
        <f t="shared" si="1"/>
        <v>0.42682926829268292</v>
      </c>
      <c r="M26" s="89">
        <f>SUMIFS('OB History'!H:H,'OB History'!B:B,'Old Bow v2'!A26)</f>
        <v>164</v>
      </c>
      <c r="N26" s="92">
        <f>SUMIFS('OB History'!G:G,'OB History'!B:B,'Old Bow v2'!A26)-M26</f>
        <v>180</v>
      </c>
      <c r="O26" s="41">
        <f t="shared" si="2"/>
        <v>0.47674418604651164</v>
      </c>
      <c r="P26" s="92">
        <f>COUNTIFS('OB History'!$B:$B,$A$26,'OB History'!K:K, 1)</f>
        <v>2</v>
      </c>
      <c r="Q26" s="92">
        <f>COUNTIFS('OB History'!$B:$B,$A$26,'OB History'!L:L, 1)</f>
        <v>0</v>
      </c>
      <c r="R26" s="92">
        <f>COUNTIFS('OB History'!$B:$B,$A$26,'OB History'!M:M, 1)</f>
        <v>0</v>
      </c>
      <c r="S26" s="92">
        <f>COUNTIFS('OB History'!$B:$B,$A$26,'OB History'!N:N, 1)</f>
        <v>5</v>
      </c>
      <c r="T26" s="92">
        <f>COUNTIFS('OB History'!$B:$B,$A$26,'OB History'!O:O, 1)</f>
        <v>0</v>
      </c>
      <c r="U26" s="92">
        <f>COUNTIFS('OB History'!$B:$B,$A$26,'OB History'!P:P, 1)</f>
        <v>4</v>
      </c>
      <c r="V26" s="92">
        <f>COUNTIFS('OB History'!$B:$B,$A$26,'OB History'!Q:Q, 1)</f>
        <v>1</v>
      </c>
      <c r="W26" s="92">
        <f>COUNTIFS('OB History'!$B:$B,$A$26,'OB History'!R:R, 1)</f>
        <v>0</v>
      </c>
      <c r="X26" s="92">
        <f>COUNTIFS('OB History'!$B:$B,$A$26,'OB History'!S:S, 1)</f>
        <v>0</v>
      </c>
      <c r="Y26" s="92">
        <f>COUNTIFS('OB History'!$B:$B,$A$26,'OB History'!T:T, 1)</f>
        <v>0</v>
      </c>
      <c r="Z26" s="92">
        <f>COUNTIFS('OB History'!$B:$B,$A$26,'OB History'!U:U, 1)</f>
        <v>0</v>
      </c>
      <c r="AA26" s="92">
        <f>COUNTIFS('OB History'!$B:$B,$A$26,'OB History'!V:V, 1)</f>
        <v>0</v>
      </c>
      <c r="AB26" s="92">
        <f>COUNTIFS('OB History'!$B:$B,$A$26,'OB History'!W:W, 1)</f>
        <v>5</v>
      </c>
      <c r="AC26" s="92">
        <f>COUNTIFS('OB History'!$B:$B,$A$26,'OB History'!X:X, 1)</f>
        <v>9</v>
      </c>
      <c r="AD26" s="92">
        <f>COUNTIFS('OB History'!$B:$B,$A$26,'OB History'!Y:Y, 1)</f>
        <v>2</v>
      </c>
      <c r="AE26" s="92">
        <f>COUNTIFS('OB History'!$B:$B,$A$26,'OB History'!Z:Z, 1)</f>
        <v>7</v>
      </c>
    </row>
    <row r="27" spans="1:31" x14ac:dyDescent="0.25">
      <c r="A27" s="1" t="s">
        <v>43</v>
      </c>
      <c r="B27" s="2" t="s">
        <v>79</v>
      </c>
      <c r="C27" s="2" t="s">
        <v>79</v>
      </c>
      <c r="D27" s="89">
        <f>SUMIFS('OB History'!C:C,'OB History'!B:B,A27)</f>
        <v>4</v>
      </c>
      <c r="E27" s="90">
        <f>AVERAGEIFS('OB History'!C:C,'OB History'!B:B,A27)</f>
        <v>4</v>
      </c>
      <c r="F27" s="91">
        <f t="array" ref="F27">MAX(IF('OB History'!B:B=A27, 'OB History'!C:C))</f>
        <v>4</v>
      </c>
      <c r="G27" s="89">
        <f>COUNTIFS('OB History'!B:B,A27,'OB History'!D:D, 1)</f>
        <v>1</v>
      </c>
      <c r="H27" s="92">
        <f>COUNTIFS('OB History'!B:B,A27,'OB History'!D:D, 0)</f>
        <v>0</v>
      </c>
      <c r="I27" s="42">
        <f t="shared" si="0"/>
        <v>1</v>
      </c>
      <c r="J27" s="89">
        <f>SUMIFS('OB History'!F:F,'OB History'!B:B,A27)</f>
        <v>3</v>
      </c>
      <c r="K27" s="92">
        <f>SUMIFS('OB History'!E:E,'OB History'!B:B,A27)-J27</f>
        <v>0</v>
      </c>
      <c r="L27" s="42">
        <f t="shared" si="1"/>
        <v>1</v>
      </c>
      <c r="M27" s="89">
        <f>SUMIFS('OB History'!H:H,'OB History'!B:B,'Old Bow v2'!A27)</f>
        <v>9</v>
      </c>
      <c r="N27" s="92">
        <f>SUMIFS('OB History'!G:G,'OB History'!B:B,'Old Bow v2'!A27)-M27</f>
        <v>4</v>
      </c>
      <c r="O27" s="42">
        <f t="shared" si="2"/>
        <v>0.69230769230769229</v>
      </c>
      <c r="P27" s="92">
        <f>COUNTIFS('OB History'!$B:$B,$A$27,'OB History'!K:K, 1)</f>
        <v>0</v>
      </c>
      <c r="Q27" s="92">
        <f>COUNTIFS('OB History'!$B:$B,$A$27,'OB History'!L:L, 1)</f>
        <v>0</v>
      </c>
      <c r="R27" s="92">
        <f>COUNTIFS('OB History'!$B:$B,$A$27,'OB History'!M:M, 1)</f>
        <v>0</v>
      </c>
      <c r="S27" s="92">
        <f>COUNTIFS('OB History'!$B:$B,$A$27,'OB History'!N:N, 1)</f>
        <v>0</v>
      </c>
      <c r="T27" s="92">
        <f>COUNTIFS('OB History'!$B:$B,$A$27,'OB History'!O:O, 1)</f>
        <v>0</v>
      </c>
      <c r="U27" s="92">
        <f>COUNTIFS('OB History'!$B:$B,$A$27,'OB History'!P:P, 1)</f>
        <v>1</v>
      </c>
      <c r="V27" s="92">
        <f>COUNTIFS('OB History'!$B:$B,$A$27,'OB History'!Q:Q, 1)</f>
        <v>0</v>
      </c>
      <c r="W27" s="92">
        <f>COUNTIFS('OB History'!$B:$B,$A$27,'OB History'!R:R, 1)</f>
        <v>0</v>
      </c>
      <c r="X27" s="92">
        <f>COUNTIFS('OB History'!$B:$B,$A$27,'OB History'!S:S, 1)</f>
        <v>0</v>
      </c>
      <c r="Y27" s="92">
        <f>COUNTIFS('OB History'!$B:$B,$A$27,'OB History'!T:T, 1)</f>
        <v>0</v>
      </c>
      <c r="Z27" s="92">
        <f>COUNTIFS('OB History'!$B:$B,$A$27,'OB History'!U:U, 1)</f>
        <v>0</v>
      </c>
      <c r="AA27" s="92">
        <f>COUNTIFS('OB History'!$B:$B,$A$27,'OB History'!V:V, 1)</f>
        <v>0</v>
      </c>
      <c r="AB27" s="92">
        <f>COUNTIFS('OB History'!$B:$B,$A$27,'OB History'!W:W, 1)</f>
        <v>0</v>
      </c>
      <c r="AC27" s="92">
        <f>COUNTIFS('OB History'!$B:$B,$A$27,'OB History'!X:X, 1)</f>
        <v>1</v>
      </c>
      <c r="AD27" s="92">
        <f>COUNTIFS('OB History'!$B:$B,$A$27,'OB History'!Y:Y, 1)</f>
        <v>0</v>
      </c>
      <c r="AE27" s="92">
        <f>COUNTIFS('OB History'!$B:$B,$A$27,'OB History'!Z:Z, 1)</f>
        <v>1</v>
      </c>
    </row>
    <row r="28" spans="1:31" x14ac:dyDescent="0.25">
      <c r="A28" s="2" t="s">
        <v>13</v>
      </c>
      <c r="B28" s="6" t="s">
        <v>124</v>
      </c>
      <c r="C28" s="6" t="s">
        <v>60</v>
      </c>
      <c r="D28" s="89">
        <f>SUMIFS('OB History'!C:C,'OB History'!B:B,A28)</f>
        <v>758</v>
      </c>
      <c r="E28" s="90">
        <f>AVERAGEIFS('OB History'!C:C,'OB History'!B:B,A28)</f>
        <v>28.074074074074073</v>
      </c>
      <c r="F28" s="91">
        <f t="array" ref="F28">MAX(IF('OB History'!B:B=A28, 'OB History'!C:C))</f>
        <v>57</v>
      </c>
      <c r="G28" s="89">
        <f>COUNTIFS('OB History'!B:B,A28,'OB History'!D:D, 1)</f>
        <v>18</v>
      </c>
      <c r="H28" s="92">
        <f>COUNTIFS('OB History'!B:B,A28,'OB History'!D:D, 0)</f>
        <v>9</v>
      </c>
      <c r="I28" s="41">
        <f t="shared" si="0"/>
        <v>0.66666666666666663</v>
      </c>
      <c r="J28" s="89">
        <f>SUMIFS('OB History'!F:F,'OB History'!B:B,A28)</f>
        <v>62</v>
      </c>
      <c r="K28" s="92">
        <f>SUMIFS('OB History'!E:E,'OB History'!B:B,A28)-J28</f>
        <v>48</v>
      </c>
      <c r="L28" s="41">
        <f t="shared" si="1"/>
        <v>0.5636363636363636</v>
      </c>
      <c r="M28" s="89">
        <f>SUMIFS('OB History'!H:H,'OB History'!B:B,'Old Bow v2'!A28)</f>
        <v>242</v>
      </c>
      <c r="N28" s="92">
        <f>SUMIFS('OB History'!G:G,'OB History'!B:B,'Old Bow v2'!A28)-M28</f>
        <v>210</v>
      </c>
      <c r="O28" s="41">
        <f t="shared" si="2"/>
        <v>0.53539823008849563</v>
      </c>
      <c r="P28" s="92">
        <f>COUNTIFS('OB History'!$B:$B,$A$28,'OB History'!K:K, 1)</f>
        <v>2</v>
      </c>
      <c r="Q28" s="92">
        <f>COUNTIFS('OB History'!$B:$B,$A$28,'OB History'!L:L, 1)</f>
        <v>6</v>
      </c>
      <c r="R28" s="92">
        <f>COUNTIFS('OB History'!$B:$B,$A$28,'OB History'!M:M, 1)</f>
        <v>0</v>
      </c>
      <c r="S28" s="92">
        <f>COUNTIFS('OB History'!$B:$B,$A$28,'OB History'!N:N, 1)</f>
        <v>7</v>
      </c>
      <c r="T28" s="92">
        <f>COUNTIFS('OB History'!$B:$B,$A$28,'OB History'!O:O, 1)</f>
        <v>2</v>
      </c>
      <c r="U28" s="92">
        <f>COUNTIFS('OB History'!$B:$B,$A$28,'OB History'!P:P, 1)</f>
        <v>9</v>
      </c>
      <c r="V28" s="92">
        <f>COUNTIFS('OB History'!$B:$B,$A$28,'OB History'!Q:Q, 1)</f>
        <v>4</v>
      </c>
      <c r="W28" s="92">
        <f>COUNTIFS('OB History'!$B:$B,$A$28,'OB History'!R:R, 1)</f>
        <v>1</v>
      </c>
      <c r="X28" s="92">
        <f>COUNTIFS('OB History'!$B:$B,$A$28,'OB History'!S:S, 1)</f>
        <v>1</v>
      </c>
      <c r="Y28" s="92">
        <f>COUNTIFS('OB History'!$B:$B,$A$28,'OB History'!T:T, 1)</f>
        <v>1</v>
      </c>
      <c r="Z28" s="92">
        <f>COUNTIFS('OB History'!$B:$B,$A$28,'OB History'!U:U, 1)</f>
        <v>1</v>
      </c>
      <c r="AA28" s="92">
        <f>COUNTIFS('OB History'!$B:$B,$A$28,'OB History'!V:V, 1)</f>
        <v>4</v>
      </c>
      <c r="AB28" s="92">
        <f>COUNTIFS('OB History'!$B:$B,$A$28,'OB History'!W:W, 1)</f>
        <v>7</v>
      </c>
      <c r="AC28" s="92">
        <f>COUNTIFS('OB History'!$B:$B,$A$28,'OB History'!X:X, 1)</f>
        <v>7</v>
      </c>
      <c r="AD28" s="92">
        <f>COUNTIFS('OB History'!$B:$B,$A$28,'OB History'!Y:Y, 1)</f>
        <v>1</v>
      </c>
      <c r="AE28" s="92">
        <f>COUNTIFS('OB History'!$B:$B,$A$28,'OB History'!Z:Z, 1)</f>
        <v>7</v>
      </c>
    </row>
    <row r="29" spans="1:31" x14ac:dyDescent="0.25">
      <c r="A29" s="2" t="s">
        <v>2</v>
      </c>
      <c r="B29" s="6" t="s">
        <v>60</v>
      </c>
      <c r="C29" s="2" t="s">
        <v>79</v>
      </c>
      <c r="D29" s="89">
        <f>SUMIFS('OB History'!C:C,'OB History'!B:B,A29)</f>
        <v>321</v>
      </c>
      <c r="E29" s="90">
        <f>AVERAGEIFS('OB History'!C:C,'OB History'!B:B,A29)</f>
        <v>26.75</v>
      </c>
      <c r="F29" s="91">
        <f t="array" ref="F29">MAX(IF('OB History'!B:B=A29, 'OB History'!C:C))</f>
        <v>42</v>
      </c>
      <c r="G29" s="89">
        <f>COUNTIFS('OB History'!B:B,A29,'OB History'!D:D, 1)</f>
        <v>7</v>
      </c>
      <c r="H29" s="92">
        <f>COUNTIFS('OB History'!B:B,A29,'OB History'!D:D, 0)</f>
        <v>5</v>
      </c>
      <c r="I29" s="41">
        <f t="shared" si="0"/>
        <v>0.58333333333333337</v>
      </c>
      <c r="J29" s="89">
        <f>SUMIFS('OB History'!F:F,'OB History'!B:B,A29)</f>
        <v>28</v>
      </c>
      <c r="K29" s="92">
        <f>SUMIFS('OB History'!E:E,'OB History'!B:B,A29)-J29</f>
        <v>23</v>
      </c>
      <c r="L29" s="41">
        <f t="shared" si="1"/>
        <v>0.5490196078431373</v>
      </c>
      <c r="M29" s="89">
        <f>SUMIFS('OB History'!H:H,'OB History'!B:B,'Old Bow v2'!A29)</f>
        <v>114</v>
      </c>
      <c r="N29" s="92">
        <f>SUMIFS('OB History'!G:G,'OB History'!B:B,'Old Bow v2'!A29)-M29</f>
        <v>98</v>
      </c>
      <c r="O29" s="41">
        <f t="shared" si="2"/>
        <v>0.53773584905660377</v>
      </c>
      <c r="P29" s="92">
        <f>COUNTIFS('OB History'!$B:$B,$A$29,'OB History'!K:K, 1)</f>
        <v>2</v>
      </c>
      <c r="Q29" s="92">
        <f>COUNTIFS('OB History'!$B:$B,$A$29,'OB History'!L:L, 1)</f>
        <v>2</v>
      </c>
      <c r="R29" s="92">
        <f>COUNTIFS('OB History'!$B:$B,$A$29,'OB History'!M:M, 1)</f>
        <v>0</v>
      </c>
      <c r="S29" s="92">
        <f>COUNTIFS('OB History'!$B:$B,$A$29,'OB History'!N:N, 1)</f>
        <v>5</v>
      </c>
      <c r="T29" s="92">
        <f>COUNTIFS('OB History'!$B:$B,$A$29,'OB History'!O:O, 1)</f>
        <v>0</v>
      </c>
      <c r="U29" s="92">
        <f>COUNTIFS('OB History'!$B:$B,$A$29,'OB History'!P:P, 1)</f>
        <v>3</v>
      </c>
      <c r="V29" s="92">
        <f>COUNTIFS('OB History'!$B:$B,$A$29,'OB History'!Q:Q, 1)</f>
        <v>0</v>
      </c>
      <c r="W29" s="92">
        <f>COUNTIFS('OB History'!$B:$B,$A$29,'OB History'!R:R, 1)</f>
        <v>0</v>
      </c>
      <c r="X29" s="92">
        <f>COUNTIFS('OB History'!$B:$B,$A$29,'OB History'!S:S, 1)</f>
        <v>0</v>
      </c>
      <c r="Y29" s="92">
        <f>COUNTIFS('OB History'!$B:$B,$A$29,'OB History'!T:T, 1)</f>
        <v>0</v>
      </c>
      <c r="Z29" s="92">
        <f>COUNTIFS('OB History'!$B:$B,$A$29,'OB History'!U:U, 1)</f>
        <v>0</v>
      </c>
      <c r="AA29" s="92">
        <f>COUNTIFS('OB History'!$B:$B,$A$29,'OB History'!V:V, 1)</f>
        <v>0</v>
      </c>
      <c r="AB29" s="92">
        <f>COUNTIFS('OB History'!$B:$B,$A$29,'OB History'!W:W, 1)</f>
        <v>5</v>
      </c>
      <c r="AC29" s="92">
        <f>COUNTIFS('OB History'!$B:$B,$A$29,'OB History'!X:X, 1)</f>
        <v>1</v>
      </c>
      <c r="AD29" s="92">
        <f>COUNTIFS('OB History'!$B:$B,$A$29,'OB History'!Y:Y, 1)</f>
        <v>4</v>
      </c>
      <c r="AE29" s="92">
        <f>COUNTIFS('OB History'!$B:$B,$A$29,'OB History'!Z:Z, 1)</f>
        <v>4</v>
      </c>
    </row>
    <row r="30" spans="1:31" x14ac:dyDescent="0.25">
      <c r="A30" s="2" t="s">
        <v>54</v>
      </c>
      <c r="B30" s="6" t="s">
        <v>60</v>
      </c>
      <c r="C30" s="6" t="s">
        <v>79</v>
      </c>
      <c r="D30" s="89">
        <f>SUMIFS('OB History'!C:C,'OB History'!B:B,A30)</f>
        <v>65</v>
      </c>
      <c r="E30" s="90">
        <f>AVERAGEIFS('OB History'!C:C,'OB History'!B:B,A30)</f>
        <v>21.666666666666668</v>
      </c>
      <c r="F30" s="91">
        <f t="array" ref="F30">MAX(IF('OB History'!B:B=A30, 'OB History'!C:C))</f>
        <v>29</v>
      </c>
      <c r="G30" s="89">
        <f>COUNTIFS('OB History'!B:B,A30,'OB History'!D:D, 1)</f>
        <v>3</v>
      </c>
      <c r="H30" s="92">
        <f>COUNTIFS('OB History'!B:B,A30,'OB History'!D:D, 0)</f>
        <v>0</v>
      </c>
      <c r="I30" s="42">
        <f t="shared" si="0"/>
        <v>1</v>
      </c>
      <c r="J30" s="89">
        <f>SUMIFS('OB History'!F:F,'OB History'!B:B,A30)</f>
        <v>9</v>
      </c>
      <c r="K30" s="92">
        <f>SUMIFS('OB History'!E:E,'OB History'!B:B,A30)-J30</f>
        <v>6</v>
      </c>
      <c r="L30" s="42">
        <f t="shared" si="1"/>
        <v>0.6</v>
      </c>
      <c r="M30" s="89">
        <f>SUMIFS('OB History'!H:H,'OB History'!B:B,'Old Bow v2'!A30)</f>
        <v>36</v>
      </c>
      <c r="N30" s="92">
        <f>SUMIFS('OB History'!G:G,'OB History'!B:B,'Old Bow v2'!A30)-M30</f>
        <v>26</v>
      </c>
      <c r="O30" s="42">
        <f t="shared" si="2"/>
        <v>0.58064516129032262</v>
      </c>
      <c r="P30" s="92">
        <f>COUNTIFS('OB History'!$B:$B,$A$30,'OB History'!K:K, 1)</f>
        <v>0</v>
      </c>
      <c r="Q30" s="92">
        <f>COUNTIFS('OB History'!$B:$B,$A$30,'OB History'!L:L, 1)</f>
        <v>1</v>
      </c>
      <c r="R30" s="92">
        <f>COUNTIFS('OB History'!$B:$B,$A$30,'OB History'!M:M, 1)</f>
        <v>0</v>
      </c>
      <c r="S30" s="92">
        <f>COUNTIFS('OB History'!$B:$B,$A$30,'OB History'!N:N, 1)</f>
        <v>1</v>
      </c>
      <c r="T30" s="92">
        <f>COUNTIFS('OB History'!$B:$B,$A$30,'OB History'!O:O, 1)</f>
        <v>2</v>
      </c>
      <c r="U30" s="92">
        <f>COUNTIFS('OB History'!$B:$B,$A$30,'OB History'!P:P, 1)</f>
        <v>1</v>
      </c>
      <c r="V30" s="92">
        <f>COUNTIFS('OB History'!$B:$B,$A$30,'OB History'!Q:Q, 1)</f>
        <v>2</v>
      </c>
      <c r="W30" s="92">
        <f>COUNTIFS('OB History'!$B:$B,$A$30,'OB History'!R:R, 1)</f>
        <v>0</v>
      </c>
      <c r="X30" s="92">
        <f>COUNTIFS('OB History'!$B:$B,$A$30,'OB History'!S:S, 1)</f>
        <v>0</v>
      </c>
      <c r="Y30" s="92">
        <f>COUNTIFS('OB History'!$B:$B,$A$30,'OB History'!T:T, 1)</f>
        <v>0</v>
      </c>
      <c r="Z30" s="92">
        <f>COUNTIFS('OB History'!$B:$B,$A$30,'OB History'!U:U, 1)</f>
        <v>0</v>
      </c>
      <c r="AA30" s="92">
        <f>COUNTIFS('OB History'!$B:$B,$A$30,'OB History'!V:V, 1)</f>
        <v>1</v>
      </c>
      <c r="AB30" s="92">
        <f>COUNTIFS('OB History'!$B:$B,$A$30,'OB History'!W:W, 1)</f>
        <v>1</v>
      </c>
      <c r="AC30" s="92">
        <f>COUNTIFS('OB History'!$B:$B,$A$30,'OB History'!X:X, 1)</f>
        <v>0</v>
      </c>
      <c r="AD30" s="92">
        <f>COUNTIFS('OB History'!$B:$B,$A$30,'OB History'!Y:Y, 1)</f>
        <v>0</v>
      </c>
      <c r="AE30" s="92">
        <f>COUNTIFS('OB History'!$B:$B,$A$30,'OB History'!Z:Z, 1)</f>
        <v>0</v>
      </c>
    </row>
    <row r="31" spans="1:31" x14ac:dyDescent="0.25">
      <c r="A31" s="2" t="s">
        <v>5</v>
      </c>
      <c r="B31" s="6" t="s">
        <v>60</v>
      </c>
      <c r="C31" s="2" t="s">
        <v>79</v>
      </c>
      <c r="D31" s="89">
        <f>SUMIFS('OB History'!C:C,'OB History'!B:B,A31)</f>
        <v>216</v>
      </c>
      <c r="E31" s="90">
        <f>AVERAGEIFS('OB History'!C:C,'OB History'!B:B,A31)</f>
        <v>24</v>
      </c>
      <c r="F31" s="91">
        <f t="array" ref="F31">MAX(IF('OB History'!B:B=A31, 'OB History'!C:C))</f>
        <v>36</v>
      </c>
      <c r="G31" s="89">
        <f>COUNTIFS('OB History'!B:B,A31,'OB History'!D:D, 1)</f>
        <v>4</v>
      </c>
      <c r="H31" s="92">
        <f>COUNTIFS('OB History'!B:B,A31,'OB History'!D:D, 0)</f>
        <v>5</v>
      </c>
      <c r="I31" s="41">
        <f t="shared" si="0"/>
        <v>0.44444444444444442</v>
      </c>
      <c r="J31" s="89">
        <f>SUMIFS('OB History'!F:F,'OB History'!B:B,A31)</f>
        <v>18</v>
      </c>
      <c r="K31" s="92">
        <f>SUMIFS('OB History'!E:E,'OB History'!B:B,A31)-J31</f>
        <v>21</v>
      </c>
      <c r="L31" s="41">
        <f t="shared" si="1"/>
        <v>0.46153846153846156</v>
      </c>
      <c r="M31" s="89">
        <f>SUMIFS('OB History'!H:H,'OB History'!B:B,'Old Bow v2'!A31)</f>
        <v>79</v>
      </c>
      <c r="N31" s="92">
        <f>SUMIFS('OB History'!G:G,'OB History'!B:B,'Old Bow v2'!A31)-M31</f>
        <v>86</v>
      </c>
      <c r="O31" s="41">
        <f t="shared" si="2"/>
        <v>0.47878787878787876</v>
      </c>
      <c r="P31" s="92">
        <f>COUNTIFS('OB History'!$B:$B,$A$31,'OB History'!K:K, 1)</f>
        <v>1</v>
      </c>
      <c r="Q31" s="92">
        <f>COUNTIFS('OB History'!$B:$B,$A$31,'OB History'!L:L, 1)</f>
        <v>1</v>
      </c>
      <c r="R31" s="92">
        <f>COUNTIFS('OB History'!$B:$B,$A$31,'OB History'!M:M, 1)</f>
        <v>0</v>
      </c>
      <c r="S31" s="92">
        <f>COUNTIFS('OB History'!$B:$B,$A$31,'OB History'!N:N, 1)</f>
        <v>2</v>
      </c>
      <c r="T31" s="92">
        <f>COUNTIFS('OB History'!$B:$B,$A$31,'OB History'!O:O, 1)</f>
        <v>1</v>
      </c>
      <c r="U31" s="92">
        <f>COUNTIFS('OB History'!$B:$B,$A$31,'OB History'!P:P, 1)</f>
        <v>1</v>
      </c>
      <c r="V31" s="92">
        <f>COUNTIFS('OB History'!$B:$B,$A$31,'OB History'!Q:Q, 1)</f>
        <v>0</v>
      </c>
      <c r="W31" s="92">
        <f>COUNTIFS('OB History'!$B:$B,$A$31,'OB History'!R:R, 1)</f>
        <v>0</v>
      </c>
      <c r="X31" s="92">
        <f>COUNTIFS('OB History'!$B:$B,$A$31,'OB History'!S:S, 1)</f>
        <v>0</v>
      </c>
      <c r="Y31" s="92">
        <f>COUNTIFS('OB History'!$B:$B,$A$31,'OB History'!T:T, 1)</f>
        <v>0</v>
      </c>
      <c r="Z31" s="92">
        <f>COUNTIFS('OB History'!$B:$B,$A$31,'OB History'!U:U, 1)</f>
        <v>0</v>
      </c>
      <c r="AA31" s="92">
        <f>COUNTIFS('OB History'!$B:$B,$A$31,'OB History'!V:V, 1)</f>
        <v>0</v>
      </c>
      <c r="AB31" s="92">
        <f>COUNTIFS('OB History'!$B:$B,$A$31,'OB History'!W:W, 1)</f>
        <v>1</v>
      </c>
      <c r="AC31" s="92">
        <f>COUNTIFS('OB History'!$B:$B,$A$31,'OB History'!X:X, 1)</f>
        <v>4</v>
      </c>
      <c r="AD31" s="92">
        <f>COUNTIFS('OB History'!$B:$B,$A$31,'OB History'!Y:Y, 1)</f>
        <v>3</v>
      </c>
      <c r="AE31" s="92">
        <f>COUNTIFS('OB History'!$B:$B,$A$31,'OB History'!Z:Z, 1)</f>
        <v>2</v>
      </c>
    </row>
    <row r="32" spans="1:31" x14ac:dyDescent="0.25">
      <c r="A32" s="2" t="s">
        <v>38</v>
      </c>
      <c r="B32" s="2" t="s">
        <v>79</v>
      </c>
      <c r="C32" s="2" t="s">
        <v>79</v>
      </c>
      <c r="D32" s="89">
        <f>SUMIFS('OB History'!C:C,'OB History'!B:B,A32)</f>
        <v>24</v>
      </c>
      <c r="E32" s="90">
        <f>AVERAGEIFS('OB History'!C:C,'OB History'!B:B,A32)</f>
        <v>4</v>
      </c>
      <c r="F32" s="91">
        <f t="array" ref="F32">MAX(IF('OB History'!B:B=A32, 'OB History'!C:C))</f>
        <v>7</v>
      </c>
      <c r="G32" s="89">
        <f>COUNTIFS('OB History'!B:B,A32,'OB History'!D:D, 1)</f>
        <v>2</v>
      </c>
      <c r="H32" s="92">
        <f>COUNTIFS('OB History'!B:B,A32,'OB History'!D:D, 0)</f>
        <v>4</v>
      </c>
      <c r="I32" s="41">
        <f t="shared" si="0"/>
        <v>0.33333333333333331</v>
      </c>
      <c r="J32" s="89">
        <f>SUMIFS('OB History'!F:F,'OB History'!B:B,A32)</f>
        <v>8</v>
      </c>
      <c r="K32" s="92">
        <f>SUMIFS('OB History'!E:E,'OB History'!B:B,A32)-J32</f>
        <v>13</v>
      </c>
      <c r="L32" s="41">
        <f t="shared" si="1"/>
        <v>0.38095238095238093</v>
      </c>
      <c r="M32" s="89">
        <f>SUMIFS('OB History'!H:H,'OB History'!B:B,'Old Bow v2'!A32)</f>
        <v>35</v>
      </c>
      <c r="N32" s="92">
        <f>SUMIFS('OB History'!G:G,'OB History'!B:B,'Old Bow v2'!A32)-M32</f>
        <v>50</v>
      </c>
      <c r="O32" s="41">
        <f t="shared" si="2"/>
        <v>0.41176470588235292</v>
      </c>
      <c r="P32" s="92">
        <f>COUNTIFS('OB History'!$B:$B,$A$32,'OB History'!K:K, 1)</f>
        <v>1</v>
      </c>
      <c r="Q32" s="92">
        <f>COUNTIFS('OB History'!$B:$B,$A$32,'OB History'!L:L, 1)</f>
        <v>1</v>
      </c>
      <c r="R32" s="92">
        <f>COUNTIFS('OB History'!$B:$B,$A$32,'OB History'!M:M, 1)</f>
        <v>0</v>
      </c>
      <c r="S32" s="92">
        <f>COUNTIFS('OB History'!$B:$B,$A$32,'OB History'!N:N, 1)</f>
        <v>1</v>
      </c>
      <c r="T32" s="92">
        <f>COUNTIFS('OB History'!$B:$B,$A$32,'OB History'!O:O, 1)</f>
        <v>0</v>
      </c>
      <c r="U32" s="92">
        <f>COUNTIFS('OB History'!$B:$B,$A$32,'OB History'!P:P, 1)</f>
        <v>2</v>
      </c>
      <c r="V32" s="92">
        <f>COUNTIFS('OB History'!$B:$B,$A$32,'OB History'!Q:Q, 1)</f>
        <v>0</v>
      </c>
      <c r="W32" s="92">
        <f>COUNTIFS('OB History'!$B:$B,$A$32,'OB History'!R:R, 1)</f>
        <v>1</v>
      </c>
      <c r="X32" s="92">
        <f>COUNTIFS('OB History'!$B:$B,$A$32,'OB History'!S:S, 1)</f>
        <v>0</v>
      </c>
      <c r="Y32" s="92">
        <f>COUNTIFS('OB History'!$B:$B,$A$32,'OB History'!T:T, 1)</f>
        <v>0</v>
      </c>
      <c r="Z32" s="92">
        <f>COUNTIFS('OB History'!$B:$B,$A$32,'OB History'!U:U, 1)</f>
        <v>0</v>
      </c>
      <c r="AA32" s="92">
        <f>COUNTIFS('OB History'!$B:$B,$A$32,'OB History'!V:V, 1)</f>
        <v>0</v>
      </c>
      <c r="AB32" s="92">
        <f>COUNTIFS('OB History'!$B:$B,$A$32,'OB History'!W:W, 1)</f>
        <v>1</v>
      </c>
      <c r="AC32" s="92">
        <f>COUNTIFS('OB History'!$B:$B,$A$32,'OB History'!X:X, 1)</f>
        <v>0</v>
      </c>
      <c r="AD32" s="92">
        <f>COUNTIFS('OB History'!$B:$B,$A$32,'OB History'!Y:Y, 1)</f>
        <v>0</v>
      </c>
      <c r="AE32" s="92">
        <f>COUNTIFS('OB History'!$B:$B,$A$32,'OB History'!Z:Z, 1)</f>
        <v>0</v>
      </c>
    </row>
    <row r="33" spans="1:31" x14ac:dyDescent="0.25">
      <c r="A33" s="2" t="s">
        <v>142</v>
      </c>
      <c r="B33" s="2" t="s">
        <v>79</v>
      </c>
      <c r="C33" s="2" t="s">
        <v>79</v>
      </c>
      <c r="D33" s="89">
        <f>SUMIFS('OB History'!C:C,'OB History'!B:B,A33)</f>
        <v>0</v>
      </c>
      <c r="E33" s="90">
        <v>0</v>
      </c>
      <c r="F33" s="91">
        <f t="array" ref="F33">MAX(IF('OB History'!B:B=A33, 'OB History'!C:C))</f>
        <v>0</v>
      </c>
      <c r="G33" s="89">
        <v>0</v>
      </c>
      <c r="H33" s="92">
        <v>0</v>
      </c>
      <c r="I33" s="41">
        <v>0</v>
      </c>
      <c r="J33" s="89">
        <v>0</v>
      </c>
      <c r="K33" s="92">
        <v>0</v>
      </c>
      <c r="L33" s="41">
        <v>0</v>
      </c>
      <c r="M33" s="89">
        <v>0</v>
      </c>
      <c r="N33" s="92">
        <v>0</v>
      </c>
      <c r="O33" s="41">
        <v>0</v>
      </c>
      <c r="P33" s="92">
        <f>COUNTIFS('OB History'!$B:$B,$A$33,'OB History'!K:K, 1)</f>
        <v>0</v>
      </c>
      <c r="Q33" s="92">
        <f>COUNTIFS('OB History'!$B:$B,$A$33,'OB History'!L:L, 1)</f>
        <v>0</v>
      </c>
      <c r="R33" s="92">
        <f>COUNTIFS('OB History'!$B:$B,$A$33,'OB History'!M:M, 1)</f>
        <v>0</v>
      </c>
      <c r="S33" s="92">
        <f>COUNTIFS('OB History'!$B:$B,$A$33,'OB History'!N:N, 1)</f>
        <v>0</v>
      </c>
      <c r="T33" s="92">
        <f>COUNTIFS('OB History'!$B:$B,$A$33,'OB History'!O:O, 1)</f>
        <v>0</v>
      </c>
      <c r="U33" s="92">
        <f>COUNTIFS('OB History'!$B:$B,$A$33,'OB History'!P:P, 1)</f>
        <v>0</v>
      </c>
      <c r="V33" s="92">
        <f>COUNTIFS('OB History'!$B:$B,$A$33,'OB History'!Q:Q, 1)</f>
        <v>0</v>
      </c>
      <c r="W33" s="92">
        <f>COUNTIFS('OB History'!$B:$B,$A$33,'OB History'!R:R, 1)</f>
        <v>0</v>
      </c>
      <c r="X33" s="92">
        <f>COUNTIFS('OB History'!$B:$B,$A$33,'OB History'!S:S, 1)</f>
        <v>0</v>
      </c>
      <c r="Y33" s="92">
        <f>COUNTIFS('OB History'!$B:$B,$A$33,'OB History'!T:T, 1)</f>
        <v>0</v>
      </c>
      <c r="Z33" s="92">
        <f>COUNTIFS('OB History'!$B:$B,$A$33,'OB History'!U:U, 1)</f>
        <v>0</v>
      </c>
      <c r="AA33" s="92">
        <f>COUNTIFS('OB History'!$B:$B,$A$33,'OB History'!V:V, 1)</f>
        <v>0</v>
      </c>
      <c r="AB33" s="92">
        <f>COUNTIFS('OB History'!$B:$B,$A$33,'OB History'!W:W, 1)</f>
        <v>0</v>
      </c>
      <c r="AC33" s="92">
        <f>COUNTIFS('OB History'!$B:$B,$A$33,'OB History'!X:X, 1)</f>
        <v>0</v>
      </c>
      <c r="AD33" s="92">
        <f>COUNTIFS('OB History'!$B:$B,$A$33,'OB History'!Y:Y, 1)</f>
        <v>0</v>
      </c>
      <c r="AE33" s="92">
        <f>COUNTIFS('OB History'!$B:$B,$A$33,'OB History'!Z:Z, 1)</f>
        <v>0</v>
      </c>
    </row>
    <row r="34" spans="1:31" x14ac:dyDescent="0.25">
      <c r="A34" s="2" t="s">
        <v>40</v>
      </c>
      <c r="B34" s="2" t="s">
        <v>79</v>
      </c>
      <c r="C34" s="2" t="s">
        <v>79</v>
      </c>
      <c r="D34" s="89">
        <f>SUMIFS('OB History'!C:C,'OB History'!B:B,A34)</f>
        <v>37</v>
      </c>
      <c r="E34" s="90">
        <f>AVERAGEIFS('OB History'!C:C,'OB History'!B:B,A34)</f>
        <v>12.333333333333334</v>
      </c>
      <c r="F34" s="91">
        <f t="array" ref="F34">MAX(IF('OB History'!B:B=A34, 'OB History'!C:C))</f>
        <v>16</v>
      </c>
      <c r="G34" s="89">
        <f>COUNTIFS('OB History'!B:B,A34,'OB History'!D:D, 1)</f>
        <v>0</v>
      </c>
      <c r="H34" s="92">
        <f>COUNTIFS('OB History'!B:B,A34,'OB History'!D:D, 0)</f>
        <v>3</v>
      </c>
      <c r="I34" s="42">
        <f t="shared" si="0"/>
        <v>0</v>
      </c>
      <c r="J34" s="89">
        <f>SUMIFS('OB History'!F:F,'OB History'!B:B,A34)</f>
        <v>2</v>
      </c>
      <c r="K34" s="92">
        <f>SUMIFS('OB History'!E:E,'OB History'!B:B,A34)-J34</f>
        <v>9</v>
      </c>
      <c r="L34" s="42">
        <f t="shared" si="1"/>
        <v>0.18181818181818182</v>
      </c>
      <c r="M34" s="89">
        <f>SUMIFS('OB History'!H:H,'OB History'!B:B,'Old Bow v2'!A34)</f>
        <v>15</v>
      </c>
      <c r="N34" s="92">
        <f>SUMIFS('OB History'!G:G,'OB History'!B:B,'Old Bow v2'!A34)-M34</f>
        <v>30</v>
      </c>
      <c r="O34" s="42">
        <f t="shared" si="2"/>
        <v>0.33333333333333331</v>
      </c>
      <c r="P34" s="92">
        <f>COUNTIFS('OB History'!$B:$B,$A$34,'OB History'!K:K, 1)</f>
        <v>1</v>
      </c>
      <c r="Q34" s="92">
        <f>COUNTIFS('OB History'!$B:$B,$A$34,'OB History'!L:L, 1)</f>
        <v>0</v>
      </c>
      <c r="R34" s="92">
        <f>COUNTIFS('OB History'!$B:$B,$A$34,'OB History'!M:M, 1)</f>
        <v>0</v>
      </c>
      <c r="S34" s="92">
        <f>COUNTIFS('OB History'!$B:$B,$A$34,'OB History'!N:N, 1)</f>
        <v>0</v>
      </c>
      <c r="T34" s="92">
        <f>COUNTIFS('OB History'!$B:$B,$A$34,'OB History'!O:O, 1)</f>
        <v>0</v>
      </c>
      <c r="U34" s="92">
        <f>COUNTIFS('OB History'!$B:$B,$A$34,'OB History'!P:P, 1)</f>
        <v>0</v>
      </c>
      <c r="V34" s="92">
        <f>COUNTIFS('OB History'!$B:$B,$A$34,'OB History'!Q:Q, 1)</f>
        <v>0</v>
      </c>
      <c r="W34" s="92">
        <f>COUNTIFS('OB History'!$B:$B,$A$34,'OB History'!R:R, 1)</f>
        <v>0</v>
      </c>
      <c r="X34" s="92">
        <f>COUNTIFS('OB History'!$B:$B,$A$34,'OB History'!S:S, 1)</f>
        <v>0</v>
      </c>
      <c r="Y34" s="92">
        <f>COUNTIFS('OB History'!$B:$B,$A$34,'OB History'!T:T, 1)</f>
        <v>0</v>
      </c>
      <c r="Z34" s="92">
        <f>COUNTIFS('OB History'!$B:$B,$A$34,'OB History'!U:U, 1)</f>
        <v>0</v>
      </c>
      <c r="AA34" s="92">
        <f>COUNTIFS('OB History'!$B:$B,$A$34,'OB History'!V:V, 1)</f>
        <v>0</v>
      </c>
      <c r="AB34" s="92">
        <f>COUNTIFS('OB History'!$B:$B,$A$34,'OB History'!W:W, 1)</f>
        <v>0</v>
      </c>
      <c r="AC34" s="92">
        <f>COUNTIFS('OB History'!$B:$B,$A$34,'OB History'!X:X, 1)</f>
        <v>0</v>
      </c>
      <c r="AD34" s="92">
        <f>COUNTIFS('OB History'!$B:$B,$A$34,'OB History'!Y:Y, 1)</f>
        <v>0</v>
      </c>
      <c r="AE34" s="92">
        <f>COUNTIFS('OB History'!$B:$B,$A$34,'OB History'!Z:Z, 1)</f>
        <v>1</v>
      </c>
    </row>
    <row r="35" spans="1:31" x14ac:dyDescent="0.25">
      <c r="A35" s="2" t="s">
        <v>17</v>
      </c>
      <c r="B35" s="2" t="s">
        <v>79</v>
      </c>
      <c r="C35" s="2" t="s">
        <v>79</v>
      </c>
      <c r="D35" s="89">
        <f>SUMIFS('OB History'!C:C,'OB History'!B:B,A35)</f>
        <v>692</v>
      </c>
      <c r="E35" s="90">
        <f>AVERAGEIFS('OB History'!C:C,'OB History'!B:B,A35)</f>
        <v>26.615384615384617</v>
      </c>
      <c r="F35" s="91">
        <f t="array" ref="F35">MAX(IF('OB History'!B:B=A35, 'OB History'!C:C))</f>
        <v>49</v>
      </c>
      <c r="G35" s="89">
        <f>COUNTIFS('OB History'!B:B,A35,'OB History'!D:D, 1)</f>
        <v>11</v>
      </c>
      <c r="H35" s="92">
        <f>COUNTIFS('OB History'!B:B,A35,'OB History'!D:D, 0)</f>
        <v>15</v>
      </c>
      <c r="I35" s="41">
        <f t="shared" si="0"/>
        <v>0.42307692307692307</v>
      </c>
      <c r="J35" s="89">
        <f>SUMIFS('OB History'!F:F,'OB History'!B:B,A35)</f>
        <v>54</v>
      </c>
      <c r="K35" s="92">
        <f>SUMIFS('OB History'!E:E,'OB History'!B:B,A35)-J35</f>
        <v>52</v>
      </c>
      <c r="L35" s="41">
        <f t="shared" si="1"/>
        <v>0.50943396226415094</v>
      </c>
      <c r="M35" s="89">
        <f>SUMIFS('OB History'!H:H,'OB History'!B:B,'Old Bow v2'!A35)</f>
        <v>228</v>
      </c>
      <c r="N35" s="92">
        <f>SUMIFS('OB History'!G:G,'OB History'!B:B,'Old Bow v2'!A35)-M35</f>
        <v>215</v>
      </c>
      <c r="O35" s="41">
        <f t="shared" si="2"/>
        <v>0.51467268623024831</v>
      </c>
      <c r="P35" s="92">
        <f>COUNTIFS('OB History'!$B:$B,$A$35,'OB History'!K:K, 1)</f>
        <v>5</v>
      </c>
      <c r="Q35" s="92">
        <f>COUNTIFS('OB History'!$B:$B,$A$35,'OB History'!L:L, 1)</f>
        <v>2</v>
      </c>
      <c r="R35" s="92">
        <f>COUNTIFS('OB History'!$B:$B,$A$35,'OB History'!M:M, 1)</f>
        <v>0</v>
      </c>
      <c r="S35" s="92">
        <f>COUNTIFS('OB History'!$B:$B,$A$35,'OB History'!N:N, 1)</f>
        <v>6</v>
      </c>
      <c r="T35" s="92">
        <f>COUNTIFS('OB History'!$B:$B,$A$35,'OB History'!O:O, 1)</f>
        <v>0</v>
      </c>
      <c r="U35" s="92">
        <f>COUNTIFS('OB History'!$B:$B,$A$35,'OB History'!P:P, 1)</f>
        <v>9</v>
      </c>
      <c r="V35" s="92">
        <f>COUNTIFS('OB History'!$B:$B,$A$35,'OB History'!Q:Q, 1)</f>
        <v>2</v>
      </c>
      <c r="W35" s="92">
        <f>COUNTIFS('OB History'!$B:$B,$A$35,'OB History'!R:R, 1)</f>
        <v>0</v>
      </c>
      <c r="X35" s="92">
        <f>COUNTIFS('OB History'!$B:$B,$A$35,'OB History'!S:S, 1)</f>
        <v>1</v>
      </c>
      <c r="Y35" s="92">
        <f>COUNTIFS('OB History'!$B:$B,$A$35,'OB History'!T:T, 1)</f>
        <v>0</v>
      </c>
      <c r="Z35" s="92">
        <f>COUNTIFS('OB History'!$B:$B,$A$35,'OB History'!U:U, 1)</f>
        <v>1</v>
      </c>
      <c r="AA35" s="92">
        <f>COUNTIFS('OB History'!$B:$B,$A$35,'OB History'!V:V, 1)</f>
        <v>1</v>
      </c>
      <c r="AB35" s="92">
        <f>COUNTIFS('OB History'!$B:$B,$A$35,'OB History'!W:W, 1)</f>
        <v>6</v>
      </c>
      <c r="AC35" s="92">
        <f>COUNTIFS('OB History'!$B:$B,$A$35,'OB History'!X:X, 1)</f>
        <v>6</v>
      </c>
      <c r="AD35" s="92">
        <f>COUNTIFS('OB History'!$B:$B,$A$35,'OB History'!Y:Y, 1)</f>
        <v>4</v>
      </c>
      <c r="AE35" s="92">
        <f>COUNTIFS('OB History'!$B:$B,$A$35,'OB History'!Z:Z, 1)</f>
        <v>9</v>
      </c>
    </row>
    <row r="36" spans="1:31" x14ac:dyDescent="0.25">
      <c r="A36" s="2" t="s">
        <v>6</v>
      </c>
      <c r="B36" s="2" t="s">
        <v>79</v>
      </c>
      <c r="C36" s="2" t="s">
        <v>79</v>
      </c>
      <c r="D36" s="89">
        <f>SUMIFS('OB History'!C:C,'OB History'!B:B,A36)</f>
        <v>341</v>
      </c>
      <c r="E36" s="90">
        <f>AVERAGEIFS('OB History'!C:C,'OB History'!B:B,A36)</f>
        <v>22.733333333333334</v>
      </c>
      <c r="F36" s="91">
        <f t="array" ref="F36">MAX(IF('OB History'!B:B=A36, 'OB History'!C:C))</f>
        <v>43</v>
      </c>
      <c r="G36" s="89">
        <f>COUNTIFS('OB History'!B:B,A36,'OB History'!D:D, 1)</f>
        <v>11</v>
      </c>
      <c r="H36" s="92">
        <f>COUNTIFS('OB History'!B:B,A36,'OB History'!D:D, 0)</f>
        <v>4</v>
      </c>
      <c r="I36" s="41">
        <f t="shared" si="0"/>
        <v>0.73333333333333328</v>
      </c>
      <c r="J36" s="89">
        <f>SUMIFS('OB History'!F:F,'OB History'!B:B,A36)</f>
        <v>37</v>
      </c>
      <c r="K36" s="92">
        <f>SUMIFS('OB History'!E:E,'OB History'!B:B,A36)-J36</f>
        <v>23</v>
      </c>
      <c r="L36" s="41">
        <f t="shared" si="1"/>
        <v>0.6166666666666667</v>
      </c>
      <c r="M36" s="89">
        <f>SUMIFS('OB History'!H:H,'OB History'!B:B,'Old Bow v2'!A36)</f>
        <v>138</v>
      </c>
      <c r="N36" s="92">
        <f>SUMIFS('OB History'!G:G,'OB History'!B:B,'Old Bow v2'!A36)-M36</f>
        <v>118</v>
      </c>
      <c r="O36" s="41">
        <f t="shared" si="2"/>
        <v>0.5390625</v>
      </c>
      <c r="P36" s="92">
        <f>COUNTIFS('OB History'!$B:$B,$A$36,'OB History'!K:K, 1)</f>
        <v>1</v>
      </c>
      <c r="Q36" s="92">
        <f>COUNTIFS('OB History'!$B:$B,$A$36,'OB History'!L:L, 1)</f>
        <v>3</v>
      </c>
      <c r="R36" s="92">
        <f>COUNTIFS('OB History'!$B:$B,$A$36,'OB History'!M:M, 1)</f>
        <v>0</v>
      </c>
      <c r="S36" s="92">
        <f>COUNTIFS('OB History'!$B:$B,$A$36,'OB History'!N:N, 1)</f>
        <v>2</v>
      </c>
      <c r="T36" s="92">
        <f>COUNTIFS('OB History'!$B:$B,$A$36,'OB History'!O:O, 1)</f>
        <v>0</v>
      </c>
      <c r="U36" s="92">
        <f>COUNTIFS('OB History'!$B:$B,$A$36,'OB History'!P:P, 1)</f>
        <v>7</v>
      </c>
      <c r="V36" s="92">
        <f>COUNTIFS('OB History'!$B:$B,$A$36,'OB History'!Q:Q, 1)</f>
        <v>1</v>
      </c>
      <c r="W36" s="92">
        <f>COUNTIFS('OB History'!$B:$B,$A$36,'OB History'!R:R, 1)</f>
        <v>1</v>
      </c>
      <c r="X36" s="92">
        <f>COUNTIFS('OB History'!$B:$B,$A$36,'OB History'!S:S, 1)</f>
        <v>0</v>
      </c>
      <c r="Y36" s="92">
        <f>COUNTIFS('OB History'!$B:$B,$A$36,'OB History'!T:T, 1)</f>
        <v>1</v>
      </c>
      <c r="Z36" s="92">
        <f>COUNTIFS('OB History'!$B:$B,$A$36,'OB History'!U:U, 1)</f>
        <v>0</v>
      </c>
      <c r="AA36" s="92">
        <f>COUNTIFS('OB History'!$B:$B,$A$36,'OB History'!V:V, 1)</f>
        <v>1</v>
      </c>
      <c r="AB36" s="92">
        <f>COUNTIFS('OB History'!$B:$B,$A$36,'OB History'!W:W, 1)</f>
        <v>5</v>
      </c>
      <c r="AC36" s="92">
        <f>COUNTIFS('OB History'!$B:$B,$A$36,'OB History'!X:X, 1)</f>
        <v>6</v>
      </c>
      <c r="AD36" s="92">
        <f>COUNTIFS('OB History'!$B:$B,$A$36,'OB History'!Y:Y, 1)</f>
        <v>2</v>
      </c>
      <c r="AE36" s="92">
        <f>COUNTIFS('OB History'!$B:$B,$A$36,'OB History'!Z:Z, 1)</f>
        <v>6</v>
      </c>
    </row>
    <row r="37" spans="1:31" x14ac:dyDescent="0.25">
      <c r="A37" s="2" t="s">
        <v>18</v>
      </c>
      <c r="B37" s="2" t="s">
        <v>79</v>
      </c>
      <c r="C37" s="2" t="s">
        <v>79</v>
      </c>
      <c r="D37" s="89">
        <f>SUMIFS('OB History'!C:C,'OB History'!B:B,A37)</f>
        <v>375</v>
      </c>
      <c r="E37" s="90">
        <f>AVERAGEIFS('OB History'!C:C,'OB History'!B:B,A37)</f>
        <v>26.785714285714285</v>
      </c>
      <c r="F37" s="91">
        <f t="array" ref="F37">MAX(IF('OB History'!B:B=A37, 'OB History'!C:C))</f>
        <v>41</v>
      </c>
      <c r="G37" s="89">
        <f>COUNTIFS('OB History'!B:B,A37,'OB History'!D:D, 1)</f>
        <v>5</v>
      </c>
      <c r="H37" s="92">
        <f>COUNTIFS('OB History'!B:B,A37,'OB History'!D:D, 0)</f>
        <v>9</v>
      </c>
      <c r="I37" s="41">
        <f t="shared" si="0"/>
        <v>0.35714285714285715</v>
      </c>
      <c r="J37" s="89">
        <f>SUMIFS('OB History'!F:F,'OB History'!B:B,A37)</f>
        <v>25</v>
      </c>
      <c r="K37" s="92">
        <f>SUMIFS('OB History'!E:E,'OB History'!B:B,A37)-J37</f>
        <v>33</v>
      </c>
      <c r="L37" s="41">
        <f t="shared" si="1"/>
        <v>0.43103448275862066</v>
      </c>
      <c r="M37" s="89">
        <f>SUMIFS('OB History'!H:H,'OB History'!B:B,'Old Bow v2'!A37)</f>
        <v>111</v>
      </c>
      <c r="N37" s="92">
        <f>SUMIFS('OB History'!G:G,'OB History'!B:B,'Old Bow v2'!A37)-M37</f>
        <v>132</v>
      </c>
      <c r="O37" s="41">
        <f t="shared" si="2"/>
        <v>0.4567901234567901</v>
      </c>
      <c r="P37" s="92">
        <f>COUNTIFS('OB History'!$B:$B,$A$37,'OB History'!K:K, 1)</f>
        <v>2</v>
      </c>
      <c r="Q37" s="92">
        <f>COUNTIFS('OB History'!$B:$B,$A$37,'OB History'!L:L, 1)</f>
        <v>0</v>
      </c>
      <c r="R37" s="92">
        <f>COUNTIFS('OB History'!$B:$B,$A$37,'OB History'!M:M, 1)</f>
        <v>0</v>
      </c>
      <c r="S37" s="92">
        <f>COUNTIFS('OB History'!$B:$B,$A$37,'OB History'!N:N, 1)</f>
        <v>5</v>
      </c>
      <c r="T37" s="92">
        <f>COUNTIFS('OB History'!$B:$B,$A$37,'OB History'!O:O, 1)</f>
        <v>0</v>
      </c>
      <c r="U37" s="92">
        <f>COUNTIFS('OB History'!$B:$B,$A$37,'OB History'!P:P, 1)</f>
        <v>3</v>
      </c>
      <c r="V37" s="92">
        <f>COUNTIFS('OB History'!$B:$B,$A$37,'OB History'!Q:Q, 1)</f>
        <v>2</v>
      </c>
      <c r="W37" s="92">
        <f>COUNTIFS('OB History'!$B:$B,$A$37,'OB History'!R:R, 1)</f>
        <v>1</v>
      </c>
      <c r="X37" s="92">
        <f>COUNTIFS('OB History'!$B:$B,$A$37,'OB History'!S:S, 1)</f>
        <v>0</v>
      </c>
      <c r="Y37" s="92">
        <f>COUNTIFS('OB History'!$B:$B,$A$37,'OB History'!T:T, 1)</f>
        <v>1</v>
      </c>
      <c r="Z37" s="92">
        <f>COUNTIFS('OB History'!$B:$B,$A$37,'OB History'!U:U, 1)</f>
        <v>0</v>
      </c>
      <c r="AA37" s="92">
        <f>COUNTIFS('OB History'!$B:$B,$A$37,'OB History'!V:V, 1)</f>
        <v>0</v>
      </c>
      <c r="AB37" s="92">
        <f>COUNTIFS('OB History'!$B:$B,$A$37,'OB History'!W:W, 1)</f>
        <v>4</v>
      </c>
      <c r="AC37" s="92">
        <f>COUNTIFS('OB History'!$B:$B,$A$37,'OB History'!X:X, 1)</f>
        <v>4</v>
      </c>
      <c r="AD37" s="92">
        <f>COUNTIFS('OB History'!$B:$B,$A$37,'OB History'!Y:Y, 1)</f>
        <v>0</v>
      </c>
      <c r="AE37" s="92">
        <f>COUNTIFS('OB History'!$B:$B,$A$37,'OB History'!Z:Z, 1)</f>
        <v>3</v>
      </c>
    </row>
    <row r="38" spans="1:31" x14ac:dyDescent="0.25">
      <c r="A38" s="2" t="s">
        <v>14</v>
      </c>
      <c r="B38" s="6" t="s">
        <v>60</v>
      </c>
      <c r="C38" s="6" t="s">
        <v>60</v>
      </c>
      <c r="D38" s="89">
        <f>SUMIFS('OB History'!C:C,'OB History'!B:B,A38)</f>
        <v>574</v>
      </c>
      <c r="E38" s="90">
        <f>AVERAGEIFS('OB History'!C:C,'OB History'!B:B,A38)</f>
        <v>24.956521739130434</v>
      </c>
      <c r="F38" s="91">
        <f t="array" ref="F38">MAX(IF('OB History'!B:B=A38, 'OB History'!C:C))</f>
        <v>56</v>
      </c>
      <c r="G38" s="89">
        <f>COUNTIFS('OB History'!B:B,A38,'OB History'!D:D, 1)</f>
        <v>13</v>
      </c>
      <c r="H38" s="92">
        <f>COUNTIFS('OB History'!B:B,A38,'OB History'!D:D, 0)</f>
        <v>10</v>
      </c>
      <c r="I38" s="41">
        <f t="shared" si="0"/>
        <v>0.56521739130434778</v>
      </c>
      <c r="J38" s="89">
        <f>SUMIFS('OB History'!F:F,'OB History'!B:B,A38)</f>
        <v>49</v>
      </c>
      <c r="K38" s="92">
        <f>SUMIFS('OB History'!E:E,'OB History'!B:B,A38)-J38</f>
        <v>45</v>
      </c>
      <c r="L38" s="41">
        <f t="shared" si="1"/>
        <v>0.52127659574468088</v>
      </c>
      <c r="M38" s="89">
        <f>SUMIFS('OB History'!H:H,'OB History'!B:B,'Old Bow v2'!A38)</f>
        <v>199</v>
      </c>
      <c r="N38" s="92">
        <f>SUMIFS('OB History'!G:G,'OB History'!B:B,'Old Bow v2'!A38)-M38</f>
        <v>193</v>
      </c>
      <c r="O38" s="41">
        <f t="shared" si="2"/>
        <v>0.50765306122448983</v>
      </c>
      <c r="P38" s="92">
        <f>COUNTIFS('OB History'!$B:$B,$A$38,'OB History'!K:K, 1)</f>
        <v>3</v>
      </c>
      <c r="Q38" s="92">
        <f>COUNTIFS('OB History'!$B:$B,$A$38,'OB History'!L:L, 1)</f>
        <v>3</v>
      </c>
      <c r="R38" s="92">
        <f>COUNTIFS('OB History'!$B:$B,$A$38,'OB History'!M:M, 1)</f>
        <v>0</v>
      </c>
      <c r="S38" s="92">
        <f>COUNTIFS('OB History'!$B:$B,$A$38,'OB History'!N:N, 1)</f>
        <v>5</v>
      </c>
      <c r="T38" s="92">
        <f>COUNTIFS('OB History'!$B:$B,$A$38,'OB History'!O:O, 1)</f>
        <v>1</v>
      </c>
      <c r="U38" s="92">
        <f>COUNTIFS('OB History'!$B:$B,$A$38,'OB History'!P:P, 1)</f>
        <v>5</v>
      </c>
      <c r="V38" s="92">
        <f>COUNTIFS('OB History'!$B:$B,$A$38,'OB History'!Q:Q, 1)</f>
        <v>0</v>
      </c>
      <c r="W38" s="92">
        <f>COUNTIFS('OB History'!$B:$B,$A$38,'OB History'!R:R, 1)</f>
        <v>1</v>
      </c>
      <c r="X38" s="92">
        <f>COUNTIFS('OB History'!$B:$B,$A$38,'OB History'!S:S, 1)</f>
        <v>0</v>
      </c>
      <c r="Y38" s="92">
        <f>COUNTIFS('OB History'!$B:$B,$A$38,'OB History'!T:T, 1)</f>
        <v>0</v>
      </c>
      <c r="Z38" s="92">
        <f>COUNTIFS('OB History'!$B:$B,$A$38,'OB History'!U:U, 1)</f>
        <v>0</v>
      </c>
      <c r="AA38" s="92">
        <f>COUNTIFS('OB History'!$B:$B,$A$38,'OB History'!V:V, 1)</f>
        <v>3</v>
      </c>
      <c r="AB38" s="92">
        <f>COUNTIFS('OB History'!$B:$B,$A$38,'OB History'!W:W, 1)</f>
        <v>5</v>
      </c>
      <c r="AC38" s="92">
        <f>COUNTIFS('OB History'!$B:$B,$A$38,'OB History'!X:X, 1)</f>
        <v>14</v>
      </c>
      <c r="AD38" s="92">
        <f>COUNTIFS('OB History'!$B:$B,$A$38,'OB History'!Y:Y, 1)</f>
        <v>2</v>
      </c>
      <c r="AE38" s="92">
        <f>COUNTIFS('OB History'!$B:$B,$A$38,'OB History'!Z:Z, 1)</f>
        <v>5</v>
      </c>
    </row>
    <row r="39" spans="1:31" x14ac:dyDescent="0.25">
      <c r="A39" s="2" t="s">
        <v>70</v>
      </c>
      <c r="B39" s="6" t="s">
        <v>79</v>
      </c>
      <c r="C39" s="6" t="s">
        <v>79</v>
      </c>
      <c r="D39" s="89">
        <v>0</v>
      </c>
      <c r="E39" s="90">
        <v>0</v>
      </c>
      <c r="F39" s="91">
        <f t="array" ref="F39">MAX(IF('OB History'!B:B=A39, 'OB History'!C:C))</f>
        <v>0</v>
      </c>
      <c r="G39" s="89">
        <v>0</v>
      </c>
      <c r="H39" s="92">
        <v>0</v>
      </c>
      <c r="I39" s="41">
        <v>0</v>
      </c>
      <c r="J39" s="89">
        <v>0</v>
      </c>
      <c r="K39" s="92">
        <v>0</v>
      </c>
      <c r="L39" s="41">
        <v>0</v>
      </c>
      <c r="M39" s="89">
        <v>0</v>
      </c>
      <c r="N39" s="92">
        <v>0</v>
      </c>
      <c r="O39" s="41">
        <v>0</v>
      </c>
      <c r="P39" s="92">
        <f>COUNTIFS('OB History'!$B:$B,$A$39,'OB History'!K:K, 1)</f>
        <v>0</v>
      </c>
      <c r="Q39" s="92">
        <f>COUNTIFS('OB History'!$B:$B,$A$39,'OB History'!L:L, 1)</f>
        <v>0</v>
      </c>
      <c r="R39" s="92">
        <f>COUNTIFS('OB History'!$B:$B,$A$39,'OB History'!M:M, 1)</f>
        <v>0</v>
      </c>
      <c r="S39" s="92">
        <f>COUNTIFS('OB History'!$B:$B,$A$39,'OB History'!N:N, 1)</f>
        <v>0</v>
      </c>
      <c r="T39" s="92">
        <f>COUNTIFS('OB History'!$B:$B,$A$39,'OB History'!O:O, 1)</f>
        <v>0</v>
      </c>
      <c r="U39" s="92">
        <f>COUNTIFS('OB History'!$B:$B,$A$39,'OB History'!P:P, 1)</f>
        <v>0</v>
      </c>
      <c r="V39" s="92">
        <f>COUNTIFS('OB History'!$B:$B,$A$39,'OB History'!Q:Q, 1)</f>
        <v>0</v>
      </c>
      <c r="W39" s="92">
        <f>COUNTIFS('OB History'!$B:$B,$A$39,'OB History'!R:R, 1)</f>
        <v>0</v>
      </c>
      <c r="X39" s="92">
        <f>COUNTIFS('OB History'!$B:$B,$A$39,'OB History'!S:S, 1)</f>
        <v>0</v>
      </c>
      <c r="Y39" s="92">
        <f>COUNTIFS('OB History'!$B:$B,$A$39,'OB History'!T:T, 1)</f>
        <v>0</v>
      </c>
      <c r="Z39" s="92">
        <f>COUNTIFS('OB History'!$B:$B,$A$39,'OB History'!U:U, 1)</f>
        <v>0</v>
      </c>
      <c r="AA39" s="92">
        <f>COUNTIFS('OB History'!$B:$B,$A$39,'OB History'!V:V, 1)</f>
        <v>0</v>
      </c>
      <c r="AB39" s="92">
        <f>COUNTIFS('OB History'!$B:$B,$A$39,'OB History'!W:W, 1)</f>
        <v>0</v>
      </c>
      <c r="AC39" s="92">
        <f>COUNTIFS('OB History'!$B:$B,$A$39,'OB History'!X:X, 1)</f>
        <v>0</v>
      </c>
      <c r="AD39" s="92">
        <f>COUNTIFS('OB History'!$B:$B,$A$39,'OB History'!Y:Y, 1)</f>
        <v>0</v>
      </c>
      <c r="AE39" s="92">
        <f>COUNTIFS('OB History'!$B:$B,$A$39,'OB History'!Z:Z, 1)</f>
        <v>0</v>
      </c>
    </row>
    <row r="40" spans="1:31" x14ac:dyDescent="0.25">
      <c r="A40" s="2" t="s">
        <v>4</v>
      </c>
      <c r="B40" s="2" t="s">
        <v>79</v>
      </c>
      <c r="C40" s="2" t="s">
        <v>79</v>
      </c>
      <c r="D40" s="89">
        <f>SUMIFS('OB History'!C:C,'OB History'!B:B,A40)</f>
        <v>33</v>
      </c>
      <c r="E40" s="90">
        <f>AVERAGEIFS('OB History'!C:C,'OB History'!B:B,A40)</f>
        <v>16.5</v>
      </c>
      <c r="F40" s="91">
        <f t="array" ref="F40">MAX(IF('OB History'!B:B=A40, 'OB History'!C:C))</f>
        <v>24</v>
      </c>
      <c r="G40" s="89">
        <f>COUNTIFS('OB History'!B:B,A40,'OB History'!D:D, 1)</f>
        <v>2</v>
      </c>
      <c r="H40" s="92">
        <f>COUNTIFS('OB History'!B:B,A40,'OB History'!D:D, 0)</f>
        <v>0</v>
      </c>
      <c r="I40" s="41">
        <f t="shared" si="0"/>
        <v>1</v>
      </c>
      <c r="J40" s="89">
        <f>SUMIFS('OB History'!F:F,'OB History'!B:B,A40)</f>
        <v>6</v>
      </c>
      <c r="K40" s="92">
        <f>SUMIFS('OB History'!E:E,'OB History'!B:B,A40)-J40</f>
        <v>1</v>
      </c>
      <c r="L40" s="41">
        <f t="shared" si="1"/>
        <v>0.8571428571428571</v>
      </c>
      <c r="M40" s="89">
        <f>SUMIFS('OB History'!H:H,'OB History'!B:B,'Old Bow v2'!A40)</f>
        <v>19</v>
      </c>
      <c r="N40" s="92">
        <f>SUMIFS('OB History'!G:G,'OB History'!B:B,'Old Bow v2'!A40)-M40</f>
        <v>10</v>
      </c>
      <c r="O40" s="41">
        <f t="shared" si="2"/>
        <v>0.65517241379310343</v>
      </c>
      <c r="P40" s="92">
        <f>COUNTIFS('OB History'!$B:$B,$A$40,'OB History'!K:K, 1)</f>
        <v>0</v>
      </c>
      <c r="Q40" s="92">
        <f>COUNTIFS('OB History'!$B:$B,$A$40,'OB History'!L:L, 1)</f>
        <v>2</v>
      </c>
      <c r="R40" s="92">
        <f>COUNTIFS('OB History'!$B:$B,$A$40,'OB History'!M:M, 1)</f>
        <v>0</v>
      </c>
      <c r="S40" s="92">
        <f>COUNTIFS('OB History'!$B:$B,$A$40,'OB History'!N:N, 1)</f>
        <v>0</v>
      </c>
      <c r="T40" s="92">
        <f>COUNTIFS('OB History'!$B:$B,$A$40,'OB History'!O:O, 1)</f>
        <v>0</v>
      </c>
      <c r="U40" s="92">
        <f>COUNTIFS('OB History'!$B:$B,$A$40,'OB History'!P:P, 1)</f>
        <v>1</v>
      </c>
      <c r="V40" s="92">
        <f>COUNTIFS('OB History'!$B:$B,$A$40,'OB History'!Q:Q, 1)</f>
        <v>0</v>
      </c>
      <c r="W40" s="92">
        <f>COUNTIFS('OB History'!$B:$B,$A$40,'OB History'!R:R, 1)</f>
        <v>0</v>
      </c>
      <c r="X40" s="92">
        <f>COUNTIFS('OB History'!$B:$B,$A$40,'OB History'!S:S, 1)</f>
        <v>0</v>
      </c>
      <c r="Y40" s="92">
        <f>COUNTIFS('OB History'!$B:$B,$A$40,'OB History'!T:T, 1)</f>
        <v>0</v>
      </c>
      <c r="Z40" s="92">
        <f>COUNTIFS('OB History'!$B:$B,$A$40,'OB History'!U:U, 1)</f>
        <v>0</v>
      </c>
      <c r="AA40" s="92">
        <f>COUNTIFS('OB History'!$B:$B,$A$40,'OB History'!V:V, 1)</f>
        <v>0</v>
      </c>
      <c r="AB40" s="92">
        <f>COUNTIFS('OB History'!$B:$B,$A$40,'OB History'!W:W, 1)</f>
        <v>0</v>
      </c>
      <c r="AC40" s="92">
        <f>COUNTIFS('OB History'!$B:$B,$A$40,'OB History'!X:X, 1)</f>
        <v>0</v>
      </c>
      <c r="AD40" s="92">
        <f>COUNTIFS('OB History'!$B:$B,$A$40,'OB History'!Y:Y, 1)</f>
        <v>1</v>
      </c>
      <c r="AE40" s="92">
        <f>COUNTIFS('OB History'!$B:$B,$A$40,'OB History'!Z:Z, 1)</f>
        <v>0</v>
      </c>
    </row>
    <row r="41" spans="1:31" ht="15.75" thickBot="1" x14ac:dyDescent="0.3">
      <c r="A41" s="2" t="s">
        <v>55</v>
      </c>
      <c r="B41" s="2" t="s">
        <v>79</v>
      </c>
      <c r="C41" s="2" t="s">
        <v>79</v>
      </c>
      <c r="D41" s="89">
        <f>SUMIFS('OB History'!C:C,'OB History'!B:B,A41)</f>
        <v>83</v>
      </c>
      <c r="E41" s="90">
        <f>AVERAGEIFS('OB History'!C:C,'OB History'!B:B,A41)</f>
        <v>10.375</v>
      </c>
      <c r="F41" s="91">
        <f t="array" ref="F41">MAX(IF('OB History'!B:B=A41, 'OB History'!C:C))</f>
        <v>18</v>
      </c>
      <c r="G41" s="89">
        <f>COUNTIFS('OB History'!B:B,A41,'OB History'!D:D, 1)</f>
        <v>5</v>
      </c>
      <c r="H41" s="92">
        <f>COUNTIFS('OB History'!B:B,A41,'OB History'!D:D, 0)</f>
        <v>3</v>
      </c>
      <c r="I41" s="45">
        <f t="shared" si="0"/>
        <v>0.625</v>
      </c>
      <c r="J41" s="89">
        <f>SUMIFS('OB History'!F:F,'OB History'!B:B,A41)</f>
        <v>18</v>
      </c>
      <c r="K41" s="92">
        <f>SUMIFS('OB History'!E:E,'OB History'!B:B,A41)-J41</f>
        <v>16</v>
      </c>
      <c r="L41" s="45">
        <f t="shared" si="1"/>
        <v>0.52941176470588236</v>
      </c>
      <c r="M41" s="89">
        <f>SUMIFS('OB History'!H:H,'OB History'!B:B,'Old Bow v2'!A41)</f>
        <v>69</v>
      </c>
      <c r="N41" s="92">
        <f>SUMIFS('OB History'!G:G,'OB History'!B:B,'Old Bow v2'!A41)-M41</f>
        <v>68</v>
      </c>
      <c r="O41" s="45">
        <f t="shared" si="2"/>
        <v>0.5036496350364964</v>
      </c>
      <c r="P41" s="92">
        <f>COUNTIFS('OB History'!$B:$B,$A$41,'OB History'!K:K, 1)</f>
        <v>1</v>
      </c>
      <c r="Q41" s="92">
        <f>COUNTIFS('OB History'!$B:$B,$A$41,'OB History'!L:L, 1)</f>
        <v>0</v>
      </c>
      <c r="R41" s="92">
        <f>COUNTIFS('OB History'!$B:$B,$A$41,'OB History'!M:M, 1)</f>
        <v>0</v>
      </c>
      <c r="S41" s="92">
        <f>COUNTIFS('OB History'!$B:$B,$A$41,'OB History'!N:N, 1)</f>
        <v>4</v>
      </c>
      <c r="T41" s="92">
        <f>COUNTIFS('OB History'!$B:$B,$A$41,'OB History'!O:O, 1)</f>
        <v>1</v>
      </c>
      <c r="U41" s="92">
        <f>COUNTIFS('OB History'!$B:$B,$A$41,'OB History'!P:P, 1)</f>
        <v>0</v>
      </c>
      <c r="V41" s="92">
        <f>COUNTIFS('OB History'!$B:$B,$A$41,'OB History'!Q:Q, 1)</f>
        <v>1</v>
      </c>
      <c r="W41" s="92">
        <f>COUNTIFS('OB History'!$B:$B,$A$41,'OB History'!R:R, 1)</f>
        <v>0</v>
      </c>
      <c r="X41" s="92">
        <f>COUNTIFS('OB History'!$B:$B,$A$41,'OB History'!S:S, 1)</f>
        <v>0</v>
      </c>
      <c r="Y41" s="92">
        <f>COUNTIFS('OB History'!$B:$B,$A$41,'OB History'!T:T, 1)</f>
        <v>0</v>
      </c>
      <c r="Z41" s="92">
        <f>COUNTIFS('OB History'!$B:$B,$A$41,'OB History'!U:U, 1)</f>
        <v>0</v>
      </c>
      <c r="AA41" s="92">
        <f>COUNTIFS('OB History'!$B:$B,$A$41,'OB History'!V:V, 1)</f>
        <v>0</v>
      </c>
      <c r="AB41" s="92">
        <f>COUNTIFS('OB History'!$B:$B,$A$41,'OB History'!W:W, 1)</f>
        <v>3</v>
      </c>
      <c r="AC41" s="92">
        <f>COUNTIFS('OB History'!$B:$B,$A$41,'OB History'!X:X, 1)</f>
        <v>4</v>
      </c>
      <c r="AD41" s="92">
        <f>COUNTIFS('OB History'!$B:$B,$A$41,'OB History'!Y:Y, 1)</f>
        <v>1</v>
      </c>
      <c r="AE41" s="92">
        <f>COUNTIFS('OB History'!$B:$B,$A$41,'OB History'!Z:Z, 1)</f>
        <v>2</v>
      </c>
    </row>
    <row r="47" spans="1:31" x14ac:dyDescent="0.25">
      <c r="F47" s="81"/>
    </row>
    <row r="49" spans="6:6" x14ac:dyDescent="0.25">
      <c r="F49" s="81"/>
    </row>
  </sheetData>
  <autoFilter ref="A1:AE41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0" t="s">
        <v>119</v>
      </c>
      <c r="B4" s="101"/>
      <c r="C4" s="101"/>
    </row>
    <row r="5" spans="1:3" x14ac:dyDescent="0.25">
      <c r="A5" s="100" t="s">
        <v>120</v>
      </c>
      <c r="B5" s="101"/>
      <c r="C5" s="101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3" t="s">
        <v>7</v>
      </c>
      <c r="D1" s="104"/>
      <c r="E1" s="104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4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5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6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6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6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6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6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6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6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6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5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2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2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2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2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2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2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2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2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389"/>
  <sheetViews>
    <sheetView workbookViewId="0">
      <pane ySplit="1" topLeftCell="A2" activePane="bottomLeft" state="frozen"/>
      <selection pane="bottomLeft" activeCell="B390" sqref="B390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9" t="s">
        <v>148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>
        <f>AVERAGEIFS($C$2:C2, $B$2:B2, B2)</f>
        <v>30</v>
      </c>
      <c r="AB2">
        <f>AVERAGEIFS($I$2:I2, $B$2:B2, B2)</f>
        <v>0.75</v>
      </c>
      <c r="AC2">
        <f>AVERAGEIFS($J$2:J2, $B$2:B2, B2)</f>
        <v>0.63</v>
      </c>
      <c r="AD2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>
        <f>AVERAGEIFS($C$2:C3, $B$2:B3, B3)</f>
        <v>28</v>
      </c>
      <c r="AB3">
        <f>AVERAGEIFS($I$2:I3, $B$2:B3, B3)</f>
        <v>0.75</v>
      </c>
      <c r="AC3">
        <f>AVERAGEIFS($J$2:J3, $B$2:B3, B3)</f>
        <v>0.63</v>
      </c>
      <c r="AD3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>
        <f>AVERAGEIFS($C$2:C4, $B$2:B4, B4)</f>
        <v>26</v>
      </c>
      <c r="AB4">
        <f>AVERAGEIFS($I$2:I4, $B$2:B4, B4)</f>
        <v>0.75</v>
      </c>
      <c r="AC4">
        <f>AVERAGEIFS($J$2:J4, $B$2:B4, B4)</f>
        <v>0.63</v>
      </c>
      <c r="AD4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>
        <f>AVERAGEIFS($C$2:C5, $B$2:B5, B5)</f>
        <v>25</v>
      </c>
      <c r="AB5">
        <f>AVERAGEIFS($I$2:I5, $B$2:B5, B5)</f>
        <v>0.75</v>
      </c>
      <c r="AC5">
        <f>AVERAGEIFS($J$2:J5, $B$2:B5, B5)</f>
        <v>0.63</v>
      </c>
      <c r="AD5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>
        <f>AVERAGEIFS($C$2:C6, $B$2:B6, B6)</f>
        <v>21</v>
      </c>
      <c r="AB6">
        <f>AVERAGEIFS($I$2:I6, $B$2:B6, B6)</f>
        <v>0.75</v>
      </c>
      <c r="AC6">
        <f>AVERAGEIFS($J$2:J6, $B$2:B6, B6)</f>
        <v>0.63</v>
      </c>
      <c r="AD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>
        <f>AVERAGEIFS($C$2:C7, $B$2:B7, B7)</f>
        <v>14</v>
      </c>
      <c r="AB7">
        <f>AVERAGEIFS($I$2:I7, $B$2:B7, B7)</f>
        <v>0.75</v>
      </c>
      <c r="AC7">
        <f>AVERAGEIFS($J$2:J7, $B$2:B7, B7)</f>
        <v>0.63</v>
      </c>
      <c r="AD7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>
        <f>AVERAGEIFS($C$2:C8, $B$2:B8, B8)</f>
        <v>12</v>
      </c>
      <c r="AB8">
        <f>AVERAGEIFS($I$2:I8, $B$2:B8, B8)</f>
        <v>0.75</v>
      </c>
      <c r="AC8">
        <f>AVERAGEIFS($J$2:J8, $B$2:B8, B8)</f>
        <v>0.63</v>
      </c>
      <c r="AD8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>
        <f>AVERAGEIFS($C$2:C9, $B$2:B9, B9)</f>
        <v>10</v>
      </c>
      <c r="AB9">
        <f>AVERAGEIFS($I$2:I9, $B$2:B9, B9)</f>
        <v>0.75</v>
      </c>
      <c r="AC9">
        <f>AVERAGEIFS($J$2:J9, $B$2:B9, B9)</f>
        <v>0.63</v>
      </c>
      <c r="AD9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f>AVERAGEIFS($C$2:C10, $B$2:B10, B10)</f>
        <v>35</v>
      </c>
      <c r="AB10">
        <f>AVERAGEIFS($I$2:I10, $B$2:B10, B10)</f>
        <v>0.25</v>
      </c>
      <c r="AC10">
        <f>AVERAGEIFS($J$2:J10, $B$2:B10, B10)</f>
        <v>0.38</v>
      </c>
      <c r="AD10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f>AVERAGEIFS($C$2:C11, $B$2:B11, B11)</f>
        <v>23</v>
      </c>
      <c r="AB11">
        <f>AVERAGEIFS($I$2:I11, $B$2:B11, B11)</f>
        <v>0.25</v>
      </c>
      <c r="AC11">
        <f>AVERAGEIFS($J$2:J11, $B$2:B11, B11)</f>
        <v>0.38</v>
      </c>
      <c r="AD11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f>AVERAGEIFS($C$2:C12, $B$2:B12, B12)</f>
        <v>20</v>
      </c>
      <c r="AB12">
        <f>AVERAGEIFS($I$2:I12, $B$2:B12, B12)</f>
        <v>0.25</v>
      </c>
      <c r="AC12">
        <f>AVERAGEIFS($J$2:J12, $B$2:B12, B12)</f>
        <v>0.38</v>
      </c>
      <c r="AD12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f>AVERAGEIFS($C$2:C13, $B$2:B13, B13)</f>
        <v>19</v>
      </c>
      <c r="AB13">
        <f>AVERAGEIFS($I$2:I13, $B$2:B13, B13)</f>
        <v>0.25</v>
      </c>
      <c r="AC13">
        <f>AVERAGEIFS($J$2:J13, $B$2:B13, B13)</f>
        <v>0.38</v>
      </c>
      <c r="AD13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f>AVERAGEIFS($C$2:C14, $B$2:B14, B14)</f>
        <v>19</v>
      </c>
      <c r="AB14">
        <f>AVERAGEIFS($I$2:I14, $B$2:B14, B14)</f>
        <v>0.25</v>
      </c>
      <c r="AC14">
        <f>AVERAGEIFS($J$2:J14, $B$2:B14, B14)</f>
        <v>0.38</v>
      </c>
      <c r="AD14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f>AVERAGEIFS($C$2:C15, $B$2:B15, B15)</f>
        <v>11</v>
      </c>
      <c r="AB15">
        <f>AVERAGEIFS($I$2:I15, $B$2:B15, B15)</f>
        <v>0.25</v>
      </c>
      <c r="AC15">
        <f>AVERAGEIFS($J$2:J15, $B$2:B15, B15)</f>
        <v>0.38</v>
      </c>
      <c r="AD15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f>AVERAGEIFS($C$2:C16, $B$2:B16, B16)</f>
        <v>6</v>
      </c>
      <c r="AB16">
        <f>AVERAGEIFS($I$2:I16, $B$2:B16, B16)</f>
        <v>0.25</v>
      </c>
      <c r="AC16">
        <f>AVERAGEIFS($J$2:J16, $B$2:B16, B16)</f>
        <v>0.38</v>
      </c>
      <c r="AD1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>
        <f>AVERAGEIFS($C$2:C17, $B$2:B17, B17)</f>
        <v>26</v>
      </c>
      <c r="AB17">
        <f>AVERAGEIFS($I$2:I17, $B$2:B17, B17)</f>
        <v>0.42499999999999999</v>
      </c>
      <c r="AC17">
        <f>AVERAGEIFS($J$2:J17, $B$2:B17, B17)</f>
        <v>0.45500000000000002</v>
      </c>
      <c r="AD17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>
        <f>AVERAGEIFS($C$2:C18, $B$2:B18, B18)</f>
        <v>22</v>
      </c>
      <c r="AB18">
        <f>AVERAGEIFS($I$2:I18, $B$2:B18, B18)</f>
        <v>0.67500000000000004</v>
      </c>
      <c r="AC18">
        <f>AVERAGEIFS($J$2:J18, $B$2:B18, B18)</f>
        <v>0.58000000000000007</v>
      </c>
      <c r="AD18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>
        <f>AVERAGEIFS($C$2:C19, $B$2:B19, B19)</f>
        <v>14</v>
      </c>
      <c r="AB19">
        <f>AVERAGEIFS($I$2:I19, $B$2:B19, B19)</f>
        <v>0.67500000000000004</v>
      </c>
      <c r="AC19">
        <f>AVERAGEIFS($J$2:J19, $B$2:B19, B19)</f>
        <v>0.58000000000000007</v>
      </c>
      <c r="AD19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f>AVERAGEIFS($C$2:C20, $B$2:B20, B20)</f>
        <v>15</v>
      </c>
      <c r="AB20">
        <f>AVERAGEIFS($I$2:I20, $B$2:B20, B20)</f>
        <v>0.42499999999999999</v>
      </c>
      <c r="AC20">
        <f>AVERAGEIFS($J$2:J20, $B$2:B20, B20)</f>
        <v>0.45500000000000002</v>
      </c>
      <c r="AD20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>
        <f>AVERAGEIFS($C$2:C21, $B$2:B21, B21)</f>
        <v>14.5</v>
      </c>
      <c r="AB21">
        <f>AVERAGEIFS($I$2:I21, $B$2:B21, B21)</f>
        <v>0.67500000000000004</v>
      </c>
      <c r="AC21">
        <f>AVERAGEIFS($J$2:J21, $B$2:B21, B21)</f>
        <v>0.58000000000000007</v>
      </c>
      <c r="AD21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>
        <f>AVERAGEIFS($C$2:C22, $B$2:B22, B22)</f>
        <v>21.5</v>
      </c>
      <c r="AB22">
        <f>AVERAGEIFS($I$2:I22, $B$2:B22, B22)</f>
        <v>0.32500000000000001</v>
      </c>
      <c r="AC22">
        <f>AVERAGEIFS($J$2:J22, $B$2:B22, B22)</f>
        <v>0.42499999999999999</v>
      </c>
      <c r="AD22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>
        <f>AVERAGEIFS($C$2:C23, $B$2:B23, B23)</f>
        <v>24</v>
      </c>
      <c r="AB23">
        <f>AVERAGEIFS($I$2:I23, $B$2:B23, B23)</f>
        <v>0.57499999999999996</v>
      </c>
      <c r="AC23">
        <f>AVERAGEIFS($J$2:J23, $B$2:B23, B23)</f>
        <v>0.55000000000000004</v>
      </c>
      <c r="AD23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>
        <f>AVERAGEIFS($C$2:C24, $B$2:B24, B24)</f>
        <v>14</v>
      </c>
      <c r="AB24">
        <f>AVERAGEIFS($I$2:I24, $B$2:B24, B24)</f>
        <v>0.4</v>
      </c>
      <c r="AC24">
        <f>AVERAGEIFS($J$2:J24, $B$2:B24, B24)</f>
        <v>0.47</v>
      </c>
      <c r="AD24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>
        <f>AVERAGEIFS($C$2:C25, $B$2:B25, B25)</f>
        <v>7.5</v>
      </c>
      <c r="AB25">
        <f>AVERAGEIFS($I$2:I25, $B$2:B25, B25)</f>
        <v>0.32500000000000001</v>
      </c>
      <c r="AC25">
        <f>AVERAGEIFS($J$2:J25, $B$2:B25, B25)</f>
        <v>0.42499999999999999</v>
      </c>
      <c r="AD25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f>AVERAGEIFS($C$2:C26, $B$2:B26, B26)</f>
        <v>10</v>
      </c>
      <c r="AB26">
        <f>AVERAGEIFS($I$2:I26, $B$2:B26, B26)</f>
        <v>0.32500000000000001</v>
      </c>
      <c r="AC26">
        <f>AVERAGEIFS($J$2:J26, $B$2:B26, B26)</f>
        <v>0.42499999999999999</v>
      </c>
      <c r="AD2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f>AVERAGEIFS($C$2:C27, $B$2:B27, B27)</f>
        <v>25</v>
      </c>
      <c r="AB27">
        <f>AVERAGEIFS($I$2:I27, $B$2:B27, B27)</f>
        <v>0.46666666666666662</v>
      </c>
      <c r="AC27">
        <f>AVERAGEIFS($J$2:J27, $B$2:B27, B27)</f>
        <v>0.51333333333333331</v>
      </c>
      <c r="AD27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f>AVERAGEIFS($C$2:C28, $B$2:B28, B28)</f>
        <v>23.666666666666668</v>
      </c>
      <c r="AB28">
        <f>AVERAGEIFS($I$2:I28, $B$2:B28, B28)</f>
        <v>0.6333333333333333</v>
      </c>
      <c r="AC28">
        <f>AVERAGEIFS($J$2:J28, $B$2:B28, B28)</f>
        <v>0.59666666666666668</v>
      </c>
      <c r="AD28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f>AVERAGEIFS($C$2:C29, $B$2:B29, B29)</f>
        <v>21</v>
      </c>
      <c r="AB29">
        <f>AVERAGEIFS($I$2:I29, $B$2:B29, B29)</f>
        <v>0.75</v>
      </c>
      <c r="AC29">
        <f>AVERAGEIFS($J$2:J29, $B$2:B29, B29)</f>
        <v>0.69</v>
      </c>
      <c r="AD29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f>AVERAGEIFS($C$2:C30, $B$2:B30, B30)</f>
        <v>23</v>
      </c>
      <c r="AB30">
        <f>AVERAGEIFS($I$2:I30, $B$2:B30, B30)</f>
        <v>0.75</v>
      </c>
      <c r="AC30">
        <f>AVERAGEIFS($J$2:J30, $B$2:B30, B30)</f>
        <v>0.65999999999999992</v>
      </c>
      <c r="AD30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>
        <f>AVERAGEIFS($C$2:C31, $B$2:B31, B31)</f>
        <v>12</v>
      </c>
      <c r="AB31">
        <f>AVERAGEIFS($I$2:I31, $B$2:B31, B31)</f>
        <v>0.46666666666666662</v>
      </c>
      <c r="AC31">
        <f>AVERAGEIFS($J$2:J31, $B$2:B31, B31)</f>
        <v>0.51333333333333331</v>
      </c>
      <c r="AD31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f>AVERAGEIFS($C$2:C32, $B$2:B32, B32)</f>
        <v>10</v>
      </c>
      <c r="AB32">
        <f>AVERAGEIFS($I$2:I32, $B$2:B32, B32)</f>
        <v>0.46666666666666662</v>
      </c>
      <c r="AC32">
        <f>AVERAGEIFS($J$2:J32, $B$2:B32, B32)</f>
        <v>0.51333333333333331</v>
      </c>
      <c r="AD32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>
        <f>AVERAGEIFS($C$2:C33, $B$2:B33, B33)</f>
        <v>13</v>
      </c>
      <c r="AB33">
        <f>AVERAGEIFS($I$2:I33, $B$2:B33, B33)</f>
        <v>0.75</v>
      </c>
      <c r="AC33">
        <f>AVERAGEIFS($J$2:J33, $B$2:B33, B33)</f>
        <v>0.65999999999999992</v>
      </c>
      <c r="AD33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f>AVERAGEIFS($C$2:C34, $B$2:B34, B34)</f>
        <v>12</v>
      </c>
      <c r="AB34">
        <f>AVERAGEIFS($I$2:I34, $B$2:B34, B34)</f>
        <v>0.57499999999999996</v>
      </c>
      <c r="AC34">
        <f>AVERAGEIFS($J$2:J34, $B$2:B34, B34)</f>
        <v>0.57999999999999996</v>
      </c>
      <c r="AD34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f>AVERAGEIFS($C$2:C35, $B$2:B35, B35)</f>
        <v>27.5</v>
      </c>
      <c r="AB35">
        <f>AVERAGEIFS($I$2:I35, $B$2:B35, B35)</f>
        <v>0.5</v>
      </c>
      <c r="AC35">
        <f>AVERAGEIFS($J$2:J35, $B$2:B35, B35)</f>
        <v>0.47</v>
      </c>
      <c r="AD35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>
        <f>AVERAGEIFS($C$2:C36, $B$2:B36, B36)</f>
        <v>29.5</v>
      </c>
      <c r="AB36">
        <f>AVERAGEIFS($I$2:I36, $B$2:B36, B36)</f>
        <v>0.25</v>
      </c>
      <c r="AC36">
        <f>AVERAGEIFS($J$2:J36, $B$2:B36, B36)</f>
        <v>0.34499999999999997</v>
      </c>
      <c r="AD3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>
        <f>AVERAGEIFS($C$2:C37, $B$2:B37, B37)</f>
        <v>20</v>
      </c>
      <c r="AB37">
        <f>AVERAGEIFS($I$2:I37, $B$2:B37, B37)</f>
        <v>0.25</v>
      </c>
      <c r="AC37">
        <f>AVERAGEIFS($J$2:J37, $B$2:B37, B37)</f>
        <v>0.31</v>
      </c>
      <c r="AD37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>
        <f>AVERAGEIFS($C$2:C38, $B$2:B38, B38)</f>
        <v>16</v>
      </c>
      <c r="AB38">
        <f>AVERAGEIFS($I$2:I38, $B$2:B38, B38)</f>
        <v>0.25</v>
      </c>
      <c r="AC38">
        <f>AVERAGEIFS($J$2:J38, $B$2:B38, B38)</f>
        <v>0.31</v>
      </c>
      <c r="AD38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>
        <f>AVERAGEIFS($C$2:C39, $B$2:B39, B39)</f>
        <v>15</v>
      </c>
      <c r="AB39">
        <f>AVERAGEIFS($I$2:I39, $B$2:B39, B39)</f>
        <v>0.25</v>
      </c>
      <c r="AC39">
        <f>AVERAGEIFS($J$2:J39, $B$2:B39, B39)</f>
        <v>0.31</v>
      </c>
      <c r="AD39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f>AVERAGEIFS($C$2:C40, $B$2:B40, B40)</f>
        <v>12</v>
      </c>
      <c r="AB40">
        <f>AVERAGEIFS($I$2:I40, $B$2:B40, B40)</f>
        <v>0.25</v>
      </c>
      <c r="AC40">
        <f>AVERAGEIFS($J$2:J40, $B$2:B40, B40)</f>
        <v>0.31</v>
      </c>
      <c r="AD40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>
        <f>AVERAGEIFS($C$2:C41, $B$2:B41, B41)</f>
        <v>13.333333333333334</v>
      </c>
      <c r="AB41">
        <f>AVERAGEIFS($I$2:I41, $B$2:B41, B41)</f>
        <v>0.53333333333333333</v>
      </c>
      <c r="AC41">
        <f>AVERAGEIFS($J$2:J41, $B$2:B41, B41)</f>
        <v>0.49000000000000005</v>
      </c>
      <c r="AD41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>
        <f>AVERAGEIFS($C$2:C42, $B$2:B42, B42)</f>
        <v>8</v>
      </c>
      <c r="AB42">
        <f>AVERAGEIFS($I$2:I42, $B$2:B42, B42)</f>
        <v>0.5</v>
      </c>
      <c r="AC42">
        <f>AVERAGEIFS($J$2:J42, $B$2:B42, B42)</f>
        <v>0.47</v>
      </c>
      <c r="AD42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>
        <f>AVERAGEIFS($C$2:C43, $B$2:B43, B43)</f>
        <v>20</v>
      </c>
      <c r="AB43">
        <f>AVERAGEIFS($I$2:I43, $B$2:B43, B43)</f>
        <v>0.42499999999999999</v>
      </c>
      <c r="AC43">
        <f>AVERAGEIFS($J$2:J43, $B$2:B43, B43)</f>
        <v>0.43999999999999995</v>
      </c>
      <c r="AD43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>
        <f>AVERAGEIFS($C$2:C44, $B$2:B44, B44)</f>
        <v>22.75</v>
      </c>
      <c r="AB44">
        <f>AVERAGEIFS($I$2:I44, $B$2:B44, B44)</f>
        <v>0.625</v>
      </c>
      <c r="AC44">
        <f>AVERAGEIFS($J$2:J44, $B$2:B44, B44)</f>
        <v>0.59</v>
      </c>
      <c r="AD44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>
        <f>AVERAGEIFS($C$2:C45, $B$2:B45, B45)</f>
        <v>25.333333333333332</v>
      </c>
      <c r="AB45">
        <f>AVERAGEIFS($I$2:I45, $B$2:B45, B45)</f>
        <v>0.3666666666666667</v>
      </c>
      <c r="AC45">
        <f>AVERAGEIFS($J$2:J45, $B$2:B45, B45)</f>
        <v>0.41999999999999993</v>
      </c>
      <c r="AD45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>
        <f>AVERAGEIFS($C$2:C46, $B$2:B46, B46)</f>
        <v>16.5</v>
      </c>
      <c r="AB46">
        <f>AVERAGEIFS($I$2:I46, $B$2:B46, B46)</f>
        <v>0.67500000000000004</v>
      </c>
      <c r="AC46">
        <f>AVERAGEIFS($J$2:J46, $B$2:B46, B46)</f>
        <v>0.62999999999999989</v>
      </c>
      <c r="AD4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>
        <f>AVERAGEIFS($C$2:C47, $B$2:B47, B47)</f>
        <v>10.25</v>
      </c>
      <c r="AB47">
        <f>AVERAGEIFS($I$2:I47, $B$2:B47, B47)</f>
        <v>0.5</v>
      </c>
      <c r="AC47">
        <f>AVERAGEIFS($J$2:J47, $B$2:B47, B47)</f>
        <v>0.52749999999999997</v>
      </c>
      <c r="AD47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>
        <f>AVERAGEIFS($C$2:C48, $B$2:B48, B48)</f>
        <v>25.5</v>
      </c>
      <c r="AB48">
        <f>AVERAGEIFS($I$2:I48, $B$2:B48, B48)</f>
        <v>0.44999999999999996</v>
      </c>
      <c r="AC48">
        <f>AVERAGEIFS($J$2:J48, $B$2:B48, B48)</f>
        <v>0.49249999999999999</v>
      </c>
      <c r="AD48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>
        <f>AVERAGEIFS($C$2:C49, $B$2:B49, B49)</f>
        <v>22</v>
      </c>
      <c r="AB49">
        <f>AVERAGEIFS($I$2:I49, $B$2:B49, B49)</f>
        <v>0.58333333333333337</v>
      </c>
      <c r="AC49">
        <f>AVERAGEIFS($J$2:J49, $B$2:B49, B49)</f>
        <v>0.53</v>
      </c>
      <c r="AD49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>
        <f>AVERAGEIFS($C$2:C50, $B$2:B50, B50)</f>
        <v>22.333333333333332</v>
      </c>
      <c r="AB50">
        <f>AVERAGEIFS($I$2:I50, $B$2:B50, B50)</f>
        <v>0.6333333333333333</v>
      </c>
      <c r="AC50">
        <f>AVERAGEIFS($J$2:J50, $B$2:B50, B50)</f>
        <v>0.58333333333333326</v>
      </c>
      <c r="AD50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>
        <f>AVERAGEIFS($C$2:C51, $B$2:B51, B51)</f>
        <v>10.333333333333334</v>
      </c>
      <c r="AB51">
        <f>AVERAGEIFS($I$2:I51, $B$2:B51, B51)</f>
        <v>0.6333333333333333</v>
      </c>
      <c r="AC51">
        <f>AVERAGEIFS($J$2:J51, $B$2:B51, B51)</f>
        <v>0.58333333333333326</v>
      </c>
      <c r="AD51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>
        <f>AVERAGEIFS($C$2:C52, $B$2:B52, B52)</f>
        <v>10</v>
      </c>
      <c r="AB52">
        <f>AVERAGEIFS($I$2:I52, $B$2:B52, B52)</f>
        <v>0.32500000000000001</v>
      </c>
      <c r="AC52">
        <f>AVERAGEIFS($J$2:J52, $B$2:B52, B52)</f>
        <v>0.37</v>
      </c>
      <c r="AD52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>
        <f>AVERAGEIFS($C$2:C53, $B$2:B53, B53)</f>
        <v>24</v>
      </c>
      <c r="AB53">
        <f>AVERAGEIFS($I$2:I53, $B$2:B53, B53)</f>
        <v>0.58750000000000002</v>
      </c>
      <c r="AC53">
        <f>AVERAGEIFS($J$2:J53, $B$2:B53, B53)</f>
        <v>0.54500000000000004</v>
      </c>
      <c r="AD53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>
        <f>AVERAGEIFS($C$2:C54, $B$2:B54, B54)</f>
        <v>25.6</v>
      </c>
      <c r="AB54">
        <f>AVERAGEIFS($I$2:I54, $B$2:B54, B54)</f>
        <v>0.48</v>
      </c>
      <c r="AC54">
        <f>AVERAGEIFS($J$2:J54, $B$2:B54, B54)</f>
        <v>0.51200000000000001</v>
      </c>
      <c r="AD54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>
        <f>AVERAGEIFS($C$2:C55, $B$2:B55, B55)</f>
        <v>12.333333333333334</v>
      </c>
      <c r="AB55">
        <f>AVERAGEIFS($I$2:I55, $B$2:B55, B55)</f>
        <v>0.41666666666666669</v>
      </c>
      <c r="AC55">
        <f>AVERAGEIFS($J$2:J55, $B$2:B55, B55)</f>
        <v>0.44333333333333336</v>
      </c>
      <c r="AD55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>
        <f>AVERAGEIFS($C$2:C56, $B$2:B56, B56)</f>
        <v>13.5</v>
      </c>
      <c r="AB56">
        <f>AVERAGEIFS($I$2:I56, $B$2:B56, B56)</f>
        <v>0.55000000000000004</v>
      </c>
      <c r="AC56">
        <f>AVERAGEIFS($J$2:J56, $B$2:B56, B56)</f>
        <v>0.51500000000000001</v>
      </c>
      <c r="AD5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>
        <f>AVERAGEIFS($C$2:C57, $B$2:B57, B57)</f>
        <v>13</v>
      </c>
      <c r="AB57">
        <f>AVERAGEIFS($I$2:I57, $B$2:B57, B57)</f>
        <v>0.6</v>
      </c>
      <c r="AC57">
        <f>AVERAGEIFS($J$2:J57, $B$2:B57, B57)</f>
        <v>0.59</v>
      </c>
      <c r="AD57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>
        <f>AVERAGEIFS($C$2:C58, $B$2:B58, B58)</f>
        <v>12</v>
      </c>
      <c r="AB58">
        <f>AVERAGEIFS($I$2:I58, $B$2:B58, B58)</f>
        <v>0.6</v>
      </c>
      <c r="AC58">
        <f>AVERAGEIFS($J$2:J58, $B$2:B58, B58)</f>
        <v>0.59</v>
      </c>
      <c r="AD58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>
        <f>AVERAGEIFS($C$2:C59, $B$2:B59, B59)</f>
        <v>30</v>
      </c>
      <c r="AB59">
        <f>AVERAGEIFS($I$2:I59, $B$2:B59, B59)</f>
        <v>0.4</v>
      </c>
      <c r="AC59">
        <f>AVERAGEIFS($J$2:J59, $B$2:B59, B59)</f>
        <v>0.41</v>
      </c>
      <c r="AD59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>
        <f>AVERAGEIFS($C$2:C60, $B$2:B60, B60)</f>
        <v>22.8</v>
      </c>
      <c r="AB60">
        <f>AVERAGEIFS($I$2:I60, $B$2:B60, B60)</f>
        <v>0.57999999999999996</v>
      </c>
      <c r="AC60">
        <f>AVERAGEIFS($J$2:J60, $B$2:B60, B60)</f>
        <v>0.55400000000000005</v>
      </c>
      <c r="AD60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>
        <f>AVERAGEIFS($C$2:C61, $B$2:B61, B61)</f>
        <v>24.25</v>
      </c>
      <c r="AB61">
        <f>AVERAGEIFS($I$2:I61, $B$2:B61, B61)</f>
        <v>0.375</v>
      </c>
      <c r="AC61">
        <f>AVERAGEIFS($J$2:J61, $B$2:B61, B61)</f>
        <v>0.41749999999999993</v>
      </c>
      <c r="AD61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>
        <f>AVERAGEIFS($C$2:C62, $B$2:B62, B62)</f>
        <v>10.75</v>
      </c>
      <c r="AB62">
        <f>AVERAGEIFS($I$2:I62, $B$2:B62, B62)</f>
        <v>0.57499999999999996</v>
      </c>
      <c r="AC62">
        <f>AVERAGEIFS($J$2:J62, $B$2:B62, B62)</f>
        <v>0.53999999999999992</v>
      </c>
      <c r="AD62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>
        <f>AVERAGEIFS($C$2:C63, $B$2:B63, B63)</f>
        <v>9.8000000000000007</v>
      </c>
      <c r="AB63">
        <f>AVERAGEIFS($I$2:I63, $B$2:B63, B63)</f>
        <v>0.48</v>
      </c>
      <c r="AC63">
        <f>AVERAGEIFS($J$2:J63, $B$2:B63, B63)</f>
        <v>0.504</v>
      </c>
      <c r="AD63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>
        <f>AVERAGEIFS($C$2:C64, $B$2:B64, B64)</f>
        <v>8</v>
      </c>
      <c r="AB64">
        <f>AVERAGEIFS($I$2:I64, $B$2:B64, B64)</f>
        <v>0.4</v>
      </c>
      <c r="AC64">
        <f>AVERAGEIFS($J$2:J64, $B$2:B64, B64)</f>
        <v>0.41</v>
      </c>
      <c r="AD64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f>AVERAGEIFS($C$2:C65, $B$2:B65, B65)</f>
        <v>25</v>
      </c>
      <c r="AB65">
        <f>AVERAGEIFS($I$2:I65, $B$2:B65, B65)</f>
        <v>0.52500000000000002</v>
      </c>
      <c r="AC65">
        <f>AVERAGEIFS($J$2:J65, $B$2:B65, B65)</f>
        <v>0.53833333333333333</v>
      </c>
      <c r="AD65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f>AVERAGEIFS($C$2:C66, $B$2:B66, B66)</f>
        <v>12.25</v>
      </c>
      <c r="AB66">
        <f>AVERAGEIFS($I$2:I66, $B$2:B66, B66)</f>
        <v>0.53749999999999998</v>
      </c>
      <c r="AC66">
        <f>AVERAGEIFS($J$2:J66, $B$2:B66, B66)</f>
        <v>0.55249999999999999</v>
      </c>
      <c r="AD6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f>AVERAGEIFS($C$2:C67, $B$2:B67, B67)</f>
        <v>12</v>
      </c>
      <c r="AB67">
        <f>AVERAGEIFS($I$2:I67, $B$2:B67, B67)</f>
        <v>0.67500000000000004</v>
      </c>
      <c r="AC67">
        <f>AVERAGEIFS($J$2:J67, $B$2:B67, B67)</f>
        <v>0.63</v>
      </c>
      <c r="AD67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>
        <f>AVERAGEIFS($C$2:C68, $B$2:B68, B68)</f>
        <v>21.333333333333332</v>
      </c>
      <c r="AB68">
        <f>AVERAGEIFS($I$2:I68, $B$2:B68, B68)</f>
        <v>0.58333333333333337</v>
      </c>
      <c r="AC68">
        <f>AVERAGEIFS($J$2:J68, $B$2:B68, B68)</f>
        <v>0.53666666666666663</v>
      </c>
      <c r="AD68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f>AVERAGEIFS($C$2:C69, $B$2:B69, B69)</f>
        <v>20.333333333333332</v>
      </c>
      <c r="AB69">
        <f>AVERAGEIFS($I$2:I69, $B$2:B69, B69)</f>
        <v>0.60833333333333328</v>
      </c>
      <c r="AC69">
        <f>AVERAGEIFS($J$2:J69, $B$2:B69, B69)</f>
        <v>0.57333333333333336</v>
      </c>
      <c r="AD69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>
        <f>AVERAGEIFS($C$2:C70, $B$2:B70, B70)</f>
        <v>12.2</v>
      </c>
      <c r="AB70">
        <f>AVERAGEIFS($I$2:I70, $B$2:B70, B70)</f>
        <v>0.59000000000000008</v>
      </c>
      <c r="AC70">
        <f>AVERAGEIFS($J$2:J70, $B$2:B70, B70)</f>
        <v>0.54600000000000004</v>
      </c>
      <c r="AD70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>
        <f>AVERAGEIFS($C$2:C71, $B$2:B71, B71)</f>
        <v>22.8</v>
      </c>
      <c r="AB71">
        <f>AVERAGEIFS($I$2:I71, $B$2:B71, B71)</f>
        <v>0.35</v>
      </c>
      <c r="AC71">
        <f>AVERAGEIFS($J$2:J71, $B$2:B71, B71)</f>
        <v>0.39999999999999997</v>
      </c>
      <c r="AD71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>
        <f>AVERAGEIFS($C$2:C72, $B$2:B72, B72)</f>
        <v>22</v>
      </c>
      <c r="AB72">
        <f>AVERAGEIFS($I$2:I72, $B$2:B72, B72)</f>
        <v>0.52</v>
      </c>
      <c r="AC72">
        <f>AVERAGEIFS($J$2:J72, $B$2:B72, B72)</f>
        <v>0.502</v>
      </c>
      <c r="AD72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>
        <f>AVERAGEIFS($C$2:C73, $B$2:B73, B73)</f>
        <v>19.75</v>
      </c>
      <c r="AB73">
        <f>AVERAGEIFS($I$2:I73, $B$2:B73, B73)</f>
        <v>0.53749999999999998</v>
      </c>
      <c r="AC73">
        <f>AVERAGEIFS($J$2:J73, $B$2:B73, B73)</f>
        <v>0.51999999999999991</v>
      </c>
      <c r="AD73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>
        <f>AVERAGEIFS($C$2:C74, $B$2:B74, B74)</f>
        <v>9.6666666666666661</v>
      </c>
      <c r="AB74">
        <f>AVERAGEIFS($I$2:I74, $B$2:B74, B74)</f>
        <v>0.44166666666666665</v>
      </c>
      <c r="AC74">
        <f>AVERAGEIFS($J$2:J74, $B$2:B74, B74)</f>
        <v>0.47500000000000003</v>
      </c>
      <c r="AD74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>
        <f>AVERAGEIFS($C$2:C75, $B$2:B75, B75)</f>
        <v>11</v>
      </c>
      <c r="AB75">
        <f>AVERAGEIFS($I$2:I75, $B$2:B75, B75)</f>
        <v>0.375</v>
      </c>
      <c r="AC75">
        <f>AVERAGEIFS($J$2:J75, $B$2:B75, B75)</f>
        <v>0.41500000000000004</v>
      </c>
      <c r="AD75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>
        <f>AVERAGEIFS($C$2:C76, $B$2:B76, B76)</f>
        <v>6.5</v>
      </c>
      <c r="AB76">
        <f>AVERAGEIFS($I$2:I76, $B$2:B76, B76)</f>
        <v>0.32500000000000001</v>
      </c>
      <c r="AC76">
        <f>AVERAGEIFS($J$2:J76, $B$2:B76, B76)</f>
        <v>0.37</v>
      </c>
      <c r="AD7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>
        <f>AVERAGEIFS($C$2:C77, $B$2:B77, B77)</f>
        <v>25</v>
      </c>
      <c r="AB77">
        <f>AVERAGEIFS($I$2:I77, $B$2:B77, B77)</f>
        <v>0.55714285714285716</v>
      </c>
      <c r="AC77">
        <f>AVERAGEIFS($J$2:J77, $B$2:B77, B77)</f>
        <v>0.53714285714285714</v>
      </c>
      <c r="AD77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>
        <f>AVERAGEIFS($C$2:C78, $B$2:B78, B78)</f>
        <v>19.666666666666668</v>
      </c>
      <c r="AB78">
        <f>AVERAGEIFS($I$2:I78, $B$2:B78, B78)</f>
        <v>0.53333333333333333</v>
      </c>
      <c r="AC78">
        <f>AVERAGEIFS($J$2:J78, $B$2:B78, B78)</f>
        <v>0.47</v>
      </c>
      <c r="AD78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>
        <f>AVERAGEIFS($C$2:C79, $B$2:B79, B79)</f>
        <v>9.6666666666666661</v>
      </c>
      <c r="AB79">
        <f>AVERAGEIFS($I$2:I79, $B$2:B79, B79)</f>
        <v>0.58333333333333337</v>
      </c>
      <c r="AC79">
        <f>AVERAGEIFS($J$2:J79, $B$2:B79, B79)</f>
        <v>0.49</v>
      </c>
      <c r="AD79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>
        <f>AVERAGEIFS($C$2:C80, $B$2:B80, B80)</f>
        <v>20.333333333333332</v>
      </c>
      <c r="AB80">
        <f>AVERAGEIFS($I$2:I80, $B$2:B80, B80)</f>
        <v>0.55833333333333335</v>
      </c>
      <c r="AC80">
        <f>AVERAGEIFS($J$2:J80, $B$2:B80, B80)</f>
        <v>0.50666666666666671</v>
      </c>
      <c r="AD80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>
        <f>AVERAGEIFS($C$2:C81, $B$2:B81, B81)</f>
        <v>10.6</v>
      </c>
      <c r="AB81">
        <f>AVERAGEIFS($I$2:I81, $B$2:B81, B81)</f>
        <v>0.61</v>
      </c>
      <c r="AC81">
        <f>AVERAGEIFS($J$2:J81, $B$2:B81, B81)</f>
        <v>0.53799999999999992</v>
      </c>
      <c r="AD81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>
        <f>AVERAGEIFS($C$2:C82, $B$2:B82, B82)</f>
        <v>11.333333333333334</v>
      </c>
      <c r="AB82">
        <f>AVERAGEIFS($I$2:I82, $B$2:B82, B82)</f>
        <v>0.6333333333333333</v>
      </c>
      <c r="AC82">
        <f>AVERAGEIFS($J$2:J82, $B$2:B82, B82)</f>
        <v>0.56333333333333335</v>
      </c>
      <c r="AD82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f>AVERAGEIFS($C$2:C83, $B$2:B83, B83)</f>
        <v>22.571428571428573</v>
      </c>
      <c r="AB83">
        <f>AVERAGEIFS($I$2:I83, $B$2:B83, B83)</f>
        <v>0.55714285714285716</v>
      </c>
      <c r="AC83">
        <f>AVERAGEIFS($J$2:J83, $B$2:B83, B83)</f>
        <v>0.55857142857142861</v>
      </c>
      <c r="AD83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f>AVERAGEIFS($C$2:C84, $B$2:B84, B84)</f>
        <v>20.5</v>
      </c>
      <c r="AB84">
        <f>AVERAGEIFS($I$2:I84, $B$2:B84, B84)</f>
        <v>0.5</v>
      </c>
      <c r="AC84">
        <f>AVERAGEIFS($J$2:J84, $B$2:B84, B84)</f>
        <v>0.52</v>
      </c>
      <c r="AD84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f>AVERAGEIFS($C$2:C85, $B$2:B85, B85)</f>
        <v>11.833333333333334</v>
      </c>
      <c r="AB85">
        <f>AVERAGEIFS($I$2:I85, $B$2:B85, B85)</f>
        <v>0.53333333333333333</v>
      </c>
      <c r="AC85">
        <f>AVERAGEIFS($J$2:J85, $B$2:B85, B85)</f>
        <v>0.53333333333333333</v>
      </c>
      <c r="AD85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f>AVERAGEIFS($C$2:C86, $B$2:B86, B86)</f>
        <v>9.7142857142857135</v>
      </c>
      <c r="AB86">
        <f>AVERAGEIFS($I$2:I86, $B$2:B86, B86)</f>
        <v>0.41428571428571426</v>
      </c>
      <c r="AC86">
        <f>AVERAGEIFS($J$2:J86, $B$2:B86, B86)</f>
        <v>0.47428571428571431</v>
      </c>
      <c r="AD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f>AVERAGEIFS($C$2:C87, $B$2:B87, B87)</f>
        <v>11.333333333333334</v>
      </c>
      <c r="AB87">
        <f>AVERAGEIFS($I$2:I87, $B$2:B87, B87)</f>
        <v>0.53333333333333333</v>
      </c>
      <c r="AC87">
        <f>AVERAGEIFS($J$2:J87, $B$2:B87, B87)</f>
        <v>0.54333333333333333</v>
      </c>
      <c r="AD87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f>AVERAGEIFS($C$2:C88, $B$2:B88, B88)</f>
        <v>12.5</v>
      </c>
      <c r="AB88">
        <f>AVERAGEIFS($I$2:I88, $B$2:B88, B88)</f>
        <v>0.25</v>
      </c>
      <c r="AC88">
        <f>AVERAGEIFS($J$2:J88, $B$2:B88, B88)</f>
        <v>0.39</v>
      </c>
      <c r="AD88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f>AVERAGEIFS($C$2:C89, $B$2:B89, B89)</f>
        <v>28.125</v>
      </c>
      <c r="AB89">
        <f>AVERAGEIFS($I$2:I89, $B$2:B89, B89)</f>
        <v>0.5625</v>
      </c>
      <c r="AC89">
        <f>AVERAGEIFS($J$2:J89, $B$2:B89, B89)</f>
        <v>0.54125000000000001</v>
      </c>
      <c r="AD89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f>AVERAGEIFS($C$2:C90, $B$2:B90, B90)</f>
        <v>20.5</v>
      </c>
      <c r="AB90">
        <f>AVERAGEIFS($I$2:I90, $B$2:B90, B90)</f>
        <v>0.6</v>
      </c>
      <c r="AC90">
        <f>AVERAGEIFS($J$2:J90, $B$2:B90, B90)</f>
        <v>0.57999999999999996</v>
      </c>
      <c r="AD90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f>AVERAGEIFS($C$2:C91, $B$2:B91, B91)</f>
        <v>21</v>
      </c>
      <c r="AB91">
        <f>AVERAGEIFS($I$2:I91, $B$2:B91, B91)</f>
        <v>0.55000000000000004</v>
      </c>
      <c r="AC91">
        <f>AVERAGEIFS($J$2:J91, $B$2:B91, B91)</f>
        <v>0.52999999999999992</v>
      </c>
      <c r="AD91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f>AVERAGEIFS($C$2:C92, $B$2:B92, B92)</f>
        <v>25</v>
      </c>
      <c r="AB92">
        <f>AVERAGEIFS($I$2:I92, $B$2:B92, B92)</f>
        <v>0.6</v>
      </c>
      <c r="AC92">
        <f>AVERAGEIFS($J$2:J92, $B$2:B92, B92)</f>
        <v>0.56999999999999995</v>
      </c>
      <c r="AD92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f>AVERAGEIFS($C$2:C93, $B$2:B93, B93)</f>
        <v>10.25</v>
      </c>
      <c r="AB93">
        <f>AVERAGEIFS($I$2:I93, $B$2:B93, B93)</f>
        <v>0.58750000000000002</v>
      </c>
      <c r="AC93">
        <f>AVERAGEIFS($J$2:J93, $B$2:B93, B93)</f>
        <v>0.51</v>
      </c>
      <c r="AD93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f>AVERAGEIFS($C$2:C94, $B$2:B94, B94)</f>
        <v>10.5</v>
      </c>
      <c r="AB94">
        <f>AVERAGEIFS($I$2:I94, $B$2:B94, B94)</f>
        <v>0.625</v>
      </c>
      <c r="AC94">
        <f>AVERAGEIFS($J$2:J94, $B$2:B94, B94)</f>
        <v>0.56499999999999995</v>
      </c>
      <c r="AD94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>
        <f>AVERAGEIFS($C$2:C95, $B$2:B95, B95)</f>
        <v>23.875</v>
      </c>
      <c r="AB95">
        <f>AVERAGEIFS($I$2:I95, $B$2:B95, B95)</f>
        <v>0.53749999999999998</v>
      </c>
      <c r="AC95">
        <f>AVERAGEIFS($J$2:J95, $B$2:B95, B95)</f>
        <v>0.54249999999999998</v>
      </c>
      <c r="AD95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>
        <f>AVERAGEIFS($C$2:C96, $B$2:B96, B96)</f>
        <v>22.8</v>
      </c>
      <c r="AB96">
        <f>AVERAGEIFS($I$2:I96, $B$2:B96, B96)</f>
        <v>0.48</v>
      </c>
      <c r="AC96">
        <f>AVERAGEIFS($J$2:J96, $B$2:B96, B96)</f>
        <v>0.502</v>
      </c>
      <c r="AD9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>
        <f>AVERAGEIFS($C$2:C97, $B$2:B97, B97)</f>
        <v>21.5</v>
      </c>
      <c r="AB97">
        <f>AVERAGEIFS($I$2:I97, $B$2:B97, B97)</f>
        <v>0.32500000000000001</v>
      </c>
      <c r="AC97">
        <f>AVERAGEIFS($J$2:J97, $B$2:B97, B97)</f>
        <v>0.40500000000000003</v>
      </c>
      <c r="AD97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>
        <f>AVERAGEIFS($C$2:C98, $B$2:B98, B98)</f>
        <v>17.666666666666668</v>
      </c>
      <c r="AB98">
        <f>AVERAGEIFS($I$2:I98, $B$2:B98, B98)</f>
        <v>0.58333333333333337</v>
      </c>
      <c r="AC98">
        <f>AVERAGEIFS($J$2:J98, $B$2:B98, B98)</f>
        <v>0.56333333333333324</v>
      </c>
      <c r="AD98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>
        <f>AVERAGEIFS($C$2:C99, $B$2:B99, B99)</f>
        <v>13.2</v>
      </c>
      <c r="AB99">
        <f>AVERAGEIFS($I$2:I99, $B$2:B99, B99)</f>
        <v>0.51</v>
      </c>
      <c r="AC99">
        <f>AVERAGEIFS($J$2:J99, $B$2:B99, B99)</f>
        <v>0.52800000000000002</v>
      </c>
      <c r="AD99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>
        <f>AVERAGEIFS($C$2:C100, $B$2:B100, B100)</f>
        <v>10.666666666666666</v>
      </c>
      <c r="AB100">
        <f>AVERAGEIFS($I$2:I100, $B$2:B100, B100)</f>
        <v>0.3</v>
      </c>
      <c r="AC100">
        <f>AVERAGEIFS($J$2:J100, $B$2:B100, B100)</f>
        <v>0.40333333333333332</v>
      </c>
      <c r="AD100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>
        <f>AVERAGEIFS($C$2:C101, $B$2:B101, B101)</f>
        <v>20.75</v>
      </c>
      <c r="AB101">
        <f>AVERAGEIFS($I$2:I101, $B$2:B101, B101)</f>
        <v>0.58750000000000002</v>
      </c>
      <c r="AC101">
        <f>AVERAGEIFS($J$2:J101, $B$2:B101, B101)</f>
        <v>0.50249999999999995</v>
      </c>
      <c r="AD101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>
        <f>AVERAGEIFS($C$2:C102, $B$2:B102, B102)</f>
        <v>17</v>
      </c>
      <c r="AB102">
        <f>AVERAGEIFS($I$2:I102, $B$2:B102, B102)</f>
        <v>0.53333333333333333</v>
      </c>
      <c r="AC102">
        <f>AVERAGEIFS($J$2:J102, $B$2:B102, B102)</f>
        <v>0.5033333333333333</v>
      </c>
      <c r="AD102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>
        <f>AVERAGEIFS($C$2:C103, $B$2:B103, B103)</f>
        <v>22.333333333333332</v>
      </c>
      <c r="AB103">
        <f>AVERAGEIFS($I$2:I103, $B$2:B103, B103)</f>
        <v>0.41666666666666669</v>
      </c>
      <c r="AC103">
        <f>AVERAGEIFS($J$2:J103, $B$2:B103, B103)</f>
        <v>0.43333333333333329</v>
      </c>
      <c r="AD103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>
        <f>AVERAGEIFS($C$2:C104, $B$2:B104, B104)</f>
        <v>12.714285714285714</v>
      </c>
      <c r="AB104">
        <f>AVERAGEIFS($I$2:I104, $B$2:B104, B104)</f>
        <v>0.56428571428571428</v>
      </c>
      <c r="AC104">
        <f>AVERAGEIFS($J$2:J104, $B$2:B104, B104)</f>
        <v>0.54285714285714293</v>
      </c>
      <c r="AD104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>
        <f>AVERAGEIFS($C$2:C105, $B$2:B105, B105)</f>
        <v>10.125</v>
      </c>
      <c r="AB105">
        <f>AVERAGEIFS($I$2:I105, $B$2:B105, B105)</f>
        <v>0.45624999999999999</v>
      </c>
      <c r="AC105">
        <f>AVERAGEIFS($J$2:J105, $B$2:B105, B105)</f>
        <v>0.49000000000000005</v>
      </c>
      <c r="AD105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>
        <f>AVERAGEIFS($C$2:C106, $B$2:B106, B106)</f>
        <v>10.199999999999999</v>
      </c>
      <c r="AB106">
        <f>AVERAGEIFS($I$2:I106, $B$2:B106, B106)</f>
        <v>0.45</v>
      </c>
      <c r="AC106">
        <f>AVERAGEIFS($J$2:J106, $B$2:B106, B106)</f>
        <v>0.45200000000000007</v>
      </c>
      <c r="AD10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f>AVERAGEIFS($C$2:C107, $B$2:B107, B107)</f>
        <v>20.857142857142858</v>
      </c>
      <c r="AB107">
        <f>AVERAGEIFS($I$2:I107, $B$2:B107, B107)</f>
        <v>0.51428571428571435</v>
      </c>
      <c r="AC107">
        <f>AVERAGEIFS($J$2:J107, $B$2:B107, B107)</f>
        <v>0.49142857142857144</v>
      </c>
      <c r="AD107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f>AVERAGEIFS($C$2:C108, $B$2:B108, B108)</f>
        <v>25.333333333333332</v>
      </c>
      <c r="AB108">
        <f>AVERAGEIFS($I$2:I108, $B$2:B108, B108)</f>
        <v>0.3666666666666667</v>
      </c>
      <c r="AC108">
        <f>AVERAGEIFS($J$2:J108, $B$2:B108, B108)</f>
        <v>0.4366666666666667</v>
      </c>
      <c r="AD108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f>AVERAGEIFS($C$2:C109, $B$2:B109, B109)</f>
        <v>23</v>
      </c>
      <c r="AB109">
        <f>AVERAGEIFS($I$2:I109, $B$2:B109, B109)</f>
        <v>0.32500000000000001</v>
      </c>
      <c r="AC109">
        <f>AVERAGEIFS($J$2:J109, $B$2:B109, B109)</f>
        <v>0.40500000000000003</v>
      </c>
      <c r="AD109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f>AVERAGEIFS($C$2:C110, $B$2:B110, B110)</f>
        <v>9</v>
      </c>
      <c r="AB110">
        <f>AVERAGEIFS($I$2:I110, $B$2:B110, B110)</f>
        <v>0.3</v>
      </c>
      <c r="AC110">
        <f>AVERAGEIFS($J$2:J110, $B$2:B110, B110)</f>
        <v>0.38000000000000006</v>
      </c>
      <c r="AD110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f>AVERAGEIFS($C$2:C111, $B$2:B111, B111)</f>
        <v>10.166666666666666</v>
      </c>
      <c r="AB111">
        <f>AVERAGEIFS($I$2:I111, $B$2:B111, B111)</f>
        <v>0.54999999999999993</v>
      </c>
      <c r="AC111">
        <f>AVERAGEIFS($J$2:J111, $B$2:B111, B111)</f>
        <v>0.5149999999999999</v>
      </c>
      <c r="AD111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f>AVERAGEIFS($C$2:C112, $B$2:B112, B112)</f>
        <v>10</v>
      </c>
      <c r="AB112">
        <f>AVERAGEIFS($I$2:I112, $B$2:B112, B112)</f>
        <v>0.46250000000000002</v>
      </c>
      <c r="AC112">
        <f>AVERAGEIFS($J$2:J112, $B$2:B112, B112)</f>
        <v>0.50750000000000006</v>
      </c>
      <c r="AD112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>
        <f>AVERAGEIFS($C$2:C113, $B$2:B113, B113)</f>
        <v>25.222222222222221</v>
      </c>
      <c r="AB113">
        <f>AVERAGEIFS($I$2:I113, $B$2:B113, B113)</f>
        <v>0.56111111111111112</v>
      </c>
      <c r="AC113">
        <f>AVERAGEIFS($J$2:J113, $B$2:B113, B113)</f>
        <v>0.5477777777777777</v>
      </c>
      <c r="AD113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>
        <f>AVERAGEIFS($C$2:C114, $B$2:B114, B114)</f>
        <v>27.555555555555557</v>
      </c>
      <c r="AB114">
        <f>AVERAGEIFS($I$2:I114, $B$2:B114, B114)</f>
        <v>0.58333333333333337</v>
      </c>
      <c r="AC114">
        <f>AVERAGEIFS($J$2:J114, $B$2:B114, B114)</f>
        <v>0.54666666666666663</v>
      </c>
      <c r="AD114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>
        <f>AVERAGEIFS($C$2:C115, $B$2:B115, B115)</f>
        <v>13</v>
      </c>
      <c r="AB115">
        <f>AVERAGEIFS($I$2:I115, $B$2:B115, B115)</f>
        <v>0.41249999999999998</v>
      </c>
      <c r="AC115">
        <f>AVERAGEIFS($J$2:J115, $B$2:B115, B115)</f>
        <v>0.44999999999999996</v>
      </c>
      <c r="AD115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>
        <f>AVERAGEIFS($C$2:C116, $B$2:B116, B116)</f>
        <v>11.8</v>
      </c>
      <c r="AB116">
        <f>AVERAGEIFS($I$2:I116, $B$2:B116, B116)</f>
        <v>0.62</v>
      </c>
      <c r="AC116">
        <f>AVERAGEIFS($J$2:J116, $B$2:B116, B116)</f>
        <v>0.52600000000000002</v>
      </c>
      <c r="AD11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>
        <f>AVERAGEIFS($C$2:C117, $B$2:B117, B117)</f>
        <v>21.833333333333332</v>
      </c>
      <c r="AB117">
        <f>AVERAGEIFS($I$2:I117, $B$2:B117, B117)</f>
        <v>0.52500000000000002</v>
      </c>
      <c r="AC117">
        <f>AVERAGEIFS($J$2:J117, $B$2:B117, B117)</f>
        <v>0.51666666666666672</v>
      </c>
      <c r="AD117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>
        <f>AVERAGEIFS($C$2:C118, $B$2:B118, B118)</f>
        <v>10.4</v>
      </c>
      <c r="AB118">
        <f>AVERAGEIFS($I$2:I118, $B$2:B118, B118)</f>
        <v>0.65</v>
      </c>
      <c r="AC118">
        <f>AVERAGEIFS($J$2:J118, $B$2:B118, B118)</f>
        <v>0.56999999999999995</v>
      </c>
      <c r="AD118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>
        <f>AVERAGEIFS($C$2:C119, $B$2:B119, B119)</f>
        <v>10.111111111111111</v>
      </c>
      <c r="AB119">
        <f>AVERAGEIFS($I$2:I119, $B$2:B119, B119)</f>
        <v>0.48888888888888893</v>
      </c>
      <c r="AC119">
        <f>AVERAGEIFS($J$2:J119, $B$2:B119, B119)</f>
        <v>0.50111111111111117</v>
      </c>
      <c r="AD119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>
        <f>AVERAGEIFS($C$2:C120, $B$2:B120, B120)</f>
        <v>3</v>
      </c>
      <c r="AB120">
        <f>AVERAGEIFS($I$2:I120, $B$2:B120, B120)</f>
        <v>0.75</v>
      </c>
      <c r="AC120">
        <f>AVERAGEIFS($J$2:J120, $B$2:B120, B120)</f>
        <v>0.59</v>
      </c>
      <c r="AD120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>
        <f>AVERAGEIFS($C$2:C121, $B$2:B121, B121)</f>
        <v>22.571428571428573</v>
      </c>
      <c r="AB121">
        <f>AVERAGEIFS($I$2:I121, $B$2:B121, B121)</f>
        <v>0.39285714285714285</v>
      </c>
      <c r="AC121">
        <f>AVERAGEIFS($J$2:J121, $B$2:B121, B121)</f>
        <v>0.43</v>
      </c>
      <c r="AD121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f>AVERAGEIFS($C$2:C122, $B$2:B122, B122)</f>
        <v>24.25</v>
      </c>
      <c r="AB122">
        <f>AVERAGEIFS($I$2:I122, $B$2:B122, B122)</f>
        <v>0.33750000000000002</v>
      </c>
      <c r="AC122">
        <f>AVERAGEIFS($J$2:J122, $B$2:B122, B122)</f>
        <v>0.43</v>
      </c>
      <c r="AD122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f>AVERAGEIFS($C$2:C123, $B$2:B123, B123)</f>
        <v>20.375</v>
      </c>
      <c r="AB123">
        <f>AVERAGEIFS($I$2:I123, $B$2:B123, B123)</f>
        <v>0.48125000000000001</v>
      </c>
      <c r="AC123">
        <f>AVERAGEIFS($J$2:J123, $B$2:B123, B123)</f>
        <v>0.48125000000000001</v>
      </c>
      <c r="AD123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f>AVERAGEIFS($C$2:C124, $B$2:B124, B124)</f>
        <v>13.666666666666666</v>
      </c>
      <c r="AB124">
        <f>AVERAGEIFS($I$2:I124, $B$2:B124, B124)</f>
        <v>0.53333333333333333</v>
      </c>
      <c r="AC124">
        <f>AVERAGEIFS($J$2:J124, $B$2:B124, B124)</f>
        <v>0.55666666666666664</v>
      </c>
      <c r="AD124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f>AVERAGEIFS($C$2:C125, $B$2:B125, B125)</f>
        <v>12.625</v>
      </c>
      <c r="AB125">
        <f>AVERAGEIFS($I$2:I125, $B$2:B125, B125)</f>
        <v>0.52500000000000002</v>
      </c>
      <c r="AC125">
        <f>AVERAGEIFS($J$2:J125, $B$2:B125, B125)</f>
        <v>0.52625</v>
      </c>
      <c r="AD125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f>AVERAGEIFS($C$2:C126, $B$2:B126, B126)</f>
        <v>9.5</v>
      </c>
      <c r="AB126">
        <f>AVERAGEIFS($I$2:I126, $B$2:B126, B126)</f>
        <v>0.28749999999999998</v>
      </c>
      <c r="AC126">
        <f>AVERAGEIFS($J$2:J126, $B$2:B126, B126)</f>
        <v>0.38750000000000001</v>
      </c>
      <c r="AD12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f>AVERAGEIFS($C$2:C127, $B$2:B127, B127)</f>
        <v>12.5</v>
      </c>
      <c r="AB127">
        <f>AVERAGEIFS($I$2:I127, $B$2:B127, B127)</f>
        <v>0.46666666666666662</v>
      </c>
      <c r="AC127">
        <f>AVERAGEIFS($J$2:J127, $B$2:B127, B127)</f>
        <v>0.50833333333333341</v>
      </c>
      <c r="AD127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f>AVERAGEIFS($C$2:C128, $B$2:B128, B128)</f>
        <v>9.7142857142857135</v>
      </c>
      <c r="AB128">
        <f>AVERAGEIFS($I$2:I128, $B$2:B128, B128)</f>
        <v>0.50714285714285712</v>
      </c>
      <c r="AC128">
        <f>AVERAGEIFS($J$2:J128, $B$2:B128, B128)</f>
        <v>0.49999999999999994</v>
      </c>
      <c r="AD128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f>AVERAGEIFS($C$2:C129, $B$2:B129, B129)</f>
        <v>24.833333333333332</v>
      </c>
      <c r="AB129">
        <f>AVERAGEIFS($I$2:I129, $B$2:B129, B129)</f>
        <v>0.55833333333333335</v>
      </c>
      <c r="AC129">
        <f>AVERAGEIFS($J$2:J129, $B$2:B129, B129)</f>
        <v>0.53833333333333322</v>
      </c>
      <c r="AD129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f>AVERAGEIFS($C$2:C130, $B$2:B130, B130)</f>
        <v>27.7</v>
      </c>
      <c r="AB130">
        <f>AVERAGEIFS($I$2:I130, $B$2:B130, B130)</f>
        <v>0.58499999999999996</v>
      </c>
      <c r="AC130">
        <f>AVERAGEIFS($J$2:J130, $B$2:B130, B130)</f>
        <v>0.55000000000000004</v>
      </c>
      <c r="AD130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f>AVERAGEIFS($C$2:C131, $B$2:B131, B131)</f>
        <v>21.666666666666668</v>
      </c>
      <c r="AB131">
        <f>AVERAGEIFS($I$2:I131, $B$2:B131, B131)</f>
        <v>0.6</v>
      </c>
      <c r="AC131">
        <f>AVERAGEIFS($J$2:J131, $B$2:B131, B131)</f>
        <v>0.57999999999999996</v>
      </c>
      <c r="AD131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f>AVERAGEIFS($C$2:C132, $B$2:B132, B132)</f>
        <v>11.833333333333334</v>
      </c>
      <c r="AB132">
        <f>AVERAGEIFS($I$2:I132, $B$2:B132, B132)</f>
        <v>0.64166666666666672</v>
      </c>
      <c r="AC132">
        <f>AVERAGEIFS($J$2:J132, $B$2:B132, B132)</f>
        <v>0.57166666666666666</v>
      </c>
      <c r="AD132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f>AVERAGEIFS($C$2:C133, $B$2:B133, B133)</f>
        <v>13.8</v>
      </c>
      <c r="AB133">
        <f>AVERAGEIFS($I$2:I133, $B$2:B133, B133)</f>
        <v>0.45</v>
      </c>
      <c r="AC133">
        <f>AVERAGEIFS($J$2:J133, $B$2:B133, B133)</f>
        <v>0.47599999999999998</v>
      </c>
      <c r="AD133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f>AVERAGEIFS($C$2:C134, $B$2:B134, B134)</f>
        <v>18</v>
      </c>
      <c r="AB134">
        <f>AVERAGEIFS($I$2:I134, $B$2:B134, B134)</f>
        <v>0.6</v>
      </c>
      <c r="AC134">
        <f>AVERAGEIFS($J$2:J134, $B$2:B134, B134)</f>
        <v>0.57499999999999996</v>
      </c>
      <c r="AD134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>
        <f>AVERAGEIFS($C$2:C135, $B$2:B135, B135)</f>
        <v>23.6</v>
      </c>
      <c r="AB135">
        <f>AVERAGEIFS($I$2:I135, $B$2:B135, B135)</f>
        <v>0.55000000000000004</v>
      </c>
      <c r="AC135">
        <f>AVERAGEIFS($J$2:J135, $B$2:B135, B135)</f>
        <v>0.48599999999999993</v>
      </c>
      <c r="AD135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>
        <f>AVERAGEIFS($C$2:C136, $B$2:B136, B136)</f>
        <v>23.875</v>
      </c>
      <c r="AB136">
        <f>AVERAGEIFS($I$2:I136, $B$2:B136, B136)</f>
        <v>0.39374999999999999</v>
      </c>
      <c r="AC136">
        <f>AVERAGEIFS($J$2:J136, $B$2:B136, B136)</f>
        <v>0.42874999999999996</v>
      </c>
      <c r="AD13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>
        <f>AVERAGEIFS($C$2:C137, $B$2:B137, B137)</f>
        <v>13.333333333333334</v>
      </c>
      <c r="AB137">
        <f>AVERAGEIFS($I$2:I137, $B$2:B137, B137)</f>
        <v>0.51111111111111118</v>
      </c>
      <c r="AC137">
        <f>AVERAGEIFS($J$2:J137, $B$2:B137, B137)</f>
        <v>0.51444444444444448</v>
      </c>
      <c r="AD137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>
        <f>AVERAGEIFS($C$2:C138, $B$2:B138, B138)</f>
        <v>17</v>
      </c>
      <c r="AB138">
        <f>AVERAGEIFS($I$2:I138, $B$2:B138, B138)</f>
        <v>0.5</v>
      </c>
      <c r="AC138">
        <f>AVERAGEIFS($J$2:J138, $B$2:B138, B138)</f>
        <v>0.48249999999999998</v>
      </c>
      <c r="AD138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>
        <f>AVERAGEIFS($C$2:C139, $B$2:B139, B139)</f>
        <v>11.333333333333334</v>
      </c>
      <c r="AB139">
        <f>AVERAGEIFS($I$2:I139, $B$2:B139, B139)</f>
        <v>0.44166666666666665</v>
      </c>
      <c r="AC139">
        <f>AVERAGEIFS($J$2:J139, $B$2:B139, B139)</f>
        <v>0.44666666666666671</v>
      </c>
      <c r="AD139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>
        <f>AVERAGEIFS($C$2:C140, $B$2:B140, B140)</f>
        <v>10.7</v>
      </c>
      <c r="AB140">
        <f>AVERAGEIFS($I$2:I140, $B$2:B140, B140)</f>
        <v>0.48000000000000009</v>
      </c>
      <c r="AC140">
        <f>AVERAGEIFS($J$2:J140, $B$2:B140, B140)</f>
        <v>0.49300000000000005</v>
      </c>
      <c r="AD140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>
        <f>AVERAGEIFS($C$2:C141, $B$2:B141, B141)</f>
        <v>30.363636363636363</v>
      </c>
      <c r="AB141">
        <f>AVERAGEIFS($I$2:I141, $B$2:B141, B141)</f>
        <v>0.58636363636363631</v>
      </c>
      <c r="AC141">
        <f>AVERAGEIFS($J$2:J141, $B$2:B141, B141)</f>
        <v>0.54545454545454541</v>
      </c>
      <c r="AD141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>
        <f>AVERAGEIFS($C$2:C142, $B$2:B142, B142)</f>
        <v>21</v>
      </c>
      <c r="AB142">
        <f>AVERAGEIFS($I$2:I142, $B$2:B142, B142)</f>
        <v>0.55000000000000004</v>
      </c>
      <c r="AC142">
        <f>AVERAGEIFS($J$2:J142, $B$2:B142, B142)</f>
        <v>0.54249999999999998</v>
      </c>
      <c r="AD142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>
        <f>AVERAGEIFS($C$2:C143, $B$2:B143, B143)</f>
        <v>22.666666666666668</v>
      </c>
      <c r="AB143">
        <f>AVERAGEIFS($I$2:I143, $B$2:B143, B143)</f>
        <v>0.49444444444444446</v>
      </c>
      <c r="AC143">
        <f>AVERAGEIFS($J$2:J143, $B$2:B143, B143)</f>
        <v>0.48333333333333328</v>
      </c>
      <c r="AD143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>
        <f>AVERAGEIFS($C$2:C144, $B$2:B144, B144)</f>
        <v>26.666666666666668</v>
      </c>
      <c r="AB144">
        <f>AVERAGEIFS($I$2:I144, $B$2:B144, B144)</f>
        <v>0.41666666666666669</v>
      </c>
      <c r="AC144">
        <f>AVERAGEIFS($J$2:J144, $B$2:B144, B144)</f>
        <v>0.4366666666666667</v>
      </c>
      <c r="AD144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>
        <f>AVERAGEIFS($C$2:C145, $B$2:B145, B145)</f>
        <v>13.571428571428571</v>
      </c>
      <c r="AB145">
        <f>AVERAGEIFS($I$2:I145, $B$2:B145, B145)</f>
        <v>0.48571428571428571</v>
      </c>
      <c r="AC145">
        <f>AVERAGEIFS($J$2:J145, $B$2:B145, B145)</f>
        <v>0.50714285714285723</v>
      </c>
      <c r="AD145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>
        <f>AVERAGEIFS($C$2:C146, $B$2:B146, B146)</f>
        <v>22</v>
      </c>
      <c r="AB146">
        <f>AVERAGEIFS($I$2:I146, $B$2:B146, B146)</f>
        <v>0.41666666666666669</v>
      </c>
      <c r="AC146">
        <f>AVERAGEIFS($J$2:J146, $B$2:B146, B146)</f>
        <v>0.4366666666666667</v>
      </c>
      <c r="AD14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>
        <f>AVERAGEIFS($C$2:C147, $B$2:B147, B147)</f>
        <v>11</v>
      </c>
      <c r="AB147">
        <f>AVERAGEIFS($I$2:I147, $B$2:B147, B147)</f>
        <v>0.49090909090909096</v>
      </c>
      <c r="AC147">
        <f>AVERAGEIFS($J$2:J147, $B$2:B147, B147)</f>
        <v>0.49363636363636371</v>
      </c>
      <c r="AD147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>
        <f>AVERAGEIFS($C$2:C148, $B$2:B148, B148)</f>
        <v>27.6</v>
      </c>
      <c r="AB148">
        <f>AVERAGEIFS($I$2:I148, $B$2:B148, B148)</f>
        <v>0.54500000000000004</v>
      </c>
      <c r="AC148">
        <f>AVERAGEIFS($J$2:J148, $B$2:B148, B148)</f>
        <v>0.54299999999999993</v>
      </c>
      <c r="AD148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f>AVERAGEIFS($C$2:C149, $B$2:B149, B149)</f>
        <v>24.714285714285715</v>
      </c>
      <c r="AB149">
        <f>AVERAGEIFS($I$2:I149, $B$2:B149, B149)</f>
        <v>0.50714285714285712</v>
      </c>
      <c r="AC149">
        <f>AVERAGEIFS($J$2:J149, $B$2:B149, B149)</f>
        <v>0.51428571428571435</v>
      </c>
      <c r="AD149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f>AVERAGEIFS($C$2:C150, $B$2:B150, B150)</f>
        <v>26.6</v>
      </c>
      <c r="AB150">
        <f>AVERAGEIFS($I$2:I150, $B$2:B150, B150)</f>
        <v>0.35</v>
      </c>
      <c r="AC150">
        <f>AVERAGEIFS($J$2:J150, $B$2:B150, B150)</f>
        <v>0.44399999999999995</v>
      </c>
      <c r="AD150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>
        <f>AVERAGEIFS($C$2:C151, $B$2:B151, B151)</f>
        <v>24.666666666666668</v>
      </c>
      <c r="AB151">
        <f>AVERAGEIFS($I$2:I151, $B$2:B151, B151)</f>
        <v>0.39444444444444443</v>
      </c>
      <c r="AC151">
        <f>AVERAGEIFS($J$2:J151, $B$2:B151, B151)</f>
        <v>0.43666666666666665</v>
      </c>
      <c r="AD151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f>AVERAGEIFS($C$2:C152, $B$2:B152, B152)</f>
        <v>18.600000000000001</v>
      </c>
      <c r="AB152">
        <f>AVERAGEIFS($I$2:I152, $B$2:B152, B152)</f>
        <v>0.48</v>
      </c>
      <c r="AC152">
        <f>AVERAGEIFS($J$2:J152, $B$2:B152, B152)</f>
        <v>0.48599999999999993</v>
      </c>
      <c r="AD152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f>AVERAGEIFS($C$2:C153, $B$2:B153, B153)</f>
        <v>12.571428571428571</v>
      </c>
      <c r="AB153">
        <f>AVERAGEIFS($I$2:I153, $B$2:B153, B153)</f>
        <v>0.43571428571428567</v>
      </c>
      <c r="AC153">
        <f>AVERAGEIFS($J$2:J153, $B$2:B153, B153)</f>
        <v>0.45428571428571429</v>
      </c>
      <c r="AD153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f>AVERAGEIFS($C$2:C154, $B$2:B154, B154)</f>
        <v>12.857142857142858</v>
      </c>
      <c r="AB154">
        <f>AVERAGEIFS($I$2:I154, $B$2:B154, B154)</f>
        <v>0.6071428571428571</v>
      </c>
      <c r="AC154">
        <f>AVERAGEIFS($J$2:J154, $B$2:B154, B154)</f>
        <v>0.56142857142857139</v>
      </c>
      <c r="AD154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>
        <f>AVERAGEIFS($C$2:C155, $B$2:B155, B155)</f>
        <v>24.6</v>
      </c>
      <c r="AB155">
        <f>AVERAGEIFS($I$2:I155, $B$2:B155, B155)</f>
        <v>0.45499999999999996</v>
      </c>
      <c r="AC155">
        <f>AVERAGEIFS($J$2:J155, $B$2:B155, B155)</f>
        <v>0.46199999999999991</v>
      </c>
      <c r="AD155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>
        <f>AVERAGEIFS($C$2:C156, $B$2:B156, B156)</f>
        <v>27.09090909090909</v>
      </c>
      <c r="AB156">
        <f>AVERAGEIFS($I$2:I156, $B$2:B156, B156)</f>
        <v>0.58636363636363642</v>
      </c>
      <c r="AC156">
        <f>AVERAGEIFS($J$2:J156, $B$2:B156, B156)</f>
        <v>0.55636363636363628</v>
      </c>
      <c r="AD15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>
        <f>AVERAGEIFS($C$2:C157, $B$2:B157, B157)</f>
        <v>20.2</v>
      </c>
      <c r="AB157">
        <f>AVERAGEIFS($I$2:I157, $B$2:B157, B157)</f>
        <v>0.64</v>
      </c>
      <c r="AC157">
        <f>AVERAGEIFS($J$2:J157, $B$2:B157, B157)</f>
        <v>0.57199999999999995</v>
      </c>
      <c r="AD157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>
        <f>AVERAGEIFS($C$2:C158, $B$2:B158, B158)</f>
        <v>11</v>
      </c>
      <c r="AB158">
        <f>AVERAGEIFS($I$2:I158, $B$2:B158, B158)</f>
        <v>0.53333333333333333</v>
      </c>
      <c r="AC158">
        <f>AVERAGEIFS($J$2:J158, $B$2:B158, B158)</f>
        <v>0.51000000000000012</v>
      </c>
      <c r="AD158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>
        <f>AVERAGEIFS($C$2:C159, $B$2:B159, B159)</f>
        <v>12.8</v>
      </c>
      <c r="AB159">
        <f>AVERAGEIFS($I$2:I159, $B$2:B159, B159)</f>
        <v>0.56000000000000005</v>
      </c>
      <c r="AC159">
        <f>AVERAGEIFS($J$2:J159, $B$2:B159, B159)</f>
        <v>0.53200000000000003</v>
      </c>
      <c r="AD159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>
        <f>AVERAGEIFS($C$2:C160, $B$2:B160, B160)</f>
        <v>5</v>
      </c>
      <c r="AB160">
        <f>AVERAGEIFS($I$2:I160, $B$2:B160, B160)</f>
        <v>0.875</v>
      </c>
      <c r="AC160">
        <f>AVERAGEIFS($J$2:J160, $B$2:B160, B160)</f>
        <v>0.6399999999999999</v>
      </c>
      <c r="AD160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f>AVERAGEIFS($C$2:C161, $B$2:B161, B161)</f>
        <v>30</v>
      </c>
      <c r="AB161">
        <f>AVERAGEIFS($I$2:I161, $B$2:B161, B161)</f>
        <v>0.53749999999999998</v>
      </c>
      <c r="AC161">
        <f>AVERAGEIFS($J$2:J161, $B$2:B161, B161)</f>
        <v>0.52583333333333326</v>
      </c>
      <c r="AD161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f>AVERAGEIFS($C$2:C162, $B$2:B162, B162)</f>
        <v>20.75</v>
      </c>
      <c r="AB162">
        <f>AVERAGEIFS($I$2:I162, $B$2:B162, B162)</f>
        <v>0.3125</v>
      </c>
      <c r="AC162">
        <f>AVERAGEIFS($J$2:J162, $B$2:B162, B162)</f>
        <v>0.40500000000000003</v>
      </c>
      <c r="AD162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f>AVERAGEIFS($C$2:C163, $B$2:B163, B163)</f>
        <v>9.6</v>
      </c>
      <c r="AB163">
        <f>AVERAGEIFS($I$2:I163, $B$2:B163, B163)</f>
        <v>0.22999999999999998</v>
      </c>
      <c r="AC163">
        <f>AVERAGEIFS($J$2:J163, $B$2:B163, B163)</f>
        <v>0.372</v>
      </c>
      <c r="AD163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f>AVERAGEIFS($C$2:C164, $B$2:B164, B164)</f>
        <v>14.333333333333334</v>
      </c>
      <c r="AB164">
        <f>AVERAGEIFS($I$2:I164, $B$2:B164, B164)</f>
        <v>0.39999999999999997</v>
      </c>
      <c r="AC164">
        <f>AVERAGEIFS($J$2:J164, $B$2:B164, B164)</f>
        <v>0.48666666666666664</v>
      </c>
      <c r="AD164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f>AVERAGEIFS($C$2:C165, $B$2:B165, B165)</f>
        <v>9</v>
      </c>
      <c r="AB165">
        <f>AVERAGEIFS($I$2:I165, $B$2:B165, B165)</f>
        <v>0.37</v>
      </c>
      <c r="AC165">
        <f>AVERAGEIFS($J$2:J165, $B$2:B165, B165)</f>
        <v>0.46800000000000008</v>
      </c>
      <c r="AD165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f>AVERAGEIFS($C$2:C166, $B$2:B166, B166)</f>
        <v>5</v>
      </c>
      <c r="AB166">
        <f>AVERAGEIFS($I$2:I166, $B$2:B166, B166)</f>
        <v>0</v>
      </c>
      <c r="AC166">
        <f>AVERAGEIFS($J$2:J166, $B$2:B166, B166)</f>
        <v>0.31</v>
      </c>
      <c r="AD16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>
        <f>AVERAGEIFS($C$2:C167, $B$2:B167, B167)</f>
        <v>25.1</v>
      </c>
      <c r="AB167">
        <f>AVERAGEIFS($I$2:I167, $B$2:B167, B167)</f>
        <v>0.52</v>
      </c>
      <c r="AC167">
        <f>AVERAGEIFS($J$2:J167, $B$2:B167, B167)</f>
        <v>0.49299999999999999</v>
      </c>
      <c r="AD167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>
        <f>AVERAGEIFS($C$2:C168, $B$2:B168, B168)</f>
        <v>25.5</v>
      </c>
      <c r="AB168">
        <f>AVERAGEIFS($I$2:I168, $B$2:B168, B168)</f>
        <v>0.5</v>
      </c>
      <c r="AC168">
        <f>AVERAGEIFS($J$2:J168, $B$2:B168, B168)</f>
        <v>0.47250000000000003</v>
      </c>
      <c r="AD168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>
        <f>AVERAGEIFS($C$2:C169, $B$2:B169, B169)</f>
        <v>25.666666666666668</v>
      </c>
      <c r="AB169">
        <f>AVERAGEIFS($I$2:I169, $B$2:B169, B169)</f>
        <v>0.41666666666666669</v>
      </c>
      <c r="AC169">
        <f>AVERAGEIFS($J$2:J169, $B$2:B169, B169)</f>
        <v>0.46666666666666662</v>
      </c>
      <c r="AD169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>
        <f>AVERAGEIFS($C$2:C170, $B$2:B170, B170)</f>
        <v>14.125</v>
      </c>
      <c r="AB170">
        <f>AVERAGEIFS($I$2:I170, $B$2:B170, B170)</f>
        <v>0.51875000000000004</v>
      </c>
      <c r="AC170">
        <f>AVERAGEIFS($J$2:J170, $B$2:B170, B170)</f>
        <v>0.51624999999999999</v>
      </c>
      <c r="AD170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>
        <f>AVERAGEIFS($C$2:C171, $B$2:B171, B171)</f>
        <v>10.125</v>
      </c>
      <c r="AB171">
        <f>AVERAGEIFS($I$2:I171, $B$2:B171, B171)</f>
        <v>0.53749999999999998</v>
      </c>
      <c r="AC171">
        <f>AVERAGEIFS($J$2:J171, $B$2:B171, B171)</f>
        <v>0.5099999999999999</v>
      </c>
      <c r="AD171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>
        <f>AVERAGEIFS($C$2:C172, $B$2:B172, B172)</f>
        <v>13.5</v>
      </c>
      <c r="AB172">
        <f>AVERAGEIFS($I$2:I172, $B$2:B172, B172)</f>
        <v>0.5</v>
      </c>
      <c r="AC172">
        <f>AVERAGEIFS($J$2:J172, $B$2:B172, B172)</f>
        <v>0.49333333333333335</v>
      </c>
      <c r="AD172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f>AVERAGEIFS($C$2:C173, $B$2:B173, B173)</f>
        <v>26.5</v>
      </c>
      <c r="AB173">
        <f>AVERAGEIFS($I$2:I173, $B$2:B173, B173)</f>
        <v>0.5</v>
      </c>
      <c r="AC173">
        <f>AVERAGEIFS($J$2:J173, $B$2:B173, B173)</f>
        <v>0.47499999999999992</v>
      </c>
      <c r="AD173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f>AVERAGEIFS($C$2:C174, $B$2:B174, B174)</f>
        <v>24.875</v>
      </c>
      <c r="AB174">
        <f>AVERAGEIFS($I$2:I174, $B$2:B174, B174)</f>
        <v>0.47499999999999998</v>
      </c>
      <c r="AC174">
        <f>AVERAGEIFS($J$2:J174, $B$2:B174, B174)</f>
        <v>0.50250000000000006</v>
      </c>
      <c r="AD174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f>AVERAGEIFS($C$2:C175, $B$2:B175, B175)</f>
        <v>19.666666666666668</v>
      </c>
      <c r="AB175">
        <f>AVERAGEIFS($I$2:I175, $B$2:B175, B175)</f>
        <v>0.44166666666666665</v>
      </c>
      <c r="AC175">
        <f>AVERAGEIFS($J$2:J175, $B$2:B175, B175)</f>
        <v>0.47499999999999992</v>
      </c>
      <c r="AD175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f>AVERAGEIFS($C$2:C176, $B$2:B176, B176)</f>
        <v>13.25</v>
      </c>
      <c r="AB176">
        <f>AVERAGEIFS($I$2:I176, $B$2:B176, B176)</f>
        <v>0.5625</v>
      </c>
      <c r="AC176">
        <f>AVERAGEIFS($J$2:J176, $B$2:B176, B176)</f>
        <v>0.54374999999999996</v>
      </c>
      <c r="AD17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f>AVERAGEIFS($C$2:C177, $B$2:B177, B177)</f>
        <v>12.75</v>
      </c>
      <c r="AB177">
        <f>AVERAGEIFS($I$2:I177, $B$2:B177, B177)</f>
        <v>0.41249999999999998</v>
      </c>
      <c r="AC177">
        <f>AVERAGEIFS($J$2:J177, $B$2:B177, B177)</f>
        <v>0.45</v>
      </c>
      <c r="AD177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f>AVERAGEIFS($C$2:C178, $B$2:B178, B178)</f>
        <v>13</v>
      </c>
      <c r="AB178">
        <f>AVERAGEIFS($I$2:I178, $B$2:B178, B178)</f>
        <v>0.25</v>
      </c>
      <c r="AC178">
        <f>AVERAGEIFS($J$2:J178, $B$2:B178, B178)</f>
        <v>0.36499999999999999</v>
      </c>
      <c r="AD178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>
        <f>AVERAGEIFS($C$2:C179, $B$2:B179, B179)</f>
        <v>27.90909090909091</v>
      </c>
      <c r="AB179">
        <f>AVERAGEIFS($I$2:I179, $B$2:B179, B179)</f>
        <v>0.52727272727272723</v>
      </c>
      <c r="AC179">
        <f>AVERAGEIFS($J$2:J179, $B$2:B179, B179)</f>
        <v>0.49727272727272726</v>
      </c>
      <c r="AD179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>
        <f>AVERAGEIFS($C$2:C180, $B$2:B180, B180)</f>
        <v>27</v>
      </c>
      <c r="AB180">
        <f>AVERAGEIFS($I$2:I180, $B$2:B180, B180)</f>
        <v>0.52</v>
      </c>
      <c r="AC180">
        <f>AVERAGEIFS($J$2:J180, $B$2:B180, B180)</f>
        <v>0.48600000000000004</v>
      </c>
      <c r="AD180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>
        <f>AVERAGEIFS($C$2:C181, $B$2:B181, B181)</f>
        <v>26.714285714285715</v>
      </c>
      <c r="AB181">
        <f>AVERAGEIFS($I$2:I181, $B$2:B181, B181)</f>
        <v>0.44285714285714289</v>
      </c>
      <c r="AC181">
        <f>AVERAGEIFS($J$2:J181, $B$2:B181, B181)</f>
        <v>0.47714285714285715</v>
      </c>
      <c r="AD181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>
        <f>AVERAGEIFS($C$2:C182, $B$2:B182, B182)</f>
        <v>15</v>
      </c>
      <c r="AB182">
        <f>AVERAGEIFS($I$2:I182, $B$2:B182, B182)</f>
        <v>0.51428571428571435</v>
      </c>
      <c r="AC182">
        <f>AVERAGEIFS($J$2:J182, $B$2:B182, B182)</f>
        <v>0.5</v>
      </c>
      <c r="AD182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f>AVERAGEIFS($C$2:C183, $B$2:B183, B183)</f>
        <v>15.111111111111111</v>
      </c>
      <c r="AB183">
        <f>AVERAGEIFS($I$2:I183, $B$2:B183, B183)</f>
        <v>0.52777777777777779</v>
      </c>
      <c r="AC183">
        <f>AVERAGEIFS($J$2:J183, $B$2:B183, B183)</f>
        <v>0.51888888888888884</v>
      </c>
      <c r="AD183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0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>
        <f>AVERAGEIFS($C$2:C184, $B$2:B184, B184)</f>
        <v>11.333333333333334</v>
      </c>
      <c r="AB184">
        <f>AVERAGEIFS($I$2:I184, $B$2:B184, B184)</f>
        <v>0.5444444444444444</v>
      </c>
      <c r="AC184">
        <f>AVERAGEIFS($J$2:J184, $B$2:B184, B184)</f>
        <v>0.5133333333333332</v>
      </c>
      <c r="AD184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>
        <f>AVERAGEIFS($C$2:C185, $B$2:B185, B185)</f>
        <v>27.363636363636363</v>
      </c>
      <c r="AB185">
        <f>AVERAGEIFS($I$2:I185, $B$2:B185, B185)</f>
        <v>0.45</v>
      </c>
      <c r="AC185">
        <f>AVERAGEIFS($J$2:J185, $B$2:B185, B185)</f>
        <v>0.46181818181818174</v>
      </c>
      <c r="AD185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>
        <f>AVERAGEIFS($C$2:C186, $B$2:B186, B186)</f>
        <v>27.833333333333332</v>
      </c>
      <c r="AB186">
        <f>AVERAGEIFS($I$2:I186, $B$2:B186, B186)</f>
        <v>0.57083333333333341</v>
      </c>
      <c r="AC186">
        <f>AVERAGEIFS($J$2:J186, $B$2:B186, B186)</f>
        <v>0.54833333333333323</v>
      </c>
      <c r="AD1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>
        <f>AVERAGEIFS($C$2:C187, $B$2:B187, B187)</f>
        <v>22.333333333333332</v>
      </c>
      <c r="AB187">
        <f>AVERAGEIFS($I$2:I187, $B$2:B187, B187)</f>
        <v>0.6</v>
      </c>
      <c r="AC187">
        <f>AVERAGEIFS($J$2:J187, $B$2:B187, B187)</f>
        <v>0.55333333333333334</v>
      </c>
      <c r="AD187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>
        <f>AVERAGEIFS($C$2:C188, $B$2:B188, B188)</f>
        <v>14.444444444444445</v>
      </c>
      <c r="AB188">
        <f>AVERAGEIFS($I$2:I188, $B$2:B188, B188)</f>
        <v>0.41111111111111109</v>
      </c>
      <c r="AC188">
        <f>AVERAGEIFS($J$2:J188, $B$2:B188, B188)</f>
        <v>0.45111111111111118</v>
      </c>
      <c r="AD188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>
        <f>AVERAGEIFS($C$2:C189, $B$2:B189, B189)</f>
        <v>12.153846153846153</v>
      </c>
      <c r="AB189">
        <f>AVERAGEIFS($I$2:I189, $B$2:B189, B189)</f>
        <v>0.52307692307692311</v>
      </c>
      <c r="AC189">
        <f>AVERAGEIFS($J$2:J189, $B$2:B189, B189)</f>
        <v>0.50615384615384618</v>
      </c>
      <c r="AD189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>
        <f>AVERAGEIFS($C$2:C190, $B$2:B190, B190)</f>
        <v>7.666666666666667</v>
      </c>
      <c r="AB190">
        <f>AVERAGEIFS($I$2:I190, $B$2:B190, B190)</f>
        <v>0.71666666666666667</v>
      </c>
      <c r="AC190">
        <f>AVERAGEIFS($J$2:J190, $B$2:B190, B190)</f>
        <v>0.57999999999999996</v>
      </c>
      <c r="AD190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>
        <f>AVERAGEIFS($C$2:C191, $B$2:B191, B191)</f>
        <v>27.615384615384617</v>
      </c>
      <c r="AB191">
        <f>AVERAGEIFS($I$2:I191, $B$2:B191, B191)</f>
        <v>0.60384615384615392</v>
      </c>
      <c r="AC191">
        <f>AVERAGEIFS($J$2:J191, $B$2:B191, B191)</f>
        <v>0.5592307692307692</v>
      </c>
      <c r="AD191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>
        <f>AVERAGEIFS($C$2:C192, $B$2:B192, B192)</f>
        <v>22.285714285714285</v>
      </c>
      <c r="AB192">
        <f>AVERAGEIFS($I$2:I192, $B$2:B192, B192)</f>
        <v>0.65714285714285714</v>
      </c>
      <c r="AC192">
        <f>AVERAGEIFS($J$2:J192, $B$2:B192, B192)</f>
        <v>0.57285714285714284</v>
      </c>
      <c r="AD192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>
        <f>AVERAGEIFS($C$2:C193, $B$2:B193, B193)</f>
        <v>19.428571428571427</v>
      </c>
      <c r="AB193">
        <f>AVERAGEIFS($I$2:I193, $B$2:B193, B193)</f>
        <v>0.52142857142857146</v>
      </c>
      <c r="AC193">
        <f>AVERAGEIFS($J$2:J193, $B$2:B193, B193)</f>
        <v>0.50571428571428567</v>
      </c>
      <c r="AD193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>
        <f>AVERAGEIFS($C$2:C194, $B$2:B194, B194)</f>
        <v>12</v>
      </c>
      <c r="AB194">
        <f>AVERAGEIFS($I$2:I194, $B$2:B194, B194)</f>
        <v>1</v>
      </c>
      <c r="AC194">
        <f>AVERAGEIFS($J$2:J194, $B$2:B194, B194)</f>
        <v>0.69</v>
      </c>
      <c r="AD194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>
        <f>AVERAGEIFS($C$2:C195, $B$2:B195, B195)</f>
        <v>4</v>
      </c>
      <c r="AB195">
        <f>AVERAGEIFS($I$2:I195, $B$2:B195, B195)</f>
        <v>1</v>
      </c>
      <c r="AC195">
        <f>AVERAGEIFS($J$2:J195, $B$2:B195, B195)</f>
        <v>0.69</v>
      </c>
      <c r="AD195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>
        <f>AVERAGEIFS($C$2:C196, $B$2:B196, B196)</f>
        <v>8.3333333333333339</v>
      </c>
      <c r="AB196">
        <f>AVERAGEIFS($I$2:I196, $B$2:B196, B196)</f>
        <v>0.35833333333333334</v>
      </c>
      <c r="AC196">
        <f>AVERAGEIFS($J$2:J196, $B$2:B196, B196)</f>
        <v>0.42499999999999999</v>
      </c>
      <c r="AD19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f>AVERAGEIFS($C$2:C197, $B$2:B197, B197)</f>
        <v>29.923076923076923</v>
      </c>
      <c r="AB197">
        <f>AVERAGEIFS($I$2:I197, $B$2:B197, B197)</f>
        <v>0.49615384615384611</v>
      </c>
      <c r="AC197">
        <f>AVERAGEIFS($J$2:J197, $B$2:B197, B197)</f>
        <v>0.50923076923076915</v>
      </c>
      <c r="AD197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f>AVERAGEIFS($C$2:C198, $B$2:B198, B198)</f>
        <v>19.8</v>
      </c>
      <c r="AB198">
        <f>AVERAGEIFS($I$2:I198, $B$2:B198, B198)</f>
        <v>0.25</v>
      </c>
      <c r="AC198">
        <f>AVERAGEIFS($J$2:J198, $B$2:B198, B198)</f>
        <v>0.38600000000000001</v>
      </c>
      <c r="AD198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f>AVERAGEIFS($C$2:C199, $B$2:B199, B199)</f>
        <v>9.3333333333333339</v>
      </c>
      <c r="AB199">
        <f>AVERAGEIFS($I$2:I199, $B$2:B199, B199)</f>
        <v>0.30833333333333335</v>
      </c>
      <c r="AC199">
        <f>AVERAGEIFS($J$2:J199, $B$2:B199, B199)</f>
        <v>0.44166666666666671</v>
      </c>
      <c r="AD199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f>AVERAGEIFS($C$2:C200, $B$2:B200, B200)</f>
        <v>26.416666666666668</v>
      </c>
      <c r="AB200">
        <f>AVERAGEIFS($I$2:I200, $B$2:B200, B200)</f>
        <v>0.48333333333333334</v>
      </c>
      <c r="AC200">
        <f>AVERAGEIFS($J$2:J200, $B$2:B200, B200)</f>
        <v>0.48166666666666663</v>
      </c>
      <c r="AD200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f>AVERAGEIFS($C$2:C201, $B$2:B201, B201)</f>
        <v>10.7</v>
      </c>
      <c r="AB201">
        <f>AVERAGEIFS($I$2:I201, $B$2:B201, B201)</f>
        <v>0.48999999999999994</v>
      </c>
      <c r="AC201">
        <f>AVERAGEIFS($J$2:J201, $B$2:B201, B201)</f>
        <v>0.49299999999999988</v>
      </c>
      <c r="AD201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f>AVERAGEIFS($C$2:C202, $B$2:B202, B202)</f>
        <v>11.642857142857142</v>
      </c>
      <c r="AB202">
        <f>AVERAGEIFS($I$2:I202, $B$2:B202, B202)</f>
        <v>0.48571428571428577</v>
      </c>
      <c r="AC202">
        <f>AVERAGEIFS($J$2:J202, $B$2:B202, B202)</f>
        <v>0.49214285714285716</v>
      </c>
      <c r="AD202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f>AVERAGEIFS($C$2:C203, $B$2:B203, B203)</f>
        <v>29.357142857142858</v>
      </c>
      <c r="AB203">
        <f>AVERAGEIFS($I$2:I203, $B$2:B203, B203)</f>
        <v>0.53214285714285714</v>
      </c>
      <c r="AC203">
        <f>AVERAGEIFS($J$2:J203, $B$2:B203, B203)</f>
        <v>0.53142857142857136</v>
      </c>
      <c r="AD203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f>AVERAGEIFS($C$2:C204, $B$2:B204, B204)</f>
        <v>25.615384615384617</v>
      </c>
      <c r="AB204">
        <f>AVERAGEIFS($I$2:I204, $B$2:B204, B204)</f>
        <v>0.52307692307692311</v>
      </c>
      <c r="AC204">
        <f>AVERAGEIFS($J$2:J204, $B$2:B204, B204)</f>
        <v>0.50769230769230766</v>
      </c>
      <c r="AD204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f>AVERAGEIFS($C$2:C205, $B$2:B205, B205)</f>
        <v>9</v>
      </c>
      <c r="AB205">
        <f>AVERAGEIFS($I$2:I205, $B$2:B205, B205)</f>
        <v>1</v>
      </c>
      <c r="AC205">
        <f>AVERAGEIFS($J$2:J205, $B$2:B205, B205)</f>
        <v>0.82</v>
      </c>
      <c r="AD205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f>AVERAGEIFS($C$2:C206, $B$2:B206, B206)</f>
        <v>26.285714285714285</v>
      </c>
      <c r="AB206">
        <f>AVERAGEIFS($I$2:I206, $B$2:B206, B206)</f>
        <v>0.63214285714285723</v>
      </c>
      <c r="AC206">
        <f>AVERAGEIFS($J$2:J206, $B$2:B206, B206)</f>
        <v>0.57785714285714285</v>
      </c>
      <c r="AD20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f>AVERAGEIFS($C$2:C207, $B$2:B207, B207)</f>
        <v>12.555555555555555</v>
      </c>
      <c r="AB207">
        <f>AVERAGEIFS($I$2:I207, $B$2:B207, B207)</f>
        <v>0.61111111111111116</v>
      </c>
      <c r="AC207">
        <f>AVERAGEIFS($J$2:J207, $B$2:B207, B207)</f>
        <v>0.57444444444444442</v>
      </c>
      <c r="AD207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f>AVERAGEIFS($C$2:C208, $B$2:B208, B208)</f>
        <v>5</v>
      </c>
      <c r="AB208">
        <f>AVERAGEIFS($I$2:I208, $B$2:B208, B208)</f>
        <v>1</v>
      </c>
      <c r="AC208">
        <f>AVERAGEIFS($J$2:J208, $B$2:B208, B208)</f>
        <v>0.82</v>
      </c>
      <c r="AD208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f>AVERAGEIFS($C$2:C209, $B$2:B209, B209)</f>
        <v>21.5</v>
      </c>
      <c r="AB209">
        <f>AVERAGEIFS($I$2:I209, $B$2:B209, B209)</f>
        <v>0.57499999999999996</v>
      </c>
      <c r="AC209">
        <f>AVERAGEIFS($J$2:J209, $B$2:B209, B209)</f>
        <v>0.52374999999999994</v>
      </c>
      <c r="AD209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f>AVERAGEIFS($C$2:C210, $B$2:B210, B210)</f>
        <v>18.125</v>
      </c>
      <c r="AB210">
        <f>AVERAGEIFS($I$2:I210, $B$2:B210, B210)</f>
        <v>0.45624999999999999</v>
      </c>
      <c r="AC210">
        <f>AVERAGEIFS($J$2:J210, $B$2:B210, B210)</f>
        <v>0.46499999999999997</v>
      </c>
      <c r="AD210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f>AVERAGEIFS($C$2:C211, $B$2:B211, B211)</f>
        <v>7</v>
      </c>
      <c r="AB211">
        <f>AVERAGEIFS($I$2:I211, $B$2:B211, B211)</f>
        <v>0</v>
      </c>
      <c r="AC211">
        <f>AVERAGEIFS($J$2:J211, $B$2:B211, B211)</f>
        <v>0.18</v>
      </c>
      <c r="AD211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f>AVERAGEIFS($C$2:C212, $B$2:B212, B212)</f>
        <v>11.266666666666667</v>
      </c>
      <c r="AB212">
        <f>AVERAGEIFS($I$2:I212, $B$2:B212, B212)</f>
        <v>0.45333333333333337</v>
      </c>
      <c r="AC212">
        <f>AVERAGEIFS($J$2:J212, $B$2:B212, B212)</f>
        <v>0.47133333333333333</v>
      </c>
      <c r="AD212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f>AVERAGEIFS($C$2:C213, $B$2:B213, B213)</f>
        <v>5</v>
      </c>
      <c r="AB213">
        <f>AVERAGEIFS($I$2:I213, $B$2:B213, B213)</f>
        <v>0</v>
      </c>
      <c r="AC213">
        <f>AVERAGEIFS($J$2:J213, $B$2:B213, B213)</f>
        <v>0.18</v>
      </c>
      <c r="AD213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f>AVERAGEIFS($C$2:C214, $B$2:B214, B214)</f>
        <v>14</v>
      </c>
      <c r="AB214">
        <f>AVERAGEIFS($I$2:I214, $B$2:B214, B214)</f>
        <v>0.47499999999999998</v>
      </c>
      <c r="AC214">
        <f>AVERAGEIFS($J$2:J214, $B$2:B214, B214)</f>
        <v>0.48499999999999999</v>
      </c>
      <c r="AD214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>
        <f>AVERAGEIFS($C$2:C215, $B$2:B215, B215)</f>
        <v>22.222222222222221</v>
      </c>
      <c r="AB215">
        <f>AVERAGEIFS($I$2:I215, $B$2:B215, B215)</f>
        <v>0.59444444444444444</v>
      </c>
      <c r="AC215">
        <f>AVERAGEIFS($J$2:J215, $B$2:B215, B215)</f>
        <v>0.54222222222222216</v>
      </c>
      <c r="AD215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>
        <f>AVERAGEIFS($C$2:C216, $B$2:B216, B216)</f>
        <v>28.733333333333334</v>
      </c>
      <c r="AB216">
        <f>AVERAGEIFS($I$2:I216, $B$2:B216, B216)</f>
        <v>0.54666666666666663</v>
      </c>
      <c r="AC216">
        <f>AVERAGEIFS($J$2:J216, $B$2:B216, B216)</f>
        <v>0.54199999999999993</v>
      </c>
      <c r="AD21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>
        <f>AVERAGEIFS($C$2:C217, $B$2:B217, B217)</f>
        <v>18.333333333333332</v>
      </c>
      <c r="AB217">
        <f>AVERAGEIFS($I$2:I217, $B$2:B217, B217)</f>
        <v>0.33333333333333331</v>
      </c>
      <c r="AC217">
        <f>AVERAGEIFS($J$2:J217, $B$2:B217, B217)</f>
        <v>0.4366666666666667</v>
      </c>
      <c r="AD217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>
        <f>AVERAGEIFS($C$2:C218, $B$2:B218, B218)</f>
        <v>12.4</v>
      </c>
      <c r="AB218">
        <f>AVERAGEIFS($I$2:I218, $B$2:B218, B218)</f>
        <v>0.625</v>
      </c>
      <c r="AC218">
        <f>AVERAGEIFS($J$2:J218, $B$2:B218, B218)</f>
        <v>0.58599999999999997</v>
      </c>
      <c r="AD218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>
        <f>AVERAGEIFS($C$2:C219, $B$2:B219, B219)</f>
        <v>9.2857142857142865</v>
      </c>
      <c r="AB219">
        <f>AVERAGEIFS($I$2:I219, $B$2:B219, B219)</f>
        <v>0.37142857142857144</v>
      </c>
      <c r="AC219">
        <f>AVERAGEIFS($J$2:J219, $B$2:B219, B219)</f>
        <v>0.4771428571428572</v>
      </c>
      <c r="AD219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>
        <f>AVERAGEIFS($C$2:C220, $B$2:B220, B220)</f>
        <v>10.454545454545455</v>
      </c>
      <c r="AB220">
        <f>AVERAGEIFS($I$2:I220, $B$2:B220, B220)</f>
        <v>0.51363636363636356</v>
      </c>
      <c r="AC220">
        <f>AVERAGEIFS($J$2:J220, $B$2:B220, B220)</f>
        <v>0.51090909090909087</v>
      </c>
      <c r="AD220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f>AVERAGEIFS($C$2:C221, $B$2:B221, B221)</f>
        <v>26</v>
      </c>
      <c r="AB221">
        <f>AVERAGEIFS($I$2:I221, $B$2:B221, B221)</f>
        <v>0.6066666666666668</v>
      </c>
      <c r="AC221">
        <f>AVERAGEIFS($J$2:J221, $B$2:B221, B221)</f>
        <v>0.56000000000000005</v>
      </c>
      <c r="AD221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f>AVERAGEIFS($C$2:C222, $B$2:B222, B222)</f>
        <v>25.071428571428573</v>
      </c>
      <c r="AB222">
        <f>AVERAGEIFS($I$2:I222, $B$2:B222, B222)</f>
        <v>0.50357142857142856</v>
      </c>
      <c r="AC222">
        <f>AVERAGEIFS($J$2:J222, $B$2:B222, B222)</f>
        <v>0.49357142857142849</v>
      </c>
      <c r="AD222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f>AVERAGEIFS($C$2:C223, $B$2:B223, B223)</f>
        <v>10.5</v>
      </c>
      <c r="AB223">
        <f>AVERAGEIFS($I$2:I223, $B$2:B223, B223)</f>
        <v>0.125</v>
      </c>
      <c r="AC223">
        <f>AVERAGEIFS($J$2:J223, $B$2:B223, B223)</f>
        <v>0.245</v>
      </c>
      <c r="AD223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f>AVERAGEIFS($C$2:C224, $B$2:B224, B224)</f>
        <v>17.444444444444443</v>
      </c>
      <c r="AB224">
        <f>AVERAGEIFS($I$2:I224, $B$2:B224, B224)</f>
        <v>0.43333333333333335</v>
      </c>
      <c r="AC224">
        <f>AVERAGEIFS($J$2:J224, $B$2:B224, B224)</f>
        <v>0.44777777777777772</v>
      </c>
      <c r="AD224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f>AVERAGEIFS($C$2:C225, $B$2:B225, B225)</f>
        <v>13.727272727272727</v>
      </c>
      <c r="AB225">
        <f>AVERAGEIFS($I$2:I225, $B$2:B225, B225)</f>
        <v>0.45454545454545453</v>
      </c>
      <c r="AC225">
        <f>AVERAGEIFS($J$2:J225, $B$2:B225, B225)</f>
        <v>0.469090909090909</v>
      </c>
      <c r="AD225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f>AVERAGEIFS($C$2:C226, $B$2:B226, B226)</f>
        <v>3.5</v>
      </c>
      <c r="AB226">
        <f>AVERAGEIFS($I$2:I226, $B$2:B226, B226)</f>
        <v>0.625</v>
      </c>
      <c r="AC226">
        <f>AVERAGEIFS($J$2:J226, $B$2:B226, B226)</f>
        <v>0.56499999999999995</v>
      </c>
      <c r="AD22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>
        <f>AVERAGEIFS($C$2:C227, $B$2:B227, B227)</f>
        <v>26.916666666666668</v>
      </c>
      <c r="AB227">
        <f>AVERAGEIFS($I$2:I227, $B$2:B227, B227)</f>
        <v>0.49583333333333335</v>
      </c>
      <c r="AC227">
        <f>AVERAGEIFS($J$2:J227, $B$2:B227, B227)</f>
        <v>0.48583333333333328</v>
      </c>
      <c r="AD227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>
        <f>AVERAGEIFS($C$2:C228, $B$2:B228, B228)</f>
        <v>25.625</v>
      </c>
      <c r="AB228">
        <f>AVERAGEIFS($I$2:I228, $B$2:B228, B228)</f>
        <v>0.63125000000000009</v>
      </c>
      <c r="AC228">
        <f>AVERAGEIFS($J$2:J228, $B$2:B228, B228)</f>
        <v>0.57187500000000002</v>
      </c>
      <c r="AD228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>
        <f>AVERAGEIFS($C$2:C229, $B$2:B229, B229)</f>
        <v>17.5</v>
      </c>
      <c r="AB229">
        <f>AVERAGEIFS($I$2:I229, $B$2:B229, B229)</f>
        <v>0.6875</v>
      </c>
      <c r="AC229">
        <f>AVERAGEIFS($J$2:J229, $B$2:B229, B229)</f>
        <v>0.60999999999999988</v>
      </c>
      <c r="AD229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>
        <f>AVERAGEIFS($C$2:C230, $B$2:B230, B230)</f>
        <v>17.3</v>
      </c>
      <c r="AB230">
        <f>AVERAGEIFS($I$2:I230, $B$2:B230, B230)</f>
        <v>0.49000000000000005</v>
      </c>
      <c r="AC230">
        <f>AVERAGEIFS($J$2:J230, $B$2:B230, B230)</f>
        <v>0.47799999999999992</v>
      </c>
      <c r="AD230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>
        <f>AVERAGEIFS($C$2:C231, $B$2:B231, B231)</f>
        <v>9</v>
      </c>
      <c r="AB231">
        <f>AVERAGEIFS($I$2:I231, $B$2:B231, B231)</f>
        <v>0.45</v>
      </c>
      <c r="AC231">
        <f>AVERAGEIFS($J$2:J231, $B$2:B231, B231)</f>
        <v>0.51124999999999998</v>
      </c>
      <c r="AD231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>
        <f>AVERAGEIFS($C$2:C232, $B$2:B232, B232)</f>
        <v>13.875</v>
      </c>
      <c r="AB232">
        <f>AVERAGEIFS($I$2:I232, $B$2:B232, B232)</f>
        <v>0.57499999999999996</v>
      </c>
      <c r="AC232">
        <f>AVERAGEIFS($J$2:J232, $B$2:B232, B232)</f>
        <v>0.53125</v>
      </c>
      <c r="AD232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f>AVERAGEIFS($C$2:C233, $B$2:B233, B233)</f>
        <v>26.285714285714285</v>
      </c>
      <c r="AB233">
        <f>AVERAGEIFS($I$2:I233, $B$2:B233, B233)</f>
        <v>0.42857142857142855</v>
      </c>
      <c r="AC233">
        <f>AVERAGEIFS($J$2:J233, $B$2:B233, B233)</f>
        <v>0.44285714285714278</v>
      </c>
      <c r="AD233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f>AVERAGEIFS($C$2:C234, $B$2:B234, B234)</f>
        <v>28.0625</v>
      </c>
      <c r="AB234">
        <f>AVERAGEIFS($I$2:I234, $B$2:B234, B234)</f>
        <v>0.51249999999999996</v>
      </c>
      <c r="AC234">
        <f>AVERAGEIFS($J$2:J234, $B$2:B234, B234)</f>
        <v>0.52374999999999994</v>
      </c>
      <c r="AD234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f>AVERAGEIFS($C$2:C235, $B$2:B235, B235)</f>
        <v>23.428571428571427</v>
      </c>
      <c r="AB235">
        <f>AVERAGEIFS($I$2:I235, $B$2:B235, B235)</f>
        <v>0.47857142857142859</v>
      </c>
      <c r="AC235">
        <f>AVERAGEIFS($J$2:J235, $B$2:B235, B235)</f>
        <v>0.49714285714285705</v>
      </c>
      <c r="AD235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f>AVERAGEIFS($C$2:C236, $B$2:B236, B236)</f>
        <v>11.125</v>
      </c>
      <c r="AB236">
        <f>AVERAGEIFS($I$2:I236, $B$2:B236, B236)</f>
        <v>0.42500000000000004</v>
      </c>
      <c r="AC236">
        <f>AVERAGEIFS($J$2:J236, $B$2:B236, B236)</f>
        <v>0.45750000000000002</v>
      </c>
      <c r="AD23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f>AVERAGEIFS($C$2:C237, $B$2:B237, B237)</f>
        <v>13.7</v>
      </c>
      <c r="AB237">
        <f>AVERAGEIFS($I$2:I237, $B$2:B237, B237)</f>
        <v>0.37</v>
      </c>
      <c r="AC237">
        <f>AVERAGEIFS($J$2:J237, $B$2:B237, B237)</f>
        <v>0.43100000000000005</v>
      </c>
      <c r="AD237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f>AVERAGEIFS($C$2:C238, $B$2:B238, B238)</f>
        <v>2.3333333333333335</v>
      </c>
      <c r="AB238">
        <f>AVERAGEIFS($I$2:I238, $B$2:B238, B238)</f>
        <v>0.41666666666666669</v>
      </c>
      <c r="AC238">
        <f>AVERAGEIFS($J$2:J238, $B$2:B238, B238)</f>
        <v>0.45999999999999996</v>
      </c>
      <c r="AD238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f>AVERAGEIFS($C$2:C239, $B$2:B239, B239)</f>
        <v>23</v>
      </c>
      <c r="AB239">
        <f>AVERAGEIFS($I$2:I239, $B$2:B239, B239)</f>
        <v>0.59499999999999997</v>
      </c>
      <c r="AC239">
        <f>AVERAGEIFS($J$2:J239, $B$2:B239, B239)</f>
        <v>0.53599999999999992</v>
      </c>
      <c r="AD239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>
        <f>AVERAGEIFS($C$2:C240, $B$2:B240, B240)</f>
        <v>28</v>
      </c>
      <c r="AB240">
        <f>AVERAGEIFS($I$2:I240, $B$2:B240, B240)</f>
        <v>0.51764705882352935</v>
      </c>
      <c r="AC240">
        <f>AVERAGEIFS($J$2:J240, $B$2:B240, B240)</f>
        <v>0.52117647058823524</v>
      </c>
      <c r="AD240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>
        <f>AVERAGEIFS($C$2:C241, $B$2:B241, B241)</f>
        <v>22.875</v>
      </c>
      <c r="AB241">
        <f>AVERAGEIFS($I$2:I241, $B$2:B241, B241)</f>
        <v>0.49375000000000002</v>
      </c>
      <c r="AC241">
        <f>AVERAGEIFS($J$2:J241, $B$2:B241, B241)</f>
        <v>0.49499999999999994</v>
      </c>
      <c r="AD241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>
        <f>AVERAGEIFS($C$2:C242, $B$2:B242, B242)</f>
        <v>14.444444444444445</v>
      </c>
      <c r="AB242">
        <f>AVERAGEIFS($I$2:I242, $B$2:B242, B242)</f>
        <v>0.57777777777777772</v>
      </c>
      <c r="AC242">
        <f>AVERAGEIFS($J$2:J242, $B$2:B242, B242)</f>
        <v>0.52555555555555555</v>
      </c>
      <c r="AD242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>
        <f>AVERAGEIFS($C$2:C243, $B$2:B243, B243)</f>
        <v>9.4444444444444446</v>
      </c>
      <c r="AB243">
        <f>AVERAGEIFS($I$2:I243, $B$2:B243, B243)</f>
        <v>0.46666666666666667</v>
      </c>
      <c r="AC243">
        <f>AVERAGEIFS($J$2:J243, $B$2:B243, B243)</f>
        <v>0.50777777777777777</v>
      </c>
      <c r="AD243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f>AVERAGEIFS($C$2:C244, $B$2:B244, B244)</f>
        <v>26.058823529411764</v>
      </c>
      <c r="AB244">
        <f>AVERAGEIFS($I$2:I244, $B$2:B244, B244)</f>
        <v>0.61764705882352955</v>
      </c>
      <c r="AC244">
        <f>AVERAGEIFS($J$2:J244, $B$2:B244, B244)</f>
        <v>0.56882352941176473</v>
      </c>
      <c r="AD244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f>AVERAGEIFS($C$2:C245, $B$2:B245, B245)</f>
        <v>26.5</v>
      </c>
      <c r="AB245">
        <f>AVERAGEIFS($I$2:I245, $B$2:B245, B245)</f>
        <v>0.42499999999999999</v>
      </c>
      <c r="AC245">
        <f>AVERAGEIFS($J$2:J245, $B$2:B245, B245)</f>
        <v>0.45249999999999996</v>
      </c>
      <c r="AD245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f>AVERAGEIFS($C$2:C246, $B$2:B246, B246)</f>
        <v>26.923076923076923</v>
      </c>
      <c r="AB246">
        <f>AVERAGEIFS($I$2:I246, $B$2:B246, B246)</f>
        <v>0.4884615384615385</v>
      </c>
      <c r="AC246">
        <f>AVERAGEIFS($J$2:J246, $B$2:B246, B246)</f>
        <v>0.48846153846153845</v>
      </c>
      <c r="AD24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f>AVERAGEIFS($C$2:C247, $B$2:B247, B247)</f>
        <v>17.2</v>
      </c>
      <c r="AB247">
        <f>AVERAGEIFS($I$2:I247, $B$2:B247, B247)</f>
        <v>0.63</v>
      </c>
      <c r="AC247">
        <f>AVERAGEIFS($J$2:J247, $B$2:B247, B247)</f>
        <v>0.59199999999999986</v>
      </c>
      <c r="AD247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f>AVERAGEIFS($C$2:C248, $B$2:B248, B248)</f>
        <v>13.454545454545455</v>
      </c>
      <c r="AB248">
        <f>AVERAGEIFS($I$2:I248, $B$2:B248, B248)</f>
        <v>0.37272727272727268</v>
      </c>
      <c r="AC248">
        <f>AVERAGEIFS($J$2:J248, $B$2:B248, B248)</f>
        <v>0.43909090909090909</v>
      </c>
      <c r="AD248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>
        <f>AVERAGEIFS($C$2:C249, $B$2:B249, B249)</f>
        <v>25.2</v>
      </c>
      <c r="AB249">
        <f>AVERAGEIFS($I$2:I249, $B$2:B249, B249)</f>
        <v>0.53666666666666674</v>
      </c>
      <c r="AC249">
        <f>AVERAGEIFS($J$2:J249, $B$2:B249, B249)</f>
        <v>0.5106666666666666</v>
      </c>
      <c r="AD249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>
        <f>AVERAGEIFS($C$2:C250, $B$2:B250, B250)</f>
        <v>27.111111111111111</v>
      </c>
      <c r="AB250">
        <f>AVERAGEIFS($I$2:I250, $B$2:B250, B250)</f>
        <v>0.5444444444444444</v>
      </c>
      <c r="AC250">
        <f>AVERAGEIFS($J$2:J250, $B$2:B250, B250)</f>
        <v>0.53388888888888886</v>
      </c>
      <c r="AD250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>
        <f>AVERAGEIFS($C$2:C251, $B$2:B251, B251)</f>
        <v>13.083333333333334</v>
      </c>
      <c r="AB251">
        <f>AVERAGEIFS($I$2:I251, $B$2:B251, B251)</f>
        <v>0.42499999999999999</v>
      </c>
      <c r="AC251">
        <f>AVERAGEIFS($J$2:J251, $B$2:B251, B251)</f>
        <v>0.46500000000000002</v>
      </c>
      <c r="AD251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>
        <f>AVERAGEIFS($C$2:C252, $B$2:B252, B252)</f>
        <v>11.909090909090908</v>
      </c>
      <c r="AB252">
        <f>AVERAGEIFS($I$2:I252, $B$2:B252, B252)</f>
        <v>0.65909090909090906</v>
      </c>
      <c r="AC252">
        <f>AVERAGEIFS($J$2:J252, $B$2:B252, B252)</f>
        <v>0.60090909090909084</v>
      </c>
      <c r="AD252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>
        <f>AVERAGEIFS($C$2:C253, $B$2:B253, B253)</f>
        <v>5</v>
      </c>
      <c r="AB253">
        <f>AVERAGEIFS($I$2:I253, $B$2:B253, B253)</f>
        <v>1</v>
      </c>
      <c r="AC253">
        <f>AVERAGEIFS($J$2:J253, $B$2:B253, B253)</f>
        <v>0.75</v>
      </c>
      <c r="AD253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>
        <f>AVERAGEIFS($C$2:C254, $B$2:B254, B254)</f>
        <v>14.833333333333334</v>
      </c>
      <c r="AB254">
        <f>AVERAGEIFS($I$2:I254, $B$2:B254, B254)</f>
        <v>0.69166666666666676</v>
      </c>
      <c r="AC254">
        <f>AVERAGEIFS($J$2:J254, $B$2:B254, B254)</f>
        <v>0.61833333333333329</v>
      </c>
      <c r="AD254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f>AVERAGEIFS($C$2:C255, $B$2:B255, B255)</f>
        <v>25.785714285714285</v>
      </c>
      <c r="AB255">
        <f>AVERAGEIFS($I$2:I255, $B$2:B255, B255)</f>
        <v>0.45357142857142863</v>
      </c>
      <c r="AC255">
        <f>AVERAGEIFS($J$2:J255, $B$2:B255, B255)</f>
        <v>0.47142857142857142</v>
      </c>
      <c r="AD255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f>AVERAGEIFS($C$2:C256, $B$2:B256, B256)</f>
        <v>25.222222222222221</v>
      </c>
      <c r="AB256">
        <f>AVERAGEIFS($I$2:I256, $B$2:B256, B256)</f>
        <v>0.58333333333333348</v>
      </c>
      <c r="AC256">
        <f>AVERAGEIFS($J$2:J256, $B$2:B256, B256)</f>
        <v>0.55111111111111111</v>
      </c>
      <c r="AD25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f>AVERAGEIFS($C$2:C257, $B$2:B257, B257)</f>
        <v>11</v>
      </c>
      <c r="AB257">
        <f>AVERAGEIFS($I$2:I257, $B$2:B257, B257)</f>
        <v>0.4</v>
      </c>
      <c r="AC257">
        <f>AVERAGEIFS($J$2:J257, $B$2:B257, B257)</f>
        <v>0.44529411764705884</v>
      </c>
      <c r="AD257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f>AVERAGEIFS($C$2:C258, $B$2:B258, B258)</f>
        <v>10.083333333333334</v>
      </c>
      <c r="AB258">
        <f>AVERAGEIFS($I$2:I258, $B$2:B258, B258)</f>
        <v>0.47083333333333327</v>
      </c>
      <c r="AC258">
        <f>AVERAGEIFS($J$2:J258, $B$2:B258, B258)</f>
        <v>0.48916666666666658</v>
      </c>
      <c r="AD258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f>AVERAGEIFS($C$2:C259, $B$2:B259, B259)</f>
        <v>13.4</v>
      </c>
      <c r="AB259">
        <f>AVERAGEIFS($I$2:I259, $B$2:B259, B259)</f>
        <v>0.51999999999999991</v>
      </c>
      <c r="AC259">
        <f>AVERAGEIFS($J$2:J259, $B$2:B259, B259)</f>
        <v>0.49800000000000005</v>
      </c>
      <c r="AD259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f>AVERAGEIFS($C$2:C260, $B$2:B260, B260)</f>
        <v>12.916666666666666</v>
      </c>
      <c r="AB260">
        <f>AVERAGEIFS($I$2:I260, $B$2:B260, B260)</f>
        <v>0.41666666666666669</v>
      </c>
      <c r="AC260">
        <f>AVERAGEIFS($J$2:J260, $B$2:B260, B260)</f>
        <v>0.45083333333333325</v>
      </c>
      <c r="AD260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>
        <f>AVERAGEIFS($C$2:C261, $B$2:B261, B261)</f>
        <v>26.736842105263158</v>
      </c>
      <c r="AB261">
        <f>AVERAGEIFS($I$2:I261, $B$2:B261, B261)</f>
        <v>0.56842105263157894</v>
      </c>
      <c r="AC261">
        <f>AVERAGEIFS($J$2:J261, $B$2:B261, B261)</f>
        <v>0.53947368421052633</v>
      </c>
      <c r="AD261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>
        <f>AVERAGEIFS($C$2:C262, $B$2:B262, B262)</f>
        <v>24.5</v>
      </c>
      <c r="AB262">
        <f>AVERAGEIFS($I$2:I262, $B$2:B262, B262)</f>
        <v>0.56562500000000004</v>
      </c>
      <c r="AC262">
        <f>AVERAGEIFS($J$2:J262, $B$2:B262, B262)</f>
        <v>0.51874999999999993</v>
      </c>
      <c r="AD262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>
        <f>AVERAGEIFS($C$2:C263, $B$2:B263, B263)</f>
        <v>14.428571428571429</v>
      </c>
      <c r="AB263">
        <f>AVERAGEIFS($I$2:I263, $B$2:B263, B263)</f>
        <v>0.73571428571428577</v>
      </c>
      <c r="AC263">
        <f>AVERAGEIFS($J$2:J263, $B$2:B263, B263)</f>
        <v>0.62142857142857133</v>
      </c>
      <c r="AD263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>
        <f>AVERAGEIFS($C$2:C264, $B$2:B264, B264)</f>
        <v>12.846153846153847</v>
      </c>
      <c r="AB264">
        <f>AVERAGEIFS($I$2:I264, $B$2:B264, B264)</f>
        <v>0.46923076923076923</v>
      </c>
      <c r="AC264">
        <f>AVERAGEIFS($J$2:J264, $B$2:B264, B264)</f>
        <v>0.47846153846153844</v>
      </c>
      <c r="AD264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>
        <f>AVERAGEIFS($C$2:C265, $B$2:B265, B265)</f>
        <v>11.333333333333334</v>
      </c>
      <c r="AB265">
        <f>AVERAGEIFS($I$2:I265, $B$2:B265, B265)</f>
        <v>0.6875</v>
      </c>
      <c r="AC265">
        <f>AVERAGEIFS($J$2:J265, $B$2:B265, B265)</f>
        <v>0.60416666666666663</v>
      </c>
      <c r="AD265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f>AVERAGEIFS($C$2:C266, $B$2:B266, B266)</f>
        <v>25.266666666666666</v>
      </c>
      <c r="AB266">
        <f>AVERAGEIFS($I$2:I266, $B$2:B266, B266)</f>
        <v>0.42333333333333339</v>
      </c>
      <c r="AC266">
        <f>AVERAGEIFS($J$2:J266, $B$2:B266, B266)</f>
        <v>0.46400000000000002</v>
      </c>
      <c r="AD26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f>AVERAGEIFS($C$2:C267, $B$2:B267, B267)</f>
        <v>24.473684210526315</v>
      </c>
      <c r="AB267">
        <f>AVERAGEIFS($I$2:I267, $B$2:B267, B267)</f>
        <v>0.55263157894736847</v>
      </c>
      <c r="AC267">
        <f>AVERAGEIFS($J$2:J267, $B$2:B267, B267)</f>
        <v>0.54105263157894734</v>
      </c>
      <c r="AD267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f>AVERAGEIFS($C$2:C268, $B$2:B268, B268)</f>
        <v>13</v>
      </c>
      <c r="AB268">
        <f>AVERAGEIFS($I$2:I268, $B$2:B268, B268)</f>
        <v>0.47272727272727266</v>
      </c>
      <c r="AC268">
        <f>AVERAGEIFS($J$2:J268, $B$2:B268, B268)</f>
        <v>0.48545454545454553</v>
      </c>
      <c r="AD268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f>AVERAGEIFS($C$2:C269, $B$2:B269, B269)</f>
        <v>12.307692307692308</v>
      </c>
      <c r="AB269">
        <f>AVERAGEIFS($I$2:I269, $B$2:B269, B269)</f>
        <v>0.38461538461538464</v>
      </c>
      <c r="AC269">
        <f>AVERAGEIFS($J$2:J269, $B$2:B269, B269)</f>
        <v>0.44384615384615383</v>
      </c>
      <c r="AD269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f>AVERAGEIFS($C$2:C270, $B$2:B270, B270)</f>
        <v>9.4615384615384617</v>
      </c>
      <c r="AB270">
        <f>AVERAGEIFS($I$2:I270, $B$2:B270, B270)</f>
        <v>0.43461538461538457</v>
      </c>
      <c r="AC270">
        <f>AVERAGEIFS($J$2:J270, $B$2:B270, B270)</f>
        <v>0.47923076923076918</v>
      </c>
      <c r="AD270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f>AVERAGEIFS($C$2:C271, $B$2:B271, B271)</f>
        <v>27.833333333333332</v>
      </c>
      <c r="AB271">
        <f>AVERAGEIFS($I$2:I271, $B$2:B271, B271)</f>
        <v>0.55833333333333335</v>
      </c>
      <c r="AC271">
        <f>AVERAGEIFS($J$2:J271, $B$2:B271, B271)</f>
        <v>0.49833333333333335</v>
      </c>
      <c r="AD271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f>AVERAGEIFS($C$2:C272, $B$2:B272, B272)</f>
        <v>25.666666666666668</v>
      </c>
      <c r="AB272">
        <f>AVERAGEIFS($I$2:I272, $B$2:B272, B272)</f>
        <v>0.50555555555555554</v>
      </c>
      <c r="AC272">
        <f>AVERAGEIFS($J$2:J272, $B$2:B272, B272)</f>
        <v>0.50888888888888895</v>
      </c>
      <c r="AD272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f>AVERAGEIFS($C$2:C273, $B$2:B273, B273)</f>
        <v>23.555555555555557</v>
      </c>
      <c r="AB273">
        <f>AVERAGEIFS($I$2:I273, $B$2:B273, B273)</f>
        <v>0.52222222222222225</v>
      </c>
      <c r="AC273">
        <f>AVERAGEIFS($J$2:J273, $B$2:B273, B273)</f>
        <v>0.50222222222222213</v>
      </c>
      <c r="AD273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f>AVERAGEIFS($C$2:C274, $B$2:B274, B274)</f>
        <v>16.5</v>
      </c>
      <c r="AB274">
        <f>AVERAGEIFS($I$2:I274, $B$2:B274, B274)</f>
        <v>0.875</v>
      </c>
      <c r="AC274">
        <f>AVERAGEIFS($J$2:J274, $B$2:B274, B274)</f>
        <v>0.69</v>
      </c>
      <c r="AD274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>
        <f>AVERAGEIFS($C$2:C275, $B$2:B275, B275)</f>
        <v>26.25</v>
      </c>
      <c r="AB275">
        <f>AVERAGEIFS($I$2:I275, $B$2:B275, B275)</f>
        <v>0.48125000000000001</v>
      </c>
      <c r="AC275">
        <f>AVERAGEIFS($J$2:J275, $B$2:B275, B275)</f>
        <v>0.48749999999999999</v>
      </c>
      <c r="AD275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f>AVERAGEIFS($C$2:C276, $B$2:B276, B276)</f>
        <v>22.636363636363637</v>
      </c>
      <c r="AB276">
        <f>AVERAGEIFS($I$2:I276, $B$2:B276, B276)</f>
        <v>0.60909090909090902</v>
      </c>
      <c r="AC276">
        <f>AVERAGEIFS($J$2:J276, $B$2:B276, B276)</f>
        <v>0.53818181818181821</v>
      </c>
      <c r="AD27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f>AVERAGEIFS($C$2:C277, $B$2:B277, B277)</f>
        <v>17.714285714285715</v>
      </c>
      <c r="AB277">
        <f>AVERAGEIFS($I$2:I277, $B$2:B277, B277)</f>
        <v>0.39285714285714285</v>
      </c>
      <c r="AC277">
        <f>AVERAGEIFS($J$2:J277, $B$2:B277, B277)</f>
        <v>0.45428571428571429</v>
      </c>
      <c r="AD277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f>AVERAGEIFS($C$2:C278, $B$2:B278, B278)</f>
        <v>27.15</v>
      </c>
      <c r="AB278">
        <f>AVERAGEIFS($I$2:I278, $B$2:B278, B278)</f>
        <v>0.55249999999999999</v>
      </c>
      <c r="AC278">
        <f>AVERAGEIFS($J$2:J278, $B$2:B278, B278)</f>
        <v>0.53449999999999998</v>
      </c>
      <c r="AD278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f>AVERAGEIFS($C$2:C279, $B$2:B279, B279)</f>
        <v>24.941176470588236</v>
      </c>
      <c r="AB279">
        <f>AVERAGEIFS($I$2:I279, $B$2:B279, B279)</f>
        <v>0.54705882352941182</v>
      </c>
      <c r="AC279">
        <f>AVERAGEIFS($J$2:J279, $B$2:B279, B279)</f>
        <v>0.51411764705882346</v>
      </c>
      <c r="AD279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f>AVERAGEIFS($C$2:C280, $B$2:B280, B280)</f>
        <v>25.625</v>
      </c>
      <c r="AB280">
        <f>AVERAGEIFS($I$2:I280, $B$2:B280, B280)</f>
        <v>0.41250000000000003</v>
      </c>
      <c r="AC280">
        <f>AVERAGEIFS($J$2:J280, $B$2:B280, B280)</f>
        <v>0.46250000000000002</v>
      </c>
      <c r="AD280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>
        <f>AVERAGEIFS($C$2:C281, $B$2:B281, B281)</f>
        <v>24.6</v>
      </c>
      <c r="AB281">
        <f>AVERAGEIFS($I$2:I281, $B$2:B281, B281)</f>
        <v>0.53750000000000009</v>
      </c>
      <c r="AC281">
        <f>AVERAGEIFS($J$2:J281, $B$2:B281, B281)</f>
        <v>0.53599999999999992</v>
      </c>
      <c r="AD281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>
        <f>AVERAGEIFS($C$2:C282, $B$2:B282, B282)</f>
        <v>25.777777777777779</v>
      </c>
      <c r="AB282">
        <f>AVERAGEIFS($I$2:I282, $B$2:B282, B282)</f>
        <v>0.40555555555555556</v>
      </c>
      <c r="AC282">
        <f>AVERAGEIFS($J$2:J282, $B$2:B282, B282)</f>
        <v>0.45111111111111107</v>
      </c>
      <c r="AD282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f>AVERAGEIFS($C$2:C283, $B$2:B283, B283)</f>
        <v>11.222222222222221</v>
      </c>
      <c r="AB283">
        <f>AVERAGEIFS($I$2:I283, $B$2:B283, B283)</f>
        <v>0.39166666666666672</v>
      </c>
      <c r="AC283">
        <f>AVERAGEIFS($J$2:J283, $B$2:B283, B283)</f>
        <v>0.44500000000000001</v>
      </c>
      <c r="AD283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f>AVERAGEIFS($C$2:C284, $B$2:B284, B284)</f>
        <v>12.928571428571429</v>
      </c>
      <c r="AB284">
        <f>AVERAGEIFS($I$2:I284, $B$2:B284, B284)</f>
        <v>0.45357142857142857</v>
      </c>
      <c r="AC284">
        <f>AVERAGEIFS($J$2:J284, $B$2:B284, B284)</f>
        <v>0.4757142857142857</v>
      </c>
      <c r="AD284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>
        <f>AVERAGEIFS($C$2:C285, $B$2:B285, B285)</f>
        <v>26.8</v>
      </c>
      <c r="AB285">
        <f>AVERAGEIFS($I$2:I285, $B$2:B285, B285)</f>
        <v>0.44000000000000006</v>
      </c>
      <c r="AC285">
        <f>AVERAGEIFS($J$2:J285, $B$2:B285, B285)</f>
        <v>0.46199999999999991</v>
      </c>
      <c r="AD285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>
        <f>AVERAGEIFS($C$2:C286, $B$2:B286, B286)</f>
        <v>20</v>
      </c>
      <c r="AB286">
        <f>AVERAGEIFS($I$2:I286, $B$2:B286, B286)</f>
        <v>0.4375</v>
      </c>
      <c r="AC286">
        <f>AVERAGEIFS($J$2:J286, $B$2:B286, B286)</f>
        <v>0.46750000000000003</v>
      </c>
      <c r="AD2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f>AVERAGEIFS($C$2:C287, $B$2:B287, B287)</f>
        <v>22.833333333333332</v>
      </c>
      <c r="AB287">
        <f>AVERAGEIFS($I$2:I287, $B$2:B287, B287)</f>
        <v>0.62083333333333324</v>
      </c>
      <c r="AC287">
        <f>AVERAGEIFS($J$2:J287, $B$2:B287, B287)</f>
        <v>0.54</v>
      </c>
      <c r="AD287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f>AVERAGEIFS($C$2:C288, $B$2:B288, B288)</f>
        <v>13.636363636363637</v>
      </c>
      <c r="AB288">
        <f>AVERAGEIFS($I$2:I288, $B$2:B288, B288)</f>
        <v>0.57727272727272727</v>
      </c>
      <c r="AC288">
        <f>AVERAGEIFS($J$2:J288, $B$2:B288, B288)</f>
        <v>0.53454545454545466</v>
      </c>
      <c r="AD288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f>AVERAGEIFS($C$2:C289, $B$2:B289, B289)</f>
        <v>11.76923076923077</v>
      </c>
      <c r="AB289">
        <f>AVERAGEIFS($I$2:I289, $B$2:B289, B289)</f>
        <v>0.69230769230769229</v>
      </c>
      <c r="AC289">
        <f>AVERAGEIFS($J$2:J289, $B$2:B289, B289)</f>
        <v>0.60076923076923072</v>
      </c>
      <c r="AD289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f>AVERAGEIFS($C$2:C290, $B$2:B290, B290)</f>
        <v>3.25</v>
      </c>
      <c r="AB290">
        <f>AVERAGEIFS($I$2:I290, $B$2:B290, B290)</f>
        <v>0.5</v>
      </c>
      <c r="AC290">
        <f>AVERAGEIFS($J$2:J290, $B$2:B290, B290)</f>
        <v>0.48499999999999999</v>
      </c>
      <c r="AD290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>
        <f>AVERAGEIFS($C$2:C291, $B$2:B291, B291)</f>
        <v>25.428571428571427</v>
      </c>
      <c r="AB291">
        <f>AVERAGEIFS($I$2:I291, $B$2:B291, B291)</f>
        <v>0.52380952380952395</v>
      </c>
      <c r="AC291">
        <f>AVERAGEIFS($J$2:J291, $B$2:B291, B291)</f>
        <v>0.53142857142857136</v>
      </c>
      <c r="AD291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>
        <f>AVERAGEIFS($C$2:C292, $B$2:B292, B292)</f>
        <v>26.176470588235293</v>
      </c>
      <c r="AB292">
        <f>AVERAGEIFS($I$2:I292, $B$2:B292, B292)</f>
        <v>0.40294117647058825</v>
      </c>
      <c r="AC292">
        <f>AVERAGEIFS($J$2:J292, $B$2:B292, B292)</f>
        <v>0.46117647058823535</v>
      </c>
      <c r="AD292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f>AVERAGEIFS($C$2:C293, $B$2:B293, B293)</f>
        <v>12.714285714285714</v>
      </c>
      <c r="AB293">
        <f>AVERAGEIFS($I$2:I293, $B$2:B293, B293)</f>
        <v>0.375</v>
      </c>
      <c r="AC293">
        <f>AVERAGEIFS($J$2:J293, $B$2:B293, B293)</f>
        <v>0.44357142857142856</v>
      </c>
      <c r="AD293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f>AVERAGEIFS($C$2:C294, $B$2:B294, B294)</f>
        <v>14.625</v>
      </c>
      <c r="AB294">
        <f>AVERAGEIFS($I$2:I294, $B$2:B294, B294)</f>
        <v>0.67500000000000004</v>
      </c>
      <c r="AC294">
        <f>AVERAGEIFS($J$2:J294, $B$2:B294, B294)</f>
        <v>0.59875</v>
      </c>
      <c r="AD294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f>AVERAGEIFS($C$2:C295, $B$2:B295, B295)</f>
        <v>12.333333333333334</v>
      </c>
      <c r="AB295">
        <f>AVERAGEIFS($I$2:I295, $B$2:B295, B295)</f>
        <v>0.16666666666666666</v>
      </c>
      <c r="AC295">
        <f>AVERAGEIFS($J$2:J295, $B$2:B295, B295)</f>
        <v>0.31</v>
      </c>
      <c r="AD295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f>AVERAGEIFS($C$2:C296, $B$2:B296, B296)</f>
        <v>9</v>
      </c>
      <c r="AB296">
        <f>AVERAGEIFS($I$2:I296, $B$2:B296, B296)</f>
        <v>0.6</v>
      </c>
      <c r="AC296">
        <f>AVERAGEIFS($J$2:J296, $B$2:B296, B296)</f>
        <v>0.54499999999999993</v>
      </c>
      <c r="AD29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>
        <f>AVERAGEIFS($C$2:C297, $B$2:B297, B297)</f>
        <v>27.666666666666668</v>
      </c>
      <c r="AB297">
        <f>AVERAGEIFS($I$2:I297, $B$2:B297, B297)</f>
        <v>0.56190476190476191</v>
      </c>
      <c r="AC297">
        <f>AVERAGEIFS($J$2:J297, $B$2:B297, B297)</f>
        <v>0.53904761904761911</v>
      </c>
      <c r="AD297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>
        <f>AVERAGEIFS($C$2:C298, $B$2:B298, B298)</f>
        <v>26</v>
      </c>
      <c r="AB298">
        <f>AVERAGEIFS($I$2:I298, $B$2:B298, B298)</f>
        <v>0.53</v>
      </c>
      <c r="AC298">
        <f>AVERAGEIFS($J$2:J298, $B$2:B298, B298)</f>
        <v>0.52100000000000002</v>
      </c>
      <c r="AD298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>
        <f>AVERAGEIFS($C$2:C299, $B$2:B299, B299)</f>
        <v>9.5714285714285712</v>
      </c>
      <c r="AB299">
        <f>AVERAGEIFS($I$2:I299, $B$2:B299, B299)</f>
        <v>0.41428571428571426</v>
      </c>
      <c r="AC299">
        <f>AVERAGEIFS($J$2:J299, $B$2:B299, B299)</f>
        <v>0.45428571428571424</v>
      </c>
      <c r="AD299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>
        <f>AVERAGEIFS($C$2:C300, $B$2:B300, B300)</f>
        <v>13.066666666666666</v>
      </c>
      <c r="AB300">
        <f>AVERAGEIFS($I$2:I300, $B$2:B300, B300)</f>
        <v>0.47333333333333333</v>
      </c>
      <c r="AC300">
        <f>AVERAGEIFS($J$2:J300, $B$2:B300, B300)</f>
        <v>0.48599999999999999</v>
      </c>
      <c r="AD300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>
        <f>AVERAGEIFS($C$2:C301, $B$2:B301, B301)</f>
        <v>9.8000000000000007</v>
      </c>
      <c r="AB301">
        <f>AVERAGEIFS($I$2:I301, $B$2:B301, B301)</f>
        <v>0.495</v>
      </c>
      <c r="AC301">
        <f>AVERAGEIFS($J$2:J301, $B$2:B301, B301)</f>
        <v>0.52</v>
      </c>
      <c r="AD301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>
        <f>AVERAGEIFS($C$2:C302, $B$2:B302, B302)</f>
        <v>9.4285714285714288</v>
      </c>
      <c r="AB302">
        <f>AVERAGEIFS($I$2:I302, $B$2:B302, B302)</f>
        <v>0.45714285714285713</v>
      </c>
      <c r="AC302">
        <f>AVERAGEIFS($J$2:J302, $B$2:B302, B302)</f>
        <v>0.48999999999999994</v>
      </c>
      <c r="AD302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>
        <f>AVERAGEIFS($C$2:C303, $B$2:B303, B303)</f>
        <v>25.388888888888889</v>
      </c>
      <c r="AB303">
        <f>AVERAGEIFS($I$2:I303, $B$2:B303, B303)</f>
        <v>0.53055555555555556</v>
      </c>
      <c r="AC303">
        <f>AVERAGEIFS($J$2:J303, $B$2:B303, B303)</f>
        <v>0.5066666666666666</v>
      </c>
      <c r="AD303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>
        <f>AVERAGEIFS($C$2:C304, $B$2:B304, B304)</f>
        <v>23</v>
      </c>
      <c r="AB304">
        <f>AVERAGEIFS($I$2:I304, $B$2:B304, B304)</f>
        <v>0.495</v>
      </c>
      <c r="AC304">
        <f>AVERAGEIFS($J$2:J304, $B$2:B304, B304)</f>
        <v>0.48999999999999994</v>
      </c>
      <c r="AD304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>
        <f>AVERAGEIFS($C$2:C305, $B$2:B305, B305)</f>
        <v>13.416666666666666</v>
      </c>
      <c r="AB305">
        <f>AVERAGEIFS($I$2:I305, $B$2:B305, B305)</f>
        <v>0.45416666666666661</v>
      </c>
      <c r="AC305">
        <f>AVERAGEIFS($J$2:J305, $B$2:B305, B305)</f>
        <v>0.47666666666666674</v>
      </c>
      <c r="AD305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>
        <f>AVERAGEIFS($C$2:C306, $B$2:B306, B306)</f>
        <v>17.272727272727273</v>
      </c>
      <c r="AB306">
        <f>AVERAGEIFS($I$2:I306, $B$2:B306, B306)</f>
        <v>0.4681818181818182</v>
      </c>
      <c r="AC306">
        <f>AVERAGEIFS($J$2:J306, $B$2:B306, B306)</f>
        <v>0.469090909090909</v>
      </c>
      <c r="AD30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>
        <f>AVERAGEIFS($C$2:C307, $B$2:B307, B307)</f>
        <v>11.210526315789474</v>
      </c>
      <c r="AB307">
        <f>AVERAGEIFS($I$2:I307, $B$2:B307, B307)</f>
        <v>0.3842105263157895</v>
      </c>
      <c r="AC307">
        <f>AVERAGEIFS($J$2:J307, $B$2:B307, B307)</f>
        <v>0.44157894736842107</v>
      </c>
      <c r="AD307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>
        <f>AVERAGEIFS($C$2:C308, $B$2:B308, B308)</f>
        <v>10.833333333333334</v>
      </c>
      <c r="AB308">
        <f>AVERAGEIFS($I$2:I308, $B$2:B308, B308)</f>
        <v>0.55833333333333335</v>
      </c>
      <c r="AC308">
        <f>AVERAGEIFS($J$2:J308, $B$2:B308, B308)</f>
        <v>0.50166666666666659</v>
      </c>
      <c r="AD308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>
        <f>AVERAGEIFS($C$2:C309, $B$2:B309, B309)</f>
        <v>28.363636363636363</v>
      </c>
      <c r="AB309">
        <f>AVERAGEIFS($I$2:I309, $B$2:B309, B309)</f>
        <v>0.57045454545454544</v>
      </c>
      <c r="AC309">
        <f>AVERAGEIFS($J$2:J309, $B$2:B309, B309)</f>
        <v>0.5459090909090909</v>
      </c>
      <c r="AD309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>
        <f>AVERAGEIFS($C$2:C310, $B$2:B310, B310)</f>
        <v>27</v>
      </c>
      <c r="AB310">
        <f>AVERAGEIFS($I$2:I310, $B$2:B310, B310)</f>
        <v>0.54999999999999993</v>
      </c>
      <c r="AC310">
        <f>AVERAGEIFS($J$2:J310, $B$2:B310, B310)</f>
        <v>0.53636363636363638</v>
      </c>
      <c r="AD310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>
        <f>AVERAGEIFS($C$2:C311, $B$2:B311, B311)</f>
        <v>13.3125</v>
      </c>
      <c r="AB311">
        <f>AVERAGEIFS($I$2:I311, $B$2:B311, B311)</f>
        <v>0.49062499999999998</v>
      </c>
      <c r="AC311">
        <f>AVERAGEIFS($J$2:J311, $B$2:B311, B311)</f>
        <v>0.49875000000000003</v>
      </c>
      <c r="AD311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>
        <f>AVERAGEIFS($C$2:C312, $B$2:B312, B312)</f>
        <v>10.454545454545455</v>
      </c>
      <c r="AB312">
        <f>AVERAGEIFS($I$2:I312, $B$2:B312, B312)</f>
        <v>0.51818181818181819</v>
      </c>
      <c r="AC312">
        <f>AVERAGEIFS($J$2:J312, $B$2:B312, B312)</f>
        <v>0.53545454545454552</v>
      </c>
      <c r="AD312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>
        <f>AVERAGEIFS($C$2:C313, $B$2:B313, B313)</f>
        <v>9.7333333333333325</v>
      </c>
      <c r="AB313">
        <f>AVERAGEIFS($I$2:I313, $B$2:B313, B313)</f>
        <v>0.47666666666666663</v>
      </c>
      <c r="AC313">
        <f>AVERAGEIFS($J$2:J313, $B$2:B313, B313)</f>
        <v>0.5033333333333333</v>
      </c>
      <c r="AD313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>
        <f>AVERAGEIFS($C$2:C314, $B$2:B314, B314)</f>
        <v>10</v>
      </c>
      <c r="AB314">
        <f>AVERAGEIFS($I$2:I314, $B$2:B314, B314)</f>
        <v>0.45624999999999999</v>
      </c>
      <c r="AC314">
        <f>AVERAGEIFS($J$2:J314, $B$2:B314, B314)</f>
        <v>0.48374999999999996</v>
      </c>
      <c r="AD314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f>AVERAGEIFS($C$2:C315, $B$2:B315, B315)</f>
        <v>23.53846153846154</v>
      </c>
      <c r="AB315">
        <f>AVERAGEIFS($I$2:I315, $B$2:B315, B315)</f>
        <v>0.5923076923076922</v>
      </c>
      <c r="AC315">
        <f>AVERAGEIFS($J$2:J315, $B$2:B315, B315)</f>
        <v>0.52230769230769236</v>
      </c>
      <c r="AD315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f>AVERAGEIFS($C$2:C316, $B$2:B316, B316)</f>
        <v>26.636363636363637</v>
      </c>
      <c r="AB316">
        <f>AVERAGEIFS($I$2:I316, $B$2:B316, B316)</f>
        <v>0.42272727272727278</v>
      </c>
      <c r="AC316">
        <f>AVERAGEIFS($J$2:J316, $B$2:B316, B316)</f>
        <v>0.44818181818181807</v>
      </c>
      <c r="AD31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f>AVERAGEIFS($C$2:C317, $B$2:B317, B317)</f>
        <v>12.642857142857142</v>
      </c>
      <c r="AB317">
        <f>AVERAGEIFS($I$2:I317, $B$2:B317, B317)</f>
        <v>0.6607142857142857</v>
      </c>
      <c r="AC317">
        <f>AVERAGEIFS($J$2:J317, $B$2:B317, B317)</f>
        <v>0.57999999999999996</v>
      </c>
      <c r="AD317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f>AVERAGEIFS($C$2:C318, $B$2:B318, B318)</f>
        <v>20.333333333333332</v>
      </c>
      <c r="AB318">
        <f>AVERAGEIFS($I$2:I318, $B$2:B318, B318)</f>
        <v>0.41666666666666669</v>
      </c>
      <c r="AC318">
        <f>AVERAGEIFS($J$2:J318, $B$2:B318, B318)</f>
        <v>0.44999999999999996</v>
      </c>
      <c r="AD318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f>AVERAGEIFS($C$2:C319, $B$2:B319, B319)</f>
        <v>13.916666666666666</v>
      </c>
      <c r="AB319">
        <f>AVERAGEIFS($I$2:I319, $B$2:B319, B319)</f>
        <v>0.55000000000000004</v>
      </c>
      <c r="AC319">
        <f>AVERAGEIFS($J$2:J319, $B$2:B319, B319)</f>
        <v>0.51583333333333337</v>
      </c>
      <c r="AD319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f>AVERAGEIFS($C$2:C320, $B$2:B320, B320)</f>
        <v>3.4</v>
      </c>
      <c r="AB320">
        <f>AVERAGEIFS($I$2:I320, $B$2:B320, B320)</f>
        <v>0.45</v>
      </c>
      <c r="AC320">
        <f>AVERAGEIFS($J$2:J320, $B$2:B320, B320)</f>
        <v>0.45</v>
      </c>
      <c r="AD320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f>AVERAGEIFS($C$2:C321, $B$2:B321, B321)</f>
        <v>25.227272727272727</v>
      </c>
      <c r="AB321">
        <f>AVERAGEIFS($I$2:I321, $B$2:B321, B321)</f>
        <v>0.53409090909090917</v>
      </c>
      <c r="AC321">
        <f>AVERAGEIFS($J$2:J321, $B$2:B321, B321)</f>
        <v>0.53772727272727261</v>
      </c>
      <c r="AD321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f>AVERAGEIFS($C$2:C322, $B$2:B322, B322)</f>
        <v>27.826086956521738</v>
      </c>
      <c r="AB322">
        <f>AVERAGEIFS($I$2:I322, $B$2:B322, B322)</f>
        <v>0.57826086956521738</v>
      </c>
      <c r="AC322">
        <f>AVERAGEIFS($J$2:J322, $B$2:B322, B322)</f>
        <v>0.55130434782608695</v>
      </c>
      <c r="AD322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f>AVERAGEIFS($C$2:C323, $B$2:B323, B323)</f>
        <v>12.533333333333333</v>
      </c>
      <c r="AB323">
        <f>AVERAGEIFS($I$2:I323, $B$2:B323, B323)</f>
        <v>0.66666666666666663</v>
      </c>
      <c r="AC323">
        <f>AVERAGEIFS($J$2:J323, $B$2:B323, B323)</f>
        <v>0.58599999999999997</v>
      </c>
      <c r="AD323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f>AVERAGEIFS($C$2:C324, $B$2:B324, B324)</f>
        <v>9.8888888888888893</v>
      </c>
      <c r="AB324">
        <f>AVERAGEIFS($I$2:I324, $B$2:B324, B324)</f>
        <v>0.48888888888888893</v>
      </c>
      <c r="AC324">
        <f>AVERAGEIFS($J$2:J324, $B$2:B324, B324)</f>
        <v>0.50444444444444447</v>
      </c>
      <c r="AD324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f>AVERAGEIFS($C$2:C325, $B$2:B325, B325)</f>
        <v>5.5</v>
      </c>
      <c r="AB325">
        <f>AVERAGEIFS($I$2:I325, $B$2:B325, B325)</f>
        <v>0.875</v>
      </c>
      <c r="AC325">
        <f>AVERAGEIFS($J$2:J325, $B$2:B325, B325)</f>
        <v>0.71</v>
      </c>
      <c r="AD325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>
        <f>AVERAGEIFS($C$2:C326, $B$2:B326, B326)</f>
        <v>25.157894736842106</v>
      </c>
      <c r="AB326">
        <f>AVERAGEIFS($I$2:I326, $B$2:B326, B326)</f>
        <v>0.51578947368421058</v>
      </c>
      <c r="AC326">
        <f>AVERAGEIFS($J$2:J326, $B$2:B326, B326)</f>
        <v>0.49736842105263152</v>
      </c>
      <c r="AD32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>
        <f>AVERAGEIFS($C$2:C327, $B$2:B327, B327)</f>
        <v>11.5</v>
      </c>
      <c r="AB327">
        <f>AVERAGEIFS($I$2:I327, $B$2:B327, B327)</f>
        <v>0.37750000000000006</v>
      </c>
      <c r="AC327">
        <f>AVERAGEIFS($J$2:J327, $B$2:B327, B327)</f>
        <v>0.43600000000000005</v>
      </c>
      <c r="AD327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>
        <f>AVERAGEIFS($C$2:C328, $B$2:B328, B328)</f>
        <v>24</v>
      </c>
      <c r="AB328">
        <f>AVERAGEIFS($I$2:I328, $B$2:B328, B328)</f>
        <v>0.45555555555555549</v>
      </c>
      <c r="AC328">
        <f>AVERAGEIFS($J$2:J328, $B$2:B328, B328)</f>
        <v>0.47</v>
      </c>
      <c r="AD328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>
        <f>AVERAGEIFS($C$2:C329, $B$2:B329, B329)</f>
        <v>9.5</v>
      </c>
      <c r="AB329">
        <f>AVERAGEIFS($I$2:I329, $B$2:B329, B329)</f>
        <v>0.46249999999999997</v>
      </c>
      <c r="AC329">
        <f>AVERAGEIFS($J$2:J329, $B$2:B329, B329)</f>
        <v>0.49249999999999994</v>
      </c>
      <c r="AD329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>
        <f>AVERAGEIFS($C$2:C330, $B$2:B330, B330)</f>
        <v>9.8571428571428577</v>
      </c>
      <c r="AB330">
        <f>AVERAGEIFS($I$2:I330, $B$2:B330, B330)</f>
        <v>0.51428571428571435</v>
      </c>
      <c r="AC330">
        <f>AVERAGEIFS($J$2:J330, $B$2:B330, B330)</f>
        <v>0.47714285714285715</v>
      </c>
      <c r="AD330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>
        <f>AVERAGEIFS($C$2:C331, $B$2:B331, B331)</f>
        <v>7.5</v>
      </c>
      <c r="AB331">
        <f>AVERAGEIFS($I$2:I331, $B$2:B331, B331)</f>
        <v>0.2</v>
      </c>
      <c r="AC331">
        <f>AVERAGEIFS($J$2:J331, $B$2:B331, B331)</f>
        <v>0.27500000000000002</v>
      </c>
      <c r="AD331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>
        <f>AVERAGEIFS($C$2:C332, $B$2:B332, B332)</f>
        <v>15.444444444444445</v>
      </c>
      <c r="AB332">
        <f>AVERAGEIFS($I$2:I332, $B$2:B332, B332)</f>
        <v>0.64444444444444449</v>
      </c>
      <c r="AC332">
        <f>AVERAGEIFS($J$2:J332, $B$2:B332, B332)</f>
        <v>0.57333333333333336</v>
      </c>
      <c r="AD332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>
        <f>AVERAGEIFS($C$2:C333, $B$2:B333, B333)</f>
        <v>13.384615384615385</v>
      </c>
      <c r="AB333">
        <f>AVERAGEIFS($I$2:I333, $B$2:B333, B333)</f>
        <v>0.44999999999999996</v>
      </c>
      <c r="AC333">
        <f>AVERAGEIFS($J$2:J333, $B$2:B333, B333)</f>
        <v>0.46846153846153854</v>
      </c>
      <c r="AD333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>
        <f>AVERAGEIFS($C$2:C334, $B$2:B334, B334)</f>
        <v>12</v>
      </c>
      <c r="AB334">
        <f>AVERAGEIFS($I$2:I334, $B$2:B334, B334)</f>
        <v>0.4</v>
      </c>
      <c r="AC334">
        <f>AVERAGEIFS($J$2:J334, $B$2:B334, B334)</f>
        <v>0.37</v>
      </c>
      <c r="AD334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>
        <f>AVERAGEIFS($C$2:C335, $B$2:B335, B335)</f>
        <v>13.846153846153847</v>
      </c>
      <c r="AB335">
        <f>AVERAGEIFS($I$2:I335, $B$2:B335, B335)</f>
        <v>0.53846153846153855</v>
      </c>
      <c r="AC335">
        <f>AVERAGEIFS($J$2:J335, $B$2:B335, B335)</f>
        <v>0.50461538461538469</v>
      </c>
      <c r="AD335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>
        <f>AVERAGEIFS($C$2:C336, $B$2:B336, B336)</f>
        <v>27.958333333333332</v>
      </c>
      <c r="AB336">
        <f>AVERAGEIFS($I$2:I336, $B$2:B336, B336)</f>
        <v>0.5708333333333333</v>
      </c>
      <c r="AC336">
        <f>AVERAGEIFS($J$2:J336, $B$2:B336, B336)</f>
        <v>0.54374999999999996</v>
      </c>
      <c r="AD33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>
        <f>AVERAGEIFS($C$2:C337, $B$2:B337, B337)</f>
        <v>25.391304347826086</v>
      </c>
      <c r="AB337">
        <f>AVERAGEIFS($I$2:I337, $B$2:B337, B337)</f>
        <v>0.52826086956521745</v>
      </c>
      <c r="AC337">
        <f>AVERAGEIFS($J$2:J337, $B$2:B337, B337)</f>
        <v>0.53043478260869559</v>
      </c>
      <c r="AD337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>
        <f>AVERAGEIFS($C$2:C338, $B$2:B338, B338)</f>
        <v>12.5</v>
      </c>
      <c r="AB338">
        <f>AVERAGEIFS($I$2:I338, $B$2:B338, B338)</f>
        <v>0.65</v>
      </c>
      <c r="AC338">
        <f>AVERAGEIFS($J$2:J338, $B$2:B338, B338)</f>
        <v>0.5724999999999999</v>
      </c>
      <c r="AD338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>
        <f>AVERAGEIFS($C$2:C339, $B$2:B339, B339)</f>
        <v>18.333333333333332</v>
      </c>
      <c r="AB339">
        <f>AVERAGEIFS($I$2:I339, $B$2:B339, B339)</f>
        <v>0.47916666666666669</v>
      </c>
      <c r="AC339">
        <f>AVERAGEIFS($J$2:J339, $B$2:B339, B339)</f>
        <v>0.48249999999999993</v>
      </c>
      <c r="AD339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>
        <f>AVERAGEIFS($C$2:C340, $B$2:B340, B340)</f>
        <v>11.761904761904763</v>
      </c>
      <c r="AB340">
        <f>AVERAGEIFS($I$2:I340, $B$2:B340, B340)</f>
        <v>0.3880952380952381</v>
      </c>
      <c r="AC340">
        <f>AVERAGEIFS($J$2:J340, $B$2:B340, B340)</f>
        <v>0.44523809523809532</v>
      </c>
      <c r="AD340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>
        <f>AVERAGEIFS($C$2:C341, $B$2:B341, B341)</f>
        <v>10.1</v>
      </c>
      <c r="AB341">
        <f>AVERAGEIFS($I$2:I341, $B$2:B341, B341)</f>
        <v>0.5</v>
      </c>
      <c r="AC341">
        <f>AVERAGEIFS($J$2:J341, $B$2:B341, B341)</f>
        <v>0.51700000000000002</v>
      </c>
      <c r="AD341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>
        <f>AVERAGEIFS($C$2:C342, $B$2:B342, B342)</f>
        <v>13.470588235294118</v>
      </c>
      <c r="AB342">
        <f>AVERAGEIFS($I$2:I342, $B$2:B342, B342)</f>
        <v>0.49705882352941172</v>
      </c>
      <c r="AC342">
        <f>AVERAGEIFS($J$2:J342, $B$2:B342, B342)</f>
        <v>0.50647058823529423</v>
      </c>
      <c r="AD342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>
        <f>AVERAGEIFS($C$2:C343, $B$2:B343, B343)</f>
        <v>25.833333333333332</v>
      </c>
      <c r="AB343">
        <f>AVERAGEIFS($I$2:I343, $B$2:B343, B343)</f>
        <v>0.41388888888888892</v>
      </c>
      <c r="AC343">
        <f>AVERAGEIFS($J$2:J343, $B$2:B343, B343)</f>
        <v>0.47055555555555562</v>
      </c>
      <c r="AD343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>
        <f>AVERAGEIFS($C$2:C344, $B$2:B344, B344)</f>
        <v>26.75</v>
      </c>
      <c r="AB344">
        <f>AVERAGEIFS($I$2:I344, $B$2:B344, B344)</f>
        <v>0.55416666666666659</v>
      </c>
      <c r="AC344">
        <f>AVERAGEIFS($J$2:J344, $B$2:B344, B344)</f>
        <v>0.54416666666666669</v>
      </c>
      <c r="AD344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>
        <f>AVERAGEIFS($C$2:C345, $B$2:B345, B345)</f>
        <v>26</v>
      </c>
      <c r="AB345">
        <f>AVERAGEIFS($I$2:I345, $B$2:B345, B345)</f>
        <v>0.52</v>
      </c>
      <c r="AC345">
        <f>AVERAGEIFS($J$2:J345, $B$2:B345, B345)</f>
        <v>0.504</v>
      </c>
      <c r="AD345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>
        <f>AVERAGEIFS($C$2:C346, $B$2:B346, B346)</f>
        <v>10.375</v>
      </c>
      <c r="AB346">
        <f>AVERAGEIFS($I$2:I346, $B$2:B346, B346)</f>
        <v>0.52500000000000002</v>
      </c>
      <c r="AC346">
        <f>AVERAGEIFS($J$2:J346, $B$2:B346, B346)</f>
        <v>0.49624999999999997</v>
      </c>
      <c r="AD34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>
        <f>AVERAGEIFS($C$2:C347, $B$2:B347, B347)</f>
        <v>28.36</v>
      </c>
      <c r="AB347">
        <f>AVERAGEIFS($I$2:I347, $B$2:B347, B347)</f>
        <v>0.57199999999999995</v>
      </c>
      <c r="AC347">
        <f>AVERAGEIFS($J$2:J347, $B$2:B347, B347)</f>
        <v>0.54479999999999995</v>
      </c>
      <c r="AD347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>
        <f>AVERAGEIFS($C$2:C348, $B$2:B348, B348)</f>
        <v>13.666666666666666</v>
      </c>
      <c r="AB348">
        <f>AVERAGEIFS($I$2:I348, $B$2:B348, B348)</f>
        <v>0.38999999999999996</v>
      </c>
      <c r="AC348">
        <f>AVERAGEIFS($J$2:J348, $B$2:B348, B348)</f>
        <v>0.45200000000000001</v>
      </c>
      <c r="AD348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>
        <f>AVERAGEIFS($C$2:C349, $B$2:B349, B349)</f>
        <v>25.952380952380953</v>
      </c>
      <c r="AB349">
        <f>AVERAGEIFS($I$2:I349, $B$2:B349, B349)</f>
        <v>0.52380952380952384</v>
      </c>
      <c r="AC349">
        <f>AVERAGEIFS($J$2:J349, $B$2:B349, B349)</f>
        <v>0.50714285714285712</v>
      </c>
      <c r="AD349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>
        <f>AVERAGEIFS($C$2:C350, $B$2:B350, B350)</f>
        <v>12.136363636363637</v>
      </c>
      <c r="AB350">
        <f>AVERAGEIFS($I$2:I350, $B$2:B350, B350)</f>
        <v>0.39772727272727271</v>
      </c>
      <c r="AC350">
        <f>AVERAGEIFS($J$2:J350, $B$2:B350, B350)</f>
        <v>0.45090909090909098</v>
      </c>
      <c r="AD350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>
        <f>AVERAGEIFS($C$2:C351, $B$2:B351, B351)</f>
        <v>12.5</v>
      </c>
      <c r="AB351">
        <f>AVERAGEIFS($I$2:I351, $B$2:B351, B351)</f>
        <v>0.5</v>
      </c>
      <c r="AC351">
        <f>AVERAGEIFS($J$2:J351, $B$2:B351, B351)</f>
        <v>0.47</v>
      </c>
      <c r="AD351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>
        <f>AVERAGEIFS($C$2:C352, $B$2:B352, B352)</f>
        <v>12.529411764705882</v>
      </c>
      <c r="AB352">
        <f>AVERAGEIFS($I$2:I352, $B$2:B352, B352)</f>
        <v>0.6470588235294118</v>
      </c>
      <c r="AC352">
        <f>AVERAGEIFS($J$2:J352, $B$2:B352, B352)</f>
        <v>0.57235294117647051</v>
      </c>
      <c r="AD352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>
        <f>AVERAGEIFS($C$2:C353, $B$2:B353, B353)</f>
        <v>4</v>
      </c>
      <c r="AB353">
        <f>AVERAGEIFS($I$2:I353, $B$2:B353, B353)</f>
        <v>0.6</v>
      </c>
      <c r="AC353">
        <f>AVERAGEIFS($J$2:J353, $B$2:B353, B353)</f>
        <v>0.56999999999999995</v>
      </c>
      <c r="AD353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f>AVERAGEIFS($C$2:C354, $B$2:B354, B354)</f>
        <v>25.958333333333332</v>
      </c>
      <c r="AB354">
        <f>AVERAGEIFS($I$2:I354, $B$2:B354, B354)</f>
        <v>0.52291666666666681</v>
      </c>
      <c r="AC354">
        <f>AVERAGEIFS($J$2:J354, $B$2:B354, B354)</f>
        <v>0.52624999999999988</v>
      </c>
      <c r="AD354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f>AVERAGEIFS($C$2:C355, $B$2:B355, B355)</f>
        <v>27.25</v>
      </c>
      <c r="AB355">
        <f>AVERAGEIFS($I$2:I355, $B$2:B355, B355)</f>
        <v>0.42083333333333339</v>
      </c>
      <c r="AC355">
        <f>AVERAGEIFS($J$2:J355, $B$2:B355, B355)</f>
        <v>0.44666666666666655</v>
      </c>
      <c r="AD355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f>AVERAGEIFS($C$2:C356, $B$2:B356, B356)</f>
        <v>18.615384615384617</v>
      </c>
      <c r="AB356">
        <f>AVERAGEIFS($I$2:I356, $B$2:B356, B356)</f>
        <v>0.47307692307692312</v>
      </c>
      <c r="AC356">
        <f>AVERAGEIFS($J$2:J356, $B$2:B356, B356)</f>
        <v>0.47846153846153838</v>
      </c>
      <c r="AD35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f>AVERAGEIFS($C$2:C357, $B$2:B357, B357)</f>
        <v>13.666666666666666</v>
      </c>
      <c r="AB357">
        <f>AVERAGEIFS($I$2:I357, $B$2:B357, B357)</f>
        <v>0.49166666666666664</v>
      </c>
      <c r="AC357">
        <f>AVERAGEIFS($J$2:J357, $B$2:B357, B357)</f>
        <v>0.50222222222222224</v>
      </c>
      <c r="AD357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f>AVERAGEIFS($C$2:C358, $B$2:B358, B358)</f>
        <v>10.363636363636363</v>
      </c>
      <c r="AB358">
        <f>AVERAGEIFS($I$2:I358, $B$2:B358, B358)</f>
        <v>0.49090909090909096</v>
      </c>
      <c r="AC358">
        <f>AVERAGEIFS($J$2:J358, $B$2:B358, B358)</f>
        <v>0.50909090909090904</v>
      </c>
      <c r="AD358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f>AVERAGEIFS($C$2:C359, $B$2:B359, B359)</f>
        <v>9.7058823529411757</v>
      </c>
      <c r="AB359">
        <f>AVERAGEIFS($I$2:I359, $B$2:B359, B359)</f>
        <v>0.45882352941176469</v>
      </c>
      <c r="AC359">
        <f>AVERAGEIFS($J$2:J359, $B$2:B359, B359)</f>
        <v>0.48882352941176466</v>
      </c>
      <c r="AD359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>
        <f>AVERAGEIFS($C$2:C360, $B$2:B360, B360)</f>
        <v>7.6</v>
      </c>
      <c r="AB360">
        <f>AVERAGEIFS($I$2:I360, $B$2:B360, B360)</f>
        <v>0.55999999999999994</v>
      </c>
      <c r="AC360">
        <f>AVERAGEIFS($J$2:J360, $B$2:B360, B360)</f>
        <v>0.52200000000000002</v>
      </c>
      <c r="AD360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f>AVERAGEIFS($C$2:C361, $B$2:B361, B361)</f>
        <v>4</v>
      </c>
      <c r="AB361">
        <f>AVERAGEIFS($I$2:I361, $B$2:B361, B361)</f>
        <v>0.375</v>
      </c>
      <c r="AC361">
        <f>AVERAGEIFS($J$2:J361, $B$2:B361, B361)</f>
        <v>0.41666666666666669</v>
      </c>
      <c r="AD361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f>AVERAGEIFS($C$2:C362, $B$2:B362, B362)</f>
        <v>28.192307692307693</v>
      </c>
      <c r="AB362">
        <f>AVERAGEIFS($I$2:I362, $B$2:B362, B362)</f>
        <v>0.54999999999999993</v>
      </c>
      <c r="AC362">
        <f>AVERAGEIFS($J$2:J362, $B$2:B362, B362)</f>
        <v>0.53346153846153843</v>
      </c>
      <c r="AD362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f>AVERAGEIFS($C$2:C363, $B$2:B363, B363)</f>
        <v>26.692307692307693</v>
      </c>
      <c r="AB363">
        <f>AVERAGEIFS($I$2:I363, $B$2:B363, B363)</f>
        <v>0.38846153846153852</v>
      </c>
      <c r="AC363">
        <f>AVERAGEIFS($J$2:J363, $B$2:B363, B363)</f>
        <v>0.43153846153846143</v>
      </c>
      <c r="AD363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f>AVERAGEIFS($C$2:C364, $B$2:B364, B364)</f>
        <v>13.736842105263158</v>
      </c>
      <c r="AB364">
        <f>AVERAGEIFS($I$2:I364, $B$2:B364, B364)</f>
        <v>0.46578947368421053</v>
      </c>
      <c r="AC364">
        <f>AVERAGEIFS($J$2:J364, $B$2:B364, B364)</f>
        <v>0.48894736842105269</v>
      </c>
      <c r="AD364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f>AVERAGEIFS($C$2:C365, $B$2:B365, B365)</f>
        <v>11.913043478260869</v>
      </c>
      <c r="AB365">
        <f>AVERAGEIFS($I$2:I365, $B$2:B365, B365)</f>
        <v>0.38043478260869568</v>
      </c>
      <c r="AC365">
        <f>AVERAGEIFS($J$2:J365, $B$2:B365, B365)</f>
        <v>0.44217391304347836</v>
      </c>
      <c r="AD365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f>AVERAGEIFS($C$2:C366, $B$2:B366, B366)</f>
        <v>13.8125</v>
      </c>
      <c r="AB366">
        <f>AVERAGEIFS($I$2:I366, $B$2:B366, B366)</f>
        <v>0.36562499999999998</v>
      </c>
      <c r="AC366">
        <f>AVERAGEIFS($J$2:J366, $B$2:B366, B366)</f>
        <v>0.43937500000000002</v>
      </c>
      <c r="AD36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f>AVERAGEIFS($C$2:C367, $B$2:B367, B367)</f>
        <v>18.571428571428573</v>
      </c>
      <c r="AB367">
        <f>AVERAGEIFS($I$2:I367, $B$2:B367, B367)</f>
        <v>0.43928571428571433</v>
      </c>
      <c r="AC367">
        <f>AVERAGEIFS($J$2:J367, $B$2:B367, B367)</f>
        <v>0.46214285714285708</v>
      </c>
      <c r="AD367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f>AVERAGEIFS($C$2:C368, $B$2:B368, B368)</f>
        <v>10.833333333333334</v>
      </c>
      <c r="AB368">
        <f>AVERAGEIFS($I$2:I368, $B$2:B368, B368)</f>
        <v>0.45</v>
      </c>
      <c r="AC368">
        <f>AVERAGEIFS($J$2:J368, $B$2:B368, B368)</f>
        <v>0.48749999999999999</v>
      </c>
      <c r="AD368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>
        <f>AVERAGEIFS($C$2:C369, $B$2:B369, B369)</f>
        <v>9.9444444444444446</v>
      </c>
      <c r="AB369">
        <f>AVERAGEIFS($I$2:I369, $B$2:B369, B369)</f>
        <v>0.48888888888888893</v>
      </c>
      <c r="AC369">
        <f>AVERAGEIFS($J$2:J369, $B$2:B369, B369)</f>
        <v>0.5033333333333333</v>
      </c>
      <c r="AD369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>
        <f>AVERAGEIFS($C$2:C370, $B$2:B370, B370)</f>
        <v>26.52</v>
      </c>
      <c r="AB370">
        <f>AVERAGEIFS($I$2:I370, $B$2:B370, B370)</f>
        <v>0.54200000000000015</v>
      </c>
      <c r="AC370">
        <f>AVERAGEIFS($J$2:J370, $B$2:B370, B370)</f>
        <v>0.5351999999999999</v>
      </c>
      <c r="AD370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>
        <f>AVERAGEIFS($C$2:C371, $B$2:B371, B371)</f>
        <v>25.318181818181817</v>
      </c>
      <c r="AB371">
        <f>AVERAGEIFS($I$2:I371, $B$2:B371, B371)</f>
        <v>0.54545454545454541</v>
      </c>
      <c r="AC371">
        <f>AVERAGEIFS($J$2:J371, $B$2:B371, B371)</f>
        <v>0.51818181818181819</v>
      </c>
      <c r="AD371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>
        <f>AVERAGEIFS($C$2:C372, $B$2:B372, B372)</f>
        <v>23.142857142857142</v>
      </c>
      <c r="AB372">
        <f>AVERAGEIFS($I$2:I372, $B$2:B372, B372)</f>
        <v>0.62142857142857133</v>
      </c>
      <c r="AC372">
        <f>AVERAGEIFS($J$2:J372, $B$2:B372, B372)</f>
        <v>0.53857142857142859</v>
      </c>
      <c r="AD372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>
        <f>AVERAGEIFS($C$2:C373, $B$2:B373, B373)</f>
        <v>13.642857142857142</v>
      </c>
      <c r="AB373">
        <f>AVERAGEIFS($I$2:I373, $B$2:B373, B373)</f>
        <v>0.48928571428571427</v>
      </c>
      <c r="AC373">
        <f>AVERAGEIFS($J$2:J373, $B$2:B373, B373)</f>
        <v>0.4885714285714286</v>
      </c>
      <c r="AD373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>
        <f>AVERAGEIFS($C$2:C374, $B$2:B374, B374)</f>
        <v>12.555555555555555</v>
      </c>
      <c r="AB374">
        <f>AVERAGEIFS($I$2:I374, $B$2:B374, B374)</f>
        <v>0.66666666666666663</v>
      </c>
      <c r="AC374">
        <f>AVERAGEIFS($J$2:J374, $B$2:B374, B374)</f>
        <v>0.5822222222222222</v>
      </c>
      <c r="AD374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>
        <f>AVERAGEIFS($C$2:C375, $B$2:B375, B375)</f>
        <v>15.2</v>
      </c>
      <c r="AB375">
        <f>AVERAGEIFS($I$2:I375, $B$2:B375, B375)</f>
        <v>0.68</v>
      </c>
      <c r="AC375">
        <f>AVERAGEIFS($J$2:J375, $B$2:B375, B375)</f>
        <v>0.59099999999999997</v>
      </c>
      <c r="AD375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>
        <f>AVERAGEIFS($C$2:C376, $B$2:B376, B376)</f>
        <v>11</v>
      </c>
      <c r="AB376">
        <f>AVERAGEIFS($I$2:I376, $B$2:B376, B376)</f>
        <v>0.66666666666666663</v>
      </c>
      <c r="AC376">
        <f>AVERAGEIFS($J$2:J376, $B$2:B376, B376)</f>
        <v>0.56333333333333335</v>
      </c>
      <c r="AD37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>
        <f>AVERAGEIFS($C$2:C377, $B$2:B377, B377)</f>
        <v>25.05263157894737</v>
      </c>
      <c r="AB377">
        <f>AVERAGEIFS($I$2:I377, $B$2:B377, B377)</f>
        <v>0.4447368421052631</v>
      </c>
      <c r="AC377">
        <f>AVERAGEIFS($J$2:J377, $B$2:B377, B377)</f>
        <v>0.4852631578947369</v>
      </c>
      <c r="AD377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>
        <f>AVERAGEIFS($C$2:C378, $B$2:B378, B378)</f>
        <v>28.074074074074073</v>
      </c>
      <c r="AB378">
        <f>AVERAGEIFS($I$2:I378, $B$2:B378, B378)</f>
        <v>0.55740740740740735</v>
      </c>
      <c r="AC378">
        <f>AVERAGEIFS($J$2:J378, $B$2:B378, B378)</f>
        <v>0.53629629629629627</v>
      </c>
      <c r="AD378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>
        <f>AVERAGEIFS($C$2:C379, $B$2:B379, B379)</f>
        <v>15.272727272727273</v>
      </c>
      <c r="AB379">
        <f>AVERAGEIFS($I$2:I379, $B$2:B379, B379)</f>
        <v>0.6863636363636364</v>
      </c>
      <c r="AC379">
        <f>AVERAGEIFS($J$2:J379, $B$2:B379, B379)</f>
        <v>0.59272727272727277</v>
      </c>
      <c r="AD379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>
        <f>AVERAGEIFS($C$2:C380, $B$2:B380, B380)</f>
        <v>12.368421052631579</v>
      </c>
      <c r="AB380">
        <f>AVERAGEIFS($I$2:I380, $B$2:B380, B380)</f>
        <v>0.67105263157894735</v>
      </c>
      <c r="AC380">
        <f>AVERAGEIFS($J$2:J380, $B$2:B380, B380)</f>
        <v>0.58368421052631569</v>
      </c>
      <c r="AD380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>
        <f>AVERAGEIFS($C$2:C381, $B$2:B381, B381)</f>
        <v>13.7</v>
      </c>
      <c r="AB381">
        <f>AVERAGEIFS($I$2:I381, $B$2:B381, B381)</f>
        <v>0.48</v>
      </c>
      <c r="AC381">
        <f>AVERAGEIFS($J$2:J381, $B$2:B381, B381)</f>
        <v>0.495</v>
      </c>
      <c r="AD381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>
        <f>AVERAGEIFS($C$2:C382, $B$2:B382, B382)</f>
        <v>26.785714285714285</v>
      </c>
      <c r="AB382">
        <f>AVERAGEIFS($I$2:I382, $B$2:B382, B382)</f>
        <v>0.41428571428571431</v>
      </c>
      <c r="AC382">
        <f>AVERAGEIFS($J$2:J382, $B$2:B382, B382)</f>
        <v>0.44428571428571423</v>
      </c>
      <c r="AD382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>
        <f>AVERAGEIFS($C$2:C383, $B$2:B383, B383)</f>
        <v>22.733333333333334</v>
      </c>
      <c r="AB383">
        <f>AVERAGEIFS($I$2:I383, $B$2:B383, B383)</f>
        <v>0.63</v>
      </c>
      <c r="AC383">
        <f>AVERAGEIFS($J$2:J383, $B$2:B383, B383)</f>
        <v>0.54333333333333333</v>
      </c>
      <c r="AD383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>
        <f>AVERAGEIFS($C$2:C384, $B$2:B384, B384)</f>
        <v>13.466666666666667</v>
      </c>
      <c r="AB384">
        <f>AVERAGEIFS($I$2:I384, $B$2:B384, B384)</f>
        <v>0.47333333333333333</v>
      </c>
      <c r="AC384">
        <f>AVERAGEIFS($J$2:J384, $B$2:B384, B384)</f>
        <v>0.48200000000000004</v>
      </c>
      <c r="AD384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>
        <f>AVERAGEIFS($C$2:C385, $B$2:B385, B385)</f>
        <v>9.7368421052631575</v>
      </c>
      <c r="AB385">
        <f>AVERAGEIFS($I$2:I385, $B$2:B385, B385)</f>
        <v>0.47631578947368425</v>
      </c>
      <c r="AC385">
        <f>AVERAGEIFS($J$2:J385, $B$2:B385, B385)</f>
        <v>0.49736842105263152</v>
      </c>
      <c r="AD385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>
        <f>AVERAGEIFS($C$2:C386, $B$2:B386, B386)</f>
        <v>25.15</v>
      </c>
      <c r="AB386">
        <f>AVERAGEIFS($I$2:I386, $B$2:B386, B386)</f>
        <v>0.43499999999999994</v>
      </c>
      <c r="AC386">
        <f>AVERAGEIFS($J$2:J386, $B$2:B386, B386)</f>
        <v>0.48050000000000004</v>
      </c>
      <c r="AD3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>
        <f>AVERAGEIFS($C$2:C387, $B$2:B387, B387)</f>
        <v>26.615384615384617</v>
      </c>
      <c r="AB387">
        <f>AVERAGEIFS($I$2:I387, $B$2:B387, B387)</f>
        <v>0.53076923076923088</v>
      </c>
      <c r="AC387">
        <f>AVERAGEIFS($J$2:J387, $B$2:B387, B387)</f>
        <v>0.52961538461538449</v>
      </c>
      <c r="AD387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>
        <f>AVERAGEIFS($C$2:C388, $B$2:B388, B388)</f>
        <v>24.956521739130434</v>
      </c>
      <c r="AB388">
        <f>AVERAGEIFS($I$2:I388, $B$2:B388, B388)</f>
        <v>0.53260869565217395</v>
      </c>
      <c r="AC388">
        <f>AVERAGEIFS($J$2:J388, $B$2:B388, B388)</f>
        <v>0.51260869565217393</v>
      </c>
      <c r="AD388">
        <f>AVERAGEIFS($D$2:D388, $B$2:B388, B388)</f>
        <v>0.56521739130434778</v>
      </c>
    </row>
    <row r="389" spans="1:30" x14ac:dyDescent="0.25">
      <c r="A389" s="85">
        <v>46096</v>
      </c>
      <c r="B389" t="s">
        <v>149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>
        <f>AVERAGEIFS($C$2:C389, $B$2:B389, B389)</f>
        <v>17</v>
      </c>
      <c r="AB389">
        <f>AVERAGEIFS($I$2:I389, $B$2:B389, B389)</f>
        <v>0.25</v>
      </c>
      <c r="AC389">
        <f>AVERAGEIFS($J$2:J389, $B$2:B389, B389)</f>
        <v>0.39</v>
      </c>
      <c r="AD389">
        <f>AVERAGEIFS($D$2:D389, $B$2:B389, B389)</f>
        <v>0</v>
      </c>
    </row>
  </sheetData>
  <autoFilter ref="A1:AD389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8" sqref="D18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5" t="s">
        <v>93</v>
      </c>
      <c r="P1" s="96" t="s">
        <v>41</v>
      </c>
      <c r="Q1" s="96" t="s">
        <v>69</v>
      </c>
      <c r="R1" s="97" t="s">
        <v>63</v>
      </c>
      <c r="S1" s="97" t="s">
        <v>116</v>
      </c>
      <c r="T1" s="96" t="s">
        <v>112</v>
      </c>
      <c r="U1" s="97" t="s">
        <v>32</v>
      </c>
      <c r="V1" s="96" t="s">
        <v>106</v>
      </c>
      <c r="W1" s="96" t="s">
        <v>147</v>
      </c>
      <c r="X1" s="97" t="s">
        <v>62</v>
      </c>
      <c r="Y1" s="96" t="s">
        <v>73</v>
      </c>
      <c r="Z1" s="96" t="s">
        <v>91</v>
      </c>
      <c r="AA1" s="97" t="s">
        <v>95</v>
      </c>
      <c r="AB1" s="96" t="s">
        <v>92</v>
      </c>
      <c r="AC1" s="97" t="s">
        <v>67</v>
      </c>
      <c r="AD1" s="97" t="s">
        <v>56</v>
      </c>
      <c r="AE1" s="96" t="s">
        <v>104</v>
      </c>
      <c r="AF1" s="96" t="s">
        <v>66</v>
      </c>
      <c r="AG1" s="96" t="s">
        <v>72</v>
      </c>
      <c r="AH1" s="97" t="s">
        <v>68</v>
      </c>
      <c r="AI1" s="97" t="s">
        <v>135</v>
      </c>
      <c r="AJ1" s="98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10</v>
      </c>
      <c r="D2" s="66">
        <f>AVERAGEIFS('BA History'!C:C,'BA History'!B:B,A2)</f>
        <v>10</v>
      </c>
      <c r="E2" s="35">
        <f t="array" ref="E2">MAX(IF('BA History'!B:B=A2, 'BA History'!C:C))</f>
        <v>10</v>
      </c>
      <c r="F2" s="34">
        <f>COUNTIFS('BA History'!B:B,A2,'BA History'!D:D, 1)</f>
        <v>1</v>
      </c>
      <c r="G2" s="2">
        <f>COUNTIFS('BA History'!B:B,A2,'BA History'!D:D, 0)</f>
        <v>0</v>
      </c>
      <c r="H2" s="75">
        <f t="shared" ref="H2" si="0">F2/(F2+G2)</f>
        <v>1</v>
      </c>
      <c r="I2" s="34">
        <f>SUMIFS('BA History'!F:F,'BA History'!B:B,A2)</f>
        <v>3</v>
      </c>
      <c r="J2" s="2">
        <f>SUMIFS('BA History'!E:E,'BA History'!B:B,A2)-I2</f>
        <v>1</v>
      </c>
      <c r="K2" s="75">
        <f t="shared" ref="K2" si="1">I2/(I2+J2)</f>
        <v>0.75</v>
      </c>
      <c r="L2" s="34">
        <f>SUMIFS('BA History'!H:H,'BA History'!B:B,A2)</f>
        <v>9</v>
      </c>
      <c r="M2" s="2">
        <f>SUMIFS('BA History'!G:G,'BA History'!B:B,A2)-L2</f>
        <v>7</v>
      </c>
      <c r="N2" s="93">
        <f t="shared" ref="N2" si="2">L2/(L2+M2)</f>
        <v>0.5625</v>
      </c>
      <c r="O2" s="2">
        <f>COUNTIFS('BA History'!$B:$B,$A$2,'BA History'!K:K, 1)</f>
        <v>1</v>
      </c>
      <c r="P2" s="2">
        <f>COUNTIFS('BA History'!$B:$B,$A$2,'BA History'!L:L, 1)</f>
        <v>0</v>
      </c>
      <c r="Q2" s="2">
        <f>COUNTIFS('BA History'!$B:$B,$A$2,'BA History'!M:M, 1)</f>
        <v>0</v>
      </c>
      <c r="R2" s="2">
        <f>COUNTIFS('BA History'!$B:$B,$A$2,'BA History'!N:N, 1)</f>
        <v>0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0</v>
      </c>
      <c r="V2" s="2">
        <f>COUNTIFS('BA History'!$B:$B,$A$2,'BA History'!R:R, 1)</f>
        <v>0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0</v>
      </c>
      <c r="AA2" s="2">
        <f>COUNTIFS('BA History'!$B:$B,$A$2,'BA History'!W:W, 1)</f>
        <v>0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0</v>
      </c>
      <c r="AE2" s="2">
        <f>COUNTIFS('BA History'!$B:$B,$A$2,'BA History'!AA:AA, 1)</f>
        <v>0</v>
      </c>
      <c r="AF2" s="2">
        <f>COUNTIFS('BA History'!$B:$B,$A$2,'BA History'!AB:AB, 1)</f>
        <v>0</v>
      </c>
      <c r="AG2" s="2">
        <f>COUNTIFS('BA History'!$B:$B,$A$2,'BA History'!AC:AC, 1)</f>
        <v>0</v>
      </c>
      <c r="AH2" s="2">
        <f>COUNTIFS('BA History'!$B:$B,$A$2,'BA History'!AD:AD, 1)</f>
        <v>1</v>
      </c>
      <c r="AI2" s="2">
        <f>COUNTIFS('BA History'!$B:$B,$A$2,'BA History'!AE:AE, 1)</f>
        <v>0</v>
      </c>
      <c r="AJ2" s="2">
        <f>COUNTIFS('BA History'!$B:$B,$A$2,'BA History'!AF:AF, 1)</f>
        <v>0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101</v>
      </c>
      <c r="D3" s="66">
        <f>AVERAGEIFS('BA History'!C:C,'BA History'!B:B,A3)</f>
        <v>12.625</v>
      </c>
      <c r="E3" s="35">
        <f t="array" ref="E3">MAX(IF('BA History'!B:B=A3, 'BA History'!C:C))</f>
        <v>19</v>
      </c>
      <c r="F3" s="34">
        <f>COUNTIFS('BA History'!B:B,A3,'BA History'!D:D, 1)</f>
        <v>3</v>
      </c>
      <c r="G3" s="2">
        <f>COUNTIFS('BA History'!B:B,A3,'BA History'!D:D, 0)</f>
        <v>5</v>
      </c>
      <c r="H3" s="75">
        <f t="shared" ref="H3:H14" si="3">F3/(F3+G3)</f>
        <v>0.375</v>
      </c>
      <c r="I3" s="34">
        <f>SUMIFS('BA History'!F:F,'BA History'!B:B,A3)</f>
        <v>17</v>
      </c>
      <c r="J3" s="2">
        <f>SUMIFS('BA History'!E:E,'BA History'!B:B,A3)-I3</f>
        <v>17</v>
      </c>
      <c r="K3" s="75">
        <f t="shared" ref="K3:K14" si="4">I3/(I3+J3)</f>
        <v>0.5</v>
      </c>
      <c r="L3" s="34">
        <f>SUMIFS('BA History'!H:H,'BA History'!B:B,A3)</f>
        <v>70</v>
      </c>
      <c r="M3" s="2">
        <f>SUMIFS('BA History'!G:G,'BA History'!B:B,A3)-L3</f>
        <v>71</v>
      </c>
      <c r="N3" s="93">
        <f t="shared" ref="N3:N14" si="5">L3/(L3+M3)</f>
        <v>0.49645390070921985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2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0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1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 t="shared" si="3"/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 t="shared" si="4"/>
        <v>0.46153846153846156</v>
      </c>
      <c r="L4" s="34">
        <f>SUMIFS('BA History'!H:H,'BA History'!B:B,A4)</f>
        <v>24</v>
      </c>
      <c r="M4" s="2">
        <f>SUMIFS('BA History'!G:G,'BA History'!B:B,A4)-L4</f>
        <v>29</v>
      </c>
      <c r="N4" s="93">
        <f t="shared" si="5"/>
        <v>0.45283018867924529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126</v>
      </c>
      <c r="D5" s="66">
        <f>AVERAGEIFS('BA History'!C:C,'BA History'!B:B,A5)</f>
        <v>12.6</v>
      </c>
      <c r="E5" s="35">
        <f t="array" ref="E5">MAX(IF('BA History'!B:B=A5, 'BA History'!C:C))</f>
        <v>19</v>
      </c>
      <c r="F5" s="34">
        <f>COUNTIFS('BA History'!B:B,A5,'BA History'!D:D, 1)</f>
        <v>6</v>
      </c>
      <c r="G5" s="2">
        <f>COUNTIFS('BA History'!B:B,A5,'BA History'!D:D, 0)</f>
        <v>4</v>
      </c>
      <c r="H5" s="75">
        <f t="shared" si="3"/>
        <v>0.6</v>
      </c>
      <c r="I5" s="34">
        <f>SUMIFS('BA History'!F:F,'BA History'!B:B,A5)</f>
        <v>20</v>
      </c>
      <c r="J5" s="2">
        <f>SUMIFS('BA History'!E:E,'BA History'!B:B,A5)-I5</f>
        <v>20</v>
      </c>
      <c r="K5" s="75">
        <f t="shared" si="4"/>
        <v>0.5</v>
      </c>
      <c r="L5" s="34">
        <f>SUMIFS('BA History'!H:H,'BA History'!B:B,A5)</f>
        <v>80</v>
      </c>
      <c r="M5" s="2">
        <f>SUMIFS('BA History'!G:G,'BA History'!B:B,A5)-L5</f>
        <v>81</v>
      </c>
      <c r="N5" s="93">
        <f t="shared" si="5"/>
        <v>0.49689440993788819</v>
      </c>
      <c r="O5" s="2">
        <f>COUNTIFS('BA History'!$B:$B,$A$5,'BA History'!K:K, 1)</f>
        <v>1</v>
      </c>
      <c r="P5" s="2">
        <f>COUNTIFS('BA History'!$B:$B,$A$5,'BA History'!L:L, 1)</f>
        <v>3</v>
      </c>
      <c r="Q5" s="2">
        <f>COUNTIFS('BA History'!$B:$B,$A$5,'BA History'!M:M, 1)</f>
        <v>2</v>
      </c>
      <c r="R5" s="2">
        <f>COUNTIFS('BA History'!$B:$B,$A$5,'BA History'!N:N, 1)</f>
        <v>0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2</v>
      </c>
      <c r="AA5" s="2">
        <f>COUNTIFS('BA History'!$B:$B,$A$5,'BA History'!W:W, 1)</f>
        <v>0</v>
      </c>
      <c r="AB5" s="2">
        <f>COUNTIFS('BA History'!$B:$B,$A$5,'BA History'!X:X, 1)</f>
        <v>0</v>
      </c>
      <c r="AC5" s="2">
        <f>COUNTIFS('BA History'!$B:$B,$A$5,'BA History'!Y:Y, 1)</f>
        <v>4</v>
      </c>
      <c r="AD5" s="2">
        <f>COUNTIFS('BA History'!$B:$B,$A$5,'BA History'!Z:Z, 1)</f>
        <v>1</v>
      </c>
      <c r="AE5" s="2">
        <f>COUNTIFS('BA History'!$B:$B,$A$5,'BA History'!AA:AA, 1)</f>
        <v>0</v>
      </c>
      <c r="AF5" s="2">
        <f>COUNTIFS('BA History'!$B:$B,$A$5,'BA History'!AB:AB, 1)</f>
        <v>1</v>
      </c>
      <c r="AG5" s="2">
        <f>COUNTIFS('BA History'!$B:$B,$A$5,'BA History'!AC:AC, 1)</f>
        <v>0</v>
      </c>
      <c r="AH5" s="2">
        <f>COUNTIFS('BA History'!$B:$B,$A$5,'BA History'!AD:AD, 1)</f>
        <v>3</v>
      </c>
      <c r="AI5" s="2">
        <f>COUNTIFS('BA History'!$B:$B,$A$5,'BA History'!AE:AE, 1)</f>
        <v>1</v>
      </c>
      <c r="AJ5" s="2">
        <f>COUNTIFS('BA History'!$B:$B,$A$5,'BA History'!AF:AF, 1)</f>
        <v>1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 t="shared" si="3"/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 t="shared" si="4"/>
        <v>0.25</v>
      </c>
      <c r="L6" s="34">
        <f>SUMIFS('BA History'!H:H,'BA History'!B:B,A6)</f>
        <v>8</v>
      </c>
      <c r="M6" s="2">
        <f>SUMIFS('BA History'!G:G,'BA History'!B:B,A6)-L6</f>
        <v>11</v>
      </c>
      <c r="N6" s="93">
        <f t="shared" si="5"/>
        <v>0.42105263157894735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334</v>
      </c>
      <c r="D7" s="66">
        <f>AVERAGEIFS('BA History'!C:C,'BA History'!B:B,A7)</f>
        <v>11.133333333333333</v>
      </c>
      <c r="E7" s="35">
        <f t="array" ref="E7">MAX(IF('BA History'!B:B=A7, 'BA History'!C:C))</f>
        <v>20</v>
      </c>
      <c r="F7" s="34">
        <f>COUNTIFS('BA History'!B:B,A7,'BA History'!D:D, 1)</f>
        <v>12</v>
      </c>
      <c r="G7" s="2">
        <f>COUNTIFS('BA History'!B:B,A7,'BA History'!D:D, 0)</f>
        <v>18</v>
      </c>
      <c r="H7" s="75">
        <f t="shared" si="3"/>
        <v>0.4</v>
      </c>
      <c r="I7" s="34">
        <f>SUMIFS('BA History'!F:F,'BA History'!B:B,A7)</f>
        <v>55</v>
      </c>
      <c r="J7" s="2">
        <f>SUMIFS('BA History'!E:E,'BA History'!B:B,A7)-I7</f>
        <v>65</v>
      </c>
      <c r="K7" s="75">
        <f t="shared" si="4"/>
        <v>0.45833333333333331</v>
      </c>
      <c r="L7" s="34">
        <f>SUMIFS('BA History'!H:H,'BA History'!B:B,A7)</f>
        <v>243</v>
      </c>
      <c r="M7" s="2">
        <f>SUMIFS('BA History'!G:G,'BA History'!B:B,A7)-L7</f>
        <v>255</v>
      </c>
      <c r="N7" s="93">
        <f t="shared" si="5"/>
        <v>0.48795180722891568</v>
      </c>
      <c r="O7" s="2">
        <f>COUNTIFS('BA History'!$B:$B,$A$7,'BA History'!K:K, 1)</f>
        <v>2</v>
      </c>
      <c r="P7" s="2">
        <f>COUNTIFS('BA History'!$B:$B,$A$7,'BA History'!L:L, 1)</f>
        <v>3</v>
      </c>
      <c r="Q7" s="2">
        <f>COUNTIFS('BA History'!$B:$B,$A$7,'BA History'!M:M, 1)</f>
        <v>4</v>
      </c>
      <c r="R7" s="2">
        <f>COUNTIFS('BA History'!$B:$B,$A$7,'BA History'!N:N, 1)</f>
        <v>3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2</v>
      </c>
      <c r="V7" s="2">
        <f>COUNTIFS('BA History'!$B:$B,$A$7,'BA History'!R:R, 1)</f>
        <v>3</v>
      </c>
      <c r="W7" s="2">
        <f>COUNTIFS('BA History'!$B:$B,$A$7,'BA History'!S:S, 1)</f>
        <v>0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3</v>
      </c>
      <c r="AA7" s="2">
        <f>COUNTIFS('BA History'!$B:$B,$A$7,'BA History'!W:W, 1)</f>
        <v>0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6</v>
      </c>
      <c r="AE7" s="2">
        <f>COUNTIFS('BA History'!$B:$B,$A$7,'BA History'!AA:AA, 1)</f>
        <v>2</v>
      </c>
      <c r="AF7" s="2">
        <f>COUNTIFS('BA History'!$B:$B,$A$7,'BA History'!AB:AB, 1)</f>
        <v>6</v>
      </c>
      <c r="AG7" s="2">
        <f>COUNTIFS('BA History'!$B:$B,$A$7,'BA History'!AC:AC, 1)</f>
        <v>4</v>
      </c>
      <c r="AH7" s="2">
        <f>COUNTIFS('BA History'!$B:$B,$A$7,'BA History'!AD:AD, 1)</f>
        <v>5</v>
      </c>
      <c r="AI7" s="2">
        <f>COUNTIFS('BA History'!$B:$B,$A$7,'BA History'!AE:AE, 1)</f>
        <v>1</v>
      </c>
      <c r="AJ7" s="2">
        <f>COUNTIFS('BA History'!$B:$B,$A$7,'BA History'!AF:AF, 1)</f>
        <v>1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 t="shared" si="3"/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 t="shared" si="4"/>
        <v>0.59615384615384615</v>
      </c>
      <c r="L8" s="34">
        <f>SUMIFS('BA History'!H:H,'BA History'!B:B,A8)</f>
        <v>120</v>
      </c>
      <c r="M8" s="2">
        <f>SUMIFS('BA History'!G:G,'BA History'!B:B,A8)-L8</f>
        <v>92</v>
      </c>
      <c r="N8" s="93">
        <f t="shared" si="5"/>
        <v>0.56603773584905659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329</v>
      </c>
      <c r="D9" s="66">
        <f>AVERAGEIFS('BA History'!C:C,'BA History'!B:B,A9)</f>
        <v>17.315789473684209</v>
      </c>
      <c r="E9" s="35">
        <f t="array" ref="E9">MAX(IF('BA History'!B:B=A9, 'BA History'!C:C))</f>
        <v>34</v>
      </c>
      <c r="F9" s="34">
        <f>COUNTIFS('BA History'!B:B,A9,'BA History'!D:D, 1)</f>
        <v>7</v>
      </c>
      <c r="G9" s="2">
        <f>COUNTIFS('BA History'!B:B,A9,'BA History'!D:D, 0)</f>
        <v>12</v>
      </c>
      <c r="H9" s="75">
        <f t="shared" si="3"/>
        <v>0.36842105263157893</v>
      </c>
      <c r="I9" s="34">
        <f>SUMIFS('BA History'!F:F,'BA History'!B:B,A9)</f>
        <v>31</v>
      </c>
      <c r="J9" s="2">
        <f>SUMIFS('BA History'!E:E,'BA History'!B:B,A9)-I9</f>
        <v>46</v>
      </c>
      <c r="K9" s="75">
        <f t="shared" si="4"/>
        <v>0.40259740259740262</v>
      </c>
      <c r="L9" s="34">
        <f>SUMIFS('BA History'!H:H,'BA History'!B:B,A9)</f>
        <v>137</v>
      </c>
      <c r="M9" s="2">
        <f>SUMIFS('BA History'!G:G,'BA History'!B:B,A9)-L9</f>
        <v>176</v>
      </c>
      <c r="N9" s="93">
        <f t="shared" si="5"/>
        <v>0.43769968051118213</v>
      </c>
      <c r="O9" s="2">
        <f>COUNTIFS('BA History'!$B:$B,$A$9,'BA History'!K:K, 1)</f>
        <v>1</v>
      </c>
      <c r="P9" s="2">
        <f>COUNTIFS('BA History'!$B:$B,$A$9,'BA History'!L:L, 1)</f>
        <v>5</v>
      </c>
      <c r="Q9" s="2">
        <f>COUNTIFS('BA History'!$B:$B,$A$9,'BA History'!M:M, 1)</f>
        <v>1</v>
      </c>
      <c r="R9" s="2">
        <f>COUNTIFS('BA History'!$B:$B,$A$9,'BA History'!N:N, 1)</f>
        <v>3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1</v>
      </c>
      <c r="V9" s="2">
        <f>COUNTIFS('BA History'!$B:$B,$A$9,'BA History'!R:R, 1)</f>
        <v>1</v>
      </c>
      <c r="W9" s="2">
        <f>COUNTIFS('BA History'!$B:$B,$A$9,'BA History'!S:S, 1)</f>
        <v>1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2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2</v>
      </c>
      <c r="AD9" s="2">
        <f>COUNTIFS('BA History'!$B:$B,$A$9,'BA History'!Z:Z, 1)</f>
        <v>4</v>
      </c>
      <c r="AE9" s="2">
        <f>COUNTIFS('BA History'!$B:$B,$A$9,'BA History'!AA:AA, 1)</f>
        <v>1</v>
      </c>
      <c r="AF9" s="2">
        <f>COUNTIFS('BA History'!$B:$B,$A$9,'BA History'!AB:AB, 1)</f>
        <v>0</v>
      </c>
      <c r="AG9" s="2">
        <f>COUNTIFS('BA History'!$B:$B,$A$9,'BA History'!AC:AC, 1)</f>
        <v>2</v>
      </c>
      <c r="AH9" s="2">
        <f>COUNTIFS('BA History'!$B:$B,$A$9,'BA History'!AD:AD, 1)</f>
        <v>3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 t="shared" si="3"/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 t="shared" si="4"/>
        <v>0.63636363636363635</v>
      </c>
      <c r="L10" s="34">
        <f>SUMIFS('BA History'!H:H,'BA History'!B:B,A10)</f>
        <v>53</v>
      </c>
      <c r="M10" s="2">
        <f>SUMIFS('BA History'!G:G,'BA History'!B:B,A10)-L10</f>
        <v>35</v>
      </c>
      <c r="N10" s="93">
        <f t="shared" si="5"/>
        <v>0.60227272727272729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 t="shared" si="3"/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 t="shared" si="4"/>
        <v>0.45714285714285713</v>
      </c>
      <c r="L11" s="34">
        <f>SUMIFS('BA History'!H:H,'BA History'!B:B,A11)</f>
        <v>66</v>
      </c>
      <c r="M11" s="2">
        <f>SUMIFS('BA History'!G:G,'BA History'!B:B,A11)-L11</f>
        <v>71</v>
      </c>
      <c r="N11" s="93">
        <f t="shared" si="5"/>
        <v>0.48175182481751827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149</v>
      </c>
      <c r="B12" s="2" t="s">
        <v>79</v>
      </c>
      <c r="C12" s="34">
        <f>SUMIFS('BA History'!C:C,'BA History'!B:B,A12)</f>
        <v>35</v>
      </c>
      <c r="D12" s="66">
        <f>AVERAGEIFS('BA History'!C:C,'BA History'!B:B,A12)</f>
        <v>8.75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3</v>
      </c>
      <c r="H12" s="75">
        <f t="shared" ref="H12" si="6">F12/(F12+G12)</f>
        <v>0.25</v>
      </c>
      <c r="I12" s="34">
        <f>SUMIFS('BA History'!F:F,'BA History'!B:B,A12)</f>
        <v>5</v>
      </c>
      <c r="J12" s="2">
        <f>SUMIFS('BA History'!E:E,'BA History'!B:B,A12)-I12</f>
        <v>9</v>
      </c>
      <c r="K12" s="75">
        <f t="shared" ref="K12" si="7">I12/(I12+J12)</f>
        <v>0.35714285714285715</v>
      </c>
      <c r="L12" s="34">
        <f>SUMIFS('BA History'!H:H,'BA History'!B:B,A12)</f>
        <v>22</v>
      </c>
      <c r="M12" s="2">
        <f>SUMIFS('BA History'!G:G,'BA History'!B:B,A12)-L12</f>
        <v>34</v>
      </c>
      <c r="N12" s="93">
        <f t="shared" ref="N12" si="8">L12/(L12+M12)</f>
        <v>0.39285714285714285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81</v>
      </c>
      <c r="D13" s="66">
        <f>AVERAGEIFS('BA History'!C:C,'BA History'!B:B,A13)</f>
        <v>13.5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4</v>
      </c>
      <c r="H13" s="75">
        <f t="shared" si="3"/>
        <v>0.33333333333333331</v>
      </c>
      <c r="I13" s="34">
        <f>SUMIFS('BA History'!F:F,'BA History'!B:B,A13)</f>
        <v>11</v>
      </c>
      <c r="J13" s="2">
        <f>SUMIFS('BA History'!E:E,'BA History'!B:B,A13)-I13</f>
        <v>15</v>
      </c>
      <c r="K13" s="75">
        <f t="shared" si="4"/>
        <v>0.42307692307692307</v>
      </c>
      <c r="L13" s="34">
        <f>SUMIFS('BA History'!H:H,'BA History'!B:B,A13)</f>
        <v>44</v>
      </c>
      <c r="M13" s="2">
        <f>SUMIFS('BA History'!G:G,'BA History'!B:B,A13)-L13</f>
        <v>61</v>
      </c>
      <c r="N13" s="93">
        <f t="shared" si="5"/>
        <v>0.41904761904761906</v>
      </c>
      <c r="O13" s="2">
        <f>COUNTIFS('BA History'!$B:$B,$A$13,'BA History'!K:K, 1)</f>
        <v>0</v>
      </c>
      <c r="P13" s="2">
        <f>COUNTIFS('BA History'!$B:$B,$A$13,'BA History'!L:L, 1)</f>
        <v>0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138</v>
      </c>
      <c r="B14" s="2" t="s">
        <v>79</v>
      </c>
      <c r="C14" s="34">
        <f>SUMIFS('BA History'!C:C,'BA History'!B:B,A14)</f>
        <v>48</v>
      </c>
      <c r="D14" s="66">
        <f>AVERAGEIFS('BA History'!C:C,'BA History'!B:B,A14)</f>
        <v>6</v>
      </c>
      <c r="E14" s="35">
        <f t="array" ref="E14">MAX(IF('BA History'!B:B=A14, 'BA History'!C:C))</f>
        <v>12</v>
      </c>
      <c r="F14" s="34">
        <f>COUNTIFS('BA History'!B:B,A14,'BA History'!D:D, 1)</f>
        <v>5</v>
      </c>
      <c r="G14" s="2">
        <f>COUNTIFS('BA History'!B:B,A14,'BA History'!D:D, 0)</f>
        <v>3</v>
      </c>
      <c r="H14" s="75">
        <f t="shared" si="3"/>
        <v>0.625</v>
      </c>
      <c r="I14" s="34">
        <f>SUMIFS('BA History'!F:F,'BA History'!B:B,A14)</f>
        <v>16</v>
      </c>
      <c r="J14" s="2">
        <f>SUMIFS('BA History'!E:E,'BA History'!B:B,A14)-I14</f>
        <v>13</v>
      </c>
      <c r="K14" s="75">
        <f t="shared" si="4"/>
        <v>0.55172413793103448</v>
      </c>
      <c r="L14" s="34">
        <f>SUMIFS('BA History'!H:H,'BA History'!B:B,A14)</f>
        <v>61</v>
      </c>
      <c r="M14" s="2">
        <f>SUMIFS('BA History'!G:G,'BA History'!B:B,A14)-L14</f>
        <v>52</v>
      </c>
      <c r="N14" s="93">
        <f t="shared" si="5"/>
        <v>0.53982300884955747</v>
      </c>
      <c r="O14" s="2">
        <f>COUNTIFS('BA History'!$B:$B,$A$14,'BA History'!K:K, 1)</f>
        <v>1</v>
      </c>
      <c r="P14" s="2">
        <f>COUNTIFS('BA History'!$B:$B,$A$14,'BA History'!L:L, 1)</f>
        <v>1</v>
      </c>
      <c r="Q14" s="2">
        <f>COUNTIFS('BA History'!$B:$B,$A$14,'BA History'!M:M, 1)</f>
        <v>2</v>
      </c>
      <c r="R14" s="2">
        <f>COUNTIFS('BA History'!$B:$B,$A$14,'BA History'!N:N, 1)</f>
        <v>2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1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2</v>
      </c>
      <c r="AD14" s="2">
        <f>COUNTIFS('BA History'!$B:$B,$A$14,'BA History'!Z:Z, 1)</f>
        <v>2</v>
      </c>
      <c r="AE14" s="2">
        <f>COUNTIFS('BA History'!$B:$B,$A$14,'BA History'!AA:AA, 1)</f>
        <v>0</v>
      </c>
      <c r="AF14" s="2">
        <f>COUNTIFS('BA History'!$B:$B,$A$14,'BA History'!AB:AB, 1)</f>
        <v>3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2</v>
      </c>
    </row>
    <row r="15" spans="1:36" x14ac:dyDescent="0.25">
      <c r="A15" s="2" t="s">
        <v>74</v>
      </c>
      <c r="B15" s="2" t="s">
        <v>79</v>
      </c>
      <c r="C15" s="34">
        <f>SUMIFS('BA History'!C:C,'BA History'!B:B,A15)</f>
        <v>9</v>
      </c>
      <c r="D15" s="66">
        <f>AVERAGEIFS('BA History'!C:C,'BA History'!B:B,A15)</f>
        <v>9</v>
      </c>
      <c r="E15" s="35">
        <f t="array" ref="E15">MAX(IF('BA History'!B:B=A15, 'BA History'!C:C))</f>
        <v>9</v>
      </c>
      <c r="F15" s="34">
        <f>COUNTIFS('BA History'!B:B,A15,'BA History'!D:D, 1)</f>
        <v>0</v>
      </c>
      <c r="G15" s="2">
        <f>COUNTIFS('BA History'!B:B,A15,'BA History'!D:D, 0)</f>
        <v>1</v>
      </c>
      <c r="H15" s="75">
        <f t="shared" ref="H15:H53" si="9">F15/(F15+G15)</f>
        <v>0</v>
      </c>
      <c r="I15" s="34">
        <f>SUMIFS('BA History'!F:F,'BA History'!B:B,A15)</f>
        <v>1</v>
      </c>
      <c r="J15" s="2">
        <f>SUMIFS('BA History'!E:E,'BA History'!B:B,A15)-I15</f>
        <v>3</v>
      </c>
      <c r="K15" s="75">
        <f t="shared" ref="K15:K53" si="10">I15/(I15+J15)</f>
        <v>0.25</v>
      </c>
      <c r="L15" s="34">
        <f>SUMIFS('BA History'!H:H,'BA History'!B:B,A15)</f>
        <v>6</v>
      </c>
      <c r="M15" s="2">
        <f>SUMIFS('BA History'!G:G,'BA History'!B:B,A15)-L15</f>
        <v>9</v>
      </c>
      <c r="N15" s="93">
        <f t="shared" ref="N15:N53" si="11">L15/(L15+M15)</f>
        <v>0.4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0</v>
      </c>
      <c r="R15" s="2">
        <f>COUNTIFS('BA History'!$B:$B,$A$15,'BA History'!N:N, 1)</f>
        <v>0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1</v>
      </c>
      <c r="AE15" s="2">
        <f>COUNTIFS('BA History'!$B:$B,$A$15,'BA History'!AA:AA, 1)</f>
        <v>0</v>
      </c>
      <c r="AF15" s="2">
        <f>COUNTIFS('BA History'!$B:$B,$A$15,'BA History'!AB:AB, 1)</f>
        <v>0</v>
      </c>
      <c r="AG15" s="2">
        <f>COUNTIFS('BA History'!$B:$B,$A$15,'BA History'!AC:AC, 1)</f>
        <v>0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 t="shared" si="9"/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 t="shared" si="10"/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93">
        <f t="shared" si="11"/>
        <v>0.30769230769230771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History'!$B:$B,$A$16,'BA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 t="shared" si="9"/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 t="shared" si="10"/>
        <v>0.4642857142857143</v>
      </c>
      <c r="L17" s="34">
        <f>SUMIFS('BA History'!H:H,'BA History'!B:B,A17)</f>
        <v>62</v>
      </c>
      <c r="M17" s="2">
        <f>SUMIFS('BA History'!G:G,'BA History'!B:B,A17)-L17</f>
        <v>66</v>
      </c>
      <c r="N17" s="93">
        <f t="shared" si="11"/>
        <v>0.484375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507</v>
      </c>
      <c r="D18" s="66">
        <f>AVERAGEIFS('BA History'!C:C,'BA History'!B:B,A18)</f>
        <v>18.777777777777779</v>
      </c>
      <c r="E18" s="35">
        <f t="array" ref="E18">MAX(IF('BA History'!B:B=A18, 'BA History'!C:C))</f>
        <v>31</v>
      </c>
      <c r="F18" s="34">
        <f>COUNTIFS('BA History'!B:B,A18,'BA History'!D:D, 1)</f>
        <v>15</v>
      </c>
      <c r="G18" s="2">
        <f>COUNTIFS('BA History'!B:B,A18,'BA History'!D:D, 0)</f>
        <v>12</v>
      </c>
      <c r="H18" s="75">
        <f t="shared" si="9"/>
        <v>0.55555555555555558</v>
      </c>
      <c r="I18" s="34">
        <f>SUMIFS('BA History'!F:F,'BA History'!B:B,A18)</f>
        <v>58</v>
      </c>
      <c r="J18" s="2">
        <f>SUMIFS('BA History'!E:E,'BA History'!B:B,A18)-I18</f>
        <v>50</v>
      </c>
      <c r="K18" s="75">
        <f t="shared" si="10"/>
        <v>0.53703703703703709</v>
      </c>
      <c r="L18" s="34">
        <f>SUMIFS('BA History'!H:H,'BA History'!B:B,A18)</f>
        <v>242</v>
      </c>
      <c r="M18" s="2">
        <f>SUMIFS('BA History'!G:G,'BA History'!B:B,A18)-L18</f>
        <v>216</v>
      </c>
      <c r="N18" s="93">
        <f t="shared" si="11"/>
        <v>0.52838427947598254</v>
      </c>
      <c r="O18" s="2">
        <f>COUNTIFS('BA History'!$B:$B,$A$18,'BA History'!K:K, 1)</f>
        <v>2</v>
      </c>
      <c r="P18" s="2">
        <f>COUNTIFS('BA History'!$B:$B,$A$18,'BA History'!L:L, 1)</f>
        <v>5</v>
      </c>
      <c r="Q18" s="2">
        <f>COUNTIFS('BA History'!$B:$B,$A$18,'BA History'!M:M, 1)</f>
        <v>1</v>
      </c>
      <c r="R18" s="2">
        <f>COUNTIFS('BA History'!$B:$B,$A$18,'BA History'!N:N, 1)</f>
        <v>4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6</v>
      </c>
      <c r="AA18" s="2">
        <f>COUNTIFS('BA History'!$B:$B,$A$18,'BA History'!W:W, 1)</f>
        <v>1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8</v>
      </c>
      <c r="AE18" s="2">
        <f>COUNTIFS('BA History'!$B:$B,$A$18,'BA History'!AA:AA, 1)</f>
        <v>1</v>
      </c>
      <c r="AF18" s="2">
        <f>COUNTIFS('BA History'!$B:$B,$A$18,'BA History'!AB:AB, 1)</f>
        <v>6</v>
      </c>
      <c r="AG18" s="2">
        <f>COUNTIFS('BA History'!$B:$B,$A$18,'BA History'!AC:AC, 1)</f>
        <v>1</v>
      </c>
      <c r="AH18" s="2">
        <f>COUNTIFS('BA History'!$B:$B,$A$18,'BA History'!AD:AD, 1)</f>
        <v>7</v>
      </c>
      <c r="AI18" s="2">
        <f>COUNTIFS('BA History'!$B:$B,$A$18,'BA History'!AE:AE, 1)</f>
        <v>1</v>
      </c>
      <c r="AJ18" s="2">
        <f>COUNTIFS('BA History'!$B:$B,$A$18,'BA History'!AF:AF, 1)</f>
        <v>1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135</v>
      </c>
      <c r="D19" s="66">
        <f>AVERAGEIFS('BA History'!C:C,'BA History'!B:B,A19)</f>
        <v>13.5</v>
      </c>
      <c r="E19" s="35">
        <f t="array" ref="E19">MAX(IF('BA History'!B:B=A19, 'BA History'!C:C))</f>
        <v>19</v>
      </c>
      <c r="F19" s="34">
        <f>COUNTIFS('BA History'!B:B,A19,'BA History'!D:D, 1)</f>
        <v>3</v>
      </c>
      <c r="G19" s="2">
        <f>COUNTIFS('BA History'!B:B,A19,'BA History'!D:D, 0)</f>
        <v>7</v>
      </c>
      <c r="H19" s="75">
        <f t="shared" si="9"/>
        <v>0.3</v>
      </c>
      <c r="I19" s="34">
        <f>SUMIFS('BA History'!F:F,'BA History'!B:B,A19)</f>
        <v>18</v>
      </c>
      <c r="J19" s="2">
        <f>SUMIFS('BA History'!E:E,'BA History'!B:B,A19)-I19</f>
        <v>24</v>
      </c>
      <c r="K19" s="75">
        <f t="shared" si="10"/>
        <v>0.42857142857142855</v>
      </c>
      <c r="L19" s="34">
        <f>SUMIFS('BA History'!H:H,'BA History'!B:B,A19)</f>
        <v>74</v>
      </c>
      <c r="M19" s="2">
        <f>SUMIFS('BA History'!G:G,'BA History'!B:B,A19)-L19</f>
        <v>92</v>
      </c>
      <c r="N19" s="93">
        <f t="shared" si="11"/>
        <v>0.44578313253012047</v>
      </c>
      <c r="O19" s="2">
        <f>COUNTIFS('BA History'!$B:$B,$A$19,'BA History'!K:K, 1)</f>
        <v>0</v>
      </c>
      <c r="P19" s="2">
        <f>COUNTIFS('BA History'!$B:$B,$A$19,'BA History'!L:L, 1)</f>
        <v>2</v>
      </c>
      <c r="Q19" s="2">
        <f>COUNTIFS('BA History'!$B:$B,$A$19,'BA History'!M:M, 1)</f>
        <v>1</v>
      </c>
      <c r="R19" s="2">
        <f>COUNTIFS('BA History'!$B:$B,$A$19,'BA History'!N:N, 1)</f>
        <v>2</v>
      </c>
      <c r="S19" s="2">
        <f>COUNTIFS('BA History'!$B:$B,$A$19,'BA History'!O:O, 1)</f>
        <v>0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3</v>
      </c>
      <c r="Z19" s="2">
        <f>COUNTIFS('BA History'!$B:$B,$A$19,'BA History'!V:V, 1)</f>
        <v>0</v>
      </c>
      <c r="AA19" s="2">
        <f>COUNTIFS('BA History'!$B:$B,$A$19,'BA History'!W:W, 1)</f>
        <v>0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2</v>
      </c>
      <c r="AE19" s="2">
        <f>COUNTIFS('BA History'!$B:$B,$A$19,'BA History'!AA:AA, 1)</f>
        <v>0</v>
      </c>
      <c r="AF19" s="2">
        <f>COUNTIFS('BA History'!$B:$B,$A$19,'BA History'!AB:AB, 1)</f>
        <v>3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271</v>
      </c>
      <c r="D20" s="66">
        <f>AVERAGEIFS('BA History'!C:C,'BA History'!B:B,A20)</f>
        <v>16.9375</v>
      </c>
      <c r="E20" s="35">
        <f t="array" ref="E20">MAX(IF('BA History'!B:B=A20, 'BA History'!C:C))</f>
        <v>31</v>
      </c>
      <c r="F20" s="34">
        <f>COUNTIFS('BA History'!B:B,A20,'BA History'!D:D, 1)</f>
        <v>9</v>
      </c>
      <c r="G20" s="2">
        <f>COUNTIFS('BA History'!B:B,A20,'BA History'!D:D, 0)</f>
        <v>7</v>
      </c>
      <c r="H20" s="75">
        <f t="shared" si="9"/>
        <v>0.5625</v>
      </c>
      <c r="I20" s="34">
        <f>SUMIFS('BA History'!F:F,'BA History'!B:B,A20)</f>
        <v>32</v>
      </c>
      <c r="J20" s="2">
        <f>SUMIFS('BA History'!E:E,'BA History'!B:B,A20)-I20</f>
        <v>32</v>
      </c>
      <c r="K20" s="75">
        <f t="shared" si="10"/>
        <v>0.5</v>
      </c>
      <c r="L20" s="34">
        <f>SUMIFS('BA History'!H:H,'BA History'!B:B,A20)</f>
        <v>134</v>
      </c>
      <c r="M20" s="2">
        <f>SUMIFS('BA History'!G:G,'BA History'!B:B,A20)-L20</f>
        <v>128</v>
      </c>
      <c r="N20" s="93">
        <f t="shared" si="11"/>
        <v>0.51145038167938928</v>
      </c>
      <c r="O20" s="2">
        <f>COUNTIFS('BA History'!$B:$B,$A$20,'BA History'!K:K, 1)</f>
        <v>3</v>
      </c>
      <c r="P20" s="2">
        <f>COUNTIFS('BA History'!$B:$B,$A$20,'BA History'!L:L, 1)</f>
        <v>1</v>
      </c>
      <c r="Q20" s="2">
        <f>COUNTIFS('BA History'!$B:$B,$A$20,'BA History'!M:M, 1)</f>
        <v>3</v>
      </c>
      <c r="R20" s="2">
        <f>COUNTIFS('BA History'!$B:$B,$A$20,'BA History'!N:N, 1)</f>
        <v>1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1</v>
      </c>
      <c r="V20" s="2">
        <f>COUNTIFS('BA History'!$B:$B,$A$20,'BA History'!R:R, 1)</f>
        <v>1</v>
      </c>
      <c r="W20" s="2">
        <f>COUNTIFS('BA History'!$B:$B,$A$20,'BA History'!S:S, 1)</f>
        <v>0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2</v>
      </c>
      <c r="AA20" s="2">
        <f>COUNTIFS('BA History'!$B:$B,$A$20,'BA History'!W:W, 1)</f>
        <v>3</v>
      </c>
      <c r="AB20" s="2">
        <f>COUNTIFS('BA History'!$B:$B,$A$20,'BA History'!X:X, 1)</f>
        <v>1</v>
      </c>
      <c r="AC20" s="2">
        <f>COUNTIFS('BA History'!$B:$B,$A$20,'BA History'!Y:Y, 1)</f>
        <v>1</v>
      </c>
      <c r="AD20" s="2">
        <f>COUNTIFS('BA History'!$B:$B,$A$20,'BA History'!Z:Z, 1)</f>
        <v>4</v>
      </c>
      <c r="AE20" s="2">
        <f>COUNTIFS('BA History'!$B:$B,$A$20,'BA History'!AA:AA, 1)</f>
        <v>1</v>
      </c>
      <c r="AF20" s="2">
        <f>COUNTIFS('BA History'!$B:$B,$A$20,'BA History'!AB:AB, 1)</f>
        <v>1</v>
      </c>
      <c r="AG20" s="2">
        <f>COUNTIFS('BA History'!$B:$B,$A$20,'BA History'!AC:AC, 1)</f>
        <v>2</v>
      </c>
      <c r="AH20" s="2">
        <f>COUNTIFS('BA History'!$B:$B,$A$20,'BA History'!AD:AD, 1)</f>
        <v>2</v>
      </c>
      <c r="AI20" s="2">
        <f>COUNTIFS('BA History'!$B:$B,$A$20,'BA History'!AE:AE, 1)</f>
        <v>1</v>
      </c>
      <c r="AJ20" s="2">
        <f>COUNTIFS('BA History'!$B:$B,$A$20,'BA History'!AF:AF, 1)</f>
        <v>3</v>
      </c>
    </row>
    <row r="21" spans="1:36" x14ac:dyDescent="0.25">
      <c r="A21" s="2" t="s">
        <v>144</v>
      </c>
      <c r="B21" s="2" t="s">
        <v>79</v>
      </c>
      <c r="C21" s="34">
        <f>SUMIFS('BA History'!C:C,'BA History'!B:B,A21)</f>
        <v>12</v>
      </c>
      <c r="D21" s="66">
        <f>AVERAGEIFS('BA History'!C:C,'BA History'!B:B,A21)</f>
        <v>12</v>
      </c>
      <c r="E21" s="35">
        <f t="array" ref="E21">MAX(IF('BA History'!B:B=A21, 'BA History'!C:C))</f>
        <v>12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 t="shared" ref="H21" si="12">F21/(F21+G21)</f>
        <v>0</v>
      </c>
      <c r="I21" s="34">
        <f>SUMIFS('BA History'!F:F,'BA History'!B:B,A21)</f>
        <v>1</v>
      </c>
      <c r="J21" s="2">
        <f>SUMIFS('BA History'!E:E,'BA History'!B:B,A21)-I21</f>
        <v>3</v>
      </c>
      <c r="K21" s="75">
        <f t="shared" ref="K21" si="13">I21/(I21+J21)</f>
        <v>0.25</v>
      </c>
      <c r="L21" s="34">
        <f>SUMIFS('BA History'!H:H,'BA History'!B:B,A21)</f>
        <v>5</v>
      </c>
      <c r="M21" s="2">
        <f>SUMIFS('BA History'!G:G,'BA History'!B:B,A21)-L21</f>
        <v>9</v>
      </c>
      <c r="N21" s="93">
        <f t="shared" ref="N21" si="14">L21/(L21+M21)</f>
        <v>0.35714285714285715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1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0</v>
      </c>
      <c r="AF21" s="2">
        <f>COUNTIFS('BA History'!$B:$B,$A$21,'BA History'!AB:AB, 1)</f>
        <v>0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x14ac:dyDescent="0.25">
      <c r="A22" s="2" t="s">
        <v>139</v>
      </c>
      <c r="B22" s="2" t="s">
        <v>79</v>
      </c>
      <c r="C22" s="34">
        <f>SUMIFS('BA History'!C:C,'BA History'!B:B,A22)</f>
        <v>10</v>
      </c>
      <c r="D22" s="66">
        <f>AVERAGEIFS('BA History'!C:C,'BA History'!B:B,A22)</f>
        <v>10</v>
      </c>
      <c r="E22" s="35">
        <f t="array" ref="E22">MAX(IF('BA History'!B:B=A22, 'BA History'!C:C))</f>
        <v>10</v>
      </c>
      <c r="F22" s="34">
        <f>COUNTIFS('BA History'!B:B,A22,'BA History'!D:D, 1)</f>
        <v>0</v>
      </c>
      <c r="G22" s="2">
        <f>COUNTIFS('BA History'!B:B,A22,'BA History'!D:D, 0)</f>
        <v>1</v>
      </c>
      <c r="H22" s="75">
        <f t="shared" ref="H22" si="15">F22/(F22+G22)</f>
        <v>0</v>
      </c>
      <c r="I22" s="34">
        <f>SUMIFS('BA History'!F:F,'BA History'!B:B,A22)</f>
        <v>2</v>
      </c>
      <c r="J22" s="2">
        <f>SUMIFS('BA History'!E:E,'BA History'!B:B,A22)-I22</f>
        <v>3</v>
      </c>
      <c r="K22" s="75">
        <f t="shared" ref="K22" si="16">I22/(I22+J22)</f>
        <v>0.4</v>
      </c>
      <c r="L22" s="34">
        <f>SUMIFS('BA History'!H:H,'BA History'!B:B,A22)</f>
        <v>10</v>
      </c>
      <c r="M22" s="2">
        <f>SUMIFS('BA History'!G:G,'BA History'!B:B,A22)-L22</f>
        <v>12</v>
      </c>
      <c r="N22" s="93">
        <f t="shared" ref="N22" si="17">L22/(L22+M22)</f>
        <v>0.45454545454545453</v>
      </c>
      <c r="O22" s="2">
        <f>COUNTIFS('BA History'!$B:$B,$A$22,'BA History'!K:K, 1)</f>
        <v>0</v>
      </c>
      <c r="P22" s="2">
        <f>COUNTIFS('BA History'!$B:$B,$A$22,'BA History'!L:L, 1)</f>
        <v>0</v>
      </c>
      <c r="Q22" s="2">
        <f>COUNTIFS('BA History'!$B:$B,$A$22,'BA History'!M:M, 1)</f>
        <v>0</v>
      </c>
      <c r="R22" s="2">
        <f>COUNTIFS('BA History'!$B:$B,$A$22,'BA History'!N:N, 1)</f>
        <v>0</v>
      </c>
      <c r="S22" s="2">
        <f>COUNTIFS('BA History'!$B:$B,$A$22,'BA History'!O:O, 1)</f>
        <v>0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0</v>
      </c>
      <c r="X22" s="2">
        <f>COUNTIFS('BA History'!$B:$B,$A$22,'BA History'!T:T, 1)</f>
        <v>0</v>
      </c>
      <c r="Y22" s="2">
        <f>COUNTIFS('BA History'!$B:$B,$A$22,'BA History'!U:U, 1)</f>
        <v>0</v>
      </c>
      <c r="Z22" s="2">
        <f>COUNTIFS('BA History'!$B:$B,$A$22,'BA History'!V:V, 1)</f>
        <v>0</v>
      </c>
      <c r="AA22" s="2">
        <f>COUNTIFS('BA History'!$B:$B,$A$22,'BA History'!W:W, 1)</f>
        <v>0</v>
      </c>
      <c r="AB22" s="2">
        <f>COUNTIFS('BA History'!$B:$B,$A$22,'BA History'!X:X, 1)</f>
        <v>0</v>
      </c>
      <c r="AC22" s="2">
        <f>COUNTIFS('BA History'!$B:$B,$A$22,'BA History'!Y:Y, 1)</f>
        <v>0</v>
      </c>
      <c r="AD22" s="2">
        <f>COUNTIFS('BA History'!$B:$B,$A$22,'BA History'!Z:Z, 1)</f>
        <v>0</v>
      </c>
      <c r="AE22" s="2">
        <f>COUNTIFS('BA History'!$B:$B,$A$22,'BA History'!AA:AA, 1)</f>
        <v>1</v>
      </c>
      <c r="AF22" s="2">
        <f>COUNTIFS('BA History'!$B:$B,$A$22,'BA History'!AB:AB, 1)</f>
        <v>1</v>
      </c>
      <c r="AG22" s="2">
        <f>COUNTIFS('BA History'!$B:$B,$A$22,'BA History'!AC:AC, 1)</f>
        <v>0</v>
      </c>
      <c r="AH22" s="2">
        <f>COUNTIFS('BA History'!$B:$B,$A$22,'BA History'!AD:AD, 1)</f>
        <v>0</v>
      </c>
      <c r="AI22" s="2">
        <f>COUNTIFS('BA History'!$B:$B,$A$22,'BA History'!AE:AE, 1)</f>
        <v>0</v>
      </c>
      <c r="AJ22" s="2">
        <f>COUNTIFS('BA History'!$B:$B,$A$22,'BA History'!AF:AF, 1)</f>
        <v>0</v>
      </c>
    </row>
    <row r="23" spans="1:36" ht="15.75" x14ac:dyDescent="0.25">
      <c r="A23" s="2" t="s">
        <v>1</v>
      </c>
      <c r="B23" s="80" t="s">
        <v>60</v>
      </c>
      <c r="C23" s="34">
        <f>SUMIFS('BA History'!C:C,'BA History'!B:B,A23)</f>
        <v>423</v>
      </c>
      <c r="D23" s="66">
        <f>AVERAGEIFS('BA History'!C:C,'BA History'!B:B,A23)</f>
        <v>26.4375</v>
      </c>
      <c r="E23" s="35">
        <f t="array" ref="E23">MAX(IF('BA History'!B:B=A23, 'BA History'!C:C))</f>
        <v>50</v>
      </c>
      <c r="F23" s="34">
        <f>COUNTIFS('BA History'!B:B,A23,'BA History'!D:D, 1)</f>
        <v>7</v>
      </c>
      <c r="G23" s="2">
        <f>COUNTIFS('BA History'!B:B,A23,'BA History'!D:D, 0)</f>
        <v>9</v>
      </c>
      <c r="H23" s="75">
        <f t="shared" si="9"/>
        <v>0.4375</v>
      </c>
      <c r="I23" s="34">
        <f>SUMIFS('BA History'!F:F,'BA History'!B:B,A23)</f>
        <v>27</v>
      </c>
      <c r="J23" s="2">
        <f>SUMIFS('BA History'!E:E,'BA History'!B:B,A23)-I23</f>
        <v>36</v>
      </c>
      <c r="K23" s="75">
        <f t="shared" si="10"/>
        <v>0.42857142857142855</v>
      </c>
      <c r="L23" s="34">
        <f>SUMIFS('BA History'!H:H,'BA History'!B:B,A23)</f>
        <v>118</v>
      </c>
      <c r="M23" s="2">
        <f>SUMIFS('BA History'!G:G,'BA History'!B:B,A23)-L23</f>
        <v>144</v>
      </c>
      <c r="N23" s="93">
        <f t="shared" si="11"/>
        <v>0.45038167938931295</v>
      </c>
      <c r="O23" s="2">
        <f>COUNTIFS('BA History'!$B:$B,$A$23,'BA History'!K:K, 1)</f>
        <v>1</v>
      </c>
      <c r="P23" s="2">
        <f>COUNTIFS('BA History'!$B:$B,$A$23,'BA History'!L:L, 1)</f>
        <v>3</v>
      </c>
      <c r="Q23" s="2">
        <f>COUNTIFS('BA History'!$B:$B,$A$23,'BA History'!M:M, 1)</f>
        <v>2</v>
      </c>
      <c r="R23" s="2">
        <f>COUNTIFS('BA History'!$B:$B,$A$23,'BA History'!N:N, 1)</f>
        <v>1</v>
      </c>
      <c r="S23" s="2">
        <f>COUNTIFS('BA History'!$B:$B,$A$23,'BA History'!O:O, 1)</f>
        <v>2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3</v>
      </c>
      <c r="AA23" s="2">
        <f>COUNTIFS('BA History'!$B:$B,$A$23,'BA History'!W:W, 1)</f>
        <v>1</v>
      </c>
      <c r="AB23" s="2">
        <f>COUNTIFS('BA History'!$B:$B,$A$23,'BA History'!X:X, 1)</f>
        <v>0</v>
      </c>
      <c r="AC23" s="2">
        <f>COUNTIFS('BA History'!$B:$B,$A$23,'BA History'!Y:Y, 1)</f>
        <v>2</v>
      </c>
      <c r="AD23" s="2">
        <f>COUNTIFS('BA History'!$B:$B,$A$23,'BA History'!Z:Z, 1)</f>
        <v>1</v>
      </c>
      <c r="AE23" s="2">
        <f>COUNTIFS('BA History'!$B:$B,$A$23,'BA History'!AA:AA, 1)</f>
        <v>1</v>
      </c>
      <c r="AF23" s="2">
        <f>COUNTIFS('BA History'!$B:$B,$A$23,'BA History'!AB:AB, 1)</f>
        <v>2</v>
      </c>
      <c r="AG23" s="2">
        <f>COUNTIFS('BA History'!$B:$B,$A$23,'BA History'!AC:AC, 1)</f>
        <v>3</v>
      </c>
      <c r="AH23" s="2">
        <f>COUNTIFS('BA History'!$B:$B,$A$23,'BA History'!AD:AD, 1)</f>
        <v>4</v>
      </c>
      <c r="AI23" s="2">
        <f>COUNTIFS('BA History'!$B:$B,$A$23,'BA History'!AE:AE, 1)</f>
        <v>1</v>
      </c>
      <c r="AJ23" s="2">
        <f>COUNTIFS('BA History'!$B:$B,$A$23,'BA History'!AF:AF, 1)</f>
        <v>0</v>
      </c>
    </row>
    <row r="24" spans="1:36" ht="15.75" x14ac:dyDescent="0.25">
      <c r="A24" s="2" t="s">
        <v>46</v>
      </c>
      <c r="B24" s="80" t="s">
        <v>60</v>
      </c>
      <c r="C24" s="34">
        <f>SUMIFS('BA History'!C:C,'BA History'!B:B,A24)</f>
        <v>353</v>
      </c>
      <c r="D24" s="66">
        <f>AVERAGEIFS('BA History'!C:C,'BA History'!B:B,A24)</f>
        <v>19.611111111111111</v>
      </c>
      <c r="E24" s="35">
        <f t="array" ref="E24">MAX(IF('BA History'!B:B=A24, 'BA History'!C:C))</f>
        <v>27</v>
      </c>
      <c r="F24" s="34">
        <f>COUNTIFS('BA History'!B:B,A24,'BA History'!D:D, 1)</f>
        <v>7</v>
      </c>
      <c r="G24" s="2">
        <f>COUNTIFS('BA History'!B:B,A24,'BA History'!D:D, 0)</f>
        <v>11</v>
      </c>
      <c r="H24" s="75">
        <f t="shared" si="9"/>
        <v>0.3888888888888889</v>
      </c>
      <c r="I24" s="34">
        <f>SUMIFS('BA History'!F:F,'BA History'!B:B,A24)</f>
        <v>36</v>
      </c>
      <c r="J24" s="2">
        <f>SUMIFS('BA History'!E:E,'BA History'!B:B,A24)-I24</f>
        <v>42</v>
      </c>
      <c r="K24" s="75">
        <f t="shared" si="10"/>
        <v>0.46153846153846156</v>
      </c>
      <c r="L24" s="34">
        <f>SUMIFS('BA History'!H:H,'BA History'!B:B,A24)</f>
        <v>158</v>
      </c>
      <c r="M24" s="2">
        <f>SUMIFS('BA History'!G:G,'BA History'!B:B,A24)-L24</f>
        <v>171</v>
      </c>
      <c r="N24" s="93">
        <f t="shared" si="11"/>
        <v>0.48024316109422494</v>
      </c>
      <c r="O24" s="2">
        <f>COUNTIFS('BA History'!$B:$B,$A$24,'BA History'!K:K, 1)</f>
        <v>4</v>
      </c>
      <c r="P24" s="2">
        <f>COUNTIFS('BA History'!$B:$B,$A$24,'BA History'!L:L, 1)</f>
        <v>1</v>
      </c>
      <c r="Q24" s="2">
        <f>COUNTIFS('BA History'!$B:$B,$A$24,'BA History'!M:M, 1)</f>
        <v>2</v>
      </c>
      <c r="R24" s="2">
        <f>COUNTIFS('BA History'!$B:$B,$A$24,'BA History'!N:N, 1)</f>
        <v>3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0</v>
      </c>
      <c r="V24" s="2">
        <f>COUNTIFS('BA History'!$B:$B,$A$24,'BA History'!R:R, 1)</f>
        <v>1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1</v>
      </c>
      <c r="Z24" s="2">
        <f>COUNTIFS('BA History'!$B:$B,$A$24,'BA History'!V:V, 1)</f>
        <v>1</v>
      </c>
      <c r="AA24" s="2">
        <f>COUNTIFS('BA History'!$B:$B,$A$24,'BA History'!W:W, 1)</f>
        <v>2</v>
      </c>
      <c r="AB24" s="2">
        <f>COUNTIFS('BA History'!$B:$B,$A$24,'BA History'!X:X, 1)</f>
        <v>1</v>
      </c>
      <c r="AC24" s="2">
        <f>COUNTIFS('BA History'!$B:$B,$A$24,'BA History'!Y:Y, 1)</f>
        <v>0</v>
      </c>
      <c r="AD24" s="2">
        <f>COUNTIFS('BA History'!$B:$B,$A$24,'BA History'!Z:Z, 1)</f>
        <v>6</v>
      </c>
      <c r="AE24" s="2">
        <f>COUNTIFS('BA History'!$B:$B,$A$24,'BA History'!AA:AA, 1)</f>
        <v>1</v>
      </c>
      <c r="AF24" s="2">
        <f>COUNTIFS('BA History'!$B:$B,$A$24,'BA History'!AB:AB, 1)</f>
        <v>5</v>
      </c>
      <c r="AG24" s="2">
        <f>COUNTIFS('BA History'!$B:$B,$A$24,'BA History'!AC:AC, 1)</f>
        <v>0</v>
      </c>
      <c r="AH24" s="2">
        <f>COUNTIFS('BA History'!$B:$B,$A$24,'BA History'!AD:AD, 1)</f>
        <v>3</v>
      </c>
      <c r="AI24" s="2">
        <f>COUNTIFS('BA History'!$B:$B,$A$24,'BA History'!AE:AE, 1)</f>
        <v>2</v>
      </c>
      <c r="AJ24" s="2">
        <f>COUNTIFS('BA History'!$B:$B,$A$24,'BA History'!AF:AF, 1)</f>
        <v>2</v>
      </c>
    </row>
    <row r="25" spans="1:36" x14ac:dyDescent="0.25">
      <c r="A25" s="2" t="s">
        <v>28</v>
      </c>
      <c r="B25" s="2" t="s">
        <v>79</v>
      </c>
      <c r="C25" s="34">
        <f>SUMIFS('BA History'!C:C,'BA History'!B:B,A25)</f>
        <v>294</v>
      </c>
      <c r="D25" s="66">
        <f>AVERAGEIFS('BA History'!C:C,'BA History'!B:B,A25)</f>
        <v>14</v>
      </c>
      <c r="E25" s="35">
        <f t="array" ref="E25">MAX(IF('BA History'!B:B=A25, 'BA History'!C:C))</f>
        <v>25</v>
      </c>
      <c r="F25" s="34">
        <f>COUNTIFS('BA History'!B:B,A25,'BA History'!D:D, 1)</f>
        <v>9</v>
      </c>
      <c r="G25" s="2">
        <f>COUNTIFS('BA History'!B:B,A25,'BA History'!D:D, 0)</f>
        <v>12</v>
      </c>
      <c r="H25" s="75">
        <f t="shared" si="9"/>
        <v>0.42857142857142855</v>
      </c>
      <c r="I25" s="34">
        <f>SUMIFS('BA History'!F:F,'BA History'!B:B,A25)</f>
        <v>37</v>
      </c>
      <c r="J25" s="2">
        <f>SUMIFS('BA History'!E:E,'BA History'!B:B,A25)-I25</f>
        <v>42</v>
      </c>
      <c r="K25" s="75">
        <f t="shared" si="10"/>
        <v>0.46835443037974683</v>
      </c>
      <c r="L25" s="34">
        <f>SUMIFS('BA History'!H:H,'BA History'!B:B,A25)</f>
        <v>163</v>
      </c>
      <c r="M25" s="2">
        <f>SUMIFS('BA History'!G:G,'BA History'!B:B,A25)-L25</f>
        <v>163</v>
      </c>
      <c r="N25" s="93">
        <f t="shared" si="11"/>
        <v>0.5</v>
      </c>
      <c r="O25" s="2">
        <f>COUNTIFS('BA History'!$B:$B,$A$25,'BA History'!K:K, 1)</f>
        <v>1</v>
      </c>
      <c r="P25" s="2">
        <f>COUNTIFS('BA History'!$B:$B,$A$25,'BA History'!L:L, 1)</f>
        <v>3</v>
      </c>
      <c r="Q25" s="2">
        <f>COUNTIFS('BA History'!$B:$B,$A$25,'BA History'!M:M, 1)</f>
        <v>2</v>
      </c>
      <c r="R25" s="2">
        <f>COUNTIFS('BA History'!$B:$B,$A$25,'BA History'!N:N, 1)</f>
        <v>4</v>
      </c>
      <c r="S25" s="2">
        <f>COUNTIFS('BA History'!$B:$B,$A$25,'BA History'!O:O, 1)</f>
        <v>2</v>
      </c>
      <c r="T25" s="2">
        <f>COUNTIFS('BA History'!$B:$B,$A$25,'BA History'!P:P, 1)</f>
        <v>1</v>
      </c>
      <c r="U25" s="2">
        <f>COUNTIFS('BA History'!$B:$B,$A$25,'BA History'!Q:Q, 1)</f>
        <v>2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1</v>
      </c>
      <c r="Y25" s="2">
        <f>COUNTIFS('BA History'!$B:$B,$A$25,'BA History'!U:U, 1)</f>
        <v>2</v>
      </c>
      <c r="Z25" s="2">
        <f>COUNTIFS('BA History'!$B:$B,$A$25,'BA History'!V:V, 1)</f>
        <v>1</v>
      </c>
      <c r="AA25" s="2">
        <f>COUNTIFS('BA History'!$B:$B,$A$25,'BA History'!W:W, 1)</f>
        <v>0</v>
      </c>
      <c r="AB25" s="2">
        <f>COUNTIFS('BA History'!$B:$B,$A$25,'BA History'!X:X, 1)</f>
        <v>1</v>
      </c>
      <c r="AC25" s="2">
        <f>COUNTIFS('BA History'!$B:$B,$A$25,'BA History'!Y:Y, 1)</f>
        <v>2</v>
      </c>
      <c r="AD25" s="2">
        <f>COUNTIFS('BA History'!$B:$B,$A$25,'BA History'!Z:Z, 1)</f>
        <v>3</v>
      </c>
      <c r="AE25" s="2">
        <f>COUNTIFS('BA History'!$B:$B,$A$25,'BA History'!AA:AA, 1)</f>
        <v>1</v>
      </c>
      <c r="AF25" s="2">
        <f>COUNTIFS('BA History'!$B:$B,$A$25,'BA History'!AB:AB, 1)</f>
        <v>3</v>
      </c>
      <c r="AG25" s="2">
        <f>COUNTIFS('BA History'!$B:$B,$A$25,'BA History'!AC:AC, 1)</f>
        <v>2</v>
      </c>
      <c r="AH25" s="2">
        <f>COUNTIFS('BA History'!$B:$B,$A$25,'BA History'!AD:AD, 1)</f>
        <v>4</v>
      </c>
      <c r="AI25" s="2">
        <f>COUNTIFS('BA History'!$B:$B,$A$25,'BA History'!AE:AE, 1)</f>
        <v>0</v>
      </c>
      <c r="AJ25" s="2">
        <f>COUNTIFS('BA History'!$B:$B,$A$25,'BA History'!AF:AF, 1)</f>
        <v>1</v>
      </c>
    </row>
    <row r="26" spans="1:36" x14ac:dyDescent="0.25">
      <c r="A26" s="2" t="s">
        <v>53</v>
      </c>
      <c r="B26" s="2" t="s">
        <v>79</v>
      </c>
      <c r="C26" s="34">
        <f>SUMIFS('BA History'!C:C,'BA History'!B:B,A26)</f>
        <v>241</v>
      </c>
      <c r="D26" s="66">
        <f>AVERAGEIFS('BA History'!C:C,'BA History'!B:B,A26)</f>
        <v>16.066666666666666</v>
      </c>
      <c r="E26" s="35">
        <f t="array" ref="E26">MAX(IF('BA History'!B:B=A26, 'BA History'!C:C))</f>
        <v>36</v>
      </c>
      <c r="F26" s="34">
        <f>COUNTIFS('BA History'!B:B,A26,'BA History'!D:D, 1)</f>
        <v>8</v>
      </c>
      <c r="G26" s="2">
        <f>COUNTIFS('BA History'!B:B,A26,'BA History'!D:D, 0)</f>
        <v>7</v>
      </c>
      <c r="H26" s="75">
        <f t="shared" si="9"/>
        <v>0.53333333333333333</v>
      </c>
      <c r="I26" s="34">
        <f>SUMIFS('BA History'!F:F,'BA History'!B:B,A26)</f>
        <v>30</v>
      </c>
      <c r="J26" s="2">
        <f>SUMIFS('BA History'!E:E,'BA History'!B:B,A26)-I26</f>
        <v>26</v>
      </c>
      <c r="K26" s="75">
        <f t="shared" si="10"/>
        <v>0.5357142857142857</v>
      </c>
      <c r="L26" s="34">
        <f>SUMIFS('BA History'!H:H,'BA History'!B:B,A26)</f>
        <v>114</v>
      </c>
      <c r="M26" s="2">
        <f>SUMIFS('BA History'!G:G,'BA History'!B:B,A26)-L26</f>
        <v>108</v>
      </c>
      <c r="N26" s="93">
        <f t="shared" si="11"/>
        <v>0.51351351351351349</v>
      </c>
      <c r="O26" s="2">
        <f>COUNTIFS('BA History'!$B:$B,$A$26,'BA History'!K:K, 1)</f>
        <v>1</v>
      </c>
      <c r="P26" s="2">
        <f>COUNTIFS('BA History'!$B:$B,$A$26,'BA History'!L:L, 1)</f>
        <v>2</v>
      </c>
      <c r="Q26" s="2">
        <f>COUNTIFS('BA History'!$B:$B,$A$26,'BA History'!M:M, 1)</f>
        <v>0</v>
      </c>
      <c r="R26" s="2">
        <f>COUNTIFS('BA History'!$B:$B,$A$26,'BA History'!N:N, 1)</f>
        <v>4</v>
      </c>
      <c r="S26" s="2">
        <f>COUNTIFS('BA History'!$B:$B,$A$26,'BA History'!O:O, 1)</f>
        <v>1</v>
      </c>
      <c r="T26" s="2">
        <f>COUNTIFS('BA History'!$B:$B,$A$26,'BA History'!P:P, 1)</f>
        <v>0</v>
      </c>
      <c r="U26" s="2">
        <f>COUNTIFS('BA History'!$B:$B,$A$26,'BA History'!Q:Q, 1)</f>
        <v>2</v>
      </c>
      <c r="V26" s="2">
        <f>COUNTIFS('BA History'!$B:$B,$A$26,'BA History'!R:R, 1)</f>
        <v>0</v>
      </c>
      <c r="W26" s="2">
        <f>COUNTIFS('BA History'!$B:$B,$A$26,'BA History'!S:S, 1)</f>
        <v>0</v>
      </c>
      <c r="X26" s="2">
        <f>COUNTIFS('BA History'!$B:$B,$A$26,'BA History'!T:T, 1)</f>
        <v>0</v>
      </c>
      <c r="Y26" s="2">
        <f>COUNTIFS('BA History'!$B:$B,$A$26,'BA History'!U:U, 1)</f>
        <v>0</v>
      </c>
      <c r="Z26" s="2">
        <f>COUNTIFS('BA History'!$B:$B,$A$26,'BA History'!V:V, 1)</f>
        <v>2</v>
      </c>
      <c r="AA26" s="2">
        <f>COUNTIFS('BA History'!$B:$B,$A$26,'BA History'!W:W, 1)</f>
        <v>1</v>
      </c>
      <c r="AB26" s="2">
        <f>COUNTIFS('BA History'!$B:$B,$A$26,'BA History'!X:X, 1)</f>
        <v>1</v>
      </c>
      <c r="AC26" s="2">
        <f>COUNTIFS('BA History'!$B:$B,$A$26,'BA History'!Y:Y, 1)</f>
        <v>2</v>
      </c>
      <c r="AD26" s="2">
        <f>COUNTIFS('BA History'!$B:$B,$A$26,'BA History'!Z:Z, 1)</f>
        <v>6</v>
      </c>
      <c r="AE26" s="2">
        <f>COUNTIFS('BA History'!$B:$B,$A$26,'BA History'!AA:AA, 1)</f>
        <v>0</v>
      </c>
      <c r="AF26" s="2">
        <f>COUNTIFS('BA History'!$B:$B,$A$26,'BA History'!AB:AB, 1)</f>
        <v>5</v>
      </c>
      <c r="AG26" s="2">
        <f>COUNTIFS('BA History'!$B:$B,$A$26,'BA History'!AC:AC, 1)</f>
        <v>1</v>
      </c>
      <c r="AH26" s="2">
        <f>COUNTIFS('BA History'!$B:$B,$A$26,'BA History'!AD:AD, 1)</f>
        <v>2</v>
      </c>
      <c r="AI26" s="2">
        <f>COUNTIFS('BA History'!$B:$B,$A$26,'BA History'!AE:AE, 1)</f>
        <v>0</v>
      </c>
      <c r="AJ26" s="2">
        <f>COUNTIFS('BA History'!$B:$B,$A$26,'BA History'!AF:AF, 1)</f>
        <v>0</v>
      </c>
    </row>
    <row r="27" spans="1:36" x14ac:dyDescent="0.25">
      <c r="A27" s="2" t="s">
        <v>51</v>
      </c>
      <c r="B27" s="2" t="s">
        <v>79</v>
      </c>
      <c r="C27" s="34">
        <f>SUMIFS('BA History'!C:C,'BA History'!B:B,A27)</f>
        <v>21</v>
      </c>
      <c r="D27" s="66">
        <f>AVERAGEIFS('BA History'!C:C,'BA History'!B:B,A27)</f>
        <v>10.5</v>
      </c>
      <c r="E27" s="35">
        <f t="array" ref="E27">MAX(IF('BA History'!B:B=A27, 'BA History'!C:C))</f>
        <v>16</v>
      </c>
      <c r="F27" s="34">
        <f>COUNTIFS('BA History'!B:B,A27,'BA History'!D:D, 1)</f>
        <v>1</v>
      </c>
      <c r="G27" s="2">
        <f>COUNTIFS('BA History'!B:B,A27,'BA History'!D:D, 0)</f>
        <v>1</v>
      </c>
      <c r="H27" s="75">
        <f t="shared" si="9"/>
        <v>0.5</v>
      </c>
      <c r="I27" s="34">
        <f>SUMIFS('BA History'!F:F,'BA History'!B:B,A27)</f>
        <v>2</v>
      </c>
      <c r="J27" s="2">
        <f>SUMIFS('BA History'!E:E,'BA History'!B:B,A27)-I27</f>
        <v>4</v>
      </c>
      <c r="K27" s="75">
        <f t="shared" si="10"/>
        <v>0.33333333333333331</v>
      </c>
      <c r="L27" s="34">
        <f>SUMIFS('BA History'!H:H,'BA History'!B:B,A27)</f>
        <v>10</v>
      </c>
      <c r="M27" s="2">
        <f>SUMIFS('BA History'!G:G,'BA History'!B:B,A27)-L27</f>
        <v>16</v>
      </c>
      <c r="N27" s="93">
        <f t="shared" si="11"/>
        <v>0.38461538461538464</v>
      </c>
      <c r="O27" s="2">
        <f>COUNTIFS('BA History'!$B:$B,$A$27,'BA History'!K:K, 1)</f>
        <v>0</v>
      </c>
      <c r="P27" s="2">
        <f>COUNTIFS('BA History'!$B:$B,$A$27,'BA History'!L:L, 1)</f>
        <v>0</v>
      </c>
      <c r="Q27" s="2">
        <f>COUNTIFS('BA History'!$B:$B,$A$27,'BA History'!M:M, 1)</f>
        <v>0</v>
      </c>
      <c r="R27" s="2">
        <f>COUNTIFS('BA History'!$B:$B,$A$27,'BA History'!N:N, 1)</f>
        <v>0</v>
      </c>
      <c r="S27" s="2">
        <f>COUNTIFS('BA History'!$B:$B,$A$27,'BA History'!O:O, 1)</f>
        <v>0</v>
      </c>
      <c r="T27" s="2">
        <f>COUNTIFS('BA History'!$B:$B,$A$27,'BA History'!P:P, 1)</f>
        <v>0</v>
      </c>
      <c r="U27" s="2">
        <f>COUNTIFS('BA History'!$B:$B,$A$27,'BA History'!Q:Q, 1)</f>
        <v>0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0</v>
      </c>
      <c r="AA27" s="2">
        <f>COUNTIFS('BA History'!$B:$B,$A$27,'BA History'!W:W, 1)</f>
        <v>0</v>
      </c>
      <c r="AB27" s="2">
        <f>COUNTIFS('BA History'!$B:$B,$A$27,'BA History'!X:X, 1)</f>
        <v>0</v>
      </c>
      <c r="AC27" s="2">
        <f>COUNTIFS('BA History'!$B:$B,$A$27,'BA History'!Y:Y, 1)</f>
        <v>1</v>
      </c>
      <c r="AD27" s="2">
        <f>COUNTIFS('BA History'!$B:$B,$A$27,'BA History'!Z:Z, 1)</f>
        <v>0</v>
      </c>
      <c r="AE27" s="2">
        <f>COUNTIFS('BA History'!$B:$B,$A$27,'BA History'!AA:AA, 1)</f>
        <v>0</v>
      </c>
      <c r="AF27" s="2">
        <f>COUNTIFS('BA History'!$B:$B,$A$27,'BA History'!AB:AB, 1)</f>
        <v>0</v>
      </c>
      <c r="AG27" s="2">
        <f>COUNTIFS('BA History'!$B:$B,$A$27,'BA History'!AC:AC, 1)</f>
        <v>1</v>
      </c>
      <c r="AH27" s="2">
        <f>COUNTIFS('BA History'!$B:$B,$A$27,'BA History'!AD:AD, 1)</f>
        <v>0</v>
      </c>
      <c r="AI27" s="2">
        <f>COUNTIFS('BA History'!$B:$B,$A$27,'BA History'!AE:AE, 1)</f>
        <v>0</v>
      </c>
      <c r="AJ27" s="2">
        <f>COUNTIFS('BA History'!$B:$B,$A$27,'BA History'!AF:AF, 1)</f>
        <v>0</v>
      </c>
    </row>
    <row r="28" spans="1:36" x14ac:dyDescent="0.25">
      <c r="A28" s="2" t="s">
        <v>47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5.25</v>
      </c>
      <c r="E28" s="35">
        <f t="array" ref="E28">MAX(IF('BA History'!B:B=A28, 'BA History'!C:C))</f>
        <v>8</v>
      </c>
      <c r="F28" s="34">
        <f>COUNTIFS('BA History'!B:B,A28,'BA History'!D:D, 1)</f>
        <v>1</v>
      </c>
      <c r="G28" s="2">
        <f>COUNTIFS('BA History'!B:B,A28,'BA History'!D:D, 0)</f>
        <v>3</v>
      </c>
      <c r="H28" s="75">
        <f t="shared" si="9"/>
        <v>0.25</v>
      </c>
      <c r="I28" s="34">
        <f>SUMIFS('BA History'!F:F,'BA History'!B:B,A28)</f>
        <v>8</v>
      </c>
      <c r="J28" s="2">
        <f>SUMIFS('BA History'!E:E,'BA History'!B:B,A28)-I28</f>
        <v>11</v>
      </c>
      <c r="K28" s="75">
        <f t="shared" si="10"/>
        <v>0.42105263157894735</v>
      </c>
      <c r="L28" s="34">
        <f>SUMIFS('BA History'!H:H,'BA History'!B:B,A28)</f>
        <v>31</v>
      </c>
      <c r="M28" s="2">
        <f>SUMIFS('BA History'!G:G,'BA History'!B:B,A28)-L28</f>
        <v>41</v>
      </c>
      <c r="N28" s="93">
        <f t="shared" si="11"/>
        <v>0.43055555555555558</v>
      </c>
      <c r="O28" s="2">
        <f>COUNTIFS('BA History'!$B:$B,$A$28,'BA History'!K:K, 1)</f>
        <v>1</v>
      </c>
      <c r="P28" s="2">
        <f>COUNTIFS('BA History'!$B:$B,$A$28,'BA History'!L:L, 1)</f>
        <v>1</v>
      </c>
      <c r="Q28" s="2">
        <f>COUNTIFS('BA History'!$B:$B,$A$28,'BA History'!M:M, 1)</f>
        <v>0</v>
      </c>
      <c r="R28" s="2">
        <f>COUNTIFS('BA History'!$B:$B,$A$28,'BA History'!N:N, 1)</f>
        <v>1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1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1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0</v>
      </c>
      <c r="AH28" s="2">
        <f>COUNTIFS('BA History'!$B:$B,$A$28,'BA History'!AD:AD, 1)</f>
        <v>1</v>
      </c>
      <c r="AI28" s="2">
        <f>COUNTIFS('BA History'!$B:$B,$A$28,'BA History'!AE:AE, 1)</f>
        <v>0</v>
      </c>
      <c r="AJ28" s="2">
        <f>COUNTIFS('BA History'!$B:$B,$A$28,'BA History'!AF:AF, 1)</f>
        <v>1</v>
      </c>
    </row>
    <row r="29" spans="1:36" ht="15.75" x14ac:dyDescent="0.25">
      <c r="A29" s="2" t="s">
        <v>3</v>
      </c>
      <c r="B29" s="80" t="s">
        <v>60</v>
      </c>
      <c r="C29" s="34">
        <f>SUMIFS('BA History'!C:C,'BA History'!B:B,A29)</f>
        <v>157</v>
      </c>
      <c r="D29" s="66">
        <f>AVERAGEIFS('BA History'!C:C,'BA History'!B:B,A29)</f>
        <v>19.625</v>
      </c>
      <c r="E29" s="35">
        <f t="array" ref="E29">MAX(IF('BA History'!B:B=A29, 'BA History'!C:C))</f>
        <v>27</v>
      </c>
      <c r="F29" s="34">
        <f>COUNTIFS('BA History'!B:B,A29,'BA History'!D:D, 1)</f>
        <v>3</v>
      </c>
      <c r="G29" s="2">
        <f>COUNTIFS('BA History'!B:B,A29,'BA History'!D:D, 0)</f>
        <v>5</v>
      </c>
      <c r="H29" s="75">
        <f t="shared" si="9"/>
        <v>0.375</v>
      </c>
      <c r="I29" s="34">
        <f>SUMIFS('BA History'!F:F,'BA History'!B:B,A29)</f>
        <v>16</v>
      </c>
      <c r="J29" s="2">
        <f>SUMIFS('BA History'!E:E,'BA History'!B:B,A29)-I29</f>
        <v>20</v>
      </c>
      <c r="K29" s="75">
        <f t="shared" si="10"/>
        <v>0.44444444444444442</v>
      </c>
      <c r="L29" s="34">
        <f>SUMIFS('BA History'!H:H,'BA History'!B:B,A29)</f>
        <v>74</v>
      </c>
      <c r="M29" s="2">
        <f>SUMIFS('BA History'!G:G,'BA History'!B:B,A29)-L29</f>
        <v>83</v>
      </c>
      <c r="N29" s="93">
        <f t="shared" si="11"/>
        <v>0.4713375796178344</v>
      </c>
      <c r="O29" s="2">
        <f>COUNTIFS('BA History'!$B:$B,$A$29,'BA History'!K:K, 1)</f>
        <v>0</v>
      </c>
      <c r="P29" s="2">
        <f>COUNTIFS('BA History'!$B:$B,$A$29,'BA History'!L:L, 1)</f>
        <v>2</v>
      </c>
      <c r="Q29" s="2">
        <f>COUNTIFS('BA History'!$B:$B,$A$29,'BA History'!M:M, 1)</f>
        <v>2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1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1</v>
      </c>
      <c r="Z29" s="2">
        <f>COUNTIFS('BA History'!$B:$B,$A$29,'BA History'!V:V, 1)</f>
        <v>0</v>
      </c>
      <c r="AA29" s="2">
        <f>COUNTIFS('BA History'!$B:$B,$A$29,'BA History'!W:W, 1)</f>
        <v>0</v>
      </c>
      <c r="AB29" s="2">
        <f>COUNTIFS('BA History'!$B:$B,$A$29,'BA History'!X:X, 1)</f>
        <v>0</v>
      </c>
      <c r="AC29" s="2">
        <f>COUNTIFS('BA History'!$B:$B,$A$29,'BA History'!Y:Y, 1)</f>
        <v>2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3</v>
      </c>
      <c r="AH29" s="2">
        <f>COUNTIFS('BA History'!$B:$B,$A$29,'BA History'!AD:AD, 1)</f>
        <v>2</v>
      </c>
      <c r="AI29" s="2">
        <f>COUNTIFS('BA History'!$B:$B,$A$29,'BA History'!AE:AE, 1)</f>
        <v>0</v>
      </c>
      <c r="AJ29" s="2">
        <f>COUNTIFS('BA History'!$B:$B,$A$29,'BA History'!AF:AF, 1)</f>
        <v>0</v>
      </c>
    </row>
    <row r="30" spans="1:36" x14ac:dyDescent="0.25">
      <c r="A30" s="2" t="s">
        <v>15</v>
      </c>
      <c r="B30" s="2" t="s">
        <v>79</v>
      </c>
      <c r="C30" s="34">
        <f>SUMIFS('BA History'!C:C,'BA History'!B:B,A30)</f>
        <v>4</v>
      </c>
      <c r="D30" s="66">
        <f>AVERAGEIFS('BA History'!C:C,'BA History'!B:B,A30)</f>
        <v>4</v>
      </c>
      <c r="E30" s="35">
        <f t="array" ref="E30">MAX(IF('BA History'!B:B=A30, 'BA History'!C:C))</f>
        <v>4</v>
      </c>
      <c r="F30" s="34">
        <f>COUNTIFS('BA History'!B:B,A30,'BA History'!D:D, 1)</f>
        <v>0</v>
      </c>
      <c r="G30" s="2">
        <f>COUNTIFS('BA History'!B:B,A30,'BA History'!D:D, 0)</f>
        <v>1</v>
      </c>
      <c r="H30" s="75">
        <f t="shared" si="9"/>
        <v>0</v>
      </c>
      <c r="I30" s="34">
        <f>SUMIFS('BA History'!F:F,'BA History'!B:B,A30)</f>
        <v>0</v>
      </c>
      <c r="J30" s="2">
        <f>SUMIFS('BA History'!E:E,'BA History'!B:B,A30)-I30</f>
        <v>3</v>
      </c>
      <c r="K30" s="75">
        <f t="shared" si="10"/>
        <v>0</v>
      </c>
      <c r="L30" s="34">
        <f>SUMIFS('BA History'!H:H,'BA History'!B:B,A30)</f>
        <v>1</v>
      </c>
      <c r="M30" s="2">
        <f>SUMIFS('BA History'!G:G,'BA History'!B:B,A30)-L30</f>
        <v>9</v>
      </c>
      <c r="N30" s="93">
        <f t="shared" si="11"/>
        <v>0.1</v>
      </c>
      <c r="O30" s="2">
        <f>COUNTIFS('BA History'!$B:$B,$A$30,'BA History'!K:K, 1)</f>
        <v>0</v>
      </c>
      <c r="P30" s="2">
        <f>COUNTIFS('BA History'!$B:$B,$A$30,'BA History'!L:L, 1)</f>
        <v>0</v>
      </c>
      <c r="Q30" s="2">
        <f>COUNTIFS('BA History'!$B:$B,$A$30,'BA History'!M:M, 1)</f>
        <v>0</v>
      </c>
      <c r="R30" s="2">
        <f>COUNTIFS('BA History'!$B:$B,$A$30,'BA History'!N:N, 1)</f>
        <v>0</v>
      </c>
      <c r="S30" s="2">
        <f>COUNTIFS('BA History'!$B:$B,$A$30,'BA History'!O:O, 1)</f>
        <v>0</v>
      </c>
      <c r="T30" s="2">
        <f>COUNTIFS('BA History'!$B:$B,$A$30,'BA History'!P:P, 1)</f>
        <v>0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0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0</v>
      </c>
      <c r="AD30" s="2">
        <f>COUNTIFS('BA History'!$B:$B,$A$30,'BA History'!Z:Z, 1)</f>
        <v>0</v>
      </c>
      <c r="AE30" s="2">
        <f>COUNTIFS('BA History'!$B:$B,$A$30,'BA History'!AA:AA, 1)</f>
        <v>0</v>
      </c>
      <c r="AF30" s="2">
        <f>COUNTIFS('BA History'!$B:$B,$A$30,'BA History'!AB:AB, 1)</f>
        <v>0</v>
      </c>
      <c r="AG30" s="2">
        <f>COUNTIFS('BA History'!$B:$B,$A$30,'BA History'!AC:AC, 1)</f>
        <v>0</v>
      </c>
      <c r="AH30" s="2">
        <f>COUNTIFS('BA History'!$B:$B,$A$30,'BA History'!AD:AD, 1)</f>
        <v>0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145</v>
      </c>
      <c r="B31" s="2" t="s">
        <v>79</v>
      </c>
      <c r="C31" s="34">
        <f>SUMIFS('BA History'!C:C,'BA History'!B:B,A31)</f>
        <v>25</v>
      </c>
      <c r="D31" s="66">
        <f>AVERAGEIFS('BA History'!C:C,'BA History'!B:B,A31)</f>
        <v>8.3333333333333339</v>
      </c>
      <c r="E31" s="35">
        <f t="array" ref="E31">MAX(IF('BA History'!B:B=A31, 'BA History'!C:C))</f>
        <v>9</v>
      </c>
      <c r="F31" s="34">
        <f>COUNTIFS('BA History'!B:B,A31,'BA History'!D:D, 1)</f>
        <v>0</v>
      </c>
      <c r="G31" s="2">
        <f>COUNTIFS('BA History'!B:B,A31,'BA History'!D:D, 0)</f>
        <v>3</v>
      </c>
      <c r="H31" s="75">
        <f t="shared" ref="H31" si="18">F31/(F31+G31)</f>
        <v>0</v>
      </c>
      <c r="I31" s="34">
        <f>SUMIFS('BA History'!F:F,'BA History'!B:B,A31)</f>
        <v>2</v>
      </c>
      <c r="J31" s="2">
        <f>SUMIFS('BA History'!E:E,'BA History'!B:B,A31)-I31</f>
        <v>9</v>
      </c>
      <c r="K31" s="75">
        <f t="shared" ref="K31" si="19">I31/(I31+J31)</f>
        <v>0.18181818181818182</v>
      </c>
      <c r="L31" s="34">
        <f>SUMIFS('BA History'!H:H,'BA History'!B:B,A31)</f>
        <v>14</v>
      </c>
      <c r="M31" s="2">
        <f>SUMIFS('BA History'!G:G,'BA History'!B:B,A31)-L31</f>
        <v>29</v>
      </c>
      <c r="N31" s="93">
        <f t="shared" ref="N31" si="20">L31/(L31+M31)</f>
        <v>0.32558139534883723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0</v>
      </c>
      <c r="AH31" s="2">
        <f>COUNTIFS('BA History'!$B:$B,$A$31,'BA History'!AD:AD, 1)</f>
        <v>2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90</v>
      </c>
      <c r="B32" s="2" t="s">
        <v>79</v>
      </c>
      <c r="C32" s="34">
        <f>SUMIFS('BA History'!C:C,'BA History'!B:B,A32)</f>
        <v>3</v>
      </c>
      <c r="D32" s="66">
        <f>AVERAGEIFS('BA History'!C:C,'BA History'!B:B,A32)</f>
        <v>3</v>
      </c>
      <c r="E32" s="35">
        <f t="array" ref="E32">MAX(IF('BA History'!B:B=A32, 'BA History'!C:C))</f>
        <v>3</v>
      </c>
      <c r="F32" s="34">
        <f>COUNTIFS('BA History'!B:B,A32,'BA History'!D:D, 1)</f>
        <v>1</v>
      </c>
      <c r="G32" s="2">
        <f>COUNTIFS('BA History'!B:B,A32,'BA History'!D:D, 0)</f>
        <v>0</v>
      </c>
      <c r="H32" s="75">
        <f t="shared" si="9"/>
        <v>1</v>
      </c>
      <c r="I32" s="34">
        <f>SUMIFS('BA History'!F:F,'BA History'!B:B,A32)</f>
        <v>3</v>
      </c>
      <c r="J32" s="2">
        <f>SUMIFS('BA History'!E:E,'BA History'!B:B,A32)-I32</f>
        <v>0</v>
      </c>
      <c r="K32" s="75">
        <f t="shared" si="10"/>
        <v>1</v>
      </c>
      <c r="L32" s="34">
        <f>SUMIFS('BA History'!H:H,'BA History'!B:B,A32)</f>
        <v>9</v>
      </c>
      <c r="M32" s="2">
        <f>SUMIFS('BA History'!G:G,'BA History'!B:B,A32)-L32</f>
        <v>5</v>
      </c>
      <c r="N32" s="93">
        <f t="shared" si="11"/>
        <v>0.6428571428571429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1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1</v>
      </c>
      <c r="AG32" s="2">
        <f>COUNTIFS('BA History'!$B:$B,$A$32,'BA History'!AC:AC, 1)</f>
        <v>1</v>
      </c>
      <c r="AH32" s="2">
        <f>COUNTIFS('BA History'!$B:$B,$A$32,'BA History'!AD:AD, 1)</f>
        <v>0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13</v>
      </c>
      <c r="B33" s="2" t="s">
        <v>79</v>
      </c>
      <c r="C33" s="34">
        <f>SUMIFS('BA History'!C:C,'BA History'!B:B,A33)</f>
        <v>34</v>
      </c>
      <c r="D33" s="66">
        <f>AVERAGEIFS('BA History'!C:C,'BA History'!B:B,A33)</f>
        <v>8.5</v>
      </c>
      <c r="E33" s="35">
        <f t="array" ref="E33">MAX(IF('BA History'!B:B=A33, 'BA History'!C:C))</f>
        <v>12</v>
      </c>
      <c r="F33" s="34">
        <f>COUNTIFS('BA History'!B:B,A33,'BA History'!D:D, 1)</f>
        <v>2</v>
      </c>
      <c r="G33" s="2">
        <f>COUNTIFS('BA History'!B:B,A33,'BA History'!D:D, 0)</f>
        <v>2</v>
      </c>
      <c r="H33" s="75">
        <f t="shared" si="9"/>
        <v>0.5</v>
      </c>
      <c r="I33" s="34">
        <f>SUMIFS('BA History'!F:F,'BA History'!B:B,A33)</f>
        <v>10</v>
      </c>
      <c r="J33" s="2">
        <f>SUMIFS('BA History'!E:E,'BA History'!B:B,A33)-I33</f>
        <v>8</v>
      </c>
      <c r="K33" s="75">
        <f t="shared" si="10"/>
        <v>0.55555555555555558</v>
      </c>
      <c r="L33" s="34">
        <f>SUMIFS('BA History'!H:H,'BA History'!B:B,A33)</f>
        <v>36</v>
      </c>
      <c r="M33" s="2">
        <f>SUMIFS('BA History'!G:G,'BA History'!B:B,A33)-L33</f>
        <v>37</v>
      </c>
      <c r="N33" s="93">
        <f t="shared" si="11"/>
        <v>0.49315068493150682</v>
      </c>
      <c r="O33" s="2">
        <f>COUNTIFS('BA History'!$B:$B,$A$33,'BA History'!K:K, 1)</f>
        <v>1</v>
      </c>
      <c r="P33" s="2">
        <f>COUNTIFS('BA History'!$B:$B,$A$33,'BA History'!L:L, 1)</f>
        <v>0</v>
      </c>
      <c r="Q33" s="2">
        <f>COUNTIFS('BA History'!$B:$B,$A$33,'BA History'!M:M, 1)</f>
        <v>1</v>
      </c>
      <c r="R33" s="2">
        <f>COUNTIFS('BA History'!$B:$B,$A$33,'BA History'!N:N, 1)</f>
        <v>1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1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0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2</v>
      </c>
      <c r="AD33" s="2">
        <f>COUNTIFS('BA History'!$B:$B,$A$33,'BA History'!Z:Z, 1)</f>
        <v>2</v>
      </c>
      <c r="AE33" s="2">
        <f>COUNTIFS('BA History'!$B:$B,$A$33,'BA History'!AA:AA, 1)</f>
        <v>0</v>
      </c>
      <c r="AF33" s="2">
        <f>COUNTIFS('BA History'!$B:$B,$A$33,'BA History'!AB:AB, 1)</f>
        <v>0</v>
      </c>
      <c r="AG33" s="2">
        <f>COUNTIFS('BA History'!$B:$B,$A$33,'BA History'!AC:AC, 1)</f>
        <v>1</v>
      </c>
      <c r="AH33" s="2">
        <f>COUNTIFS('BA History'!$B:$B,$A$33,'BA History'!AD:AD, 1)</f>
        <v>1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ht="15.75" x14ac:dyDescent="0.25">
      <c r="A34" s="2" t="s">
        <v>2</v>
      </c>
      <c r="B34" s="80" t="s">
        <v>60</v>
      </c>
      <c r="C34" s="34">
        <f>SUMIFS('BA History'!C:C,'BA History'!B:B,A34)</f>
        <v>581</v>
      </c>
      <c r="D34" s="66">
        <f>AVERAGEIFS('BA History'!C:C,'BA History'!B:B,A34)</f>
        <v>23.24</v>
      </c>
      <c r="E34" s="35">
        <f t="array" ref="E34">MAX(IF('BA History'!B:B=A34, 'BA History'!C:C))</f>
        <v>35</v>
      </c>
      <c r="F34" s="34">
        <f>COUNTIFS('BA History'!B:B,A34,'BA History'!D:D, 1)</f>
        <v>14</v>
      </c>
      <c r="G34" s="2">
        <f>COUNTIFS('BA History'!B:B,A34,'BA History'!D:D, 0)</f>
        <v>11</v>
      </c>
      <c r="H34" s="75">
        <f t="shared" si="9"/>
        <v>0.56000000000000005</v>
      </c>
      <c r="I34" s="34">
        <f>SUMIFS('BA History'!F:F,'BA History'!B:B,A34)</f>
        <v>54</v>
      </c>
      <c r="J34" s="2">
        <f>SUMIFS('BA History'!E:E,'BA History'!B:B,A34)-I34</f>
        <v>45</v>
      </c>
      <c r="K34" s="75">
        <f t="shared" si="10"/>
        <v>0.54545454545454541</v>
      </c>
      <c r="L34" s="34">
        <f>SUMIFS('BA History'!H:H,'BA History'!B:B,A34)</f>
        <v>217</v>
      </c>
      <c r="M34" s="2">
        <f>SUMIFS('BA History'!G:G,'BA History'!B:B,A34)-L34</f>
        <v>188</v>
      </c>
      <c r="N34" s="93">
        <f t="shared" si="11"/>
        <v>0.53580246913580243</v>
      </c>
      <c r="O34" s="2">
        <f>COUNTIFS('BA History'!$B:$B,$A$34,'BA History'!K:K, 1)</f>
        <v>4</v>
      </c>
      <c r="P34" s="2">
        <f>COUNTIFS('BA History'!$B:$B,$A$34,'BA History'!L:L, 1)</f>
        <v>1</v>
      </c>
      <c r="Q34" s="2">
        <f>COUNTIFS('BA History'!$B:$B,$A$34,'BA History'!M:M, 1)</f>
        <v>4</v>
      </c>
      <c r="R34" s="2">
        <f>COUNTIFS('BA History'!$B:$B,$A$34,'BA History'!N:N, 1)</f>
        <v>6</v>
      </c>
      <c r="S34" s="2">
        <f>COUNTIFS('BA History'!$B:$B,$A$34,'BA History'!O:O, 1)</f>
        <v>1</v>
      </c>
      <c r="T34" s="2">
        <f>COUNTIFS('BA History'!$B:$B,$A$34,'BA History'!P:P, 1)</f>
        <v>1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1</v>
      </c>
      <c r="X34" s="2">
        <f>COUNTIFS('BA History'!$B:$B,$A$34,'BA History'!T:T, 1)</f>
        <v>0</v>
      </c>
      <c r="Y34" s="2">
        <f>COUNTIFS('BA History'!$B:$B,$A$34,'BA History'!U:U, 1)</f>
        <v>2</v>
      </c>
      <c r="Z34" s="2">
        <f>COUNTIFS('BA History'!$B:$B,$A$34,'BA History'!V:V, 1)</f>
        <v>2</v>
      </c>
      <c r="AA34" s="2">
        <f>COUNTIFS('BA History'!$B:$B,$A$34,'BA History'!W:W, 1)</f>
        <v>1</v>
      </c>
      <c r="AB34" s="2">
        <f>COUNTIFS('BA History'!$B:$B,$A$34,'BA History'!X:X, 1)</f>
        <v>1</v>
      </c>
      <c r="AC34" s="2">
        <f>COUNTIFS('BA History'!$B:$B,$A$34,'BA History'!Y:Y, 1)</f>
        <v>5</v>
      </c>
      <c r="AD34" s="2">
        <f>COUNTIFS('BA History'!$B:$B,$A$34,'BA History'!Z:Z, 1)</f>
        <v>7</v>
      </c>
      <c r="AE34" s="2">
        <f>COUNTIFS('BA History'!$B:$B,$A$34,'BA History'!AA:AA, 1)</f>
        <v>0</v>
      </c>
      <c r="AF34" s="2">
        <f>COUNTIFS('BA History'!$B:$B,$A$34,'BA History'!AB:AB, 1)</f>
        <v>8</v>
      </c>
      <c r="AG34" s="2">
        <f>COUNTIFS('BA History'!$B:$B,$A$34,'BA History'!AC:AC, 1)</f>
        <v>3</v>
      </c>
      <c r="AH34" s="2">
        <f>COUNTIFS('BA History'!$B:$B,$A$34,'BA History'!AD:AD, 1)</f>
        <v>3</v>
      </c>
      <c r="AI34" s="2">
        <f>COUNTIFS('BA History'!$B:$B,$A$34,'BA History'!AE:AE, 1)</f>
        <v>0</v>
      </c>
      <c r="AJ34" s="2">
        <f>COUNTIFS('BA History'!$B:$B,$A$34,'BA History'!AF:AF, 1)</f>
        <v>3</v>
      </c>
    </row>
    <row r="35" spans="1:36" x14ac:dyDescent="0.25">
      <c r="A35" s="2" t="s">
        <v>54</v>
      </c>
      <c r="B35" s="2" t="s">
        <v>79</v>
      </c>
      <c r="C35" s="34">
        <f>SUMIFS('BA History'!C:C,'BA History'!B:B,A35)</f>
        <v>850</v>
      </c>
      <c r="D35" s="66">
        <f>AVERAGEIFS('BA History'!C:C,'BA History'!B:B,A35)</f>
        <v>24.285714285714285</v>
      </c>
      <c r="E35" s="35">
        <f t="array" ref="E35">MAX(IF('BA History'!B:B=A35, 'BA History'!C:C))</f>
        <v>37</v>
      </c>
      <c r="F35" s="34">
        <f>COUNTIFS('BA History'!B:B,A35,'BA History'!D:D, 1)</f>
        <v>18</v>
      </c>
      <c r="G35" s="2">
        <f>COUNTIFS('BA History'!B:B,A35,'BA History'!D:D, 0)</f>
        <v>17</v>
      </c>
      <c r="H35" s="75">
        <f t="shared" si="9"/>
        <v>0.51428571428571423</v>
      </c>
      <c r="I35" s="34">
        <f>SUMIFS('BA History'!F:F,'BA History'!B:B,A35)</f>
        <v>73</v>
      </c>
      <c r="J35" s="2">
        <f>SUMIFS('BA History'!E:E,'BA History'!B:B,A35)-I35</f>
        <v>69</v>
      </c>
      <c r="K35" s="75">
        <f t="shared" si="10"/>
        <v>0.5140845070422535</v>
      </c>
      <c r="L35" s="34">
        <f>SUMIFS('BA History'!H:H,'BA History'!B:B,A35)</f>
        <v>296</v>
      </c>
      <c r="M35" s="2">
        <f>SUMIFS('BA History'!G:G,'BA History'!B:B,A35)-L35</f>
        <v>292</v>
      </c>
      <c r="N35" s="93">
        <f t="shared" si="11"/>
        <v>0.50340136054421769</v>
      </c>
      <c r="O35" s="2">
        <f>COUNTIFS('BA History'!$B:$B,$A$35,'BA History'!K:K, 1)</f>
        <v>4</v>
      </c>
      <c r="P35" s="2">
        <f>COUNTIFS('BA History'!$B:$B,$A$35,'BA History'!L:L, 1)</f>
        <v>7</v>
      </c>
      <c r="Q35" s="2">
        <f>COUNTIFS('BA History'!$B:$B,$A$35,'BA History'!M:M, 1)</f>
        <v>5</v>
      </c>
      <c r="R35" s="2">
        <f>COUNTIFS('BA History'!$B:$B,$A$35,'BA History'!N:N, 1)</f>
        <v>3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2</v>
      </c>
      <c r="V35" s="2">
        <f>COUNTIFS('BA History'!$B:$B,$A$35,'BA History'!R:R, 1)</f>
        <v>2</v>
      </c>
      <c r="W35" s="2">
        <f>COUNTIFS('BA History'!$B:$B,$A$35,'BA History'!S:S, 1)</f>
        <v>0</v>
      </c>
      <c r="X35" s="2">
        <f>COUNTIFS('BA History'!$B:$B,$A$35,'BA History'!T:T, 1)</f>
        <v>1</v>
      </c>
      <c r="Y35" s="2">
        <f>COUNTIFS('BA History'!$B:$B,$A$35,'BA History'!U:U, 1)</f>
        <v>3</v>
      </c>
      <c r="Z35" s="2">
        <f>COUNTIFS('BA History'!$B:$B,$A$35,'BA History'!V:V, 1)</f>
        <v>5</v>
      </c>
      <c r="AA35" s="2">
        <f>COUNTIFS('BA History'!$B:$B,$A$35,'BA History'!W:W, 1)</f>
        <v>0</v>
      </c>
      <c r="AB35" s="2">
        <f>COUNTIFS('BA History'!$B:$B,$A$35,'BA History'!X:X, 1)</f>
        <v>0</v>
      </c>
      <c r="AC35" s="2">
        <f>COUNTIFS('BA History'!$B:$B,$A$35,'BA History'!Y:Y, 1)</f>
        <v>7</v>
      </c>
      <c r="AD35" s="2">
        <f>COUNTIFS('BA History'!$B:$B,$A$35,'BA History'!Z:Z, 1)</f>
        <v>6</v>
      </c>
      <c r="AE35" s="2">
        <f>COUNTIFS('BA History'!$B:$B,$A$35,'BA History'!AA:AA, 1)</f>
        <v>2</v>
      </c>
      <c r="AF35" s="2">
        <f>COUNTIFS('BA History'!$B:$B,$A$35,'BA History'!AB:AB, 1)</f>
        <v>8</v>
      </c>
      <c r="AG35" s="2">
        <f>COUNTIFS('BA History'!$B:$B,$A$35,'BA History'!AC:AC, 1)</f>
        <v>6</v>
      </c>
      <c r="AH35" s="2">
        <f>COUNTIFS('BA History'!$B:$B,$A$35,'BA History'!AD:AD, 1)</f>
        <v>5</v>
      </c>
      <c r="AI35" s="2">
        <f>COUNTIFS('BA History'!$B:$B,$A$35,'BA History'!AE:AE, 1)</f>
        <v>2</v>
      </c>
      <c r="AJ35" s="2">
        <f>COUNTIFS('BA History'!$B:$B,$A$35,'BA History'!AF:AF, 1)</f>
        <v>3</v>
      </c>
    </row>
    <row r="36" spans="1:36" ht="15.75" x14ac:dyDescent="0.25">
      <c r="A36" s="2" t="s">
        <v>5</v>
      </c>
      <c r="B36" s="80" t="s">
        <v>60</v>
      </c>
      <c r="C36" s="34">
        <f>SUMIFS('BA History'!C:C,'BA History'!B:B,A36)</f>
        <v>276</v>
      </c>
      <c r="D36" s="66">
        <f>AVERAGEIFS('BA History'!C:C,'BA History'!B:B,A36)</f>
        <v>21.23076923076923</v>
      </c>
      <c r="E36" s="35">
        <f t="array" ref="E36">MAX(IF('BA History'!B:B=A36, 'BA History'!C:C))</f>
        <v>36</v>
      </c>
      <c r="F36" s="34">
        <f>COUNTIFS('BA History'!B:B,A36,'BA History'!D:D, 1)</f>
        <v>10</v>
      </c>
      <c r="G36" s="2">
        <f>COUNTIFS('BA History'!B:B,A36,'BA History'!D:D, 0)</f>
        <v>3</v>
      </c>
      <c r="H36" s="75">
        <f t="shared" si="9"/>
        <v>0.76923076923076927</v>
      </c>
      <c r="I36" s="34">
        <f>SUMIFS('BA History'!F:F,'BA History'!B:B,A36)</f>
        <v>31</v>
      </c>
      <c r="J36" s="2">
        <f>SUMIFS('BA History'!E:E,'BA History'!B:B,A36)-I36</f>
        <v>17</v>
      </c>
      <c r="K36" s="75">
        <f t="shared" si="10"/>
        <v>0.64583333333333337</v>
      </c>
      <c r="L36" s="34">
        <f>SUMIFS('BA History'!H:H,'BA History'!B:B,A36)</f>
        <v>118</v>
      </c>
      <c r="M36" s="2">
        <f>SUMIFS('BA History'!G:G,'BA History'!B:B,A36)-L36</f>
        <v>87</v>
      </c>
      <c r="N36" s="93">
        <f t="shared" si="11"/>
        <v>0.57560975609756093</v>
      </c>
      <c r="O36" s="2">
        <f>COUNTIFS('BA History'!$B:$B,$A$36,'BA History'!K:K, 1)</f>
        <v>1</v>
      </c>
      <c r="P36" s="2">
        <f>COUNTIFS('BA History'!$B:$B,$A$36,'BA History'!L:L, 1)</f>
        <v>3</v>
      </c>
      <c r="Q36" s="2">
        <f>COUNTIFS('BA History'!$B:$B,$A$36,'BA History'!M:M, 1)</f>
        <v>1</v>
      </c>
      <c r="R36" s="2">
        <f>COUNTIFS('BA History'!$B:$B,$A$36,'BA History'!N:N, 1)</f>
        <v>3</v>
      </c>
      <c r="S36" s="2">
        <f>COUNTIFS('BA History'!$B:$B,$A$36,'BA History'!O:O, 1)</f>
        <v>1</v>
      </c>
      <c r="T36" s="2">
        <f>COUNTIFS('BA History'!$B:$B,$A$36,'BA History'!P:P, 1)</f>
        <v>0</v>
      </c>
      <c r="U36" s="2">
        <f>COUNTIFS('BA History'!$B:$B,$A$36,'BA History'!Q:Q, 1)</f>
        <v>1</v>
      </c>
      <c r="V36" s="2">
        <f>COUNTIFS('BA History'!$B:$B,$A$36,'BA History'!R:R, 1)</f>
        <v>0</v>
      </c>
      <c r="W36" s="2">
        <f>COUNTIFS('BA History'!$B:$B,$A$36,'BA History'!S:S, 1)</f>
        <v>0</v>
      </c>
      <c r="X36" s="2">
        <f>COUNTIFS('BA History'!$B:$B,$A$36,'BA History'!T:T, 1)</f>
        <v>0</v>
      </c>
      <c r="Y36" s="2">
        <f>COUNTIFS('BA History'!$B:$B,$A$36,'BA History'!U:U, 1)</f>
        <v>1</v>
      </c>
      <c r="Z36" s="2">
        <f>COUNTIFS('BA History'!$B:$B,$A$36,'BA History'!V:V, 1)</f>
        <v>2</v>
      </c>
      <c r="AA36" s="2">
        <f>COUNTIFS('BA History'!$B:$B,$A$36,'BA History'!W:W, 1)</f>
        <v>1</v>
      </c>
      <c r="AB36" s="2">
        <f>COUNTIFS('BA History'!$B:$B,$A$36,'BA History'!X:X, 1)</f>
        <v>1</v>
      </c>
      <c r="AC36" s="2">
        <f>COUNTIFS('BA History'!$B:$B,$A$36,'BA History'!Y:Y, 1)</f>
        <v>2</v>
      </c>
      <c r="AD36" s="2">
        <f>COUNTIFS('BA History'!$B:$B,$A$36,'BA History'!Z:Z, 1)</f>
        <v>1</v>
      </c>
      <c r="AE36" s="2">
        <f>COUNTIFS('BA History'!$B:$B,$A$36,'BA History'!AA:AA, 1)</f>
        <v>2</v>
      </c>
      <c r="AF36" s="2">
        <f>COUNTIFS('BA History'!$B:$B,$A$36,'BA History'!AB:AB, 1)</f>
        <v>3</v>
      </c>
      <c r="AG36" s="2">
        <f>COUNTIFS('BA History'!$B:$B,$A$36,'BA History'!AC:AC, 1)</f>
        <v>4</v>
      </c>
      <c r="AH36" s="2">
        <f>COUNTIFS('BA History'!$B:$B,$A$36,'BA History'!AD:AD, 1)</f>
        <v>3</v>
      </c>
      <c r="AI36" s="2">
        <f>COUNTIFS('BA History'!$B:$B,$A$36,'BA History'!AE:AE, 1)</f>
        <v>0</v>
      </c>
      <c r="AJ36" s="2">
        <f>COUNTIFS('BA History'!$B:$B,$A$36,'BA History'!AF:AF, 1)</f>
        <v>1</v>
      </c>
    </row>
    <row r="37" spans="1:36" x14ac:dyDescent="0.25">
      <c r="A37" s="2" t="s">
        <v>38</v>
      </c>
      <c r="B37" s="2" t="s">
        <v>79</v>
      </c>
      <c r="C37" s="34">
        <f>SUMIFS('BA History'!C:C,'BA History'!B:B,A37)</f>
        <v>12</v>
      </c>
      <c r="D37" s="66">
        <f>AVERAGEIFS('BA History'!C:C,'BA History'!B:B,A37)</f>
        <v>3</v>
      </c>
      <c r="E37" s="35">
        <f t="array" ref="E37">MAX(IF('BA History'!B:B=A37, 'BA History'!C:C))</f>
        <v>4</v>
      </c>
      <c r="F37" s="34">
        <f>COUNTIFS('BA History'!B:B,A37,'BA History'!D:D, 1)</f>
        <v>2</v>
      </c>
      <c r="G37" s="2">
        <f>COUNTIFS('BA History'!B:B,A37,'BA History'!D:D, 0)</f>
        <v>2</v>
      </c>
      <c r="H37" s="75">
        <f t="shared" si="9"/>
        <v>0.5</v>
      </c>
      <c r="I37" s="34">
        <f>SUMIFS('BA History'!F:F,'BA History'!B:B,A37)</f>
        <v>8</v>
      </c>
      <c r="J37" s="2">
        <f>SUMIFS('BA History'!E:E,'BA History'!B:B,A37)-I37</f>
        <v>9</v>
      </c>
      <c r="K37" s="75">
        <f t="shared" si="10"/>
        <v>0.47058823529411764</v>
      </c>
      <c r="L37" s="34">
        <f>SUMIFS('BA History'!H:H,'BA History'!B:B,A37)</f>
        <v>32</v>
      </c>
      <c r="M37" s="2">
        <f>SUMIFS('BA History'!G:G,'BA History'!B:B,A37)-L37</f>
        <v>38</v>
      </c>
      <c r="N37" s="93">
        <f t="shared" si="11"/>
        <v>0.45714285714285713</v>
      </c>
      <c r="O37" s="2">
        <f>COUNTIFS('BA History'!$B:$B,$A$37,'BA History'!K:K, 1)</f>
        <v>1</v>
      </c>
      <c r="P37" s="2">
        <f>COUNTIFS('BA History'!$B:$B,$A$37,'BA History'!L:L, 1)</f>
        <v>1</v>
      </c>
      <c r="Q37" s="2">
        <f>COUNTIFS('BA History'!$B:$B,$A$37,'BA History'!M:M, 1)</f>
        <v>1</v>
      </c>
      <c r="R37" s="2">
        <f>COUNTIFS('BA History'!$B:$B,$A$37,'BA History'!N:N, 1)</f>
        <v>0</v>
      </c>
      <c r="S37" s="2">
        <f>COUNTIFS('BA History'!$B:$B,$A$37,'BA History'!O:O, 1)</f>
        <v>0</v>
      </c>
      <c r="T37" s="2">
        <f>COUNTIFS('BA History'!$B:$B,$A$37,'BA History'!P:P, 1)</f>
        <v>0</v>
      </c>
      <c r="U37" s="2">
        <f>COUNTIFS('BA History'!$B:$B,$A$37,'BA History'!Q:Q, 1)</f>
        <v>0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0</v>
      </c>
      <c r="Z37" s="2">
        <f>COUNTIFS('BA History'!$B:$B,$A$37,'BA History'!V:V, 1)</f>
        <v>2</v>
      </c>
      <c r="AA37" s="2">
        <f>COUNTIFS('BA History'!$B:$B,$A$37,'BA History'!W:W, 1)</f>
        <v>0</v>
      </c>
      <c r="AB37" s="2">
        <f>COUNTIFS('BA History'!$B:$B,$A$37,'BA History'!X:X, 1)</f>
        <v>0</v>
      </c>
      <c r="AC37" s="2">
        <f>COUNTIFS('BA History'!$B:$B,$A$37,'BA History'!Y:Y, 1)</f>
        <v>1</v>
      </c>
      <c r="AD37" s="2">
        <f>COUNTIFS('BA History'!$B:$B,$A$37,'BA History'!Z:Z, 1)</f>
        <v>0</v>
      </c>
      <c r="AE37" s="2">
        <f>COUNTIFS('BA History'!$B:$B,$A$37,'BA History'!AA:AA, 1)</f>
        <v>0</v>
      </c>
      <c r="AF37" s="2">
        <f>COUNTIFS('BA History'!$B:$B,$A$37,'BA History'!AB:AB, 1)</f>
        <v>1</v>
      </c>
      <c r="AG37" s="2">
        <f>COUNTIFS('BA History'!$B:$B,$A$37,'BA History'!AC:AC, 1)</f>
        <v>0</v>
      </c>
      <c r="AH37" s="2">
        <f>COUNTIFS('BA History'!$B:$B,$A$37,'BA History'!AD:AD, 1)</f>
        <v>1</v>
      </c>
      <c r="AI37" s="2">
        <f>COUNTIFS('BA History'!$B:$B,$A$37,'BA History'!AE:AE, 1)</f>
        <v>0</v>
      </c>
      <c r="AJ37" s="2">
        <f>COUNTIFS('BA History'!$B:$B,$A$37,'BA History'!AF:AF, 1)</f>
        <v>0</v>
      </c>
    </row>
    <row r="38" spans="1:36" x14ac:dyDescent="0.25">
      <c r="A38" s="2" t="s">
        <v>142</v>
      </c>
      <c r="B38" s="2" t="s">
        <v>79</v>
      </c>
      <c r="C38" s="34">
        <f>SUMIFS('BA History'!C:C,'BA History'!B:B,A38)</f>
        <v>4</v>
      </c>
      <c r="D38" s="66">
        <f>AVERAGEIFS('BA History'!C:C,'BA History'!B:B,A38)</f>
        <v>4</v>
      </c>
      <c r="E38" s="35">
        <f t="array" ref="E38">MAX(IF('BA History'!B:B=A38, 'BA History'!C:C))</f>
        <v>4</v>
      </c>
      <c r="F38" s="34">
        <f>COUNTIFS('BA History'!B:B,A38,'BA History'!D:D, 1)</f>
        <v>1</v>
      </c>
      <c r="G38" s="2">
        <f>COUNTIFS('BA History'!B:B,A38,'BA History'!D:D, 0)</f>
        <v>0</v>
      </c>
      <c r="H38" s="75">
        <f t="shared" ref="H38" si="21">F38/(F38+G38)</f>
        <v>1</v>
      </c>
      <c r="I38" s="34">
        <f>SUMIFS('BA History'!F:F,'BA History'!B:B,A38)</f>
        <v>3</v>
      </c>
      <c r="J38" s="2">
        <f>SUMIFS('BA History'!E:E,'BA History'!B:B,A38)-I38</f>
        <v>1</v>
      </c>
      <c r="K38" s="75">
        <f t="shared" ref="K38" si="22">I38/(I38+J38)</f>
        <v>0.75</v>
      </c>
      <c r="L38" s="34">
        <f>SUMIFS('BA History'!H:H,'BA History'!B:B,A38)</f>
        <v>9</v>
      </c>
      <c r="M38" s="2">
        <f>SUMIFS('BA History'!G:G,'BA History'!B:B,A38)-L38</f>
        <v>5</v>
      </c>
      <c r="N38" s="93">
        <f t="shared" ref="N38" si="23">L38/(L38+M38)</f>
        <v>0.6428571428571429</v>
      </c>
      <c r="O38" s="2">
        <f>COUNTIFS('BA History'!$B:$B,$A$38,'BA History'!K:K, 1)</f>
        <v>0</v>
      </c>
      <c r="P38" s="2">
        <f>COUNTIFS('BA History'!$B:$B,$A$38,'BA History'!L:L, 1)</f>
        <v>1</v>
      </c>
      <c r="Q38" s="2">
        <f>COUNTIFS('BA History'!$B:$B,$A$38,'BA History'!M:M, 1)</f>
        <v>0</v>
      </c>
      <c r="R38" s="2">
        <f>COUNTIFS('BA History'!$B:$B,$A$38,'BA History'!N:N, 1)</f>
        <v>0</v>
      </c>
      <c r="S38" s="2">
        <f>COUNTIFS('BA History'!$B:$B,$A$38,'BA History'!O:O, 1)</f>
        <v>0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0</v>
      </c>
      <c r="Z38" s="2">
        <f>COUNTIFS('BA History'!$B:$B,$A$38,'BA History'!V:V, 1)</f>
        <v>1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0</v>
      </c>
      <c r="AD38" s="2">
        <f>COUNTIFS('BA History'!$B:$B,$A$38,'BA History'!Z:Z, 1)</f>
        <v>0</v>
      </c>
      <c r="AE38" s="2">
        <f>COUNTIFS('BA History'!$B:$B,$A$38,'BA History'!AA:AA, 1)</f>
        <v>0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0</v>
      </c>
      <c r="AI38" s="2">
        <f>COUNTIFS('BA History'!$B:$B,$A$38,'BA History'!AE:AE, 1)</f>
        <v>0</v>
      </c>
      <c r="AJ38" s="2">
        <f>COUNTIFS('BA History'!$B:$B,$A$38,'BA History'!AF:AF, 1)</f>
        <v>0</v>
      </c>
    </row>
    <row r="39" spans="1:36" x14ac:dyDescent="0.25">
      <c r="A39" s="2" t="s">
        <v>40</v>
      </c>
      <c r="B39" s="2" t="s">
        <v>79</v>
      </c>
      <c r="C39" s="34">
        <f>SUMIFS('BA History'!C:C,'BA History'!B:B,A39)</f>
        <v>530</v>
      </c>
      <c r="D39" s="66">
        <f>AVERAGEIFS('BA History'!C:C,'BA History'!B:B,A39)</f>
        <v>17.096774193548388</v>
      </c>
      <c r="E39" s="35">
        <f t="array" ref="E39">MAX(IF('BA History'!B:B=A39, 'BA History'!C:C))</f>
        <v>29</v>
      </c>
      <c r="F39" s="34">
        <f>COUNTIFS('BA History'!B:B,A39,'BA History'!D:D, 1)</f>
        <v>16</v>
      </c>
      <c r="G39" s="2">
        <f>COUNTIFS('BA History'!B:B,A39,'BA History'!D:D, 0)</f>
        <v>15</v>
      </c>
      <c r="H39" s="75">
        <f t="shared" si="9"/>
        <v>0.5161290322580645</v>
      </c>
      <c r="I39" s="34">
        <f>SUMIFS('BA History'!F:F,'BA History'!B:B,A39)</f>
        <v>66</v>
      </c>
      <c r="J39" s="2">
        <f>SUMIFS('BA History'!E:E,'BA History'!B:B,A39)-I39</f>
        <v>61</v>
      </c>
      <c r="K39" s="75">
        <f t="shared" si="10"/>
        <v>0.51968503937007871</v>
      </c>
      <c r="L39" s="34">
        <f>SUMIFS('BA History'!H:H,'BA History'!B:B,A39)</f>
        <v>263</v>
      </c>
      <c r="M39" s="2">
        <f>SUMIFS('BA History'!G:G,'BA History'!B:B,A39)-L39</f>
        <v>254</v>
      </c>
      <c r="N39" s="93">
        <f t="shared" si="11"/>
        <v>0.50870406189555128</v>
      </c>
      <c r="O39" s="2">
        <f>COUNTIFS('BA History'!$B:$B,$A$39,'BA History'!K:K, 1)</f>
        <v>2</v>
      </c>
      <c r="P39" s="2">
        <f>COUNTIFS('BA History'!$B:$B,$A$39,'BA History'!L:L, 1)</f>
        <v>5</v>
      </c>
      <c r="Q39" s="2">
        <f>COUNTIFS('BA History'!$B:$B,$A$39,'BA History'!M:M, 1)</f>
        <v>7</v>
      </c>
      <c r="R39" s="2">
        <f>COUNTIFS('BA History'!$B:$B,$A$39,'BA History'!N:N, 1)</f>
        <v>10</v>
      </c>
      <c r="S39" s="2">
        <f>COUNTIFS('BA History'!$B:$B,$A$39,'BA History'!O:O, 1)</f>
        <v>2</v>
      </c>
      <c r="T39" s="2">
        <f>COUNTIFS('BA History'!$B:$B,$A$39,'BA History'!P:P, 1)</f>
        <v>1</v>
      </c>
      <c r="U39" s="2">
        <f>COUNTIFS('BA History'!$B:$B,$A$39,'BA History'!Q:Q, 1)</f>
        <v>2</v>
      </c>
      <c r="V39" s="2">
        <f>COUNTIFS('BA History'!$B:$B,$A$39,'BA History'!R:R, 1)</f>
        <v>2</v>
      </c>
      <c r="W39" s="2">
        <f>COUNTIFS('BA History'!$B:$B,$A$39,'BA History'!S:S, 1)</f>
        <v>1</v>
      </c>
      <c r="X39" s="2">
        <f>COUNTIFS('BA History'!$B:$B,$A$39,'BA History'!T:T, 1)</f>
        <v>0</v>
      </c>
      <c r="Y39" s="2">
        <f>COUNTIFS('BA History'!$B:$B,$A$39,'BA History'!U:U, 1)</f>
        <v>2</v>
      </c>
      <c r="Z39" s="2">
        <f>COUNTIFS('BA History'!$B:$B,$A$39,'BA History'!V:V, 1)</f>
        <v>4</v>
      </c>
      <c r="AA39" s="2">
        <f>COUNTIFS('BA History'!$B:$B,$A$39,'BA History'!W:W, 1)</f>
        <v>1</v>
      </c>
      <c r="AB39" s="2">
        <f>COUNTIFS('BA History'!$B:$B,$A$39,'BA History'!X:X, 1)</f>
        <v>1</v>
      </c>
      <c r="AC39" s="2">
        <f>COUNTIFS('BA History'!$B:$B,$A$39,'BA History'!Y:Y, 1)</f>
        <v>3</v>
      </c>
      <c r="AD39" s="2">
        <f>COUNTIFS('BA History'!$B:$B,$A$39,'BA History'!Z:Z, 1)</f>
        <v>3</v>
      </c>
      <c r="AE39" s="2">
        <f>COUNTIFS('BA History'!$B:$B,$A$39,'BA History'!AA:AA, 1)</f>
        <v>1</v>
      </c>
      <c r="AF39" s="2">
        <f>COUNTIFS('BA History'!$B:$B,$A$39,'BA History'!AB:AB, 1)</f>
        <v>2</v>
      </c>
      <c r="AG39" s="2">
        <f>COUNTIFS('BA History'!$B:$B,$A$39,'BA History'!AC:AC, 1)</f>
        <v>4</v>
      </c>
      <c r="AH39" s="2">
        <f>COUNTIFS('BA History'!$B:$B,$A$39,'BA History'!AD:AD, 1)</f>
        <v>10</v>
      </c>
      <c r="AI39" s="2">
        <f>COUNTIFS('BA History'!$B:$B,$A$39,'BA History'!AE:AE, 1)</f>
        <v>0</v>
      </c>
      <c r="AJ39" s="2">
        <f>COUNTIFS('BA History'!$B:$B,$A$39,'BA History'!AF:AF, 1)</f>
        <v>3</v>
      </c>
    </row>
    <row r="40" spans="1:36" x14ac:dyDescent="0.25">
      <c r="A40" s="2" t="s">
        <v>17</v>
      </c>
      <c r="B40" s="2" t="s">
        <v>79</v>
      </c>
      <c r="C40" s="34">
        <f>SUMIFS('BA History'!C:C,'BA History'!B:B,A40)</f>
        <v>465</v>
      </c>
      <c r="D40" s="66">
        <f>AVERAGEIFS('BA History'!C:C,'BA History'!B:B,A40)</f>
        <v>21.136363636363637</v>
      </c>
      <c r="E40" s="35">
        <f t="array" ref="E40">MAX(IF('BA History'!B:B=A40, 'BA History'!C:C))</f>
        <v>32</v>
      </c>
      <c r="F40" s="34">
        <f>COUNTIFS('BA History'!B:B,A40,'BA History'!D:D, 1)</f>
        <v>8</v>
      </c>
      <c r="G40" s="2">
        <f>COUNTIFS('BA History'!B:B,A40,'BA History'!D:D, 0)</f>
        <v>14</v>
      </c>
      <c r="H40" s="75">
        <f t="shared" si="9"/>
        <v>0.36363636363636365</v>
      </c>
      <c r="I40" s="34">
        <f>SUMIFS('BA History'!F:F,'BA History'!B:B,A40)</f>
        <v>39</v>
      </c>
      <c r="J40" s="2">
        <f>SUMIFS('BA History'!E:E,'BA History'!B:B,A40)-I40</f>
        <v>50</v>
      </c>
      <c r="K40" s="75">
        <f t="shared" si="10"/>
        <v>0.43820224719101125</v>
      </c>
      <c r="L40" s="34">
        <f>SUMIFS('BA History'!H:H,'BA History'!B:B,A40)</f>
        <v>169</v>
      </c>
      <c r="M40" s="2">
        <f>SUMIFS('BA History'!G:G,'BA History'!B:B,A40)-L40</f>
        <v>196</v>
      </c>
      <c r="N40" s="93">
        <f t="shared" si="11"/>
        <v>0.46301369863013697</v>
      </c>
      <c r="O40" s="2">
        <f>COUNTIFS('BA History'!$B:$B,$A$40,'BA History'!K:K, 1)</f>
        <v>3</v>
      </c>
      <c r="P40" s="2">
        <f>COUNTIFS('BA History'!$B:$B,$A$40,'BA History'!L:L, 1)</f>
        <v>1</v>
      </c>
      <c r="Q40" s="2">
        <f>COUNTIFS('BA History'!$B:$B,$A$40,'BA History'!M:M, 1)</f>
        <v>3</v>
      </c>
      <c r="R40" s="2">
        <f>COUNTIFS('BA History'!$B:$B,$A$40,'BA History'!N:N, 1)</f>
        <v>5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1</v>
      </c>
      <c r="W40" s="2">
        <f>COUNTIFS('BA History'!$B:$B,$A$40,'BA History'!S:S, 1)</f>
        <v>0</v>
      </c>
      <c r="X40" s="2">
        <f>COUNTIFS('BA History'!$B:$B,$A$40,'BA History'!T:T, 1)</f>
        <v>0</v>
      </c>
      <c r="Y40" s="2">
        <f>COUNTIFS('BA History'!$B:$B,$A$40,'BA History'!U:U, 1)</f>
        <v>2</v>
      </c>
      <c r="Z40" s="2">
        <f>COUNTIFS('BA History'!$B:$B,$A$40,'BA History'!V:V, 1)</f>
        <v>2</v>
      </c>
      <c r="AA40" s="2">
        <f>COUNTIFS('BA History'!$B:$B,$A$40,'BA History'!W:W, 1)</f>
        <v>0</v>
      </c>
      <c r="AB40" s="2">
        <f>COUNTIFS('BA History'!$B:$B,$A$40,'BA History'!X:X, 1)</f>
        <v>0</v>
      </c>
      <c r="AC40" s="2">
        <f>COUNTIFS('BA History'!$B:$B,$A$40,'BA History'!Y:Y, 1)</f>
        <v>1</v>
      </c>
      <c r="AD40" s="2">
        <f>COUNTIFS('BA History'!$B:$B,$A$40,'BA History'!Z:Z, 1)</f>
        <v>5</v>
      </c>
      <c r="AE40" s="2">
        <f>COUNTIFS('BA History'!$B:$B,$A$40,'BA History'!AA:AA, 1)</f>
        <v>1</v>
      </c>
      <c r="AF40" s="2">
        <f>COUNTIFS('BA History'!$B:$B,$A$40,'BA History'!AB:AB, 1)</f>
        <v>4</v>
      </c>
      <c r="AG40" s="2">
        <f>COUNTIFS('BA History'!$B:$B,$A$40,'BA History'!AC:AC, 1)</f>
        <v>5</v>
      </c>
      <c r="AH40" s="2">
        <f>COUNTIFS('BA History'!$B:$B,$A$40,'BA History'!AD:AD, 1)</f>
        <v>4</v>
      </c>
      <c r="AI40" s="2">
        <f>COUNTIFS('BA History'!$B:$B,$A$40,'BA History'!AE:AE, 1)</f>
        <v>1</v>
      </c>
      <c r="AJ40" s="2">
        <f>COUNTIFS('BA History'!$B:$B,$A$40,'BA History'!AF:AF, 1)</f>
        <v>1</v>
      </c>
    </row>
    <row r="41" spans="1:36" ht="14.25" customHeight="1" x14ac:dyDescent="0.25">
      <c r="A41" s="1" t="s">
        <v>105</v>
      </c>
      <c r="B41" s="2" t="s">
        <v>79</v>
      </c>
      <c r="C41" s="34">
        <f>SUMIFS('BA History'!C:C,'BA History'!B:B,A41)</f>
        <v>12</v>
      </c>
      <c r="D41" s="66">
        <f>AVERAGEIFS('BA History'!C:C,'BA History'!B:B,A41)</f>
        <v>12</v>
      </c>
      <c r="E41" s="35">
        <f t="array" ref="E41">MAX(IF('BA History'!B:B=A41, 'BA History'!C:C))</f>
        <v>12</v>
      </c>
      <c r="F41" s="34">
        <f>COUNTIFS('BA History'!B:B,A41,'BA History'!D:D, 1)</f>
        <v>1</v>
      </c>
      <c r="G41" s="2">
        <f>COUNTIFS('BA History'!B:B,A41,'BA History'!D:D, 0)</f>
        <v>0</v>
      </c>
      <c r="H41" s="75">
        <f t="shared" si="9"/>
        <v>1</v>
      </c>
      <c r="I41" s="34">
        <f>SUMIFS('BA History'!F:F,'BA History'!B:B,A41)</f>
        <v>3</v>
      </c>
      <c r="J41" s="2">
        <f>SUMIFS('BA History'!E:E,'BA History'!B:B,A41)-I41</f>
        <v>2</v>
      </c>
      <c r="K41" s="75">
        <f t="shared" si="10"/>
        <v>0.6</v>
      </c>
      <c r="L41" s="34">
        <f>SUMIFS('BA History'!H:H,'BA History'!B:B,A41)</f>
        <v>9</v>
      </c>
      <c r="M41" s="2">
        <f>SUMIFS('BA History'!G:G,'BA History'!B:B,A41)-L41</f>
        <v>10</v>
      </c>
      <c r="N41" s="93">
        <f t="shared" si="11"/>
        <v>0.47368421052631576</v>
      </c>
      <c r="O41" s="2">
        <f>COUNTIFS('BA History'!$B:$B,$A$41,'BA History'!K:K, 1)</f>
        <v>0</v>
      </c>
      <c r="P41" s="2">
        <f>COUNTIFS('BA History'!$B:$B,$A$41,'BA History'!L:L, 1)</f>
        <v>0</v>
      </c>
      <c r="Q41" s="2">
        <f>COUNTIFS('BA History'!$B:$B,$A$41,'BA History'!M:M, 1)</f>
        <v>0</v>
      </c>
      <c r="R41" s="2">
        <f>COUNTIFS('BA History'!$B:$B,$A$41,'BA History'!N:N, 1)</f>
        <v>0</v>
      </c>
      <c r="S41" s="2">
        <f>COUNTIFS('BA History'!$B:$B,$A$41,'BA History'!O:O, 1)</f>
        <v>0</v>
      </c>
      <c r="T41" s="2">
        <f>COUNTIFS('BA History'!$B:$B,$A$41,'BA History'!P:P, 1)</f>
        <v>0</v>
      </c>
      <c r="U41" s="2">
        <f>COUNTIFS('BA History'!$B:$B,$A$41,'BA History'!Q:Q, 1)</f>
        <v>0</v>
      </c>
      <c r="V41" s="2">
        <f>COUNTIFS('BA History'!$B:$B,$A$41,'BA History'!R:R, 1)</f>
        <v>0</v>
      </c>
      <c r="W41" s="2">
        <f>COUNTIFS('BA History'!$B:$B,$A$41,'BA History'!S:S, 1)</f>
        <v>0</v>
      </c>
      <c r="X41" s="2">
        <f>COUNTIFS('BA History'!$B:$B,$A$41,'BA History'!T:T, 1)</f>
        <v>0</v>
      </c>
      <c r="Y41" s="2">
        <f>COUNTIFS('BA History'!$B:$B,$A$41,'BA History'!U:U, 1)</f>
        <v>1</v>
      </c>
      <c r="Z41" s="2">
        <f>COUNTIFS('BA History'!$B:$B,$A$41,'BA History'!V:V, 1)</f>
        <v>0</v>
      </c>
      <c r="AA41" s="2">
        <f>COUNTIFS('BA History'!$B:$B,$A$41,'BA History'!W:W, 1)</f>
        <v>0</v>
      </c>
      <c r="AB41" s="2">
        <f>COUNTIFS('BA History'!$B:$B,$A$41,'BA History'!X:X, 1)</f>
        <v>0</v>
      </c>
      <c r="AC41" s="2">
        <f>COUNTIFS('BA History'!$B:$B,$A$41,'BA History'!Y:Y, 1)</f>
        <v>0</v>
      </c>
      <c r="AD41" s="2">
        <f>COUNTIFS('BA History'!$B:$B,$A$41,'BA History'!Z:Z, 1)</f>
        <v>0</v>
      </c>
      <c r="AE41" s="2">
        <f>COUNTIFS('BA History'!$B:$B,$A$41,'BA History'!AA:AA, 1)</f>
        <v>0</v>
      </c>
      <c r="AF41" s="2">
        <f>COUNTIFS('BA History'!$B:$B,$A$41,'BA History'!AB:AB, 1)</f>
        <v>1</v>
      </c>
      <c r="AG41" s="2">
        <f>COUNTIFS('BA History'!$B:$B,$A$41,'BA History'!AC:AC, 1)</f>
        <v>1</v>
      </c>
      <c r="AH41" s="2">
        <f>COUNTIFS('BA History'!$B:$B,$A$41,'BA History'!AD:AD, 1)</f>
        <v>0</v>
      </c>
      <c r="AI41" s="2">
        <f>COUNTIFS('BA History'!$B:$B,$A$41,'BA History'!AE:AE, 1)</f>
        <v>0</v>
      </c>
      <c r="AJ41" s="2">
        <f>COUNTIFS('BA History'!$B:$B,$A$41,'BA History'!AF:AF, 1)</f>
        <v>0</v>
      </c>
    </row>
    <row r="42" spans="1:36" ht="14.25" customHeight="1" x14ac:dyDescent="0.25">
      <c r="A42" s="1" t="s">
        <v>146</v>
      </c>
      <c r="B42" s="2" t="s">
        <v>79</v>
      </c>
      <c r="C42" s="34">
        <f>SUMIFS('BA History'!C:C,'BA History'!B:B,A42)</f>
        <v>4</v>
      </c>
      <c r="D42" s="66">
        <f>AVERAGEIFS('BA History'!C:C,'BA History'!B:B,A42)</f>
        <v>4</v>
      </c>
      <c r="E42" s="35">
        <f t="array" ref="E42">MAX(IF('BA History'!B:B=A42, 'BA History'!C:C))</f>
        <v>4</v>
      </c>
      <c r="F42" s="34">
        <f>COUNTIFS('BA History'!B:B,A42,'BA History'!D:D, 1)</f>
        <v>0</v>
      </c>
      <c r="G42" s="2">
        <f>COUNTIFS('BA History'!B:B,A42,'BA History'!D:D, 0)</f>
        <v>1</v>
      </c>
      <c r="H42" s="75">
        <f t="shared" si="9"/>
        <v>0</v>
      </c>
      <c r="I42" s="34">
        <f>SUMIFS('BA History'!F:F,'BA History'!B:B,A42)</f>
        <v>1</v>
      </c>
      <c r="J42" s="2">
        <f>SUMIFS('BA History'!E:E,'BA History'!B:B,A42)-I42</f>
        <v>3</v>
      </c>
      <c r="K42" s="75">
        <f t="shared" ref="K42" si="24">I42/(I42+J42)</f>
        <v>0.25</v>
      </c>
      <c r="L42" s="34">
        <f>SUMIFS('BA History'!H:H,'BA History'!B:B,A42)</f>
        <v>7</v>
      </c>
      <c r="M42" s="2">
        <f>SUMIFS('BA History'!G:G,'BA History'!B:B,A42)-L42</f>
        <v>9</v>
      </c>
      <c r="N42" s="93">
        <f t="shared" ref="N42" si="25">L42/(L42+M42)</f>
        <v>0.4375</v>
      </c>
      <c r="O42" s="2">
        <f>COUNTIFS('BA History'!$B:$B,$A$42,'BA History'!K:K, 1)</f>
        <v>0</v>
      </c>
      <c r="P42" s="2">
        <f>COUNTIFS('BA History'!$B:$B,$A$42,'BA History'!L:L, 1)</f>
        <v>0</v>
      </c>
      <c r="Q42" s="2">
        <f>COUNTIFS('BA History'!$B:$B,$A$42,'BA History'!M:M, 1)</f>
        <v>0</v>
      </c>
      <c r="R42" s="2">
        <f>COUNTIFS('BA History'!$B:$B,$A$42,'BA History'!N:N, 1)</f>
        <v>0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0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0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1</v>
      </c>
      <c r="AD42" s="2">
        <f>COUNTIFS('BA History'!$B:$B,$A$42,'BA History'!Z:Z, 1)</f>
        <v>0</v>
      </c>
      <c r="AE42" s="2">
        <f>COUNTIFS('BA History'!$B:$B,$A$42,'BA History'!AA:AA, 1)</f>
        <v>0</v>
      </c>
      <c r="AF42" s="2">
        <f>COUNTIFS('BA History'!$B:$B,$A$42,'BA History'!AB:AB, 1)</f>
        <v>0</v>
      </c>
      <c r="AG42" s="2">
        <f>COUNTIFS('BA History'!$B:$B,$A$42,'BA History'!AC:AC, 1)</f>
        <v>0</v>
      </c>
      <c r="AH42" s="2">
        <f>COUNTIFS('BA History'!$B:$B,$A$42,'BA History'!AD:AD, 1)</f>
        <v>0</v>
      </c>
      <c r="AI42" s="2">
        <f>COUNTIFS('BA History'!$B:$B,$A$42,'BA History'!AE:AE, 1)</f>
        <v>0</v>
      </c>
      <c r="AJ42" s="2">
        <f>COUNTIFS('BA History'!$B:$B,$A$42,'BA History'!AF:AF, 1)</f>
        <v>0</v>
      </c>
    </row>
    <row r="43" spans="1:36" ht="14.25" customHeight="1" x14ac:dyDescent="0.25">
      <c r="A43" s="1" t="s">
        <v>143</v>
      </c>
      <c r="B43" s="2" t="s">
        <v>79</v>
      </c>
      <c r="C43" s="34">
        <f>SUMIFS('BA History'!C:C,'BA History'!B:B,A43)</f>
        <v>23</v>
      </c>
      <c r="D43" s="66">
        <f>AVERAGEIFS('BA History'!C:C,'BA History'!B:B,A43)</f>
        <v>11.5</v>
      </c>
      <c r="E43" s="35">
        <f t="array" ref="E43">MAX(IF('BA History'!B:B=A43, 'BA History'!C:C))</f>
        <v>14</v>
      </c>
      <c r="F43" s="34">
        <f>COUNTIFS('BA History'!B:B,A43,'BA History'!D:D, 1)</f>
        <v>1</v>
      </c>
      <c r="G43" s="2">
        <f>COUNTIFS('BA History'!B:B,A43,'BA History'!D:D, 0)</f>
        <v>1</v>
      </c>
      <c r="H43" s="75">
        <f t="shared" si="9"/>
        <v>0.5</v>
      </c>
      <c r="I43" s="34">
        <f>SUMIFS('BA History'!F:F,'BA History'!B:B,A43)</f>
        <v>4</v>
      </c>
      <c r="J43" s="2">
        <f>SUMIFS('BA History'!E:E,'BA History'!B:B,A43)-I43</f>
        <v>4</v>
      </c>
      <c r="K43" s="75">
        <f t="shared" ref="K43" si="26">I43/(I43+J43)</f>
        <v>0.5</v>
      </c>
      <c r="L43" s="34">
        <f>SUMIFS('BA History'!H:H,'BA History'!B:B,A43)</f>
        <v>17</v>
      </c>
      <c r="M43" s="2">
        <f>SUMIFS('BA History'!G:G,'BA History'!B:B,A43)-L43</f>
        <v>16</v>
      </c>
      <c r="N43" s="93">
        <f t="shared" ref="N43" si="27">L43/(L43+M43)</f>
        <v>0.51515151515151514</v>
      </c>
      <c r="O43" s="2">
        <f>COUNTIFS('BA History'!$B:$B,$A$43,'BA History'!K:K, 1)</f>
        <v>0</v>
      </c>
      <c r="P43" s="2">
        <f>COUNTIFS('BA History'!$B:$B,$A$43,'BA History'!L:L, 1)</f>
        <v>1</v>
      </c>
      <c r="Q43" s="2">
        <f>COUNTIFS('BA History'!$B:$B,$A$43,'BA History'!M:M, 1)</f>
        <v>0</v>
      </c>
      <c r="R43" s="2">
        <f>COUNTIFS('BA History'!$B:$B,$A$43,'BA History'!N:N, 1)</f>
        <v>0</v>
      </c>
      <c r="S43" s="2">
        <f>COUNTIFS('BA History'!$B:$B,$A$43,'BA History'!O:O, 1)</f>
        <v>1</v>
      </c>
      <c r="T43" s="2">
        <f>COUNTIFS('BA History'!$B:$B,$A$43,'BA History'!P:P, 1)</f>
        <v>0</v>
      </c>
      <c r="U43" s="2">
        <f>COUNTIFS('BA History'!$B:$B,$A$43,'BA History'!Q:Q, 1)</f>
        <v>0</v>
      </c>
      <c r="V43" s="2">
        <f>COUNTIFS('BA History'!$B:$B,$A$43,'BA History'!R:R, 1)</f>
        <v>0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0</v>
      </c>
      <c r="Z43" s="2">
        <f>COUNTIFS('BA History'!$B:$B,$A$43,'BA History'!V:V, 1)</f>
        <v>1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0</v>
      </c>
      <c r="AD43" s="2">
        <f>COUNTIFS('BA History'!$B:$B,$A$43,'BA History'!Z:Z, 1)</f>
        <v>0</v>
      </c>
      <c r="AE43" s="2">
        <f>COUNTIFS('BA History'!$B:$B,$A$43,'BA History'!AA:AA, 1)</f>
        <v>0</v>
      </c>
      <c r="AF43" s="2">
        <f>COUNTIFS('BA History'!$B:$B,$A$43,'BA History'!AB:AB, 1)</f>
        <v>1</v>
      </c>
      <c r="AG43" s="2">
        <f>COUNTIFS('BA History'!$B:$B,$A$43,'BA History'!AC:AC, 1)</f>
        <v>0</v>
      </c>
      <c r="AH43" s="2">
        <f>COUNTIFS('BA History'!$B:$B,$A$43,'BA History'!AD:AD, 1)</f>
        <v>0</v>
      </c>
      <c r="AI43" s="2">
        <f>COUNTIFS('BA History'!$B:$B,$A$43,'BA History'!AE:AE, 1)</f>
        <v>0</v>
      </c>
      <c r="AJ43" s="2">
        <f>COUNTIFS('BA History'!$B:$B,$A$43,'BA History'!AF:AF, 1)</f>
        <v>0</v>
      </c>
    </row>
    <row r="44" spans="1:36" x14ac:dyDescent="0.25">
      <c r="A44" s="1" t="s">
        <v>118</v>
      </c>
      <c r="B44" s="2" t="s">
        <v>79</v>
      </c>
      <c r="C44" s="34">
        <f>SUMIFS('BA History'!C:C,'BA History'!B:B,A44)</f>
        <v>30</v>
      </c>
      <c r="D44" s="66">
        <f>AVERAGEIFS('BA History'!C:C,'BA History'!B:B,A44)</f>
        <v>15</v>
      </c>
      <c r="E44" s="35">
        <f t="array" ref="E44">MAX(IF('BA History'!B:B=A44, 'BA History'!C:C))</f>
        <v>20</v>
      </c>
      <c r="F44" s="34">
        <f>COUNTIFS('BA History'!B:B,A44,'BA History'!D:D, 1)</f>
        <v>1</v>
      </c>
      <c r="G44" s="2">
        <f>COUNTIFS('BA History'!B:B,A44,'BA History'!D:D, 0)</f>
        <v>1</v>
      </c>
      <c r="H44" s="75">
        <f t="shared" si="9"/>
        <v>0.5</v>
      </c>
      <c r="I44" s="34">
        <f>SUMIFS('BA History'!F:F,'BA History'!B:B,A44)</f>
        <v>4</v>
      </c>
      <c r="J44" s="2">
        <f>SUMIFS('BA History'!E:E,'BA History'!B:B,A44)-I44</f>
        <v>4</v>
      </c>
      <c r="K44" s="75">
        <f t="shared" si="10"/>
        <v>0.5</v>
      </c>
      <c r="L44" s="34">
        <f>SUMIFS('BA History'!H:H,'BA History'!B:B,A44)</f>
        <v>15</v>
      </c>
      <c r="M44" s="2">
        <f>SUMIFS('BA History'!G:G,'BA History'!B:B,A44)-L44</f>
        <v>15</v>
      </c>
      <c r="N44" s="93">
        <f t="shared" si="11"/>
        <v>0.5</v>
      </c>
      <c r="O44" s="2">
        <f>COUNTIFS('BA History'!$B:$B,$A$44,'BA History'!K:K, 1)</f>
        <v>0</v>
      </c>
      <c r="P44" s="2">
        <f>COUNTIFS('BA History'!$B:$B,$A$44,'BA History'!L:L, 1)</f>
        <v>0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0</v>
      </c>
      <c r="Z44" s="2">
        <f>COUNTIFS('BA History'!$B:$B,$A$44,'BA History'!V:V, 1)</f>
        <v>1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1</v>
      </c>
      <c r="AE44" s="2">
        <f>COUNTIFS('BA History'!$B:$B,$A$44,'BA History'!AA:AA, 1)</f>
        <v>0</v>
      </c>
      <c r="AF44" s="2">
        <f>COUNTIFS('BA History'!$B:$B,$A$44,'BA History'!AB:AB, 1)</f>
        <v>0</v>
      </c>
      <c r="AG44" s="2">
        <f>COUNTIFS('BA History'!$B:$B,$A$44,'BA History'!AC:AC, 1)</f>
        <v>1</v>
      </c>
      <c r="AH44" s="2">
        <f>COUNTIFS('BA History'!$B:$B,$A$44,'BA History'!AD:AD, 1)</f>
        <v>1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ht="15.75" x14ac:dyDescent="0.25">
      <c r="A45" s="2" t="s">
        <v>6</v>
      </c>
      <c r="B45" s="80" t="s">
        <v>60</v>
      </c>
      <c r="C45" s="34">
        <f>SUMIFS('BA History'!C:C,'BA History'!B:B,A45)</f>
        <v>745</v>
      </c>
      <c r="D45" s="66">
        <f>AVERAGEIFS('BA History'!C:C,'BA History'!B:B,A45)</f>
        <v>22.575757575757574</v>
      </c>
      <c r="E45" s="35">
        <f t="array" ref="E45">MAX(IF('BA History'!B:B=A45, 'BA History'!C:C))</f>
        <v>37</v>
      </c>
      <c r="F45" s="34">
        <f>COUNTIFS('BA History'!B:B,A45,'BA History'!D:D, 1)</f>
        <v>23</v>
      </c>
      <c r="G45" s="2">
        <f>COUNTIFS('BA History'!B:B,A45,'BA History'!D:D, 0)</f>
        <v>10</v>
      </c>
      <c r="H45" s="75">
        <f t="shared" si="9"/>
        <v>0.69696969696969702</v>
      </c>
      <c r="I45" s="34">
        <f>SUMIFS('BA History'!F:F,'BA History'!B:B,A45)</f>
        <v>79</v>
      </c>
      <c r="J45" s="2">
        <f>SUMIFS('BA History'!E:E,'BA History'!B:B,A45)-I45</f>
        <v>53</v>
      </c>
      <c r="K45" s="75">
        <f t="shared" si="10"/>
        <v>0.59848484848484851</v>
      </c>
      <c r="L45" s="34">
        <f>SUMIFS('BA History'!H:H,'BA History'!B:B,A45)</f>
        <v>300</v>
      </c>
      <c r="M45" s="2">
        <f>SUMIFS('BA History'!G:G,'BA History'!B:B,A45)-L45</f>
        <v>247</v>
      </c>
      <c r="N45" s="93">
        <f t="shared" si="11"/>
        <v>0.54844606946983543</v>
      </c>
      <c r="O45" s="2">
        <f>COUNTIFS('BA History'!$B:$B,$A$45,'BA History'!K:K, 1)</f>
        <v>5</v>
      </c>
      <c r="P45" s="2">
        <f>COUNTIFS('BA History'!$B:$B,$A$45,'BA History'!L:L, 1)</f>
        <v>2</v>
      </c>
      <c r="Q45" s="2">
        <f>COUNTIFS('BA History'!$B:$B,$A$45,'BA History'!M:M, 1)</f>
        <v>6</v>
      </c>
      <c r="R45" s="2">
        <f>COUNTIFS('BA History'!$B:$B,$A$45,'BA History'!N:N, 1)</f>
        <v>5</v>
      </c>
      <c r="S45" s="2">
        <f>COUNTIFS('BA History'!$B:$B,$A$45,'BA History'!O:O, 1)</f>
        <v>2</v>
      </c>
      <c r="T45" s="2">
        <f>COUNTIFS('BA History'!$B:$B,$A$45,'BA History'!P:P, 1)</f>
        <v>0</v>
      </c>
      <c r="U45" s="2">
        <f>COUNTIFS('BA History'!$B:$B,$A$45,'BA History'!Q:Q, 1)</f>
        <v>3</v>
      </c>
      <c r="V45" s="2">
        <f>COUNTIFS('BA History'!$B:$B,$A$45,'BA History'!R:R, 1)</f>
        <v>3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2</v>
      </c>
      <c r="Z45" s="2">
        <f>COUNTIFS('BA History'!$B:$B,$A$45,'BA History'!V:V, 1)</f>
        <v>7</v>
      </c>
      <c r="AA45" s="2">
        <f>COUNTIFS('BA History'!$B:$B,$A$45,'BA History'!W:W, 1)</f>
        <v>3</v>
      </c>
      <c r="AB45" s="2">
        <f>COUNTIFS('BA History'!$B:$B,$A$45,'BA History'!X:X, 1)</f>
        <v>2</v>
      </c>
      <c r="AC45" s="2">
        <f>COUNTIFS('BA History'!$B:$B,$A$45,'BA History'!Y:Y, 1)</f>
        <v>3</v>
      </c>
      <c r="AD45" s="2">
        <f>COUNTIFS('BA History'!$B:$B,$A$45,'BA History'!Z:Z, 1)</f>
        <v>10</v>
      </c>
      <c r="AE45" s="2">
        <f>COUNTIFS('BA History'!$B:$B,$A$45,'BA History'!AA:AA, 1)</f>
        <v>1</v>
      </c>
      <c r="AF45" s="2">
        <f>COUNTIFS('BA History'!$B:$B,$A$45,'BA History'!AB:AB, 1)</f>
        <v>7</v>
      </c>
      <c r="AG45" s="2">
        <f>COUNTIFS('BA History'!$B:$B,$A$45,'BA History'!AC:AC, 1)</f>
        <v>4</v>
      </c>
      <c r="AH45" s="2">
        <f>COUNTIFS('BA History'!$B:$B,$A$45,'BA History'!AD:AD, 1)</f>
        <v>8</v>
      </c>
      <c r="AI45" s="2">
        <f>COUNTIFS('BA History'!$B:$B,$A$45,'BA History'!AE:AE, 1)</f>
        <v>1</v>
      </c>
      <c r="AJ45" s="2">
        <f>COUNTIFS('BA History'!$B:$B,$A$45,'BA History'!AF:AF, 1)</f>
        <v>5</v>
      </c>
    </row>
    <row r="46" spans="1:36" x14ac:dyDescent="0.25">
      <c r="A46" s="2" t="s">
        <v>18</v>
      </c>
      <c r="B46" s="2" t="s">
        <v>79</v>
      </c>
      <c r="C46" s="34">
        <f>SUMIFS('BA History'!C:C,'BA History'!B:B,A46)</f>
        <v>83</v>
      </c>
      <c r="D46" s="66">
        <f>AVERAGEIFS('BA History'!C:C,'BA History'!B:B,A46)</f>
        <v>16.600000000000001</v>
      </c>
      <c r="E46" s="35">
        <f t="array" ref="E46">MAX(IF('BA History'!B:B=A46, 'BA History'!C:C))</f>
        <v>24</v>
      </c>
      <c r="F46" s="34">
        <f>COUNTIFS('BA History'!B:B,A46,'BA History'!D:D, 1)</f>
        <v>4</v>
      </c>
      <c r="G46" s="2">
        <f>COUNTIFS('BA History'!B:B,A46,'BA History'!D:D, 0)</f>
        <v>1</v>
      </c>
      <c r="H46" s="75">
        <f t="shared" si="9"/>
        <v>0.8</v>
      </c>
      <c r="I46" s="34">
        <f>SUMIFS('BA History'!F:F,'BA History'!B:B,A46)</f>
        <v>13</v>
      </c>
      <c r="J46" s="2">
        <f>SUMIFS('BA History'!E:E,'BA History'!B:B,A46)-I46</f>
        <v>6</v>
      </c>
      <c r="K46" s="75">
        <f t="shared" si="10"/>
        <v>0.68421052631578949</v>
      </c>
      <c r="L46" s="34">
        <f>SUMIFS('BA History'!H:H,'BA History'!B:B,A46)</f>
        <v>46</v>
      </c>
      <c r="M46" s="2">
        <f>SUMIFS('BA History'!G:G,'BA History'!B:B,A46)-L46</f>
        <v>32</v>
      </c>
      <c r="N46" s="93">
        <f t="shared" si="11"/>
        <v>0.58974358974358976</v>
      </c>
      <c r="O46" s="2">
        <f>COUNTIFS('BA History'!$B:$B,$A$46,'BA History'!K:K, 1)</f>
        <v>0</v>
      </c>
      <c r="P46" s="2">
        <f>COUNTIFS('BA History'!$B:$B,$A$46,'BA History'!L:L, 1)</f>
        <v>3</v>
      </c>
      <c r="Q46" s="2">
        <f>COUNTIFS('BA History'!$B:$B,$A$46,'BA History'!M:M, 1)</f>
        <v>0</v>
      </c>
      <c r="R46" s="2">
        <f>COUNTIFS('BA History'!$B:$B,$A$46,'BA History'!N:N, 1)</f>
        <v>2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1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0</v>
      </c>
      <c r="AA46" s="2">
        <f>COUNTIFS('BA History'!$B:$B,$A$46,'BA History'!W:W, 1)</f>
        <v>1</v>
      </c>
      <c r="AB46" s="2">
        <f>COUNTIFS('BA History'!$B:$B,$A$46,'BA History'!X:X, 1)</f>
        <v>1</v>
      </c>
      <c r="AC46" s="2">
        <f>COUNTIFS('BA History'!$B:$B,$A$46,'BA History'!Y:Y, 1)</f>
        <v>1</v>
      </c>
      <c r="AD46" s="2">
        <f>COUNTIFS('BA History'!$B:$B,$A$46,'BA History'!Z:Z, 1)</f>
        <v>1</v>
      </c>
      <c r="AE46" s="2">
        <f>COUNTIFS('BA History'!$B:$B,$A$46,'BA History'!AA:AA, 1)</f>
        <v>1</v>
      </c>
      <c r="AF46" s="2">
        <f>COUNTIFS('BA History'!$B:$B,$A$46,'BA History'!AB:AB, 1)</f>
        <v>0</v>
      </c>
      <c r="AG46" s="2">
        <f>COUNTIFS('BA History'!$B:$B,$A$46,'BA History'!AC:AC, 1)</f>
        <v>0</v>
      </c>
      <c r="AH46" s="2">
        <f>COUNTIFS('BA History'!$B:$B,$A$46,'BA History'!AD:AD, 1)</f>
        <v>2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x14ac:dyDescent="0.25">
      <c r="A47" s="2" t="s">
        <v>113</v>
      </c>
      <c r="B47" s="2" t="s">
        <v>79</v>
      </c>
      <c r="C47" s="34">
        <f>SUMIFS('BA History'!C:C,'BA History'!B:B,A47)</f>
        <v>222</v>
      </c>
      <c r="D47" s="66">
        <f>AVERAGEIFS('BA History'!C:C,'BA History'!B:B,A47)</f>
        <v>15.857142857142858</v>
      </c>
      <c r="E47" s="35">
        <f t="array" ref="E47">MAX(IF('BA History'!B:B=A47, 'BA History'!C:C))</f>
        <v>28</v>
      </c>
      <c r="F47" s="34">
        <f>COUNTIFS('BA History'!B:B,A47,'BA History'!D:D, 1)</f>
        <v>6</v>
      </c>
      <c r="G47" s="2">
        <f>COUNTIFS('BA History'!B:B,A47,'BA History'!D:D, 0)</f>
        <v>8</v>
      </c>
      <c r="H47" s="75">
        <f t="shared" si="9"/>
        <v>0.42857142857142855</v>
      </c>
      <c r="I47" s="34">
        <f>SUMIFS('BA History'!F:F,'BA History'!B:B,A47)</f>
        <v>26</v>
      </c>
      <c r="J47" s="2">
        <f>SUMIFS('BA History'!E:E,'BA History'!B:B,A47)-I47</f>
        <v>30</v>
      </c>
      <c r="K47" s="75">
        <f t="shared" si="10"/>
        <v>0.4642857142857143</v>
      </c>
      <c r="L47" s="34">
        <f>SUMIFS('BA History'!H:H,'BA History'!B:B,A47)</f>
        <v>101</v>
      </c>
      <c r="M47" s="2">
        <f>SUMIFS('BA History'!G:G,'BA History'!B:B,A47)-L47</f>
        <v>119</v>
      </c>
      <c r="N47" s="93">
        <f t="shared" si="11"/>
        <v>0.45909090909090911</v>
      </c>
      <c r="O47" s="2">
        <f>COUNTIFS('BA History'!$B:$B,$A$47,'BA History'!K:K, 1)</f>
        <v>0</v>
      </c>
      <c r="P47" s="2">
        <f>COUNTIFS('BA History'!$B:$B,$A$47,'BA History'!L:L, 1)</f>
        <v>1</v>
      </c>
      <c r="Q47" s="2">
        <f>COUNTIFS('BA History'!$B:$B,$A$47,'BA History'!M:M, 1)</f>
        <v>5</v>
      </c>
      <c r="R47" s="2">
        <f>COUNTIFS('BA History'!$B:$B,$A$47,'BA History'!N:N, 1)</f>
        <v>2</v>
      </c>
      <c r="S47" s="2">
        <f>COUNTIFS('BA History'!$B:$B,$A$47,'BA History'!O:O, 1)</f>
        <v>1</v>
      </c>
      <c r="T47" s="2">
        <f>COUNTIFS('BA History'!$B:$B,$A$47,'BA History'!P:P, 1)</f>
        <v>0</v>
      </c>
      <c r="U47" s="2">
        <f>COUNTIFS('BA History'!$B:$B,$A$47,'BA History'!Q:Q, 1)</f>
        <v>1</v>
      </c>
      <c r="V47" s="2">
        <f>COUNTIFS('BA History'!$B:$B,$A$47,'BA History'!R:R, 1)</f>
        <v>0</v>
      </c>
      <c r="W47" s="2">
        <f>COUNTIFS('BA History'!$B:$B,$A$47,'BA History'!S:S, 1)</f>
        <v>0</v>
      </c>
      <c r="X47" s="2">
        <f>COUNTIFS('BA History'!$B:$B,$A$47,'BA History'!T:T, 1)</f>
        <v>0</v>
      </c>
      <c r="Y47" s="2">
        <f>COUNTIFS('BA History'!$B:$B,$A$47,'BA History'!U:U, 1)</f>
        <v>1</v>
      </c>
      <c r="Z47" s="2">
        <f>COUNTIFS('BA History'!$B:$B,$A$47,'BA History'!V:V, 1)</f>
        <v>1</v>
      </c>
      <c r="AA47" s="2">
        <f>COUNTIFS('BA History'!$B:$B,$A$47,'BA History'!W:W, 1)</f>
        <v>0</v>
      </c>
      <c r="AB47" s="2">
        <f>COUNTIFS('BA History'!$B:$B,$A$47,'BA History'!X:X, 1)</f>
        <v>0</v>
      </c>
      <c r="AC47" s="2">
        <f>COUNTIFS('BA History'!$B:$B,$A$47,'BA History'!Y:Y, 1)</f>
        <v>5</v>
      </c>
      <c r="AD47" s="2">
        <f>COUNTIFS('BA History'!$B:$B,$A$47,'BA History'!Z:Z, 1)</f>
        <v>1</v>
      </c>
      <c r="AE47" s="2">
        <f>COUNTIFS('BA History'!$B:$B,$A$47,'BA History'!AA:AA, 1)</f>
        <v>0</v>
      </c>
      <c r="AF47" s="2">
        <f>COUNTIFS('BA History'!$B:$B,$A$47,'BA History'!AB:AB, 1)</f>
        <v>3</v>
      </c>
      <c r="AG47" s="2">
        <f>COUNTIFS('BA History'!$B:$B,$A$47,'BA History'!AC:AC, 1)</f>
        <v>3</v>
      </c>
      <c r="AH47" s="2">
        <f>COUNTIFS('BA History'!$B:$B,$A$47,'BA History'!AD:AD, 1)</f>
        <v>2</v>
      </c>
      <c r="AI47" s="2">
        <f>COUNTIFS('BA History'!$B:$B,$A$47,'BA History'!AE:AE, 1)</f>
        <v>0</v>
      </c>
      <c r="AJ47" s="2">
        <f>COUNTIFS('BA History'!$B:$B,$A$47,'BA History'!AF:AF, 1)</f>
        <v>0</v>
      </c>
    </row>
    <row r="48" spans="1:36" x14ac:dyDescent="0.25">
      <c r="A48" s="2" t="s">
        <v>14</v>
      </c>
      <c r="B48" s="2" t="s">
        <v>79</v>
      </c>
      <c r="C48" s="34">
        <f>SUMIFS('BA History'!C:C,'BA History'!B:B,A48)</f>
        <v>214</v>
      </c>
      <c r="D48" s="66">
        <f>AVERAGEIFS('BA History'!C:C,'BA History'!B:B,A48)</f>
        <v>16.46153846153846</v>
      </c>
      <c r="E48" s="35">
        <f t="array" ref="E48">MAX(IF('BA History'!B:B=A48, 'BA History'!C:C))</f>
        <v>27</v>
      </c>
      <c r="F48" s="34">
        <f>COUNTIFS('BA History'!B:B,A48,'BA History'!D:D, 1)</f>
        <v>7</v>
      </c>
      <c r="G48" s="2">
        <f>COUNTIFS('BA History'!B:B,A48,'BA History'!D:D, 0)</f>
        <v>6</v>
      </c>
      <c r="H48" s="75">
        <f t="shared" si="9"/>
        <v>0.53846153846153844</v>
      </c>
      <c r="I48" s="34">
        <f>SUMIFS('BA History'!F:F,'BA History'!B:B,A48)</f>
        <v>27</v>
      </c>
      <c r="J48" s="2">
        <f>SUMIFS('BA History'!E:E,'BA History'!B:B,A48)-I48</f>
        <v>27</v>
      </c>
      <c r="K48" s="75">
        <f t="shared" si="10"/>
        <v>0.5</v>
      </c>
      <c r="L48" s="34">
        <f>SUMIFS('BA History'!H:H,'BA History'!B:B,A48)</f>
        <v>112</v>
      </c>
      <c r="M48" s="2">
        <f>SUMIFS('BA History'!G:G,'BA History'!B:B,A48)-L48</f>
        <v>104</v>
      </c>
      <c r="N48" s="93">
        <f t="shared" si="11"/>
        <v>0.51851851851851849</v>
      </c>
      <c r="O48" s="2">
        <f>COUNTIFS('BA History'!$B:$B,$A$48,'BA History'!K:K, 1)</f>
        <v>1</v>
      </c>
      <c r="P48" s="2">
        <f>COUNTIFS('BA History'!$B:$B,$A$48,'BA History'!L:L, 1)</f>
        <v>2</v>
      </c>
      <c r="Q48" s="2">
        <f>COUNTIFS('BA History'!$B:$B,$A$48,'BA History'!M:M, 1)</f>
        <v>0</v>
      </c>
      <c r="R48" s="2">
        <f>COUNTIFS('BA History'!$B:$B,$A$48,'BA History'!N:N, 1)</f>
        <v>0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3</v>
      </c>
      <c r="V48" s="2">
        <f>COUNTIFS('BA History'!$B:$B,$A$48,'BA History'!R:R, 1)</f>
        <v>1</v>
      </c>
      <c r="W48" s="2">
        <f>COUNTIFS('BA History'!$B:$B,$A$48,'BA History'!S:S, 1)</f>
        <v>0</v>
      </c>
      <c r="X48" s="2">
        <f>COUNTIFS('BA History'!$B:$B,$A$48,'BA History'!T:T, 1)</f>
        <v>1</v>
      </c>
      <c r="Y48" s="2">
        <f>COUNTIFS('BA History'!$B:$B,$A$48,'BA History'!U:U, 1)</f>
        <v>1</v>
      </c>
      <c r="Z48" s="2">
        <f>COUNTIFS('BA History'!$B:$B,$A$48,'BA History'!V:V, 1)</f>
        <v>0</v>
      </c>
      <c r="AA48" s="2">
        <f>COUNTIFS('BA History'!$B:$B,$A$48,'BA History'!W:W, 1)</f>
        <v>2</v>
      </c>
      <c r="AB48" s="2">
        <f>COUNTIFS('BA History'!$B:$B,$A$48,'BA History'!X:X, 1)</f>
        <v>1</v>
      </c>
      <c r="AC48" s="2">
        <f>COUNTIFS('BA History'!$B:$B,$A$48,'BA History'!Y:Y, 1)</f>
        <v>3</v>
      </c>
      <c r="AD48" s="2">
        <f>COUNTIFS('BA History'!$B:$B,$A$48,'BA History'!Z:Z, 1)</f>
        <v>5</v>
      </c>
      <c r="AE48" s="2">
        <f>COUNTIFS('BA History'!$B:$B,$A$48,'BA History'!AA:AA, 1)</f>
        <v>1</v>
      </c>
      <c r="AF48" s="2">
        <f>COUNTIFS('BA History'!$B:$B,$A$48,'BA History'!AB:AB, 1)</f>
        <v>3</v>
      </c>
      <c r="AG48" s="2">
        <f>COUNTIFS('BA History'!$B:$B,$A$48,'BA History'!AC:AC, 1)</f>
        <v>3</v>
      </c>
      <c r="AH48" s="2">
        <f>COUNTIFS('BA History'!$B:$B,$A$48,'BA History'!AD:AD, 1)</f>
        <v>0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70</v>
      </c>
      <c r="B49" s="2" t="s">
        <v>79</v>
      </c>
      <c r="C49" s="34">
        <f>SUMIFS('BA History'!C:C,'BA History'!B:B,A49)</f>
        <v>63</v>
      </c>
      <c r="D49" s="66">
        <f>AVERAGEIFS('BA History'!C:C,'BA History'!B:B,A49)</f>
        <v>12.6</v>
      </c>
      <c r="E49" s="35">
        <f t="array" ref="E49">MAX(IF('BA History'!B:B=A49, 'BA History'!C:C))</f>
        <v>19</v>
      </c>
      <c r="F49" s="34">
        <f>COUNTIFS('BA History'!B:B,A49,'BA History'!D:D, 1)</f>
        <v>5</v>
      </c>
      <c r="G49" s="2">
        <f>COUNTIFS('BA History'!B:B,A49,'BA History'!D:D, 0)</f>
        <v>0</v>
      </c>
      <c r="H49" s="75">
        <f t="shared" si="9"/>
        <v>1</v>
      </c>
      <c r="I49" s="34">
        <f>SUMIFS('BA History'!F:F,'BA History'!B:B,A49)</f>
        <v>15</v>
      </c>
      <c r="J49" s="2">
        <f>SUMIFS('BA History'!E:E,'BA History'!B:B,A49)-I49</f>
        <v>7</v>
      </c>
      <c r="K49" s="75">
        <f t="shared" si="10"/>
        <v>0.68181818181818177</v>
      </c>
      <c r="L49" s="34">
        <f>SUMIFS('BA History'!H:H,'BA History'!B:B,A49)</f>
        <v>52</v>
      </c>
      <c r="M49" s="2">
        <f>SUMIFS('BA History'!G:G,'BA History'!B:B,A49)-L49</f>
        <v>40</v>
      </c>
      <c r="N49" s="93">
        <f t="shared" si="11"/>
        <v>0.56521739130434778</v>
      </c>
      <c r="O49" s="2">
        <f>COUNTIFS('BA History'!$B:$B,$A$49,'BA History'!K:K, 1)</f>
        <v>1</v>
      </c>
      <c r="P49" s="2">
        <f>COUNTIFS('BA History'!$B:$B,$A$49,'BA History'!L:L, 1)</f>
        <v>1</v>
      </c>
      <c r="Q49" s="2">
        <f>COUNTIFS('BA History'!$B:$B,$A$49,'BA History'!M:M, 1)</f>
        <v>2</v>
      </c>
      <c r="R49" s="2">
        <f>COUNTIFS('BA History'!$B:$B,$A$49,'BA History'!N:N, 1)</f>
        <v>2</v>
      </c>
      <c r="S49" s="2">
        <f>COUNTIFS('BA History'!$B:$B,$A$49,'BA History'!O:O, 1)</f>
        <v>0</v>
      </c>
      <c r="T49" s="2">
        <f>COUNTIFS('BA History'!$B:$B,$A$49,'BA History'!P:P, 1)</f>
        <v>0</v>
      </c>
      <c r="U49" s="2">
        <f>COUNTIFS('BA History'!$B:$B,$A$49,'BA History'!Q:Q, 1)</f>
        <v>0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0</v>
      </c>
      <c r="Z49" s="2">
        <f>COUNTIFS('BA History'!$B:$B,$A$49,'BA History'!V:V, 1)</f>
        <v>1</v>
      </c>
      <c r="AA49" s="2">
        <f>COUNTIFS('BA History'!$B:$B,$A$49,'BA History'!W:W, 1)</f>
        <v>1</v>
      </c>
      <c r="AB49" s="2">
        <f>COUNTIFS('BA History'!$B:$B,$A$49,'BA History'!X:X, 1)</f>
        <v>0</v>
      </c>
      <c r="AC49" s="2">
        <f>COUNTIFS('BA History'!$B:$B,$A$49,'BA History'!Y:Y, 1)</f>
        <v>1</v>
      </c>
      <c r="AD49" s="2">
        <f>COUNTIFS('BA History'!$B:$B,$A$49,'BA History'!Z:Z, 1)</f>
        <v>0</v>
      </c>
      <c r="AE49" s="2">
        <f>COUNTIFS('BA History'!$B:$B,$A$49,'BA History'!AA:AA, 1)</f>
        <v>0</v>
      </c>
      <c r="AF49" s="2">
        <f>COUNTIFS('BA History'!$B:$B,$A$49,'BA History'!AB:AB, 1)</f>
        <v>0</v>
      </c>
      <c r="AG49" s="2">
        <f>COUNTIFS('BA History'!$B:$B,$A$49,'BA History'!AC:AC, 1)</f>
        <v>0</v>
      </c>
      <c r="AH49" s="2">
        <f>COUNTIFS('BA History'!$B:$B,$A$49,'BA History'!AD:AD, 1)</f>
        <v>3</v>
      </c>
      <c r="AI49" s="2">
        <f>COUNTIFS('BA History'!$B:$B,$A$49,'BA History'!AE:AE, 1)</f>
        <v>0</v>
      </c>
      <c r="AJ49" s="2">
        <f>COUNTIFS('BA History'!$B:$B,$A$49,'BA History'!AF:AF, 1)</f>
        <v>2</v>
      </c>
    </row>
    <row r="50" spans="1:36" ht="15.75" x14ac:dyDescent="0.25">
      <c r="A50" s="2" t="s">
        <v>4</v>
      </c>
      <c r="B50" s="80" t="s">
        <v>60</v>
      </c>
      <c r="C50" s="34">
        <f>SUMIFS('BA History'!C:C,'BA History'!B:B,A50)</f>
        <v>387</v>
      </c>
      <c r="D50" s="66">
        <f>AVERAGEIFS('BA History'!C:C,'BA History'!B:B,A50)</f>
        <v>22.764705882352942</v>
      </c>
      <c r="E50" s="35">
        <f t="array" ref="E50">MAX(IF('BA History'!B:B=A50, 'BA History'!C:C))</f>
        <v>41</v>
      </c>
      <c r="F50" s="34">
        <f>COUNTIFS('BA History'!B:B,A50,'BA History'!D:D, 1)</f>
        <v>3</v>
      </c>
      <c r="G50" s="2">
        <f>COUNTIFS('BA History'!B:B,A50,'BA History'!D:D, 0)</f>
        <v>14</v>
      </c>
      <c r="H50" s="75">
        <f t="shared" si="9"/>
        <v>0.17647058823529413</v>
      </c>
      <c r="I50" s="34">
        <f>SUMIFS('BA History'!F:F,'BA History'!B:B,A50)</f>
        <v>24</v>
      </c>
      <c r="J50" s="2">
        <f>SUMIFS('BA History'!E:E,'BA History'!B:B,A50)-I50</f>
        <v>46</v>
      </c>
      <c r="K50" s="75">
        <f t="shared" si="10"/>
        <v>0.34285714285714286</v>
      </c>
      <c r="L50" s="34">
        <f>SUMIFS('BA History'!H:H,'BA History'!B:B,A50)</f>
        <v>115</v>
      </c>
      <c r="M50" s="2">
        <f>SUMIFS('BA History'!G:G,'BA History'!B:B,A50)-L50</f>
        <v>164</v>
      </c>
      <c r="N50" s="93">
        <f t="shared" si="11"/>
        <v>0.41218637992831542</v>
      </c>
      <c r="O50" s="2">
        <f>COUNTIFS('BA History'!$B:$B,$A$50,'BA History'!K:K, 1)</f>
        <v>0</v>
      </c>
      <c r="P50" s="2">
        <f>COUNTIFS('BA History'!$B:$B,$A$50,'BA History'!L:L, 1)</f>
        <v>4</v>
      </c>
      <c r="Q50" s="2">
        <f>COUNTIFS('BA History'!$B:$B,$A$50,'BA History'!M:M, 1)</f>
        <v>3</v>
      </c>
      <c r="R50" s="2">
        <f>COUNTIFS('BA History'!$B:$B,$A$50,'BA History'!N:N, 1)</f>
        <v>4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1</v>
      </c>
      <c r="V50" s="2">
        <f>COUNTIFS('BA History'!$B:$B,$A$50,'BA History'!R:R, 1)</f>
        <v>0</v>
      </c>
      <c r="W50" s="2">
        <f>COUNTIFS('BA History'!$B:$B,$A$50,'BA History'!S:S, 1)</f>
        <v>0</v>
      </c>
      <c r="X50" s="2">
        <f>COUNTIFS('BA History'!$B:$B,$A$50,'BA History'!T:T, 1)</f>
        <v>0</v>
      </c>
      <c r="Y50" s="2">
        <f>COUNTIFS('BA History'!$B:$B,$A$50,'BA History'!U:U, 1)</f>
        <v>1</v>
      </c>
      <c r="Z50" s="2">
        <f>COUNTIFS('BA History'!$B:$B,$A$50,'BA History'!V:V, 1)</f>
        <v>0</v>
      </c>
      <c r="AA50" s="2">
        <f>COUNTIFS('BA History'!$B:$B,$A$50,'BA History'!W:W, 1)</f>
        <v>0</v>
      </c>
      <c r="AB50" s="2">
        <f>COUNTIFS('BA History'!$B:$B,$A$50,'BA History'!X:X, 1)</f>
        <v>0</v>
      </c>
      <c r="AC50" s="2">
        <f>COUNTIFS('BA History'!$B:$B,$A$50,'BA History'!Y:Y, 1)</f>
        <v>4</v>
      </c>
      <c r="AD50" s="2">
        <f>COUNTIFS('BA History'!$B:$B,$A$50,'BA History'!Z:Z, 1)</f>
        <v>1</v>
      </c>
      <c r="AE50" s="2">
        <f>COUNTIFS('BA History'!$B:$B,$A$50,'BA History'!AA:AA, 1)</f>
        <v>0</v>
      </c>
      <c r="AF50" s="2">
        <f>COUNTIFS('BA History'!$B:$B,$A$50,'BA History'!AB:AB, 1)</f>
        <v>1</v>
      </c>
      <c r="AG50" s="2">
        <f>COUNTIFS('BA History'!$B:$B,$A$50,'BA History'!AC:AC, 1)</f>
        <v>3</v>
      </c>
      <c r="AH50" s="2">
        <f>COUNTIFS('BA History'!$B:$B,$A$50,'BA History'!AD:AD, 1)</f>
        <v>2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1" t="s">
        <v>107</v>
      </c>
      <c r="B51" s="2" t="s">
        <v>79</v>
      </c>
      <c r="C51" s="34">
        <f>SUMIFS('BA History'!C:C,'BA History'!B:B,A51)</f>
        <v>249</v>
      </c>
      <c r="D51" s="66">
        <f>AVERAGEIFS('BA History'!C:C,'BA History'!B:B,A51)</f>
        <v>14.647058823529411</v>
      </c>
      <c r="E51" s="35">
        <f t="array" ref="E51">MAX(IF('BA History'!B:B=A51, 'BA History'!C:C))</f>
        <v>24</v>
      </c>
      <c r="F51" s="34">
        <f>COUNTIFS('BA History'!B:B,A51,'BA History'!D:D, 1)</f>
        <v>12</v>
      </c>
      <c r="G51" s="2">
        <f>COUNTIFS('BA History'!B:B,A51,'BA History'!D:D, 0)</f>
        <v>5</v>
      </c>
      <c r="H51" s="75">
        <f t="shared" si="9"/>
        <v>0.70588235294117652</v>
      </c>
      <c r="I51" s="34">
        <f>SUMIFS('BA History'!F:F,'BA History'!B:B,A51)</f>
        <v>44</v>
      </c>
      <c r="J51" s="2">
        <f>SUMIFS('BA History'!E:E,'BA History'!B:B,A51)-I51</f>
        <v>26</v>
      </c>
      <c r="K51" s="75">
        <f t="shared" si="10"/>
        <v>0.62857142857142856</v>
      </c>
      <c r="L51" s="34">
        <f>SUMIFS('BA History'!H:H,'BA History'!B:B,A51)</f>
        <v>166</v>
      </c>
      <c r="M51" s="2">
        <f>SUMIFS('BA History'!G:G,'BA History'!B:B,A51)-L51</f>
        <v>129</v>
      </c>
      <c r="N51" s="93">
        <f t="shared" si="11"/>
        <v>0.56271186440677967</v>
      </c>
      <c r="O51" s="2">
        <f>COUNTIFS('BA History'!$B:$B,$A$51,'BA History'!K:K, 1)</f>
        <v>2</v>
      </c>
      <c r="P51" s="2">
        <f>COUNTIFS('BA History'!$B:$B,$A$51,'BA History'!L:L, 1)</f>
        <v>1</v>
      </c>
      <c r="Q51" s="2">
        <f>COUNTIFS('BA History'!$B:$B,$A$51,'BA History'!M:M, 1)</f>
        <v>4</v>
      </c>
      <c r="R51" s="2">
        <f>COUNTIFS('BA History'!$B:$B,$A$51,'BA History'!N:N, 1)</f>
        <v>9</v>
      </c>
      <c r="S51" s="2">
        <f>COUNTIFS('BA History'!$B:$B,$A$51,'BA History'!O:O, 1)</f>
        <v>2</v>
      </c>
      <c r="T51" s="2">
        <f>COUNTIFS('BA History'!$B:$B,$A$51,'BA History'!P:P, 1)</f>
        <v>1</v>
      </c>
      <c r="U51" s="2">
        <f>COUNTIFS('BA History'!$B:$B,$A$51,'BA History'!Q:Q, 1)</f>
        <v>1</v>
      </c>
      <c r="V51" s="2">
        <f>COUNTIFS('BA History'!$B:$B,$A$51,'BA History'!R:R, 1)</f>
        <v>1</v>
      </c>
      <c r="W51" s="2">
        <f>COUNTIFS('BA History'!$B:$B,$A$51,'BA History'!S:S, 1)</f>
        <v>1</v>
      </c>
      <c r="X51" s="2">
        <f>COUNTIFS('BA History'!$B:$B,$A$51,'BA History'!T:T, 1)</f>
        <v>0</v>
      </c>
      <c r="Y51" s="2">
        <f>COUNTIFS('BA History'!$B:$B,$A$51,'BA History'!U:U, 1)</f>
        <v>0</v>
      </c>
      <c r="Z51" s="2">
        <f>COUNTIFS('BA History'!$B:$B,$A$51,'BA History'!V:V, 1)</f>
        <v>2</v>
      </c>
      <c r="AA51" s="2">
        <f>COUNTIFS('BA History'!$B:$B,$A$51,'BA History'!W:W, 1)</f>
        <v>0</v>
      </c>
      <c r="AB51" s="2">
        <f>COUNTIFS('BA History'!$B:$B,$A$51,'BA History'!X:X, 1)</f>
        <v>0</v>
      </c>
      <c r="AC51" s="2">
        <f>COUNTIFS('BA History'!$B:$B,$A$51,'BA History'!Y:Y, 1)</f>
        <v>4</v>
      </c>
      <c r="AD51" s="2">
        <f>COUNTIFS('BA History'!$B:$B,$A$51,'BA History'!Z:Z, 1)</f>
        <v>5</v>
      </c>
      <c r="AE51" s="2">
        <f>COUNTIFS('BA History'!$B:$B,$A$51,'BA History'!AA:AA, 1)</f>
        <v>1</v>
      </c>
      <c r="AF51" s="2">
        <f>COUNTIFS('BA History'!$B:$B,$A$51,'BA History'!AB:AB, 1)</f>
        <v>0</v>
      </c>
      <c r="AG51" s="2">
        <f>COUNTIFS('BA History'!$B:$B,$A$51,'BA History'!AC:AC, 1)</f>
        <v>3</v>
      </c>
      <c r="AH51" s="2">
        <f>COUNTIFS('BA History'!$B:$B,$A$51,'BA History'!AD:AD, 1)</f>
        <v>4</v>
      </c>
      <c r="AI51" s="2">
        <f>COUNTIFS('BA History'!$B:$B,$A$51,'BA History'!AE:AE, 1)</f>
        <v>0</v>
      </c>
      <c r="AJ51" s="2">
        <f>COUNTIFS('BA History'!$B:$B,$A$51,'BA History'!AF:AF, 1)</f>
        <v>3</v>
      </c>
    </row>
    <row r="52" spans="1:36" x14ac:dyDescent="0.25">
      <c r="A52" s="2" t="s">
        <v>94</v>
      </c>
      <c r="B52" s="2" t="s">
        <v>79</v>
      </c>
      <c r="C52" s="34">
        <f>SUMIFS('BA History'!C:C,'BA History'!B:B,A52)</f>
        <v>18</v>
      </c>
      <c r="D52" s="66">
        <f>AVERAGEIFS('BA History'!C:C,'BA History'!B:B,A52)</f>
        <v>18</v>
      </c>
      <c r="E52" s="35">
        <f t="array" ref="E52">MAX(IF('BA History'!B:B=A52, 'BA History'!C:C))</f>
        <v>18</v>
      </c>
      <c r="F52" s="34">
        <f>COUNTIFS('BA History'!B:B,A52,'BA History'!D:D, 1)</f>
        <v>1</v>
      </c>
      <c r="G52" s="2">
        <f>COUNTIFS('BA History'!B:B,A52,'BA History'!D:D, 0)</f>
        <v>0</v>
      </c>
      <c r="H52" s="75">
        <f t="shared" si="9"/>
        <v>1</v>
      </c>
      <c r="I52" s="34">
        <f>SUMIFS('BA History'!F:F,'BA History'!B:B,A52)</f>
        <v>3</v>
      </c>
      <c r="J52" s="2">
        <f>SUMIFS('BA History'!E:E,'BA History'!B:B,A52)-I52</f>
        <v>2</v>
      </c>
      <c r="K52" s="75">
        <f t="shared" si="10"/>
        <v>0.6</v>
      </c>
      <c r="L52" s="34">
        <f>SUMIFS('BA History'!H:H,'BA History'!B:B,A52)</f>
        <v>11</v>
      </c>
      <c r="M52" s="2">
        <f>SUMIFS('BA History'!G:G,'BA History'!B:B,A52)-L52</f>
        <v>10</v>
      </c>
      <c r="N52" s="93">
        <f t="shared" si="11"/>
        <v>0.52380952380952384</v>
      </c>
      <c r="O52" s="2">
        <f>COUNTIFS('BA History'!$B:$B,$A$52,'BA History'!K:K, 1)</f>
        <v>0</v>
      </c>
      <c r="P52" s="2">
        <f>COUNTIFS('BA History'!$B:$B,$A$52,'BA History'!L:L, 1)</f>
        <v>0</v>
      </c>
      <c r="Q52" s="2">
        <f>COUNTIFS('BA History'!$B:$B,$A$52,'BA History'!M:M, 1)</f>
        <v>0</v>
      </c>
      <c r="R52" s="2">
        <f>COUNTIFS('BA History'!$B:$B,$A$52,'BA History'!N:N, 1)</f>
        <v>0</v>
      </c>
      <c r="S52" s="2">
        <f>COUNTIFS('BA History'!$B:$B,$A$52,'BA History'!O:O, 1)</f>
        <v>0</v>
      </c>
      <c r="T52" s="2">
        <f>COUNTIFS('BA History'!$B:$B,$A$52,'BA History'!P:P, 1)</f>
        <v>0</v>
      </c>
      <c r="U52" s="2">
        <f>COUNTIFS('BA History'!$B:$B,$A$52,'BA History'!Q:Q, 1)</f>
        <v>0</v>
      </c>
      <c r="V52" s="2">
        <f>COUNTIFS('BA History'!$B:$B,$A$52,'BA History'!R:R, 1)</f>
        <v>0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0</v>
      </c>
      <c r="Z52" s="2">
        <f>COUNTIFS('BA History'!$B:$B,$A$52,'BA History'!V:V, 1)</f>
        <v>0</v>
      </c>
      <c r="AA52" s="2">
        <f>COUNTIFS('BA History'!$B:$B,$A$52,'BA History'!W:W, 1)</f>
        <v>1</v>
      </c>
      <c r="AB52" s="2">
        <f>COUNTIFS('BA History'!$B:$B,$A$52,'BA History'!X:X, 1)</f>
        <v>1</v>
      </c>
      <c r="AC52" s="2">
        <f>COUNTIFS('BA History'!$B:$B,$A$52,'BA History'!Y:Y, 1)</f>
        <v>0</v>
      </c>
      <c r="AD52" s="2">
        <f>COUNTIFS('BA History'!$B:$B,$A$52,'BA History'!Z:Z, 1)</f>
        <v>1</v>
      </c>
      <c r="AE52" s="2">
        <f>COUNTIFS('BA History'!$B:$B,$A$52,'BA History'!AA:AA, 1)</f>
        <v>0</v>
      </c>
      <c r="AF52" s="2">
        <f>COUNTIFS('BA History'!$B:$B,$A$52,'BA History'!AB:AB, 1)</f>
        <v>0</v>
      </c>
      <c r="AG52" s="2">
        <f>COUNTIFS('BA History'!$B:$B,$A$52,'BA History'!AC:AC, 1)</f>
        <v>0</v>
      </c>
      <c r="AH52" s="2">
        <f>COUNTIFS('BA History'!$B:$B,$A$52,'BA History'!AD:AD, 1)</f>
        <v>0</v>
      </c>
      <c r="AI52" s="2">
        <f>COUNTIFS('BA History'!$B:$B,$A$52,'BA History'!AE:AE, 1)</f>
        <v>0</v>
      </c>
      <c r="AJ52" s="2">
        <f>COUNTIFS('BA History'!$B:$B,$A$52,'BA History'!AF:AF, 1)</f>
        <v>0</v>
      </c>
    </row>
    <row r="53" spans="1:36" ht="15.75" thickBot="1" x14ac:dyDescent="0.3">
      <c r="A53" s="2" t="s">
        <v>55</v>
      </c>
      <c r="B53" s="2" t="s">
        <v>79</v>
      </c>
      <c r="C53" s="34">
        <f>SUMIFS('BA History'!C:C,'BA History'!B:B,A53)</f>
        <v>2</v>
      </c>
      <c r="D53" s="66">
        <f>AVERAGEIFS('BA History'!C:C,'BA History'!B:B,A53)</f>
        <v>2</v>
      </c>
      <c r="E53" s="35">
        <f t="array" ref="E53">MAX(IF('BA History'!B:B=A53, 'BA History'!C:C))</f>
        <v>2</v>
      </c>
      <c r="F53" s="34">
        <f>COUNTIFS('BA History'!B:B,A53,'BA History'!D:D, 1)</f>
        <v>0</v>
      </c>
      <c r="G53" s="2">
        <f>COUNTIFS('BA History'!B:B,A53,'BA History'!D:D, 0)</f>
        <v>1</v>
      </c>
      <c r="H53" s="76">
        <f t="shared" si="9"/>
        <v>0</v>
      </c>
      <c r="I53" s="34">
        <f>SUMIFS('BA History'!F:F,'BA History'!B:B,A53)</f>
        <v>0</v>
      </c>
      <c r="J53" s="2">
        <f>SUMIFS('BA History'!E:E,'BA History'!B:B,A53)-I53</f>
        <v>3</v>
      </c>
      <c r="K53" s="76">
        <f t="shared" si="10"/>
        <v>0</v>
      </c>
      <c r="L53" s="34">
        <f>SUMIFS('BA History'!H:H,'BA History'!B:B,A53)</f>
        <v>4</v>
      </c>
      <c r="M53" s="48">
        <v>9</v>
      </c>
      <c r="N53" s="94">
        <f t="shared" si="11"/>
        <v>0.30769230769230771</v>
      </c>
      <c r="O53" s="2">
        <f>COUNTIFS('BA History'!$B:$B,$A$53,'BA History'!K:K, 1)</f>
        <v>0</v>
      </c>
      <c r="P53" s="2">
        <f>COUNTIFS('BA History'!$B:$B,$A$53,'BA History'!L:L, 1)</f>
        <v>0</v>
      </c>
      <c r="Q53" s="2">
        <f>COUNTIFS('BA History'!$B:$B,$A$53,'BA History'!M:M, 1)</f>
        <v>0</v>
      </c>
      <c r="R53" s="2">
        <f>COUNTIFS('BA History'!$B:$B,$A$53,'BA History'!N:N, 1)</f>
        <v>0</v>
      </c>
      <c r="S53" s="2">
        <f>COUNTIFS('BA History'!$B:$B,$A$53,'BA History'!O:O, 1)</f>
        <v>0</v>
      </c>
      <c r="T53" s="2">
        <f>COUNTIFS('BA History'!$B:$B,$A$53,'BA History'!P:P, 1)</f>
        <v>0</v>
      </c>
      <c r="U53" s="2">
        <f>COUNTIFS('BA History'!$B:$B,$A$53,'BA History'!Q:Q, 1)</f>
        <v>0</v>
      </c>
      <c r="V53" s="2">
        <f>COUNTIFS('BA History'!$B:$B,$A$53,'BA History'!R:R, 1)</f>
        <v>0</v>
      </c>
      <c r="W53" s="2">
        <f>COUNTIFS('BA History'!$B:$B,$A$53,'BA History'!S:S, 1)</f>
        <v>0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0</v>
      </c>
      <c r="AA53" s="2">
        <f>COUNTIFS('BA History'!$B:$B,$A$53,'BA History'!W:W, 1)</f>
        <v>0</v>
      </c>
      <c r="AB53" s="2">
        <f>COUNTIFS('BA History'!$B:$B,$A$53,'BA History'!X:X, 1)</f>
        <v>0</v>
      </c>
      <c r="AC53" s="2">
        <f>COUNTIFS('BA History'!$B:$B,$A$53,'BA History'!Y:Y, 1)</f>
        <v>0</v>
      </c>
      <c r="AD53" s="2">
        <f>COUNTIFS('BA History'!$B:$B,$A$53,'BA History'!Z:Z, 1)</f>
        <v>0</v>
      </c>
      <c r="AE53" s="2">
        <f>COUNTIFS('BA History'!$B:$B,$A$53,'BA History'!AA:AA, 1)</f>
        <v>0</v>
      </c>
      <c r="AF53" s="2">
        <f>COUNTIFS('BA History'!$B:$B,$A$53,'BA History'!AB:AB, 1)</f>
        <v>0</v>
      </c>
      <c r="AG53" s="2">
        <f>COUNTIFS('BA History'!$B:$B,$A$53,'BA History'!AC:AC, 1)</f>
        <v>0</v>
      </c>
      <c r="AH53" s="2">
        <f>COUNTIFS('BA History'!$B:$B,$A$53,'BA History'!AD:AD, 1)</f>
        <v>0</v>
      </c>
      <c r="AI53" s="2">
        <f>COUNTIFS('BA History'!$B:$B,$A$53,'BA History'!AE:AE, 1)</f>
        <v>0</v>
      </c>
      <c r="AJ53" s="2">
        <f>COUNTIFS('BA History'!$B:$B,$A$53,'BA History'!AF:AF, 1)</f>
        <v>0</v>
      </c>
    </row>
  </sheetData>
  <autoFilter ref="A1:AJ53" xr:uid="{DA548192-1F03-46EA-8AB8-115EB9A7CE5D}">
    <sortState xmlns:xlrd2="http://schemas.microsoft.com/office/spreadsheetml/2017/richdata2" ref="A2:AJ53">
      <sortCondition ref="A1:A53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51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519" sqref="B519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6" bestFit="1" customWidth="1"/>
    <col min="35" max="35" width="12" bestFit="1" customWidth="1"/>
    <col min="36" max="36" width="16.425781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147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f>AVERAGEIFS($C$2:C2, $B$2:B2, B2)</f>
        <v>25</v>
      </c>
      <c r="AH2">
        <f>AVERAGEIFS($I$2:I2, $B$2:B2, B2)</f>
        <v>0.6</v>
      </c>
      <c r="AI2">
        <f>AVERAGEIFS($I$2:J2, $B$2:C2, C2)</f>
        <v>0.67</v>
      </c>
      <c r="AJ2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f>AVERAGEIFS($C$2:C3, $B$2:B3, B3)</f>
        <v>25</v>
      </c>
      <c r="AH3">
        <f>AVERAGEIFS($I$2:I3, $B$2:B3, B3)</f>
        <v>0.6</v>
      </c>
      <c r="AI3">
        <f>AVERAGEIFS($I$2:J3, $B$2:C3, C3)</f>
        <v>0.67</v>
      </c>
      <c r="AJ3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f>AVERAGEIFS($C$2:C4, $B$2:B4, B4)</f>
        <v>24</v>
      </c>
      <c r="AH4">
        <f>AVERAGEIFS($I$2:I4, $B$2:B4, B4)</f>
        <v>0.6</v>
      </c>
      <c r="AI4">
        <f>AVERAGEIFS($I$2:J4, $B$2:C4, C4)</f>
        <v>0.67</v>
      </c>
      <c r="AJ4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f>AVERAGEIFS($C$2:C5, $B$2:B5, B5)</f>
        <v>16</v>
      </c>
      <c r="AH5">
        <f>AVERAGEIFS($I$2:I5, $B$2:B5, B5)</f>
        <v>0.6</v>
      </c>
      <c r="AI5">
        <f>AVERAGEIFS($I$2:J5, $B$2:C5, C5)</f>
        <v>0.67</v>
      </c>
      <c r="AJ5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f>AVERAGEIFS($C$2:C6, $B$2:B6, B6)</f>
        <v>11</v>
      </c>
      <c r="AH6">
        <f>AVERAGEIFS($I$2:I6, $B$2:B6, B6)</f>
        <v>0.6</v>
      </c>
      <c r="AI6">
        <f>AVERAGEIFS($I$2:J6, $B$2:C6, C6)</f>
        <v>0.67</v>
      </c>
      <c r="AJ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f>AVERAGEIFS($C$2:C7, $B$2:B7, B7)</f>
        <v>7</v>
      </c>
      <c r="AH7">
        <f>AVERAGEIFS($I$2:I7, $B$2:B7, B7)</f>
        <v>0.6</v>
      </c>
      <c r="AI7">
        <f>AVERAGEIFS($I$2:J7, $B$2:C7, C7)</f>
        <v>0.67</v>
      </c>
      <c r="AJ7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f>AVERAGEIFS($C$2:C8, $B$2:B8, B8)</f>
        <v>36</v>
      </c>
      <c r="AH8">
        <f>AVERAGEIFS($I$2:I8, $B$2:B8, B8)</f>
        <v>0.4</v>
      </c>
      <c r="AI8">
        <f>AVERAGEIFS($I$2:J8, $B$2:C8, C8)</f>
        <v>0.33</v>
      </c>
      <c r="AJ8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f>AVERAGEIFS($C$2:C9, $B$2:B9, B9)</f>
        <v>28</v>
      </c>
      <c r="AH9">
        <f>AVERAGEIFS($I$2:I9, $B$2:B9, B9)</f>
        <v>0.4</v>
      </c>
      <c r="AI9">
        <f>AVERAGEIFS($I$2:J9, $B$2:C9, C9)</f>
        <v>0.33</v>
      </c>
      <c r="AJ9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f>AVERAGEIFS($C$2:C10, $B$2:B10, B10)</f>
        <v>17</v>
      </c>
      <c r="AH10">
        <f>AVERAGEIFS($I$2:I10, $B$2:B10, B10)</f>
        <v>0.4</v>
      </c>
      <c r="AI10">
        <f>AVERAGEIFS($I$2:J10, $B$2:C10, C10)</f>
        <v>0.33</v>
      </c>
      <c r="AJ10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f>AVERAGEIFS($C$2:C11, $B$2:B11, B11)</f>
        <v>12</v>
      </c>
      <c r="AH11">
        <f>AVERAGEIFS($I$2:I11, $B$2:B11, B11)</f>
        <v>0.4</v>
      </c>
      <c r="AI11">
        <f>AVERAGEIFS($I$2:J11, $B$2:C11, C11)</f>
        <v>0.33</v>
      </c>
      <c r="AJ11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f>AVERAGEIFS($C$2:C12, $B$2:B12, B12)</f>
        <v>9</v>
      </c>
      <c r="AH12">
        <f>AVERAGEIFS($I$2:I12, $B$2:B12, B12)</f>
        <v>0.4</v>
      </c>
      <c r="AI12">
        <f>AVERAGEIFS($I$2:J12, $B$2:C12, C12)</f>
        <v>0.33</v>
      </c>
      <c r="AJ12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f>AVERAGEIFS($C$2:C13, $B$2:B13, B13)</f>
        <v>3</v>
      </c>
      <c r="AH13">
        <f>AVERAGEIFS($I$2:I13, $B$2:B13, B13)</f>
        <v>0.4</v>
      </c>
      <c r="AI13">
        <f>AVERAGEIFS($I$2:J13, $B$2:C13, C13)</f>
        <v>0.33</v>
      </c>
      <c r="AJ13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>
        <f>AVERAGEIFS($C$2:C14, $B$2:B14, B14)</f>
        <v>9.5</v>
      </c>
      <c r="AH14">
        <f>AVERAGEIFS($I$2:I14, $B$2:B14, B14)</f>
        <v>0.6</v>
      </c>
      <c r="AI14">
        <f>AVERAGEIFS($I$2:J14, $B$2:C14, C14)</f>
        <v>0.48</v>
      </c>
      <c r="AJ14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>
        <f>AVERAGEIFS($C$2:C15, $B$2:B15, B15)</f>
        <v>27.5</v>
      </c>
      <c r="AH15">
        <f>AVERAGEIFS($I$2:I15, $B$2:B15, B15)</f>
        <v>0.6</v>
      </c>
      <c r="AI15">
        <f>AVERAGEIFS($I$2:J15, $B$2:C15, C15)</f>
        <v>0.48</v>
      </c>
      <c r="AJ15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>
        <f>AVERAGEIFS($C$2:C16, $B$2:B16, B16)</f>
        <v>24</v>
      </c>
      <c r="AH16">
        <f>AVERAGEIFS($I$2:I16, $B$2:B16, B16)</f>
        <v>0.6</v>
      </c>
      <c r="AI16">
        <f>AVERAGEIFS($I$2:J16, $B$2:C16, C16)</f>
        <v>0.57499999999999996</v>
      </c>
      <c r="AJ1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>
        <f>AVERAGEIFS($C$2:C17, $B$2:B17, B17)</f>
        <v>13</v>
      </c>
      <c r="AH17">
        <f>AVERAGEIFS($I$2:I17, $B$2:B17, B17)</f>
        <v>0.6</v>
      </c>
      <c r="AI17">
        <f>AVERAGEIFS($I$2:J17, $B$2:C17, C17)</f>
        <v>0.48</v>
      </c>
      <c r="AJ17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>
        <f>AVERAGEIFS($C$2:C18, $B$2:B18, B18)</f>
        <v>8.5</v>
      </c>
      <c r="AH18">
        <f>AVERAGEIFS($I$2:I18, $B$2:B18, B18)</f>
        <v>0.5</v>
      </c>
      <c r="AI18">
        <f>AVERAGEIFS($I$2:J18, $B$2:C18, C18)</f>
        <v>0.48</v>
      </c>
      <c r="AJ18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>
        <f>AVERAGEIFS($C$2:C19, $B$2:B19, B19)</f>
        <v>6</v>
      </c>
      <c r="AH19">
        <f>AVERAGEIFS($I$2:I19, $B$2:B19, B19)</f>
        <v>0.6</v>
      </c>
      <c r="AI19">
        <f>AVERAGEIFS($I$2:J19, $B$2:C19, C19)</f>
        <v>0.48</v>
      </c>
      <c r="AJ19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f>AVERAGEIFS($C$2:C20, $B$2:B20, B20)</f>
        <v>32</v>
      </c>
      <c r="AH20">
        <f>AVERAGEIFS($I$2:I20, $B$2:B20, B20)</f>
        <v>0.6</v>
      </c>
      <c r="AI20">
        <f>AVERAGEIFS($I$2:J20, $B$2:C20, C20)</f>
        <v>0.48</v>
      </c>
      <c r="AJ20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>
        <f>AVERAGEIFS($C$2:C21, $B$2:B21, B21)</f>
        <v>15</v>
      </c>
      <c r="AH21">
        <f>AVERAGEIFS($I$2:I21, $B$2:B21, B21)</f>
        <v>0.6</v>
      </c>
      <c r="AI21">
        <f>AVERAGEIFS($I$2:J21, $B$2:C21, C21)</f>
        <v>0.48</v>
      </c>
      <c r="AJ21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>
        <f>AVERAGEIFS($C$2:C22, $B$2:B22, B22)</f>
        <v>31</v>
      </c>
      <c r="AH22">
        <f>AVERAGEIFS($I$2:I22, $B$2:B22, B22)</f>
        <v>0.5</v>
      </c>
      <c r="AI22">
        <f>AVERAGEIFS($I$2:J22, $B$2:C22, C22)</f>
        <v>0.52</v>
      </c>
      <c r="AJ22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>
        <f>AVERAGEIFS($C$2:C23, $B$2:B23, B23)</f>
        <v>17</v>
      </c>
      <c r="AH23">
        <f>AVERAGEIFS($I$2:I23, $B$2:B23, B23)</f>
        <v>0.5</v>
      </c>
      <c r="AI23">
        <f>AVERAGEIFS($I$2:J23, $B$2:C23, C23)</f>
        <v>0.52</v>
      </c>
      <c r="AJ23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>
        <f>AVERAGEIFS($C$2:C24, $B$2:B24, B24)</f>
        <v>21.5</v>
      </c>
      <c r="AH24">
        <f>AVERAGEIFS($I$2:I24, $B$2:B24, B24)</f>
        <v>0.4</v>
      </c>
      <c r="AI24">
        <f>AVERAGEIFS($I$2:J24, $B$2:C24, C24)</f>
        <v>0.52</v>
      </c>
      <c r="AJ24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>
        <f>AVERAGEIFS($C$2:C25, $B$2:B25, B25)</f>
        <v>14.5</v>
      </c>
      <c r="AH25">
        <f>AVERAGEIFS($I$2:I25, $B$2:B25, B25)</f>
        <v>0.4</v>
      </c>
      <c r="AI25">
        <f>AVERAGEIFS($I$2:J25, $B$2:C25, C25)</f>
        <v>0.52</v>
      </c>
      <c r="AJ25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>
        <f>AVERAGEIFS($C$2:C26, $B$2:B26, B26)</f>
        <v>11.5</v>
      </c>
      <c r="AH26">
        <f>AVERAGEIFS($I$2:I26, $B$2:B26, B26)</f>
        <v>0.5</v>
      </c>
      <c r="AI26">
        <f>AVERAGEIFS($I$2:J26, $B$2:C26, C26)</f>
        <v>0.59499999999999997</v>
      </c>
      <c r="AJ2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>
        <f>AVERAGEIFS($C$2:C27, $B$2:B27, B27)</f>
        <v>26.5</v>
      </c>
      <c r="AH27">
        <f>AVERAGEIFS($I$2:I27, $B$2:B27, B27)</f>
        <v>0.4</v>
      </c>
      <c r="AI27">
        <f>AVERAGEIFS($I$2:J27, $B$2:C27, C27)</f>
        <v>0.42500000000000004</v>
      </c>
      <c r="AJ27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>
        <f>AVERAGEIFS($C$2:C28, $B$2:B28, B28)</f>
        <v>28.5</v>
      </c>
      <c r="AH28">
        <f>AVERAGEIFS($I$2:I28, $B$2:B28, B28)</f>
        <v>0.4</v>
      </c>
      <c r="AI28">
        <f>AVERAGEIFS($I$2:J28, $B$2:C28, C28)</f>
        <v>0.52</v>
      </c>
      <c r="AJ28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>
        <f>AVERAGEIFS($C$2:C29, $B$2:B29, B29)</f>
        <v>28.666666666666668</v>
      </c>
      <c r="AH29">
        <f>AVERAGEIFS($I$2:I29, $B$2:B29, B29)</f>
        <v>0.58333333333333337</v>
      </c>
      <c r="AI29">
        <f>AVERAGEIFS($I$2:J29, $B$2:C29, C29)</f>
        <v>0.58333333333333337</v>
      </c>
      <c r="AJ29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>
        <f>AVERAGEIFS($C$2:C30, $B$2:B30, B30)</f>
        <v>23</v>
      </c>
      <c r="AH30">
        <f>AVERAGEIFS($I$2:I30, $B$2:B30, B30)</f>
        <v>0.75</v>
      </c>
      <c r="AI30">
        <f>AVERAGEIFS($I$2:J30, $B$2:C30, C30)</f>
        <v>0.6</v>
      </c>
      <c r="AJ30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>
        <f>AVERAGEIFS($C$2:C31, $B$2:B31, B31)</f>
        <v>22.5</v>
      </c>
      <c r="AH31">
        <f>AVERAGEIFS($I$2:I31, $B$2:B31, B31)</f>
        <v>0.67500000000000004</v>
      </c>
      <c r="AI31">
        <f>AVERAGEIFS($I$2:J31, $B$2:C31, C31)</f>
        <v>0.6</v>
      </c>
      <c r="AJ31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>
        <f>AVERAGEIFS($C$2:C32, $B$2:B32, B32)</f>
        <v>18</v>
      </c>
      <c r="AH32">
        <f>AVERAGEIFS($I$2:I32, $B$2:B32, B32)</f>
        <v>0.67500000000000004</v>
      </c>
      <c r="AI32">
        <f>AVERAGEIFS($I$2:J32, $B$2:C32, C32)</f>
        <v>0.6</v>
      </c>
      <c r="AJ32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>
        <f>AVERAGEIFS($C$2:C33, $B$2:B33, B33)</f>
        <v>12.333333333333334</v>
      </c>
      <c r="AH33">
        <f>AVERAGEIFS($I$2:I33, $B$2:B33, B33)</f>
        <v>0.58333333333333337</v>
      </c>
      <c r="AI33">
        <f>AVERAGEIFS($I$2:J33, $B$2:C33, C33)</f>
        <v>0.6</v>
      </c>
      <c r="AJ33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>
        <f>AVERAGEIFS($C$2:C34, $B$2:B34, B34)</f>
        <v>11</v>
      </c>
      <c r="AH34">
        <f>AVERAGEIFS($I$2:I34, $B$2:B34, B34)</f>
        <v>0.75</v>
      </c>
      <c r="AI34">
        <f>AVERAGEIFS($I$2:J34, $B$2:C34, C34)</f>
        <v>0.63500000000000001</v>
      </c>
      <c r="AJ34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f>AVERAGEIFS($C$2:C35, $B$2:B35, B35)</f>
        <v>20.333333333333332</v>
      </c>
      <c r="AH35">
        <f>AVERAGEIFS($I$2:I35, $B$2:B35, B35)</f>
        <v>0.41666666666666669</v>
      </c>
      <c r="AI35">
        <f>AVERAGEIFS($I$2:J35, $B$2:C35, C35)</f>
        <v>0.4</v>
      </c>
      <c r="AJ35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f>AVERAGEIFS($C$2:C36, $B$2:B36, B36)</f>
        <v>25.333333333333332</v>
      </c>
      <c r="AH36">
        <f>AVERAGEIFS($I$2:I36, $B$2:B36, B36)</f>
        <v>0.48333333333333334</v>
      </c>
      <c r="AI36">
        <f>AVERAGEIFS($I$2:J36, $B$2:C36, C36)</f>
        <v>0.53333333333333333</v>
      </c>
      <c r="AJ3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f>AVERAGEIFS($C$2:C37, $B$2:B37, B37)</f>
        <v>20.666666666666668</v>
      </c>
      <c r="AH37">
        <f>AVERAGEIFS($I$2:I37, $B$2:B37, B37)</f>
        <v>0.35000000000000003</v>
      </c>
      <c r="AI37">
        <f>AVERAGEIFS($I$2:J37, $B$2:C37, C37)</f>
        <v>0.4</v>
      </c>
      <c r="AJ37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f>AVERAGEIFS($C$2:C38, $B$2:B38, B38)</f>
        <v>13.5</v>
      </c>
      <c r="AH38">
        <f>AVERAGEIFS($I$2:I38, $B$2:B38, B38)</f>
        <v>0.42499999999999999</v>
      </c>
      <c r="AI38">
        <f>AVERAGEIFS($I$2:J38, $B$2:C38, C38)</f>
        <v>0.55666666666666664</v>
      </c>
      <c r="AJ38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f>AVERAGEIFS($C$2:C39, $B$2:B39, B39)</f>
        <v>9</v>
      </c>
      <c r="AH39">
        <f>AVERAGEIFS($I$2:I39, $B$2:B39, B39)</f>
        <v>0.25</v>
      </c>
      <c r="AI39">
        <f>AVERAGEIFS($I$2:J39, $B$2:C39, C39)</f>
        <v>0.36499999999999999</v>
      </c>
      <c r="AJ39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f>AVERAGEIFS($C$2:C40, $B$2:B40, B40)</f>
        <v>23</v>
      </c>
      <c r="AH40">
        <f>AVERAGEIFS($I$2:I40, $B$2:B40, B40)</f>
        <v>0.35000000000000003</v>
      </c>
      <c r="AI40">
        <f>AVERAGEIFS($I$2:J40, $B$2:C40, C40)</f>
        <v>0.36499999999999999</v>
      </c>
      <c r="AJ40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>
        <f>AVERAGEIFS($C$2:C41, $B$2:B41, B41)</f>
        <v>24</v>
      </c>
      <c r="AH41">
        <f>AVERAGEIFS($I$2:I41, $B$2:B41, B41)</f>
        <v>1</v>
      </c>
      <c r="AI41">
        <f>AVERAGEIFS($I$2:J41, $B$2:C41, C41)</f>
        <v>0.61</v>
      </c>
      <c r="AJ41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>
        <f>AVERAGEIFS($C$2:C42, $B$2:B42, B42)</f>
        <v>23</v>
      </c>
      <c r="AH42">
        <f>AVERAGEIFS($I$2:I42, $B$2:B42, B42)</f>
        <v>0.875</v>
      </c>
      <c r="AI42">
        <f>AVERAGEIFS($I$2:J42, $B$2:C42, C42)</f>
        <v>0.64500000000000002</v>
      </c>
      <c r="AJ42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f>AVERAGEIFS($C$2:C43, $B$2:B43, B43)</f>
        <v>23.666666666666668</v>
      </c>
      <c r="AH43">
        <f>AVERAGEIFS($I$2:I43, $B$2:B43, B43)</f>
        <v>0.6</v>
      </c>
      <c r="AI43">
        <f>AVERAGEIFS($I$2:J43, $B$2:C43, C43)</f>
        <v>0.69</v>
      </c>
      <c r="AJ43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>
        <f>AVERAGEIFS($C$2:C44, $B$2:B44, B44)</f>
        <v>23</v>
      </c>
      <c r="AH44">
        <f>AVERAGEIFS($I$2:I44, $B$2:B44, B44)</f>
        <v>0.61250000000000004</v>
      </c>
      <c r="AI44">
        <f>AVERAGEIFS($I$2:J44, $B$2:C44, C44)</f>
        <v>0.62666666666666659</v>
      </c>
      <c r="AJ44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>
        <f>AVERAGEIFS($C$2:C45, $B$2:B45, B45)</f>
        <v>12.5</v>
      </c>
      <c r="AH45">
        <f>AVERAGEIFS($I$2:I45, $B$2:B45, B45)</f>
        <v>0.8</v>
      </c>
      <c r="AI45">
        <f>AVERAGEIFS($I$2:J45, $B$2:C45, C45)</f>
        <v>0.47333333333333333</v>
      </c>
      <c r="AJ45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f>AVERAGEIFS($C$2:C46, $B$2:B46, B46)</f>
        <v>9</v>
      </c>
      <c r="AH46">
        <f>AVERAGEIFS($I$2:I46, $B$2:B46, B46)</f>
        <v>0.73333333333333339</v>
      </c>
      <c r="AI46">
        <f>AVERAGEIFS($I$2:J46, $B$2:C46, C46)</f>
        <v>0.58499999999999996</v>
      </c>
      <c r="AJ4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f>AVERAGEIFS($C$2:C47, $B$2:B47, B47)</f>
        <v>27.75</v>
      </c>
      <c r="AH47">
        <f>AVERAGEIFS($I$2:I47, $B$2:B47, B47)</f>
        <v>0.4375</v>
      </c>
      <c r="AI47">
        <f>AVERAGEIFS($I$2:J47, $B$2:C47, C47)</f>
        <v>0.55000000000000004</v>
      </c>
      <c r="AJ47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f>AVERAGEIFS($C$2:C48, $B$2:B48, B48)</f>
        <v>22</v>
      </c>
      <c r="AH48">
        <f>AVERAGEIFS($I$2:I48, $B$2:B48, B48)</f>
        <v>0.26250000000000001</v>
      </c>
      <c r="AI48">
        <f>AVERAGEIFS($I$2:J48, $B$2:C48, C48)</f>
        <v>0.35499999999999998</v>
      </c>
      <c r="AJ48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f>AVERAGEIFS($C$2:C49, $B$2:B49, B49)</f>
        <v>17.666666666666668</v>
      </c>
      <c r="AH49">
        <f>AVERAGEIFS($I$2:I49, $B$2:B49, B49)</f>
        <v>0.45</v>
      </c>
      <c r="AI49">
        <f>AVERAGEIFS($I$2:J49, $B$2:C49, C49)</f>
        <v>0.38666666666666671</v>
      </c>
      <c r="AJ49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f>AVERAGEIFS($C$2:C50, $B$2:B50, B50)</f>
        <v>11.75</v>
      </c>
      <c r="AH50">
        <f>AVERAGEIFS($I$2:I50, $B$2:B50, B50)</f>
        <v>0.4375</v>
      </c>
      <c r="AI50">
        <f>AVERAGEIFS($I$2:J50, $B$2:C50, C50)</f>
        <v>0.41500000000000004</v>
      </c>
      <c r="AJ50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f>AVERAGEIFS($C$2:C51, $B$2:B51, B51)</f>
        <v>3</v>
      </c>
      <c r="AH51">
        <f>AVERAGEIFS($I$2:I51, $B$2:B51, B51)</f>
        <v>0</v>
      </c>
      <c r="AI51">
        <f>AVERAGEIFS($I$2:J51, $B$2:C51, C51)</f>
        <v>0.32</v>
      </c>
      <c r="AJ51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f>AVERAGEIFS($C$2:C52, $B$2:B52, B52)</f>
        <v>2</v>
      </c>
      <c r="AH52">
        <f>AVERAGEIFS($I$2:I52, $B$2:B52, B52)</f>
        <v>0</v>
      </c>
      <c r="AI52">
        <f>AVERAGEIFS($I$2:J52, $B$2:C52, C52)</f>
        <v>0.31</v>
      </c>
      <c r="AJ52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>
        <f>AVERAGEIFS($C$2:C53, $B$2:B53, B53)</f>
        <v>22</v>
      </c>
      <c r="AH53">
        <f>AVERAGEIFS($I$2:I53, $B$2:B53, B53)</f>
        <v>0.58750000000000002</v>
      </c>
      <c r="AI53">
        <f>AVERAGEIFS($I$2:J53, $B$2:C53, C53)</f>
        <v>0.64</v>
      </c>
      <c r="AJ53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>
        <f>AVERAGEIFS($C$2:C54, $B$2:B54, B54)</f>
        <v>27</v>
      </c>
      <c r="AH54">
        <f>AVERAGEIFS($I$2:I54, $B$2:B54, B54)</f>
        <v>0.55000000000000004</v>
      </c>
      <c r="AI54">
        <f>AVERAGEIFS($I$2:J54, $B$2:C54, C54)</f>
        <v>0.61599999999999999</v>
      </c>
      <c r="AJ54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>
        <f>AVERAGEIFS($C$2:C55, $B$2:B55, B55)</f>
        <v>23</v>
      </c>
      <c r="AH55">
        <f>AVERAGEIFS($I$2:I55, $B$2:B55, B55)</f>
        <v>0.91666666666666663</v>
      </c>
      <c r="AI55">
        <f>AVERAGEIFS($I$2:J55, $B$2:C55, C55)</f>
        <v>0.64333333333333342</v>
      </c>
      <c r="AJ55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>
        <f>AVERAGEIFS($C$2:C56, $B$2:B56, B56)</f>
        <v>23.25</v>
      </c>
      <c r="AH56">
        <f>AVERAGEIFS($I$2:I56, $B$2:B56, B56)</f>
        <v>0.7</v>
      </c>
      <c r="AI56">
        <f>AVERAGEIFS($I$2:J56, $B$2:C56, C56)</f>
        <v>0.64</v>
      </c>
      <c r="AJ5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>
        <f>AVERAGEIFS($C$2:C57, $B$2:B57, B57)</f>
        <v>12</v>
      </c>
      <c r="AH57">
        <f>AVERAGEIFS($I$2:I57, $B$2:B57, B57)</f>
        <v>1</v>
      </c>
      <c r="AI57">
        <f>AVERAGEIFS($I$2:J57, $B$2:C57, C57)</f>
        <v>0.51500000000000001</v>
      </c>
      <c r="AJ57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>
        <f>AVERAGEIFS($C$2:C58, $B$2:B58, B58)</f>
        <v>3</v>
      </c>
      <c r="AH58">
        <f>AVERAGEIFS($I$2:I58, $B$2:B58, B58)</f>
        <v>1</v>
      </c>
      <c r="AI58">
        <f>AVERAGEIFS($I$2:J58, $B$2:C58, C58)</f>
        <v>0.42666666666666669</v>
      </c>
      <c r="AJ58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f>AVERAGEIFS($C$2:C59, $B$2:B59, B59)</f>
        <v>28.5</v>
      </c>
      <c r="AH59">
        <f>AVERAGEIFS($I$2:I59, $B$2:B59, B59)</f>
        <v>0.3</v>
      </c>
      <c r="AI59">
        <f>AVERAGEIFS($I$2:J59, $B$2:C59, C59)</f>
        <v>0.50250000000000006</v>
      </c>
      <c r="AJ59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f>AVERAGEIFS($C$2:C60, $B$2:B60, B60)</f>
        <v>15.333333333333334</v>
      </c>
      <c r="AH60">
        <f>AVERAGEIFS($I$2:I60, $B$2:B60, B60)</f>
        <v>0.28333333333333333</v>
      </c>
      <c r="AI60">
        <f>AVERAGEIFS($I$2:J60, $B$2:C60, C60)</f>
        <v>0.35666666666666663</v>
      </c>
      <c r="AJ60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f>AVERAGEIFS($C$2:C61, $B$2:B61, B61)</f>
        <v>12.8</v>
      </c>
      <c r="AH61">
        <f>AVERAGEIFS($I$2:I61, $B$2:B61, B61)</f>
        <v>0.35</v>
      </c>
      <c r="AI61">
        <f>AVERAGEIFS($I$2:J61, $B$2:C61, C61)</f>
        <v>0.38</v>
      </c>
      <c r="AJ61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f>AVERAGEIFS($C$2:C62, $B$2:B62, B62)</f>
        <v>21.6</v>
      </c>
      <c r="AH62">
        <f>AVERAGEIFS($I$2:I62, $B$2:B62, B62)</f>
        <v>0.49000000000000005</v>
      </c>
      <c r="AI62">
        <f>AVERAGEIFS($I$2:J62, $B$2:C62, C62)</f>
        <v>0.55999999999999994</v>
      </c>
      <c r="AJ62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f>AVERAGEIFS($C$2:C63, $B$2:B63, B63)</f>
        <v>15</v>
      </c>
      <c r="AH63">
        <f>AVERAGEIFS($I$2:I63, $B$2:B63, B63)</f>
        <v>0</v>
      </c>
      <c r="AI63">
        <f>AVERAGEIFS($I$2:J63, $B$2:C63, C63)</f>
        <v>0.42</v>
      </c>
      <c r="AJ63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f>AVERAGEIFS($C$2:C64, $B$2:B64, B64)</f>
        <v>17.333333333333332</v>
      </c>
      <c r="AH64">
        <f>AVERAGEIFS($I$2:I64, $B$2:B64, B64)</f>
        <v>0.45</v>
      </c>
      <c r="AI64">
        <f>AVERAGEIFS($I$2:J64, $B$2:C64, C64)</f>
        <v>0.51500000000000001</v>
      </c>
      <c r="AJ64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>
        <f>AVERAGEIFS($C$2:C65, $B$2:B65, B65)</f>
        <v>18.5</v>
      </c>
      <c r="AH65">
        <f>AVERAGEIFS($I$2:I65, $B$2:B65, B65)</f>
        <v>0.5</v>
      </c>
      <c r="AI65">
        <f>AVERAGEIFS($I$2:J65, $B$2:C65, C65)</f>
        <v>0.73</v>
      </c>
      <c r="AJ65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>
        <f>AVERAGEIFS($C$2:C66, $B$2:B66, B66)</f>
        <v>21.4</v>
      </c>
      <c r="AH66">
        <f>AVERAGEIFS($I$2:I66, $B$2:B66, B66)</f>
        <v>0.67</v>
      </c>
      <c r="AI66">
        <f>AVERAGEIFS($I$2:J66, $B$2:C66, C66)</f>
        <v>0.47249999999999992</v>
      </c>
      <c r="AJ6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>
        <f>AVERAGEIFS($C$2:C67, $B$2:B67, B67)</f>
        <v>9.5</v>
      </c>
      <c r="AH67">
        <f>AVERAGEIFS($I$2:I67, $B$2:B67, B67)</f>
        <v>0.8</v>
      </c>
      <c r="AI67">
        <f>AVERAGEIFS($I$2:J67, $B$2:C67, C67)</f>
        <v>0.62249999999999994</v>
      </c>
      <c r="AJ67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>
        <f>AVERAGEIFS($C$2:C68, $B$2:B68, B68)</f>
        <v>19.833333333333332</v>
      </c>
      <c r="AH68">
        <f>AVERAGEIFS($I$2:I68, $B$2:B68, B68)</f>
        <v>0.57500000000000007</v>
      </c>
      <c r="AI68">
        <f>AVERAGEIFS($I$2:J68, $B$2:C68, C68)</f>
        <v>0.66199999999999992</v>
      </c>
      <c r="AJ68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>
        <f>AVERAGEIFS($C$2:C69, $B$2:B69, B69)</f>
        <v>13.25</v>
      </c>
      <c r="AH69">
        <f>AVERAGEIFS($I$2:I69, $B$2:B69, B69)</f>
        <v>0.46250000000000002</v>
      </c>
      <c r="AI69">
        <f>AVERAGEIFS($I$2:J69, $B$2:C69, C69)</f>
        <v>0.6166666666666667</v>
      </c>
      <c r="AJ69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>
        <f>AVERAGEIFS($C$2:C70, $B$2:B70, B70)</f>
        <v>11.666666666666666</v>
      </c>
      <c r="AH70">
        <f>AVERAGEIFS($I$2:I70, $B$2:B70, B70)</f>
        <v>0.45833333333333331</v>
      </c>
      <c r="AI70">
        <f>AVERAGEIFS($I$2:J70, $B$2:C70, C70)</f>
        <v>0.64999999999999991</v>
      </c>
      <c r="AJ70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f>AVERAGEIFS($C$2:C71, $B$2:B71, B71)</f>
        <v>21.6</v>
      </c>
      <c r="AH71">
        <f>AVERAGEIFS($I$2:I71, $B$2:B71, B71)</f>
        <v>0.21000000000000002</v>
      </c>
      <c r="AI71">
        <f>AVERAGEIFS($I$2:J71, $B$2:C71, C71)</f>
        <v>0.35</v>
      </c>
      <c r="AJ71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f>AVERAGEIFS($C$2:C72, $B$2:B72, B72)</f>
        <v>25.333333333333332</v>
      </c>
      <c r="AH72">
        <f>AVERAGEIFS($I$2:I72, $B$2:B72, B72)</f>
        <v>0.45833333333333331</v>
      </c>
      <c r="AI72">
        <f>AVERAGEIFS($I$2:J72, $B$2:C72, C72)</f>
        <v>0.33999999999999997</v>
      </c>
      <c r="AJ72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f>AVERAGEIFS($C$2:C73, $B$2:B73, B73)</f>
        <v>17.5</v>
      </c>
      <c r="AH73">
        <f>AVERAGEIFS($I$2:I73, $B$2:B73, B73)</f>
        <v>0.3125</v>
      </c>
      <c r="AI73">
        <f>AVERAGEIFS($I$2:J73, $B$2:C73, C73)</f>
        <v>0.30333333333333329</v>
      </c>
      <c r="AJ73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f>AVERAGEIFS($C$2:C74, $B$2:B74, B74)</f>
        <v>18.75</v>
      </c>
      <c r="AH74">
        <f>AVERAGEIFS($I$2:I74, $B$2:B74, B74)</f>
        <v>0.6875</v>
      </c>
      <c r="AI74">
        <f>AVERAGEIFS($I$2:J74, $B$2:C74, C74)</f>
        <v>0.49333333333333323</v>
      </c>
      <c r="AJ74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f>AVERAGEIFS($C$2:C75, $B$2:B75, B75)</f>
        <v>5</v>
      </c>
      <c r="AH75">
        <f>AVERAGEIFS($I$2:I75, $B$2:B75, B75)</f>
        <v>0</v>
      </c>
      <c r="AI75">
        <f>AVERAGEIFS($I$2:J75, $B$2:C75, C75)</f>
        <v>0.32999999999999996</v>
      </c>
      <c r="AJ75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f>AVERAGEIFS($C$2:C76, $B$2:B76, B76)</f>
        <v>2</v>
      </c>
      <c r="AH76">
        <f>AVERAGEIFS($I$2:I76, $B$2:B76, B76)</f>
        <v>0</v>
      </c>
      <c r="AI76">
        <f>AVERAGEIFS($I$2:J76, $B$2:C76, C76)</f>
        <v>0.245</v>
      </c>
      <c r="AJ7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>
        <f>AVERAGEIFS($C$2:C77, $B$2:B77, B77)</f>
        <v>26.142857142857142</v>
      </c>
      <c r="AH77">
        <f>AVERAGEIFS($I$2:I77, $B$2:B77, B77)</f>
        <v>0.48857142857142855</v>
      </c>
      <c r="AI77">
        <f>AVERAGEIFS($I$2:J77, $B$2:C77, C77)</f>
        <v>0.53</v>
      </c>
      <c r="AJ77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>
        <f>AVERAGEIFS($C$2:C78, $B$2:B78, B78)</f>
        <v>22</v>
      </c>
      <c r="AH78">
        <f>AVERAGEIFS($I$2:I78, $B$2:B78, B78)</f>
        <v>0.28666666666666668</v>
      </c>
      <c r="AI78">
        <f>AVERAGEIFS($I$2:J78, $B$2:C78, C78)</f>
        <v>0.60166666666666668</v>
      </c>
      <c r="AJ78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>
        <f>AVERAGEIFS($C$2:C79, $B$2:B79, B79)</f>
        <v>18.600000000000001</v>
      </c>
      <c r="AH79">
        <f>AVERAGEIFS($I$2:I79, $B$2:B79, B79)</f>
        <v>0.38400000000000001</v>
      </c>
      <c r="AI79">
        <f>AVERAGEIFS($I$2:J79, $B$2:C79, C79)</f>
        <v>0.61499999999999999</v>
      </c>
      <c r="AJ79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f>AVERAGEIFS($C$2:C80, $B$2:B80, B80)</f>
        <v>19.399999999999999</v>
      </c>
      <c r="AH80">
        <f>AVERAGEIFS($I$2:I80, $B$2:B80, B80)</f>
        <v>0.68399999999999994</v>
      </c>
      <c r="AI80">
        <f>AVERAGEIFS($I$2:J80, $B$2:C80, C80)</f>
        <v>0.66333333333333333</v>
      </c>
      <c r="AJ80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f>AVERAGEIFS($C$2:C81, $B$2:B81, B81)</f>
        <v>10.5</v>
      </c>
      <c r="AH81">
        <f>AVERAGEIFS($I$2:I81, $B$2:B81, B81)</f>
        <v>0.33500000000000002</v>
      </c>
      <c r="AI81">
        <f>AVERAGEIFS($I$2:J81, $B$2:C81, C81)</f>
        <v>0.55399999999999994</v>
      </c>
      <c r="AJ81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f>AVERAGEIFS($C$2:C82, $B$2:B82, B82)</f>
        <v>7</v>
      </c>
      <c r="AH82">
        <f>AVERAGEIFS($I$2:I82, $B$2:B82, B82)</f>
        <v>0.71</v>
      </c>
      <c r="AI82">
        <f>AVERAGEIFS($I$2:J82, $B$2:C82, C82)</f>
        <v>0.45250000000000001</v>
      </c>
      <c r="AJ82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f>AVERAGEIFS($C$2:C83, $B$2:B83, B83)</f>
        <v>21.333333333333332</v>
      </c>
      <c r="AH83">
        <f>AVERAGEIFS($I$2:I83, $B$2:B83, B83)</f>
        <v>0.44333333333333336</v>
      </c>
      <c r="AI83">
        <f>AVERAGEIFS($I$2:J83, $B$2:C83, C83)</f>
        <v>0.435</v>
      </c>
      <c r="AJ83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f>AVERAGEIFS($C$2:C84, $B$2:B84, B84)</f>
        <v>15.6</v>
      </c>
      <c r="AH84">
        <f>AVERAGEIFS($I$2:I84, $B$2:B84, B84)</f>
        <v>0.43600000000000005</v>
      </c>
      <c r="AI84">
        <f>AVERAGEIFS($I$2:J84, $B$2:C84, C84)</f>
        <v>0.49600000000000011</v>
      </c>
      <c r="AJ84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f>AVERAGEIFS($C$2:C85, $B$2:B85, B85)</f>
        <v>21.5</v>
      </c>
      <c r="AH85">
        <f>AVERAGEIFS($I$2:I85, $B$2:B85, B85)</f>
        <v>0.6133333333333334</v>
      </c>
      <c r="AI85">
        <f>AVERAGEIFS($I$2:J85, $B$2:C85, C85)</f>
        <v>0.61499999999999999</v>
      </c>
      <c r="AJ85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f>AVERAGEIFS($C$2:C86, $B$2:B86, B86)</f>
        <v>19.285714285714285</v>
      </c>
      <c r="AH86">
        <f>AVERAGEIFS($I$2:I86, $B$2:B86, B86)</f>
        <v>0.54</v>
      </c>
      <c r="AI86">
        <f>AVERAGEIFS($I$2:J86, $B$2:C86, C86)</f>
        <v>0.53999999999999992</v>
      </c>
      <c r="AJ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f>AVERAGEIFS($C$2:C87, $B$2:B87, B87)</f>
        <v>12</v>
      </c>
      <c r="AH87">
        <f>AVERAGEIFS($I$2:I87, $B$2:B87, B87)</f>
        <v>0.44</v>
      </c>
      <c r="AI87">
        <f>AVERAGEIFS($I$2:J87, $B$2:C87, C87)</f>
        <v>0.53499999999999992</v>
      </c>
      <c r="AJ87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f>AVERAGEIFS($C$2:C88, $B$2:B88, B88)</f>
        <v>9.1999999999999993</v>
      </c>
      <c r="AH88">
        <f>AVERAGEIFS($I$2:I88, $B$2:B88, B88)</f>
        <v>0.70600000000000007</v>
      </c>
      <c r="AI88">
        <f>AVERAGEIFS($I$2:J88, $B$2:C88, C88)</f>
        <v>0.54666666666666663</v>
      </c>
      <c r="AJ88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f>AVERAGEIFS($C$2:C89, $B$2:B89, B89)</f>
        <v>26.666666666666668</v>
      </c>
      <c r="AH89">
        <f>AVERAGEIFS($I$2:I89, $B$2:B89, B89)</f>
        <v>0.45</v>
      </c>
      <c r="AI89">
        <f>AVERAGEIFS($I$2:J89, $B$2:C89, C89)</f>
        <v>0.61199999999999999</v>
      </c>
      <c r="AJ89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f>AVERAGEIFS($C$2:C90, $B$2:B90, B90)</f>
        <v>19.625</v>
      </c>
      <c r="AH90">
        <f>AVERAGEIFS($I$2:I90, $B$2:B90, B90)</f>
        <v>0.56625000000000003</v>
      </c>
      <c r="AI90">
        <f>AVERAGEIFS($I$2:J90, $B$2:C90, C90)</f>
        <v>0.61199999999999999</v>
      </c>
      <c r="AJ90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f>AVERAGEIFS($C$2:C91, $B$2:B91, B91)</f>
        <v>15.5</v>
      </c>
      <c r="AH91">
        <f>AVERAGEIFS($I$2:I91, $B$2:B91, B91)</f>
        <v>0.875</v>
      </c>
      <c r="AI91">
        <f>AVERAGEIFS($I$2:J91, $B$2:C91, C91)</f>
        <v>0.49799999999999994</v>
      </c>
      <c r="AJ91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f>AVERAGEIFS($C$2:C92, $B$2:B92, B92)</f>
        <v>21</v>
      </c>
      <c r="AH92">
        <f>AVERAGEIFS($I$2:I92, $B$2:B92, B92)</f>
        <v>0.35285714285714287</v>
      </c>
      <c r="AI92">
        <f>AVERAGEIFS($I$2:J92, $B$2:C92, C92)</f>
        <v>0.48</v>
      </c>
      <c r="AJ92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f>AVERAGEIFS($C$2:C93, $B$2:B93, B93)</f>
        <v>24.625</v>
      </c>
      <c r="AH93">
        <f>AVERAGEIFS($I$2:I93, $B$2:B93, B93)</f>
        <v>0.52124999999999999</v>
      </c>
      <c r="AI93">
        <f>AVERAGEIFS($I$2:J93, $B$2:C93, C93)</f>
        <v>0.55666666666666664</v>
      </c>
      <c r="AJ93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f>AVERAGEIFS($C$2:C94, $B$2:B94, B94)</f>
        <v>2.5</v>
      </c>
      <c r="AH94">
        <f>AVERAGEIFS($I$2:I94, $B$2:B94, B94)</f>
        <v>0.375</v>
      </c>
      <c r="AI94">
        <f>AVERAGEIFS($I$2:J94, $B$2:C94, C94)</f>
        <v>0.48200000000000004</v>
      </c>
      <c r="AJ94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>
        <f>AVERAGEIFS($C$2:C95, $B$2:B95, B95)</f>
        <v>22.25</v>
      </c>
      <c r="AH95">
        <f>AVERAGEIFS($I$2:I95, $B$2:B95, B95)</f>
        <v>0.39500000000000002</v>
      </c>
      <c r="AI95">
        <f>AVERAGEIFS($I$2:J95, $B$2:C95, C95)</f>
        <v>0.48000000000000004</v>
      </c>
      <c r="AJ95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>
        <f>AVERAGEIFS($C$2:C96, $B$2:B96, B96)</f>
        <v>20</v>
      </c>
      <c r="AH96">
        <f>AVERAGEIFS($I$2:I96, $B$2:B96, B96)</f>
        <v>0.32500000000000001</v>
      </c>
      <c r="AI96">
        <f>AVERAGEIFS($I$2:J96, $B$2:C96, C96)</f>
        <v>0.54499999999999993</v>
      </c>
      <c r="AJ9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>
        <f>AVERAGEIFS($C$2:C97, $B$2:B97, B97)</f>
        <v>22.2</v>
      </c>
      <c r="AH97">
        <f>AVERAGEIFS($I$2:I97, $B$2:B97, B97)</f>
        <v>0.61</v>
      </c>
      <c r="AI97">
        <f>AVERAGEIFS($I$2:J97, $B$2:C97, C97)</f>
        <v>0.49666666666666659</v>
      </c>
      <c r="AJ97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>
        <f>AVERAGEIFS($C$2:C98, $B$2:B98, B98)</f>
        <v>17.666666666666668</v>
      </c>
      <c r="AH98">
        <f>AVERAGEIFS($I$2:I98, $B$2:B98, B98)</f>
        <v>0.36166666666666664</v>
      </c>
      <c r="AI98">
        <f>AVERAGEIFS($I$2:J98, $B$2:C98, C98)</f>
        <v>0.44</v>
      </c>
      <c r="AJ98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>
        <f>AVERAGEIFS($C$2:C99, $B$2:B99, B99)</f>
        <v>12</v>
      </c>
      <c r="AH99">
        <f>AVERAGEIFS($I$2:I99, $B$2:B99, B99)</f>
        <v>0.25</v>
      </c>
      <c r="AI99">
        <f>AVERAGEIFS($I$2:J99, $B$2:C99, C99)</f>
        <v>0.49199999999999999</v>
      </c>
      <c r="AJ99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>
        <f>AVERAGEIFS($C$2:C100, $B$2:B100, B100)</f>
        <v>9.1666666666666661</v>
      </c>
      <c r="AH100">
        <f>AVERAGEIFS($I$2:I100, $B$2:B100, B100)</f>
        <v>0.63</v>
      </c>
      <c r="AI100">
        <f>AVERAGEIFS($I$2:J100, $B$2:C100, C100)</f>
        <v>0.32750000000000001</v>
      </c>
      <c r="AJ100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f>AVERAGEIFS($C$2:C101, $B$2:B101, B101)</f>
        <v>20.399999999999999</v>
      </c>
      <c r="AH101">
        <f>AVERAGEIFS($I$2:I101, $B$2:B101, B101)</f>
        <v>0.38</v>
      </c>
      <c r="AI101">
        <f>AVERAGEIFS($I$2:J101, $B$2:C101, C101)</f>
        <v>0.59666666666666668</v>
      </c>
      <c r="AJ101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f>AVERAGEIFS($C$2:C102, $B$2:B102, B102)</f>
        <v>18</v>
      </c>
      <c r="AH102">
        <f>AVERAGEIFS($I$2:I102, $B$2:B102, B102)</f>
        <v>0.6</v>
      </c>
      <c r="AI102">
        <f>AVERAGEIFS($I$2:J102, $B$2:C102, C102)</f>
        <v>0.50249999999999995</v>
      </c>
      <c r="AJ102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f>AVERAGEIFS($C$2:C103, $B$2:B103, B103)</f>
        <v>19</v>
      </c>
      <c r="AH103">
        <f>AVERAGEIFS($I$2:I103, $B$2:B103, B103)</f>
        <v>0.8</v>
      </c>
      <c r="AI103">
        <f>AVERAGEIFS($I$2:J103, $B$2:C103, C103)</f>
        <v>0.54749999999999999</v>
      </c>
      <c r="AJ103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f>AVERAGEIFS($C$2:C104, $B$2:B104, B104)</f>
        <v>17</v>
      </c>
      <c r="AH104">
        <f>AVERAGEIFS($I$2:I104, $B$2:B104, B104)</f>
        <v>0.39571428571428574</v>
      </c>
      <c r="AI104">
        <f>AVERAGEIFS($I$2:J104, $B$2:C104, C104)</f>
        <v>0.46666666666666662</v>
      </c>
      <c r="AJ104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f>AVERAGEIFS($C$2:C105, $B$2:B105, B105)</f>
        <v>20.5</v>
      </c>
      <c r="AH105">
        <f>AVERAGEIFS($I$2:I105, $B$2:B105, B105)</f>
        <v>0.60833333333333328</v>
      </c>
      <c r="AI105">
        <f>AVERAGEIFS($I$2:J105, $B$2:C105, C105)</f>
        <v>0.49666666666666665</v>
      </c>
      <c r="AJ105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>
        <f>AVERAGEIFS($C$2:C106, $B$2:B106, B106)</f>
        <v>24.666666666666668</v>
      </c>
      <c r="AH106">
        <f>AVERAGEIFS($I$2:I106, $B$2:B106, B106)</f>
        <v>0.50777777777777777</v>
      </c>
      <c r="AI106">
        <f>AVERAGEIFS($I$2:J106, $B$2:C106, C106)</f>
        <v>0.48000000000000004</v>
      </c>
      <c r="AJ10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>
        <f>AVERAGEIFS($C$2:C107, $B$2:B107, B107)</f>
        <v>20.875</v>
      </c>
      <c r="AH107">
        <f>AVERAGEIFS($I$2:I107, $B$2:B107, B107)</f>
        <v>0.35875000000000001</v>
      </c>
      <c r="AI107">
        <f>AVERAGEIFS($I$2:J107, $B$2:C107, C107)</f>
        <v>0.39333333333333331</v>
      </c>
      <c r="AJ107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>
        <f>AVERAGEIFS($C$2:C108, $B$2:B108, B108)</f>
        <v>18.888888888888889</v>
      </c>
      <c r="AH108">
        <f>AVERAGEIFS($I$2:I108, $B$2:B108, B108)</f>
        <v>0.54777777777777781</v>
      </c>
      <c r="AI108">
        <f>AVERAGEIFS($I$2:J108, $B$2:C108, C108)</f>
        <v>0.47</v>
      </c>
      <c r="AJ108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>
        <f>AVERAGEIFS($C$2:C109, $B$2:B109, B109)</f>
        <v>9.2857142857142865</v>
      </c>
      <c r="AH109">
        <f>AVERAGEIFS($I$2:I109, $B$2:B109, B109)</f>
        <v>0.5971428571428572</v>
      </c>
      <c r="AI109">
        <f>AVERAGEIFS($I$2:J109, $B$2:C109, C109)</f>
        <v>0.4366666666666667</v>
      </c>
      <c r="AJ109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>
        <f>AVERAGEIFS($C$2:C110, $B$2:B110, B110)</f>
        <v>13.333333333333334</v>
      </c>
      <c r="AH110">
        <f>AVERAGEIFS($I$2:I110, $B$2:B110, B110)</f>
        <v>0.71666666666666667</v>
      </c>
      <c r="AI110">
        <f>AVERAGEIFS($I$2:J110, $B$2:C110, C110)</f>
        <v>0.35799999999999998</v>
      </c>
      <c r="AJ110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>
        <f>AVERAGEIFS($C$2:C111, $B$2:B111, B111)</f>
        <v>22</v>
      </c>
      <c r="AH111">
        <f>AVERAGEIFS($I$2:I111, $B$2:B111, B111)</f>
        <v>0.66857142857142848</v>
      </c>
      <c r="AI111">
        <f>AVERAGEIFS($I$2:J111, $B$2:C111, C111)</f>
        <v>0.49125000000000002</v>
      </c>
      <c r="AJ111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>
        <f>AVERAGEIFS($C$2:C112, $B$2:B112, B112)</f>
        <v>23.9</v>
      </c>
      <c r="AH112">
        <f>AVERAGEIFS($I$2:I112, $B$2:B112, B112)</f>
        <v>0.55700000000000005</v>
      </c>
      <c r="AI112">
        <f>AVERAGEIFS($I$2:J112, $B$2:C112, C112)</f>
        <v>0.37833333333333335</v>
      </c>
      <c r="AJ112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>
        <f>AVERAGEIFS($C$2:C113, $B$2:B113, B113)</f>
        <v>19.666666666666668</v>
      </c>
      <c r="AH113">
        <f>AVERAGEIFS($I$2:I113, $B$2:B113, B113)</f>
        <v>0.48333333333333334</v>
      </c>
      <c r="AI113">
        <f>AVERAGEIFS($I$2:J113, $B$2:C113, C113)</f>
        <v>0.54428571428571415</v>
      </c>
      <c r="AJ113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f>AVERAGEIFS($C$2:C114, $B$2:B114, B114)</f>
        <v>20</v>
      </c>
      <c r="AH114">
        <f>AVERAGEIFS($I$2:I114, $B$2:B114, B114)</f>
        <v>0.43</v>
      </c>
      <c r="AI114">
        <f>AVERAGEIFS($I$2:J114, $B$2:C114, C114)</f>
        <v>0.48999999999999994</v>
      </c>
      <c r="AJ114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>
        <f>AVERAGEIFS($C$2:C115, $B$2:B115, B115)</f>
        <v>11.5</v>
      </c>
      <c r="AH115">
        <f>AVERAGEIFS($I$2:I115, $B$2:B115, B115)</f>
        <v>0.51</v>
      </c>
      <c r="AI115">
        <f>AVERAGEIFS($I$2:J115, $B$2:C115, C115)</f>
        <v>0.55249999999999999</v>
      </c>
      <c r="AJ115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f>AVERAGEIFS($C$2:C116, $B$2:B116, B116)</f>
        <v>21.6</v>
      </c>
      <c r="AH116">
        <f>AVERAGEIFS($I$2:I116, $B$2:B116, B116)</f>
        <v>0.316</v>
      </c>
      <c r="AI116">
        <f>AVERAGEIFS($I$2:J116, $B$2:C116, C116)</f>
        <v>0.48666666666666664</v>
      </c>
      <c r="AJ11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f>AVERAGEIFS($C$2:C117, $B$2:B117, B117)</f>
        <v>17</v>
      </c>
      <c r="AH117">
        <f>AVERAGEIFS($I$2:I117, $B$2:B117, B117)</f>
        <v>0</v>
      </c>
      <c r="AI117">
        <f>AVERAGEIFS($I$2:J117, $B$2:C117, C117)</f>
        <v>0.38571428571428573</v>
      </c>
      <c r="AJ117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f>AVERAGEIFS($C$2:C118, $B$2:B118, B118)</f>
        <v>18.666666666666668</v>
      </c>
      <c r="AH118">
        <f>AVERAGEIFS($I$2:I118, $B$2:B118, B118)</f>
        <v>0.56999999999999995</v>
      </c>
      <c r="AI118">
        <f>AVERAGEIFS($I$2:J118, $B$2:C118, C118)</f>
        <v>0.46749999999999997</v>
      </c>
      <c r="AJ118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f>AVERAGEIFS($C$2:C119, $B$2:B119, B119)</f>
        <v>9</v>
      </c>
      <c r="AH119">
        <f>AVERAGEIFS($I$2:I119, $B$2:B119, B119)</f>
        <v>0.52250000000000008</v>
      </c>
      <c r="AI119">
        <f>AVERAGEIFS($I$2:J119, $B$2:C119, C119)</f>
        <v>0.57000000000000006</v>
      </c>
      <c r="AJ119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f>AVERAGEIFS($C$2:C120, $B$2:B120, B120)</f>
        <v>17.7</v>
      </c>
      <c r="AH120">
        <f>AVERAGEIFS($I$2:I120, $B$2:B120, B120)</f>
        <v>0.49300000000000005</v>
      </c>
      <c r="AI120">
        <f>AVERAGEIFS($I$2:J120, $B$2:C120, C120)</f>
        <v>0.54200000000000004</v>
      </c>
      <c r="AJ120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>
        <f>AVERAGEIFS($C$2:C121, $B$2:B121, B121)</f>
        <v>17</v>
      </c>
      <c r="AH121">
        <f>AVERAGEIFS($I$2:I121, $B$2:B121, B121)</f>
        <v>0.6</v>
      </c>
      <c r="AI121">
        <f>AVERAGEIFS($I$2:J121, $B$2:C121, C121)</f>
        <v>0.40500000000000003</v>
      </c>
      <c r="AJ121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>
        <f>AVERAGEIFS($C$2:C122, $B$2:B122, B122)</f>
        <v>17</v>
      </c>
      <c r="AH122">
        <f>AVERAGEIFS($I$2:I122, $B$2:B122, B122)</f>
        <v>0.6</v>
      </c>
      <c r="AI122">
        <f>AVERAGEIFS($I$2:J122, $B$2:C122, C122)</f>
        <v>0.42000000000000004</v>
      </c>
      <c r="AJ122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f>AVERAGEIFS($C$2:C123, $B$2:B123, B123)</f>
        <v>21.142857142857142</v>
      </c>
      <c r="AH123">
        <f>AVERAGEIFS($I$2:I123, $B$2:B123, B123)</f>
        <v>0.57428571428571418</v>
      </c>
      <c r="AI123">
        <f>AVERAGEIFS($I$2:J123, $B$2:C123, C123)</f>
        <v>0.43500000000000005</v>
      </c>
      <c r="AJ123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>
        <f>AVERAGEIFS($C$2:C124, $B$2:B124, B124)</f>
        <v>24.181818181818183</v>
      </c>
      <c r="AH124">
        <f>AVERAGEIFS($I$2:I124, $B$2:B124, B124)</f>
        <v>0.56090909090909091</v>
      </c>
      <c r="AI124">
        <f>AVERAGEIFS($I$2:J124, $B$2:C124, C124)</f>
        <v>0.47000000000000003</v>
      </c>
      <c r="AJ124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>
        <f>AVERAGEIFS($C$2:C125, $B$2:B125, B125)</f>
        <v>16.5</v>
      </c>
      <c r="AH125">
        <f>AVERAGEIFS($I$2:I125, $B$2:B125, B125)</f>
        <v>0.48750000000000004</v>
      </c>
      <c r="AI125">
        <f>AVERAGEIFS($I$2:J125, $B$2:C125, C125)</f>
        <v>0.54600000000000004</v>
      </c>
      <c r="AJ125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>
        <f>AVERAGEIFS($C$2:C126, $B$2:B126, B126)</f>
        <v>18</v>
      </c>
      <c r="AH126">
        <f>AVERAGEIFS($I$2:I126, $B$2:B126, B126)</f>
        <v>0.48454545454545461</v>
      </c>
      <c r="AI126">
        <f>AVERAGEIFS($I$2:J126, $B$2:C126, C126)</f>
        <v>0.51500000000000001</v>
      </c>
      <c r="AJ12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>
        <f>AVERAGEIFS($C$2:C127, $B$2:B127, B127)</f>
        <v>21.625</v>
      </c>
      <c r="AH127">
        <f>AVERAGEIFS($I$2:I127, $B$2:B127, B127)</f>
        <v>0.63500000000000001</v>
      </c>
      <c r="AI127">
        <f>AVERAGEIFS($I$2:J127, $B$2:C127, C127)</f>
        <v>0.48285714285714282</v>
      </c>
      <c r="AJ127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>
        <f>AVERAGEIFS($C$2:C128, $B$2:B128, B128)</f>
        <v>15.5</v>
      </c>
      <c r="AH128">
        <f>AVERAGEIFS($I$2:I128, $B$2:B128, B128)</f>
        <v>0.32500000000000001</v>
      </c>
      <c r="AI128">
        <f>AVERAGEIFS($I$2:J128, $B$2:C128, C128)</f>
        <v>0.48</v>
      </c>
      <c r="AJ128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>
        <f>AVERAGEIFS($C$2:C129, $B$2:B129, B129)</f>
        <v>18.714285714285715</v>
      </c>
      <c r="AH129">
        <f>AVERAGEIFS($I$2:I129, $B$2:B129, B129)</f>
        <v>0.47142857142857142</v>
      </c>
      <c r="AI129">
        <f>AVERAGEIFS($I$2:J129, $B$2:C129, C129)</f>
        <v>0.48499999999999993</v>
      </c>
      <c r="AJ129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>
        <f>AVERAGEIFS($C$2:C130, $B$2:B130, B130)</f>
        <v>27</v>
      </c>
      <c r="AH130">
        <f>AVERAGEIFS($I$2:I130, $B$2:B130, B130)</f>
        <v>0.4</v>
      </c>
      <c r="AI130">
        <f>AVERAGEIFS($I$2:J130, $B$2:C130, C130)</f>
        <v>0.46750000000000003</v>
      </c>
      <c r="AJ130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>
        <f>AVERAGEIFS($C$2:C131, $B$2:B131, B131)</f>
        <v>21.166666666666668</v>
      </c>
      <c r="AH131">
        <f>AVERAGEIFS($I$2:I131, $B$2:B131, B131)</f>
        <v>0.38833333333333336</v>
      </c>
      <c r="AI131">
        <f>AVERAGEIFS($I$2:J131, $B$2:C131, C131)</f>
        <v>0.51444444444444448</v>
      </c>
      <c r="AJ131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>
        <f>AVERAGEIFS($C$2:C132, $B$2:B132, B132)</f>
        <v>18.5</v>
      </c>
      <c r="AH132">
        <f>AVERAGEIFS($I$2:I132, $B$2:B132, B132)</f>
        <v>0.50624999999999998</v>
      </c>
      <c r="AI132">
        <f>AVERAGEIFS($I$2:J132, $B$2:C132, C132)</f>
        <v>0.45700000000000002</v>
      </c>
      <c r="AJ132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>
        <f>AVERAGEIFS($C$2:C133, $B$2:B133, B133)</f>
        <v>19.3</v>
      </c>
      <c r="AH133">
        <f>AVERAGEIFS($I$2:I133, $B$2:B133, B133)</f>
        <v>0.46200000000000002</v>
      </c>
      <c r="AI133">
        <f>AVERAGEIFS($I$2:J133, $B$2:C133, C133)</f>
        <v>0.52857142857142858</v>
      </c>
      <c r="AJ133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>
        <f>AVERAGEIFS($C$2:C134, $B$2:B134, B134)</f>
        <v>20.555555555555557</v>
      </c>
      <c r="AH134">
        <f>AVERAGEIFS($I$2:I134, $B$2:B134, B134)</f>
        <v>0.64777777777777779</v>
      </c>
      <c r="AI134">
        <f>AVERAGEIFS($I$2:J134, $B$2:C134, C134)</f>
        <v>0.53857142857142859</v>
      </c>
      <c r="AJ134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>
        <f>AVERAGEIFS($C$2:C135, $B$2:B135, B135)</f>
        <v>10</v>
      </c>
      <c r="AH135">
        <f>AVERAGEIFS($I$2:I135, $B$2:B135, B135)</f>
        <v>0.75</v>
      </c>
      <c r="AI135">
        <f>AVERAGEIFS($I$2:J135, $B$2:C135, C135)</f>
        <v>0.52500000000000002</v>
      </c>
      <c r="AJ135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>
        <f>AVERAGEIFS($C$2:C136, $B$2:B136, B136)</f>
        <v>8.3333333333333339</v>
      </c>
      <c r="AH136">
        <f>AVERAGEIFS($I$2:I136, $B$2:B136, B136)</f>
        <v>0.54777777777777781</v>
      </c>
      <c r="AI136">
        <f>AVERAGEIFS($I$2:J136, $B$2:C136, C136)</f>
        <v>0.53333333333333333</v>
      </c>
      <c r="AJ13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f>AVERAGEIFS($C$2:C137, $B$2:B137, B137)</f>
        <v>23.75</v>
      </c>
      <c r="AH137">
        <f>AVERAGEIFS($I$2:I137, $B$2:B137, B137)</f>
        <v>0.53500000000000003</v>
      </c>
      <c r="AI137">
        <f>AVERAGEIFS($I$2:J137, $B$2:C137, C137)</f>
        <v>0.48399999999999999</v>
      </c>
      <c r="AJ137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f>AVERAGEIFS($C$2:C138, $B$2:B138, B138)</f>
        <v>19.5</v>
      </c>
      <c r="AH138">
        <f>AVERAGEIFS($I$2:I138, $B$2:B138, B138)</f>
        <v>0.32500000000000001</v>
      </c>
      <c r="AI138">
        <f>AVERAGEIFS($I$2:J138, $B$2:C138, C138)</f>
        <v>0.4975</v>
      </c>
      <c r="AJ138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f>AVERAGEIFS($C$2:C139, $B$2:B139, B139)</f>
        <v>11.444444444444445</v>
      </c>
      <c r="AH139">
        <f>AVERAGEIFS($I$2:I139, $B$2:B139, B139)</f>
        <v>0.4811111111111111</v>
      </c>
      <c r="AI139">
        <f>AVERAGEIFS($I$2:J139, $B$2:C139, C139)</f>
        <v>0.58666666666666656</v>
      </c>
      <c r="AJ139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f>AVERAGEIFS($C$2:C140, $B$2:B140, B140)</f>
        <v>14</v>
      </c>
      <c r="AH140">
        <f>AVERAGEIFS($I$2:I140, $B$2:B140, B140)</f>
        <v>0.42499999999999999</v>
      </c>
      <c r="AI140">
        <f>AVERAGEIFS($I$2:J140, $B$2:C140, C140)</f>
        <v>0.53285714285714281</v>
      </c>
      <c r="AJ140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f>AVERAGEIFS($C$2:C141, $B$2:B141, B141)</f>
        <v>12</v>
      </c>
      <c r="AH141">
        <f>AVERAGEIFS($I$2:I141, $B$2:B141, B141)</f>
        <v>0.3</v>
      </c>
      <c r="AI141">
        <f>AVERAGEIFS($I$2:J141, $B$2:C141, C141)</f>
        <v>0.28999999999999998</v>
      </c>
      <c r="AJ141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f>AVERAGEIFS($C$2:C142, $B$2:B142, B142)</f>
        <v>11</v>
      </c>
      <c r="AH142">
        <f>AVERAGEIFS($I$2:I142, $B$2:B142, B142)</f>
        <v>0.42499999999999999</v>
      </c>
      <c r="AI142">
        <f>AVERAGEIFS($I$2:J142, $B$2:C142, C142)</f>
        <v>0.26999999999999996</v>
      </c>
      <c r="AJ142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f>AVERAGEIFS($C$2:C143, $B$2:B143, B143)</f>
        <v>18.916666666666668</v>
      </c>
      <c r="AH143">
        <f>AVERAGEIFS($I$2:I143, $B$2:B143, B143)</f>
        <v>0.50666666666666671</v>
      </c>
      <c r="AI143">
        <f>AVERAGEIFS($I$2:J143, $B$2:C143, C143)</f>
        <v>0.58000000000000007</v>
      </c>
      <c r="AJ143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f>AVERAGEIFS($C$2:C144, $B$2:B144, B144)</f>
        <v>20.8</v>
      </c>
      <c r="AH144">
        <f>AVERAGEIFS($I$2:I144, $B$2:B144, B144)</f>
        <v>0.65800000000000003</v>
      </c>
      <c r="AI144">
        <f>AVERAGEIFS($I$2:J144, $B$2:C144, C144)</f>
        <v>0.6166666666666667</v>
      </c>
      <c r="AJ144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f>AVERAGEIFS($C$2:C145, $B$2:B145, B145)</f>
        <v>21</v>
      </c>
      <c r="AH145">
        <f>AVERAGEIFS($I$2:I145, $B$2:B145, B145)</f>
        <v>0.44</v>
      </c>
      <c r="AI145">
        <f>AVERAGEIFS($I$2:J145, $B$2:C145, C145)</f>
        <v>0.45499999999999996</v>
      </c>
      <c r="AJ145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f>AVERAGEIFS($C$2:C146, $B$2:B146, B146)</f>
        <v>11</v>
      </c>
      <c r="AH146">
        <f>AVERAGEIFS($I$2:I146, $B$2:B146, B146)</f>
        <v>0.75</v>
      </c>
      <c r="AI146">
        <f>AVERAGEIFS($I$2:J146, $B$2:C146, C146)</f>
        <v>0.51333333333333331</v>
      </c>
      <c r="AJ14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f>AVERAGEIFS($C$2:C147, $B$2:B147, B147)</f>
        <v>11.333333333333334</v>
      </c>
      <c r="AH147">
        <f>AVERAGEIFS($I$2:I147, $B$2:B147, B147)</f>
        <v>0.53333333333333333</v>
      </c>
      <c r="AI147">
        <f>AVERAGEIFS($I$2:J147, $B$2:C147, C147)</f>
        <v>0.52999999999999992</v>
      </c>
      <c r="AJ147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f>AVERAGEIFS($C$2:C148, $B$2:B148, B148)</f>
        <v>8</v>
      </c>
      <c r="AH148">
        <f>AVERAGEIFS($I$2:I148, $B$2:B148, B148)</f>
        <v>0.56800000000000006</v>
      </c>
      <c r="AI148">
        <f>AVERAGEIFS($I$2:J148, $B$2:C148, C148)</f>
        <v>0.34399999999999997</v>
      </c>
      <c r="AJ148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f>AVERAGEIFS($C$2:C149, $B$2:B149, B149)</f>
        <v>24.384615384615383</v>
      </c>
      <c r="AH149">
        <f>AVERAGEIFS($I$2:I149, $B$2:B149, B149)</f>
        <v>0.5130769230769231</v>
      </c>
      <c r="AI149">
        <f>AVERAGEIFS($I$2:J149, $B$2:C149, C149)</f>
        <v>0.42</v>
      </c>
      <c r="AJ149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f>AVERAGEIFS($C$2:C150, $B$2:B150, B150)</f>
        <v>19.181818181818183</v>
      </c>
      <c r="AH150">
        <f>AVERAGEIFS($I$2:I150, $B$2:B150, B150)</f>
        <v>0.44272727272727275</v>
      </c>
      <c r="AI150">
        <f>AVERAGEIFS($I$2:J150, $B$2:C150, C150)</f>
        <v>0.47399999999999992</v>
      </c>
      <c r="AJ150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f>AVERAGEIFS($C$2:C151, $B$2:B151, B151)</f>
        <v>18.333333333333332</v>
      </c>
      <c r="AH151">
        <f>AVERAGEIFS($I$2:I151, $B$2:B151, B151)</f>
        <v>0.47777777777777775</v>
      </c>
      <c r="AI151">
        <f>AVERAGEIFS($I$2:J151, $B$2:C151, C151)</f>
        <v>0.44818181818181824</v>
      </c>
      <c r="AJ151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f>AVERAGEIFS($C$2:C152, $B$2:B152, B152)</f>
        <v>12.5</v>
      </c>
      <c r="AH152">
        <f>AVERAGEIFS($I$2:I152, $B$2:B152, B152)</f>
        <v>0.28749999999999998</v>
      </c>
      <c r="AI152">
        <f>AVERAGEIFS($I$2:J152, $B$2:C152, C152)</f>
        <v>0.51500000000000001</v>
      </c>
      <c r="AJ152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f>AVERAGEIFS($C$2:C153, $B$2:B153, B153)</f>
        <v>15</v>
      </c>
      <c r="AH153">
        <f>AVERAGEIFS($I$2:I153, $B$2:B153, B153)</f>
        <v>0.40500000000000003</v>
      </c>
      <c r="AI153">
        <f>AVERAGEIFS($I$2:J153, $B$2:C153, C153)</f>
        <v>0.49800000000000005</v>
      </c>
      <c r="AJ153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f>AVERAGEIFS($C$2:C154, $B$2:B154, B154)</f>
        <v>8</v>
      </c>
      <c r="AH154">
        <f>AVERAGEIFS($I$2:I154, $B$2:B154, B154)</f>
        <v>0.3666666666666667</v>
      </c>
      <c r="AI154">
        <f>AVERAGEIFS($I$2:J154, $B$2:C154, C154)</f>
        <v>0.28333333333333333</v>
      </c>
      <c r="AJ154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>
        <f>AVERAGEIFS($C$2:C155, $B$2:B155, B155)</f>
        <v>21.625</v>
      </c>
      <c r="AH155">
        <f>AVERAGEIFS($I$2:I155, $B$2:B155, B155)</f>
        <v>0.51</v>
      </c>
      <c r="AI155">
        <f>AVERAGEIFS($I$2:J155, $B$2:C155, C155)</f>
        <v>0.56000000000000005</v>
      </c>
      <c r="AJ155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>
        <f>AVERAGEIFS($C$2:C156, $B$2:B156, B156)</f>
        <v>19.23076923076923</v>
      </c>
      <c r="AH156">
        <f>AVERAGEIFS($I$2:I156, $B$2:B156, B156)</f>
        <v>0.54461538461538472</v>
      </c>
      <c r="AI156">
        <f>AVERAGEIFS($I$2:J156, $B$2:C156, C156)</f>
        <v>0.61428571428571421</v>
      </c>
      <c r="AJ15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>
        <f>AVERAGEIFS($C$2:C157, $B$2:B157, B157)</f>
        <v>20.818181818181817</v>
      </c>
      <c r="AH157">
        <f>AVERAGEIFS($I$2:I157, $B$2:B157, B157)</f>
        <v>0.68909090909090909</v>
      </c>
      <c r="AI157">
        <f>AVERAGEIFS($I$2:J157, $B$2:C157, C157)</f>
        <v>0.53200000000000003</v>
      </c>
      <c r="AJ157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>
        <f>AVERAGEIFS($C$2:C158, $B$2:B158, B158)</f>
        <v>18.833333333333332</v>
      </c>
      <c r="AH158">
        <f>AVERAGEIFS($I$2:I158, $B$2:B158, B158)</f>
        <v>0.48916666666666669</v>
      </c>
      <c r="AI158">
        <f>AVERAGEIFS($I$2:J158, $B$2:C158, C158)</f>
        <v>0.49399999999999994</v>
      </c>
      <c r="AJ158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>
        <f>AVERAGEIFS($C$2:C159, $B$2:B159, B159)</f>
        <v>15</v>
      </c>
      <c r="AH159">
        <f>AVERAGEIFS($I$2:I159, $B$2:B159, B159)</f>
        <v>0.49000000000000005</v>
      </c>
      <c r="AI159">
        <f>AVERAGEIFS($I$2:J159, $B$2:C159, C159)</f>
        <v>0.5116666666666666</v>
      </c>
      <c r="AJ159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>
        <f>AVERAGEIFS($C$2:C160, $B$2:B160, B160)</f>
        <v>8.1818181818181817</v>
      </c>
      <c r="AH160">
        <f>AVERAGEIFS($I$2:I160, $B$2:B160, B160)</f>
        <v>0.6072727272727273</v>
      </c>
      <c r="AI160">
        <f>AVERAGEIFS($I$2:J160, $B$2:C160, C160)</f>
        <v>0.54</v>
      </c>
      <c r="AJ160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f>AVERAGEIFS($C$2:C161, $B$2:B161, B161)</f>
        <v>11.5</v>
      </c>
      <c r="AH161">
        <f>AVERAGEIFS($I$2:I161, $B$2:B161, B161)</f>
        <v>0.27500000000000002</v>
      </c>
      <c r="AI161">
        <f>AVERAGEIFS($I$2:J161, $B$2:C161, C161)</f>
        <v>0.56857142857142862</v>
      </c>
      <c r="AJ161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f>AVERAGEIFS($C$2:C162, $B$2:B162, B162)</f>
        <v>18.666666666666668</v>
      </c>
      <c r="AH162">
        <f>AVERAGEIFS($I$2:I162, $B$2:B162, B162)</f>
        <v>0.21666666666666667</v>
      </c>
      <c r="AI162">
        <f>AVERAGEIFS($I$2:J162, $B$2:C162, C162)</f>
        <v>0.44416666666666677</v>
      </c>
      <c r="AJ162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f>AVERAGEIFS($C$2:C163, $B$2:B163, B163)</f>
        <v>12.5</v>
      </c>
      <c r="AH163">
        <f>AVERAGEIFS($I$2:I163, $B$2:B163, B163)</f>
        <v>0.4</v>
      </c>
      <c r="AI163">
        <f>AVERAGEIFS($I$2:J163, $B$2:C163, C163)</f>
        <v>0.52624999999999988</v>
      </c>
      <c r="AJ163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f>AVERAGEIFS($C$2:C164, $B$2:B164, B164)</f>
        <v>24</v>
      </c>
      <c r="AH164">
        <f>AVERAGEIFS($I$2:I164, $B$2:B164, B164)</f>
        <v>0.33750000000000002</v>
      </c>
      <c r="AI164">
        <f>AVERAGEIFS($I$2:J164, $B$2:C164, C164)</f>
        <v>0.51222222222222213</v>
      </c>
      <c r="AJ164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f>AVERAGEIFS($C$2:C165, $B$2:B165, B165)</f>
        <v>11.4</v>
      </c>
      <c r="AH165">
        <f>AVERAGEIFS($I$2:I165, $B$2:B165, B165)</f>
        <v>0.433</v>
      </c>
      <c r="AI165">
        <f>AVERAGEIFS($I$2:J165, $B$2:C165, C165)</f>
        <v>0.51624999999999999</v>
      </c>
      <c r="AJ165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f>AVERAGEIFS($C$2:C166, $B$2:B166, B166)</f>
        <v>19.142857142857142</v>
      </c>
      <c r="AH166">
        <f>AVERAGEIFS($I$2:I166, $B$2:B166, B166)</f>
        <v>0.52142857142857146</v>
      </c>
      <c r="AI166">
        <f>AVERAGEIFS($I$2:J166, $B$2:C166, C166)</f>
        <v>0.50333333333333341</v>
      </c>
      <c r="AJ16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f>AVERAGEIFS($C$2:C167, $B$2:B167, B167)</f>
        <v>24.6</v>
      </c>
      <c r="AH167">
        <f>AVERAGEIFS($I$2:I167, $B$2:B167, B167)</f>
        <v>0.39</v>
      </c>
      <c r="AI167">
        <f>AVERAGEIFS($I$2:J167, $B$2:C167, C167)</f>
        <v>0.47400000000000003</v>
      </c>
      <c r="AJ167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f>AVERAGEIFS($C$2:C168, $B$2:B168, B168)</f>
        <v>21.166666666666668</v>
      </c>
      <c r="AH168">
        <f>AVERAGEIFS($I$2:I168, $B$2:B168, B168)</f>
        <v>0.68166666666666664</v>
      </c>
      <c r="AI168">
        <f>AVERAGEIFS($I$2:J168, $B$2:C168, C168)</f>
        <v>0.49222222222222217</v>
      </c>
      <c r="AJ168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f>AVERAGEIFS($C$2:C169, $B$2:B169, B169)</f>
        <v>17.5</v>
      </c>
      <c r="AH169">
        <f>AVERAGEIFS($I$2:I169, $B$2:B169, B169)</f>
        <v>0.42125000000000001</v>
      </c>
      <c r="AI169">
        <f>AVERAGEIFS($I$2:J169, $B$2:C169, C169)</f>
        <v>0.52666666666666673</v>
      </c>
      <c r="AJ169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f>AVERAGEIFS($C$2:C170, $B$2:B170, B170)</f>
        <v>19.285714285714285</v>
      </c>
      <c r="AH170">
        <f>AVERAGEIFS($I$2:I170, $B$2:B170, B170)</f>
        <v>0.5485714285714286</v>
      </c>
      <c r="AI170">
        <f>AVERAGEIFS($I$2:J170, $B$2:C170, C170)</f>
        <v>0.46399999999999997</v>
      </c>
      <c r="AJ170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f>AVERAGEIFS($C$2:C171, $B$2:B171, B171)</f>
        <v>16</v>
      </c>
      <c r="AH171">
        <f>AVERAGEIFS($I$2:I171, $B$2:B171, B171)</f>
        <v>0.3</v>
      </c>
      <c r="AI171">
        <f>AVERAGEIFS($I$2:J171, $B$2:C171, C171)</f>
        <v>0.51</v>
      </c>
      <c r="AJ171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f>AVERAGEIFS($C$2:C172, $B$2:B172, B172)</f>
        <v>12.6</v>
      </c>
      <c r="AH172">
        <f>AVERAGEIFS($I$2:I172, $B$2:B172, B172)</f>
        <v>0.44000000000000006</v>
      </c>
      <c r="AI172">
        <f>AVERAGEIFS($I$2:J172, $B$2:C172, C172)</f>
        <v>0.52499999999999991</v>
      </c>
      <c r="AJ172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>
        <f>AVERAGEIFS($C$2:C173, $B$2:B173, B173)</f>
        <v>19.846153846153847</v>
      </c>
      <c r="AH173">
        <f>AVERAGEIFS($I$2:I173, $B$2:B173, B173)</f>
        <v>0.48230769230769233</v>
      </c>
      <c r="AI173">
        <f>AVERAGEIFS($I$2:J173, $B$2:C173, C173)</f>
        <v>0.4466666666666666</v>
      </c>
      <c r="AJ173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>
        <f>AVERAGEIFS($C$2:C174, $B$2:B174, B174)</f>
        <v>19.2</v>
      </c>
      <c r="AH174">
        <f>AVERAGEIFS($I$2:I174, $B$2:B174, B174)</f>
        <v>0.47000000000000003</v>
      </c>
      <c r="AI174">
        <f>AVERAGEIFS($I$2:J174, $B$2:C174, C174)</f>
        <v>0.47833333333333333</v>
      </c>
      <c r="AJ174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>
        <f>AVERAGEIFS($C$2:C175, $B$2:B175, B175)</f>
        <v>22</v>
      </c>
      <c r="AH175">
        <f>AVERAGEIFS($I$2:I175, $B$2:B175, B175)</f>
        <v>0.49777777777777782</v>
      </c>
      <c r="AI175">
        <f>AVERAGEIFS($I$2:J175, $B$2:C175, C175)</f>
        <v>0.49299999999999999</v>
      </c>
      <c r="AJ175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>
        <f>AVERAGEIFS($C$2:C176, $B$2:B176, B176)</f>
        <v>12.8</v>
      </c>
      <c r="AH176">
        <f>AVERAGEIFS($I$2:I176, $B$2:B176, B176)</f>
        <v>0.3</v>
      </c>
      <c r="AI176">
        <f>AVERAGEIFS($I$2:J176, $B$2:C176, C176)</f>
        <v>0.47833333333333328</v>
      </c>
      <c r="AJ17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>
        <f>AVERAGEIFS($C$2:C177, $B$2:B177, B177)</f>
        <v>9</v>
      </c>
      <c r="AH177">
        <f>AVERAGEIFS($I$2:I177, $B$2:B177, B177)</f>
        <v>0.4</v>
      </c>
      <c r="AI177">
        <f>AVERAGEIFS($I$2:J177, $B$2:C177, C177)</f>
        <v>0.38166666666666665</v>
      </c>
      <c r="AJ177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>
        <f>AVERAGEIFS($C$2:C178, $B$2:B178, B178)</f>
        <v>10.909090909090908</v>
      </c>
      <c r="AH178">
        <f>AVERAGEIFS($I$2:I178, $B$2:B178, B178)</f>
        <v>0.43000000000000005</v>
      </c>
      <c r="AI178">
        <f>AVERAGEIFS($I$2:J178, $B$2:C178, C178)</f>
        <v>0.52399999999999991</v>
      </c>
      <c r="AJ178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>
        <f>AVERAGEIFS($C$2:C179, $B$2:B179, B179)</f>
        <v>23.2</v>
      </c>
      <c r="AH179">
        <f>AVERAGEIFS($I$2:I179, $B$2:B179, B179)</f>
        <v>0.50800000000000001</v>
      </c>
      <c r="AI179">
        <f>AVERAGEIFS($I$2:J179, $B$2:C179, C179)</f>
        <v>0.47</v>
      </c>
      <c r="AJ179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>
        <f>AVERAGEIFS($C$2:C180, $B$2:B180, B180)</f>
        <v>18.333333333333332</v>
      </c>
      <c r="AH180">
        <f>AVERAGEIFS($I$2:I180, $B$2:B180, B180)</f>
        <v>0.44111111111111112</v>
      </c>
      <c r="AI180">
        <f>AVERAGEIFS($I$2:J180, $B$2:C180, C180)</f>
        <v>0.49090909090909085</v>
      </c>
      <c r="AJ180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>
        <f>AVERAGEIFS($C$2:C181, $B$2:B181, B181)</f>
        <v>13.6</v>
      </c>
      <c r="AH181">
        <f>AVERAGEIFS($I$2:I181, $B$2:B181, B181)</f>
        <v>0.35</v>
      </c>
      <c r="AI181">
        <f>AVERAGEIFS($I$2:J181, $B$2:C181, C181)</f>
        <v>0.47714285714285715</v>
      </c>
      <c r="AJ181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>
        <f>AVERAGEIFS($C$2:C182, $B$2:B182, B182)</f>
        <v>14.666666666666666</v>
      </c>
      <c r="AH182">
        <f>AVERAGEIFS($I$2:I182, $B$2:B182, B182)</f>
        <v>0.46666666666666662</v>
      </c>
      <c r="AI182">
        <f>AVERAGEIFS($I$2:J182, $B$2:C182, C182)</f>
        <v>0.505</v>
      </c>
      <c r="AJ182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>
        <f>AVERAGEIFS($C$2:C183, $B$2:B183, B183)</f>
        <v>12</v>
      </c>
      <c r="AH183">
        <f>AVERAGEIFS($I$2:I183, $B$2:B183, B183)</f>
        <v>0.6</v>
      </c>
      <c r="AI183">
        <f>AVERAGEIFS($I$2:J183, $B$2:C183, C183)</f>
        <v>0.49545454545454548</v>
      </c>
      <c r="AJ183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>
        <f>AVERAGEIFS($C$2:C184, $B$2:B184, B184)</f>
        <v>8.0833333333333339</v>
      </c>
      <c r="AH184">
        <f>AVERAGEIFS($I$2:I184, $B$2:B184, B184)</f>
        <v>0.60666666666666669</v>
      </c>
      <c r="AI184">
        <f>AVERAGEIFS($I$2:J184, $B$2:C184, C184)</f>
        <v>0.53000000000000014</v>
      </c>
      <c r="AJ184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f>AVERAGEIFS($C$2:C185, $B$2:B185, B185)</f>
        <v>21.46153846153846</v>
      </c>
      <c r="AH185">
        <f>AVERAGEIFS($I$2:I185, $B$2:B185, B185)</f>
        <v>0.66</v>
      </c>
      <c r="AI185">
        <f>AVERAGEIFS($I$2:J185, $B$2:C185, C185)</f>
        <v>0.49416666666666664</v>
      </c>
      <c r="AJ185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f>AVERAGEIFS($C$2:C186, $B$2:B186, B186)</f>
        <v>20.142857142857142</v>
      </c>
      <c r="AH186">
        <f>AVERAGEIFS($I$2:I186, $B$2:B186, B186)</f>
        <v>0.47642857142857148</v>
      </c>
      <c r="AI186">
        <f>AVERAGEIFS($I$2:J186, $B$2:C186, C186)</f>
        <v>0.59142857142857153</v>
      </c>
      <c r="AJ1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f>AVERAGEIFS($C$2:C187, $B$2:B187, B187)</f>
        <v>14.5</v>
      </c>
      <c r="AH187">
        <f>AVERAGEIFS($I$2:I187, $B$2:B187, B187)</f>
        <v>0.31666666666666665</v>
      </c>
      <c r="AI187">
        <f>AVERAGEIFS($I$2:J187, $B$2:C187, C187)</f>
        <v>0.60375000000000001</v>
      </c>
      <c r="AJ187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f>AVERAGEIFS($C$2:C188, $B$2:B188, B188)</f>
        <v>15.333333333333334</v>
      </c>
      <c r="AH188">
        <f>AVERAGEIFS($I$2:I188, $B$2:B188, B188)</f>
        <v>0.33333333333333331</v>
      </c>
      <c r="AI188">
        <f>AVERAGEIFS($I$2:J188, $B$2:C188, C188)</f>
        <v>0.51714285714285713</v>
      </c>
      <c r="AJ188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f>AVERAGEIFS($C$2:C189, $B$2:B189, B189)</f>
        <v>14</v>
      </c>
      <c r="AH189">
        <f>AVERAGEIFS($I$2:I189, $B$2:B189, B189)</f>
        <v>0.63749999999999996</v>
      </c>
      <c r="AI189">
        <f>AVERAGEIFS($I$2:J189, $B$2:C189, C189)</f>
        <v>0.51400000000000001</v>
      </c>
      <c r="AJ189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f>AVERAGEIFS($C$2:C190, $B$2:B190, B190)</f>
        <v>10.583333333333334</v>
      </c>
      <c r="AH190">
        <f>AVERAGEIFS($I$2:I190, $B$2:B190, B190)</f>
        <v>0.42750000000000005</v>
      </c>
      <c r="AI190">
        <f>AVERAGEIFS($I$2:J190, $B$2:C190, C190)</f>
        <v>0.53000000000000014</v>
      </c>
      <c r="AJ190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>
        <f>AVERAGEIFS($C$2:C191, $B$2:B191, B191)</f>
        <v>20.066666666666666</v>
      </c>
      <c r="AH191">
        <f>AVERAGEIFS($I$2:I191, $B$2:B191, B191)</f>
        <v>0.55200000000000005</v>
      </c>
      <c r="AI191">
        <f>AVERAGEIFS($I$2:J191, $B$2:C191, C191)</f>
        <v>0.55000000000000004</v>
      </c>
      <c r="AJ191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>
        <f>AVERAGEIFS($C$2:C192, $B$2:B192, B192)</f>
        <v>22.142857142857142</v>
      </c>
      <c r="AH192">
        <f>AVERAGEIFS($I$2:I192, $B$2:B192, B192)</f>
        <v>0.65571428571428569</v>
      </c>
      <c r="AI192">
        <f>AVERAGEIFS($I$2:J192, $B$2:C192, C192)</f>
        <v>0.55666666666666664</v>
      </c>
      <c r="AJ192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>
        <f>AVERAGEIFS($C$2:C193, $B$2:B193, B193)</f>
        <v>15.714285714285714</v>
      </c>
      <c r="AH193">
        <f>AVERAGEIFS($I$2:I193, $B$2:B193, B193)</f>
        <v>0.35714285714285715</v>
      </c>
      <c r="AI193">
        <f>AVERAGEIFS($I$2:J193, $B$2:C193, C193)</f>
        <v>0.60000000000000009</v>
      </c>
      <c r="AJ193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>
        <f>AVERAGEIFS($C$2:C194, $B$2:B194, B194)</f>
        <v>26.166666666666668</v>
      </c>
      <c r="AH194">
        <f>AVERAGEIFS($I$2:I194, $B$2:B194, B194)</f>
        <v>0.42500000000000004</v>
      </c>
      <c r="AI194">
        <f>AVERAGEIFS($I$2:J194, $B$2:C194, C194)</f>
        <v>0.52</v>
      </c>
      <c r="AJ194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>
        <f>AVERAGEIFS($C$2:C195, $B$2:B195, B195)</f>
        <v>11.307692307692308</v>
      </c>
      <c r="AH195">
        <f>AVERAGEIFS($I$2:I195, $B$2:B195, B195)</f>
        <v>0.4407692307692308</v>
      </c>
      <c r="AI195">
        <f>AVERAGEIFS($I$2:J195, $B$2:C195, C195)</f>
        <v>0.48166666666666663</v>
      </c>
      <c r="AJ195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>
        <f>AVERAGEIFS($C$2:C196, $B$2:B196, B196)</f>
        <v>15.666666666666666</v>
      </c>
      <c r="AH196">
        <f>AVERAGEIFS($I$2:I196, $B$2:B196, B196)</f>
        <v>0.46666666666666673</v>
      </c>
      <c r="AI196">
        <f>AVERAGEIFS($I$2:J196, $B$2:C196, C196)</f>
        <v>0.55999999999999994</v>
      </c>
      <c r="AJ19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>
        <f>AVERAGEIFS($C$2:C197, $B$2:B197, B197)</f>
        <v>9</v>
      </c>
      <c r="AH197">
        <f>AVERAGEIFS($I$2:I197, $B$2:B197, B197)</f>
        <v>0.6</v>
      </c>
      <c r="AI197">
        <f>AVERAGEIFS($I$2:J197, $B$2:C197, C197)</f>
        <v>0.40857142857142853</v>
      </c>
      <c r="AJ197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f>AVERAGEIFS($C$2:C198, $B$2:B198, B198)</f>
        <v>2.6666666666666665</v>
      </c>
      <c r="AH198">
        <f>AVERAGEIFS($I$2:I198, $B$2:B198, B198)</f>
        <v>0.3833333333333333</v>
      </c>
      <c r="AI198">
        <f>AVERAGEIFS($I$2:J198, $B$2:C198, C198)</f>
        <v>0.51857142857142857</v>
      </c>
      <c r="AJ198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f>AVERAGEIFS($C$2:C199, $B$2:B199, B199)</f>
        <v>24.785714285714285</v>
      </c>
      <c r="AH199">
        <f>AVERAGEIFS($I$2:I199, $B$2:B199, B199)</f>
        <v>0.505</v>
      </c>
      <c r="AI199">
        <f>AVERAGEIFS($I$2:J199, $B$2:C199, C199)</f>
        <v>0.45499999999999996</v>
      </c>
      <c r="AJ199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f>AVERAGEIFS($C$2:C200, $B$2:B200, B200)</f>
        <v>24.272727272727273</v>
      </c>
      <c r="AH200">
        <f>AVERAGEIFS($I$2:I200, $B$2:B200, B200)</f>
        <v>0.49818181818181823</v>
      </c>
      <c r="AI200">
        <f>AVERAGEIFS($I$2:J200, $B$2:C200, C200)</f>
        <v>0.53500000000000003</v>
      </c>
      <c r="AJ200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f>AVERAGEIFS($C$2:C201, $B$2:B201, B201)</f>
        <v>22</v>
      </c>
      <c r="AH201">
        <f>AVERAGEIFS($I$2:I201, $B$2:B201, B201)</f>
        <v>0.26250000000000001</v>
      </c>
      <c r="AI201">
        <f>AVERAGEIFS($I$2:J201, $B$2:C201, C201)</f>
        <v>0.44249999999999995</v>
      </c>
      <c r="AJ201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f>AVERAGEIFS($C$2:C202, $B$2:B202, B202)</f>
        <v>13.6</v>
      </c>
      <c r="AH202">
        <f>AVERAGEIFS($I$2:I202, $B$2:B202, B202)</f>
        <v>0.59</v>
      </c>
      <c r="AI202">
        <f>AVERAGEIFS($I$2:J202, $B$2:C202, C202)</f>
        <v>0.49</v>
      </c>
      <c r="AJ202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f>AVERAGEIFS($C$2:C203, $B$2:B203, B203)</f>
        <v>15.375</v>
      </c>
      <c r="AH203">
        <f>AVERAGEIFS($I$2:I203, $B$2:B203, B203)</f>
        <v>0.47875000000000001</v>
      </c>
      <c r="AI203">
        <f>AVERAGEIFS($I$2:J203, $B$2:C203, C203)</f>
        <v>0.47125</v>
      </c>
      <c r="AJ203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f>AVERAGEIFS($C$2:C204, $B$2:B204, B204)</f>
        <v>18</v>
      </c>
      <c r="AH204">
        <f>AVERAGEIFS($I$2:I204, $B$2:B204, B204)</f>
        <v>0.4</v>
      </c>
      <c r="AI204">
        <f>AVERAGEIFS($I$2:J204, $B$2:C204, C204)</f>
        <v>0.46666666666666667</v>
      </c>
      <c r="AJ204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>
        <f>AVERAGEIFS($C$2:C205, $B$2:B205, B205)</f>
        <v>14.857142857142858</v>
      </c>
      <c r="AH205">
        <f>AVERAGEIFS($I$2:I205, $B$2:B205, B205)</f>
        <v>0.50714285714285723</v>
      </c>
      <c r="AI205">
        <f>AVERAGEIFS($I$2:J205, $B$2:C205, C205)</f>
        <v>0.55166666666666664</v>
      </c>
      <c r="AJ205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>
        <f>AVERAGEIFS($C$2:C206, $B$2:B206, B206)</f>
        <v>24.533333333333335</v>
      </c>
      <c r="AH206">
        <f>AVERAGEIFS($I$2:I206, $B$2:B206, B206)</f>
        <v>0.52133333333333332</v>
      </c>
      <c r="AI206">
        <f>AVERAGEIFS($I$2:J206, $B$2:C206, C206)</f>
        <v>0.53857142857142859</v>
      </c>
      <c r="AJ20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>
        <f>AVERAGEIFS($C$2:C207, $B$2:B207, B207)</f>
        <v>22.066666666666666</v>
      </c>
      <c r="AH207">
        <f>AVERAGEIFS($I$2:I207, $B$2:B207, B207)</f>
        <v>0.66200000000000003</v>
      </c>
      <c r="AI207">
        <f>AVERAGEIFS($I$2:J207, $B$2:C207, C207)</f>
        <v>0.54749999999999999</v>
      </c>
      <c r="AJ207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>
        <f>AVERAGEIFS($C$2:C208, $B$2:B208, B208)</f>
        <v>13.5</v>
      </c>
      <c r="AH208">
        <f>AVERAGEIFS($I$2:I208, $B$2:B208, B208)</f>
        <v>0.61666666666666659</v>
      </c>
      <c r="AI208">
        <f>AVERAGEIFS($I$2:J208, $B$2:C208, C208)</f>
        <v>0.53444444444444439</v>
      </c>
      <c r="AJ208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>
        <f>AVERAGEIFS($C$2:C209, $B$2:B209, B209)</f>
        <v>12.5</v>
      </c>
      <c r="AH209">
        <f>AVERAGEIFS($I$2:I209, $B$2:B209, B209)</f>
        <v>0.67500000000000004</v>
      </c>
      <c r="AI209">
        <f>AVERAGEIFS($I$2:J209, $B$2:C209, C209)</f>
        <v>0.52272727272727271</v>
      </c>
      <c r="AJ209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f>AVERAGEIFS($C$2:C210, $B$2:B210, B210)</f>
        <v>16</v>
      </c>
      <c r="AH210">
        <f>AVERAGEIFS($I$2:I210, $B$2:B210, B210)</f>
        <v>0.34375</v>
      </c>
      <c r="AI210">
        <f>AVERAGEIFS($I$2:J210, $B$2:C210, C210)</f>
        <v>0.45899999999999996</v>
      </c>
      <c r="AJ210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f>AVERAGEIFS($C$2:C211, $B$2:B211, B211)</f>
        <v>24.083333333333332</v>
      </c>
      <c r="AH211">
        <f>AVERAGEIFS($I$2:I211, $B$2:B211, B211)</f>
        <v>0.47750000000000004</v>
      </c>
      <c r="AI211">
        <f>AVERAGEIFS($I$2:J211, $B$2:C211, C211)</f>
        <v>0.54625000000000001</v>
      </c>
      <c r="AJ211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f>AVERAGEIFS($C$2:C212, $B$2:B212, B212)</f>
        <v>20.1875</v>
      </c>
      <c r="AH212">
        <f>AVERAGEIFS($I$2:I212, $B$2:B212, B212)</f>
        <v>0.53312500000000007</v>
      </c>
      <c r="AI212">
        <f>AVERAGEIFS($I$2:J212, $B$2:C212, C212)</f>
        <v>0.52888888888888885</v>
      </c>
      <c r="AJ212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f>AVERAGEIFS($C$2:C213, $B$2:B213, B213)</f>
        <v>16.8</v>
      </c>
      <c r="AH213">
        <f>AVERAGEIFS($I$2:I213, $B$2:B213, B213)</f>
        <v>0.44000000000000006</v>
      </c>
      <c r="AI213">
        <f>AVERAGEIFS($I$2:J213, $B$2:C213, C213)</f>
        <v>0.4527272727272727</v>
      </c>
      <c r="AJ213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f>AVERAGEIFS($C$2:C214, $B$2:B214, B214)</f>
        <v>8</v>
      </c>
      <c r="AH214">
        <f>AVERAGEIFS($I$2:I214, $B$2:B214, B214)</f>
        <v>0.58333333333333337</v>
      </c>
      <c r="AI214">
        <f>AVERAGEIFS($I$2:J214, $B$2:C214, C214)</f>
        <v>0.31</v>
      </c>
      <c r="AJ214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>
        <f>AVERAGEIFS($C$2:C215, $B$2:B215, B215)</f>
        <v>20.733333333333334</v>
      </c>
      <c r="AH215">
        <f>AVERAGEIFS($I$2:I215, $B$2:B215, B215)</f>
        <v>0.48466666666666669</v>
      </c>
      <c r="AI215">
        <f>AVERAGEIFS($I$2:J215, $B$2:C215, C215)</f>
        <v>0.56000000000000005</v>
      </c>
      <c r="AJ215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>
        <f>AVERAGEIFS($C$2:C216, $B$2:B216, B216)</f>
        <v>23</v>
      </c>
      <c r="AH216">
        <f>AVERAGEIFS($I$2:I216, $B$2:B216, B216)</f>
        <v>0.5</v>
      </c>
      <c r="AI216">
        <f>AVERAGEIFS($I$2:J216, $B$2:C216, C216)</f>
        <v>0.42500000000000004</v>
      </c>
      <c r="AJ21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>
        <f>AVERAGEIFS($C$2:C217, $B$2:B217, B217)</f>
        <v>24.5625</v>
      </c>
      <c r="AH217">
        <f>AVERAGEIFS($I$2:I217, $B$2:B217, B217)</f>
        <v>0.52625</v>
      </c>
      <c r="AI217">
        <f>AVERAGEIFS($I$2:J217, $B$2:C217, C217)</f>
        <v>0.49615384615384611</v>
      </c>
      <c r="AJ217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>
        <f>AVERAGEIFS($C$2:C218, $B$2:B218, B218)</f>
        <v>22.1875</v>
      </c>
      <c r="AH218">
        <f>AVERAGEIFS($I$2:I218, $B$2:B218, B218)</f>
        <v>0.65812499999999996</v>
      </c>
      <c r="AI218">
        <f>AVERAGEIFS($I$2:J218, $B$2:C218, C218)</f>
        <v>0.58250000000000002</v>
      </c>
      <c r="AJ218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>
        <f>AVERAGEIFS($C$2:C219, $B$2:B219, B219)</f>
        <v>20.294117647058822</v>
      </c>
      <c r="AH219">
        <f>AVERAGEIFS($I$2:I219, $B$2:B219, B219)</f>
        <v>0.53705882352941181</v>
      </c>
      <c r="AI219">
        <f>AVERAGEIFS($I$2:J219, $B$2:C219, C219)</f>
        <v>0.52799999999999991</v>
      </c>
      <c r="AJ219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>
        <f>AVERAGEIFS($C$2:C220, $B$2:B220, B220)</f>
        <v>16.111111111111111</v>
      </c>
      <c r="AH220">
        <f>AVERAGEIFS($I$2:I220, $B$2:B220, B220)</f>
        <v>0.49222222222222217</v>
      </c>
      <c r="AI220">
        <f>AVERAGEIFS($I$2:J220, $B$2:C220, C220)</f>
        <v>0.52727272727272723</v>
      </c>
      <c r="AJ220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>
        <f>AVERAGEIFS($C$2:C221, $B$2:B221, B221)</f>
        <v>16.222222222222221</v>
      </c>
      <c r="AH221">
        <f>AVERAGEIFS($I$2:I221, $B$2:B221, B221)</f>
        <v>0.37222222222222223</v>
      </c>
      <c r="AI221">
        <f>AVERAGEIFS($I$2:J221, $B$2:C221, C221)</f>
        <v>0.45833333333333331</v>
      </c>
      <c r="AJ221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>
        <f>AVERAGEIFS($C$2:C222, $B$2:B222, B222)</f>
        <v>3</v>
      </c>
      <c r="AH222">
        <f>AVERAGEIFS($I$2:I222, $B$2:B222, B222)</f>
        <v>0.4375</v>
      </c>
      <c r="AI222">
        <f>AVERAGEIFS($I$2:J222, $B$2:C222, C222)</f>
        <v>0.52</v>
      </c>
      <c r="AJ222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>
        <f>AVERAGEIFS($C$2:C223, $B$2:B223, B223)</f>
        <v>25.8</v>
      </c>
      <c r="AH223">
        <f>AVERAGEIFS($I$2:I223, $B$2:B223, B223)</f>
        <v>0.29000000000000004</v>
      </c>
      <c r="AI223">
        <f>AVERAGEIFS($I$2:J223, $B$2:C223, C223)</f>
        <v>0.48</v>
      </c>
      <c r="AJ223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>
        <f>AVERAGEIFS($C$2:C224, $B$2:B224, B224)</f>
        <v>27.857142857142858</v>
      </c>
      <c r="AH224">
        <f>AVERAGEIFS($I$2:I224, $B$2:B224, B224)</f>
        <v>0.42142857142857143</v>
      </c>
      <c r="AI224">
        <f>AVERAGEIFS($I$2:J224, $B$2:C224, C224)</f>
        <v>0.48</v>
      </c>
      <c r="AJ224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>
        <f>AVERAGEIFS($C$2:C225, $B$2:B225, B225)</f>
        <v>18.5</v>
      </c>
      <c r="AH225">
        <f>AVERAGEIFS($I$2:I225, $B$2:B225, B225)</f>
        <v>0.43333333333333335</v>
      </c>
      <c r="AI225">
        <f>AVERAGEIFS($I$2:J225, $B$2:C225, C225)</f>
        <v>0.47857142857142859</v>
      </c>
      <c r="AJ225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>
        <f>AVERAGEIFS($C$2:C226, $B$2:B226, B226)</f>
        <v>13.571428571428571</v>
      </c>
      <c r="AH226">
        <f>AVERAGEIFS($I$2:I226, $B$2:B226, B226)</f>
        <v>0.58571428571428563</v>
      </c>
      <c r="AI226">
        <f>AVERAGEIFS($I$2:J226, $B$2:C226, C226)</f>
        <v>0.51249999999999996</v>
      </c>
      <c r="AJ22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>
        <f>AVERAGEIFS($C$2:C227, $B$2:B227, B227)</f>
        <v>13</v>
      </c>
      <c r="AH227">
        <f>AVERAGEIFS($I$2:I227, $B$2:B227, B227)</f>
        <v>0.58333333333333337</v>
      </c>
      <c r="AI227">
        <f>AVERAGEIFS($I$2:J227, $B$2:C227, C227)</f>
        <v>0.50888888888888895</v>
      </c>
      <c r="AJ227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>
        <f>AVERAGEIFS($C$2:C228, $B$2:B228, B228)</f>
        <v>9.3333333333333339</v>
      </c>
      <c r="AH228">
        <f>AVERAGEIFS($I$2:I228, $B$2:B228, B228)</f>
        <v>0.46666666666666662</v>
      </c>
      <c r="AI228">
        <f>AVERAGEIFS($I$2:J228, $B$2:C228, C228)</f>
        <v>0.501</v>
      </c>
      <c r="AJ228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>
        <f>AVERAGEIFS($C$2:C229, $B$2:B229, B229)</f>
        <v>17.5</v>
      </c>
      <c r="AH229">
        <f>AVERAGEIFS($I$2:I229, $B$2:B229, B229)</f>
        <v>0.437</v>
      </c>
      <c r="AI229">
        <f>AVERAGEIFS($I$2:J229, $B$2:C229, C229)</f>
        <v>0.54142857142857148</v>
      </c>
      <c r="AJ229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>
        <f>AVERAGEIFS($C$2:C230, $B$2:B230, B230)</f>
        <v>11.142857142857142</v>
      </c>
      <c r="AH230">
        <f>AVERAGEIFS($I$2:I230, $B$2:B230, B230)</f>
        <v>0.43785714285714289</v>
      </c>
      <c r="AI230">
        <f>AVERAGEIFS($I$2:J230, $B$2:C230, C230)</f>
        <v>0.41749999999999998</v>
      </c>
      <c r="AJ230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f>AVERAGEIFS($C$2:C231, $B$2:B231, B231)</f>
        <v>20.277777777777779</v>
      </c>
      <c r="AH231">
        <f>AVERAGEIFS($I$2:I231, $B$2:B231, B231)</f>
        <v>0.5294444444444445</v>
      </c>
      <c r="AI231">
        <f>AVERAGEIFS($I$2:J231, $B$2:C231, C231)</f>
        <v>0.48142857142857137</v>
      </c>
      <c r="AJ231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f>AVERAGEIFS($C$2:C232, $B$2:B232, B232)</f>
        <v>24.294117647058822</v>
      </c>
      <c r="AH232">
        <f>AVERAGEIFS($I$2:I232, $B$2:B232, B232)</f>
        <v>0.51882352941176468</v>
      </c>
      <c r="AI232">
        <f>AVERAGEIFS($I$2:J232, $B$2:C232, C232)</f>
        <v>0.48124999999999996</v>
      </c>
      <c r="AJ232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f>AVERAGEIFS($C$2:C233, $B$2:B233, B233)</f>
        <v>19</v>
      </c>
      <c r="AH233">
        <f>AVERAGEIFS($I$2:I233, $B$2:B233, B233)</f>
        <v>0.42857142857142855</v>
      </c>
      <c r="AI233">
        <f>AVERAGEIFS($I$2:J233, $B$2:C233, C233)</f>
        <v>0.52333333333333332</v>
      </c>
      <c r="AJ233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f>AVERAGEIFS($C$2:C234, $B$2:B234, B234)</f>
        <v>13.75</v>
      </c>
      <c r="AH234">
        <f>AVERAGEIFS($I$2:I234, $B$2:B234, B234)</f>
        <v>0.53749999999999998</v>
      </c>
      <c r="AI234">
        <f>AVERAGEIFS($I$2:J234, $B$2:C234, C234)</f>
        <v>0.51916666666666667</v>
      </c>
      <c r="AJ234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f>AVERAGEIFS($C$2:C235, $B$2:B235, B235)</f>
        <v>7</v>
      </c>
      <c r="AH235">
        <f>AVERAGEIFS($I$2:I235, $B$2:B235, B235)</f>
        <v>0.60666666666666658</v>
      </c>
      <c r="AI235">
        <f>AVERAGEIFS($I$2:J235, $B$2:C235, C235)</f>
        <v>0.52375000000000016</v>
      </c>
      <c r="AJ235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>
        <f>AVERAGEIFS($C$2:C236, $B$2:B236, B236)</f>
        <v>22.058823529411764</v>
      </c>
      <c r="AH236">
        <f>AVERAGEIFS($I$2:I236, $B$2:B236, B236)</f>
        <v>0.65470588235294114</v>
      </c>
      <c r="AI236">
        <f>AVERAGEIFS($I$2:J236, $B$2:C236, C236)</f>
        <v>0.48555555555555546</v>
      </c>
      <c r="AJ23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>
        <f>AVERAGEIFS($C$2:C237, $B$2:B237, B237)</f>
        <v>19.818181818181817</v>
      </c>
      <c r="AH237">
        <f>AVERAGEIFS($I$2:I237, $B$2:B237, B237)</f>
        <v>0.48181818181818181</v>
      </c>
      <c r="AI237">
        <f>AVERAGEIFS($I$2:J237, $B$2:C237, C237)</f>
        <v>0.54666666666666675</v>
      </c>
      <c r="AJ237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>
        <f>AVERAGEIFS($C$2:C238, $B$2:B238, B238)</f>
        <v>11</v>
      </c>
      <c r="AH238">
        <f>AVERAGEIFS($I$2:I238, $B$2:B238, B238)</f>
        <v>0.73333333333333339</v>
      </c>
      <c r="AI238">
        <f>AVERAGEIFS($I$2:J238, $B$2:C238, C238)</f>
        <v>0.54600000000000004</v>
      </c>
      <c r="AJ238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>
        <f>AVERAGEIFS($C$2:C239, $B$2:B239, B239)</f>
        <v>17</v>
      </c>
      <c r="AH239">
        <f>AVERAGEIFS($I$2:I239, $B$2:B239, B239)</f>
        <v>0.39500000000000002</v>
      </c>
      <c r="AI239">
        <f>AVERAGEIFS($I$2:J239, $B$2:C239, C239)</f>
        <v>0.57555555555555549</v>
      </c>
      <c r="AJ239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>
        <f>AVERAGEIFS($C$2:C240, $B$2:B240, B240)</f>
        <v>11.466666666666667</v>
      </c>
      <c r="AH240">
        <f>AVERAGEIFS($I$2:I240, $B$2:B240, B240)</f>
        <v>0.44866666666666671</v>
      </c>
      <c r="AI240">
        <f>AVERAGEIFS($I$2:J240, $B$2:C240, C240)</f>
        <v>0.51923076923076927</v>
      </c>
      <c r="AJ240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f>AVERAGEIFS($C$2:C241, $B$2:B241, B241)</f>
        <v>26.333333333333332</v>
      </c>
      <c r="AH241">
        <f>AVERAGEIFS($I$2:I241, $B$2:B241, B241)</f>
        <v>0.3666666666666667</v>
      </c>
      <c r="AI241">
        <f>AVERAGEIFS($I$2:J241, $B$2:C241, C241)</f>
        <v>0.56500000000000006</v>
      </c>
      <c r="AJ241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f>AVERAGEIFS($C$2:C242, $B$2:B242, B242)</f>
        <v>24.76923076923077</v>
      </c>
      <c r="AH242">
        <f>AVERAGEIFS($I$2:I242, $B$2:B242, B242)</f>
        <v>0.49846153846153851</v>
      </c>
      <c r="AI242">
        <f>AVERAGEIFS($I$2:J242, $B$2:C242, C242)</f>
        <v>0.57999999999999996</v>
      </c>
      <c r="AJ242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f>AVERAGEIFS($C$2:C243, $B$2:B243, B243)</f>
        <v>18.09090909090909</v>
      </c>
      <c r="AH243">
        <f>AVERAGEIFS($I$2:I243, $B$2:B243, B243)</f>
        <v>0.4272727272727273</v>
      </c>
      <c r="AI243">
        <f>AVERAGEIFS($I$2:J243, $B$2:C243, C243)</f>
        <v>0.56800000000000006</v>
      </c>
      <c r="AJ243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f>AVERAGEIFS($C$2:C244, $B$2:B244, B244)</f>
        <v>19.25</v>
      </c>
      <c r="AH244">
        <f>AVERAGEIFS($I$2:I244, $B$2:B244, B244)</f>
        <v>0.4375</v>
      </c>
      <c r="AI244">
        <f>AVERAGEIFS($I$2:J244, $B$2:C244, C244)</f>
        <v>0.56399999999999995</v>
      </c>
      <c r="AJ244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f>AVERAGEIFS($C$2:C245, $B$2:B245, B245)</f>
        <v>15.8</v>
      </c>
      <c r="AH245">
        <f>AVERAGEIFS($I$2:I245, $B$2:B245, B245)</f>
        <v>0.57999999999999996</v>
      </c>
      <c r="AI245">
        <f>AVERAGEIFS($I$2:J245, $B$2:C245, C245)</f>
        <v>0.57599999999999996</v>
      </c>
      <c r="AJ245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f>AVERAGEIFS($C$2:C246, $B$2:B246, B246)</f>
        <v>15.25</v>
      </c>
      <c r="AH246">
        <f>AVERAGEIFS($I$2:I246, $B$2:B246, B246)</f>
        <v>0.53749999999999998</v>
      </c>
      <c r="AI246">
        <f>AVERAGEIFS($I$2:J246, $B$2:C246, C246)</f>
        <v>0.4546153846153847</v>
      </c>
      <c r="AJ24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f>AVERAGEIFS($C$2:C247, $B$2:B247, B247)</f>
        <v>8.5</v>
      </c>
      <c r="AH247">
        <f>AVERAGEIFS($I$2:I247, $B$2:B247, B247)</f>
        <v>0.64249999999999996</v>
      </c>
      <c r="AI247">
        <f>AVERAGEIFS($I$2:J247, $B$2:C247, C247)</f>
        <v>0.53899999999999992</v>
      </c>
      <c r="AJ247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f>AVERAGEIFS($C$2:C248, $B$2:B248, B248)</f>
        <v>21.333333333333332</v>
      </c>
      <c r="AH248">
        <f>AVERAGEIFS($I$2:I248, $B$2:B248, B248)</f>
        <v>0.58333333333333337</v>
      </c>
      <c r="AI248">
        <f>AVERAGEIFS($I$2:J248, $B$2:C248, C248)</f>
        <v>0.46769230769230768</v>
      </c>
      <c r="AJ248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f>AVERAGEIFS($C$2:C249, $B$2:B249, B249)</f>
        <v>29.875</v>
      </c>
      <c r="AH249">
        <f>AVERAGEIFS($I$2:I249, $B$2:B249, B249)</f>
        <v>0.4</v>
      </c>
      <c r="AI249">
        <f>AVERAGEIFS($I$2:J249, $B$2:C249, C249)</f>
        <v>0.42</v>
      </c>
      <c r="AJ249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f>AVERAGEIFS($C$2:C250, $B$2:B250, B250)</f>
        <v>24.944444444444443</v>
      </c>
      <c r="AH250">
        <f>AVERAGEIFS($I$2:I250, $B$2:B250, B250)</f>
        <v>0.50388888888888894</v>
      </c>
      <c r="AI250">
        <f>AVERAGEIFS($I$2:J250, $B$2:C250, C250)</f>
        <v>0.43</v>
      </c>
      <c r="AJ250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f>AVERAGEIFS($C$2:C251, $B$2:B251, B251)</f>
        <v>20.684210526315791</v>
      </c>
      <c r="AH251">
        <f>AVERAGEIFS($I$2:I251, $B$2:B251, B251)</f>
        <v>0.51473684210526327</v>
      </c>
      <c r="AI251">
        <f>AVERAGEIFS($I$2:J251, $B$2:C251, C251)</f>
        <v>0.42333333333333334</v>
      </c>
      <c r="AJ251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f>AVERAGEIFS($C$2:C252, $B$2:B252, B252)</f>
        <v>16.600000000000001</v>
      </c>
      <c r="AH252">
        <f>AVERAGEIFS($I$2:I252, $B$2:B252, B252)</f>
        <v>0.46799999999999997</v>
      </c>
      <c r="AI252">
        <f>AVERAGEIFS($I$2:J252, $B$2:C252, C252)</f>
        <v>0.53333333333333333</v>
      </c>
      <c r="AJ252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f>AVERAGEIFS($C$2:C253, $B$2:B253, B253)</f>
        <v>6</v>
      </c>
      <c r="AH253">
        <f>AVERAGEIFS($I$2:I253, $B$2:B253, B253)</f>
        <v>0.25</v>
      </c>
      <c r="AI253">
        <f>AVERAGEIFS($I$2:J253, $B$2:C253, C253)</f>
        <v>0.5066666666666666</v>
      </c>
      <c r="AJ253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f>AVERAGEIFS($C$2:C254, $B$2:B254, B254)</f>
        <v>11.5</v>
      </c>
      <c r="AH254">
        <f>AVERAGEIFS($I$2:I254, $B$2:B254, B254)</f>
        <v>0.43625000000000003</v>
      </c>
      <c r="AI254">
        <f>AVERAGEIFS($I$2:J254, $B$2:C254, C254)</f>
        <v>0.48461538461538461</v>
      </c>
      <c r="AJ254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f>AVERAGEIFS($C$2:C255, $B$2:B255, B255)</f>
        <v>14</v>
      </c>
      <c r="AH255">
        <f>AVERAGEIFS($I$2:I255, $B$2:B255, B255)</f>
        <v>0.25</v>
      </c>
      <c r="AI255">
        <f>AVERAGEIFS($I$2:J255, $B$2:C255, C255)</f>
        <v>0.5</v>
      </c>
      <c r="AJ255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f>AVERAGEIFS($C$2:C256, $B$2:B256, B256)</f>
        <v>20.166666666666668</v>
      </c>
      <c r="AH256">
        <f>AVERAGEIFS($I$2:I256, $B$2:B256, B256)</f>
        <v>0.46249999999999997</v>
      </c>
      <c r="AI256">
        <f>AVERAGEIFS($I$2:J256, $B$2:C256, C256)</f>
        <v>0.56181818181818177</v>
      </c>
      <c r="AJ25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f>AVERAGEIFS($C$2:C257, $B$2:B257, B257)</f>
        <v>28.142857142857142</v>
      </c>
      <c r="AH257">
        <f>AVERAGEIFS($I$2:I257, $B$2:B257, B257)</f>
        <v>0.4</v>
      </c>
      <c r="AI257">
        <f>AVERAGEIFS($I$2:J257, $B$2:C257, C257)</f>
        <v>0.57999999999999996</v>
      </c>
      <c r="AJ257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f>AVERAGEIFS($C$2:C258, $B$2:B258, B258)</f>
        <v>25.421052631578949</v>
      </c>
      <c r="AH258">
        <f>AVERAGEIFS($I$2:I258, $B$2:B258, B258)</f>
        <v>0.50894736842105259</v>
      </c>
      <c r="AI258">
        <f>AVERAGEIFS($I$2:J258, $B$2:C258, C258)</f>
        <v>0.54</v>
      </c>
      <c r="AJ258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f>AVERAGEIFS($C$2:C259, $B$2:B259, B259)</f>
        <v>7.9230769230769234</v>
      </c>
      <c r="AH259">
        <f>AVERAGEIFS($I$2:I259, $B$2:B259, B259)</f>
        <v>0.60615384615384615</v>
      </c>
      <c r="AI259">
        <f>AVERAGEIFS($I$2:J259, $B$2:C259, C259)</f>
        <v>0.51714285714285713</v>
      </c>
      <c r="AJ259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f>AVERAGEIFS($C$2:C260, $B$2:B260, B260)</f>
        <v>21.75</v>
      </c>
      <c r="AH260">
        <f>AVERAGEIFS($I$2:I260, $B$2:B260, B260)</f>
        <v>0.58750000000000002</v>
      </c>
      <c r="AI260">
        <f>AVERAGEIFS($I$2:J260, $B$2:C260, C260)</f>
        <v>0.59800000000000009</v>
      </c>
      <c r="AJ260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f>AVERAGEIFS($C$2:C261, $B$2:B261, B261)</f>
        <v>11.5</v>
      </c>
      <c r="AH261">
        <f>AVERAGEIFS($I$2:I261, $B$2:B261, B261)</f>
        <v>0.42499999999999999</v>
      </c>
      <c r="AI261">
        <f>AVERAGEIFS($I$2:J261, $B$2:C261, C261)</f>
        <v>0.43555555555555553</v>
      </c>
      <c r="AJ261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>
        <f>AVERAGEIFS($C$2:C262, $B$2:B262, B262)</f>
        <v>21.1875</v>
      </c>
      <c r="AH262">
        <f>AVERAGEIFS($I$2:I262, $B$2:B262, B262)</f>
        <v>0.49187500000000001</v>
      </c>
      <c r="AI262">
        <f>AVERAGEIFS($I$2:J262, $B$2:C262, C262)</f>
        <v>0.46250000000000002</v>
      </c>
      <c r="AJ262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>
        <f>AVERAGEIFS($C$2:C263, $B$2:B263, B263)</f>
        <v>12</v>
      </c>
      <c r="AH263">
        <f>AVERAGEIFS($I$2:I263, $B$2:B263, B263)</f>
        <v>0.43411764705882355</v>
      </c>
      <c r="AI263">
        <f>AVERAGEIFS($I$2:J263, $B$2:C263, C263)</f>
        <v>0.47899999999999993</v>
      </c>
      <c r="AJ263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>
        <f>AVERAGEIFS($C$2:C264, $B$2:B264, B264)</f>
        <v>22.888888888888889</v>
      </c>
      <c r="AH264">
        <f>AVERAGEIFS($I$2:I264, $B$2:B264, B264)</f>
        <v>0.64055555555555554</v>
      </c>
      <c r="AI264">
        <f>AVERAGEIFS($I$2:J264, $B$2:C264, C264)</f>
        <v>0.47</v>
      </c>
      <c r="AJ264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>
        <f>AVERAGEIFS($C$2:C265, $B$2:B265, B265)</f>
        <v>24.714285714285715</v>
      </c>
      <c r="AH265">
        <f>AVERAGEIFS($I$2:I265, $B$2:B265, B265)</f>
        <v>0.49142857142857149</v>
      </c>
      <c r="AI265">
        <f>AVERAGEIFS($I$2:J265, $B$2:C265, C265)</f>
        <v>0.54999999999999993</v>
      </c>
      <c r="AJ265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>
        <f>AVERAGEIFS($C$2:C266, $B$2:B266, B266)</f>
        <v>19.625</v>
      </c>
      <c r="AH266">
        <f>AVERAGEIFS($I$2:I266, $B$2:B266, B266)</f>
        <v>0.42499999999999999</v>
      </c>
      <c r="AI266">
        <f>AVERAGEIFS($I$2:J266, $B$2:C266, C266)</f>
        <v>0.53999999999999992</v>
      </c>
      <c r="AJ26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>
        <f>AVERAGEIFS($C$2:C267, $B$2:B267, B267)</f>
        <v>5.5</v>
      </c>
      <c r="AH267">
        <f>AVERAGEIFS($I$2:I267, $B$2:B267, B267)</f>
        <v>0.4</v>
      </c>
      <c r="AI267">
        <f>AVERAGEIFS($I$2:J267, $B$2:C267, C267)</f>
        <v>0.52500000000000002</v>
      </c>
      <c r="AJ267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>
        <f>AVERAGEIFS($C$2:C268, $B$2:B268, B268)</f>
        <v>18.583333333333332</v>
      </c>
      <c r="AH268">
        <f>AVERAGEIFS($I$2:I268, $B$2:B268, B268)</f>
        <v>0.42500000000000004</v>
      </c>
      <c r="AI268">
        <f>AVERAGEIFS($I$2:J268, $B$2:C268, C268)</f>
        <v>0.53142857142857136</v>
      </c>
      <c r="AJ268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f>AVERAGEIFS($C$2:C269, $B$2:B269, B269)</f>
        <v>26.75</v>
      </c>
      <c r="AH269">
        <f>AVERAGEIFS($I$2:I269, $B$2:B269, B269)</f>
        <v>0.38125000000000003</v>
      </c>
      <c r="AI269">
        <f>AVERAGEIFS($I$2:J269, $B$2:C269, C269)</f>
        <v>0.44785714285714295</v>
      </c>
      <c r="AJ269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f>AVERAGEIFS($C$2:C270, $B$2:B270, B270)</f>
        <v>24.85</v>
      </c>
      <c r="AH270">
        <f>AVERAGEIFS($I$2:I270, $B$2:B270, B270)</f>
        <v>0.496</v>
      </c>
      <c r="AI270">
        <f>AVERAGEIFS($I$2:J270, $B$2:C270, C270)</f>
        <v>0.4872727272727273</v>
      </c>
      <c r="AJ270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f>AVERAGEIFS($C$2:C271, $B$2:B271, B271)</f>
        <v>15</v>
      </c>
      <c r="AH271">
        <f>AVERAGEIFS($I$2:I271, $B$2:B271, B271)</f>
        <v>0.47500000000000003</v>
      </c>
      <c r="AI271">
        <f>AVERAGEIFS($I$2:J271, $B$2:C271, C271)</f>
        <v>0.5078571428571429</v>
      </c>
      <c r="AJ271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f>AVERAGEIFS($C$2:C272, $B$2:B272, B272)</f>
        <v>9.5</v>
      </c>
      <c r="AH272">
        <f>AVERAGEIFS($I$2:I272, $B$2:B272, B272)</f>
        <v>0.42499999999999999</v>
      </c>
      <c r="AI272">
        <f>AVERAGEIFS($I$2:J272, $B$2:C272, C272)</f>
        <v>0.52272727272727271</v>
      </c>
      <c r="AJ272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f>AVERAGEIFS($C$2:C273, $B$2:B273, B273)</f>
        <v>10.333333333333334</v>
      </c>
      <c r="AH273">
        <f>AVERAGEIFS($I$2:I273, $B$2:B273, B273)</f>
        <v>0.3666666666666667</v>
      </c>
      <c r="AI273">
        <f>AVERAGEIFS($I$2:J273, $B$2:C273, C273)</f>
        <v>0.50142857142857145</v>
      </c>
      <c r="AJ273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f>AVERAGEIFS($C$2:C274, $B$2:B274, B274)</f>
        <v>4.666666666666667</v>
      </c>
      <c r="AH274">
        <f>AVERAGEIFS($I$2:I274, $B$2:B274, B274)</f>
        <v>0.35000000000000003</v>
      </c>
      <c r="AI274">
        <f>AVERAGEIFS($I$2:J274, $B$2:C274, C274)</f>
        <v>0.49875000000000003</v>
      </c>
      <c r="AJ274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f>AVERAGEIFS($C$2:C275, $B$2:B275, B275)</f>
        <v>12.055555555555555</v>
      </c>
      <c r="AH275">
        <f>AVERAGEIFS($I$2:I275, $B$2:B275, B275)</f>
        <v>0.45166666666666672</v>
      </c>
      <c r="AI275">
        <f>AVERAGEIFS($I$2:J275, $B$2:C275, C275)</f>
        <v>0.53249999999999997</v>
      </c>
      <c r="AJ275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f>AVERAGEIFS($C$2:C276, $B$2:B276, B276)</f>
        <v>17.8</v>
      </c>
      <c r="AH276">
        <f>AVERAGEIFS($I$2:I276, $B$2:B276, B276)</f>
        <v>0.5</v>
      </c>
      <c r="AI276">
        <f>AVERAGEIFS($I$2:J276, $B$2:C276, C276)</f>
        <v>0.49571428571428566</v>
      </c>
      <c r="AJ27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f>AVERAGEIFS($C$2:C277, $B$2:B277, B277)</f>
        <v>24.6</v>
      </c>
      <c r="AH277">
        <f>AVERAGEIFS($I$2:I277, $B$2:B277, B277)</f>
        <v>0.50866666666666671</v>
      </c>
      <c r="AI277">
        <f>AVERAGEIFS($I$2:J277, $B$2:C277, C277)</f>
        <v>0.60181818181818181</v>
      </c>
      <c r="AJ277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f>AVERAGEIFS($C$2:C278, $B$2:B278, B278)</f>
        <v>17.692307692307693</v>
      </c>
      <c r="AH278">
        <f>AVERAGEIFS($I$2:I278, $B$2:B278, B278)</f>
        <v>0.45000000000000007</v>
      </c>
      <c r="AI278">
        <f>AVERAGEIFS($I$2:J278, $B$2:C278, C278)</f>
        <v>0.53666666666666674</v>
      </c>
      <c r="AJ278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f>AVERAGEIFS($C$2:C279, $B$2:B279, B279)</f>
        <v>22.894736842105264</v>
      </c>
      <c r="AH279">
        <f>AVERAGEIFS($I$2:I279, $B$2:B279, B279)</f>
        <v>0.64631578947368418</v>
      </c>
      <c r="AI279">
        <f>AVERAGEIFS($I$2:J279, $B$2:C279, C279)</f>
        <v>0.60499999999999998</v>
      </c>
      <c r="AJ279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f>AVERAGEIFS($C$2:C280, $B$2:B280, B280)</f>
        <v>10</v>
      </c>
      <c r="AH280">
        <f>AVERAGEIFS($I$2:I280, $B$2:B280, B280)</f>
        <v>0.75</v>
      </c>
      <c r="AI280">
        <f>AVERAGEIFS($I$2:J280, $B$2:C280, C280)</f>
        <v>0.55374999999999996</v>
      </c>
      <c r="AJ280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f>AVERAGEIFS($C$2:C281, $B$2:B281, B281)</f>
        <v>15.888888888888889</v>
      </c>
      <c r="AH281">
        <f>AVERAGEIFS($I$2:I281, $B$2:B281, B281)</f>
        <v>0.46666666666666667</v>
      </c>
      <c r="AI281">
        <f>AVERAGEIFS($I$2:J281, $B$2:C281, C281)</f>
        <v>0.58846153846153837</v>
      </c>
      <c r="AJ281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f>AVERAGEIFS($C$2:C282, $B$2:B282, B282)</f>
        <v>26.444444444444443</v>
      </c>
      <c r="AH282">
        <f>AVERAGEIFS($I$2:I282, $B$2:B282, B282)</f>
        <v>0.38333333333333336</v>
      </c>
      <c r="AI282">
        <f>AVERAGEIFS($I$2:J282, $B$2:C282, C282)</f>
        <v>0.52199999999999991</v>
      </c>
      <c r="AJ282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f>AVERAGEIFS($C$2:C283, $B$2:B283, B283)</f>
        <v>25</v>
      </c>
      <c r="AH283">
        <f>AVERAGEIFS($I$2:I283, $B$2:B283, B283)</f>
        <v>0.49142857142857144</v>
      </c>
      <c r="AI283">
        <f>AVERAGEIFS($I$2:J283, $B$2:C283, C283)</f>
        <v>0.44800000000000006</v>
      </c>
      <c r="AJ283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f>AVERAGEIFS($C$2:C284, $B$2:B284, B284)</f>
        <v>17.857142857142858</v>
      </c>
      <c r="AH284">
        <f>AVERAGEIFS($I$2:I284, $B$2:B284, B284)</f>
        <v>0.44642857142857151</v>
      </c>
      <c r="AI284">
        <f>AVERAGEIFS($I$2:J284, $B$2:C284, C284)</f>
        <v>0.47090909090909078</v>
      </c>
      <c r="AJ284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f>AVERAGEIFS($C$2:C285, $B$2:B285, B285)</f>
        <v>11</v>
      </c>
      <c r="AH285">
        <f>AVERAGEIFS($I$2:I285, $B$2:B285, B285)</f>
        <v>0.375</v>
      </c>
      <c r="AI285">
        <f>AVERAGEIFS($I$2:J285, $B$2:C285, C285)</f>
        <v>0.52153846153846151</v>
      </c>
      <c r="AJ285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f>AVERAGEIFS($C$2:C286, $B$2:B286, B286)</f>
        <v>20</v>
      </c>
      <c r="AH286">
        <f>AVERAGEIFS($I$2:I286, $B$2:B286, B286)</f>
        <v>0.55000000000000004</v>
      </c>
      <c r="AI286">
        <f>AVERAGEIFS($I$2:J286, $B$2:C286, C286)</f>
        <v>0.51214285714285712</v>
      </c>
      <c r="AJ2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>
        <f>AVERAGEIFS($C$2:C287, $B$2:B287, B287)</f>
        <v>23.55</v>
      </c>
      <c r="AH287">
        <f>AVERAGEIFS($I$2:I287, $B$2:B287, B287)</f>
        <v>0.64399999999999991</v>
      </c>
      <c r="AI287">
        <f>AVERAGEIFS($I$2:J287, $B$2:C287, C287)</f>
        <v>0.47499999999999998</v>
      </c>
      <c r="AJ287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f>AVERAGEIFS($C$2:C288, $B$2:B288, B288)</f>
        <v>24.5625</v>
      </c>
      <c r="AH288">
        <f>AVERAGEIFS($I$2:I288, $B$2:B288, B288)</f>
        <v>0.51437500000000003</v>
      </c>
      <c r="AI288">
        <f>AVERAGEIFS($I$2:J288, $B$2:C288, C288)</f>
        <v>0.52749999999999997</v>
      </c>
      <c r="AJ288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>
        <f>AVERAGEIFS($C$2:C289, $B$2:B289, B289)</f>
        <v>18.5</v>
      </c>
      <c r="AH289">
        <f>AVERAGEIFS($I$2:I289, $B$2:B289, B289)</f>
        <v>0.51666666666666672</v>
      </c>
      <c r="AI289">
        <f>AVERAGEIFS($I$2:J289, $B$2:C289, C289)</f>
        <v>0.53</v>
      </c>
      <c r="AJ289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>
        <f>AVERAGEIFS($C$2:C290, $B$2:B290, B290)</f>
        <v>20</v>
      </c>
      <c r="AH290">
        <f>AVERAGEIFS($I$2:I290, $B$2:B290, B290)</f>
        <v>0.47307692307692306</v>
      </c>
      <c r="AI290">
        <f>AVERAGEIFS($I$2:J290, $B$2:C290, C290)</f>
        <v>0.47785714285714287</v>
      </c>
      <c r="AJ290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>
        <f>AVERAGEIFS($C$2:C291, $B$2:B291, B291)</f>
        <v>5.25</v>
      </c>
      <c r="AH291">
        <f>AVERAGEIFS($I$2:I291, $B$2:B291, B291)</f>
        <v>0.41249999999999998</v>
      </c>
      <c r="AI291">
        <f>AVERAGEIFS($I$2:J291, $B$2:C291, C291)</f>
        <v>0.54400000000000015</v>
      </c>
      <c r="AJ291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>
        <f>AVERAGEIFS($C$2:C292, $B$2:B292, B292)</f>
        <v>11</v>
      </c>
      <c r="AH292">
        <f>AVERAGEIFS($I$2:I292, $B$2:B292, B292)</f>
        <v>0.70000000000000007</v>
      </c>
      <c r="AI292">
        <f>AVERAGEIFS($I$2:J292, $B$2:C292, C292)</f>
        <v>0.51090909090909087</v>
      </c>
      <c r="AJ292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f>AVERAGEIFS($C$2:C293, $B$2:B293, B293)</f>
        <v>21.411764705882351</v>
      </c>
      <c r="AH293">
        <f>AVERAGEIFS($I$2:I293, $B$2:B293, B293)</f>
        <v>0.4864705882352941</v>
      </c>
      <c r="AI293">
        <f>AVERAGEIFS($I$2:J293, $B$2:C293, C293)</f>
        <v>0.48928571428571427</v>
      </c>
      <c r="AJ293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f>AVERAGEIFS($C$2:C294, $B$2:B294, B294)</f>
        <v>24.954545454545453</v>
      </c>
      <c r="AH294">
        <f>AVERAGEIFS($I$2:I294, $B$2:B294, B294)</f>
        <v>0.4872727272727273</v>
      </c>
      <c r="AI294">
        <f>AVERAGEIFS($I$2:J294, $B$2:C294, C294)</f>
        <v>0.52</v>
      </c>
      <c r="AJ294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f>AVERAGEIFS($C$2:C295, $B$2:B295, B295)</f>
        <v>13.4</v>
      </c>
      <c r="AH295">
        <f>AVERAGEIFS($I$2:I295, $B$2:B295, B295)</f>
        <v>0.38</v>
      </c>
      <c r="AI295">
        <f>AVERAGEIFS($I$2:J295, $B$2:C295, C295)</f>
        <v>0.57499999999999996</v>
      </c>
      <c r="AJ295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f>AVERAGEIFS($C$2:C296, $B$2:B296, B296)</f>
        <v>15.833333333333334</v>
      </c>
      <c r="AH296">
        <f>AVERAGEIFS($I$2:I296, $B$2:B296, B296)</f>
        <v>0.54999999999999993</v>
      </c>
      <c r="AI296">
        <f>AVERAGEIFS($I$2:J296, $B$2:C296, C296)</f>
        <v>0.5006666666666667</v>
      </c>
      <c r="AJ29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f>AVERAGEIFS($C$2:C297, $B$2:B297, B297)</f>
        <v>14</v>
      </c>
      <c r="AH297">
        <f>AVERAGEIFS($I$2:I297, $B$2:B297, B297)</f>
        <v>0.35833333333333334</v>
      </c>
      <c r="AI297">
        <f>AVERAGEIFS($I$2:J297, $B$2:C297, C297)</f>
        <v>0.49437500000000006</v>
      </c>
      <c r="AJ297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f>AVERAGEIFS($C$2:C298, $B$2:B298, B298)</f>
        <v>17.666666666666668</v>
      </c>
      <c r="AH298">
        <f>AVERAGEIFS($I$2:I298, $B$2:B298, B298)</f>
        <v>0.44333333333333341</v>
      </c>
      <c r="AI298">
        <f>AVERAGEIFS($I$2:J298, $B$2:C298, C298)</f>
        <v>0.4933333333333334</v>
      </c>
      <c r="AJ298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f>AVERAGEIFS($C$2:C299, $B$2:B299, B299)</f>
        <v>11.842105263157896</v>
      </c>
      <c r="AH299">
        <f>AVERAGEIFS($I$2:I299, $B$2:B299, B299)</f>
        <v>0.44894736842105271</v>
      </c>
      <c r="AI299">
        <f>AVERAGEIFS($I$2:J299, $B$2:C299, C299)</f>
        <v>0.48874999999999996</v>
      </c>
      <c r="AJ299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>
        <f>AVERAGEIFS($C$2:C300, $B$2:B300, B300)</f>
        <v>20.149999999999999</v>
      </c>
      <c r="AH300">
        <f>AVERAGEIFS($I$2:I300, $B$2:B300, B300)</f>
        <v>0.50150000000000006</v>
      </c>
      <c r="AI300">
        <f>AVERAGEIFS($I$2:J300, $B$2:C300, C300)</f>
        <v>0.52444444444444438</v>
      </c>
      <c r="AJ300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>
        <f>AVERAGEIFS($C$2:C301, $B$2:B301, B301)</f>
        <v>24.176470588235293</v>
      </c>
      <c r="AH301">
        <f>AVERAGEIFS($I$2:I301, $B$2:B301, B301)</f>
        <v>0.49882352941176472</v>
      </c>
      <c r="AI301">
        <f>AVERAGEIFS($I$2:J301, $B$2:C301, C301)</f>
        <v>0.46533333333333338</v>
      </c>
      <c r="AJ301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>
        <f>AVERAGEIFS($C$2:C302, $B$2:B302, B302)</f>
        <v>29.111111111111111</v>
      </c>
      <c r="AH302">
        <f>AVERAGEIFS($I$2:I302, $B$2:B302, B302)</f>
        <v>0.38333333333333336</v>
      </c>
      <c r="AI302">
        <f>AVERAGEIFS($I$2:J302, $B$2:C302, C302)</f>
        <v>0.55599999999999983</v>
      </c>
      <c r="AJ302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>
        <f>AVERAGEIFS($C$2:C303, $B$2:B303, B303)</f>
        <v>18.875</v>
      </c>
      <c r="AH303">
        <f>AVERAGEIFS($I$2:I303, $B$2:B303, B303)</f>
        <v>0.48749999999999999</v>
      </c>
      <c r="AI303">
        <f>AVERAGEIFS($I$2:J303, $B$2:C303, C303)</f>
        <v>0.43733333333333341</v>
      </c>
      <c r="AJ303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>
        <f>AVERAGEIFS($C$2:C304, $B$2:B304, B304)</f>
        <v>17.428571428571427</v>
      </c>
      <c r="AH304">
        <f>AVERAGEIFS($I$2:I304, $B$2:B304, B304)</f>
        <v>0.47857142857142859</v>
      </c>
      <c r="AI304">
        <f>AVERAGEIFS($I$2:J304, $B$2:C304, C304)</f>
        <v>0.49249999999999999</v>
      </c>
      <c r="AJ304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>
        <f>AVERAGEIFS($C$2:C305, $B$2:B305, B305)</f>
        <v>14.2</v>
      </c>
      <c r="AH305">
        <f>AVERAGEIFS($I$2:I305, $B$2:B305, B305)</f>
        <v>0.48</v>
      </c>
      <c r="AI305">
        <f>AVERAGEIFS($I$2:J305, $B$2:C305, C305)</f>
        <v>0.501</v>
      </c>
      <c r="AJ305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>
        <f>AVERAGEIFS($C$2:C306, $B$2:B306, B306)</f>
        <v>23.19047619047619</v>
      </c>
      <c r="AH306">
        <f>AVERAGEIFS($I$2:I306, $B$2:B306, B306)</f>
        <v>0.64904761904761898</v>
      </c>
      <c r="AI306">
        <f>AVERAGEIFS($I$2:J306, $B$2:C306, C306)</f>
        <v>0.50705882352941178</v>
      </c>
      <c r="AJ30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>
        <f>AVERAGEIFS($C$2:C307, $B$2:B307, B307)</f>
        <v>25.6</v>
      </c>
      <c r="AH307">
        <f>AVERAGEIFS($I$2:I307, $B$2:B307, B307)</f>
        <v>0.42000000000000004</v>
      </c>
      <c r="AI307">
        <f>AVERAGEIFS($I$2:J307, $B$2:C307, C307)</f>
        <v>0.48062500000000002</v>
      </c>
      <c r="AJ307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>
        <f>AVERAGEIFS($C$2:C308, $B$2:B308, B308)</f>
        <v>13.857142857142858</v>
      </c>
      <c r="AH308">
        <f>AVERAGEIFS($I$2:I308, $B$2:B308, B308)</f>
        <v>0.41428571428571426</v>
      </c>
      <c r="AI308">
        <f>AVERAGEIFS($I$2:J308, $B$2:C308, C308)</f>
        <v>0.52533333333333332</v>
      </c>
      <c r="AJ308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>
        <f>AVERAGEIFS($C$2:C309, $B$2:B309, B309)</f>
        <v>17.6875</v>
      </c>
      <c r="AH309">
        <f>AVERAGEIFS($I$2:I309, $B$2:B309, B309)</f>
        <v>0.46250000000000008</v>
      </c>
      <c r="AI309">
        <f>AVERAGEIFS($I$2:J309, $B$2:C309, C309)</f>
        <v>0.49411764705882355</v>
      </c>
      <c r="AJ309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f>AVERAGEIFS($C$2:C310, $B$2:B310, B310)</f>
        <v>17.100000000000001</v>
      </c>
      <c r="AH310">
        <f>AVERAGEIFS($I$2:I310, $B$2:B310, B310)</f>
        <v>0.495</v>
      </c>
      <c r="AI310">
        <f>AVERAGEIFS($I$2:J310, $B$2:C310, C310)</f>
        <v>0.4916666666666667</v>
      </c>
      <c r="AJ310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>
        <f>AVERAGEIFS($C$2:C311, $B$2:B311, B311)</f>
        <v>17</v>
      </c>
      <c r="AH311">
        <f>AVERAGEIFS($I$2:I311, $B$2:B311, B311)</f>
        <v>0.4936363636363636</v>
      </c>
      <c r="AI311">
        <f>AVERAGEIFS($I$2:J311, $B$2:C311, C311)</f>
        <v>0.55099999999999993</v>
      </c>
      <c r="AJ311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f>AVERAGEIFS($C$2:C312, $B$2:B312, B312)</f>
        <v>17.875</v>
      </c>
      <c r="AH312">
        <f>AVERAGEIFS($I$2:I312, $B$2:B312, B312)</f>
        <v>0.54374999999999996</v>
      </c>
      <c r="AI312">
        <f>AVERAGEIFS($I$2:J312, $B$2:C312, C312)</f>
        <v>0.58272727272727276</v>
      </c>
      <c r="AJ312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f>AVERAGEIFS($C$2:C313, $B$2:B313, B313)</f>
        <v>23</v>
      </c>
      <c r="AH313">
        <f>AVERAGEIFS($I$2:I313, $B$2:B313, B313)</f>
        <v>0.66499999999999992</v>
      </c>
      <c r="AI313">
        <f>AVERAGEIFS($I$2:J313, $B$2:C313, C313)</f>
        <v>0.52181818181818185</v>
      </c>
      <c r="AJ313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f>AVERAGEIFS($C$2:C314, $B$2:B314, B314)</f>
        <v>16.90909090909091</v>
      </c>
      <c r="AH314">
        <f>AVERAGEIFS($I$2:I314, $B$2:B314, B314)</f>
        <v>0.48818181818181822</v>
      </c>
      <c r="AI314">
        <f>AVERAGEIFS($I$2:J314, $B$2:C314, C314)</f>
        <v>0.52384615384615385</v>
      </c>
      <c r="AJ314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f>AVERAGEIFS($C$2:C315, $B$2:B315, B315)</f>
        <v>8.5</v>
      </c>
      <c r="AH315">
        <f>AVERAGEIFS($I$2:I315, $B$2:B315, B315)</f>
        <v>0.6875</v>
      </c>
      <c r="AI315">
        <f>AVERAGEIFS($I$2:J315, $B$2:C315, C315)</f>
        <v>0.53727272727272724</v>
      </c>
      <c r="AJ315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f>AVERAGEIFS($C$2:C316, $B$2:B316, B316)</f>
        <v>19.666666666666668</v>
      </c>
      <c r="AH316">
        <f>AVERAGEIFS($I$2:I316, $B$2:B316, B316)</f>
        <v>0.52523809523809528</v>
      </c>
      <c r="AI316">
        <f>AVERAGEIFS($I$2:J316, $B$2:C316, C316)</f>
        <v>0.5675</v>
      </c>
      <c r="AJ31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f>AVERAGEIFS($C$2:C317, $B$2:B317, B317)</f>
        <v>17.888888888888889</v>
      </c>
      <c r="AH317">
        <f>AVERAGEIFS($I$2:I317, $B$2:B317, B317)</f>
        <v>0.54444444444444451</v>
      </c>
      <c r="AI317">
        <f>AVERAGEIFS($I$2:J317, $B$2:C317, C317)</f>
        <v>0.59307692307692317</v>
      </c>
      <c r="AJ317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f>AVERAGEIFS($C$2:C318, $B$2:B318, B318)</f>
        <v>8.5</v>
      </c>
      <c r="AH318">
        <f>AVERAGEIFS($I$2:I318, $B$2:B318, B318)</f>
        <v>0.6</v>
      </c>
      <c r="AI318">
        <f>AVERAGEIFS($I$2:J318, $B$2:C318, C318)</f>
        <v>0.56499999999999995</v>
      </c>
      <c r="AJ318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f>AVERAGEIFS($C$2:C319, $B$2:B319, B319)</f>
        <v>21.055555555555557</v>
      </c>
      <c r="AH319">
        <f>AVERAGEIFS($I$2:I319, $B$2:B319, B319)</f>
        <v>0.45944444444444443</v>
      </c>
      <c r="AI319">
        <f>AVERAGEIFS($I$2:J319, $B$2:C319, C319)</f>
        <v>0.45400000000000001</v>
      </c>
      <c r="AJ319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f>AVERAGEIFS($C$2:C320, $B$2:B320, B320)</f>
        <v>27.5</v>
      </c>
      <c r="AH320">
        <f>AVERAGEIFS($I$2:I320, $B$2:B320, B320)</f>
        <v>0.34500000000000003</v>
      </c>
      <c r="AI320">
        <f>AVERAGEIFS($I$2:J320, $B$2:C320, C320)</f>
        <v>0.49874999999999992</v>
      </c>
      <c r="AJ320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f>AVERAGEIFS($C$2:C321, $B$2:B321, B321)</f>
        <v>16.416666666666668</v>
      </c>
      <c r="AH321">
        <f>AVERAGEIFS($I$2:I321, $B$2:B321, B321)</f>
        <v>0.45249999999999996</v>
      </c>
      <c r="AI321">
        <f>AVERAGEIFS($I$2:J321, $B$2:C321, C321)</f>
        <v>0.55785714285714294</v>
      </c>
      <c r="AJ321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f>AVERAGEIFS($C$2:C322, $B$2:B322, B322)</f>
        <v>17.176470588235293</v>
      </c>
      <c r="AH322">
        <f>AVERAGEIFS($I$2:I322, $B$2:B322, B322)</f>
        <v>0.43529411764705889</v>
      </c>
      <c r="AI322">
        <f>AVERAGEIFS($I$2:J322, $B$2:C322, C322)</f>
        <v>0.40199999999999997</v>
      </c>
      <c r="AJ322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f>AVERAGEIFS($C$2:C323, $B$2:B323, B323)</f>
        <v>11.65</v>
      </c>
      <c r="AH323">
        <f>AVERAGEIFS($I$2:I323, $B$2:B323, B323)</f>
        <v>0.42650000000000005</v>
      </c>
      <c r="AI323">
        <f>AVERAGEIFS($I$2:J323, $B$2:C323, C323)</f>
        <v>0.44555555555555554</v>
      </c>
      <c r="AJ323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f>AVERAGEIFS($C$2:C324, $B$2:B324, B324)</f>
        <v>16.09090909090909</v>
      </c>
      <c r="AH324">
        <f>AVERAGEIFS($I$2:I324, $B$2:B324, B324)</f>
        <v>0.45</v>
      </c>
      <c r="AI324">
        <f>AVERAGEIFS($I$2:J324, $B$2:C324, C324)</f>
        <v>0.5133333333333332</v>
      </c>
      <c r="AJ324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f>AVERAGEIFS($C$2:C325, $B$2:B325, B325)</f>
        <v>4</v>
      </c>
      <c r="AH325">
        <f>AVERAGEIFS($I$2:I325, $B$2:B325, B325)</f>
        <v>0</v>
      </c>
      <c r="AI325">
        <f>AVERAGEIFS($I$2:J325, $B$2:C325, C325)</f>
        <v>0.31</v>
      </c>
      <c r="AJ325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f>AVERAGEIFS($C$2:C326, $B$2:B326, B326)</f>
        <v>22.913043478260871</v>
      </c>
      <c r="AH326">
        <f>AVERAGEIFS($I$2:I326, $B$2:B326, B326)</f>
        <v>0.66869565217391302</v>
      </c>
      <c r="AI326">
        <f>AVERAGEIFS($I$2:J326, $B$2:C326, C326)</f>
        <v>0.58416666666666661</v>
      </c>
      <c r="AJ32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f>AVERAGEIFS($C$2:C327, $B$2:B327, B327)</f>
        <v>19.681818181818183</v>
      </c>
      <c r="AH327">
        <f>AVERAGEIFS($I$2:I327, $B$2:B327, B327)</f>
        <v>0.53545454545454552</v>
      </c>
      <c r="AI327">
        <f>AVERAGEIFS($I$2:J327, $B$2:C327, C327)</f>
        <v>0.48166666666666652</v>
      </c>
      <c r="AJ327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>
        <f>AVERAGEIFS($C$2:C328, $B$2:B328, B328)</f>
        <v>17.277777777777779</v>
      </c>
      <c r="AH328">
        <f>AVERAGEIFS($I$2:I328, $B$2:B328, B328)</f>
        <v>0.45277777777777789</v>
      </c>
      <c r="AI328">
        <f>AVERAGEIFS($I$2:J328, $B$2:C328, C328)</f>
        <v>0.52833333333333332</v>
      </c>
      <c r="AJ328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>
        <f>AVERAGEIFS($C$2:C329, $B$2:B329, B329)</f>
        <v>12.6</v>
      </c>
      <c r="AH329">
        <f>AVERAGEIFS($I$2:I329, $B$2:B329, B329)</f>
        <v>0.71000000000000008</v>
      </c>
      <c r="AI329">
        <f>AVERAGEIFS($I$2:J329, $B$2:C329, C329)</f>
        <v>0.53384615384615386</v>
      </c>
      <c r="AJ329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>
        <f>AVERAGEIFS($C$2:C330, $B$2:B330, B330)</f>
        <v>16.142857142857142</v>
      </c>
      <c r="AH330">
        <f>AVERAGEIFS($I$2:I330, $B$2:B330, B330)</f>
        <v>0.57857142857142851</v>
      </c>
      <c r="AI330">
        <f>AVERAGEIFS($I$2:J330, $B$2:C330, C330)</f>
        <v>0.5</v>
      </c>
      <c r="AJ330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>
        <f>AVERAGEIFS($C$2:C331, $B$2:B331, B331)</f>
        <v>17.8</v>
      </c>
      <c r="AH331">
        <f>AVERAGEIFS($I$2:I331, $B$2:B331, B331)</f>
        <v>0.56500000000000006</v>
      </c>
      <c r="AI331">
        <f>AVERAGEIFS($I$2:J331, $B$2:C331, C331)</f>
        <v>0.44750000000000006</v>
      </c>
      <c r="AJ331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f>AVERAGEIFS($C$2:C332, $B$2:B332, B332)</f>
        <v>25.727272727272727</v>
      </c>
      <c r="AH332">
        <f>AVERAGEIFS($I$2:I332, $B$2:B332, B332)</f>
        <v>0.40454545454545454</v>
      </c>
      <c r="AI332">
        <f>AVERAGEIFS($I$2:J332, $B$2:C332, C332)</f>
        <v>0.46875</v>
      </c>
      <c r="AJ332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f>AVERAGEIFS($C$2:C333, $B$2:B333, B333)</f>
        <v>18.333333333333332</v>
      </c>
      <c r="AH333">
        <f>AVERAGEIFS($I$2:I333, $B$2:B333, B333)</f>
        <v>0.6166666666666667</v>
      </c>
      <c r="AI333">
        <f>AVERAGEIFS($I$2:J333, $B$2:C333, C333)</f>
        <v>0.44470588235294128</v>
      </c>
      <c r="AJ333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f>AVERAGEIFS($C$2:C334, $B$2:B334, B334)</f>
        <v>16.46153846153846</v>
      </c>
      <c r="AH334">
        <f>AVERAGEIFS($I$2:I334, $B$2:B334, B334)</f>
        <v>0.43692307692307691</v>
      </c>
      <c r="AI334">
        <f>AVERAGEIFS($I$2:J334, $B$2:C334, C334)</f>
        <v>0.44222222222222229</v>
      </c>
      <c r="AJ334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f>AVERAGEIFS($C$2:C335, $B$2:B335, B335)</f>
        <v>16.083333333333332</v>
      </c>
      <c r="AH335">
        <f>AVERAGEIFS($I$2:I335, $B$2:B335, B335)</f>
        <v>0.43333333333333335</v>
      </c>
      <c r="AI335">
        <f>AVERAGEIFS($I$2:J335, $B$2:C335, C335)</f>
        <v>0.50111111111111117</v>
      </c>
      <c r="AJ335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f>AVERAGEIFS($C$2:C336, $B$2:B336, B336)</f>
        <v>16.666666666666668</v>
      </c>
      <c r="AH336">
        <f>AVERAGEIFS($I$2:I336, $B$2:B336, B336)</f>
        <v>0.46833333333333332</v>
      </c>
      <c r="AI336">
        <f>AVERAGEIFS($I$2:J336, $B$2:C336, C336)</f>
        <v>0.48000000000000004</v>
      </c>
      <c r="AJ33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f>AVERAGEIFS($C$2:C337, $B$2:B337, B337)</f>
        <v>13</v>
      </c>
      <c r="AH337">
        <f>AVERAGEIFS($I$2:I337, $B$2:B337, B337)</f>
        <v>0.35833333333333334</v>
      </c>
      <c r="AI337">
        <f>AVERAGEIFS($I$2:J337, $B$2:C337, C337)</f>
        <v>0.51500000000000001</v>
      </c>
      <c r="AJ337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>
        <f>AVERAGEIFS($C$2:C338, $B$2:B338, B338)</f>
        <v>29.545454545454547</v>
      </c>
      <c r="AH338">
        <f>AVERAGEIFS($I$2:I338, $B$2:B338, B338)</f>
        <v>0.38181818181818183</v>
      </c>
      <c r="AI338">
        <f>AVERAGEIFS($I$2:J338, $B$2:C338, C338)</f>
        <v>0.57999999999999996</v>
      </c>
      <c r="AJ338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>
        <f>AVERAGEIFS($C$2:C339, $B$2:B339, B339)</f>
        <v>24.869565217391305</v>
      </c>
      <c r="AH339">
        <f>AVERAGEIFS($I$2:I339, $B$2:B339, B339)</f>
        <v>0.4986956521739131</v>
      </c>
      <c r="AI339">
        <f>AVERAGEIFS($I$2:J339, $B$2:C339, C339)</f>
        <v>0.55749999999999988</v>
      </c>
      <c r="AJ339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>
        <f>AVERAGEIFS($C$2:C340, $B$2:B340, B340)</f>
        <v>12.333333333333334</v>
      </c>
      <c r="AH340">
        <f>AVERAGEIFS($I$2:I340, $B$2:B340, B340)</f>
        <v>0.53333333333333333</v>
      </c>
      <c r="AI340">
        <f>AVERAGEIFS($I$2:J340, $B$2:C340, C340)</f>
        <v>0.50421052631578944</v>
      </c>
      <c r="AJ340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>
        <f>AVERAGEIFS($C$2:C341, $B$2:B341, B341)</f>
        <v>19.857142857142858</v>
      </c>
      <c r="AH341">
        <f>AVERAGEIFS($I$2:I341, $B$2:B341, B341)</f>
        <v>0.49285714285714283</v>
      </c>
      <c r="AI341">
        <f>AVERAGEIFS($I$2:J341, $B$2:C341, C341)</f>
        <v>0.50800000000000001</v>
      </c>
      <c r="AJ341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>
        <f>AVERAGEIFS($C$2:C342, $B$2:B342, B342)</f>
        <v>19.608695652173914</v>
      </c>
      <c r="AH342">
        <f>AVERAGEIFS($I$2:I342, $B$2:B342, B342)</f>
        <v>0.5447826086956522</v>
      </c>
      <c r="AI342">
        <f>AVERAGEIFS($I$2:J342, $B$2:C342, C342)</f>
        <v>0.51142857142857145</v>
      </c>
      <c r="AJ342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>
        <f>AVERAGEIFS($C$2:C343, $B$2:B343, B343)</f>
        <v>17.555555555555557</v>
      </c>
      <c r="AH343">
        <f>AVERAGEIFS($I$2:I343, $B$2:B343, B343)</f>
        <v>0.56666666666666665</v>
      </c>
      <c r="AI343">
        <f>AVERAGEIFS($I$2:J343, $B$2:C343, C343)</f>
        <v>0.46545454545454545</v>
      </c>
      <c r="AJ343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f>AVERAGEIFS($C$2:C344, $B$2:B344, B344)</f>
        <v>24.388888888888889</v>
      </c>
      <c r="AH344">
        <f>AVERAGEIFS($I$2:I344, $B$2:B344, B344)</f>
        <v>0.48500000000000004</v>
      </c>
      <c r="AI344">
        <f>AVERAGEIFS($I$2:J344, $B$2:C344, C344)</f>
        <v>0.48142857142857143</v>
      </c>
      <c r="AJ344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f>AVERAGEIFS($C$2:C345, $B$2:B345, B345)</f>
        <v>17.684210526315791</v>
      </c>
      <c r="AH345">
        <f>AVERAGEIFS($I$2:I345, $B$2:B345, B345)</f>
        <v>0.44210526315789483</v>
      </c>
      <c r="AI345">
        <f>AVERAGEIFS($I$2:J345, $B$2:C345, C345)</f>
        <v>0.48466666666666663</v>
      </c>
      <c r="AJ345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f>AVERAGEIFS($C$2:C346, $B$2:B346, B346)</f>
        <v>22.875</v>
      </c>
      <c r="AH346">
        <f>AVERAGEIFS($I$2:I346, $B$2:B346, B346)</f>
        <v>0.65125</v>
      </c>
      <c r="AI346">
        <f>AVERAGEIFS($I$2:J346, $B$2:C346, C346)</f>
        <v>0.52214285714285713</v>
      </c>
      <c r="AJ34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f>AVERAGEIFS($C$2:C347, $B$2:B347, B347)</f>
        <v>16.46153846153846</v>
      </c>
      <c r="AH347">
        <f>AVERAGEIFS($I$2:I347, $B$2:B347, B347)</f>
        <v>0.41923076923076924</v>
      </c>
      <c r="AI347">
        <f>AVERAGEIFS($I$2:J347, $B$2:C347, C347)</f>
        <v>0.57153846153846155</v>
      </c>
      <c r="AJ347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f>AVERAGEIFS($C$2:C348, $B$2:B348, B348)</f>
        <v>16.428571428571427</v>
      </c>
      <c r="AH348">
        <f>AVERAGEIFS($I$2:I348, $B$2:B348, B348)</f>
        <v>0.42357142857142854</v>
      </c>
      <c r="AI348">
        <f>AVERAGEIFS($I$2:J348, $B$2:C348, C348)</f>
        <v>0.49684210526315797</v>
      </c>
      <c r="AJ348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f>AVERAGEIFS($C$2:C349, $B$2:B349, B349)</f>
        <v>13.5</v>
      </c>
      <c r="AH349">
        <f>AVERAGEIFS($I$2:I349, $B$2:B349, B349)</f>
        <v>0.39374999999999999</v>
      </c>
      <c r="AI349">
        <f>AVERAGEIFS($I$2:J349, $B$2:C349, C349)</f>
        <v>0.50866666666666671</v>
      </c>
      <c r="AJ349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>
        <f>AVERAGEIFS($C$2:C350, $B$2:B350, B350)</f>
        <v>23</v>
      </c>
      <c r="AH350">
        <f>AVERAGEIFS($I$2:I350, $B$2:B350, B350)</f>
        <v>0.6552</v>
      </c>
      <c r="AI350">
        <f>AVERAGEIFS($I$2:J350, $B$2:C350, C350)</f>
        <v>0.59250000000000003</v>
      </c>
      <c r="AJ350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>
        <f>AVERAGEIFS($C$2:C351, $B$2:B351, B351)</f>
        <v>17.850000000000001</v>
      </c>
      <c r="AH351">
        <f>AVERAGEIFS($I$2:I351, $B$2:B351, B351)</f>
        <v>0.45750000000000013</v>
      </c>
      <c r="AI351">
        <f>AVERAGEIFS($I$2:J351, $B$2:C351, C351)</f>
        <v>0.58285714285714285</v>
      </c>
      <c r="AJ351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>
        <f>AVERAGEIFS($C$2:C352, $B$2:B352, B352)</f>
        <v>20.625</v>
      </c>
      <c r="AH352">
        <f>AVERAGEIFS($I$2:I352, $B$2:B352, B352)</f>
        <v>0.59624999999999995</v>
      </c>
      <c r="AI352">
        <f>AVERAGEIFS($I$2:J352, $B$2:C352, C352)</f>
        <v>0.45736842105263165</v>
      </c>
      <c r="AJ352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>
        <f>AVERAGEIFS($C$2:C353, $B$2:B353, B353)</f>
        <v>17.5</v>
      </c>
      <c r="AH353">
        <f>AVERAGEIFS($I$2:I353, $B$2:B353, B353)</f>
        <v>0.58499999999999996</v>
      </c>
      <c r="AI353">
        <f>AVERAGEIFS($I$2:J353, $B$2:C353, C353)</f>
        <v>0.47100000000000009</v>
      </c>
      <c r="AJ353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f>AVERAGEIFS($C$2:C354, $B$2:B354, B354)</f>
        <v>12.571428571428571</v>
      </c>
      <c r="AH354">
        <f>AVERAGEIFS($I$2:I354, $B$2:B354, B354)</f>
        <v>0.41428571428571426</v>
      </c>
      <c r="AI354">
        <f>AVERAGEIFS($I$2:J354, $B$2:C354, C354)</f>
        <v>0.56933333333333336</v>
      </c>
      <c r="AJ354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f>AVERAGEIFS($C$2:C355, $B$2:B355, B355)</f>
        <v>16.642857142857142</v>
      </c>
      <c r="AH355">
        <f>AVERAGEIFS($I$2:I355, $B$2:B355, B355)</f>
        <v>0.40714285714285714</v>
      </c>
      <c r="AI355">
        <f>AVERAGEIFS($I$2:J355, $B$2:C355, C355)</f>
        <v>0.5149999999999999</v>
      </c>
      <c r="AJ355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f>AVERAGEIFS($C$2:C356, $B$2:B356, B356)</f>
        <v>19.8</v>
      </c>
      <c r="AH356">
        <f>AVERAGEIFS($I$2:I356, $B$2:B356, B356)</f>
        <v>0.47666666666666663</v>
      </c>
      <c r="AI356">
        <f>AVERAGEIFS($I$2:J356, $B$2:C356, C356)</f>
        <v>0.49866666666666659</v>
      </c>
      <c r="AJ35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f>AVERAGEIFS($C$2:C357, $B$2:B357, B357)</f>
        <v>24.416666666666668</v>
      </c>
      <c r="AH357">
        <f>AVERAGEIFS($I$2:I357, $B$2:B357, B357)</f>
        <v>0.48833333333333334</v>
      </c>
      <c r="AI357">
        <f>AVERAGEIFS($I$2:J357, $B$2:C357, C357)</f>
        <v>0.46384615384615391</v>
      </c>
      <c r="AJ357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f>AVERAGEIFS($C$2:C358, $B$2:B358, B358)</f>
        <v>11.571428571428571</v>
      </c>
      <c r="AH358">
        <f>AVERAGEIFS($I$2:I358, $B$2:B358, B358)</f>
        <v>0.41809523809523813</v>
      </c>
      <c r="AI358">
        <f>AVERAGEIFS($I$2:J358, $B$2:C358, C358)</f>
        <v>0.55062500000000003</v>
      </c>
      <c r="AJ358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f>AVERAGEIFS($C$2:C359, $B$2:B359, B359)</f>
        <v>8.5</v>
      </c>
      <c r="AH359">
        <f>AVERAGEIFS($I$2:I359, $B$2:B359, B359)</f>
        <v>0.32500000000000001</v>
      </c>
      <c r="AI359">
        <f>AVERAGEIFS($I$2:J359, $B$2:C359, C359)</f>
        <v>0.42799999999999994</v>
      </c>
      <c r="AJ359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>
        <f>AVERAGEIFS($C$2:C360, $B$2:B360, B360)</f>
        <v>24.84</v>
      </c>
      <c r="AH360">
        <f>AVERAGEIFS($I$2:I360, $B$2:B360, B360)</f>
        <v>0.49880000000000002</v>
      </c>
      <c r="AI360">
        <f>AVERAGEIFS($I$2:J360, $B$2:C360, C360)</f>
        <v>0.55333333333333334</v>
      </c>
      <c r="AJ360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>
        <f>AVERAGEIFS($C$2:C361, $B$2:B361, B361)</f>
        <v>18.363636363636363</v>
      </c>
      <c r="AH361">
        <f>AVERAGEIFS($I$2:I361, $B$2:B361, B361)</f>
        <v>0.6</v>
      </c>
      <c r="AI361">
        <f>AVERAGEIFS($I$2:J361, $B$2:C361, C361)</f>
        <v>0.48222222222222222</v>
      </c>
      <c r="AJ361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>
        <f>AVERAGEIFS($C$2:C362, $B$2:B362, B362)</f>
        <v>23.115384615384617</v>
      </c>
      <c r="AH362">
        <f>AVERAGEIFS($I$2:I362, $B$2:B362, B362)</f>
        <v>0.65884615384615386</v>
      </c>
      <c r="AI362">
        <f>AVERAGEIFS($I$2:J362, $B$2:C362, C362)</f>
        <v>0.59199999999999997</v>
      </c>
      <c r="AJ362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>
        <f>AVERAGEIFS($C$2:C363, $B$2:B363, B363)</f>
        <v>20.888888888888889</v>
      </c>
      <c r="AH363">
        <f>AVERAGEIFS($I$2:I363, $B$2:B363, B363)</f>
        <v>0.61333333333333329</v>
      </c>
      <c r="AI363">
        <f>AVERAGEIFS($I$2:J363, $B$2:C363, C363)</f>
        <v>0.55941176470588228</v>
      </c>
      <c r="AJ363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f>AVERAGEIFS($C$2:C364, $B$2:B364, B364)</f>
        <v>13.625</v>
      </c>
      <c r="AH364">
        <f>AVERAGEIFS($I$2:I364, $B$2:B364, B364)</f>
        <v>0.45624999999999999</v>
      </c>
      <c r="AI364">
        <f>AVERAGEIFS($I$2:J364, $B$2:C364, C364)</f>
        <v>0.58333333333333337</v>
      </c>
      <c r="AJ364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>
        <f>AVERAGEIFS($C$2:C365, $B$2:B365, B365)</f>
        <v>19.8125</v>
      </c>
      <c r="AH365">
        <f>AVERAGEIFS($I$2:I365, $B$2:B365, B365)</f>
        <v>0.49374999999999997</v>
      </c>
      <c r="AI365">
        <f>AVERAGEIFS($I$2:J365, $B$2:C365, C365)</f>
        <v>0.48999999999999988</v>
      </c>
      <c r="AJ365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>
        <f>AVERAGEIFS($C$2:C366, $B$2:B366, B366)</f>
        <v>14</v>
      </c>
      <c r="AH366">
        <f>AVERAGEIFS($I$2:I366, $B$2:B366, B366)</f>
        <v>0.58750000000000002</v>
      </c>
      <c r="AI366">
        <f>AVERAGEIFS($I$2:J366, $B$2:C366, C366)</f>
        <v>0.50437499999999991</v>
      </c>
      <c r="AJ36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>
        <f>AVERAGEIFS($C$2:C367, $B$2:B367, B367)</f>
        <v>11.772727272727273</v>
      </c>
      <c r="AH367">
        <f>AVERAGEIFS($I$2:I367, $B$2:B367, B367)</f>
        <v>0.43318181818181822</v>
      </c>
      <c r="AI367">
        <f>AVERAGEIFS($I$2:J367, $B$2:C367, C367)</f>
        <v>0.50150000000000006</v>
      </c>
      <c r="AJ367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f>AVERAGEIFS($C$2:C368, $B$2:B368, B368)</f>
        <v>17.8</v>
      </c>
      <c r="AH368">
        <f>AVERAGEIFS($I$2:I368, $B$2:B368, B368)</f>
        <v>0.39666666666666667</v>
      </c>
      <c r="AI368">
        <f>AVERAGEIFS($I$2:J368, $B$2:C368, C368)</f>
        <v>0.50750000000000006</v>
      </c>
      <c r="AJ368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f>AVERAGEIFS($C$2:C369, $B$2:B369, B369)</f>
        <v>24.631578947368421</v>
      </c>
      <c r="AH369">
        <f>AVERAGEIFS($I$2:I369, $B$2:B369, B369)</f>
        <v>0.47263157894736846</v>
      </c>
      <c r="AI369">
        <f>AVERAGEIFS($I$2:J369, $B$2:C369, C369)</f>
        <v>0.54166666666666674</v>
      </c>
      <c r="AJ369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f>AVERAGEIFS($C$2:C370, $B$2:B370, B370)</f>
        <v>25.666666666666668</v>
      </c>
      <c r="AH370">
        <f>AVERAGEIFS($I$2:I370, $B$2:B370, B370)</f>
        <v>0.39166666666666666</v>
      </c>
      <c r="AI370">
        <f>AVERAGEIFS($I$2:J370, $B$2:C370, C370)</f>
        <v>0.48</v>
      </c>
      <c r="AJ370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f>AVERAGEIFS($C$2:C371, $B$2:B371, B371)</f>
        <v>21.157894736842106</v>
      </c>
      <c r="AH371">
        <f>AVERAGEIFS($I$2:I371, $B$2:B371, B371)</f>
        <v>0.44842105263157894</v>
      </c>
      <c r="AI371">
        <f>AVERAGEIFS($I$2:J371, $B$2:C371, C371)</f>
        <v>0.551111111111111</v>
      </c>
      <c r="AJ371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f>AVERAGEIFS($C$2:C372, $B$2:B372, B372)</f>
        <v>16.5</v>
      </c>
      <c r="AH372">
        <f>AVERAGEIFS($I$2:I372, $B$2:B372, B372)</f>
        <v>0.53749999999999998</v>
      </c>
      <c r="AI372">
        <f>AVERAGEIFS($I$2:J372, $B$2:C372, C372)</f>
        <v>0.49882352941176461</v>
      </c>
      <c r="AJ372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f>AVERAGEIFS($C$2:C373, $B$2:B373, B373)</f>
        <v>16.533333333333335</v>
      </c>
      <c r="AH373">
        <f>AVERAGEIFS($I$2:I373, $B$2:B373, B373)</f>
        <v>0.41199999999999998</v>
      </c>
      <c r="AI373">
        <f>AVERAGEIFS($I$2:J373, $B$2:C373, C373)</f>
        <v>0.50681818181818183</v>
      </c>
      <c r="AJ373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f>AVERAGEIFS($C$2:C374, $B$2:B374, B374)</f>
        <v>17.857142857142858</v>
      </c>
      <c r="AH374">
        <f>AVERAGEIFS($I$2:I374, $B$2:B374, B374)</f>
        <v>0.44761904761904769</v>
      </c>
      <c r="AI374">
        <f>AVERAGEIFS($I$2:J374, $B$2:C374, C374)</f>
        <v>0.50260869565217392</v>
      </c>
      <c r="AJ374">
        <f>AVERAGEIFS($D$2:D374, $B$2:B374, B374)</f>
        <v>0.42857142857142855</v>
      </c>
    </row>
    <row r="375" spans="1:36" x14ac:dyDescent="0.25">
      <c r="A375" s="85">
        <v>46089</v>
      </c>
      <c r="B375" t="s">
        <v>138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f>AVERAGEIFS($C$2:C375, $B$2:B375, B375)</f>
        <v>12</v>
      </c>
      <c r="AH375">
        <f>AVERAGEIFS($I$2:I375, $B$2:B375, B375)</f>
        <v>0.25</v>
      </c>
      <c r="AI375">
        <f>AVERAGEIFS($I$2:J375, $B$2:C375, C375)</f>
        <v>0.49</v>
      </c>
      <c r="AJ375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f>AVERAGEIFS($C$2:C376, $B$2:B376, B376)</f>
        <v>11.913043478260869</v>
      </c>
      <c r="AH376">
        <f>AVERAGEIFS($I$2:I376, $B$2:B376, B376)</f>
        <v>0.43173913043478268</v>
      </c>
      <c r="AI376">
        <f>AVERAGEIFS($I$2:J376, $B$2:C376, C376)</f>
        <v>0.46416666666666667</v>
      </c>
      <c r="AJ37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f>AVERAGEIFS($C$2:C377, $B$2:B377, B377)</f>
        <v>24.807692307692307</v>
      </c>
      <c r="AH377">
        <f>AVERAGEIFS($I$2:I377, $B$2:B377, B377)</f>
        <v>0.49500000000000005</v>
      </c>
      <c r="AI377">
        <f>AVERAGEIFS($I$2:J377, $B$2:C377, C377)</f>
        <v>0.51611111111111108</v>
      </c>
      <c r="AJ377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f>AVERAGEIFS($C$2:C378, $B$2:B378, B378)</f>
        <v>20.7</v>
      </c>
      <c r="AH378">
        <f>AVERAGEIFS($I$2:I378, $B$2:B378, B378)</f>
        <v>0.59199999999999997</v>
      </c>
      <c r="AI378">
        <f>AVERAGEIFS($I$2:J378, $B$2:C378, C378)</f>
        <v>0.496111111111111</v>
      </c>
      <c r="AJ378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f>AVERAGEIFS($C$2:C379, $B$2:B379, B379)</f>
        <v>19.470588235294116</v>
      </c>
      <c r="AH379">
        <f>AVERAGEIFS($I$2:I379, $B$2:B379, B379)</f>
        <v>0.48823529411764699</v>
      </c>
      <c r="AI379">
        <f>AVERAGEIFS($I$2:J379, $B$2:C379, C379)</f>
        <v>0.46285714285714297</v>
      </c>
      <c r="AJ379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f>AVERAGEIFS($C$2:C380, $B$2:B380, B380)</f>
        <v>9</v>
      </c>
      <c r="AH380">
        <f>AVERAGEIFS($I$2:I380, $B$2:B380, B380)</f>
        <v>0.59399999999999997</v>
      </c>
      <c r="AI380">
        <f>AVERAGEIFS($I$2:J380, $B$2:C380, C380)</f>
        <v>0.505</v>
      </c>
      <c r="AJ380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>
        <f>AVERAGEIFS($C$2:C381, $B$2:B381, B381)</f>
        <v>10</v>
      </c>
      <c r="AH381">
        <f>AVERAGEIFS($I$2:I381, $B$2:B381, B381)</f>
        <v>0.4</v>
      </c>
      <c r="AI381">
        <f>AVERAGEIFS($I$2:J381, $B$2:C381, C381)</f>
        <v>0.54470588235294115</v>
      </c>
      <c r="AJ381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>
        <f>AVERAGEIFS($C$2:C382, $B$2:B382, B382)</f>
        <v>15</v>
      </c>
      <c r="AH382">
        <f>AVERAGEIFS($I$2:I382, $B$2:B382, B382)</f>
        <v>0.59000000000000008</v>
      </c>
      <c r="AI382">
        <f>AVERAGEIFS($I$2:J382, $B$2:C382, C382)</f>
        <v>0.49894736842105258</v>
      </c>
      <c r="AJ382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>
        <f>AVERAGEIFS($C$2:C383, $B$2:B383, B383)</f>
        <v>18.333333333333332</v>
      </c>
      <c r="AH383">
        <f>AVERAGEIFS($I$2:I383, $B$2:B383, B383)</f>
        <v>0.6</v>
      </c>
      <c r="AI383">
        <f>AVERAGEIFS($I$2:J383, $B$2:C383, C383)</f>
        <v>0.50458333333333338</v>
      </c>
      <c r="AJ383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>
        <f>AVERAGEIFS($C$2:C384, $B$2:B384, B384)</f>
        <v>24.5</v>
      </c>
      <c r="AH384">
        <f>AVERAGEIFS($I$2:I384, $B$2:B384, B384)</f>
        <v>0.47899999999999998</v>
      </c>
      <c r="AI384">
        <f>AVERAGEIFS($I$2:J384, $B$2:C384, C384)</f>
        <v>0.52399999999999991</v>
      </c>
      <c r="AJ384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>
        <f>AVERAGEIFS($C$2:C385, $B$2:B385, B385)</f>
        <v>22.814814814814813</v>
      </c>
      <c r="AH385">
        <f>AVERAGEIFS($I$2:I385, $B$2:B385, B385)</f>
        <v>0.65666666666666673</v>
      </c>
      <c r="AI385">
        <f>AVERAGEIFS($I$2:J385, $B$2:C385, C385)</f>
        <v>0.47076923076923077</v>
      </c>
      <c r="AJ385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>
        <f>AVERAGEIFS($C$2:C386, $B$2:B386, B386)</f>
        <v>16.444444444444443</v>
      </c>
      <c r="AH386">
        <f>AVERAGEIFS($I$2:I386, $B$2:B386, B386)</f>
        <v>0.5444444444444444</v>
      </c>
      <c r="AI386">
        <f>AVERAGEIFS($I$2:J386, $B$2:C386, C386)</f>
        <v>0.50380952380952393</v>
      </c>
      <c r="AJ386">
        <f>AVERAGEIFS($D$2:D386, $B$2:B386, B386)</f>
        <v>0.55555555555555558</v>
      </c>
    </row>
    <row r="387" spans="1:36" x14ac:dyDescent="0.25">
      <c r="A387" s="85">
        <v>46090</v>
      </c>
      <c r="B387" t="s">
        <v>138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f>AVERAGEIFS($C$2:C387, $B$2:B387, B387)</f>
        <v>10</v>
      </c>
      <c r="AH387">
        <f>AVERAGEIFS($I$2:I387, $B$2:B387, B387)</f>
        <v>0.42499999999999999</v>
      </c>
      <c r="AI387">
        <f>AVERAGEIFS($I$2:J387, $B$2:C387, C387)</f>
        <v>0.43909090909090903</v>
      </c>
      <c r="AJ387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f>AVERAGEIFS($C$2:C388, $B$2:B388, B388)</f>
        <v>22</v>
      </c>
      <c r="AH388">
        <f>AVERAGEIFS($I$2:I388, $B$2:B388, B388)</f>
        <v>0.60636363636363633</v>
      </c>
      <c r="AI388">
        <f>AVERAGEIFS($I$2:J388, $B$2:C388, C388)</f>
        <v>0.58750000000000002</v>
      </c>
      <c r="AJ388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f>AVERAGEIFS($C$2:C389, $B$2:B389, B389)</f>
        <v>18.318181818181817</v>
      </c>
      <c r="AH389">
        <f>AVERAGEIFS($I$2:I389, $B$2:B389, B389)</f>
        <v>0.46136363636363648</v>
      </c>
      <c r="AI389">
        <f>AVERAGEIFS($I$2:J389, $B$2:C389, C389)</f>
        <v>0.50750000000000006</v>
      </c>
      <c r="AJ389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f>AVERAGEIFS($C$2:C390, $B$2:B390, B390)</f>
        <v>22.964285714285715</v>
      </c>
      <c r="AH390">
        <f>AVERAGEIFS($I$2:I390, $B$2:B390, B390)</f>
        <v>0.66</v>
      </c>
      <c r="AI390">
        <f>AVERAGEIFS($I$2:J390, $B$2:C390, C390)</f>
        <v>0.50299999999999989</v>
      </c>
      <c r="AJ390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f>AVERAGEIFS($C$2:C391, $B$2:B391, B391)</f>
        <v>18.181818181818183</v>
      </c>
      <c r="AH391">
        <f>AVERAGEIFS($I$2:I391, $B$2:B391, B391)</f>
        <v>0.5818181818181819</v>
      </c>
      <c r="AI391">
        <f>AVERAGEIFS($I$2:J391, $B$2:C391, C391)</f>
        <v>0.53437499999999993</v>
      </c>
      <c r="AJ391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f>AVERAGEIFS($C$2:C392, $B$2:B392, B392)</f>
        <v>24.38095238095238</v>
      </c>
      <c r="AH392">
        <f>AVERAGEIFS($I$2:I392, $B$2:B392, B392)</f>
        <v>0.4919047619047619</v>
      </c>
      <c r="AI392">
        <f>AVERAGEIFS($I$2:J392, $B$2:C392, C392)</f>
        <v>0.54352941176470582</v>
      </c>
      <c r="AJ392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f>AVERAGEIFS($C$2:C393, $B$2:B393, B393)</f>
        <v>16.100000000000001</v>
      </c>
      <c r="AH393">
        <f>AVERAGEIFS($I$2:I393, $B$2:B393, B393)</f>
        <v>0.56499999999999995</v>
      </c>
      <c r="AI393">
        <f>AVERAGEIFS($I$2:J393, $B$2:C393, C393)</f>
        <v>0.5099999999999999</v>
      </c>
      <c r="AJ393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f>AVERAGEIFS($C$2:C394, $B$2:B394, B394)</f>
        <v>26</v>
      </c>
      <c r="AH394">
        <f>AVERAGEIFS($I$2:I394, $B$2:B394, B394)</f>
        <v>0.3807692307692308</v>
      </c>
      <c r="AI394">
        <f>AVERAGEIFS($I$2:J394, $B$2:C394, C394)</f>
        <v>0.40666666666666668</v>
      </c>
      <c r="AJ394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f>AVERAGEIFS($C$2:C395, $B$2:B395, B395)</f>
        <v>29.166666666666668</v>
      </c>
      <c r="AH395">
        <f>AVERAGEIFS($I$2:I395, $B$2:B395, B395)</f>
        <v>0.37083333333333335</v>
      </c>
      <c r="AI395">
        <f>AVERAGEIFS($I$2:J395, $B$2:C395, C395)</f>
        <v>0.47</v>
      </c>
      <c r="AJ395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>
        <f>AVERAGEIFS($C$2:C396, $B$2:B396, B396)</f>
        <v>18.46153846153846</v>
      </c>
      <c r="AH396">
        <f>AVERAGEIFS($I$2:I396, $B$2:B396, B396)</f>
        <v>0.57307692307692304</v>
      </c>
      <c r="AI396">
        <f>AVERAGEIFS($I$2:J396, $B$2:C396, C396)</f>
        <v>0.47714285714285698</v>
      </c>
      <c r="AJ39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>
        <f>AVERAGEIFS($C$2:C397, $B$2:B397, B397)</f>
        <v>21</v>
      </c>
      <c r="AH397">
        <f>AVERAGEIFS($I$2:I397, $B$2:B397, B397)</f>
        <v>0.4385</v>
      </c>
      <c r="AI397">
        <f>AVERAGEIFS($I$2:J397, $B$2:C397, C397)</f>
        <v>0.49680000000000007</v>
      </c>
      <c r="AJ397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>
        <f>AVERAGEIFS($C$2:C398, $B$2:B398, B398)</f>
        <v>19.166666666666668</v>
      </c>
      <c r="AH398">
        <f>AVERAGEIFS($I$2:I398, $B$2:B398, B398)</f>
        <v>0.5</v>
      </c>
      <c r="AI398">
        <f>AVERAGEIFS($I$2:J398, $B$2:C398, C398)</f>
        <v>0.45928571428571424</v>
      </c>
      <c r="AJ398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>
        <f>AVERAGEIFS($C$2:C399, $B$2:B399, B399)</f>
        <v>17.5</v>
      </c>
      <c r="AH399">
        <f>AVERAGEIFS($I$2:I399, $B$2:B399, B399)</f>
        <v>0.38750000000000001</v>
      </c>
      <c r="AI399">
        <f>AVERAGEIFS($I$2:J399, $B$2:C399, C399)</f>
        <v>0.49888888888888883</v>
      </c>
      <c r="AJ399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>
        <f>AVERAGEIFS($C$2:C400, $B$2:B400, B400)</f>
        <v>18.347826086956523</v>
      </c>
      <c r="AH400">
        <f>AVERAGEIFS($I$2:I400, $B$2:B400, B400)</f>
        <v>0.48478260869565226</v>
      </c>
      <c r="AI400">
        <f>AVERAGEIFS($I$2:J400, $B$2:C400, C400)</f>
        <v>0.5149999999999999</v>
      </c>
      <c r="AJ400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>
        <f>AVERAGEIFS($C$2:C401, $B$2:B401, B401)</f>
        <v>24.777777777777779</v>
      </c>
      <c r="AH401">
        <f>AVERAGEIFS($I$2:I401, $B$2:B401, B401)</f>
        <v>0.51370370370370377</v>
      </c>
      <c r="AI401">
        <f>AVERAGEIFS($I$2:J401, $B$2:C401, C401)</f>
        <v>0.53210526315789475</v>
      </c>
      <c r="AJ401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>
        <f>AVERAGEIFS($C$2:C402, $B$2:B402, B402)</f>
        <v>24.045454545454547</v>
      </c>
      <c r="AH402">
        <f>AVERAGEIFS($I$2:I402, $B$2:B402, B402)</f>
        <v>0.51500000000000001</v>
      </c>
      <c r="AI402">
        <f>AVERAGEIFS($I$2:J402, $B$2:C402, C402)</f>
        <v>0.48761904761904773</v>
      </c>
      <c r="AJ402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>
        <f>AVERAGEIFS($C$2:C403, $B$2:B403, B403)</f>
        <v>18.714285714285715</v>
      </c>
      <c r="AH403">
        <f>AVERAGEIFS($I$2:I403, $B$2:B403, B403)</f>
        <v>0.5714285714285714</v>
      </c>
      <c r="AI403">
        <f>AVERAGEIFS($I$2:J403, $B$2:C403, C403)</f>
        <v>0.5181818181818183</v>
      </c>
      <c r="AJ403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>
        <f>AVERAGEIFS($C$2:C404, $B$2:B404, B404)</f>
        <v>11.791666666666666</v>
      </c>
      <c r="AH404">
        <f>AVERAGEIFS($I$2:I404, $B$2:B404, B404)</f>
        <v>0.45541666666666675</v>
      </c>
      <c r="AI404">
        <f>AVERAGEIFS($I$2:J404, $B$2:C404, C404)</f>
        <v>0.44</v>
      </c>
      <c r="AJ404">
        <f>AVERAGEIFS($D$2:D404, $B$2:B404, B404)</f>
        <v>0.375</v>
      </c>
    </row>
    <row r="405" spans="1:36" x14ac:dyDescent="0.25">
      <c r="A405" s="85">
        <v>46092</v>
      </c>
      <c r="B405" t="s">
        <v>138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>
        <f>AVERAGEIFS($C$2:C405, $B$2:B405, B405)</f>
        <v>7.666666666666667</v>
      </c>
      <c r="AH405">
        <f>AVERAGEIFS($I$2:I405, $B$2:B405, B405)</f>
        <v>0.6166666666666667</v>
      </c>
      <c r="AI405">
        <f>AVERAGEIFS($I$2:J405, $B$2:C405, C405)</f>
        <v>0.5344444444444445</v>
      </c>
      <c r="AJ405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f>AVERAGEIFS($C$2:C406, $B$2:B406, B406)</f>
        <v>17.857142857142858</v>
      </c>
      <c r="AH406">
        <f>AVERAGEIFS($I$2:I406, $B$2:B406, B406)</f>
        <v>0.53214285714285714</v>
      </c>
      <c r="AI406">
        <f>AVERAGEIFS($I$2:J406, $B$2:C406, C406)</f>
        <v>0.52444444444444438</v>
      </c>
      <c r="AJ40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f>AVERAGEIFS($C$2:C407, $B$2:B407, B407)</f>
        <v>22.758620689655171</v>
      </c>
      <c r="AH407">
        <f>AVERAGEIFS($I$2:I407, $B$2:B407, B407)</f>
        <v>0.63724137931034486</v>
      </c>
      <c r="AI407">
        <f>AVERAGEIFS($I$2:J407, $B$2:C407, C407)</f>
        <v>0.47363636363636369</v>
      </c>
      <c r="AJ407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f>AVERAGEIFS($C$2:C408, $B$2:B408, B408)</f>
        <v>14.666666666666666</v>
      </c>
      <c r="AH408">
        <f>AVERAGEIFS($I$2:I408, $B$2:B408, B408)</f>
        <v>0.4916666666666667</v>
      </c>
      <c r="AI408">
        <f>AVERAGEIFS($I$2:J408, $B$2:C408, C408)</f>
        <v>0.48210526315789465</v>
      </c>
      <c r="AJ408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f>AVERAGEIFS($C$2:C409, $B$2:B409, B409)</f>
        <v>17.5</v>
      </c>
      <c r="AH409">
        <f>AVERAGEIFS($I$2:I409, $B$2:B409, B409)</f>
        <v>0.53333333333333333</v>
      </c>
      <c r="AI409">
        <f>AVERAGEIFS($I$2:J409, $B$2:C409, C409)</f>
        <v>0.50631578947368416</v>
      </c>
      <c r="AJ409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f>AVERAGEIFS($C$2:C410, $B$2:B410, B410)</f>
        <v>15.8125</v>
      </c>
      <c r="AH410">
        <f>AVERAGEIFS($I$2:I410, $B$2:B410, B410)</f>
        <v>0.38624999999999998</v>
      </c>
      <c r="AI410">
        <f>AVERAGEIFS($I$2:J410, $B$2:C410, C410)</f>
        <v>0.3166666666666666</v>
      </c>
      <c r="AJ410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f>AVERAGEIFS($C$2:C411, $B$2:B411, B411)</f>
        <v>13.5</v>
      </c>
      <c r="AH411">
        <f>AVERAGEIFS($I$2:I411, $B$2:B411, B411)</f>
        <v>0.39999999999999997</v>
      </c>
      <c r="AI411">
        <f>AVERAGEIFS($I$2:J411, $B$2:C411, C411)</f>
        <v>0.48999999999999994</v>
      </c>
      <c r="AJ411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>
        <f>AVERAGEIFS($C$2:C412, $B$2:B412, B412)</f>
        <v>4</v>
      </c>
      <c r="AH412">
        <f>AVERAGEIFS($I$2:I412, $B$2:B412, B412)</f>
        <v>0.75</v>
      </c>
      <c r="AI412">
        <f>AVERAGEIFS($I$2:J412, $B$2:C412, C412)</f>
        <v>0.42</v>
      </c>
      <c r="AJ412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>
        <f>AVERAGEIFS($C$2:C413, $B$2:B413, B413)</f>
        <v>28.692307692307693</v>
      </c>
      <c r="AH413">
        <f>AVERAGEIFS($I$2:I413, $B$2:B413, B413)</f>
        <v>0.4</v>
      </c>
      <c r="AI413">
        <f>AVERAGEIFS($I$2:J413, $B$2:C413, C413)</f>
        <v>0.5557894736842105</v>
      </c>
      <c r="AJ413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>
        <f>AVERAGEIFS($C$2:C414, $B$2:B414, B414)</f>
        <v>24.75</v>
      </c>
      <c r="AH414">
        <f>AVERAGEIFS($I$2:I414, $B$2:B414, B414)</f>
        <v>0.52214285714285713</v>
      </c>
      <c r="AI414">
        <f>AVERAGEIFS($I$2:J414, $B$2:C414, C414)</f>
        <v>0.53749999999999998</v>
      </c>
      <c r="AJ414">
        <f>AVERAGEIFS($D$2:D414, $B$2:B414, B414)</f>
        <v>0.5</v>
      </c>
    </row>
    <row r="415" spans="1:36" x14ac:dyDescent="0.25">
      <c r="A415" s="85">
        <v>46093</v>
      </c>
      <c r="B415" t="s">
        <v>143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>
        <f>AVERAGEIFS($C$2:C415, $B$2:B415, B415)</f>
        <v>9</v>
      </c>
      <c r="AH415">
        <f>AVERAGEIFS($I$2:I415, $B$2:B415, B415)</f>
        <v>0.75</v>
      </c>
      <c r="AI415">
        <f>AVERAGEIFS($I$2:J415, $B$2:C415, C415)</f>
        <v>0.45666666666666661</v>
      </c>
      <c r="AJ415">
        <f>AVERAGEIFS($D$2:D415, $B$2:B415, B415)</f>
        <v>1</v>
      </c>
    </row>
    <row r="416" spans="1:36" x14ac:dyDescent="0.25">
      <c r="A416" s="85">
        <v>46093</v>
      </c>
      <c r="B416" t="s">
        <v>138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>
        <f>AVERAGEIFS($C$2:C416, $B$2:B416, B416)</f>
        <v>6.5</v>
      </c>
      <c r="AH416">
        <f>AVERAGEIFS($I$2:I416, $B$2:B416, B416)</f>
        <v>0.65</v>
      </c>
      <c r="AI416">
        <f>AVERAGEIFS($I$2:J416, $B$2:C416, C416)</f>
        <v>0.54500000000000004</v>
      </c>
      <c r="AJ41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>
        <f>AVERAGEIFS($C$2:C417, $B$2:B417, B417)</f>
        <v>19.416666666666668</v>
      </c>
      <c r="AH417">
        <f>AVERAGEIFS($I$2:I417, $B$2:B417, B417)</f>
        <v>0.55333333333333334</v>
      </c>
      <c r="AI417">
        <f>AVERAGEIFS($I$2:J417, $B$2:C417, C417)</f>
        <v>0.47133333333333327</v>
      </c>
      <c r="AJ417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>
        <f>AVERAGEIFS($C$2:C418, $B$2:B418, B418)</f>
        <v>12.714285714285714</v>
      </c>
      <c r="AH418">
        <f>AVERAGEIFS($I$2:I418, $B$2:B418, B418)</f>
        <v>0.52857142857142858</v>
      </c>
      <c r="AI418">
        <f>AVERAGEIFS($I$2:J418, $B$2:C418, C418)</f>
        <v>0.64</v>
      </c>
      <c r="AJ418">
        <f>AVERAGEIFS($D$2:D418, $B$2:B418, B418)</f>
        <v>0.7142857142857143</v>
      </c>
    </row>
    <row r="419" spans="1:36" x14ac:dyDescent="0.25">
      <c r="A419" s="85">
        <v>46093</v>
      </c>
      <c r="B419" t="s">
        <v>144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f>AVERAGEIFS($C$2:C419, $B$2:B419, B419)</f>
        <v>12</v>
      </c>
      <c r="AH419">
        <f>AVERAGEIFS($I$2:I419, $B$2:B419, B419)</f>
        <v>0.25</v>
      </c>
      <c r="AI419">
        <f>AVERAGEIFS($I$2:J419, $B$2:C419, C419)</f>
        <v>0.481875</v>
      </c>
      <c r="AJ419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f>AVERAGEIFS($C$2:C420, $B$2:B420, B420)</f>
        <v>18.25</v>
      </c>
      <c r="AH420">
        <f>AVERAGEIFS($I$2:I420, $B$2:B420, B420)</f>
        <v>0.53125</v>
      </c>
      <c r="AI420">
        <f>AVERAGEIFS($I$2:J420, $B$2:C420, C420)</f>
        <v>0.46437499999999998</v>
      </c>
      <c r="AJ420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f>AVERAGEIFS($C$2:C421, $B$2:B421, B421)</f>
        <v>13.888888888888889</v>
      </c>
      <c r="AH421">
        <f>AVERAGEIFS($I$2:I421, $B$2:B421, B421)</f>
        <v>0.37777777777777777</v>
      </c>
      <c r="AI421">
        <f>AVERAGEIFS($I$2:J421, $B$2:C421, C421)</f>
        <v>0.46869565217391307</v>
      </c>
      <c r="AJ421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f>AVERAGEIFS($C$2:C422, $B$2:B422, B422)</f>
        <v>17.958333333333332</v>
      </c>
      <c r="AH422">
        <f>AVERAGEIFS($I$2:I422, $B$2:B422, B422)</f>
        <v>0.47500000000000009</v>
      </c>
      <c r="AI422">
        <f>AVERAGEIFS($I$2:J422, $B$2:C422, C422)</f>
        <v>0.44923076923076921</v>
      </c>
      <c r="AJ422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f>AVERAGEIFS($C$2:C423, $B$2:B423, B423)</f>
        <v>25.285714285714285</v>
      </c>
      <c r="AH423">
        <f>AVERAGEIFS($I$2:I423, $B$2:B423, B423)</f>
        <v>0.37142857142857144</v>
      </c>
      <c r="AI423">
        <f>AVERAGEIFS($I$2:J423, $B$2:C423, C423)</f>
        <v>0.51130434782608702</v>
      </c>
      <c r="AJ423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f>AVERAGEIFS($C$2:C424, $B$2:B424, B424)</f>
        <v>15.090909090909092</v>
      </c>
      <c r="AH424">
        <f>AVERAGEIFS($I$2:I424, $B$2:B424, B424)</f>
        <v>0.53636363636363626</v>
      </c>
      <c r="AI424">
        <f>AVERAGEIFS($I$2:J424, $B$2:C424, C424)</f>
        <v>0.32285714285714284</v>
      </c>
      <c r="AJ424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>
        <f>AVERAGEIFS($C$2:C425, $B$2:B425, B425)</f>
        <v>24.827586206896552</v>
      </c>
      <c r="AH425">
        <f>AVERAGEIFS($I$2:I425, $B$2:B425, B425)</f>
        <v>0.53</v>
      </c>
      <c r="AI425">
        <f>AVERAGEIFS($I$2:J425, $B$2:C425, C425)</f>
        <v>0.51454545454545453</v>
      </c>
      <c r="AJ425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>
        <f>AVERAGEIFS($C$2:C426, $B$2:B426, B426)</f>
        <v>23.826086956521738</v>
      </c>
      <c r="AH426">
        <f>AVERAGEIFS($I$2:I426, $B$2:B426, B426)</f>
        <v>0.52521739130434786</v>
      </c>
      <c r="AI426">
        <f>AVERAGEIFS($I$2:J426, $B$2:C426, C426)</f>
        <v>0.52047619047619043</v>
      </c>
      <c r="AJ42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>
        <f>AVERAGEIFS($C$2:C427, $B$2:B427, B427)</f>
        <v>17.444444444444443</v>
      </c>
      <c r="AH427">
        <f>AVERAGEIFS($I$2:I427, $B$2:B427, B427)</f>
        <v>0.55555555555555558</v>
      </c>
      <c r="AI427">
        <f>AVERAGEIFS($I$2:J427, $B$2:C427, C427)</f>
        <v>0.51235294117647068</v>
      </c>
      <c r="AJ427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>
        <f>AVERAGEIFS($C$2:C428, $B$2:B428, B428)</f>
        <v>17.53846153846154</v>
      </c>
      <c r="AH428">
        <f>AVERAGEIFS($I$2:I428, $B$2:B428, B428)</f>
        <v>0.55000000000000004</v>
      </c>
      <c r="AI428">
        <f>AVERAGEIFS($I$2:J428, $B$2:C428, C428)</f>
        <v>0.50192307692307703</v>
      </c>
      <c r="AJ428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>
        <f>AVERAGEIFS($C$2:C429, $B$2:B429, B429)</f>
        <v>11.56</v>
      </c>
      <c r="AH429">
        <f>AVERAGEIFS($I$2:I429, $B$2:B429, B429)</f>
        <v>0.46720000000000006</v>
      </c>
      <c r="AI429">
        <f>AVERAGEIFS($I$2:J429, $B$2:C429, C429)</f>
        <v>0.52499999999999991</v>
      </c>
      <c r="AJ429">
        <f>AVERAGEIFS($D$2:D429, $B$2:B429, B429)</f>
        <v>0.4</v>
      </c>
    </row>
    <row r="430" spans="1:36" x14ac:dyDescent="0.25">
      <c r="A430" s="85">
        <v>46094</v>
      </c>
      <c r="B430" t="s">
        <v>138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>
        <f>AVERAGEIFS($C$2:C430, $B$2:B430, B430)</f>
        <v>6.4</v>
      </c>
      <c r="AH430">
        <f>AVERAGEIFS($I$2:I430, $B$2:B430, B430)</f>
        <v>0.67</v>
      </c>
      <c r="AI430">
        <f>AVERAGEIFS($I$2:J430, $B$2:C430, C430)</f>
        <v>0.53454545454545443</v>
      </c>
      <c r="AJ430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>
        <f>AVERAGEIFS($C$2:C431, $B$2:B431, B431)</f>
        <v>28.357142857142858</v>
      </c>
      <c r="AH431">
        <f>AVERAGEIFS($I$2:I431, $B$2:B431, B431)</f>
        <v>0.38928571428571429</v>
      </c>
      <c r="AI431">
        <f>AVERAGEIFS($I$2:J431, $B$2:C431, C431)</f>
        <v>0.53</v>
      </c>
      <c r="AJ431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>
        <f>AVERAGEIFS($C$2:C432, $B$2:B432, B432)</f>
        <v>24.466666666666665</v>
      </c>
      <c r="AH432">
        <f>AVERAGEIFS($I$2:I432, $B$2:B432, B432)</f>
        <v>0.36333333333333334</v>
      </c>
      <c r="AI432">
        <f>AVERAGEIFS($I$2:J432, $B$2:C432, C432)</f>
        <v>0.47699999999999998</v>
      </c>
      <c r="AJ432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>
        <f>AVERAGEIFS($C$2:C433, $B$2:B433, B433)</f>
        <v>17.559999999999999</v>
      </c>
      <c r="AH433">
        <f>AVERAGEIFS($I$2:I433, $B$2:B433, B433)</f>
        <v>0.46600000000000008</v>
      </c>
      <c r="AI433">
        <f>AVERAGEIFS($I$2:J433, $B$2:C433, C433)</f>
        <v>0.43416666666666659</v>
      </c>
      <c r="AJ433">
        <f>AVERAGEIFS($D$2:D433, $B$2:B433, B433)</f>
        <v>0.44</v>
      </c>
    </row>
    <row r="434" spans="1:36" x14ac:dyDescent="0.25">
      <c r="A434" s="85">
        <v>46094</v>
      </c>
      <c r="B434" t="s">
        <v>145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>
        <f>AVERAGEIFS($C$2:C434, $B$2:B434, B434)</f>
        <v>8</v>
      </c>
      <c r="AH434">
        <f>AVERAGEIFS($I$2:I434, $B$2:B434, B434)</f>
        <v>0.25</v>
      </c>
      <c r="AI434">
        <f>AVERAGEIFS($I$2:J434, $B$2:C434, C434)</f>
        <v>0.42999999999999994</v>
      </c>
      <c r="AJ434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>
        <f>AVERAGEIFS($C$2:C435, $B$2:B435, B435)</f>
        <v>15.470588235294118</v>
      </c>
      <c r="AH435">
        <f>AVERAGEIFS($I$2:I435, $B$2:B435, B435)</f>
        <v>0.37823529411764706</v>
      </c>
      <c r="AI435">
        <f>AVERAGEIFS($I$2:J435, $B$2:C435, C435)</f>
        <v>0.48476190476190473</v>
      </c>
      <c r="AJ435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>
        <f>AVERAGEIFS($C$2:C436, $B$2:B436, B436)</f>
        <v>15</v>
      </c>
      <c r="AH436">
        <f>AVERAGEIFS($I$2:I436, $B$2:B436, B436)</f>
        <v>0.5</v>
      </c>
      <c r="AI436">
        <f>AVERAGEIFS($I$2:J436, $B$2:C436, C436)</f>
        <v>0.47066666666666651</v>
      </c>
      <c r="AJ43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>
        <f>AVERAGEIFS($C$2:C437, $B$2:B437, B437)</f>
        <v>24.5</v>
      </c>
      <c r="AH437">
        <f>AVERAGEIFS($I$2:I437, $B$2:B437, B437)</f>
        <v>0.54566666666666674</v>
      </c>
      <c r="AI437">
        <f>AVERAGEIFS($I$2:J437, $B$2:C437, C437)</f>
        <v>0.49</v>
      </c>
      <c r="AJ437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>
        <f>AVERAGEIFS($C$2:C438, $B$2:B438, B438)</f>
        <v>23.291666666666668</v>
      </c>
      <c r="AH438">
        <f>AVERAGEIFS($I$2:I438, $B$2:B438, B438)</f>
        <v>0.54500000000000004</v>
      </c>
      <c r="AI438">
        <f>AVERAGEIFS($I$2:J438, $B$2:C438, C438)</f>
        <v>0.53388888888888897</v>
      </c>
      <c r="AJ438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>
        <f>AVERAGEIFS($C$2:C439, $B$2:B439, B439)</f>
        <v>14.25</v>
      </c>
      <c r="AH439">
        <f>AVERAGEIFS($I$2:I439, $B$2:B439, B439)</f>
        <v>0.57499999999999996</v>
      </c>
      <c r="AI439">
        <f>AVERAGEIFS($I$2:J439, $B$2:C439, C439)</f>
        <v>0.39499999999999996</v>
      </c>
      <c r="AJ439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>
        <f>AVERAGEIFS($C$2:C440, $B$2:B440, B440)</f>
        <v>17.384615384615383</v>
      </c>
      <c r="AH440">
        <f>AVERAGEIFS($I$2:I440, $B$2:B440, B440)</f>
        <v>0.48653846153846164</v>
      </c>
      <c r="AI440">
        <f>AVERAGEIFS($I$2:J440, $B$2:C440, C440)</f>
        <v>0.49714285714285711</v>
      </c>
      <c r="AJ440">
        <f>AVERAGEIFS($D$2:D440, $B$2:B440, B440)</f>
        <v>0.46153846153846156</v>
      </c>
    </row>
    <row r="441" spans="1:36" x14ac:dyDescent="0.25">
      <c r="A441" s="85">
        <v>46094</v>
      </c>
      <c r="B441" t="s">
        <v>138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>
        <f>AVERAGEIFS($C$2:C441, $B$2:B441, B441)</f>
        <v>6.166666666666667</v>
      </c>
      <c r="AH441">
        <f>AVERAGEIFS($I$2:I441, $B$2:B441, B441)</f>
        <v>0.72499999999999998</v>
      </c>
      <c r="AI441">
        <f>AVERAGEIFS($I$2:J441, $B$2:C441, C441)</f>
        <v>0.45111111111111107</v>
      </c>
      <c r="AJ441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>
        <f>AVERAGEIFS($C$2:C442, $B$2:B442, B442)</f>
        <v>15.055555555555555</v>
      </c>
      <c r="AH442">
        <f>AVERAGEIFS($I$2:I442, $B$2:B442, B442)</f>
        <v>0.41277777777777774</v>
      </c>
      <c r="AI442">
        <f>AVERAGEIFS($I$2:J442, $B$2:C442, C442)</f>
        <v>0.46357142857142852</v>
      </c>
      <c r="AJ442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f>AVERAGEIFS($C$2:C443, $B$2:B443, B443)</f>
        <v>26.733333333333334</v>
      </c>
      <c r="AH443">
        <f>AVERAGEIFS($I$2:I443, $B$2:B443, B443)</f>
        <v>0.36333333333333334</v>
      </c>
      <c r="AI443">
        <f>AVERAGEIFS($I$2:J443, $B$2:C443, C443)</f>
        <v>0.34</v>
      </c>
      <c r="AJ443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f>AVERAGEIFS($C$2:C444, $B$2:B444, B444)</f>
        <v>23.25</v>
      </c>
      <c r="AH444">
        <f>AVERAGEIFS($I$2:I444, $B$2:B444, B444)</f>
        <v>0.34062500000000001</v>
      </c>
      <c r="AI444">
        <f>AVERAGEIFS($I$2:J444, $B$2:C444, C444)</f>
        <v>0.41599999999999993</v>
      </c>
      <c r="AJ444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f>AVERAGEIFS($C$2:C445, $B$2:B445, B445)</f>
        <v>16.5</v>
      </c>
      <c r="AH445">
        <f>AVERAGEIFS($I$2:I445, $B$2:B445, B445)</f>
        <v>0.51071428571428579</v>
      </c>
      <c r="AI445">
        <f>AVERAGEIFS($I$2:J445, $B$2:C445, C445)</f>
        <v>0.50454545454545452</v>
      </c>
      <c r="AJ445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f>AVERAGEIFS($C$2:C446, $B$2:B446, B446)</f>
        <v>15.9</v>
      </c>
      <c r="AH446">
        <f>AVERAGEIFS($I$2:I446, $B$2:B446, B446)</f>
        <v>0.5</v>
      </c>
      <c r="AI446">
        <f>AVERAGEIFS($I$2:J446, $B$2:C446, C446)</f>
        <v>0.26800000000000002</v>
      </c>
      <c r="AJ446">
        <f>AVERAGEIFS($D$2:D446, $B$2:B446, B446)</f>
        <v>0.5</v>
      </c>
    </row>
    <row r="447" spans="1:36" x14ac:dyDescent="0.25">
      <c r="A447" s="85">
        <v>46095</v>
      </c>
      <c r="B447" t="s">
        <v>149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f>AVERAGEIFS($C$2:C447, $B$2:B447, B447)</f>
        <v>6</v>
      </c>
      <c r="AH447">
        <f>AVERAGEIFS($I$2:I447, $B$2:B447, B447)</f>
        <v>0</v>
      </c>
      <c r="AI447">
        <f>AVERAGEIFS($I$2:J447, $B$2:C447, C447)</f>
        <v>0.49833333333333324</v>
      </c>
      <c r="AJ447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f>AVERAGEIFS($C$2:C448, $B$2:B448, B448)</f>
        <v>11.23076923076923</v>
      </c>
      <c r="AH448">
        <f>AVERAGEIFS($I$2:I448, $B$2:B448, B448)</f>
        <v>0.44923076923076927</v>
      </c>
      <c r="AI448">
        <f>AVERAGEIFS($I$2:J448, $B$2:C448, C448)</f>
        <v>0.47083333333333327</v>
      </c>
      <c r="AJ448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f>AVERAGEIFS($C$2:C449, $B$2:B449, B449)</f>
        <v>22.7</v>
      </c>
      <c r="AH449">
        <f>AVERAGEIFS($I$2:I449, $B$2:B449, B449)</f>
        <v>0.61599999999999999</v>
      </c>
      <c r="AI449">
        <f>AVERAGEIFS($I$2:J449, $B$2:C449, C449)</f>
        <v>0.56625000000000003</v>
      </c>
      <c r="AJ449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f>AVERAGEIFS($C$2:C450, $B$2:B450, B450)</f>
        <v>12.375</v>
      </c>
      <c r="AH450">
        <f>AVERAGEIFS($I$2:I450, $B$2:B450, B450)</f>
        <v>0.46250000000000002</v>
      </c>
      <c r="AI450">
        <f>AVERAGEIFS($I$2:J450, $B$2:C450, C450)</f>
        <v>0.47681818181818181</v>
      </c>
      <c r="AJ450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f>AVERAGEIFS($C$2:C451, $B$2:B451, B451)</f>
        <v>11.111111111111111</v>
      </c>
      <c r="AH451">
        <f>AVERAGEIFS($I$2:I451, $B$2:B451, B451)</f>
        <v>0.43259259259259264</v>
      </c>
      <c r="AI451">
        <f>AVERAGEIFS($I$2:J451, $B$2:C451, C451)</f>
        <v>0.45333333333333325</v>
      </c>
      <c r="AJ451">
        <f>AVERAGEIFS($D$2:D451, $B$2:B451, B451)</f>
        <v>0.37037037037037035</v>
      </c>
    </row>
    <row r="452" spans="1:36" x14ac:dyDescent="0.25">
      <c r="A452" s="85">
        <v>46095</v>
      </c>
      <c r="B452" t="s">
        <v>138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f>AVERAGEIFS($C$2:C452, $B$2:B452, B452)</f>
        <v>5.7142857142857144</v>
      </c>
      <c r="AH452">
        <f>AVERAGEIFS($I$2:I452, $B$2:B452, B452)</f>
        <v>0.62142857142857133</v>
      </c>
      <c r="AI452">
        <f>AVERAGEIFS($I$2:J452, $B$2:C452, C452)</f>
        <v>0.45846153846153836</v>
      </c>
      <c r="AJ452">
        <f>AVERAGEIFS($D$2:D452, $B$2:B452, B452)</f>
        <v>0.7142857142857143</v>
      </c>
    </row>
    <row r="453" spans="1:36" x14ac:dyDescent="0.25">
      <c r="A453" s="85">
        <v>46095</v>
      </c>
      <c r="B453" t="s">
        <v>145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f>AVERAGEIFS($C$2:C453, $B$2:B453, B453)</f>
        <v>8.5</v>
      </c>
      <c r="AH453">
        <f>AVERAGEIFS($I$2:I453, $B$2:B453, B453)</f>
        <v>0.125</v>
      </c>
      <c r="AI453">
        <f>AVERAGEIFS($I$2:J453, $B$2:C453, C453)</f>
        <v>0.43928571428571422</v>
      </c>
      <c r="AJ453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f>AVERAGEIFS($C$2:C454, $B$2:B454, B454)</f>
        <v>24.35483870967742</v>
      </c>
      <c r="AH454">
        <f>AVERAGEIFS($I$2:I454, $B$2:B454, B454)</f>
        <v>0.52806451612903227</v>
      </c>
      <c r="AI454">
        <f>AVERAGEIFS($I$2:J454, $B$2:C454, C454)</f>
        <v>0.46062499999999984</v>
      </c>
      <c r="AJ454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>
        <f>AVERAGEIFS($C$2:C455, $B$2:B455, B455)</f>
        <v>14.894736842105264</v>
      </c>
      <c r="AH455">
        <f>AVERAGEIFS($I$2:I455, $B$2:B455, B455)</f>
        <v>0.44368421052631579</v>
      </c>
      <c r="AI455">
        <f>AVERAGEIFS($I$2:J455, $B$2:C455, C455)</f>
        <v>0.49411764705882355</v>
      </c>
      <c r="AJ455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>
        <f>AVERAGEIFS($C$2:C456, $B$2:B456, B456)</f>
        <v>26.4375</v>
      </c>
      <c r="AH456">
        <f>AVERAGEIFS($I$2:I456, $B$2:B456, B456)</f>
        <v>0.40312500000000001</v>
      </c>
      <c r="AI456">
        <f>AVERAGEIFS($I$2:J456, $B$2:C456, C456)</f>
        <v>0.55166666666666653</v>
      </c>
      <c r="AJ456">
        <f>AVERAGEIFS($D$2:D456, $B$2:B456, B456)</f>
        <v>0.4375</v>
      </c>
    </row>
    <row r="457" spans="1:36" x14ac:dyDescent="0.25">
      <c r="A457" s="85">
        <v>46095</v>
      </c>
      <c r="B457" t="s">
        <v>149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>
        <f>AVERAGEIFS($C$2:C457, $B$2:B457, B457)</f>
        <v>7.5</v>
      </c>
      <c r="AH457">
        <f>AVERAGEIFS($I$2:I457, $B$2:B457, B457)</f>
        <v>0.5</v>
      </c>
      <c r="AI457">
        <f>AVERAGEIFS($I$2:J457, $B$2:C457, C457)</f>
        <v>0.45600000000000002</v>
      </c>
      <c r="AJ457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>
        <f>AVERAGEIFS($C$2:C458, $B$2:B458, B458)</f>
        <v>15.818181818181818</v>
      </c>
      <c r="AH458">
        <f>AVERAGEIFS($I$2:I458, $B$2:B458, B458)</f>
        <v>0.54545454545454541</v>
      </c>
      <c r="AI458">
        <f>AVERAGEIFS($I$2:J458, $B$2:C458, C458)</f>
        <v>0.50111111111111106</v>
      </c>
      <c r="AJ458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>
        <f>AVERAGEIFS($C$2:C459, $B$2:B459, B459)</f>
        <v>14.076923076923077</v>
      </c>
      <c r="AH459">
        <f>AVERAGEIFS($I$2:I459, $B$2:B459, B459)</f>
        <v>0.60769230769230764</v>
      </c>
      <c r="AI459">
        <f>AVERAGEIFS($I$2:J459, $B$2:C459, C459)</f>
        <v>0.505</v>
      </c>
      <c r="AJ459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>
        <f>AVERAGEIFS($C$2:C460, $B$2:B460, B460)</f>
        <v>17.333333333333332</v>
      </c>
      <c r="AH460">
        <f>AVERAGEIFS($I$2:I460, $B$2:B460, B460)</f>
        <v>0.50555555555555565</v>
      </c>
      <c r="AI460">
        <f>AVERAGEIFS($I$2:J460, $B$2:C460, C460)</f>
        <v>0.51875000000000004</v>
      </c>
      <c r="AJ460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f>AVERAGEIFS($C$2:C461, $B$2:B461, B461)</f>
        <v>24.15625</v>
      </c>
      <c r="AH461">
        <f>AVERAGEIFS($I$2:I461, $B$2:B461, B461)</f>
        <v>0.53500000000000003</v>
      </c>
      <c r="AI461">
        <f>AVERAGEIFS($I$2:J461, $B$2:C461, C461)</f>
        <v>0.50962962962962965</v>
      </c>
      <c r="AJ461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f>AVERAGEIFS($C$2:C462, $B$2:B462, B462)</f>
        <v>14.4</v>
      </c>
      <c r="AH462">
        <f>AVERAGEIFS($I$2:I462, $B$2:B462, B462)</f>
        <v>0.45899999999999996</v>
      </c>
      <c r="AI462">
        <f>AVERAGEIFS($I$2:J462, $B$2:C462, C462)</f>
        <v>0.44272727272727264</v>
      </c>
      <c r="AJ462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f>AVERAGEIFS($C$2:C463, $B$2:B463, B463)</f>
        <v>13.714285714285714</v>
      </c>
      <c r="AH463">
        <f>AVERAGEIFS($I$2:I463, $B$2:B463, B463)</f>
        <v>0.61785714285714277</v>
      </c>
      <c r="AI463">
        <f>AVERAGEIFS($I$2:J463, $B$2:C463, C463)</f>
        <v>0.47187499999999999</v>
      </c>
      <c r="AJ463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f>AVERAGEIFS($C$2:C464, $B$2:B464, B464)</f>
        <v>12.555555555555555</v>
      </c>
      <c r="AH464">
        <f>AVERAGEIFS($I$2:I464, $B$2:B464, B464)</f>
        <v>0.49444444444444446</v>
      </c>
      <c r="AI464">
        <f>AVERAGEIFS($I$2:J464, $B$2:C464, C464)</f>
        <v>0.47933333333333344</v>
      </c>
      <c r="AJ464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f>AVERAGEIFS($C$2:C465, $B$2:B465, B465)</f>
        <v>11.285714285714286</v>
      </c>
      <c r="AH465">
        <f>AVERAGEIFS($I$2:I465, $B$2:B465, B465)</f>
        <v>0.44392857142857151</v>
      </c>
      <c r="AI465">
        <f>AVERAGEIFS($I$2:J465, $B$2:C465, C465)</f>
        <v>0.52639999999999998</v>
      </c>
      <c r="AJ465">
        <f>AVERAGEIFS($D$2:D465, $B$2:B465, B465)</f>
        <v>0.39285714285714285</v>
      </c>
    </row>
    <row r="466" spans="1:36" x14ac:dyDescent="0.25">
      <c r="A466" s="85">
        <v>46095</v>
      </c>
      <c r="B466" t="s">
        <v>149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>
        <f>AVERAGEIFS($C$2:C466, $B$2:B466, B466)</f>
        <v>5.666666666666667</v>
      </c>
      <c r="AH466">
        <f>AVERAGEIFS($I$2:I466, $B$2:B466, B466)</f>
        <v>0.41666666666666669</v>
      </c>
      <c r="AI466">
        <f>AVERAGEIFS($I$2:J466, $B$2:C466, C466)</f>
        <v>0.27166666666666667</v>
      </c>
      <c r="AJ466">
        <f>AVERAGEIFS($D$2:D466, $B$2:B466, B466)</f>
        <v>0.33333333333333331</v>
      </c>
    </row>
    <row r="467" spans="1:36" x14ac:dyDescent="0.25">
      <c r="A467" s="85">
        <v>46095</v>
      </c>
      <c r="B467" t="s">
        <v>145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>
        <f>AVERAGEIFS($C$2:C467, $B$2:B467, B467)</f>
        <v>8.3333333333333339</v>
      </c>
      <c r="AH467">
        <f>AVERAGEIFS($I$2:I467, $B$2:B467, B467)</f>
        <v>0.16666666666666666</v>
      </c>
      <c r="AI467">
        <f>AVERAGEIFS($I$2:J467, $B$2:C467, C467)</f>
        <v>0.44312499999999994</v>
      </c>
      <c r="AJ467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>
        <f>AVERAGEIFS($C$2:C468, $B$2:B468, B468)</f>
        <v>16.964285714285715</v>
      </c>
      <c r="AH468">
        <f>AVERAGEIFS($I$2:I468, $B$2:B468, B468)</f>
        <v>0.4964285714285715</v>
      </c>
      <c r="AI468">
        <f>AVERAGEIFS($I$2:J468, $B$2:C468, C468)</f>
        <v>0.52090909090909099</v>
      </c>
      <c r="AJ468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>
        <f>AVERAGEIFS($C$2:C469, $B$2:B469, B469)</f>
        <v>22.483870967741936</v>
      </c>
      <c r="AH469">
        <f>AVERAGEIFS($I$2:I469, $B$2:B469, B469)</f>
        <v>0.60419354838709682</v>
      </c>
      <c r="AI469">
        <f>AVERAGEIFS($I$2:J469, $B$2:C469, C469)</f>
        <v>0.51730769230769225</v>
      </c>
      <c r="AJ469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>
        <f>AVERAGEIFS($C$2:C470, $B$2:B470, B470)</f>
        <v>15.833333333333334</v>
      </c>
      <c r="AH470">
        <f>AVERAGEIFS($I$2:I470, $B$2:B470, B470)</f>
        <v>0.52083333333333337</v>
      </c>
      <c r="AI470">
        <f>AVERAGEIFS($I$2:J470, $B$2:C470, C470)</f>
        <v>0.50888888888888884</v>
      </c>
      <c r="AJ470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f>AVERAGEIFS($C$2:C471, $B$2:B471, B471)</f>
        <v>19.12</v>
      </c>
      <c r="AH471">
        <f>AVERAGEIFS($I$2:I471, $B$2:B471, B471)</f>
        <v>0.54120000000000001</v>
      </c>
      <c r="AI471">
        <f>AVERAGEIFS($I$2:J471, $B$2:C471, C471)</f>
        <v>0.50157894736842101</v>
      </c>
      <c r="AJ471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f>AVERAGEIFS($C$2:C472, $B$2:B472, B472)</f>
        <v>24.212121212121211</v>
      </c>
      <c r="AH472">
        <f>AVERAGEIFS($I$2:I472, $B$2:B472, B472)</f>
        <v>0.52636363636363637</v>
      </c>
      <c r="AI472">
        <f>AVERAGEIFS($I$2:J472, $B$2:C472, C472)</f>
        <v>0.56666666666666665</v>
      </c>
      <c r="AJ472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f>AVERAGEIFS($C$2:C473, $B$2:B473, B473)</f>
        <v>12.6</v>
      </c>
      <c r="AH473">
        <f>AVERAGEIFS($I$2:I473, $B$2:B473, B473)</f>
        <v>0.47000000000000003</v>
      </c>
      <c r="AI473">
        <f>AVERAGEIFS($I$2:J473, $B$2:C473, C473)</f>
        <v>0.49454545454545451</v>
      </c>
      <c r="AJ473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f>AVERAGEIFS($C$2:C474, $B$2:B474, B474)</f>
        <v>15.846153846153847</v>
      </c>
      <c r="AH474">
        <f>AVERAGEIFS($I$2:I474, $B$2:B474, B474)</f>
        <v>0.5</v>
      </c>
      <c r="AI474">
        <f>AVERAGEIFS($I$2:J474, $B$2:C474, C474)</f>
        <v>0.50642857142857134</v>
      </c>
      <c r="AJ474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f>AVERAGEIFS($C$2:C475, $B$2:B475, B475)</f>
        <v>11.206896551724139</v>
      </c>
      <c r="AH475">
        <f>AVERAGEIFS($I$2:I475, $B$2:B475, B475)</f>
        <v>0.4372413793103449</v>
      </c>
      <c r="AI475">
        <f>AVERAGEIFS($I$2:J475, $B$2:C475, C475)</f>
        <v>0.47000000000000003</v>
      </c>
      <c r="AJ475">
        <f>AVERAGEIFS($D$2:D475, $B$2:B475, B475)</f>
        <v>0.37931034482758619</v>
      </c>
    </row>
    <row r="476" spans="1:36" x14ac:dyDescent="0.25">
      <c r="A476" s="85">
        <v>46096</v>
      </c>
      <c r="B476" t="s">
        <v>146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f>AVERAGEIFS($C$2:C476, $B$2:B476, B476)</f>
        <v>4</v>
      </c>
      <c r="AH476">
        <f>AVERAGEIFS($I$2:I476, $B$2:B476, B476)</f>
        <v>0.25</v>
      </c>
      <c r="AI476">
        <f>AVERAGEIFS($I$2:J476, $B$2:C476, C476)</f>
        <v>0.36</v>
      </c>
      <c r="AJ47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>
        <f>AVERAGEIFS($C$2:C477, $B$2:B477, B477)</f>
        <v>23.24</v>
      </c>
      <c r="AH477">
        <f>AVERAGEIFS($I$2:I477, $B$2:B477, B477)</f>
        <v>0.55320000000000003</v>
      </c>
      <c r="AI477">
        <f>AVERAGEIFS($I$2:J477, $B$2:C477, C477)</f>
        <v>0.55210526315789465</v>
      </c>
      <c r="AJ477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>
        <f>AVERAGEIFS($C$2:C478, $B$2:B478, B478)</f>
        <v>14.266666666666667</v>
      </c>
      <c r="AH478">
        <f>AVERAGEIFS($I$2:I478, $B$2:B478, B478)</f>
        <v>0.62666666666666659</v>
      </c>
      <c r="AI478">
        <f>AVERAGEIFS($I$2:J478, $B$2:C478, C478)</f>
        <v>0.55249999999999999</v>
      </c>
      <c r="AJ478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>
        <f>AVERAGEIFS($C$2:C479, $B$2:B479, B479)</f>
        <v>16.896551724137932</v>
      </c>
      <c r="AH479">
        <f>AVERAGEIFS($I$2:I479, $B$2:B479, B479)</f>
        <v>0.50517241379310351</v>
      </c>
      <c r="AI479">
        <f>AVERAGEIFS($I$2:J479, $B$2:C479, C479)</f>
        <v>0.50421052631578944</v>
      </c>
      <c r="AJ479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>
        <f>AVERAGEIFS($C$2:C480, $B$2:B480, B480)</f>
        <v>17.352941176470587</v>
      </c>
      <c r="AH480">
        <f>AVERAGEIFS($I$2:I480, $B$2:B480, B480)</f>
        <v>0.4088235294117647</v>
      </c>
      <c r="AI480">
        <f>AVERAGEIFS($I$2:J480, $B$2:C480, C480)</f>
        <v>0.50700000000000001</v>
      </c>
      <c r="AJ480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>
        <f>AVERAGEIFS($C$2:C481, $B$2:B481, B481)</f>
        <v>10</v>
      </c>
      <c r="AH481">
        <f>AVERAGEIFS($I$2:I481, $B$2:B481, B481)</f>
        <v>0.46666666666666662</v>
      </c>
      <c r="AI481">
        <f>AVERAGEIFS($I$2:J481, $B$2:C481, C481)</f>
        <v>0.49739130434782608</v>
      </c>
      <c r="AJ481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>
        <f>AVERAGEIFS($C$2:C482, $B$2:B482, B482)</f>
        <v>10</v>
      </c>
      <c r="AH482">
        <f>AVERAGEIFS($I$2:I482, $B$2:B482, B482)</f>
        <v>0.75</v>
      </c>
      <c r="AI482">
        <f>AVERAGEIFS($I$2:J482, $B$2:C482, C482)</f>
        <v>0.48043478260869571</v>
      </c>
      <c r="AJ482">
        <f>AVERAGEIFS($D$2:D482, $B$2:B482, B482)</f>
        <v>1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f>AVERAGEIFS($C$2:C483, $B$2:B483, B483)</f>
        <v>17.133333333333333</v>
      </c>
      <c r="AH483">
        <f>AVERAGEIFS($I$2:I483, $B$2:B483, B483)</f>
        <v>0.52166666666666672</v>
      </c>
      <c r="AI483">
        <f>AVERAGEIFS($I$2:J483, $B$2:C483, C483)</f>
        <v>0.53727272727272724</v>
      </c>
      <c r="AJ483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f>AVERAGEIFS($C$2:C484, $B$2:B484, B484)</f>
        <v>22.4375</v>
      </c>
      <c r="AH484">
        <f>AVERAGEIFS($I$2:I484, $B$2:B484, B484)</f>
        <v>0.61656250000000001</v>
      </c>
      <c r="AI484">
        <f>AVERAGEIFS($I$2:J484, $B$2:C484, C484)</f>
        <v>0.57352941176470584</v>
      </c>
      <c r="AJ484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f>AVERAGEIFS($C$2:C485, $B$2:B485, B485)</f>
        <v>14.375</v>
      </c>
      <c r="AH485">
        <f>AVERAGEIFS($I$2:I485, $B$2:B485, B485)</f>
        <v>0.64999999999999991</v>
      </c>
      <c r="AI485">
        <f>AVERAGEIFS($I$2:J485, $B$2:C485, C485)</f>
        <v>0.51275862068965505</v>
      </c>
      <c r="AJ485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f>AVERAGEIFS($C$2:C486, $B$2:B486, B486)</f>
        <v>13.5</v>
      </c>
      <c r="AH486">
        <f>AVERAGEIFS($I$2:I486, $B$2:B486, B486)</f>
        <v>0.44000000000000006</v>
      </c>
      <c r="AI486">
        <f>AVERAGEIFS($I$2:J486, $B$2:C486, C486)</f>
        <v>0.48916666666666669</v>
      </c>
      <c r="AJ4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f>AVERAGEIFS($C$2:C487, $B$2:B487, B487)</f>
        <v>8.6</v>
      </c>
      <c r="AH487">
        <f>AVERAGEIFS($I$2:I487, $B$2:B487, B487)</f>
        <v>0.75</v>
      </c>
      <c r="AI487">
        <f>AVERAGEIFS($I$2:J487, $B$2:C487, C487)</f>
        <v>0.48222222222222222</v>
      </c>
      <c r="AJ487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f>AVERAGEIFS($C$2:C488, $B$2:B488, B488)</f>
        <v>19.611111111111111</v>
      </c>
      <c r="AH488">
        <f>AVERAGEIFS($I$2:I488, $B$2:B488, B488)</f>
        <v>0.46111111111111103</v>
      </c>
      <c r="AI488">
        <f>AVERAGEIFS($I$2:J488, $B$2:C488, C488)</f>
        <v>0.54095238095238096</v>
      </c>
      <c r="AJ488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f>AVERAGEIFS($C$2:C489, $B$2:B489, B489)</f>
        <v>24.058823529411764</v>
      </c>
      <c r="AH489">
        <f>AVERAGEIFS($I$2:I489, $B$2:B489, B489)</f>
        <v>0.51088235294117645</v>
      </c>
      <c r="AI489">
        <f>AVERAGEIFS($I$2:J489, $B$2:C489, C489)</f>
        <v>0.51090909090909087</v>
      </c>
      <c r="AJ489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f>AVERAGEIFS($C$2:C490, $B$2:B490, B490)</f>
        <v>20.714285714285715</v>
      </c>
      <c r="AH490">
        <f>AVERAGEIFS($I$2:I490, $B$2:B490, B490)</f>
        <v>0.41761904761904761</v>
      </c>
      <c r="AI490">
        <f>AVERAGEIFS($I$2:J490, $B$2:C490, C490)</f>
        <v>0.49761904761904768</v>
      </c>
      <c r="AJ490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f>AVERAGEIFS($C$2:C491, $B$2:B491, B491)</f>
        <v>8.6666666666666661</v>
      </c>
      <c r="AH491">
        <f>AVERAGEIFS($I$2:I491, $B$2:B491, B491)</f>
        <v>0.49499999999999994</v>
      </c>
      <c r="AI491">
        <f>AVERAGEIFS($I$2:J491, $B$2:C491, C491)</f>
        <v>0.50333333333333341</v>
      </c>
      <c r="AJ491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f>AVERAGEIFS($C$2:C492, $B$2:B492, B492)</f>
        <v>17</v>
      </c>
      <c r="AH492">
        <f>AVERAGEIFS($I$2:I492, $B$2:B492, B492)</f>
        <v>0.49666666666666665</v>
      </c>
      <c r="AI492">
        <f>AVERAGEIFS($I$2:J492, $B$2:C492, C492)</f>
        <v>0.43166666666666659</v>
      </c>
      <c r="AJ492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f>AVERAGEIFS($C$2:C493, $B$2:B493, B493)</f>
        <v>18.25</v>
      </c>
      <c r="AH493">
        <f>AVERAGEIFS($I$2:I493, $B$2:B493, B493)</f>
        <v>0.71250000000000002</v>
      </c>
      <c r="AI493">
        <f>AVERAGEIFS($I$2:J493, $B$2:C493, C493)</f>
        <v>0.52357142857142869</v>
      </c>
      <c r="AJ493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f>AVERAGEIFS($C$2:C494, $B$2:B494, B494)</f>
        <v>19.076923076923077</v>
      </c>
      <c r="AH494">
        <f>AVERAGEIFS($I$2:I494, $B$2:B494, B494)</f>
        <v>0.55884615384615388</v>
      </c>
      <c r="AI494">
        <f>AVERAGEIFS($I$2:J494, $B$2:C494, C494)</f>
        <v>0.53655172413793106</v>
      </c>
      <c r="AJ494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f>AVERAGEIFS($C$2:C495, $B$2:B495, B495)</f>
        <v>21.416666666666668</v>
      </c>
      <c r="AH495">
        <f>AVERAGEIFS($I$2:I495, $B$2:B495, B495)</f>
        <v>0.63916666666666666</v>
      </c>
      <c r="AI495">
        <f>AVERAGEIFS($I$2:J495, $B$2:C495, C495)</f>
        <v>0.51590909090909098</v>
      </c>
      <c r="AJ495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f>AVERAGEIFS($C$2:C496, $B$2:B496, B496)</f>
        <v>16.46153846153846</v>
      </c>
      <c r="AH496">
        <f>AVERAGEIFS($I$2:I496, $B$2:B496, B496)</f>
        <v>0.50923076923076926</v>
      </c>
      <c r="AI496">
        <f>AVERAGEIFS($I$2:J496, $B$2:C496, C496)</f>
        <v>0.5056250000000001</v>
      </c>
      <c r="AJ49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f>AVERAGEIFS($C$2:C497, $B$2:B497, B497)</f>
        <v>16.066666666666666</v>
      </c>
      <c r="AH497">
        <f>AVERAGEIFS($I$2:I497, $B$2:B497, B497)</f>
        <v>0.54333333333333333</v>
      </c>
      <c r="AI497">
        <f>AVERAGEIFS($I$2:J497, $B$2:C497, C497)</f>
        <v>0.50560000000000005</v>
      </c>
      <c r="AJ497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f>AVERAGEIFS($C$2:C498, $B$2:B498, B498)</f>
        <v>15.857142857142858</v>
      </c>
      <c r="AH498">
        <f>AVERAGEIFS($I$2:I498, $B$2:B498, B498)</f>
        <v>0.4642857142857143</v>
      </c>
      <c r="AI498">
        <f>AVERAGEIFS($I$2:J498, $B$2:C498, C498)</f>
        <v>0.49899999999999989</v>
      </c>
      <c r="AJ498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f>AVERAGEIFS($C$2:C499, $B$2:B499, B499)</f>
        <v>22.764705882352942</v>
      </c>
      <c r="AH499">
        <f>AVERAGEIFS($I$2:I499, $B$2:B499, B499)</f>
        <v>0.32058823529411767</v>
      </c>
      <c r="AI499">
        <f>AVERAGEIFS($I$2:J499, $B$2:C499, C499)</f>
        <v>0.49782608695652181</v>
      </c>
      <c r="AJ499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f>AVERAGEIFS($C$2:C500, $B$2:B500, B500)</f>
        <v>16.888888888888889</v>
      </c>
      <c r="AH500">
        <f>AVERAGEIFS($I$2:I500, $B$2:B500, B500)</f>
        <v>0.38611111111111113</v>
      </c>
      <c r="AI500">
        <f>AVERAGEIFS($I$2:J500, $B$2:C500, C500)</f>
        <v>0.46210526315789469</v>
      </c>
      <c r="AJ500">
        <f>AVERAGEIFS($D$2:D500, $B$2:B500, B500)</f>
        <v>0.3888888888888889</v>
      </c>
    </row>
    <row r="501" spans="1:36" x14ac:dyDescent="0.25">
      <c r="A501" s="85">
        <v>46099</v>
      </c>
      <c r="B501" t="s">
        <v>138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f>AVERAGEIFS($C$2:C501, $B$2:B501, B501)</f>
        <v>6</v>
      </c>
      <c r="AH501">
        <f>AVERAGEIFS($I$2:I501, $B$2:B501, B501)</f>
        <v>0.54374999999999996</v>
      </c>
      <c r="AI501">
        <f>AVERAGEIFS($I$2:J501, $B$2:C501, C501)</f>
        <v>0.42294117647058815</v>
      </c>
      <c r="AJ501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f>AVERAGEIFS($C$2:C502, $B$2:B502, B502)</f>
        <v>12.625</v>
      </c>
      <c r="AH502">
        <f>AVERAGEIFS($I$2:I502, $B$2:B502, B502)</f>
        <v>0.51249999999999996</v>
      </c>
      <c r="AI502">
        <f>AVERAGEIFS($I$2:J502, $B$2:C502, C502)</f>
        <v>0.46769230769230757</v>
      </c>
      <c r="AJ502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>
        <f>AVERAGEIFS($C$2:C503, $B$2:B503, B503)</f>
        <v>24.285714285714285</v>
      </c>
      <c r="AH503">
        <f>AVERAGEIFS($I$2:I503, $B$2:B503, B503)</f>
        <v>0.51771428571428579</v>
      </c>
      <c r="AI503">
        <f>AVERAGEIFS($I$2:J503, $B$2:C503, C503)</f>
        <v>0.46999999999999992</v>
      </c>
      <c r="AJ503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>
        <f>AVERAGEIFS($C$2:C504, $B$2:B504, B504)</f>
        <v>21.136363636363637</v>
      </c>
      <c r="AH504">
        <f>AVERAGEIFS($I$2:I504, $B$2:B504, B504)</f>
        <v>0.43272727272727268</v>
      </c>
      <c r="AI504">
        <f>AVERAGEIFS($I$2:J504, $B$2:C504, C504)</f>
        <v>0.44999999999999996</v>
      </c>
      <c r="AJ504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>
        <f>AVERAGEIFS($C$2:C505, $B$2:B505, B505)</f>
        <v>21.23076923076923</v>
      </c>
      <c r="AH505">
        <f>AVERAGEIFS($I$2:I505, $B$2:B505, B505)</f>
        <v>0.64769230769230768</v>
      </c>
      <c r="AI505">
        <f>AVERAGEIFS($I$2:J505, $B$2:C505, C505)</f>
        <v>0.51391304347826083</v>
      </c>
      <c r="AJ505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>
        <f>AVERAGEIFS($C$2:C506, $B$2:B506, B506)</f>
        <v>14.647058823529411</v>
      </c>
      <c r="AH506">
        <f>AVERAGEIFS($I$2:I506, $B$2:B506, B506)</f>
        <v>0.65588235294117636</v>
      </c>
      <c r="AI506">
        <f>AVERAGEIFS($I$2:J506, $B$2:C506, C506)</f>
        <v>0.51666666666666672</v>
      </c>
      <c r="AJ50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>
        <f>AVERAGEIFS($C$2:C507, $B$2:B507, B507)</f>
        <v>17.096774193548388</v>
      </c>
      <c r="AH507">
        <f>AVERAGEIFS($I$2:I507, $B$2:B507, B507)</f>
        <v>0.52903225806451615</v>
      </c>
      <c r="AI507">
        <f>AVERAGEIFS($I$2:J507, $B$2:C507, C507)</f>
        <v>0.50161290322580632</v>
      </c>
      <c r="AJ507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>
        <f>AVERAGEIFS($C$2:C508, $B$2:B508, B508)</f>
        <v>16.600000000000001</v>
      </c>
      <c r="AH508">
        <f>AVERAGEIFS($I$2:I508, $B$2:B508, B508)</f>
        <v>0.72</v>
      </c>
      <c r="AI508">
        <f>AVERAGEIFS($I$2:J508, $B$2:C508, C508)</f>
        <v>0.50846153846153852</v>
      </c>
      <c r="AJ508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>
        <f>AVERAGEIFS($C$2:C509, $B$2:B509, B509)</f>
        <v>11.133333333333333</v>
      </c>
      <c r="AH509">
        <f>AVERAGEIFS($I$2:I509, $B$2:B509, B509)</f>
        <v>0.44766666666666671</v>
      </c>
      <c r="AI509">
        <f>AVERAGEIFS($I$2:J509, $B$2:C509, C509)</f>
        <v>0.46799999999999997</v>
      </c>
      <c r="AJ509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>
        <f>AVERAGEIFS($C$2:C510, $B$2:B510, B510)</f>
        <v>14</v>
      </c>
      <c r="AH510">
        <f>AVERAGEIFS($I$2:I510, $B$2:B510, B510)</f>
        <v>0.47285714285714286</v>
      </c>
      <c r="AI510">
        <f>AVERAGEIFS($I$2:J510, $B$2:C510, C510)</f>
        <v>0.47571428571428559</v>
      </c>
      <c r="AJ510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f>AVERAGEIFS($C$2:C511, $B$2:B511, B511)</f>
        <v>22.575757575757574</v>
      </c>
      <c r="AH511">
        <f>AVERAGEIFS($I$2:I511, $B$2:B511, B511)</f>
        <v>0.60545454545454547</v>
      </c>
      <c r="AI511">
        <f>AVERAGEIFS($I$2:J511, $B$2:C511, C511)</f>
        <v>0.5066666666666666</v>
      </c>
      <c r="AJ511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f>AVERAGEIFS($C$2:C512, $B$2:B512, B512)</f>
        <v>17.315789473684209</v>
      </c>
      <c r="AH512">
        <f>AVERAGEIFS($I$2:I512, $B$2:B512, B512)</f>
        <v>0.37894736842105264</v>
      </c>
      <c r="AI512">
        <f>AVERAGEIFS($I$2:J512, $B$2:C512, C512)</f>
        <v>0.46722222222222221</v>
      </c>
      <c r="AJ512">
        <f>AVERAGEIFS($D$2:D512, $B$2:B512, B512)</f>
        <v>0.36842105263157893</v>
      </c>
    </row>
    <row r="513" spans="1:36" x14ac:dyDescent="0.25">
      <c r="A513" s="85">
        <v>46099</v>
      </c>
      <c r="B513" t="s">
        <v>149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f>AVERAGEIFS($C$2:C513, $B$2:B513, B513)</f>
        <v>8.75</v>
      </c>
      <c r="AH513">
        <f>AVERAGEIFS($I$2:I513, $B$2:B513, B513)</f>
        <v>0.375</v>
      </c>
      <c r="AI513">
        <f>AVERAGEIFS($I$2:J513, $B$2:C513, C513)</f>
        <v>0.53266666666666673</v>
      </c>
      <c r="AJ513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f>AVERAGEIFS($C$2:C514, $B$2:B514, B514)</f>
        <v>16.9375</v>
      </c>
      <c r="AH514">
        <f>AVERAGEIFS($I$2:I514, $B$2:B514, B514)</f>
        <v>0.48124999999999996</v>
      </c>
      <c r="AI514">
        <f>AVERAGEIFS($I$2:J514, $B$2:C514, C514)</f>
        <v>0.49906249999999991</v>
      </c>
      <c r="AJ514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f>AVERAGEIFS($C$2:C515, $B$2:B515, B515)</f>
        <v>9.6666666666666661</v>
      </c>
      <c r="AH515">
        <f>AVERAGEIFS($I$2:I515, $B$2:B515, B515)</f>
        <v>0.66666666666666663</v>
      </c>
      <c r="AI515">
        <f>AVERAGEIFS($I$2:J515, $B$2:C515, C515)</f>
        <v>0.49458333333333337</v>
      </c>
      <c r="AJ515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f>AVERAGEIFS($C$2:C516, $B$2:B516, B516)</f>
        <v>9.4285714285714288</v>
      </c>
      <c r="AH516">
        <f>AVERAGEIFS($I$2:I516, $B$2:B516, B516)</f>
        <v>0.45999999999999996</v>
      </c>
      <c r="AI516">
        <f>AVERAGEIFS($I$2:J516, $B$2:C516, C516)</f>
        <v>0.50058823529411778</v>
      </c>
      <c r="AJ51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f>AVERAGEIFS($C$2:C517, $B$2:B517, B517)</f>
        <v>11.5</v>
      </c>
      <c r="AH517">
        <f>AVERAGEIFS($I$2:I517, $B$2:B517, B517)</f>
        <v>0.5</v>
      </c>
      <c r="AI517">
        <f>AVERAGEIFS($I$2:J517, $B$2:C517, C517)</f>
        <v>0.49611111111111117</v>
      </c>
      <c r="AJ517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f>AVERAGEIFS($C$2:C518, $B$2:B518, B518)</f>
        <v>18.777777777777779</v>
      </c>
      <c r="AH518">
        <f>AVERAGEIFS($I$2:I518, $B$2:B518, B518)</f>
        <v>0.54740740740740745</v>
      </c>
      <c r="AI518">
        <f>AVERAGEIFS($I$2:J518, $B$2:C518, C518)</f>
        <v>0.52789473684210531</v>
      </c>
      <c r="AJ518">
        <f>AVERAGEIFS($D$2:D518, $B$2:B518, B518)</f>
        <v>0.55555555555555558</v>
      </c>
    </row>
  </sheetData>
  <autoFilter ref="A1:AJ518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3" t="s">
        <v>7</v>
      </c>
      <c r="D1" s="104"/>
      <c r="E1" s="105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3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6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6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6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6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6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6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6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6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2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2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2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2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2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2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2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2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2026-03-18T13:39:53Z</dcterms:modified>
</cp:coreProperties>
</file>