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D40B9E1-0E19-4B03-81D7-DAAFE99632B0}" xr6:coauthVersionLast="47" xr6:coauthVersionMax="47" xr10:uidLastSave="{00000000-0000-0000-0000-000000000000}"/>
  <bookViews>
    <workbookView xWindow="-28920" yWindow="-120" windowWidth="29040" windowHeight="15720" activeTab="3" xr2:uid="{B81E1BB1-8459-4D85-A2AA-65951E65A37B}"/>
  </bookViews>
  <sheets>
    <sheet name="Old Bow" sheetId="1" r:id="rId1"/>
    <sheet name="Old Bow comments" sheetId="7" state="hidden" r:id="rId2"/>
    <sheet name="Match Analyzer Old Bow" sheetId="4" state="hidden" r:id="rId3"/>
    <sheet name="BA" sheetId="3" r:id="rId4"/>
    <sheet name="BA History" sheetId="9" r:id="rId5"/>
    <sheet name="BA comments" sheetId="6" state="hidden" r:id="rId6"/>
    <sheet name="Match Analyzer BA" sheetId="8" state="hidden" r:id="rId7"/>
  </sheets>
  <definedNames>
    <definedName name="_xlnm._FilterDatabase" localSheetId="3" hidden="1">BA!$A$1:$AH$46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" i="9" l="1"/>
  <c r="K6" i="9"/>
  <c r="J6" i="9"/>
  <c r="I6" i="9"/>
  <c r="L6" i="9" s="1"/>
  <c r="M5" i="9"/>
  <c r="L5" i="9"/>
  <c r="K5" i="9"/>
  <c r="M4" i="9"/>
  <c r="L4" i="9"/>
  <c r="K4" i="9"/>
  <c r="M3" i="9"/>
  <c r="L3" i="9"/>
  <c r="K3" i="9"/>
  <c r="M2" i="9"/>
  <c r="L2" i="9"/>
  <c r="K2" i="9"/>
  <c r="M27" i="3"/>
  <c r="J27" i="3"/>
  <c r="C27" i="3"/>
  <c r="G27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7" i="3"/>
  <c r="J37" i="3"/>
  <c r="G37" i="3"/>
  <c r="C37" i="3"/>
  <c r="M3" i="3"/>
  <c r="M14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0" i="3"/>
  <c r="M12" i="3"/>
  <c r="J22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8" s="1"/>
  <c r="J9" i="3"/>
  <c r="K7" i="8" s="1"/>
  <c r="G9" i="3"/>
  <c r="H7" i="8" s="1"/>
  <c r="C9" i="3"/>
  <c r="D7" i="8" s="1"/>
  <c r="M43" i="3"/>
  <c r="J43" i="3"/>
  <c r="C43" i="3"/>
  <c r="G43" i="3"/>
  <c r="M34" i="3"/>
  <c r="M8" i="3"/>
  <c r="N18" i="8" s="1"/>
  <c r="J8" i="3"/>
  <c r="K18" i="8" s="1"/>
  <c r="J34" i="3"/>
  <c r="G8" i="3"/>
  <c r="H18" i="8" s="1"/>
  <c r="G26" i="3"/>
  <c r="H21" i="8" s="1"/>
  <c r="G32" i="3"/>
  <c r="G31" i="3"/>
  <c r="G34" i="3"/>
  <c r="C34" i="3"/>
  <c r="C32" i="3"/>
  <c r="C31" i="3"/>
  <c r="C26" i="3"/>
  <c r="D21" i="8" s="1"/>
  <c r="C8" i="3"/>
  <c r="D18" i="8" s="1"/>
  <c r="M45" i="3"/>
  <c r="J45" i="3"/>
  <c r="G45" i="3"/>
  <c r="C45" i="3"/>
  <c r="C41" i="3"/>
  <c r="D22" i="8" s="1"/>
  <c r="M18" i="3"/>
  <c r="N19" i="8" s="1"/>
  <c r="J18" i="3"/>
  <c r="K19" i="8" s="1"/>
  <c r="G18" i="3"/>
  <c r="H19" i="8" s="1"/>
  <c r="C18" i="3"/>
  <c r="D19" i="8" s="1"/>
  <c r="M24" i="3"/>
  <c r="M33" i="3"/>
  <c r="M32" i="3"/>
  <c r="M31" i="3"/>
  <c r="M35" i="3"/>
  <c r="J24" i="3"/>
  <c r="J33" i="3"/>
  <c r="J32" i="3"/>
  <c r="J31" i="3"/>
  <c r="J35" i="3"/>
  <c r="G24" i="3"/>
  <c r="G33" i="3"/>
  <c r="G35" i="3"/>
  <c r="C33" i="3"/>
  <c r="C24" i="3"/>
  <c r="M2" i="3"/>
  <c r="N4" i="8" s="1"/>
  <c r="M23" i="3"/>
  <c r="M28" i="3"/>
  <c r="J2" i="3"/>
  <c r="K4" i="8" s="1"/>
  <c r="J23" i="3"/>
  <c r="J28" i="3"/>
  <c r="G2" i="3"/>
  <c r="H3" i="8" s="1"/>
  <c r="G23" i="3"/>
  <c r="G28" i="3"/>
  <c r="C2" i="3"/>
  <c r="D4" i="8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6" i="3"/>
  <c r="N21" i="8" s="1"/>
  <c r="M16" i="3"/>
  <c r="J26" i="3"/>
  <c r="K21" i="8" s="1"/>
  <c r="J16" i="3"/>
  <c r="G16" i="3"/>
  <c r="C16" i="3"/>
  <c r="M42" i="3"/>
  <c r="M30" i="3"/>
  <c r="M29" i="3"/>
  <c r="M20" i="3"/>
  <c r="M17" i="3"/>
  <c r="M7" i="3"/>
  <c r="N20" i="8" s="1"/>
  <c r="M4" i="3"/>
  <c r="J42" i="3"/>
  <c r="J41" i="3"/>
  <c r="K22" i="8" s="1"/>
  <c r="J30" i="3"/>
  <c r="J29" i="3"/>
  <c r="J20" i="3"/>
  <c r="J17" i="3"/>
  <c r="J7" i="3"/>
  <c r="K20" i="8" s="1"/>
  <c r="J4" i="3"/>
  <c r="G42" i="3"/>
  <c r="G41" i="3"/>
  <c r="H22" i="8" s="1"/>
  <c r="G30" i="3"/>
  <c r="G29" i="3"/>
  <c r="G20" i="3"/>
  <c r="G17" i="3"/>
  <c r="G7" i="3"/>
  <c r="H6" i="8" s="1"/>
  <c r="C42" i="3"/>
  <c r="C30" i="3"/>
  <c r="C29" i="3"/>
  <c r="C20" i="3"/>
  <c r="G4" i="3"/>
  <c r="C4" i="3"/>
  <c r="M25" i="3"/>
  <c r="M21" i="3"/>
  <c r="M11" i="3"/>
  <c r="N8" i="8" s="1"/>
  <c r="J25" i="3"/>
  <c r="J21" i="3"/>
  <c r="J11" i="3"/>
  <c r="K8" i="8" s="1"/>
  <c r="G25" i="3"/>
  <c r="G21" i="3"/>
  <c r="G11" i="3"/>
  <c r="H8" i="8" s="1"/>
  <c r="C25" i="3"/>
  <c r="C23" i="3"/>
  <c r="C21" i="3"/>
  <c r="C11" i="3"/>
  <c r="D8" i="8" s="1"/>
  <c r="M41" i="3"/>
  <c r="N22" i="8" s="1"/>
  <c r="M22" i="3"/>
  <c r="G22" i="3"/>
  <c r="C22" i="3"/>
  <c r="C17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D21" i="4" l="1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<sst xmlns="http://schemas.openxmlformats.org/spreadsheetml/2006/main" count="443" uniqueCount="136">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</sst>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2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0" xfId="0" applyFont="1"/>
    <xf numFmtId="164" fontId="9" fillId="0" borderId="0" xfId="0" applyNumberFormat="1" applyFont="1"/>
    <xf numFmtId="9" fontId="9" fillId="0" borderId="0" xfId="0" applyNumberFormat="1" applyFont="1"/>
    <xf numFmtId="2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A5" sqref="A5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89" t="s">
        <v>119</v>
      </c>
      <c r="B4" s="90"/>
      <c r="C4" s="90"/>
    </row>
    <row r="5" spans="1:3" x14ac:dyDescent="0.25">
      <c r="A5" s="89" t="s">
        <v>120</v>
      </c>
      <c r="B5" s="90"/>
      <c r="C5" s="9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2" t="s">
        <v>7</v>
      </c>
      <c r="D1" s="93"/>
      <c r="E1" s="93"/>
      <c r="F1" s="92" t="s">
        <v>22</v>
      </c>
      <c r="G1" s="93"/>
      <c r="H1" s="94"/>
      <c r="I1" s="92" t="s">
        <v>16</v>
      </c>
      <c r="J1" s="93"/>
      <c r="K1" s="94"/>
      <c r="L1" s="92" t="s">
        <v>23</v>
      </c>
      <c r="M1" s="93"/>
      <c r="N1" s="94"/>
      <c r="O1" s="93" t="s">
        <v>64</v>
      </c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9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9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9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9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9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9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9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9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2" t="s">
        <v>7</v>
      </c>
      <c r="D15" s="93"/>
      <c r="E15" s="94"/>
      <c r="F15" s="92" t="s">
        <v>22</v>
      </c>
      <c r="G15" s="93"/>
      <c r="H15" s="94"/>
      <c r="I15" s="92" t="s">
        <v>16</v>
      </c>
      <c r="J15" s="93"/>
      <c r="K15" s="94"/>
      <c r="L15" s="92" t="s">
        <v>23</v>
      </c>
      <c r="M15" s="93"/>
      <c r="N15" s="94"/>
      <c r="O15" s="92" t="s">
        <v>64</v>
      </c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6"/>
  <sheetViews>
    <sheetView tabSelected="1" workbookViewId="0">
      <pane xSplit="1" ySplit="1" topLeftCell="E3" activePane="bottomRight" state="frozen"/>
      <selection pane="topRight" activeCell="B1" sqref="B1"/>
      <selection pane="bottomLeft" activeCell="A2" sqref="A2"/>
      <selection pane="bottomRight" activeCell="AB47" sqref="AB47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74</v>
      </c>
      <c r="B14" s="34">
        <v>9</v>
      </c>
      <c r="C14" s="66">
        <f t="shared" ref="C14:C46" si="4">B14/(E14+F14)</f>
        <v>9</v>
      </c>
      <c r="D14" s="47">
        <v>9</v>
      </c>
      <c r="E14" s="34">
        <v>0</v>
      </c>
      <c r="F14" s="2">
        <v>1</v>
      </c>
      <c r="G14" s="75">
        <f t="shared" ref="G14:G46" si="5">E14/(E14+F14)</f>
        <v>0</v>
      </c>
      <c r="H14" s="34">
        <v>1</v>
      </c>
      <c r="I14" s="2">
        <v>3</v>
      </c>
      <c r="J14" s="75">
        <f t="shared" ref="J14:J46" si="6">H14/(H14+I14)</f>
        <v>0.25</v>
      </c>
      <c r="K14" s="34">
        <v>6</v>
      </c>
      <c r="L14" s="2">
        <v>9</v>
      </c>
      <c r="M14" s="75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47">
        <v>0</v>
      </c>
    </row>
    <row r="15" spans="1:34" x14ac:dyDescent="0.25">
      <c r="A15" s="2" t="s">
        <v>89</v>
      </c>
      <c r="B15" s="34">
        <v>3</v>
      </c>
      <c r="C15" s="66">
        <f t="shared" si="4"/>
        <v>3</v>
      </c>
      <c r="D15" s="47">
        <v>3</v>
      </c>
      <c r="E15" s="34">
        <v>0</v>
      </c>
      <c r="F15" s="2">
        <v>1</v>
      </c>
      <c r="G15" s="75">
        <f t="shared" si="5"/>
        <v>0</v>
      </c>
      <c r="H15" s="34">
        <v>0</v>
      </c>
      <c r="I15" s="2">
        <v>3</v>
      </c>
      <c r="J15" s="75">
        <f t="shared" si="6"/>
        <v>0</v>
      </c>
      <c r="K15" s="34">
        <v>4</v>
      </c>
      <c r="L15" s="2">
        <v>9</v>
      </c>
      <c r="M15" s="75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45</v>
      </c>
      <c r="B16" s="34">
        <v>32</v>
      </c>
      <c r="C16" s="66">
        <f t="shared" si="4"/>
        <v>10.666666666666666</v>
      </c>
      <c r="D16" s="35">
        <v>13</v>
      </c>
      <c r="E16" s="34">
        <v>2</v>
      </c>
      <c r="F16" s="2">
        <v>1</v>
      </c>
      <c r="G16" s="75">
        <f t="shared" si="5"/>
        <v>0.66666666666666663</v>
      </c>
      <c r="H16" s="34">
        <v>8</v>
      </c>
      <c r="I16" s="2">
        <v>5</v>
      </c>
      <c r="J16" s="75">
        <f t="shared" si="6"/>
        <v>0.61538461538461542</v>
      </c>
      <c r="K16" s="34">
        <v>32</v>
      </c>
      <c r="L16" s="2">
        <v>27</v>
      </c>
      <c r="M16" s="75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50</v>
      </c>
      <c r="B17" s="34">
        <v>427</v>
      </c>
      <c r="C17" s="66">
        <f t="shared" si="4"/>
        <v>20.333333333333332</v>
      </c>
      <c r="D17" s="35">
        <v>31</v>
      </c>
      <c r="E17" s="34">
        <v>13</v>
      </c>
      <c r="F17" s="2">
        <v>8</v>
      </c>
      <c r="G17" s="75">
        <f t="shared" si="5"/>
        <v>0.61904761904761907</v>
      </c>
      <c r="H17" s="34">
        <v>49</v>
      </c>
      <c r="I17" s="2">
        <v>38</v>
      </c>
      <c r="J17" s="75">
        <f t="shared" si="6"/>
        <v>0.56321839080459768</v>
      </c>
      <c r="K17" s="34">
        <v>195</v>
      </c>
      <c r="L17" s="2">
        <v>177</v>
      </c>
      <c r="M17" s="75">
        <f t="shared" si="7"/>
        <v>0.52419354838709675</v>
      </c>
      <c r="N17" s="34">
        <v>2</v>
      </c>
      <c r="O17" s="2">
        <v>3</v>
      </c>
      <c r="P17" s="2">
        <v>1</v>
      </c>
      <c r="Q17" s="2">
        <v>4</v>
      </c>
      <c r="R17" s="2">
        <v>1</v>
      </c>
      <c r="S17" s="2">
        <v>1</v>
      </c>
      <c r="T17" s="2">
        <v>2</v>
      </c>
      <c r="U17" s="2">
        <v>1</v>
      </c>
      <c r="V17" s="2">
        <v>1</v>
      </c>
      <c r="W17" s="2">
        <v>0</v>
      </c>
      <c r="X17" s="2">
        <v>5</v>
      </c>
      <c r="Y17" s="2">
        <v>1</v>
      </c>
      <c r="Z17" s="2">
        <v>1</v>
      </c>
      <c r="AA17" s="2">
        <v>2</v>
      </c>
      <c r="AB17" s="2">
        <v>8</v>
      </c>
      <c r="AC17" s="2">
        <v>1</v>
      </c>
      <c r="AD17" s="2">
        <v>5</v>
      </c>
      <c r="AE17" s="2">
        <v>1</v>
      </c>
      <c r="AF17" s="2">
        <v>7</v>
      </c>
      <c r="AG17" s="2">
        <v>1</v>
      </c>
      <c r="AH17" s="47">
        <v>1</v>
      </c>
    </row>
    <row r="18" spans="1:34" x14ac:dyDescent="0.25">
      <c r="A18" s="2" t="s">
        <v>52</v>
      </c>
      <c r="B18" s="34">
        <v>98</v>
      </c>
      <c r="C18" s="66">
        <f t="shared" si="4"/>
        <v>12.25</v>
      </c>
      <c r="D18" s="35">
        <v>19</v>
      </c>
      <c r="E18" s="34">
        <v>2</v>
      </c>
      <c r="F18" s="2">
        <v>6</v>
      </c>
      <c r="G18" s="75">
        <f t="shared" si="5"/>
        <v>0.25</v>
      </c>
      <c r="H18" s="34">
        <v>14</v>
      </c>
      <c r="I18" s="2">
        <v>21</v>
      </c>
      <c r="J18" s="75">
        <f t="shared" si="6"/>
        <v>0.4</v>
      </c>
      <c r="K18" s="34">
        <v>60</v>
      </c>
      <c r="L18" s="2">
        <v>79</v>
      </c>
      <c r="M18" s="75">
        <f t="shared" si="7"/>
        <v>0.43165467625899279</v>
      </c>
      <c r="N18" s="34">
        <v>0</v>
      </c>
      <c r="O18" s="2">
        <v>2</v>
      </c>
      <c r="P18" s="2">
        <v>0</v>
      </c>
      <c r="Q18" s="2">
        <v>1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3</v>
      </c>
      <c r="X18" s="2">
        <v>0</v>
      </c>
      <c r="Y18" s="2">
        <v>0</v>
      </c>
      <c r="Z18" s="2">
        <v>0</v>
      </c>
      <c r="AA18" s="2">
        <v>0</v>
      </c>
      <c r="AB18" s="2">
        <v>2</v>
      </c>
      <c r="AC18" s="2">
        <v>0</v>
      </c>
      <c r="AD18" s="2">
        <v>3</v>
      </c>
      <c r="AE18" s="2">
        <v>2</v>
      </c>
      <c r="AF18" s="2">
        <v>1</v>
      </c>
      <c r="AG18" s="2">
        <v>0</v>
      </c>
      <c r="AH18" s="47">
        <v>0</v>
      </c>
    </row>
    <row r="19" spans="1:34" x14ac:dyDescent="0.25">
      <c r="A19" s="2" t="s">
        <v>102</v>
      </c>
      <c r="B19" s="34">
        <v>158</v>
      </c>
      <c r="C19" s="66">
        <f t="shared" si="4"/>
        <v>17.555555555555557</v>
      </c>
      <c r="D19" s="35">
        <v>31</v>
      </c>
      <c r="E19" s="34">
        <v>7</v>
      </c>
      <c r="F19" s="2">
        <v>2</v>
      </c>
      <c r="G19" s="75">
        <f t="shared" si="5"/>
        <v>0.77777777777777779</v>
      </c>
      <c r="H19" s="34">
        <v>24</v>
      </c>
      <c r="I19" s="2">
        <v>14</v>
      </c>
      <c r="J19" s="75">
        <f t="shared" si="6"/>
        <v>0.63157894736842102</v>
      </c>
      <c r="K19" s="34">
        <v>87</v>
      </c>
      <c r="L19" s="2">
        <v>63</v>
      </c>
      <c r="M19" s="75">
        <f t="shared" si="7"/>
        <v>0.57999999999999996</v>
      </c>
      <c r="N19" s="34">
        <v>2</v>
      </c>
      <c r="O19" s="2">
        <v>1</v>
      </c>
      <c r="P19" s="2">
        <v>2</v>
      </c>
      <c r="Q19" s="2">
        <v>1</v>
      </c>
      <c r="R19" s="1">
        <v>0</v>
      </c>
      <c r="S19" s="2">
        <v>0</v>
      </c>
      <c r="T19" s="2">
        <v>1</v>
      </c>
      <c r="U19" s="2">
        <v>1</v>
      </c>
      <c r="V19" s="2">
        <v>0</v>
      </c>
      <c r="W19" s="2">
        <v>0</v>
      </c>
      <c r="X19" s="2">
        <v>1</v>
      </c>
      <c r="Y19" s="2">
        <v>3</v>
      </c>
      <c r="Z19" s="2">
        <v>1</v>
      </c>
      <c r="AA19" s="2">
        <v>1</v>
      </c>
      <c r="AB19" s="2">
        <v>3</v>
      </c>
      <c r="AC19" s="2">
        <v>1</v>
      </c>
      <c r="AD19" s="2">
        <v>1</v>
      </c>
      <c r="AE19" s="2">
        <v>1</v>
      </c>
      <c r="AF19" s="2">
        <v>1</v>
      </c>
      <c r="AG19" s="2">
        <v>1</v>
      </c>
      <c r="AH19" s="47">
        <v>2</v>
      </c>
    </row>
    <row r="20" spans="1:34" x14ac:dyDescent="0.25">
      <c r="A20" s="2" t="s">
        <v>1</v>
      </c>
      <c r="B20" s="34">
        <v>325</v>
      </c>
      <c r="C20" s="66">
        <f t="shared" si="4"/>
        <v>29.545454545454547</v>
      </c>
      <c r="D20" s="35">
        <v>50</v>
      </c>
      <c r="E20" s="34">
        <v>5</v>
      </c>
      <c r="F20" s="2">
        <v>6</v>
      </c>
      <c r="G20" s="75">
        <f t="shared" si="5"/>
        <v>0.45454545454545453</v>
      </c>
      <c r="H20" s="34">
        <v>19</v>
      </c>
      <c r="I20" s="2">
        <v>26</v>
      </c>
      <c r="J20" s="75">
        <f t="shared" si="6"/>
        <v>0.42222222222222222</v>
      </c>
      <c r="K20" s="34">
        <v>90</v>
      </c>
      <c r="L20" s="2">
        <v>105</v>
      </c>
      <c r="M20" s="75">
        <f t="shared" si="7"/>
        <v>0.46153846153846156</v>
      </c>
      <c r="N20" s="34">
        <v>1</v>
      </c>
      <c r="O20" s="2">
        <v>2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1</v>
      </c>
      <c r="AE20" s="2">
        <v>1</v>
      </c>
      <c r="AF20" s="2">
        <v>3</v>
      </c>
      <c r="AG20" s="2">
        <v>1</v>
      </c>
      <c r="AH20" s="47">
        <v>0</v>
      </c>
    </row>
    <row r="21" spans="1:34" x14ac:dyDescent="0.25">
      <c r="A21" s="2" t="s">
        <v>46</v>
      </c>
      <c r="B21" s="34">
        <v>281</v>
      </c>
      <c r="C21" s="66">
        <f t="shared" si="4"/>
        <v>20.071428571428573</v>
      </c>
      <c r="D21" s="35">
        <v>27</v>
      </c>
      <c r="E21" s="34">
        <v>5</v>
      </c>
      <c r="F21" s="2">
        <v>9</v>
      </c>
      <c r="G21" s="75">
        <f t="shared" si="5"/>
        <v>0.35714285714285715</v>
      </c>
      <c r="H21" s="34">
        <v>28</v>
      </c>
      <c r="I21" s="2">
        <v>35</v>
      </c>
      <c r="J21" s="75">
        <f t="shared" si="6"/>
        <v>0.44444444444444442</v>
      </c>
      <c r="K21" s="34">
        <v>127</v>
      </c>
      <c r="L21" s="2">
        <v>135</v>
      </c>
      <c r="M21" s="75">
        <f t="shared" si="7"/>
        <v>0.48473282442748089</v>
      </c>
      <c r="N21" s="34">
        <v>2</v>
      </c>
      <c r="O21" s="2">
        <v>1</v>
      </c>
      <c r="P21" s="2">
        <v>1</v>
      </c>
      <c r="Q21" s="2">
        <v>3</v>
      </c>
      <c r="R21" s="2">
        <v>1</v>
      </c>
      <c r="S21" s="1">
        <v>0</v>
      </c>
      <c r="T21" s="2">
        <v>0</v>
      </c>
      <c r="U21" s="2">
        <v>1</v>
      </c>
      <c r="V21" s="2">
        <v>0</v>
      </c>
      <c r="W21" s="2">
        <v>1</v>
      </c>
      <c r="X21" s="2">
        <v>0</v>
      </c>
      <c r="Y21" s="2">
        <v>2</v>
      </c>
      <c r="Z21" s="2">
        <v>1</v>
      </c>
      <c r="AA21" s="2">
        <v>0</v>
      </c>
      <c r="AB21" s="2">
        <v>6</v>
      </c>
      <c r="AC21" s="2">
        <v>0</v>
      </c>
      <c r="AD21" s="2">
        <v>4</v>
      </c>
      <c r="AE21" s="2">
        <v>0</v>
      </c>
      <c r="AF21" s="2">
        <v>2</v>
      </c>
      <c r="AG21" s="2">
        <v>1</v>
      </c>
      <c r="AH21" s="47">
        <v>2</v>
      </c>
    </row>
    <row r="22" spans="1:34" x14ac:dyDescent="0.25">
      <c r="A22" s="2" t="s">
        <v>28</v>
      </c>
      <c r="B22" s="34">
        <v>205</v>
      </c>
      <c r="C22" s="66">
        <f t="shared" si="4"/>
        <v>15.76923076923077</v>
      </c>
      <c r="D22" s="35">
        <v>22</v>
      </c>
      <c r="E22" s="34">
        <v>5</v>
      </c>
      <c r="F22" s="2">
        <v>8</v>
      </c>
      <c r="G22" s="75">
        <f t="shared" si="5"/>
        <v>0.38461538461538464</v>
      </c>
      <c r="H22" s="34">
        <v>22</v>
      </c>
      <c r="I22" s="2">
        <v>29</v>
      </c>
      <c r="J22" s="75">
        <f t="shared" si="6"/>
        <v>0.43137254901960786</v>
      </c>
      <c r="K22" s="34">
        <v>101</v>
      </c>
      <c r="L22" s="2">
        <v>111</v>
      </c>
      <c r="M22" s="75">
        <f t="shared" si="7"/>
        <v>0.47641509433962265</v>
      </c>
      <c r="N22" s="34">
        <v>0</v>
      </c>
      <c r="O22" s="2">
        <v>2</v>
      </c>
      <c r="P22" s="2">
        <v>1</v>
      </c>
      <c r="Q22" s="2">
        <v>1</v>
      </c>
      <c r="R22" s="1">
        <v>1</v>
      </c>
      <c r="S22" s="1">
        <v>0</v>
      </c>
      <c r="T22" s="2">
        <v>1</v>
      </c>
      <c r="U22" s="2">
        <v>1</v>
      </c>
      <c r="V22" s="2">
        <v>1</v>
      </c>
      <c r="W22" s="2">
        <v>2</v>
      </c>
      <c r="X22" s="2">
        <v>1</v>
      </c>
      <c r="Y22" s="2">
        <v>0</v>
      </c>
      <c r="Z22" s="2">
        <v>1</v>
      </c>
      <c r="AA22" s="2">
        <v>1</v>
      </c>
      <c r="AB22" s="2">
        <v>3</v>
      </c>
      <c r="AC22" s="2">
        <v>0</v>
      </c>
      <c r="AD22" s="2">
        <v>3</v>
      </c>
      <c r="AE22" s="2">
        <v>1</v>
      </c>
      <c r="AF22" s="2">
        <v>2</v>
      </c>
      <c r="AG22" s="2">
        <v>0</v>
      </c>
      <c r="AH22" s="47">
        <v>0</v>
      </c>
    </row>
    <row r="23" spans="1:34" x14ac:dyDescent="0.25">
      <c r="A23" s="2" t="s">
        <v>53</v>
      </c>
      <c r="B23" s="34">
        <v>187</v>
      </c>
      <c r="C23" s="66">
        <f t="shared" si="4"/>
        <v>17</v>
      </c>
      <c r="D23" s="35">
        <v>36</v>
      </c>
      <c r="E23" s="34">
        <v>5</v>
      </c>
      <c r="F23" s="2">
        <v>6</v>
      </c>
      <c r="G23" s="75">
        <f t="shared" si="5"/>
        <v>0.45454545454545453</v>
      </c>
      <c r="H23" s="34">
        <v>22</v>
      </c>
      <c r="I23" s="2">
        <v>21</v>
      </c>
      <c r="J23" s="75">
        <f t="shared" si="6"/>
        <v>0.51162790697674421</v>
      </c>
      <c r="K23" s="34">
        <v>90</v>
      </c>
      <c r="L23" s="2">
        <v>85</v>
      </c>
      <c r="M23" s="75">
        <f t="shared" si="7"/>
        <v>0.51428571428571423</v>
      </c>
      <c r="N23" s="34">
        <v>1</v>
      </c>
      <c r="O23" s="2">
        <v>1</v>
      </c>
      <c r="P23" s="2">
        <v>0</v>
      </c>
      <c r="Q23" s="2">
        <v>3</v>
      </c>
      <c r="R23" s="2">
        <v>0</v>
      </c>
      <c r="S23" s="2">
        <v>0</v>
      </c>
      <c r="T23" s="2">
        <v>1</v>
      </c>
      <c r="U23" s="2">
        <v>0</v>
      </c>
      <c r="V23" s="2">
        <v>0</v>
      </c>
      <c r="W23" s="2">
        <v>0</v>
      </c>
      <c r="X23" s="2">
        <v>2</v>
      </c>
      <c r="Y23" s="2">
        <v>1</v>
      </c>
      <c r="Z23" s="2">
        <v>1</v>
      </c>
      <c r="AA23" s="2">
        <v>0</v>
      </c>
      <c r="AB23" s="2">
        <v>5</v>
      </c>
      <c r="AC23" s="2">
        <v>0</v>
      </c>
      <c r="AD23" s="2">
        <v>4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51</v>
      </c>
      <c r="B24" s="34">
        <v>5</v>
      </c>
      <c r="C24" s="66">
        <f t="shared" si="4"/>
        <v>5</v>
      </c>
      <c r="D24" s="35">
        <v>5</v>
      </c>
      <c r="E24" s="34">
        <v>0</v>
      </c>
      <c r="F24" s="2">
        <v>1</v>
      </c>
      <c r="G24" s="75">
        <f t="shared" si="5"/>
        <v>0</v>
      </c>
      <c r="H24" s="34">
        <v>0</v>
      </c>
      <c r="I24" s="2">
        <v>3</v>
      </c>
      <c r="J24" s="75">
        <f t="shared" si="6"/>
        <v>0</v>
      </c>
      <c r="K24" s="34">
        <v>2</v>
      </c>
      <c r="L24" s="2">
        <v>9</v>
      </c>
      <c r="M24" s="75">
        <f t="shared" si="7"/>
        <v>0.18181818181818182</v>
      </c>
      <c r="N24" s="34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47">
        <v>0</v>
      </c>
    </row>
    <row r="25" spans="1:34" x14ac:dyDescent="0.25">
      <c r="A25" s="2" t="s">
        <v>47</v>
      </c>
      <c r="B25" s="34">
        <v>21</v>
      </c>
      <c r="C25" s="66">
        <f t="shared" si="4"/>
        <v>5.25</v>
      </c>
      <c r="D25" s="35">
        <v>8</v>
      </c>
      <c r="E25" s="34">
        <v>1</v>
      </c>
      <c r="F25" s="2">
        <v>3</v>
      </c>
      <c r="G25" s="75">
        <f t="shared" si="5"/>
        <v>0.25</v>
      </c>
      <c r="H25" s="34">
        <v>8</v>
      </c>
      <c r="I25" s="2">
        <v>11</v>
      </c>
      <c r="J25" s="75">
        <f t="shared" si="6"/>
        <v>0.42105263157894735</v>
      </c>
      <c r="K25" s="34">
        <v>32</v>
      </c>
      <c r="L25" s="2">
        <v>40</v>
      </c>
      <c r="M25" s="75">
        <f t="shared" si="7"/>
        <v>0.44444444444444442</v>
      </c>
      <c r="N25" s="34">
        <v>1</v>
      </c>
      <c r="O25" s="2">
        <v>1</v>
      </c>
      <c r="P25" s="2">
        <v>0</v>
      </c>
      <c r="Q25" s="2">
        <v>1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1</v>
      </c>
      <c r="Z25" s="2">
        <v>0</v>
      </c>
      <c r="AA25" s="2">
        <v>1</v>
      </c>
      <c r="AB25" s="2">
        <v>1</v>
      </c>
      <c r="AC25" s="2">
        <v>0</v>
      </c>
      <c r="AD25" s="2">
        <v>0</v>
      </c>
      <c r="AE25" s="2">
        <v>0</v>
      </c>
      <c r="AF25" s="2">
        <v>1</v>
      </c>
      <c r="AG25" s="2">
        <v>0</v>
      </c>
      <c r="AH25" s="47">
        <v>1</v>
      </c>
    </row>
    <row r="26" spans="1:34" x14ac:dyDescent="0.25">
      <c r="A26" s="2" t="s">
        <v>3</v>
      </c>
      <c r="B26" s="34">
        <v>166</v>
      </c>
      <c r="C26" s="66">
        <f t="shared" si="4"/>
        <v>23.714285714285715</v>
      </c>
      <c r="D26" s="35">
        <v>27</v>
      </c>
      <c r="E26" s="34">
        <v>2</v>
      </c>
      <c r="F26" s="2">
        <v>5</v>
      </c>
      <c r="G26" s="75">
        <f t="shared" si="5"/>
        <v>0.2857142857142857</v>
      </c>
      <c r="H26" s="34">
        <v>16</v>
      </c>
      <c r="I26" s="2">
        <v>20</v>
      </c>
      <c r="J26" s="75">
        <f t="shared" si="6"/>
        <v>0.44444444444444442</v>
      </c>
      <c r="K26" s="34">
        <v>74</v>
      </c>
      <c r="L26" s="2">
        <v>83</v>
      </c>
      <c r="M26" s="75">
        <f t="shared" si="7"/>
        <v>0.4713375796178344</v>
      </c>
      <c r="N26" s="34">
        <v>0</v>
      </c>
      <c r="O26" s="2">
        <v>2</v>
      </c>
      <c r="P26" s="2">
        <v>2</v>
      </c>
      <c r="Q26" s="2">
        <v>1</v>
      </c>
      <c r="R26" s="2">
        <v>0</v>
      </c>
      <c r="S26" s="1">
        <v>1</v>
      </c>
      <c r="T26" s="2">
        <v>0</v>
      </c>
      <c r="U26" s="2">
        <v>0</v>
      </c>
      <c r="V26" s="2">
        <v>0</v>
      </c>
      <c r="W26" s="2">
        <v>1</v>
      </c>
      <c r="X26" s="2">
        <v>0</v>
      </c>
      <c r="Y26" s="2">
        <v>0</v>
      </c>
      <c r="Z26" s="2">
        <v>0</v>
      </c>
      <c r="AA26" s="2">
        <v>2</v>
      </c>
      <c r="AB26" s="2">
        <v>1</v>
      </c>
      <c r="AC26" s="2">
        <v>0</v>
      </c>
      <c r="AD26" s="2">
        <v>1</v>
      </c>
      <c r="AE26" s="2">
        <v>3</v>
      </c>
      <c r="AF26" s="2">
        <v>2</v>
      </c>
      <c r="AG26" s="2">
        <v>0</v>
      </c>
      <c r="AH26" s="47">
        <v>0</v>
      </c>
    </row>
    <row r="27" spans="1:34" x14ac:dyDescent="0.25">
      <c r="A27" s="2" t="s">
        <v>15</v>
      </c>
      <c r="B27" s="34">
        <v>4</v>
      </c>
      <c r="C27" s="66">
        <f t="shared" si="4"/>
        <v>4</v>
      </c>
      <c r="D27" s="35">
        <v>4</v>
      </c>
      <c r="E27" s="34">
        <v>0</v>
      </c>
      <c r="F27" s="2">
        <v>1</v>
      </c>
      <c r="G27" s="75">
        <f t="shared" si="5"/>
        <v>0</v>
      </c>
      <c r="H27" s="34">
        <v>0</v>
      </c>
      <c r="I27" s="2">
        <v>2</v>
      </c>
      <c r="J27" s="75">
        <f t="shared" si="6"/>
        <v>0</v>
      </c>
      <c r="K27" s="34">
        <v>1</v>
      </c>
      <c r="L27" s="2">
        <v>6</v>
      </c>
      <c r="M27" s="75">
        <f t="shared" si="7"/>
        <v>0.14285714285714285</v>
      </c>
      <c r="N27" s="34">
        <v>0</v>
      </c>
      <c r="O27" s="2">
        <v>0</v>
      </c>
      <c r="P27" s="2">
        <v>0</v>
      </c>
      <c r="Q27" s="2">
        <v>0</v>
      </c>
      <c r="R27" s="2">
        <v>0</v>
      </c>
      <c r="S27" s="1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47">
        <v>0</v>
      </c>
    </row>
    <row r="28" spans="1:34" x14ac:dyDescent="0.25">
      <c r="A28" s="2" t="s">
        <v>90</v>
      </c>
      <c r="B28" s="34">
        <v>3</v>
      </c>
      <c r="C28" s="66">
        <f t="shared" si="4"/>
        <v>3</v>
      </c>
      <c r="D28" s="47">
        <v>3</v>
      </c>
      <c r="E28" s="34">
        <v>1</v>
      </c>
      <c r="F28" s="2">
        <v>0</v>
      </c>
      <c r="G28" s="75">
        <f t="shared" si="5"/>
        <v>1</v>
      </c>
      <c r="H28" s="34">
        <v>3</v>
      </c>
      <c r="I28" s="2">
        <v>0</v>
      </c>
      <c r="J28" s="75">
        <f t="shared" si="6"/>
        <v>1</v>
      </c>
      <c r="K28" s="34">
        <v>9</v>
      </c>
      <c r="L28" s="2">
        <v>5</v>
      </c>
      <c r="M28" s="75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2">
        <v>0</v>
      </c>
      <c r="AH28" s="47">
        <v>0</v>
      </c>
    </row>
    <row r="29" spans="1:34" x14ac:dyDescent="0.25">
      <c r="A29" s="2" t="s">
        <v>13</v>
      </c>
      <c r="B29" s="34">
        <v>34</v>
      </c>
      <c r="C29" s="66">
        <f t="shared" si="4"/>
        <v>8.5</v>
      </c>
      <c r="D29" s="35">
        <v>12</v>
      </c>
      <c r="E29" s="34">
        <v>2</v>
      </c>
      <c r="F29" s="2">
        <v>2</v>
      </c>
      <c r="G29" s="75">
        <f t="shared" si="5"/>
        <v>0.5</v>
      </c>
      <c r="H29" s="34">
        <v>9</v>
      </c>
      <c r="I29" s="2">
        <v>8</v>
      </c>
      <c r="J29" s="75">
        <f t="shared" si="6"/>
        <v>0.52941176470588236</v>
      </c>
      <c r="K29" s="34">
        <v>34</v>
      </c>
      <c r="L29" s="2">
        <v>36</v>
      </c>
      <c r="M29" s="75">
        <f t="shared" si="7"/>
        <v>0.48571428571428571</v>
      </c>
      <c r="N29" s="34">
        <v>1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2</v>
      </c>
      <c r="AC29" s="2">
        <v>0</v>
      </c>
      <c r="AD29" s="2">
        <v>0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2</v>
      </c>
      <c r="B30" s="34">
        <v>400</v>
      </c>
      <c r="C30" s="66">
        <f t="shared" si="4"/>
        <v>23.529411764705884</v>
      </c>
      <c r="D30" s="35">
        <v>35</v>
      </c>
      <c r="E30" s="34">
        <v>9</v>
      </c>
      <c r="F30" s="2">
        <v>8</v>
      </c>
      <c r="G30" s="75">
        <f t="shared" si="5"/>
        <v>0.52941176470588236</v>
      </c>
      <c r="H30" s="34">
        <v>37</v>
      </c>
      <c r="I30" s="2">
        <v>34</v>
      </c>
      <c r="J30" s="75">
        <f t="shared" si="6"/>
        <v>0.52112676056338025</v>
      </c>
      <c r="K30" s="34">
        <v>147</v>
      </c>
      <c r="L30" s="2">
        <v>144</v>
      </c>
      <c r="M30" s="75">
        <f t="shared" si="7"/>
        <v>0.50515463917525771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2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6</v>
      </c>
      <c r="AE30" s="2">
        <v>3</v>
      </c>
      <c r="AF30" s="2">
        <v>3</v>
      </c>
      <c r="AG30" s="2">
        <v>0</v>
      </c>
      <c r="AH30" s="47">
        <v>1</v>
      </c>
    </row>
    <row r="31" spans="1:34" x14ac:dyDescent="0.25">
      <c r="A31" s="2" t="s">
        <v>54</v>
      </c>
      <c r="B31" s="34">
        <v>548</v>
      </c>
      <c r="C31" s="66">
        <f t="shared" si="4"/>
        <v>26.095238095238095</v>
      </c>
      <c r="D31" s="35">
        <v>37</v>
      </c>
      <c r="E31" s="34">
        <v>8</v>
      </c>
      <c r="F31" s="2">
        <v>13</v>
      </c>
      <c r="G31" s="75">
        <f t="shared" si="5"/>
        <v>0.38095238095238093</v>
      </c>
      <c r="H31" s="34">
        <v>44</v>
      </c>
      <c r="I31" s="2">
        <v>51</v>
      </c>
      <c r="J31" s="75">
        <f t="shared" si="6"/>
        <v>0.4631578947368421</v>
      </c>
      <c r="K31" s="34">
        <v>186</v>
      </c>
      <c r="L31" s="2">
        <v>208</v>
      </c>
      <c r="M31" s="75">
        <f t="shared" si="7"/>
        <v>0.4720812182741117</v>
      </c>
      <c r="N31" s="34">
        <v>1</v>
      </c>
      <c r="O31" s="2">
        <v>5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5</v>
      </c>
      <c r="AC31" s="2">
        <v>0</v>
      </c>
      <c r="AD31" s="2">
        <v>4</v>
      </c>
      <c r="AE31" s="2">
        <v>5</v>
      </c>
      <c r="AF31" s="2">
        <v>3</v>
      </c>
      <c r="AG31" s="2">
        <v>1</v>
      </c>
      <c r="AH31" s="47">
        <v>2</v>
      </c>
    </row>
    <row r="32" spans="1:34" x14ac:dyDescent="0.25">
      <c r="A32" s="2" t="s">
        <v>5</v>
      </c>
      <c r="B32" s="34">
        <v>128</v>
      </c>
      <c r="C32" s="66">
        <f t="shared" si="4"/>
        <v>25.6</v>
      </c>
      <c r="D32" s="35">
        <v>36</v>
      </c>
      <c r="E32" s="34">
        <v>4</v>
      </c>
      <c r="F32" s="2">
        <v>1</v>
      </c>
      <c r="G32" s="75">
        <f t="shared" si="5"/>
        <v>0.8</v>
      </c>
      <c r="H32" s="34">
        <v>15</v>
      </c>
      <c r="I32" s="2">
        <v>7</v>
      </c>
      <c r="J32" s="75">
        <f t="shared" si="6"/>
        <v>0.68181818181818177</v>
      </c>
      <c r="K32" s="34">
        <v>53</v>
      </c>
      <c r="L32" s="2">
        <v>39</v>
      </c>
      <c r="M32" s="75">
        <f t="shared" si="7"/>
        <v>0.57608695652173914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1</v>
      </c>
      <c r="Z32" s="2">
        <v>1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2">
        <v>0</v>
      </c>
      <c r="AH32" s="47">
        <v>1</v>
      </c>
    </row>
    <row r="33" spans="1:34" x14ac:dyDescent="0.25">
      <c r="A33" s="2" t="s">
        <v>38</v>
      </c>
      <c r="B33" s="34">
        <v>9</v>
      </c>
      <c r="C33" s="66">
        <f t="shared" si="4"/>
        <v>3</v>
      </c>
      <c r="D33" s="35">
        <v>4</v>
      </c>
      <c r="E33" s="34">
        <v>2</v>
      </c>
      <c r="F33" s="2">
        <v>1</v>
      </c>
      <c r="G33" s="75">
        <f t="shared" si="5"/>
        <v>0.66666666666666663</v>
      </c>
      <c r="H33" s="34">
        <v>6</v>
      </c>
      <c r="I33" s="2">
        <v>6</v>
      </c>
      <c r="J33" s="75">
        <f t="shared" si="6"/>
        <v>0.5</v>
      </c>
      <c r="K33" s="34">
        <v>22</v>
      </c>
      <c r="L33" s="2">
        <v>25</v>
      </c>
      <c r="M33" s="75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2">
        <v>0</v>
      </c>
      <c r="AH33" s="47">
        <v>0</v>
      </c>
    </row>
    <row r="34" spans="1:34" x14ac:dyDescent="0.25">
      <c r="A34" s="2" t="s">
        <v>40</v>
      </c>
      <c r="B34" s="34">
        <v>367</v>
      </c>
      <c r="C34" s="66">
        <f t="shared" si="4"/>
        <v>18.350000000000001</v>
      </c>
      <c r="D34" s="35">
        <v>29</v>
      </c>
      <c r="E34" s="34">
        <v>9</v>
      </c>
      <c r="F34" s="2">
        <v>11</v>
      </c>
      <c r="G34" s="75">
        <f t="shared" si="5"/>
        <v>0.45</v>
      </c>
      <c r="H34" s="34">
        <v>51</v>
      </c>
      <c r="I34" s="2">
        <v>46</v>
      </c>
      <c r="J34" s="75">
        <f t="shared" si="6"/>
        <v>0.52577319587628868</v>
      </c>
      <c r="K34" s="34">
        <v>176</v>
      </c>
      <c r="L34" s="2">
        <v>185</v>
      </c>
      <c r="M34" s="75">
        <f t="shared" si="7"/>
        <v>0.48753462603878117</v>
      </c>
      <c r="N34" s="34">
        <v>0</v>
      </c>
      <c r="O34" s="2">
        <v>5</v>
      </c>
      <c r="P34" s="2">
        <v>4</v>
      </c>
      <c r="Q34" s="2">
        <v>5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2</v>
      </c>
      <c r="X34" s="2">
        <v>4</v>
      </c>
      <c r="Y34" s="2">
        <v>1</v>
      </c>
      <c r="Z34" s="2">
        <v>1</v>
      </c>
      <c r="AA34" s="2">
        <v>1</v>
      </c>
      <c r="AB34" s="2">
        <v>2</v>
      </c>
      <c r="AC34" s="2">
        <v>0</v>
      </c>
      <c r="AD34" s="2">
        <v>1</v>
      </c>
      <c r="AE34" s="2">
        <v>3</v>
      </c>
      <c r="AF34" s="2">
        <v>6</v>
      </c>
      <c r="AG34" s="2">
        <v>0</v>
      </c>
      <c r="AH34" s="47">
        <v>2</v>
      </c>
    </row>
    <row r="35" spans="1:34" x14ac:dyDescent="0.25">
      <c r="A35" s="2" t="s">
        <v>17</v>
      </c>
      <c r="B35" s="34">
        <v>342</v>
      </c>
      <c r="C35" s="66">
        <f t="shared" si="4"/>
        <v>21.375</v>
      </c>
      <c r="D35" s="35">
        <v>32</v>
      </c>
      <c r="E35" s="34">
        <v>5</v>
      </c>
      <c r="F35" s="2">
        <v>11</v>
      </c>
      <c r="G35" s="75">
        <f t="shared" si="5"/>
        <v>0.3125</v>
      </c>
      <c r="H35" s="34">
        <v>29</v>
      </c>
      <c r="I35" s="2">
        <v>39</v>
      </c>
      <c r="J35" s="75">
        <f t="shared" si="6"/>
        <v>0.4264705882352941</v>
      </c>
      <c r="K35" s="34">
        <v>127</v>
      </c>
      <c r="L35" s="2">
        <v>145</v>
      </c>
      <c r="M35" s="75">
        <f t="shared" si="7"/>
        <v>0.46691176470588236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5</v>
      </c>
      <c r="AC35" s="2">
        <v>0</v>
      </c>
      <c r="AD35" s="2">
        <v>4</v>
      </c>
      <c r="AE35" s="2">
        <v>3</v>
      </c>
      <c r="AF35" s="2">
        <v>3</v>
      </c>
      <c r="AG35" s="2">
        <v>0</v>
      </c>
      <c r="AH35" s="47">
        <v>1</v>
      </c>
    </row>
    <row r="36" spans="1:34" x14ac:dyDescent="0.25">
      <c r="A36" s="1" t="s">
        <v>105</v>
      </c>
      <c r="B36" s="36">
        <v>12</v>
      </c>
      <c r="C36" s="66">
        <f t="shared" si="4"/>
        <v>12</v>
      </c>
      <c r="D36" s="65">
        <v>12</v>
      </c>
      <c r="E36" s="36">
        <v>1</v>
      </c>
      <c r="F36" s="1">
        <v>0</v>
      </c>
      <c r="G36" s="75">
        <f t="shared" si="5"/>
        <v>1</v>
      </c>
      <c r="H36" s="36">
        <v>3</v>
      </c>
      <c r="I36" s="1">
        <v>2</v>
      </c>
      <c r="J36" s="75">
        <f t="shared" si="6"/>
        <v>0.6</v>
      </c>
      <c r="K36" s="36">
        <v>9</v>
      </c>
      <c r="L36" s="1">
        <v>10</v>
      </c>
      <c r="M36" s="75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1">
        <v>0</v>
      </c>
      <c r="AH36" s="47">
        <v>0</v>
      </c>
    </row>
    <row r="37" spans="1:34" x14ac:dyDescent="0.25">
      <c r="A37" s="1" t="s">
        <v>118</v>
      </c>
      <c r="B37" s="36">
        <v>10</v>
      </c>
      <c r="C37" s="1">
        <f t="shared" si="4"/>
        <v>10</v>
      </c>
      <c r="D37" s="65">
        <v>10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1</v>
      </c>
      <c r="J37" s="75">
        <f t="shared" si="6"/>
        <v>0.75</v>
      </c>
      <c r="K37" s="36">
        <v>9</v>
      </c>
      <c r="L37" s="1">
        <v>5</v>
      </c>
      <c r="M37" s="75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1">
        <v>0</v>
      </c>
      <c r="AH37" s="65">
        <v>0</v>
      </c>
    </row>
    <row r="38" spans="1:34" x14ac:dyDescent="0.25">
      <c r="A38" s="2" t="s">
        <v>6</v>
      </c>
      <c r="B38" s="34">
        <v>529</v>
      </c>
      <c r="C38" s="66">
        <f t="shared" si="4"/>
        <v>23</v>
      </c>
      <c r="D38" s="35">
        <v>37</v>
      </c>
      <c r="E38" s="34">
        <v>18</v>
      </c>
      <c r="F38" s="2">
        <v>5</v>
      </c>
      <c r="G38" s="75">
        <f t="shared" si="5"/>
        <v>0.78260869565217395</v>
      </c>
      <c r="H38" s="34">
        <v>61</v>
      </c>
      <c r="I38" s="2">
        <v>35</v>
      </c>
      <c r="J38" s="75">
        <f t="shared" si="6"/>
        <v>0.63541666666666663</v>
      </c>
      <c r="K38" s="34">
        <v>225</v>
      </c>
      <c r="L38" s="2">
        <v>171</v>
      </c>
      <c r="M38" s="75">
        <f t="shared" si="7"/>
        <v>0.56818181818181823</v>
      </c>
      <c r="N38" s="34">
        <v>3</v>
      </c>
      <c r="O38" s="2">
        <v>2</v>
      </c>
      <c r="P38" s="2">
        <v>3</v>
      </c>
      <c r="Q38" s="2">
        <v>4</v>
      </c>
      <c r="R38" s="2">
        <v>0</v>
      </c>
      <c r="S38" s="1">
        <v>0</v>
      </c>
      <c r="T38" s="2">
        <v>1</v>
      </c>
      <c r="U38" s="2">
        <v>3</v>
      </c>
      <c r="V38" s="2">
        <v>0</v>
      </c>
      <c r="W38" s="2">
        <v>2</v>
      </c>
      <c r="X38" s="2">
        <v>6</v>
      </c>
      <c r="Y38" s="2">
        <v>3</v>
      </c>
      <c r="Z38" s="2">
        <v>2</v>
      </c>
      <c r="AA38" s="2">
        <v>2</v>
      </c>
      <c r="AB38" s="2">
        <v>8</v>
      </c>
      <c r="AC38" s="2">
        <v>1</v>
      </c>
      <c r="AD38" s="2">
        <v>7</v>
      </c>
      <c r="AE38" s="2">
        <v>4</v>
      </c>
      <c r="AF38" s="2">
        <v>6</v>
      </c>
      <c r="AG38" s="2">
        <v>0</v>
      </c>
      <c r="AH38" s="47">
        <v>4</v>
      </c>
    </row>
    <row r="39" spans="1:34" x14ac:dyDescent="0.25">
      <c r="A39" s="2" t="s">
        <v>18</v>
      </c>
      <c r="B39" s="34">
        <v>55</v>
      </c>
      <c r="C39" s="66">
        <f t="shared" si="4"/>
        <v>18.333333333333332</v>
      </c>
      <c r="D39" s="35">
        <v>24</v>
      </c>
      <c r="E39" s="34">
        <v>2</v>
      </c>
      <c r="F39" s="2">
        <v>1</v>
      </c>
      <c r="G39" s="75">
        <f t="shared" si="5"/>
        <v>0.66666666666666663</v>
      </c>
      <c r="H39" s="34">
        <v>7</v>
      </c>
      <c r="I39" s="2">
        <v>5</v>
      </c>
      <c r="J39" s="75">
        <f t="shared" si="6"/>
        <v>0.58333333333333337</v>
      </c>
      <c r="K39" s="34">
        <v>26</v>
      </c>
      <c r="L39" s="2">
        <v>23</v>
      </c>
      <c r="M39" s="75">
        <f t="shared" si="7"/>
        <v>0.53061224489795922</v>
      </c>
      <c r="N39" s="34">
        <v>0</v>
      </c>
      <c r="O39" s="2">
        <v>2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2">
        <v>0</v>
      </c>
      <c r="AH39" s="47">
        <v>0</v>
      </c>
    </row>
    <row r="40" spans="1:34" x14ac:dyDescent="0.25">
      <c r="A40" s="2" t="s">
        <v>113</v>
      </c>
      <c r="B40" s="36">
        <v>82</v>
      </c>
      <c r="C40" s="66">
        <f t="shared" si="4"/>
        <v>20.5</v>
      </c>
      <c r="D40" s="65">
        <v>28</v>
      </c>
      <c r="E40" s="36">
        <v>2</v>
      </c>
      <c r="F40" s="1">
        <v>2</v>
      </c>
      <c r="G40" s="75">
        <f t="shared" si="5"/>
        <v>0.5</v>
      </c>
      <c r="H40" s="36">
        <v>10</v>
      </c>
      <c r="I40" s="1">
        <v>10</v>
      </c>
      <c r="J40" s="75">
        <f t="shared" si="6"/>
        <v>0.5</v>
      </c>
      <c r="K40" s="36">
        <v>39</v>
      </c>
      <c r="L40" s="1">
        <v>42</v>
      </c>
      <c r="M40" s="75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1">
        <v>0</v>
      </c>
      <c r="AH40" s="65">
        <v>0</v>
      </c>
    </row>
    <row r="41" spans="1:34" x14ac:dyDescent="0.25">
      <c r="A41" s="2" t="s">
        <v>14</v>
      </c>
      <c r="B41" s="34">
        <v>183</v>
      </c>
      <c r="C41" s="66">
        <f t="shared" si="4"/>
        <v>16.636363636363637</v>
      </c>
      <c r="D41" s="35">
        <v>25</v>
      </c>
      <c r="E41" s="34">
        <v>5</v>
      </c>
      <c r="F41" s="2">
        <v>6</v>
      </c>
      <c r="G41" s="75">
        <f t="shared" si="5"/>
        <v>0.45454545454545453</v>
      </c>
      <c r="H41" s="34">
        <v>22</v>
      </c>
      <c r="I41" s="2">
        <v>26</v>
      </c>
      <c r="J41" s="75">
        <f t="shared" si="6"/>
        <v>0.45833333333333331</v>
      </c>
      <c r="K41" s="34">
        <v>94</v>
      </c>
      <c r="L41" s="2">
        <v>96</v>
      </c>
      <c r="M41" s="75">
        <f t="shared" si="7"/>
        <v>0.49473684210526314</v>
      </c>
      <c r="N41" s="34">
        <v>1</v>
      </c>
      <c r="O41" s="2">
        <v>1</v>
      </c>
      <c r="P41" s="2">
        <v>0</v>
      </c>
      <c r="Q41" s="2">
        <v>0</v>
      </c>
      <c r="R41" s="2">
        <v>0</v>
      </c>
      <c r="S41" s="2">
        <v>0</v>
      </c>
      <c r="T41" s="2">
        <v>2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5</v>
      </c>
      <c r="AC41" s="2">
        <v>1</v>
      </c>
      <c r="AD41" s="2">
        <v>3</v>
      </c>
      <c r="AE41" s="2">
        <v>2</v>
      </c>
      <c r="AF41" s="2">
        <v>0</v>
      </c>
      <c r="AG41" s="2">
        <v>0</v>
      </c>
      <c r="AH41" s="47">
        <v>0</v>
      </c>
    </row>
    <row r="42" spans="1:34" x14ac:dyDescent="0.25">
      <c r="A42" s="2" t="s">
        <v>70</v>
      </c>
      <c r="B42" s="34">
        <v>63</v>
      </c>
      <c r="C42" s="66">
        <f t="shared" si="4"/>
        <v>12.6</v>
      </c>
      <c r="D42" s="47">
        <v>19</v>
      </c>
      <c r="E42" s="34">
        <v>5</v>
      </c>
      <c r="F42" s="2">
        <v>0</v>
      </c>
      <c r="G42" s="75">
        <f t="shared" si="5"/>
        <v>1</v>
      </c>
      <c r="H42" s="34">
        <v>15</v>
      </c>
      <c r="I42" s="2">
        <v>7</v>
      </c>
      <c r="J42" s="75">
        <f t="shared" si="6"/>
        <v>0.68181818181818177</v>
      </c>
      <c r="K42" s="34">
        <v>52</v>
      </c>
      <c r="L42" s="2">
        <v>40</v>
      </c>
      <c r="M42" s="75">
        <f t="shared" si="7"/>
        <v>0.56521739130434778</v>
      </c>
      <c r="N42" s="34">
        <v>1</v>
      </c>
      <c r="O42" s="2">
        <v>1</v>
      </c>
      <c r="P42" s="2">
        <v>2</v>
      </c>
      <c r="Q42" s="2">
        <v>2</v>
      </c>
      <c r="R42" s="2">
        <v>0</v>
      </c>
      <c r="S42" s="2">
        <v>0</v>
      </c>
      <c r="T42" s="2">
        <v>0</v>
      </c>
      <c r="U42" s="2">
        <v>1</v>
      </c>
      <c r="V42" s="2">
        <v>0</v>
      </c>
      <c r="W42" s="2">
        <v>0</v>
      </c>
      <c r="X42" s="2">
        <v>1</v>
      </c>
      <c r="Y42" s="2">
        <v>1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3</v>
      </c>
      <c r="AG42" s="2">
        <v>0</v>
      </c>
      <c r="AH42" s="47">
        <v>2</v>
      </c>
    </row>
    <row r="43" spans="1:34" x14ac:dyDescent="0.25">
      <c r="A43" s="2" t="s">
        <v>4</v>
      </c>
      <c r="B43" s="34">
        <v>283</v>
      </c>
      <c r="C43" s="66">
        <f t="shared" si="4"/>
        <v>25.727272727272727</v>
      </c>
      <c r="D43" s="35">
        <v>41</v>
      </c>
      <c r="E43" s="34">
        <v>3</v>
      </c>
      <c r="F43" s="2">
        <v>8</v>
      </c>
      <c r="G43" s="75">
        <f t="shared" si="5"/>
        <v>0.27272727272727271</v>
      </c>
      <c r="H43" s="34">
        <v>20</v>
      </c>
      <c r="I43" s="2">
        <v>28</v>
      </c>
      <c r="J43" s="75">
        <f t="shared" si="6"/>
        <v>0.41666666666666669</v>
      </c>
      <c r="K43" s="34">
        <v>92</v>
      </c>
      <c r="L43" s="2">
        <v>106</v>
      </c>
      <c r="M43" s="75">
        <f t="shared" si="7"/>
        <v>0.46464646464646464</v>
      </c>
      <c r="N43" s="34">
        <v>0</v>
      </c>
      <c r="O43" s="2">
        <v>4</v>
      </c>
      <c r="P43" s="2">
        <v>3</v>
      </c>
      <c r="Q43" s="2">
        <v>2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1</v>
      </c>
      <c r="AG43" s="2">
        <v>0</v>
      </c>
      <c r="AH43" s="47">
        <v>0</v>
      </c>
    </row>
    <row r="44" spans="1:34" x14ac:dyDescent="0.25">
      <c r="A44" s="1" t="s">
        <v>107</v>
      </c>
      <c r="B44" s="36">
        <v>103</v>
      </c>
      <c r="C44" s="66">
        <f t="shared" si="4"/>
        <v>14.714285714285714</v>
      </c>
      <c r="D44" s="65">
        <v>24</v>
      </c>
      <c r="E44" s="36">
        <v>4</v>
      </c>
      <c r="F44" s="1">
        <v>3</v>
      </c>
      <c r="G44" s="75">
        <f t="shared" si="5"/>
        <v>0.5714285714285714</v>
      </c>
      <c r="H44" s="36">
        <v>18</v>
      </c>
      <c r="I44" s="1">
        <v>14</v>
      </c>
      <c r="J44" s="75">
        <f t="shared" si="6"/>
        <v>0.5625</v>
      </c>
      <c r="K44" s="36">
        <v>74</v>
      </c>
      <c r="L44" s="1">
        <v>67</v>
      </c>
      <c r="M44" s="75">
        <f t="shared" si="7"/>
        <v>0.52482269503546097</v>
      </c>
      <c r="N44" s="34">
        <v>0</v>
      </c>
      <c r="O44" s="1">
        <v>0</v>
      </c>
      <c r="P44" s="1">
        <v>1</v>
      </c>
      <c r="Q44" s="1">
        <v>4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2</v>
      </c>
      <c r="Y44" s="2">
        <v>0</v>
      </c>
      <c r="Z44" s="1">
        <v>0</v>
      </c>
      <c r="AA44" s="1">
        <v>2</v>
      </c>
      <c r="AB44" s="1">
        <v>3</v>
      </c>
      <c r="AC44" s="2">
        <v>0</v>
      </c>
      <c r="AD44" s="1">
        <v>0</v>
      </c>
      <c r="AE44" s="1">
        <v>2</v>
      </c>
      <c r="AF44" s="1">
        <v>2</v>
      </c>
      <c r="AG44" s="1">
        <v>0</v>
      </c>
      <c r="AH44" s="47">
        <v>1</v>
      </c>
    </row>
    <row r="45" spans="1:34" x14ac:dyDescent="0.25">
      <c r="A45" s="2" t="s">
        <v>94</v>
      </c>
      <c r="B45" s="34">
        <v>18</v>
      </c>
      <c r="C45" s="66">
        <f t="shared" si="4"/>
        <v>18</v>
      </c>
      <c r="D45" s="47">
        <v>18</v>
      </c>
      <c r="E45" s="34">
        <v>1</v>
      </c>
      <c r="F45" s="2">
        <v>0</v>
      </c>
      <c r="G45" s="75">
        <f t="shared" si="5"/>
        <v>1</v>
      </c>
      <c r="H45" s="34">
        <v>3</v>
      </c>
      <c r="I45" s="2">
        <v>2</v>
      </c>
      <c r="J45" s="75">
        <f t="shared" si="6"/>
        <v>0.6</v>
      </c>
      <c r="K45" s="34">
        <v>11</v>
      </c>
      <c r="L45" s="2">
        <v>10</v>
      </c>
      <c r="M45" s="75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47">
        <v>0</v>
      </c>
    </row>
    <row r="46" spans="1:34" ht="15.75" thickBot="1" x14ac:dyDescent="0.3">
      <c r="A46" s="2" t="s">
        <v>55</v>
      </c>
      <c r="B46" s="38">
        <v>6</v>
      </c>
      <c r="C46" s="67">
        <f t="shared" si="4"/>
        <v>6</v>
      </c>
      <c r="D46" s="40">
        <v>6</v>
      </c>
      <c r="E46" s="38">
        <v>0</v>
      </c>
      <c r="F46" s="48">
        <v>1</v>
      </c>
      <c r="G46" s="76">
        <f t="shared" si="5"/>
        <v>0</v>
      </c>
      <c r="H46" s="38">
        <v>0</v>
      </c>
      <c r="I46" s="48">
        <v>3</v>
      </c>
      <c r="J46" s="76">
        <f t="shared" si="6"/>
        <v>0</v>
      </c>
      <c r="K46" s="38">
        <v>4</v>
      </c>
      <c r="L46" s="48">
        <v>9</v>
      </c>
      <c r="M46" s="76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8">
        <v>0</v>
      </c>
      <c r="AH46" s="49">
        <v>0</v>
      </c>
    </row>
  </sheetData>
  <autoFilter ref="A1:AH46" xr:uid="{DA548192-1F03-46EA-8AB8-115EB9A7CE5D}">
    <sortState xmlns:xlrd2="http://schemas.microsoft.com/office/spreadsheetml/2017/richdata2" ref="A2:AH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dimension ref="A1:AH6"/>
  <sheetViews>
    <sheetView workbookViewId="0">
      <selection activeCell="K2" sqref="K2"/>
    </sheetView>
  </sheetViews>
  <sheetFormatPr defaultRowHeight="15" x14ac:dyDescent="0.25"/>
  <cols>
    <col min="1" max="1" width="10.140625" bestFit="1" customWidth="1"/>
    <col min="3" max="3" width="10.7109375" bestFit="1" customWidth="1"/>
  </cols>
  <sheetData>
    <row r="1" spans="1:34" x14ac:dyDescent="0.25">
      <c r="A1" s="85" t="s">
        <v>126</v>
      </c>
      <c r="B1" s="85" t="s">
        <v>0</v>
      </c>
      <c r="C1" s="85" t="s">
        <v>7</v>
      </c>
      <c r="D1" s="85" t="s">
        <v>127</v>
      </c>
      <c r="E1" s="85" t="s">
        <v>128</v>
      </c>
      <c r="F1" s="85" t="s">
        <v>129</v>
      </c>
      <c r="G1" s="85" t="s">
        <v>130</v>
      </c>
      <c r="H1" s="85" t="s">
        <v>131</v>
      </c>
      <c r="I1" s="85" t="s">
        <v>121</v>
      </c>
      <c r="J1" s="85" t="s">
        <v>122</v>
      </c>
      <c r="K1" s="85" t="s">
        <v>134</v>
      </c>
      <c r="L1" s="85" t="s">
        <v>132</v>
      </c>
      <c r="M1" s="85" t="s">
        <v>133</v>
      </c>
      <c r="N1" s="83"/>
      <c r="O1" s="84"/>
      <c r="P1" s="84"/>
      <c r="Q1" s="84"/>
      <c r="R1" s="2"/>
      <c r="S1" s="2"/>
      <c r="T1" s="84"/>
      <c r="U1" s="2"/>
      <c r="V1" s="84"/>
      <c r="W1" s="2"/>
      <c r="X1" s="84"/>
      <c r="Y1" s="84"/>
      <c r="Z1" s="2"/>
      <c r="AA1" s="84"/>
      <c r="AB1" s="2"/>
      <c r="AC1" s="2"/>
      <c r="AD1" s="84"/>
      <c r="AE1" s="84"/>
      <c r="AF1" s="84"/>
      <c r="AG1" s="2"/>
      <c r="AH1" s="2"/>
    </row>
    <row r="2" spans="1:34" x14ac:dyDescent="0.25">
      <c r="A2" s="86">
        <v>46068</v>
      </c>
      <c r="B2" s="85" t="s">
        <v>27</v>
      </c>
      <c r="C2" s="85">
        <v>42</v>
      </c>
      <c r="D2" s="85">
        <v>1</v>
      </c>
      <c r="E2" s="85">
        <v>3</v>
      </c>
      <c r="F2" s="85">
        <v>2</v>
      </c>
      <c r="G2" s="85">
        <v>18</v>
      </c>
      <c r="H2" s="85">
        <v>12</v>
      </c>
      <c r="I2" s="87">
        <v>0.67</v>
      </c>
      <c r="J2" s="87">
        <v>0.67</v>
      </c>
      <c r="K2">
        <f>AVERAGEIFS($C$2:C2, $B$2:B2, B2)</f>
        <v>42</v>
      </c>
      <c r="L2">
        <f>AVERAGEIFS($I$2:I2, $B$2:B2, B2)</f>
        <v>0.67</v>
      </c>
      <c r="M2">
        <f>AVERAGEIFS($I$2:J2, $B$2:C2, C2)</f>
        <v>0.67</v>
      </c>
    </row>
    <row r="3" spans="1:34" x14ac:dyDescent="0.25">
      <c r="A3" s="86">
        <v>46073</v>
      </c>
      <c r="B3" s="85" t="s">
        <v>27</v>
      </c>
      <c r="C3" s="85">
        <v>30</v>
      </c>
      <c r="D3" s="85">
        <v>0</v>
      </c>
      <c r="E3" s="85">
        <v>3</v>
      </c>
      <c r="F3" s="85">
        <v>1</v>
      </c>
      <c r="G3" s="85">
        <v>18</v>
      </c>
      <c r="H3" s="85">
        <v>9</v>
      </c>
      <c r="I3" s="87">
        <v>0.33</v>
      </c>
      <c r="J3" s="87">
        <v>0.5</v>
      </c>
      <c r="K3">
        <f>AVERAGEIFS($C$2:C3, $B$2:B3, B3)</f>
        <v>36</v>
      </c>
      <c r="L3">
        <f>AVERAGEIFS($I$2:I3, $B$2:B3, B3)</f>
        <v>0.5</v>
      </c>
      <c r="M3">
        <f>AVERAGEIFS($I$2:J3, $B$2:C3, C3)</f>
        <v>0.5</v>
      </c>
    </row>
    <row r="4" spans="1:34" x14ac:dyDescent="0.25">
      <c r="A4" s="86">
        <v>46078</v>
      </c>
      <c r="B4" s="85" t="s">
        <v>27</v>
      </c>
      <c r="C4" s="85">
        <v>55</v>
      </c>
      <c r="D4" s="85">
        <v>1</v>
      </c>
      <c r="E4" s="85">
        <v>3</v>
      </c>
      <c r="F4" s="85">
        <v>3</v>
      </c>
      <c r="G4" s="85">
        <v>18</v>
      </c>
      <c r="H4" s="85">
        <v>15</v>
      </c>
      <c r="I4" s="87">
        <v>1</v>
      </c>
      <c r="J4" s="87">
        <v>0.83</v>
      </c>
      <c r="K4">
        <f>AVERAGEIFS($C$2:C4, $B$2:B4, B4)</f>
        <v>42.333333333333336</v>
      </c>
      <c r="L4">
        <f>AVERAGEIFS($I$2:I4, $B$2:B4, B4)</f>
        <v>0.66666666666666663</v>
      </c>
      <c r="M4">
        <f>AVERAGEIFS($I$2:J4, $B$2:C4, C4)</f>
        <v>0.83</v>
      </c>
    </row>
    <row r="5" spans="1:34" x14ac:dyDescent="0.25">
      <c r="A5" s="86">
        <v>46082</v>
      </c>
      <c r="B5" s="85" t="s">
        <v>27</v>
      </c>
      <c r="C5" s="85">
        <v>38</v>
      </c>
      <c r="D5" s="85">
        <v>1</v>
      </c>
      <c r="E5" s="85">
        <v>3</v>
      </c>
      <c r="F5" s="85">
        <v>2</v>
      </c>
      <c r="G5" s="85">
        <v>18</v>
      </c>
      <c r="H5" s="85">
        <v>11</v>
      </c>
      <c r="I5" s="87">
        <v>0.67</v>
      </c>
      <c r="J5" s="87">
        <v>0.61</v>
      </c>
      <c r="K5">
        <f>AVERAGEIFS($C$2:C5, $B$2:B5, B5)</f>
        <v>41.25</v>
      </c>
      <c r="L5">
        <f>AVERAGEIFS($I$2:I5, $B$2:B5, B5)</f>
        <v>0.66749999999999998</v>
      </c>
      <c r="M5">
        <f>AVERAGEIFS($I$2:J5, $B$2:C5, C5)</f>
        <v>0.61</v>
      </c>
    </row>
    <row r="6" spans="1:34" x14ac:dyDescent="0.25">
      <c r="A6" s="86">
        <v>46084</v>
      </c>
      <c r="B6" s="85" t="s">
        <v>27</v>
      </c>
      <c r="C6" s="85">
        <v>10</v>
      </c>
      <c r="D6" s="85">
        <v>0</v>
      </c>
      <c r="E6" s="85">
        <v>4</v>
      </c>
      <c r="F6" s="85">
        <v>1</v>
      </c>
      <c r="G6" s="85">
        <v>14</v>
      </c>
      <c r="H6" s="85">
        <v>4</v>
      </c>
      <c r="I6">
        <f>F6/E6</f>
        <v>0.25</v>
      </c>
      <c r="J6" s="88">
        <f>H6/G6</f>
        <v>0.2857142857142857</v>
      </c>
      <c r="K6">
        <f>AVERAGEIFS($C$2:C6, $B$2:B6, B6)</f>
        <v>35</v>
      </c>
      <c r="L6">
        <f>AVERAGEIFS($I$2:I6, $B$2:B6, B6)</f>
        <v>0.58399999999999996</v>
      </c>
      <c r="M6">
        <f>AVERAGEIFS($I$2:J6, $B$2:C6, C6)</f>
        <v>0.2857142857142857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2" t="s">
        <v>7</v>
      </c>
      <c r="D1" s="93"/>
      <c r="E1" s="94"/>
      <c r="F1" s="92" t="s">
        <v>22</v>
      </c>
      <c r="G1" s="93"/>
      <c r="H1" s="94"/>
      <c r="I1" s="92" t="s">
        <v>16</v>
      </c>
      <c r="J1" s="93"/>
      <c r="K1" s="94"/>
      <c r="L1" s="92" t="s">
        <v>23</v>
      </c>
      <c r="M1" s="93"/>
      <c r="N1" s="94"/>
      <c r="O1" s="92" t="s">
        <v>64</v>
      </c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95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73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73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73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INDEX(BA!AH2:AH45,MATCH('Match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95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73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73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73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INDEX(BA!AH2:AH45,MATCH('Match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95"/>
      <c r="B5" s="7" t="s">
        <v>35</v>
      </c>
      <c r="C5" s="13">
        <f>INDEX(BA!B2:B45,MATCH('Match Analyzer BA'!$B$5,BA!$A$2:$A$45,0))</f>
        <v>214</v>
      </c>
      <c r="D5" s="59">
        <f>INDEX(BA!C2:C45,MATCH('Match Analyzer BA'!$B$5,BA!$A$2:$A$45,0))</f>
        <v>11.263157894736842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13</v>
      </c>
      <c r="H5" s="73">
        <f>INDEX(BA!G2:G45,MATCH('Match Analyzer BA'!$B$5,BA!$A$2:$A$45,0))</f>
        <v>0.31578947368421051</v>
      </c>
      <c r="I5" s="13">
        <f>INDEX(BA!H2:H45,MATCH('Match Analyzer BA'!$B$5,BA!$A$2:$A$45,0))</f>
        <v>33</v>
      </c>
      <c r="J5" s="26">
        <f>INDEX(BA!I2:I45,MATCH('Match Analyzer BA'!$B$5,BA!$A$2:$A$45,0))</f>
        <v>47</v>
      </c>
      <c r="K5" s="73">
        <f>INDEX(BA!J2:J45,MATCH('Match Analyzer BA'!$B$5,BA!$A$2:$A$45,0))</f>
        <v>0.41249999999999998</v>
      </c>
      <c r="L5" s="13">
        <f>INDEX(BA!K2:K45,MATCH('Match Analyzer BA'!$B$5,BA!$A$2:$A$45,0))</f>
        <v>157</v>
      </c>
      <c r="M5" s="26">
        <f>INDEX(BA!L2:L45,MATCH('Match Analyzer BA'!$B$5,BA!$A$2:$A$45,0))</f>
        <v>176</v>
      </c>
      <c r="N5" s="73">
        <f>INDEX(BA!M2:M45,MATCH('Match Analyzer BA'!$B$5,BA!$A$2:$A$45,0))</f>
        <v>0.47147147147147145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5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4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INDEX(BA!AH2:AH45,MATCH('Match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95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73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73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73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INDEX(BA!AH2:AH45,MATCH('Match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95"/>
      <c r="B7" s="7" t="s">
        <v>25</v>
      </c>
      <c r="C7" s="13">
        <f>INDEX(BA!B2:B45,MATCH('Match Analyzer BA'!$B$7,BA!$A$2:$A$45,0))</f>
        <v>34</v>
      </c>
      <c r="D7" s="59">
        <f>INDEX(BA!C2:C45,MATCH('Match Analyzer BA'!$B$7,BA!$A$2:$A$45,0))</f>
        <v>8.5</v>
      </c>
      <c r="E7" s="14">
        <f>INDEX(BA!D2:D45,MATCH('Match Analyzer BA'!$B$7,BA!$A$2:$A$45,0))</f>
        <v>12</v>
      </c>
      <c r="F7" s="13">
        <f>INDEX(BA!E2:E45,MATCH('Match Analyzer BA'!$B$7,BA!$A$2:$A$45,0))</f>
        <v>3</v>
      </c>
      <c r="G7" s="26">
        <f>INDEX(BA!F2:F45,MATCH('Match Analyzer BA'!$B$7,BA!$A$2:$A$45,0))</f>
        <v>1</v>
      </c>
      <c r="H7" s="73">
        <f>INDEX(BA!G2:G45,MATCH('Match Analyzer BA'!$B$7,BA!$A$2:$A$45,0))</f>
        <v>0.75</v>
      </c>
      <c r="I7" s="13">
        <f>INDEX(BA!H2:H45,MATCH('Match Analyzer BA'!$B$7,BA!$A$2:$A$45,0))</f>
        <v>10</v>
      </c>
      <c r="J7" s="26">
        <f>INDEX(BA!I2:I45,MATCH('Match Analyzer BA'!$B$7,BA!$A$2:$A$45,0))</f>
        <v>5</v>
      </c>
      <c r="K7" s="73">
        <f>INDEX(BA!J2:J45,MATCH('Match Analyzer BA'!$B$7,BA!$A$2:$A$45,0))</f>
        <v>0.66666666666666663</v>
      </c>
      <c r="L7" s="13">
        <f>INDEX(BA!K2:K45,MATCH('Match Analyzer BA'!$B$7,BA!$A$2:$A$45,0))</f>
        <v>36</v>
      </c>
      <c r="M7" s="26">
        <f>INDEX(BA!L2:L45,MATCH('Match Analyzer BA'!$B$7,BA!$A$2:$A$45,0))</f>
        <v>20</v>
      </c>
      <c r="N7" s="73">
        <f>INDEX(BA!M2:M45,MATCH('Match Analyzer BA'!$B$7,BA!$A$2:$A$45,0))</f>
        <v>0.6428571428571429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2</v>
      </c>
      <c r="S7" s="26">
        <f>INDEX(BA!T2:T45,MATCH('Match Analyzer BA'!$B$7,BA!$A$2:$A$45,0))</f>
        <v>1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2</v>
      </c>
      <c r="AD7" s="26">
        <f>INDEX(BA!Y2:Y45,MATCH('Match Analyzer BA'!$B$7,BA!$A$2:$A$45,0))</f>
        <v>0</v>
      </c>
      <c r="AE7" s="26">
        <f>INDEX(BA!AH2:AH45,MATCH('Match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95"/>
      <c r="B8" s="7" t="s">
        <v>27</v>
      </c>
      <c r="C8" s="13">
        <f>INDEX(BA!B2:B45,MATCH('Match Analyzer BA'!$B$8,BA!$A$2:$A$45,0))</f>
        <v>71</v>
      </c>
      <c r="D8" s="59">
        <f>INDEX(BA!C2:C45,MATCH('Match Analyzer BA'!$B$8,BA!$A$2:$A$45,0))</f>
        <v>14.2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3</v>
      </c>
      <c r="H8" s="73">
        <f>INDEX(BA!G2:G45,MATCH('Match Analyzer BA'!$B$8,BA!$A$2:$A$45,0))</f>
        <v>0.4</v>
      </c>
      <c r="I8" s="13">
        <f>INDEX(BA!H2:H45,MATCH('Match Analyzer BA'!$B$8,BA!$A$2:$A$45,0))</f>
        <v>11</v>
      </c>
      <c r="J8" s="26">
        <f>INDEX(BA!I2:I45,MATCH('Match Analyzer BA'!$B$8,BA!$A$2:$A$45,0))</f>
        <v>12</v>
      </c>
      <c r="K8" s="73">
        <f>INDEX(BA!J2:J45,MATCH('Match Analyzer BA'!$B$8,BA!$A$2:$A$45,0))</f>
        <v>0.47826086956521741</v>
      </c>
      <c r="L8" s="13">
        <f>INDEX(BA!K2:K45,MATCH('Match Analyzer BA'!$B$8,BA!$A$2:$A$45,0))</f>
        <v>43</v>
      </c>
      <c r="M8" s="26">
        <f>INDEX(BA!L2:L45,MATCH('Match Analyzer BA'!$B$8,BA!$A$2:$A$45,0))</f>
        <v>51</v>
      </c>
      <c r="N8" s="73">
        <f>INDEX(BA!M2:M45,MATCH('Match Analyzer BA'!$B$8,BA!$A$2:$A$45,0))</f>
        <v>0.45744680851063829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3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INDEX(BA!AH2:AH45,MATCH('Match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95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73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73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73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INDEX(BA!AH2:AH45,MATCH('Match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95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74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74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74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INDEX(BA!AH2:AH45,MATCH('Match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2" t="s">
        <v>7</v>
      </c>
      <c r="D15" s="93"/>
      <c r="E15" s="94"/>
      <c r="F15" s="92" t="s">
        <v>22</v>
      </c>
      <c r="G15" s="93"/>
      <c r="H15" s="94"/>
      <c r="I15" s="92" t="s">
        <v>16</v>
      </c>
      <c r="J15" s="93"/>
      <c r="K15" s="94"/>
      <c r="L15" s="92" t="s">
        <v>23</v>
      </c>
      <c r="M15" s="93"/>
      <c r="N15" s="94"/>
      <c r="O15" s="92" t="s">
        <v>64</v>
      </c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1" t="s">
        <v>77</v>
      </c>
      <c r="B17" s="7" t="s">
        <v>35</v>
      </c>
      <c r="C17" s="13">
        <f>INDEX(BA!B2:B45,MATCH('Match Analyzer BA'!$B$17,BA!$A$2:$A$45,0))</f>
        <v>214</v>
      </c>
      <c r="D17" s="59">
        <f>INDEX(BA!C2:C45,MATCH('Match Analyzer BA'!$B$17,BA!$A$2:$A$45,0))</f>
        <v>11.263157894736842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13</v>
      </c>
      <c r="H17" s="27">
        <f>INDEX(BA!G2:G45,MATCH('Match Analyzer BA'!$B$17,BA!$A$2:$A$45,0))</f>
        <v>0.31578947368421051</v>
      </c>
      <c r="I17" s="13">
        <f>INDEX(BA!H2:H45,MATCH('Match Analyzer BA'!$B$17,BA!$A$2:$A$45,0))</f>
        <v>33</v>
      </c>
      <c r="J17" s="26">
        <f>INDEX(BA!I2:I45,MATCH('Match Analyzer BA'!$B$17,BA!$A$2:$A$45,0))</f>
        <v>47</v>
      </c>
      <c r="K17" s="27">
        <f>INDEX(BA!J2:J45,MATCH('Match Analyzer BA'!$B$17,BA!$A$2:$A$45,0))</f>
        <v>0.41249999999999998</v>
      </c>
      <c r="L17" s="13">
        <f>INDEX(BA!K2:K45,MATCH('Match Analyzer BA'!$B$17,BA!$A$2:$A$45,0))</f>
        <v>157</v>
      </c>
      <c r="M17" s="26">
        <f>INDEX(BA!L2:L45,MATCH('Match Analyzer BA'!$B$17,BA!$A$2:$A$45,0))</f>
        <v>176</v>
      </c>
      <c r="N17" s="27">
        <f>INDEX(BA!M2:M45,MATCH('Match Analyzer BA'!$B$17,BA!$A$2:$A$45,0))</f>
        <v>0.47147147147147145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5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4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INDEX(BA!AH2:AH45,MATCH('Match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91"/>
      <c r="B18" s="7" t="s">
        <v>42</v>
      </c>
      <c r="C18" s="13">
        <f>INDEX(BA!B2:B45,MATCH('Match Analyzer BA'!$B$18,BA!$A$2:$A$45,0))</f>
        <v>233</v>
      </c>
      <c r="D18" s="59">
        <f>INDEX(BA!C2:C45,MATCH('Match Analyzer BA'!$B$18,BA!$A$2:$A$45,0))</f>
        <v>16.642857142857142</v>
      </c>
      <c r="E18" s="14">
        <f>INDEX(BA!D2:D45,MATCH('Match Analyzer BA'!$B$18,BA!$A$2:$A$45,0))</f>
        <v>31</v>
      </c>
      <c r="F18" s="13">
        <f>INDEX(BA!E2:E45,MATCH('Match Analyzer BA'!$B$18,BA!$A$2:$A$45,0))</f>
        <v>6</v>
      </c>
      <c r="G18" s="26">
        <f>INDEX(BA!F2:F45,MATCH('Match Analyzer BA'!$B$18,BA!$A$2:$A$45,0))</f>
        <v>8</v>
      </c>
      <c r="H18" s="27">
        <f>INDEX(BA!G2:G45,MATCH('Match Analyzer BA'!$B$18,BA!$A$2:$A$45,0))</f>
        <v>0.42857142857142855</v>
      </c>
      <c r="I18" s="13">
        <f>INDEX(BA!H2:H45,MATCH('Match Analyzer BA'!$B$18,BA!$A$2:$A$45,0))</f>
        <v>25</v>
      </c>
      <c r="J18" s="26">
        <f>INDEX(BA!I2:I45,MATCH('Match Analyzer BA'!$B$18,BA!$A$2:$A$45,0))</f>
        <v>33</v>
      </c>
      <c r="K18" s="27">
        <f>INDEX(BA!J2:J45,MATCH('Match Analyzer BA'!$B$18,BA!$A$2:$A$45,0))</f>
        <v>0.43103448275862066</v>
      </c>
      <c r="L18" s="13">
        <f>INDEX(BA!K2:K45,MATCH('Match Analyzer BA'!$B$18,BA!$A$2:$A$45,0))</f>
        <v>109</v>
      </c>
      <c r="M18" s="26">
        <f>INDEX(BA!L2:L45,MATCH('Match Analyzer BA'!$B$18,BA!$A$2:$A$45,0))</f>
        <v>128</v>
      </c>
      <c r="N18" s="27">
        <f>INDEX(BA!M2:M45,MATCH('Match Analyzer BA'!$B$18,BA!$A$2:$A$45,0))</f>
        <v>0.45991561181434598</v>
      </c>
      <c r="O18" s="13">
        <f>INDEX(BA!V2:V45,MATCH('Match Analyzer BA'!$B$18,BA!$A$2:$A$45,0))</f>
        <v>0</v>
      </c>
      <c r="P18" s="26">
        <f>INDEX(BA!Q2:Q45,MATCH('Match Analyzer BA'!$B$18,BA!$A$2:$A$45,0))</f>
        <v>2</v>
      </c>
      <c r="Q18" s="26">
        <f>INDEX(BA!U2:U45,MATCH('Match Analyzer BA'!$B$18,BA!$A$2:$A$45,0))</f>
        <v>1</v>
      </c>
      <c r="R18" s="26">
        <f>INDEX(BA!AB2:AB45,MATCH('Match Analyzer BA'!$B$18,BA!$A$2:$A$45,0))</f>
        <v>4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2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1</v>
      </c>
      <c r="Z18" s="26">
        <f>INDEX(BA!O2:O45,MATCH('Match Analyzer BA'!$B$18,BA!$A$2:$A$45,0))</f>
        <v>5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INDEX(BA!AH2:AH45,MATCH('Match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91"/>
      <c r="B19" s="7" t="s">
        <v>52</v>
      </c>
      <c r="C19" s="13">
        <f>INDEX(BA!B2:B45,MATCH('Match Analyzer BA'!$B$19,BA!$A$2:$A$45,0))</f>
        <v>98</v>
      </c>
      <c r="D19" s="59">
        <f>INDEX(BA!C2:C45,MATCH('Match Analyzer BA'!$B$19,BA!$A$2:$A$45,0))</f>
        <v>12.25</v>
      </c>
      <c r="E19" s="14">
        <f>INDEX(BA!D2:D45,MATCH('Match Analyzer BA'!$B$19,BA!$A$2:$A$45,0))</f>
        <v>19</v>
      </c>
      <c r="F19" s="13">
        <f>INDEX(BA!E2:E45,MATCH('Match Analyzer BA'!$B$19,BA!$A$2:$A$45,0))</f>
        <v>2</v>
      </c>
      <c r="G19" s="26">
        <f>INDEX(BA!F2:F45,MATCH('Match Analyzer BA'!$B$19,BA!$A$2:$A$45,0))</f>
        <v>6</v>
      </c>
      <c r="H19" s="27">
        <f>INDEX(BA!G2:G45,MATCH('Match Analyzer BA'!$B$19,BA!$A$2:$A$45,0))</f>
        <v>0.25</v>
      </c>
      <c r="I19" s="13">
        <f>INDEX(BA!H2:H45,MATCH('Match Analyzer BA'!$B$19,BA!$A$2:$A$45,0))</f>
        <v>14</v>
      </c>
      <c r="J19" s="26">
        <f>INDEX(BA!I2:I45,MATCH('Match Analyzer BA'!$B$19,BA!$A$2:$A$45,0))</f>
        <v>21</v>
      </c>
      <c r="K19" s="27">
        <f>INDEX(BA!J2:J45,MATCH('Match Analyzer BA'!$B$19,BA!$A$2:$A$45,0))</f>
        <v>0.4</v>
      </c>
      <c r="L19" s="13">
        <f>INDEX(BA!K2:K45,MATCH('Match Analyzer BA'!$B$19,BA!$A$2:$A$45,0))</f>
        <v>60</v>
      </c>
      <c r="M19" s="26">
        <f>INDEX(BA!L2:L45,MATCH('Match Analyzer BA'!$B$19,BA!$A$2:$A$45,0))</f>
        <v>79</v>
      </c>
      <c r="N19" s="27">
        <f>INDEX(BA!M2:M45,MATCH('Match Analyzer BA'!$B$19,BA!$A$2:$A$45,0))</f>
        <v>0.43165467625899279</v>
      </c>
      <c r="O19" s="13">
        <f>INDEX(BA!V2:V45,MATCH('Match Analyzer BA'!$B$19,BA!$A$2:$A$45,0))</f>
        <v>0</v>
      </c>
      <c r="P19" s="26">
        <f>INDEX(BA!Q2:Q45,MATCH('Match Analyzer BA'!$B$19,BA!$A$2:$A$45,0))</f>
        <v>1</v>
      </c>
      <c r="Q19" s="26">
        <f>INDEX(BA!U2:U45,MATCH('Match Analyzer BA'!$B$19,BA!$A$2:$A$45,0))</f>
        <v>0</v>
      </c>
      <c r="R19" s="26">
        <f>INDEX(BA!AB2:AB45,MATCH('Match Analyzer BA'!$B$19,BA!$A$2:$A$45,0))</f>
        <v>2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1</v>
      </c>
      <c r="W19" s="26">
        <f>INDEX(BA!P2:P45,MATCH('Match Analyzer BA'!$B$19,BA!$A$2:$A$45,0))</f>
        <v>0</v>
      </c>
      <c r="X19" s="26">
        <f>INDEX(BA!AE2:AE45,MATCH('Match Analyzer BA'!$B$19,BA!$A$2:$A$45,0))</f>
        <v>2</v>
      </c>
      <c r="Y19" s="26">
        <f>INDEX(BA!W2:W45,MATCH('Match Analyzer BA'!$B$19,BA!$A$2:$A$45,0))</f>
        <v>3</v>
      </c>
      <c r="Z19" s="26">
        <f>INDEX(BA!O2:O45,MATCH('Match Analyzer BA'!$B$19,BA!$A$2:$A$45,0))</f>
        <v>2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INDEX(BA!AH2:AH45,MATCH('Match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91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INDEX(BA!AH2:AH45,MATCH('Match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91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INDEX(BA!AH2:AH45,MATCH('Match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91"/>
      <c r="B22" s="7" t="s">
        <v>14</v>
      </c>
      <c r="C22" s="13">
        <f>INDEX(BA!B2:B45,MATCH('Match Analyzer BA'!$B$22,BA!$A$2:$A$45,0))</f>
        <v>183</v>
      </c>
      <c r="D22" s="59">
        <f>INDEX(BA!C2:C45,MATCH('Match Analyzer BA'!$B$22,BA!$A$2:$A$45,0))</f>
        <v>16.636363636363637</v>
      </c>
      <c r="E22" s="14">
        <f>INDEX(BA!D2:D45,MATCH('Match Analyzer BA'!$B$22,BA!$A$2:$A$45,0))</f>
        <v>25</v>
      </c>
      <c r="F22" s="13">
        <f>INDEX(BA!E2:E45,MATCH('Match Analyzer BA'!$B$22,BA!$A$2:$A$45,0))</f>
        <v>5</v>
      </c>
      <c r="G22" s="26">
        <f>INDEX(BA!F2:F45,MATCH('Match Analyzer BA'!$B$22,BA!$A$2:$A$45,0))</f>
        <v>6</v>
      </c>
      <c r="H22" s="27">
        <f>INDEX(BA!G2:G45,MATCH('Match Analyzer BA'!$B$22,BA!$A$2:$A$45,0))</f>
        <v>0.45454545454545453</v>
      </c>
      <c r="I22" s="13">
        <f>INDEX(BA!H2:H45,MATCH('Match Analyzer BA'!$B$22,BA!$A$2:$A$45,0))</f>
        <v>22</v>
      </c>
      <c r="J22" s="26">
        <f>INDEX(BA!I2:I45,MATCH('Match Analyzer BA'!$B$22,BA!$A$2:$A$45,0))</f>
        <v>26</v>
      </c>
      <c r="K22" s="27">
        <f>INDEX(BA!J2:J45,MATCH('Match Analyzer BA'!$B$22,BA!$A$2:$A$45,0))</f>
        <v>0.45833333333333331</v>
      </c>
      <c r="L22" s="13">
        <f>INDEX(BA!K2:K45,MATCH('Match Analyzer BA'!$B$22,BA!$A$2:$A$45,0))</f>
        <v>94</v>
      </c>
      <c r="M22" s="26">
        <f>INDEX(BA!L2:L45,MATCH('Match Analyzer BA'!$B$22,BA!$A$2:$A$45,0))</f>
        <v>96</v>
      </c>
      <c r="N22" s="27">
        <f>INDEX(BA!M2:M45,MATCH('Match Analyzer BA'!$B$22,BA!$A$2:$A$45,0))</f>
        <v>0.49473684210526314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5</v>
      </c>
      <c r="S22" s="26">
        <f>INDEX(BA!T2:T45,MATCH('Match Analyzer BA'!$B$22,BA!$A$2:$A$45,0))</f>
        <v>2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1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1</v>
      </c>
      <c r="AD22" s="26">
        <f>INDEX(BA!Y2:Y45,MATCH('Match Analyzer BA'!$B$22,BA!$A$2:$A$45,0))</f>
        <v>2</v>
      </c>
      <c r="AE22" s="26">
        <f>INDEX(BA!AH2:AH45,MATCH('Match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91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INDEX(BA!AH2:AH45,MATCH('Match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91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BA!$A$2:$A$45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BA!$A$2:$A$45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Old Bow</vt:lpstr>
      <vt:lpstr>Old Bow comments</vt:lpstr>
      <vt:lpstr>Match Analyzer Old Bow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2026-03-07T15:51:30Z</dcterms:modified>
</cp:coreProperties>
</file>