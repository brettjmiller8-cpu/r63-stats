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AFBBEC14-0600-4998-A9ED-6FB5D3CB39CE}" xr6:coauthVersionLast="47" xr6:coauthVersionMax="47" xr10:uidLastSave="{00000000-0000-0000-0000-000000000000}"/>
  <bookViews>
    <workbookView xWindow="-28920" yWindow="-120" windowWidth="29040" windowHeight="15720" activeTab="13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Tourney Stats" sheetId="19" r:id="rId8"/>
    <sheet name="Tourney History" sheetId="18" r:id="rId9"/>
    <sheet name="BA v2" sheetId="12" r:id="rId10"/>
    <sheet name="BA" sheetId="3" state="hidden" r:id="rId11"/>
    <sheet name="BA History" sheetId="9" r:id="rId12"/>
    <sheet name="BA S2" sheetId="16" r:id="rId13"/>
    <sheet name="BA History S2" sheetId="17" r:id="rId14"/>
    <sheet name="Tourney History BA" sheetId="23" r:id="rId15"/>
    <sheet name="Tourney Stats BA" sheetId="24" r:id="rId16"/>
    <sheet name="Events" sheetId="20" r:id="rId17"/>
    <sheet name="TG OB" sheetId="22" r:id="rId18"/>
    <sheet name="BA comments" sheetId="6" state="hidden" r:id="rId19"/>
    <sheet name="Match Analyzer BA" sheetId="8" state="hidden" r:id="rId20"/>
  </sheets>
  <definedNames>
    <definedName name="_xlnm._FilterDatabase" localSheetId="10" hidden="1">BA!$A$1:$AH$47</definedName>
    <definedName name="_xlnm._FilterDatabase" localSheetId="11" hidden="1">'BA History'!$A$1:$AK$901</definedName>
    <definedName name="_xlnm._FilterDatabase" localSheetId="13" hidden="1">'BA History S2'!$A$1:$AK$339</definedName>
    <definedName name="_xlnm._FilterDatabase" localSheetId="12" hidden="1">'BA S2'!$A$1:$AN$45</definedName>
    <definedName name="_xlnm._FilterDatabase" localSheetId="9" hidden="1">'BA v2'!$A$1:$AO$62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2'!$A$1:$AI$53</definedName>
    <definedName name="_xlnm._FilterDatabase" localSheetId="4" hidden="1">'Old Bow'!$A$1:$AD$37</definedName>
    <definedName name="_xlnm._FilterDatabase" localSheetId="0" hidden="1">'Old Bow v2'!$A$1:$AJ$58</definedName>
    <definedName name="_xlnm._FilterDatabase" localSheetId="17" hidden="1">'TG OB'!$A$1:$E$1</definedName>
    <definedName name="_xlnm._FilterDatabase" localSheetId="8" hidden="1">'Tourney History'!$A$1:$AD$159</definedName>
    <definedName name="_xlnm._FilterDatabase" localSheetId="14" hidden="1">'Tourney History BA'!$A$1:$AK$159</definedName>
    <definedName name="_xlnm._FilterDatabase" localSheetId="7" hidden="1">'Tourney Stats'!$A$1:$AE$44</definedName>
    <definedName name="_xlnm._FilterDatabase" localSheetId="15" hidden="1">'Tourney Stats BA'!$A$1:$AL$1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669" i="17" l="1"/>
  <c r="AI669" i="17"/>
  <c r="AJ669" i="17"/>
  <c r="AK669" i="17"/>
  <c r="AH670" i="17"/>
  <c r="AI670" i="17"/>
  <c r="AJ670" i="17"/>
  <c r="AK670" i="17"/>
  <c r="AH671" i="17"/>
  <c r="AI671" i="17"/>
  <c r="AJ671" i="17"/>
  <c r="AK671" i="17"/>
  <c r="AH672" i="17"/>
  <c r="AI672" i="17"/>
  <c r="AJ672" i="17"/>
  <c r="AK672" i="17"/>
  <c r="AH673" i="17"/>
  <c r="AI673" i="17"/>
  <c r="AJ673" i="17"/>
  <c r="AK673" i="17"/>
  <c r="AH674" i="17"/>
  <c r="AI674" i="17"/>
  <c r="AJ674" i="17"/>
  <c r="AK674" i="17"/>
  <c r="AH675" i="17"/>
  <c r="AI675" i="17"/>
  <c r="AJ675" i="17"/>
  <c r="AK675" i="17"/>
  <c r="AH676" i="17"/>
  <c r="AI676" i="17"/>
  <c r="AJ676" i="17"/>
  <c r="AK676" i="17"/>
  <c r="AH677" i="17"/>
  <c r="AI677" i="17"/>
  <c r="AJ677" i="17"/>
  <c r="AK677" i="17"/>
  <c r="AH678" i="17"/>
  <c r="AI678" i="17"/>
  <c r="AJ678" i="17"/>
  <c r="AK678" i="17"/>
  <c r="AH679" i="17"/>
  <c r="AI679" i="17"/>
  <c r="AJ679" i="17"/>
  <c r="AK679" i="17"/>
  <c r="AH680" i="17"/>
  <c r="AI680" i="17"/>
  <c r="AJ680" i="17"/>
  <c r="AK680" i="17"/>
  <c r="AH681" i="17"/>
  <c r="AI681" i="17"/>
  <c r="AJ681" i="17"/>
  <c r="AK681" i="17"/>
  <c r="AH682" i="17"/>
  <c r="AI682" i="17"/>
  <c r="AJ682" i="17"/>
  <c r="AK682" i="17"/>
  <c r="AH1373" i="9"/>
  <c r="AI1373" i="9"/>
  <c r="AJ1373" i="9"/>
  <c r="AK1373" i="9"/>
  <c r="AH1374" i="9"/>
  <c r="AI1374" i="9"/>
  <c r="AJ1374" i="9"/>
  <c r="AK1374" i="9"/>
  <c r="AH1375" i="9"/>
  <c r="AI1375" i="9"/>
  <c r="AJ1375" i="9"/>
  <c r="AK1375" i="9"/>
  <c r="AH1376" i="9"/>
  <c r="AI1376" i="9"/>
  <c r="AJ1376" i="9"/>
  <c r="AK1376" i="9"/>
  <c r="AH1377" i="9"/>
  <c r="AI1377" i="9"/>
  <c r="AJ1377" i="9"/>
  <c r="AK1377" i="9"/>
  <c r="AH1378" i="9"/>
  <c r="AI1378" i="9"/>
  <c r="AJ1378" i="9"/>
  <c r="AK1378" i="9"/>
  <c r="AH1379" i="9"/>
  <c r="AI1379" i="9"/>
  <c r="AJ1379" i="9"/>
  <c r="AK1379" i="9"/>
  <c r="AH1380" i="9"/>
  <c r="AI1380" i="9"/>
  <c r="AJ1380" i="9"/>
  <c r="AK1380" i="9"/>
  <c r="AH1381" i="9"/>
  <c r="AI1381" i="9"/>
  <c r="AJ1381" i="9"/>
  <c r="AK1381" i="9"/>
  <c r="AH1382" i="9"/>
  <c r="AI1382" i="9"/>
  <c r="AJ1382" i="9"/>
  <c r="AK1382" i="9"/>
  <c r="AH1383" i="9"/>
  <c r="AI1383" i="9"/>
  <c r="AJ1383" i="9"/>
  <c r="AK1383" i="9"/>
  <c r="AH1384" i="9"/>
  <c r="AI1384" i="9"/>
  <c r="AJ1384" i="9"/>
  <c r="AK1384" i="9"/>
  <c r="AH1385" i="9"/>
  <c r="AI1385" i="9"/>
  <c r="AJ1385" i="9"/>
  <c r="AK1385" i="9"/>
  <c r="AH1386" i="9"/>
  <c r="AI1386" i="9"/>
  <c r="AJ1386" i="9"/>
  <c r="AK1386" i="9"/>
  <c r="AA674" i="15"/>
  <c r="AB674" i="15"/>
  <c r="AC674" i="15"/>
  <c r="AD674" i="15"/>
  <c r="AA675" i="15"/>
  <c r="AB675" i="15"/>
  <c r="AC675" i="15"/>
  <c r="AD675" i="15"/>
  <c r="AA676" i="15"/>
  <c r="AB676" i="15"/>
  <c r="AC676" i="15"/>
  <c r="AD676" i="15"/>
  <c r="AA677" i="15"/>
  <c r="AB677" i="15"/>
  <c r="AC677" i="15"/>
  <c r="AD677" i="15"/>
  <c r="AA678" i="15"/>
  <c r="AB678" i="15"/>
  <c r="AC678" i="15"/>
  <c r="AD678" i="15"/>
  <c r="AA679" i="15"/>
  <c r="AB679" i="15"/>
  <c r="AC679" i="15"/>
  <c r="AD679" i="15"/>
  <c r="AA680" i="15"/>
  <c r="AB680" i="15"/>
  <c r="AC680" i="15"/>
  <c r="AD680" i="15"/>
  <c r="AA681" i="15"/>
  <c r="AB681" i="15"/>
  <c r="AC681" i="15"/>
  <c r="AD681" i="15"/>
  <c r="AA682" i="15"/>
  <c r="AB682" i="15"/>
  <c r="AC682" i="15"/>
  <c r="AD682" i="15"/>
  <c r="AA683" i="15"/>
  <c r="AB683" i="15"/>
  <c r="AC683" i="15"/>
  <c r="AD683" i="15"/>
  <c r="AA684" i="15"/>
  <c r="AB684" i="15"/>
  <c r="AC684" i="15"/>
  <c r="AD684" i="15"/>
  <c r="AA685" i="15"/>
  <c r="AB685" i="15"/>
  <c r="AC685" i="15"/>
  <c r="AD685" i="15"/>
  <c r="AA686" i="15"/>
  <c r="AB686" i="15"/>
  <c r="AC686" i="15"/>
  <c r="AD686" i="15"/>
  <c r="AA687" i="15"/>
  <c r="AB687" i="15"/>
  <c r="AC687" i="15"/>
  <c r="AD687" i="15"/>
  <c r="AA688" i="15"/>
  <c r="AB688" i="15"/>
  <c r="AC688" i="15"/>
  <c r="AD688" i="15"/>
  <c r="AA689" i="15"/>
  <c r="AB689" i="15"/>
  <c r="AC689" i="15"/>
  <c r="AD689" i="15"/>
  <c r="AA690" i="15"/>
  <c r="AB690" i="15"/>
  <c r="AC690" i="15"/>
  <c r="AD690" i="15"/>
  <c r="AA691" i="15"/>
  <c r="AB691" i="15"/>
  <c r="AC691" i="15"/>
  <c r="AD691" i="15"/>
  <c r="AA692" i="15"/>
  <c r="AB692" i="15"/>
  <c r="AC692" i="15"/>
  <c r="AD692" i="15"/>
  <c r="AA693" i="15"/>
  <c r="AB693" i="15"/>
  <c r="AC693" i="15"/>
  <c r="AD693" i="15"/>
  <c r="AA694" i="15"/>
  <c r="AB694" i="15"/>
  <c r="AC694" i="15"/>
  <c r="AD694" i="15"/>
  <c r="AA695" i="15"/>
  <c r="AB695" i="15"/>
  <c r="AC695" i="15"/>
  <c r="AD695" i="15"/>
  <c r="AA696" i="15"/>
  <c r="AB696" i="15"/>
  <c r="AC696" i="15"/>
  <c r="AD696" i="15"/>
  <c r="AA697" i="15"/>
  <c r="AB697" i="15"/>
  <c r="AC697" i="15"/>
  <c r="AD697" i="15"/>
  <c r="AA698" i="15"/>
  <c r="AB698" i="15"/>
  <c r="AC698" i="15"/>
  <c r="AD698" i="15"/>
  <c r="AA699" i="15"/>
  <c r="AB699" i="15"/>
  <c r="AC699" i="15"/>
  <c r="AD699" i="15"/>
  <c r="AA1174" i="10"/>
  <c r="AB1174" i="10"/>
  <c r="AC1174" i="10"/>
  <c r="AD1174" i="10"/>
  <c r="AA1175" i="10"/>
  <c r="AB1175" i="10"/>
  <c r="AC1175" i="10"/>
  <c r="AD1175" i="10"/>
  <c r="AA1176" i="10"/>
  <c r="AB1176" i="10"/>
  <c r="AC1176" i="10"/>
  <c r="AD1176" i="10"/>
  <c r="AA1177" i="10"/>
  <c r="AB1177" i="10"/>
  <c r="AC1177" i="10"/>
  <c r="AD1177" i="10"/>
  <c r="AA1178" i="10"/>
  <c r="AB1178" i="10"/>
  <c r="AC1178" i="10"/>
  <c r="AD1178" i="10"/>
  <c r="AA1179" i="10"/>
  <c r="AB1179" i="10"/>
  <c r="AC1179" i="10"/>
  <c r="AD1179" i="10"/>
  <c r="AA1180" i="10"/>
  <c r="AB1180" i="10"/>
  <c r="AC1180" i="10"/>
  <c r="AD1180" i="10"/>
  <c r="AA1181" i="10"/>
  <c r="AB1181" i="10"/>
  <c r="AC1181" i="10"/>
  <c r="AD1181" i="10"/>
  <c r="AA1182" i="10"/>
  <c r="AB1182" i="10"/>
  <c r="AC1182" i="10"/>
  <c r="AD1182" i="10"/>
  <c r="AA1183" i="10"/>
  <c r="AB1183" i="10"/>
  <c r="AC1183" i="10"/>
  <c r="AD1183" i="10"/>
  <c r="AA1184" i="10"/>
  <c r="AB1184" i="10"/>
  <c r="AC1184" i="10"/>
  <c r="AD1184" i="10"/>
  <c r="AA1185" i="10"/>
  <c r="AB1185" i="10"/>
  <c r="AC1185" i="10"/>
  <c r="AD1185" i="10"/>
  <c r="AA1186" i="10"/>
  <c r="AB1186" i="10"/>
  <c r="AC1186" i="10"/>
  <c r="AD1186" i="10"/>
  <c r="AA1187" i="10"/>
  <c r="AB1187" i="10"/>
  <c r="AC1187" i="10"/>
  <c r="AD1187" i="10"/>
  <c r="AA1162" i="10"/>
  <c r="AB1162" i="10"/>
  <c r="AC1162" i="10"/>
  <c r="AD1162" i="10"/>
  <c r="AA1163" i="10"/>
  <c r="AB1163" i="10"/>
  <c r="AC1163" i="10"/>
  <c r="AD1163" i="10"/>
  <c r="AA1164" i="10"/>
  <c r="AB1164" i="10"/>
  <c r="AC1164" i="10"/>
  <c r="AD1164" i="10"/>
  <c r="AA1165" i="10"/>
  <c r="AB1165" i="10"/>
  <c r="AC1165" i="10"/>
  <c r="AD1165" i="10"/>
  <c r="AA1166" i="10"/>
  <c r="AB1166" i="10"/>
  <c r="AC1166" i="10"/>
  <c r="AD1166" i="10"/>
  <c r="AA1167" i="10"/>
  <c r="AB1167" i="10"/>
  <c r="AC1167" i="10"/>
  <c r="AD1167" i="10"/>
  <c r="AA1168" i="10"/>
  <c r="AB1168" i="10"/>
  <c r="AC1168" i="10"/>
  <c r="AD1168" i="10"/>
  <c r="AA1169" i="10"/>
  <c r="AB1169" i="10"/>
  <c r="AC1169" i="10"/>
  <c r="AD1169" i="10"/>
  <c r="AA1170" i="10"/>
  <c r="AB1170" i="10"/>
  <c r="AC1170" i="10"/>
  <c r="AD1170" i="10"/>
  <c r="AA1171" i="10"/>
  <c r="AB1171" i="10"/>
  <c r="AC1171" i="10"/>
  <c r="AD1171" i="10"/>
  <c r="AA1172" i="10"/>
  <c r="AB1172" i="10"/>
  <c r="AC1172" i="10"/>
  <c r="AD1172" i="10"/>
  <c r="AA1173" i="10"/>
  <c r="AB1173" i="10"/>
  <c r="AC1173" i="10"/>
  <c r="AD1173" i="10"/>
  <c r="Q19" i="24"/>
  <c r="R19" i="24"/>
  <c r="S19" i="24"/>
  <c r="T19" i="24"/>
  <c r="U19" i="24"/>
  <c r="V19" i="24"/>
  <c r="W19" i="24"/>
  <c r="X19" i="24"/>
  <c r="Y19" i="24"/>
  <c r="Z19" i="24"/>
  <c r="AA19" i="24"/>
  <c r="AB19" i="24"/>
  <c r="AC19" i="24"/>
  <c r="AD19" i="24"/>
  <c r="AE19" i="24"/>
  <c r="AF19" i="24"/>
  <c r="AG19" i="24"/>
  <c r="AH19" i="24"/>
  <c r="AI19" i="24"/>
  <c r="AJ19" i="24"/>
  <c r="AK19" i="24"/>
  <c r="AL19" i="24"/>
  <c r="P19" i="24"/>
  <c r="Q17" i="24"/>
  <c r="R17" i="24"/>
  <c r="S17" i="24"/>
  <c r="T17" i="24"/>
  <c r="U17" i="24"/>
  <c r="V17" i="24"/>
  <c r="W17" i="24"/>
  <c r="X17" i="24"/>
  <c r="Y17" i="24"/>
  <c r="Z17" i="24"/>
  <c r="AA17" i="24"/>
  <c r="AB17" i="24"/>
  <c r="AC17" i="24"/>
  <c r="AD17" i="24"/>
  <c r="AE17" i="24"/>
  <c r="AF17" i="24"/>
  <c r="AG17" i="24"/>
  <c r="AH17" i="24"/>
  <c r="AI17" i="24"/>
  <c r="AJ17" i="24"/>
  <c r="AK17" i="24"/>
  <c r="AL17" i="24"/>
  <c r="P17" i="24"/>
  <c r="Q13" i="24"/>
  <c r="R13" i="24"/>
  <c r="S13" i="24"/>
  <c r="T13" i="24"/>
  <c r="U13" i="24"/>
  <c r="V13" i="24"/>
  <c r="W13" i="24"/>
  <c r="X13" i="24"/>
  <c r="Y13" i="24"/>
  <c r="Z13" i="24"/>
  <c r="AA13" i="24"/>
  <c r="AB13" i="24"/>
  <c r="AC13" i="24"/>
  <c r="AD13" i="24"/>
  <c r="AE13" i="24"/>
  <c r="AF13" i="24"/>
  <c r="AG13" i="24"/>
  <c r="AH13" i="24"/>
  <c r="AI13" i="24"/>
  <c r="AJ13" i="24"/>
  <c r="AK13" i="24"/>
  <c r="AL13" i="24"/>
  <c r="P13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P12" i="24"/>
  <c r="Q7" i="24"/>
  <c r="R7" i="24"/>
  <c r="S7" i="24"/>
  <c r="T7" i="24"/>
  <c r="U7" i="24"/>
  <c r="V7" i="24"/>
  <c r="W7" i="24"/>
  <c r="X7" i="24"/>
  <c r="Y7" i="24"/>
  <c r="Z7" i="24"/>
  <c r="AA7" i="24"/>
  <c r="AB7" i="24"/>
  <c r="AC7" i="24"/>
  <c r="AD7" i="24"/>
  <c r="AE7" i="24"/>
  <c r="AF7" i="24"/>
  <c r="AG7" i="24"/>
  <c r="AH7" i="24"/>
  <c r="AI7" i="24"/>
  <c r="AJ7" i="24"/>
  <c r="AK7" i="24"/>
  <c r="AL7" i="24"/>
  <c r="P7" i="24"/>
  <c r="Q3" i="24"/>
  <c r="R3" i="24"/>
  <c r="S3" i="24"/>
  <c r="T3" i="24"/>
  <c r="U3" i="24"/>
  <c r="V3" i="24"/>
  <c r="W3" i="24"/>
  <c r="X3" i="24"/>
  <c r="Y3" i="24"/>
  <c r="Z3" i="24"/>
  <c r="AA3" i="24"/>
  <c r="AB3" i="24"/>
  <c r="AC3" i="24"/>
  <c r="AD3" i="24"/>
  <c r="AE3" i="24"/>
  <c r="AF3" i="24"/>
  <c r="AG3" i="24"/>
  <c r="AH3" i="24"/>
  <c r="AI3" i="24"/>
  <c r="AJ3" i="24"/>
  <c r="AK3" i="24"/>
  <c r="AL3" i="24"/>
  <c r="P3" i="24"/>
  <c r="D7" i="24"/>
  <c r="E7" i="24"/>
  <c r="F7" i="24" a="1"/>
  <c r="F7" i="24" s="1"/>
  <c r="G7" i="24"/>
  <c r="H7" i="24"/>
  <c r="I7" i="24"/>
  <c r="J7" i="24"/>
  <c r="K7" i="24" s="1"/>
  <c r="L7" i="24"/>
  <c r="M7" i="24"/>
  <c r="N7" i="24"/>
  <c r="O7" i="24"/>
  <c r="D13" i="24"/>
  <c r="E13" i="24"/>
  <c r="F13" i="24" a="1"/>
  <c r="F13" i="24" s="1"/>
  <c r="G13" i="24"/>
  <c r="H13" i="24"/>
  <c r="I13" i="24"/>
  <c r="J13" i="24"/>
  <c r="K13" i="24" s="1"/>
  <c r="L13" i="24"/>
  <c r="M13" i="24"/>
  <c r="N13" i="24" s="1"/>
  <c r="O13" i="24"/>
  <c r="D12" i="24"/>
  <c r="E12" i="24"/>
  <c r="F12" i="24" a="1"/>
  <c r="F12" i="24" s="1"/>
  <c r="G12" i="24"/>
  <c r="H12" i="24"/>
  <c r="I12" i="24"/>
  <c r="J12" i="24"/>
  <c r="K12" i="24" s="1"/>
  <c r="L12" i="24"/>
  <c r="M12" i="24"/>
  <c r="N12" i="24" s="1"/>
  <c r="O12" i="24"/>
  <c r="D17" i="24"/>
  <c r="E17" i="24"/>
  <c r="F17" i="24" a="1"/>
  <c r="F17" i="24" s="1"/>
  <c r="G17" i="24"/>
  <c r="H17" i="24"/>
  <c r="I17" i="24"/>
  <c r="J17" i="24"/>
  <c r="K17" i="24" s="1"/>
  <c r="L17" i="24"/>
  <c r="M17" i="24"/>
  <c r="N17" i="24" s="1"/>
  <c r="O17" i="24"/>
  <c r="D18" i="24"/>
  <c r="E18" i="24"/>
  <c r="F18" i="24" a="1"/>
  <c r="F18" i="24" s="1"/>
  <c r="G18" i="24"/>
  <c r="H18" i="24"/>
  <c r="I18" i="24"/>
  <c r="J18" i="24"/>
  <c r="K18" i="24" s="1"/>
  <c r="L18" i="24"/>
  <c r="M18" i="24"/>
  <c r="N18" i="24" s="1"/>
  <c r="O18" i="24"/>
  <c r="D19" i="24"/>
  <c r="E19" i="24"/>
  <c r="F19" i="24" a="1"/>
  <c r="F19" i="24" s="1"/>
  <c r="G19" i="24"/>
  <c r="H19" i="24"/>
  <c r="I19" i="24"/>
  <c r="J19" i="24"/>
  <c r="K19" i="24"/>
  <c r="L19" i="24"/>
  <c r="M19" i="24"/>
  <c r="N19" i="24" s="1"/>
  <c r="O19" i="24"/>
  <c r="D3" i="24"/>
  <c r="E3" i="24"/>
  <c r="F3" i="24" a="1"/>
  <c r="F3" i="24" s="1"/>
  <c r="G3" i="24"/>
  <c r="H3" i="24"/>
  <c r="I3" i="24"/>
  <c r="J3" i="24"/>
  <c r="K3" i="24" s="1"/>
  <c r="L3" i="24"/>
  <c r="M3" i="24"/>
  <c r="N3" i="24" s="1"/>
  <c r="O3" i="24"/>
  <c r="Q15" i="24"/>
  <c r="R15" i="24"/>
  <c r="S15" i="24"/>
  <c r="T15" i="24"/>
  <c r="U15" i="24"/>
  <c r="V15" i="24"/>
  <c r="W15" i="24"/>
  <c r="X15" i="24"/>
  <c r="Y15" i="24"/>
  <c r="Z15" i="24"/>
  <c r="AA15" i="24"/>
  <c r="AB15" i="24"/>
  <c r="AC15" i="24"/>
  <c r="AD15" i="24"/>
  <c r="AE15" i="24"/>
  <c r="AF15" i="24"/>
  <c r="AG15" i="24"/>
  <c r="AH15" i="24"/>
  <c r="AI15" i="24"/>
  <c r="AJ15" i="24"/>
  <c r="AK15" i="24"/>
  <c r="AL15" i="24"/>
  <c r="P15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AH21" i="24"/>
  <c r="AI21" i="24"/>
  <c r="AJ21" i="24"/>
  <c r="AK21" i="24"/>
  <c r="AL21" i="24"/>
  <c r="P21" i="24"/>
  <c r="D21" i="24"/>
  <c r="E21" i="24"/>
  <c r="F21" i="24" a="1"/>
  <c r="F21" i="24" s="1"/>
  <c r="G21" i="24"/>
  <c r="H21" i="24"/>
  <c r="I21" i="24"/>
  <c r="J21" i="24"/>
  <c r="K21" i="24" s="1"/>
  <c r="L21" i="24"/>
  <c r="M21" i="24"/>
  <c r="N21" i="24" s="1"/>
  <c r="O21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AH22" i="24"/>
  <c r="AI22" i="24"/>
  <c r="AJ22" i="24"/>
  <c r="AK22" i="24"/>
  <c r="AL22" i="24"/>
  <c r="P22" i="24"/>
  <c r="D22" i="24"/>
  <c r="E22" i="24"/>
  <c r="F22" i="24" a="1"/>
  <c r="F22" i="24" s="1"/>
  <c r="G22" i="24"/>
  <c r="H22" i="24"/>
  <c r="I22" i="24"/>
  <c r="J22" i="24"/>
  <c r="K22" i="24" s="1"/>
  <c r="L22" i="24"/>
  <c r="M22" i="24"/>
  <c r="N22" i="24" s="1"/>
  <c r="O22" i="24"/>
  <c r="Q14" i="24"/>
  <c r="R14" i="24"/>
  <c r="S14" i="24"/>
  <c r="T14" i="24"/>
  <c r="U14" i="24"/>
  <c r="V14" i="24"/>
  <c r="W14" i="24"/>
  <c r="X14" i="24"/>
  <c r="Y14" i="24"/>
  <c r="Z14" i="24"/>
  <c r="AA14" i="24"/>
  <c r="AB14" i="24"/>
  <c r="AC14" i="24"/>
  <c r="AD14" i="24"/>
  <c r="AE14" i="24"/>
  <c r="AF14" i="24"/>
  <c r="AG14" i="24"/>
  <c r="AH14" i="24"/>
  <c r="AI14" i="24"/>
  <c r="AJ14" i="24"/>
  <c r="AK14" i="24"/>
  <c r="AL14" i="24"/>
  <c r="P14" i="24"/>
  <c r="D14" i="24"/>
  <c r="E14" i="24"/>
  <c r="F14" i="24" a="1"/>
  <c r="F14" i="24" s="1"/>
  <c r="G14" i="24"/>
  <c r="H14" i="24"/>
  <c r="I14" i="24"/>
  <c r="J14" i="24"/>
  <c r="K14" i="24" s="1"/>
  <c r="L14" i="24"/>
  <c r="M14" i="24"/>
  <c r="N14" i="24" s="1"/>
  <c r="O14" i="24"/>
  <c r="Q20" i="24"/>
  <c r="R20" i="24"/>
  <c r="S20" i="24"/>
  <c r="T20" i="24"/>
  <c r="U20" i="24"/>
  <c r="V20" i="24"/>
  <c r="W20" i="24"/>
  <c r="X20" i="24"/>
  <c r="Y20" i="24"/>
  <c r="Z20" i="24"/>
  <c r="AA20" i="24"/>
  <c r="AB20" i="24"/>
  <c r="AC20" i="24"/>
  <c r="AD20" i="24"/>
  <c r="AE20" i="24"/>
  <c r="AF20" i="24"/>
  <c r="AG20" i="24"/>
  <c r="AH20" i="24"/>
  <c r="AI20" i="24"/>
  <c r="AJ20" i="24"/>
  <c r="AK20" i="24"/>
  <c r="AL20" i="24"/>
  <c r="P20" i="24"/>
  <c r="D20" i="24"/>
  <c r="E20" i="24"/>
  <c r="F20" i="24" a="1"/>
  <c r="F20" i="24" s="1"/>
  <c r="G20" i="24"/>
  <c r="H20" i="24"/>
  <c r="I20" i="24"/>
  <c r="J20" i="24"/>
  <c r="K20" i="24" s="1"/>
  <c r="L20" i="24"/>
  <c r="M20" i="24"/>
  <c r="N20" i="24" s="1"/>
  <c r="O20" i="24"/>
  <c r="Q24" i="24"/>
  <c r="R24" i="24"/>
  <c r="S24" i="24"/>
  <c r="T24" i="24"/>
  <c r="U24" i="24"/>
  <c r="V24" i="24"/>
  <c r="W24" i="24"/>
  <c r="X24" i="24"/>
  <c r="Y24" i="24"/>
  <c r="Z24" i="24"/>
  <c r="AA24" i="24"/>
  <c r="AB24" i="24"/>
  <c r="AC24" i="24"/>
  <c r="AD24" i="24"/>
  <c r="AE24" i="24"/>
  <c r="AF24" i="24"/>
  <c r="AG24" i="24"/>
  <c r="AH24" i="24"/>
  <c r="AI24" i="24"/>
  <c r="AJ24" i="24"/>
  <c r="AK24" i="24"/>
  <c r="AL24" i="24"/>
  <c r="P24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 s="1"/>
  <c r="O24" i="24"/>
  <c r="AH14" i="23"/>
  <c r="AI14" i="23"/>
  <c r="AJ14" i="23"/>
  <c r="AK14" i="23"/>
  <c r="AH15" i="23"/>
  <c r="AI15" i="23"/>
  <c r="AJ15" i="23"/>
  <c r="AK15" i="23"/>
  <c r="AH16" i="23"/>
  <c r="AI16" i="23"/>
  <c r="AJ16" i="23"/>
  <c r="AK16" i="23"/>
  <c r="AH17" i="23"/>
  <c r="AI17" i="23"/>
  <c r="AJ17" i="23"/>
  <c r="AK17" i="23"/>
  <c r="AH18" i="23"/>
  <c r="AI18" i="23"/>
  <c r="AJ18" i="23"/>
  <c r="AK18" i="23"/>
  <c r="AH19" i="23"/>
  <c r="AI19" i="23"/>
  <c r="AJ19" i="23"/>
  <c r="AK19" i="23"/>
  <c r="AH20" i="23"/>
  <c r="AI20" i="23"/>
  <c r="AJ20" i="23"/>
  <c r="AK20" i="23"/>
  <c r="AH21" i="23"/>
  <c r="AI21" i="23"/>
  <c r="AJ21" i="23"/>
  <c r="AK21" i="23"/>
  <c r="AH22" i="23"/>
  <c r="AI22" i="23"/>
  <c r="AJ22" i="23"/>
  <c r="AK22" i="23"/>
  <c r="AH23" i="23"/>
  <c r="AI23" i="23"/>
  <c r="AJ23" i="23"/>
  <c r="AK23" i="23"/>
  <c r="AH24" i="23"/>
  <c r="AI24" i="23"/>
  <c r="AJ24" i="23"/>
  <c r="AK24" i="23"/>
  <c r="AH25" i="23"/>
  <c r="AI25" i="23"/>
  <c r="AJ25" i="23"/>
  <c r="AK25" i="23"/>
  <c r="AH1361" i="9"/>
  <c r="AI1361" i="9"/>
  <c r="AJ1361" i="9"/>
  <c r="AK1361" i="9"/>
  <c r="AH1362" i="9"/>
  <c r="AI1362" i="9"/>
  <c r="AJ1362" i="9"/>
  <c r="AK1362" i="9"/>
  <c r="AH1363" i="9"/>
  <c r="AI1363" i="9"/>
  <c r="AJ1363" i="9"/>
  <c r="AK1363" i="9"/>
  <c r="AH1364" i="9"/>
  <c r="AI1364" i="9"/>
  <c r="AJ1364" i="9"/>
  <c r="AK1364" i="9"/>
  <c r="AH1365" i="9"/>
  <c r="AI1365" i="9"/>
  <c r="AJ1365" i="9"/>
  <c r="AK1365" i="9"/>
  <c r="AH1366" i="9"/>
  <c r="AI1366" i="9"/>
  <c r="AJ1366" i="9"/>
  <c r="AK1366" i="9"/>
  <c r="AH1367" i="9"/>
  <c r="AI1367" i="9"/>
  <c r="AJ1367" i="9"/>
  <c r="AK1367" i="9"/>
  <c r="AH1368" i="9"/>
  <c r="AI1368" i="9"/>
  <c r="AJ1368" i="9"/>
  <c r="AK1368" i="9"/>
  <c r="AH1369" i="9"/>
  <c r="AI1369" i="9"/>
  <c r="AJ1369" i="9"/>
  <c r="AK1369" i="9"/>
  <c r="AH1370" i="9"/>
  <c r="AI1370" i="9"/>
  <c r="AJ1370" i="9"/>
  <c r="AK1370" i="9"/>
  <c r="AH1371" i="9"/>
  <c r="AI1371" i="9"/>
  <c r="AJ1371" i="9"/>
  <c r="AK1371" i="9"/>
  <c r="AH1372" i="9"/>
  <c r="AI1372" i="9"/>
  <c r="AJ1372" i="9"/>
  <c r="AK1372" i="9"/>
  <c r="AH657" i="17"/>
  <c r="AI657" i="17"/>
  <c r="AJ657" i="17"/>
  <c r="AK657" i="17"/>
  <c r="AH658" i="17"/>
  <c r="AI658" i="17"/>
  <c r="AJ658" i="17"/>
  <c r="AK658" i="17"/>
  <c r="AH659" i="17"/>
  <c r="AI659" i="17"/>
  <c r="AJ659" i="17"/>
  <c r="AK659" i="17"/>
  <c r="AH660" i="17"/>
  <c r="AI660" i="17"/>
  <c r="AJ660" i="17"/>
  <c r="AK660" i="17"/>
  <c r="AH661" i="17"/>
  <c r="AI661" i="17"/>
  <c r="AJ661" i="17"/>
  <c r="AK661" i="17"/>
  <c r="AH662" i="17"/>
  <c r="AI662" i="17"/>
  <c r="AJ662" i="17"/>
  <c r="AK662" i="17"/>
  <c r="AH663" i="17"/>
  <c r="AI663" i="17"/>
  <c r="AJ663" i="17"/>
  <c r="AK663" i="17"/>
  <c r="AH664" i="17"/>
  <c r="AI664" i="17"/>
  <c r="AJ664" i="17"/>
  <c r="AK664" i="17"/>
  <c r="AH665" i="17"/>
  <c r="AI665" i="17"/>
  <c r="AJ665" i="17"/>
  <c r="AK665" i="17"/>
  <c r="AH666" i="17"/>
  <c r="AI666" i="17"/>
  <c r="AJ666" i="17"/>
  <c r="AK666" i="17"/>
  <c r="AH667" i="17"/>
  <c r="AI667" i="17"/>
  <c r="AJ667" i="17"/>
  <c r="AK667" i="17"/>
  <c r="AH668" i="17"/>
  <c r="AI668" i="17"/>
  <c r="AJ668" i="17"/>
  <c r="AK668" i="17"/>
  <c r="AH645" i="17"/>
  <c r="AI645" i="17"/>
  <c r="AJ645" i="17"/>
  <c r="AK645" i="17"/>
  <c r="AH646" i="17"/>
  <c r="AI646" i="17"/>
  <c r="AJ646" i="17"/>
  <c r="AK646" i="17"/>
  <c r="AH647" i="17"/>
  <c r="AI647" i="17"/>
  <c r="AJ647" i="17"/>
  <c r="AK647" i="17"/>
  <c r="AH648" i="17"/>
  <c r="AI648" i="17"/>
  <c r="AJ648" i="17"/>
  <c r="AK648" i="17"/>
  <c r="AH649" i="17"/>
  <c r="AI649" i="17"/>
  <c r="AJ649" i="17"/>
  <c r="AK649" i="17"/>
  <c r="AH650" i="17"/>
  <c r="AI650" i="17"/>
  <c r="AJ650" i="17"/>
  <c r="AK650" i="17"/>
  <c r="AH651" i="17"/>
  <c r="AI651" i="17"/>
  <c r="AJ651" i="17"/>
  <c r="AK651" i="17"/>
  <c r="AH652" i="17"/>
  <c r="AI652" i="17"/>
  <c r="AJ652" i="17"/>
  <c r="AK652" i="17"/>
  <c r="AH653" i="17"/>
  <c r="AI653" i="17"/>
  <c r="AJ653" i="17"/>
  <c r="AK653" i="17"/>
  <c r="AH654" i="17"/>
  <c r="AI654" i="17"/>
  <c r="AJ654" i="17"/>
  <c r="AK654" i="17"/>
  <c r="AH655" i="17"/>
  <c r="AI655" i="17"/>
  <c r="AJ655" i="17"/>
  <c r="AK655" i="17"/>
  <c r="AH656" i="17"/>
  <c r="AI656" i="17"/>
  <c r="AJ656" i="17"/>
  <c r="AK656" i="17"/>
  <c r="AH1349" i="9"/>
  <c r="AI1349" i="9"/>
  <c r="AJ1349" i="9"/>
  <c r="AK1349" i="9"/>
  <c r="AH1350" i="9"/>
  <c r="AI1350" i="9"/>
  <c r="AJ1350" i="9"/>
  <c r="AK1350" i="9"/>
  <c r="AH1351" i="9"/>
  <c r="AI1351" i="9"/>
  <c r="AJ1351" i="9"/>
  <c r="AK1351" i="9"/>
  <c r="AH1352" i="9"/>
  <c r="AI1352" i="9"/>
  <c r="AJ1352" i="9"/>
  <c r="AK1352" i="9"/>
  <c r="AH1353" i="9"/>
  <c r="AI1353" i="9"/>
  <c r="AJ1353" i="9"/>
  <c r="AK1353" i="9"/>
  <c r="AH1354" i="9"/>
  <c r="AI1354" i="9"/>
  <c r="AJ1354" i="9"/>
  <c r="AK1354" i="9"/>
  <c r="AH1355" i="9"/>
  <c r="AI1355" i="9"/>
  <c r="AJ1355" i="9"/>
  <c r="AK1355" i="9"/>
  <c r="AH1356" i="9"/>
  <c r="AI1356" i="9"/>
  <c r="AJ1356" i="9"/>
  <c r="AK1356" i="9"/>
  <c r="AH1357" i="9"/>
  <c r="AI1357" i="9"/>
  <c r="AJ1357" i="9"/>
  <c r="AK1357" i="9"/>
  <c r="AH1358" i="9"/>
  <c r="AI1358" i="9"/>
  <c r="AJ1358" i="9"/>
  <c r="AK1358" i="9"/>
  <c r="AH1359" i="9"/>
  <c r="AI1359" i="9"/>
  <c r="AJ1359" i="9"/>
  <c r="AK1359" i="9"/>
  <c r="AH1360" i="9"/>
  <c r="AI1360" i="9"/>
  <c r="AJ1360" i="9"/>
  <c r="AK1360" i="9"/>
  <c r="AH629" i="17"/>
  <c r="AI629" i="17"/>
  <c r="AJ629" i="17"/>
  <c r="AK629" i="17"/>
  <c r="AH630" i="17"/>
  <c r="AI630" i="17"/>
  <c r="AJ630" i="17"/>
  <c r="AK630" i="17"/>
  <c r="AH631" i="17"/>
  <c r="AI631" i="17"/>
  <c r="AJ631" i="17"/>
  <c r="AK631" i="17"/>
  <c r="AH632" i="17"/>
  <c r="AI632" i="17"/>
  <c r="AJ632" i="17"/>
  <c r="AK632" i="17"/>
  <c r="AH633" i="17"/>
  <c r="AI633" i="17"/>
  <c r="AJ633" i="17"/>
  <c r="AK633" i="17"/>
  <c r="AH634" i="17"/>
  <c r="AI634" i="17"/>
  <c r="AJ634" i="17"/>
  <c r="AK634" i="17"/>
  <c r="AH635" i="17"/>
  <c r="AI635" i="17"/>
  <c r="AJ635" i="17"/>
  <c r="AK635" i="17"/>
  <c r="AH636" i="17"/>
  <c r="AI636" i="17"/>
  <c r="AJ636" i="17"/>
  <c r="AK636" i="17"/>
  <c r="AH637" i="17"/>
  <c r="AI637" i="17"/>
  <c r="AJ637" i="17"/>
  <c r="AK637" i="17"/>
  <c r="AH638" i="17"/>
  <c r="AI638" i="17"/>
  <c r="AJ638" i="17"/>
  <c r="AK638" i="17"/>
  <c r="AH639" i="17"/>
  <c r="AI639" i="17"/>
  <c r="AJ639" i="17"/>
  <c r="AK639" i="17"/>
  <c r="AH640" i="17"/>
  <c r="AI640" i="17"/>
  <c r="AJ640" i="17"/>
  <c r="AK640" i="17"/>
  <c r="AH641" i="17"/>
  <c r="AI641" i="17"/>
  <c r="AJ641" i="17"/>
  <c r="AK641" i="17"/>
  <c r="AH642" i="17"/>
  <c r="AI642" i="17"/>
  <c r="AJ642" i="17"/>
  <c r="AK642" i="17"/>
  <c r="AH643" i="17"/>
  <c r="AI643" i="17"/>
  <c r="AJ643" i="17"/>
  <c r="AK643" i="17"/>
  <c r="AH644" i="17"/>
  <c r="AI644" i="17"/>
  <c r="AJ644" i="17"/>
  <c r="AK644" i="17"/>
  <c r="AH1333" i="9"/>
  <c r="AI1333" i="9"/>
  <c r="AJ1333" i="9"/>
  <c r="AK1333" i="9"/>
  <c r="AH1334" i="9"/>
  <c r="AI1334" i="9"/>
  <c r="AJ1334" i="9"/>
  <c r="AK1334" i="9"/>
  <c r="AH1335" i="9"/>
  <c r="AI1335" i="9"/>
  <c r="AJ1335" i="9"/>
  <c r="AK1335" i="9"/>
  <c r="AH1336" i="9"/>
  <c r="AI1336" i="9"/>
  <c r="AJ1336" i="9"/>
  <c r="AK1336" i="9"/>
  <c r="AH1337" i="9"/>
  <c r="AI1337" i="9"/>
  <c r="AJ1337" i="9"/>
  <c r="AK1337" i="9"/>
  <c r="AH1338" i="9"/>
  <c r="AI1338" i="9"/>
  <c r="AJ1338" i="9"/>
  <c r="AK1338" i="9"/>
  <c r="AH1339" i="9"/>
  <c r="AI1339" i="9"/>
  <c r="AJ1339" i="9"/>
  <c r="AK1339" i="9"/>
  <c r="AH1340" i="9"/>
  <c r="AI1340" i="9"/>
  <c r="AJ1340" i="9"/>
  <c r="AK1340" i="9"/>
  <c r="AH1341" i="9"/>
  <c r="AI1341" i="9"/>
  <c r="AJ1341" i="9"/>
  <c r="AK1341" i="9"/>
  <c r="AH1342" i="9"/>
  <c r="AI1342" i="9"/>
  <c r="AJ1342" i="9"/>
  <c r="AK1342" i="9"/>
  <c r="AH1343" i="9"/>
  <c r="AI1343" i="9"/>
  <c r="AJ1343" i="9"/>
  <c r="AK1343" i="9"/>
  <c r="AH1344" i="9"/>
  <c r="AI1344" i="9"/>
  <c r="AJ1344" i="9"/>
  <c r="AK1344" i="9"/>
  <c r="AH1345" i="9"/>
  <c r="AI1345" i="9"/>
  <c r="AJ1345" i="9"/>
  <c r="AK1345" i="9"/>
  <c r="AH1346" i="9"/>
  <c r="AI1346" i="9"/>
  <c r="AJ1346" i="9"/>
  <c r="AK1346" i="9"/>
  <c r="AH1347" i="9"/>
  <c r="AI1347" i="9"/>
  <c r="AJ1347" i="9"/>
  <c r="AK1347" i="9"/>
  <c r="AH1348" i="9"/>
  <c r="AI1348" i="9"/>
  <c r="AJ1348" i="9"/>
  <c r="AK1348" i="9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T41" i="13"/>
  <c r="H41" i="13"/>
  <c r="I41" i="13"/>
  <c r="J41" i="13" a="1"/>
  <c r="J41" i="13" s="1"/>
  <c r="K41" i="13"/>
  <c r="L41" i="13"/>
  <c r="M41" i="13"/>
  <c r="N41" i="13"/>
  <c r="O41" i="13" s="1"/>
  <c r="P41" i="13"/>
  <c r="Q41" i="13"/>
  <c r="R41" i="13" s="1"/>
  <c r="S41" i="13"/>
  <c r="AA662" i="15"/>
  <c r="AB662" i="15"/>
  <c r="AC662" i="15"/>
  <c r="AD662" i="15"/>
  <c r="AA663" i="15"/>
  <c r="AB663" i="15"/>
  <c r="AC663" i="15"/>
  <c r="AD663" i="15"/>
  <c r="AA664" i="15"/>
  <c r="AB664" i="15"/>
  <c r="AC664" i="15"/>
  <c r="AD664" i="15"/>
  <c r="AA665" i="15"/>
  <c r="AB665" i="15"/>
  <c r="AC665" i="15"/>
  <c r="AD665" i="15"/>
  <c r="AA666" i="15"/>
  <c r="AB666" i="15"/>
  <c r="AC666" i="15"/>
  <c r="AD666" i="15"/>
  <c r="AA667" i="15"/>
  <c r="AB667" i="15"/>
  <c r="AC667" i="15"/>
  <c r="AD667" i="15"/>
  <c r="AA668" i="15"/>
  <c r="AB668" i="15"/>
  <c r="AC668" i="15"/>
  <c r="AD668" i="15"/>
  <c r="AA669" i="15"/>
  <c r="AB669" i="15"/>
  <c r="AC669" i="15"/>
  <c r="AD669" i="15"/>
  <c r="AA670" i="15"/>
  <c r="AB670" i="15"/>
  <c r="AC670" i="15"/>
  <c r="AD670" i="15"/>
  <c r="AA671" i="15"/>
  <c r="AB671" i="15"/>
  <c r="AC671" i="15"/>
  <c r="AD671" i="15"/>
  <c r="AA672" i="15"/>
  <c r="AB672" i="15"/>
  <c r="AC672" i="15"/>
  <c r="AD672" i="15"/>
  <c r="AA673" i="15"/>
  <c r="AB673" i="15"/>
  <c r="AC673" i="15"/>
  <c r="AD673" i="15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U44" i="11"/>
  <c r="H44" i="11"/>
  <c r="I44" i="11"/>
  <c r="J44" i="11" a="1"/>
  <c r="J44" i="11" s="1"/>
  <c r="K44" i="11" a="1"/>
  <c r="K44" i="11" s="1"/>
  <c r="L44" i="11"/>
  <c r="M44" i="11"/>
  <c r="N44" i="11"/>
  <c r="O44" i="11"/>
  <c r="P44" i="11" s="1"/>
  <c r="Q44" i="11"/>
  <c r="R44" i="11"/>
  <c r="S44" i="11" s="1"/>
  <c r="T44" i="11"/>
  <c r="AA1150" i="10"/>
  <c r="AB1150" i="10"/>
  <c r="AC1150" i="10"/>
  <c r="AD1150" i="10"/>
  <c r="AA1151" i="10"/>
  <c r="AB1151" i="10"/>
  <c r="AC1151" i="10"/>
  <c r="AD1151" i="10"/>
  <c r="AA1152" i="10"/>
  <c r="AB1152" i="10"/>
  <c r="AC1152" i="10"/>
  <c r="AD1152" i="10"/>
  <c r="AA1153" i="10"/>
  <c r="AB1153" i="10"/>
  <c r="AC1153" i="10"/>
  <c r="AD1153" i="10"/>
  <c r="AA1154" i="10"/>
  <c r="AB1154" i="10"/>
  <c r="AC1154" i="10"/>
  <c r="AD1154" i="10"/>
  <c r="AA1155" i="10"/>
  <c r="AB1155" i="10"/>
  <c r="AC1155" i="10"/>
  <c r="AD1155" i="10"/>
  <c r="AA1156" i="10"/>
  <c r="AB1156" i="10"/>
  <c r="AC1156" i="10"/>
  <c r="AD1156" i="10"/>
  <c r="AA1157" i="10"/>
  <c r="AB1157" i="10"/>
  <c r="AC1157" i="10"/>
  <c r="AD1157" i="10"/>
  <c r="AA1158" i="10"/>
  <c r="AB1158" i="10"/>
  <c r="AC1158" i="10"/>
  <c r="AD1158" i="10"/>
  <c r="AA1159" i="10"/>
  <c r="AB1159" i="10"/>
  <c r="AC1159" i="10"/>
  <c r="AD1159" i="10"/>
  <c r="AA1160" i="10"/>
  <c r="AB1160" i="10"/>
  <c r="AC1160" i="10"/>
  <c r="AD1160" i="10"/>
  <c r="AA1161" i="10"/>
  <c r="AB1161" i="10"/>
  <c r="AC1161" i="10"/>
  <c r="AD1161" i="10"/>
  <c r="AH615" i="17"/>
  <c r="AI615" i="17"/>
  <c r="AJ615" i="17"/>
  <c r="AK615" i="17"/>
  <c r="AH616" i="17"/>
  <c r="AI616" i="17"/>
  <c r="AJ616" i="17"/>
  <c r="AK616" i="17"/>
  <c r="AH617" i="17"/>
  <c r="AI617" i="17"/>
  <c r="AJ617" i="17"/>
  <c r="AK617" i="17"/>
  <c r="AH618" i="17"/>
  <c r="AI618" i="17"/>
  <c r="AJ618" i="17"/>
  <c r="AK618" i="17"/>
  <c r="AH619" i="17"/>
  <c r="AI619" i="17"/>
  <c r="AJ619" i="17"/>
  <c r="AK619" i="17"/>
  <c r="AH620" i="17"/>
  <c r="AI620" i="17"/>
  <c r="AJ620" i="17"/>
  <c r="AK620" i="17"/>
  <c r="AH621" i="17"/>
  <c r="AI621" i="17"/>
  <c r="AJ621" i="17"/>
  <c r="AK621" i="17"/>
  <c r="AH622" i="17"/>
  <c r="AI622" i="17"/>
  <c r="AJ622" i="17"/>
  <c r="AK622" i="17"/>
  <c r="AH623" i="17"/>
  <c r="AI623" i="17"/>
  <c r="AJ623" i="17"/>
  <c r="AK623" i="17"/>
  <c r="AH624" i="17"/>
  <c r="AI624" i="17"/>
  <c r="AJ624" i="17"/>
  <c r="AK624" i="17"/>
  <c r="AH625" i="17"/>
  <c r="AI625" i="17"/>
  <c r="AJ625" i="17"/>
  <c r="AK625" i="17"/>
  <c r="AH626" i="17"/>
  <c r="AI626" i="17"/>
  <c r="AJ626" i="17"/>
  <c r="AK626" i="17"/>
  <c r="AH627" i="17"/>
  <c r="AI627" i="17"/>
  <c r="AJ627" i="17"/>
  <c r="AK627" i="17"/>
  <c r="AH628" i="17"/>
  <c r="AI628" i="17"/>
  <c r="AJ628" i="17"/>
  <c r="AK628" i="17"/>
  <c r="AH1319" i="9"/>
  <c r="AI1319" i="9"/>
  <c r="AJ1319" i="9"/>
  <c r="AK1319" i="9"/>
  <c r="AH1320" i="9"/>
  <c r="AI1320" i="9"/>
  <c r="AJ1320" i="9"/>
  <c r="AK1320" i="9"/>
  <c r="AH1321" i="9"/>
  <c r="AI1321" i="9"/>
  <c r="AJ1321" i="9"/>
  <c r="AK1321" i="9"/>
  <c r="AH1322" i="9"/>
  <c r="AI1322" i="9"/>
  <c r="AJ1322" i="9"/>
  <c r="AK1322" i="9"/>
  <c r="AH1323" i="9"/>
  <c r="AI1323" i="9"/>
  <c r="AJ1323" i="9"/>
  <c r="AK1323" i="9"/>
  <c r="AH1324" i="9"/>
  <c r="AI1324" i="9"/>
  <c r="AJ1324" i="9"/>
  <c r="AK1324" i="9"/>
  <c r="AH1325" i="9"/>
  <c r="AI1325" i="9"/>
  <c r="AJ1325" i="9"/>
  <c r="AK1325" i="9"/>
  <c r="AH1326" i="9"/>
  <c r="AI1326" i="9"/>
  <c r="AJ1326" i="9"/>
  <c r="AK1326" i="9"/>
  <c r="AH1327" i="9"/>
  <c r="AI1327" i="9"/>
  <c r="AJ1327" i="9"/>
  <c r="AK1327" i="9"/>
  <c r="AH1328" i="9"/>
  <c r="AI1328" i="9"/>
  <c r="AJ1328" i="9"/>
  <c r="AK1328" i="9"/>
  <c r="AH1329" i="9"/>
  <c r="AI1329" i="9"/>
  <c r="AJ1329" i="9"/>
  <c r="AK1329" i="9"/>
  <c r="AH1330" i="9"/>
  <c r="AI1330" i="9"/>
  <c r="AJ1330" i="9"/>
  <c r="AK1330" i="9"/>
  <c r="AH1331" i="9"/>
  <c r="AI1331" i="9"/>
  <c r="AJ1331" i="9"/>
  <c r="AK1331" i="9"/>
  <c r="AH1332" i="9"/>
  <c r="AI1332" i="9"/>
  <c r="AJ1332" i="9"/>
  <c r="AK1332" i="9"/>
  <c r="Q25" i="24"/>
  <c r="R25" i="24"/>
  <c r="S25" i="24"/>
  <c r="T25" i="24"/>
  <c r="U25" i="24"/>
  <c r="V25" i="24"/>
  <c r="W25" i="24"/>
  <c r="X25" i="24"/>
  <c r="Y25" i="24"/>
  <c r="Z25" i="24"/>
  <c r="AA25" i="24"/>
  <c r="AB25" i="24"/>
  <c r="AC25" i="24"/>
  <c r="AD25" i="24"/>
  <c r="AE25" i="24"/>
  <c r="AF25" i="24"/>
  <c r="AG25" i="24"/>
  <c r="AH25" i="24"/>
  <c r="AI25" i="24"/>
  <c r="AJ25" i="24"/>
  <c r="AK25" i="24"/>
  <c r="AL25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AH23" i="24"/>
  <c r="AI23" i="24"/>
  <c r="AJ23" i="24"/>
  <c r="AK23" i="24"/>
  <c r="AL23" i="24"/>
  <c r="Q18" i="24"/>
  <c r="R18" i="24"/>
  <c r="S18" i="24"/>
  <c r="T18" i="24"/>
  <c r="U18" i="24"/>
  <c r="V18" i="24"/>
  <c r="W18" i="24"/>
  <c r="X18" i="24"/>
  <c r="Y18" i="24"/>
  <c r="Z18" i="24"/>
  <c r="AA18" i="24"/>
  <c r="AB18" i="24"/>
  <c r="AC18" i="24"/>
  <c r="AD18" i="24"/>
  <c r="AE18" i="24"/>
  <c r="AF18" i="24"/>
  <c r="AG18" i="24"/>
  <c r="AH18" i="24"/>
  <c r="AI18" i="24"/>
  <c r="AJ18" i="24"/>
  <c r="AK18" i="24"/>
  <c r="AL18" i="24"/>
  <c r="Q16" i="24"/>
  <c r="R16" i="24"/>
  <c r="S16" i="24"/>
  <c r="T16" i="24"/>
  <c r="U16" i="24"/>
  <c r="V16" i="24"/>
  <c r="W16" i="24"/>
  <c r="X16" i="24"/>
  <c r="Y16" i="24"/>
  <c r="Z16" i="24"/>
  <c r="AA16" i="24"/>
  <c r="AB16" i="24"/>
  <c r="AC16" i="24"/>
  <c r="AD16" i="24"/>
  <c r="AE16" i="24"/>
  <c r="AF16" i="24"/>
  <c r="AG16" i="24"/>
  <c r="AH16" i="24"/>
  <c r="AI16" i="24"/>
  <c r="AJ16" i="24"/>
  <c r="AK16" i="24"/>
  <c r="AL16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Q10" i="24"/>
  <c r="R10" i="24"/>
  <c r="S10" i="24"/>
  <c r="T10" i="24"/>
  <c r="U10" i="24"/>
  <c r="V10" i="24"/>
  <c r="W10" i="24"/>
  <c r="X10" i="24"/>
  <c r="Y10" i="24"/>
  <c r="Z10" i="24"/>
  <c r="AA10" i="24"/>
  <c r="AB10" i="24"/>
  <c r="AC10" i="24"/>
  <c r="AD10" i="24"/>
  <c r="AE10" i="24"/>
  <c r="AF10" i="24"/>
  <c r="AG10" i="24"/>
  <c r="AH10" i="24"/>
  <c r="AI10" i="24"/>
  <c r="AJ10" i="24"/>
  <c r="AK10" i="24"/>
  <c r="AL10" i="24"/>
  <c r="Q9" i="24"/>
  <c r="R9" i="24"/>
  <c r="S9" i="24"/>
  <c r="T9" i="24"/>
  <c r="U9" i="24"/>
  <c r="V9" i="24"/>
  <c r="W9" i="24"/>
  <c r="X9" i="24"/>
  <c r="Y9" i="24"/>
  <c r="Z9" i="24"/>
  <c r="AA9" i="24"/>
  <c r="AB9" i="24"/>
  <c r="AC9" i="24"/>
  <c r="AD9" i="24"/>
  <c r="AE9" i="24"/>
  <c r="AF9" i="24"/>
  <c r="AG9" i="24"/>
  <c r="AH9" i="24"/>
  <c r="AI9" i="24"/>
  <c r="AJ9" i="24"/>
  <c r="AK9" i="24"/>
  <c r="AL9" i="24"/>
  <c r="Q8" i="24"/>
  <c r="R8" i="24"/>
  <c r="S8" i="24"/>
  <c r="T8" i="24"/>
  <c r="U8" i="24"/>
  <c r="V8" i="24"/>
  <c r="W8" i="24"/>
  <c r="X8" i="24"/>
  <c r="Y8" i="24"/>
  <c r="Z8" i="24"/>
  <c r="AA8" i="24"/>
  <c r="AB8" i="24"/>
  <c r="AC8" i="24"/>
  <c r="AD8" i="24"/>
  <c r="AE8" i="24"/>
  <c r="AF8" i="24"/>
  <c r="AG8" i="24"/>
  <c r="AH8" i="24"/>
  <c r="AI8" i="24"/>
  <c r="AJ8" i="24"/>
  <c r="AK8" i="24"/>
  <c r="AL8" i="24"/>
  <c r="Q6" i="24"/>
  <c r="R6" i="24"/>
  <c r="S6" i="24"/>
  <c r="T6" i="24"/>
  <c r="U6" i="24"/>
  <c r="V6" i="24"/>
  <c r="W6" i="24"/>
  <c r="X6" i="24"/>
  <c r="Y6" i="24"/>
  <c r="Z6" i="24"/>
  <c r="AA6" i="24"/>
  <c r="AB6" i="24"/>
  <c r="AC6" i="24"/>
  <c r="AD6" i="24"/>
  <c r="AE6" i="24"/>
  <c r="AF6" i="24"/>
  <c r="AG6" i="24"/>
  <c r="AH6" i="24"/>
  <c r="AI6" i="24"/>
  <c r="AJ6" i="24"/>
  <c r="AK6" i="24"/>
  <c r="AL6" i="24"/>
  <c r="Q5" i="24"/>
  <c r="R5" i="24"/>
  <c r="S5" i="24"/>
  <c r="T5" i="24"/>
  <c r="U5" i="24"/>
  <c r="V5" i="24"/>
  <c r="W5" i="24"/>
  <c r="X5" i="24"/>
  <c r="Y5" i="24"/>
  <c r="Z5" i="24"/>
  <c r="AA5" i="24"/>
  <c r="AB5" i="24"/>
  <c r="AC5" i="24"/>
  <c r="AD5" i="24"/>
  <c r="AE5" i="24"/>
  <c r="AF5" i="24"/>
  <c r="AG5" i="24"/>
  <c r="AH5" i="24"/>
  <c r="AI5" i="24"/>
  <c r="AJ5" i="24"/>
  <c r="AK5" i="24"/>
  <c r="AL5" i="24"/>
  <c r="P25" i="24"/>
  <c r="P23" i="24"/>
  <c r="P18" i="24"/>
  <c r="P16" i="24"/>
  <c r="P11" i="24"/>
  <c r="P10" i="24"/>
  <c r="P9" i="24"/>
  <c r="P8" i="24"/>
  <c r="P4" i="24"/>
  <c r="P5" i="24"/>
  <c r="P6" i="24"/>
  <c r="Q4" i="24"/>
  <c r="R4" i="24"/>
  <c r="S4" i="24"/>
  <c r="T4" i="24"/>
  <c r="U4" i="24"/>
  <c r="V4" i="24"/>
  <c r="W4" i="24"/>
  <c r="X4" i="24"/>
  <c r="Y4" i="24"/>
  <c r="Z4" i="24"/>
  <c r="AA4" i="24"/>
  <c r="AB4" i="24"/>
  <c r="AC4" i="24"/>
  <c r="AD4" i="24"/>
  <c r="AE4" i="24"/>
  <c r="AF4" i="24"/>
  <c r="AG4" i="24"/>
  <c r="AH4" i="24"/>
  <c r="AI4" i="24"/>
  <c r="AJ4" i="24"/>
  <c r="AK4" i="24"/>
  <c r="AL4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P2" i="24"/>
  <c r="O4" i="24"/>
  <c r="O5" i="24"/>
  <c r="O6" i="24"/>
  <c r="O8" i="24"/>
  <c r="O9" i="24"/>
  <c r="O10" i="24"/>
  <c r="O11" i="24"/>
  <c r="O16" i="24"/>
  <c r="O23" i="24"/>
  <c r="O25" i="24"/>
  <c r="O2" i="24"/>
  <c r="M4" i="24"/>
  <c r="N4" i="24" s="1"/>
  <c r="M5" i="24"/>
  <c r="N5" i="24" s="1"/>
  <c r="M6" i="24"/>
  <c r="N6" i="24" s="1"/>
  <c r="M8" i="24"/>
  <c r="N8" i="24" s="1"/>
  <c r="M9" i="24"/>
  <c r="N9" i="24" s="1"/>
  <c r="M10" i="24"/>
  <c r="N10" i="24" s="1"/>
  <c r="M11" i="24"/>
  <c r="N11" i="24" s="1"/>
  <c r="M16" i="24"/>
  <c r="N16" i="24" s="1"/>
  <c r="M23" i="24"/>
  <c r="N23" i="24" s="1"/>
  <c r="M25" i="24"/>
  <c r="N25" i="24" s="1"/>
  <c r="M2" i="24"/>
  <c r="N2" i="24" s="1"/>
  <c r="L4" i="24"/>
  <c r="L5" i="24"/>
  <c r="L6" i="24"/>
  <c r="L8" i="24"/>
  <c r="L9" i="24"/>
  <c r="L10" i="24"/>
  <c r="L11" i="24"/>
  <c r="L16" i="24"/>
  <c r="L23" i="24"/>
  <c r="L25" i="24"/>
  <c r="L2" i="24"/>
  <c r="K16" i="24"/>
  <c r="J4" i="24"/>
  <c r="K4" i="24" s="1"/>
  <c r="J5" i="24"/>
  <c r="K5" i="24" s="1"/>
  <c r="J6" i="24"/>
  <c r="K6" i="24" s="1"/>
  <c r="J8" i="24"/>
  <c r="K8" i="24" s="1"/>
  <c r="J9" i="24"/>
  <c r="K9" i="24" s="1"/>
  <c r="J10" i="24"/>
  <c r="K10" i="24" s="1"/>
  <c r="J11" i="24"/>
  <c r="K11" i="24" s="1"/>
  <c r="J16" i="24"/>
  <c r="J23" i="24"/>
  <c r="K23" i="24" s="1"/>
  <c r="J25" i="24"/>
  <c r="K25" i="24" s="1"/>
  <c r="J2" i="24"/>
  <c r="K2" i="24" s="1"/>
  <c r="I4" i="24"/>
  <c r="I5" i="24"/>
  <c r="I6" i="24"/>
  <c r="I8" i="24"/>
  <c r="I9" i="24"/>
  <c r="I10" i="24"/>
  <c r="I11" i="24"/>
  <c r="I16" i="24"/>
  <c r="I23" i="24"/>
  <c r="I25" i="24"/>
  <c r="I2" i="24"/>
  <c r="H4" i="24"/>
  <c r="H5" i="24"/>
  <c r="H6" i="24"/>
  <c r="H8" i="24"/>
  <c r="H9" i="24"/>
  <c r="H10" i="24"/>
  <c r="H11" i="24"/>
  <c r="H16" i="24"/>
  <c r="H23" i="24"/>
  <c r="H25" i="24"/>
  <c r="H2" i="24"/>
  <c r="G4" i="24"/>
  <c r="G5" i="24"/>
  <c r="G6" i="24"/>
  <c r="G8" i="24"/>
  <c r="G9" i="24"/>
  <c r="G10" i="24"/>
  <c r="G11" i="24"/>
  <c r="G16" i="24"/>
  <c r="G23" i="24"/>
  <c r="G25" i="24"/>
  <c r="G2" i="24"/>
  <c r="F4" i="24" a="1"/>
  <c r="F4" i="24" s="1"/>
  <c r="F5" i="24" a="1"/>
  <c r="F5" i="24" s="1"/>
  <c r="F6" i="24" a="1"/>
  <c r="F6" i="24" s="1"/>
  <c r="F8" i="24" a="1"/>
  <c r="F8" i="24" s="1"/>
  <c r="F9" i="24" a="1"/>
  <c r="F9" i="24" s="1"/>
  <c r="F10" i="24" a="1"/>
  <c r="F10" i="24" s="1"/>
  <c r="F11" i="24" a="1"/>
  <c r="F11" i="24" s="1"/>
  <c r="F16" i="24" a="1"/>
  <c r="F16" i="24" s="1"/>
  <c r="F23" i="24" a="1"/>
  <c r="F23" i="24" s="1"/>
  <c r="F25" i="24" a="1"/>
  <c r="F25" i="24" s="1"/>
  <c r="F2" i="24" a="1"/>
  <c r="F2" i="24" s="1"/>
  <c r="E4" i="24"/>
  <c r="E5" i="24"/>
  <c r="E6" i="24"/>
  <c r="E8" i="24"/>
  <c r="E9" i="24"/>
  <c r="E10" i="24"/>
  <c r="E11" i="24"/>
  <c r="E16" i="24"/>
  <c r="E23" i="24"/>
  <c r="E25" i="24"/>
  <c r="E2" i="24"/>
  <c r="D4" i="24"/>
  <c r="D5" i="24"/>
  <c r="D6" i="24"/>
  <c r="D8" i="24"/>
  <c r="D9" i="24"/>
  <c r="D10" i="24"/>
  <c r="D11" i="24"/>
  <c r="D16" i="24"/>
  <c r="D23" i="24"/>
  <c r="D25" i="24"/>
  <c r="D2" i="24"/>
  <c r="AH3" i="23"/>
  <c r="AI3" i="23"/>
  <c r="AJ3" i="23"/>
  <c r="AK3" i="23"/>
  <c r="AH4" i="23"/>
  <c r="AI4" i="23"/>
  <c r="AJ4" i="23"/>
  <c r="AK4" i="23"/>
  <c r="AH5" i="23"/>
  <c r="AI5" i="23"/>
  <c r="AJ5" i="23"/>
  <c r="AK5" i="23"/>
  <c r="AH6" i="23"/>
  <c r="AI6" i="23"/>
  <c r="AJ6" i="23"/>
  <c r="AK6" i="23"/>
  <c r="AH7" i="23"/>
  <c r="AI7" i="23"/>
  <c r="AJ7" i="23"/>
  <c r="AK7" i="23"/>
  <c r="AH8" i="23"/>
  <c r="AI8" i="23"/>
  <c r="AJ8" i="23"/>
  <c r="AK8" i="23"/>
  <c r="AH9" i="23"/>
  <c r="AI9" i="23"/>
  <c r="AJ9" i="23"/>
  <c r="AK9" i="23"/>
  <c r="AH10" i="23"/>
  <c r="AI10" i="23"/>
  <c r="AJ10" i="23"/>
  <c r="AK10" i="23"/>
  <c r="AH11" i="23"/>
  <c r="AI11" i="23"/>
  <c r="AJ11" i="23"/>
  <c r="AK11" i="23"/>
  <c r="AH12" i="23"/>
  <c r="AI12" i="23"/>
  <c r="AJ12" i="23"/>
  <c r="AK12" i="23"/>
  <c r="AH13" i="23"/>
  <c r="AI13" i="23"/>
  <c r="AJ13" i="23"/>
  <c r="AK13" i="23"/>
  <c r="AK2" i="23"/>
  <c r="AJ2" i="23"/>
  <c r="AI2" i="23"/>
  <c r="AH2" i="23"/>
  <c r="AH603" i="17"/>
  <c r="AI603" i="17"/>
  <c r="AJ603" i="17"/>
  <c r="AK603" i="17"/>
  <c r="AH604" i="17"/>
  <c r="AI604" i="17"/>
  <c r="AJ604" i="17"/>
  <c r="AK604" i="17"/>
  <c r="AH605" i="17"/>
  <c r="AI605" i="17"/>
  <c r="AJ605" i="17"/>
  <c r="AK605" i="17"/>
  <c r="AH606" i="17"/>
  <c r="AI606" i="17"/>
  <c r="AJ606" i="17"/>
  <c r="AK606" i="17"/>
  <c r="AH607" i="17"/>
  <c r="AI607" i="17"/>
  <c r="AJ607" i="17"/>
  <c r="AK607" i="17"/>
  <c r="AH608" i="17"/>
  <c r="AI608" i="17"/>
  <c r="AJ608" i="17"/>
  <c r="AK608" i="17"/>
  <c r="AH609" i="17"/>
  <c r="AI609" i="17"/>
  <c r="AJ609" i="17"/>
  <c r="AK609" i="17"/>
  <c r="AH610" i="17"/>
  <c r="AI610" i="17"/>
  <c r="AJ610" i="17"/>
  <c r="AK610" i="17"/>
  <c r="AH611" i="17"/>
  <c r="AI611" i="17"/>
  <c r="AJ611" i="17"/>
  <c r="AK611" i="17"/>
  <c r="AH612" i="17"/>
  <c r="AI612" i="17"/>
  <c r="AJ612" i="17"/>
  <c r="AK612" i="17"/>
  <c r="AH613" i="17"/>
  <c r="AI613" i="17"/>
  <c r="AJ613" i="17"/>
  <c r="AK613" i="17"/>
  <c r="AH614" i="17"/>
  <c r="AI614" i="17"/>
  <c r="AJ614" i="17"/>
  <c r="AK614" i="17"/>
  <c r="AH1307" i="9"/>
  <c r="AI1307" i="9"/>
  <c r="AJ1307" i="9"/>
  <c r="AK1307" i="9"/>
  <c r="AH1308" i="9"/>
  <c r="AI1308" i="9"/>
  <c r="AJ1308" i="9"/>
  <c r="AK1308" i="9"/>
  <c r="AH1309" i="9"/>
  <c r="AI1309" i="9"/>
  <c r="AJ1309" i="9"/>
  <c r="AK1309" i="9"/>
  <c r="AH1310" i="9"/>
  <c r="AI1310" i="9"/>
  <c r="AJ1310" i="9"/>
  <c r="AK1310" i="9"/>
  <c r="AH1311" i="9"/>
  <c r="AI1311" i="9"/>
  <c r="AJ1311" i="9"/>
  <c r="AK1311" i="9"/>
  <c r="AH1312" i="9"/>
  <c r="AI1312" i="9"/>
  <c r="AJ1312" i="9"/>
  <c r="AK1312" i="9"/>
  <c r="AH1313" i="9"/>
  <c r="AI1313" i="9"/>
  <c r="AJ1313" i="9"/>
  <c r="AK1313" i="9"/>
  <c r="AH1314" i="9"/>
  <c r="AI1314" i="9"/>
  <c r="AJ1314" i="9"/>
  <c r="AK1314" i="9"/>
  <c r="AH1315" i="9"/>
  <c r="AI1315" i="9"/>
  <c r="AJ1315" i="9"/>
  <c r="AK1315" i="9"/>
  <c r="AH1316" i="9"/>
  <c r="AI1316" i="9"/>
  <c r="AJ1316" i="9"/>
  <c r="AK1316" i="9"/>
  <c r="AH1317" i="9"/>
  <c r="AI1317" i="9"/>
  <c r="AJ1317" i="9"/>
  <c r="AK1317" i="9"/>
  <c r="AH1318" i="9"/>
  <c r="AI1318" i="9"/>
  <c r="AJ1318" i="9"/>
  <c r="AK1318" i="9"/>
  <c r="AH587" i="17"/>
  <c r="AI587" i="17"/>
  <c r="AJ587" i="17"/>
  <c r="AK587" i="17"/>
  <c r="AH588" i="17"/>
  <c r="AI588" i="17"/>
  <c r="AJ588" i="17"/>
  <c r="AK588" i="17"/>
  <c r="AH589" i="17"/>
  <c r="AI589" i="17"/>
  <c r="AJ589" i="17"/>
  <c r="AK589" i="17"/>
  <c r="AH590" i="17"/>
  <c r="AI590" i="17"/>
  <c r="AJ590" i="17"/>
  <c r="AK590" i="17"/>
  <c r="AH591" i="17"/>
  <c r="AI591" i="17"/>
  <c r="AJ591" i="17"/>
  <c r="AK591" i="17"/>
  <c r="AH592" i="17"/>
  <c r="AI592" i="17"/>
  <c r="AJ592" i="17"/>
  <c r="AK592" i="17"/>
  <c r="AH593" i="17"/>
  <c r="AI593" i="17"/>
  <c r="AJ593" i="17"/>
  <c r="AK593" i="17"/>
  <c r="AH594" i="17"/>
  <c r="AI594" i="17"/>
  <c r="AJ594" i="17"/>
  <c r="AK594" i="17"/>
  <c r="AH595" i="17"/>
  <c r="AI595" i="17"/>
  <c r="AJ595" i="17"/>
  <c r="AK595" i="17"/>
  <c r="AH596" i="17"/>
  <c r="AI596" i="17"/>
  <c r="AJ596" i="17"/>
  <c r="AK596" i="17"/>
  <c r="AH597" i="17"/>
  <c r="AI597" i="17"/>
  <c r="AJ597" i="17"/>
  <c r="AK597" i="17"/>
  <c r="AH598" i="17"/>
  <c r="AI598" i="17"/>
  <c r="AJ598" i="17"/>
  <c r="AK598" i="17"/>
  <c r="AH599" i="17"/>
  <c r="AI599" i="17"/>
  <c r="AJ599" i="17"/>
  <c r="AK599" i="17"/>
  <c r="AH600" i="17"/>
  <c r="AI600" i="17"/>
  <c r="AJ600" i="17"/>
  <c r="AK600" i="17"/>
  <c r="AH601" i="17"/>
  <c r="AI601" i="17"/>
  <c r="AJ601" i="17"/>
  <c r="AK601" i="17"/>
  <c r="AH602" i="17"/>
  <c r="AI602" i="17"/>
  <c r="AJ602" i="17"/>
  <c r="AK602" i="17"/>
  <c r="AH1291" i="9"/>
  <c r="AI1291" i="9"/>
  <c r="AJ1291" i="9"/>
  <c r="AK1291" i="9"/>
  <c r="AH1292" i="9"/>
  <c r="AI1292" i="9"/>
  <c r="AJ1292" i="9"/>
  <c r="AK1292" i="9"/>
  <c r="AH1293" i="9"/>
  <c r="AI1293" i="9"/>
  <c r="AJ1293" i="9"/>
  <c r="AK1293" i="9"/>
  <c r="AH1294" i="9"/>
  <c r="AI1294" i="9"/>
  <c r="AJ1294" i="9"/>
  <c r="AK1294" i="9"/>
  <c r="AH1295" i="9"/>
  <c r="AI1295" i="9"/>
  <c r="AJ1295" i="9"/>
  <c r="AK1295" i="9"/>
  <c r="AH1296" i="9"/>
  <c r="AI1296" i="9"/>
  <c r="AJ1296" i="9"/>
  <c r="AK1296" i="9"/>
  <c r="AH1297" i="9"/>
  <c r="AI1297" i="9"/>
  <c r="AJ1297" i="9"/>
  <c r="AK1297" i="9"/>
  <c r="AH1298" i="9"/>
  <c r="AI1298" i="9"/>
  <c r="AJ1298" i="9"/>
  <c r="AK1298" i="9"/>
  <c r="AH1299" i="9"/>
  <c r="AI1299" i="9"/>
  <c r="AJ1299" i="9"/>
  <c r="AK1299" i="9"/>
  <c r="AH1300" i="9"/>
  <c r="AI1300" i="9"/>
  <c r="AJ1300" i="9"/>
  <c r="AK1300" i="9"/>
  <c r="AH1301" i="9"/>
  <c r="AI1301" i="9"/>
  <c r="AJ1301" i="9"/>
  <c r="AK1301" i="9"/>
  <c r="AH1302" i="9"/>
  <c r="AI1302" i="9"/>
  <c r="AJ1302" i="9"/>
  <c r="AK1302" i="9"/>
  <c r="AH1303" i="9"/>
  <c r="AI1303" i="9"/>
  <c r="AJ1303" i="9"/>
  <c r="AK1303" i="9"/>
  <c r="AH1304" i="9"/>
  <c r="AI1304" i="9"/>
  <c r="AJ1304" i="9"/>
  <c r="AK1304" i="9"/>
  <c r="AH1305" i="9"/>
  <c r="AI1305" i="9"/>
  <c r="AJ1305" i="9"/>
  <c r="AK1305" i="9"/>
  <c r="AH1306" i="9"/>
  <c r="AI1306" i="9"/>
  <c r="AJ1306" i="9"/>
  <c r="AK1306" i="9"/>
  <c r="AA650" i="15"/>
  <c r="AB650" i="15"/>
  <c r="AC650" i="15"/>
  <c r="AD650" i="15"/>
  <c r="AA651" i="15"/>
  <c r="AB651" i="15"/>
  <c r="AC651" i="15"/>
  <c r="AD651" i="15"/>
  <c r="AA652" i="15"/>
  <c r="AB652" i="15"/>
  <c r="AC652" i="15"/>
  <c r="AD652" i="15"/>
  <c r="AA653" i="15"/>
  <c r="AB653" i="15"/>
  <c r="AC653" i="15"/>
  <c r="AD653" i="15"/>
  <c r="AA654" i="15"/>
  <c r="AB654" i="15"/>
  <c r="AC654" i="15"/>
  <c r="AD654" i="15"/>
  <c r="AA655" i="15"/>
  <c r="AB655" i="15"/>
  <c r="AC655" i="15"/>
  <c r="AD655" i="15"/>
  <c r="AA656" i="15"/>
  <c r="AB656" i="15"/>
  <c r="AC656" i="15"/>
  <c r="AD656" i="15"/>
  <c r="AA657" i="15"/>
  <c r="AB657" i="15"/>
  <c r="AC657" i="15"/>
  <c r="AD657" i="15"/>
  <c r="AA658" i="15"/>
  <c r="AB658" i="15"/>
  <c r="AC658" i="15"/>
  <c r="AD658" i="15"/>
  <c r="AA659" i="15"/>
  <c r="AB659" i="15"/>
  <c r="AC659" i="15"/>
  <c r="AD659" i="15"/>
  <c r="AA660" i="15"/>
  <c r="AB660" i="15"/>
  <c r="AC660" i="15"/>
  <c r="AD660" i="15"/>
  <c r="AA661" i="15"/>
  <c r="AB661" i="15"/>
  <c r="AC661" i="15"/>
  <c r="AD661" i="15"/>
  <c r="AA1138" i="10"/>
  <c r="AB1138" i="10"/>
  <c r="AC1138" i="10"/>
  <c r="AD1138" i="10"/>
  <c r="AA1139" i="10"/>
  <c r="AB1139" i="10"/>
  <c r="AC1139" i="10"/>
  <c r="AD1139" i="10"/>
  <c r="AA1140" i="10"/>
  <c r="AB1140" i="10"/>
  <c r="AC1140" i="10"/>
  <c r="AD1140" i="10"/>
  <c r="AA1141" i="10"/>
  <c r="AB1141" i="10"/>
  <c r="AC1141" i="10"/>
  <c r="AD1141" i="10"/>
  <c r="AA1142" i="10"/>
  <c r="AB1142" i="10"/>
  <c r="AC1142" i="10"/>
  <c r="AD1142" i="10"/>
  <c r="AA1143" i="10"/>
  <c r="AB1143" i="10"/>
  <c r="AC1143" i="10"/>
  <c r="AD1143" i="10"/>
  <c r="AA1144" i="10"/>
  <c r="AB1144" i="10"/>
  <c r="AC1144" i="10"/>
  <c r="AD1144" i="10"/>
  <c r="AA1145" i="10"/>
  <c r="AB1145" i="10"/>
  <c r="AC1145" i="10"/>
  <c r="AD1145" i="10"/>
  <c r="AA1146" i="10"/>
  <c r="AB1146" i="10"/>
  <c r="AC1146" i="10"/>
  <c r="AD1146" i="10"/>
  <c r="AA1147" i="10"/>
  <c r="AB1147" i="10"/>
  <c r="AC1147" i="10"/>
  <c r="AD1147" i="10"/>
  <c r="AA1148" i="10"/>
  <c r="AB1148" i="10"/>
  <c r="AC1148" i="10"/>
  <c r="AD1148" i="10"/>
  <c r="AA1149" i="10"/>
  <c r="AB1149" i="10"/>
  <c r="AC1149" i="10"/>
  <c r="AD1149" i="10"/>
  <c r="AA636" i="15"/>
  <c r="AB636" i="15"/>
  <c r="AC636" i="15"/>
  <c r="AD636" i="15"/>
  <c r="AA637" i="15"/>
  <c r="AB637" i="15"/>
  <c r="AC637" i="15"/>
  <c r="AD637" i="15"/>
  <c r="AA638" i="15"/>
  <c r="AB638" i="15"/>
  <c r="AC638" i="15"/>
  <c r="AD638" i="15"/>
  <c r="AA639" i="15"/>
  <c r="AB639" i="15"/>
  <c r="AC639" i="15"/>
  <c r="AD639" i="15"/>
  <c r="AA640" i="15"/>
  <c r="AB640" i="15"/>
  <c r="AC640" i="15"/>
  <c r="AD640" i="15"/>
  <c r="AA641" i="15"/>
  <c r="AB641" i="15"/>
  <c r="AC641" i="15"/>
  <c r="AD641" i="15"/>
  <c r="AA642" i="15"/>
  <c r="AB642" i="15"/>
  <c r="AC642" i="15"/>
  <c r="AD642" i="15"/>
  <c r="AA643" i="15"/>
  <c r="AB643" i="15"/>
  <c r="AC643" i="15"/>
  <c r="AD643" i="15"/>
  <c r="AA644" i="15"/>
  <c r="AB644" i="15"/>
  <c r="AC644" i="15"/>
  <c r="AD644" i="15"/>
  <c r="AA645" i="15"/>
  <c r="AB645" i="15"/>
  <c r="AC645" i="15"/>
  <c r="AD645" i="15"/>
  <c r="AA646" i="15"/>
  <c r="AB646" i="15"/>
  <c r="AC646" i="15"/>
  <c r="AD646" i="15"/>
  <c r="AA647" i="15"/>
  <c r="AB647" i="15"/>
  <c r="AC647" i="15"/>
  <c r="AD647" i="15"/>
  <c r="AA648" i="15"/>
  <c r="AB648" i="15"/>
  <c r="AC648" i="15"/>
  <c r="AD648" i="15"/>
  <c r="AA649" i="15"/>
  <c r="AB649" i="15"/>
  <c r="AC649" i="15"/>
  <c r="AD649" i="15"/>
  <c r="AA1124" i="10"/>
  <c r="AB1124" i="10"/>
  <c r="AC1124" i="10"/>
  <c r="AD1124" i="10"/>
  <c r="AA1125" i="10"/>
  <c r="AB1125" i="10"/>
  <c r="AC1125" i="10"/>
  <c r="AD1125" i="10"/>
  <c r="AA1126" i="10"/>
  <c r="AB1126" i="10"/>
  <c r="AC1126" i="10"/>
  <c r="AD1126" i="10"/>
  <c r="AA1127" i="10"/>
  <c r="AB1127" i="10"/>
  <c r="AC1127" i="10"/>
  <c r="AD1127" i="10"/>
  <c r="AA1128" i="10"/>
  <c r="AB1128" i="10"/>
  <c r="AC1128" i="10"/>
  <c r="AD1128" i="10"/>
  <c r="AA1129" i="10"/>
  <c r="AB1129" i="10"/>
  <c r="AC1129" i="10"/>
  <c r="AD1129" i="10"/>
  <c r="AA1130" i="10"/>
  <c r="AB1130" i="10"/>
  <c r="AC1130" i="10"/>
  <c r="AD1130" i="10"/>
  <c r="AA1131" i="10"/>
  <c r="AB1131" i="10"/>
  <c r="AC1131" i="10"/>
  <c r="AD1131" i="10"/>
  <c r="AA1132" i="10"/>
  <c r="AB1132" i="10"/>
  <c r="AC1132" i="10"/>
  <c r="AD1132" i="10"/>
  <c r="AA1133" i="10"/>
  <c r="AB1133" i="10"/>
  <c r="AC1133" i="10"/>
  <c r="AD1133" i="10"/>
  <c r="AA1134" i="10"/>
  <c r="AB1134" i="10"/>
  <c r="AC1134" i="10"/>
  <c r="AD1134" i="10"/>
  <c r="AA1135" i="10"/>
  <c r="AB1135" i="10"/>
  <c r="AC1135" i="10"/>
  <c r="AD1135" i="10"/>
  <c r="AA1136" i="10"/>
  <c r="AB1136" i="10"/>
  <c r="AC1136" i="10"/>
  <c r="AD1136" i="10"/>
  <c r="AA1137" i="10"/>
  <c r="AB1137" i="10"/>
  <c r="AC1137" i="10"/>
  <c r="AD1137" i="10"/>
  <c r="AH563" i="17"/>
  <c r="AI563" i="17"/>
  <c r="AJ563" i="17"/>
  <c r="AK563" i="17"/>
  <c r="AH564" i="17"/>
  <c r="AI564" i="17"/>
  <c r="AJ564" i="17"/>
  <c r="AK564" i="17"/>
  <c r="AH565" i="17"/>
  <c r="AI565" i="17"/>
  <c r="AJ565" i="17"/>
  <c r="AK565" i="17"/>
  <c r="AH566" i="17"/>
  <c r="AI566" i="17"/>
  <c r="AJ566" i="17"/>
  <c r="AK566" i="17"/>
  <c r="AH567" i="17"/>
  <c r="AI567" i="17"/>
  <c r="AJ567" i="17"/>
  <c r="AK567" i="17"/>
  <c r="AH568" i="17"/>
  <c r="AI568" i="17"/>
  <c r="AJ568" i="17"/>
  <c r="AK568" i="17"/>
  <c r="AH569" i="17"/>
  <c r="AI569" i="17"/>
  <c r="AJ569" i="17"/>
  <c r="AK569" i="17"/>
  <c r="AH570" i="17"/>
  <c r="AI570" i="17"/>
  <c r="AJ570" i="17"/>
  <c r="AK570" i="17"/>
  <c r="AH571" i="17"/>
  <c r="AI571" i="17"/>
  <c r="AJ571" i="17"/>
  <c r="AK571" i="17"/>
  <c r="AH572" i="17"/>
  <c r="AI572" i="17"/>
  <c r="AJ572" i="17"/>
  <c r="AK572" i="17"/>
  <c r="AH573" i="17"/>
  <c r="AI573" i="17"/>
  <c r="AJ573" i="17"/>
  <c r="AK573" i="17"/>
  <c r="AH574" i="17"/>
  <c r="AI574" i="17"/>
  <c r="AJ574" i="17"/>
  <c r="AK574" i="17"/>
  <c r="AH575" i="17"/>
  <c r="AI575" i="17"/>
  <c r="AJ575" i="17"/>
  <c r="AK575" i="17"/>
  <c r="AH576" i="17"/>
  <c r="AI576" i="17"/>
  <c r="AJ576" i="17"/>
  <c r="AK576" i="17"/>
  <c r="AH577" i="17"/>
  <c r="AI577" i="17"/>
  <c r="AJ577" i="17"/>
  <c r="AK577" i="17"/>
  <c r="AH578" i="17"/>
  <c r="AI578" i="17"/>
  <c r="AJ578" i="17"/>
  <c r="AK578" i="17"/>
  <c r="AH579" i="17"/>
  <c r="AI579" i="17"/>
  <c r="AJ579" i="17"/>
  <c r="AK579" i="17"/>
  <c r="AH580" i="17"/>
  <c r="AI580" i="17"/>
  <c r="AJ580" i="17"/>
  <c r="AK580" i="17"/>
  <c r="AH581" i="17"/>
  <c r="AI581" i="17"/>
  <c r="AJ581" i="17"/>
  <c r="AK581" i="17"/>
  <c r="AH582" i="17"/>
  <c r="AI582" i="17"/>
  <c r="AJ582" i="17"/>
  <c r="AK582" i="17"/>
  <c r="AH583" i="17"/>
  <c r="AI583" i="17"/>
  <c r="AJ583" i="17"/>
  <c r="AK583" i="17"/>
  <c r="AH584" i="17"/>
  <c r="AI584" i="17"/>
  <c r="AJ584" i="17"/>
  <c r="AK584" i="17"/>
  <c r="AH585" i="17"/>
  <c r="AI585" i="17"/>
  <c r="AJ585" i="17"/>
  <c r="AK585" i="17"/>
  <c r="AH586" i="17"/>
  <c r="AI586" i="17"/>
  <c r="AJ586" i="17"/>
  <c r="AK586" i="17"/>
  <c r="AN26" i="16"/>
  <c r="AN23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AN25" i="16"/>
  <c r="R25" i="16"/>
  <c r="F25" i="16"/>
  <c r="G25" i="16"/>
  <c r="H25" i="16" a="1"/>
  <c r="H25" i="16" s="1"/>
  <c r="I25" i="16"/>
  <c r="J25" i="16"/>
  <c r="K25" i="16"/>
  <c r="L25" i="16"/>
  <c r="M25" i="16" s="1"/>
  <c r="N25" i="16"/>
  <c r="O25" i="16"/>
  <c r="P25" i="16" s="1"/>
  <c r="Q25" i="16"/>
  <c r="AH1279" i="9"/>
  <c r="AI1279" i="9"/>
  <c r="AJ1279" i="9"/>
  <c r="AK1279" i="9"/>
  <c r="AH1280" i="9"/>
  <c r="AI1280" i="9"/>
  <c r="AJ1280" i="9"/>
  <c r="AK1280" i="9"/>
  <c r="AH1281" i="9"/>
  <c r="AI1281" i="9"/>
  <c r="AJ1281" i="9"/>
  <c r="AK1281" i="9"/>
  <c r="AH1282" i="9"/>
  <c r="AI1282" i="9"/>
  <c r="AJ1282" i="9"/>
  <c r="AK1282" i="9"/>
  <c r="AH1283" i="9"/>
  <c r="AI1283" i="9"/>
  <c r="AJ1283" i="9"/>
  <c r="AK1283" i="9"/>
  <c r="AH1284" i="9"/>
  <c r="AI1284" i="9"/>
  <c r="AJ1284" i="9"/>
  <c r="AK1284" i="9"/>
  <c r="AH1285" i="9"/>
  <c r="AI1285" i="9"/>
  <c r="AJ1285" i="9"/>
  <c r="AK1285" i="9"/>
  <c r="AH1286" i="9"/>
  <c r="AI1286" i="9"/>
  <c r="AJ1286" i="9"/>
  <c r="AK1286" i="9"/>
  <c r="AH1287" i="9"/>
  <c r="AI1287" i="9"/>
  <c r="AJ1287" i="9"/>
  <c r="AK1287" i="9"/>
  <c r="AH1288" i="9"/>
  <c r="AI1288" i="9"/>
  <c r="AJ1288" i="9"/>
  <c r="AK1288" i="9"/>
  <c r="AH1289" i="9"/>
  <c r="AI1289" i="9"/>
  <c r="AJ1289" i="9"/>
  <c r="AK1289" i="9"/>
  <c r="AH1290" i="9"/>
  <c r="AI1290" i="9"/>
  <c r="AJ1290" i="9"/>
  <c r="AK1290" i="9"/>
  <c r="AH1267" i="9"/>
  <c r="AI1267" i="9"/>
  <c r="AJ1267" i="9"/>
  <c r="AK1267" i="9"/>
  <c r="AH1268" i="9"/>
  <c r="AI1268" i="9"/>
  <c r="AJ1268" i="9"/>
  <c r="AK1268" i="9"/>
  <c r="AH1269" i="9"/>
  <c r="AI1269" i="9"/>
  <c r="AJ1269" i="9"/>
  <c r="AK1269" i="9"/>
  <c r="AH1270" i="9"/>
  <c r="AI1270" i="9"/>
  <c r="AJ1270" i="9"/>
  <c r="AK1270" i="9"/>
  <c r="AH1271" i="9"/>
  <c r="AI1271" i="9"/>
  <c r="AJ1271" i="9"/>
  <c r="AK1271" i="9"/>
  <c r="AH1272" i="9"/>
  <c r="AI1272" i="9"/>
  <c r="AJ1272" i="9"/>
  <c r="AK1272" i="9"/>
  <c r="AH1273" i="9"/>
  <c r="AI1273" i="9"/>
  <c r="AJ1273" i="9"/>
  <c r="AK1273" i="9"/>
  <c r="AH1274" i="9"/>
  <c r="AI1274" i="9"/>
  <c r="AJ1274" i="9"/>
  <c r="AK1274" i="9"/>
  <c r="AH1275" i="9"/>
  <c r="AI1275" i="9"/>
  <c r="AJ1275" i="9"/>
  <c r="AK1275" i="9"/>
  <c r="AH1276" i="9"/>
  <c r="AI1276" i="9"/>
  <c r="AJ1276" i="9"/>
  <c r="AK1276" i="9"/>
  <c r="AH1277" i="9"/>
  <c r="AI1277" i="9"/>
  <c r="AJ1277" i="9"/>
  <c r="AK1277" i="9"/>
  <c r="AH1278" i="9"/>
  <c r="AI1278" i="9"/>
  <c r="AJ1278" i="9"/>
  <c r="AK1278" i="9"/>
  <c r="AH1241" i="9"/>
  <c r="AI1241" i="9"/>
  <c r="AJ1241" i="9"/>
  <c r="AK1241" i="9"/>
  <c r="AH1242" i="9"/>
  <c r="AI1242" i="9"/>
  <c r="AJ1242" i="9"/>
  <c r="AK1242" i="9"/>
  <c r="AH1243" i="9"/>
  <c r="AI1243" i="9"/>
  <c r="AJ1243" i="9"/>
  <c r="AK1243" i="9"/>
  <c r="AH1244" i="9"/>
  <c r="AI1244" i="9"/>
  <c r="AJ1244" i="9"/>
  <c r="AK1244" i="9"/>
  <c r="AH1245" i="9"/>
  <c r="AI1245" i="9"/>
  <c r="AJ1245" i="9"/>
  <c r="AK1245" i="9"/>
  <c r="AH1246" i="9"/>
  <c r="AI1246" i="9"/>
  <c r="AJ1246" i="9"/>
  <c r="AK1246" i="9"/>
  <c r="AH1247" i="9"/>
  <c r="AI1247" i="9"/>
  <c r="AJ1247" i="9"/>
  <c r="AK1247" i="9"/>
  <c r="AH1248" i="9"/>
  <c r="AI1248" i="9"/>
  <c r="AJ1248" i="9"/>
  <c r="AK1248" i="9"/>
  <c r="AH1249" i="9"/>
  <c r="AI1249" i="9"/>
  <c r="AJ1249" i="9"/>
  <c r="AK1249" i="9"/>
  <c r="AH1250" i="9"/>
  <c r="AI1250" i="9"/>
  <c r="AJ1250" i="9"/>
  <c r="AK1250" i="9"/>
  <c r="AH1251" i="9"/>
  <c r="AI1251" i="9"/>
  <c r="AJ1251" i="9"/>
  <c r="AK1251" i="9"/>
  <c r="AH1252" i="9"/>
  <c r="AI1252" i="9"/>
  <c r="AJ1252" i="9"/>
  <c r="AK1252" i="9"/>
  <c r="AH1253" i="9"/>
  <c r="AI1253" i="9"/>
  <c r="AJ1253" i="9"/>
  <c r="AK1253" i="9"/>
  <c r="AH1254" i="9"/>
  <c r="AI1254" i="9"/>
  <c r="AJ1254" i="9"/>
  <c r="AK1254" i="9"/>
  <c r="AH1255" i="9"/>
  <c r="AI1255" i="9"/>
  <c r="AJ1255" i="9"/>
  <c r="AK1255" i="9"/>
  <c r="AH1256" i="9"/>
  <c r="AI1256" i="9"/>
  <c r="AJ1256" i="9"/>
  <c r="AK1256" i="9"/>
  <c r="AH1257" i="9"/>
  <c r="AI1257" i="9"/>
  <c r="AJ1257" i="9"/>
  <c r="AK1257" i="9"/>
  <c r="AH1258" i="9"/>
  <c r="AI1258" i="9"/>
  <c r="AJ1258" i="9"/>
  <c r="AK1258" i="9"/>
  <c r="AH1259" i="9"/>
  <c r="AI1259" i="9"/>
  <c r="AJ1259" i="9"/>
  <c r="AK1259" i="9"/>
  <c r="AH1260" i="9"/>
  <c r="AI1260" i="9"/>
  <c r="AJ1260" i="9"/>
  <c r="AK1260" i="9"/>
  <c r="AH1261" i="9"/>
  <c r="AI1261" i="9"/>
  <c r="AJ1261" i="9"/>
  <c r="AK1261" i="9"/>
  <c r="AH1262" i="9"/>
  <c r="AI1262" i="9"/>
  <c r="AJ1262" i="9"/>
  <c r="AK1262" i="9"/>
  <c r="AH1263" i="9"/>
  <c r="AI1263" i="9"/>
  <c r="AJ1263" i="9"/>
  <c r="AK1263" i="9"/>
  <c r="AH1264" i="9"/>
  <c r="AI1264" i="9"/>
  <c r="AJ1264" i="9"/>
  <c r="AK1264" i="9"/>
  <c r="AH1265" i="9"/>
  <c r="AI1265" i="9"/>
  <c r="AJ1265" i="9"/>
  <c r="AK1265" i="9"/>
  <c r="AH1266" i="9"/>
  <c r="AI1266" i="9"/>
  <c r="AJ1266" i="9"/>
  <c r="AK1266" i="9"/>
  <c r="AH537" i="17"/>
  <c r="AI537" i="17"/>
  <c r="AJ537" i="17"/>
  <c r="AK537" i="17"/>
  <c r="AH538" i="17"/>
  <c r="AI538" i="17"/>
  <c r="AJ538" i="17"/>
  <c r="AK538" i="17"/>
  <c r="AH539" i="17"/>
  <c r="AI539" i="17"/>
  <c r="AJ539" i="17"/>
  <c r="AK539" i="17"/>
  <c r="AH540" i="17"/>
  <c r="AI540" i="17"/>
  <c r="AJ540" i="17"/>
  <c r="AK540" i="17"/>
  <c r="AH541" i="17"/>
  <c r="AI541" i="17"/>
  <c r="AJ541" i="17"/>
  <c r="AK541" i="17"/>
  <c r="AH542" i="17"/>
  <c r="AI542" i="17"/>
  <c r="AJ542" i="17"/>
  <c r="AK542" i="17"/>
  <c r="AH543" i="17"/>
  <c r="AI543" i="17"/>
  <c r="AJ543" i="17"/>
  <c r="AK543" i="17"/>
  <c r="AH544" i="17"/>
  <c r="AI544" i="17"/>
  <c r="AJ544" i="17"/>
  <c r="AK544" i="17"/>
  <c r="AH545" i="17"/>
  <c r="AI545" i="17"/>
  <c r="AJ545" i="17"/>
  <c r="AK545" i="17"/>
  <c r="AH546" i="17"/>
  <c r="AI546" i="17"/>
  <c r="AJ546" i="17"/>
  <c r="AK546" i="17"/>
  <c r="AH547" i="17"/>
  <c r="AI547" i="17"/>
  <c r="AJ547" i="17"/>
  <c r="AK547" i="17"/>
  <c r="AH548" i="17"/>
  <c r="AI548" i="17"/>
  <c r="AJ548" i="17"/>
  <c r="AK548" i="17"/>
  <c r="AH549" i="17"/>
  <c r="AI549" i="17"/>
  <c r="AJ549" i="17"/>
  <c r="AK549" i="17"/>
  <c r="AH550" i="17"/>
  <c r="AI550" i="17"/>
  <c r="AJ550" i="17"/>
  <c r="AK550" i="17"/>
  <c r="AH551" i="17"/>
  <c r="AI551" i="17"/>
  <c r="AJ551" i="17"/>
  <c r="AK551" i="17"/>
  <c r="AH552" i="17"/>
  <c r="AI552" i="17"/>
  <c r="AJ552" i="17"/>
  <c r="AK552" i="17"/>
  <c r="AH553" i="17"/>
  <c r="AI553" i="17"/>
  <c r="AJ553" i="17"/>
  <c r="AK553" i="17"/>
  <c r="AH554" i="17"/>
  <c r="AI554" i="17"/>
  <c r="AJ554" i="17"/>
  <c r="AK554" i="17"/>
  <c r="AH555" i="17"/>
  <c r="AI555" i="17"/>
  <c r="AJ555" i="17"/>
  <c r="AK555" i="17"/>
  <c r="AH556" i="17"/>
  <c r="AI556" i="17"/>
  <c r="AJ556" i="17"/>
  <c r="AK556" i="17"/>
  <c r="AH557" i="17"/>
  <c r="AI557" i="17"/>
  <c r="AJ557" i="17"/>
  <c r="AK557" i="17"/>
  <c r="AH558" i="17"/>
  <c r="AI558" i="17"/>
  <c r="AJ558" i="17"/>
  <c r="AK558" i="17"/>
  <c r="AH559" i="17"/>
  <c r="AI559" i="17"/>
  <c r="AJ559" i="17"/>
  <c r="AK559" i="17"/>
  <c r="AH560" i="17"/>
  <c r="AI560" i="17"/>
  <c r="AJ560" i="17"/>
  <c r="AK560" i="17"/>
  <c r="AH561" i="17"/>
  <c r="AI561" i="17"/>
  <c r="AJ561" i="17"/>
  <c r="AK561" i="17"/>
  <c r="AH562" i="17"/>
  <c r="AI562" i="17"/>
  <c r="AJ562" i="17"/>
  <c r="AK562" i="17"/>
  <c r="AA623" i="15"/>
  <c r="AB623" i="15"/>
  <c r="AC623" i="15"/>
  <c r="AD623" i="15"/>
  <c r="AA624" i="15"/>
  <c r="AB624" i="15"/>
  <c r="AC624" i="15"/>
  <c r="AD624" i="15"/>
  <c r="AA625" i="15"/>
  <c r="AB625" i="15"/>
  <c r="AC625" i="15"/>
  <c r="AD625" i="15"/>
  <c r="AA626" i="15"/>
  <c r="AB626" i="15"/>
  <c r="AC626" i="15"/>
  <c r="AD626" i="15"/>
  <c r="AA627" i="15"/>
  <c r="AB627" i="15"/>
  <c r="AC627" i="15"/>
  <c r="AD627" i="15"/>
  <c r="AA628" i="15"/>
  <c r="AB628" i="15"/>
  <c r="AC628" i="15"/>
  <c r="AD628" i="15"/>
  <c r="AA629" i="15"/>
  <c r="AB629" i="15"/>
  <c r="AC629" i="15"/>
  <c r="AD629" i="15"/>
  <c r="AA630" i="15"/>
  <c r="AB630" i="15"/>
  <c r="AC630" i="15"/>
  <c r="AD630" i="15"/>
  <c r="AA631" i="15"/>
  <c r="AB631" i="15"/>
  <c r="AC631" i="15"/>
  <c r="AD631" i="15"/>
  <c r="AA632" i="15"/>
  <c r="AB632" i="15"/>
  <c r="AC632" i="15"/>
  <c r="AD632" i="15"/>
  <c r="AA633" i="15"/>
  <c r="AB633" i="15"/>
  <c r="AC633" i="15"/>
  <c r="AD633" i="15"/>
  <c r="AA634" i="15"/>
  <c r="AB634" i="15"/>
  <c r="AC634" i="15"/>
  <c r="AD634" i="15"/>
  <c r="AA635" i="15"/>
  <c r="AB635" i="15"/>
  <c r="AC635" i="15"/>
  <c r="AD635" i="15"/>
  <c r="AA1111" i="10"/>
  <c r="AB1111" i="10"/>
  <c r="AC1111" i="10"/>
  <c r="AD1111" i="10"/>
  <c r="AA1112" i="10"/>
  <c r="AB1112" i="10"/>
  <c r="AC1112" i="10"/>
  <c r="AD1112" i="10"/>
  <c r="AA1113" i="10"/>
  <c r="AB1113" i="10"/>
  <c r="AC1113" i="10"/>
  <c r="AD1113" i="10"/>
  <c r="AA1114" i="10"/>
  <c r="AB1114" i="10"/>
  <c r="AC1114" i="10"/>
  <c r="AD1114" i="10"/>
  <c r="AA1115" i="10"/>
  <c r="AB1115" i="10"/>
  <c r="AC1115" i="10"/>
  <c r="AD1115" i="10"/>
  <c r="AA1116" i="10"/>
  <c r="AB1116" i="10"/>
  <c r="AC1116" i="10"/>
  <c r="AD1116" i="10"/>
  <c r="AA1117" i="10"/>
  <c r="AB1117" i="10"/>
  <c r="AC1117" i="10"/>
  <c r="AD1117" i="10"/>
  <c r="AA1118" i="10"/>
  <c r="AB1118" i="10"/>
  <c r="AC1118" i="10"/>
  <c r="AD1118" i="10"/>
  <c r="AA1119" i="10"/>
  <c r="AB1119" i="10"/>
  <c r="AC1119" i="10"/>
  <c r="AD1119" i="10"/>
  <c r="AA1120" i="10"/>
  <c r="AB1120" i="10"/>
  <c r="AC1120" i="10"/>
  <c r="AD1120" i="10"/>
  <c r="AA1121" i="10"/>
  <c r="AB1121" i="10"/>
  <c r="AC1121" i="10"/>
  <c r="AD1121" i="10"/>
  <c r="AA1122" i="10"/>
  <c r="AB1122" i="10"/>
  <c r="AC1122" i="10"/>
  <c r="AD1122" i="10"/>
  <c r="AA1123" i="10"/>
  <c r="AB1123" i="10"/>
  <c r="AC1123" i="10"/>
  <c r="AD1123" i="10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H523" i="17"/>
  <c r="AI523" i="17"/>
  <c r="AJ523" i="17"/>
  <c r="AK523" i="17"/>
  <c r="AH524" i="17"/>
  <c r="AI524" i="17"/>
  <c r="AJ524" i="17"/>
  <c r="AK524" i="17"/>
  <c r="AH525" i="17"/>
  <c r="AI525" i="17"/>
  <c r="AJ525" i="17"/>
  <c r="AK525" i="17"/>
  <c r="AH526" i="17"/>
  <c r="AI526" i="17"/>
  <c r="AJ526" i="17"/>
  <c r="AK526" i="17"/>
  <c r="AH527" i="17"/>
  <c r="AI527" i="17"/>
  <c r="AJ527" i="17"/>
  <c r="AK527" i="17"/>
  <c r="AH528" i="17"/>
  <c r="AI528" i="17"/>
  <c r="AJ528" i="17"/>
  <c r="AK528" i="17"/>
  <c r="AH529" i="17"/>
  <c r="AI529" i="17"/>
  <c r="AJ529" i="17"/>
  <c r="AK529" i="17"/>
  <c r="AH530" i="17"/>
  <c r="AI530" i="17"/>
  <c r="AJ530" i="17"/>
  <c r="AK530" i="17"/>
  <c r="AH531" i="17"/>
  <c r="AI531" i="17"/>
  <c r="AJ531" i="17"/>
  <c r="AK531" i="17"/>
  <c r="AH532" i="17"/>
  <c r="AI532" i="17"/>
  <c r="AJ532" i="17"/>
  <c r="AK532" i="17"/>
  <c r="AH533" i="17"/>
  <c r="AI533" i="17"/>
  <c r="AJ533" i="17"/>
  <c r="AK533" i="17"/>
  <c r="AH534" i="17"/>
  <c r="AI534" i="17"/>
  <c r="AJ534" i="17"/>
  <c r="AK534" i="17"/>
  <c r="AH535" i="17"/>
  <c r="AI535" i="17"/>
  <c r="AJ535" i="17"/>
  <c r="AK535" i="17"/>
  <c r="AH536" i="17"/>
  <c r="AI536" i="17"/>
  <c r="AJ536" i="17"/>
  <c r="AK536" i="17"/>
  <c r="AH1227" i="9"/>
  <c r="AI1227" i="9"/>
  <c r="AJ1227" i="9"/>
  <c r="AK1227" i="9"/>
  <c r="AH1228" i="9"/>
  <c r="AI1228" i="9"/>
  <c r="AJ1228" i="9"/>
  <c r="AK1228" i="9"/>
  <c r="AH1229" i="9"/>
  <c r="AI1229" i="9"/>
  <c r="AJ1229" i="9"/>
  <c r="AK1229" i="9"/>
  <c r="AH1230" i="9"/>
  <c r="AI1230" i="9"/>
  <c r="AJ1230" i="9"/>
  <c r="AK1230" i="9"/>
  <c r="AH1231" i="9"/>
  <c r="AI1231" i="9"/>
  <c r="AJ1231" i="9"/>
  <c r="AK1231" i="9"/>
  <c r="AH1232" i="9"/>
  <c r="AI1232" i="9"/>
  <c r="AJ1232" i="9"/>
  <c r="AK1232" i="9"/>
  <c r="AH1233" i="9"/>
  <c r="AI1233" i="9"/>
  <c r="AJ1233" i="9"/>
  <c r="AK1233" i="9"/>
  <c r="AH1234" i="9"/>
  <c r="AI1234" i="9"/>
  <c r="AJ1234" i="9"/>
  <c r="AK1234" i="9"/>
  <c r="AH1235" i="9"/>
  <c r="AI1235" i="9"/>
  <c r="AJ1235" i="9"/>
  <c r="AK1235" i="9"/>
  <c r="AH1236" i="9"/>
  <c r="AI1236" i="9"/>
  <c r="AJ1236" i="9"/>
  <c r="AK1236" i="9"/>
  <c r="AH1237" i="9"/>
  <c r="AI1237" i="9"/>
  <c r="AJ1237" i="9"/>
  <c r="AK1237" i="9"/>
  <c r="AH1238" i="9"/>
  <c r="AI1238" i="9"/>
  <c r="AJ1238" i="9"/>
  <c r="AK1238" i="9"/>
  <c r="AH1239" i="9"/>
  <c r="AI1239" i="9"/>
  <c r="AJ1239" i="9"/>
  <c r="AK1239" i="9"/>
  <c r="AH1240" i="9"/>
  <c r="AI1240" i="9"/>
  <c r="AJ1240" i="9"/>
  <c r="AK1240" i="9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AN9" i="16"/>
  <c r="R9" i="16"/>
  <c r="F9" i="16"/>
  <c r="G9" i="16"/>
  <c r="H9" i="16" a="1"/>
  <c r="H9" i="16" s="1"/>
  <c r="I9" i="16"/>
  <c r="J9" i="16"/>
  <c r="L9" i="16"/>
  <c r="M9" i="16" s="1"/>
  <c r="O9" i="16"/>
  <c r="P9" i="16" s="1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L23" i="16"/>
  <c r="M23" i="16" s="1"/>
  <c r="O23" i="16"/>
  <c r="P23" i="16" s="1"/>
  <c r="AH511" i="17"/>
  <c r="AI511" i="17"/>
  <c r="AJ511" i="17"/>
  <c r="AK511" i="17"/>
  <c r="AH512" i="17"/>
  <c r="AI512" i="17"/>
  <c r="AJ512" i="17"/>
  <c r="AK512" i="17"/>
  <c r="AH513" i="17"/>
  <c r="AI513" i="17"/>
  <c r="AJ513" i="17"/>
  <c r="AK513" i="17"/>
  <c r="AH514" i="17"/>
  <c r="AI514" i="17"/>
  <c r="AJ514" i="17"/>
  <c r="AK514" i="17"/>
  <c r="AH515" i="17"/>
  <c r="AI515" i="17"/>
  <c r="AJ515" i="17"/>
  <c r="AK515" i="17"/>
  <c r="AH516" i="17"/>
  <c r="AI516" i="17"/>
  <c r="AJ516" i="17"/>
  <c r="AK516" i="17"/>
  <c r="AH517" i="17"/>
  <c r="AI517" i="17"/>
  <c r="AJ517" i="17"/>
  <c r="AK517" i="17"/>
  <c r="AH518" i="17"/>
  <c r="AI518" i="17"/>
  <c r="AJ518" i="17"/>
  <c r="AK518" i="17"/>
  <c r="AH519" i="17"/>
  <c r="AI519" i="17"/>
  <c r="AJ519" i="17"/>
  <c r="AK519" i="17"/>
  <c r="AH520" i="17"/>
  <c r="AI520" i="17"/>
  <c r="AJ520" i="17"/>
  <c r="AK520" i="17"/>
  <c r="AH521" i="17"/>
  <c r="AI521" i="17"/>
  <c r="AJ521" i="17"/>
  <c r="AK521" i="17"/>
  <c r="AH522" i="17"/>
  <c r="AI522" i="17"/>
  <c r="AJ522" i="17"/>
  <c r="AK522" i="17"/>
  <c r="AH1215" i="9"/>
  <c r="AI1215" i="9"/>
  <c r="AJ1215" i="9"/>
  <c r="AK1215" i="9"/>
  <c r="AH1216" i="9"/>
  <c r="AI1216" i="9"/>
  <c r="AJ1216" i="9"/>
  <c r="AK1216" i="9"/>
  <c r="AH1217" i="9"/>
  <c r="AI1217" i="9"/>
  <c r="AJ1217" i="9"/>
  <c r="AK1217" i="9"/>
  <c r="AH1218" i="9"/>
  <c r="AI1218" i="9"/>
  <c r="AJ1218" i="9"/>
  <c r="AK1218" i="9"/>
  <c r="AH1219" i="9"/>
  <c r="AI1219" i="9"/>
  <c r="AJ1219" i="9"/>
  <c r="AK1219" i="9"/>
  <c r="AH1220" i="9"/>
  <c r="AI1220" i="9"/>
  <c r="AJ1220" i="9"/>
  <c r="AK1220" i="9"/>
  <c r="AH1221" i="9"/>
  <c r="AI1221" i="9"/>
  <c r="AJ1221" i="9"/>
  <c r="AK1221" i="9"/>
  <c r="AH1222" i="9"/>
  <c r="AI1222" i="9"/>
  <c r="AJ1222" i="9"/>
  <c r="AK1222" i="9"/>
  <c r="AH1223" i="9"/>
  <c r="AI1223" i="9"/>
  <c r="AJ1223" i="9"/>
  <c r="AK1223" i="9"/>
  <c r="AH1224" i="9"/>
  <c r="AI1224" i="9"/>
  <c r="AJ1224" i="9"/>
  <c r="AK1224" i="9"/>
  <c r="AH1225" i="9"/>
  <c r="AI1225" i="9"/>
  <c r="AJ1225" i="9"/>
  <c r="AK1225" i="9"/>
  <c r="AH1226" i="9"/>
  <c r="AI1226" i="9"/>
  <c r="AJ1226" i="9"/>
  <c r="AK1226" i="9"/>
  <c r="AA232" i="18"/>
  <c r="AB232" i="18"/>
  <c r="AC232" i="18"/>
  <c r="AD232" i="18"/>
  <c r="AA233" i="18"/>
  <c r="AB233" i="18"/>
  <c r="AC233" i="18"/>
  <c r="AD233" i="18"/>
  <c r="AA234" i="18"/>
  <c r="AB234" i="18"/>
  <c r="AC234" i="18"/>
  <c r="AD234" i="18"/>
  <c r="AA235" i="18"/>
  <c r="AB235" i="18"/>
  <c r="AC235" i="18"/>
  <c r="AD235" i="18"/>
  <c r="AA236" i="18"/>
  <c r="AB236" i="18"/>
  <c r="AC236" i="18"/>
  <c r="AD236" i="18"/>
  <c r="AA237" i="18"/>
  <c r="AB237" i="18"/>
  <c r="AC237" i="18"/>
  <c r="AD237" i="18"/>
  <c r="AA238" i="18"/>
  <c r="AB238" i="18"/>
  <c r="AC238" i="18"/>
  <c r="AD238" i="18"/>
  <c r="AA239" i="18"/>
  <c r="AB239" i="18"/>
  <c r="AC239" i="18"/>
  <c r="AD239" i="18"/>
  <c r="AA240" i="18"/>
  <c r="AB240" i="18"/>
  <c r="AC240" i="18"/>
  <c r="AD240" i="18"/>
  <c r="AA241" i="18"/>
  <c r="AB241" i="18"/>
  <c r="AC241" i="18"/>
  <c r="AD241" i="18"/>
  <c r="AA242" i="18"/>
  <c r="AB242" i="18"/>
  <c r="AC242" i="18"/>
  <c r="AD242" i="18"/>
  <c r="AA243" i="18"/>
  <c r="AB243" i="18"/>
  <c r="AC243" i="18"/>
  <c r="AD243" i="18"/>
  <c r="AA611" i="15"/>
  <c r="AB611" i="15"/>
  <c r="AC611" i="15"/>
  <c r="AD611" i="15"/>
  <c r="AA612" i="15"/>
  <c r="AB612" i="15"/>
  <c r="AC612" i="15"/>
  <c r="AD612" i="15"/>
  <c r="AA613" i="15"/>
  <c r="AB613" i="15"/>
  <c r="AC613" i="15"/>
  <c r="AD613" i="15"/>
  <c r="AA614" i="15"/>
  <c r="AB614" i="15"/>
  <c r="AC614" i="15"/>
  <c r="AD614" i="15"/>
  <c r="AA615" i="15"/>
  <c r="AB615" i="15"/>
  <c r="AC615" i="15"/>
  <c r="AD615" i="15"/>
  <c r="AA616" i="15"/>
  <c r="AB616" i="15"/>
  <c r="AC616" i="15"/>
  <c r="AD616" i="15"/>
  <c r="AA617" i="15"/>
  <c r="AB617" i="15"/>
  <c r="AC617" i="15"/>
  <c r="AD617" i="15"/>
  <c r="AA618" i="15"/>
  <c r="AB618" i="15"/>
  <c r="AC618" i="15"/>
  <c r="AD618" i="15"/>
  <c r="AA619" i="15"/>
  <c r="AB619" i="15"/>
  <c r="AC619" i="15"/>
  <c r="AD619" i="15"/>
  <c r="AA620" i="15"/>
  <c r="AB620" i="15"/>
  <c r="AC620" i="15"/>
  <c r="AD620" i="15"/>
  <c r="AA621" i="15"/>
  <c r="AB621" i="15"/>
  <c r="AC621" i="15"/>
  <c r="AD621" i="15"/>
  <c r="AA622" i="15"/>
  <c r="AB622" i="15"/>
  <c r="AC622" i="15"/>
  <c r="AD622" i="15"/>
  <c r="AA1099" i="10"/>
  <c r="AB1099" i="10"/>
  <c r="AC1099" i="10"/>
  <c r="AD1099" i="10"/>
  <c r="AA1100" i="10"/>
  <c r="AB1100" i="10"/>
  <c r="AC1100" i="10"/>
  <c r="AD1100" i="10"/>
  <c r="AA1101" i="10"/>
  <c r="AB1101" i="10"/>
  <c r="AC1101" i="10"/>
  <c r="AD1101" i="10"/>
  <c r="AA1102" i="10"/>
  <c r="AB1102" i="10"/>
  <c r="AC1102" i="10"/>
  <c r="AD1102" i="10"/>
  <c r="AA1103" i="10"/>
  <c r="AB1103" i="10"/>
  <c r="AC1103" i="10"/>
  <c r="AD1103" i="10"/>
  <c r="AA1104" i="10"/>
  <c r="AB1104" i="10"/>
  <c r="AC1104" i="10"/>
  <c r="AD1104" i="10"/>
  <c r="AA1105" i="10"/>
  <c r="AB1105" i="10"/>
  <c r="AC1105" i="10"/>
  <c r="AD1105" i="10"/>
  <c r="AA1106" i="10"/>
  <c r="AB1106" i="10"/>
  <c r="AC1106" i="10"/>
  <c r="AD1106" i="10"/>
  <c r="AA1107" i="10"/>
  <c r="AB1107" i="10"/>
  <c r="AC1107" i="10"/>
  <c r="AD1107" i="10"/>
  <c r="AA1108" i="10"/>
  <c r="AB1108" i="10"/>
  <c r="AC1108" i="10"/>
  <c r="AD1108" i="10"/>
  <c r="AA1109" i="10"/>
  <c r="AB1109" i="10"/>
  <c r="AC1109" i="10"/>
  <c r="AD1109" i="10"/>
  <c r="AA1110" i="10"/>
  <c r="AB1110" i="10"/>
  <c r="AC1110" i="10"/>
  <c r="AD1110" i="10"/>
  <c r="AA599" i="15"/>
  <c r="AB599" i="15"/>
  <c r="AC599" i="15"/>
  <c r="AD599" i="15"/>
  <c r="AA600" i="15"/>
  <c r="AB600" i="15"/>
  <c r="AC600" i="15"/>
  <c r="AD600" i="15"/>
  <c r="AA601" i="15"/>
  <c r="AB601" i="15"/>
  <c r="AC601" i="15"/>
  <c r="AD601" i="15"/>
  <c r="AA602" i="15"/>
  <c r="AB602" i="15"/>
  <c r="AC602" i="15"/>
  <c r="AD602" i="15"/>
  <c r="AA603" i="15"/>
  <c r="AB603" i="15"/>
  <c r="AC603" i="15"/>
  <c r="AD603" i="15"/>
  <c r="AA604" i="15"/>
  <c r="AB604" i="15"/>
  <c r="AC604" i="15"/>
  <c r="AD604" i="15"/>
  <c r="AA605" i="15"/>
  <c r="AB605" i="15"/>
  <c r="AC605" i="15"/>
  <c r="AD605" i="15"/>
  <c r="AA606" i="15"/>
  <c r="AB606" i="15"/>
  <c r="AC606" i="15"/>
  <c r="AD606" i="15"/>
  <c r="AA607" i="15"/>
  <c r="AB607" i="15"/>
  <c r="AC607" i="15"/>
  <c r="AD607" i="15"/>
  <c r="AA608" i="15"/>
  <c r="AB608" i="15"/>
  <c r="AC608" i="15"/>
  <c r="AD608" i="15"/>
  <c r="AA609" i="15"/>
  <c r="AB609" i="15"/>
  <c r="AC609" i="15"/>
  <c r="AD609" i="15"/>
  <c r="AA610" i="15"/>
  <c r="AB610" i="15"/>
  <c r="AC610" i="15"/>
  <c r="AD610" i="15"/>
  <c r="AA1087" i="10"/>
  <c r="AB1087" i="10"/>
  <c r="AC1087" i="10"/>
  <c r="AD1087" i="10"/>
  <c r="AA1088" i="10"/>
  <c r="AB1088" i="10"/>
  <c r="AC1088" i="10"/>
  <c r="AD1088" i="10"/>
  <c r="AA1089" i="10"/>
  <c r="AB1089" i="10"/>
  <c r="AC1089" i="10"/>
  <c r="AD1089" i="10"/>
  <c r="AA1090" i="10"/>
  <c r="AB1090" i="10"/>
  <c r="AC1090" i="10"/>
  <c r="AD1090" i="10"/>
  <c r="AA1091" i="10"/>
  <c r="AB1091" i="10"/>
  <c r="AC1091" i="10"/>
  <c r="AD1091" i="10"/>
  <c r="AA1092" i="10"/>
  <c r="AB1092" i="10"/>
  <c r="AC1092" i="10"/>
  <c r="AD1092" i="10"/>
  <c r="AA1093" i="10"/>
  <c r="AB1093" i="10"/>
  <c r="AC1093" i="10"/>
  <c r="AD1093" i="10"/>
  <c r="AA1094" i="10"/>
  <c r="AB1094" i="10"/>
  <c r="AC1094" i="10"/>
  <c r="AD1094" i="10"/>
  <c r="AA1095" i="10"/>
  <c r="AB1095" i="10"/>
  <c r="AC1095" i="10"/>
  <c r="AD1095" i="10"/>
  <c r="AA1096" i="10"/>
  <c r="AB1096" i="10"/>
  <c r="AC1096" i="10"/>
  <c r="AD1096" i="10"/>
  <c r="AA1097" i="10"/>
  <c r="AB1097" i="10"/>
  <c r="AC1097" i="10"/>
  <c r="AD1097" i="10"/>
  <c r="AA1098" i="10"/>
  <c r="AB1098" i="10"/>
  <c r="AC1098" i="10"/>
  <c r="AD1098" i="10"/>
  <c r="H3" i="12" a="1"/>
  <c r="H3" i="12" s="1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2" i="12" a="1"/>
  <c r="H12" i="12" s="1"/>
  <c r="H13" i="12" a="1"/>
  <c r="H13" i="12" s="1"/>
  <c r="H14" i="12" a="1"/>
  <c r="H14" i="12" s="1"/>
  <c r="H15" i="12" a="1"/>
  <c r="H15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1" i="12" a="1"/>
  <c r="H21" i="12" s="1"/>
  <c r="H22" i="12" a="1"/>
  <c r="H22" i="12" s="1"/>
  <c r="H23" i="12" a="1"/>
  <c r="H23" i="12" s="1"/>
  <c r="H24" i="12" a="1"/>
  <c r="H24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2" i="12" a="1"/>
  <c r="H32" i="12" s="1"/>
  <c r="H33" i="12" a="1"/>
  <c r="H33" i="12" s="1"/>
  <c r="H34" i="12" a="1"/>
  <c r="H34" i="12" s="1"/>
  <c r="H35" i="12" a="1"/>
  <c r="H35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1" i="12" a="1"/>
  <c r="H41" i="12" s="1"/>
  <c r="H42" i="12" a="1"/>
  <c r="H42" i="12" s="1"/>
  <c r="H43" i="12" a="1"/>
  <c r="H43" i="12" s="1"/>
  <c r="H44" i="12" a="1"/>
  <c r="H44" i="12" s="1"/>
  <c r="H45" i="12" a="1"/>
  <c r="H45" i="12" s="1"/>
  <c r="H46" i="12" a="1"/>
  <c r="H46" i="12" s="1"/>
  <c r="H47" i="12" a="1"/>
  <c r="H47" i="12" s="1"/>
  <c r="H48" i="12" a="1"/>
  <c r="H48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61" i="12" a="1"/>
  <c r="H61" i="12" s="1"/>
  <c r="H62" i="12" a="1"/>
  <c r="H62" i="12" s="1"/>
  <c r="H2" i="12" a="1"/>
  <c r="H2" i="12" s="1"/>
  <c r="D46" i="22"/>
  <c r="D50" i="22"/>
  <c r="D8" i="22"/>
  <c r="D51" i="22"/>
  <c r="D47" i="22"/>
  <c r="D36" i="22"/>
  <c r="D34" i="22"/>
  <c r="D48" i="22"/>
  <c r="D20" i="22"/>
  <c r="D52" i="22"/>
  <c r="D12" i="22"/>
  <c r="D37" i="22"/>
  <c r="D35" i="22"/>
  <c r="D38" i="22"/>
  <c r="D43" i="22"/>
  <c r="D14" i="22"/>
  <c r="D57" i="22"/>
  <c r="D31" i="22"/>
  <c r="D32" i="22"/>
  <c r="D6" i="22"/>
  <c r="D26" i="22"/>
  <c r="D9" i="22"/>
  <c r="D22" i="22"/>
  <c r="D41" i="22"/>
  <c r="D10" i="22"/>
  <c r="D42" i="22"/>
  <c r="D23" i="22"/>
  <c r="D39" i="22"/>
  <c r="D21" i="22"/>
  <c r="D33" i="22"/>
  <c r="D45" i="22"/>
  <c r="D16" i="22"/>
  <c r="D40" i="22"/>
  <c r="D13" i="22"/>
  <c r="D30" i="22"/>
  <c r="D53" i="22"/>
  <c r="D19" i="22"/>
  <c r="D2" i="22"/>
  <c r="D11" i="22"/>
  <c r="D24" i="22"/>
  <c r="D49" i="22"/>
  <c r="D15" i="22"/>
  <c r="D54" i="22"/>
  <c r="D25" i="22"/>
  <c r="D17" i="22"/>
  <c r="D4" i="22"/>
  <c r="D27" i="22"/>
  <c r="D29" i="22"/>
  <c r="D3" i="22"/>
  <c r="D28" i="22"/>
  <c r="D56" i="22"/>
  <c r="D18" i="22"/>
  <c r="D5" i="22"/>
  <c r="D7" i="22"/>
  <c r="D44" i="22"/>
  <c r="D55" i="22"/>
  <c r="J3" i="11" a="1"/>
  <c r="J3" i="11" s="1"/>
  <c r="B46" i="22" s="1"/>
  <c r="E46" i="22" s="1"/>
  <c r="J4" i="11" a="1"/>
  <c r="J4" i="11" s="1"/>
  <c r="B50" i="22" s="1"/>
  <c r="E50" i="22" s="1"/>
  <c r="J5" i="11" a="1"/>
  <c r="J5" i="11" s="1"/>
  <c r="B8" i="22" s="1"/>
  <c r="E8" i="22" s="1"/>
  <c r="J6" i="11" a="1"/>
  <c r="J6" i="11" s="1"/>
  <c r="B51" i="22" s="1"/>
  <c r="E51" i="22" s="1"/>
  <c r="J7" i="11" a="1"/>
  <c r="J7" i="11" s="1"/>
  <c r="B47" i="22" s="1"/>
  <c r="E47" i="22" s="1"/>
  <c r="J8" i="11" a="1"/>
  <c r="J8" i="11" s="1"/>
  <c r="B36" i="22" s="1"/>
  <c r="E36" i="22" s="1"/>
  <c r="J9" i="11" a="1"/>
  <c r="J9" i="11" s="1"/>
  <c r="B34" i="22" s="1"/>
  <c r="E34" i="22" s="1"/>
  <c r="J10" i="11" a="1"/>
  <c r="J10" i="11" s="1"/>
  <c r="B48" i="22" s="1"/>
  <c r="E48" i="22" s="1"/>
  <c r="J11" i="11" a="1"/>
  <c r="J11" i="11" s="1"/>
  <c r="B20" i="22" s="1"/>
  <c r="E20" i="22" s="1"/>
  <c r="J12" i="11" a="1"/>
  <c r="J12" i="11" s="1"/>
  <c r="B52" i="22" s="1"/>
  <c r="E52" i="22" s="1"/>
  <c r="J13" i="11" a="1"/>
  <c r="J13" i="11" s="1"/>
  <c r="B12" i="22" s="1"/>
  <c r="E12" i="22" s="1"/>
  <c r="J14" i="11" a="1"/>
  <c r="J14" i="11" s="1"/>
  <c r="B37" i="22" s="1"/>
  <c r="E37" i="22" s="1"/>
  <c r="J15" i="11" a="1"/>
  <c r="J15" i="11" s="1"/>
  <c r="B35" i="22" s="1"/>
  <c r="E35" i="22" s="1"/>
  <c r="J16" i="11" a="1"/>
  <c r="J16" i="11" s="1"/>
  <c r="B38" i="22" s="1"/>
  <c r="E38" i="22" s="1"/>
  <c r="J17" i="11" a="1"/>
  <c r="J17" i="11" s="1"/>
  <c r="B43" i="22" s="1"/>
  <c r="E43" i="22" s="1"/>
  <c r="J18" i="11" a="1"/>
  <c r="J18" i="11" s="1"/>
  <c r="B14" i="22" s="1"/>
  <c r="E14" i="22" s="1"/>
  <c r="J19" i="11" a="1"/>
  <c r="J19" i="11" s="1"/>
  <c r="B57" i="22" s="1"/>
  <c r="E57" i="22" s="1"/>
  <c r="J20" i="11" a="1"/>
  <c r="J20" i="11" s="1"/>
  <c r="B31" i="22" s="1"/>
  <c r="E31" i="22" s="1"/>
  <c r="J21" i="11" a="1"/>
  <c r="J21" i="11" s="1"/>
  <c r="B32" i="22" s="1"/>
  <c r="E32" i="22" s="1"/>
  <c r="J22" i="11" a="1"/>
  <c r="J22" i="11" s="1"/>
  <c r="B6" i="22" s="1"/>
  <c r="E6" i="22" s="1"/>
  <c r="J23" i="11" a="1"/>
  <c r="J23" i="11" s="1"/>
  <c r="B26" i="22" s="1"/>
  <c r="E26" i="22" s="1"/>
  <c r="J24" i="11" a="1"/>
  <c r="J24" i="11" s="1"/>
  <c r="B9" i="22" s="1"/>
  <c r="E9" i="22" s="1"/>
  <c r="J25" i="11" a="1"/>
  <c r="J25" i="11" s="1"/>
  <c r="B22" i="22" s="1"/>
  <c r="E22" i="22" s="1"/>
  <c r="J26" i="11" a="1"/>
  <c r="J26" i="11" s="1"/>
  <c r="B41" i="22" s="1"/>
  <c r="E41" i="22" s="1"/>
  <c r="J27" i="11" a="1"/>
  <c r="J27" i="11" s="1"/>
  <c r="B10" i="22" s="1"/>
  <c r="E10" i="22" s="1"/>
  <c r="J28" i="11" a="1"/>
  <c r="J28" i="11" s="1"/>
  <c r="B42" i="22" s="1"/>
  <c r="E42" i="22" s="1"/>
  <c r="J29" i="11" a="1"/>
  <c r="J29" i="11" s="1"/>
  <c r="B23" i="22" s="1"/>
  <c r="E23" i="22" s="1"/>
  <c r="J30" i="11" a="1"/>
  <c r="J30" i="11" s="1"/>
  <c r="B39" i="22" s="1"/>
  <c r="E39" i="22" s="1"/>
  <c r="J31" i="11" a="1"/>
  <c r="J31" i="11" s="1"/>
  <c r="B21" i="22" s="1"/>
  <c r="E21" i="22" s="1"/>
  <c r="J32" i="11" a="1"/>
  <c r="J32" i="11" s="1"/>
  <c r="B33" i="22" s="1"/>
  <c r="E33" i="22" s="1"/>
  <c r="J33" i="11" a="1"/>
  <c r="J33" i="11" s="1"/>
  <c r="B45" i="22" s="1"/>
  <c r="E45" i="22" s="1"/>
  <c r="J34" i="11" a="1"/>
  <c r="J34" i="11" s="1"/>
  <c r="B16" i="22" s="1"/>
  <c r="E16" i="22" s="1"/>
  <c r="J35" i="11" a="1"/>
  <c r="J35" i="11" s="1"/>
  <c r="B40" i="22" s="1"/>
  <c r="E40" i="22" s="1"/>
  <c r="J36" i="11" a="1"/>
  <c r="J36" i="11" s="1"/>
  <c r="B13" i="22" s="1"/>
  <c r="E13" i="22" s="1"/>
  <c r="J37" i="11" a="1"/>
  <c r="J37" i="11" s="1"/>
  <c r="B30" i="22" s="1"/>
  <c r="E30" i="22" s="1"/>
  <c r="J38" i="11" a="1"/>
  <c r="J38" i="11" s="1"/>
  <c r="B53" i="22" s="1"/>
  <c r="E53" i="22" s="1"/>
  <c r="J39" i="11" a="1"/>
  <c r="J39" i="11" s="1"/>
  <c r="B19" i="22" s="1"/>
  <c r="E19" i="22" s="1"/>
  <c r="J40" i="11" a="1"/>
  <c r="J40" i="11" s="1"/>
  <c r="B2" i="22" s="1"/>
  <c r="E2" i="22" s="1"/>
  <c r="J41" i="11" a="1"/>
  <c r="J41" i="11" s="1"/>
  <c r="B11" i="22" s="1"/>
  <c r="E11" i="22" s="1"/>
  <c r="J42" i="11" a="1"/>
  <c r="J42" i="11" s="1"/>
  <c r="B24" i="22" s="1"/>
  <c r="E24" i="22" s="1"/>
  <c r="J43" i="11" a="1"/>
  <c r="J43" i="11" s="1"/>
  <c r="B49" i="22" s="1"/>
  <c r="E49" i="22" s="1"/>
  <c r="J45" i="11" a="1"/>
  <c r="J45" i="11" s="1"/>
  <c r="B15" i="22" s="1"/>
  <c r="E15" i="22" s="1"/>
  <c r="J46" i="11" a="1"/>
  <c r="J46" i="11" s="1"/>
  <c r="B54" i="22" s="1"/>
  <c r="E54" i="22" s="1"/>
  <c r="J47" i="11" a="1"/>
  <c r="J47" i="11" s="1"/>
  <c r="B25" i="22" s="1"/>
  <c r="E25" i="22" s="1"/>
  <c r="J48" i="11" a="1"/>
  <c r="J48" i="11" s="1"/>
  <c r="B17" i="22" s="1"/>
  <c r="E17" i="22" s="1"/>
  <c r="J49" i="11" a="1"/>
  <c r="J49" i="11" s="1"/>
  <c r="B4" i="22" s="1"/>
  <c r="E4" i="22" s="1"/>
  <c r="J50" i="11" a="1"/>
  <c r="J50" i="11" s="1"/>
  <c r="B27" i="22" s="1"/>
  <c r="E27" i="22" s="1"/>
  <c r="J51" i="11" a="1"/>
  <c r="J51" i="11" s="1"/>
  <c r="B29" i="22" s="1"/>
  <c r="E29" i="22" s="1"/>
  <c r="J52" i="11" a="1"/>
  <c r="J52" i="11" s="1"/>
  <c r="B3" i="22" s="1"/>
  <c r="E3" i="22" s="1"/>
  <c r="J53" i="11" a="1"/>
  <c r="J53" i="11" s="1"/>
  <c r="B28" i="22" s="1"/>
  <c r="E28" i="22" s="1"/>
  <c r="J54" i="11" a="1"/>
  <c r="J54" i="11" s="1"/>
  <c r="B56" i="22" s="1"/>
  <c r="E56" i="22" s="1"/>
  <c r="J55" i="11" a="1"/>
  <c r="J55" i="11" s="1"/>
  <c r="B18" i="22" s="1"/>
  <c r="E18" i="22" s="1"/>
  <c r="J56" i="11" a="1"/>
  <c r="J56" i="11" s="1"/>
  <c r="B5" i="22" s="1"/>
  <c r="E5" i="22" s="1"/>
  <c r="J57" i="11" a="1"/>
  <c r="J57" i="11" s="1"/>
  <c r="B7" i="22" s="1"/>
  <c r="E7" i="22" s="1"/>
  <c r="J58" i="11" a="1"/>
  <c r="J58" i="11" s="1"/>
  <c r="B44" i="22" s="1"/>
  <c r="E44" i="22" s="1"/>
  <c r="J2" i="11" a="1"/>
  <c r="J2" i="11" s="1"/>
  <c r="B55" i="22" s="1"/>
  <c r="E55" i="22" s="1"/>
  <c r="AH1203" i="9" l="1"/>
  <c r="AI1203" i="9"/>
  <c r="AJ1203" i="9"/>
  <c r="AK1203" i="9"/>
  <c r="AH1204" i="9"/>
  <c r="AI1204" i="9"/>
  <c r="AJ1204" i="9"/>
  <c r="AK1204" i="9"/>
  <c r="AH1205" i="9"/>
  <c r="AI1205" i="9"/>
  <c r="AJ1205" i="9"/>
  <c r="AK1205" i="9"/>
  <c r="AH1206" i="9"/>
  <c r="AI1206" i="9"/>
  <c r="AJ1206" i="9"/>
  <c r="AK1206" i="9"/>
  <c r="AH1207" i="9"/>
  <c r="AI1207" i="9"/>
  <c r="AJ1207" i="9"/>
  <c r="AK1207" i="9"/>
  <c r="AH1208" i="9"/>
  <c r="AI1208" i="9"/>
  <c r="AJ1208" i="9"/>
  <c r="AK1208" i="9"/>
  <c r="AH1209" i="9"/>
  <c r="AI1209" i="9"/>
  <c r="AJ1209" i="9"/>
  <c r="AK1209" i="9"/>
  <c r="AH1210" i="9"/>
  <c r="AI1210" i="9"/>
  <c r="AJ1210" i="9"/>
  <c r="AK1210" i="9"/>
  <c r="AH1211" i="9"/>
  <c r="AI1211" i="9"/>
  <c r="AJ1211" i="9"/>
  <c r="AK1211" i="9"/>
  <c r="AH1212" i="9"/>
  <c r="AI1212" i="9"/>
  <c r="AJ1212" i="9"/>
  <c r="AK1212" i="9"/>
  <c r="AH1213" i="9"/>
  <c r="AI1213" i="9"/>
  <c r="AJ1213" i="9"/>
  <c r="AK1213" i="9"/>
  <c r="AH1214" i="9"/>
  <c r="AI1214" i="9"/>
  <c r="AJ1214" i="9"/>
  <c r="AK1214" i="9"/>
  <c r="AH499" i="17"/>
  <c r="AI499" i="17"/>
  <c r="AJ499" i="17"/>
  <c r="AK499" i="17"/>
  <c r="AH500" i="17"/>
  <c r="AI500" i="17"/>
  <c r="AJ500" i="17"/>
  <c r="AK500" i="17"/>
  <c r="AH501" i="17"/>
  <c r="AI501" i="17"/>
  <c r="AJ501" i="17"/>
  <c r="AK501" i="17"/>
  <c r="AH502" i="17"/>
  <c r="AI502" i="17"/>
  <c r="AJ502" i="17"/>
  <c r="AK502" i="17"/>
  <c r="AH503" i="17"/>
  <c r="AI503" i="17"/>
  <c r="AJ503" i="17"/>
  <c r="AK503" i="17"/>
  <c r="AH504" i="17"/>
  <c r="AI504" i="17"/>
  <c r="AJ504" i="17"/>
  <c r="AK504" i="17"/>
  <c r="AH505" i="17"/>
  <c r="AI505" i="17"/>
  <c r="AJ505" i="17"/>
  <c r="AK505" i="17"/>
  <c r="AH506" i="17"/>
  <c r="AI506" i="17"/>
  <c r="AJ506" i="17"/>
  <c r="AK506" i="17"/>
  <c r="AH507" i="17"/>
  <c r="AI507" i="17"/>
  <c r="AJ507" i="17"/>
  <c r="AK507" i="17"/>
  <c r="AH508" i="17"/>
  <c r="AI508" i="17"/>
  <c r="AJ508" i="17"/>
  <c r="AK508" i="17"/>
  <c r="AH509" i="17"/>
  <c r="AI509" i="17"/>
  <c r="AJ509" i="17"/>
  <c r="AK509" i="17"/>
  <c r="AH510" i="17"/>
  <c r="AI510" i="17"/>
  <c r="AJ510" i="17"/>
  <c r="AK510" i="17"/>
  <c r="AH489" i="17"/>
  <c r="AI489" i="17"/>
  <c r="AJ489" i="17"/>
  <c r="AK489" i="17"/>
  <c r="AH490" i="17"/>
  <c r="AI490" i="17"/>
  <c r="AJ490" i="17"/>
  <c r="AK490" i="17"/>
  <c r="AH491" i="17"/>
  <c r="AI491" i="17"/>
  <c r="AJ491" i="17"/>
  <c r="AK491" i="17"/>
  <c r="AH492" i="17"/>
  <c r="AI492" i="17"/>
  <c r="N23" i="16" s="1"/>
  <c r="AJ492" i="17"/>
  <c r="Q23" i="16" s="1"/>
  <c r="AK492" i="17"/>
  <c r="K23" i="16" s="1"/>
  <c r="AH493" i="17"/>
  <c r="AI493" i="17"/>
  <c r="AJ493" i="17"/>
  <c r="AK493" i="17"/>
  <c r="AH494" i="17"/>
  <c r="AI494" i="17"/>
  <c r="AJ494" i="17"/>
  <c r="AK494" i="17"/>
  <c r="AH495" i="17"/>
  <c r="AI495" i="17"/>
  <c r="AJ495" i="17"/>
  <c r="AK495" i="17"/>
  <c r="AH496" i="17"/>
  <c r="AI496" i="17"/>
  <c r="AJ496" i="17"/>
  <c r="AK496" i="17"/>
  <c r="AH497" i="17"/>
  <c r="AI497" i="17"/>
  <c r="AJ497" i="17"/>
  <c r="AK497" i="17"/>
  <c r="AH498" i="17"/>
  <c r="AI498" i="17"/>
  <c r="AJ498" i="17"/>
  <c r="AK498" i="17"/>
  <c r="AH1193" i="9"/>
  <c r="AI1193" i="9"/>
  <c r="AJ1193" i="9"/>
  <c r="AK1193" i="9"/>
  <c r="AH1194" i="9"/>
  <c r="AI1194" i="9"/>
  <c r="AJ1194" i="9"/>
  <c r="AK1194" i="9"/>
  <c r="AH1195" i="9"/>
  <c r="AI1195" i="9"/>
  <c r="AJ1195" i="9"/>
  <c r="AK1195" i="9"/>
  <c r="AH1196" i="9"/>
  <c r="AI1196" i="9"/>
  <c r="AJ1196" i="9"/>
  <c r="AK1196" i="9"/>
  <c r="AH1197" i="9"/>
  <c r="AI1197" i="9"/>
  <c r="AJ1197" i="9"/>
  <c r="AK1197" i="9"/>
  <c r="AH1198" i="9"/>
  <c r="AI1198" i="9"/>
  <c r="AJ1198" i="9"/>
  <c r="AK1198" i="9"/>
  <c r="AH1199" i="9"/>
  <c r="AI1199" i="9"/>
  <c r="AJ1199" i="9"/>
  <c r="AK1199" i="9"/>
  <c r="AH1200" i="9"/>
  <c r="AI1200" i="9"/>
  <c r="AJ1200" i="9"/>
  <c r="AK1200" i="9"/>
  <c r="AH1201" i="9"/>
  <c r="AI1201" i="9"/>
  <c r="AJ1201" i="9"/>
  <c r="AK1201" i="9"/>
  <c r="AH1202" i="9"/>
  <c r="AI1202" i="9"/>
  <c r="AJ1202" i="9"/>
  <c r="AK1202" i="9"/>
  <c r="AH1181" i="9"/>
  <c r="AI1181" i="9"/>
  <c r="AJ1181" i="9"/>
  <c r="AK1181" i="9"/>
  <c r="AH1182" i="9"/>
  <c r="AI1182" i="9"/>
  <c r="AJ1182" i="9"/>
  <c r="AK1182" i="9"/>
  <c r="AH1183" i="9"/>
  <c r="AI1183" i="9"/>
  <c r="AJ1183" i="9"/>
  <c r="AK1183" i="9"/>
  <c r="AH1184" i="9"/>
  <c r="AI1184" i="9"/>
  <c r="AJ1184" i="9"/>
  <c r="AK1184" i="9"/>
  <c r="AH1185" i="9"/>
  <c r="AI1185" i="9"/>
  <c r="AJ1185" i="9"/>
  <c r="AK1185" i="9"/>
  <c r="AH1186" i="9"/>
  <c r="AI1186" i="9"/>
  <c r="AJ1186" i="9"/>
  <c r="AK1186" i="9"/>
  <c r="AH1187" i="9"/>
  <c r="AI1187" i="9"/>
  <c r="AJ1187" i="9"/>
  <c r="AK1187" i="9"/>
  <c r="AH1188" i="9"/>
  <c r="AI1188" i="9"/>
  <c r="AJ1188" i="9"/>
  <c r="AK1188" i="9"/>
  <c r="AH1189" i="9"/>
  <c r="AI1189" i="9"/>
  <c r="AJ1189" i="9"/>
  <c r="AK1189" i="9"/>
  <c r="AH1190" i="9"/>
  <c r="AI1190" i="9"/>
  <c r="AJ1190" i="9"/>
  <c r="AK1190" i="9"/>
  <c r="AH1191" i="9"/>
  <c r="AI1191" i="9"/>
  <c r="AJ1191" i="9"/>
  <c r="AK1191" i="9"/>
  <c r="AH1192" i="9"/>
  <c r="AI1192" i="9"/>
  <c r="AJ1192" i="9"/>
  <c r="AK1192" i="9"/>
  <c r="AH477" i="17"/>
  <c r="AI477" i="17"/>
  <c r="AJ477" i="17"/>
  <c r="AK477" i="17"/>
  <c r="AH478" i="17"/>
  <c r="AI478" i="17"/>
  <c r="AJ478" i="17"/>
  <c r="AK478" i="17"/>
  <c r="AH479" i="17"/>
  <c r="AI479" i="17"/>
  <c r="AJ479" i="17"/>
  <c r="AK479" i="17"/>
  <c r="AH480" i="17"/>
  <c r="AI480" i="17"/>
  <c r="AJ480" i="17"/>
  <c r="AK480" i="17"/>
  <c r="AH481" i="17"/>
  <c r="AI481" i="17"/>
  <c r="N9" i="16" s="1"/>
  <c r="AJ481" i="17"/>
  <c r="Q9" i="16" s="1"/>
  <c r="AK481" i="17"/>
  <c r="K9" i="16" s="1"/>
  <c r="AH482" i="17"/>
  <c r="AI482" i="17"/>
  <c r="AJ482" i="17"/>
  <c r="AK482" i="17"/>
  <c r="AH483" i="17"/>
  <c r="AI483" i="17"/>
  <c r="AJ483" i="17"/>
  <c r="AK483" i="17"/>
  <c r="AH484" i="17"/>
  <c r="AI484" i="17"/>
  <c r="AJ484" i="17"/>
  <c r="AK484" i="17"/>
  <c r="AH485" i="17"/>
  <c r="AI485" i="17"/>
  <c r="AJ485" i="17"/>
  <c r="AK485" i="17"/>
  <c r="AH486" i="17"/>
  <c r="AI486" i="17"/>
  <c r="AJ486" i="17"/>
  <c r="AK486" i="17"/>
  <c r="AH487" i="17"/>
  <c r="AI487" i="17"/>
  <c r="AJ487" i="17"/>
  <c r="AK487" i="17"/>
  <c r="AH488" i="17"/>
  <c r="AI488" i="17"/>
  <c r="AJ488" i="17"/>
  <c r="AK488" i="17"/>
  <c r="AH461" i="17"/>
  <c r="AI461" i="17"/>
  <c r="AJ461" i="17"/>
  <c r="AK461" i="17"/>
  <c r="AH462" i="17"/>
  <c r="AI462" i="17"/>
  <c r="AJ462" i="17"/>
  <c r="AK462" i="17"/>
  <c r="AH463" i="17"/>
  <c r="AI463" i="17"/>
  <c r="AJ463" i="17"/>
  <c r="AK463" i="17"/>
  <c r="AH464" i="17"/>
  <c r="AI464" i="17"/>
  <c r="AJ464" i="17"/>
  <c r="AK464" i="17"/>
  <c r="AH465" i="17"/>
  <c r="AI465" i="17"/>
  <c r="AJ465" i="17"/>
  <c r="AK465" i="17"/>
  <c r="AH466" i="17"/>
  <c r="AI466" i="17"/>
  <c r="AJ466" i="17"/>
  <c r="AK466" i="17"/>
  <c r="AH467" i="17"/>
  <c r="AI467" i="17"/>
  <c r="AJ467" i="17"/>
  <c r="AK467" i="17"/>
  <c r="AH468" i="17"/>
  <c r="AI468" i="17"/>
  <c r="AJ468" i="17"/>
  <c r="AK468" i="17"/>
  <c r="AH469" i="17"/>
  <c r="AI469" i="17"/>
  <c r="AJ469" i="17"/>
  <c r="AK469" i="17"/>
  <c r="AH470" i="17"/>
  <c r="AI470" i="17"/>
  <c r="AJ470" i="17"/>
  <c r="AK470" i="17"/>
  <c r="AH471" i="17"/>
  <c r="AI471" i="17"/>
  <c r="AJ471" i="17"/>
  <c r="AK471" i="17"/>
  <c r="AH472" i="17"/>
  <c r="AI472" i="17"/>
  <c r="AJ472" i="17"/>
  <c r="AK472" i="17"/>
  <c r="AH473" i="17"/>
  <c r="AI473" i="17"/>
  <c r="AJ473" i="17"/>
  <c r="AK473" i="17"/>
  <c r="AH474" i="17"/>
  <c r="AI474" i="17"/>
  <c r="AJ474" i="17"/>
  <c r="AK474" i="17"/>
  <c r="AH475" i="17"/>
  <c r="AI475" i="17"/>
  <c r="AJ475" i="17"/>
  <c r="AK475" i="17"/>
  <c r="AH476" i="17"/>
  <c r="AI476" i="17"/>
  <c r="AJ476" i="17"/>
  <c r="AK476" i="17"/>
  <c r="AH1165" i="9"/>
  <c r="AI1165" i="9"/>
  <c r="AJ1165" i="9"/>
  <c r="AK1165" i="9"/>
  <c r="AH1166" i="9"/>
  <c r="AI1166" i="9"/>
  <c r="AJ1166" i="9"/>
  <c r="AK1166" i="9"/>
  <c r="AH1167" i="9"/>
  <c r="AI1167" i="9"/>
  <c r="AJ1167" i="9"/>
  <c r="AK1167" i="9"/>
  <c r="AH1168" i="9"/>
  <c r="AI1168" i="9"/>
  <c r="AJ1168" i="9"/>
  <c r="AK1168" i="9"/>
  <c r="AH1169" i="9"/>
  <c r="AI1169" i="9"/>
  <c r="AJ1169" i="9"/>
  <c r="AK1169" i="9"/>
  <c r="AH1170" i="9"/>
  <c r="AI1170" i="9"/>
  <c r="AJ1170" i="9"/>
  <c r="AK1170" i="9"/>
  <c r="AH1171" i="9"/>
  <c r="AI1171" i="9"/>
  <c r="AJ1171" i="9"/>
  <c r="AK1171" i="9"/>
  <c r="AH1172" i="9"/>
  <c r="AI1172" i="9"/>
  <c r="AJ1172" i="9"/>
  <c r="AK1172" i="9"/>
  <c r="AH1173" i="9"/>
  <c r="AI1173" i="9"/>
  <c r="AJ1173" i="9"/>
  <c r="AK1173" i="9"/>
  <c r="AH1174" i="9"/>
  <c r="AI1174" i="9"/>
  <c r="AJ1174" i="9"/>
  <c r="AK1174" i="9"/>
  <c r="AH1175" i="9"/>
  <c r="AI1175" i="9"/>
  <c r="AJ1175" i="9"/>
  <c r="AK1175" i="9"/>
  <c r="AH1176" i="9"/>
  <c r="AI1176" i="9"/>
  <c r="AJ1176" i="9"/>
  <c r="AK1176" i="9"/>
  <c r="AH1177" i="9"/>
  <c r="AI1177" i="9"/>
  <c r="AJ1177" i="9"/>
  <c r="AK1177" i="9"/>
  <c r="AH1178" i="9"/>
  <c r="AI1178" i="9"/>
  <c r="AJ1178" i="9"/>
  <c r="AK1178" i="9"/>
  <c r="AH1179" i="9"/>
  <c r="AI1179" i="9"/>
  <c r="AJ1179" i="9"/>
  <c r="AK1179" i="9"/>
  <c r="AH1180" i="9"/>
  <c r="AI1180" i="9"/>
  <c r="AJ1180" i="9"/>
  <c r="AK1180" i="9"/>
  <c r="Q33" i="19"/>
  <c r="R33" i="19"/>
  <c r="S33" i="19"/>
  <c r="T33" i="19"/>
  <c r="U33" i="19"/>
  <c r="V33" i="19"/>
  <c r="W33" i="19"/>
  <c r="X33" i="19"/>
  <c r="Y33" i="19"/>
  <c r="Z33" i="19"/>
  <c r="AA33" i="19"/>
  <c r="AB33" i="19"/>
  <c r="AC33" i="19"/>
  <c r="AD33" i="19"/>
  <c r="AE33" i="19"/>
  <c r="P33" i="19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/>
  <c r="O33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AA220" i="18"/>
  <c r="AB220" i="18"/>
  <c r="AC220" i="18"/>
  <c r="AD220" i="18"/>
  <c r="AA221" i="18"/>
  <c r="AB221" i="18"/>
  <c r="AC221" i="18"/>
  <c r="AD221" i="18"/>
  <c r="AA222" i="18"/>
  <c r="AB222" i="18"/>
  <c r="AC222" i="18"/>
  <c r="AD222" i="18"/>
  <c r="AA223" i="18"/>
  <c r="AB223" i="18"/>
  <c r="AC223" i="18"/>
  <c r="AD223" i="18"/>
  <c r="AA224" i="18"/>
  <c r="AB224" i="18"/>
  <c r="AC224" i="18"/>
  <c r="AD224" i="18"/>
  <c r="AA225" i="18"/>
  <c r="AB225" i="18"/>
  <c r="AC225" i="18"/>
  <c r="AD225" i="18"/>
  <c r="AA226" i="18"/>
  <c r="AB226" i="18"/>
  <c r="AC226" i="18"/>
  <c r="AD226" i="18"/>
  <c r="AA227" i="18"/>
  <c r="AB227" i="18"/>
  <c r="AC227" i="18"/>
  <c r="AD227" i="18"/>
  <c r="AA228" i="18"/>
  <c r="AB228" i="18"/>
  <c r="AC228" i="18"/>
  <c r="AD228" i="18"/>
  <c r="AA229" i="18"/>
  <c r="AB229" i="18"/>
  <c r="AC229" i="18"/>
  <c r="AD229" i="18"/>
  <c r="AA230" i="18"/>
  <c r="AB230" i="18"/>
  <c r="AC230" i="18"/>
  <c r="AD230" i="18"/>
  <c r="AA231" i="18"/>
  <c r="AB231" i="18"/>
  <c r="AC231" i="18"/>
  <c r="AD231" i="18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T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A1075" i="10"/>
  <c r="AB1075" i="10"/>
  <c r="AC1075" i="10"/>
  <c r="AD1075" i="10"/>
  <c r="AA1076" i="10"/>
  <c r="AB1076" i="10"/>
  <c r="AC1076" i="10"/>
  <c r="AD1076" i="10"/>
  <c r="AA1077" i="10"/>
  <c r="AB1077" i="10"/>
  <c r="AC1077" i="10"/>
  <c r="AD1077" i="10"/>
  <c r="AA1078" i="10"/>
  <c r="AB1078" i="10"/>
  <c r="AC1078" i="10"/>
  <c r="AD1078" i="10"/>
  <c r="AA1079" i="10"/>
  <c r="AB1079" i="10"/>
  <c r="AC1079" i="10"/>
  <c r="AD1079" i="10"/>
  <c r="AA1080" i="10"/>
  <c r="AB1080" i="10"/>
  <c r="AC1080" i="10"/>
  <c r="AD1080" i="10"/>
  <c r="AA1081" i="10"/>
  <c r="AB1081" i="10"/>
  <c r="AC1081" i="10"/>
  <c r="AD1081" i="10"/>
  <c r="AA1082" i="10"/>
  <c r="AB1082" i="10"/>
  <c r="AC1082" i="10"/>
  <c r="AD1082" i="10"/>
  <c r="AA1083" i="10"/>
  <c r="AB1083" i="10"/>
  <c r="AC1083" i="10"/>
  <c r="AD1083" i="10"/>
  <c r="AA1084" i="10"/>
  <c r="AB1084" i="10"/>
  <c r="AC1084" i="10"/>
  <c r="AD1084" i="10"/>
  <c r="AA1085" i="10"/>
  <c r="AB1085" i="10"/>
  <c r="AC1085" i="10"/>
  <c r="AD1085" i="10"/>
  <c r="AA1086" i="10"/>
  <c r="AB1086" i="10"/>
  <c r="AC1086" i="10"/>
  <c r="AD1086" i="10"/>
  <c r="AH449" i="17"/>
  <c r="AI449" i="17"/>
  <c r="AJ449" i="17"/>
  <c r="AK449" i="17"/>
  <c r="AH450" i="17"/>
  <c r="AI450" i="17"/>
  <c r="AJ450" i="17"/>
  <c r="AK450" i="17"/>
  <c r="AH451" i="17"/>
  <c r="AI451" i="17"/>
  <c r="AJ451" i="17"/>
  <c r="AK451" i="17"/>
  <c r="AH452" i="17"/>
  <c r="AI452" i="17"/>
  <c r="AJ452" i="17"/>
  <c r="AK452" i="17"/>
  <c r="AH453" i="17"/>
  <c r="AI453" i="17"/>
  <c r="AJ453" i="17"/>
  <c r="AK453" i="17"/>
  <c r="AH454" i="17"/>
  <c r="AI454" i="17"/>
  <c r="AJ454" i="17"/>
  <c r="AK454" i="17"/>
  <c r="AH455" i="17"/>
  <c r="AI455" i="17"/>
  <c r="AJ455" i="17"/>
  <c r="AK455" i="17"/>
  <c r="AH456" i="17"/>
  <c r="AI456" i="17"/>
  <c r="AJ456" i="17"/>
  <c r="AK456" i="17"/>
  <c r="AH457" i="17"/>
  <c r="AI457" i="17"/>
  <c r="AJ457" i="17"/>
  <c r="AK457" i="17"/>
  <c r="AH458" i="17"/>
  <c r="AI458" i="17"/>
  <c r="AJ458" i="17"/>
  <c r="AK458" i="17"/>
  <c r="AH459" i="17"/>
  <c r="AI459" i="17"/>
  <c r="AJ459" i="17"/>
  <c r="AK459" i="17"/>
  <c r="AH460" i="17"/>
  <c r="AI460" i="17"/>
  <c r="AJ460" i="17"/>
  <c r="AK460" i="17"/>
  <c r="AH1153" i="9"/>
  <c r="AI1153" i="9"/>
  <c r="AJ1153" i="9"/>
  <c r="AK1153" i="9"/>
  <c r="AH1154" i="9"/>
  <c r="AI1154" i="9"/>
  <c r="AJ1154" i="9"/>
  <c r="AK1154" i="9"/>
  <c r="AH1155" i="9"/>
  <c r="AI1155" i="9"/>
  <c r="AJ1155" i="9"/>
  <c r="AK1155" i="9"/>
  <c r="AH1156" i="9"/>
  <c r="AI1156" i="9"/>
  <c r="AJ1156" i="9"/>
  <c r="AK1156" i="9"/>
  <c r="AH1157" i="9"/>
  <c r="AI1157" i="9"/>
  <c r="AJ1157" i="9"/>
  <c r="AK1157" i="9"/>
  <c r="AH1158" i="9"/>
  <c r="AI1158" i="9"/>
  <c r="AJ1158" i="9"/>
  <c r="AK1158" i="9"/>
  <c r="AH1159" i="9"/>
  <c r="AI1159" i="9"/>
  <c r="AJ1159" i="9"/>
  <c r="AK1159" i="9"/>
  <c r="AH1160" i="9"/>
  <c r="AI1160" i="9"/>
  <c r="AJ1160" i="9"/>
  <c r="AK1160" i="9"/>
  <c r="AH1161" i="9"/>
  <c r="AI1161" i="9"/>
  <c r="AJ1161" i="9"/>
  <c r="AK1161" i="9"/>
  <c r="AH1162" i="9"/>
  <c r="AI1162" i="9"/>
  <c r="AJ1162" i="9"/>
  <c r="AK1162" i="9"/>
  <c r="AH1163" i="9"/>
  <c r="AI1163" i="9"/>
  <c r="AJ1163" i="9"/>
  <c r="AK1163" i="9"/>
  <c r="AH1164" i="9"/>
  <c r="AI1164" i="9"/>
  <c r="AJ1164" i="9"/>
  <c r="AK1164" i="9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T38" i="13"/>
  <c r="H38" i="13"/>
  <c r="I38" i="13"/>
  <c r="J38" i="13" a="1"/>
  <c r="J38" i="13" s="1"/>
  <c r="K38" i="13"/>
  <c r="L38" i="13"/>
  <c r="M38" i="13"/>
  <c r="N38" i="13"/>
  <c r="O38" i="13" s="1"/>
  <c r="P38" i="13"/>
  <c r="Q38" i="13"/>
  <c r="R38" i="13" s="1"/>
  <c r="S38" i="13"/>
  <c r="T6" i="13"/>
  <c r="H6" i="13"/>
  <c r="I6" i="13"/>
  <c r="J6" i="13" a="1"/>
  <c r="J6" i="13" s="1"/>
  <c r="K6" i="13"/>
  <c r="L6" i="13"/>
  <c r="M6" i="13"/>
  <c r="N6" i="13"/>
  <c r="O6" i="13" s="1"/>
  <c r="P6" i="13"/>
  <c r="Q6" i="13"/>
  <c r="R6" i="13" s="1"/>
  <c r="S6" i="13"/>
  <c r="AA571" i="15"/>
  <c r="AB571" i="15"/>
  <c r="AC571" i="15"/>
  <c r="AD571" i="15"/>
  <c r="AA572" i="15"/>
  <c r="AB572" i="15"/>
  <c r="AC572" i="15"/>
  <c r="AD572" i="15"/>
  <c r="AA573" i="15"/>
  <c r="AB573" i="15"/>
  <c r="AC573" i="15"/>
  <c r="AD573" i="15"/>
  <c r="AA574" i="15"/>
  <c r="AB574" i="15"/>
  <c r="AC574" i="15"/>
  <c r="AD574" i="15"/>
  <c r="AA575" i="15"/>
  <c r="AB575" i="15"/>
  <c r="AC575" i="15"/>
  <c r="AD575" i="15"/>
  <c r="AA576" i="15"/>
  <c r="AB576" i="15"/>
  <c r="AC576" i="15"/>
  <c r="AD576" i="15"/>
  <c r="AA577" i="15"/>
  <c r="AB577" i="15"/>
  <c r="AC577" i="15"/>
  <c r="AD577" i="15"/>
  <c r="AA578" i="15"/>
  <c r="AB578" i="15"/>
  <c r="AC578" i="15"/>
  <c r="AD578" i="15"/>
  <c r="AA579" i="15"/>
  <c r="AB579" i="15"/>
  <c r="AC579" i="15"/>
  <c r="AD579" i="15"/>
  <c r="AA580" i="15"/>
  <c r="AB580" i="15"/>
  <c r="AC580" i="15"/>
  <c r="AD580" i="15"/>
  <c r="AA581" i="15"/>
  <c r="AB581" i="15"/>
  <c r="AC581" i="15"/>
  <c r="AD581" i="15"/>
  <c r="AA582" i="15"/>
  <c r="AB582" i="15"/>
  <c r="AC582" i="15"/>
  <c r="AD582" i="15"/>
  <c r="AA583" i="15"/>
  <c r="AB583" i="15"/>
  <c r="AC583" i="15"/>
  <c r="AD583" i="15"/>
  <c r="AA584" i="15"/>
  <c r="AB584" i="15"/>
  <c r="AC584" i="15"/>
  <c r="AD584" i="15"/>
  <c r="AA585" i="15"/>
  <c r="AB585" i="15"/>
  <c r="AC585" i="15"/>
  <c r="AD585" i="15"/>
  <c r="AA586" i="15"/>
  <c r="AB586" i="15"/>
  <c r="AC586" i="15"/>
  <c r="AD586" i="15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U6" i="11"/>
  <c r="H6" i="11"/>
  <c r="I6" i="11"/>
  <c r="K6" i="11" a="1"/>
  <c r="K6" i="11" s="1"/>
  <c r="L6" i="11"/>
  <c r="M6" i="11"/>
  <c r="N6" i="11"/>
  <c r="O6" i="11"/>
  <c r="P6" i="11" s="1"/>
  <c r="Q6" i="11"/>
  <c r="R6" i="11"/>
  <c r="S6" i="11" s="1"/>
  <c r="T6" i="11"/>
  <c r="AA1059" i="10"/>
  <c r="AB1059" i="10"/>
  <c r="AC1059" i="10"/>
  <c r="AD1059" i="10"/>
  <c r="AA1060" i="10"/>
  <c r="AB1060" i="10"/>
  <c r="AC1060" i="10"/>
  <c r="AD1060" i="10"/>
  <c r="AA1061" i="10"/>
  <c r="AB1061" i="10"/>
  <c r="AC1061" i="10"/>
  <c r="AD1061" i="10"/>
  <c r="AA1062" i="10"/>
  <c r="AB1062" i="10"/>
  <c r="AC1062" i="10"/>
  <c r="AD1062" i="10"/>
  <c r="AA1063" i="10"/>
  <c r="AB1063" i="10"/>
  <c r="AC1063" i="10"/>
  <c r="AD1063" i="10"/>
  <c r="AA1064" i="10"/>
  <c r="AB1064" i="10"/>
  <c r="AC1064" i="10"/>
  <c r="AD1064" i="10"/>
  <c r="AA1065" i="10"/>
  <c r="AB1065" i="10"/>
  <c r="AC1065" i="10"/>
  <c r="AD1065" i="10"/>
  <c r="AA1066" i="10"/>
  <c r="AB1066" i="10"/>
  <c r="AC1066" i="10"/>
  <c r="AD1066" i="10"/>
  <c r="AA1067" i="10"/>
  <c r="AB1067" i="10"/>
  <c r="AC1067" i="10"/>
  <c r="AD1067" i="10"/>
  <c r="AA1068" i="10"/>
  <c r="AB1068" i="10"/>
  <c r="AC1068" i="10"/>
  <c r="AD1068" i="10"/>
  <c r="AA1069" i="10"/>
  <c r="AB1069" i="10"/>
  <c r="AC1069" i="10"/>
  <c r="AD1069" i="10"/>
  <c r="AA1070" i="10"/>
  <c r="AB1070" i="10"/>
  <c r="AC1070" i="10"/>
  <c r="AD1070" i="10"/>
  <c r="AA1071" i="10"/>
  <c r="AB1071" i="10"/>
  <c r="AC1071" i="10"/>
  <c r="AD1071" i="10"/>
  <c r="AA1072" i="10"/>
  <c r="AB1072" i="10"/>
  <c r="AC1072" i="10"/>
  <c r="AD1072" i="10"/>
  <c r="AA1073" i="10"/>
  <c r="AB1073" i="10"/>
  <c r="AC1073" i="10"/>
  <c r="AD1073" i="10"/>
  <c r="AA1074" i="10"/>
  <c r="AB1074" i="10"/>
  <c r="AC1074" i="10"/>
  <c r="AD1074" i="10"/>
  <c r="AA555" i="15"/>
  <c r="AB555" i="15"/>
  <c r="AC555" i="15"/>
  <c r="AD555" i="15"/>
  <c r="AA556" i="15"/>
  <c r="AB556" i="15"/>
  <c r="AC556" i="15"/>
  <c r="AD556" i="15"/>
  <c r="AA557" i="15"/>
  <c r="AB557" i="15"/>
  <c r="AC557" i="15"/>
  <c r="AD557" i="15"/>
  <c r="AA558" i="15"/>
  <c r="AB558" i="15"/>
  <c r="AC558" i="15"/>
  <c r="AD558" i="15"/>
  <c r="AA559" i="15"/>
  <c r="AB559" i="15"/>
  <c r="AC559" i="15"/>
  <c r="AD559" i="15"/>
  <c r="AA560" i="15"/>
  <c r="AB560" i="15"/>
  <c r="AC560" i="15"/>
  <c r="AD560" i="15"/>
  <c r="AA561" i="15"/>
  <c r="AB561" i="15"/>
  <c r="AC561" i="15"/>
  <c r="AD561" i="15"/>
  <c r="AA562" i="15"/>
  <c r="AB562" i="15"/>
  <c r="AC562" i="15"/>
  <c r="AD562" i="15"/>
  <c r="AA563" i="15"/>
  <c r="AB563" i="15"/>
  <c r="AC563" i="15"/>
  <c r="AD563" i="15"/>
  <c r="AA564" i="15"/>
  <c r="AB564" i="15"/>
  <c r="AC564" i="15"/>
  <c r="AD564" i="15"/>
  <c r="AA565" i="15"/>
  <c r="AB565" i="15"/>
  <c r="AC565" i="15"/>
  <c r="AD565" i="15"/>
  <c r="AA566" i="15"/>
  <c r="AB566" i="15"/>
  <c r="AC566" i="15"/>
  <c r="AD566" i="15"/>
  <c r="AA567" i="15"/>
  <c r="AB567" i="15"/>
  <c r="AC567" i="15"/>
  <c r="AD567" i="15"/>
  <c r="AA568" i="15"/>
  <c r="AB568" i="15"/>
  <c r="AC568" i="15"/>
  <c r="AD568" i="15"/>
  <c r="AA569" i="15"/>
  <c r="AB569" i="15"/>
  <c r="AC569" i="15"/>
  <c r="AD569" i="15"/>
  <c r="AA570" i="15"/>
  <c r="AB570" i="15"/>
  <c r="AC570" i="15"/>
  <c r="AD570" i="15"/>
  <c r="AA1043" i="10"/>
  <c r="AB1043" i="10"/>
  <c r="AC1043" i="10"/>
  <c r="AD1043" i="10"/>
  <c r="AA1044" i="10"/>
  <c r="AB1044" i="10"/>
  <c r="AC1044" i="10"/>
  <c r="AD1044" i="10"/>
  <c r="AA1045" i="10"/>
  <c r="AB1045" i="10"/>
  <c r="AC1045" i="10"/>
  <c r="AD1045" i="10"/>
  <c r="AA1046" i="10"/>
  <c r="AB1046" i="10"/>
  <c r="AC1046" i="10"/>
  <c r="AD1046" i="10"/>
  <c r="AA1047" i="10"/>
  <c r="AB1047" i="10"/>
  <c r="AC1047" i="10"/>
  <c r="AD1047" i="10"/>
  <c r="AA1048" i="10"/>
  <c r="AB1048" i="10"/>
  <c r="AC1048" i="10"/>
  <c r="AD1048" i="10"/>
  <c r="AA1049" i="10"/>
  <c r="AB1049" i="10"/>
  <c r="AC1049" i="10"/>
  <c r="AD1049" i="10"/>
  <c r="AA1050" i="10"/>
  <c r="AB1050" i="10"/>
  <c r="AC1050" i="10"/>
  <c r="AD1050" i="10"/>
  <c r="AA1051" i="10"/>
  <c r="AB1051" i="10"/>
  <c r="AC1051" i="10"/>
  <c r="AD1051" i="10"/>
  <c r="AA1052" i="10"/>
  <c r="AB1052" i="10"/>
  <c r="AC1052" i="10"/>
  <c r="AD1052" i="10"/>
  <c r="AA1053" i="10"/>
  <c r="AB1053" i="10"/>
  <c r="AC1053" i="10"/>
  <c r="AD1053" i="10"/>
  <c r="AA1054" i="10"/>
  <c r="AB1054" i="10"/>
  <c r="AC1054" i="10"/>
  <c r="AD1054" i="10"/>
  <c r="AA1055" i="10"/>
  <c r="AB1055" i="10"/>
  <c r="AC1055" i="10"/>
  <c r="AD1055" i="10"/>
  <c r="AA1056" i="10"/>
  <c r="AB1056" i="10"/>
  <c r="AC1056" i="10"/>
  <c r="AD1056" i="10"/>
  <c r="AA1057" i="10"/>
  <c r="AB1057" i="10"/>
  <c r="AC1057" i="10"/>
  <c r="AD1057" i="10"/>
  <c r="AA1058" i="10"/>
  <c r="AB1058" i="10"/>
  <c r="AC1058" i="10"/>
  <c r="AD1058" i="10"/>
  <c r="AH433" i="17"/>
  <c r="AI433" i="17"/>
  <c r="AJ433" i="17"/>
  <c r="AK433" i="17"/>
  <c r="AH434" i="17"/>
  <c r="AI434" i="17"/>
  <c r="AJ434" i="17"/>
  <c r="AK434" i="17"/>
  <c r="AH435" i="17"/>
  <c r="AI435" i="17"/>
  <c r="AJ435" i="17"/>
  <c r="AK435" i="17"/>
  <c r="AH436" i="17"/>
  <c r="AI436" i="17"/>
  <c r="AJ436" i="17"/>
  <c r="AK436" i="17"/>
  <c r="AH437" i="17"/>
  <c r="AI437" i="17"/>
  <c r="AJ437" i="17"/>
  <c r="AK437" i="17"/>
  <c r="AH438" i="17"/>
  <c r="AI438" i="17"/>
  <c r="AJ438" i="17"/>
  <c r="AK438" i="17"/>
  <c r="AH439" i="17"/>
  <c r="AI439" i="17"/>
  <c r="AJ439" i="17"/>
  <c r="AK439" i="17"/>
  <c r="AH440" i="17"/>
  <c r="AI440" i="17"/>
  <c r="AJ440" i="17"/>
  <c r="AK440" i="17"/>
  <c r="AH441" i="17"/>
  <c r="AI441" i="17"/>
  <c r="AJ441" i="17"/>
  <c r="AK441" i="17"/>
  <c r="AH442" i="17"/>
  <c r="AI442" i="17"/>
  <c r="AJ442" i="17"/>
  <c r="AK442" i="17"/>
  <c r="AH443" i="17"/>
  <c r="AI443" i="17"/>
  <c r="AJ443" i="17"/>
  <c r="AK443" i="17"/>
  <c r="AH444" i="17"/>
  <c r="AI444" i="17"/>
  <c r="AJ444" i="17"/>
  <c r="AK444" i="17"/>
  <c r="AH445" i="17"/>
  <c r="AI445" i="17"/>
  <c r="AJ445" i="17"/>
  <c r="AK445" i="17"/>
  <c r="AH446" i="17"/>
  <c r="AI446" i="17"/>
  <c r="AJ446" i="17"/>
  <c r="AK446" i="17"/>
  <c r="AH447" i="17"/>
  <c r="AI447" i="17"/>
  <c r="AJ447" i="17"/>
  <c r="AK447" i="17"/>
  <c r="AH448" i="17"/>
  <c r="AI448" i="17"/>
  <c r="AJ448" i="17"/>
  <c r="AK448" i="17"/>
  <c r="AH1137" i="9"/>
  <c r="AI1137" i="9"/>
  <c r="AJ1137" i="9"/>
  <c r="AK1137" i="9"/>
  <c r="AH1138" i="9"/>
  <c r="AI1138" i="9"/>
  <c r="AJ1138" i="9"/>
  <c r="AK1138" i="9"/>
  <c r="AH1139" i="9"/>
  <c r="AI1139" i="9"/>
  <c r="AJ1139" i="9"/>
  <c r="AK1139" i="9"/>
  <c r="AH1140" i="9"/>
  <c r="AI1140" i="9"/>
  <c r="AJ1140" i="9"/>
  <c r="AK1140" i="9"/>
  <c r="AH1141" i="9"/>
  <c r="AI1141" i="9"/>
  <c r="AJ1141" i="9"/>
  <c r="AK1141" i="9"/>
  <c r="AH1142" i="9"/>
  <c r="AI1142" i="9"/>
  <c r="AJ1142" i="9"/>
  <c r="AK1142" i="9"/>
  <c r="AH1143" i="9"/>
  <c r="AI1143" i="9"/>
  <c r="AJ1143" i="9"/>
  <c r="AK1143" i="9"/>
  <c r="AH1144" i="9"/>
  <c r="AI1144" i="9"/>
  <c r="AJ1144" i="9"/>
  <c r="AK1144" i="9"/>
  <c r="AH1145" i="9"/>
  <c r="AI1145" i="9"/>
  <c r="AJ1145" i="9"/>
  <c r="AK1145" i="9"/>
  <c r="AH1146" i="9"/>
  <c r="AI1146" i="9"/>
  <c r="AJ1146" i="9"/>
  <c r="AK1146" i="9"/>
  <c r="AH1147" i="9"/>
  <c r="AI1147" i="9"/>
  <c r="AJ1147" i="9"/>
  <c r="AK1147" i="9"/>
  <c r="AH1148" i="9"/>
  <c r="AI1148" i="9"/>
  <c r="AJ1148" i="9"/>
  <c r="AK1148" i="9"/>
  <c r="AH1149" i="9"/>
  <c r="AI1149" i="9"/>
  <c r="AJ1149" i="9"/>
  <c r="AK1149" i="9"/>
  <c r="AH1150" i="9"/>
  <c r="AI1150" i="9"/>
  <c r="AJ1150" i="9"/>
  <c r="AK1150" i="9"/>
  <c r="AH1151" i="9"/>
  <c r="AI1151" i="9"/>
  <c r="AJ1151" i="9"/>
  <c r="AK1151" i="9"/>
  <c r="AH1152" i="9"/>
  <c r="AI1152" i="9"/>
  <c r="AJ1152" i="9"/>
  <c r="AK1152" i="9"/>
  <c r="AH1124" i="9"/>
  <c r="AI1124" i="9"/>
  <c r="AJ1124" i="9"/>
  <c r="AK1124" i="9"/>
  <c r="AH1125" i="9"/>
  <c r="AI1125" i="9"/>
  <c r="AJ1125" i="9"/>
  <c r="AK1125" i="9"/>
  <c r="AH1126" i="9"/>
  <c r="AI1126" i="9"/>
  <c r="AJ1126" i="9"/>
  <c r="AK1126" i="9"/>
  <c r="AH1127" i="9"/>
  <c r="AI1127" i="9"/>
  <c r="AJ1127" i="9"/>
  <c r="AK1127" i="9"/>
  <c r="AH1128" i="9"/>
  <c r="AI1128" i="9"/>
  <c r="AJ1128" i="9"/>
  <c r="AK1128" i="9"/>
  <c r="AH1129" i="9"/>
  <c r="AI1129" i="9"/>
  <c r="AJ1129" i="9"/>
  <c r="AK1129" i="9"/>
  <c r="AH1130" i="9"/>
  <c r="AI1130" i="9"/>
  <c r="AJ1130" i="9"/>
  <c r="AK1130" i="9"/>
  <c r="AH1131" i="9"/>
  <c r="AI1131" i="9"/>
  <c r="AJ1131" i="9"/>
  <c r="AK1131" i="9"/>
  <c r="AH1132" i="9"/>
  <c r="AI1132" i="9"/>
  <c r="AJ1132" i="9"/>
  <c r="AK1132" i="9"/>
  <c r="AH1133" i="9"/>
  <c r="AI1133" i="9"/>
  <c r="AJ1133" i="9"/>
  <c r="AK1133" i="9"/>
  <c r="AH1134" i="9"/>
  <c r="AI1134" i="9"/>
  <c r="AJ1134" i="9"/>
  <c r="AK1134" i="9"/>
  <c r="AH1135" i="9"/>
  <c r="AI1135" i="9"/>
  <c r="AJ1135" i="9"/>
  <c r="AK1135" i="9"/>
  <c r="AH1136" i="9"/>
  <c r="AI1136" i="9"/>
  <c r="AJ1136" i="9"/>
  <c r="AK1136" i="9"/>
  <c r="AH420" i="17"/>
  <c r="AI420" i="17"/>
  <c r="AJ420" i="17"/>
  <c r="AK420" i="17"/>
  <c r="AH421" i="17"/>
  <c r="AI421" i="17"/>
  <c r="AJ421" i="17"/>
  <c r="AK421" i="17"/>
  <c r="AH422" i="17"/>
  <c r="AI422" i="17"/>
  <c r="AJ422" i="17"/>
  <c r="AK422" i="17"/>
  <c r="AH423" i="17"/>
  <c r="AI423" i="17"/>
  <c r="AJ423" i="17"/>
  <c r="AK423" i="17"/>
  <c r="AH424" i="17"/>
  <c r="AI424" i="17"/>
  <c r="AJ424" i="17"/>
  <c r="AK424" i="17"/>
  <c r="AH425" i="17"/>
  <c r="AI425" i="17"/>
  <c r="AJ425" i="17"/>
  <c r="AK425" i="17"/>
  <c r="AH426" i="17"/>
  <c r="AI426" i="17"/>
  <c r="AJ426" i="17"/>
  <c r="AK426" i="17"/>
  <c r="AH427" i="17"/>
  <c r="AI427" i="17"/>
  <c r="AJ427" i="17"/>
  <c r="AK427" i="17"/>
  <c r="AH428" i="17"/>
  <c r="AI428" i="17"/>
  <c r="AJ428" i="17"/>
  <c r="AK428" i="17"/>
  <c r="AH429" i="17"/>
  <c r="AI429" i="17"/>
  <c r="AJ429" i="17"/>
  <c r="AK429" i="17"/>
  <c r="AH430" i="17"/>
  <c r="AI430" i="17"/>
  <c r="AJ430" i="17"/>
  <c r="AK430" i="17"/>
  <c r="AH431" i="17"/>
  <c r="AI431" i="17"/>
  <c r="AJ431" i="17"/>
  <c r="AK431" i="17"/>
  <c r="AH432" i="17"/>
  <c r="AI432" i="17"/>
  <c r="AJ432" i="17"/>
  <c r="AK432" i="17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AN32" i="16"/>
  <c r="R32" i="16"/>
  <c r="F32" i="16"/>
  <c r="G32" i="16"/>
  <c r="H32" i="16" a="1"/>
  <c r="H32" i="16" s="1"/>
  <c r="I32" i="16"/>
  <c r="J32" i="16"/>
  <c r="K32" i="16"/>
  <c r="L32" i="16"/>
  <c r="M32" i="16" s="1"/>
  <c r="N32" i="16"/>
  <c r="O32" i="16"/>
  <c r="P32" i="16" s="1"/>
  <c r="Q32" i="16"/>
  <c r="AO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AN43" i="12"/>
  <c r="S43" i="12"/>
  <c r="F43" i="12"/>
  <c r="G43" i="12"/>
  <c r="I43" i="12" a="1"/>
  <c r="I43" i="12" s="1"/>
  <c r="J43" i="12"/>
  <c r="K43" i="12"/>
  <c r="L43" i="12"/>
  <c r="M43" i="12"/>
  <c r="N43" i="12" s="1"/>
  <c r="O43" i="12"/>
  <c r="P43" i="12"/>
  <c r="Q43" i="12" s="1"/>
  <c r="R43" i="12"/>
  <c r="AH1112" i="9"/>
  <c r="AI1112" i="9"/>
  <c r="AJ1112" i="9"/>
  <c r="AK1112" i="9"/>
  <c r="AH1113" i="9"/>
  <c r="AI1113" i="9"/>
  <c r="AJ1113" i="9"/>
  <c r="AK1113" i="9"/>
  <c r="AH1114" i="9"/>
  <c r="AI1114" i="9"/>
  <c r="AJ1114" i="9"/>
  <c r="AK1114" i="9"/>
  <c r="AH1115" i="9"/>
  <c r="AI1115" i="9"/>
  <c r="AJ1115" i="9"/>
  <c r="AK1115" i="9"/>
  <c r="AH1116" i="9"/>
  <c r="AI1116" i="9"/>
  <c r="AJ1116" i="9"/>
  <c r="AK1116" i="9"/>
  <c r="AH1117" i="9"/>
  <c r="AI1117" i="9"/>
  <c r="AJ1117" i="9"/>
  <c r="AK1117" i="9"/>
  <c r="AH1118" i="9"/>
  <c r="AI1118" i="9"/>
  <c r="AJ1118" i="9"/>
  <c r="AK1118" i="9"/>
  <c r="AH1119" i="9"/>
  <c r="AI1119" i="9"/>
  <c r="AJ1119" i="9"/>
  <c r="AK1119" i="9"/>
  <c r="AH1120" i="9"/>
  <c r="AI1120" i="9"/>
  <c r="AJ1120" i="9"/>
  <c r="AK1120" i="9"/>
  <c r="AH1121" i="9"/>
  <c r="AI1121" i="9"/>
  <c r="AJ1121" i="9"/>
  <c r="AK1121" i="9"/>
  <c r="AH1122" i="9"/>
  <c r="AI1122" i="9"/>
  <c r="AJ1122" i="9"/>
  <c r="AK1122" i="9"/>
  <c r="AH1123" i="9"/>
  <c r="AI1123" i="9"/>
  <c r="AJ1123" i="9"/>
  <c r="AK1123" i="9"/>
  <c r="AH408" i="17"/>
  <c r="AI408" i="17"/>
  <c r="AJ408" i="17"/>
  <c r="AK408" i="17"/>
  <c r="AH409" i="17"/>
  <c r="AI409" i="17"/>
  <c r="AJ409" i="17"/>
  <c r="AK409" i="17"/>
  <c r="AH410" i="17"/>
  <c r="AI410" i="17"/>
  <c r="AJ410" i="17"/>
  <c r="AK410" i="17"/>
  <c r="AH411" i="17"/>
  <c r="AI411" i="17"/>
  <c r="AJ411" i="17"/>
  <c r="AK411" i="17"/>
  <c r="AH412" i="17"/>
  <c r="AI412" i="17"/>
  <c r="AJ412" i="17"/>
  <c r="AK412" i="17"/>
  <c r="AH413" i="17"/>
  <c r="AI413" i="17"/>
  <c r="AJ413" i="17"/>
  <c r="AK413" i="17"/>
  <c r="AH414" i="17"/>
  <c r="AI414" i="17"/>
  <c r="AJ414" i="17"/>
  <c r="AK414" i="17"/>
  <c r="AH415" i="17"/>
  <c r="AI415" i="17"/>
  <c r="AJ415" i="17"/>
  <c r="AK415" i="17"/>
  <c r="AH416" i="17"/>
  <c r="AI416" i="17"/>
  <c r="AJ416" i="17"/>
  <c r="AK416" i="17"/>
  <c r="AH417" i="17"/>
  <c r="AI417" i="17"/>
  <c r="AJ417" i="17"/>
  <c r="AK417" i="17"/>
  <c r="AH418" i="17"/>
  <c r="AI418" i="17"/>
  <c r="AJ418" i="17"/>
  <c r="AK418" i="17"/>
  <c r="AH419" i="17"/>
  <c r="AI419" i="17"/>
  <c r="AJ419" i="17"/>
  <c r="AK419" i="17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AN10" i="16"/>
  <c r="R10" i="16"/>
  <c r="R8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AH396" i="17"/>
  <c r="AI396" i="17"/>
  <c r="AJ396" i="17"/>
  <c r="AK396" i="17"/>
  <c r="AH397" i="17"/>
  <c r="AI397" i="17"/>
  <c r="AJ397" i="17"/>
  <c r="AK397" i="17"/>
  <c r="AH398" i="17"/>
  <c r="AI398" i="17"/>
  <c r="AJ398" i="17"/>
  <c r="AK398" i="17"/>
  <c r="AH399" i="17"/>
  <c r="AI399" i="17"/>
  <c r="AJ399" i="17"/>
  <c r="AK399" i="17"/>
  <c r="AH400" i="17"/>
  <c r="AI400" i="17"/>
  <c r="AJ400" i="17"/>
  <c r="AK400" i="17"/>
  <c r="AH401" i="17"/>
  <c r="AI401" i="17"/>
  <c r="AJ401" i="17"/>
  <c r="AK401" i="17"/>
  <c r="AH402" i="17"/>
  <c r="AI402" i="17"/>
  <c r="AJ402" i="17"/>
  <c r="AK402" i="17"/>
  <c r="AH403" i="17"/>
  <c r="AI403" i="17"/>
  <c r="AJ403" i="17"/>
  <c r="AK403" i="17"/>
  <c r="AH404" i="17"/>
  <c r="AI404" i="17"/>
  <c r="AJ404" i="17"/>
  <c r="AK404" i="17"/>
  <c r="AH405" i="17"/>
  <c r="AI405" i="17"/>
  <c r="AJ405" i="17"/>
  <c r="AK405" i="17"/>
  <c r="AH406" i="17"/>
  <c r="AI406" i="17"/>
  <c r="AJ406" i="17"/>
  <c r="AK406" i="17"/>
  <c r="AH407" i="17"/>
  <c r="AI407" i="17"/>
  <c r="AJ407" i="17"/>
  <c r="AK407" i="17"/>
  <c r="AH1100" i="9"/>
  <c r="AI1100" i="9"/>
  <c r="AJ1100" i="9"/>
  <c r="AK1100" i="9"/>
  <c r="AH1101" i="9"/>
  <c r="AI1101" i="9"/>
  <c r="AJ1101" i="9"/>
  <c r="AK1101" i="9"/>
  <c r="AH1102" i="9"/>
  <c r="AI1102" i="9"/>
  <c r="AJ1102" i="9"/>
  <c r="AK1102" i="9"/>
  <c r="AH1103" i="9"/>
  <c r="AI1103" i="9"/>
  <c r="AJ1103" i="9"/>
  <c r="AK1103" i="9"/>
  <c r="AH1104" i="9"/>
  <c r="AI1104" i="9"/>
  <c r="AJ1104" i="9"/>
  <c r="AK1104" i="9"/>
  <c r="AH1105" i="9"/>
  <c r="AI1105" i="9"/>
  <c r="AJ1105" i="9"/>
  <c r="AK1105" i="9"/>
  <c r="AH1106" i="9"/>
  <c r="AI1106" i="9"/>
  <c r="AJ1106" i="9"/>
  <c r="AK1106" i="9"/>
  <c r="AH1107" i="9"/>
  <c r="AI1107" i="9"/>
  <c r="AJ1107" i="9"/>
  <c r="AK1107" i="9"/>
  <c r="AH1108" i="9"/>
  <c r="AI1108" i="9"/>
  <c r="AJ1108" i="9"/>
  <c r="AK1108" i="9"/>
  <c r="AH1109" i="9"/>
  <c r="AI1109" i="9"/>
  <c r="AJ1109" i="9"/>
  <c r="AK1109" i="9"/>
  <c r="AH1110" i="9"/>
  <c r="AI1110" i="9"/>
  <c r="AJ1110" i="9"/>
  <c r="AK1110" i="9"/>
  <c r="AH1111" i="9"/>
  <c r="AI1111" i="9"/>
  <c r="AJ1111" i="9"/>
  <c r="AK1111" i="9"/>
  <c r="AH381" i="17"/>
  <c r="AI381" i="17"/>
  <c r="AJ381" i="17"/>
  <c r="AK381" i="17"/>
  <c r="AH382" i="17"/>
  <c r="AI382" i="17"/>
  <c r="AJ382" i="17"/>
  <c r="AK382" i="17"/>
  <c r="AH383" i="17"/>
  <c r="AI383" i="17"/>
  <c r="AJ383" i="17"/>
  <c r="AK383" i="17"/>
  <c r="AH384" i="17"/>
  <c r="AI384" i="17"/>
  <c r="AJ384" i="17"/>
  <c r="AK384" i="17"/>
  <c r="AH385" i="17"/>
  <c r="AI385" i="17"/>
  <c r="AJ385" i="17"/>
  <c r="AK385" i="17"/>
  <c r="AH386" i="17"/>
  <c r="AI386" i="17"/>
  <c r="AJ386" i="17"/>
  <c r="AK386" i="17"/>
  <c r="AH387" i="17"/>
  <c r="AI387" i="17"/>
  <c r="AJ387" i="17"/>
  <c r="AK387" i="17"/>
  <c r="AH388" i="17"/>
  <c r="AI388" i="17"/>
  <c r="AJ388" i="17"/>
  <c r="AK388" i="17"/>
  <c r="AH389" i="17"/>
  <c r="AI389" i="17"/>
  <c r="AJ389" i="17"/>
  <c r="AK389" i="17"/>
  <c r="AH390" i="17"/>
  <c r="AI390" i="17"/>
  <c r="AJ390" i="17"/>
  <c r="AK390" i="17"/>
  <c r="AH391" i="17"/>
  <c r="AI391" i="17"/>
  <c r="AJ391" i="17"/>
  <c r="AK391" i="17"/>
  <c r="AH392" i="17"/>
  <c r="AI392" i="17"/>
  <c r="AJ392" i="17"/>
  <c r="AK392" i="17"/>
  <c r="AH393" i="17"/>
  <c r="AI393" i="17"/>
  <c r="AJ393" i="17"/>
  <c r="AK393" i="17"/>
  <c r="AH394" i="17"/>
  <c r="AI394" i="17"/>
  <c r="AJ394" i="17"/>
  <c r="AK394" i="17"/>
  <c r="AH395" i="17"/>
  <c r="AI395" i="17"/>
  <c r="AJ395" i="17"/>
  <c r="AK395" i="17"/>
  <c r="AH1085" i="9"/>
  <c r="AI1085" i="9"/>
  <c r="AJ1085" i="9"/>
  <c r="AK1085" i="9"/>
  <c r="AH1086" i="9"/>
  <c r="AI1086" i="9"/>
  <c r="AJ1086" i="9"/>
  <c r="AK1086" i="9"/>
  <c r="AH1087" i="9"/>
  <c r="AI1087" i="9"/>
  <c r="AJ1087" i="9"/>
  <c r="AK1087" i="9"/>
  <c r="AH1088" i="9"/>
  <c r="AI1088" i="9"/>
  <c r="AJ1088" i="9"/>
  <c r="AK1088" i="9"/>
  <c r="AH1089" i="9"/>
  <c r="AI1089" i="9"/>
  <c r="AJ1089" i="9"/>
  <c r="AK1089" i="9"/>
  <c r="AH1090" i="9"/>
  <c r="AI1090" i="9"/>
  <c r="AJ1090" i="9"/>
  <c r="AK1090" i="9"/>
  <c r="AH1091" i="9"/>
  <c r="AI1091" i="9"/>
  <c r="AJ1091" i="9"/>
  <c r="AK1091" i="9"/>
  <c r="AH1092" i="9"/>
  <c r="AI1092" i="9"/>
  <c r="AJ1092" i="9"/>
  <c r="AK1092" i="9"/>
  <c r="AH1093" i="9"/>
  <c r="AI1093" i="9"/>
  <c r="AJ1093" i="9"/>
  <c r="AK1093" i="9"/>
  <c r="AH1094" i="9"/>
  <c r="AI1094" i="9"/>
  <c r="AJ1094" i="9"/>
  <c r="AK1094" i="9"/>
  <c r="AH1095" i="9"/>
  <c r="AI1095" i="9"/>
  <c r="AJ1095" i="9"/>
  <c r="AK1095" i="9"/>
  <c r="AH1096" i="9"/>
  <c r="AI1096" i="9"/>
  <c r="AJ1096" i="9"/>
  <c r="AK1096" i="9"/>
  <c r="AH1097" i="9"/>
  <c r="AI1097" i="9"/>
  <c r="AJ1097" i="9"/>
  <c r="AK1097" i="9"/>
  <c r="AH1098" i="9"/>
  <c r="AI1098" i="9"/>
  <c r="AJ1098" i="9"/>
  <c r="AK1098" i="9"/>
  <c r="AH1099" i="9"/>
  <c r="AI1099" i="9"/>
  <c r="AJ1099" i="9"/>
  <c r="AK1099" i="9"/>
  <c r="AH365" i="17"/>
  <c r="AI365" i="17"/>
  <c r="AJ365" i="17"/>
  <c r="AK365" i="17"/>
  <c r="AH366" i="17"/>
  <c r="AI366" i="17"/>
  <c r="AJ366" i="17"/>
  <c r="AK366" i="17"/>
  <c r="AH367" i="17"/>
  <c r="AI367" i="17"/>
  <c r="AJ367" i="17"/>
  <c r="AK367" i="17"/>
  <c r="AH368" i="17"/>
  <c r="AI368" i="17"/>
  <c r="AJ368" i="17"/>
  <c r="AK368" i="17"/>
  <c r="AH369" i="17"/>
  <c r="AI369" i="17"/>
  <c r="AJ369" i="17"/>
  <c r="AK369" i="17"/>
  <c r="AH370" i="17"/>
  <c r="AI370" i="17"/>
  <c r="AJ370" i="17"/>
  <c r="AK370" i="17"/>
  <c r="AH371" i="17"/>
  <c r="AI371" i="17"/>
  <c r="AJ371" i="17"/>
  <c r="AK371" i="17"/>
  <c r="AH372" i="17"/>
  <c r="AI372" i="17"/>
  <c r="AJ372" i="17"/>
  <c r="AK372" i="17"/>
  <c r="AH373" i="17"/>
  <c r="AI373" i="17"/>
  <c r="AJ373" i="17"/>
  <c r="AK373" i="17"/>
  <c r="AH374" i="17"/>
  <c r="AI374" i="17"/>
  <c r="AJ374" i="17"/>
  <c r="AK374" i="17"/>
  <c r="AH375" i="17"/>
  <c r="AI375" i="17"/>
  <c r="AJ375" i="17"/>
  <c r="AK375" i="17"/>
  <c r="AH376" i="17"/>
  <c r="AI376" i="17"/>
  <c r="AJ376" i="17"/>
  <c r="AK376" i="17"/>
  <c r="AH377" i="17"/>
  <c r="AI377" i="17"/>
  <c r="AJ377" i="17"/>
  <c r="AK377" i="17"/>
  <c r="AH378" i="17"/>
  <c r="AI378" i="17"/>
  <c r="AJ378" i="17"/>
  <c r="AK378" i="17"/>
  <c r="AH379" i="17"/>
  <c r="AI379" i="17"/>
  <c r="AJ379" i="17"/>
  <c r="AK379" i="17"/>
  <c r="AH380" i="17"/>
  <c r="AI380" i="17"/>
  <c r="AJ380" i="17"/>
  <c r="AK380" i="17"/>
  <c r="AH1069" i="9"/>
  <c r="AI1069" i="9"/>
  <c r="AJ1069" i="9"/>
  <c r="AK1069" i="9"/>
  <c r="AH1070" i="9"/>
  <c r="AI1070" i="9"/>
  <c r="AJ1070" i="9"/>
  <c r="AK1070" i="9"/>
  <c r="AH1071" i="9"/>
  <c r="AI1071" i="9"/>
  <c r="AJ1071" i="9"/>
  <c r="AK1071" i="9"/>
  <c r="AH1072" i="9"/>
  <c r="AI1072" i="9"/>
  <c r="AJ1072" i="9"/>
  <c r="AK1072" i="9"/>
  <c r="AH1073" i="9"/>
  <c r="AI1073" i="9"/>
  <c r="AJ1073" i="9"/>
  <c r="AK1073" i="9"/>
  <c r="AH1074" i="9"/>
  <c r="AI1074" i="9"/>
  <c r="AJ1074" i="9"/>
  <c r="AK1074" i="9"/>
  <c r="AH1075" i="9"/>
  <c r="AI1075" i="9"/>
  <c r="AJ1075" i="9"/>
  <c r="AK1075" i="9"/>
  <c r="AH1076" i="9"/>
  <c r="AI1076" i="9"/>
  <c r="AJ1076" i="9"/>
  <c r="AK1076" i="9"/>
  <c r="AH1077" i="9"/>
  <c r="AI1077" i="9"/>
  <c r="AJ1077" i="9"/>
  <c r="AK1077" i="9"/>
  <c r="AH1078" i="9"/>
  <c r="AI1078" i="9"/>
  <c r="AJ1078" i="9"/>
  <c r="AK1078" i="9"/>
  <c r="AH1079" i="9"/>
  <c r="AI1079" i="9"/>
  <c r="AJ1079" i="9"/>
  <c r="AK1079" i="9"/>
  <c r="AH1080" i="9"/>
  <c r="AI1080" i="9"/>
  <c r="AJ1080" i="9"/>
  <c r="AK1080" i="9"/>
  <c r="AH1081" i="9"/>
  <c r="AI1081" i="9"/>
  <c r="AJ1081" i="9"/>
  <c r="AK1081" i="9"/>
  <c r="AH1082" i="9"/>
  <c r="AI1082" i="9"/>
  <c r="AJ1082" i="9"/>
  <c r="AK1082" i="9"/>
  <c r="AH1083" i="9"/>
  <c r="AI1083" i="9"/>
  <c r="AJ1083" i="9"/>
  <c r="AK1083" i="9"/>
  <c r="AH1084" i="9"/>
  <c r="AI1084" i="9"/>
  <c r="AJ1084" i="9"/>
  <c r="AK1084" i="9"/>
  <c r="AA208" i="18"/>
  <c r="AB208" i="18"/>
  <c r="AC208" i="18"/>
  <c r="AD208" i="18"/>
  <c r="AA209" i="18"/>
  <c r="AB209" i="18"/>
  <c r="AC209" i="18"/>
  <c r="AD209" i="18"/>
  <c r="AA210" i="18"/>
  <c r="AB210" i="18"/>
  <c r="AC210" i="18"/>
  <c r="AD210" i="18"/>
  <c r="AA211" i="18"/>
  <c r="AB211" i="18"/>
  <c r="AC211" i="18"/>
  <c r="AD211" i="18"/>
  <c r="AA212" i="18"/>
  <c r="AB212" i="18"/>
  <c r="AC212" i="18"/>
  <c r="AD212" i="18"/>
  <c r="AA213" i="18"/>
  <c r="AB213" i="18"/>
  <c r="AC213" i="18"/>
  <c r="AD213" i="18"/>
  <c r="AA214" i="18"/>
  <c r="AB214" i="18"/>
  <c r="AC214" i="18"/>
  <c r="AD214" i="18"/>
  <c r="AA215" i="18"/>
  <c r="AB215" i="18"/>
  <c r="AC215" i="18"/>
  <c r="AD215" i="18"/>
  <c r="AA216" i="18"/>
  <c r="AB216" i="18"/>
  <c r="AC216" i="18"/>
  <c r="AD216" i="18"/>
  <c r="AA217" i="18"/>
  <c r="AB217" i="18"/>
  <c r="AC217" i="18"/>
  <c r="AD217" i="18"/>
  <c r="AA218" i="18"/>
  <c r="AB218" i="18"/>
  <c r="AC218" i="18"/>
  <c r="AD218" i="18"/>
  <c r="AA219" i="18"/>
  <c r="AB219" i="18"/>
  <c r="AC219" i="18"/>
  <c r="AD219" i="18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AA543" i="15"/>
  <c r="AB543" i="15"/>
  <c r="AC543" i="15"/>
  <c r="AD543" i="15"/>
  <c r="AA544" i="15"/>
  <c r="AB544" i="15"/>
  <c r="AC544" i="15"/>
  <c r="AD544" i="15"/>
  <c r="AA545" i="15"/>
  <c r="AB545" i="15"/>
  <c r="AC545" i="15"/>
  <c r="AD545" i="15"/>
  <c r="AA546" i="15"/>
  <c r="AB546" i="15"/>
  <c r="AC546" i="15"/>
  <c r="AD546" i="15"/>
  <c r="AA547" i="15"/>
  <c r="AB547" i="15"/>
  <c r="AC547" i="15"/>
  <c r="AD547" i="15"/>
  <c r="AA548" i="15"/>
  <c r="AB548" i="15"/>
  <c r="AC548" i="15"/>
  <c r="AD548" i="15"/>
  <c r="AA549" i="15"/>
  <c r="AB549" i="15"/>
  <c r="AC549" i="15"/>
  <c r="AD549" i="15"/>
  <c r="AA550" i="15"/>
  <c r="AB550" i="15"/>
  <c r="AC550" i="15"/>
  <c r="AD550" i="15"/>
  <c r="AA551" i="15"/>
  <c r="AB551" i="15"/>
  <c r="AC551" i="15"/>
  <c r="AD551" i="15"/>
  <c r="AA552" i="15"/>
  <c r="AB552" i="15"/>
  <c r="AC552" i="15"/>
  <c r="AD552" i="15"/>
  <c r="AA553" i="15"/>
  <c r="AB553" i="15"/>
  <c r="AC553" i="15"/>
  <c r="AD553" i="15"/>
  <c r="AA554" i="15"/>
  <c r="AB554" i="15"/>
  <c r="AC554" i="15"/>
  <c r="AD554" i="15"/>
  <c r="AA1031" i="10"/>
  <c r="AB1031" i="10"/>
  <c r="AC1031" i="10"/>
  <c r="AD1031" i="10"/>
  <c r="AA1032" i="10"/>
  <c r="AB1032" i="10"/>
  <c r="AC1032" i="10"/>
  <c r="AD1032" i="10"/>
  <c r="AA1033" i="10"/>
  <c r="AB1033" i="10"/>
  <c r="AC1033" i="10"/>
  <c r="AD1033" i="10"/>
  <c r="AA1034" i="10"/>
  <c r="AB1034" i="10"/>
  <c r="AC1034" i="10"/>
  <c r="AD1034" i="10"/>
  <c r="AA1035" i="10"/>
  <c r="AB1035" i="10"/>
  <c r="AC1035" i="10"/>
  <c r="AD1035" i="10"/>
  <c r="AA1036" i="10"/>
  <c r="AB1036" i="10"/>
  <c r="AC1036" i="10"/>
  <c r="AD1036" i="10"/>
  <c r="AA1037" i="10"/>
  <c r="AB1037" i="10"/>
  <c r="AC1037" i="10"/>
  <c r="AD1037" i="10"/>
  <c r="AA1038" i="10"/>
  <c r="AB1038" i="10"/>
  <c r="AC1038" i="10"/>
  <c r="AD1038" i="10"/>
  <c r="AA1039" i="10"/>
  <c r="AB1039" i="10"/>
  <c r="AC1039" i="10"/>
  <c r="AD1039" i="10"/>
  <c r="AA1040" i="10"/>
  <c r="AB1040" i="10"/>
  <c r="AC1040" i="10"/>
  <c r="AD1040" i="10"/>
  <c r="AA1041" i="10"/>
  <c r="AB1041" i="10"/>
  <c r="AC1041" i="10"/>
  <c r="AD1041" i="10"/>
  <c r="AA1042" i="10"/>
  <c r="AB1042" i="10"/>
  <c r="AC1042" i="10"/>
  <c r="AD1042" i="10"/>
  <c r="AI11" i="12"/>
  <c r="AJ11" i="12"/>
  <c r="AK11" i="12"/>
  <c r="AL11" i="12"/>
  <c r="AM11" i="12"/>
  <c r="AN11" i="12"/>
  <c r="AO11" i="12"/>
  <c r="AA1017" i="10"/>
  <c r="AB1017" i="10"/>
  <c r="AC1017" i="10"/>
  <c r="AD1017" i="10"/>
  <c r="AA1018" i="10"/>
  <c r="AB1018" i="10"/>
  <c r="AC1018" i="10"/>
  <c r="AD1018" i="10"/>
  <c r="AA1019" i="10"/>
  <c r="AB1019" i="10"/>
  <c r="AC1019" i="10"/>
  <c r="AD1019" i="10"/>
  <c r="AA1020" i="10"/>
  <c r="AB1020" i="10"/>
  <c r="AC1020" i="10"/>
  <c r="AD1020" i="10"/>
  <c r="AA1021" i="10"/>
  <c r="AB1021" i="10"/>
  <c r="AC1021" i="10"/>
  <c r="AD1021" i="10"/>
  <c r="AA1022" i="10"/>
  <c r="AB1022" i="10"/>
  <c r="AC1022" i="10"/>
  <c r="AD1022" i="10"/>
  <c r="AA1023" i="10"/>
  <c r="AB1023" i="10"/>
  <c r="AC1023" i="10"/>
  <c r="AD1023" i="10"/>
  <c r="AA1024" i="10"/>
  <c r="AB1024" i="10"/>
  <c r="AC1024" i="10"/>
  <c r="AD1024" i="10"/>
  <c r="AA1025" i="10"/>
  <c r="AB1025" i="10"/>
  <c r="AC1025" i="10"/>
  <c r="AD1025" i="10"/>
  <c r="AA1026" i="10"/>
  <c r="AB1026" i="10"/>
  <c r="AC1026" i="10"/>
  <c r="AD1026" i="10"/>
  <c r="AA1027" i="10"/>
  <c r="AB1027" i="10"/>
  <c r="AC1027" i="10"/>
  <c r="AD1027" i="10"/>
  <c r="AA1028" i="10"/>
  <c r="AB1028" i="10"/>
  <c r="AC1028" i="10"/>
  <c r="AD1028" i="10"/>
  <c r="AA1029" i="10"/>
  <c r="AB1029" i="10"/>
  <c r="AC1029" i="10"/>
  <c r="AD1029" i="10"/>
  <c r="AA1030" i="10"/>
  <c r="AB1030" i="10"/>
  <c r="AC1030" i="10"/>
  <c r="AD1030" i="10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T26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AA529" i="15"/>
  <c r="AB529" i="15"/>
  <c r="AC529" i="15"/>
  <c r="AD529" i="15"/>
  <c r="AA530" i="15"/>
  <c r="AB530" i="15"/>
  <c r="AC530" i="15"/>
  <c r="AD530" i="15"/>
  <c r="AA531" i="15"/>
  <c r="AB531" i="15"/>
  <c r="AC531" i="15"/>
  <c r="AD531" i="15"/>
  <c r="AA532" i="15"/>
  <c r="AB532" i="15"/>
  <c r="AC532" i="15"/>
  <c r="AD532" i="15"/>
  <c r="AA533" i="15"/>
  <c r="AB533" i="15"/>
  <c r="AC533" i="15"/>
  <c r="AD533" i="15"/>
  <c r="AA534" i="15"/>
  <c r="AB534" i="15"/>
  <c r="AC534" i="15"/>
  <c r="AD534" i="15"/>
  <c r="AA535" i="15"/>
  <c r="AB535" i="15"/>
  <c r="AC535" i="15"/>
  <c r="AD535" i="15"/>
  <c r="AA536" i="15"/>
  <c r="AB536" i="15"/>
  <c r="AC536" i="15"/>
  <c r="AD536" i="15"/>
  <c r="AA537" i="15"/>
  <c r="AB537" i="15"/>
  <c r="AC537" i="15"/>
  <c r="AD537" i="15"/>
  <c r="AA538" i="15"/>
  <c r="AB538" i="15"/>
  <c r="AC538" i="15"/>
  <c r="AD538" i="15"/>
  <c r="AA539" i="15"/>
  <c r="AB539" i="15"/>
  <c r="AC539" i="15"/>
  <c r="AD539" i="15"/>
  <c r="AA540" i="15"/>
  <c r="AB540" i="15"/>
  <c r="AC540" i="15"/>
  <c r="AD540" i="15"/>
  <c r="AA541" i="15"/>
  <c r="AB541" i="15"/>
  <c r="AC541" i="15"/>
  <c r="AD541" i="15"/>
  <c r="AA542" i="15"/>
  <c r="AB542" i="15"/>
  <c r="AC542" i="15"/>
  <c r="AD542" i="15"/>
  <c r="AA515" i="15"/>
  <c r="AB515" i="15"/>
  <c r="AC515" i="15"/>
  <c r="AD515" i="15"/>
  <c r="AA516" i="15"/>
  <c r="AB516" i="15"/>
  <c r="AC516" i="15"/>
  <c r="AD516" i="15"/>
  <c r="AA517" i="15"/>
  <c r="AB517" i="15"/>
  <c r="AC517" i="15"/>
  <c r="AD517" i="15"/>
  <c r="AA518" i="15"/>
  <c r="AB518" i="15"/>
  <c r="AC518" i="15"/>
  <c r="AD518" i="15"/>
  <c r="AA519" i="15"/>
  <c r="AB519" i="15"/>
  <c r="AC519" i="15"/>
  <c r="AD519" i="15"/>
  <c r="AA520" i="15"/>
  <c r="AB520" i="15"/>
  <c r="AC520" i="15"/>
  <c r="AD520" i="15"/>
  <c r="AA521" i="15"/>
  <c r="AB521" i="15"/>
  <c r="AC521" i="15"/>
  <c r="AD521" i="15"/>
  <c r="AA522" i="15"/>
  <c r="AB522" i="15"/>
  <c r="AC522" i="15"/>
  <c r="AD522" i="15"/>
  <c r="AA523" i="15"/>
  <c r="AB523" i="15"/>
  <c r="AC523" i="15"/>
  <c r="AD523" i="15"/>
  <c r="AA524" i="15"/>
  <c r="AB524" i="15"/>
  <c r="AC524" i="15"/>
  <c r="AD524" i="15"/>
  <c r="AA525" i="15"/>
  <c r="AB525" i="15"/>
  <c r="AC525" i="15"/>
  <c r="AD525" i="15"/>
  <c r="AA526" i="15"/>
  <c r="AB526" i="15"/>
  <c r="AC526" i="15"/>
  <c r="AD526" i="15"/>
  <c r="AA527" i="15"/>
  <c r="AB527" i="15"/>
  <c r="AC527" i="15"/>
  <c r="AD527" i="15"/>
  <c r="AA528" i="15"/>
  <c r="AB528" i="15"/>
  <c r="AC528" i="15"/>
  <c r="AD528" i="15"/>
  <c r="AA1003" i="10"/>
  <c r="AB1003" i="10"/>
  <c r="AC1003" i="10"/>
  <c r="AD1003" i="10"/>
  <c r="AA1004" i="10"/>
  <c r="AB1004" i="10"/>
  <c r="AC1004" i="10"/>
  <c r="AD1004" i="10"/>
  <c r="AA1005" i="10"/>
  <c r="AB1005" i="10"/>
  <c r="AC1005" i="10"/>
  <c r="AD1005" i="10"/>
  <c r="AA1006" i="10"/>
  <c r="AB1006" i="10"/>
  <c r="AC1006" i="10"/>
  <c r="AD1006" i="10"/>
  <c r="AA1007" i="10"/>
  <c r="AB1007" i="10"/>
  <c r="AC1007" i="10"/>
  <c r="AD1007" i="10"/>
  <c r="AA1008" i="10"/>
  <c r="AB1008" i="10"/>
  <c r="AC1008" i="10"/>
  <c r="AD1008" i="10"/>
  <c r="AA1009" i="10"/>
  <c r="AB1009" i="10"/>
  <c r="AC1009" i="10"/>
  <c r="AD1009" i="10"/>
  <c r="AA1010" i="10"/>
  <c r="AB1010" i="10"/>
  <c r="AC1010" i="10"/>
  <c r="AD1010" i="10"/>
  <c r="AA1011" i="10"/>
  <c r="AB1011" i="10"/>
  <c r="AC1011" i="10"/>
  <c r="AD1011" i="10"/>
  <c r="AA1012" i="10"/>
  <c r="AB1012" i="10"/>
  <c r="AC1012" i="10"/>
  <c r="AD1012" i="10"/>
  <c r="AA1013" i="10"/>
  <c r="AB1013" i="10"/>
  <c r="AC1013" i="10"/>
  <c r="AD1013" i="10"/>
  <c r="AA1014" i="10"/>
  <c r="AB1014" i="10"/>
  <c r="AC1014" i="10"/>
  <c r="AD1014" i="10"/>
  <c r="AA1015" i="10"/>
  <c r="AB1015" i="10"/>
  <c r="AC1015" i="10"/>
  <c r="AD1015" i="10"/>
  <c r="AA1016" i="10"/>
  <c r="AB1016" i="10"/>
  <c r="AC1016" i="10"/>
  <c r="AD1016" i="10"/>
  <c r="AA499" i="15"/>
  <c r="AB499" i="15"/>
  <c r="AC499" i="15"/>
  <c r="AD499" i="15"/>
  <c r="AA500" i="15"/>
  <c r="AB500" i="15"/>
  <c r="AC500" i="15"/>
  <c r="AD500" i="15"/>
  <c r="AA501" i="15"/>
  <c r="AB501" i="15"/>
  <c r="AC501" i="15"/>
  <c r="AD501" i="15"/>
  <c r="AA502" i="15"/>
  <c r="AB502" i="15"/>
  <c r="AC502" i="15"/>
  <c r="AD502" i="15"/>
  <c r="AA503" i="15"/>
  <c r="AB503" i="15"/>
  <c r="AC503" i="15"/>
  <c r="AD503" i="15"/>
  <c r="AA504" i="15"/>
  <c r="AB504" i="15"/>
  <c r="AC504" i="15"/>
  <c r="AD504" i="15"/>
  <c r="AA505" i="15"/>
  <c r="AB505" i="15"/>
  <c r="AC505" i="15"/>
  <c r="AD505" i="15"/>
  <c r="AA506" i="15"/>
  <c r="AB506" i="15"/>
  <c r="AC506" i="15"/>
  <c r="AD506" i="15"/>
  <c r="AA507" i="15"/>
  <c r="AB507" i="15"/>
  <c r="AC507" i="15"/>
  <c r="AD507" i="15"/>
  <c r="AA508" i="15"/>
  <c r="AB508" i="15"/>
  <c r="AC508" i="15"/>
  <c r="AD508" i="15"/>
  <c r="AA509" i="15"/>
  <c r="AB509" i="15"/>
  <c r="AC509" i="15"/>
  <c r="AD509" i="15"/>
  <c r="AA510" i="15"/>
  <c r="AB510" i="15"/>
  <c r="AC510" i="15"/>
  <c r="AD510" i="15"/>
  <c r="AA511" i="15"/>
  <c r="AB511" i="15"/>
  <c r="AC511" i="15"/>
  <c r="AD511" i="15"/>
  <c r="AA512" i="15"/>
  <c r="AB512" i="15"/>
  <c r="AC512" i="15"/>
  <c r="AD512" i="15"/>
  <c r="AA513" i="15"/>
  <c r="AB513" i="15"/>
  <c r="AC513" i="15"/>
  <c r="AD513" i="15"/>
  <c r="AA514" i="15"/>
  <c r="AB514" i="15"/>
  <c r="AC514" i="15"/>
  <c r="AD514" i="15"/>
  <c r="AA987" i="10"/>
  <c r="AB987" i="10"/>
  <c r="AC987" i="10"/>
  <c r="AD987" i="10"/>
  <c r="AA988" i="10"/>
  <c r="AB988" i="10"/>
  <c r="AC988" i="10"/>
  <c r="AD988" i="10"/>
  <c r="AA989" i="10"/>
  <c r="AB989" i="10"/>
  <c r="AC989" i="10"/>
  <c r="AD989" i="10"/>
  <c r="AA990" i="10"/>
  <c r="AB990" i="10"/>
  <c r="AC990" i="10"/>
  <c r="AD990" i="10"/>
  <c r="AA991" i="10"/>
  <c r="AB991" i="10"/>
  <c r="AC991" i="10"/>
  <c r="AD991" i="10"/>
  <c r="AA992" i="10"/>
  <c r="AB992" i="10"/>
  <c r="AC992" i="10"/>
  <c r="AD992" i="10"/>
  <c r="AA993" i="10"/>
  <c r="AB993" i="10"/>
  <c r="AC993" i="10"/>
  <c r="AD993" i="10"/>
  <c r="AA994" i="10"/>
  <c r="AB994" i="10"/>
  <c r="AC994" i="10"/>
  <c r="AD994" i="10"/>
  <c r="AA995" i="10"/>
  <c r="AB995" i="10"/>
  <c r="AC995" i="10"/>
  <c r="AD995" i="10"/>
  <c r="AA996" i="10"/>
  <c r="AB996" i="10"/>
  <c r="AC996" i="10"/>
  <c r="AD996" i="10"/>
  <c r="AA997" i="10"/>
  <c r="AB997" i="10"/>
  <c r="AC997" i="10"/>
  <c r="AD997" i="10"/>
  <c r="AA998" i="10"/>
  <c r="AB998" i="10"/>
  <c r="AC998" i="10"/>
  <c r="AD998" i="10"/>
  <c r="AA999" i="10"/>
  <c r="AB999" i="10"/>
  <c r="AC999" i="10"/>
  <c r="AD999" i="10"/>
  <c r="AA1000" i="10"/>
  <c r="AB1000" i="10"/>
  <c r="AC1000" i="10"/>
  <c r="AD1000" i="10"/>
  <c r="AA1001" i="10"/>
  <c r="AB1001" i="10"/>
  <c r="AC1001" i="10"/>
  <c r="AD1001" i="10"/>
  <c r="AA1002" i="10"/>
  <c r="AB1002" i="10"/>
  <c r="AC1002" i="10"/>
  <c r="AD1002" i="10"/>
  <c r="AA483" i="15"/>
  <c r="AB483" i="15"/>
  <c r="AC483" i="15"/>
  <c r="AD483" i="15"/>
  <c r="AA484" i="15"/>
  <c r="AB484" i="15"/>
  <c r="AC484" i="15"/>
  <c r="AD484" i="15"/>
  <c r="AA485" i="15"/>
  <c r="AB485" i="15"/>
  <c r="AC485" i="15"/>
  <c r="AD485" i="15"/>
  <c r="AA486" i="15"/>
  <c r="AB486" i="15"/>
  <c r="AC486" i="15"/>
  <c r="AD486" i="15"/>
  <c r="AA487" i="15"/>
  <c r="AB487" i="15"/>
  <c r="AC487" i="15"/>
  <c r="AD487" i="15"/>
  <c r="AA488" i="15"/>
  <c r="AB488" i="15"/>
  <c r="AC488" i="15"/>
  <c r="AD488" i="15"/>
  <c r="AA489" i="15"/>
  <c r="AB489" i="15"/>
  <c r="AC489" i="15"/>
  <c r="AD489" i="15"/>
  <c r="AA490" i="15"/>
  <c r="AB490" i="15"/>
  <c r="AC490" i="15"/>
  <c r="AD490" i="15"/>
  <c r="AA491" i="15"/>
  <c r="AB491" i="15"/>
  <c r="AC491" i="15"/>
  <c r="AD491" i="15"/>
  <c r="AA492" i="15"/>
  <c r="AB492" i="15"/>
  <c r="AC492" i="15"/>
  <c r="AD492" i="15"/>
  <c r="AA493" i="15"/>
  <c r="AB493" i="15"/>
  <c r="AC493" i="15"/>
  <c r="AD493" i="15"/>
  <c r="AA494" i="15"/>
  <c r="AB494" i="15"/>
  <c r="AC494" i="15"/>
  <c r="AD494" i="15"/>
  <c r="AA495" i="15"/>
  <c r="AB495" i="15"/>
  <c r="AC495" i="15"/>
  <c r="AD495" i="15"/>
  <c r="AA496" i="15"/>
  <c r="AB496" i="15"/>
  <c r="AC496" i="15"/>
  <c r="AD496" i="15"/>
  <c r="AA497" i="15"/>
  <c r="AB497" i="15"/>
  <c r="AC497" i="15"/>
  <c r="AD497" i="15"/>
  <c r="AA498" i="15"/>
  <c r="AB498" i="15"/>
  <c r="AC498" i="15"/>
  <c r="AD498" i="15"/>
  <c r="AA971" i="10"/>
  <c r="AB971" i="10"/>
  <c r="AC971" i="10"/>
  <c r="AD971" i="10"/>
  <c r="AA972" i="10"/>
  <c r="AB972" i="10"/>
  <c r="AC972" i="10"/>
  <c r="AD972" i="10"/>
  <c r="AA973" i="10"/>
  <c r="AB973" i="10"/>
  <c r="AC973" i="10"/>
  <c r="AD973" i="10"/>
  <c r="AA974" i="10"/>
  <c r="AB974" i="10"/>
  <c r="AC974" i="10"/>
  <c r="AD974" i="10"/>
  <c r="AA975" i="10"/>
  <c r="AB975" i="10"/>
  <c r="AC975" i="10"/>
  <c r="AD975" i="10"/>
  <c r="AA976" i="10"/>
  <c r="AB976" i="10"/>
  <c r="AC976" i="10"/>
  <c r="AD976" i="10"/>
  <c r="AA977" i="10"/>
  <c r="AB977" i="10"/>
  <c r="AC977" i="10"/>
  <c r="AD977" i="10"/>
  <c r="AA978" i="10"/>
  <c r="AB978" i="10"/>
  <c r="AC978" i="10"/>
  <c r="AD978" i="10"/>
  <c r="AA979" i="10"/>
  <c r="AB979" i="10"/>
  <c r="AC979" i="10"/>
  <c r="AD979" i="10"/>
  <c r="AA980" i="10"/>
  <c r="AB980" i="10"/>
  <c r="AC980" i="10"/>
  <c r="AD980" i="10"/>
  <c r="AA981" i="10"/>
  <c r="AB981" i="10"/>
  <c r="AC981" i="10"/>
  <c r="AD981" i="10"/>
  <c r="AA982" i="10"/>
  <c r="AB982" i="10"/>
  <c r="AC982" i="10"/>
  <c r="AD982" i="10"/>
  <c r="AA983" i="10"/>
  <c r="AB983" i="10"/>
  <c r="AC983" i="10"/>
  <c r="AD983" i="10"/>
  <c r="AA984" i="10"/>
  <c r="AB984" i="10"/>
  <c r="AC984" i="10"/>
  <c r="AD984" i="10"/>
  <c r="AA985" i="10"/>
  <c r="AB985" i="10"/>
  <c r="AC985" i="10"/>
  <c r="AD985" i="10"/>
  <c r="AA986" i="10"/>
  <c r="AB986" i="10"/>
  <c r="AC986" i="10"/>
  <c r="AD986" i="10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F8" i="16"/>
  <c r="G8" i="16"/>
  <c r="H8" i="16" a="1"/>
  <c r="H8" i="16" s="1"/>
  <c r="I8" i="16"/>
  <c r="J8" i="16"/>
  <c r="L8" i="16"/>
  <c r="M8" i="16" s="1"/>
  <c r="N8" i="16"/>
  <c r="O8" i="16"/>
  <c r="P8" i="16" s="1"/>
  <c r="Q8" i="16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S11" i="12"/>
  <c r="F11" i="12"/>
  <c r="G11" i="12"/>
  <c r="I11" i="12" a="1"/>
  <c r="I11" i="12" s="1"/>
  <c r="J11" i="12"/>
  <c r="K11" i="12"/>
  <c r="L11" i="12"/>
  <c r="M11" i="12"/>
  <c r="N11" i="12" s="1"/>
  <c r="O11" i="12"/>
  <c r="P11" i="12"/>
  <c r="Q11" i="12" s="1"/>
  <c r="R11" i="12"/>
  <c r="AH353" i="17"/>
  <c r="AI353" i="17"/>
  <c r="AJ353" i="17"/>
  <c r="AK353" i="17"/>
  <c r="AH354" i="17"/>
  <c r="AI354" i="17"/>
  <c r="AJ354" i="17"/>
  <c r="AK354" i="17"/>
  <c r="AH355" i="17"/>
  <c r="AI355" i="17"/>
  <c r="AJ355" i="17"/>
  <c r="AK355" i="17"/>
  <c r="AH356" i="17"/>
  <c r="AI356" i="17"/>
  <c r="AJ356" i="17"/>
  <c r="AK356" i="17"/>
  <c r="AH357" i="17"/>
  <c r="AI357" i="17"/>
  <c r="AJ357" i="17"/>
  <c r="AK357" i="17"/>
  <c r="K8" i="16" s="1"/>
  <c r="AH358" i="17"/>
  <c r="AI358" i="17"/>
  <c r="AJ358" i="17"/>
  <c r="AK358" i="17"/>
  <c r="AH359" i="17"/>
  <c r="AI359" i="17"/>
  <c r="AJ359" i="17"/>
  <c r="AK359" i="17"/>
  <c r="AH360" i="17"/>
  <c r="AI360" i="17"/>
  <c r="AJ360" i="17"/>
  <c r="AK360" i="17"/>
  <c r="AH361" i="17"/>
  <c r="AI361" i="17"/>
  <c r="AJ361" i="17"/>
  <c r="AK361" i="17"/>
  <c r="AH362" i="17"/>
  <c r="AI362" i="17"/>
  <c r="AJ362" i="17"/>
  <c r="AK362" i="17"/>
  <c r="AH363" i="17"/>
  <c r="AI363" i="17"/>
  <c r="AJ363" i="17"/>
  <c r="AK363" i="17"/>
  <c r="AH364" i="17"/>
  <c r="AI364" i="17"/>
  <c r="AJ364" i="17"/>
  <c r="AK364" i="17"/>
  <c r="AH1057" i="9"/>
  <c r="AI1057" i="9"/>
  <c r="AJ1057" i="9"/>
  <c r="AK1057" i="9"/>
  <c r="AH1058" i="9"/>
  <c r="AI1058" i="9"/>
  <c r="AJ1058" i="9"/>
  <c r="AK1058" i="9"/>
  <c r="AH1059" i="9"/>
  <c r="AI1059" i="9"/>
  <c r="AJ1059" i="9"/>
  <c r="AK1059" i="9"/>
  <c r="AH1060" i="9"/>
  <c r="AI1060" i="9"/>
  <c r="AJ1060" i="9"/>
  <c r="AK1060" i="9"/>
  <c r="AH1061" i="9"/>
  <c r="AI1061" i="9"/>
  <c r="AJ1061" i="9"/>
  <c r="AK1061" i="9"/>
  <c r="AH1062" i="9"/>
  <c r="AI1062" i="9"/>
  <c r="AJ1062" i="9"/>
  <c r="AK1062" i="9"/>
  <c r="AH1063" i="9"/>
  <c r="AI1063" i="9"/>
  <c r="AJ1063" i="9"/>
  <c r="AK1063" i="9"/>
  <c r="AH1064" i="9"/>
  <c r="AI1064" i="9"/>
  <c r="AJ1064" i="9"/>
  <c r="AK1064" i="9"/>
  <c r="AH1065" i="9"/>
  <c r="AI1065" i="9"/>
  <c r="AJ1065" i="9"/>
  <c r="AK1065" i="9"/>
  <c r="AH1066" i="9"/>
  <c r="AI1066" i="9"/>
  <c r="AJ1066" i="9"/>
  <c r="AK1066" i="9"/>
  <c r="AH1067" i="9"/>
  <c r="AI1067" i="9"/>
  <c r="AJ1067" i="9"/>
  <c r="AK1067" i="9"/>
  <c r="AH1068" i="9"/>
  <c r="AI1068" i="9"/>
  <c r="AJ1068" i="9"/>
  <c r="AK1068" i="9"/>
  <c r="AH340" i="17"/>
  <c r="AI340" i="17"/>
  <c r="AJ340" i="17"/>
  <c r="AK340" i="17"/>
  <c r="AH341" i="17"/>
  <c r="AI341" i="17"/>
  <c r="AJ341" i="17"/>
  <c r="AK341" i="17"/>
  <c r="AH342" i="17"/>
  <c r="AI342" i="17"/>
  <c r="AJ342" i="17"/>
  <c r="AK342" i="17"/>
  <c r="AH343" i="17"/>
  <c r="AI343" i="17"/>
  <c r="AJ343" i="17"/>
  <c r="AK343" i="17"/>
  <c r="AH344" i="17"/>
  <c r="AI344" i="17"/>
  <c r="AJ344" i="17"/>
  <c r="AK344" i="17"/>
  <c r="AH345" i="17"/>
  <c r="AI345" i="17"/>
  <c r="AJ345" i="17"/>
  <c r="AK345" i="17"/>
  <c r="AH346" i="17"/>
  <c r="AI346" i="17"/>
  <c r="AJ346" i="17"/>
  <c r="AK346" i="17"/>
  <c r="AH347" i="17"/>
  <c r="AI347" i="17"/>
  <c r="AJ347" i="17"/>
  <c r="AK347" i="17"/>
  <c r="AH348" i="17"/>
  <c r="AI348" i="17"/>
  <c r="AJ348" i="17"/>
  <c r="AK348" i="17"/>
  <c r="AH349" i="17"/>
  <c r="AI349" i="17"/>
  <c r="AJ349" i="17"/>
  <c r="AK349" i="17"/>
  <c r="AH350" i="17"/>
  <c r="AI350" i="17"/>
  <c r="AJ350" i="17"/>
  <c r="AK350" i="17"/>
  <c r="AH351" i="17"/>
  <c r="AI351" i="17"/>
  <c r="AJ351" i="17"/>
  <c r="AK351" i="17"/>
  <c r="AH352" i="17"/>
  <c r="AI352" i="17"/>
  <c r="AJ352" i="17"/>
  <c r="AK352" i="17"/>
  <c r="AH3" i="16"/>
  <c r="AH4" i="16"/>
  <c r="AH5" i="16"/>
  <c r="AH6" i="16"/>
  <c r="AH7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4" i="16"/>
  <c r="AH27" i="16"/>
  <c r="AH28" i="16"/>
  <c r="AH29" i="16"/>
  <c r="AH30" i="16"/>
  <c r="AH31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2" i="16"/>
  <c r="AI3" i="12"/>
  <c r="AI4" i="12"/>
  <c r="AI5" i="12"/>
  <c r="AI6" i="12"/>
  <c r="AI7" i="12"/>
  <c r="AI8" i="12"/>
  <c r="AI9" i="12"/>
  <c r="AI10" i="12"/>
  <c r="AI12" i="12"/>
  <c r="AI13" i="12"/>
  <c r="AI14" i="12"/>
  <c r="AI15" i="12"/>
  <c r="AI16" i="12"/>
  <c r="AI17" i="12"/>
  <c r="AI18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4" i="12"/>
  <c r="AI45" i="12"/>
  <c r="AI46" i="12"/>
  <c r="AI47" i="12"/>
  <c r="AI48" i="12"/>
  <c r="AI49" i="12"/>
  <c r="AI50" i="12"/>
  <c r="AI51" i="12"/>
  <c r="AI52" i="12"/>
  <c r="AI53" i="12"/>
  <c r="AI54" i="12"/>
  <c r="AI55" i="12"/>
  <c r="AI56" i="12"/>
  <c r="AI57" i="12"/>
  <c r="AI58" i="12"/>
  <c r="AI59" i="12"/>
  <c r="AI60" i="12"/>
  <c r="AI61" i="12"/>
  <c r="AI62" i="12"/>
  <c r="AI2" i="12"/>
  <c r="AH1044" i="9"/>
  <c r="AI1044" i="9"/>
  <c r="AJ1044" i="9"/>
  <c r="AK1044" i="9"/>
  <c r="AH1045" i="9"/>
  <c r="AI1045" i="9"/>
  <c r="AJ1045" i="9"/>
  <c r="AK1045" i="9"/>
  <c r="AH1046" i="9"/>
  <c r="AI1046" i="9"/>
  <c r="AJ1046" i="9"/>
  <c r="AK1046" i="9"/>
  <c r="AH1047" i="9"/>
  <c r="AI1047" i="9"/>
  <c r="AJ1047" i="9"/>
  <c r="AK1047" i="9"/>
  <c r="AH1048" i="9"/>
  <c r="AI1048" i="9"/>
  <c r="AJ1048" i="9"/>
  <c r="AK1048" i="9"/>
  <c r="AH1049" i="9"/>
  <c r="AI1049" i="9"/>
  <c r="AJ1049" i="9"/>
  <c r="AK1049" i="9"/>
  <c r="AH1050" i="9"/>
  <c r="AI1050" i="9"/>
  <c r="AJ1050" i="9"/>
  <c r="AK1050" i="9"/>
  <c r="AH1051" i="9"/>
  <c r="AI1051" i="9"/>
  <c r="AJ1051" i="9"/>
  <c r="AK1051" i="9"/>
  <c r="AH1052" i="9"/>
  <c r="AI1052" i="9"/>
  <c r="AJ1052" i="9"/>
  <c r="AK1052" i="9"/>
  <c r="AH1053" i="9"/>
  <c r="AI1053" i="9"/>
  <c r="AJ1053" i="9"/>
  <c r="AK1053" i="9"/>
  <c r="AH1054" i="9"/>
  <c r="AI1054" i="9"/>
  <c r="AJ1054" i="9"/>
  <c r="AK1054" i="9"/>
  <c r="AH1055" i="9"/>
  <c r="AI1055" i="9"/>
  <c r="AJ1055" i="9"/>
  <c r="AK1055" i="9"/>
  <c r="AH1056" i="9"/>
  <c r="AI1056" i="9"/>
  <c r="AJ1056" i="9"/>
  <c r="AK1056" i="9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AJ12" i="11"/>
  <c r="U12" i="11"/>
  <c r="H12" i="11"/>
  <c r="I12" i="11"/>
  <c r="K12" i="11" a="1"/>
  <c r="K12" i="11" s="1"/>
  <c r="L12" i="11"/>
  <c r="M12" i="11"/>
  <c r="O12" i="11"/>
  <c r="P12" i="11" s="1"/>
  <c r="Q12" i="11"/>
  <c r="R12" i="11"/>
  <c r="S12" i="11" s="1"/>
  <c r="T12" i="11"/>
  <c r="AA474" i="15"/>
  <c r="AB474" i="15"/>
  <c r="AC474" i="15"/>
  <c r="AD474" i="15"/>
  <c r="AA475" i="15"/>
  <c r="AB475" i="15"/>
  <c r="AC475" i="15"/>
  <c r="AD475" i="15"/>
  <c r="AA476" i="15"/>
  <c r="AB476" i="15"/>
  <c r="AC476" i="15"/>
  <c r="AD476" i="15"/>
  <c r="AA477" i="15"/>
  <c r="AB477" i="15"/>
  <c r="AC477" i="15"/>
  <c r="AD477" i="15"/>
  <c r="AA478" i="15"/>
  <c r="AB478" i="15"/>
  <c r="AC478" i="15"/>
  <c r="AD478" i="15"/>
  <c r="AA479" i="15"/>
  <c r="AB479" i="15"/>
  <c r="AC479" i="15"/>
  <c r="AD479" i="15"/>
  <c r="AA480" i="15"/>
  <c r="AB480" i="15"/>
  <c r="AC480" i="15"/>
  <c r="AD480" i="15"/>
  <c r="AA481" i="15"/>
  <c r="AB481" i="15"/>
  <c r="AC481" i="15"/>
  <c r="AD481" i="15"/>
  <c r="AA482" i="15"/>
  <c r="AB482" i="15"/>
  <c r="AC482" i="15"/>
  <c r="AD482" i="15"/>
  <c r="AA959" i="10"/>
  <c r="AB959" i="10"/>
  <c r="AC959" i="10"/>
  <c r="AD959" i="10"/>
  <c r="AA960" i="10"/>
  <c r="AB960" i="10"/>
  <c r="AC960" i="10"/>
  <c r="AD960" i="10"/>
  <c r="AA961" i="10"/>
  <c r="AB961" i="10"/>
  <c r="AC961" i="10"/>
  <c r="AD961" i="10"/>
  <c r="N12" i="11" s="1"/>
  <c r="AA962" i="10"/>
  <c r="AB962" i="10"/>
  <c r="AC962" i="10"/>
  <c r="AD962" i="10"/>
  <c r="AA963" i="10"/>
  <c r="AB963" i="10"/>
  <c r="AC963" i="10"/>
  <c r="AD963" i="10"/>
  <c r="AA964" i="10"/>
  <c r="AB964" i="10"/>
  <c r="AC964" i="10"/>
  <c r="AD964" i="10"/>
  <c r="AA965" i="10"/>
  <c r="AB965" i="10"/>
  <c r="AC965" i="10"/>
  <c r="AD965" i="10"/>
  <c r="AA966" i="10"/>
  <c r="AB966" i="10"/>
  <c r="AC966" i="10"/>
  <c r="AD966" i="10"/>
  <c r="AA967" i="10"/>
  <c r="AB967" i="10"/>
  <c r="AC967" i="10"/>
  <c r="AD967" i="10"/>
  <c r="AA968" i="10"/>
  <c r="AB968" i="10"/>
  <c r="AC968" i="10"/>
  <c r="AD968" i="10"/>
  <c r="AA969" i="10"/>
  <c r="AB969" i="10"/>
  <c r="AC969" i="10"/>
  <c r="AD969" i="10"/>
  <c r="AA970" i="10"/>
  <c r="AB970" i="10"/>
  <c r="AC970" i="10"/>
  <c r="AD970" i="10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AH19" i="11"/>
  <c r="AI19" i="11"/>
  <c r="AJ19" i="11"/>
  <c r="U19" i="11"/>
  <c r="H19" i="11"/>
  <c r="I19" i="11"/>
  <c r="K19" i="11" a="1"/>
  <c r="K19" i="11" s="1"/>
  <c r="L19" i="11"/>
  <c r="M19" i="11"/>
  <c r="N19" i="11"/>
  <c r="O19" i="11"/>
  <c r="P19" i="11" s="1"/>
  <c r="Q19" i="11"/>
  <c r="R19" i="11"/>
  <c r="S19" i="11" s="1"/>
  <c r="T19" i="11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T19" i="13"/>
  <c r="H19" i="13"/>
  <c r="I19" i="13"/>
  <c r="J19" i="13" a="1"/>
  <c r="J19" i="13" s="1"/>
  <c r="K19" i="13"/>
  <c r="L19" i="13"/>
  <c r="N19" i="13"/>
  <c r="O19" i="13" s="1"/>
  <c r="Q19" i="13"/>
  <c r="R19" i="13" s="1"/>
  <c r="S19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9" i="13" s="1"/>
  <c r="AC473" i="15"/>
  <c r="AD473" i="15"/>
  <c r="M19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I39" i="16"/>
  <c r="AJ39" i="16"/>
  <c r="AK39" i="16"/>
  <c r="AL39" i="16"/>
  <c r="AM39" i="16"/>
  <c r="AN39" i="16"/>
  <c r="R39" i="16"/>
  <c r="F39" i="16"/>
  <c r="G39" i="16"/>
  <c r="H39" i="16" a="1"/>
  <c r="H39" i="16" s="1"/>
  <c r="I39" i="16"/>
  <c r="J39" i="16"/>
  <c r="K39" i="16"/>
  <c r="L39" i="16"/>
  <c r="M39" i="16" s="1"/>
  <c r="O39" i="16"/>
  <c r="P39" i="16" s="1"/>
  <c r="Q39" i="16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J10" i="12"/>
  <c r="AK10" i="12"/>
  <c r="AL10" i="12"/>
  <c r="AM10" i="12"/>
  <c r="AN10" i="12"/>
  <c r="AO10" i="12"/>
  <c r="S10" i="12"/>
  <c r="F10" i="12"/>
  <c r="G10" i="12"/>
  <c r="I10" i="12" a="1"/>
  <c r="I10" i="12" s="1"/>
  <c r="J10" i="12"/>
  <c r="K10" i="12"/>
  <c r="L10" i="12"/>
  <c r="M10" i="12"/>
  <c r="N10" i="12" s="1"/>
  <c r="O10" i="12"/>
  <c r="P10" i="12"/>
  <c r="Q10" i="12" s="1"/>
  <c r="R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I7" i="16"/>
  <c r="AJ7" i="16"/>
  <c r="AK7" i="16"/>
  <c r="AL7" i="16"/>
  <c r="AM7" i="16"/>
  <c r="AN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H328" i="17"/>
  <c r="AI328" i="17"/>
  <c r="AJ328" i="17"/>
  <c r="AK328" i="17"/>
  <c r="AH329" i="17"/>
  <c r="AI329" i="17"/>
  <c r="AJ329" i="17"/>
  <c r="AK329" i="17"/>
  <c r="AH330" i="17"/>
  <c r="AI330" i="17"/>
  <c r="AJ330" i="17"/>
  <c r="AK330" i="17"/>
  <c r="AH331" i="17"/>
  <c r="AI331" i="17"/>
  <c r="N39" i="16" s="1"/>
  <c r="AJ331" i="17"/>
  <c r="AK331" i="17"/>
  <c r="AH332" i="17"/>
  <c r="AI332" i="17"/>
  <c r="AJ332" i="17"/>
  <c r="AK332" i="17"/>
  <c r="AH333" i="17"/>
  <c r="AI333" i="17"/>
  <c r="AJ333" i="17"/>
  <c r="AK333" i="17"/>
  <c r="AH334" i="17"/>
  <c r="AI334" i="17"/>
  <c r="AJ334" i="17"/>
  <c r="AK334" i="17"/>
  <c r="AH335" i="17"/>
  <c r="AI335" i="17"/>
  <c r="AJ335" i="17"/>
  <c r="AK335" i="17"/>
  <c r="AH336" i="17"/>
  <c r="AI336" i="17"/>
  <c r="AJ336" i="17"/>
  <c r="AK336" i="17"/>
  <c r="AH337" i="17"/>
  <c r="AI337" i="17"/>
  <c r="AJ337" i="17"/>
  <c r="AK337" i="17"/>
  <c r="AH338" i="17"/>
  <c r="AI338" i="17"/>
  <c r="AJ338" i="17"/>
  <c r="AK338" i="17"/>
  <c r="K7" i="16" s="1"/>
  <c r="AH339" i="17"/>
  <c r="AI339" i="17"/>
  <c r="AJ339" i="17"/>
  <c r="AK339" i="17"/>
  <c r="AH1032" i="9"/>
  <c r="AI1032" i="9"/>
  <c r="AJ1032" i="9"/>
  <c r="AK1032" i="9"/>
  <c r="AH1033" i="9"/>
  <c r="AI1033" i="9"/>
  <c r="AJ1033" i="9"/>
  <c r="AK1033" i="9"/>
  <c r="AH1034" i="9"/>
  <c r="AI1034" i="9"/>
  <c r="AJ1034" i="9"/>
  <c r="AK1034" i="9"/>
  <c r="AH1035" i="9"/>
  <c r="AI1035" i="9"/>
  <c r="AJ1035" i="9"/>
  <c r="AK1035" i="9"/>
  <c r="AH1036" i="9"/>
  <c r="AI1036" i="9"/>
  <c r="AJ1036" i="9"/>
  <c r="AK1036" i="9"/>
  <c r="AH1037" i="9"/>
  <c r="AI1037" i="9"/>
  <c r="AJ1037" i="9"/>
  <c r="AK1037" i="9"/>
  <c r="AH1038" i="9"/>
  <c r="AI1038" i="9"/>
  <c r="AJ1038" i="9"/>
  <c r="AK1038" i="9"/>
  <c r="AH1039" i="9"/>
  <c r="AI1039" i="9"/>
  <c r="AJ1039" i="9"/>
  <c r="AK1039" i="9"/>
  <c r="AH1040" i="9"/>
  <c r="AI1040" i="9"/>
  <c r="AJ1040" i="9"/>
  <c r="AK1040" i="9"/>
  <c r="AH1041" i="9"/>
  <c r="AI1041" i="9"/>
  <c r="AJ1041" i="9"/>
  <c r="AK1041" i="9"/>
  <c r="AH1042" i="9"/>
  <c r="AI1042" i="9"/>
  <c r="AJ1042" i="9"/>
  <c r="AK1042" i="9"/>
  <c r="AH1043" i="9"/>
  <c r="AI1043" i="9"/>
  <c r="AJ1043" i="9"/>
  <c r="AK1043" i="9"/>
  <c r="AH1016" i="9"/>
  <c r="AI1016" i="9"/>
  <c r="AJ1016" i="9"/>
  <c r="AK1016" i="9"/>
  <c r="AH1017" i="9"/>
  <c r="AI1017" i="9"/>
  <c r="AJ1017" i="9"/>
  <c r="AK1017" i="9"/>
  <c r="AH1018" i="9"/>
  <c r="AI1018" i="9"/>
  <c r="AJ1018" i="9"/>
  <c r="AK1018" i="9"/>
  <c r="AH1019" i="9"/>
  <c r="AI1019" i="9"/>
  <c r="AJ1019" i="9"/>
  <c r="AK1019" i="9"/>
  <c r="AH1020" i="9"/>
  <c r="AI1020" i="9"/>
  <c r="AJ1020" i="9"/>
  <c r="AK1020" i="9"/>
  <c r="AH1021" i="9"/>
  <c r="AI1021" i="9"/>
  <c r="AJ1021" i="9"/>
  <c r="AK1021" i="9"/>
  <c r="AH1022" i="9"/>
  <c r="AI1022" i="9"/>
  <c r="AJ1022" i="9"/>
  <c r="AK1022" i="9"/>
  <c r="AH1023" i="9"/>
  <c r="AI1023" i="9"/>
  <c r="AJ1023" i="9"/>
  <c r="AK1023" i="9"/>
  <c r="AH1024" i="9"/>
  <c r="AI1024" i="9"/>
  <c r="AJ1024" i="9"/>
  <c r="AK1024" i="9"/>
  <c r="AH1025" i="9"/>
  <c r="AI1025" i="9"/>
  <c r="AJ1025" i="9"/>
  <c r="AK1025" i="9"/>
  <c r="AH1026" i="9"/>
  <c r="AI1026" i="9"/>
  <c r="AJ1026" i="9"/>
  <c r="AK1026" i="9"/>
  <c r="AH1027" i="9"/>
  <c r="AI1027" i="9"/>
  <c r="AJ1027" i="9"/>
  <c r="AK1027" i="9"/>
  <c r="AH1028" i="9"/>
  <c r="AI1028" i="9"/>
  <c r="AJ1028" i="9"/>
  <c r="AK1028" i="9"/>
  <c r="AH1029" i="9"/>
  <c r="AI1029" i="9"/>
  <c r="AJ1029" i="9"/>
  <c r="AK1029" i="9"/>
  <c r="AH1030" i="9"/>
  <c r="AI1030" i="9"/>
  <c r="AJ1030" i="9"/>
  <c r="AK1030" i="9"/>
  <c r="AH1031" i="9"/>
  <c r="AI1031" i="9"/>
  <c r="AJ1031" i="9"/>
  <c r="AK1031" i="9"/>
  <c r="AH312" i="17"/>
  <c r="AI312" i="17"/>
  <c r="AJ312" i="17"/>
  <c r="AK312" i="17"/>
  <c r="AH313" i="17"/>
  <c r="AI313" i="17"/>
  <c r="AJ313" i="17"/>
  <c r="AK313" i="17"/>
  <c r="AH314" i="17"/>
  <c r="AI314" i="17"/>
  <c r="AJ314" i="17"/>
  <c r="AK314" i="17"/>
  <c r="AH315" i="17"/>
  <c r="AI315" i="17"/>
  <c r="AJ315" i="17"/>
  <c r="AK315" i="17"/>
  <c r="AH316" i="17"/>
  <c r="AI316" i="17"/>
  <c r="AJ316" i="17"/>
  <c r="AK316" i="17"/>
  <c r="AH317" i="17"/>
  <c r="AI317" i="17"/>
  <c r="AJ317" i="17"/>
  <c r="AK317" i="17"/>
  <c r="AH318" i="17"/>
  <c r="AI318" i="17"/>
  <c r="AJ318" i="17"/>
  <c r="AK318" i="17"/>
  <c r="AH319" i="17"/>
  <c r="AI319" i="17"/>
  <c r="AJ319" i="17"/>
  <c r="AK319" i="17"/>
  <c r="AH320" i="17"/>
  <c r="AI320" i="17"/>
  <c r="AJ320" i="17"/>
  <c r="AK320" i="17"/>
  <c r="AH321" i="17"/>
  <c r="AI321" i="17"/>
  <c r="AJ321" i="17"/>
  <c r="AK321" i="17"/>
  <c r="AH322" i="17"/>
  <c r="AI322" i="17"/>
  <c r="AJ322" i="17"/>
  <c r="AK322" i="17"/>
  <c r="AH323" i="17"/>
  <c r="AI323" i="17"/>
  <c r="AJ323" i="17"/>
  <c r="AK323" i="17"/>
  <c r="AH324" i="17"/>
  <c r="AI324" i="17"/>
  <c r="AJ324" i="17"/>
  <c r="AK324" i="17"/>
  <c r="AH325" i="17"/>
  <c r="AI325" i="17"/>
  <c r="AJ325" i="17"/>
  <c r="AK325" i="17"/>
  <c r="AH326" i="17"/>
  <c r="AI326" i="17"/>
  <c r="AJ326" i="17"/>
  <c r="AK326" i="17"/>
  <c r="AH327" i="17"/>
  <c r="AI327" i="17"/>
  <c r="AJ327" i="17"/>
  <c r="AK327" i="17"/>
  <c r="AH300" i="17"/>
  <c r="AI300" i="17"/>
  <c r="AJ300" i="17"/>
  <c r="AK300" i="17"/>
  <c r="AH301" i="17"/>
  <c r="AI301" i="17"/>
  <c r="AJ301" i="17"/>
  <c r="AK301" i="17"/>
  <c r="AH302" i="17"/>
  <c r="AI302" i="17"/>
  <c r="AJ302" i="17"/>
  <c r="AK302" i="17"/>
  <c r="AH303" i="17"/>
  <c r="AI303" i="17"/>
  <c r="AJ303" i="17"/>
  <c r="AK303" i="17"/>
  <c r="AH304" i="17"/>
  <c r="AI304" i="17"/>
  <c r="AJ304" i="17"/>
  <c r="AK304" i="17"/>
  <c r="AH305" i="17"/>
  <c r="AI305" i="17"/>
  <c r="AJ305" i="17"/>
  <c r="AK305" i="17"/>
  <c r="AH306" i="17"/>
  <c r="AI306" i="17"/>
  <c r="AJ306" i="17"/>
  <c r="AK306" i="17"/>
  <c r="AH307" i="17"/>
  <c r="AI307" i="17"/>
  <c r="AJ307" i="17"/>
  <c r="AK307" i="17"/>
  <c r="AH308" i="17"/>
  <c r="AI308" i="17"/>
  <c r="AJ308" i="17"/>
  <c r="AK308" i="17"/>
  <c r="AH309" i="17"/>
  <c r="AI309" i="17"/>
  <c r="AJ309" i="17"/>
  <c r="AK309" i="17"/>
  <c r="AH310" i="17"/>
  <c r="AI310" i="17"/>
  <c r="AJ310" i="17"/>
  <c r="AK310" i="17"/>
  <c r="AH311" i="17"/>
  <c r="AI311" i="17"/>
  <c r="AJ311" i="17"/>
  <c r="AK311" i="17"/>
  <c r="AH1004" i="9"/>
  <c r="AI1004" i="9"/>
  <c r="AJ1004" i="9"/>
  <c r="AK1004" i="9"/>
  <c r="AH1005" i="9"/>
  <c r="AI1005" i="9"/>
  <c r="AJ1005" i="9"/>
  <c r="AK1005" i="9"/>
  <c r="AH1006" i="9"/>
  <c r="AI1006" i="9"/>
  <c r="AJ1006" i="9"/>
  <c r="AK1006" i="9"/>
  <c r="AH1007" i="9"/>
  <c r="AI1007" i="9"/>
  <c r="AJ1007" i="9"/>
  <c r="AK1007" i="9"/>
  <c r="AH1008" i="9"/>
  <c r="AI1008" i="9"/>
  <c r="AJ1008" i="9"/>
  <c r="AK1008" i="9"/>
  <c r="AH1009" i="9"/>
  <c r="AI1009" i="9"/>
  <c r="AJ1009" i="9"/>
  <c r="AK1009" i="9"/>
  <c r="AH1010" i="9"/>
  <c r="AI1010" i="9"/>
  <c r="AJ1010" i="9"/>
  <c r="AK1010" i="9"/>
  <c r="AH1011" i="9"/>
  <c r="AI1011" i="9"/>
  <c r="AJ1011" i="9"/>
  <c r="AK1011" i="9"/>
  <c r="AH1012" i="9"/>
  <c r="AI1012" i="9"/>
  <c r="AJ1012" i="9"/>
  <c r="AK1012" i="9"/>
  <c r="AH1013" i="9"/>
  <c r="AI1013" i="9"/>
  <c r="AJ1013" i="9"/>
  <c r="AK1013" i="9"/>
  <c r="AH1014" i="9"/>
  <c r="AI1014" i="9"/>
  <c r="AJ1014" i="9"/>
  <c r="AK1014" i="9"/>
  <c r="AH1015" i="9"/>
  <c r="AI1015" i="9"/>
  <c r="AJ1015" i="9"/>
  <c r="AK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P35" i="13" s="1"/>
  <c r="AC378" i="15"/>
  <c r="S35" i="13" s="1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T37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AJ11" i="11"/>
  <c r="U11" i="11"/>
  <c r="H11" i="11"/>
  <c r="I11" i="11"/>
  <c r="K11" i="11" a="1"/>
  <c r="K11" i="11" s="1"/>
  <c r="L11" i="11"/>
  <c r="M11" i="11"/>
  <c r="O11" i="11"/>
  <c r="P11" i="11" s="1"/>
  <c r="R11" i="11"/>
  <c r="S11" i="11" s="1"/>
  <c r="T11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Q11" i="11" s="1"/>
  <c r="AC834" i="10"/>
  <c r="AD834" i="10"/>
  <c r="N11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H990" i="9"/>
  <c r="AI990" i="9"/>
  <c r="AJ990" i="9"/>
  <c r="AK990" i="9"/>
  <c r="AH991" i="9"/>
  <c r="AI991" i="9"/>
  <c r="AJ991" i="9"/>
  <c r="AK991" i="9"/>
  <c r="AH992" i="9"/>
  <c r="AI992" i="9"/>
  <c r="AJ992" i="9"/>
  <c r="AK992" i="9"/>
  <c r="AH993" i="9"/>
  <c r="AI993" i="9"/>
  <c r="AJ993" i="9"/>
  <c r="AK993" i="9"/>
  <c r="AH994" i="9"/>
  <c r="AI994" i="9"/>
  <c r="AJ994" i="9"/>
  <c r="AK994" i="9"/>
  <c r="AH995" i="9"/>
  <c r="AI995" i="9"/>
  <c r="AJ995" i="9"/>
  <c r="AK995" i="9"/>
  <c r="AH996" i="9"/>
  <c r="AI996" i="9"/>
  <c r="AJ996" i="9"/>
  <c r="AK996" i="9"/>
  <c r="AH997" i="9"/>
  <c r="AI997" i="9"/>
  <c r="AJ997" i="9"/>
  <c r="AK997" i="9"/>
  <c r="AH998" i="9"/>
  <c r="AI998" i="9"/>
  <c r="AJ998" i="9"/>
  <c r="AK998" i="9"/>
  <c r="AH999" i="9"/>
  <c r="AI999" i="9"/>
  <c r="AJ999" i="9"/>
  <c r="AK999" i="9"/>
  <c r="AH1000" i="9"/>
  <c r="AI1000" i="9"/>
  <c r="AJ1000" i="9"/>
  <c r="AK1000" i="9"/>
  <c r="AH1001" i="9"/>
  <c r="AI1001" i="9"/>
  <c r="AJ1001" i="9"/>
  <c r="AK1001" i="9"/>
  <c r="AH1002" i="9"/>
  <c r="AI1002" i="9"/>
  <c r="AJ1002" i="9"/>
  <c r="AK1002" i="9"/>
  <c r="AH1003" i="9"/>
  <c r="AI1003" i="9"/>
  <c r="AJ1003" i="9"/>
  <c r="AK1003" i="9"/>
  <c r="AH286" i="17"/>
  <c r="AI286" i="17"/>
  <c r="AJ286" i="17"/>
  <c r="AK286" i="17"/>
  <c r="AH287" i="17"/>
  <c r="AI287" i="17"/>
  <c r="AJ287" i="17"/>
  <c r="AK287" i="17"/>
  <c r="AH288" i="17"/>
  <c r="AI288" i="17"/>
  <c r="AJ288" i="17"/>
  <c r="AK288" i="17"/>
  <c r="AH289" i="17"/>
  <c r="AI289" i="17"/>
  <c r="AJ289" i="17"/>
  <c r="AK289" i="17"/>
  <c r="AH290" i="17"/>
  <c r="AI290" i="17"/>
  <c r="AJ290" i="17"/>
  <c r="AK290" i="17"/>
  <c r="AH291" i="17"/>
  <c r="AI291" i="17"/>
  <c r="AJ291" i="17"/>
  <c r="AK291" i="17"/>
  <c r="AH292" i="17"/>
  <c r="AI292" i="17"/>
  <c r="AJ292" i="17"/>
  <c r="AK292" i="17"/>
  <c r="AH293" i="17"/>
  <c r="AI293" i="17"/>
  <c r="AJ293" i="17"/>
  <c r="AK293" i="17"/>
  <c r="AH294" i="17"/>
  <c r="AI294" i="17"/>
  <c r="AJ294" i="17"/>
  <c r="AK294" i="17"/>
  <c r="AH295" i="17"/>
  <c r="AI295" i="17"/>
  <c r="AJ295" i="17"/>
  <c r="AK295" i="17"/>
  <c r="AH296" i="17"/>
  <c r="AI296" i="17"/>
  <c r="AJ296" i="17"/>
  <c r="AK296" i="17"/>
  <c r="AH297" i="17"/>
  <c r="AI297" i="17"/>
  <c r="AJ297" i="17"/>
  <c r="AK297" i="17"/>
  <c r="AH298" i="17"/>
  <c r="AI298" i="17"/>
  <c r="AJ298" i="17"/>
  <c r="AK298" i="17"/>
  <c r="AH299" i="17"/>
  <c r="AI299" i="17"/>
  <c r="AJ299" i="17"/>
  <c r="AK299" i="17"/>
  <c r="AH274" i="17"/>
  <c r="AI274" i="17"/>
  <c r="AJ274" i="17"/>
  <c r="AK274" i="17"/>
  <c r="AH275" i="17"/>
  <c r="AI275" i="17"/>
  <c r="AJ275" i="17"/>
  <c r="AK275" i="17"/>
  <c r="AH276" i="17"/>
  <c r="AI276" i="17"/>
  <c r="AJ276" i="17"/>
  <c r="AK276" i="17"/>
  <c r="AH277" i="17"/>
  <c r="AI277" i="17"/>
  <c r="AJ277" i="17"/>
  <c r="AK277" i="17"/>
  <c r="AH278" i="17"/>
  <c r="AI278" i="17"/>
  <c r="AJ278" i="17"/>
  <c r="AK278" i="17"/>
  <c r="AH279" i="17"/>
  <c r="AI279" i="17"/>
  <c r="AJ279" i="17"/>
  <c r="AK279" i="17"/>
  <c r="AH280" i="17"/>
  <c r="AI280" i="17"/>
  <c r="AJ280" i="17"/>
  <c r="AK280" i="17"/>
  <c r="AH281" i="17"/>
  <c r="AI281" i="17"/>
  <c r="AJ281" i="17"/>
  <c r="AK281" i="17"/>
  <c r="AH282" i="17"/>
  <c r="AI282" i="17"/>
  <c r="AJ282" i="17"/>
  <c r="AK282" i="17"/>
  <c r="AH283" i="17"/>
  <c r="AI283" i="17"/>
  <c r="AJ283" i="17"/>
  <c r="AK283" i="17"/>
  <c r="AH284" i="17"/>
  <c r="AI284" i="17"/>
  <c r="AJ284" i="17"/>
  <c r="AK284" i="17"/>
  <c r="AH285" i="17"/>
  <c r="AI285" i="17"/>
  <c r="AJ285" i="17"/>
  <c r="AK285" i="17"/>
  <c r="AH978" i="9"/>
  <c r="AI978" i="9"/>
  <c r="AJ978" i="9"/>
  <c r="AK978" i="9"/>
  <c r="AH979" i="9"/>
  <c r="AI979" i="9"/>
  <c r="AJ979" i="9"/>
  <c r="AK979" i="9"/>
  <c r="AH980" i="9"/>
  <c r="AI980" i="9"/>
  <c r="AJ980" i="9"/>
  <c r="AK980" i="9"/>
  <c r="AH981" i="9"/>
  <c r="AI981" i="9"/>
  <c r="AJ981" i="9"/>
  <c r="AK981" i="9"/>
  <c r="AH982" i="9"/>
  <c r="AI982" i="9"/>
  <c r="AJ982" i="9"/>
  <c r="AK982" i="9"/>
  <c r="AH983" i="9"/>
  <c r="AI983" i="9"/>
  <c r="AJ983" i="9"/>
  <c r="AK983" i="9"/>
  <c r="AH984" i="9"/>
  <c r="AI984" i="9"/>
  <c r="AJ984" i="9"/>
  <c r="AK984" i="9"/>
  <c r="AH985" i="9"/>
  <c r="AI985" i="9"/>
  <c r="AJ985" i="9"/>
  <c r="AK985" i="9"/>
  <c r="AH986" i="9"/>
  <c r="AI986" i="9"/>
  <c r="AJ986" i="9"/>
  <c r="AK986" i="9"/>
  <c r="AH987" i="9"/>
  <c r="AI987" i="9"/>
  <c r="AJ987" i="9"/>
  <c r="AK987" i="9"/>
  <c r="AH988" i="9"/>
  <c r="AI988" i="9"/>
  <c r="AJ988" i="9"/>
  <c r="AK988" i="9"/>
  <c r="AH989" i="9"/>
  <c r="AI989" i="9"/>
  <c r="AJ989" i="9"/>
  <c r="AK989" i="9"/>
  <c r="AH966" i="9"/>
  <c r="AI966" i="9"/>
  <c r="AJ966" i="9"/>
  <c r="AK966" i="9"/>
  <c r="AH967" i="9"/>
  <c r="AI967" i="9"/>
  <c r="AJ967" i="9"/>
  <c r="AK967" i="9"/>
  <c r="AH968" i="9"/>
  <c r="AI968" i="9"/>
  <c r="AJ968" i="9"/>
  <c r="AK968" i="9"/>
  <c r="AH969" i="9"/>
  <c r="AI969" i="9"/>
  <c r="AJ969" i="9"/>
  <c r="AK969" i="9"/>
  <c r="AH970" i="9"/>
  <c r="AI970" i="9"/>
  <c r="AJ970" i="9"/>
  <c r="AK970" i="9"/>
  <c r="AH971" i="9"/>
  <c r="AI971" i="9"/>
  <c r="AJ971" i="9"/>
  <c r="AK971" i="9"/>
  <c r="AH972" i="9"/>
  <c r="AI972" i="9"/>
  <c r="AJ972" i="9"/>
  <c r="AK972" i="9"/>
  <c r="AH973" i="9"/>
  <c r="AI973" i="9"/>
  <c r="AJ973" i="9"/>
  <c r="AK973" i="9"/>
  <c r="AH974" i="9"/>
  <c r="AI974" i="9"/>
  <c r="AJ974" i="9"/>
  <c r="AK974" i="9"/>
  <c r="AH975" i="9"/>
  <c r="AI975" i="9"/>
  <c r="AJ975" i="9"/>
  <c r="AK975" i="9"/>
  <c r="AH976" i="9"/>
  <c r="AI976" i="9"/>
  <c r="AJ976" i="9"/>
  <c r="AK976" i="9"/>
  <c r="AH977" i="9"/>
  <c r="AI977" i="9"/>
  <c r="AJ977" i="9"/>
  <c r="AK977" i="9"/>
  <c r="AH262" i="17"/>
  <c r="AI262" i="17"/>
  <c r="AJ262" i="17"/>
  <c r="AK262" i="17"/>
  <c r="AH263" i="17"/>
  <c r="AI263" i="17"/>
  <c r="AJ263" i="17"/>
  <c r="AK263" i="17"/>
  <c r="AH264" i="17"/>
  <c r="AI264" i="17"/>
  <c r="AJ264" i="17"/>
  <c r="AK264" i="17"/>
  <c r="AH265" i="17"/>
  <c r="AI265" i="17"/>
  <c r="AJ265" i="17"/>
  <c r="Q12" i="16" s="1"/>
  <c r="AK265" i="17"/>
  <c r="AH266" i="17"/>
  <c r="AI266" i="17"/>
  <c r="AJ266" i="17"/>
  <c r="AK266" i="17"/>
  <c r="AH267" i="17"/>
  <c r="AI267" i="17"/>
  <c r="AJ267" i="17"/>
  <c r="AK267" i="17"/>
  <c r="AH268" i="17"/>
  <c r="AI268" i="17"/>
  <c r="AJ268" i="17"/>
  <c r="AK268" i="17"/>
  <c r="AH269" i="17"/>
  <c r="AI269" i="17"/>
  <c r="AJ269" i="17"/>
  <c r="AK269" i="17"/>
  <c r="AH270" i="17"/>
  <c r="AI270" i="17"/>
  <c r="AJ270" i="17"/>
  <c r="AK270" i="17"/>
  <c r="AH271" i="17"/>
  <c r="AI271" i="17"/>
  <c r="AJ271" i="17"/>
  <c r="AK271" i="17"/>
  <c r="AH272" i="17"/>
  <c r="AI272" i="17"/>
  <c r="AJ272" i="17"/>
  <c r="AK272" i="17"/>
  <c r="AH273" i="17"/>
  <c r="AI273" i="17"/>
  <c r="AJ273" i="17"/>
  <c r="AK273" i="17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I12" i="16"/>
  <c r="AJ12" i="16"/>
  <c r="AK12" i="16"/>
  <c r="AL12" i="16"/>
  <c r="AM12" i="16"/>
  <c r="AN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AH250" i="17"/>
  <c r="AI250" i="17"/>
  <c r="AJ250" i="17"/>
  <c r="AK250" i="17"/>
  <c r="AH251" i="17"/>
  <c r="AI251" i="17"/>
  <c r="AJ251" i="17"/>
  <c r="AK251" i="17"/>
  <c r="AH252" i="17"/>
  <c r="AI252" i="17"/>
  <c r="AJ252" i="17"/>
  <c r="AK252" i="17"/>
  <c r="AH253" i="17"/>
  <c r="AI253" i="17"/>
  <c r="AJ253" i="17"/>
  <c r="AK253" i="17"/>
  <c r="AH254" i="17"/>
  <c r="AI254" i="17"/>
  <c r="AJ254" i="17"/>
  <c r="AK254" i="17"/>
  <c r="AH255" i="17"/>
  <c r="AI255" i="17"/>
  <c r="AJ255" i="17"/>
  <c r="AK255" i="17"/>
  <c r="AH256" i="17"/>
  <c r="AI256" i="17"/>
  <c r="AJ256" i="17"/>
  <c r="AK256" i="17"/>
  <c r="AH257" i="17"/>
  <c r="AI257" i="17"/>
  <c r="AJ257" i="17"/>
  <c r="AK257" i="17"/>
  <c r="AH258" i="17"/>
  <c r="AI258" i="17"/>
  <c r="AJ258" i="17"/>
  <c r="AK258" i="17"/>
  <c r="AH259" i="17"/>
  <c r="AI259" i="17"/>
  <c r="AJ259" i="17"/>
  <c r="AK259" i="17"/>
  <c r="AH260" i="17"/>
  <c r="AI260" i="17"/>
  <c r="AJ260" i="17"/>
  <c r="AK260" i="17"/>
  <c r="AH261" i="17"/>
  <c r="AI261" i="17"/>
  <c r="AJ261" i="17"/>
  <c r="AK261" i="17"/>
  <c r="AH954" i="9"/>
  <c r="AI954" i="9"/>
  <c r="AJ954" i="9"/>
  <c r="AK954" i="9"/>
  <c r="AH955" i="9"/>
  <c r="AI955" i="9"/>
  <c r="AJ955" i="9"/>
  <c r="AK955" i="9"/>
  <c r="AH956" i="9"/>
  <c r="AI956" i="9"/>
  <c r="AJ956" i="9"/>
  <c r="AK956" i="9"/>
  <c r="AH957" i="9"/>
  <c r="AI957" i="9"/>
  <c r="AJ957" i="9"/>
  <c r="AK957" i="9"/>
  <c r="AH958" i="9"/>
  <c r="AI958" i="9"/>
  <c r="AJ958" i="9"/>
  <c r="AK958" i="9"/>
  <c r="AH959" i="9"/>
  <c r="AI959" i="9"/>
  <c r="AJ959" i="9"/>
  <c r="AK959" i="9"/>
  <c r="AH960" i="9"/>
  <c r="AI960" i="9"/>
  <c r="AJ960" i="9"/>
  <c r="AK960" i="9"/>
  <c r="AH961" i="9"/>
  <c r="AI961" i="9"/>
  <c r="AJ961" i="9"/>
  <c r="AK961" i="9"/>
  <c r="AH962" i="9"/>
  <c r="AI962" i="9"/>
  <c r="AJ962" i="9"/>
  <c r="AK962" i="9"/>
  <c r="AH963" i="9"/>
  <c r="AI963" i="9"/>
  <c r="AJ963" i="9"/>
  <c r="AK963" i="9"/>
  <c r="AH964" i="9"/>
  <c r="AI964" i="9"/>
  <c r="AJ964" i="9"/>
  <c r="AK964" i="9"/>
  <c r="AH965" i="9"/>
  <c r="AI965" i="9"/>
  <c r="AJ965" i="9"/>
  <c r="AK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I40" i="16"/>
  <c r="AJ40" i="16"/>
  <c r="AK40" i="16"/>
  <c r="AL40" i="16"/>
  <c r="AM40" i="16"/>
  <c r="AN40" i="16"/>
  <c r="R40" i="16"/>
  <c r="F40" i="16"/>
  <c r="G40" i="16"/>
  <c r="H40" i="16" a="1"/>
  <c r="H40" i="16" s="1"/>
  <c r="I40" i="16"/>
  <c r="J40" i="16"/>
  <c r="K40" i="16"/>
  <c r="L40" i="16"/>
  <c r="M40" i="16" s="1"/>
  <c r="N40" i="16"/>
  <c r="O40" i="16"/>
  <c r="P40" i="16" s="1"/>
  <c r="Q40" i="16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J55" i="12"/>
  <c r="AK55" i="12"/>
  <c r="AL55" i="12"/>
  <c r="AM55" i="12"/>
  <c r="AN55" i="12"/>
  <c r="AO55" i="12"/>
  <c r="S55" i="12"/>
  <c r="F55" i="12"/>
  <c r="G55" i="12"/>
  <c r="I55" i="12" a="1"/>
  <c r="I55" i="12" s="1"/>
  <c r="J55" i="12"/>
  <c r="K55" i="12"/>
  <c r="L55" i="12"/>
  <c r="M55" i="12"/>
  <c r="N55" i="12" s="1"/>
  <c r="O55" i="12"/>
  <c r="P55" i="12"/>
  <c r="Q55" i="12" s="1"/>
  <c r="R55" i="12"/>
  <c r="AH234" i="17"/>
  <c r="AI234" i="17"/>
  <c r="AJ234" i="17"/>
  <c r="AK234" i="17"/>
  <c r="AH235" i="17"/>
  <c r="AI235" i="17"/>
  <c r="AJ235" i="17"/>
  <c r="AK235" i="17"/>
  <c r="AH236" i="17"/>
  <c r="AI236" i="17"/>
  <c r="AJ236" i="17"/>
  <c r="AK236" i="17"/>
  <c r="AH237" i="17"/>
  <c r="AI237" i="17"/>
  <c r="AJ237" i="17"/>
  <c r="AK237" i="17"/>
  <c r="AH238" i="17"/>
  <c r="AI238" i="17"/>
  <c r="AJ238" i="17"/>
  <c r="AK238" i="17"/>
  <c r="AH239" i="17"/>
  <c r="AI239" i="17"/>
  <c r="AJ239" i="17"/>
  <c r="AK239" i="17"/>
  <c r="AH240" i="17"/>
  <c r="AI240" i="17"/>
  <c r="AJ240" i="17"/>
  <c r="AK240" i="17"/>
  <c r="AH241" i="17"/>
  <c r="AI241" i="17"/>
  <c r="N35" i="16" s="1"/>
  <c r="AJ241" i="17"/>
  <c r="AK241" i="17"/>
  <c r="K35" i="16" s="1"/>
  <c r="AH242" i="17"/>
  <c r="AI242" i="17"/>
  <c r="AJ242" i="17"/>
  <c r="AK242" i="17"/>
  <c r="AH243" i="17"/>
  <c r="AI243" i="17"/>
  <c r="AJ243" i="17"/>
  <c r="AK243" i="17"/>
  <c r="AH244" i="17"/>
  <c r="AI244" i="17"/>
  <c r="AJ244" i="17"/>
  <c r="AK244" i="17"/>
  <c r="AH245" i="17"/>
  <c r="AI245" i="17"/>
  <c r="AJ245" i="17"/>
  <c r="AK245" i="17"/>
  <c r="AH246" i="17"/>
  <c r="AI246" i="17"/>
  <c r="AJ246" i="17"/>
  <c r="AK246" i="17"/>
  <c r="AH247" i="17"/>
  <c r="AI247" i="17"/>
  <c r="AJ247" i="17"/>
  <c r="AK247" i="17"/>
  <c r="AH248" i="17"/>
  <c r="AI248" i="17"/>
  <c r="AJ248" i="17"/>
  <c r="AK248" i="17"/>
  <c r="AH249" i="17"/>
  <c r="AI249" i="17"/>
  <c r="AJ249" i="17"/>
  <c r="AK249" i="17"/>
  <c r="AH938" i="9"/>
  <c r="AI938" i="9"/>
  <c r="AJ938" i="9"/>
  <c r="AK938" i="9"/>
  <c r="AH939" i="9"/>
  <c r="AI939" i="9"/>
  <c r="AJ939" i="9"/>
  <c r="AK939" i="9"/>
  <c r="AH940" i="9"/>
  <c r="AI940" i="9"/>
  <c r="AJ940" i="9"/>
  <c r="AK940" i="9"/>
  <c r="AH941" i="9"/>
  <c r="AI941" i="9"/>
  <c r="AJ941" i="9"/>
  <c r="AK941" i="9"/>
  <c r="AH942" i="9"/>
  <c r="AI942" i="9"/>
  <c r="AJ942" i="9"/>
  <c r="AK942" i="9"/>
  <c r="AH943" i="9"/>
  <c r="AI943" i="9"/>
  <c r="AJ943" i="9"/>
  <c r="AK943" i="9"/>
  <c r="AH944" i="9"/>
  <c r="AI944" i="9"/>
  <c r="AJ944" i="9"/>
  <c r="AK944" i="9"/>
  <c r="AH945" i="9"/>
  <c r="AI945" i="9"/>
  <c r="AJ945" i="9"/>
  <c r="AK945" i="9"/>
  <c r="AH946" i="9"/>
  <c r="AI946" i="9"/>
  <c r="AJ946" i="9"/>
  <c r="AK946" i="9"/>
  <c r="AH947" i="9"/>
  <c r="AI947" i="9"/>
  <c r="AJ947" i="9"/>
  <c r="AK947" i="9"/>
  <c r="AH948" i="9"/>
  <c r="AI948" i="9"/>
  <c r="AJ948" i="9"/>
  <c r="AK948" i="9"/>
  <c r="AH949" i="9"/>
  <c r="AI949" i="9"/>
  <c r="AJ949" i="9"/>
  <c r="AK949" i="9"/>
  <c r="AH950" i="9"/>
  <c r="AI950" i="9"/>
  <c r="AJ950" i="9"/>
  <c r="AK950" i="9"/>
  <c r="AH951" i="9"/>
  <c r="AI951" i="9"/>
  <c r="AJ951" i="9"/>
  <c r="AK951" i="9"/>
  <c r="AH952" i="9"/>
  <c r="AI952" i="9"/>
  <c r="AJ952" i="9"/>
  <c r="AK952" i="9"/>
  <c r="AH953" i="9"/>
  <c r="AI953" i="9"/>
  <c r="AJ953" i="9"/>
  <c r="AK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M52" i="13" s="1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T35" i="13"/>
  <c r="H35" i="13"/>
  <c r="I35" i="13"/>
  <c r="J35" i="13" a="1"/>
  <c r="J35" i="13" s="1"/>
  <c r="K35" i="13"/>
  <c r="L35" i="13"/>
  <c r="M35" i="13"/>
  <c r="N35" i="13"/>
  <c r="O35" i="13" s="1"/>
  <c r="Q35" i="13"/>
  <c r="R35" i="13" s="1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AJ37" i="11"/>
  <c r="U37" i="11"/>
  <c r="H37" i="11"/>
  <c r="I37" i="11"/>
  <c r="K37" i="11" a="1"/>
  <c r="K37" i="11" s="1"/>
  <c r="L37" i="11"/>
  <c r="M37" i="11"/>
  <c r="N37" i="11"/>
  <c r="O37" i="11"/>
  <c r="P37" i="11" s="1"/>
  <c r="Q37" i="11"/>
  <c r="R37" i="11"/>
  <c r="S37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H222" i="17"/>
  <c r="AI222" i="17"/>
  <c r="AJ222" i="17"/>
  <c r="AK222" i="17"/>
  <c r="AH223" i="17"/>
  <c r="AI223" i="17"/>
  <c r="AJ223" i="17"/>
  <c r="AK223" i="17"/>
  <c r="AH224" i="17"/>
  <c r="AI224" i="17"/>
  <c r="AJ224" i="17"/>
  <c r="AK224" i="17"/>
  <c r="AH225" i="17"/>
  <c r="AI225" i="17"/>
  <c r="AJ225" i="17"/>
  <c r="AK225" i="17"/>
  <c r="AH226" i="17"/>
  <c r="AI226" i="17"/>
  <c r="AJ226" i="17"/>
  <c r="AK226" i="17"/>
  <c r="AH227" i="17"/>
  <c r="AI227" i="17"/>
  <c r="AJ227" i="17"/>
  <c r="AK227" i="17"/>
  <c r="AH228" i="17"/>
  <c r="AI228" i="17"/>
  <c r="AJ228" i="17"/>
  <c r="AK228" i="17"/>
  <c r="AH229" i="17"/>
  <c r="AI229" i="17"/>
  <c r="AJ229" i="17"/>
  <c r="AK229" i="17"/>
  <c r="AH230" i="17"/>
  <c r="AI230" i="17"/>
  <c r="AJ230" i="17"/>
  <c r="AK230" i="17"/>
  <c r="AH231" i="17"/>
  <c r="AI231" i="17"/>
  <c r="AJ231" i="17"/>
  <c r="AK231" i="17"/>
  <c r="AH232" i="17"/>
  <c r="AI232" i="17"/>
  <c r="AJ232" i="17"/>
  <c r="AK232" i="17"/>
  <c r="AH233" i="17"/>
  <c r="AI233" i="17"/>
  <c r="AJ233" i="17"/>
  <c r="AK233" i="17"/>
  <c r="AH926" i="9"/>
  <c r="AI926" i="9"/>
  <c r="AJ926" i="9"/>
  <c r="AK926" i="9"/>
  <c r="AH927" i="9"/>
  <c r="AI927" i="9"/>
  <c r="AJ927" i="9"/>
  <c r="AK927" i="9"/>
  <c r="AH928" i="9"/>
  <c r="AI928" i="9"/>
  <c r="AJ928" i="9"/>
  <c r="AK928" i="9"/>
  <c r="AH929" i="9"/>
  <c r="AI929" i="9"/>
  <c r="AJ929" i="9"/>
  <c r="AK929" i="9"/>
  <c r="AH930" i="9"/>
  <c r="AI930" i="9"/>
  <c r="AJ930" i="9"/>
  <c r="AK930" i="9"/>
  <c r="AH931" i="9"/>
  <c r="AI931" i="9"/>
  <c r="AJ931" i="9"/>
  <c r="AK931" i="9"/>
  <c r="AH932" i="9"/>
  <c r="AI932" i="9"/>
  <c r="AJ932" i="9"/>
  <c r="AK932" i="9"/>
  <c r="AH933" i="9"/>
  <c r="AI933" i="9"/>
  <c r="AJ933" i="9"/>
  <c r="AK933" i="9"/>
  <c r="AH934" i="9"/>
  <c r="AI934" i="9"/>
  <c r="AJ934" i="9"/>
  <c r="AK934" i="9"/>
  <c r="AH935" i="9"/>
  <c r="AI935" i="9"/>
  <c r="AJ935" i="9"/>
  <c r="AK935" i="9"/>
  <c r="AH936" i="9"/>
  <c r="AI936" i="9"/>
  <c r="AJ936" i="9"/>
  <c r="AK936" i="9"/>
  <c r="AH937" i="9"/>
  <c r="AI937" i="9"/>
  <c r="AJ937" i="9"/>
  <c r="AK937" i="9"/>
  <c r="AH914" i="9"/>
  <c r="AI914" i="9"/>
  <c r="AJ914" i="9"/>
  <c r="AK914" i="9"/>
  <c r="AH915" i="9"/>
  <c r="AI915" i="9"/>
  <c r="AJ915" i="9"/>
  <c r="AK915" i="9"/>
  <c r="AH916" i="9"/>
  <c r="AI916" i="9"/>
  <c r="AJ916" i="9"/>
  <c r="AK916" i="9"/>
  <c r="AH917" i="9"/>
  <c r="AI917" i="9"/>
  <c r="AJ917" i="9"/>
  <c r="AK917" i="9"/>
  <c r="AH918" i="9"/>
  <c r="AI918" i="9"/>
  <c r="AJ918" i="9"/>
  <c r="AK918" i="9"/>
  <c r="AH919" i="9"/>
  <c r="AI919" i="9"/>
  <c r="AJ919" i="9"/>
  <c r="AK919" i="9"/>
  <c r="AH920" i="9"/>
  <c r="AI920" i="9"/>
  <c r="AJ920" i="9"/>
  <c r="AK920" i="9"/>
  <c r="AH921" i="9"/>
  <c r="AI921" i="9"/>
  <c r="AJ921" i="9"/>
  <c r="AK921" i="9"/>
  <c r="AH922" i="9"/>
  <c r="AI922" i="9"/>
  <c r="AJ922" i="9"/>
  <c r="AK922" i="9"/>
  <c r="AH923" i="9"/>
  <c r="AI923" i="9"/>
  <c r="AJ923" i="9"/>
  <c r="AK923" i="9"/>
  <c r="AH924" i="9"/>
  <c r="AI924" i="9"/>
  <c r="AJ924" i="9"/>
  <c r="AK924" i="9"/>
  <c r="AH925" i="9"/>
  <c r="AI925" i="9"/>
  <c r="AJ925" i="9"/>
  <c r="AK925" i="9"/>
  <c r="AH210" i="17"/>
  <c r="AI210" i="17"/>
  <c r="AJ210" i="17"/>
  <c r="AK210" i="17"/>
  <c r="AH211" i="17"/>
  <c r="AI211" i="17"/>
  <c r="AJ211" i="17"/>
  <c r="AK211" i="17"/>
  <c r="AH212" i="17"/>
  <c r="AI212" i="17"/>
  <c r="AJ212" i="17"/>
  <c r="AK212" i="17"/>
  <c r="AH213" i="17"/>
  <c r="AI213" i="17"/>
  <c r="AJ213" i="17"/>
  <c r="AK213" i="17"/>
  <c r="AH214" i="17"/>
  <c r="AI214" i="17"/>
  <c r="AJ214" i="17"/>
  <c r="AK214" i="17"/>
  <c r="AH215" i="17"/>
  <c r="AI215" i="17"/>
  <c r="AJ215" i="17"/>
  <c r="AK215" i="17"/>
  <c r="AH216" i="17"/>
  <c r="AI216" i="17"/>
  <c r="AJ216" i="17"/>
  <c r="AK216" i="17"/>
  <c r="AH217" i="17"/>
  <c r="AI217" i="17"/>
  <c r="AJ217" i="17"/>
  <c r="AK217" i="17"/>
  <c r="AH218" i="17"/>
  <c r="AI218" i="17"/>
  <c r="AJ218" i="17"/>
  <c r="AK218" i="17"/>
  <c r="AH219" i="17"/>
  <c r="AI219" i="17"/>
  <c r="AJ219" i="17"/>
  <c r="AK219" i="17"/>
  <c r="AH220" i="17"/>
  <c r="AI220" i="17"/>
  <c r="AJ220" i="17"/>
  <c r="AK220" i="17"/>
  <c r="AH221" i="17"/>
  <c r="AI221" i="17"/>
  <c r="AJ221" i="17"/>
  <c r="AK221" i="17"/>
  <c r="AH198" i="17"/>
  <c r="AI198" i="17"/>
  <c r="AJ198" i="17"/>
  <c r="AK198" i="17"/>
  <c r="AH199" i="17"/>
  <c r="AI199" i="17"/>
  <c r="AJ199" i="17"/>
  <c r="AK199" i="17"/>
  <c r="AH200" i="17"/>
  <c r="AI200" i="17"/>
  <c r="AJ200" i="17"/>
  <c r="AK200" i="17"/>
  <c r="AH201" i="17"/>
  <c r="AI201" i="17"/>
  <c r="AJ201" i="17"/>
  <c r="AK201" i="17"/>
  <c r="AH202" i="17"/>
  <c r="AI202" i="17"/>
  <c r="AJ202" i="17"/>
  <c r="AK202" i="17"/>
  <c r="AH203" i="17"/>
  <c r="AI203" i="17"/>
  <c r="AJ203" i="17"/>
  <c r="AK203" i="17"/>
  <c r="AH204" i="17"/>
  <c r="AI204" i="17"/>
  <c r="AJ204" i="17"/>
  <c r="AK204" i="17"/>
  <c r="AH205" i="17"/>
  <c r="AI205" i="17"/>
  <c r="AJ205" i="17"/>
  <c r="AK205" i="17"/>
  <c r="AH206" i="17"/>
  <c r="AI206" i="17"/>
  <c r="AJ206" i="17"/>
  <c r="AK206" i="17"/>
  <c r="AH207" i="17"/>
  <c r="AI207" i="17"/>
  <c r="AJ207" i="17"/>
  <c r="AK207" i="17"/>
  <c r="AH208" i="17"/>
  <c r="AI208" i="17"/>
  <c r="AJ208" i="17"/>
  <c r="AK208" i="17"/>
  <c r="AH209" i="17"/>
  <c r="AI209" i="17"/>
  <c r="AJ209" i="17"/>
  <c r="AK209" i="17"/>
  <c r="AH902" i="9"/>
  <c r="AI902" i="9"/>
  <c r="AJ902" i="9"/>
  <c r="AK902" i="9"/>
  <c r="AH903" i="9"/>
  <c r="AI903" i="9"/>
  <c r="AJ903" i="9"/>
  <c r="AK903" i="9"/>
  <c r="AH904" i="9"/>
  <c r="AI904" i="9"/>
  <c r="AJ904" i="9"/>
  <c r="AK904" i="9"/>
  <c r="AH905" i="9"/>
  <c r="AI905" i="9"/>
  <c r="AJ905" i="9"/>
  <c r="AK905" i="9"/>
  <c r="AH906" i="9"/>
  <c r="AI906" i="9"/>
  <c r="AJ906" i="9"/>
  <c r="AK906" i="9"/>
  <c r="AH907" i="9"/>
  <c r="AI907" i="9"/>
  <c r="AJ907" i="9"/>
  <c r="AK907" i="9"/>
  <c r="AH908" i="9"/>
  <c r="AI908" i="9"/>
  <c r="AJ908" i="9"/>
  <c r="AK908" i="9"/>
  <c r="AH909" i="9"/>
  <c r="AI909" i="9"/>
  <c r="AJ909" i="9"/>
  <c r="AK909" i="9"/>
  <c r="AH910" i="9"/>
  <c r="AI910" i="9"/>
  <c r="AJ910" i="9"/>
  <c r="AK910" i="9"/>
  <c r="AH911" i="9"/>
  <c r="AI911" i="9"/>
  <c r="AJ911" i="9"/>
  <c r="AK911" i="9"/>
  <c r="AH912" i="9"/>
  <c r="AI912" i="9"/>
  <c r="AJ912" i="9"/>
  <c r="AK912" i="9"/>
  <c r="AH913" i="9"/>
  <c r="AI913" i="9"/>
  <c r="AJ913" i="9"/>
  <c r="AK913" i="9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T50" i="13"/>
  <c r="H50" i="13"/>
  <c r="I50" i="13"/>
  <c r="J50" i="13" a="1"/>
  <c r="J50" i="13" s="1"/>
  <c r="K50" i="13"/>
  <c r="L50" i="13"/>
  <c r="N50" i="13"/>
  <c r="O50" i="13" s="1"/>
  <c r="Q50" i="13"/>
  <c r="R50" i="13" s="1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T17" i="13"/>
  <c r="H17" i="13"/>
  <c r="I17" i="13"/>
  <c r="J17" i="13" a="1"/>
  <c r="J17" i="13" s="1"/>
  <c r="K17" i="13"/>
  <c r="L17" i="13"/>
  <c r="N17" i="13"/>
  <c r="O17" i="13" s="1"/>
  <c r="Q17" i="13"/>
  <c r="R17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N2" i="13"/>
  <c r="O2" i="13" s="1"/>
  <c r="Q2" i="13"/>
  <c r="R2" i="13" s="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AJ54" i="11"/>
  <c r="U54" i="11"/>
  <c r="H54" i="11"/>
  <c r="I54" i="11"/>
  <c r="K54" i="11" a="1"/>
  <c r="K54" i="11" s="1"/>
  <c r="L54" i="11"/>
  <c r="M54" i="11"/>
  <c r="O54" i="11"/>
  <c r="P54" i="11" s="1"/>
  <c r="R54" i="11"/>
  <c r="S54" i="11" s="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AJ17" i="11"/>
  <c r="U17" i="11"/>
  <c r="H17" i="11"/>
  <c r="I17" i="11"/>
  <c r="K17" i="11" a="1"/>
  <c r="K17" i="11" s="1"/>
  <c r="L17" i="11"/>
  <c r="M17" i="11"/>
  <c r="O17" i="11"/>
  <c r="P17" i="11" s="1"/>
  <c r="Q17" i="11"/>
  <c r="R17" i="11"/>
  <c r="S17" i="11" s="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AJ2" i="11"/>
  <c r="U2" i="11"/>
  <c r="H2" i="11"/>
  <c r="I2" i="11"/>
  <c r="K2" i="11" a="1"/>
  <c r="K2" i="11" s="1"/>
  <c r="L2" i="11"/>
  <c r="M2" i="11"/>
  <c r="O2" i="11"/>
  <c r="P2" i="11" s="1"/>
  <c r="R2" i="11"/>
  <c r="S2" i="11" s="1"/>
  <c r="T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M2" i="13" s="1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7" i="13" s="1"/>
  <c r="AC306" i="15"/>
  <c r="S17" i="13" s="1"/>
  <c r="AD306" i="15"/>
  <c r="M17" i="13" s="1"/>
  <c r="AA307" i="15"/>
  <c r="AB307" i="15"/>
  <c r="AC307" i="15"/>
  <c r="AD307" i="15"/>
  <c r="AA308" i="15"/>
  <c r="AB308" i="15"/>
  <c r="AC308" i="15"/>
  <c r="AD308" i="15"/>
  <c r="AA309" i="15"/>
  <c r="AB309" i="15"/>
  <c r="P50" i="13" s="1"/>
  <c r="AC309" i="15"/>
  <c r="S50" i="13" s="1"/>
  <c r="AD309" i="15"/>
  <c r="M50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Q2" i="11" s="1"/>
  <c r="AC786" i="10"/>
  <c r="AD786" i="10"/>
  <c r="N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T17" i="11" s="1"/>
  <c r="AD791" i="10"/>
  <c r="N17" i="11" s="1"/>
  <c r="AA792" i="10"/>
  <c r="AB792" i="10"/>
  <c r="AC792" i="10"/>
  <c r="AD792" i="10"/>
  <c r="AA793" i="10"/>
  <c r="AB793" i="10"/>
  <c r="AC793" i="10"/>
  <c r="AD793" i="10"/>
  <c r="AA794" i="10"/>
  <c r="AB794" i="10"/>
  <c r="Q54" i="11" s="1"/>
  <c r="AC794" i="10"/>
  <c r="T54" i="11" s="1"/>
  <c r="AD794" i="10"/>
  <c r="N54" i="11" s="1"/>
  <c r="Q40" i="19"/>
  <c r="R40" i="19"/>
  <c r="S40" i="19"/>
  <c r="T40" i="19"/>
  <c r="U40" i="19"/>
  <c r="V40" i="19"/>
  <c r="W40" i="19"/>
  <c r="X40" i="19"/>
  <c r="Y40" i="19"/>
  <c r="Z40" i="19"/>
  <c r="AA40" i="19"/>
  <c r="AB40" i="19"/>
  <c r="AC40" i="19"/>
  <c r="AD40" i="19"/>
  <c r="AE40" i="19"/>
  <c r="P40" i="19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H186" i="17"/>
  <c r="AI186" i="17"/>
  <c r="AJ186" i="17"/>
  <c r="AK186" i="17"/>
  <c r="AH187" i="17"/>
  <c r="AI187" i="17"/>
  <c r="AJ187" i="17"/>
  <c r="AK187" i="17"/>
  <c r="AH188" i="17"/>
  <c r="AI188" i="17"/>
  <c r="AJ188" i="17"/>
  <c r="AK188" i="17"/>
  <c r="AH189" i="17"/>
  <c r="AI189" i="17"/>
  <c r="AJ189" i="17"/>
  <c r="AK189" i="17"/>
  <c r="AH190" i="17"/>
  <c r="AI190" i="17"/>
  <c r="AJ190" i="17"/>
  <c r="AK190" i="17"/>
  <c r="AH191" i="17"/>
  <c r="AI191" i="17"/>
  <c r="AJ191" i="17"/>
  <c r="AK191" i="17"/>
  <c r="AH192" i="17"/>
  <c r="AI192" i="17"/>
  <c r="AJ192" i="17"/>
  <c r="AK192" i="17"/>
  <c r="AH193" i="17"/>
  <c r="AI193" i="17"/>
  <c r="AJ193" i="17"/>
  <c r="AK193" i="17"/>
  <c r="AH194" i="17"/>
  <c r="AI194" i="17"/>
  <c r="AJ194" i="17"/>
  <c r="AK194" i="17"/>
  <c r="AH195" i="17"/>
  <c r="AI195" i="17"/>
  <c r="AJ195" i="17"/>
  <c r="AK195" i="17"/>
  <c r="AH196" i="17"/>
  <c r="AI196" i="17"/>
  <c r="AJ196" i="17"/>
  <c r="AK196" i="17"/>
  <c r="AH197" i="17"/>
  <c r="AI197" i="17"/>
  <c r="AJ197" i="17"/>
  <c r="AK197" i="17"/>
  <c r="AH890" i="9"/>
  <c r="AI890" i="9"/>
  <c r="AJ890" i="9"/>
  <c r="AK890" i="9"/>
  <c r="AH891" i="9"/>
  <c r="AI891" i="9"/>
  <c r="AJ891" i="9"/>
  <c r="AK891" i="9"/>
  <c r="AH892" i="9"/>
  <c r="AI892" i="9"/>
  <c r="AJ892" i="9"/>
  <c r="AK892" i="9"/>
  <c r="AH893" i="9"/>
  <c r="AI893" i="9"/>
  <c r="AJ893" i="9"/>
  <c r="AK893" i="9"/>
  <c r="AH894" i="9"/>
  <c r="AI894" i="9"/>
  <c r="AJ894" i="9"/>
  <c r="AK894" i="9"/>
  <c r="AH895" i="9"/>
  <c r="AI895" i="9"/>
  <c r="AJ895" i="9"/>
  <c r="AK895" i="9"/>
  <c r="AH896" i="9"/>
  <c r="AI896" i="9"/>
  <c r="AJ896" i="9"/>
  <c r="AK896" i="9"/>
  <c r="AH897" i="9"/>
  <c r="AI897" i="9"/>
  <c r="AJ897" i="9"/>
  <c r="AK897" i="9"/>
  <c r="AH898" i="9"/>
  <c r="AI898" i="9"/>
  <c r="AJ898" i="9"/>
  <c r="AK898" i="9"/>
  <c r="AH899" i="9"/>
  <c r="AI899" i="9"/>
  <c r="AJ899" i="9"/>
  <c r="AK899" i="9"/>
  <c r="AH900" i="9"/>
  <c r="AI900" i="9"/>
  <c r="AJ900" i="9"/>
  <c r="AK900" i="9"/>
  <c r="AH901" i="9"/>
  <c r="AI901" i="9"/>
  <c r="AJ901" i="9"/>
  <c r="AK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T39" i="13"/>
  <c r="H39" i="13"/>
  <c r="I39" i="13"/>
  <c r="J39" i="13" a="1"/>
  <c r="J39" i="13" s="1"/>
  <c r="K39" i="13"/>
  <c r="L39" i="13"/>
  <c r="M39" i="13"/>
  <c r="N39" i="13"/>
  <c r="O39" i="13" s="1"/>
  <c r="P39" i="13"/>
  <c r="Q39" i="13"/>
  <c r="R39" i="13" s="1"/>
  <c r="S39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T40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H878" i="9"/>
  <c r="AI878" i="9"/>
  <c r="AJ878" i="9"/>
  <c r="AK878" i="9"/>
  <c r="AH879" i="9"/>
  <c r="AI879" i="9"/>
  <c r="AJ879" i="9"/>
  <c r="AK879" i="9"/>
  <c r="AH880" i="9"/>
  <c r="AI880" i="9"/>
  <c r="AJ880" i="9"/>
  <c r="AK880" i="9"/>
  <c r="AH881" i="9"/>
  <c r="AI881" i="9"/>
  <c r="AJ881" i="9"/>
  <c r="AK881" i="9"/>
  <c r="AH882" i="9"/>
  <c r="AI882" i="9"/>
  <c r="AJ882" i="9"/>
  <c r="AK882" i="9"/>
  <c r="AH883" i="9"/>
  <c r="AI883" i="9"/>
  <c r="AJ883" i="9"/>
  <c r="AK883" i="9"/>
  <c r="AH884" i="9"/>
  <c r="AI884" i="9"/>
  <c r="AJ884" i="9"/>
  <c r="AK884" i="9"/>
  <c r="AH885" i="9"/>
  <c r="AI885" i="9"/>
  <c r="AJ885" i="9"/>
  <c r="AK885" i="9"/>
  <c r="AH886" i="9"/>
  <c r="AI886" i="9"/>
  <c r="AJ886" i="9"/>
  <c r="AK886" i="9"/>
  <c r="AH887" i="9"/>
  <c r="AI887" i="9"/>
  <c r="AJ887" i="9"/>
  <c r="AK887" i="9"/>
  <c r="AH888" i="9"/>
  <c r="AI888" i="9"/>
  <c r="AJ888" i="9"/>
  <c r="AK888" i="9"/>
  <c r="AH889" i="9"/>
  <c r="AI889" i="9"/>
  <c r="AJ889" i="9"/>
  <c r="AK889" i="9"/>
  <c r="AH174" i="17"/>
  <c r="AI174" i="17"/>
  <c r="AJ174" i="17"/>
  <c r="AK174" i="17"/>
  <c r="AH175" i="17"/>
  <c r="AI175" i="17"/>
  <c r="AJ175" i="17"/>
  <c r="AK175" i="17"/>
  <c r="AH176" i="17"/>
  <c r="AI176" i="17"/>
  <c r="AJ176" i="17"/>
  <c r="AK176" i="17"/>
  <c r="AH177" i="17"/>
  <c r="AI177" i="17"/>
  <c r="AJ177" i="17"/>
  <c r="AK177" i="17"/>
  <c r="AH178" i="17"/>
  <c r="AI178" i="17"/>
  <c r="AJ178" i="17"/>
  <c r="AK178" i="17"/>
  <c r="AH179" i="17"/>
  <c r="AI179" i="17"/>
  <c r="AJ179" i="17"/>
  <c r="AK179" i="17"/>
  <c r="AH180" i="17"/>
  <c r="AI180" i="17"/>
  <c r="AJ180" i="17"/>
  <c r="AK180" i="17"/>
  <c r="AH181" i="17"/>
  <c r="AI181" i="17"/>
  <c r="AJ181" i="17"/>
  <c r="AK181" i="17"/>
  <c r="AH182" i="17"/>
  <c r="AI182" i="17"/>
  <c r="AJ182" i="17"/>
  <c r="AK182" i="17"/>
  <c r="AH183" i="17"/>
  <c r="AI183" i="17"/>
  <c r="AJ183" i="17"/>
  <c r="AK183" i="17"/>
  <c r="AH184" i="17"/>
  <c r="AI184" i="17"/>
  <c r="AJ184" i="17"/>
  <c r="AK184" i="17"/>
  <c r="AH185" i="17"/>
  <c r="AI185" i="17"/>
  <c r="AJ185" i="17"/>
  <c r="AK185" i="17"/>
  <c r="AH162" i="17"/>
  <c r="AI162" i="17"/>
  <c r="AJ162" i="17"/>
  <c r="AK162" i="17"/>
  <c r="AH163" i="17"/>
  <c r="AI163" i="17"/>
  <c r="AJ163" i="17"/>
  <c r="AK163" i="17"/>
  <c r="AH164" i="17"/>
  <c r="AI164" i="17"/>
  <c r="AJ164" i="17"/>
  <c r="AK164" i="17"/>
  <c r="AH165" i="17"/>
  <c r="AI165" i="17"/>
  <c r="AJ165" i="17"/>
  <c r="AK165" i="17"/>
  <c r="AH166" i="17"/>
  <c r="AI166" i="17"/>
  <c r="AJ166" i="17"/>
  <c r="AK166" i="17"/>
  <c r="AH167" i="17"/>
  <c r="AI167" i="17"/>
  <c r="AJ167" i="17"/>
  <c r="AK167" i="17"/>
  <c r="AH168" i="17"/>
  <c r="AI168" i="17"/>
  <c r="AJ168" i="17"/>
  <c r="AK168" i="17"/>
  <c r="AH169" i="17"/>
  <c r="AI169" i="17"/>
  <c r="AJ169" i="17"/>
  <c r="AK169" i="17"/>
  <c r="AH170" i="17"/>
  <c r="AI170" i="17"/>
  <c r="AJ170" i="17"/>
  <c r="AK170" i="17"/>
  <c r="AH171" i="17"/>
  <c r="AI171" i="17"/>
  <c r="AJ171" i="17"/>
  <c r="AK171" i="17"/>
  <c r="AH172" i="17"/>
  <c r="AI172" i="17"/>
  <c r="AJ172" i="17"/>
  <c r="AK172" i="17"/>
  <c r="AH173" i="17"/>
  <c r="AI173" i="17"/>
  <c r="AJ173" i="17"/>
  <c r="AK173" i="17"/>
  <c r="AH866" i="9"/>
  <c r="AI866" i="9"/>
  <c r="AJ866" i="9"/>
  <c r="AK866" i="9"/>
  <c r="AH867" i="9"/>
  <c r="AI867" i="9"/>
  <c r="AJ867" i="9"/>
  <c r="AK867" i="9"/>
  <c r="AH868" i="9"/>
  <c r="AI868" i="9"/>
  <c r="AJ868" i="9"/>
  <c r="AK868" i="9"/>
  <c r="AH869" i="9"/>
  <c r="AI869" i="9"/>
  <c r="AJ869" i="9"/>
  <c r="AK869" i="9"/>
  <c r="AH870" i="9"/>
  <c r="AI870" i="9"/>
  <c r="AJ870" i="9"/>
  <c r="AK870" i="9"/>
  <c r="AH871" i="9"/>
  <c r="AI871" i="9"/>
  <c r="AJ871" i="9"/>
  <c r="AK871" i="9"/>
  <c r="AH872" i="9"/>
  <c r="AI872" i="9"/>
  <c r="AJ872" i="9"/>
  <c r="AK872" i="9"/>
  <c r="AH873" i="9"/>
  <c r="AI873" i="9"/>
  <c r="AJ873" i="9"/>
  <c r="AK873" i="9"/>
  <c r="AH874" i="9"/>
  <c r="AI874" i="9"/>
  <c r="AJ874" i="9"/>
  <c r="AK874" i="9"/>
  <c r="AH875" i="9"/>
  <c r="AI875" i="9"/>
  <c r="AJ875" i="9"/>
  <c r="AK875" i="9"/>
  <c r="AH876" i="9"/>
  <c r="AI876" i="9"/>
  <c r="AJ876" i="9"/>
  <c r="AK876" i="9"/>
  <c r="AH877" i="9"/>
  <c r="AI877" i="9"/>
  <c r="AJ877" i="9"/>
  <c r="AK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H150" i="17"/>
  <c r="AI150" i="17"/>
  <c r="AJ150" i="17"/>
  <c r="AK150" i="17"/>
  <c r="AH151" i="17"/>
  <c r="AI151" i="17"/>
  <c r="AJ151" i="17"/>
  <c r="AK151" i="17"/>
  <c r="AH152" i="17"/>
  <c r="AI152" i="17"/>
  <c r="AJ152" i="17"/>
  <c r="AK152" i="17"/>
  <c r="AH153" i="17"/>
  <c r="AI153" i="17"/>
  <c r="AJ153" i="17"/>
  <c r="AK153" i="17"/>
  <c r="AH154" i="17"/>
  <c r="AI154" i="17"/>
  <c r="AJ154" i="17"/>
  <c r="AK154" i="17"/>
  <c r="AH155" i="17"/>
  <c r="AI155" i="17"/>
  <c r="AJ155" i="17"/>
  <c r="AK155" i="17"/>
  <c r="AH156" i="17"/>
  <c r="AI156" i="17"/>
  <c r="AJ156" i="17"/>
  <c r="AK156" i="17"/>
  <c r="AH157" i="17"/>
  <c r="AI157" i="17"/>
  <c r="AJ157" i="17"/>
  <c r="AK157" i="17"/>
  <c r="AH158" i="17"/>
  <c r="AI158" i="17"/>
  <c r="AJ158" i="17"/>
  <c r="AK158" i="17"/>
  <c r="AH159" i="17"/>
  <c r="AI159" i="17"/>
  <c r="AJ159" i="17"/>
  <c r="AK159" i="17"/>
  <c r="AH160" i="17"/>
  <c r="AI160" i="17"/>
  <c r="AJ160" i="17"/>
  <c r="AK160" i="17"/>
  <c r="AH161" i="17"/>
  <c r="AI161" i="17"/>
  <c r="AJ161" i="17"/>
  <c r="AK161" i="17"/>
  <c r="AH854" i="9"/>
  <c r="AI854" i="9"/>
  <c r="AJ854" i="9"/>
  <c r="AK854" i="9"/>
  <c r="AH855" i="9"/>
  <c r="AI855" i="9"/>
  <c r="AJ855" i="9"/>
  <c r="AK855" i="9"/>
  <c r="AH856" i="9"/>
  <c r="AI856" i="9"/>
  <c r="AJ856" i="9"/>
  <c r="AK856" i="9"/>
  <c r="AH857" i="9"/>
  <c r="AI857" i="9"/>
  <c r="AJ857" i="9"/>
  <c r="AK857" i="9"/>
  <c r="AH858" i="9"/>
  <c r="AI858" i="9"/>
  <c r="AJ858" i="9"/>
  <c r="AK858" i="9"/>
  <c r="AH859" i="9"/>
  <c r="AI859" i="9"/>
  <c r="AJ859" i="9"/>
  <c r="AK859" i="9"/>
  <c r="AH860" i="9"/>
  <c r="AI860" i="9"/>
  <c r="AJ860" i="9"/>
  <c r="AK860" i="9"/>
  <c r="AH861" i="9"/>
  <c r="AI861" i="9"/>
  <c r="AJ861" i="9"/>
  <c r="AK861" i="9"/>
  <c r="AH862" i="9"/>
  <c r="AI862" i="9"/>
  <c r="AJ862" i="9"/>
  <c r="AK862" i="9"/>
  <c r="AH863" i="9"/>
  <c r="AI863" i="9"/>
  <c r="AJ863" i="9"/>
  <c r="AK863" i="9"/>
  <c r="AH864" i="9"/>
  <c r="AI864" i="9"/>
  <c r="AJ864" i="9"/>
  <c r="AK864" i="9"/>
  <c r="AH865" i="9"/>
  <c r="AI865" i="9"/>
  <c r="AJ865" i="9"/>
  <c r="AK865" i="9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I35" i="16"/>
  <c r="AJ35" i="16"/>
  <c r="AK35" i="16"/>
  <c r="AL35" i="16"/>
  <c r="AM35" i="16"/>
  <c r="AN35" i="16"/>
  <c r="R35" i="16"/>
  <c r="F35" i="16"/>
  <c r="G35" i="16"/>
  <c r="H35" i="16" a="1"/>
  <c r="H35" i="16" s="1"/>
  <c r="I35" i="16"/>
  <c r="J35" i="16"/>
  <c r="L35" i="16"/>
  <c r="M35" i="16" s="1"/>
  <c r="O35" i="16"/>
  <c r="P35" i="16" s="1"/>
  <c r="Q35" i="16"/>
  <c r="AH138" i="17"/>
  <c r="AI138" i="17"/>
  <c r="AJ138" i="17"/>
  <c r="AK138" i="17"/>
  <c r="AH139" i="17"/>
  <c r="AI139" i="17"/>
  <c r="AJ139" i="17"/>
  <c r="AK139" i="17"/>
  <c r="AH140" i="17"/>
  <c r="AI140" i="17"/>
  <c r="AJ140" i="17"/>
  <c r="AK140" i="17"/>
  <c r="AH141" i="17"/>
  <c r="AI141" i="17"/>
  <c r="AJ141" i="17"/>
  <c r="AK141" i="17"/>
  <c r="AH142" i="17"/>
  <c r="AI142" i="17"/>
  <c r="AJ142" i="17"/>
  <c r="AK142" i="17"/>
  <c r="AH143" i="17"/>
  <c r="AI143" i="17"/>
  <c r="AJ143" i="17"/>
  <c r="AK143" i="17"/>
  <c r="AH144" i="17"/>
  <c r="AI144" i="17"/>
  <c r="AJ144" i="17"/>
  <c r="AK144" i="17"/>
  <c r="AH145" i="17"/>
  <c r="AI145" i="17"/>
  <c r="AJ145" i="17"/>
  <c r="AK145" i="17"/>
  <c r="AH146" i="17"/>
  <c r="AI146" i="17"/>
  <c r="AJ146" i="17"/>
  <c r="AK146" i="17"/>
  <c r="AH147" i="17"/>
  <c r="AI147" i="17"/>
  <c r="AJ147" i="17"/>
  <c r="AK147" i="17"/>
  <c r="AH148" i="17"/>
  <c r="AI148" i="17"/>
  <c r="AJ148" i="17"/>
  <c r="AK148" i="17"/>
  <c r="AH149" i="17"/>
  <c r="AI149" i="17"/>
  <c r="AJ149" i="17"/>
  <c r="AK149" i="17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J47" i="12"/>
  <c r="AK47" i="12"/>
  <c r="AL47" i="12"/>
  <c r="AM47" i="12"/>
  <c r="AN47" i="12"/>
  <c r="AO47" i="12"/>
  <c r="S47" i="12"/>
  <c r="F47" i="12"/>
  <c r="G47" i="12"/>
  <c r="I47" i="12" a="1"/>
  <c r="I47" i="12" s="1"/>
  <c r="J47" i="12"/>
  <c r="K47" i="12"/>
  <c r="L47" i="12"/>
  <c r="M47" i="12"/>
  <c r="N47" i="12" s="1"/>
  <c r="O47" i="12"/>
  <c r="P47" i="12"/>
  <c r="Q47" i="12" s="1"/>
  <c r="R47" i="12"/>
  <c r="AH842" i="9"/>
  <c r="AI842" i="9"/>
  <c r="AJ842" i="9"/>
  <c r="AK842" i="9"/>
  <c r="AH843" i="9"/>
  <c r="AI843" i="9"/>
  <c r="AJ843" i="9"/>
  <c r="AK843" i="9"/>
  <c r="AH844" i="9"/>
  <c r="AI844" i="9"/>
  <c r="AJ844" i="9"/>
  <c r="AK844" i="9"/>
  <c r="AH845" i="9"/>
  <c r="AI845" i="9"/>
  <c r="AJ845" i="9"/>
  <c r="AK845" i="9"/>
  <c r="AH846" i="9"/>
  <c r="AI846" i="9"/>
  <c r="AJ846" i="9"/>
  <c r="AK846" i="9"/>
  <c r="AH847" i="9"/>
  <c r="AI847" i="9"/>
  <c r="AJ847" i="9"/>
  <c r="AK847" i="9"/>
  <c r="AH848" i="9"/>
  <c r="AI848" i="9"/>
  <c r="AJ848" i="9"/>
  <c r="AK848" i="9"/>
  <c r="AH849" i="9"/>
  <c r="AI849" i="9"/>
  <c r="AJ849" i="9"/>
  <c r="AK849" i="9"/>
  <c r="AH850" i="9"/>
  <c r="AI850" i="9"/>
  <c r="AJ850" i="9"/>
  <c r="AK850" i="9"/>
  <c r="AH851" i="9"/>
  <c r="AI851" i="9"/>
  <c r="AJ851" i="9"/>
  <c r="AK851" i="9"/>
  <c r="AH852" i="9"/>
  <c r="AI852" i="9"/>
  <c r="AJ852" i="9"/>
  <c r="AK852" i="9"/>
  <c r="AH853" i="9"/>
  <c r="AI853" i="9"/>
  <c r="AJ853" i="9"/>
  <c r="AK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T52" i="13"/>
  <c r="H52" i="13"/>
  <c r="I52" i="13"/>
  <c r="J52" i="13" a="1"/>
  <c r="J52" i="13" s="1"/>
  <c r="K52" i="13"/>
  <c r="L52" i="13"/>
  <c r="N52" i="13"/>
  <c r="O52" i="13" s="1"/>
  <c r="P52" i="13"/>
  <c r="Q52" i="13"/>
  <c r="R52" i="13" s="1"/>
  <c r="S52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H3" i="17"/>
  <c r="AI3" i="17"/>
  <c r="AJ3" i="17"/>
  <c r="AK3" i="17"/>
  <c r="AH4" i="17"/>
  <c r="AI4" i="17"/>
  <c r="AJ4" i="17"/>
  <c r="AK4" i="17"/>
  <c r="AH5" i="17"/>
  <c r="AI5" i="17"/>
  <c r="AJ5" i="17"/>
  <c r="AK5" i="17"/>
  <c r="AH6" i="17"/>
  <c r="AI6" i="17"/>
  <c r="AJ6" i="17"/>
  <c r="AK6" i="17"/>
  <c r="AH7" i="17"/>
  <c r="AI7" i="17"/>
  <c r="AJ7" i="17"/>
  <c r="AK7" i="17"/>
  <c r="AH8" i="17"/>
  <c r="AI8" i="17"/>
  <c r="AJ8" i="17"/>
  <c r="AK8" i="17"/>
  <c r="AH9" i="17"/>
  <c r="AI9" i="17"/>
  <c r="AJ9" i="17"/>
  <c r="AK9" i="17"/>
  <c r="AH10" i="17"/>
  <c r="AI10" i="17"/>
  <c r="AJ10" i="17"/>
  <c r="AK10" i="17"/>
  <c r="AH11" i="17"/>
  <c r="AI11" i="17"/>
  <c r="AJ11" i="17"/>
  <c r="AK11" i="17"/>
  <c r="AH12" i="17"/>
  <c r="AI12" i="17"/>
  <c r="AJ12" i="17"/>
  <c r="AK12" i="17"/>
  <c r="AH13" i="17"/>
  <c r="AI13" i="17"/>
  <c r="AJ13" i="17"/>
  <c r="AK13" i="17"/>
  <c r="AH14" i="17"/>
  <c r="AI14" i="17"/>
  <c r="AJ14" i="17"/>
  <c r="AK14" i="17"/>
  <c r="AH15" i="17"/>
  <c r="AI15" i="17"/>
  <c r="AJ15" i="17"/>
  <c r="AK15" i="17"/>
  <c r="AH16" i="17"/>
  <c r="AI16" i="17"/>
  <c r="AJ16" i="17"/>
  <c r="AK16" i="17"/>
  <c r="AH17" i="17"/>
  <c r="AI17" i="17"/>
  <c r="AJ17" i="17"/>
  <c r="AK17" i="17"/>
  <c r="AH18" i="17"/>
  <c r="AI18" i="17"/>
  <c r="AJ18" i="17"/>
  <c r="AK18" i="17"/>
  <c r="AH19" i="17"/>
  <c r="AI19" i="17"/>
  <c r="AJ19" i="17"/>
  <c r="AK19" i="17"/>
  <c r="AH20" i="17"/>
  <c r="AI20" i="17"/>
  <c r="AJ20" i="17"/>
  <c r="AK20" i="17"/>
  <c r="AH21" i="17"/>
  <c r="AI21" i="17"/>
  <c r="AJ21" i="17"/>
  <c r="AK21" i="17"/>
  <c r="AH22" i="17"/>
  <c r="AI22" i="17"/>
  <c r="AJ22" i="17"/>
  <c r="AK22" i="17"/>
  <c r="AH23" i="17"/>
  <c r="AI23" i="17"/>
  <c r="AJ23" i="17"/>
  <c r="AK23" i="17"/>
  <c r="AH24" i="17"/>
  <c r="AI24" i="17"/>
  <c r="AJ24" i="17"/>
  <c r="AK24" i="17"/>
  <c r="AH25" i="17"/>
  <c r="AI25" i="17"/>
  <c r="AJ25" i="17"/>
  <c r="AK25" i="17"/>
  <c r="AH26" i="17"/>
  <c r="AI26" i="17"/>
  <c r="AJ26" i="17"/>
  <c r="AK26" i="17"/>
  <c r="AH27" i="17"/>
  <c r="AI27" i="17"/>
  <c r="AJ27" i="17"/>
  <c r="AK27" i="17"/>
  <c r="AH28" i="17"/>
  <c r="AI28" i="17"/>
  <c r="AJ28" i="17"/>
  <c r="AK28" i="17"/>
  <c r="AH29" i="17"/>
  <c r="AI29" i="17"/>
  <c r="AJ29" i="17"/>
  <c r="AK29" i="17"/>
  <c r="AH30" i="17"/>
  <c r="AI30" i="17"/>
  <c r="AJ30" i="17"/>
  <c r="AK30" i="17"/>
  <c r="AH31" i="17"/>
  <c r="AI31" i="17"/>
  <c r="AJ31" i="17"/>
  <c r="AK31" i="17"/>
  <c r="AH32" i="17"/>
  <c r="AI32" i="17"/>
  <c r="AJ32" i="17"/>
  <c r="AK32" i="17"/>
  <c r="AH33" i="17"/>
  <c r="AI33" i="17"/>
  <c r="AJ33" i="17"/>
  <c r="AK33" i="17"/>
  <c r="AH34" i="17"/>
  <c r="AI34" i="17"/>
  <c r="AJ34" i="17"/>
  <c r="AK34" i="17"/>
  <c r="AH35" i="17"/>
  <c r="AI35" i="17"/>
  <c r="AJ35" i="17"/>
  <c r="AK35" i="17"/>
  <c r="AH36" i="17"/>
  <c r="AI36" i="17"/>
  <c r="AJ36" i="17"/>
  <c r="AK36" i="17"/>
  <c r="AH37" i="17"/>
  <c r="AI37" i="17"/>
  <c r="AJ37" i="17"/>
  <c r="AK37" i="17"/>
  <c r="AH38" i="17"/>
  <c r="AI38" i="17"/>
  <c r="AJ38" i="17"/>
  <c r="AK38" i="17"/>
  <c r="AH39" i="17"/>
  <c r="AI39" i="17"/>
  <c r="AJ39" i="17"/>
  <c r="AK39" i="17"/>
  <c r="AH40" i="17"/>
  <c r="AI40" i="17"/>
  <c r="AJ40" i="17"/>
  <c r="AK40" i="17"/>
  <c r="AH41" i="17"/>
  <c r="AI41" i="17"/>
  <c r="AJ41" i="17"/>
  <c r="AK41" i="17"/>
  <c r="AH42" i="17"/>
  <c r="AI42" i="17"/>
  <c r="AJ42" i="17"/>
  <c r="AK42" i="17"/>
  <c r="AH43" i="17"/>
  <c r="AI43" i="17"/>
  <c r="AJ43" i="17"/>
  <c r="AK43" i="17"/>
  <c r="AH44" i="17"/>
  <c r="AI44" i="17"/>
  <c r="AJ44" i="17"/>
  <c r="AK44" i="17"/>
  <c r="AH45" i="17"/>
  <c r="AI45" i="17"/>
  <c r="AJ45" i="17"/>
  <c r="AK45" i="17"/>
  <c r="AH46" i="17"/>
  <c r="AI46" i="17"/>
  <c r="AJ46" i="17"/>
  <c r="AK46" i="17"/>
  <c r="AH47" i="17"/>
  <c r="AI47" i="17"/>
  <c r="AJ47" i="17"/>
  <c r="AK47" i="17"/>
  <c r="AH48" i="17"/>
  <c r="AI48" i="17"/>
  <c r="AJ48" i="17"/>
  <c r="AK48" i="17"/>
  <c r="AH49" i="17"/>
  <c r="AI49" i="17"/>
  <c r="AJ49" i="17"/>
  <c r="AK49" i="17"/>
  <c r="AH50" i="17"/>
  <c r="AI50" i="17"/>
  <c r="AJ50" i="17"/>
  <c r="AK50" i="17"/>
  <c r="AH51" i="17"/>
  <c r="AI51" i="17"/>
  <c r="AJ51" i="17"/>
  <c r="AK51" i="17"/>
  <c r="AH52" i="17"/>
  <c r="AI52" i="17"/>
  <c r="AJ52" i="17"/>
  <c r="AK52" i="17"/>
  <c r="AH53" i="17"/>
  <c r="AI53" i="17"/>
  <c r="AJ53" i="17"/>
  <c r="AK53" i="17"/>
  <c r="AH54" i="17"/>
  <c r="AI54" i="17"/>
  <c r="AJ54" i="17"/>
  <c r="AK54" i="17"/>
  <c r="AH55" i="17"/>
  <c r="AI55" i="17"/>
  <c r="AJ55" i="17"/>
  <c r="AK55" i="17"/>
  <c r="AH56" i="17"/>
  <c r="AI56" i="17"/>
  <c r="AJ56" i="17"/>
  <c r="AK56" i="17"/>
  <c r="AH57" i="17"/>
  <c r="AI57" i="17"/>
  <c r="AJ57" i="17"/>
  <c r="AK57" i="17"/>
  <c r="AH58" i="17"/>
  <c r="AI58" i="17"/>
  <c r="AJ58" i="17"/>
  <c r="AK58" i="17"/>
  <c r="AH59" i="17"/>
  <c r="AI59" i="17"/>
  <c r="AJ59" i="17"/>
  <c r="AK59" i="17"/>
  <c r="AH60" i="17"/>
  <c r="AI60" i="17"/>
  <c r="AJ60" i="17"/>
  <c r="AK60" i="17"/>
  <c r="AH61" i="17"/>
  <c r="AI61" i="17"/>
  <c r="AJ61" i="17"/>
  <c r="AK61" i="17"/>
  <c r="AH62" i="17"/>
  <c r="AI62" i="17"/>
  <c r="AJ62" i="17"/>
  <c r="AK62" i="17"/>
  <c r="AH63" i="17"/>
  <c r="AI63" i="17"/>
  <c r="AJ63" i="17"/>
  <c r="AK63" i="17"/>
  <c r="AH64" i="17"/>
  <c r="AI64" i="17"/>
  <c r="AJ64" i="17"/>
  <c r="AK64" i="17"/>
  <c r="AH65" i="17"/>
  <c r="AI65" i="17"/>
  <c r="AJ65" i="17"/>
  <c r="AK65" i="17"/>
  <c r="AH66" i="17"/>
  <c r="AI66" i="17"/>
  <c r="AJ66" i="17"/>
  <c r="AK66" i="17"/>
  <c r="AH67" i="17"/>
  <c r="AI67" i="17"/>
  <c r="AJ67" i="17"/>
  <c r="AK67" i="17"/>
  <c r="AH68" i="17"/>
  <c r="AI68" i="17"/>
  <c r="AJ68" i="17"/>
  <c r="AK68" i="17"/>
  <c r="AH69" i="17"/>
  <c r="AI69" i="17"/>
  <c r="AJ69" i="17"/>
  <c r="AK69" i="17"/>
  <c r="AH70" i="17"/>
  <c r="AI70" i="17"/>
  <c r="AJ70" i="17"/>
  <c r="AK70" i="17"/>
  <c r="AH71" i="17"/>
  <c r="AI71" i="17"/>
  <c r="AJ71" i="17"/>
  <c r="AK71" i="17"/>
  <c r="AH72" i="17"/>
  <c r="AI72" i="17"/>
  <c r="AJ72" i="17"/>
  <c r="AK72" i="17"/>
  <c r="AH73" i="17"/>
  <c r="AI73" i="17"/>
  <c r="AJ73" i="17"/>
  <c r="AK73" i="17"/>
  <c r="AH74" i="17"/>
  <c r="AI74" i="17"/>
  <c r="AJ74" i="17"/>
  <c r="AK74" i="17"/>
  <c r="AH75" i="17"/>
  <c r="AI75" i="17"/>
  <c r="AJ75" i="17"/>
  <c r="AK75" i="17"/>
  <c r="AH76" i="17"/>
  <c r="AI76" i="17"/>
  <c r="AJ76" i="17"/>
  <c r="AK76" i="17"/>
  <c r="AH77" i="17"/>
  <c r="AI77" i="17"/>
  <c r="AJ77" i="17"/>
  <c r="AK77" i="17"/>
  <c r="AH78" i="17"/>
  <c r="AI78" i="17"/>
  <c r="AJ78" i="17"/>
  <c r="AK78" i="17"/>
  <c r="AH79" i="17"/>
  <c r="AI79" i="17"/>
  <c r="AJ79" i="17"/>
  <c r="AK79" i="17"/>
  <c r="AH80" i="17"/>
  <c r="AI80" i="17"/>
  <c r="AJ80" i="17"/>
  <c r="AK80" i="17"/>
  <c r="AH81" i="17"/>
  <c r="AI81" i="17"/>
  <c r="AJ81" i="17"/>
  <c r="AK81" i="17"/>
  <c r="AH82" i="17"/>
  <c r="AI82" i="17"/>
  <c r="AJ82" i="17"/>
  <c r="AK82" i="17"/>
  <c r="AH83" i="17"/>
  <c r="AI83" i="17"/>
  <c r="AJ83" i="17"/>
  <c r="AK83" i="17"/>
  <c r="AH84" i="17"/>
  <c r="AI84" i="17"/>
  <c r="AJ84" i="17"/>
  <c r="AK84" i="17"/>
  <c r="AH85" i="17"/>
  <c r="AI85" i="17"/>
  <c r="AJ85" i="17"/>
  <c r="AK85" i="17"/>
  <c r="AH86" i="17"/>
  <c r="AI86" i="17"/>
  <c r="AJ86" i="17"/>
  <c r="AK86" i="17"/>
  <c r="AH87" i="17"/>
  <c r="AI87" i="17"/>
  <c r="AJ87" i="17"/>
  <c r="AK87" i="17"/>
  <c r="AH88" i="17"/>
  <c r="AI88" i="17"/>
  <c r="AJ88" i="17"/>
  <c r="AK88" i="17"/>
  <c r="AH89" i="17"/>
  <c r="AI89" i="17"/>
  <c r="AJ89" i="17"/>
  <c r="AK89" i="17"/>
  <c r="AH90" i="17"/>
  <c r="AI90" i="17"/>
  <c r="AJ90" i="17"/>
  <c r="AK90" i="17"/>
  <c r="AH91" i="17"/>
  <c r="AI91" i="17"/>
  <c r="AJ91" i="17"/>
  <c r="AK91" i="17"/>
  <c r="AH92" i="17"/>
  <c r="AI92" i="17"/>
  <c r="AJ92" i="17"/>
  <c r="AK92" i="17"/>
  <c r="AH93" i="17"/>
  <c r="AI93" i="17"/>
  <c r="AJ93" i="17"/>
  <c r="AK93" i="17"/>
  <c r="AH94" i="17"/>
  <c r="AI94" i="17"/>
  <c r="AJ94" i="17"/>
  <c r="AK94" i="17"/>
  <c r="AH95" i="17"/>
  <c r="AI95" i="17"/>
  <c r="AJ95" i="17"/>
  <c r="AK95" i="17"/>
  <c r="AH96" i="17"/>
  <c r="AI96" i="17"/>
  <c r="AJ96" i="17"/>
  <c r="AK96" i="17"/>
  <c r="AH97" i="17"/>
  <c r="AI97" i="17"/>
  <c r="AJ97" i="17"/>
  <c r="AK97" i="17"/>
  <c r="AH98" i="17"/>
  <c r="AI98" i="17"/>
  <c r="AJ98" i="17"/>
  <c r="AK98" i="17"/>
  <c r="AH99" i="17"/>
  <c r="AI99" i="17"/>
  <c r="AJ99" i="17"/>
  <c r="AK99" i="17"/>
  <c r="AH100" i="17"/>
  <c r="AI100" i="17"/>
  <c r="AJ100" i="17"/>
  <c r="AK100" i="17"/>
  <c r="AH101" i="17"/>
  <c r="AI101" i="17"/>
  <c r="AJ101" i="17"/>
  <c r="AK101" i="17"/>
  <c r="AH102" i="17"/>
  <c r="AI102" i="17"/>
  <c r="AJ102" i="17"/>
  <c r="AK102" i="17"/>
  <c r="AH103" i="17"/>
  <c r="AI103" i="17"/>
  <c r="AJ103" i="17"/>
  <c r="AK103" i="17"/>
  <c r="AH104" i="17"/>
  <c r="AI104" i="17"/>
  <c r="AJ104" i="17"/>
  <c r="AK104" i="17"/>
  <c r="AH105" i="17"/>
  <c r="AI105" i="17"/>
  <c r="AJ105" i="17"/>
  <c r="AK105" i="17"/>
  <c r="AH106" i="17"/>
  <c r="AI106" i="17"/>
  <c r="AJ106" i="17"/>
  <c r="AK106" i="17"/>
  <c r="AH107" i="17"/>
  <c r="AI107" i="17"/>
  <c r="AJ107" i="17"/>
  <c r="AK107" i="17"/>
  <c r="AH108" i="17"/>
  <c r="AI108" i="17"/>
  <c r="AJ108" i="17"/>
  <c r="AK108" i="17"/>
  <c r="AH109" i="17"/>
  <c r="AI109" i="17"/>
  <c r="AJ109" i="17"/>
  <c r="AK109" i="17"/>
  <c r="AH110" i="17"/>
  <c r="AI110" i="17"/>
  <c r="AJ110" i="17"/>
  <c r="AK110" i="17"/>
  <c r="AH111" i="17"/>
  <c r="AI111" i="17"/>
  <c r="AJ111" i="17"/>
  <c r="AK111" i="17"/>
  <c r="AH112" i="17"/>
  <c r="AI112" i="17"/>
  <c r="AJ112" i="17"/>
  <c r="AK112" i="17"/>
  <c r="AH113" i="17"/>
  <c r="AI113" i="17"/>
  <c r="AJ113" i="17"/>
  <c r="AK113" i="17"/>
  <c r="AH114" i="17"/>
  <c r="AI114" i="17"/>
  <c r="AJ114" i="17"/>
  <c r="AK114" i="17"/>
  <c r="AH115" i="17"/>
  <c r="AI115" i="17"/>
  <c r="AJ115" i="17"/>
  <c r="AK115" i="17"/>
  <c r="AH116" i="17"/>
  <c r="AI116" i="17"/>
  <c r="AJ116" i="17"/>
  <c r="AK116" i="17"/>
  <c r="AH117" i="17"/>
  <c r="AI117" i="17"/>
  <c r="AJ117" i="17"/>
  <c r="AK117" i="17"/>
  <c r="AH118" i="17"/>
  <c r="AI118" i="17"/>
  <c r="AJ118" i="17"/>
  <c r="AK118" i="17"/>
  <c r="AH119" i="17"/>
  <c r="AI119" i="17"/>
  <c r="AJ119" i="17"/>
  <c r="AK119" i="17"/>
  <c r="AH120" i="17"/>
  <c r="AI120" i="17"/>
  <c r="AJ120" i="17"/>
  <c r="AK120" i="17"/>
  <c r="AH121" i="17"/>
  <c r="AI121" i="17"/>
  <c r="AJ121" i="17"/>
  <c r="AK121" i="17"/>
  <c r="AH122" i="17"/>
  <c r="AI122" i="17"/>
  <c r="AJ122" i="17"/>
  <c r="AK122" i="17"/>
  <c r="AH123" i="17"/>
  <c r="AI123" i="17"/>
  <c r="AJ123" i="17"/>
  <c r="Q43" i="16" s="1"/>
  <c r="AK123" i="17"/>
  <c r="AH124" i="17"/>
  <c r="AI124" i="17"/>
  <c r="AJ124" i="17"/>
  <c r="AK124" i="17"/>
  <c r="AH125" i="17"/>
  <c r="AI125" i="17"/>
  <c r="AJ125" i="17"/>
  <c r="AK125" i="17"/>
  <c r="AH126" i="17"/>
  <c r="AI126" i="17"/>
  <c r="AJ126" i="17"/>
  <c r="AK126" i="17"/>
  <c r="AH127" i="17"/>
  <c r="AI127" i="17"/>
  <c r="AJ127" i="17"/>
  <c r="AK127" i="17"/>
  <c r="AH128" i="17"/>
  <c r="AI128" i="17"/>
  <c r="N15" i="16" s="1"/>
  <c r="AJ128" i="17"/>
  <c r="Q15" i="16" s="1"/>
  <c r="AK128" i="17"/>
  <c r="K15" i="16" s="1"/>
  <c r="AH129" i="17"/>
  <c r="AI129" i="17"/>
  <c r="AJ129" i="17"/>
  <c r="AK129" i="17"/>
  <c r="AH130" i="17"/>
  <c r="AI130" i="17"/>
  <c r="AJ130" i="17"/>
  <c r="AK130" i="17"/>
  <c r="AH131" i="17"/>
  <c r="AI131" i="17"/>
  <c r="AJ131" i="17"/>
  <c r="AK131" i="17"/>
  <c r="AH132" i="17"/>
  <c r="AI132" i="17"/>
  <c r="AJ132" i="17"/>
  <c r="AK132" i="17"/>
  <c r="AH133" i="17"/>
  <c r="AI133" i="17"/>
  <c r="AJ133" i="17"/>
  <c r="AK133" i="17"/>
  <c r="AH134" i="17"/>
  <c r="AI134" i="17"/>
  <c r="AJ134" i="17"/>
  <c r="AK134" i="17"/>
  <c r="AH135" i="17"/>
  <c r="AI135" i="17"/>
  <c r="AJ135" i="17"/>
  <c r="AK135" i="17"/>
  <c r="AH136" i="17"/>
  <c r="AI136" i="17"/>
  <c r="AJ136" i="17"/>
  <c r="AK136" i="17"/>
  <c r="AH137" i="17"/>
  <c r="AI137" i="17"/>
  <c r="AJ137" i="17"/>
  <c r="AK137" i="17"/>
  <c r="AJ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H829" i="9"/>
  <c r="AI829" i="9"/>
  <c r="AJ829" i="9"/>
  <c r="AK829" i="9"/>
  <c r="AH830" i="9"/>
  <c r="AI830" i="9"/>
  <c r="AJ830" i="9"/>
  <c r="AK830" i="9"/>
  <c r="AH831" i="9"/>
  <c r="AI831" i="9"/>
  <c r="AJ831" i="9"/>
  <c r="AK831" i="9"/>
  <c r="AH832" i="9"/>
  <c r="AI832" i="9"/>
  <c r="AJ832" i="9"/>
  <c r="AK832" i="9"/>
  <c r="AH833" i="9"/>
  <c r="AI833" i="9"/>
  <c r="AJ833" i="9"/>
  <c r="AK833" i="9"/>
  <c r="AH834" i="9"/>
  <c r="AI834" i="9"/>
  <c r="AJ834" i="9"/>
  <c r="AK834" i="9"/>
  <c r="AH835" i="9"/>
  <c r="AI835" i="9"/>
  <c r="AJ835" i="9"/>
  <c r="AK835" i="9"/>
  <c r="AH836" i="9"/>
  <c r="AI836" i="9"/>
  <c r="AJ836" i="9"/>
  <c r="AK836" i="9"/>
  <c r="AH837" i="9"/>
  <c r="AI837" i="9"/>
  <c r="AJ837" i="9"/>
  <c r="AK837" i="9"/>
  <c r="AH838" i="9"/>
  <c r="AI838" i="9"/>
  <c r="AJ838" i="9"/>
  <c r="AK838" i="9"/>
  <c r="AH839" i="9"/>
  <c r="AI839" i="9"/>
  <c r="AJ839" i="9"/>
  <c r="AK839" i="9"/>
  <c r="AH840" i="9"/>
  <c r="AI840" i="9"/>
  <c r="AJ840" i="9"/>
  <c r="AK840" i="9"/>
  <c r="AH841" i="9"/>
  <c r="AI841" i="9"/>
  <c r="AJ841" i="9"/>
  <c r="AK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42" i="16"/>
  <c r="T42" i="16"/>
  <c r="U42" i="16"/>
  <c r="V42" i="16"/>
  <c r="W42" i="16"/>
  <c r="X42" i="16"/>
  <c r="Y42" i="16"/>
  <c r="Z42" i="16"/>
  <c r="AA42" i="16"/>
  <c r="AB42" i="16"/>
  <c r="AC42" i="16"/>
  <c r="AD42" i="16"/>
  <c r="AE42" i="16"/>
  <c r="AF42" i="16"/>
  <c r="AG42" i="16"/>
  <c r="AI42" i="16"/>
  <c r="AJ42" i="16"/>
  <c r="AK42" i="16"/>
  <c r="AL42" i="16"/>
  <c r="AM42" i="16"/>
  <c r="AN42" i="16"/>
  <c r="L42" i="16"/>
  <c r="R42" i="16"/>
  <c r="S43" i="16"/>
  <c r="T43" i="16"/>
  <c r="U43" i="16"/>
  <c r="V43" i="16"/>
  <c r="W43" i="16"/>
  <c r="X43" i="16"/>
  <c r="Y43" i="16"/>
  <c r="Z43" i="16"/>
  <c r="AA43" i="16"/>
  <c r="AB43" i="16"/>
  <c r="AC43" i="16"/>
  <c r="AD43" i="16"/>
  <c r="AE43" i="16"/>
  <c r="AF43" i="16"/>
  <c r="AG43" i="16"/>
  <c r="AI43" i="16"/>
  <c r="AJ43" i="16"/>
  <c r="AK43" i="16"/>
  <c r="AL43" i="16"/>
  <c r="AM43" i="16"/>
  <c r="AN43" i="16"/>
  <c r="R43" i="16"/>
  <c r="AK2" i="17"/>
  <c r="AI2" i="17"/>
  <c r="AH2" i="17"/>
  <c r="F43" i="16"/>
  <c r="G43" i="16"/>
  <c r="H43" i="16" a="1"/>
  <c r="H43" i="16" s="1"/>
  <c r="I43" i="16"/>
  <c r="J43" i="16"/>
  <c r="L43" i="16"/>
  <c r="M43" i="16" s="1"/>
  <c r="O43" i="16"/>
  <c r="P43" i="16" s="1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I13" i="16"/>
  <c r="AJ13" i="16"/>
  <c r="AK13" i="16"/>
  <c r="AL13" i="16"/>
  <c r="AM13" i="16"/>
  <c r="AN13" i="16"/>
  <c r="R13" i="16"/>
  <c r="F13" i="16"/>
  <c r="G13" i="16"/>
  <c r="H13" i="16" a="1"/>
  <c r="H13" i="16" s="1"/>
  <c r="I13" i="16"/>
  <c r="J13" i="16"/>
  <c r="K13" i="16"/>
  <c r="L13" i="16"/>
  <c r="M13" i="16" s="1"/>
  <c r="N13" i="16"/>
  <c r="O13" i="16"/>
  <c r="P13" i="16" s="1"/>
  <c r="Q13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I17" i="16"/>
  <c r="AJ17" i="16"/>
  <c r="AK17" i="16"/>
  <c r="AL17" i="16"/>
  <c r="AM17" i="16"/>
  <c r="AN17" i="16"/>
  <c r="R17" i="16"/>
  <c r="F17" i="16"/>
  <c r="G17" i="16"/>
  <c r="H17" i="16" a="1"/>
  <c r="H17" i="16" s="1"/>
  <c r="I17" i="16"/>
  <c r="J17" i="16"/>
  <c r="K17" i="16"/>
  <c r="L17" i="16"/>
  <c r="M17" i="16" s="1"/>
  <c r="N17" i="16"/>
  <c r="O17" i="16"/>
  <c r="P17" i="16" s="1"/>
  <c r="Q17" i="16"/>
  <c r="N43" i="16"/>
  <c r="K43" i="16"/>
  <c r="AH816" i="9"/>
  <c r="AI816" i="9"/>
  <c r="AJ816" i="9"/>
  <c r="AK816" i="9"/>
  <c r="AH817" i="9"/>
  <c r="AI817" i="9"/>
  <c r="AJ817" i="9"/>
  <c r="AK817" i="9"/>
  <c r="AH818" i="9"/>
  <c r="AI818" i="9"/>
  <c r="AJ818" i="9"/>
  <c r="AK818" i="9"/>
  <c r="AH819" i="9"/>
  <c r="AI819" i="9"/>
  <c r="AJ819" i="9"/>
  <c r="AK819" i="9"/>
  <c r="AH820" i="9"/>
  <c r="AI820" i="9"/>
  <c r="AJ820" i="9"/>
  <c r="AK820" i="9"/>
  <c r="AH821" i="9"/>
  <c r="AI821" i="9"/>
  <c r="AJ821" i="9"/>
  <c r="AK821" i="9"/>
  <c r="AH822" i="9"/>
  <c r="AI822" i="9"/>
  <c r="AJ822" i="9"/>
  <c r="AK822" i="9"/>
  <c r="AH823" i="9"/>
  <c r="AI823" i="9"/>
  <c r="AJ823" i="9"/>
  <c r="AK823" i="9"/>
  <c r="AH824" i="9"/>
  <c r="AI824" i="9"/>
  <c r="AJ824" i="9"/>
  <c r="AK824" i="9"/>
  <c r="AH825" i="9"/>
  <c r="AI825" i="9"/>
  <c r="AJ825" i="9"/>
  <c r="AK825" i="9"/>
  <c r="AH826" i="9"/>
  <c r="AI826" i="9"/>
  <c r="AJ826" i="9"/>
  <c r="AK826" i="9"/>
  <c r="AH827" i="9"/>
  <c r="AI827" i="9"/>
  <c r="AJ827" i="9"/>
  <c r="AK827" i="9"/>
  <c r="AH828" i="9"/>
  <c r="AI828" i="9"/>
  <c r="AJ828" i="9"/>
  <c r="AK828" i="9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I15" i="16"/>
  <c r="AJ15" i="16"/>
  <c r="AK15" i="16"/>
  <c r="AL15" i="16"/>
  <c r="AM15" i="16"/>
  <c r="AN15" i="16"/>
  <c r="R15" i="16"/>
  <c r="F15" i="16"/>
  <c r="G15" i="16"/>
  <c r="H15" i="16" a="1"/>
  <c r="H15" i="16" s="1"/>
  <c r="I15" i="16"/>
  <c r="J15" i="16"/>
  <c r="L15" i="16"/>
  <c r="M15" i="16" s="1"/>
  <c r="O15" i="16"/>
  <c r="P15" i="16" s="1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J33" i="12"/>
  <c r="AK33" i="12"/>
  <c r="AL33" i="12"/>
  <c r="AM33" i="12"/>
  <c r="AN33" i="12"/>
  <c r="AO33" i="12"/>
  <c r="S33" i="12"/>
  <c r="F33" i="12"/>
  <c r="G33" i="12"/>
  <c r="I33" i="12" a="1"/>
  <c r="I33" i="12" s="1"/>
  <c r="J33" i="12"/>
  <c r="K33" i="12"/>
  <c r="L33" i="12"/>
  <c r="M33" i="12"/>
  <c r="N33" i="12" s="1"/>
  <c r="O33" i="12"/>
  <c r="P33" i="12"/>
  <c r="Q33" i="12" s="1"/>
  <c r="R33" i="12"/>
  <c r="K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I24" i="16"/>
  <c r="AJ24" i="16"/>
  <c r="AK24" i="16"/>
  <c r="AL24" i="16"/>
  <c r="AM24" i="16"/>
  <c r="AN24" i="16"/>
  <c r="R24" i="16"/>
  <c r="Q22" i="16"/>
  <c r="F24" i="16"/>
  <c r="G24" i="16"/>
  <c r="H24" i="16" a="1"/>
  <c r="H24" i="16" s="1"/>
  <c r="I24" i="16"/>
  <c r="J24" i="16"/>
  <c r="L24" i="16"/>
  <c r="M24" i="16" s="1"/>
  <c r="N24" i="16"/>
  <c r="O24" i="16"/>
  <c r="P24" i="16" s="1"/>
  <c r="Q24" i="16"/>
  <c r="AH804" i="9"/>
  <c r="AI804" i="9"/>
  <c r="AJ804" i="9"/>
  <c r="AK804" i="9"/>
  <c r="AH805" i="9"/>
  <c r="AI805" i="9"/>
  <c r="AJ805" i="9"/>
  <c r="AK805" i="9"/>
  <c r="AH806" i="9"/>
  <c r="AI806" i="9"/>
  <c r="AJ806" i="9"/>
  <c r="AK806" i="9"/>
  <c r="AH807" i="9"/>
  <c r="AI807" i="9"/>
  <c r="AJ807" i="9"/>
  <c r="AK807" i="9"/>
  <c r="AH808" i="9"/>
  <c r="AI808" i="9"/>
  <c r="AJ808" i="9"/>
  <c r="AK808" i="9"/>
  <c r="AH809" i="9"/>
  <c r="AI809" i="9"/>
  <c r="AJ809" i="9"/>
  <c r="AK809" i="9"/>
  <c r="AH810" i="9"/>
  <c r="AI810" i="9"/>
  <c r="AJ810" i="9"/>
  <c r="AK810" i="9"/>
  <c r="AH811" i="9"/>
  <c r="AI811" i="9"/>
  <c r="AJ811" i="9"/>
  <c r="AK811" i="9"/>
  <c r="AH812" i="9"/>
  <c r="AI812" i="9"/>
  <c r="AJ812" i="9"/>
  <c r="AK812" i="9"/>
  <c r="AH813" i="9"/>
  <c r="AI813" i="9"/>
  <c r="AJ813" i="9"/>
  <c r="AK813" i="9"/>
  <c r="AH814" i="9"/>
  <c r="AI814" i="9"/>
  <c r="AJ814" i="9"/>
  <c r="AK814" i="9"/>
  <c r="AH815" i="9"/>
  <c r="AI815" i="9"/>
  <c r="AJ815" i="9"/>
  <c r="AK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H792" i="9"/>
  <c r="AI792" i="9"/>
  <c r="AJ792" i="9"/>
  <c r="AK792" i="9"/>
  <c r="AH793" i="9"/>
  <c r="AI793" i="9"/>
  <c r="AJ793" i="9"/>
  <c r="AK793" i="9"/>
  <c r="AH794" i="9"/>
  <c r="AI794" i="9"/>
  <c r="AJ794" i="9"/>
  <c r="AK794" i="9"/>
  <c r="AH795" i="9"/>
  <c r="AI795" i="9"/>
  <c r="AJ795" i="9"/>
  <c r="AK795" i="9"/>
  <c r="AH796" i="9"/>
  <c r="AI796" i="9"/>
  <c r="AJ796" i="9"/>
  <c r="AK796" i="9"/>
  <c r="AH797" i="9"/>
  <c r="AI797" i="9"/>
  <c r="AJ797" i="9"/>
  <c r="AK797" i="9"/>
  <c r="AH798" i="9"/>
  <c r="AI798" i="9"/>
  <c r="AJ798" i="9"/>
  <c r="AK798" i="9"/>
  <c r="AH799" i="9"/>
  <c r="AI799" i="9"/>
  <c r="AJ799" i="9"/>
  <c r="AK799" i="9"/>
  <c r="AH800" i="9"/>
  <c r="AI800" i="9"/>
  <c r="AJ800" i="9"/>
  <c r="AK800" i="9"/>
  <c r="AH801" i="9"/>
  <c r="AI801" i="9"/>
  <c r="AJ801" i="9"/>
  <c r="AK801" i="9"/>
  <c r="AH802" i="9"/>
  <c r="AI802" i="9"/>
  <c r="AJ802" i="9"/>
  <c r="AK802" i="9"/>
  <c r="AH803" i="9"/>
  <c r="AI803" i="9"/>
  <c r="AJ803" i="9"/>
  <c r="AK803" i="9"/>
  <c r="K2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I27" i="16"/>
  <c r="AJ27" i="16"/>
  <c r="AK27" i="16"/>
  <c r="AL27" i="16"/>
  <c r="AM27" i="16"/>
  <c r="AN27" i="16"/>
  <c r="R27" i="16"/>
  <c r="F27" i="16"/>
  <c r="G27" i="16"/>
  <c r="H27" i="16" a="1"/>
  <c r="H27" i="16" s="1"/>
  <c r="I27" i="16"/>
  <c r="J27" i="16"/>
  <c r="K27" i="16"/>
  <c r="L27" i="16"/>
  <c r="M27" i="16" s="1"/>
  <c r="N27" i="16"/>
  <c r="O27" i="16"/>
  <c r="P27" i="16" s="1"/>
  <c r="Q27" i="16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J34" i="12"/>
  <c r="AK34" i="12"/>
  <c r="AL34" i="12"/>
  <c r="AM34" i="12"/>
  <c r="AN34" i="12"/>
  <c r="AO34" i="12"/>
  <c r="S34" i="12"/>
  <c r="P34" i="12"/>
  <c r="Q34" i="12" s="1"/>
  <c r="R34" i="12"/>
  <c r="P32" i="12"/>
  <c r="F34" i="12"/>
  <c r="G34" i="12"/>
  <c r="I34" i="12" a="1"/>
  <c r="I34" i="12" s="1"/>
  <c r="J34" i="12"/>
  <c r="K34" i="12"/>
  <c r="L34" i="12"/>
  <c r="M34" i="12"/>
  <c r="N34" i="12" s="1"/>
  <c r="O34" i="12"/>
  <c r="AH776" i="9"/>
  <c r="AI776" i="9"/>
  <c r="AJ776" i="9"/>
  <c r="AK776" i="9"/>
  <c r="AH777" i="9"/>
  <c r="AI777" i="9"/>
  <c r="AJ777" i="9"/>
  <c r="AK777" i="9"/>
  <c r="AH778" i="9"/>
  <c r="AI778" i="9"/>
  <c r="AJ778" i="9"/>
  <c r="AK778" i="9"/>
  <c r="AH779" i="9"/>
  <c r="AI779" i="9"/>
  <c r="AJ779" i="9"/>
  <c r="AK779" i="9"/>
  <c r="AH780" i="9"/>
  <c r="AI780" i="9"/>
  <c r="AJ780" i="9"/>
  <c r="AK780" i="9"/>
  <c r="AH781" i="9"/>
  <c r="AI781" i="9"/>
  <c r="AJ781" i="9"/>
  <c r="AK781" i="9"/>
  <c r="AH782" i="9"/>
  <c r="AI782" i="9"/>
  <c r="AJ782" i="9"/>
  <c r="AK782" i="9"/>
  <c r="AH783" i="9"/>
  <c r="AI783" i="9"/>
  <c r="AJ783" i="9"/>
  <c r="AK783" i="9"/>
  <c r="AH784" i="9"/>
  <c r="AI784" i="9"/>
  <c r="AJ784" i="9"/>
  <c r="AK784" i="9"/>
  <c r="AH785" i="9"/>
  <c r="AI785" i="9"/>
  <c r="AJ785" i="9"/>
  <c r="AK785" i="9"/>
  <c r="AH786" i="9"/>
  <c r="AI786" i="9"/>
  <c r="AJ786" i="9"/>
  <c r="AK786" i="9"/>
  <c r="AH787" i="9"/>
  <c r="AI787" i="9"/>
  <c r="AJ787" i="9"/>
  <c r="AK787" i="9"/>
  <c r="AH788" i="9"/>
  <c r="AI788" i="9"/>
  <c r="AJ788" i="9"/>
  <c r="AK788" i="9"/>
  <c r="AH789" i="9"/>
  <c r="AI789" i="9"/>
  <c r="AJ789" i="9"/>
  <c r="AK789" i="9"/>
  <c r="AH790" i="9"/>
  <c r="AI790" i="9"/>
  <c r="AJ790" i="9"/>
  <c r="AK790" i="9"/>
  <c r="AH791" i="9"/>
  <c r="AI791" i="9"/>
  <c r="AJ791" i="9"/>
  <c r="AK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H40" i="13"/>
  <c r="I40" i="13"/>
  <c r="J40" i="13" a="1"/>
  <c r="J40" i="13" s="1"/>
  <c r="K40" i="13"/>
  <c r="L40" i="13"/>
  <c r="M40" i="13"/>
  <c r="N40" i="13"/>
  <c r="O40" i="13" s="1"/>
  <c r="P40" i="13"/>
  <c r="Q40" i="13"/>
  <c r="R40" i="13" s="1"/>
  <c r="S40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T27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T24" i="13"/>
  <c r="T23" i="13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I31" i="16"/>
  <c r="AJ31" i="16"/>
  <c r="AK31" i="16"/>
  <c r="AL31" i="16"/>
  <c r="AM31" i="16"/>
  <c r="AN31" i="16"/>
  <c r="R31" i="16"/>
  <c r="F31" i="16"/>
  <c r="G31" i="16"/>
  <c r="H31" i="16" a="1"/>
  <c r="H31" i="16" s="1"/>
  <c r="I31" i="16"/>
  <c r="J31" i="16"/>
  <c r="K31" i="16"/>
  <c r="L31" i="16"/>
  <c r="M31" i="16" s="1"/>
  <c r="N31" i="16"/>
  <c r="O31" i="16"/>
  <c r="P31" i="16" s="1"/>
  <c r="Q3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I21" i="16"/>
  <c r="AJ21" i="16"/>
  <c r="AK21" i="16"/>
  <c r="AL21" i="16"/>
  <c r="AM21" i="16"/>
  <c r="AN21" i="16"/>
  <c r="R21" i="16"/>
  <c r="F21" i="16"/>
  <c r="G21" i="16"/>
  <c r="H21" i="16" a="1"/>
  <c r="H21" i="16" s="1"/>
  <c r="I21" i="16"/>
  <c r="J21" i="16"/>
  <c r="L21" i="16"/>
  <c r="M21" i="16" s="1"/>
  <c r="O21" i="16"/>
  <c r="P21" i="16" s="1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I11" i="16"/>
  <c r="AJ11" i="16"/>
  <c r="AK11" i="16"/>
  <c r="AL11" i="16"/>
  <c r="AM11" i="16"/>
  <c r="AN11" i="16"/>
  <c r="R11" i="16"/>
  <c r="F11" i="16"/>
  <c r="G11" i="16"/>
  <c r="H11" i="16" a="1"/>
  <c r="H11" i="16" s="1"/>
  <c r="I11" i="16"/>
  <c r="J11" i="16"/>
  <c r="K11" i="16"/>
  <c r="L11" i="16"/>
  <c r="M11" i="16" s="1"/>
  <c r="N11" i="16"/>
  <c r="O11" i="16"/>
  <c r="P11" i="16" s="1"/>
  <c r="Q11" i="16"/>
  <c r="AH763" i="9"/>
  <c r="AI763" i="9"/>
  <c r="AJ763" i="9"/>
  <c r="AK763" i="9"/>
  <c r="AH764" i="9"/>
  <c r="AI764" i="9"/>
  <c r="AJ764" i="9"/>
  <c r="AK764" i="9"/>
  <c r="AH765" i="9"/>
  <c r="AI765" i="9"/>
  <c r="AJ765" i="9"/>
  <c r="AK765" i="9"/>
  <c r="AH766" i="9"/>
  <c r="AI766" i="9"/>
  <c r="AJ766" i="9"/>
  <c r="AK766" i="9"/>
  <c r="AH767" i="9"/>
  <c r="AI767" i="9"/>
  <c r="AJ767" i="9"/>
  <c r="AK767" i="9"/>
  <c r="AH768" i="9"/>
  <c r="AI768" i="9"/>
  <c r="AJ768" i="9"/>
  <c r="R20" i="12" s="1"/>
  <c r="AK768" i="9"/>
  <c r="AH769" i="9"/>
  <c r="AI769" i="9"/>
  <c r="AJ769" i="9"/>
  <c r="AK769" i="9"/>
  <c r="AH770" i="9"/>
  <c r="AI770" i="9"/>
  <c r="AJ770" i="9"/>
  <c r="AK770" i="9"/>
  <c r="AH771" i="9"/>
  <c r="AI771" i="9"/>
  <c r="AJ771" i="9"/>
  <c r="AK771" i="9"/>
  <c r="AH772" i="9"/>
  <c r="AI772" i="9"/>
  <c r="AJ772" i="9"/>
  <c r="AK772" i="9"/>
  <c r="AH773" i="9"/>
  <c r="AI773" i="9"/>
  <c r="AJ773" i="9"/>
  <c r="AK773" i="9"/>
  <c r="AH774" i="9"/>
  <c r="AI774" i="9"/>
  <c r="AJ774" i="9"/>
  <c r="AK774" i="9"/>
  <c r="AH775" i="9"/>
  <c r="AI775" i="9"/>
  <c r="AJ775" i="9"/>
  <c r="AK775" i="9"/>
  <c r="N21" i="16"/>
  <c r="Q21" i="16"/>
  <c r="K21" i="16"/>
  <c r="AH751" i="9"/>
  <c r="AI751" i="9"/>
  <c r="AJ751" i="9"/>
  <c r="AK751" i="9"/>
  <c r="AH752" i="9"/>
  <c r="AI752" i="9"/>
  <c r="AJ752" i="9"/>
  <c r="AK752" i="9"/>
  <c r="AH753" i="9"/>
  <c r="AI753" i="9"/>
  <c r="AJ753" i="9"/>
  <c r="AK753" i="9"/>
  <c r="AH754" i="9"/>
  <c r="AI754" i="9"/>
  <c r="AJ754" i="9"/>
  <c r="AK754" i="9"/>
  <c r="AH755" i="9"/>
  <c r="AI755" i="9"/>
  <c r="AJ755" i="9"/>
  <c r="AK755" i="9"/>
  <c r="AH756" i="9"/>
  <c r="AI756" i="9"/>
  <c r="AJ756" i="9"/>
  <c r="AK756" i="9"/>
  <c r="AH757" i="9"/>
  <c r="AI757" i="9"/>
  <c r="AJ757" i="9"/>
  <c r="AK757" i="9"/>
  <c r="AH758" i="9"/>
  <c r="AI758" i="9"/>
  <c r="AJ758" i="9"/>
  <c r="AK758" i="9"/>
  <c r="AH759" i="9"/>
  <c r="AI759" i="9"/>
  <c r="AJ759" i="9"/>
  <c r="AK759" i="9"/>
  <c r="AH760" i="9"/>
  <c r="AI760" i="9"/>
  <c r="AJ760" i="9"/>
  <c r="AK760" i="9"/>
  <c r="AH761" i="9"/>
  <c r="AI761" i="9"/>
  <c r="AJ761" i="9"/>
  <c r="AK761" i="9"/>
  <c r="AH762" i="9"/>
  <c r="AI762" i="9"/>
  <c r="AJ762" i="9"/>
  <c r="AK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42" i="19"/>
  <c r="R42" i="19"/>
  <c r="S42" i="19"/>
  <c r="T42" i="19"/>
  <c r="U42" i="19"/>
  <c r="V42" i="19"/>
  <c r="W42" i="19"/>
  <c r="X42" i="19"/>
  <c r="Y42" i="19"/>
  <c r="Z42" i="19"/>
  <c r="AA42" i="19"/>
  <c r="AB42" i="19"/>
  <c r="AC42" i="19"/>
  <c r="AD42" i="19"/>
  <c r="AE42" i="19"/>
  <c r="P42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I28" i="19"/>
  <c r="J28" i="19"/>
  <c r="K28" i="19" s="1"/>
  <c r="L28" i="19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O32" i="19"/>
  <c r="D34" i="19"/>
  <c r="E34" i="19"/>
  <c r="F34" i="19" a="1"/>
  <c r="F34" i="19" s="1"/>
  <c r="G34" i="19"/>
  <c r="H34" i="19"/>
  <c r="J34" i="19"/>
  <c r="K34" i="19" s="1"/>
  <c r="M34" i="19"/>
  <c r="N34" i="19" s="1"/>
  <c r="D35" i="19"/>
  <c r="E35" i="19"/>
  <c r="F35" i="19" a="1"/>
  <c r="F35" i="19" s="1"/>
  <c r="G35" i="19"/>
  <c r="H35" i="19"/>
  <c r="J35" i="19"/>
  <c r="K35" i="19" s="1"/>
  <c r="M35" i="19"/>
  <c r="N35" i="19" s="1"/>
  <c r="D36" i="19"/>
  <c r="E36" i="19"/>
  <c r="F36" i="19" a="1"/>
  <c r="F36" i="19" s="1"/>
  <c r="G36" i="19"/>
  <c r="H36" i="19"/>
  <c r="J36" i="19"/>
  <c r="K36" i="19" s="1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D42" i="19"/>
  <c r="E42" i="19"/>
  <c r="F42" i="19" a="1"/>
  <c r="F42" i="19" s="1"/>
  <c r="G42" i="19"/>
  <c r="H42" i="19"/>
  <c r="J42" i="19"/>
  <c r="K42" i="19" s="1"/>
  <c r="L42" i="19"/>
  <c r="M42" i="19"/>
  <c r="N42" i="19" s="1"/>
  <c r="D43" i="19"/>
  <c r="E43" i="19"/>
  <c r="F43" i="19" a="1"/>
  <c r="F43" i="19" s="1"/>
  <c r="G43" i="19"/>
  <c r="H43" i="19"/>
  <c r="I43" i="19"/>
  <c r="J43" i="19"/>
  <c r="K43" i="19" s="1"/>
  <c r="L43" i="19"/>
  <c r="M43" i="19"/>
  <c r="N43" i="19" s="1"/>
  <c r="O43" i="19"/>
  <c r="D44" i="19"/>
  <c r="E44" i="19"/>
  <c r="F44" i="19" a="1"/>
  <c r="F44" i="19" s="1"/>
  <c r="G44" i="19"/>
  <c r="H44" i="19"/>
  <c r="I44" i="19"/>
  <c r="J44" i="19"/>
  <c r="K44" i="19" s="1"/>
  <c r="L44" i="19"/>
  <c r="M44" i="19"/>
  <c r="N44" i="19" s="1"/>
  <c r="O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9" i="19"/>
  <c r="O29" i="19"/>
  <c r="I29" i="19"/>
  <c r="O39" i="19"/>
  <c r="I39" i="19"/>
  <c r="L8" i="19"/>
  <c r="O8" i="19"/>
  <c r="I8" i="19"/>
  <c r="O42" i="19"/>
  <c r="I42" i="19"/>
  <c r="L5" i="19"/>
  <c r="O5" i="19"/>
  <c r="I5" i="19"/>
  <c r="L18" i="19"/>
  <c r="O18" i="19"/>
  <c r="I18" i="19"/>
  <c r="L22" i="19"/>
  <c r="O22" i="19"/>
  <c r="I22" i="19"/>
  <c r="L32" i="19"/>
  <c r="I32" i="19"/>
  <c r="L34" i="19"/>
  <c r="O34" i="19"/>
  <c r="I34" i="19"/>
  <c r="L36" i="19"/>
  <c r="O36" i="19"/>
  <c r="I36" i="19"/>
  <c r="L35" i="19"/>
  <c r="O35" i="19"/>
  <c r="I35" i="19"/>
  <c r="L12" i="19"/>
  <c r="O12" i="19"/>
  <c r="I12" i="19"/>
  <c r="L9" i="19"/>
  <c r="O9" i="19"/>
  <c r="I9" i="19"/>
  <c r="L27" i="19"/>
  <c r="O27" i="19"/>
  <c r="I27" i="19"/>
  <c r="L25" i="19"/>
  <c r="O25" i="19"/>
  <c r="I25" i="19"/>
  <c r="L31" i="19"/>
  <c r="O31" i="19"/>
  <c r="I31" i="19"/>
  <c r="L21" i="19"/>
  <c r="O21" i="19"/>
  <c r="I21" i="19"/>
  <c r="L14" i="19"/>
  <c r="O14" i="19"/>
  <c r="I14" i="19"/>
  <c r="L13" i="19"/>
  <c r="O13" i="19"/>
  <c r="I13" i="19"/>
  <c r="L30" i="19"/>
  <c r="O30" i="19"/>
  <c r="I30" i="19"/>
  <c r="AA2" i="18"/>
  <c r="AB2" i="18"/>
  <c r="AC2" i="18"/>
  <c r="AD2" i="18"/>
  <c r="AH739" i="9"/>
  <c r="AI739" i="9"/>
  <c r="AJ739" i="9"/>
  <c r="AK739" i="9"/>
  <c r="AH740" i="9"/>
  <c r="AI740" i="9"/>
  <c r="AJ740" i="9"/>
  <c r="AK740" i="9"/>
  <c r="AH741" i="9"/>
  <c r="AI741" i="9"/>
  <c r="AJ741" i="9"/>
  <c r="AK741" i="9"/>
  <c r="AH742" i="9"/>
  <c r="AI742" i="9"/>
  <c r="AJ742" i="9"/>
  <c r="AK742" i="9"/>
  <c r="AH743" i="9"/>
  <c r="AI743" i="9"/>
  <c r="AJ743" i="9"/>
  <c r="AK743" i="9"/>
  <c r="AH744" i="9"/>
  <c r="AI744" i="9"/>
  <c r="AJ744" i="9"/>
  <c r="AK744" i="9"/>
  <c r="AH745" i="9"/>
  <c r="AI745" i="9"/>
  <c r="AJ745" i="9"/>
  <c r="AK745" i="9"/>
  <c r="AH746" i="9"/>
  <c r="AI746" i="9"/>
  <c r="AJ746" i="9"/>
  <c r="AK746" i="9"/>
  <c r="AH747" i="9"/>
  <c r="AI747" i="9"/>
  <c r="AJ747" i="9"/>
  <c r="AK747" i="9"/>
  <c r="AH748" i="9"/>
  <c r="AI748" i="9"/>
  <c r="AJ748" i="9"/>
  <c r="AK748" i="9"/>
  <c r="AH749" i="9"/>
  <c r="AI749" i="9"/>
  <c r="AJ749" i="9"/>
  <c r="AK749" i="9"/>
  <c r="AH750" i="9"/>
  <c r="AI750" i="9"/>
  <c r="AJ750" i="9"/>
  <c r="AK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U3" i="11"/>
  <c r="T3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T54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T53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M15" i="13"/>
  <c r="N15" i="13"/>
  <c r="O15" i="13" s="1"/>
  <c r="P15" i="13"/>
  <c r="Q15" i="13"/>
  <c r="R15" i="13" s="1"/>
  <c r="S15" i="13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AJ25" i="11"/>
  <c r="U25" i="11"/>
  <c r="H25" i="11"/>
  <c r="I25" i="11"/>
  <c r="K25" i="11" a="1"/>
  <c r="K25" i="11" s="1"/>
  <c r="L25" i="11"/>
  <c r="M25" i="11"/>
  <c r="N25" i="11"/>
  <c r="O25" i="11"/>
  <c r="P25" i="11" s="1"/>
  <c r="Q25" i="11"/>
  <c r="R25" i="11"/>
  <c r="S25" i="11" s="1"/>
  <c r="T25" i="11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T9" i="13"/>
  <c r="H9" i="13"/>
  <c r="I9" i="13"/>
  <c r="J9" i="13" a="1"/>
  <c r="J9" i="13" s="1"/>
  <c r="K9" i="13"/>
  <c r="L9" i="13"/>
  <c r="N9" i="13"/>
  <c r="O9" i="13" s="1"/>
  <c r="Q9" i="13"/>
  <c r="R9" i="13" s="1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T16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 a="1"/>
  <c r="J21" i="13" s="1"/>
  <c r="K21" i="13"/>
  <c r="L21" i="13"/>
  <c r="N21" i="13"/>
  <c r="O21" i="13" s="1"/>
  <c r="Q21" i="13"/>
  <c r="R21" i="13" s="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2" i="13"/>
  <c r="I22" i="13"/>
  <c r="J22" i="13" a="1"/>
  <c r="J22" i="13" s="1"/>
  <c r="K22" i="13"/>
  <c r="L22" i="13"/>
  <c r="N22" i="13"/>
  <c r="O22" i="13" s="1"/>
  <c r="Q22" i="13"/>
  <c r="R22" i="13" s="1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H23" i="13"/>
  <c r="I23" i="13"/>
  <c r="J23" i="13" a="1"/>
  <c r="J23" i="13" s="1"/>
  <c r="K23" i="13"/>
  <c r="L23" i="13"/>
  <c r="N23" i="13"/>
  <c r="O23" i="13" s="1"/>
  <c r="Q23" i="13"/>
  <c r="R23" i="13" s="1"/>
  <c r="H30" i="13"/>
  <c r="I30" i="13"/>
  <c r="J30" i="13" a="1"/>
  <c r="J30" i="13" s="1"/>
  <c r="K30" i="13"/>
  <c r="L30" i="13"/>
  <c r="N30" i="13"/>
  <c r="O30" i="13" s="1"/>
  <c r="Q30" i="13"/>
  <c r="R30" i="13" s="1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1" i="13"/>
  <c r="I31" i="13"/>
  <c r="J31" i="13" a="1"/>
  <c r="J31" i="13" s="1"/>
  <c r="K31" i="13"/>
  <c r="L31" i="13"/>
  <c r="N31" i="13"/>
  <c r="O31" i="13" s="1"/>
  <c r="Q31" i="13"/>
  <c r="R31" i="13" s="1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M34" i="13"/>
  <c r="N34" i="13"/>
  <c r="O34" i="13" s="1"/>
  <c r="P34" i="13"/>
  <c r="Q34" i="13"/>
  <c r="R34" i="13" s="1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42" i="13"/>
  <c r="I42" i="13"/>
  <c r="J42" i="13" a="1"/>
  <c r="J42" i="13" s="1"/>
  <c r="K42" i="13"/>
  <c r="L42" i="13"/>
  <c r="N42" i="13"/>
  <c r="O42" i="13" s="1"/>
  <c r="Q42" i="13"/>
  <c r="R42" i="13" s="1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H43" i="13"/>
  <c r="I43" i="13"/>
  <c r="J43" i="13" a="1"/>
  <c r="J43" i="13" s="1"/>
  <c r="K43" i="13"/>
  <c r="L43" i="13"/>
  <c r="N43" i="13"/>
  <c r="O43" i="13" s="1"/>
  <c r="Q43" i="13"/>
  <c r="R43" i="13" s="1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H44" i="13"/>
  <c r="I44" i="13"/>
  <c r="J44" i="13" a="1"/>
  <c r="J44" i="13" s="1"/>
  <c r="K44" i="13"/>
  <c r="L44" i="13"/>
  <c r="N44" i="13"/>
  <c r="O44" i="13" s="1"/>
  <c r="Q44" i="13"/>
  <c r="R44" i="13" s="1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H45" i="13"/>
  <c r="I45" i="13"/>
  <c r="J45" i="13" a="1"/>
  <c r="J45" i="13" s="1"/>
  <c r="K45" i="13"/>
  <c r="L45" i="13"/>
  <c r="M45" i="13"/>
  <c r="N45" i="13"/>
  <c r="O45" i="13" s="1"/>
  <c r="P45" i="13"/>
  <c r="Q45" i="13"/>
  <c r="R45" i="13" s="1"/>
  <c r="S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9" i="13" s="1"/>
  <c r="AC71" i="15"/>
  <c r="S9" i="13" s="1"/>
  <c r="AD71" i="15"/>
  <c r="M9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54" i="13"/>
  <c r="I54" i="13"/>
  <c r="J54" i="13" a="1"/>
  <c r="J54" i="13" s="1"/>
  <c r="K54" i="13"/>
  <c r="L54" i="13"/>
  <c r="M54" i="13"/>
  <c r="N54" i="13"/>
  <c r="O54" i="13" s="1"/>
  <c r="P54" i="13"/>
  <c r="Q54" i="13"/>
  <c r="R54" i="13" s="1"/>
  <c r="S54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3" i="13" s="1"/>
  <c r="AC52" i="15"/>
  <c r="S23" i="13" s="1"/>
  <c r="AD52" i="15"/>
  <c r="M23" i="13" s="1"/>
  <c r="AA53" i="15"/>
  <c r="AB53" i="15"/>
  <c r="P43" i="13" s="1"/>
  <c r="AC53" i="15"/>
  <c r="S43" i="13" s="1"/>
  <c r="AD53" i="15"/>
  <c r="M43" i="13" s="1"/>
  <c r="AA54" i="15"/>
  <c r="AB54" i="15"/>
  <c r="P44" i="13" s="1"/>
  <c r="AC54" i="15"/>
  <c r="S44" i="13" s="1"/>
  <c r="AD54" i="15"/>
  <c r="M44" i="13" s="1"/>
  <c r="AA55" i="15"/>
  <c r="AB55" i="15"/>
  <c r="AC55" i="15"/>
  <c r="AD55" i="15"/>
  <c r="M10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AJ18" i="11"/>
  <c r="U18" i="11"/>
  <c r="H18" i="11"/>
  <c r="I18" i="11"/>
  <c r="K18" i="11" a="1"/>
  <c r="K18" i="11" s="1"/>
  <c r="L18" i="11"/>
  <c r="M18" i="11"/>
  <c r="O18" i="11"/>
  <c r="P18" i="11" s="1"/>
  <c r="R18" i="11"/>
  <c r="S18" i="11" s="1"/>
  <c r="T18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AJ45" i="11"/>
  <c r="U45" i="11"/>
  <c r="H45" i="11"/>
  <c r="I45" i="11"/>
  <c r="K45" i="11" a="1"/>
  <c r="K45" i="11" s="1"/>
  <c r="L45" i="11"/>
  <c r="M45" i="11"/>
  <c r="N45" i="11"/>
  <c r="O45" i="11"/>
  <c r="P45" i="11" s="1"/>
  <c r="Q45" i="11"/>
  <c r="R45" i="11"/>
  <c r="S45" i="11" s="1"/>
  <c r="AF18" i="13"/>
  <c r="AG18" i="13"/>
  <c r="AH18" i="13"/>
  <c r="AI18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AF42" i="13"/>
  <c r="AG42" i="13"/>
  <c r="AH42" i="13"/>
  <c r="AI42" i="13"/>
  <c r="AH726" i="9"/>
  <c r="AI726" i="9"/>
  <c r="AJ726" i="9"/>
  <c r="AK726" i="9"/>
  <c r="AH727" i="9"/>
  <c r="AI727" i="9"/>
  <c r="AJ727" i="9"/>
  <c r="AK727" i="9"/>
  <c r="AH728" i="9"/>
  <c r="AI728" i="9"/>
  <c r="AJ728" i="9"/>
  <c r="AK728" i="9"/>
  <c r="AH729" i="9"/>
  <c r="AI729" i="9"/>
  <c r="AJ729" i="9"/>
  <c r="AK729" i="9"/>
  <c r="AH730" i="9"/>
  <c r="AI730" i="9"/>
  <c r="AJ730" i="9"/>
  <c r="AK730" i="9"/>
  <c r="AH731" i="9"/>
  <c r="AI731" i="9"/>
  <c r="AJ731" i="9"/>
  <c r="AK731" i="9"/>
  <c r="AH732" i="9"/>
  <c r="AI732" i="9"/>
  <c r="AJ732" i="9"/>
  <c r="AK732" i="9"/>
  <c r="AH733" i="9"/>
  <c r="AI733" i="9"/>
  <c r="AJ733" i="9"/>
  <c r="AK733" i="9"/>
  <c r="AH734" i="9"/>
  <c r="AI734" i="9"/>
  <c r="AJ734" i="9"/>
  <c r="AK734" i="9"/>
  <c r="AH735" i="9"/>
  <c r="AI735" i="9"/>
  <c r="AJ735" i="9"/>
  <c r="AK735" i="9"/>
  <c r="AH736" i="9"/>
  <c r="AI736" i="9"/>
  <c r="AJ736" i="9"/>
  <c r="AK736" i="9"/>
  <c r="AH737" i="9"/>
  <c r="AI737" i="9"/>
  <c r="AJ737" i="9"/>
  <c r="AK737" i="9"/>
  <c r="AH738" i="9"/>
  <c r="AI738" i="9"/>
  <c r="AJ738" i="9"/>
  <c r="R7" i="12" s="1"/>
  <c r="AK738" i="9"/>
  <c r="AH716" i="9"/>
  <c r="AI716" i="9"/>
  <c r="AJ716" i="9"/>
  <c r="AK716" i="9"/>
  <c r="AH717" i="9"/>
  <c r="AI717" i="9"/>
  <c r="AJ717" i="9"/>
  <c r="AK717" i="9"/>
  <c r="AH718" i="9"/>
  <c r="AI718" i="9"/>
  <c r="AJ718" i="9"/>
  <c r="AK718" i="9"/>
  <c r="AH719" i="9"/>
  <c r="AI719" i="9"/>
  <c r="AJ719" i="9"/>
  <c r="AK719" i="9"/>
  <c r="AH720" i="9"/>
  <c r="AI720" i="9"/>
  <c r="AJ720" i="9"/>
  <c r="AK720" i="9"/>
  <c r="AH721" i="9"/>
  <c r="AI721" i="9"/>
  <c r="AJ721" i="9"/>
  <c r="AK721" i="9"/>
  <c r="AH722" i="9"/>
  <c r="AI722" i="9"/>
  <c r="AJ722" i="9"/>
  <c r="AK722" i="9"/>
  <c r="AH723" i="9"/>
  <c r="AI723" i="9"/>
  <c r="AJ723" i="9"/>
  <c r="AK723" i="9"/>
  <c r="AH724" i="9"/>
  <c r="AI724" i="9"/>
  <c r="AJ724" i="9"/>
  <c r="AK724" i="9"/>
  <c r="AH725" i="9"/>
  <c r="AI725" i="9"/>
  <c r="AJ725" i="9"/>
  <c r="AK725" i="9"/>
  <c r="AH706" i="9"/>
  <c r="AI706" i="9"/>
  <c r="AJ706" i="9"/>
  <c r="AK706" i="9"/>
  <c r="AH707" i="9"/>
  <c r="AI707" i="9"/>
  <c r="AJ707" i="9"/>
  <c r="AK707" i="9"/>
  <c r="AH708" i="9"/>
  <c r="AI708" i="9"/>
  <c r="AJ708" i="9"/>
  <c r="AK708" i="9"/>
  <c r="AH709" i="9"/>
  <c r="AI709" i="9"/>
  <c r="AJ709" i="9"/>
  <c r="AK709" i="9"/>
  <c r="AH710" i="9"/>
  <c r="AI710" i="9"/>
  <c r="AJ710" i="9"/>
  <c r="AK710" i="9"/>
  <c r="AH711" i="9"/>
  <c r="AI711" i="9"/>
  <c r="AJ711" i="9"/>
  <c r="AK711" i="9"/>
  <c r="AH712" i="9"/>
  <c r="AI712" i="9"/>
  <c r="AJ712" i="9"/>
  <c r="AK712" i="9"/>
  <c r="AH713" i="9"/>
  <c r="AI713" i="9"/>
  <c r="AJ713" i="9"/>
  <c r="AK713" i="9"/>
  <c r="AH714" i="9"/>
  <c r="AI714" i="9"/>
  <c r="AJ714" i="9"/>
  <c r="AK714" i="9"/>
  <c r="AH715" i="9"/>
  <c r="AI715" i="9"/>
  <c r="AJ715" i="9"/>
  <c r="AK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42" i="13" s="1"/>
  <c r="AC31" i="15"/>
  <c r="S42" i="13" s="1"/>
  <c r="AD31" i="15"/>
  <c r="M42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30" i="13" s="1"/>
  <c r="AC37" i="15"/>
  <c r="S30" i="13" s="1"/>
  <c r="AD37" i="15"/>
  <c r="M30" i="13" s="1"/>
  <c r="AA38" i="15"/>
  <c r="AB38" i="15"/>
  <c r="AC38" i="15"/>
  <c r="AD38" i="15"/>
  <c r="AA39" i="15"/>
  <c r="AB39" i="15"/>
  <c r="AC39" i="15"/>
  <c r="AD39" i="15"/>
  <c r="AA40" i="15"/>
  <c r="AB40" i="15"/>
  <c r="P14" i="13" s="1"/>
  <c r="AC40" i="15"/>
  <c r="S14" i="13" s="1"/>
  <c r="AD40" i="15"/>
  <c r="M14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T45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46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21" i="13" s="1"/>
  <c r="AC23" i="15"/>
  <c r="S21" i="13" s="1"/>
  <c r="AD23" i="15"/>
  <c r="M21" i="13" s="1"/>
  <c r="AA24" i="15"/>
  <c r="AB24" i="15"/>
  <c r="AC24" i="15"/>
  <c r="AD24" i="15"/>
  <c r="AA25" i="15"/>
  <c r="AB25" i="15"/>
  <c r="P18" i="13" s="1"/>
  <c r="AC25" i="15"/>
  <c r="S18" i="13" s="1"/>
  <c r="AD25" i="15"/>
  <c r="M18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Q18" i="11" s="1"/>
  <c r="AC510" i="10"/>
  <c r="AD510" i="10"/>
  <c r="N18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2" i="13" s="1"/>
  <c r="AC6" i="15"/>
  <c r="S22" i="13" s="1"/>
  <c r="AD6" i="15"/>
  <c r="M22" i="13" s="1"/>
  <c r="AA7" i="15"/>
  <c r="AB7" i="15"/>
  <c r="P7" i="13" s="1"/>
  <c r="AC7" i="15"/>
  <c r="AD7" i="15"/>
  <c r="M7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31" i="13" s="1"/>
  <c r="AC11" i="15"/>
  <c r="S31" i="13" s="1"/>
  <c r="AD11" i="15"/>
  <c r="M31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I2" i="16"/>
  <c r="AJ2" i="16"/>
  <c r="AK2" i="16"/>
  <c r="AL2" i="16"/>
  <c r="AM2" i="16"/>
  <c r="AN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I3" i="16"/>
  <c r="AJ3" i="16"/>
  <c r="AK3" i="16"/>
  <c r="AL3" i="16"/>
  <c r="AM3" i="16"/>
  <c r="AN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I4" i="16"/>
  <c r="AJ4" i="16"/>
  <c r="AK4" i="16"/>
  <c r="AL4" i="16"/>
  <c r="AM4" i="16"/>
  <c r="AN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I5" i="16"/>
  <c r="AJ5" i="16"/>
  <c r="AK5" i="16"/>
  <c r="AL5" i="16"/>
  <c r="AM5" i="16"/>
  <c r="AN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I6" i="16"/>
  <c r="AJ6" i="16"/>
  <c r="AK6" i="16"/>
  <c r="AL6" i="16"/>
  <c r="AM6" i="16"/>
  <c r="AN6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I14" i="16"/>
  <c r="AJ14" i="16"/>
  <c r="AK14" i="16"/>
  <c r="AL14" i="16"/>
  <c r="AM14" i="16"/>
  <c r="AN14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I16" i="16"/>
  <c r="AJ16" i="16"/>
  <c r="AK16" i="16"/>
  <c r="AL16" i="16"/>
  <c r="AM16" i="16"/>
  <c r="AN16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I18" i="16"/>
  <c r="AJ18" i="16"/>
  <c r="AK18" i="16"/>
  <c r="AL18" i="16"/>
  <c r="AM18" i="16"/>
  <c r="AN18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I19" i="16"/>
  <c r="AJ19" i="16"/>
  <c r="AK19" i="16"/>
  <c r="AL19" i="16"/>
  <c r="AM19" i="16"/>
  <c r="AN19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I20" i="16"/>
  <c r="AJ20" i="16"/>
  <c r="AK20" i="16"/>
  <c r="AL20" i="16"/>
  <c r="AM20" i="16"/>
  <c r="AN20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I22" i="16"/>
  <c r="AJ22" i="16"/>
  <c r="AK22" i="16"/>
  <c r="AL22" i="16"/>
  <c r="AM22" i="16"/>
  <c r="AN22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I28" i="16"/>
  <c r="AJ28" i="16"/>
  <c r="AK28" i="16"/>
  <c r="AL28" i="16"/>
  <c r="AM28" i="16"/>
  <c r="AN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I29" i="16"/>
  <c r="AJ29" i="16"/>
  <c r="AK29" i="16"/>
  <c r="AL29" i="16"/>
  <c r="AM29" i="16"/>
  <c r="AN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I30" i="16"/>
  <c r="AJ30" i="16"/>
  <c r="AK30" i="16"/>
  <c r="AL30" i="16"/>
  <c r="AM30" i="16"/>
  <c r="AN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I33" i="16"/>
  <c r="AJ33" i="16"/>
  <c r="AK33" i="16"/>
  <c r="AL33" i="16"/>
  <c r="AM33" i="16"/>
  <c r="AN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I34" i="16"/>
  <c r="AJ34" i="16"/>
  <c r="AK34" i="16"/>
  <c r="AL34" i="16"/>
  <c r="AM34" i="16"/>
  <c r="AN34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I36" i="16"/>
  <c r="AJ36" i="16"/>
  <c r="AK36" i="16"/>
  <c r="AL36" i="16"/>
  <c r="AM36" i="16"/>
  <c r="AN36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I37" i="16"/>
  <c r="AJ37" i="16"/>
  <c r="AK37" i="16"/>
  <c r="AL37" i="16"/>
  <c r="AM37" i="16"/>
  <c r="AN37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I38" i="16"/>
  <c r="AJ38" i="16"/>
  <c r="AK38" i="16"/>
  <c r="AL38" i="16"/>
  <c r="AM38" i="16"/>
  <c r="AN38" i="16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I41" i="16"/>
  <c r="AJ41" i="16"/>
  <c r="AK41" i="16"/>
  <c r="AL41" i="16"/>
  <c r="AM41" i="16"/>
  <c r="AN41" i="16"/>
  <c r="S44" i="16"/>
  <c r="T44" i="16"/>
  <c r="U44" i="16"/>
  <c r="V44" i="16"/>
  <c r="W44" i="16"/>
  <c r="X44" i="16"/>
  <c r="Y44" i="16"/>
  <c r="Z44" i="16"/>
  <c r="AA44" i="16"/>
  <c r="AB44" i="16"/>
  <c r="AC44" i="16"/>
  <c r="AD44" i="16"/>
  <c r="AE44" i="16"/>
  <c r="AF44" i="16"/>
  <c r="AG44" i="16"/>
  <c r="AI44" i="16"/>
  <c r="AJ44" i="16"/>
  <c r="AK44" i="16"/>
  <c r="AL44" i="16"/>
  <c r="AM44" i="16"/>
  <c r="AN44" i="16"/>
  <c r="S45" i="16"/>
  <c r="T45" i="16"/>
  <c r="U45" i="16"/>
  <c r="V45" i="16"/>
  <c r="W45" i="16"/>
  <c r="X45" i="16"/>
  <c r="Y45" i="16"/>
  <c r="Z45" i="16"/>
  <c r="AA45" i="16"/>
  <c r="AB45" i="16"/>
  <c r="AC45" i="16"/>
  <c r="AD45" i="16"/>
  <c r="AE45" i="16"/>
  <c r="AF45" i="16"/>
  <c r="AG45" i="16"/>
  <c r="AI45" i="16"/>
  <c r="AJ45" i="16"/>
  <c r="AK45" i="16"/>
  <c r="AL45" i="16"/>
  <c r="AM45" i="16"/>
  <c r="AN45" i="16"/>
  <c r="R45" i="16"/>
  <c r="R44" i="16"/>
  <c r="R41" i="16"/>
  <c r="R38" i="16"/>
  <c r="R37" i="16"/>
  <c r="R36" i="16"/>
  <c r="R34" i="16"/>
  <c r="R33" i="16"/>
  <c r="R30" i="16"/>
  <c r="R29" i="16"/>
  <c r="R28" i="16"/>
  <c r="R22" i="16"/>
  <c r="R20" i="16"/>
  <c r="R19" i="16"/>
  <c r="R18" i="16"/>
  <c r="R16" i="16"/>
  <c r="R14" i="16"/>
  <c r="R6" i="16"/>
  <c r="R5" i="16"/>
  <c r="R4" i="16"/>
  <c r="R3" i="16"/>
  <c r="R2" i="16"/>
  <c r="Q3" i="16"/>
  <c r="Q4" i="16"/>
  <c r="Q5" i="16"/>
  <c r="Q6" i="16"/>
  <c r="Q16" i="16"/>
  <c r="Q18" i="16"/>
  <c r="Q19" i="16"/>
  <c r="Q20" i="16"/>
  <c r="Q28" i="16"/>
  <c r="Q29" i="16"/>
  <c r="Q30" i="16"/>
  <c r="Q33" i="16"/>
  <c r="Q34" i="16"/>
  <c r="Q36" i="16"/>
  <c r="Q37" i="16"/>
  <c r="Q38" i="16"/>
  <c r="Q41" i="16"/>
  <c r="Q42" i="16"/>
  <c r="Q44" i="16"/>
  <c r="Q45" i="16"/>
  <c r="Q2" i="16"/>
  <c r="O3" i="16"/>
  <c r="P3" i="16" s="1"/>
  <c r="O4" i="16"/>
  <c r="P4" i="16" s="1"/>
  <c r="O5" i="16"/>
  <c r="P5" i="16" s="1"/>
  <c r="O6" i="16"/>
  <c r="P6" i="16" s="1"/>
  <c r="O14" i="16"/>
  <c r="P14" i="16" s="1"/>
  <c r="O16" i="16"/>
  <c r="P16" i="16" s="1"/>
  <c r="O18" i="16"/>
  <c r="P18" i="16" s="1"/>
  <c r="O19" i="16"/>
  <c r="P19" i="16" s="1"/>
  <c r="O20" i="16"/>
  <c r="P20" i="16" s="1"/>
  <c r="O22" i="16"/>
  <c r="P22" i="16" s="1"/>
  <c r="O28" i="16"/>
  <c r="P28" i="16" s="1"/>
  <c r="O29" i="16"/>
  <c r="P29" i="16" s="1"/>
  <c r="O30" i="16"/>
  <c r="P30" i="16" s="1"/>
  <c r="O33" i="16"/>
  <c r="P33" i="16" s="1"/>
  <c r="O34" i="16"/>
  <c r="P34" i="16" s="1"/>
  <c r="O36" i="16"/>
  <c r="P36" i="16" s="1"/>
  <c r="O37" i="16"/>
  <c r="P37" i="16" s="1"/>
  <c r="O38" i="16"/>
  <c r="P38" i="16" s="1"/>
  <c r="O41" i="16"/>
  <c r="P41" i="16" s="1"/>
  <c r="O42" i="16"/>
  <c r="P42" i="16" s="1"/>
  <c r="O44" i="16"/>
  <c r="P44" i="16" s="1"/>
  <c r="O45" i="16"/>
  <c r="P45" i="16" s="1"/>
  <c r="O2" i="16"/>
  <c r="P2" i="16" s="1"/>
  <c r="N3" i="16"/>
  <c r="N4" i="16"/>
  <c r="N5" i="16"/>
  <c r="N6" i="16"/>
  <c r="N16" i="16"/>
  <c r="N18" i="16"/>
  <c r="N19" i="16"/>
  <c r="N20" i="16"/>
  <c r="N22" i="16"/>
  <c r="N28" i="16"/>
  <c r="N29" i="16"/>
  <c r="N30" i="16"/>
  <c r="N33" i="16"/>
  <c r="N34" i="16"/>
  <c r="N36" i="16"/>
  <c r="N37" i="16"/>
  <c r="N38" i="16"/>
  <c r="N41" i="16"/>
  <c r="N42" i="16"/>
  <c r="N44" i="16"/>
  <c r="N45" i="16"/>
  <c r="N2" i="16"/>
  <c r="L3" i="16"/>
  <c r="M3" i="16" s="1"/>
  <c r="L4" i="16"/>
  <c r="M4" i="16" s="1"/>
  <c r="L5" i="16"/>
  <c r="M5" i="16" s="1"/>
  <c r="L6" i="16"/>
  <c r="M6" i="16" s="1"/>
  <c r="L14" i="16"/>
  <c r="M14" i="16" s="1"/>
  <c r="L16" i="16"/>
  <c r="M16" i="16" s="1"/>
  <c r="L18" i="16"/>
  <c r="M18" i="16" s="1"/>
  <c r="L19" i="16"/>
  <c r="M19" i="16" s="1"/>
  <c r="L20" i="16"/>
  <c r="M20" i="16" s="1"/>
  <c r="L22" i="16"/>
  <c r="M22" i="16" s="1"/>
  <c r="L28" i="16"/>
  <c r="M28" i="16" s="1"/>
  <c r="L29" i="16"/>
  <c r="M29" i="16" s="1"/>
  <c r="L30" i="16"/>
  <c r="M30" i="16" s="1"/>
  <c r="L33" i="16"/>
  <c r="M33" i="16" s="1"/>
  <c r="L34" i="16"/>
  <c r="M34" i="16" s="1"/>
  <c r="L36" i="16"/>
  <c r="M36" i="16" s="1"/>
  <c r="L37" i="16"/>
  <c r="M37" i="16" s="1"/>
  <c r="L38" i="16"/>
  <c r="M38" i="16" s="1"/>
  <c r="L41" i="16"/>
  <c r="M41" i="16" s="1"/>
  <c r="M42" i="16"/>
  <c r="L44" i="16"/>
  <c r="M44" i="16" s="1"/>
  <c r="L45" i="16"/>
  <c r="M45" i="16" s="1"/>
  <c r="L2" i="16"/>
  <c r="M2" i="16" s="1"/>
  <c r="K3" i="16"/>
  <c r="K4" i="16"/>
  <c r="K5" i="16"/>
  <c r="K6" i="16"/>
  <c r="K16" i="16"/>
  <c r="K18" i="16"/>
  <c r="K19" i="16"/>
  <c r="K20" i="16"/>
  <c r="K22" i="16"/>
  <c r="K28" i="16"/>
  <c r="K29" i="16"/>
  <c r="K30" i="16"/>
  <c r="K33" i="16"/>
  <c r="K34" i="16"/>
  <c r="K36" i="16"/>
  <c r="K37" i="16"/>
  <c r="K38" i="16"/>
  <c r="K41" i="16"/>
  <c r="K42" i="16"/>
  <c r="K44" i="16"/>
  <c r="K45" i="16"/>
  <c r="J3" i="16"/>
  <c r="J4" i="16"/>
  <c r="J5" i="16"/>
  <c r="J6" i="16"/>
  <c r="J14" i="16"/>
  <c r="J16" i="16"/>
  <c r="J18" i="16"/>
  <c r="J19" i="16"/>
  <c r="J20" i="16"/>
  <c r="J22" i="16"/>
  <c r="J28" i="16"/>
  <c r="J29" i="16"/>
  <c r="J30" i="16"/>
  <c r="J33" i="16"/>
  <c r="J34" i="16"/>
  <c r="J36" i="16"/>
  <c r="J37" i="16"/>
  <c r="J38" i="16"/>
  <c r="J41" i="16"/>
  <c r="J42" i="16"/>
  <c r="J44" i="16"/>
  <c r="J45" i="16"/>
  <c r="J2" i="16"/>
  <c r="I3" i="16"/>
  <c r="I4" i="16"/>
  <c r="I5" i="16"/>
  <c r="I6" i="16"/>
  <c r="I14" i="16"/>
  <c r="I16" i="16"/>
  <c r="I18" i="16"/>
  <c r="I19" i="16"/>
  <c r="I20" i="16"/>
  <c r="I22" i="16"/>
  <c r="I28" i="16"/>
  <c r="I29" i="16"/>
  <c r="I30" i="16"/>
  <c r="I33" i="16"/>
  <c r="I34" i="16"/>
  <c r="I36" i="16"/>
  <c r="I37" i="16"/>
  <c r="I38" i="16"/>
  <c r="I41" i="16"/>
  <c r="I42" i="16"/>
  <c r="I44" i="16"/>
  <c r="I45" i="16"/>
  <c r="I2" i="16"/>
  <c r="H3" i="16" a="1"/>
  <c r="H3" i="16" s="1"/>
  <c r="H4" i="16" a="1"/>
  <c r="H4" i="16" s="1"/>
  <c r="H5" i="16" a="1"/>
  <c r="H5" i="16" s="1"/>
  <c r="H6" i="16" a="1"/>
  <c r="H6" i="16" s="1"/>
  <c r="H14" i="16" a="1"/>
  <c r="H14" i="16" s="1"/>
  <c r="H16" i="16" a="1"/>
  <c r="H16" i="16" s="1"/>
  <c r="H18" i="16" a="1"/>
  <c r="H18" i="16" s="1"/>
  <c r="H19" i="16" a="1"/>
  <c r="H19" i="16" s="1"/>
  <c r="H20" i="16" a="1"/>
  <c r="H20" i="16" s="1"/>
  <c r="H22" i="16" a="1"/>
  <c r="H22" i="16" s="1"/>
  <c r="H28" i="16" a="1"/>
  <c r="H28" i="16" s="1"/>
  <c r="H29" i="16" a="1"/>
  <c r="H29" i="16" s="1"/>
  <c r="H30" i="16" a="1"/>
  <c r="H30" i="16" s="1"/>
  <c r="H33" i="16" a="1"/>
  <c r="H33" i="16" s="1"/>
  <c r="H34" i="16" a="1"/>
  <c r="H34" i="16" s="1"/>
  <c r="H36" i="16" a="1"/>
  <c r="H36" i="16" s="1"/>
  <c r="H37" i="16" a="1"/>
  <c r="H37" i="16" s="1"/>
  <c r="H38" i="16" a="1"/>
  <c r="H38" i="16" s="1"/>
  <c r="H41" i="16" a="1"/>
  <c r="H41" i="16" s="1"/>
  <c r="H42" i="16" a="1"/>
  <c r="H42" i="16" s="1"/>
  <c r="H44" i="16" a="1"/>
  <c r="H44" i="16" s="1"/>
  <c r="H45" i="16" a="1"/>
  <c r="H45" i="16" s="1"/>
  <c r="H2" i="16" a="1"/>
  <c r="H2" i="16" s="1"/>
  <c r="G3" i="16"/>
  <c r="G4" i="16"/>
  <c r="G5" i="16"/>
  <c r="G6" i="16"/>
  <c r="G14" i="16"/>
  <c r="G16" i="16"/>
  <c r="G18" i="16"/>
  <c r="G19" i="16"/>
  <c r="G20" i="16"/>
  <c r="G22" i="16"/>
  <c r="G28" i="16"/>
  <c r="G29" i="16"/>
  <c r="G30" i="16"/>
  <c r="G33" i="16"/>
  <c r="G34" i="16"/>
  <c r="G36" i="16"/>
  <c r="G37" i="16"/>
  <c r="G38" i="16"/>
  <c r="G41" i="16"/>
  <c r="G42" i="16"/>
  <c r="G44" i="16"/>
  <c r="G45" i="16"/>
  <c r="G2" i="16"/>
  <c r="F3" i="16"/>
  <c r="F4" i="16"/>
  <c r="F5" i="16"/>
  <c r="F6" i="16"/>
  <c r="F14" i="16"/>
  <c r="F16" i="16"/>
  <c r="F18" i="16"/>
  <c r="F19" i="16"/>
  <c r="F20" i="16"/>
  <c r="F22" i="16"/>
  <c r="F28" i="16"/>
  <c r="F29" i="16"/>
  <c r="F30" i="16"/>
  <c r="F33" i="16"/>
  <c r="F34" i="16"/>
  <c r="F36" i="16"/>
  <c r="F37" i="16"/>
  <c r="F38" i="16"/>
  <c r="F41" i="16"/>
  <c r="F42" i="16"/>
  <c r="F44" i="16"/>
  <c r="F45" i="16"/>
  <c r="F2" i="16"/>
  <c r="K14" i="16"/>
  <c r="Q14" i="16"/>
  <c r="N14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AF20" i="13"/>
  <c r="AG20" i="13"/>
  <c r="AH20" i="13"/>
  <c r="AI20" i="13"/>
  <c r="AF21" i="13"/>
  <c r="AG21" i="13"/>
  <c r="AH21" i="13"/>
  <c r="AI21" i="13"/>
  <c r="AF22" i="13"/>
  <c r="AG22" i="13"/>
  <c r="AH22" i="13"/>
  <c r="AI22" i="13"/>
  <c r="AF30" i="13"/>
  <c r="AG30" i="13"/>
  <c r="AH30" i="13"/>
  <c r="AI30" i="13"/>
  <c r="AF31" i="13"/>
  <c r="AG31" i="13"/>
  <c r="AH31" i="13"/>
  <c r="AI31" i="13"/>
  <c r="AF33" i="13"/>
  <c r="AG33" i="13"/>
  <c r="AH33" i="13"/>
  <c r="AI33" i="13"/>
  <c r="AF34" i="13"/>
  <c r="AG34" i="13"/>
  <c r="AH34" i="13"/>
  <c r="AI34" i="13"/>
  <c r="AF36" i="13"/>
  <c r="AG36" i="13"/>
  <c r="AH36" i="13"/>
  <c r="AI36" i="13"/>
  <c r="AF43" i="13"/>
  <c r="AG43" i="13"/>
  <c r="AH43" i="13"/>
  <c r="AI43" i="13"/>
  <c r="AF44" i="13"/>
  <c r="AG44" i="13"/>
  <c r="AH44" i="13"/>
  <c r="AI44" i="13"/>
  <c r="AF45" i="13"/>
  <c r="AG45" i="13"/>
  <c r="AH45" i="13"/>
  <c r="AI45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U51" i="13"/>
  <c r="V51" i="13"/>
  <c r="W51" i="13"/>
  <c r="X51" i="13"/>
  <c r="Y51" i="13"/>
  <c r="Z51" i="13"/>
  <c r="AA51" i="13"/>
  <c r="AB51" i="13"/>
  <c r="AC51" i="13"/>
  <c r="AD51" i="13"/>
  <c r="AE51" i="13"/>
  <c r="AF51" i="13"/>
  <c r="AG51" i="13"/>
  <c r="AH51" i="13"/>
  <c r="AI51" i="13"/>
  <c r="T51" i="13"/>
  <c r="T49" i="13"/>
  <c r="T48" i="13"/>
  <c r="T47" i="13"/>
  <c r="T46" i="13"/>
  <c r="T10" i="13"/>
  <c r="T8" i="13"/>
  <c r="T7" i="13"/>
  <c r="T5" i="13"/>
  <c r="S10" i="13"/>
  <c r="S46" i="13"/>
  <c r="S48" i="13"/>
  <c r="S49" i="13"/>
  <c r="Q5" i="13"/>
  <c r="R5" i="13" s="1"/>
  <c r="Q7" i="13"/>
  <c r="R7" i="13" s="1"/>
  <c r="Q8" i="13"/>
  <c r="R8" i="13" s="1"/>
  <c r="Q10" i="13"/>
  <c r="R10" i="13" s="1"/>
  <c r="Q46" i="13"/>
  <c r="R46" i="13" s="1"/>
  <c r="Q47" i="13"/>
  <c r="R47" i="13" s="1"/>
  <c r="Q48" i="13"/>
  <c r="R48" i="13" s="1"/>
  <c r="Q49" i="13"/>
  <c r="R49" i="13" s="1"/>
  <c r="Q51" i="13"/>
  <c r="R51" i="13" s="1"/>
  <c r="Q53" i="13"/>
  <c r="R53" i="13" s="1"/>
  <c r="N5" i="13"/>
  <c r="O5" i="13" s="1"/>
  <c r="N7" i="13"/>
  <c r="O7" i="13" s="1"/>
  <c r="N8" i="13"/>
  <c r="O8" i="13" s="1"/>
  <c r="N10" i="13"/>
  <c r="O10" i="13" s="1"/>
  <c r="N46" i="13"/>
  <c r="O46" i="13" s="1"/>
  <c r="N47" i="13"/>
  <c r="O47" i="13" s="1"/>
  <c r="N48" i="13"/>
  <c r="O48" i="13" s="1"/>
  <c r="N49" i="13"/>
  <c r="O49" i="13" s="1"/>
  <c r="N51" i="13"/>
  <c r="O51" i="13" s="1"/>
  <c r="N53" i="13"/>
  <c r="O53" i="13" s="1"/>
  <c r="M53" i="13"/>
  <c r="L5" i="13"/>
  <c r="L7" i="13"/>
  <c r="L8" i="13"/>
  <c r="L10" i="13"/>
  <c r="L46" i="13"/>
  <c r="L47" i="13"/>
  <c r="L48" i="13"/>
  <c r="L49" i="13"/>
  <c r="L51" i="13"/>
  <c r="L53" i="13"/>
  <c r="K5" i="13"/>
  <c r="K7" i="13"/>
  <c r="K8" i="13"/>
  <c r="K10" i="13"/>
  <c r="K46" i="13"/>
  <c r="K47" i="13"/>
  <c r="K48" i="13"/>
  <c r="K49" i="13"/>
  <c r="K51" i="13"/>
  <c r="K53" i="13"/>
  <c r="J5" i="13" a="1"/>
  <c r="J5" i="13" s="1"/>
  <c r="J7" i="13" a="1"/>
  <c r="J7" i="13" s="1"/>
  <c r="J8" i="13" a="1"/>
  <c r="J8" i="13" s="1"/>
  <c r="J10" i="13" a="1"/>
  <c r="J10" i="13" s="1"/>
  <c r="J46" i="13" a="1"/>
  <c r="J46" i="13" s="1"/>
  <c r="J47" i="13" a="1"/>
  <c r="J47" i="13" s="1"/>
  <c r="J48" i="13" a="1"/>
  <c r="J48" i="13" s="1"/>
  <c r="J49" i="13" a="1"/>
  <c r="J49" i="13" s="1"/>
  <c r="J51" i="13" a="1"/>
  <c r="J51" i="13" s="1"/>
  <c r="J53" i="13" a="1"/>
  <c r="J53" i="13" s="1"/>
  <c r="I5" i="13"/>
  <c r="I7" i="13"/>
  <c r="I8" i="13"/>
  <c r="I10" i="13"/>
  <c r="I46" i="13"/>
  <c r="I47" i="13"/>
  <c r="I48" i="13"/>
  <c r="I49" i="13"/>
  <c r="I51" i="13"/>
  <c r="I53" i="13"/>
  <c r="H5" i="13"/>
  <c r="H7" i="13"/>
  <c r="H8" i="13"/>
  <c r="H10" i="13"/>
  <c r="H46" i="13"/>
  <c r="H47" i="13"/>
  <c r="H48" i="13"/>
  <c r="H49" i="13"/>
  <c r="H51" i="13"/>
  <c r="H53" i="13"/>
  <c r="S7" i="13"/>
  <c r="P49" i="13"/>
  <c r="M49" i="13"/>
  <c r="P48" i="13"/>
  <c r="M48" i="13"/>
  <c r="P8" i="13"/>
  <c r="S8" i="13"/>
  <c r="M8" i="13"/>
  <c r="P51" i="13"/>
  <c r="S51" i="13"/>
  <c r="M51" i="13"/>
  <c r="P47" i="13"/>
  <c r="S47" i="13"/>
  <c r="M47" i="13"/>
  <c r="P10" i="13"/>
  <c r="P53" i="13"/>
  <c r="S53" i="13"/>
  <c r="P5" i="13"/>
  <c r="S5" i="13"/>
  <c r="M5" i="13"/>
  <c r="P46" i="13"/>
  <c r="AH690" i="9"/>
  <c r="AI690" i="9"/>
  <c r="AJ690" i="9"/>
  <c r="AK690" i="9"/>
  <c r="AH691" i="9"/>
  <c r="AI691" i="9"/>
  <c r="AJ691" i="9"/>
  <c r="AK691" i="9"/>
  <c r="AH692" i="9"/>
  <c r="AI692" i="9"/>
  <c r="AJ692" i="9"/>
  <c r="AK692" i="9"/>
  <c r="AH693" i="9"/>
  <c r="AI693" i="9"/>
  <c r="AJ693" i="9"/>
  <c r="AK693" i="9"/>
  <c r="AH694" i="9"/>
  <c r="AI694" i="9"/>
  <c r="AJ694" i="9"/>
  <c r="AK694" i="9"/>
  <c r="AH695" i="9"/>
  <c r="AI695" i="9"/>
  <c r="AJ695" i="9"/>
  <c r="AK695" i="9"/>
  <c r="AH696" i="9"/>
  <c r="AI696" i="9"/>
  <c r="AJ696" i="9"/>
  <c r="AK696" i="9"/>
  <c r="AH697" i="9"/>
  <c r="AI697" i="9"/>
  <c r="AJ697" i="9"/>
  <c r="AK697" i="9"/>
  <c r="AH698" i="9"/>
  <c r="AI698" i="9"/>
  <c r="AJ698" i="9"/>
  <c r="AK698" i="9"/>
  <c r="AH699" i="9"/>
  <c r="AI699" i="9"/>
  <c r="AJ699" i="9"/>
  <c r="AK699" i="9"/>
  <c r="AH700" i="9"/>
  <c r="AI700" i="9"/>
  <c r="AJ700" i="9"/>
  <c r="AK700" i="9"/>
  <c r="AH701" i="9"/>
  <c r="AI701" i="9"/>
  <c r="AJ701" i="9"/>
  <c r="AK701" i="9"/>
  <c r="AH702" i="9"/>
  <c r="AI702" i="9"/>
  <c r="AJ702" i="9"/>
  <c r="AK702" i="9"/>
  <c r="AH703" i="9"/>
  <c r="AI703" i="9"/>
  <c r="AJ703" i="9"/>
  <c r="AK703" i="9"/>
  <c r="AH704" i="9"/>
  <c r="AI704" i="9"/>
  <c r="AJ704" i="9"/>
  <c r="AK704" i="9"/>
  <c r="AH705" i="9"/>
  <c r="AI705" i="9"/>
  <c r="AJ705" i="9"/>
  <c r="R45" i="12" s="1"/>
  <c r="AK705" i="9"/>
  <c r="R9" i="12"/>
  <c r="R22" i="12"/>
  <c r="R24" i="12"/>
  <c r="R39" i="12"/>
  <c r="R40" i="12"/>
  <c r="R46" i="12"/>
  <c r="R48" i="12"/>
  <c r="R49" i="12"/>
  <c r="R53" i="12"/>
  <c r="R56" i="12"/>
  <c r="R57" i="12"/>
  <c r="R59" i="12"/>
  <c r="R60" i="12"/>
  <c r="O7" i="12"/>
  <c r="O9" i="12"/>
  <c r="O20" i="12"/>
  <c r="O22" i="12"/>
  <c r="O24" i="12"/>
  <c r="O39" i="12"/>
  <c r="O40" i="12"/>
  <c r="O45" i="12"/>
  <c r="O46" i="12"/>
  <c r="O48" i="12"/>
  <c r="O49" i="12"/>
  <c r="O53" i="12"/>
  <c r="O56" i="12"/>
  <c r="O57" i="12"/>
  <c r="O59" i="12"/>
  <c r="O60" i="12"/>
  <c r="L7" i="12"/>
  <c r="L9" i="12"/>
  <c r="L20" i="12"/>
  <c r="L22" i="12"/>
  <c r="L24" i="12"/>
  <c r="L39" i="12"/>
  <c r="L40" i="12"/>
  <c r="L45" i="12"/>
  <c r="L46" i="12"/>
  <c r="L48" i="12"/>
  <c r="L49" i="12"/>
  <c r="L53" i="12"/>
  <c r="L56" i="12"/>
  <c r="L57" i="12"/>
  <c r="L59" i="12"/>
  <c r="L60" i="12"/>
  <c r="L3" i="12"/>
  <c r="AK2" i="9"/>
  <c r="AI11" i="9"/>
  <c r="AH3" i="9"/>
  <c r="AI3" i="9"/>
  <c r="AJ3" i="9"/>
  <c r="AK3" i="9"/>
  <c r="AH4" i="9"/>
  <c r="AI4" i="9"/>
  <c r="AJ4" i="9"/>
  <c r="AK4" i="9"/>
  <c r="AH5" i="9"/>
  <c r="AI5" i="9"/>
  <c r="AJ5" i="9"/>
  <c r="AK5" i="9"/>
  <c r="AH6" i="9"/>
  <c r="AI6" i="9"/>
  <c r="AJ6" i="9"/>
  <c r="AK6" i="9"/>
  <c r="AH7" i="9"/>
  <c r="AI7" i="9"/>
  <c r="AJ7" i="9"/>
  <c r="AK7" i="9"/>
  <c r="AH8" i="9"/>
  <c r="AI8" i="9"/>
  <c r="AJ8" i="9"/>
  <c r="AK8" i="9"/>
  <c r="AH9" i="9"/>
  <c r="AI9" i="9"/>
  <c r="AJ9" i="9"/>
  <c r="AK9" i="9"/>
  <c r="AH10" i="9"/>
  <c r="AI10" i="9"/>
  <c r="AJ10" i="9"/>
  <c r="AK10" i="9"/>
  <c r="AH11" i="9"/>
  <c r="AJ11" i="9"/>
  <c r="AK11" i="9"/>
  <c r="AH12" i="9"/>
  <c r="AI12" i="9"/>
  <c r="AJ12" i="9"/>
  <c r="AK12" i="9"/>
  <c r="AH13" i="9"/>
  <c r="AI13" i="9"/>
  <c r="AJ13" i="9"/>
  <c r="AK13" i="9"/>
  <c r="AH14" i="9"/>
  <c r="AI14" i="9"/>
  <c r="AJ14" i="9"/>
  <c r="AK14" i="9"/>
  <c r="AH15" i="9"/>
  <c r="AI15" i="9"/>
  <c r="AJ15" i="9"/>
  <c r="AK15" i="9"/>
  <c r="AH16" i="9"/>
  <c r="AI16" i="9"/>
  <c r="AJ16" i="9"/>
  <c r="AK16" i="9"/>
  <c r="AH17" i="9"/>
  <c r="AI17" i="9"/>
  <c r="AJ17" i="9"/>
  <c r="AK17" i="9"/>
  <c r="AH18" i="9"/>
  <c r="AI18" i="9"/>
  <c r="AJ18" i="9"/>
  <c r="AK18" i="9"/>
  <c r="AH19" i="9"/>
  <c r="AI19" i="9"/>
  <c r="AJ19" i="9"/>
  <c r="AK19" i="9"/>
  <c r="AH20" i="9"/>
  <c r="AI20" i="9"/>
  <c r="AJ20" i="9"/>
  <c r="AK20" i="9"/>
  <c r="AH21" i="9"/>
  <c r="AI21" i="9"/>
  <c r="AJ21" i="9"/>
  <c r="AK21" i="9"/>
  <c r="AH22" i="9"/>
  <c r="AI22" i="9"/>
  <c r="AJ22" i="9"/>
  <c r="AK22" i="9"/>
  <c r="AH23" i="9"/>
  <c r="AI23" i="9"/>
  <c r="AJ23" i="9"/>
  <c r="AK23" i="9"/>
  <c r="AH24" i="9"/>
  <c r="AI24" i="9"/>
  <c r="AJ24" i="9"/>
  <c r="AK24" i="9"/>
  <c r="AH25" i="9"/>
  <c r="AI25" i="9"/>
  <c r="AJ25" i="9"/>
  <c r="AK25" i="9"/>
  <c r="AH26" i="9"/>
  <c r="AI26" i="9"/>
  <c r="AJ26" i="9"/>
  <c r="AK26" i="9"/>
  <c r="AH27" i="9"/>
  <c r="AI27" i="9"/>
  <c r="AJ27" i="9"/>
  <c r="AK27" i="9"/>
  <c r="AH28" i="9"/>
  <c r="AI28" i="9"/>
  <c r="AJ28" i="9"/>
  <c r="AK28" i="9"/>
  <c r="AH29" i="9"/>
  <c r="AI29" i="9"/>
  <c r="AJ29" i="9"/>
  <c r="AK29" i="9"/>
  <c r="AH30" i="9"/>
  <c r="AI30" i="9"/>
  <c r="AJ30" i="9"/>
  <c r="AK30" i="9"/>
  <c r="AH31" i="9"/>
  <c r="AI31" i="9"/>
  <c r="AJ31" i="9"/>
  <c r="AK31" i="9"/>
  <c r="AH32" i="9"/>
  <c r="AI32" i="9"/>
  <c r="AJ32" i="9"/>
  <c r="AK32" i="9"/>
  <c r="AH33" i="9"/>
  <c r="AI33" i="9"/>
  <c r="AJ33" i="9"/>
  <c r="AK33" i="9"/>
  <c r="AH34" i="9"/>
  <c r="AI34" i="9"/>
  <c r="AJ34" i="9"/>
  <c r="AK34" i="9"/>
  <c r="AH35" i="9"/>
  <c r="AI35" i="9"/>
  <c r="AJ35" i="9"/>
  <c r="AK35" i="9"/>
  <c r="AH36" i="9"/>
  <c r="AI36" i="9"/>
  <c r="AJ36" i="9"/>
  <c r="AK36" i="9"/>
  <c r="AH37" i="9"/>
  <c r="AI37" i="9"/>
  <c r="AJ37" i="9"/>
  <c r="AK37" i="9"/>
  <c r="AH38" i="9"/>
  <c r="AI38" i="9"/>
  <c r="AJ38" i="9"/>
  <c r="AK38" i="9"/>
  <c r="AH39" i="9"/>
  <c r="AI39" i="9"/>
  <c r="O16" i="12" s="1"/>
  <c r="AJ39" i="9"/>
  <c r="R16" i="12" s="1"/>
  <c r="AK39" i="9"/>
  <c r="L16" i="12" s="1"/>
  <c r="AH40" i="9"/>
  <c r="AI40" i="9"/>
  <c r="AJ40" i="9"/>
  <c r="AK40" i="9"/>
  <c r="AH41" i="9"/>
  <c r="AI41" i="9"/>
  <c r="AJ41" i="9"/>
  <c r="AK41" i="9"/>
  <c r="AH42" i="9"/>
  <c r="AI42" i="9"/>
  <c r="AJ42" i="9"/>
  <c r="AK42" i="9"/>
  <c r="AH43" i="9"/>
  <c r="AI43" i="9"/>
  <c r="AJ43" i="9"/>
  <c r="AK43" i="9"/>
  <c r="AH44" i="9"/>
  <c r="AI44" i="9"/>
  <c r="AJ44" i="9"/>
  <c r="AK44" i="9"/>
  <c r="AH45" i="9"/>
  <c r="AI45" i="9"/>
  <c r="AJ45" i="9"/>
  <c r="AK45" i="9"/>
  <c r="AH46" i="9"/>
  <c r="AI46" i="9"/>
  <c r="AJ46" i="9"/>
  <c r="AK46" i="9"/>
  <c r="AH47" i="9"/>
  <c r="AI47" i="9"/>
  <c r="AJ47" i="9"/>
  <c r="AK47" i="9"/>
  <c r="AH48" i="9"/>
  <c r="AI48" i="9"/>
  <c r="AJ48" i="9"/>
  <c r="AK48" i="9"/>
  <c r="AH49" i="9"/>
  <c r="AI49" i="9"/>
  <c r="AJ49" i="9"/>
  <c r="AK49" i="9"/>
  <c r="AH50" i="9"/>
  <c r="AI50" i="9"/>
  <c r="AJ50" i="9"/>
  <c r="AK50" i="9"/>
  <c r="AH51" i="9"/>
  <c r="AI51" i="9"/>
  <c r="O18" i="12" s="1"/>
  <c r="AJ51" i="9"/>
  <c r="R18" i="12" s="1"/>
  <c r="AK51" i="9"/>
  <c r="L18" i="12" s="1"/>
  <c r="AH52" i="9"/>
  <c r="AI52" i="9"/>
  <c r="O62" i="12" s="1"/>
  <c r="AJ52" i="9"/>
  <c r="R62" i="12" s="1"/>
  <c r="AK52" i="9"/>
  <c r="L62" i="12" s="1"/>
  <c r="AH53" i="9"/>
  <c r="AI53" i="9"/>
  <c r="AJ53" i="9"/>
  <c r="AK53" i="9"/>
  <c r="AH54" i="9"/>
  <c r="AI54" i="9"/>
  <c r="AJ54" i="9"/>
  <c r="AK54" i="9"/>
  <c r="AH55" i="9"/>
  <c r="AI55" i="9"/>
  <c r="AJ55" i="9"/>
  <c r="AK55" i="9"/>
  <c r="AH56" i="9"/>
  <c r="AI56" i="9"/>
  <c r="AJ56" i="9"/>
  <c r="AK56" i="9"/>
  <c r="AH57" i="9"/>
  <c r="AI57" i="9"/>
  <c r="AJ57" i="9"/>
  <c r="AK57" i="9"/>
  <c r="AH58" i="9"/>
  <c r="AI58" i="9"/>
  <c r="O37" i="12" s="1"/>
  <c r="AJ58" i="9"/>
  <c r="R37" i="12" s="1"/>
  <c r="AK58" i="9"/>
  <c r="L37" i="12" s="1"/>
  <c r="AH59" i="9"/>
  <c r="AI59" i="9"/>
  <c r="AJ59" i="9"/>
  <c r="AK59" i="9"/>
  <c r="AH60" i="9"/>
  <c r="AI60" i="9"/>
  <c r="AJ60" i="9"/>
  <c r="AK60" i="9"/>
  <c r="AH61" i="9"/>
  <c r="AI61" i="9"/>
  <c r="AJ61" i="9"/>
  <c r="AK61" i="9"/>
  <c r="AH62" i="9"/>
  <c r="AI62" i="9"/>
  <c r="AJ62" i="9"/>
  <c r="AK62" i="9"/>
  <c r="AH63" i="9"/>
  <c r="AI63" i="9"/>
  <c r="AJ63" i="9"/>
  <c r="AK63" i="9"/>
  <c r="AH64" i="9"/>
  <c r="AI64" i="9"/>
  <c r="AJ64" i="9"/>
  <c r="AK64" i="9"/>
  <c r="AH65" i="9"/>
  <c r="AI65" i="9"/>
  <c r="AJ65" i="9"/>
  <c r="AK65" i="9"/>
  <c r="AH66" i="9"/>
  <c r="AI66" i="9"/>
  <c r="AJ66" i="9"/>
  <c r="AK66" i="9"/>
  <c r="AH67" i="9"/>
  <c r="AI67" i="9"/>
  <c r="AJ67" i="9"/>
  <c r="AK67" i="9"/>
  <c r="AH68" i="9"/>
  <c r="AI68" i="9"/>
  <c r="AJ68" i="9"/>
  <c r="AK68" i="9"/>
  <c r="AH69" i="9"/>
  <c r="AI69" i="9"/>
  <c r="AJ69" i="9"/>
  <c r="AK69" i="9"/>
  <c r="AH70" i="9"/>
  <c r="AI70" i="9"/>
  <c r="AJ70" i="9"/>
  <c r="AK70" i="9"/>
  <c r="AH71" i="9"/>
  <c r="AI71" i="9"/>
  <c r="AJ71" i="9"/>
  <c r="AK71" i="9"/>
  <c r="AH72" i="9"/>
  <c r="AI72" i="9"/>
  <c r="AJ72" i="9"/>
  <c r="AK72" i="9"/>
  <c r="AH73" i="9"/>
  <c r="AI73" i="9"/>
  <c r="AJ73" i="9"/>
  <c r="AK73" i="9"/>
  <c r="AH74" i="9"/>
  <c r="AI74" i="9"/>
  <c r="AJ74" i="9"/>
  <c r="AK74" i="9"/>
  <c r="AH75" i="9"/>
  <c r="AI75" i="9"/>
  <c r="AJ75" i="9"/>
  <c r="AK75" i="9"/>
  <c r="AH76" i="9"/>
  <c r="AI76" i="9"/>
  <c r="AJ76" i="9"/>
  <c r="AK76" i="9"/>
  <c r="AH77" i="9"/>
  <c r="AI77" i="9"/>
  <c r="AJ77" i="9"/>
  <c r="AK77" i="9"/>
  <c r="AH78" i="9"/>
  <c r="AI78" i="9"/>
  <c r="AJ78" i="9"/>
  <c r="AK78" i="9"/>
  <c r="AH79" i="9"/>
  <c r="AI79" i="9"/>
  <c r="AJ79" i="9"/>
  <c r="AK79" i="9"/>
  <c r="AH80" i="9"/>
  <c r="AI80" i="9"/>
  <c r="AJ80" i="9"/>
  <c r="AK80" i="9"/>
  <c r="AH81" i="9"/>
  <c r="AI81" i="9"/>
  <c r="O30" i="12" s="1"/>
  <c r="AJ81" i="9"/>
  <c r="R30" i="12" s="1"/>
  <c r="AK81" i="9"/>
  <c r="L30" i="12" s="1"/>
  <c r="AH82" i="9"/>
  <c r="AI82" i="9"/>
  <c r="AJ82" i="9"/>
  <c r="AK82" i="9"/>
  <c r="AH83" i="9"/>
  <c r="AI83" i="9"/>
  <c r="AJ83" i="9"/>
  <c r="AK83" i="9"/>
  <c r="AH84" i="9"/>
  <c r="AI84" i="9"/>
  <c r="AJ84" i="9"/>
  <c r="AK84" i="9"/>
  <c r="AH85" i="9"/>
  <c r="AI85" i="9"/>
  <c r="AJ85" i="9"/>
  <c r="AK85" i="9"/>
  <c r="AH86" i="9"/>
  <c r="AI86" i="9"/>
  <c r="AJ86" i="9"/>
  <c r="AK86" i="9"/>
  <c r="AH87" i="9"/>
  <c r="AI87" i="9"/>
  <c r="AJ87" i="9"/>
  <c r="AK87" i="9"/>
  <c r="AH88" i="9"/>
  <c r="AI88" i="9"/>
  <c r="AJ88" i="9"/>
  <c r="AK88" i="9"/>
  <c r="AH89" i="9"/>
  <c r="AI89" i="9"/>
  <c r="AJ89" i="9"/>
  <c r="AK89" i="9"/>
  <c r="AH90" i="9"/>
  <c r="AI90" i="9"/>
  <c r="AJ90" i="9"/>
  <c r="AK90" i="9"/>
  <c r="AH91" i="9"/>
  <c r="AI91" i="9"/>
  <c r="AJ91" i="9"/>
  <c r="AK91" i="9"/>
  <c r="AH92" i="9"/>
  <c r="AI92" i="9"/>
  <c r="AJ92" i="9"/>
  <c r="AK92" i="9"/>
  <c r="AH93" i="9"/>
  <c r="AI93" i="9"/>
  <c r="AJ93" i="9"/>
  <c r="AK93" i="9"/>
  <c r="AH94" i="9"/>
  <c r="AI94" i="9"/>
  <c r="AJ94" i="9"/>
  <c r="AK94" i="9"/>
  <c r="AH95" i="9"/>
  <c r="AI95" i="9"/>
  <c r="AJ95" i="9"/>
  <c r="AK95" i="9"/>
  <c r="AH96" i="9"/>
  <c r="AI96" i="9"/>
  <c r="AJ96" i="9"/>
  <c r="AK96" i="9"/>
  <c r="AH97" i="9"/>
  <c r="AI97" i="9"/>
  <c r="AJ97" i="9"/>
  <c r="AK97" i="9"/>
  <c r="AH98" i="9"/>
  <c r="AI98" i="9"/>
  <c r="AJ98" i="9"/>
  <c r="AK98" i="9"/>
  <c r="AH99" i="9"/>
  <c r="AI99" i="9"/>
  <c r="AJ99" i="9"/>
  <c r="AK99" i="9"/>
  <c r="AH100" i="9"/>
  <c r="AI100" i="9"/>
  <c r="AJ100" i="9"/>
  <c r="AK100" i="9"/>
  <c r="AH101" i="9"/>
  <c r="AI101" i="9"/>
  <c r="AJ101" i="9"/>
  <c r="AK101" i="9"/>
  <c r="AH102" i="9"/>
  <c r="AI102" i="9"/>
  <c r="O61" i="12" s="1"/>
  <c r="AJ102" i="9"/>
  <c r="R61" i="12" s="1"/>
  <c r="AK102" i="9"/>
  <c r="L61" i="12" s="1"/>
  <c r="AH103" i="9"/>
  <c r="AI103" i="9"/>
  <c r="AJ103" i="9"/>
  <c r="AK103" i="9"/>
  <c r="AH104" i="9"/>
  <c r="AI104" i="9"/>
  <c r="AJ104" i="9"/>
  <c r="AK104" i="9"/>
  <c r="AH105" i="9"/>
  <c r="AI105" i="9"/>
  <c r="AJ105" i="9"/>
  <c r="AK105" i="9"/>
  <c r="AH106" i="9"/>
  <c r="AI106" i="9"/>
  <c r="AJ106" i="9"/>
  <c r="AK106" i="9"/>
  <c r="AH107" i="9"/>
  <c r="AI107" i="9"/>
  <c r="AJ107" i="9"/>
  <c r="AK107" i="9"/>
  <c r="AH108" i="9"/>
  <c r="AI108" i="9"/>
  <c r="AJ108" i="9"/>
  <c r="AK108" i="9"/>
  <c r="AH109" i="9"/>
  <c r="AI109" i="9"/>
  <c r="AJ109" i="9"/>
  <c r="AK109" i="9"/>
  <c r="AH110" i="9"/>
  <c r="AI110" i="9"/>
  <c r="AJ110" i="9"/>
  <c r="AK110" i="9"/>
  <c r="AH111" i="9"/>
  <c r="AI111" i="9"/>
  <c r="AJ111" i="9"/>
  <c r="AK111" i="9"/>
  <c r="AH112" i="9"/>
  <c r="AI112" i="9"/>
  <c r="AJ112" i="9"/>
  <c r="AK112" i="9"/>
  <c r="AH113" i="9"/>
  <c r="AI113" i="9"/>
  <c r="AJ113" i="9"/>
  <c r="AK113" i="9"/>
  <c r="AH114" i="9"/>
  <c r="AI114" i="9"/>
  <c r="AJ114" i="9"/>
  <c r="AK114" i="9"/>
  <c r="AH115" i="9"/>
  <c r="AI115" i="9"/>
  <c r="AJ115" i="9"/>
  <c r="AK115" i="9"/>
  <c r="AH116" i="9"/>
  <c r="AI116" i="9"/>
  <c r="AJ116" i="9"/>
  <c r="AK116" i="9"/>
  <c r="AH117" i="9"/>
  <c r="AI117" i="9"/>
  <c r="AJ117" i="9"/>
  <c r="AK117" i="9"/>
  <c r="AH118" i="9"/>
  <c r="AI118" i="9"/>
  <c r="AJ118" i="9"/>
  <c r="AK118" i="9"/>
  <c r="AH119" i="9"/>
  <c r="AI119" i="9"/>
  <c r="AJ119" i="9"/>
  <c r="AK119" i="9"/>
  <c r="AH120" i="9"/>
  <c r="AI120" i="9"/>
  <c r="AJ120" i="9"/>
  <c r="AK120" i="9"/>
  <c r="AH121" i="9"/>
  <c r="AI121" i="9"/>
  <c r="AJ121" i="9"/>
  <c r="AK121" i="9"/>
  <c r="AH122" i="9"/>
  <c r="AI122" i="9"/>
  <c r="AJ122" i="9"/>
  <c r="AK122" i="9"/>
  <c r="AH123" i="9"/>
  <c r="AI123" i="9"/>
  <c r="AJ123" i="9"/>
  <c r="AK123" i="9"/>
  <c r="AH124" i="9"/>
  <c r="AI124" i="9"/>
  <c r="AJ124" i="9"/>
  <c r="AK124" i="9"/>
  <c r="AH125" i="9"/>
  <c r="AI125" i="9"/>
  <c r="AJ125" i="9"/>
  <c r="AK125" i="9"/>
  <c r="AH126" i="9"/>
  <c r="AI126" i="9"/>
  <c r="AJ126" i="9"/>
  <c r="AK126" i="9"/>
  <c r="AH127" i="9"/>
  <c r="AI127" i="9"/>
  <c r="AJ127" i="9"/>
  <c r="AK127" i="9"/>
  <c r="AH128" i="9"/>
  <c r="AI128" i="9"/>
  <c r="AJ128" i="9"/>
  <c r="AK128" i="9"/>
  <c r="AH129" i="9"/>
  <c r="AI129" i="9"/>
  <c r="AJ129" i="9"/>
  <c r="AK129" i="9"/>
  <c r="AH130" i="9"/>
  <c r="AI130" i="9"/>
  <c r="AJ130" i="9"/>
  <c r="AK130" i="9"/>
  <c r="AH131" i="9"/>
  <c r="AI131" i="9"/>
  <c r="AJ131" i="9"/>
  <c r="AK131" i="9"/>
  <c r="AH132" i="9"/>
  <c r="AI132" i="9"/>
  <c r="AJ132" i="9"/>
  <c r="AK132" i="9"/>
  <c r="AH133" i="9"/>
  <c r="AI133" i="9"/>
  <c r="AJ133" i="9"/>
  <c r="AK133" i="9"/>
  <c r="AH134" i="9"/>
  <c r="AI134" i="9"/>
  <c r="AJ134" i="9"/>
  <c r="AK134" i="9"/>
  <c r="AH135" i="9"/>
  <c r="AI135" i="9"/>
  <c r="AJ135" i="9"/>
  <c r="AK135" i="9"/>
  <c r="AH136" i="9"/>
  <c r="AI136" i="9"/>
  <c r="AJ136" i="9"/>
  <c r="AK136" i="9"/>
  <c r="AH137" i="9"/>
  <c r="AI137" i="9"/>
  <c r="AJ137" i="9"/>
  <c r="AK137" i="9"/>
  <c r="AH138" i="9"/>
  <c r="AI138" i="9"/>
  <c r="AJ138" i="9"/>
  <c r="AK138" i="9"/>
  <c r="AH139" i="9"/>
  <c r="AI139" i="9"/>
  <c r="AJ139" i="9"/>
  <c r="AK139" i="9"/>
  <c r="AH140" i="9"/>
  <c r="AI140" i="9"/>
  <c r="AJ140" i="9"/>
  <c r="AK140" i="9"/>
  <c r="AH141" i="9"/>
  <c r="AI141" i="9"/>
  <c r="AJ141" i="9"/>
  <c r="AK141" i="9"/>
  <c r="AH142" i="9"/>
  <c r="AI142" i="9"/>
  <c r="AJ142" i="9"/>
  <c r="AK142" i="9"/>
  <c r="AH143" i="9"/>
  <c r="AI143" i="9"/>
  <c r="AJ143" i="9"/>
  <c r="AK143" i="9"/>
  <c r="AH144" i="9"/>
  <c r="AI144" i="9"/>
  <c r="AJ144" i="9"/>
  <c r="AK144" i="9"/>
  <c r="AH145" i="9"/>
  <c r="AI145" i="9"/>
  <c r="AJ145" i="9"/>
  <c r="AK145" i="9"/>
  <c r="AH146" i="9"/>
  <c r="AI146" i="9"/>
  <c r="AJ146" i="9"/>
  <c r="AK146" i="9"/>
  <c r="AH147" i="9"/>
  <c r="AI147" i="9"/>
  <c r="AJ147" i="9"/>
  <c r="AK147" i="9"/>
  <c r="AH148" i="9"/>
  <c r="AI148" i="9"/>
  <c r="AJ148" i="9"/>
  <c r="AK148" i="9"/>
  <c r="AH149" i="9"/>
  <c r="AI149" i="9"/>
  <c r="AJ149" i="9"/>
  <c r="AK149" i="9"/>
  <c r="AH150" i="9"/>
  <c r="AI150" i="9"/>
  <c r="AJ150" i="9"/>
  <c r="AK150" i="9"/>
  <c r="AH151" i="9"/>
  <c r="AI151" i="9"/>
  <c r="AJ151" i="9"/>
  <c r="AK151" i="9"/>
  <c r="AH152" i="9"/>
  <c r="AI152" i="9"/>
  <c r="AJ152" i="9"/>
  <c r="AK152" i="9"/>
  <c r="AH153" i="9"/>
  <c r="AI153" i="9"/>
  <c r="AJ153" i="9"/>
  <c r="AK153" i="9"/>
  <c r="AH154" i="9"/>
  <c r="AI154" i="9"/>
  <c r="AJ154" i="9"/>
  <c r="AK154" i="9"/>
  <c r="AH155" i="9"/>
  <c r="AI155" i="9"/>
  <c r="AJ155" i="9"/>
  <c r="AK155" i="9"/>
  <c r="AH156" i="9"/>
  <c r="AI156" i="9"/>
  <c r="AJ156" i="9"/>
  <c r="AK156" i="9"/>
  <c r="AH157" i="9"/>
  <c r="AI157" i="9"/>
  <c r="AJ157" i="9"/>
  <c r="AK157" i="9"/>
  <c r="AH158" i="9"/>
  <c r="AI158" i="9"/>
  <c r="AJ158" i="9"/>
  <c r="AK158" i="9"/>
  <c r="AH159" i="9"/>
  <c r="AI159" i="9"/>
  <c r="AJ159" i="9"/>
  <c r="AK159" i="9"/>
  <c r="AH160" i="9"/>
  <c r="AI160" i="9"/>
  <c r="AJ160" i="9"/>
  <c r="AK160" i="9"/>
  <c r="AH161" i="9"/>
  <c r="AI161" i="9"/>
  <c r="AJ161" i="9"/>
  <c r="AK161" i="9"/>
  <c r="AH162" i="9"/>
  <c r="AI162" i="9"/>
  <c r="AJ162" i="9"/>
  <c r="AK162" i="9"/>
  <c r="AH163" i="9"/>
  <c r="AI163" i="9"/>
  <c r="AJ163" i="9"/>
  <c r="AK163" i="9"/>
  <c r="AH164" i="9"/>
  <c r="AI164" i="9"/>
  <c r="AJ164" i="9"/>
  <c r="AK164" i="9"/>
  <c r="AH165" i="9"/>
  <c r="AI165" i="9"/>
  <c r="AJ165" i="9"/>
  <c r="AK165" i="9"/>
  <c r="AH166" i="9"/>
  <c r="AI166" i="9"/>
  <c r="AJ166" i="9"/>
  <c r="AK166" i="9"/>
  <c r="AH167" i="9"/>
  <c r="AI167" i="9"/>
  <c r="AJ167" i="9"/>
  <c r="AK167" i="9"/>
  <c r="AH168" i="9"/>
  <c r="AI168" i="9"/>
  <c r="AJ168" i="9"/>
  <c r="AK168" i="9"/>
  <c r="AH169" i="9"/>
  <c r="AI169" i="9"/>
  <c r="AJ169" i="9"/>
  <c r="AK169" i="9"/>
  <c r="AH170" i="9"/>
  <c r="AI170" i="9"/>
  <c r="AJ170" i="9"/>
  <c r="AK170" i="9"/>
  <c r="AH171" i="9"/>
  <c r="AI171" i="9"/>
  <c r="AJ171" i="9"/>
  <c r="AK171" i="9"/>
  <c r="AH172" i="9"/>
  <c r="AI172" i="9"/>
  <c r="AJ172" i="9"/>
  <c r="AK172" i="9"/>
  <c r="AH173" i="9"/>
  <c r="AI173" i="9"/>
  <c r="AJ173" i="9"/>
  <c r="AK173" i="9"/>
  <c r="AH174" i="9"/>
  <c r="AI174" i="9"/>
  <c r="AJ174" i="9"/>
  <c r="AK174" i="9"/>
  <c r="AH175" i="9"/>
  <c r="AI175" i="9"/>
  <c r="AJ175" i="9"/>
  <c r="AK175" i="9"/>
  <c r="AH176" i="9"/>
  <c r="AI176" i="9"/>
  <c r="AJ176" i="9"/>
  <c r="AK176" i="9"/>
  <c r="AH177" i="9"/>
  <c r="AI177" i="9"/>
  <c r="AJ177" i="9"/>
  <c r="AK177" i="9"/>
  <c r="AH178" i="9"/>
  <c r="AI178" i="9"/>
  <c r="AJ178" i="9"/>
  <c r="AK178" i="9"/>
  <c r="AH179" i="9"/>
  <c r="AI179" i="9"/>
  <c r="AJ179" i="9"/>
  <c r="AK179" i="9"/>
  <c r="AH180" i="9"/>
  <c r="AI180" i="9"/>
  <c r="AJ180" i="9"/>
  <c r="AK180" i="9"/>
  <c r="AH181" i="9"/>
  <c r="AI181" i="9"/>
  <c r="AJ181" i="9"/>
  <c r="AK181" i="9"/>
  <c r="AH182" i="9"/>
  <c r="AI182" i="9"/>
  <c r="AJ182" i="9"/>
  <c r="AK182" i="9"/>
  <c r="AH183" i="9"/>
  <c r="AI183" i="9"/>
  <c r="O50" i="12" s="1"/>
  <c r="AJ183" i="9"/>
  <c r="R50" i="12" s="1"/>
  <c r="AK183" i="9"/>
  <c r="L50" i="12" s="1"/>
  <c r="AH184" i="9"/>
  <c r="AI184" i="9"/>
  <c r="AJ184" i="9"/>
  <c r="AK184" i="9"/>
  <c r="AH185" i="9"/>
  <c r="AI185" i="9"/>
  <c r="AJ185" i="9"/>
  <c r="AK185" i="9"/>
  <c r="AH186" i="9"/>
  <c r="AI186" i="9"/>
  <c r="AJ186" i="9"/>
  <c r="AK186" i="9"/>
  <c r="AH187" i="9"/>
  <c r="AI187" i="9"/>
  <c r="AJ187" i="9"/>
  <c r="AK187" i="9"/>
  <c r="AH188" i="9"/>
  <c r="AI188" i="9"/>
  <c r="AJ188" i="9"/>
  <c r="AK188" i="9"/>
  <c r="AH189" i="9"/>
  <c r="AI189" i="9"/>
  <c r="AJ189" i="9"/>
  <c r="AK189" i="9"/>
  <c r="AH190" i="9"/>
  <c r="AI190" i="9"/>
  <c r="AJ190" i="9"/>
  <c r="AK190" i="9"/>
  <c r="AH191" i="9"/>
  <c r="AI191" i="9"/>
  <c r="AJ191" i="9"/>
  <c r="AK191" i="9"/>
  <c r="AH192" i="9"/>
  <c r="AI192" i="9"/>
  <c r="AJ192" i="9"/>
  <c r="AK192" i="9"/>
  <c r="AH193" i="9"/>
  <c r="AI193" i="9"/>
  <c r="AJ193" i="9"/>
  <c r="AK193" i="9"/>
  <c r="AH194" i="9"/>
  <c r="AI194" i="9"/>
  <c r="AJ194" i="9"/>
  <c r="AK194" i="9"/>
  <c r="AH195" i="9"/>
  <c r="AI195" i="9"/>
  <c r="AJ195" i="9"/>
  <c r="AK195" i="9"/>
  <c r="AH196" i="9"/>
  <c r="AI196" i="9"/>
  <c r="AJ196" i="9"/>
  <c r="AK196" i="9"/>
  <c r="AH197" i="9"/>
  <c r="AI197" i="9"/>
  <c r="AJ197" i="9"/>
  <c r="AK197" i="9"/>
  <c r="AH198" i="9"/>
  <c r="AI198" i="9"/>
  <c r="AJ198" i="9"/>
  <c r="AK198" i="9"/>
  <c r="AH199" i="9"/>
  <c r="AI199" i="9"/>
  <c r="AJ199" i="9"/>
  <c r="AK199" i="9"/>
  <c r="AH200" i="9"/>
  <c r="AI200" i="9"/>
  <c r="AJ200" i="9"/>
  <c r="AK200" i="9"/>
  <c r="AH201" i="9"/>
  <c r="AI201" i="9"/>
  <c r="AJ201" i="9"/>
  <c r="AK201" i="9"/>
  <c r="AH202" i="9"/>
  <c r="AI202" i="9"/>
  <c r="AJ202" i="9"/>
  <c r="AK202" i="9"/>
  <c r="AH203" i="9"/>
  <c r="AI203" i="9"/>
  <c r="AJ203" i="9"/>
  <c r="AK203" i="9"/>
  <c r="AH204" i="9"/>
  <c r="AI204" i="9"/>
  <c r="AJ204" i="9"/>
  <c r="AK204" i="9"/>
  <c r="AH205" i="9"/>
  <c r="AI205" i="9"/>
  <c r="AJ205" i="9"/>
  <c r="AK205" i="9"/>
  <c r="AH206" i="9"/>
  <c r="AI206" i="9"/>
  <c r="AJ206" i="9"/>
  <c r="AK206" i="9"/>
  <c r="AH207" i="9"/>
  <c r="AI207" i="9"/>
  <c r="AJ207" i="9"/>
  <c r="AK207" i="9"/>
  <c r="AH208" i="9"/>
  <c r="AI208" i="9"/>
  <c r="AJ208" i="9"/>
  <c r="AK208" i="9"/>
  <c r="AH209" i="9"/>
  <c r="AI209" i="9"/>
  <c r="AJ209" i="9"/>
  <c r="AK209" i="9"/>
  <c r="AH210" i="9"/>
  <c r="AI210" i="9"/>
  <c r="AJ210" i="9"/>
  <c r="AK210" i="9"/>
  <c r="AH211" i="9"/>
  <c r="AI211" i="9"/>
  <c r="AJ211" i="9"/>
  <c r="AK211" i="9"/>
  <c r="AH212" i="9"/>
  <c r="AI212" i="9"/>
  <c r="AJ212" i="9"/>
  <c r="AK212" i="9"/>
  <c r="AH213" i="9"/>
  <c r="AI213" i="9"/>
  <c r="AJ213" i="9"/>
  <c r="AK213" i="9"/>
  <c r="AH214" i="9"/>
  <c r="AI214" i="9"/>
  <c r="AJ214" i="9"/>
  <c r="AK214" i="9"/>
  <c r="AH215" i="9"/>
  <c r="AI215" i="9"/>
  <c r="AJ215" i="9"/>
  <c r="AK215" i="9"/>
  <c r="AH216" i="9"/>
  <c r="AI216" i="9"/>
  <c r="AJ216" i="9"/>
  <c r="AK216" i="9"/>
  <c r="AH217" i="9"/>
  <c r="AI217" i="9"/>
  <c r="AJ217" i="9"/>
  <c r="AK217" i="9"/>
  <c r="AH218" i="9"/>
  <c r="AI218" i="9"/>
  <c r="AJ218" i="9"/>
  <c r="AK218" i="9"/>
  <c r="AH219" i="9"/>
  <c r="AI219" i="9"/>
  <c r="AJ219" i="9"/>
  <c r="AK219" i="9"/>
  <c r="AH220" i="9"/>
  <c r="AI220" i="9"/>
  <c r="AJ220" i="9"/>
  <c r="AK220" i="9"/>
  <c r="AH221" i="9"/>
  <c r="AI221" i="9"/>
  <c r="AJ221" i="9"/>
  <c r="AK221" i="9"/>
  <c r="AH222" i="9"/>
  <c r="AI222" i="9"/>
  <c r="AJ222" i="9"/>
  <c r="AK222" i="9"/>
  <c r="AH223" i="9"/>
  <c r="AI223" i="9"/>
  <c r="AJ223" i="9"/>
  <c r="AK223" i="9"/>
  <c r="AH224" i="9"/>
  <c r="AI224" i="9"/>
  <c r="AJ224" i="9"/>
  <c r="AK224" i="9"/>
  <c r="AH225" i="9"/>
  <c r="AI225" i="9"/>
  <c r="AJ225" i="9"/>
  <c r="AK225" i="9"/>
  <c r="AH226" i="9"/>
  <c r="AI226" i="9"/>
  <c r="AJ226" i="9"/>
  <c r="AK226" i="9"/>
  <c r="AH227" i="9"/>
  <c r="AI227" i="9"/>
  <c r="AJ227" i="9"/>
  <c r="AK227" i="9"/>
  <c r="AH228" i="9"/>
  <c r="AI228" i="9"/>
  <c r="AJ228" i="9"/>
  <c r="AK228" i="9"/>
  <c r="AH229" i="9"/>
  <c r="AI229" i="9"/>
  <c r="AJ229" i="9"/>
  <c r="AK229" i="9"/>
  <c r="AH230" i="9"/>
  <c r="AI230" i="9"/>
  <c r="AJ230" i="9"/>
  <c r="AK230" i="9"/>
  <c r="AH231" i="9"/>
  <c r="AI231" i="9"/>
  <c r="AJ231" i="9"/>
  <c r="AK231" i="9"/>
  <c r="AH232" i="9"/>
  <c r="AI232" i="9"/>
  <c r="AJ232" i="9"/>
  <c r="AK232" i="9"/>
  <c r="AH233" i="9"/>
  <c r="AI233" i="9"/>
  <c r="AJ233" i="9"/>
  <c r="AK233" i="9"/>
  <c r="AH234" i="9"/>
  <c r="AI234" i="9"/>
  <c r="AJ234" i="9"/>
  <c r="AK234" i="9"/>
  <c r="AH235" i="9"/>
  <c r="AI235" i="9"/>
  <c r="AJ235" i="9"/>
  <c r="AK235" i="9"/>
  <c r="AH236" i="9"/>
  <c r="AI236" i="9"/>
  <c r="AJ236" i="9"/>
  <c r="AK236" i="9"/>
  <c r="AH237" i="9"/>
  <c r="AI237" i="9"/>
  <c r="AJ237" i="9"/>
  <c r="AK237" i="9"/>
  <c r="AH238" i="9"/>
  <c r="AI238" i="9"/>
  <c r="AJ238" i="9"/>
  <c r="AK238" i="9"/>
  <c r="AH239" i="9"/>
  <c r="AI239" i="9"/>
  <c r="AJ239" i="9"/>
  <c r="AK239" i="9"/>
  <c r="AH240" i="9"/>
  <c r="AI240" i="9"/>
  <c r="AJ240" i="9"/>
  <c r="AK240" i="9"/>
  <c r="AH241" i="9"/>
  <c r="AI241" i="9"/>
  <c r="AJ241" i="9"/>
  <c r="AK241" i="9"/>
  <c r="AH242" i="9"/>
  <c r="AI242" i="9"/>
  <c r="AJ242" i="9"/>
  <c r="AK242" i="9"/>
  <c r="AH243" i="9"/>
  <c r="AI243" i="9"/>
  <c r="AJ243" i="9"/>
  <c r="AK243" i="9"/>
  <c r="AH244" i="9"/>
  <c r="AI244" i="9"/>
  <c r="AJ244" i="9"/>
  <c r="AK244" i="9"/>
  <c r="AH245" i="9"/>
  <c r="AI245" i="9"/>
  <c r="AJ245" i="9"/>
  <c r="AK245" i="9"/>
  <c r="AH246" i="9"/>
  <c r="AI246" i="9"/>
  <c r="AJ246" i="9"/>
  <c r="AK246" i="9"/>
  <c r="AH247" i="9"/>
  <c r="AI247" i="9"/>
  <c r="AJ247" i="9"/>
  <c r="AK247" i="9"/>
  <c r="AH248" i="9"/>
  <c r="AI248" i="9"/>
  <c r="AJ248" i="9"/>
  <c r="AK248" i="9"/>
  <c r="AH249" i="9"/>
  <c r="AI249" i="9"/>
  <c r="AJ249" i="9"/>
  <c r="AK249" i="9"/>
  <c r="AH250" i="9"/>
  <c r="AI250" i="9"/>
  <c r="AJ250" i="9"/>
  <c r="AK250" i="9"/>
  <c r="AH251" i="9"/>
  <c r="AI251" i="9"/>
  <c r="AJ251" i="9"/>
  <c r="AK251" i="9"/>
  <c r="AH252" i="9"/>
  <c r="AI252" i="9"/>
  <c r="AJ252" i="9"/>
  <c r="AK252" i="9"/>
  <c r="AH253" i="9"/>
  <c r="AI253" i="9"/>
  <c r="O6" i="12" s="1"/>
  <c r="AJ253" i="9"/>
  <c r="R6" i="12" s="1"/>
  <c r="AK253" i="9"/>
  <c r="L6" i="12" s="1"/>
  <c r="AH254" i="9"/>
  <c r="AI254" i="9"/>
  <c r="AJ254" i="9"/>
  <c r="AK254" i="9"/>
  <c r="AH255" i="9"/>
  <c r="AI255" i="9"/>
  <c r="AJ255" i="9"/>
  <c r="AK255" i="9"/>
  <c r="AH256" i="9"/>
  <c r="AI256" i="9"/>
  <c r="AJ256" i="9"/>
  <c r="AK256" i="9"/>
  <c r="AH257" i="9"/>
  <c r="AI257" i="9"/>
  <c r="AJ257" i="9"/>
  <c r="AK257" i="9"/>
  <c r="AH258" i="9"/>
  <c r="AI258" i="9"/>
  <c r="AJ258" i="9"/>
  <c r="AK258" i="9"/>
  <c r="AH259" i="9"/>
  <c r="AI259" i="9"/>
  <c r="O8" i="12" s="1"/>
  <c r="AJ259" i="9"/>
  <c r="R8" i="12" s="1"/>
  <c r="AK259" i="9"/>
  <c r="L8" i="12" s="1"/>
  <c r="AH260" i="9"/>
  <c r="AI260" i="9"/>
  <c r="AJ260" i="9"/>
  <c r="AK260" i="9"/>
  <c r="AH261" i="9"/>
  <c r="AI261" i="9"/>
  <c r="AJ261" i="9"/>
  <c r="AK261" i="9"/>
  <c r="AH262" i="9"/>
  <c r="AI262" i="9"/>
  <c r="AJ262" i="9"/>
  <c r="AK262" i="9"/>
  <c r="AH263" i="9"/>
  <c r="AI263" i="9"/>
  <c r="AJ263" i="9"/>
  <c r="AK263" i="9"/>
  <c r="AH264" i="9"/>
  <c r="AI264" i="9"/>
  <c r="AJ264" i="9"/>
  <c r="AK264" i="9"/>
  <c r="AH265" i="9"/>
  <c r="AI265" i="9"/>
  <c r="AJ265" i="9"/>
  <c r="AK265" i="9"/>
  <c r="AH266" i="9"/>
  <c r="AI266" i="9"/>
  <c r="O32" i="12" s="1"/>
  <c r="AJ266" i="9"/>
  <c r="R32" i="12" s="1"/>
  <c r="AK266" i="9"/>
  <c r="L32" i="12" s="1"/>
  <c r="AH267" i="9"/>
  <c r="AI267" i="9"/>
  <c r="AJ267" i="9"/>
  <c r="AK267" i="9"/>
  <c r="AH268" i="9"/>
  <c r="AI268" i="9"/>
  <c r="AJ268" i="9"/>
  <c r="AK268" i="9"/>
  <c r="AH269" i="9"/>
  <c r="AI269" i="9"/>
  <c r="AJ269" i="9"/>
  <c r="AK269" i="9"/>
  <c r="AH270" i="9"/>
  <c r="AI270" i="9"/>
  <c r="AJ270" i="9"/>
  <c r="AK270" i="9"/>
  <c r="AH271" i="9"/>
  <c r="AI271" i="9"/>
  <c r="AJ271" i="9"/>
  <c r="AK271" i="9"/>
  <c r="AH272" i="9"/>
  <c r="AI272" i="9"/>
  <c r="AJ272" i="9"/>
  <c r="AK272" i="9"/>
  <c r="AH273" i="9"/>
  <c r="AI273" i="9"/>
  <c r="AJ273" i="9"/>
  <c r="AK273" i="9"/>
  <c r="AH274" i="9"/>
  <c r="AI274" i="9"/>
  <c r="AJ274" i="9"/>
  <c r="AK274" i="9"/>
  <c r="AH275" i="9"/>
  <c r="AI275" i="9"/>
  <c r="AJ275" i="9"/>
  <c r="AK275" i="9"/>
  <c r="AH276" i="9"/>
  <c r="AI276" i="9"/>
  <c r="AJ276" i="9"/>
  <c r="AK276" i="9"/>
  <c r="AH277" i="9"/>
  <c r="AI277" i="9"/>
  <c r="AJ277" i="9"/>
  <c r="AK277" i="9"/>
  <c r="AH278" i="9"/>
  <c r="AI278" i="9"/>
  <c r="AJ278" i="9"/>
  <c r="AK278" i="9"/>
  <c r="AH279" i="9"/>
  <c r="AI279" i="9"/>
  <c r="AJ279" i="9"/>
  <c r="AK279" i="9"/>
  <c r="AH280" i="9"/>
  <c r="AI280" i="9"/>
  <c r="AJ280" i="9"/>
  <c r="AK280" i="9"/>
  <c r="AH281" i="9"/>
  <c r="AI281" i="9"/>
  <c r="AJ281" i="9"/>
  <c r="AK281" i="9"/>
  <c r="AH282" i="9"/>
  <c r="AI282" i="9"/>
  <c r="AJ282" i="9"/>
  <c r="AK282" i="9"/>
  <c r="AH283" i="9"/>
  <c r="AI283" i="9"/>
  <c r="AJ283" i="9"/>
  <c r="AK283" i="9"/>
  <c r="AH284" i="9"/>
  <c r="AI284" i="9"/>
  <c r="AJ284" i="9"/>
  <c r="AK284" i="9"/>
  <c r="AH285" i="9"/>
  <c r="AI285" i="9"/>
  <c r="AJ285" i="9"/>
  <c r="AK285" i="9"/>
  <c r="AH286" i="9"/>
  <c r="AI286" i="9"/>
  <c r="AJ286" i="9"/>
  <c r="AK286" i="9"/>
  <c r="AH287" i="9"/>
  <c r="AI287" i="9"/>
  <c r="AJ287" i="9"/>
  <c r="AK287" i="9"/>
  <c r="AH288" i="9"/>
  <c r="AI288" i="9"/>
  <c r="AJ288" i="9"/>
  <c r="AK288" i="9"/>
  <c r="AH289" i="9"/>
  <c r="AI289" i="9"/>
  <c r="AJ289" i="9"/>
  <c r="AK289" i="9"/>
  <c r="AH290" i="9"/>
  <c r="AI290" i="9"/>
  <c r="AJ290" i="9"/>
  <c r="AK290" i="9"/>
  <c r="AH291" i="9"/>
  <c r="AI291" i="9"/>
  <c r="AJ291" i="9"/>
  <c r="AK291" i="9"/>
  <c r="AH292" i="9"/>
  <c r="AI292" i="9"/>
  <c r="AJ292" i="9"/>
  <c r="AK292" i="9"/>
  <c r="AH293" i="9"/>
  <c r="AI293" i="9"/>
  <c r="AJ293" i="9"/>
  <c r="AK293" i="9"/>
  <c r="AH294" i="9"/>
  <c r="AI294" i="9"/>
  <c r="AJ294" i="9"/>
  <c r="AK294" i="9"/>
  <c r="AH295" i="9"/>
  <c r="AI295" i="9"/>
  <c r="AJ295" i="9"/>
  <c r="AK295" i="9"/>
  <c r="AH296" i="9"/>
  <c r="AI296" i="9"/>
  <c r="AJ296" i="9"/>
  <c r="AK296" i="9"/>
  <c r="AH297" i="9"/>
  <c r="AI297" i="9"/>
  <c r="AJ297" i="9"/>
  <c r="AK297" i="9"/>
  <c r="AH298" i="9"/>
  <c r="AI298" i="9"/>
  <c r="AJ298" i="9"/>
  <c r="AK298" i="9"/>
  <c r="AH299" i="9"/>
  <c r="AI299" i="9"/>
  <c r="AJ299" i="9"/>
  <c r="AK299" i="9"/>
  <c r="AH300" i="9"/>
  <c r="AI300" i="9"/>
  <c r="AJ300" i="9"/>
  <c r="AK300" i="9"/>
  <c r="AH301" i="9"/>
  <c r="AI301" i="9"/>
  <c r="AJ301" i="9"/>
  <c r="AK301" i="9"/>
  <c r="AH302" i="9"/>
  <c r="AI302" i="9"/>
  <c r="AJ302" i="9"/>
  <c r="AK302" i="9"/>
  <c r="AH303" i="9"/>
  <c r="AI303" i="9"/>
  <c r="AJ303" i="9"/>
  <c r="AK303" i="9"/>
  <c r="AH304" i="9"/>
  <c r="AI304" i="9"/>
  <c r="AJ304" i="9"/>
  <c r="AK304" i="9"/>
  <c r="AH305" i="9"/>
  <c r="AI305" i="9"/>
  <c r="AJ305" i="9"/>
  <c r="AK305" i="9"/>
  <c r="AH306" i="9"/>
  <c r="AI306" i="9"/>
  <c r="AJ306" i="9"/>
  <c r="AK306" i="9"/>
  <c r="AH307" i="9"/>
  <c r="AI307" i="9"/>
  <c r="AJ307" i="9"/>
  <c r="AK307" i="9"/>
  <c r="AH308" i="9"/>
  <c r="AI308" i="9"/>
  <c r="AJ308" i="9"/>
  <c r="AK308" i="9"/>
  <c r="AH309" i="9"/>
  <c r="AI309" i="9"/>
  <c r="AJ309" i="9"/>
  <c r="AK309" i="9"/>
  <c r="AH310" i="9"/>
  <c r="AI310" i="9"/>
  <c r="AJ310" i="9"/>
  <c r="AK310" i="9"/>
  <c r="AH311" i="9"/>
  <c r="AI311" i="9"/>
  <c r="AJ311" i="9"/>
  <c r="AK311" i="9"/>
  <c r="AH312" i="9"/>
  <c r="AI312" i="9"/>
  <c r="AJ312" i="9"/>
  <c r="AK312" i="9"/>
  <c r="AH313" i="9"/>
  <c r="AI313" i="9"/>
  <c r="AJ313" i="9"/>
  <c r="AK313" i="9"/>
  <c r="AH314" i="9"/>
  <c r="AI314" i="9"/>
  <c r="AJ314" i="9"/>
  <c r="AK314" i="9"/>
  <c r="AH315" i="9"/>
  <c r="AI315" i="9"/>
  <c r="AJ315" i="9"/>
  <c r="AK315" i="9"/>
  <c r="AH316" i="9"/>
  <c r="AI316" i="9"/>
  <c r="AJ316" i="9"/>
  <c r="AK316" i="9"/>
  <c r="AH317" i="9"/>
  <c r="AI317" i="9"/>
  <c r="AJ317" i="9"/>
  <c r="AK317" i="9"/>
  <c r="AH318" i="9"/>
  <c r="AI318" i="9"/>
  <c r="AJ318" i="9"/>
  <c r="AK318" i="9"/>
  <c r="AH319" i="9"/>
  <c r="AI319" i="9"/>
  <c r="AJ319" i="9"/>
  <c r="AK319" i="9"/>
  <c r="AH320" i="9"/>
  <c r="AI320" i="9"/>
  <c r="AJ320" i="9"/>
  <c r="AK320" i="9"/>
  <c r="AH321" i="9"/>
  <c r="AI321" i="9"/>
  <c r="AJ321" i="9"/>
  <c r="AK321" i="9"/>
  <c r="AH322" i="9"/>
  <c r="AI322" i="9"/>
  <c r="AJ322" i="9"/>
  <c r="AK322" i="9"/>
  <c r="AH323" i="9"/>
  <c r="AI323" i="9"/>
  <c r="AJ323" i="9"/>
  <c r="AK323" i="9"/>
  <c r="AH324" i="9"/>
  <c r="AI324" i="9"/>
  <c r="AJ324" i="9"/>
  <c r="AK324" i="9"/>
  <c r="AH325" i="9"/>
  <c r="AI325" i="9"/>
  <c r="O35" i="12" s="1"/>
  <c r="AJ325" i="9"/>
  <c r="R35" i="12" s="1"/>
  <c r="AK325" i="9"/>
  <c r="L35" i="12" s="1"/>
  <c r="AH326" i="9"/>
  <c r="AI326" i="9"/>
  <c r="AJ326" i="9"/>
  <c r="AK326" i="9"/>
  <c r="AH327" i="9"/>
  <c r="AI327" i="9"/>
  <c r="AJ327" i="9"/>
  <c r="AK327" i="9"/>
  <c r="AH328" i="9"/>
  <c r="AI328" i="9"/>
  <c r="AJ328" i="9"/>
  <c r="AK328" i="9"/>
  <c r="AH329" i="9"/>
  <c r="AI329" i="9"/>
  <c r="AJ329" i="9"/>
  <c r="AK329" i="9"/>
  <c r="AH330" i="9"/>
  <c r="AI330" i="9"/>
  <c r="AJ330" i="9"/>
  <c r="AK330" i="9"/>
  <c r="AH331" i="9"/>
  <c r="AI331" i="9"/>
  <c r="AJ331" i="9"/>
  <c r="AK331" i="9"/>
  <c r="AH332" i="9"/>
  <c r="AI332" i="9"/>
  <c r="AJ332" i="9"/>
  <c r="AK332" i="9"/>
  <c r="AH333" i="9"/>
  <c r="AI333" i="9"/>
  <c r="AJ333" i="9"/>
  <c r="AK333" i="9"/>
  <c r="AH334" i="9"/>
  <c r="AI334" i="9"/>
  <c r="AJ334" i="9"/>
  <c r="AK334" i="9"/>
  <c r="AH335" i="9"/>
  <c r="AI335" i="9"/>
  <c r="AJ335" i="9"/>
  <c r="AK335" i="9"/>
  <c r="AH336" i="9"/>
  <c r="AI336" i="9"/>
  <c r="AJ336" i="9"/>
  <c r="AK336" i="9"/>
  <c r="AH337" i="9"/>
  <c r="AI337" i="9"/>
  <c r="AJ337" i="9"/>
  <c r="AK337" i="9"/>
  <c r="AH338" i="9"/>
  <c r="AI338" i="9"/>
  <c r="AJ338" i="9"/>
  <c r="AK338" i="9"/>
  <c r="AH339" i="9"/>
  <c r="AI339" i="9"/>
  <c r="AJ339" i="9"/>
  <c r="AK339" i="9"/>
  <c r="AH340" i="9"/>
  <c r="AI340" i="9"/>
  <c r="AJ340" i="9"/>
  <c r="AK340" i="9"/>
  <c r="AH341" i="9"/>
  <c r="AI341" i="9"/>
  <c r="AJ341" i="9"/>
  <c r="AK341" i="9"/>
  <c r="AH342" i="9"/>
  <c r="AI342" i="9"/>
  <c r="AJ342" i="9"/>
  <c r="AK342" i="9"/>
  <c r="AH343" i="9"/>
  <c r="AI343" i="9"/>
  <c r="AJ343" i="9"/>
  <c r="AK343" i="9"/>
  <c r="AH344" i="9"/>
  <c r="AI344" i="9"/>
  <c r="AJ344" i="9"/>
  <c r="AK344" i="9"/>
  <c r="AH345" i="9"/>
  <c r="AI345" i="9"/>
  <c r="AJ345" i="9"/>
  <c r="AK345" i="9"/>
  <c r="AH346" i="9"/>
  <c r="AI346" i="9"/>
  <c r="AJ346" i="9"/>
  <c r="AK346" i="9"/>
  <c r="AH347" i="9"/>
  <c r="AI347" i="9"/>
  <c r="AJ347" i="9"/>
  <c r="AK347" i="9"/>
  <c r="AH348" i="9"/>
  <c r="AI348" i="9"/>
  <c r="AJ348" i="9"/>
  <c r="AK348" i="9"/>
  <c r="AH349" i="9"/>
  <c r="AI349" i="9"/>
  <c r="AJ349" i="9"/>
  <c r="AK349" i="9"/>
  <c r="AH350" i="9"/>
  <c r="AI350" i="9"/>
  <c r="AJ350" i="9"/>
  <c r="AK350" i="9"/>
  <c r="AH351" i="9"/>
  <c r="AI351" i="9"/>
  <c r="AJ351" i="9"/>
  <c r="AK351" i="9"/>
  <c r="AH352" i="9"/>
  <c r="AI352" i="9"/>
  <c r="AJ352" i="9"/>
  <c r="AK352" i="9"/>
  <c r="AH353" i="9"/>
  <c r="AI353" i="9"/>
  <c r="AJ353" i="9"/>
  <c r="AK353" i="9"/>
  <c r="AH354" i="9"/>
  <c r="AI354" i="9"/>
  <c r="AJ354" i="9"/>
  <c r="AK354" i="9"/>
  <c r="AH355" i="9"/>
  <c r="AI355" i="9"/>
  <c r="AJ355" i="9"/>
  <c r="AK355" i="9"/>
  <c r="AH356" i="9"/>
  <c r="AI356" i="9"/>
  <c r="AJ356" i="9"/>
  <c r="AK356" i="9"/>
  <c r="AH357" i="9"/>
  <c r="AI357" i="9"/>
  <c r="AJ357" i="9"/>
  <c r="AK357" i="9"/>
  <c r="AH358" i="9"/>
  <c r="AI358" i="9"/>
  <c r="AJ358" i="9"/>
  <c r="AK358" i="9"/>
  <c r="AH359" i="9"/>
  <c r="AI359" i="9"/>
  <c r="AJ359" i="9"/>
  <c r="AK359" i="9"/>
  <c r="AH360" i="9"/>
  <c r="AI360" i="9"/>
  <c r="AJ360" i="9"/>
  <c r="AK360" i="9"/>
  <c r="AH361" i="9"/>
  <c r="AI361" i="9"/>
  <c r="AJ361" i="9"/>
  <c r="AK361" i="9"/>
  <c r="AH362" i="9"/>
  <c r="AI362" i="9"/>
  <c r="AJ362" i="9"/>
  <c r="AK362" i="9"/>
  <c r="AH363" i="9"/>
  <c r="AI363" i="9"/>
  <c r="AJ363" i="9"/>
  <c r="AK363" i="9"/>
  <c r="AH364" i="9"/>
  <c r="AI364" i="9"/>
  <c r="O13" i="12" s="1"/>
  <c r="AJ364" i="9"/>
  <c r="R13" i="12" s="1"/>
  <c r="AK364" i="9"/>
  <c r="L13" i="12" s="1"/>
  <c r="AH365" i="9"/>
  <c r="AI365" i="9"/>
  <c r="AJ365" i="9"/>
  <c r="AK365" i="9"/>
  <c r="AH366" i="9"/>
  <c r="AI366" i="9"/>
  <c r="AJ366" i="9"/>
  <c r="AK366" i="9"/>
  <c r="AH367" i="9"/>
  <c r="AI367" i="9"/>
  <c r="AJ367" i="9"/>
  <c r="AK367" i="9"/>
  <c r="AH368" i="9"/>
  <c r="AI368" i="9"/>
  <c r="AJ368" i="9"/>
  <c r="AK368" i="9"/>
  <c r="AH369" i="9"/>
  <c r="AI369" i="9"/>
  <c r="AJ369" i="9"/>
  <c r="AK369" i="9"/>
  <c r="AH370" i="9"/>
  <c r="AI370" i="9"/>
  <c r="AJ370" i="9"/>
  <c r="AK370" i="9"/>
  <c r="AH371" i="9"/>
  <c r="AI371" i="9"/>
  <c r="AJ371" i="9"/>
  <c r="AK371" i="9"/>
  <c r="AH372" i="9"/>
  <c r="AI372" i="9"/>
  <c r="AJ372" i="9"/>
  <c r="AK372" i="9"/>
  <c r="AH373" i="9"/>
  <c r="AI373" i="9"/>
  <c r="AJ373" i="9"/>
  <c r="AK373" i="9"/>
  <c r="AH374" i="9"/>
  <c r="AI374" i="9"/>
  <c r="AJ374" i="9"/>
  <c r="AK374" i="9"/>
  <c r="AH375" i="9"/>
  <c r="AI375" i="9"/>
  <c r="AJ375" i="9"/>
  <c r="AK375" i="9"/>
  <c r="AH376" i="9"/>
  <c r="AI376" i="9"/>
  <c r="AJ376" i="9"/>
  <c r="AK376" i="9"/>
  <c r="AH377" i="9"/>
  <c r="AI377" i="9"/>
  <c r="AJ377" i="9"/>
  <c r="AK377" i="9"/>
  <c r="AH378" i="9"/>
  <c r="AI378" i="9"/>
  <c r="AJ378" i="9"/>
  <c r="AK378" i="9"/>
  <c r="AH379" i="9"/>
  <c r="AI379" i="9"/>
  <c r="AJ379" i="9"/>
  <c r="AK379" i="9"/>
  <c r="AH380" i="9"/>
  <c r="AI380" i="9"/>
  <c r="AJ380" i="9"/>
  <c r="AK380" i="9"/>
  <c r="AH381" i="9"/>
  <c r="AI381" i="9"/>
  <c r="O23" i="12" s="1"/>
  <c r="AJ381" i="9"/>
  <c r="R23" i="12" s="1"/>
  <c r="AK381" i="9"/>
  <c r="L23" i="12" s="1"/>
  <c r="AH382" i="9"/>
  <c r="AI382" i="9"/>
  <c r="AJ382" i="9"/>
  <c r="AK382" i="9"/>
  <c r="AH383" i="9"/>
  <c r="AI383" i="9"/>
  <c r="AJ383" i="9"/>
  <c r="AK383" i="9"/>
  <c r="AH384" i="9"/>
  <c r="AI384" i="9"/>
  <c r="AJ384" i="9"/>
  <c r="AK384" i="9"/>
  <c r="AH385" i="9"/>
  <c r="AI385" i="9"/>
  <c r="AJ385" i="9"/>
  <c r="AK385" i="9"/>
  <c r="AH386" i="9"/>
  <c r="AI386" i="9"/>
  <c r="AJ386" i="9"/>
  <c r="AK386" i="9"/>
  <c r="AH387" i="9"/>
  <c r="AI387" i="9"/>
  <c r="AJ387" i="9"/>
  <c r="AK387" i="9"/>
  <c r="AH388" i="9"/>
  <c r="AI388" i="9"/>
  <c r="AJ388" i="9"/>
  <c r="AK388" i="9"/>
  <c r="AH389" i="9"/>
  <c r="AI389" i="9"/>
  <c r="AJ389" i="9"/>
  <c r="AK389" i="9"/>
  <c r="AH390" i="9"/>
  <c r="AI390" i="9"/>
  <c r="AJ390" i="9"/>
  <c r="AK390" i="9"/>
  <c r="AH391" i="9"/>
  <c r="AI391" i="9"/>
  <c r="AJ391" i="9"/>
  <c r="AK391" i="9"/>
  <c r="AH392" i="9"/>
  <c r="AI392" i="9"/>
  <c r="AJ392" i="9"/>
  <c r="AK392" i="9"/>
  <c r="AH393" i="9"/>
  <c r="AI393" i="9"/>
  <c r="AJ393" i="9"/>
  <c r="AK393" i="9"/>
  <c r="AH394" i="9"/>
  <c r="AI394" i="9"/>
  <c r="AJ394" i="9"/>
  <c r="AK394" i="9"/>
  <c r="AH395" i="9"/>
  <c r="AI395" i="9"/>
  <c r="AJ395" i="9"/>
  <c r="AK395" i="9"/>
  <c r="AH396" i="9"/>
  <c r="AI396" i="9"/>
  <c r="AJ396" i="9"/>
  <c r="AK396" i="9"/>
  <c r="AH397" i="9"/>
  <c r="AI397" i="9"/>
  <c r="AJ397" i="9"/>
  <c r="AK397" i="9"/>
  <c r="AH398" i="9"/>
  <c r="AI398" i="9"/>
  <c r="AJ398" i="9"/>
  <c r="AK398" i="9"/>
  <c r="AH399" i="9"/>
  <c r="AI399" i="9"/>
  <c r="AJ399" i="9"/>
  <c r="AK399" i="9"/>
  <c r="AH400" i="9"/>
  <c r="AI400" i="9"/>
  <c r="AJ400" i="9"/>
  <c r="AK400" i="9"/>
  <c r="AH401" i="9"/>
  <c r="AI401" i="9"/>
  <c r="AJ401" i="9"/>
  <c r="AK401" i="9"/>
  <c r="AH402" i="9"/>
  <c r="AI402" i="9"/>
  <c r="AJ402" i="9"/>
  <c r="AK402" i="9"/>
  <c r="AH403" i="9"/>
  <c r="AI403" i="9"/>
  <c r="AJ403" i="9"/>
  <c r="AK403" i="9"/>
  <c r="AH404" i="9"/>
  <c r="AI404" i="9"/>
  <c r="AJ404" i="9"/>
  <c r="AK404" i="9"/>
  <c r="AH405" i="9"/>
  <c r="AI405" i="9"/>
  <c r="AJ405" i="9"/>
  <c r="AK405" i="9"/>
  <c r="AH406" i="9"/>
  <c r="AI406" i="9"/>
  <c r="AJ406" i="9"/>
  <c r="AK406" i="9"/>
  <c r="AH407" i="9"/>
  <c r="AI407" i="9"/>
  <c r="AJ407" i="9"/>
  <c r="AK407" i="9"/>
  <c r="AH408" i="9"/>
  <c r="AI408" i="9"/>
  <c r="AJ408" i="9"/>
  <c r="AK408" i="9"/>
  <c r="AH409" i="9"/>
  <c r="AI409" i="9"/>
  <c r="AJ409" i="9"/>
  <c r="AK409" i="9"/>
  <c r="AH410" i="9"/>
  <c r="AI410" i="9"/>
  <c r="AJ410" i="9"/>
  <c r="AK410" i="9"/>
  <c r="AH411" i="9"/>
  <c r="AI411" i="9"/>
  <c r="AJ411" i="9"/>
  <c r="AK411" i="9"/>
  <c r="AH412" i="9"/>
  <c r="AI412" i="9"/>
  <c r="AJ412" i="9"/>
  <c r="AK412" i="9"/>
  <c r="AH413" i="9"/>
  <c r="AI413" i="9"/>
  <c r="AJ413" i="9"/>
  <c r="AK413" i="9"/>
  <c r="AH414" i="9"/>
  <c r="AI414" i="9"/>
  <c r="AJ414" i="9"/>
  <c r="AK414" i="9"/>
  <c r="AH415" i="9"/>
  <c r="AI415" i="9"/>
  <c r="AJ415" i="9"/>
  <c r="AK415" i="9"/>
  <c r="AH416" i="9"/>
  <c r="AI416" i="9"/>
  <c r="AJ416" i="9"/>
  <c r="AK416" i="9"/>
  <c r="AH417" i="9"/>
  <c r="AI417" i="9"/>
  <c r="AJ417" i="9"/>
  <c r="AK417" i="9"/>
  <c r="AH418" i="9"/>
  <c r="AI418" i="9"/>
  <c r="AJ418" i="9"/>
  <c r="AK418" i="9"/>
  <c r="AH419" i="9"/>
  <c r="AI419" i="9"/>
  <c r="AJ419" i="9"/>
  <c r="AK419" i="9"/>
  <c r="AH420" i="9"/>
  <c r="AI420" i="9"/>
  <c r="AJ420" i="9"/>
  <c r="AK420" i="9"/>
  <c r="AH421" i="9"/>
  <c r="AI421" i="9"/>
  <c r="AJ421" i="9"/>
  <c r="AK421" i="9"/>
  <c r="AH422" i="9"/>
  <c r="AI422" i="9"/>
  <c r="AJ422" i="9"/>
  <c r="AK422" i="9"/>
  <c r="AH423" i="9"/>
  <c r="AI423" i="9"/>
  <c r="AJ423" i="9"/>
  <c r="AK423" i="9"/>
  <c r="AH424" i="9"/>
  <c r="AI424" i="9"/>
  <c r="AJ424" i="9"/>
  <c r="AK424" i="9"/>
  <c r="AH425" i="9"/>
  <c r="AI425" i="9"/>
  <c r="AJ425" i="9"/>
  <c r="AK425" i="9"/>
  <c r="AH426" i="9"/>
  <c r="AI426" i="9"/>
  <c r="AJ426" i="9"/>
  <c r="AK426" i="9"/>
  <c r="AH427" i="9"/>
  <c r="AI427" i="9"/>
  <c r="AJ427" i="9"/>
  <c r="AK427" i="9"/>
  <c r="AH428" i="9"/>
  <c r="AI428" i="9"/>
  <c r="AJ428" i="9"/>
  <c r="AK428" i="9"/>
  <c r="AH429" i="9"/>
  <c r="AI429" i="9"/>
  <c r="AJ429" i="9"/>
  <c r="AK429" i="9"/>
  <c r="AH430" i="9"/>
  <c r="AI430" i="9"/>
  <c r="AJ430" i="9"/>
  <c r="AK430" i="9"/>
  <c r="AH431" i="9"/>
  <c r="AI431" i="9"/>
  <c r="AJ431" i="9"/>
  <c r="AK431" i="9"/>
  <c r="AH432" i="9"/>
  <c r="AI432" i="9"/>
  <c r="AJ432" i="9"/>
  <c r="AK432" i="9"/>
  <c r="AH433" i="9"/>
  <c r="AI433" i="9"/>
  <c r="AJ433" i="9"/>
  <c r="AK433" i="9"/>
  <c r="AH434" i="9"/>
  <c r="AI434" i="9"/>
  <c r="AJ434" i="9"/>
  <c r="AK434" i="9"/>
  <c r="AH435" i="9"/>
  <c r="AI435" i="9"/>
  <c r="AJ435" i="9"/>
  <c r="AK435" i="9"/>
  <c r="AH436" i="9"/>
  <c r="AI436" i="9"/>
  <c r="O52" i="12" s="1"/>
  <c r="AJ436" i="9"/>
  <c r="R52" i="12" s="1"/>
  <c r="AK436" i="9"/>
  <c r="L52" i="12" s="1"/>
  <c r="AH437" i="9"/>
  <c r="AI437" i="9"/>
  <c r="AJ437" i="9"/>
  <c r="AK437" i="9"/>
  <c r="AH438" i="9"/>
  <c r="AI438" i="9"/>
  <c r="AJ438" i="9"/>
  <c r="AK438" i="9"/>
  <c r="AH439" i="9"/>
  <c r="AI439" i="9"/>
  <c r="AJ439" i="9"/>
  <c r="AK439" i="9"/>
  <c r="AH440" i="9"/>
  <c r="AI440" i="9"/>
  <c r="AJ440" i="9"/>
  <c r="AK440" i="9"/>
  <c r="AH441" i="9"/>
  <c r="AI441" i="9"/>
  <c r="AJ441" i="9"/>
  <c r="AK441" i="9"/>
  <c r="AH442" i="9"/>
  <c r="AI442" i="9"/>
  <c r="AJ442" i="9"/>
  <c r="AK442" i="9"/>
  <c r="AH443" i="9"/>
  <c r="AI443" i="9"/>
  <c r="AJ443" i="9"/>
  <c r="AK443" i="9"/>
  <c r="AH444" i="9"/>
  <c r="AI444" i="9"/>
  <c r="AJ444" i="9"/>
  <c r="AK444" i="9"/>
  <c r="AH445" i="9"/>
  <c r="AI445" i="9"/>
  <c r="AJ445" i="9"/>
  <c r="AK445" i="9"/>
  <c r="AH446" i="9"/>
  <c r="AI446" i="9"/>
  <c r="AJ446" i="9"/>
  <c r="AK446" i="9"/>
  <c r="AH447" i="9"/>
  <c r="AI447" i="9"/>
  <c r="AJ447" i="9"/>
  <c r="AK447" i="9"/>
  <c r="AH448" i="9"/>
  <c r="AI448" i="9"/>
  <c r="AJ448" i="9"/>
  <c r="AK448" i="9"/>
  <c r="AH449" i="9"/>
  <c r="AI449" i="9"/>
  <c r="AJ449" i="9"/>
  <c r="AK449" i="9"/>
  <c r="AH450" i="9"/>
  <c r="AI450" i="9"/>
  <c r="AJ450" i="9"/>
  <c r="AK450" i="9"/>
  <c r="AH451" i="9"/>
  <c r="AI451" i="9"/>
  <c r="AJ451" i="9"/>
  <c r="AK451" i="9"/>
  <c r="AH452" i="9"/>
  <c r="AI452" i="9"/>
  <c r="AJ452" i="9"/>
  <c r="AK452" i="9"/>
  <c r="AH453" i="9"/>
  <c r="AI453" i="9"/>
  <c r="AJ453" i="9"/>
  <c r="AK453" i="9"/>
  <c r="AH454" i="9"/>
  <c r="AI454" i="9"/>
  <c r="AJ454" i="9"/>
  <c r="AK454" i="9"/>
  <c r="AH455" i="9"/>
  <c r="AI455" i="9"/>
  <c r="AJ455" i="9"/>
  <c r="AK455" i="9"/>
  <c r="AH456" i="9"/>
  <c r="AI456" i="9"/>
  <c r="AJ456" i="9"/>
  <c r="AK456" i="9"/>
  <c r="AH457" i="9"/>
  <c r="AI457" i="9"/>
  <c r="AJ457" i="9"/>
  <c r="AK457" i="9"/>
  <c r="AH458" i="9"/>
  <c r="AI458" i="9"/>
  <c r="AJ458" i="9"/>
  <c r="AK458" i="9"/>
  <c r="AH459" i="9"/>
  <c r="AI459" i="9"/>
  <c r="AJ459" i="9"/>
  <c r="AK459" i="9"/>
  <c r="AH460" i="9"/>
  <c r="AI460" i="9"/>
  <c r="AJ460" i="9"/>
  <c r="AK460" i="9"/>
  <c r="AH461" i="9"/>
  <c r="AI461" i="9"/>
  <c r="AJ461" i="9"/>
  <c r="AK461" i="9"/>
  <c r="AH462" i="9"/>
  <c r="AI462" i="9"/>
  <c r="AJ462" i="9"/>
  <c r="AK462" i="9"/>
  <c r="AH463" i="9"/>
  <c r="AI463" i="9"/>
  <c r="AJ463" i="9"/>
  <c r="AK463" i="9"/>
  <c r="AH464" i="9"/>
  <c r="AI464" i="9"/>
  <c r="AJ464" i="9"/>
  <c r="AK464" i="9"/>
  <c r="AH465" i="9"/>
  <c r="AI465" i="9"/>
  <c r="AJ465" i="9"/>
  <c r="AK465" i="9"/>
  <c r="AH466" i="9"/>
  <c r="AI466" i="9"/>
  <c r="AJ466" i="9"/>
  <c r="AK466" i="9"/>
  <c r="AH467" i="9"/>
  <c r="AI467" i="9"/>
  <c r="O36" i="12" s="1"/>
  <c r="AJ467" i="9"/>
  <c r="R36" i="12" s="1"/>
  <c r="AK467" i="9"/>
  <c r="L36" i="12" s="1"/>
  <c r="AH468" i="9"/>
  <c r="AI468" i="9"/>
  <c r="AJ468" i="9"/>
  <c r="AK468" i="9"/>
  <c r="AH469" i="9"/>
  <c r="AI469" i="9"/>
  <c r="AJ469" i="9"/>
  <c r="AK469" i="9"/>
  <c r="AH470" i="9"/>
  <c r="AI470" i="9"/>
  <c r="AJ470" i="9"/>
  <c r="AK470" i="9"/>
  <c r="AH471" i="9"/>
  <c r="AI471" i="9"/>
  <c r="AJ471" i="9"/>
  <c r="AK471" i="9"/>
  <c r="AH472" i="9"/>
  <c r="AI472" i="9"/>
  <c r="AJ472" i="9"/>
  <c r="AK472" i="9"/>
  <c r="AH473" i="9"/>
  <c r="AI473" i="9"/>
  <c r="AJ473" i="9"/>
  <c r="AK473" i="9"/>
  <c r="AH474" i="9"/>
  <c r="AI474" i="9"/>
  <c r="AJ474" i="9"/>
  <c r="AK474" i="9"/>
  <c r="AH475" i="9"/>
  <c r="AI475" i="9"/>
  <c r="AJ475" i="9"/>
  <c r="AK475" i="9"/>
  <c r="AH476" i="9"/>
  <c r="AI476" i="9"/>
  <c r="O51" i="12" s="1"/>
  <c r="AJ476" i="9"/>
  <c r="R51" i="12" s="1"/>
  <c r="AK476" i="9"/>
  <c r="L51" i="12" s="1"/>
  <c r="AH477" i="9"/>
  <c r="AI477" i="9"/>
  <c r="AJ477" i="9"/>
  <c r="AK477" i="9"/>
  <c r="AH478" i="9"/>
  <c r="AI478" i="9"/>
  <c r="AJ478" i="9"/>
  <c r="AK478" i="9"/>
  <c r="AH479" i="9"/>
  <c r="AI479" i="9"/>
  <c r="AJ479" i="9"/>
  <c r="AK479" i="9"/>
  <c r="AH480" i="9"/>
  <c r="AI480" i="9"/>
  <c r="AJ480" i="9"/>
  <c r="AK480" i="9"/>
  <c r="AH481" i="9"/>
  <c r="AI481" i="9"/>
  <c r="O4" i="12" s="1"/>
  <c r="AJ481" i="9"/>
  <c r="R4" i="12" s="1"/>
  <c r="AK481" i="9"/>
  <c r="L4" i="12" s="1"/>
  <c r="AH482" i="9"/>
  <c r="AI482" i="9"/>
  <c r="AJ482" i="9"/>
  <c r="AK482" i="9"/>
  <c r="AH483" i="9"/>
  <c r="AI483" i="9"/>
  <c r="AJ483" i="9"/>
  <c r="AK483" i="9"/>
  <c r="AH484" i="9"/>
  <c r="AI484" i="9"/>
  <c r="AJ484" i="9"/>
  <c r="AK484" i="9"/>
  <c r="AH485" i="9"/>
  <c r="AI485" i="9"/>
  <c r="AJ485" i="9"/>
  <c r="AK485" i="9"/>
  <c r="AH486" i="9"/>
  <c r="AI486" i="9"/>
  <c r="AJ486" i="9"/>
  <c r="AK486" i="9"/>
  <c r="AH487" i="9"/>
  <c r="AI487" i="9"/>
  <c r="AJ487" i="9"/>
  <c r="AK487" i="9"/>
  <c r="AH488" i="9"/>
  <c r="AI488" i="9"/>
  <c r="AJ488" i="9"/>
  <c r="AK488" i="9"/>
  <c r="AH489" i="9"/>
  <c r="AI489" i="9"/>
  <c r="AJ489" i="9"/>
  <c r="AK489" i="9"/>
  <c r="AH490" i="9"/>
  <c r="AI490" i="9"/>
  <c r="AJ490" i="9"/>
  <c r="AK490" i="9"/>
  <c r="AH491" i="9"/>
  <c r="AI491" i="9"/>
  <c r="AJ491" i="9"/>
  <c r="AK491" i="9"/>
  <c r="AH492" i="9"/>
  <c r="AI492" i="9"/>
  <c r="AJ492" i="9"/>
  <c r="AK492" i="9"/>
  <c r="AH493" i="9"/>
  <c r="AI493" i="9"/>
  <c r="AJ493" i="9"/>
  <c r="AK493" i="9"/>
  <c r="AH494" i="9"/>
  <c r="AI494" i="9"/>
  <c r="AJ494" i="9"/>
  <c r="AK494" i="9"/>
  <c r="AH495" i="9"/>
  <c r="AI495" i="9"/>
  <c r="AJ495" i="9"/>
  <c r="AK495" i="9"/>
  <c r="AH496" i="9"/>
  <c r="AI496" i="9"/>
  <c r="AJ496" i="9"/>
  <c r="AK496" i="9"/>
  <c r="AH497" i="9"/>
  <c r="AI497" i="9"/>
  <c r="O29" i="12" s="1"/>
  <c r="AJ497" i="9"/>
  <c r="R29" i="12" s="1"/>
  <c r="AK497" i="9"/>
  <c r="L29" i="12" s="1"/>
  <c r="AH498" i="9"/>
  <c r="AI498" i="9"/>
  <c r="AJ498" i="9"/>
  <c r="AK498" i="9"/>
  <c r="AH499" i="9"/>
  <c r="AI499" i="9"/>
  <c r="AJ499" i="9"/>
  <c r="AK499" i="9"/>
  <c r="AH500" i="9"/>
  <c r="AI500" i="9"/>
  <c r="AJ500" i="9"/>
  <c r="AK500" i="9"/>
  <c r="AH501" i="9"/>
  <c r="AI501" i="9"/>
  <c r="AJ501" i="9"/>
  <c r="AK501" i="9"/>
  <c r="AH502" i="9"/>
  <c r="AI502" i="9"/>
  <c r="O3" i="12" s="1"/>
  <c r="AJ502" i="9"/>
  <c r="R3" i="12" s="1"/>
  <c r="AK502" i="9"/>
  <c r="AH503" i="9"/>
  <c r="AI503" i="9"/>
  <c r="AJ503" i="9"/>
  <c r="AK503" i="9"/>
  <c r="AH504" i="9"/>
  <c r="AI504" i="9"/>
  <c r="AJ504" i="9"/>
  <c r="AK504" i="9"/>
  <c r="AH505" i="9"/>
  <c r="AI505" i="9"/>
  <c r="AJ505" i="9"/>
  <c r="AK505" i="9"/>
  <c r="AH506" i="9"/>
  <c r="AI506" i="9"/>
  <c r="AJ506" i="9"/>
  <c r="AK506" i="9"/>
  <c r="AH507" i="9"/>
  <c r="AI507" i="9"/>
  <c r="AJ507" i="9"/>
  <c r="AK507" i="9"/>
  <c r="AH508" i="9"/>
  <c r="AI508" i="9"/>
  <c r="AJ508" i="9"/>
  <c r="AK508" i="9"/>
  <c r="AH509" i="9"/>
  <c r="AI509" i="9"/>
  <c r="AJ509" i="9"/>
  <c r="AK509" i="9"/>
  <c r="AH510" i="9"/>
  <c r="AI510" i="9"/>
  <c r="AJ510" i="9"/>
  <c r="AK510" i="9"/>
  <c r="AH511" i="9"/>
  <c r="AI511" i="9"/>
  <c r="AJ511" i="9"/>
  <c r="AK511" i="9"/>
  <c r="AH512" i="9"/>
  <c r="AI512" i="9"/>
  <c r="AJ512" i="9"/>
  <c r="AK512" i="9"/>
  <c r="AH513" i="9"/>
  <c r="AI513" i="9"/>
  <c r="AJ513" i="9"/>
  <c r="AK513" i="9"/>
  <c r="AH514" i="9"/>
  <c r="AI514" i="9"/>
  <c r="AJ514" i="9"/>
  <c r="AK514" i="9"/>
  <c r="AH515" i="9"/>
  <c r="AI515" i="9"/>
  <c r="O12" i="12" s="1"/>
  <c r="AJ515" i="9"/>
  <c r="R12" i="12" s="1"/>
  <c r="AK515" i="9"/>
  <c r="L12" i="12" s="1"/>
  <c r="AH516" i="9"/>
  <c r="AI516" i="9"/>
  <c r="O19" i="12" s="1"/>
  <c r="AJ516" i="9"/>
  <c r="R19" i="12" s="1"/>
  <c r="AK516" i="9"/>
  <c r="L19" i="12" s="1"/>
  <c r="AH517" i="9"/>
  <c r="AI517" i="9"/>
  <c r="AJ517" i="9"/>
  <c r="AK517" i="9"/>
  <c r="AH518" i="9"/>
  <c r="AI518" i="9"/>
  <c r="AJ518" i="9"/>
  <c r="AK518" i="9"/>
  <c r="AH519" i="9"/>
  <c r="AI519" i="9"/>
  <c r="AJ519" i="9"/>
  <c r="AK519" i="9"/>
  <c r="AH520" i="9"/>
  <c r="AI520" i="9"/>
  <c r="AJ520" i="9"/>
  <c r="AK520" i="9"/>
  <c r="AH521" i="9"/>
  <c r="AI521" i="9"/>
  <c r="AJ521" i="9"/>
  <c r="AK521" i="9"/>
  <c r="AH522" i="9"/>
  <c r="AI522" i="9"/>
  <c r="AJ522" i="9"/>
  <c r="AK522" i="9"/>
  <c r="AH523" i="9"/>
  <c r="AI523" i="9"/>
  <c r="AJ523" i="9"/>
  <c r="AK523" i="9"/>
  <c r="AH524" i="9"/>
  <c r="AI524" i="9"/>
  <c r="AJ524" i="9"/>
  <c r="AK524" i="9"/>
  <c r="AH525" i="9"/>
  <c r="AI525" i="9"/>
  <c r="AJ525" i="9"/>
  <c r="AK525" i="9"/>
  <c r="AH526" i="9"/>
  <c r="AI526" i="9"/>
  <c r="AJ526" i="9"/>
  <c r="AK526" i="9"/>
  <c r="AH527" i="9"/>
  <c r="AI527" i="9"/>
  <c r="O42" i="12" s="1"/>
  <c r="AJ527" i="9"/>
  <c r="R42" i="12" s="1"/>
  <c r="AK527" i="9"/>
  <c r="L42" i="12" s="1"/>
  <c r="AH528" i="9"/>
  <c r="AI528" i="9"/>
  <c r="AJ528" i="9"/>
  <c r="AK528" i="9"/>
  <c r="AH529" i="9"/>
  <c r="AI529" i="9"/>
  <c r="AJ529" i="9"/>
  <c r="AK529" i="9"/>
  <c r="AH530" i="9"/>
  <c r="AI530" i="9"/>
  <c r="AJ530" i="9"/>
  <c r="AK530" i="9"/>
  <c r="AH531" i="9"/>
  <c r="AI531" i="9"/>
  <c r="AJ531" i="9"/>
  <c r="AK531" i="9"/>
  <c r="AH532" i="9"/>
  <c r="AI532" i="9"/>
  <c r="AJ532" i="9"/>
  <c r="AK532" i="9"/>
  <c r="AH533" i="9"/>
  <c r="AI533" i="9"/>
  <c r="AJ533" i="9"/>
  <c r="AK533" i="9"/>
  <c r="AH534" i="9"/>
  <c r="AI534" i="9"/>
  <c r="AJ534" i="9"/>
  <c r="AK534" i="9"/>
  <c r="AH535" i="9"/>
  <c r="AI535" i="9"/>
  <c r="AJ535" i="9"/>
  <c r="AK535" i="9"/>
  <c r="AH536" i="9"/>
  <c r="AI536" i="9"/>
  <c r="AJ536" i="9"/>
  <c r="AK536" i="9"/>
  <c r="AH537" i="9"/>
  <c r="AI537" i="9"/>
  <c r="AJ537" i="9"/>
  <c r="AK537" i="9"/>
  <c r="AH538" i="9"/>
  <c r="AI538" i="9"/>
  <c r="AJ538" i="9"/>
  <c r="AK538" i="9"/>
  <c r="AH539" i="9"/>
  <c r="AI539" i="9"/>
  <c r="AJ539" i="9"/>
  <c r="AK539" i="9"/>
  <c r="AH540" i="9"/>
  <c r="AI540" i="9"/>
  <c r="AJ540" i="9"/>
  <c r="AK540" i="9"/>
  <c r="AH541" i="9"/>
  <c r="AI541" i="9"/>
  <c r="AJ541" i="9"/>
  <c r="AK541" i="9"/>
  <c r="AH542" i="9"/>
  <c r="AI542" i="9"/>
  <c r="AJ542" i="9"/>
  <c r="AK542" i="9"/>
  <c r="AH543" i="9"/>
  <c r="AI543" i="9"/>
  <c r="AJ543" i="9"/>
  <c r="AK543" i="9"/>
  <c r="AH544" i="9"/>
  <c r="AI544" i="9"/>
  <c r="AJ544" i="9"/>
  <c r="AK544" i="9"/>
  <c r="AH545" i="9"/>
  <c r="AI545" i="9"/>
  <c r="AJ545" i="9"/>
  <c r="AK545" i="9"/>
  <c r="AH546" i="9"/>
  <c r="AI546" i="9"/>
  <c r="AJ546" i="9"/>
  <c r="AK546" i="9"/>
  <c r="AH547" i="9"/>
  <c r="AI547" i="9"/>
  <c r="AJ547" i="9"/>
  <c r="AK547" i="9"/>
  <c r="AH548" i="9"/>
  <c r="AI548" i="9"/>
  <c r="AJ548" i="9"/>
  <c r="AK548" i="9"/>
  <c r="AH549" i="9"/>
  <c r="AI549" i="9"/>
  <c r="AJ549" i="9"/>
  <c r="AK549" i="9"/>
  <c r="AH550" i="9"/>
  <c r="AI550" i="9"/>
  <c r="AJ550" i="9"/>
  <c r="AK550" i="9"/>
  <c r="AH551" i="9"/>
  <c r="AI551" i="9"/>
  <c r="AJ551" i="9"/>
  <c r="AK551" i="9"/>
  <c r="AH552" i="9"/>
  <c r="AI552" i="9"/>
  <c r="AJ552" i="9"/>
  <c r="AK552" i="9"/>
  <c r="AH553" i="9"/>
  <c r="AI553" i="9"/>
  <c r="AJ553" i="9"/>
  <c r="AK553" i="9"/>
  <c r="AH554" i="9"/>
  <c r="AI554" i="9"/>
  <c r="AJ554" i="9"/>
  <c r="AK554" i="9"/>
  <c r="AH555" i="9"/>
  <c r="AI555" i="9"/>
  <c r="AJ555" i="9"/>
  <c r="AK555" i="9"/>
  <c r="AH556" i="9"/>
  <c r="AI556" i="9"/>
  <c r="AJ556" i="9"/>
  <c r="AK556" i="9"/>
  <c r="AH557" i="9"/>
  <c r="AI557" i="9"/>
  <c r="AJ557" i="9"/>
  <c r="AK557" i="9"/>
  <c r="AH558" i="9"/>
  <c r="AI558" i="9"/>
  <c r="AJ558" i="9"/>
  <c r="AK558" i="9"/>
  <c r="AH559" i="9"/>
  <c r="AI559" i="9"/>
  <c r="AJ559" i="9"/>
  <c r="AK559" i="9"/>
  <c r="AH560" i="9"/>
  <c r="AI560" i="9"/>
  <c r="AJ560" i="9"/>
  <c r="AK560" i="9"/>
  <c r="AH561" i="9"/>
  <c r="AI561" i="9"/>
  <c r="AJ561" i="9"/>
  <c r="AK561" i="9"/>
  <c r="AH562" i="9"/>
  <c r="AI562" i="9"/>
  <c r="AJ562" i="9"/>
  <c r="AK562" i="9"/>
  <c r="AH563" i="9"/>
  <c r="AI563" i="9"/>
  <c r="AJ563" i="9"/>
  <c r="AK563" i="9"/>
  <c r="AH564" i="9"/>
  <c r="AI564" i="9"/>
  <c r="O58" i="12" s="1"/>
  <c r="AJ564" i="9"/>
  <c r="R58" i="12" s="1"/>
  <c r="AK564" i="9"/>
  <c r="L58" i="12" s="1"/>
  <c r="AH565" i="9"/>
  <c r="AI565" i="9"/>
  <c r="O14" i="12" s="1"/>
  <c r="AJ565" i="9"/>
  <c r="R14" i="12" s="1"/>
  <c r="AK565" i="9"/>
  <c r="L14" i="12" s="1"/>
  <c r="AH566" i="9"/>
  <c r="AI566" i="9"/>
  <c r="AJ566" i="9"/>
  <c r="AK566" i="9"/>
  <c r="AH567" i="9"/>
  <c r="AI567" i="9"/>
  <c r="AJ567" i="9"/>
  <c r="AK567" i="9"/>
  <c r="AH568" i="9"/>
  <c r="AI568" i="9"/>
  <c r="AJ568" i="9"/>
  <c r="AK568" i="9"/>
  <c r="AH569" i="9"/>
  <c r="AI569" i="9"/>
  <c r="AJ569" i="9"/>
  <c r="AK569" i="9"/>
  <c r="AH570" i="9"/>
  <c r="AI570" i="9"/>
  <c r="AJ570" i="9"/>
  <c r="AK570" i="9"/>
  <c r="AH571" i="9"/>
  <c r="AI571" i="9"/>
  <c r="O25" i="12" s="1"/>
  <c r="AJ571" i="9"/>
  <c r="R25" i="12" s="1"/>
  <c r="AK571" i="9"/>
  <c r="L25" i="12" s="1"/>
  <c r="AH572" i="9"/>
  <c r="AI572" i="9"/>
  <c r="AJ572" i="9"/>
  <c r="AK572" i="9"/>
  <c r="AH573" i="9"/>
  <c r="AI573" i="9"/>
  <c r="AJ573" i="9"/>
  <c r="AK573" i="9"/>
  <c r="AH574" i="9"/>
  <c r="AI574" i="9"/>
  <c r="AJ574" i="9"/>
  <c r="AK574" i="9"/>
  <c r="AH575" i="9"/>
  <c r="AI575" i="9"/>
  <c r="O17" i="12" s="1"/>
  <c r="AJ575" i="9"/>
  <c r="R17" i="12" s="1"/>
  <c r="AK575" i="9"/>
  <c r="L17" i="12" s="1"/>
  <c r="AH576" i="9"/>
  <c r="AI576" i="9"/>
  <c r="AJ576" i="9"/>
  <c r="AK576" i="9"/>
  <c r="AH577" i="9"/>
  <c r="AI577" i="9"/>
  <c r="AJ577" i="9"/>
  <c r="AK577" i="9"/>
  <c r="AH578" i="9"/>
  <c r="AI578" i="9"/>
  <c r="AJ578" i="9"/>
  <c r="AK578" i="9"/>
  <c r="AH579" i="9"/>
  <c r="AI579" i="9"/>
  <c r="AJ579" i="9"/>
  <c r="AK579" i="9"/>
  <c r="AH580" i="9"/>
  <c r="AI580" i="9"/>
  <c r="AJ580" i="9"/>
  <c r="AK580" i="9"/>
  <c r="AH581" i="9"/>
  <c r="AI581" i="9"/>
  <c r="AJ581" i="9"/>
  <c r="AK581" i="9"/>
  <c r="AH582" i="9"/>
  <c r="AI582" i="9"/>
  <c r="AJ582" i="9"/>
  <c r="AK582" i="9"/>
  <c r="AH583" i="9"/>
  <c r="AI583" i="9"/>
  <c r="AJ583" i="9"/>
  <c r="AK583" i="9"/>
  <c r="AH584" i="9"/>
  <c r="AI584" i="9"/>
  <c r="AJ584" i="9"/>
  <c r="AK584" i="9"/>
  <c r="AH585" i="9"/>
  <c r="AI585" i="9"/>
  <c r="AJ585" i="9"/>
  <c r="AK585" i="9"/>
  <c r="AH586" i="9"/>
  <c r="AI586" i="9"/>
  <c r="AJ586" i="9"/>
  <c r="AK586" i="9"/>
  <c r="AH587" i="9"/>
  <c r="AI587" i="9"/>
  <c r="AJ587" i="9"/>
  <c r="AK587" i="9"/>
  <c r="AH588" i="9"/>
  <c r="AI588" i="9"/>
  <c r="AJ588" i="9"/>
  <c r="AK588" i="9"/>
  <c r="AH589" i="9"/>
  <c r="AI589" i="9"/>
  <c r="AJ589" i="9"/>
  <c r="AK589" i="9"/>
  <c r="AH590" i="9"/>
  <c r="AI590" i="9"/>
  <c r="AJ590" i="9"/>
  <c r="AK590" i="9"/>
  <c r="AH591" i="9"/>
  <c r="AI591" i="9"/>
  <c r="AJ591" i="9"/>
  <c r="AK591" i="9"/>
  <c r="AH592" i="9"/>
  <c r="AI592" i="9"/>
  <c r="AJ592" i="9"/>
  <c r="AK592" i="9"/>
  <c r="AH593" i="9"/>
  <c r="AI593" i="9"/>
  <c r="O15" i="12" s="1"/>
  <c r="AJ593" i="9"/>
  <c r="R15" i="12" s="1"/>
  <c r="AK593" i="9"/>
  <c r="L15" i="12" s="1"/>
  <c r="AH594" i="9"/>
  <c r="AI594" i="9"/>
  <c r="O41" i="12" s="1"/>
  <c r="AJ594" i="9"/>
  <c r="R41" i="12" s="1"/>
  <c r="AK594" i="9"/>
  <c r="L41" i="12" s="1"/>
  <c r="AH595" i="9"/>
  <c r="AI595" i="9"/>
  <c r="AJ595" i="9"/>
  <c r="AK595" i="9"/>
  <c r="AH596" i="9"/>
  <c r="AI596" i="9"/>
  <c r="AJ596" i="9"/>
  <c r="AK596" i="9"/>
  <c r="AH597" i="9"/>
  <c r="AI597" i="9"/>
  <c r="AJ597" i="9"/>
  <c r="AK597" i="9"/>
  <c r="AH598" i="9"/>
  <c r="AI598" i="9"/>
  <c r="AJ598" i="9"/>
  <c r="AK598" i="9"/>
  <c r="AH599" i="9"/>
  <c r="AI599" i="9"/>
  <c r="AJ599" i="9"/>
  <c r="AK599" i="9"/>
  <c r="AH600" i="9"/>
  <c r="AI600" i="9"/>
  <c r="AJ600" i="9"/>
  <c r="AK600" i="9"/>
  <c r="AH601" i="9"/>
  <c r="AI601" i="9"/>
  <c r="AJ601" i="9"/>
  <c r="AK601" i="9"/>
  <c r="AH602" i="9"/>
  <c r="AI602" i="9"/>
  <c r="AJ602" i="9"/>
  <c r="AK602" i="9"/>
  <c r="AH603" i="9"/>
  <c r="AI603" i="9"/>
  <c r="AJ603" i="9"/>
  <c r="AK603" i="9"/>
  <c r="AH604" i="9"/>
  <c r="AI604" i="9"/>
  <c r="AJ604" i="9"/>
  <c r="AK604" i="9"/>
  <c r="AH605" i="9"/>
  <c r="AI605" i="9"/>
  <c r="AJ605" i="9"/>
  <c r="AK605" i="9"/>
  <c r="AH606" i="9"/>
  <c r="AI606" i="9"/>
  <c r="AJ606" i="9"/>
  <c r="AK606" i="9"/>
  <c r="AH607" i="9"/>
  <c r="AI607" i="9"/>
  <c r="AJ607" i="9"/>
  <c r="AK607" i="9"/>
  <c r="AH608" i="9"/>
  <c r="AI608" i="9"/>
  <c r="AJ608" i="9"/>
  <c r="AK608" i="9"/>
  <c r="AH609" i="9"/>
  <c r="AI609" i="9"/>
  <c r="AJ609" i="9"/>
  <c r="AK609" i="9"/>
  <c r="AH610" i="9"/>
  <c r="AI610" i="9"/>
  <c r="AJ610" i="9"/>
  <c r="AK610" i="9"/>
  <c r="AH611" i="9"/>
  <c r="AI611" i="9"/>
  <c r="AJ611" i="9"/>
  <c r="AK611" i="9"/>
  <c r="AH612" i="9"/>
  <c r="AI612" i="9"/>
  <c r="AJ612" i="9"/>
  <c r="AK612" i="9"/>
  <c r="AH613" i="9"/>
  <c r="AI613" i="9"/>
  <c r="AJ613" i="9"/>
  <c r="AK613" i="9"/>
  <c r="AH614" i="9"/>
  <c r="AI614" i="9"/>
  <c r="AJ614" i="9"/>
  <c r="AK614" i="9"/>
  <c r="AH615" i="9"/>
  <c r="AI615" i="9"/>
  <c r="AJ615" i="9"/>
  <c r="AK615" i="9"/>
  <c r="AH616" i="9"/>
  <c r="AI616" i="9"/>
  <c r="AJ616" i="9"/>
  <c r="AK616" i="9"/>
  <c r="AH617" i="9"/>
  <c r="AI617" i="9"/>
  <c r="AJ617" i="9"/>
  <c r="AK617" i="9"/>
  <c r="AH618" i="9"/>
  <c r="AI618" i="9"/>
  <c r="AJ618" i="9"/>
  <c r="AK618" i="9"/>
  <c r="AH619" i="9"/>
  <c r="AI619" i="9"/>
  <c r="AJ619" i="9"/>
  <c r="AK619" i="9"/>
  <c r="AH620" i="9"/>
  <c r="AI620" i="9"/>
  <c r="AJ620" i="9"/>
  <c r="AK620" i="9"/>
  <c r="AH621" i="9"/>
  <c r="AI621" i="9"/>
  <c r="O21" i="12" s="1"/>
  <c r="AJ621" i="9"/>
  <c r="R21" i="12" s="1"/>
  <c r="AK621" i="9"/>
  <c r="L21" i="12" s="1"/>
  <c r="AH622" i="9"/>
  <c r="AI622" i="9"/>
  <c r="AJ622" i="9"/>
  <c r="AK622" i="9"/>
  <c r="AH623" i="9"/>
  <c r="AI623" i="9"/>
  <c r="AJ623" i="9"/>
  <c r="AK623" i="9"/>
  <c r="AH624" i="9"/>
  <c r="AI624" i="9"/>
  <c r="AJ624" i="9"/>
  <c r="AK624" i="9"/>
  <c r="AH625" i="9"/>
  <c r="AI625" i="9"/>
  <c r="AJ625" i="9"/>
  <c r="AK625" i="9"/>
  <c r="AH626" i="9"/>
  <c r="AI626" i="9"/>
  <c r="AJ626" i="9"/>
  <c r="AK626" i="9"/>
  <c r="AH627" i="9"/>
  <c r="AI627" i="9"/>
  <c r="AJ627" i="9"/>
  <c r="AK627" i="9"/>
  <c r="AH628" i="9"/>
  <c r="AI628" i="9"/>
  <c r="AJ628" i="9"/>
  <c r="AK628" i="9"/>
  <c r="AH629" i="9"/>
  <c r="AI629" i="9"/>
  <c r="AJ629" i="9"/>
  <c r="AK629" i="9"/>
  <c r="AH630" i="9"/>
  <c r="AI630" i="9"/>
  <c r="AJ630" i="9"/>
  <c r="AK630" i="9"/>
  <c r="AH631" i="9"/>
  <c r="AI631" i="9"/>
  <c r="AJ631" i="9"/>
  <c r="AK631" i="9"/>
  <c r="AH632" i="9"/>
  <c r="AI632" i="9"/>
  <c r="AJ632" i="9"/>
  <c r="AK632" i="9"/>
  <c r="AH633" i="9"/>
  <c r="AI633" i="9"/>
  <c r="AJ633" i="9"/>
  <c r="AK633" i="9"/>
  <c r="AH634" i="9"/>
  <c r="AI634" i="9"/>
  <c r="AJ634" i="9"/>
  <c r="AK634" i="9"/>
  <c r="AH635" i="9"/>
  <c r="AI635" i="9"/>
  <c r="AJ635" i="9"/>
  <c r="AK635" i="9"/>
  <c r="AH636" i="9"/>
  <c r="AI636" i="9"/>
  <c r="AJ636" i="9"/>
  <c r="AK636" i="9"/>
  <c r="AH637" i="9"/>
  <c r="AI637" i="9"/>
  <c r="AJ637" i="9"/>
  <c r="AK637" i="9"/>
  <c r="AH638" i="9"/>
  <c r="AI638" i="9"/>
  <c r="AJ638" i="9"/>
  <c r="AK638" i="9"/>
  <c r="AH639" i="9"/>
  <c r="AI639" i="9"/>
  <c r="AJ639" i="9"/>
  <c r="AK639" i="9"/>
  <c r="AH640" i="9"/>
  <c r="AI640" i="9"/>
  <c r="AJ640" i="9"/>
  <c r="AK640" i="9"/>
  <c r="AH641" i="9"/>
  <c r="AI641" i="9"/>
  <c r="AJ641" i="9"/>
  <c r="AK641" i="9"/>
  <c r="AH642" i="9"/>
  <c r="AI642" i="9"/>
  <c r="AJ642" i="9"/>
  <c r="AK642" i="9"/>
  <c r="AH643" i="9"/>
  <c r="AI643" i="9"/>
  <c r="AJ643" i="9"/>
  <c r="AK643" i="9"/>
  <c r="AH644" i="9"/>
  <c r="AI644" i="9"/>
  <c r="AJ644" i="9"/>
  <c r="AK644" i="9"/>
  <c r="AH645" i="9"/>
  <c r="AI645" i="9"/>
  <c r="AJ645" i="9"/>
  <c r="AK645" i="9"/>
  <c r="AH646" i="9"/>
  <c r="AI646" i="9"/>
  <c r="AJ646" i="9"/>
  <c r="AK646" i="9"/>
  <c r="AH647" i="9"/>
  <c r="AI647" i="9"/>
  <c r="AJ647" i="9"/>
  <c r="AK647" i="9"/>
  <c r="AH648" i="9"/>
  <c r="AI648" i="9"/>
  <c r="O28" i="12" s="1"/>
  <c r="AJ648" i="9"/>
  <c r="R28" i="12" s="1"/>
  <c r="AK648" i="9"/>
  <c r="L28" i="12" s="1"/>
  <c r="AH649" i="9"/>
  <c r="AI649" i="9"/>
  <c r="AJ649" i="9"/>
  <c r="AK649" i="9"/>
  <c r="AH650" i="9"/>
  <c r="AI650" i="9"/>
  <c r="AJ650" i="9"/>
  <c r="AK650" i="9"/>
  <c r="AH651" i="9"/>
  <c r="AI651" i="9"/>
  <c r="AJ651" i="9"/>
  <c r="AK651" i="9"/>
  <c r="AH652" i="9"/>
  <c r="AI652" i="9"/>
  <c r="O26" i="12" s="1"/>
  <c r="AJ652" i="9"/>
  <c r="R26" i="12" s="1"/>
  <c r="AK652" i="9"/>
  <c r="L26" i="12" s="1"/>
  <c r="AH653" i="9"/>
  <c r="AI653" i="9"/>
  <c r="AJ653" i="9"/>
  <c r="AK653" i="9"/>
  <c r="AH654" i="9"/>
  <c r="AI654" i="9"/>
  <c r="O31" i="12" s="1"/>
  <c r="AJ654" i="9"/>
  <c r="R31" i="12" s="1"/>
  <c r="AK654" i="9"/>
  <c r="L31" i="12" s="1"/>
  <c r="AH655" i="9"/>
  <c r="AI655" i="9"/>
  <c r="AJ655" i="9"/>
  <c r="AK655" i="9"/>
  <c r="AH656" i="9"/>
  <c r="AI656" i="9"/>
  <c r="AJ656" i="9"/>
  <c r="AK656" i="9"/>
  <c r="AH657" i="9"/>
  <c r="AI657" i="9"/>
  <c r="AJ657" i="9"/>
  <c r="AK657" i="9"/>
  <c r="AH658" i="9"/>
  <c r="AI658" i="9"/>
  <c r="AJ658" i="9"/>
  <c r="AK658" i="9"/>
  <c r="AH659" i="9"/>
  <c r="AI659" i="9"/>
  <c r="AJ659" i="9"/>
  <c r="AK659" i="9"/>
  <c r="AH660" i="9"/>
  <c r="AI660" i="9"/>
  <c r="AJ660" i="9"/>
  <c r="AK660" i="9"/>
  <c r="AH661" i="9"/>
  <c r="AI661" i="9"/>
  <c r="AJ661" i="9"/>
  <c r="AK661" i="9"/>
  <c r="AH662" i="9"/>
  <c r="AI662" i="9"/>
  <c r="AJ662" i="9"/>
  <c r="AK662" i="9"/>
  <c r="AH663" i="9"/>
  <c r="AI663" i="9"/>
  <c r="AJ663" i="9"/>
  <c r="AK663" i="9"/>
  <c r="AH664" i="9"/>
  <c r="AI664" i="9"/>
  <c r="AJ664" i="9"/>
  <c r="AK664" i="9"/>
  <c r="AH665" i="9"/>
  <c r="AI665" i="9"/>
  <c r="AJ665" i="9"/>
  <c r="AK665" i="9"/>
  <c r="AH666" i="9"/>
  <c r="AI666" i="9"/>
  <c r="AJ666" i="9"/>
  <c r="AK666" i="9"/>
  <c r="AH667" i="9"/>
  <c r="AI667" i="9"/>
  <c r="AJ667" i="9"/>
  <c r="AK667" i="9"/>
  <c r="AH668" i="9"/>
  <c r="AI668" i="9"/>
  <c r="O27" i="12" s="1"/>
  <c r="AJ668" i="9"/>
  <c r="R27" i="12" s="1"/>
  <c r="AK668" i="9"/>
  <c r="L27" i="12" s="1"/>
  <c r="AH669" i="9"/>
  <c r="AI669" i="9"/>
  <c r="AJ669" i="9"/>
  <c r="AK669" i="9"/>
  <c r="AH670" i="9"/>
  <c r="AI670" i="9"/>
  <c r="AJ670" i="9"/>
  <c r="AK670" i="9"/>
  <c r="AH671" i="9"/>
  <c r="AI671" i="9"/>
  <c r="AJ671" i="9"/>
  <c r="AK671" i="9"/>
  <c r="AH672" i="9"/>
  <c r="AI672" i="9"/>
  <c r="AJ672" i="9"/>
  <c r="AK672" i="9"/>
  <c r="AH673" i="9"/>
  <c r="AI673" i="9"/>
  <c r="AJ673" i="9"/>
  <c r="AK673" i="9"/>
  <c r="AH674" i="9"/>
  <c r="AI674" i="9"/>
  <c r="AJ674" i="9"/>
  <c r="AK674" i="9"/>
  <c r="AH675" i="9"/>
  <c r="AI675" i="9"/>
  <c r="AJ675" i="9"/>
  <c r="AK675" i="9"/>
  <c r="AH676" i="9"/>
  <c r="AI676" i="9"/>
  <c r="AJ676" i="9"/>
  <c r="AK676" i="9"/>
  <c r="AH677" i="9"/>
  <c r="AI677" i="9"/>
  <c r="AJ677" i="9"/>
  <c r="AK677" i="9"/>
  <c r="AH678" i="9"/>
  <c r="AI678" i="9"/>
  <c r="O54" i="12" s="1"/>
  <c r="AJ678" i="9"/>
  <c r="R54" i="12" s="1"/>
  <c r="AK678" i="9"/>
  <c r="L54" i="12" s="1"/>
  <c r="AH679" i="9"/>
  <c r="AI679" i="9"/>
  <c r="AJ679" i="9"/>
  <c r="AK679" i="9"/>
  <c r="AH680" i="9"/>
  <c r="AI680" i="9"/>
  <c r="AJ680" i="9"/>
  <c r="AK680" i="9"/>
  <c r="AH681" i="9"/>
  <c r="AI681" i="9"/>
  <c r="AJ681" i="9"/>
  <c r="AK681" i="9"/>
  <c r="AH682" i="9"/>
  <c r="AI682" i="9"/>
  <c r="AJ682" i="9"/>
  <c r="AK682" i="9"/>
  <c r="AH683" i="9"/>
  <c r="AI683" i="9"/>
  <c r="O2" i="12" s="1"/>
  <c r="AJ683" i="9"/>
  <c r="R2" i="12" s="1"/>
  <c r="AK683" i="9"/>
  <c r="L2" i="12" s="1"/>
  <c r="AH684" i="9"/>
  <c r="AI684" i="9"/>
  <c r="AJ684" i="9"/>
  <c r="AK684" i="9"/>
  <c r="AH685" i="9"/>
  <c r="AI685" i="9"/>
  <c r="AJ685" i="9"/>
  <c r="AK685" i="9"/>
  <c r="AH686" i="9"/>
  <c r="AI686" i="9"/>
  <c r="O5" i="12" s="1"/>
  <c r="AJ686" i="9"/>
  <c r="R5" i="12" s="1"/>
  <c r="AK686" i="9"/>
  <c r="L5" i="12" s="1"/>
  <c r="AH687" i="9"/>
  <c r="AI687" i="9"/>
  <c r="AJ687" i="9"/>
  <c r="AK687" i="9"/>
  <c r="AH688" i="9"/>
  <c r="AI688" i="9"/>
  <c r="O44" i="12" s="1"/>
  <c r="AJ688" i="9"/>
  <c r="R44" i="12" s="1"/>
  <c r="AK688" i="9"/>
  <c r="L44" i="12" s="1"/>
  <c r="AH689" i="9"/>
  <c r="AI689" i="9"/>
  <c r="O38" i="12" s="1"/>
  <c r="AJ689" i="9"/>
  <c r="R38" i="12" s="1"/>
  <c r="AK689" i="9"/>
  <c r="L38" i="12" s="1"/>
  <c r="AJ2" i="9"/>
  <c r="AI2" i="9"/>
  <c r="AA475" i="10"/>
  <c r="AB475" i="10"/>
  <c r="Q39" i="11" s="1"/>
  <c r="AC475" i="10"/>
  <c r="T39" i="11" s="1"/>
  <c r="AD475" i="10"/>
  <c r="N39" i="11" s="1"/>
  <c r="AA476" i="10"/>
  <c r="AB476" i="10"/>
  <c r="Q4" i="11" s="1"/>
  <c r="AC476" i="10"/>
  <c r="T4" i="11" s="1"/>
  <c r="AD476" i="10"/>
  <c r="N4" i="11" s="1"/>
  <c r="AA477" i="10"/>
  <c r="AB477" i="10"/>
  <c r="Q32" i="11" s="1"/>
  <c r="AC477" i="10"/>
  <c r="AD477" i="10"/>
  <c r="N32" i="11" s="1"/>
  <c r="AA478" i="10"/>
  <c r="AB478" i="10"/>
  <c r="Q16" i="11" s="1"/>
  <c r="AC478" i="10"/>
  <c r="T16" i="11" s="1"/>
  <c r="AD478" i="10"/>
  <c r="N16" i="11" s="1"/>
  <c r="AA479" i="10"/>
  <c r="AB479" i="10"/>
  <c r="Q26" i="11" s="1"/>
  <c r="AC479" i="10"/>
  <c r="T26" i="11" s="1"/>
  <c r="AD479" i="10"/>
  <c r="N26" i="11" s="1"/>
  <c r="AA480" i="10"/>
  <c r="AB480" i="10"/>
  <c r="Q50" i="11" s="1"/>
  <c r="AC480" i="10"/>
  <c r="T50" i="11" s="1"/>
  <c r="AD480" i="10"/>
  <c r="N50" i="11" s="1"/>
  <c r="AA481" i="10"/>
  <c r="AB481" i="10"/>
  <c r="Q36" i="11" s="1"/>
  <c r="AC481" i="10"/>
  <c r="AD481" i="10"/>
  <c r="N36" i="11" s="1"/>
  <c r="AA482" i="10"/>
  <c r="AB482" i="10"/>
  <c r="Q49" i="11" s="1"/>
  <c r="AC482" i="10"/>
  <c r="T49" i="11" s="1"/>
  <c r="AD482" i="10"/>
  <c r="N49" i="11" s="1"/>
  <c r="AA483" i="10"/>
  <c r="AB483" i="10"/>
  <c r="Q13" i="11" s="1"/>
  <c r="AC483" i="10"/>
  <c r="T13" i="11" s="1"/>
  <c r="AD483" i="10"/>
  <c r="N13" i="11" s="1"/>
  <c r="AA484" i="10"/>
  <c r="AB484" i="10"/>
  <c r="Q14" i="11" s="1"/>
  <c r="AC484" i="10"/>
  <c r="T14" i="11" s="1"/>
  <c r="AD484" i="10"/>
  <c r="N14" i="11" s="1"/>
  <c r="AA485" i="10"/>
  <c r="AB485" i="10"/>
  <c r="Q35" i="11" s="1"/>
  <c r="AC485" i="10"/>
  <c r="AD485" i="10"/>
  <c r="N35" i="11" s="1"/>
  <c r="AA486" i="10"/>
  <c r="AB486" i="10"/>
  <c r="Q3" i="11" s="1"/>
  <c r="AC486" i="10"/>
  <c r="T3" i="11" s="1"/>
  <c r="AD486" i="10"/>
  <c r="N3" i="11" s="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AJ3" i="11"/>
  <c r="H3" i="11"/>
  <c r="I3" i="11"/>
  <c r="K3" i="11" a="1"/>
  <c r="K3" i="11" s="1"/>
  <c r="L3" i="11"/>
  <c r="M3" i="11"/>
  <c r="O3" i="11"/>
  <c r="P3" i="11" s="1"/>
  <c r="R3" i="11"/>
  <c r="S3" i="11" s="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AJ50" i="11"/>
  <c r="U50" i="11"/>
  <c r="H50" i="11"/>
  <c r="I50" i="11"/>
  <c r="K50" i="11" a="1"/>
  <c r="K50" i="11" s="1"/>
  <c r="L50" i="11"/>
  <c r="M50" i="11"/>
  <c r="O50" i="11"/>
  <c r="P50" i="11" s="1"/>
  <c r="R50" i="11"/>
  <c r="S50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Q21" i="11" s="1"/>
  <c r="AC471" i="10"/>
  <c r="T21" i="11" s="1"/>
  <c r="AD471" i="10"/>
  <c r="N21" i="11" s="1"/>
  <c r="AA472" i="10"/>
  <c r="AB472" i="10"/>
  <c r="AC472" i="10"/>
  <c r="AD472" i="10"/>
  <c r="AA473" i="10"/>
  <c r="AB473" i="10"/>
  <c r="AC473" i="10"/>
  <c r="AD473" i="10"/>
  <c r="AA474" i="10"/>
  <c r="AB474" i="10"/>
  <c r="Q58" i="11" s="1"/>
  <c r="AC474" i="10"/>
  <c r="T58" i="11" s="1"/>
  <c r="AD474" i="10"/>
  <c r="N58" i="11" s="1"/>
  <c r="AA451" i="10"/>
  <c r="AB451" i="10"/>
  <c r="Q55" i="11" s="1"/>
  <c r="AC451" i="10"/>
  <c r="T55" i="11" s="1"/>
  <c r="AD451" i="10"/>
  <c r="N55" i="11" s="1"/>
  <c r="AA452" i="10"/>
  <c r="AB452" i="10"/>
  <c r="Q24" i="11" s="1"/>
  <c r="AC452" i="10"/>
  <c r="T24" i="11" s="1"/>
  <c r="AD452" i="10"/>
  <c r="N24" i="11" s="1"/>
  <c r="AA453" i="10"/>
  <c r="AB453" i="10"/>
  <c r="Q51" i="11" s="1"/>
  <c r="AC453" i="10"/>
  <c r="T51" i="11" s="1"/>
  <c r="AD453" i="10"/>
  <c r="N51" i="11" s="1"/>
  <c r="AA454" i="10"/>
  <c r="AB454" i="10"/>
  <c r="AC454" i="10"/>
  <c r="AD454" i="10"/>
  <c r="AA455" i="10"/>
  <c r="AB455" i="10"/>
  <c r="AC455" i="10"/>
  <c r="AD455" i="10"/>
  <c r="AA456" i="10"/>
  <c r="AB456" i="10"/>
  <c r="Q10" i="11" s="1"/>
  <c r="AC456" i="10"/>
  <c r="T10" i="11" s="1"/>
  <c r="AD456" i="10"/>
  <c r="N10" i="11" s="1"/>
  <c r="AA457" i="10"/>
  <c r="AB457" i="10"/>
  <c r="Q57" i="11" s="1"/>
  <c r="AC457" i="10"/>
  <c r="T57" i="11" s="1"/>
  <c r="AD457" i="10"/>
  <c r="N57" i="11" s="1"/>
  <c r="AA458" i="10"/>
  <c r="AB458" i="10"/>
  <c r="Q5" i="11" s="1"/>
  <c r="AC458" i="10"/>
  <c r="T5" i="11" s="1"/>
  <c r="AD458" i="10"/>
  <c r="N5" i="11" s="1"/>
  <c r="AA459" i="10"/>
  <c r="AB459" i="10"/>
  <c r="AC459" i="10"/>
  <c r="AD459" i="10"/>
  <c r="AA460" i="10"/>
  <c r="AB460" i="10"/>
  <c r="Q9" i="11" s="1"/>
  <c r="AC460" i="10"/>
  <c r="T9" i="11" s="1"/>
  <c r="AD460" i="10"/>
  <c r="N9" i="11" s="1"/>
  <c r="AA461" i="10"/>
  <c r="AB461" i="10"/>
  <c r="Q15" i="11" s="1"/>
  <c r="AC461" i="10"/>
  <c r="T15" i="11" s="1"/>
  <c r="AD461" i="10"/>
  <c r="N15" i="11" s="1"/>
  <c r="AA462" i="10"/>
  <c r="AB462" i="10"/>
  <c r="Q33" i="11" s="1"/>
  <c r="AC462" i="10"/>
  <c r="T33" i="11" s="1"/>
  <c r="AD462" i="10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J45" i="12"/>
  <c r="AK45" i="12"/>
  <c r="AL45" i="12"/>
  <c r="AM45" i="12"/>
  <c r="AN45" i="12"/>
  <c r="AO45" i="12"/>
  <c r="S45" i="12"/>
  <c r="F45" i="12"/>
  <c r="G45" i="12"/>
  <c r="I45" i="12" a="1"/>
  <c r="I45" i="12" s="1"/>
  <c r="J45" i="12"/>
  <c r="K45" i="12"/>
  <c r="M45" i="12"/>
  <c r="N45" i="12" s="1"/>
  <c r="P45" i="12"/>
  <c r="Q45" i="12" s="1"/>
  <c r="AA441" i="10"/>
  <c r="AB441" i="10"/>
  <c r="AC441" i="10"/>
  <c r="AD441" i="10"/>
  <c r="AA442" i="10"/>
  <c r="AB442" i="10"/>
  <c r="Q8" i="11" s="1"/>
  <c r="AC442" i="10"/>
  <c r="T8" i="11" s="1"/>
  <c r="AD442" i="10"/>
  <c r="N8" i="11" s="1"/>
  <c r="AA443" i="10"/>
  <c r="AB443" i="10"/>
  <c r="AC443" i="10"/>
  <c r="AD443" i="10"/>
  <c r="AA444" i="10"/>
  <c r="AB444" i="10"/>
  <c r="AC444" i="10"/>
  <c r="AD444" i="10"/>
  <c r="AA445" i="10"/>
  <c r="AB445" i="10"/>
  <c r="Q29" i="11" s="1"/>
  <c r="AC445" i="10"/>
  <c r="T29" i="11" s="1"/>
  <c r="AD445" i="10"/>
  <c r="N29" i="11" s="1"/>
  <c r="AA446" i="10"/>
  <c r="AB446" i="10"/>
  <c r="AC446" i="10"/>
  <c r="AD446" i="10"/>
  <c r="AA447" i="10"/>
  <c r="AB447" i="10"/>
  <c r="Q20" i="11" s="1"/>
  <c r="AC447" i="10"/>
  <c r="T20" i="11" s="1"/>
  <c r="AD447" i="10"/>
  <c r="N20" i="11" s="1"/>
  <c r="AA448" i="10"/>
  <c r="AB448" i="10"/>
  <c r="AC448" i="10"/>
  <c r="AD448" i="10"/>
  <c r="AA449" i="10"/>
  <c r="AB449" i="10"/>
  <c r="AC449" i="10"/>
  <c r="AD449" i="10"/>
  <c r="AA450" i="10"/>
  <c r="AB450" i="10"/>
  <c r="Q28" i="11" s="1"/>
  <c r="AC450" i="10"/>
  <c r="T28" i="11" s="1"/>
  <c r="AD450" i="10"/>
  <c r="N28" i="11" s="1"/>
  <c r="H56" i="11"/>
  <c r="I56" i="11"/>
  <c r="K56" i="11" a="1"/>
  <c r="K56" i="11" s="1"/>
  <c r="L56" i="11"/>
  <c r="M56" i="11"/>
  <c r="O56" i="11"/>
  <c r="P56" i="11" s="1"/>
  <c r="R56" i="11"/>
  <c r="S56" i="11" s="1"/>
  <c r="H46" i="11"/>
  <c r="I46" i="11"/>
  <c r="K46" i="11" a="1"/>
  <c r="K46" i="11" s="1"/>
  <c r="L46" i="11"/>
  <c r="M46" i="11"/>
  <c r="O46" i="11"/>
  <c r="P46" i="11" s="1"/>
  <c r="R46" i="11"/>
  <c r="S46" i="11" s="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AJ9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AJ46" i="11"/>
  <c r="U46" i="11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J25" i="12"/>
  <c r="AK25" i="12"/>
  <c r="AL25" i="12"/>
  <c r="AM25" i="12"/>
  <c r="AN25" i="12"/>
  <c r="AO25" i="12"/>
  <c r="S25" i="12"/>
  <c r="F25" i="12"/>
  <c r="G25" i="12"/>
  <c r="I25" i="12" a="1"/>
  <c r="I25" i="12" s="1"/>
  <c r="J25" i="12"/>
  <c r="K25" i="12"/>
  <c r="M25" i="12"/>
  <c r="N25" i="12" s="1"/>
  <c r="P25" i="12"/>
  <c r="Q25" i="12" s="1"/>
  <c r="P2" i="12"/>
  <c r="S7" i="12"/>
  <c r="S6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J62" i="12"/>
  <c r="AK62" i="12"/>
  <c r="AL62" i="12"/>
  <c r="AM62" i="12"/>
  <c r="AN62" i="12"/>
  <c r="AO62" i="12"/>
  <c r="S62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J61" i="12"/>
  <c r="AK61" i="12"/>
  <c r="AL61" i="12"/>
  <c r="AM61" i="12"/>
  <c r="AN61" i="12"/>
  <c r="AO61" i="12"/>
  <c r="S61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J60" i="12"/>
  <c r="AK60" i="12"/>
  <c r="AL60" i="12"/>
  <c r="AM60" i="12"/>
  <c r="AN60" i="12"/>
  <c r="AO60" i="12"/>
  <c r="S60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J59" i="12"/>
  <c r="AK59" i="12"/>
  <c r="AL59" i="12"/>
  <c r="AM59" i="12"/>
  <c r="AN59" i="12"/>
  <c r="AO59" i="12"/>
  <c r="S59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J58" i="12"/>
  <c r="AK58" i="12"/>
  <c r="AL58" i="12"/>
  <c r="AM58" i="12"/>
  <c r="AN58" i="12"/>
  <c r="AO58" i="12"/>
  <c r="S58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J57" i="12"/>
  <c r="AK57" i="12"/>
  <c r="AL57" i="12"/>
  <c r="AM57" i="12"/>
  <c r="AN57" i="12"/>
  <c r="AO57" i="12"/>
  <c r="S57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J56" i="12"/>
  <c r="AK56" i="12"/>
  <c r="AL56" i="12"/>
  <c r="AM56" i="12"/>
  <c r="AN56" i="12"/>
  <c r="AO56" i="12"/>
  <c r="S56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J54" i="12"/>
  <c r="AK54" i="12"/>
  <c r="AL54" i="12"/>
  <c r="AM54" i="12"/>
  <c r="AN54" i="12"/>
  <c r="AO54" i="12"/>
  <c r="S54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J53" i="12"/>
  <c r="AK53" i="12"/>
  <c r="AL53" i="12"/>
  <c r="AM53" i="12"/>
  <c r="AN53" i="12"/>
  <c r="AO53" i="12"/>
  <c r="S53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J52" i="12"/>
  <c r="AK52" i="12"/>
  <c r="AL52" i="12"/>
  <c r="AM52" i="12"/>
  <c r="AN52" i="12"/>
  <c r="AO52" i="12"/>
  <c r="S52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J51" i="12"/>
  <c r="AK51" i="12"/>
  <c r="AL51" i="12"/>
  <c r="AM51" i="12"/>
  <c r="AN51" i="12"/>
  <c r="AO51" i="12"/>
  <c r="S51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J50" i="12"/>
  <c r="AK50" i="12"/>
  <c r="AL50" i="12"/>
  <c r="AM50" i="12"/>
  <c r="AN50" i="12"/>
  <c r="AO50" i="12"/>
  <c r="S50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J49" i="12"/>
  <c r="AK49" i="12"/>
  <c r="AL49" i="12"/>
  <c r="AM49" i="12"/>
  <c r="AN49" i="12"/>
  <c r="AO49" i="12"/>
  <c r="S49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J48" i="12"/>
  <c r="AK48" i="12"/>
  <c r="AL48" i="12"/>
  <c r="AM48" i="12"/>
  <c r="AN48" i="12"/>
  <c r="AO48" i="12"/>
  <c r="S48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J46" i="12"/>
  <c r="AK46" i="12"/>
  <c r="AL46" i="12"/>
  <c r="AM46" i="12"/>
  <c r="AN46" i="12"/>
  <c r="AO46" i="12"/>
  <c r="S46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J44" i="12"/>
  <c r="AK44" i="12"/>
  <c r="AL44" i="12"/>
  <c r="AM44" i="12"/>
  <c r="AN44" i="12"/>
  <c r="AO44" i="12"/>
  <c r="S44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J42" i="12"/>
  <c r="AK42" i="12"/>
  <c r="AL42" i="12"/>
  <c r="AM42" i="12"/>
  <c r="AN42" i="12"/>
  <c r="AO42" i="12"/>
  <c r="S42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J41" i="12"/>
  <c r="AK41" i="12"/>
  <c r="AL41" i="12"/>
  <c r="AM41" i="12"/>
  <c r="AN41" i="12"/>
  <c r="AO41" i="12"/>
  <c r="S41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J40" i="12"/>
  <c r="AK40" i="12"/>
  <c r="AL40" i="12"/>
  <c r="AM40" i="12"/>
  <c r="AN40" i="12"/>
  <c r="AO40" i="12"/>
  <c r="S40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J39" i="12"/>
  <c r="AK39" i="12"/>
  <c r="AL39" i="12"/>
  <c r="AM39" i="12"/>
  <c r="AN39" i="12"/>
  <c r="AO39" i="12"/>
  <c r="S39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J38" i="12"/>
  <c r="AK38" i="12"/>
  <c r="AL38" i="12"/>
  <c r="AM38" i="12"/>
  <c r="AN38" i="12"/>
  <c r="AO38" i="12"/>
  <c r="S38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J37" i="12"/>
  <c r="AK37" i="12"/>
  <c r="AL37" i="12"/>
  <c r="AM37" i="12"/>
  <c r="AN37" i="12"/>
  <c r="AO37" i="12"/>
  <c r="S37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J36" i="12"/>
  <c r="AK36" i="12"/>
  <c r="AL36" i="12"/>
  <c r="AM36" i="12"/>
  <c r="AN36" i="12"/>
  <c r="AO36" i="12"/>
  <c r="S36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J35" i="12"/>
  <c r="AK35" i="12"/>
  <c r="AL35" i="12"/>
  <c r="AM35" i="12"/>
  <c r="AN35" i="12"/>
  <c r="AO35" i="12"/>
  <c r="S35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J32" i="12"/>
  <c r="AK32" i="12"/>
  <c r="AL32" i="12"/>
  <c r="AM32" i="12"/>
  <c r="AN32" i="12"/>
  <c r="AO32" i="12"/>
  <c r="S32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J31" i="12"/>
  <c r="AK31" i="12"/>
  <c r="AL31" i="12"/>
  <c r="AM31" i="12"/>
  <c r="AN31" i="12"/>
  <c r="AO31" i="12"/>
  <c r="S31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J30" i="12"/>
  <c r="AK30" i="12"/>
  <c r="AL30" i="12"/>
  <c r="AM30" i="12"/>
  <c r="AN30" i="12"/>
  <c r="AO30" i="12"/>
  <c r="S30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J29" i="12"/>
  <c r="AK29" i="12"/>
  <c r="AL29" i="12"/>
  <c r="AM29" i="12"/>
  <c r="AN29" i="12"/>
  <c r="AO29" i="12"/>
  <c r="S29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J28" i="12"/>
  <c r="AK28" i="12"/>
  <c r="AL28" i="12"/>
  <c r="AM28" i="12"/>
  <c r="AN28" i="12"/>
  <c r="AO28" i="12"/>
  <c r="S28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J27" i="12"/>
  <c r="AK27" i="12"/>
  <c r="AL27" i="12"/>
  <c r="AM27" i="12"/>
  <c r="AN27" i="12"/>
  <c r="AO27" i="12"/>
  <c r="S27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J26" i="12"/>
  <c r="AK26" i="12"/>
  <c r="AL26" i="12"/>
  <c r="AM26" i="12"/>
  <c r="AN26" i="12"/>
  <c r="AO26" i="12"/>
  <c r="S26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J24" i="12"/>
  <c r="AK24" i="12"/>
  <c r="AL24" i="12"/>
  <c r="AM24" i="12"/>
  <c r="AN24" i="12"/>
  <c r="AO24" i="12"/>
  <c r="S24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J23" i="12"/>
  <c r="AK23" i="12"/>
  <c r="AL23" i="12"/>
  <c r="AM23" i="12"/>
  <c r="AN23" i="12"/>
  <c r="AO23" i="12"/>
  <c r="S23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J22" i="12"/>
  <c r="AK22" i="12"/>
  <c r="AL22" i="12"/>
  <c r="AM22" i="12"/>
  <c r="AN22" i="12"/>
  <c r="AO22" i="12"/>
  <c r="S22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J21" i="12"/>
  <c r="AK21" i="12"/>
  <c r="AL21" i="12"/>
  <c r="AM21" i="12"/>
  <c r="AN21" i="12"/>
  <c r="AO21" i="12"/>
  <c r="S21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J20" i="12"/>
  <c r="AK20" i="12"/>
  <c r="AL20" i="12"/>
  <c r="AM20" i="12"/>
  <c r="AN20" i="12"/>
  <c r="AO20" i="12"/>
  <c r="S20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J19" i="12"/>
  <c r="AK19" i="12"/>
  <c r="AL19" i="12"/>
  <c r="AM19" i="12"/>
  <c r="AN19" i="12"/>
  <c r="AO19" i="12"/>
  <c r="S19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J18" i="12"/>
  <c r="AK18" i="12"/>
  <c r="AL18" i="12"/>
  <c r="AM18" i="12"/>
  <c r="AN18" i="12"/>
  <c r="S18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J17" i="12"/>
  <c r="AK17" i="12"/>
  <c r="AL17" i="12"/>
  <c r="AM17" i="12"/>
  <c r="AN17" i="12"/>
  <c r="AO17" i="12"/>
  <c r="S17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J16" i="12"/>
  <c r="AK16" i="12"/>
  <c r="AL16" i="12"/>
  <c r="AM16" i="12"/>
  <c r="AN16" i="12"/>
  <c r="AO16" i="12"/>
  <c r="S16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J15" i="12"/>
  <c r="AK15" i="12"/>
  <c r="AL15" i="12"/>
  <c r="AM15" i="12"/>
  <c r="AN15" i="12"/>
  <c r="AO15" i="12"/>
  <c r="S15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J14" i="12"/>
  <c r="AK14" i="12"/>
  <c r="AL14" i="12"/>
  <c r="AM14" i="12"/>
  <c r="AN14" i="12"/>
  <c r="AO14" i="12"/>
  <c r="S14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J13" i="12"/>
  <c r="AK13" i="12"/>
  <c r="AL13" i="12"/>
  <c r="AM13" i="12"/>
  <c r="AN13" i="12"/>
  <c r="AO13" i="12"/>
  <c r="S13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J12" i="12"/>
  <c r="AK12" i="12"/>
  <c r="AL12" i="12"/>
  <c r="AM12" i="12"/>
  <c r="AN12" i="12"/>
  <c r="AO12" i="12"/>
  <c r="S12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J9" i="12"/>
  <c r="AK9" i="12"/>
  <c r="AL9" i="12"/>
  <c r="AM9" i="12"/>
  <c r="AN9" i="12"/>
  <c r="AO9" i="12"/>
  <c r="S9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J8" i="12"/>
  <c r="AK8" i="12"/>
  <c r="AL8" i="12"/>
  <c r="AM8" i="12"/>
  <c r="AN8" i="12"/>
  <c r="AO8" i="12"/>
  <c r="S8" i="12"/>
  <c r="F17" i="12"/>
  <c r="G17" i="12"/>
  <c r="I17" i="12" a="1"/>
  <c r="I17" i="12" s="1"/>
  <c r="J17" i="12"/>
  <c r="K17" i="12"/>
  <c r="M17" i="12"/>
  <c r="N17" i="12" s="1"/>
  <c r="P17" i="12"/>
  <c r="Q17" i="12" s="1"/>
  <c r="AA415" i="10"/>
  <c r="AB415" i="10"/>
  <c r="Q47" i="11" s="1"/>
  <c r="AC415" i="10"/>
  <c r="T47" i="11" s="1"/>
  <c r="AD415" i="10"/>
  <c r="N47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Q40" i="11" s="1"/>
  <c r="AC435" i="10"/>
  <c r="T40" i="11" s="1"/>
  <c r="AD435" i="10"/>
  <c r="N40" i="11" s="1"/>
  <c r="AA436" i="10"/>
  <c r="AB436" i="10"/>
  <c r="Q52" i="11" s="1"/>
  <c r="AC436" i="10"/>
  <c r="T52" i="11" s="1"/>
  <c r="AD436" i="10"/>
  <c r="N52" i="11" s="1"/>
  <c r="AA437" i="10"/>
  <c r="AB437" i="10"/>
  <c r="AC437" i="10"/>
  <c r="AD437" i="10"/>
  <c r="AA438" i="10"/>
  <c r="AB438" i="10"/>
  <c r="Q56" i="11" s="1"/>
  <c r="AC438" i="10"/>
  <c r="T56" i="11" s="1"/>
  <c r="AD438" i="10"/>
  <c r="N56" i="11" s="1"/>
  <c r="AA439" i="10"/>
  <c r="AB439" i="10"/>
  <c r="AC439" i="10"/>
  <c r="AD439" i="10"/>
  <c r="AA440" i="10"/>
  <c r="AB440" i="10"/>
  <c r="AC440" i="10"/>
  <c r="AD440" i="10"/>
  <c r="U43" i="11"/>
  <c r="F26" i="12"/>
  <c r="G26" i="12"/>
  <c r="I26" i="12" a="1"/>
  <c r="I26" i="12" s="1"/>
  <c r="J26" i="12"/>
  <c r="K26" i="12"/>
  <c r="M26" i="12"/>
  <c r="N26" i="12" s="1"/>
  <c r="P26" i="12"/>
  <c r="Q26" i="12" s="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AJ48" i="11"/>
  <c r="U48" i="11"/>
  <c r="H48" i="11"/>
  <c r="I48" i="11"/>
  <c r="K48" i="11" a="1"/>
  <c r="K48" i="11" s="1"/>
  <c r="L48" i="11"/>
  <c r="M48" i="11"/>
  <c r="O48" i="11"/>
  <c r="P48" i="11" s="1"/>
  <c r="R48" i="11"/>
  <c r="S48" i="11" s="1"/>
  <c r="V35" i="11"/>
  <c r="W35" i="11"/>
  <c r="X35" i="11"/>
  <c r="Y35" i="11"/>
  <c r="Z35" i="11"/>
  <c r="AA35" i="11"/>
  <c r="AB35" i="11"/>
  <c r="AC35" i="11"/>
  <c r="AD35" i="11"/>
  <c r="AE35" i="11"/>
  <c r="AF35" i="11"/>
  <c r="AG35" i="11"/>
  <c r="AH35" i="11"/>
  <c r="AI35" i="11"/>
  <c r="AJ35" i="11"/>
  <c r="U35" i="11"/>
  <c r="H35" i="11"/>
  <c r="I35" i="11"/>
  <c r="K35" i="11" a="1"/>
  <c r="K35" i="11" s="1"/>
  <c r="L35" i="11"/>
  <c r="M35" i="11"/>
  <c r="O35" i="11"/>
  <c r="P35" i="11" s="1"/>
  <c r="R35" i="11"/>
  <c r="S35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Q46" i="11" s="1"/>
  <c r="AC414" i="10"/>
  <c r="T46" i="11" s="1"/>
  <c r="AD414" i="10"/>
  <c r="N46" i="11" s="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AJ53" i="11"/>
  <c r="U53" i="11"/>
  <c r="H53" i="11"/>
  <c r="I53" i="11"/>
  <c r="K53" i="11" a="1"/>
  <c r="K53" i="11" s="1"/>
  <c r="L53" i="11"/>
  <c r="M53" i="11"/>
  <c r="O53" i="11"/>
  <c r="P53" i="11" s="1"/>
  <c r="R53" i="11"/>
  <c r="S53" i="11" s="1"/>
  <c r="AA390" i="10"/>
  <c r="AB390" i="10"/>
  <c r="AC390" i="10"/>
  <c r="AD390" i="10"/>
  <c r="AA391" i="10"/>
  <c r="AB391" i="10"/>
  <c r="AC391" i="10"/>
  <c r="AD391" i="10"/>
  <c r="AA392" i="10"/>
  <c r="AB392" i="10"/>
  <c r="Q42" i="11" s="1"/>
  <c r="AC392" i="10"/>
  <c r="T42" i="11" s="1"/>
  <c r="AD392" i="10"/>
  <c r="N42" i="11" s="1"/>
  <c r="AA393" i="10"/>
  <c r="AB393" i="10"/>
  <c r="Q23" i="11" s="1"/>
  <c r="AC393" i="10"/>
  <c r="T23" i="11" s="1"/>
  <c r="AD393" i="10"/>
  <c r="N23" i="11" s="1"/>
  <c r="AA394" i="10"/>
  <c r="AB394" i="10"/>
  <c r="AC394" i="10"/>
  <c r="AD394" i="10"/>
  <c r="AA395" i="10"/>
  <c r="AB395" i="10"/>
  <c r="AC395" i="10"/>
  <c r="AD395" i="10"/>
  <c r="AA396" i="10"/>
  <c r="AB396" i="10"/>
  <c r="Q53" i="11" s="1"/>
  <c r="AC396" i="10"/>
  <c r="T53" i="11" s="1"/>
  <c r="AD396" i="10"/>
  <c r="N53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AJ14" i="11"/>
  <c r="U14" i="11"/>
  <c r="H14" i="11"/>
  <c r="I14" i="11"/>
  <c r="K14" i="11" a="1"/>
  <c r="K14" i="11" s="1"/>
  <c r="L14" i="11"/>
  <c r="M14" i="11"/>
  <c r="O14" i="11"/>
  <c r="P14" i="11" s="1"/>
  <c r="R14" i="11"/>
  <c r="S14" i="11" s="1"/>
  <c r="F14" i="12"/>
  <c r="G14" i="12"/>
  <c r="I14" i="12" a="1"/>
  <c r="I14" i="12" s="1"/>
  <c r="J14" i="12"/>
  <c r="K14" i="12"/>
  <c r="M14" i="12"/>
  <c r="N14" i="12" s="1"/>
  <c r="P14" i="12"/>
  <c r="Q14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D4" i="11"/>
  <c r="AD5" i="11"/>
  <c r="AD7" i="11"/>
  <c r="AD8" i="11"/>
  <c r="AD10" i="11"/>
  <c r="AD13" i="11"/>
  <c r="AD15" i="11"/>
  <c r="AD16" i="11"/>
  <c r="AD20" i="11"/>
  <c r="AD21" i="11"/>
  <c r="AD22" i="11"/>
  <c r="AD23" i="11"/>
  <c r="AD24" i="11"/>
  <c r="AD26" i="11"/>
  <c r="AD27" i="11"/>
  <c r="AD28" i="11"/>
  <c r="AD29" i="11"/>
  <c r="AD30" i="11"/>
  <c r="AD31" i="11"/>
  <c r="AD32" i="11"/>
  <c r="AD33" i="11"/>
  <c r="AD34" i="11"/>
  <c r="AD36" i="11"/>
  <c r="AD38" i="11"/>
  <c r="AD39" i="11"/>
  <c r="AD40" i="11"/>
  <c r="AD41" i="11"/>
  <c r="AD42" i="11"/>
  <c r="AD43" i="11"/>
  <c r="AD47" i="11"/>
  <c r="AD49" i="11"/>
  <c r="AD51" i="11"/>
  <c r="AD52" i="11"/>
  <c r="AD55" i="11"/>
  <c r="AD56" i="11"/>
  <c r="AD57" i="11"/>
  <c r="AD58" i="11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J2" i="12"/>
  <c r="AK2" i="12"/>
  <c r="AL2" i="12"/>
  <c r="AM2" i="12"/>
  <c r="AN2" i="12"/>
  <c r="AO2" i="12"/>
  <c r="S2" i="12"/>
  <c r="F2" i="12"/>
  <c r="G2" i="12"/>
  <c r="I2" i="12" a="1"/>
  <c r="I2" i="12" s="1"/>
  <c r="J2" i="12"/>
  <c r="K2" i="12"/>
  <c r="M2" i="12"/>
  <c r="N2" i="12" s="1"/>
  <c r="AA7" i="12"/>
  <c r="AA6" i="12"/>
  <c r="AA5" i="12"/>
  <c r="AA4" i="12"/>
  <c r="AA3" i="12"/>
  <c r="M51" i="12"/>
  <c r="N51" i="12" s="1"/>
  <c r="P51" i="12"/>
  <c r="Q51" i="12" s="1"/>
  <c r="J51" i="12"/>
  <c r="K51" i="12"/>
  <c r="F51" i="12"/>
  <c r="G51" i="12"/>
  <c r="I51" i="12" a="1"/>
  <c r="I51" i="12" s="1"/>
  <c r="AA377" i="10"/>
  <c r="AB377" i="10"/>
  <c r="AC377" i="10"/>
  <c r="AD377" i="10"/>
  <c r="AA361" i="10"/>
  <c r="AB361" i="10"/>
  <c r="Q43" i="11" s="1"/>
  <c r="AC361" i="10"/>
  <c r="T43" i="11" s="1"/>
  <c r="AD361" i="10"/>
  <c r="N43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V56" i="11"/>
  <c r="W56" i="11"/>
  <c r="X56" i="11"/>
  <c r="Y56" i="11"/>
  <c r="Z56" i="11"/>
  <c r="AA56" i="11"/>
  <c r="AB56" i="11"/>
  <c r="AC56" i="11"/>
  <c r="AE56" i="11"/>
  <c r="AF56" i="11"/>
  <c r="AG56" i="11"/>
  <c r="AH56" i="11"/>
  <c r="AI56" i="11"/>
  <c r="AJ56" i="11"/>
  <c r="U56" i="11"/>
  <c r="F36" i="12"/>
  <c r="G36" i="12"/>
  <c r="I36" i="12" a="1"/>
  <c r="I36" i="12" s="1"/>
  <c r="J36" i="12"/>
  <c r="K36" i="12"/>
  <c r="M36" i="12"/>
  <c r="P36" i="12"/>
  <c r="Q36" i="12" s="1"/>
  <c r="F37" i="12"/>
  <c r="G37" i="12"/>
  <c r="I37" i="12" a="1"/>
  <c r="I37" i="12" s="1"/>
  <c r="J37" i="12"/>
  <c r="K37" i="12"/>
  <c r="M37" i="12"/>
  <c r="N37" i="12" s="1"/>
  <c r="P37" i="12"/>
  <c r="Q37" i="12" s="1"/>
  <c r="N33" i="11" l="1"/>
  <c r="N48" i="11"/>
  <c r="Q48" i="11"/>
  <c r="T48" i="11"/>
  <c r="T35" i="11"/>
  <c r="T36" i="11"/>
  <c r="T32" i="11"/>
  <c r="Q2" i="12"/>
  <c r="N36" i="12"/>
  <c r="M23" i="12"/>
  <c r="N23" i="12" s="1"/>
  <c r="P23" i="12"/>
  <c r="Q23" i="12" s="1"/>
  <c r="J23" i="12"/>
  <c r="K23" i="12"/>
  <c r="F23" i="12"/>
  <c r="G23" i="12"/>
  <c r="I23" i="12" a="1"/>
  <c r="I23" i="12" s="1"/>
  <c r="J44" i="12"/>
  <c r="K44" i="12"/>
  <c r="M44" i="12"/>
  <c r="N44" i="12" s="1"/>
  <c r="P44" i="12"/>
  <c r="Q44" i="12" s="1"/>
  <c r="F44" i="12"/>
  <c r="G44" i="12"/>
  <c r="I44" i="12" a="1"/>
  <c r="I44" i="12" s="1"/>
  <c r="V4" i="11"/>
  <c r="W4" i="11"/>
  <c r="X4" i="11"/>
  <c r="Y4" i="11"/>
  <c r="Z4" i="11"/>
  <c r="AA4" i="11"/>
  <c r="AB4" i="11"/>
  <c r="AC4" i="11"/>
  <c r="AE4" i="11"/>
  <c r="AF4" i="11"/>
  <c r="AG4" i="11"/>
  <c r="AH4" i="11"/>
  <c r="AI4" i="11"/>
  <c r="AJ4" i="11"/>
  <c r="U4" i="11"/>
  <c r="R4" i="11"/>
  <c r="S4" i="11" s="1"/>
  <c r="O4" i="11"/>
  <c r="P4" i="11" s="1"/>
  <c r="M4" i="11"/>
  <c r="L4" i="11"/>
  <c r="K4" i="11" a="1"/>
  <c r="K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V28" i="11"/>
  <c r="W28" i="11"/>
  <c r="X28" i="11"/>
  <c r="Y28" i="11"/>
  <c r="Z28" i="11"/>
  <c r="AA28" i="11"/>
  <c r="AB28" i="11"/>
  <c r="AC28" i="11"/>
  <c r="AE28" i="11"/>
  <c r="AF28" i="11"/>
  <c r="AG28" i="11"/>
  <c r="AH28" i="11"/>
  <c r="AI28" i="11"/>
  <c r="AJ28" i="11"/>
  <c r="U28" i="11"/>
  <c r="R28" i="11"/>
  <c r="S28" i="11" s="1"/>
  <c r="O28" i="11"/>
  <c r="M28" i="11"/>
  <c r="L28" i="11"/>
  <c r="I28" i="11"/>
  <c r="H28" i="11"/>
  <c r="K28" i="11" a="1"/>
  <c r="K28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O18" i="12"/>
  <c r="T7" i="12"/>
  <c r="U7" i="12"/>
  <c r="V7" i="12"/>
  <c r="W7" i="12"/>
  <c r="X7" i="12"/>
  <c r="Y7" i="12"/>
  <c r="Z7" i="12"/>
  <c r="AB7" i="12"/>
  <c r="AC7" i="12"/>
  <c r="AD7" i="12"/>
  <c r="AE7" i="12"/>
  <c r="AF7" i="12"/>
  <c r="AG7" i="12"/>
  <c r="AH7" i="12"/>
  <c r="AJ7" i="12"/>
  <c r="AK7" i="12"/>
  <c r="AL7" i="12"/>
  <c r="AM7" i="12"/>
  <c r="AN7" i="12"/>
  <c r="AO7" i="12"/>
  <c r="T6" i="12"/>
  <c r="U6" i="12"/>
  <c r="V6" i="12"/>
  <c r="W6" i="12"/>
  <c r="X6" i="12"/>
  <c r="Y6" i="12"/>
  <c r="Z6" i="12"/>
  <c r="AB6" i="12"/>
  <c r="AC6" i="12"/>
  <c r="AD6" i="12"/>
  <c r="AE6" i="12"/>
  <c r="AF6" i="12"/>
  <c r="AG6" i="12"/>
  <c r="AH6" i="12"/>
  <c r="AJ6" i="12"/>
  <c r="AK6" i="12"/>
  <c r="AL6" i="12"/>
  <c r="AM6" i="12"/>
  <c r="AN6" i="12"/>
  <c r="AO6" i="12"/>
  <c r="T5" i="12"/>
  <c r="U5" i="12"/>
  <c r="V5" i="12"/>
  <c r="W5" i="12"/>
  <c r="X5" i="12"/>
  <c r="Y5" i="12"/>
  <c r="Z5" i="12"/>
  <c r="AB5" i="12"/>
  <c r="AC5" i="12"/>
  <c r="AD5" i="12"/>
  <c r="AE5" i="12"/>
  <c r="AF5" i="12"/>
  <c r="AG5" i="12"/>
  <c r="AH5" i="12"/>
  <c r="AJ5" i="12"/>
  <c r="AK5" i="12"/>
  <c r="AL5" i="12"/>
  <c r="AM5" i="12"/>
  <c r="AN5" i="12"/>
  <c r="AO5" i="12"/>
  <c r="T4" i="12"/>
  <c r="U4" i="12"/>
  <c r="V4" i="12"/>
  <c r="W4" i="12"/>
  <c r="X4" i="12"/>
  <c r="Y4" i="12"/>
  <c r="Z4" i="12"/>
  <c r="AB4" i="12"/>
  <c r="AC4" i="12"/>
  <c r="AD4" i="12"/>
  <c r="AE4" i="12"/>
  <c r="AF4" i="12"/>
  <c r="AG4" i="12"/>
  <c r="AH4" i="12"/>
  <c r="AJ4" i="12"/>
  <c r="AK4" i="12"/>
  <c r="AL4" i="12"/>
  <c r="AM4" i="12"/>
  <c r="AN4" i="12"/>
  <c r="AO4" i="12"/>
  <c r="S5" i="12"/>
  <c r="S4" i="12"/>
  <c r="T3" i="12"/>
  <c r="U3" i="12"/>
  <c r="V3" i="12"/>
  <c r="W3" i="12"/>
  <c r="X3" i="12"/>
  <c r="Y3" i="12"/>
  <c r="Z3" i="12"/>
  <c r="AB3" i="12"/>
  <c r="AC3" i="12"/>
  <c r="AD3" i="12"/>
  <c r="AE3" i="12"/>
  <c r="AF3" i="12"/>
  <c r="AG3" i="12"/>
  <c r="AH3" i="12"/>
  <c r="AJ3" i="12"/>
  <c r="AK3" i="12"/>
  <c r="AL3" i="12"/>
  <c r="AM3" i="12"/>
  <c r="AN3" i="12"/>
  <c r="AO3" i="12"/>
  <c r="S3" i="12"/>
  <c r="P4" i="12"/>
  <c r="Q4" i="12" s="1"/>
  <c r="P5" i="12"/>
  <c r="Q5" i="12" s="1"/>
  <c r="P6" i="12"/>
  <c r="Q6" i="12" s="1"/>
  <c r="P7" i="12"/>
  <c r="Q7" i="12" s="1"/>
  <c r="P8" i="12"/>
  <c r="Q8" i="12" s="1"/>
  <c r="P9" i="12"/>
  <c r="Q9" i="12" s="1"/>
  <c r="P12" i="12"/>
  <c r="Q12" i="12" s="1"/>
  <c r="P13" i="12"/>
  <c r="Q13" i="12" s="1"/>
  <c r="P15" i="12"/>
  <c r="Q15" i="12" s="1"/>
  <c r="P48" i="12"/>
  <c r="Q48" i="12" s="1"/>
  <c r="P16" i="12"/>
  <c r="Q16" i="12" s="1"/>
  <c r="P18" i="12"/>
  <c r="Q18" i="12" s="1"/>
  <c r="P19" i="12"/>
  <c r="Q19" i="12" s="1"/>
  <c r="P20" i="12"/>
  <c r="Q20" i="12" s="1"/>
  <c r="P21" i="12"/>
  <c r="Q21" i="12" s="1"/>
  <c r="P22" i="12"/>
  <c r="Q22" i="12" s="1"/>
  <c r="P24" i="12"/>
  <c r="Q24" i="12" s="1"/>
  <c r="P27" i="12"/>
  <c r="Q27" i="12" s="1"/>
  <c r="P28" i="12"/>
  <c r="Q28" i="12" s="1"/>
  <c r="P29" i="12"/>
  <c r="Q29" i="12" s="1"/>
  <c r="P30" i="12"/>
  <c r="Q30" i="12" s="1"/>
  <c r="P31" i="12"/>
  <c r="Q31" i="12" s="1"/>
  <c r="Q32" i="12"/>
  <c r="P35" i="12"/>
  <c r="Q35" i="12" s="1"/>
  <c r="P38" i="12"/>
  <c r="Q38" i="12" s="1"/>
  <c r="P39" i="12"/>
  <c r="Q39" i="12" s="1"/>
  <c r="P40" i="12"/>
  <c r="Q40" i="12" s="1"/>
  <c r="P41" i="12"/>
  <c r="Q41" i="12" s="1"/>
  <c r="P42" i="12"/>
  <c r="Q42" i="12" s="1"/>
  <c r="P46" i="12"/>
  <c r="Q46" i="12" s="1"/>
  <c r="P49" i="12"/>
  <c r="Q49" i="12" s="1"/>
  <c r="P50" i="12"/>
  <c r="Q50" i="12" s="1"/>
  <c r="P52" i="12"/>
  <c r="Q52" i="12" s="1"/>
  <c r="P53" i="12"/>
  <c r="Q53" i="12" s="1"/>
  <c r="P54" i="12"/>
  <c r="Q54" i="12" s="1"/>
  <c r="P56" i="12"/>
  <c r="Q56" i="12" s="1"/>
  <c r="P57" i="12"/>
  <c r="Q57" i="12" s="1"/>
  <c r="P58" i="12"/>
  <c r="Q58" i="12" s="1"/>
  <c r="P59" i="12"/>
  <c r="Q59" i="12" s="1"/>
  <c r="P60" i="12"/>
  <c r="Q60" i="12" s="1"/>
  <c r="P61" i="12"/>
  <c r="Q61" i="12" s="1"/>
  <c r="P62" i="12"/>
  <c r="P3" i="12"/>
  <c r="Q3" i="12" s="1"/>
  <c r="M4" i="12"/>
  <c r="N4" i="12" s="1"/>
  <c r="M5" i="12"/>
  <c r="N5" i="12" s="1"/>
  <c r="M6" i="12"/>
  <c r="N6" i="12" s="1"/>
  <c r="M7" i="12"/>
  <c r="N7" i="12" s="1"/>
  <c r="M8" i="12"/>
  <c r="N8" i="12" s="1"/>
  <c r="M9" i="12"/>
  <c r="N9" i="12" s="1"/>
  <c r="M12" i="12"/>
  <c r="N12" i="12" s="1"/>
  <c r="M13" i="12"/>
  <c r="N13" i="12" s="1"/>
  <c r="M15" i="12"/>
  <c r="N15" i="12" s="1"/>
  <c r="M48" i="12"/>
  <c r="M16" i="12"/>
  <c r="N16" i="12" s="1"/>
  <c r="M18" i="12"/>
  <c r="N18" i="12" s="1"/>
  <c r="M19" i="12"/>
  <c r="N19" i="12" s="1"/>
  <c r="M20" i="12"/>
  <c r="N20" i="12" s="1"/>
  <c r="M21" i="12"/>
  <c r="N21" i="12" s="1"/>
  <c r="M22" i="12"/>
  <c r="N22" i="12" s="1"/>
  <c r="M24" i="12"/>
  <c r="N24" i="12" s="1"/>
  <c r="M27" i="12"/>
  <c r="N27" i="12" s="1"/>
  <c r="M28" i="12"/>
  <c r="N28" i="12" s="1"/>
  <c r="M29" i="12"/>
  <c r="N29" i="12" s="1"/>
  <c r="M30" i="12"/>
  <c r="N30" i="12" s="1"/>
  <c r="M31" i="12"/>
  <c r="N31" i="12" s="1"/>
  <c r="M32" i="12"/>
  <c r="N32" i="12" s="1"/>
  <c r="M35" i="12"/>
  <c r="N35" i="12" s="1"/>
  <c r="M38" i="12"/>
  <c r="N38" i="12" s="1"/>
  <c r="M39" i="12"/>
  <c r="N39" i="12" s="1"/>
  <c r="M40" i="12"/>
  <c r="N40" i="12" s="1"/>
  <c r="M41" i="12"/>
  <c r="N41" i="12" s="1"/>
  <c r="M42" i="12"/>
  <c r="N42" i="12" s="1"/>
  <c r="M46" i="12"/>
  <c r="N46" i="12" s="1"/>
  <c r="M49" i="12"/>
  <c r="N49" i="12" s="1"/>
  <c r="M50" i="12"/>
  <c r="N50" i="12" s="1"/>
  <c r="M52" i="12"/>
  <c r="N52" i="12" s="1"/>
  <c r="M53" i="12"/>
  <c r="N53" i="12" s="1"/>
  <c r="M54" i="12"/>
  <c r="N54" i="12" s="1"/>
  <c r="M56" i="12"/>
  <c r="N56" i="12" s="1"/>
  <c r="M57" i="12"/>
  <c r="N57" i="12" s="1"/>
  <c r="M58" i="12"/>
  <c r="N58" i="12" s="1"/>
  <c r="M59" i="12"/>
  <c r="N59" i="12" s="1"/>
  <c r="M60" i="12"/>
  <c r="N60" i="12" s="1"/>
  <c r="M61" i="12"/>
  <c r="N61" i="12" s="1"/>
  <c r="M62" i="12"/>
  <c r="N62" i="12" s="1"/>
  <c r="M3" i="12"/>
  <c r="N3" i="12" s="1"/>
  <c r="K4" i="12"/>
  <c r="K5" i="12"/>
  <c r="K6" i="12"/>
  <c r="K7" i="12"/>
  <c r="K8" i="12"/>
  <c r="K9" i="12"/>
  <c r="K12" i="12"/>
  <c r="K13" i="12"/>
  <c r="K15" i="12"/>
  <c r="K48" i="12"/>
  <c r="K16" i="12"/>
  <c r="K18" i="12"/>
  <c r="K19" i="12"/>
  <c r="K20" i="12"/>
  <c r="K21" i="12"/>
  <c r="K22" i="12"/>
  <c r="K24" i="12"/>
  <c r="K27" i="12"/>
  <c r="K28" i="12"/>
  <c r="K29" i="12"/>
  <c r="K30" i="12"/>
  <c r="K31" i="12"/>
  <c r="K32" i="12"/>
  <c r="K35" i="12"/>
  <c r="K38" i="12"/>
  <c r="K39" i="12"/>
  <c r="K40" i="12"/>
  <c r="K41" i="12"/>
  <c r="K42" i="12"/>
  <c r="K46" i="12"/>
  <c r="K49" i="12"/>
  <c r="K50" i="12"/>
  <c r="K52" i="12"/>
  <c r="K53" i="12"/>
  <c r="K54" i="12"/>
  <c r="K56" i="12"/>
  <c r="K57" i="12"/>
  <c r="K58" i="12"/>
  <c r="K59" i="12"/>
  <c r="K60" i="12"/>
  <c r="K61" i="12"/>
  <c r="K62" i="12"/>
  <c r="K3" i="12"/>
  <c r="J48" i="12"/>
  <c r="J16" i="12"/>
  <c r="J18" i="12"/>
  <c r="J19" i="12"/>
  <c r="J20" i="12"/>
  <c r="J21" i="12"/>
  <c r="J22" i="12"/>
  <c r="J24" i="12"/>
  <c r="J27" i="12"/>
  <c r="J28" i="12"/>
  <c r="J29" i="12"/>
  <c r="J30" i="12"/>
  <c r="J31" i="12"/>
  <c r="J32" i="12"/>
  <c r="J35" i="12"/>
  <c r="J38" i="12"/>
  <c r="J39" i="12"/>
  <c r="J40" i="12"/>
  <c r="J41" i="12"/>
  <c r="J42" i="12"/>
  <c r="J46" i="12"/>
  <c r="J49" i="12"/>
  <c r="J50" i="12"/>
  <c r="J52" i="12"/>
  <c r="J53" i="12"/>
  <c r="J54" i="12"/>
  <c r="J56" i="12"/>
  <c r="J57" i="12"/>
  <c r="J58" i="12"/>
  <c r="J59" i="12"/>
  <c r="J60" i="12"/>
  <c r="J61" i="12"/>
  <c r="J62" i="12"/>
  <c r="J4" i="12"/>
  <c r="J5" i="12"/>
  <c r="J6" i="12"/>
  <c r="J7" i="12"/>
  <c r="J8" i="12"/>
  <c r="J9" i="12"/>
  <c r="J12" i="12"/>
  <c r="J13" i="12"/>
  <c r="J15" i="12"/>
  <c r="J3" i="12"/>
  <c r="I4" i="12" a="1"/>
  <c r="I4" i="12" s="1"/>
  <c r="I5" i="12" a="1"/>
  <c r="I5" i="12" s="1"/>
  <c r="I6" i="12" a="1"/>
  <c r="I6" i="12" s="1"/>
  <c r="I7" i="12" a="1"/>
  <c r="I7" i="12" s="1"/>
  <c r="I8" i="12" a="1"/>
  <c r="I8" i="12" s="1"/>
  <c r="I9" i="12" a="1"/>
  <c r="I9" i="12" s="1"/>
  <c r="I12" i="12" a="1"/>
  <c r="I12" i="12" s="1"/>
  <c r="I13" i="12" a="1"/>
  <c r="I13" i="12" s="1"/>
  <c r="I15" i="12" a="1"/>
  <c r="I15" i="12" s="1"/>
  <c r="I48" i="12" a="1"/>
  <c r="I48" i="12" s="1"/>
  <c r="I16" i="12" a="1"/>
  <c r="I16" i="12" s="1"/>
  <c r="I18" i="12" a="1"/>
  <c r="I18" i="12" s="1"/>
  <c r="I19" i="12" a="1"/>
  <c r="I19" i="12" s="1"/>
  <c r="I20" i="12" a="1"/>
  <c r="I20" i="12" s="1"/>
  <c r="I21" i="12" a="1"/>
  <c r="I21" i="12" s="1"/>
  <c r="I22" i="12" a="1"/>
  <c r="I22" i="12" s="1"/>
  <c r="I24" i="12" a="1"/>
  <c r="I24" i="12" s="1"/>
  <c r="I27" i="12" a="1"/>
  <c r="I27" i="12" s="1"/>
  <c r="I28" i="12" a="1"/>
  <c r="I28" i="12" s="1"/>
  <c r="I29" i="12" a="1"/>
  <c r="I29" i="12" s="1"/>
  <c r="I30" i="12" a="1"/>
  <c r="I30" i="12" s="1"/>
  <c r="I31" i="12" a="1"/>
  <c r="I31" i="12" s="1"/>
  <c r="I32" i="12" a="1"/>
  <c r="I32" i="12" s="1"/>
  <c r="I35" i="12" a="1"/>
  <c r="I35" i="12" s="1"/>
  <c r="I38" i="12" a="1"/>
  <c r="I38" i="12" s="1"/>
  <c r="I39" i="12" a="1"/>
  <c r="I39" i="12" s="1"/>
  <c r="I40" i="12" a="1"/>
  <c r="I40" i="12" s="1"/>
  <c r="I41" i="12" a="1"/>
  <c r="I41" i="12" s="1"/>
  <c r="I42" i="12" a="1"/>
  <c r="I42" i="12" s="1"/>
  <c r="I46" i="12" a="1"/>
  <c r="I46" i="12" s="1"/>
  <c r="I49" i="12" a="1"/>
  <c r="I49" i="12" s="1"/>
  <c r="I50" i="12" a="1"/>
  <c r="I50" i="12" s="1"/>
  <c r="I52" i="12" a="1"/>
  <c r="I52" i="12" s="1"/>
  <c r="I53" i="12" a="1"/>
  <c r="I53" i="12" s="1"/>
  <c r="I54" i="12" a="1"/>
  <c r="I54" i="12" s="1"/>
  <c r="I56" i="12" a="1"/>
  <c r="I56" i="12" s="1"/>
  <c r="I57" i="12" a="1"/>
  <c r="I57" i="12" s="1"/>
  <c r="I58" i="12" a="1"/>
  <c r="I58" i="12" s="1"/>
  <c r="I59" i="12" a="1"/>
  <c r="I59" i="12" s="1"/>
  <c r="I60" i="12" a="1"/>
  <c r="I60" i="12" s="1"/>
  <c r="I61" i="12" a="1"/>
  <c r="I61" i="12" s="1"/>
  <c r="I62" i="12" a="1"/>
  <c r="I62" i="12" s="1"/>
  <c r="I3" i="12" a="1"/>
  <c r="I3" i="12" s="1"/>
  <c r="G48" i="12"/>
  <c r="G16" i="12"/>
  <c r="G18" i="12"/>
  <c r="G19" i="12"/>
  <c r="G20" i="12"/>
  <c r="G21" i="12"/>
  <c r="G22" i="12"/>
  <c r="G24" i="12"/>
  <c r="G27" i="12"/>
  <c r="G28" i="12"/>
  <c r="G29" i="12"/>
  <c r="G30" i="12"/>
  <c r="G31" i="12"/>
  <c r="G32" i="12"/>
  <c r="G35" i="12"/>
  <c r="G38" i="12"/>
  <c r="G39" i="12"/>
  <c r="G40" i="12"/>
  <c r="G41" i="12"/>
  <c r="G42" i="12"/>
  <c r="G46" i="12"/>
  <c r="G49" i="12"/>
  <c r="G50" i="12"/>
  <c r="G52" i="12"/>
  <c r="G53" i="12"/>
  <c r="G54" i="12"/>
  <c r="G56" i="12"/>
  <c r="G57" i="12"/>
  <c r="G58" i="12"/>
  <c r="G59" i="12"/>
  <c r="G60" i="12"/>
  <c r="G61" i="12"/>
  <c r="G62" i="12"/>
  <c r="G4" i="12"/>
  <c r="G5" i="12"/>
  <c r="G6" i="12"/>
  <c r="G7" i="12"/>
  <c r="G8" i="12"/>
  <c r="G9" i="12"/>
  <c r="G12" i="12"/>
  <c r="G13" i="12"/>
  <c r="G15" i="12"/>
  <c r="G3" i="12"/>
  <c r="F4" i="12"/>
  <c r="F5" i="12"/>
  <c r="F6" i="12"/>
  <c r="F7" i="12"/>
  <c r="F8" i="12"/>
  <c r="F9" i="12"/>
  <c r="F12" i="12"/>
  <c r="F13" i="12"/>
  <c r="F15" i="12"/>
  <c r="F48" i="12"/>
  <c r="F16" i="12"/>
  <c r="F18" i="12"/>
  <c r="F19" i="12"/>
  <c r="F20" i="12"/>
  <c r="F21" i="12"/>
  <c r="F22" i="12"/>
  <c r="F24" i="12"/>
  <c r="F27" i="12"/>
  <c r="F28" i="12"/>
  <c r="F29" i="12"/>
  <c r="F30" i="12"/>
  <c r="F31" i="12"/>
  <c r="F32" i="12"/>
  <c r="F35" i="12"/>
  <c r="F38" i="12"/>
  <c r="F39" i="12"/>
  <c r="F40" i="12"/>
  <c r="F41" i="12"/>
  <c r="F42" i="12"/>
  <c r="F46" i="12"/>
  <c r="F49" i="12"/>
  <c r="F50" i="12"/>
  <c r="F52" i="12"/>
  <c r="F53" i="12"/>
  <c r="F54" i="12"/>
  <c r="F56" i="12"/>
  <c r="F57" i="12"/>
  <c r="F58" i="12"/>
  <c r="F59" i="12"/>
  <c r="F60" i="12"/>
  <c r="F61" i="12"/>
  <c r="F62" i="12"/>
  <c r="F3" i="12"/>
  <c r="AH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V58" i="11"/>
  <c r="W58" i="11"/>
  <c r="X58" i="11"/>
  <c r="Y58" i="11"/>
  <c r="Z58" i="11"/>
  <c r="AA58" i="11"/>
  <c r="AB58" i="11"/>
  <c r="AC58" i="11"/>
  <c r="AE58" i="11"/>
  <c r="AF58" i="11"/>
  <c r="AG58" i="11"/>
  <c r="AH58" i="11"/>
  <c r="AI58" i="11"/>
  <c r="AJ58" i="11"/>
  <c r="U58" i="11"/>
  <c r="V57" i="11"/>
  <c r="W57" i="11"/>
  <c r="X57" i="11"/>
  <c r="Y57" i="11"/>
  <c r="Z57" i="11"/>
  <c r="AA57" i="11"/>
  <c r="AB57" i="11"/>
  <c r="AC57" i="11"/>
  <c r="AE57" i="11"/>
  <c r="AF57" i="11"/>
  <c r="AG57" i="11"/>
  <c r="AH57" i="11"/>
  <c r="AI57" i="11"/>
  <c r="AJ57" i="11"/>
  <c r="U57" i="11"/>
  <c r="V55" i="11"/>
  <c r="W55" i="11"/>
  <c r="X55" i="11"/>
  <c r="Y55" i="11"/>
  <c r="Z55" i="11"/>
  <c r="AA55" i="11"/>
  <c r="AB55" i="11"/>
  <c r="AC55" i="11"/>
  <c r="AE55" i="11"/>
  <c r="AF55" i="11"/>
  <c r="AG55" i="11"/>
  <c r="AH55" i="11"/>
  <c r="AI55" i="11"/>
  <c r="AJ55" i="11"/>
  <c r="U55" i="11"/>
  <c r="V52" i="11"/>
  <c r="W52" i="11"/>
  <c r="X52" i="11"/>
  <c r="Y52" i="11"/>
  <c r="Z52" i="11"/>
  <c r="AA52" i="11"/>
  <c r="AB52" i="11"/>
  <c r="AC52" i="11"/>
  <c r="AE52" i="11"/>
  <c r="AF52" i="11"/>
  <c r="AG52" i="11"/>
  <c r="AH52" i="11"/>
  <c r="AI52" i="11"/>
  <c r="AJ52" i="11"/>
  <c r="U52" i="11"/>
  <c r="V51" i="11"/>
  <c r="W51" i="11"/>
  <c r="X51" i="11"/>
  <c r="Y51" i="11"/>
  <c r="Z51" i="11"/>
  <c r="AA51" i="11"/>
  <c r="AB51" i="11"/>
  <c r="AC51" i="11"/>
  <c r="AE51" i="11"/>
  <c r="AF51" i="11"/>
  <c r="AG51" i="11"/>
  <c r="AH51" i="11"/>
  <c r="AI51" i="11"/>
  <c r="AJ51" i="11"/>
  <c r="U51" i="11"/>
  <c r="V49" i="11"/>
  <c r="W49" i="11"/>
  <c r="X49" i="11"/>
  <c r="Y49" i="11"/>
  <c r="Z49" i="11"/>
  <c r="AA49" i="11"/>
  <c r="AB49" i="11"/>
  <c r="AC49" i="11"/>
  <c r="AE49" i="11"/>
  <c r="AF49" i="11"/>
  <c r="AG49" i="11"/>
  <c r="AH49" i="11"/>
  <c r="AI49" i="11"/>
  <c r="AJ49" i="11"/>
  <c r="U49" i="11"/>
  <c r="V47" i="11"/>
  <c r="W47" i="11"/>
  <c r="X47" i="11"/>
  <c r="Y47" i="11"/>
  <c r="Z47" i="11"/>
  <c r="AA47" i="11"/>
  <c r="AB47" i="11"/>
  <c r="AC47" i="11"/>
  <c r="AE47" i="11"/>
  <c r="AF47" i="11"/>
  <c r="AG47" i="11"/>
  <c r="AH47" i="11"/>
  <c r="AI47" i="11"/>
  <c r="AJ47" i="11"/>
  <c r="U47" i="11"/>
  <c r="V43" i="11"/>
  <c r="W43" i="11"/>
  <c r="X43" i="11"/>
  <c r="Y43" i="11"/>
  <c r="Z43" i="11"/>
  <c r="AA43" i="11"/>
  <c r="AB43" i="11"/>
  <c r="AC43" i="11"/>
  <c r="AE43" i="11"/>
  <c r="AF43" i="11"/>
  <c r="AG43" i="11"/>
  <c r="AH43" i="11"/>
  <c r="AI43" i="11"/>
  <c r="AJ43" i="11"/>
  <c r="V42" i="11"/>
  <c r="W42" i="11"/>
  <c r="X42" i="11"/>
  <c r="Y42" i="11"/>
  <c r="Z42" i="11"/>
  <c r="AA42" i="11"/>
  <c r="AB42" i="11"/>
  <c r="AC42" i="11"/>
  <c r="AE42" i="11"/>
  <c r="AF42" i="11"/>
  <c r="AG42" i="11"/>
  <c r="AH42" i="11"/>
  <c r="AI42" i="11"/>
  <c r="AJ42" i="11"/>
  <c r="U42" i="11"/>
  <c r="V41" i="11"/>
  <c r="W41" i="11"/>
  <c r="X41" i="11"/>
  <c r="Y41" i="11"/>
  <c r="Z41" i="11"/>
  <c r="AA41" i="11"/>
  <c r="AB41" i="11"/>
  <c r="AC41" i="11"/>
  <c r="AE41" i="11"/>
  <c r="AF41" i="11"/>
  <c r="AG41" i="11"/>
  <c r="AH41" i="11"/>
  <c r="AI41" i="11"/>
  <c r="AJ41" i="11"/>
  <c r="U41" i="11"/>
  <c r="V40" i="11"/>
  <c r="W40" i="11"/>
  <c r="X40" i="11"/>
  <c r="Y40" i="11"/>
  <c r="Z40" i="11"/>
  <c r="AA40" i="11"/>
  <c r="AB40" i="11"/>
  <c r="AC40" i="11"/>
  <c r="AE40" i="11"/>
  <c r="AF40" i="11"/>
  <c r="AG40" i="11"/>
  <c r="AH40" i="11"/>
  <c r="AI40" i="11"/>
  <c r="AJ40" i="11"/>
  <c r="U40" i="11"/>
  <c r="V39" i="11"/>
  <c r="W39" i="11"/>
  <c r="X39" i="11"/>
  <c r="Y39" i="11"/>
  <c r="Z39" i="11"/>
  <c r="AA39" i="11"/>
  <c r="AB39" i="11"/>
  <c r="AC39" i="11"/>
  <c r="AE39" i="11"/>
  <c r="AF39" i="11"/>
  <c r="AG39" i="11"/>
  <c r="AH39" i="11"/>
  <c r="AI39" i="11"/>
  <c r="AJ39" i="11"/>
  <c r="U39" i="11"/>
  <c r="V38" i="11"/>
  <c r="W38" i="11"/>
  <c r="X38" i="11"/>
  <c r="Y38" i="11"/>
  <c r="Z38" i="11"/>
  <c r="AA38" i="11"/>
  <c r="AB38" i="11"/>
  <c r="AC38" i="11"/>
  <c r="AE38" i="11"/>
  <c r="AF38" i="11"/>
  <c r="AG38" i="11"/>
  <c r="AH38" i="11"/>
  <c r="AI38" i="11"/>
  <c r="AJ38" i="11"/>
  <c r="U38" i="11"/>
  <c r="V36" i="11"/>
  <c r="W36" i="11"/>
  <c r="X36" i="11"/>
  <c r="Y36" i="11"/>
  <c r="Z36" i="11"/>
  <c r="AA36" i="11"/>
  <c r="AB36" i="11"/>
  <c r="AC36" i="11"/>
  <c r="AE36" i="11"/>
  <c r="AF36" i="11"/>
  <c r="AG36" i="11"/>
  <c r="AH36" i="11"/>
  <c r="AI36" i="11"/>
  <c r="AJ36" i="11"/>
  <c r="U36" i="11"/>
  <c r="V34" i="11"/>
  <c r="W34" i="11"/>
  <c r="X34" i="11"/>
  <c r="Y34" i="11"/>
  <c r="Z34" i="11"/>
  <c r="AA34" i="11"/>
  <c r="AB34" i="11"/>
  <c r="AC34" i="11"/>
  <c r="AE34" i="11"/>
  <c r="AF34" i="11"/>
  <c r="AG34" i="11"/>
  <c r="AH34" i="11"/>
  <c r="AI34" i="11"/>
  <c r="AJ34" i="11"/>
  <c r="U34" i="11"/>
  <c r="V33" i="11"/>
  <c r="W33" i="11"/>
  <c r="X33" i="11"/>
  <c r="Y33" i="11"/>
  <c r="Z33" i="11"/>
  <c r="AA33" i="11"/>
  <c r="AB33" i="11"/>
  <c r="AC33" i="11"/>
  <c r="AE33" i="11"/>
  <c r="AF33" i="11"/>
  <c r="AG33" i="11"/>
  <c r="AH33" i="11"/>
  <c r="AI33" i="11"/>
  <c r="AJ33" i="11"/>
  <c r="U33" i="11"/>
  <c r="V32" i="11"/>
  <c r="W32" i="11"/>
  <c r="X32" i="11"/>
  <c r="Y32" i="11"/>
  <c r="Z32" i="11"/>
  <c r="AA32" i="11"/>
  <c r="AB32" i="11"/>
  <c r="AC32" i="11"/>
  <c r="AE32" i="11"/>
  <c r="AF32" i="11"/>
  <c r="AG32" i="11"/>
  <c r="AH32" i="11"/>
  <c r="AI32" i="11"/>
  <c r="AJ32" i="11"/>
  <c r="U32" i="11"/>
  <c r="V31" i="11"/>
  <c r="W31" i="11"/>
  <c r="X31" i="11"/>
  <c r="Y31" i="11"/>
  <c r="Z31" i="11"/>
  <c r="AA31" i="11"/>
  <c r="AB31" i="11"/>
  <c r="AC31" i="11"/>
  <c r="AE31" i="11"/>
  <c r="AF31" i="11"/>
  <c r="AG31" i="11"/>
  <c r="AH31" i="11"/>
  <c r="AI31" i="11"/>
  <c r="AJ31" i="11"/>
  <c r="U31" i="11"/>
  <c r="V30" i="11"/>
  <c r="W30" i="11"/>
  <c r="X30" i="11"/>
  <c r="Y30" i="11"/>
  <c r="Z30" i="11"/>
  <c r="AA30" i="11"/>
  <c r="AB30" i="11"/>
  <c r="AC30" i="11"/>
  <c r="AE30" i="11"/>
  <c r="AF30" i="11"/>
  <c r="AG30" i="11"/>
  <c r="AH30" i="11"/>
  <c r="AI30" i="11"/>
  <c r="AJ30" i="11"/>
  <c r="U30" i="11"/>
  <c r="V29" i="11"/>
  <c r="W29" i="11"/>
  <c r="X29" i="11"/>
  <c r="Y29" i="11"/>
  <c r="Z29" i="11"/>
  <c r="AA29" i="11"/>
  <c r="AB29" i="11"/>
  <c r="AC29" i="11"/>
  <c r="AE29" i="11"/>
  <c r="AF29" i="11"/>
  <c r="AG29" i="11"/>
  <c r="AH29" i="11"/>
  <c r="AI29" i="11"/>
  <c r="AJ29" i="11"/>
  <c r="U29" i="11"/>
  <c r="V27" i="11"/>
  <c r="W27" i="11"/>
  <c r="X27" i="11"/>
  <c r="Y27" i="11"/>
  <c r="Z27" i="11"/>
  <c r="AA27" i="11"/>
  <c r="AB27" i="11"/>
  <c r="AC27" i="11"/>
  <c r="AE27" i="11"/>
  <c r="AF27" i="11"/>
  <c r="AG27" i="11"/>
  <c r="AH27" i="11"/>
  <c r="AI27" i="11"/>
  <c r="AJ27" i="11"/>
  <c r="U27" i="11"/>
  <c r="V26" i="11"/>
  <c r="W26" i="11"/>
  <c r="X26" i="11"/>
  <c r="Y26" i="11"/>
  <c r="Z26" i="11"/>
  <c r="AA26" i="11"/>
  <c r="AB26" i="11"/>
  <c r="AC26" i="11"/>
  <c r="AE26" i="11"/>
  <c r="AF26" i="11"/>
  <c r="AG26" i="11"/>
  <c r="AH26" i="11"/>
  <c r="AI26" i="11"/>
  <c r="AJ26" i="11"/>
  <c r="U26" i="11"/>
  <c r="V24" i="11"/>
  <c r="W24" i="11"/>
  <c r="X24" i="11"/>
  <c r="Y24" i="11"/>
  <c r="Z24" i="11"/>
  <c r="AA24" i="11"/>
  <c r="AB24" i="11"/>
  <c r="AC24" i="11"/>
  <c r="AE24" i="11"/>
  <c r="AF24" i="11"/>
  <c r="AG24" i="11"/>
  <c r="AH24" i="11"/>
  <c r="AI24" i="11"/>
  <c r="AJ24" i="11"/>
  <c r="U24" i="11"/>
  <c r="V23" i="11"/>
  <c r="W23" i="11"/>
  <c r="X23" i="11"/>
  <c r="Y23" i="11"/>
  <c r="Z23" i="11"/>
  <c r="AA23" i="11"/>
  <c r="AB23" i="11"/>
  <c r="AC23" i="11"/>
  <c r="AE23" i="11"/>
  <c r="AF23" i="11"/>
  <c r="AG23" i="11"/>
  <c r="AH23" i="11"/>
  <c r="AI23" i="11"/>
  <c r="AJ23" i="11"/>
  <c r="U23" i="11"/>
  <c r="V22" i="11"/>
  <c r="W22" i="11"/>
  <c r="X22" i="11"/>
  <c r="Y22" i="11"/>
  <c r="Z22" i="11"/>
  <c r="AA22" i="11"/>
  <c r="AB22" i="11"/>
  <c r="AC22" i="11"/>
  <c r="AE22" i="11"/>
  <c r="AF22" i="11"/>
  <c r="AG22" i="11"/>
  <c r="AH22" i="11"/>
  <c r="AI22" i="11"/>
  <c r="AJ22" i="11"/>
  <c r="U22" i="11"/>
  <c r="V21" i="11"/>
  <c r="W21" i="11"/>
  <c r="X21" i="11"/>
  <c r="Y21" i="11"/>
  <c r="Z21" i="11"/>
  <c r="AA21" i="11"/>
  <c r="AB21" i="11"/>
  <c r="AC21" i="11"/>
  <c r="AE21" i="11"/>
  <c r="AF21" i="11"/>
  <c r="AG21" i="11"/>
  <c r="AH21" i="11"/>
  <c r="AI21" i="11"/>
  <c r="AJ21" i="11"/>
  <c r="U21" i="11"/>
  <c r="V16" i="11"/>
  <c r="W16" i="11"/>
  <c r="X16" i="11"/>
  <c r="Y16" i="11"/>
  <c r="Z16" i="11"/>
  <c r="AA16" i="11"/>
  <c r="AB16" i="11"/>
  <c r="AC16" i="11"/>
  <c r="AE16" i="11"/>
  <c r="AF16" i="11"/>
  <c r="AG16" i="11"/>
  <c r="AH16" i="11"/>
  <c r="AI16" i="11"/>
  <c r="AJ16" i="11"/>
  <c r="U16" i="11"/>
  <c r="V15" i="11"/>
  <c r="W15" i="11"/>
  <c r="X15" i="11"/>
  <c r="Y15" i="11"/>
  <c r="Z15" i="11"/>
  <c r="AA15" i="11"/>
  <c r="AB15" i="11"/>
  <c r="AC15" i="11"/>
  <c r="AE15" i="11"/>
  <c r="AF15" i="11"/>
  <c r="AG15" i="11"/>
  <c r="AH15" i="11"/>
  <c r="AI15" i="11"/>
  <c r="AJ15" i="11"/>
  <c r="U15" i="11"/>
  <c r="V13" i="11"/>
  <c r="W13" i="11"/>
  <c r="X13" i="11"/>
  <c r="Y13" i="11"/>
  <c r="Z13" i="11"/>
  <c r="AA13" i="11"/>
  <c r="AB13" i="11"/>
  <c r="AC13" i="11"/>
  <c r="AE13" i="11"/>
  <c r="AF13" i="11"/>
  <c r="AG13" i="11"/>
  <c r="AH13" i="11"/>
  <c r="AI13" i="11"/>
  <c r="AJ13" i="11"/>
  <c r="U13" i="11"/>
  <c r="V10" i="11"/>
  <c r="W10" i="11"/>
  <c r="X10" i="11"/>
  <c r="Y10" i="11"/>
  <c r="Z10" i="11"/>
  <c r="AA10" i="11"/>
  <c r="AB10" i="11"/>
  <c r="AC10" i="11"/>
  <c r="AE10" i="11"/>
  <c r="AF10" i="11"/>
  <c r="AG10" i="11"/>
  <c r="AH10" i="11"/>
  <c r="AI10" i="11"/>
  <c r="AJ10" i="11"/>
  <c r="U10" i="11"/>
  <c r="U9" i="11"/>
  <c r="V8" i="11"/>
  <c r="W8" i="11"/>
  <c r="X8" i="11"/>
  <c r="Y8" i="11"/>
  <c r="Z8" i="11"/>
  <c r="AA8" i="11"/>
  <c r="AB8" i="11"/>
  <c r="AC8" i="11"/>
  <c r="AE8" i="11"/>
  <c r="AF8" i="11"/>
  <c r="AG8" i="11"/>
  <c r="AH8" i="11"/>
  <c r="AI8" i="11"/>
  <c r="AJ8" i="11"/>
  <c r="U8" i="11"/>
  <c r="V7" i="11"/>
  <c r="W7" i="11"/>
  <c r="X7" i="11"/>
  <c r="Y7" i="11"/>
  <c r="Z7" i="11"/>
  <c r="AA7" i="11"/>
  <c r="AB7" i="11"/>
  <c r="AC7" i="11"/>
  <c r="AE7" i="11"/>
  <c r="AF7" i="11"/>
  <c r="AG7" i="11"/>
  <c r="AH7" i="11"/>
  <c r="AI7" i="11"/>
  <c r="AJ7" i="11"/>
  <c r="U7" i="11"/>
  <c r="V5" i="11"/>
  <c r="W5" i="11"/>
  <c r="X5" i="11"/>
  <c r="Y5" i="11"/>
  <c r="Z5" i="11"/>
  <c r="AA5" i="11"/>
  <c r="AB5" i="11"/>
  <c r="AC5" i="11"/>
  <c r="AE5" i="11"/>
  <c r="AF5" i="11"/>
  <c r="AG5" i="11"/>
  <c r="AH5" i="11"/>
  <c r="AI5" i="11"/>
  <c r="AJ5" i="11"/>
  <c r="U5" i="11"/>
  <c r="V20" i="11"/>
  <c r="W20" i="11"/>
  <c r="X20" i="11"/>
  <c r="Y20" i="11"/>
  <c r="Z20" i="11"/>
  <c r="AA20" i="11"/>
  <c r="AB20" i="11"/>
  <c r="AC20" i="11"/>
  <c r="AE20" i="11"/>
  <c r="AF20" i="11"/>
  <c r="AG20" i="11"/>
  <c r="AH20" i="11"/>
  <c r="AI20" i="11"/>
  <c r="AJ20" i="11"/>
  <c r="U20" i="11"/>
  <c r="R5" i="11"/>
  <c r="S5" i="11" s="1"/>
  <c r="O7" i="11"/>
  <c r="P7" i="11" s="1"/>
  <c r="O8" i="11"/>
  <c r="P8" i="11" s="1"/>
  <c r="O9" i="11"/>
  <c r="P9" i="11" s="1"/>
  <c r="O10" i="11"/>
  <c r="P10" i="11" s="1"/>
  <c r="O13" i="11"/>
  <c r="P13" i="11" s="1"/>
  <c r="O15" i="11"/>
  <c r="P15" i="11" s="1"/>
  <c r="O16" i="11"/>
  <c r="P16" i="11" s="1"/>
  <c r="O20" i="11"/>
  <c r="P20" i="11" s="1"/>
  <c r="O21" i="11"/>
  <c r="P21" i="11" s="1"/>
  <c r="O22" i="11"/>
  <c r="P22" i="11" s="1"/>
  <c r="O23" i="11"/>
  <c r="P23" i="11" s="1"/>
  <c r="O24" i="11"/>
  <c r="P24" i="11" s="1"/>
  <c r="O26" i="11"/>
  <c r="P26" i="11" s="1"/>
  <c r="O27" i="11"/>
  <c r="P27" i="11" s="1"/>
  <c r="O29" i="11"/>
  <c r="P29" i="11" s="1"/>
  <c r="O30" i="11"/>
  <c r="P30" i="11" s="1"/>
  <c r="O31" i="11"/>
  <c r="P31" i="11" s="1"/>
  <c r="O32" i="11"/>
  <c r="P32" i="11" s="1"/>
  <c r="O33" i="11"/>
  <c r="P33" i="11" s="1"/>
  <c r="O34" i="11"/>
  <c r="P34" i="11" s="1"/>
  <c r="O36" i="11"/>
  <c r="P36" i="11" s="1"/>
  <c r="O38" i="11"/>
  <c r="P38" i="11" s="1"/>
  <c r="O39" i="11"/>
  <c r="P39" i="11" s="1"/>
  <c r="O40" i="11"/>
  <c r="P40" i="11" s="1"/>
  <c r="O41" i="11"/>
  <c r="P41" i="11" s="1"/>
  <c r="O42" i="11"/>
  <c r="P42" i="11" s="1"/>
  <c r="O43" i="11"/>
  <c r="P43" i="11" s="1"/>
  <c r="O47" i="11"/>
  <c r="P47" i="11" s="1"/>
  <c r="O49" i="11"/>
  <c r="P49" i="11" s="1"/>
  <c r="O51" i="11"/>
  <c r="P51" i="11" s="1"/>
  <c r="O52" i="11"/>
  <c r="P52" i="11" s="1"/>
  <c r="O55" i="11"/>
  <c r="P55" i="11" s="1"/>
  <c r="O57" i="11"/>
  <c r="P57" i="11" s="1"/>
  <c r="O58" i="11"/>
  <c r="P58" i="11" s="1"/>
  <c r="O5" i="11"/>
  <c r="P5" i="11" s="1"/>
  <c r="M7" i="11"/>
  <c r="M8" i="11"/>
  <c r="M9" i="11"/>
  <c r="M10" i="11"/>
  <c r="M13" i="11"/>
  <c r="M15" i="11"/>
  <c r="M16" i="11"/>
  <c r="M20" i="11"/>
  <c r="M21" i="11"/>
  <c r="M22" i="11"/>
  <c r="M23" i="11"/>
  <c r="M24" i="11"/>
  <c r="M26" i="11"/>
  <c r="M27" i="11"/>
  <c r="M29" i="11"/>
  <c r="M30" i="11"/>
  <c r="M31" i="11"/>
  <c r="M32" i="11"/>
  <c r="M33" i="11"/>
  <c r="M34" i="11"/>
  <c r="M36" i="11"/>
  <c r="M38" i="11"/>
  <c r="M39" i="11"/>
  <c r="M40" i="11"/>
  <c r="M41" i="11"/>
  <c r="M42" i="11"/>
  <c r="M43" i="11"/>
  <c r="M47" i="11"/>
  <c r="M49" i="11"/>
  <c r="M51" i="11"/>
  <c r="M52" i="11"/>
  <c r="M55" i="11"/>
  <c r="M57" i="11"/>
  <c r="M58" i="11"/>
  <c r="M5" i="11"/>
  <c r="L7" i="11"/>
  <c r="L8" i="11"/>
  <c r="L9" i="11"/>
  <c r="L10" i="11"/>
  <c r="L13" i="11"/>
  <c r="L15" i="11"/>
  <c r="L16" i="11"/>
  <c r="L20" i="11"/>
  <c r="L21" i="11"/>
  <c r="L22" i="11"/>
  <c r="L23" i="11"/>
  <c r="L24" i="11"/>
  <c r="L26" i="11"/>
  <c r="L27" i="11"/>
  <c r="L29" i="11"/>
  <c r="L30" i="11"/>
  <c r="L31" i="11"/>
  <c r="L32" i="11"/>
  <c r="L33" i="11"/>
  <c r="L34" i="11"/>
  <c r="L36" i="11"/>
  <c r="L38" i="11"/>
  <c r="L39" i="11"/>
  <c r="L40" i="11"/>
  <c r="L41" i="11"/>
  <c r="L42" i="11"/>
  <c r="L43" i="11"/>
  <c r="L47" i="11"/>
  <c r="L49" i="11"/>
  <c r="L51" i="11"/>
  <c r="L52" i="11"/>
  <c r="L55" i="11"/>
  <c r="L57" i="11"/>
  <c r="L58" i="11"/>
  <c r="L5" i="11"/>
  <c r="R7" i="11"/>
  <c r="S7" i="11" s="1"/>
  <c r="R8" i="11"/>
  <c r="S8" i="11" s="1"/>
  <c r="R9" i="11"/>
  <c r="S9" i="11" s="1"/>
  <c r="R10" i="11"/>
  <c r="S10" i="11" s="1"/>
  <c r="R13" i="11"/>
  <c r="S13" i="11" s="1"/>
  <c r="R16" i="11"/>
  <c r="S16" i="11" s="1"/>
  <c r="R20" i="11"/>
  <c r="S20" i="11" s="1"/>
  <c r="R21" i="11"/>
  <c r="S21" i="11" s="1"/>
  <c r="R22" i="11"/>
  <c r="S22" i="11" s="1"/>
  <c r="R23" i="11"/>
  <c r="S23" i="11" s="1"/>
  <c r="R24" i="11"/>
  <c r="S24" i="11" s="1"/>
  <c r="R26" i="11"/>
  <c r="S26" i="11" s="1"/>
  <c r="R27" i="11"/>
  <c r="S27" i="11" s="1"/>
  <c r="R29" i="11"/>
  <c r="S29" i="11" s="1"/>
  <c r="R30" i="11"/>
  <c r="S30" i="11" s="1"/>
  <c r="R31" i="11"/>
  <c r="S31" i="11" s="1"/>
  <c r="R32" i="11"/>
  <c r="S32" i="11" s="1"/>
  <c r="R33" i="11"/>
  <c r="R34" i="11"/>
  <c r="S34" i="11" s="1"/>
  <c r="R36" i="11"/>
  <c r="S36" i="11" s="1"/>
  <c r="R38" i="11"/>
  <c r="S38" i="11" s="1"/>
  <c r="R39" i="11"/>
  <c r="S39" i="11" s="1"/>
  <c r="R40" i="11"/>
  <c r="S40" i="11" s="1"/>
  <c r="R41" i="11"/>
  <c r="S41" i="11" s="1"/>
  <c r="R42" i="11"/>
  <c r="S42" i="11" s="1"/>
  <c r="R43" i="11"/>
  <c r="S43" i="11" s="1"/>
  <c r="R47" i="11"/>
  <c r="S47" i="11" s="1"/>
  <c r="R49" i="11"/>
  <c r="S49" i="11" s="1"/>
  <c r="R51" i="11"/>
  <c r="S51" i="11" s="1"/>
  <c r="R52" i="11"/>
  <c r="S52" i="11" s="1"/>
  <c r="R55" i="11"/>
  <c r="S55" i="11" s="1"/>
  <c r="R57" i="11"/>
  <c r="S57" i="11" s="1"/>
  <c r="R58" i="11"/>
  <c r="S58" i="11" s="1"/>
  <c r="K16" i="11" a="1"/>
  <c r="K16" i="11" s="1"/>
  <c r="K20" i="11" a="1"/>
  <c r="K20" i="11" s="1"/>
  <c r="K21" i="11" a="1"/>
  <c r="K21" i="11" s="1"/>
  <c r="K22" i="11" a="1"/>
  <c r="K22" i="11" s="1"/>
  <c r="K23" i="11" a="1"/>
  <c r="K23" i="11" s="1"/>
  <c r="K24" i="11" a="1"/>
  <c r="K24" i="11" s="1"/>
  <c r="K26" i="11" a="1"/>
  <c r="K26" i="11" s="1"/>
  <c r="K27" i="11" a="1"/>
  <c r="K27" i="11" s="1"/>
  <c r="K29" i="11" a="1"/>
  <c r="K29" i="11" s="1"/>
  <c r="K30" i="11" a="1"/>
  <c r="K30" i="11" s="1"/>
  <c r="K31" i="11" a="1"/>
  <c r="K31" i="11" s="1"/>
  <c r="K32" i="11" a="1"/>
  <c r="K32" i="11" s="1"/>
  <c r="K33" i="11" a="1"/>
  <c r="K33" i="11" s="1"/>
  <c r="K34" i="11" a="1"/>
  <c r="K34" i="11" s="1"/>
  <c r="K36" i="11" a="1"/>
  <c r="K36" i="11" s="1"/>
  <c r="K38" i="11" a="1"/>
  <c r="K38" i="11" s="1"/>
  <c r="K39" i="11" a="1"/>
  <c r="K39" i="11" s="1"/>
  <c r="K40" i="11" a="1"/>
  <c r="K40" i="11" s="1"/>
  <c r="K41" i="11" a="1"/>
  <c r="K41" i="11" s="1"/>
  <c r="K42" i="11" a="1"/>
  <c r="K42" i="11" s="1"/>
  <c r="K43" i="11" a="1"/>
  <c r="K43" i="11" s="1"/>
  <c r="K47" i="11" a="1"/>
  <c r="K47" i="11" s="1"/>
  <c r="K49" i="11" a="1"/>
  <c r="K49" i="11" s="1"/>
  <c r="K51" i="11" a="1"/>
  <c r="K51" i="11" s="1"/>
  <c r="K52" i="11" a="1"/>
  <c r="K52" i="11" s="1"/>
  <c r="K55" i="11" a="1"/>
  <c r="K55" i="11" s="1"/>
  <c r="K57" i="11" a="1"/>
  <c r="K57" i="11" s="1"/>
  <c r="K58" i="11" a="1"/>
  <c r="K58" i="11" s="1"/>
  <c r="K5" i="11" a="1"/>
  <c r="K5" i="11" s="1"/>
  <c r="K7" i="11" a="1"/>
  <c r="K7" i="11" s="1"/>
  <c r="K8" i="11" a="1"/>
  <c r="K8" i="11" s="1"/>
  <c r="K9" i="11" a="1"/>
  <c r="K9" i="11" s="1"/>
  <c r="K10" i="11" a="1"/>
  <c r="K10" i="11" s="1"/>
  <c r="K13" i="11" a="1"/>
  <c r="K13" i="11" s="1"/>
  <c r="K15" i="11" a="1"/>
  <c r="K15" i="11" s="1"/>
  <c r="I5" i="11"/>
  <c r="I7" i="11"/>
  <c r="I8" i="11"/>
  <c r="I9" i="11"/>
  <c r="I10" i="11"/>
  <c r="I13" i="11"/>
  <c r="I16" i="11"/>
  <c r="I20" i="11"/>
  <c r="I21" i="11"/>
  <c r="I22" i="11"/>
  <c r="I23" i="11"/>
  <c r="I24" i="11"/>
  <c r="I26" i="11"/>
  <c r="I27" i="11"/>
  <c r="I29" i="11"/>
  <c r="I30" i="11"/>
  <c r="I31" i="11"/>
  <c r="I32" i="11"/>
  <c r="I33" i="11"/>
  <c r="I34" i="11"/>
  <c r="I36" i="11"/>
  <c r="I38" i="11"/>
  <c r="I39" i="11"/>
  <c r="I40" i="11"/>
  <c r="I41" i="11"/>
  <c r="I42" i="11"/>
  <c r="I43" i="11"/>
  <c r="I47" i="11"/>
  <c r="I49" i="11"/>
  <c r="I51" i="11"/>
  <c r="I52" i="11"/>
  <c r="I55" i="11"/>
  <c r="I57" i="11"/>
  <c r="I58" i="11"/>
  <c r="H15" i="11"/>
  <c r="H16" i="11"/>
  <c r="H20" i="11"/>
  <c r="H21" i="11"/>
  <c r="H22" i="11"/>
  <c r="H23" i="11"/>
  <c r="H24" i="11"/>
  <c r="H26" i="11"/>
  <c r="H27" i="11"/>
  <c r="H29" i="11"/>
  <c r="H30" i="11"/>
  <c r="H31" i="11"/>
  <c r="H32" i="11"/>
  <c r="H33" i="11"/>
  <c r="H34" i="11"/>
  <c r="H36" i="11"/>
  <c r="H38" i="11"/>
  <c r="H39" i="11"/>
  <c r="H40" i="11"/>
  <c r="H41" i="11"/>
  <c r="H42" i="11"/>
  <c r="H43" i="11"/>
  <c r="H47" i="11"/>
  <c r="H49" i="11"/>
  <c r="H51" i="11"/>
  <c r="H52" i="11"/>
  <c r="H55" i="11"/>
  <c r="H57" i="11"/>
  <c r="H58" i="11"/>
  <c r="H5" i="11"/>
  <c r="H7" i="11"/>
  <c r="H8" i="11"/>
  <c r="H9" i="11"/>
  <c r="H10" i="11"/>
  <c r="H13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R15" i="11"/>
  <c r="S15" i="11" s="1"/>
  <c r="I15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N41" i="11" l="1"/>
  <c r="T41" i="11"/>
  <c r="Q41" i="11"/>
  <c r="N22" i="11"/>
  <c r="T22" i="11"/>
  <c r="Q22" i="11"/>
  <c r="N30" i="11"/>
  <c r="T30" i="11"/>
  <c r="Q30" i="11"/>
  <c r="N38" i="11"/>
  <c r="T38" i="11"/>
  <c r="Q38" i="11"/>
  <c r="N34" i="11"/>
  <c r="T34" i="11"/>
  <c r="Q34" i="11"/>
  <c r="N27" i="11"/>
  <c r="T27" i="11"/>
  <c r="Q27" i="11"/>
  <c r="N7" i="11"/>
  <c r="T7" i="11"/>
  <c r="Q7" i="11"/>
  <c r="N31" i="11"/>
  <c r="T31" i="11"/>
  <c r="Q31" i="11"/>
  <c r="P28" i="11"/>
  <c r="N48" i="12"/>
  <c r="S33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<sst xmlns="http://schemas.openxmlformats.org/spreadsheetml/2006/main" count="6002" uniqueCount="243">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</sst>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8"/>
  <sheetViews>
    <sheetView workbookViewId="0">
      <pane xSplit="1" ySplit="1" topLeftCell="N29" activePane="bottomRight" state="frozen"/>
      <selection pane="topRight" activeCell="B1" sqref="B1"/>
      <selection pane="bottomLeft" activeCell="A2" sqref="A2"/>
      <selection pane="bottomRight" activeCell="U44" sqref="U44:AH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204</v>
      </c>
      <c r="I3" s="4">
        <f>AVERAGEIFS('OB History'!C:C,'OB History'!B:B,A3)</f>
        <v>12.75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8</v>
      </c>
      <c r="M3" s="2">
        <f>COUNTIFS('OB History'!B:B,A3,'OB History'!D:D, 0)</f>
        <v>8</v>
      </c>
      <c r="N3" s="88">
        <f>LOOKUP(2, 1/('OB History'!$B:$B=A3), 'OB History'!$AD:$AD)</f>
        <v>0.5</v>
      </c>
      <c r="O3" s="34">
        <f>SUMIFS('OB History'!F:F,'OB History'!B:B,A3)</f>
        <v>29</v>
      </c>
      <c r="P3" s="2">
        <f>SUMIFS('OB History'!E:E,'OB History'!B:B,A3)-O3</f>
        <v>34</v>
      </c>
      <c r="Q3" s="88">
        <f>LOOKUP(2, 1/('OB History'!$B:$B=A3), 'OB History'!$AB:$AB)</f>
        <v>0.44062499999999999</v>
      </c>
      <c r="R3" s="34">
        <f>SUMIFS('OB History'!H:H,'OB History'!B:B,A3)</f>
        <v>131</v>
      </c>
      <c r="S3" s="2">
        <f>SUMIFS('OB History'!G:G,'OB History'!B:B,A3)-R3</f>
        <v>135</v>
      </c>
      <c r="T3" s="88">
        <f>LOOKUP(2, 1/('OB History'!$B:$B=A3), 'OB History'!$AC:$AC)</f>
        <v>0.49249999999999994</v>
      </c>
      <c r="U3" s="2">
        <f>COUNTIFS('OB History'!$B:$B,$A$3,'OB History'!K:K, 1)</f>
        <v>1</v>
      </c>
      <c r="V3" s="2">
        <f>COUNTIFS('OB History'!$B:$B,$A$3,'OB History'!L:L, 1)</f>
        <v>3</v>
      </c>
      <c r="W3" s="2">
        <f>COUNTIFS('OB History'!$B:$B,$A$3,'OB History'!M:M, 1)</f>
        <v>1</v>
      </c>
      <c r="X3" s="2">
        <f>COUNTIFS('OB History'!$B:$B,$A$3,'OB History'!N:N, 1)</f>
        <v>5</v>
      </c>
      <c r="Y3" s="2">
        <f>COUNTIFS('OB History'!$B:$B,$A$3,'OB History'!O:O, 1)</f>
        <v>1</v>
      </c>
      <c r="Z3" s="2">
        <f>COUNTIFS('OB History'!$B:$B,$A$3,'OB History'!P:P, 1)</f>
        <v>2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3</v>
      </c>
      <c r="AJ3" s="2">
        <f>COUNTIFS('OB History'!$B:$B,$A$3,'OB History'!Z:Z, 1)</f>
        <v>3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301</v>
      </c>
      <c r="I4" s="4">
        <f>AVERAGEIFS('OB History'!C:C,'OB History'!B:B,A4)</f>
        <v>9.7096774193548381</v>
      </c>
      <c r="J4" s="4">
        <f t="array" ref="J4">MEDIAN(IF('OB History'!B:B=A4, 'OB History'!C:C))</f>
        <v>11</v>
      </c>
      <c r="K4" s="35">
        <f t="array" ref="K4">MAX(IF('OB History'!B:B=A4, 'OB History'!C:C))</f>
        <v>19</v>
      </c>
      <c r="L4" s="34">
        <f>COUNTIFS('OB History'!B:B,A4,'OB History'!D:D, 1)</f>
        <v>15</v>
      </c>
      <c r="M4" s="2">
        <f>COUNTIFS('OB History'!B:B,A4,'OB History'!D:D, 0)</f>
        <v>16</v>
      </c>
      <c r="N4" s="88">
        <f>LOOKUP(2, 1/('OB History'!$B:$B=A4), 'OB History'!$AD:$AD)</f>
        <v>0.4838709677419355</v>
      </c>
      <c r="O4" s="34">
        <f>SUMIFS('OB History'!F:F,'OB History'!B:B,A4)</f>
        <v>57</v>
      </c>
      <c r="P4" s="2">
        <f>SUMIFS('OB History'!E:E,'OB History'!B:B,A4)-O4</f>
        <v>64</v>
      </c>
      <c r="Q4" s="88">
        <f>LOOKUP(2, 1/('OB History'!$B:$B=A4), 'OB History'!$AB:$AB)</f>
        <v>0.47096774193548391</v>
      </c>
      <c r="R4" s="34">
        <f>SUMIFS('OB History'!H:H,'OB History'!B:B,A4)</f>
        <v>249</v>
      </c>
      <c r="S4" s="2">
        <f>SUMIFS('OB History'!G:G,'OB History'!B:B,A4)-R4</f>
        <v>266</v>
      </c>
      <c r="T4" s="88">
        <f>LOOKUP(2, 1/('OB History'!$B:$B=A4), 'OB History'!$AC:$AC)</f>
        <v>0.48387096774193539</v>
      </c>
      <c r="U4" s="2">
        <f>COUNTIFS('OB History'!$B:$B,$A$4,'OB History'!K:K, 1)</f>
        <v>4</v>
      </c>
      <c r="V4" s="2">
        <f>COUNTIFS('OB History'!$B:$B,$A$4,'OB History'!L:L, 1)</f>
        <v>3</v>
      </c>
      <c r="W4" s="2">
        <f>COUNTIFS('OB History'!$B:$B,$A$4,'OB History'!M:M, 1)</f>
        <v>1</v>
      </c>
      <c r="X4" s="2">
        <f>COUNTIFS('OB History'!$B:$B,$A$4,'OB History'!N:N, 1)</f>
        <v>7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4</v>
      </c>
      <c r="AB4" s="2">
        <f>COUNTIFS('OB History'!$B:$B,$A$4,'OB History'!R:R, 1)</f>
        <v>4</v>
      </c>
      <c r="AC4" s="2">
        <f>COUNTIFS('OB History'!$B:$B,$A$4,'OB History'!S:S, 1)</f>
        <v>1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4</v>
      </c>
      <c r="AH4" s="2">
        <f>COUNTIFS('OB History'!$B:$B,$A$4,'OB History'!X:X, 1)</f>
        <v>10</v>
      </c>
      <c r="AI4" s="2">
        <f>COUNTIFS('OB History'!$B:$B,$A$4,'OB History'!Y:Y, 1)</f>
        <v>8</v>
      </c>
      <c r="AJ4" s="2">
        <f>COUNTIFS('OB History'!$B:$B,$A$4,'OB History'!Z:Z, 1)</f>
        <v>4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657</v>
      </c>
      <c r="I5" s="4">
        <f>AVERAGEIFS('OB History'!C:C,'OB History'!B:B,A5)</f>
        <v>19.90909090909091</v>
      </c>
      <c r="J5" s="4">
        <f t="array" ref="J5">MEDIAN(IF('OB History'!B:B=A5, 'OB History'!C:C))</f>
        <v>18</v>
      </c>
      <c r="K5" s="35">
        <f t="array" ref="K5">MAX(IF('OB History'!B:B=A5, 'OB History'!C:C))</f>
        <v>36</v>
      </c>
      <c r="L5" s="34">
        <f>COUNTIFS('OB History'!B:B,A5,'OB History'!D:D, 1)</f>
        <v>15</v>
      </c>
      <c r="M5" s="2">
        <f>COUNTIFS('OB History'!B:B,A5,'OB History'!D:D, 0)</f>
        <v>18</v>
      </c>
      <c r="N5" s="88">
        <f>LOOKUP(2, 1/('OB History'!$B:$B=A5), 'OB History'!$AD:$AD)</f>
        <v>0.45454545454545453</v>
      </c>
      <c r="O5" s="34">
        <f>SUMIFS('OB History'!F:F,'OB History'!B:B,A5)</f>
        <v>59</v>
      </c>
      <c r="P5" s="2">
        <f>SUMIFS('OB History'!E:E,'OB History'!B:B,A5)-O5</f>
        <v>74</v>
      </c>
      <c r="Q5" s="88">
        <f>LOOKUP(2, 1/('OB History'!$B:$B=A5), 'OB History'!$AB:$AB)</f>
        <v>0.4242424242424242</v>
      </c>
      <c r="R5" s="34">
        <f>SUMIFS('OB History'!H:H,'OB History'!B:B,A5)</f>
        <v>254</v>
      </c>
      <c r="S5" s="2">
        <f>SUMIFS('OB History'!G:G,'OB History'!B:B,A5)-R5</f>
        <v>288</v>
      </c>
      <c r="T5" s="88">
        <f>LOOKUP(2, 1/('OB History'!$B:$B=A5), 'OB History'!$AC:$AC)</f>
        <v>0.45818181818181813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2</v>
      </c>
      <c r="X5" s="2">
        <f>COUNTIFS('OB History'!$B:$B,$A$5,'OB History'!N:N, 1)</f>
        <v>9</v>
      </c>
      <c r="Y5" s="2">
        <f>COUNTIFS('OB History'!$B:$B,$A$5,'OB History'!O:O, 1)</f>
        <v>2</v>
      </c>
      <c r="Z5" s="2">
        <f>COUNTIFS('OB History'!$B:$B,$A$5,'OB History'!P:P, 1)</f>
        <v>5</v>
      </c>
      <c r="AA5" s="2">
        <f>COUNTIFS('OB History'!$B:$B,$A$5,'OB History'!Q:Q, 1)</f>
        <v>0</v>
      </c>
      <c r="AB5" s="2">
        <f>COUNTIFS('OB History'!$B:$B,$A$5,'OB History'!R:R, 1)</f>
        <v>1</v>
      </c>
      <c r="AC5" s="2">
        <f>COUNTIFS('OB History'!$B:$B,$A$5,'OB History'!S:S, 1)</f>
        <v>1</v>
      </c>
      <c r="AD5" s="2">
        <f>COUNTIFS('OB History'!$B:$B,$A$5,'OB History'!T:T, 1)</f>
        <v>2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2</v>
      </c>
      <c r="AH5" s="2">
        <f>COUNTIFS('OB History'!$B:$B,$A$5,'OB History'!X:X, 1)</f>
        <v>8</v>
      </c>
      <c r="AI5" s="2">
        <f>COUNTIFS('OB History'!$B:$B,$A$5,'OB History'!Y:Y, 1)</f>
        <v>7</v>
      </c>
      <c r="AJ5" s="2">
        <f>COUNTIFS('OB History'!$B:$B,$A$5,'OB History'!Z:Z, 1)</f>
        <v>14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67</v>
      </c>
      <c r="I6" s="4">
        <f>AVERAGEIFS('OB History'!C:C,'OB History'!B:B,A6)</f>
        <v>13.4</v>
      </c>
      <c r="J6" s="4">
        <f t="array" ref="J6">MEDIAN(IF('OB History'!B:B=A6, 'OB History'!C:C))</f>
        <v>12</v>
      </c>
      <c r="K6" s="35">
        <f t="array" ref="K6">MAX(IF('OB History'!B:B=A6, 'OB History'!C:C))</f>
        <v>22</v>
      </c>
      <c r="L6" s="34">
        <f>COUNTIFS('OB History'!B:B,A6,'OB History'!D:D, 1)</f>
        <v>3</v>
      </c>
      <c r="M6" s="2">
        <f>COUNTIFS('OB History'!B:B,A6,'OB History'!D:D, 0)</f>
        <v>2</v>
      </c>
      <c r="N6" s="88">
        <f>LOOKUP(2, 1/('OB History'!$B:$B=A6), 'OB History'!$AD:$AD)</f>
        <v>0.6</v>
      </c>
      <c r="O6" s="34">
        <f>SUMIFS('OB History'!F:F,'OB History'!B:B,A6)</f>
        <v>12</v>
      </c>
      <c r="P6" s="2">
        <f>SUMIFS('OB History'!E:E,'OB History'!B:B,A6)-O6</f>
        <v>10</v>
      </c>
      <c r="Q6" s="88">
        <f>LOOKUP(2, 1/('OB History'!$B:$B=A6), 'OB History'!$AB:$AB)</f>
        <v>0.57000000000000006</v>
      </c>
      <c r="R6" s="34">
        <f>SUMIFS('OB History'!H:H,'OB History'!B:B,A6)</f>
        <v>49</v>
      </c>
      <c r="S6" s="2">
        <f>SUMIFS('OB History'!G:G,'OB History'!B:B,A6)-R6</f>
        <v>44</v>
      </c>
      <c r="T6" s="88">
        <f>LOOKUP(2, 1/('OB History'!$B:$B=A6), 'OB History'!$AC:$AC)</f>
        <v>0.53599999999999992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1</v>
      </c>
      <c r="X6" s="2">
        <f>COUNTIFS('OB History'!$B:$B,$A$6,'OB History'!N:N, 1)</f>
        <v>2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3</v>
      </c>
      <c r="AI6" s="2">
        <f>COUNTIFS('OB History'!$B:$B,$A$6,'OB History'!Y:Y, 1)</f>
        <v>1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497</v>
      </c>
      <c r="I8" s="4">
        <f>AVERAGEIFS('OB History'!C:C,'OB History'!B:B,A8)</f>
        <v>12.425000000000001</v>
      </c>
      <c r="J8" s="4">
        <f t="array" ref="J8">MEDIAN(IF('OB History'!B:B=A8, 'OB History'!C:C))</f>
        <v>12.5</v>
      </c>
      <c r="K8" s="35">
        <f t="array" ref="K8">MAX(IF('OB History'!B:B=A8, 'OB History'!C:C))</f>
        <v>32</v>
      </c>
      <c r="L8" s="34">
        <f>COUNTIFS('OB History'!B:B,A8,'OB History'!D:D, 1)</f>
        <v>25</v>
      </c>
      <c r="M8" s="2">
        <f>COUNTIFS('OB History'!B:B,A8,'OB History'!D:D, 0)</f>
        <v>15</v>
      </c>
      <c r="N8" s="88">
        <f>LOOKUP(2, 1/('OB History'!$B:$B=A8), 'OB History'!$AD:$AD)</f>
        <v>0.625</v>
      </c>
      <c r="O8" s="34">
        <f>SUMIFS('OB History'!F:F,'OB History'!B:B,A8)</f>
        <v>87</v>
      </c>
      <c r="P8" s="2">
        <f>SUMIFS('OB History'!E:E,'OB History'!B:B,A8)-O8</f>
        <v>74</v>
      </c>
      <c r="Q8" s="88">
        <f>LOOKUP(2, 1/('OB History'!$B:$B=A8), 'OB History'!$AB:$AB)</f>
        <v>0.53249999999999997</v>
      </c>
      <c r="R8" s="34">
        <f>SUMIFS('OB History'!H:H,'OB History'!B:B,'Old Bow v2'!A8)</f>
        <v>340</v>
      </c>
      <c r="S8" s="2">
        <f>SUMIFS('OB History'!G:G,'OB History'!B:B,'Old Bow v2'!A8)-R8</f>
        <v>320</v>
      </c>
      <c r="T8" s="88">
        <f>LOOKUP(2, 1/('OB History'!$B:$B=A8), 'OB History'!$AC:$AC)</f>
        <v>0.51075000000000004</v>
      </c>
      <c r="U8" s="2">
        <f>COUNTIFS('OB History'!$B:$B,$A$8,'OB History'!K:K, 1)</f>
        <v>6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12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10</v>
      </c>
      <c r="AH8" s="2">
        <f>COUNTIFS('OB History'!$B:$B,$A$8,'OB History'!X:X, 1)</f>
        <v>13</v>
      </c>
      <c r="AI8" s="2">
        <f>COUNTIFS('OB History'!$B:$B,$A$8,'OB History'!Y:Y, 1)</f>
        <v>6</v>
      </c>
      <c r="AJ8" s="2">
        <f>COUNTIFS('OB History'!$B:$B,$A$8,'OB History'!Z:Z, 1)</f>
        <v>11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499</v>
      </c>
      <c r="I9" s="4">
        <f>AVERAGEIFS('OB History'!C:C,'OB History'!B:B,A9)</f>
        <v>12.475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18</v>
      </c>
      <c r="M9" s="2">
        <f>COUNTIFS('OB History'!B:B,A9,'OB History'!D:D, 0)</f>
        <v>22</v>
      </c>
      <c r="N9" s="88">
        <f>LOOKUP(2, 1/('OB History'!$B:$B=A9), 'OB History'!$AD:$AD)</f>
        <v>0.45</v>
      </c>
      <c r="O9" s="34">
        <f>SUMIFS('OB History'!F:F,'OB History'!B:B,A9)</f>
        <v>78</v>
      </c>
      <c r="P9" s="2">
        <f>SUMIFS('OB History'!E:E,'OB History'!B:B,A9)-O9</f>
        <v>89</v>
      </c>
      <c r="Q9" s="88">
        <f>LOOKUP(2, 1/('OB History'!$B:$B=A9), 'OB History'!$AB:$AB)</f>
        <v>0.45875000000000005</v>
      </c>
      <c r="R9" s="34">
        <f>SUMIFS('OB History'!H:H,'OB History'!B:B,'Old Bow v2'!A9)</f>
        <v>334</v>
      </c>
      <c r="S9" s="2">
        <f>SUMIFS('OB History'!G:G,'OB History'!B:B,'Old Bow v2'!A9)-R9</f>
        <v>356</v>
      </c>
      <c r="T9" s="88">
        <f>LOOKUP(2, 1/('OB History'!$B:$B=A9), 'OB History'!$AC:$AC)</f>
        <v>0.47350000000000014</v>
      </c>
      <c r="U9" s="2">
        <f>COUNTIFS('OB History'!$B:$B,$A$9,'OB History'!K:K, 1)</f>
        <v>5</v>
      </c>
      <c r="V9" s="2">
        <f>COUNTIFS('OB History'!$B:$B,$A$9,'OB History'!L:L, 1)</f>
        <v>4</v>
      </c>
      <c r="W9" s="2">
        <f>COUNTIFS('OB History'!$B:$B,$A$9,'OB History'!M:M, 1)</f>
        <v>1</v>
      </c>
      <c r="X9" s="2">
        <f>COUNTIFS('OB History'!$B:$B,$A$9,'OB History'!N:N, 1)</f>
        <v>10</v>
      </c>
      <c r="Y9" s="2">
        <f>COUNTIFS('OB History'!$B:$B,$A$9,'OB History'!O:O, 1)</f>
        <v>2</v>
      </c>
      <c r="Z9" s="2">
        <f>COUNTIFS('OB History'!$B:$B,$A$9,'OB History'!P:P, 1)</f>
        <v>11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6</v>
      </c>
      <c r="AH9" s="2">
        <f>COUNTIFS('OB History'!$B:$B,$A$9,'OB History'!X:X, 1)</f>
        <v>14</v>
      </c>
      <c r="AI9" s="2">
        <f>COUNTIFS('OB History'!$B:$B,$A$9,'OB History'!Y:Y, 1)</f>
        <v>5</v>
      </c>
      <c r="AJ9" s="2">
        <f>COUNTIFS('OB History'!$B:$B,$A$9,'OB History'!Z:Z, 1)</f>
        <v>15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86</v>
      </c>
      <c r="I10" s="4">
        <f>AVERAGEIFS('OB History'!C:C,'OB History'!B:B,A10)</f>
        <v>10.75</v>
      </c>
      <c r="J10" s="4">
        <f t="array" ref="J10">MEDIAN(IF('OB History'!B:B=A10, 'OB History'!C:C))</f>
        <v>8.5</v>
      </c>
      <c r="K10" s="35">
        <f t="array" ref="K10">MAX(IF('OB History'!B:B=A10, 'OB History'!C:C))</f>
        <v>29</v>
      </c>
      <c r="L10" s="34">
        <f>COUNTIFS('OB History'!B:B,A10,'OB History'!D:D, 1)</f>
        <v>3</v>
      </c>
      <c r="M10" s="2">
        <f>COUNTIFS('OB History'!B:B,A10,'OB History'!D:D, 0)</f>
        <v>5</v>
      </c>
      <c r="N10" s="88">
        <f>LOOKUP(2, 1/('OB History'!$B:$B=A10), 'OB History'!$AD:$AD)</f>
        <v>0.375</v>
      </c>
      <c r="O10" s="34">
        <f>SUMIFS('OB History'!F:F,'OB History'!B:B,A10)</f>
        <v>13</v>
      </c>
      <c r="P10" s="2">
        <f>SUMIFS('OB History'!E:E,'OB History'!B:B,A10)-O10</f>
        <v>18</v>
      </c>
      <c r="Q10" s="88">
        <f>LOOKUP(2, 1/('OB History'!$B:$B=A10), 'OB History'!$AB:$AB)</f>
        <v>0.39374999999999999</v>
      </c>
      <c r="R10" s="34">
        <f>SUMIFS('OB History'!H:H,'OB History'!B:B,'Old Bow v2'!A10)</f>
        <v>54</v>
      </c>
      <c r="S10" s="2">
        <f>SUMIFS('OB History'!G:G,'OB History'!B:B,'Old Bow v2'!A10)-R10</f>
        <v>68</v>
      </c>
      <c r="T10" s="88">
        <f>LOOKUP(2, 1/('OB History'!$B:$B=A10), 'OB History'!$AC:$AC)</f>
        <v>0.43250000000000005</v>
      </c>
      <c r="U10" s="2">
        <f>COUNTIFS('OB History'!$B:$B,$A$10,'OB History'!K:K, 1)</f>
        <v>2</v>
      </c>
      <c r="V10" s="2">
        <f>COUNTIFS('OB History'!$B:$B,$A$10,'OB History'!L:L, 1)</f>
        <v>2</v>
      </c>
      <c r="W10" s="2">
        <f>COUNTIFS('OB History'!$B:$B,$A$10,'OB History'!M:M, 1)</f>
        <v>1</v>
      </c>
      <c r="X10" s="2">
        <f>COUNTIFS('OB History'!$B:$B,$A$10,'OB History'!N:N, 1)</f>
        <v>0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1</v>
      </c>
      <c r="AI10" s="2">
        <f>COUNTIFS('OB History'!$B:$B,$A$10,'OB History'!Y:Y, 1)</f>
        <v>1</v>
      </c>
      <c r="AJ10" s="2">
        <f>COUNTIFS('OB History'!$B:$B,$A$10,'OB History'!Z:Z, 1)</f>
        <v>1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153</v>
      </c>
      <c r="I11" s="4">
        <f>AVERAGEIFS('OB History'!C:C,'OB History'!B:B,A11)</f>
        <v>13.909090909090908</v>
      </c>
      <c r="J11" s="4">
        <f t="array" ref="J11">MEDIAN(IF('OB History'!B:B=A11, 'OB History'!C:C))</f>
        <v>14</v>
      </c>
      <c r="K11" s="35">
        <f t="array" ref="K11">MAX(IF('OB History'!B:B=A11, 'OB History'!C:C))</f>
        <v>22</v>
      </c>
      <c r="L11" s="34">
        <f>COUNTIFS('OB History'!B:B,A11,'OB History'!D:D, 1)</f>
        <v>10</v>
      </c>
      <c r="M11" s="2">
        <f>COUNTIFS('OB History'!B:B,A11,'OB History'!D:D, 0)</f>
        <v>1</v>
      </c>
      <c r="N11" s="88">
        <f>LOOKUP(2, 1/('OB History'!$B:$B=A11), 'OB History'!$AD:$AD)</f>
        <v>0.90909090909090906</v>
      </c>
      <c r="O11" s="34">
        <f>SUMIFS('OB History'!F:F,'OB History'!B:B,A11)</f>
        <v>32</v>
      </c>
      <c r="P11" s="2">
        <f>SUMIFS('OB History'!E:E,'OB History'!B:B,A11)-O11</f>
        <v>8</v>
      </c>
      <c r="Q11" s="88">
        <f>LOOKUP(2, 1/('OB History'!$B:$B=A11), 'OB History'!$AB:$AB)</f>
        <v>0.82727272727272727</v>
      </c>
      <c r="R11" s="34">
        <f>SUMIFS('OB History'!H:H,'OB History'!B:B,'Old Bow v2'!A11)</f>
        <v>103</v>
      </c>
      <c r="S11" s="2">
        <f>SUMIFS('OB History'!G:G,'OB History'!B:B,'Old Bow v2'!A11)-R11</f>
        <v>68</v>
      </c>
      <c r="T11" s="88">
        <f>LOOKUP(2, 1/('OB History'!$B:$B=A11), 'OB History'!$AC:$AC)</f>
        <v>0.61454545454545462</v>
      </c>
      <c r="U11" s="2">
        <f>COUNTIFS('OB History'!$B:$B,$A$11,'OB History'!K:K, 1)</f>
        <v>1</v>
      </c>
      <c r="V11" s="2">
        <f>COUNTIFS('OB History'!$B:$B,$A$11,'OB History'!L:L, 1)</f>
        <v>3</v>
      </c>
      <c r="W11" s="2">
        <f>COUNTIFS('OB History'!$B:$B,$A$11,'OB History'!M:M, 1)</f>
        <v>2</v>
      </c>
      <c r="X11" s="2">
        <f>COUNTIFS('OB History'!$B:$B,$A$11,'OB History'!N:N, 1)</f>
        <v>6</v>
      </c>
      <c r="Y11" s="2">
        <f>COUNTIFS('OB History'!$B:$B,$A$11,'OB History'!O:O, 1)</f>
        <v>0</v>
      </c>
      <c r="Z11" s="2">
        <f>COUNTIFS('OB History'!$B:$B,$A$11,'OB History'!P:P, 1)</f>
        <v>1</v>
      </c>
      <c r="AA11" s="2">
        <f>COUNTIFS('OB History'!$B:$B,$A$11,'OB History'!Q:Q, 1)</f>
        <v>1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2</v>
      </c>
      <c r="AH11" s="2">
        <f>COUNTIFS('OB History'!$B:$B,$A$11,'OB History'!X:X, 1)</f>
        <v>6</v>
      </c>
      <c r="AI11" s="2">
        <f>COUNTIFS('OB History'!$B:$B,$A$11,'OB History'!Y:Y, 1)</f>
        <v>2</v>
      </c>
      <c r="AJ11" s="2">
        <f>COUNTIFS('OB History'!$B:$B,$A$11,'OB History'!Z:Z, 1)</f>
        <v>5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24</v>
      </c>
      <c r="I12" s="4">
        <f>AVERAGEIFS('OB History'!C:C,'OB History'!B:B,A12)</f>
        <v>8</v>
      </c>
      <c r="J12" s="4">
        <f t="array" ref="J12">MEDIAN(IF('OB History'!B:B=A12, 'OB History'!C:C))</f>
        <v>10</v>
      </c>
      <c r="K12" s="35">
        <f t="array" ref="K12">MAX(IF('OB History'!B:B=A12, 'OB History'!C:C))</f>
        <v>11</v>
      </c>
      <c r="L12" s="34">
        <f>COUNTIFS('OB History'!B:B,A12,'OB History'!D:D, 1)</f>
        <v>3</v>
      </c>
      <c r="M12" s="2">
        <f>COUNTIFS('OB History'!B:B,A12,'OB History'!D:D, 0)</f>
        <v>0</v>
      </c>
      <c r="N12" s="88">
        <f>LOOKUP(2, 1/('OB History'!$B:$B=A12), 'OB History'!$AD:$AD)</f>
        <v>1</v>
      </c>
      <c r="O12" s="34">
        <f>SUMIFS('OB History'!F:F,'OB History'!B:B,A12)</f>
        <v>10</v>
      </c>
      <c r="P12" s="2">
        <f>SUMIFS('OB History'!E:E,'OB History'!B:B,A12)-O12</f>
        <v>2</v>
      </c>
      <c r="Q12" s="88">
        <f>LOOKUP(2, 1/('OB History'!$B:$B=A12), 'OB History'!$AB:$AB)</f>
        <v>0.8666666666666667</v>
      </c>
      <c r="R12" s="34">
        <f>SUMIFS('OB History'!H:H,'OB History'!B:B,'Old Bow v2'!A12)</f>
        <v>33</v>
      </c>
      <c r="S12" s="2">
        <f>SUMIFS('OB History'!G:G,'OB History'!B:B,'Old Bow v2'!A12)-R12</f>
        <v>21</v>
      </c>
      <c r="T12" s="88">
        <f>LOOKUP(2, 1/('OB History'!$B:$B=A12), 'OB History'!$AC:$AC)</f>
        <v>0.62333333333333341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1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610</v>
      </c>
      <c r="I13" s="4">
        <f>AVERAGEIFS('OB History'!C:C,'OB History'!B:B,A13)</f>
        <v>18.484848484848484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14</v>
      </c>
      <c r="N13" s="88">
        <f>LOOKUP(2, 1/('OB History'!$B:$B=A13), 'OB History'!$AD:$AD)</f>
        <v>0.5757575757575758</v>
      </c>
      <c r="O13" s="34">
        <f>SUMIFS('OB History'!F:F,'OB History'!B:B,A13)</f>
        <v>77</v>
      </c>
      <c r="P13" s="2">
        <f>SUMIFS('OB History'!E:E,'OB History'!B:B,A13)-O13</f>
        <v>62</v>
      </c>
      <c r="Q13" s="88">
        <f>LOOKUP(2, 1/('OB History'!$B:$B=A13), 'OB History'!$AB:$AB)</f>
        <v>0.57272727272727264</v>
      </c>
      <c r="R13" s="34">
        <f>SUMIFS('OB History'!H:H,'OB History'!B:B,'Old Bow v2'!A13)</f>
        <v>299</v>
      </c>
      <c r="S13" s="2">
        <f>SUMIFS('OB History'!G:G,'OB History'!B:B,'Old Bow v2'!A13)-R13</f>
        <v>282</v>
      </c>
      <c r="T13" s="88">
        <f>LOOKUP(2, 1/('OB History'!$B:$B=A13), 'OB History'!$AC:$AC)</f>
        <v>0.52575757575757576</v>
      </c>
      <c r="U13" s="2">
        <f>COUNTIFS('OB History'!$B:$B,$A$13,'OB History'!K:K, 1)</f>
        <v>4</v>
      </c>
      <c r="V13" s="2">
        <f>COUNTIFS('OB History'!$B:$B,$A$13,'OB History'!L:L, 1)</f>
        <v>3</v>
      </c>
      <c r="W13" s="2">
        <f>COUNTIFS('OB History'!$B:$B,$A$13,'OB History'!M:M, 1)</f>
        <v>1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7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238</v>
      </c>
      <c r="I14" s="4">
        <f>AVERAGEIFS('OB History'!C:C,'OB History'!B:B,A14)</f>
        <v>13.222222222222221</v>
      </c>
      <c r="J14" s="4">
        <f t="array" ref="J14">MEDIAN(IF('OB History'!B:B=A14, 'OB History'!C:C))</f>
        <v>12</v>
      </c>
      <c r="K14" s="35">
        <f t="array" ref="K14">MAX(IF('OB History'!B:B=A14, 'OB History'!C:C))</f>
        <v>27</v>
      </c>
      <c r="L14" s="34">
        <f>COUNTIFS('OB History'!B:B,A14,'OB History'!D:D, 1)</f>
        <v>6</v>
      </c>
      <c r="M14" s="2">
        <f>COUNTIFS('OB History'!B:B,A14,'OB History'!D:D, 0)</f>
        <v>12</v>
      </c>
      <c r="N14" s="88">
        <f>LOOKUP(2, 1/('OB History'!$B:$B=A14), 'OB History'!$AD:$AD)</f>
        <v>0.33333333333333331</v>
      </c>
      <c r="O14" s="34">
        <f>SUMIFS('OB History'!F:F,'OB History'!B:B,A14)</f>
        <v>32</v>
      </c>
      <c r="P14" s="2">
        <f>SUMIFS('OB History'!E:E,'OB History'!B:B,A14)-O14</f>
        <v>44</v>
      </c>
      <c r="Q14" s="88">
        <f>LOOKUP(2, 1/('OB History'!$B:$B=A14), 'OB History'!$AB:$AB)</f>
        <v>0.40555555555555556</v>
      </c>
      <c r="R14" s="34">
        <f>SUMIFS('OB History'!H:H,'OB History'!B:B,'Old Bow v2'!A14)</f>
        <v>153</v>
      </c>
      <c r="S14" s="2">
        <f>SUMIFS('OB History'!G:G,'OB History'!B:B,'Old Bow v2'!A14)-R14</f>
        <v>169</v>
      </c>
      <c r="T14" s="88">
        <f>LOOKUP(2, 1/('OB History'!$B:$B=A14), 'OB History'!$AC:$AC)</f>
        <v>0.47111111111111104</v>
      </c>
      <c r="U14" s="2">
        <f>COUNTIFS('OB History'!$B:$B,$A$14,'OB History'!K:K, 1)</f>
        <v>2</v>
      </c>
      <c r="V14" s="2">
        <f>COUNTIFS('OB History'!$B:$B,$A$14,'OB History'!L:L, 1)</f>
        <v>4</v>
      </c>
      <c r="W14" s="2">
        <f>COUNTIFS('OB History'!$B:$B,$A$14,'OB History'!M:M, 1)</f>
        <v>4</v>
      </c>
      <c r="X14" s="2">
        <f>COUNTIFS('OB History'!$B:$B,$A$14,'OB History'!N:N, 1)</f>
        <v>5</v>
      </c>
      <c r="Y14" s="2">
        <f>COUNTIFS('OB History'!$B:$B,$A$14,'OB History'!O:O, 1)</f>
        <v>2</v>
      </c>
      <c r="Z14" s="2">
        <f>COUNTIFS('OB History'!$B:$B,$A$14,'OB History'!P:P, 1)</f>
        <v>1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6</v>
      </c>
      <c r="AI14" s="2">
        <f>COUNTIFS('OB History'!$B:$B,$A$14,'OB History'!Y:Y, 1)</f>
        <v>2</v>
      </c>
      <c r="AJ14" s="2">
        <f>COUNTIFS('OB History'!$B:$B,$A$14,'OB History'!Z:Z, 1)</f>
        <v>0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467</v>
      </c>
      <c r="I15" s="4">
        <f>AVERAGEIFS('OB History'!C:C,'OB History'!B:B,A15)</f>
        <v>15.064516129032258</v>
      </c>
      <c r="J15" s="4">
        <f t="array" ref="J15">MEDIAN(IF('OB History'!B:B=A15, 'OB History'!C:C))</f>
        <v>13</v>
      </c>
      <c r="K15" s="35">
        <f t="array" ref="K15">MAX(IF('OB History'!B:B=A15, 'OB History'!C:C))</f>
        <v>44</v>
      </c>
      <c r="L15" s="34">
        <f>COUNTIFS('OB History'!B:B,A15,'OB History'!D:D, 1)</f>
        <v>17</v>
      </c>
      <c r="M15" s="2">
        <f>COUNTIFS('OB History'!B:B,A15,'OB History'!D:D, 0)</f>
        <v>14</v>
      </c>
      <c r="N15" s="88">
        <f>LOOKUP(2, 1/('OB History'!$B:$B=A15), 'OB History'!$AD:$AD)</f>
        <v>0.54838709677419351</v>
      </c>
      <c r="O15" s="34">
        <f>SUMIFS('OB History'!F:F,'OB History'!B:B,A15)</f>
        <v>63</v>
      </c>
      <c r="P15" s="2">
        <f>SUMIFS('OB History'!E:E,'OB History'!B:B,A15)-O15</f>
        <v>62</v>
      </c>
      <c r="Q15" s="88">
        <f>LOOKUP(2, 1/('OB History'!$B:$B=A15), 'OB History'!$AB:$AB)</f>
        <v>0.49354838709677418</v>
      </c>
      <c r="R15" s="34">
        <f>SUMIFS('OB History'!H:H,'OB History'!B:B,'Old Bow v2'!A15)</f>
        <v>257</v>
      </c>
      <c r="S15" s="2">
        <f>SUMIFS('OB History'!G:G,'OB History'!B:B,'Old Bow v2'!A15)-R15</f>
        <v>257</v>
      </c>
      <c r="T15" s="88">
        <f>LOOKUP(2, 1/('OB History'!$B:$B=A15), 'OB History'!$AC:$AC)</f>
        <v>0.49838709677419363</v>
      </c>
      <c r="U15" s="2">
        <f>COUNTIFS('OB History'!$B:$B,$A$15,'OB History'!K:K, 1)</f>
        <v>1</v>
      </c>
      <c r="V15" s="2">
        <f>COUNTIFS('OB History'!$B:$B,$A$15,'OB History'!L:L, 1)</f>
        <v>4</v>
      </c>
      <c r="W15" s="2">
        <f>COUNTIFS('OB History'!$B:$B,$A$15,'OB History'!M:M, 1)</f>
        <v>3</v>
      </c>
      <c r="X15" s="2">
        <f>COUNTIFS('OB History'!$B:$B,$A$15,'OB History'!N:N, 1)</f>
        <v>4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4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11</v>
      </c>
      <c r="AI15" s="2">
        <f>COUNTIFS('OB History'!$B:$B,$A$15,'OB History'!Y:Y, 1)</f>
        <v>5</v>
      </c>
      <c r="AJ15" s="2">
        <f>COUNTIFS('OB History'!$B:$B,$A$15,'OB History'!Z:Z, 1)</f>
        <v>7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572</v>
      </c>
      <c r="I16" s="4">
        <f>AVERAGEIFS('OB History'!C:C,'OB History'!B:B,A16)</f>
        <v>13.619047619047619</v>
      </c>
      <c r="J16" s="4">
        <f t="array" ref="J16">MEDIAN(IF('OB History'!B:B=A16, 'OB History'!C:C))</f>
        <v>12</v>
      </c>
      <c r="K16" s="35">
        <f t="array" ref="K16">MAX(IF('OB History'!B:B=A16, 'OB History'!C:C))</f>
        <v>41</v>
      </c>
      <c r="L16" s="34">
        <f>COUNTIFS('OB History'!B:B,A16,'OB History'!D:D, 1)</f>
        <v>28</v>
      </c>
      <c r="M16" s="2">
        <f>COUNTIFS('OB History'!B:B,A16,'OB History'!D:D, 0)</f>
        <v>14</v>
      </c>
      <c r="N16" s="88">
        <f>LOOKUP(2, 1/('OB History'!$B:$B=A16), 'OB History'!$AD:$AD)</f>
        <v>0.66666666666666663</v>
      </c>
      <c r="O16" s="34">
        <f>SUMIFS('OB History'!F:F,'OB History'!B:B,A16)</f>
        <v>103</v>
      </c>
      <c r="P16" s="2">
        <f>SUMIFS('OB History'!E:E,'OB History'!B:B,A16)-O16</f>
        <v>68</v>
      </c>
      <c r="Q16" s="88">
        <f>LOOKUP(2, 1/('OB History'!$B:$B=A16), 'OB History'!$AB:$AB)</f>
        <v>0.62499999999999989</v>
      </c>
      <c r="R16" s="34">
        <f>SUMIFS('OB History'!H:H,'OB History'!B:B,'Old Bow v2'!A16)</f>
        <v>384</v>
      </c>
      <c r="S16" s="2">
        <f>SUMIFS('OB History'!G:G,'OB History'!B:B,'Old Bow v2'!A16)-R16</f>
        <v>325</v>
      </c>
      <c r="T16" s="88">
        <f>LOOKUP(2, 1/('OB History'!$B:$B=A16), 'OB History'!$AC:$AC)</f>
        <v>0.54904761904761912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4</v>
      </c>
      <c r="X16" s="2">
        <f>COUNTIFS('OB History'!$B:$B,$A$16,'OB History'!N:N, 1)</f>
        <v>12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7</v>
      </c>
      <c r="AH16" s="2">
        <f>COUNTIFS('OB History'!$B:$B,$A$16,'OB History'!X:X, 1)</f>
        <v>12</v>
      </c>
      <c r="AI16" s="2">
        <f>COUNTIFS('OB History'!$B:$B,$A$16,'OB History'!Y:Y, 1)</f>
        <v>8</v>
      </c>
      <c r="AJ16" s="2">
        <f>COUNTIFS('OB History'!$B:$B,$A$16,'OB History'!Z:Z, 1)</f>
        <v>11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177</v>
      </c>
      <c r="I18" s="4">
        <f>AVERAGEIFS('OB History'!C:C,'OB History'!B:B,A18)</f>
        <v>13.615384615384615</v>
      </c>
      <c r="J18" s="4">
        <f t="array" ref="J18">MEDIAN(IF('OB History'!B:B=A18, 'OB History'!C:C))</f>
        <v>15</v>
      </c>
      <c r="K18" s="35">
        <f t="array" ref="K18">MAX(IF('OB History'!B:B=A18, 'OB History'!C:C))</f>
        <v>19</v>
      </c>
      <c r="L18" s="34">
        <f>COUNTIFS('OB History'!B:B,A18,'OB History'!D:D, 1)</f>
        <v>3</v>
      </c>
      <c r="M18" s="2">
        <f>COUNTIFS('OB History'!B:B,A18,'OB History'!D:D, 0)</f>
        <v>10</v>
      </c>
      <c r="N18" s="88">
        <f>LOOKUP(2, 1/('OB History'!$B:$B=A18), 'OB History'!$AD:$AD)</f>
        <v>0.23076923076923078</v>
      </c>
      <c r="O18" s="34">
        <f>SUMIFS('OB History'!F:F,'OB History'!B:B,A18)</f>
        <v>17</v>
      </c>
      <c r="P18" s="2">
        <f>SUMIFS('OB History'!E:E,'OB History'!B:B,A18)-O18</f>
        <v>33</v>
      </c>
      <c r="Q18" s="88">
        <f>LOOKUP(2, 1/('OB History'!$B:$B=A18), 'OB History'!$AB:$AB)</f>
        <v>0.32307692307692309</v>
      </c>
      <c r="R18" s="34">
        <f>SUMIFS('OB History'!H:H,'OB History'!B:B,'Old Bow v2'!A18)</f>
        <v>87</v>
      </c>
      <c r="S18" s="2">
        <f>SUMIFS('OB History'!G:G,'OB History'!B:B,'Old Bow v2'!A18)-R18</f>
        <v>126</v>
      </c>
      <c r="T18" s="88">
        <f>LOOKUP(2, 1/('OB History'!$B:$B=A18), 'OB History'!$AC:$AC)</f>
        <v>0.39384615384615385</v>
      </c>
      <c r="U18" s="2">
        <f>COUNTIFS('OB History'!$B:$B,$A$18,'OB History'!K:K, 1)</f>
        <v>2</v>
      </c>
      <c r="V18" s="2">
        <f>COUNTIFS('OB History'!$B:$B,$A$18,'OB History'!L:L, 1)</f>
        <v>1</v>
      </c>
      <c r="W18" s="2">
        <f>COUNTIFS('OB History'!$B:$B,$A$18,'OB History'!M:M, 1)</f>
        <v>3</v>
      </c>
      <c r="X18" s="2">
        <f>COUNTIFS('OB History'!$B:$B,$A$18,'OB History'!N:N, 1)</f>
        <v>1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4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69</v>
      </c>
      <c r="I21" s="4">
        <f>AVERAGEIFS('OB History'!C:C,'OB History'!B:B,A21)</f>
        <v>13.8</v>
      </c>
      <c r="J21" s="4">
        <f t="array" ref="J21">MEDIAN(IF('OB History'!B:B=A21, 'OB History'!C:C))</f>
        <v>14</v>
      </c>
      <c r="K21" s="35">
        <f t="array" ref="K21">MAX(IF('OB History'!B:B=A21, 'OB History'!C:C))</f>
        <v>17</v>
      </c>
      <c r="L21" s="34">
        <f>COUNTIFS('OB History'!B:B,A21,'OB History'!D:D, 1)</f>
        <v>1</v>
      </c>
      <c r="M21" s="2">
        <f>COUNTIFS('OB History'!B:B,A21,'OB History'!D:D, 0)</f>
        <v>4</v>
      </c>
      <c r="N21" s="88">
        <f>LOOKUP(2, 1/('OB History'!$B:$B=A21), 'OB History'!$AD:$AD)</f>
        <v>0.2</v>
      </c>
      <c r="O21" s="34">
        <f>SUMIFS('OB History'!F:F,'OB History'!B:B,A21)</f>
        <v>8</v>
      </c>
      <c r="P21" s="2">
        <f>SUMIFS('OB History'!E:E,'OB History'!B:B,A21)-O21</f>
        <v>12</v>
      </c>
      <c r="Q21" s="88">
        <f>LOOKUP(2, 1/('OB History'!$B:$B=A21), 'OB History'!$AB:$AB)</f>
        <v>0.43</v>
      </c>
      <c r="R21" s="34">
        <f>SUMIFS('OB History'!H:H,'OB History'!B:B,'Old Bow v2'!A21)</f>
        <v>42</v>
      </c>
      <c r="S21" s="2">
        <f>SUMIFS('OB History'!G:G,'OB History'!B:B,'Old Bow v2'!A21)-R21</f>
        <v>44</v>
      </c>
      <c r="T21" s="88">
        <f>LOOKUP(2, 1/('OB History'!$B:$B=A21), 'OB History'!$AC:$AC)</f>
        <v>0.5</v>
      </c>
      <c r="U21" s="2">
        <f>COUNTIFS('OB History'!$B:$B,$A$21,'OB History'!K:K, 1)</f>
        <v>1</v>
      </c>
      <c r="V21" s="2">
        <f>COUNTIFS('OB History'!$B:$B,$A$21,'OB History'!L:L, 1)</f>
        <v>1</v>
      </c>
      <c r="W21" s="2">
        <f>COUNTIFS('OB History'!$B:$B,$A$21,'OB History'!M:M, 1)</f>
        <v>0</v>
      </c>
      <c r="X21" s="2">
        <f>COUNTIFS('OB History'!$B:$B,$A$21,'OB History'!N:N, 1)</f>
        <v>1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1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1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39</v>
      </c>
      <c r="I22" s="4">
        <f>AVERAGEIFS('OB History'!C:C,'OB History'!B:B,A22)</f>
        <v>19.5</v>
      </c>
      <c r="J22" s="4">
        <f t="array" ref="J22">MEDIAN(IF('OB History'!B:B=A22, 'OB History'!C:C))</f>
        <v>19.5</v>
      </c>
      <c r="K22" s="35">
        <f t="array" ref="K22">MAX(IF('OB History'!B:B=A22, 'OB History'!C:C))</f>
        <v>34</v>
      </c>
      <c r="L22" s="34">
        <f>COUNTIFS('OB History'!B:B,A22,'OB History'!D:D, 1)</f>
        <v>0</v>
      </c>
      <c r="M22" s="2">
        <f>COUNTIFS('OB History'!B:B,A22,'OB History'!D:D, 0)</f>
        <v>2</v>
      </c>
      <c r="N22" s="88">
        <f>LOOKUP(2, 1/('OB History'!$B:$B=A22), 'OB History'!$AD:$AD)</f>
        <v>0</v>
      </c>
      <c r="O22" s="34">
        <f>SUMIFS('OB History'!F:F,'OB History'!B:B,A22)</f>
        <v>2</v>
      </c>
      <c r="P22" s="2">
        <f>SUMIFS('OB History'!E:E,'OB History'!B:B,A22)-O22</f>
        <v>6</v>
      </c>
      <c r="Q22" s="88">
        <f>LOOKUP(2, 1/('OB History'!$B:$B=A22), 'OB History'!$AB:$AB)</f>
        <v>0.2</v>
      </c>
      <c r="R22" s="34">
        <f>SUMIFS('OB History'!H:H,'OB History'!B:B,'Old Bow v2'!A22)</f>
        <v>12</v>
      </c>
      <c r="S22" s="2">
        <f>SUMIFS('OB History'!G:G,'OB History'!B:B,'Old Bow v2'!A22)-R22</f>
        <v>22</v>
      </c>
      <c r="T22" s="88">
        <f>LOOKUP(2, 1/('OB History'!$B:$B=A22), 'OB History'!$AC:$AC)</f>
        <v>0.34499999999999997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1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103</v>
      </c>
      <c r="I23" s="4">
        <f>AVERAGEIFS('OB History'!C:C,'OB History'!B:B,A23)</f>
        <v>14.714285714285714</v>
      </c>
      <c r="J23" s="4">
        <f t="array" ref="J23">MEDIAN(IF('OB History'!B:B=A23, 'OB History'!C:C))</f>
        <v>13</v>
      </c>
      <c r="K23" s="35">
        <f t="array" ref="K23">MAX(IF('OB History'!B:B=A23, 'OB History'!C:C))</f>
        <v>28</v>
      </c>
      <c r="L23" s="34">
        <f>COUNTIFS('OB History'!B:B,A23,'OB History'!D:D, 1)</f>
        <v>7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21</v>
      </c>
      <c r="P23" s="2">
        <f>SUMIFS('OB History'!E:E,'OB History'!B:B,A23)-O23</f>
        <v>5</v>
      </c>
      <c r="Q23" s="88">
        <f>LOOKUP(2, 1/('OB History'!$B:$B=A23), 'OB History'!$AB:$AB)</f>
        <v>0.85</v>
      </c>
      <c r="R23" s="34">
        <f>SUMIFS('OB History'!H:H,'OB History'!B:B,'Old Bow v2'!A23)</f>
        <v>70</v>
      </c>
      <c r="S23" s="2">
        <f>SUMIFS('OB History'!G:G,'OB History'!B:B,'Old Bow v2'!A23)-R23</f>
        <v>39</v>
      </c>
      <c r="T23" s="88">
        <f>LOOKUP(2, 1/('OB History'!$B:$B=A23), 'OB History'!$AC:$AC)</f>
        <v>0.65857142857142847</v>
      </c>
      <c r="U23" s="2">
        <f>COUNTIFS('OB History'!$B:$B,$A$23,'OB History'!K:K, 1)</f>
        <v>0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0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2</v>
      </c>
      <c r="AH23" s="2">
        <f>COUNTIFS('OB History'!$B:$B,$A$23,'OB History'!X:X, 1)</f>
        <v>5</v>
      </c>
      <c r="AI23" s="2">
        <f>COUNTIFS('OB History'!$B:$B,$A$23,'OB History'!Y:Y, 1)</f>
        <v>4</v>
      </c>
      <c r="AJ23" s="2">
        <f>COUNTIFS('OB History'!$B:$B,$A$23,'OB History'!Z:Z, 1)</f>
        <v>2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347</v>
      </c>
      <c r="I24" s="4">
        <f>AVERAGEIFS('OB History'!C:C,'OB History'!B:B,A24)</f>
        <v>24.785714285714285</v>
      </c>
      <c r="J24" s="4">
        <f t="array" ref="J24">MEDIAN(IF('OB History'!B:B=A24, 'OB History'!C:C))</f>
        <v>24</v>
      </c>
      <c r="K24" s="35">
        <f t="array" ref="K24">MAX(IF('OB History'!B:B=A24, 'OB History'!C:C))</f>
        <v>38</v>
      </c>
      <c r="L24" s="34">
        <f>COUNTIFS('OB History'!B:B,A24,'OB History'!D:D, 1)</f>
        <v>9</v>
      </c>
      <c r="M24" s="2">
        <f>COUNTIFS('OB History'!B:B,A24,'OB History'!D:D, 0)</f>
        <v>5</v>
      </c>
      <c r="N24" s="88">
        <f>LOOKUP(2, 1/('OB History'!$B:$B=A24), 'OB History'!$AD:$AD)</f>
        <v>0.6428571428571429</v>
      </c>
      <c r="O24" s="34">
        <f>SUMIFS('OB History'!F:F,'OB History'!B:B,A24)</f>
        <v>33</v>
      </c>
      <c r="P24" s="2">
        <f>SUMIFS('OB History'!E:E,'OB History'!B:B,A24)-O24</f>
        <v>28</v>
      </c>
      <c r="Q24" s="88">
        <f>LOOKUP(2, 1/('OB History'!$B:$B=A24), 'OB History'!$AB:$AB)</f>
        <v>0.53928571428571426</v>
      </c>
      <c r="R24" s="34">
        <f>SUMIFS('OB History'!H:H,'OB History'!B:B,'Old Bow v2'!A24)</f>
        <v>126</v>
      </c>
      <c r="S24" s="2">
        <f>SUMIFS('OB History'!G:G,'OB History'!B:B,'Old Bow v2'!A24)-R24</f>
        <v>124</v>
      </c>
      <c r="T24" s="88">
        <f>LOOKUP(2, 1/('OB History'!$B:$B=A24), 'OB History'!$AC:$AC)</f>
        <v>0.49928571428571428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3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4</v>
      </c>
      <c r="AI24" s="2">
        <f>COUNTIFS('OB History'!$B:$B,$A$24,'OB History'!Y:Y, 1)</f>
        <v>5</v>
      </c>
      <c r="AJ24" s="2">
        <f>COUNTIFS('OB History'!$B:$B,$A$24,'OB History'!Z:Z, 1)</f>
        <v>6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2</v>
      </c>
      <c r="E25" s="3"/>
      <c r="F25" s="3"/>
      <c r="G25" s="3"/>
      <c r="H25" s="34">
        <f>SUMIFS('OB History'!C:C,'OB History'!B:B,A25)</f>
        <v>402</v>
      </c>
      <c r="I25" s="4">
        <f>AVERAGEIFS('OB History'!C:C,'OB History'!B:B,A25)</f>
        <v>18.272727272727273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16</v>
      </c>
      <c r="M25" s="2">
        <f>COUNTIFS('OB History'!B:B,A25,'OB History'!D:D, 0)</f>
        <v>6</v>
      </c>
      <c r="N25" s="88">
        <f>LOOKUP(2, 1/('OB History'!$B:$B=A25), 'OB History'!$AD:$AD)</f>
        <v>0.72727272727272729</v>
      </c>
      <c r="O25" s="34">
        <f>SUMIFS('OB History'!F:F,'OB History'!B:B,A25)</f>
        <v>54</v>
      </c>
      <c r="P25" s="2">
        <f>SUMIFS('OB History'!E:E,'OB History'!B:B,A25)-O25</f>
        <v>33</v>
      </c>
      <c r="Q25" s="88">
        <f>LOOKUP(2, 1/('OB History'!$B:$B=A25), 'OB History'!$AB:$AB)</f>
        <v>0.64545454545454539</v>
      </c>
      <c r="R25" s="34">
        <f>SUMIFS('OB History'!H:H,'OB History'!B:B,'Old Bow v2'!A25)</f>
        <v>205</v>
      </c>
      <c r="S25" s="2">
        <f>SUMIFS('OB History'!G:G,'OB History'!B:B,'Old Bow v2'!A25)-R25</f>
        <v>157</v>
      </c>
      <c r="T25" s="88">
        <f>LOOKUP(2, 1/('OB History'!$B:$B=A25), 'OB History'!$AC:$AC)</f>
        <v>0.57409090909090887</v>
      </c>
      <c r="U25" s="2">
        <f>COUNTIFS('OB History'!$B:$B,$A$25,'OB History'!K:K, 1)</f>
        <v>3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6</v>
      </c>
      <c r="Y25" s="2">
        <f>COUNTIFS('OB History'!$B:$B,$A$25,'OB History'!O:O, 1)</f>
        <v>0</v>
      </c>
      <c r="Z25" s="2">
        <f>COUNTIFS('OB History'!$B:$B,$A$25,'OB History'!P:P, 1)</f>
        <v>5</v>
      </c>
      <c r="AA25" s="2">
        <f>COUNTIFS('OB History'!$B:$B,$A$25,'OB History'!Q:Q, 1)</f>
        <v>2</v>
      </c>
      <c r="AB25" s="2">
        <f>COUNTIFS('OB History'!$B:$B,$A$25,'OB History'!R:R, 1)</f>
        <v>2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5</v>
      </c>
      <c r="AH25" s="2">
        <f>COUNTIFS('OB History'!$B:$B,$A$25,'OB History'!X:X, 1)</f>
        <v>10</v>
      </c>
      <c r="AI25" s="2">
        <f>COUNTIFS('OB History'!$B:$B,$A$25,'OB History'!Y:Y, 1)</f>
        <v>9</v>
      </c>
      <c r="AJ25" s="2">
        <f>COUNTIFS('OB History'!$B:$B,$A$25,'OB History'!Z:Z, 1)</f>
        <v>6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615</v>
      </c>
      <c r="I26" s="4">
        <f>AVERAGEIFS('OB History'!C:C,'OB History'!B:B,A26)</f>
        <v>10.789473684210526</v>
      </c>
      <c r="J26" s="4">
        <f t="array" ref="J26">MEDIAN(IF('OB History'!B:B=A26, 'OB History'!C:C))</f>
        <v>12</v>
      </c>
      <c r="K26" s="35">
        <f t="array" ref="K26">MAX(IF('OB History'!B:B=A26, 'OB History'!C:C))</f>
        <v>21</v>
      </c>
      <c r="L26" s="34">
        <f>COUNTIFS('OB History'!B:B,A26,'OB History'!D:D, 1)</f>
        <v>24</v>
      </c>
      <c r="M26" s="2">
        <f>COUNTIFS('OB History'!B:B,A26,'OB History'!D:D, 0)</f>
        <v>33</v>
      </c>
      <c r="N26" s="88">
        <f>LOOKUP(2, 1/('OB History'!$B:$B=A26), 'OB History'!$AD:$AD)</f>
        <v>0.42105263157894735</v>
      </c>
      <c r="O26" s="34">
        <f>SUMIFS('OB History'!F:F,'OB History'!B:B,A26)</f>
        <v>108</v>
      </c>
      <c r="P26" s="2">
        <f>SUMIFS('OB History'!E:E,'OB History'!B:B,A26)-O26</f>
        <v>122</v>
      </c>
      <c r="Q26" s="88">
        <f>LOOKUP(2, 1/('OB History'!$B:$B=A26), 'OB History'!$AB:$AB)</f>
        <v>0.46052631578947367</v>
      </c>
      <c r="R26" s="34">
        <f>SUMIFS('OB History'!H:H,'OB History'!B:B,'Old Bow v2'!A26)</f>
        <v>472</v>
      </c>
      <c r="S26" s="2">
        <f>SUMIFS('OB History'!G:G,'OB History'!B:B,'Old Bow v2'!A26)-R26</f>
        <v>485</v>
      </c>
      <c r="T26" s="88">
        <f>LOOKUP(2, 1/('OB History'!$B:$B=A26), 'OB History'!$AC:$AC)</f>
        <v>0.49543859649122807</v>
      </c>
      <c r="U26" s="2">
        <f>COUNTIFS('OB History'!$B:$B,$A$26,'OB History'!K:K, 1)</f>
        <v>7</v>
      </c>
      <c r="V26" s="2">
        <f>COUNTIFS('OB History'!$B:$B,$A$26,'OB History'!L:L, 1)</f>
        <v>9</v>
      </c>
      <c r="W26" s="2">
        <f>COUNTIFS('OB History'!$B:$B,$A$26,'OB History'!M:M, 1)</f>
        <v>2</v>
      </c>
      <c r="X26" s="2">
        <f>COUNTIFS('OB History'!$B:$B,$A$26,'OB History'!N:N, 1)</f>
        <v>14</v>
      </c>
      <c r="Y26" s="2">
        <f>COUNTIFS('OB History'!$B:$B,$A$26,'OB History'!O:O, 1)</f>
        <v>5</v>
      </c>
      <c r="Z26" s="2">
        <f>COUNTIFS('OB History'!$B:$B,$A$26,'OB History'!P:P, 1)</f>
        <v>10</v>
      </c>
      <c r="AA26" s="2">
        <f>COUNTIFS('OB History'!$B:$B,$A$26,'OB History'!Q:Q, 1)</f>
        <v>2</v>
      </c>
      <c r="AB26" s="2">
        <f>COUNTIFS('OB History'!$B:$B,$A$26,'OB History'!R:R, 1)</f>
        <v>2</v>
      </c>
      <c r="AC26" s="2">
        <f>COUNTIFS('OB History'!$B:$B,$A$26,'OB History'!S:S, 1)</f>
        <v>0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14</v>
      </c>
      <c r="AH26" s="2">
        <f>COUNTIFS('OB History'!$B:$B,$A$26,'OB History'!X:X, 1)</f>
        <v>17</v>
      </c>
      <c r="AI26" s="2">
        <f>COUNTIFS('OB History'!$B:$B,$A$26,'OB History'!Y:Y, 1)</f>
        <v>12</v>
      </c>
      <c r="AJ26" s="2">
        <f>COUNTIFS('OB History'!$B:$B,$A$26,'OB History'!Z:Z, 1)</f>
        <v>11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217</v>
      </c>
      <c r="I27" s="4">
        <f>AVERAGEIFS('OB History'!C:C,'OB History'!B:B,A27)</f>
        <v>19.727272727272727</v>
      </c>
      <c r="J27" s="4">
        <f t="array" ref="J27">MEDIAN(IF('OB History'!B:B=A27, 'OB History'!C:C))</f>
        <v>17</v>
      </c>
      <c r="K27" s="35">
        <f t="array" ref="K27">MAX(IF('OB History'!B:B=A27, 'OB History'!C:C))</f>
        <v>36</v>
      </c>
      <c r="L27" s="34">
        <f>COUNTIFS('OB History'!B:B,A27,'OB History'!D:D, 1)</f>
        <v>5</v>
      </c>
      <c r="M27" s="2">
        <f>COUNTIFS('OB History'!B:B,A27,'OB History'!D:D, 0)</f>
        <v>6</v>
      </c>
      <c r="N27" s="88">
        <f>LOOKUP(2, 1/('OB History'!$B:$B=A27), 'OB History'!$AD:$AD)</f>
        <v>0.45454545454545453</v>
      </c>
      <c r="O27" s="34">
        <f>SUMIFS('OB History'!F:F,'OB History'!B:B,A27)</f>
        <v>20</v>
      </c>
      <c r="P27" s="2">
        <f>SUMIFS('OB History'!E:E,'OB History'!B:B,A27)-O27</f>
        <v>23</v>
      </c>
      <c r="Q27" s="88">
        <f>LOOKUP(2, 1/('OB History'!$B:$B=A27), 'OB History'!$AB:$AB)</f>
        <v>0.45454545454545453</v>
      </c>
      <c r="R27" s="34">
        <f>SUMIFS('OB History'!H:H,'OB History'!B:B,'Old Bow v2'!A27)</f>
        <v>83</v>
      </c>
      <c r="S27" s="2">
        <f>SUMIFS('OB History'!G:G,'OB History'!B:B,'Old Bow v2'!A27)-R27</f>
        <v>98</v>
      </c>
      <c r="T27" s="88">
        <f>LOOKUP(2, 1/('OB History'!$B:$B=A27), 'OB History'!$AC:$AC)</f>
        <v>0.45545454545454545</v>
      </c>
      <c r="U27" s="2">
        <f>COUNTIFS('OB History'!$B:$B,$A$27,'OB History'!K:K, 1)</f>
        <v>1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2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1</v>
      </c>
      <c r="AC27" s="2">
        <f>COUNTIFS('OB History'!$B:$B,$A$27,'OB History'!S:S, 1)</f>
        <v>0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5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302</v>
      </c>
      <c r="I28" s="4">
        <f>AVERAGEIFS('OB History'!C:C,'OB History'!B:B,A28)</f>
        <v>11.185185185185185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11</v>
      </c>
      <c r="M28" s="2">
        <f>COUNTIFS('OB History'!B:B,A28,'OB History'!D:D, 0)</f>
        <v>16</v>
      </c>
      <c r="N28" s="88">
        <f>LOOKUP(2, 1/('OB History'!$B:$B=A28), 'OB History'!$AD:$AD)</f>
        <v>0.40740740740740738</v>
      </c>
      <c r="O28" s="34">
        <f>SUMIFS('OB History'!F:F,'OB History'!B:B,A28)</f>
        <v>49</v>
      </c>
      <c r="P28" s="2">
        <f>SUMIFS('OB History'!E:E,'OB History'!B:B,A28)-O28</f>
        <v>64</v>
      </c>
      <c r="Q28" s="88">
        <f>LOOKUP(2, 1/('OB History'!$B:$B=A28), 'OB History'!$AB:$AB)</f>
        <v>0.41296296296296298</v>
      </c>
      <c r="R28" s="34">
        <f>SUMIFS('OB History'!H:H,'OB History'!B:B,'Old Bow v2'!A28)</f>
        <v>222</v>
      </c>
      <c r="S28" s="2">
        <f>SUMIFS('OB History'!G:G,'OB History'!B:B,'Old Bow v2'!A28)-R28</f>
        <v>241</v>
      </c>
      <c r="T28" s="88">
        <f>LOOKUP(2, 1/('OB History'!$B:$B=A28), 'OB History'!$AC:$AC)</f>
        <v>0.47481481481481475</v>
      </c>
      <c r="U28" s="2">
        <f>COUNTIFS('OB History'!$B:$B,$A$28,'OB History'!K:K, 1)</f>
        <v>2</v>
      </c>
      <c r="V28" s="2">
        <f>COUNTIFS('OB History'!$B:$B,$A$28,'OB History'!L:L, 1)</f>
        <v>6</v>
      </c>
      <c r="W28" s="2">
        <f>COUNTIFS('OB History'!$B:$B,$A$28,'OB History'!M:M, 1)</f>
        <v>1</v>
      </c>
      <c r="X28" s="2">
        <f>COUNTIFS('OB History'!$B:$B,$A$28,'OB History'!N:N, 1)</f>
        <v>4</v>
      </c>
      <c r="Y28" s="2">
        <f>COUNTIFS('OB History'!$B:$B,$A$28,'OB History'!O:O, 1)</f>
        <v>0</v>
      </c>
      <c r="Z28" s="2">
        <f>COUNTIFS('OB History'!$B:$B,$A$28,'OB History'!P:P, 1)</f>
        <v>4</v>
      </c>
      <c r="AA28" s="2">
        <f>COUNTIFS('OB History'!$B:$B,$A$28,'OB History'!Q:Q, 1)</f>
        <v>3</v>
      </c>
      <c r="AB28" s="2">
        <f>COUNTIFS('OB History'!$B:$B,$A$28,'OB History'!R:R, 1)</f>
        <v>5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0</v>
      </c>
      <c r="AH28" s="2">
        <f>COUNTIFS('OB History'!$B:$B,$A$28,'OB History'!X:X, 1)</f>
        <v>11</v>
      </c>
      <c r="AI28" s="2">
        <f>COUNTIFS('OB History'!$B:$B,$A$28,'OB History'!Y:Y, 1)</f>
        <v>5</v>
      </c>
      <c r="AJ28" s="2">
        <f>COUNTIFS('OB History'!$B:$B,$A$28,'OB History'!Z:Z, 1)</f>
        <v>6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405</v>
      </c>
      <c r="I29" s="4">
        <f>AVERAGEIFS('OB History'!C:C,'OB History'!B:B,A29)</f>
        <v>15.576923076923077</v>
      </c>
      <c r="J29" s="4">
        <f t="array" ref="J29">MEDIAN(IF('OB History'!B:B=A29, 'OB History'!C:C))</f>
        <v>13.5</v>
      </c>
      <c r="K29" s="35">
        <f t="array" ref="K29">MAX(IF('OB History'!B:B=A29, 'OB History'!C:C))</f>
        <v>43</v>
      </c>
      <c r="L29" s="34">
        <f>COUNTIFS('OB History'!B:B,A29,'OB History'!D:D, 1)</f>
        <v>9</v>
      </c>
      <c r="M29" s="2">
        <f>COUNTIFS('OB History'!B:B,A29,'OB History'!D:D, 0)</f>
        <v>17</v>
      </c>
      <c r="N29" s="88">
        <f>LOOKUP(2, 1/('OB History'!$B:$B=A29), 'OB History'!$AD:$AD)</f>
        <v>0.34615384615384615</v>
      </c>
      <c r="O29" s="34">
        <f>SUMIFS('OB History'!F:F,'OB History'!B:B,A29)</f>
        <v>46</v>
      </c>
      <c r="P29" s="2">
        <f>SUMIFS('OB History'!E:E,'OB History'!B:B,A29)-O29</f>
        <v>65</v>
      </c>
      <c r="Q29" s="88">
        <f>LOOKUP(2, 1/('OB History'!$B:$B=A29), 'OB History'!$AB:$AB)</f>
        <v>0.38653846153846155</v>
      </c>
      <c r="R29" s="34">
        <f>SUMIFS('OB History'!H:H,'OB History'!B:B,'Old Bow v2'!A29)</f>
        <v>213</v>
      </c>
      <c r="S29" s="2">
        <f>SUMIFS('OB History'!G:G,'OB History'!B:B,'Old Bow v2'!A29)-R29</f>
        <v>249</v>
      </c>
      <c r="T29" s="88">
        <f>LOOKUP(2, 1/('OB History'!$B:$B=A29), 'OB History'!$AC:$AC)</f>
        <v>0.44769230769230778</v>
      </c>
      <c r="U29" s="2">
        <f>COUNTIFS('OB History'!$B:$B,$A$29,'OB History'!K:K, 1)</f>
        <v>5</v>
      </c>
      <c r="V29" s="2">
        <f>COUNTIFS('OB History'!$B:$B,$A$29,'OB History'!L:L, 1)</f>
        <v>4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1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9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108</v>
      </c>
      <c r="I30" s="4">
        <f>AVERAGEIFS('OB History'!C:C,'OB History'!B:B,A30)</f>
        <v>15.428571428571429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5</v>
      </c>
      <c r="M30" s="2">
        <f>COUNTIFS('OB History'!B:B,A30,'OB History'!D:D, 0)</f>
        <v>2</v>
      </c>
      <c r="N30" s="88">
        <f>LOOKUP(2, 1/('OB History'!$B:$B=A30), 'OB History'!$AD:$AD)</f>
        <v>0.7142857142857143</v>
      </c>
      <c r="O30" s="34">
        <f>SUMIFS('OB History'!F:F,'OB History'!B:B,A30)</f>
        <v>16</v>
      </c>
      <c r="P30" s="2">
        <f>SUMIFS('OB History'!E:E,'OB History'!B:B,A30)-O30</f>
        <v>13</v>
      </c>
      <c r="Q30" s="88">
        <f>LOOKUP(2, 1/('OB History'!$B:$B=A30), 'OB History'!$AB:$AB)</f>
        <v>0.52857142857142858</v>
      </c>
      <c r="R30" s="34">
        <f>SUMIFS('OB History'!H:H,'OB History'!B:B,'Old Bow v2'!A30)</f>
        <v>64</v>
      </c>
      <c r="S30" s="2">
        <f>SUMIFS('OB History'!G:G,'OB History'!B:B,'Old Bow v2'!A30)-R30</f>
        <v>57</v>
      </c>
      <c r="T30" s="88">
        <f>LOOKUP(2, 1/('OB History'!$B:$B=A30), 'OB History'!$AC:$AC)</f>
        <v>0.52571428571428569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3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2</v>
      </c>
      <c r="AH30" s="2">
        <f>COUNTIFS('OB History'!$B:$B,$A$30,'OB History'!X:X, 1)</f>
        <v>2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6</v>
      </c>
      <c r="N31" s="88">
        <f>LOOKUP(2, 1/('OB History'!$B:$B=A31), 'OB History'!$AD:$AD)</f>
        <v>0.53846153846153844</v>
      </c>
      <c r="O31" s="34">
        <f>SUMIFS('OB History'!F:F,'OB History'!B:B,A31)</f>
        <v>29</v>
      </c>
      <c r="P31" s="2">
        <f>SUMIFS('OB History'!E:E,'OB History'!B:B,A31)-O31</f>
        <v>26</v>
      </c>
      <c r="Q31" s="88">
        <f>LOOKUP(2, 1/('OB History'!$B:$B=A31), 'OB History'!$AB:$AB)</f>
        <v>0.53846153846153855</v>
      </c>
      <c r="R31" s="34">
        <f>SUMIFS('OB History'!H:H,'OB History'!B:B,'Old Bow v2'!A31)</f>
        <v>111</v>
      </c>
      <c r="S31" s="2">
        <f>SUMIFS('OB History'!G:G,'OB History'!B:B,'Old Bow v2'!A31)-R31</f>
        <v>111</v>
      </c>
      <c r="T31" s="88">
        <f>LOOKUP(2, 1/('OB History'!$B:$B=A31), 'OB History'!$AC:$AC)</f>
        <v>0.50461538461538469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4</v>
      </c>
      <c r="AI31" s="2">
        <f>COUNTIFS('OB History'!$B:$B,$A$31,'OB History'!Y:Y, 1)</f>
        <v>3</v>
      </c>
      <c r="AJ31" s="2">
        <f>COUNTIFS('OB History'!$B:$B,$A$31,'OB History'!Z:Z, 1)</f>
        <v>3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482</v>
      </c>
      <c r="I32" s="4">
        <f>AVERAGEIFS('OB History'!C:C,'OB History'!B:B,A32)</f>
        <v>14.606060606060606</v>
      </c>
      <c r="J32" s="4">
        <f t="array" ref="J32">MEDIAN(IF('OB History'!B:B=A32, 'OB History'!C:C))</f>
        <v>14</v>
      </c>
      <c r="K32" s="35">
        <f t="array" ref="K32">MAX(IF('OB History'!B:B=A32, 'OB History'!C:C))</f>
        <v>37</v>
      </c>
      <c r="L32" s="34">
        <f>COUNTIFS('OB History'!B:B,A32,'OB History'!D:D, 1)</f>
        <v>14</v>
      </c>
      <c r="M32" s="2">
        <f>COUNTIFS('OB History'!B:B,A32,'OB History'!D:D, 0)</f>
        <v>19</v>
      </c>
      <c r="N32" s="88">
        <f>LOOKUP(2, 1/('OB History'!$B:$B=A32), 'OB History'!$AD:$AD)</f>
        <v>0.42424242424242425</v>
      </c>
      <c r="O32" s="34">
        <f>SUMIFS('OB History'!F:F,'OB History'!B:B,A32)</f>
        <v>69</v>
      </c>
      <c r="P32" s="2">
        <f>SUMIFS('OB History'!E:E,'OB History'!B:B,A32)-O32</f>
        <v>71</v>
      </c>
      <c r="Q32" s="88">
        <f>LOOKUP(2, 1/('OB History'!$B:$B=A32), 'OB History'!$AB:$AB)</f>
        <v>0.49848484848484859</v>
      </c>
      <c r="R32" s="34">
        <f>SUMIFS('OB History'!H:H,'OB History'!B:B,'Old Bow v2'!A32)</f>
        <v>294</v>
      </c>
      <c r="S32" s="2">
        <f>SUMIFS('OB History'!G:G,'OB History'!B:B,'Old Bow v2'!A32)-R32</f>
        <v>291</v>
      </c>
      <c r="T32" s="88">
        <f>LOOKUP(2, 1/('OB History'!$B:$B=A32), 'OB History'!$AC:$AC)</f>
        <v>0.50333333333333352</v>
      </c>
      <c r="U32" s="2">
        <f>COUNTIFS('OB History'!$B:$B,$A$32,'OB History'!K:K, 1)</f>
        <v>4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9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7</v>
      </c>
    </row>
    <row r="33" spans="1:36" x14ac:dyDescent="0.25">
      <c r="A33" s="1" t="s">
        <v>47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101</v>
      </c>
      <c r="I33" s="4">
        <f>AVERAGEIFS('OB History'!C:C,'OB History'!B:B,A33)</f>
        <v>8.4166666666666661</v>
      </c>
      <c r="J33" s="4">
        <f t="array" ref="J33">MEDIAN(IF('OB History'!B:B=A33, 'OB History'!C:C))</f>
        <v>9</v>
      </c>
      <c r="K33" s="35">
        <f t="array" ref="K33">MAX(IF('OB History'!B:B=A33, 'OB History'!C:C))</f>
        <v>14</v>
      </c>
      <c r="L33" s="34">
        <f>COUNTIFS('OB History'!B:B,A33,'OB History'!D:D, 1)</f>
        <v>6</v>
      </c>
      <c r="M33" s="2">
        <f>COUNTIFS('OB History'!B:B,A33,'OB History'!D:D, 0)</f>
        <v>6</v>
      </c>
      <c r="N33" s="88">
        <f>LOOKUP(2, 1/('OB History'!$B:$B=A33), 'OB History'!$AD:$AD)</f>
        <v>0.5</v>
      </c>
      <c r="O33" s="34">
        <f>SUMIFS('OB History'!F:F,'OB History'!B:B,A33)</f>
        <v>26</v>
      </c>
      <c r="P33" s="2">
        <f>SUMIFS('OB History'!E:E,'OB History'!B:B,A33)-O33</f>
        <v>26</v>
      </c>
      <c r="Q33" s="88">
        <f>LOOKUP(2, 1/('OB History'!$B:$B=A33), 'OB History'!$AB:$AB)</f>
        <v>0.5</v>
      </c>
      <c r="R33" s="34">
        <f>SUMIFS('OB History'!H:H,'OB History'!B:B,'Old Bow v2'!A33)</f>
        <v>106</v>
      </c>
      <c r="S33" s="2">
        <f>SUMIFS('OB History'!G:G,'OB History'!B:B,'Old Bow v2'!A33)-R33</f>
        <v>111</v>
      </c>
      <c r="T33" s="88">
        <f>LOOKUP(2, 1/('OB History'!$B:$B=A33), 'OB History'!$AC:$AC)</f>
        <v>0.48333333333333323</v>
      </c>
      <c r="U33" s="2">
        <f>COUNTIFS('OB History'!$B:$B,$A$33,'OB History'!K:K, 1)</f>
        <v>2</v>
      </c>
      <c r="V33" s="2">
        <f>COUNTIFS('OB History'!$B:$B,$A$33,'OB History'!L:L, 1)</f>
        <v>1</v>
      </c>
      <c r="W33" s="2">
        <f>COUNTIFS('OB History'!$B:$B,$A$33,'OB History'!M:M, 1)</f>
        <v>1</v>
      </c>
      <c r="X33" s="2">
        <f>COUNTIFS('OB History'!$B:$B,$A$33,'OB History'!N:N, 1)</f>
        <v>4</v>
      </c>
      <c r="Y33" s="2">
        <f>COUNTIFS('OB History'!$B:$B,$A$33,'OB History'!O:O, 1)</f>
        <v>1</v>
      </c>
      <c r="Z33" s="2">
        <f>COUNTIFS('OB History'!$B:$B,$A$33,'OB History'!P:P, 1)</f>
        <v>2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1</v>
      </c>
      <c r="AG33" s="2">
        <f>COUNTIFS('OB History'!$B:$B,$A$33,'OB History'!W:W, 1)</f>
        <v>5</v>
      </c>
      <c r="AH33" s="2">
        <f>COUNTIFS('OB History'!$B:$B,$A$33,'OB History'!X:X, 1)</f>
        <v>4</v>
      </c>
      <c r="AI33" s="2">
        <f>COUNTIFS('OB History'!$B:$B,$A$33,'OB History'!Y:Y, 1)</f>
        <v>0</v>
      </c>
      <c r="AJ33" s="2">
        <f>COUNTIFS('OB History'!$B:$B,$A$33,'OB History'!Z:Z, 1)</f>
        <v>5</v>
      </c>
    </row>
    <row r="34" spans="1:36" x14ac:dyDescent="0.25">
      <c r="A34" s="2" t="s">
        <v>3</v>
      </c>
      <c r="B34" s="6" t="s">
        <v>60</v>
      </c>
      <c r="C34" s="1" t="s">
        <v>159</v>
      </c>
      <c r="D34" s="3"/>
      <c r="E34" s="3">
        <v>3</v>
      </c>
      <c r="F34" s="3"/>
      <c r="G34" s="3"/>
      <c r="H34" s="34">
        <f>SUMIFS('OB History'!C:C,'OB History'!B:B,A34)</f>
        <v>256</v>
      </c>
      <c r="I34" s="4">
        <f>AVERAGEIFS('OB History'!C:C,'OB History'!B:B,A34)</f>
        <v>23.272727272727273</v>
      </c>
      <c r="J34" s="4">
        <f t="array" ref="J34">MEDIAN(IF('OB History'!B:B=A34, 'OB History'!C:C))</f>
        <v>21</v>
      </c>
      <c r="K34" s="35">
        <f t="array" ref="K34">MAX(IF('OB History'!B:B=A34, 'OB History'!C:C))</f>
        <v>44</v>
      </c>
      <c r="L34" s="34">
        <f>COUNTIFS('OB History'!B:B,A34,'OB History'!D:D, 1)</f>
        <v>7</v>
      </c>
      <c r="M34" s="2">
        <f>COUNTIFS('OB History'!B:B,A34,'OB History'!D:D, 0)</f>
        <v>4</v>
      </c>
      <c r="N34" s="88">
        <f>LOOKUP(2, 1/('OB History'!$B:$B=A34), 'OB History'!$AD:$AD)</f>
        <v>0.63636363636363635</v>
      </c>
      <c r="O34" s="34">
        <f>SUMIFS('OB History'!F:F,'OB History'!B:B,A34)</f>
        <v>25</v>
      </c>
      <c r="P34" s="2">
        <f>SUMIFS('OB History'!E:E,'OB History'!B:B,A34)-O34</f>
        <v>23</v>
      </c>
      <c r="Q34" s="88">
        <f>LOOKUP(2, 1/('OB History'!$B:$B=A34), 'OB History'!$AB:$AB)</f>
        <v>0.50454545454545452</v>
      </c>
      <c r="R34" s="34">
        <f>SUMIFS('OB History'!H:H,'OB History'!B:B,'Old Bow v2'!A34)</f>
        <v>97</v>
      </c>
      <c r="S34" s="2">
        <f>SUMIFS('OB History'!G:G,'OB History'!B:B,'Old Bow v2'!A34)-R34</f>
        <v>95</v>
      </c>
      <c r="T34" s="88">
        <f>LOOKUP(2, 1/('OB History'!$B:$B=A34), 'OB History'!$AC:$AC)</f>
        <v>0.49909090909090903</v>
      </c>
      <c r="U34" s="2">
        <f>COUNTIFS('OB History'!$B:$B,$A$34,'OB History'!K:K, 1)</f>
        <v>2</v>
      </c>
      <c r="V34" s="2">
        <f>COUNTIFS('OB History'!$B:$B,$A$34,'OB History'!L:L, 1)</f>
        <v>3</v>
      </c>
      <c r="W34" s="2">
        <f>COUNTIFS('OB History'!$B:$B,$A$34,'OB History'!M:M, 1)</f>
        <v>1</v>
      </c>
      <c r="X34" s="2">
        <f>COUNTIFS('OB History'!$B:$B,$A$34,'OB History'!N:N, 1)</f>
        <v>1</v>
      </c>
      <c r="Y34" s="2">
        <f>COUNTIFS('OB History'!$B:$B,$A$34,'OB History'!O:O, 1)</f>
        <v>3</v>
      </c>
      <c r="Z34" s="2">
        <f>COUNTIFS('OB History'!$B:$B,$A$34,'OB History'!P:P, 1)</f>
        <v>2</v>
      </c>
      <c r="AA34" s="2">
        <f>COUNTIFS('OB History'!$B:$B,$A$34,'OB History'!Q:Q, 1)</f>
        <v>3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1</v>
      </c>
      <c r="AH34" s="2">
        <f>COUNTIFS('OB History'!$B:$B,$A$34,'OB History'!X:X, 1)</f>
        <v>3</v>
      </c>
      <c r="AI34" s="2">
        <f>COUNTIFS('OB History'!$B:$B,$A$34,'OB History'!Y:Y, 1)</f>
        <v>3</v>
      </c>
      <c r="AJ34" s="2">
        <f>COUNTIFS('OB History'!$B:$B,$A$34,'OB History'!Z:Z, 1)</f>
        <v>2</v>
      </c>
    </row>
    <row r="35" spans="1:36" x14ac:dyDescent="0.25">
      <c r="A35" s="2" t="s">
        <v>148</v>
      </c>
      <c r="B35" s="6" t="s">
        <v>79</v>
      </c>
      <c r="C35" s="6" t="s">
        <v>79</v>
      </c>
      <c r="D35" s="3">
        <v>4</v>
      </c>
      <c r="E35" s="3">
        <v>1</v>
      </c>
      <c r="F35" s="3"/>
      <c r="G35" s="3"/>
      <c r="H35" s="34">
        <f>SUMIFS('OB History'!C:C,'OB History'!B:B,A35)</f>
        <v>523</v>
      </c>
      <c r="I35" s="4">
        <f>AVERAGEIFS('OB History'!C:C,'OB History'!B:B,A35)</f>
        <v>12.75609756097561</v>
      </c>
      <c r="J35" s="4">
        <f t="array" ref="J35">MEDIAN(IF('OB History'!B:B=A35, 'OB History'!C:C))</f>
        <v>12</v>
      </c>
      <c r="K35" s="35">
        <f t="array" ref="K35">MAX(IF('OB History'!B:B=A35, 'OB History'!C:C))</f>
        <v>27</v>
      </c>
      <c r="L35" s="34">
        <f>COUNTIFS('OB History'!B:B,A35,'OB History'!D:D, 1)</f>
        <v>22</v>
      </c>
      <c r="M35" s="2">
        <f>COUNTIFS('OB History'!B:B,A35,'OB History'!D:D, 0)</f>
        <v>19</v>
      </c>
      <c r="N35" s="88">
        <f>LOOKUP(2, 1/('OB History'!$B:$B=A35), 'OB History'!$AD:$AD)</f>
        <v>0.53658536585365857</v>
      </c>
      <c r="O35" s="34">
        <f>SUMIFS('OB History'!F:F,'OB History'!B:B,A35)</f>
        <v>87</v>
      </c>
      <c r="P35" s="2">
        <f>SUMIFS('OB History'!E:E,'OB History'!B:B,A35)-O35</f>
        <v>78</v>
      </c>
      <c r="Q35" s="88">
        <f>LOOKUP(2, 1/('OB History'!$B:$B=A35), 'OB History'!$AB:$AB)</f>
        <v>0.54146341463414627</v>
      </c>
      <c r="R35" s="34">
        <f>SUMIFS('OB History'!H:H,'OB History'!B:B,'Old Bow v2'!A35)</f>
        <v>347</v>
      </c>
      <c r="S35" s="2">
        <f>SUMIFS('OB History'!G:G,'OB History'!B:B,'Old Bow v2'!A35)-R35</f>
        <v>331</v>
      </c>
      <c r="T35" s="88">
        <f>LOOKUP(2, 1/('OB History'!$B:$B=A35), 'OB History'!$AC:$AC)</f>
        <v>0.51853658536585368</v>
      </c>
      <c r="U35" s="2">
        <f>COUNTIFS('OB History'!$B:$B,$A$35,'OB History'!K:K, 1)</f>
        <v>2</v>
      </c>
      <c r="V35" s="2">
        <f>COUNTIFS('OB History'!$B:$B,$A$35,'OB History'!L:L, 1)</f>
        <v>10</v>
      </c>
      <c r="W35" s="2">
        <f>COUNTIFS('OB History'!$B:$B,$A$35,'OB History'!M:M, 1)</f>
        <v>2</v>
      </c>
      <c r="X35" s="2">
        <f>COUNTIFS('OB History'!$B:$B,$A$35,'OB History'!N:N, 1)</f>
        <v>10</v>
      </c>
      <c r="Y35" s="2">
        <f>COUNTIFS('OB History'!$B:$B,$A$35,'OB History'!O:O, 1)</f>
        <v>0</v>
      </c>
      <c r="Z35" s="2">
        <f>COUNTIFS('OB History'!$B:$B,$A$35,'OB History'!P:P, 1)</f>
        <v>6</v>
      </c>
      <c r="AA35" s="2">
        <f>COUNTIFS('OB History'!$B:$B,$A$35,'OB History'!Q:Q, 1)</f>
        <v>2</v>
      </c>
      <c r="AB35" s="2">
        <f>COUNTIFS('OB History'!$B:$B,$A$35,'OB History'!R:R, 1)</f>
        <v>4</v>
      </c>
      <c r="AC35" s="2">
        <f>COUNTIFS('OB History'!$B:$B,$A$35,'OB History'!S:S, 1)</f>
        <v>2</v>
      </c>
      <c r="AD35" s="2">
        <f>COUNTIFS('OB History'!$B:$B,$A$35,'OB History'!T:T, 1)</f>
        <v>2</v>
      </c>
      <c r="AE35" s="2">
        <f>COUNTIFS('OB History'!$B:$B,$A$35,'OB History'!U:U, 1)</f>
        <v>1</v>
      </c>
      <c r="AF35" s="2">
        <f>COUNTIFS('OB History'!$B:$B,$A$35,'OB History'!V:V, 1)</f>
        <v>1</v>
      </c>
      <c r="AG35" s="2">
        <f>COUNTIFS('OB History'!$B:$B,$A$35,'OB History'!W:W, 1)</f>
        <v>5</v>
      </c>
      <c r="AH35" s="2">
        <f>COUNTIFS('OB History'!$B:$B,$A$35,'OB History'!X:X, 1)</f>
        <v>19</v>
      </c>
      <c r="AI35" s="2">
        <f>COUNTIFS('OB History'!$B:$B,$A$35,'OB History'!Y:Y, 1)</f>
        <v>10</v>
      </c>
      <c r="AJ35" s="2">
        <f>COUNTIFS('OB History'!$B:$B,$A$35,'OB History'!Z:Z, 1)</f>
        <v>11</v>
      </c>
    </row>
    <row r="36" spans="1:36" x14ac:dyDescent="0.25">
      <c r="A36" s="2" t="s">
        <v>15</v>
      </c>
      <c r="B36" s="2" t="s">
        <v>79</v>
      </c>
      <c r="C36" s="2" t="s">
        <v>79</v>
      </c>
      <c r="D36" s="3">
        <v>3</v>
      </c>
      <c r="E36" s="3">
        <v>1</v>
      </c>
      <c r="F36" s="3"/>
      <c r="G36" s="3"/>
      <c r="H36" s="34">
        <f>SUMIFS('OB History'!C:C,'OB History'!B:B,A36)</f>
        <v>1139</v>
      </c>
      <c r="I36" s="4">
        <f>AVERAGEIFS('OB History'!C:C,'OB History'!B:B,A36)</f>
        <v>22.78</v>
      </c>
      <c r="J36" s="4">
        <f t="array" ref="J36">MEDIAN(IF('OB History'!B:B=A36, 'OB History'!C:C))</f>
        <v>22</v>
      </c>
      <c r="K36" s="35">
        <f t="array" ref="K36">MAX(IF('OB History'!B:B=A36, 'OB History'!C:C))</f>
        <v>55</v>
      </c>
      <c r="L36" s="34">
        <f>COUNTIFS('OB History'!B:B,A36,'OB History'!D:D, 1)</f>
        <v>21</v>
      </c>
      <c r="M36" s="2">
        <f>COUNTIFS('OB History'!B:B,A36,'OB History'!D:D, 0)</f>
        <v>29</v>
      </c>
      <c r="N36" s="88">
        <f>LOOKUP(2, 1/('OB History'!$B:$B=A36), 'OB History'!$AD:$AD)</f>
        <v>0.42</v>
      </c>
      <c r="O36" s="34">
        <f>SUMIFS('OB History'!F:F,'OB History'!B:B,A36)</f>
        <v>93</v>
      </c>
      <c r="P36" s="2">
        <f>SUMIFS('OB History'!E:E,'OB History'!B:B,A36)-O36</f>
        <v>110</v>
      </c>
      <c r="Q36" s="88">
        <f>LOOKUP(2, 1/('OB History'!$B:$B=A36), 'OB History'!$AB:$AB)</f>
        <v>0.45800000000000013</v>
      </c>
      <c r="R36" s="34">
        <f>SUMIFS('OB History'!H:H,'OB History'!B:B,'Old Bow v2'!A36)</f>
        <v>411</v>
      </c>
      <c r="S36" s="2">
        <f>SUMIFS('OB History'!G:G,'OB History'!B:B,'Old Bow v2'!A36)-R36</f>
        <v>436</v>
      </c>
      <c r="T36" s="88">
        <f>LOOKUP(2, 1/('OB History'!$B:$B=A36), 'OB History'!$AC:$AC)</f>
        <v>0.48659999999999998</v>
      </c>
      <c r="U36" s="2">
        <f>COUNTIFS('OB History'!$B:$B,$A$36,'OB History'!K:K, 1)</f>
        <v>5</v>
      </c>
      <c r="V36" s="2">
        <f>COUNTIFS('OB History'!$B:$B,$A$36,'OB History'!L:L, 1)</f>
        <v>5</v>
      </c>
      <c r="W36" s="2">
        <f>COUNTIFS('OB History'!$B:$B,$A$36,'OB History'!M:M, 1)</f>
        <v>0</v>
      </c>
      <c r="X36" s="2">
        <f>COUNTIFS('OB History'!$B:$B,$A$36,'OB History'!N:N, 1)</f>
        <v>13</v>
      </c>
      <c r="Y36" s="2">
        <f>COUNTIFS('OB History'!$B:$B,$A$36,'OB History'!O:O, 1)</f>
        <v>2</v>
      </c>
      <c r="Z36" s="2">
        <f>COUNTIFS('OB History'!$B:$B,$A$36,'OB History'!P:P, 1)</f>
        <v>9</v>
      </c>
      <c r="AA36" s="2">
        <f>COUNTIFS('OB History'!$B:$B,$A$36,'OB History'!Q:Q, 1)</f>
        <v>4</v>
      </c>
      <c r="AB36" s="2">
        <f>COUNTIFS('OB History'!$B:$B,$A$36,'OB History'!R:R, 1)</f>
        <v>2</v>
      </c>
      <c r="AC36" s="2">
        <f>COUNTIFS('OB History'!$B:$B,$A$36,'OB History'!S:S, 1)</f>
        <v>1</v>
      </c>
      <c r="AD36" s="2">
        <f>COUNTIFS('OB History'!$B:$B,$A$36,'OB History'!T:T, 1)</f>
        <v>1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9</v>
      </c>
      <c r="AH36" s="2">
        <f>COUNTIFS('OB History'!$B:$B,$A$36,'OB History'!X:X, 1)</f>
        <v>19</v>
      </c>
      <c r="AI36" s="2">
        <f>COUNTIFS('OB History'!$B:$B,$A$36,'OB History'!Y:Y, 1)</f>
        <v>9</v>
      </c>
      <c r="AJ36" s="2">
        <f>COUNTIFS('OB History'!$B:$B,$A$36,'OB History'!Z:Z, 1)</f>
        <v>12</v>
      </c>
    </row>
    <row r="37" spans="1:36" x14ac:dyDescent="0.25">
      <c r="A37" s="2" t="s">
        <v>161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31</v>
      </c>
      <c r="I37" s="4">
        <f>AVERAGEIFS('OB History'!C:C,'OB History'!B:B,A37)</f>
        <v>15.5</v>
      </c>
      <c r="J37" s="4">
        <f t="array" ref="J37">MEDIAN(IF('OB History'!B:B=A37, 'OB History'!C:C))</f>
        <v>15.5</v>
      </c>
      <c r="K37" s="35">
        <f t="array" ref="K37">MAX(IF('OB History'!B:B=A37, 'OB History'!C:C))</f>
        <v>16</v>
      </c>
      <c r="L37" s="34">
        <f>COUNTIFS('OB History'!B:B,A37,'OB History'!D:D, 1)</f>
        <v>0</v>
      </c>
      <c r="M37" s="2">
        <f>COUNTIFS('OB History'!B:B,A37,'OB History'!D:D, 0)</f>
        <v>2</v>
      </c>
      <c r="N37" s="88">
        <f>LOOKUP(2, 1/('OB History'!$B:$B=A37), 'OB History'!$AD:$AD)</f>
        <v>0</v>
      </c>
      <c r="O37" s="34">
        <f>SUMIFS('OB History'!F:F,'OB History'!B:B,A37)</f>
        <v>2</v>
      </c>
      <c r="P37" s="2">
        <f>SUMIFS('OB History'!E:E,'OB History'!B:B,A37)-O37</f>
        <v>6</v>
      </c>
      <c r="Q37" s="88">
        <f>LOOKUP(2, 1/('OB History'!$B:$B=A37), 'OB History'!$AB:$AB)</f>
        <v>0.25</v>
      </c>
      <c r="R37" s="34">
        <f>SUMIFS('OB History'!H:H,'OB History'!B:B,'Old Bow v2'!A37)</f>
        <v>16</v>
      </c>
      <c r="S37" s="2">
        <f>SUMIFS('OB History'!G:G,'OB History'!B:B,'Old Bow v2'!A37)-R37</f>
        <v>22</v>
      </c>
      <c r="T37" s="88">
        <f>LOOKUP(2, 1/('OB History'!$B:$B=A37), 'OB History'!$AC:$AC)</f>
        <v>0.42</v>
      </c>
      <c r="U37" s="2">
        <f>COUNTIFS('OB History'!$B:$B,$A$37,'OB History'!K:K, 1)</f>
        <v>0</v>
      </c>
      <c r="V37" s="2">
        <f>COUNTIFS('OB History'!$B:$B,$A$37,'OB History'!L:L, 1)</f>
        <v>0</v>
      </c>
      <c r="W37" s="2">
        <f>COUNTIFS('OB History'!$B:$B,$A$37,'OB History'!M:M, 1)</f>
        <v>0</v>
      </c>
      <c r="X37" s="2">
        <f>COUNTIFS('OB History'!$B:$B,$A$37,'OB History'!N:N, 1)</f>
        <v>0</v>
      </c>
      <c r="Y37" s="2">
        <f>COUNTIFS('OB History'!$B:$B,$A$37,'OB History'!O:O, 1)</f>
        <v>0</v>
      </c>
      <c r="Z37" s="2">
        <f>COUNTIFS('OB History'!$B:$B,$A$37,'OB History'!P:P, 1)</f>
        <v>0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0</v>
      </c>
      <c r="AG37" s="2">
        <f>COUNTIFS('OB History'!$B:$B,$A$37,'OB History'!W:W, 1)</f>
        <v>1</v>
      </c>
      <c r="AH37" s="2">
        <f>COUNTIFS('OB History'!$B:$B,$A$37,'OB History'!X:X, 1)</f>
        <v>0</v>
      </c>
      <c r="AI37" s="2">
        <f>COUNTIFS('OB History'!$B:$B,$A$37,'OB History'!Y:Y, 1)</f>
        <v>1</v>
      </c>
      <c r="AJ37" s="2">
        <f>COUNTIFS('OB History'!$B:$B,$A$37,'OB History'!Z:Z, 1)</f>
        <v>0</v>
      </c>
    </row>
    <row r="38" spans="1:36" x14ac:dyDescent="0.25">
      <c r="A38" s="1" t="s">
        <v>43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4</v>
      </c>
      <c r="I38" s="4">
        <f>AVERAGEIFS('OB History'!C:C,'OB History'!B:B,A38)</f>
        <v>4</v>
      </c>
      <c r="J38" s="4">
        <f t="array" ref="J38">MEDIAN(IF('OB History'!B:B=A38, 'OB History'!C:C))</f>
        <v>4</v>
      </c>
      <c r="K38" s="35">
        <f t="array" ref="K38">MAX(IF('OB History'!B:B=A38, 'OB History'!C:C))</f>
        <v>4</v>
      </c>
      <c r="L38" s="34">
        <f>COUNTIFS('OB History'!B:B,A38,'OB History'!D:D, 1)</f>
        <v>1</v>
      </c>
      <c r="M38" s="2">
        <f>COUNTIFS('OB History'!B:B,A38,'OB History'!D:D, 0)</f>
        <v>0</v>
      </c>
      <c r="N38" s="88">
        <f>LOOKUP(2, 1/('OB History'!$B:$B=A38), 'OB History'!$AD:$AD)</f>
        <v>1</v>
      </c>
      <c r="O38" s="34">
        <f>SUMIFS('OB History'!F:F,'OB History'!B:B,A38)</f>
        <v>3</v>
      </c>
      <c r="P38" s="2">
        <f>SUMIFS('OB History'!E:E,'OB History'!B:B,A38)-O38</f>
        <v>0</v>
      </c>
      <c r="Q38" s="88">
        <f>LOOKUP(2, 1/('OB History'!$B:$B=A38), 'OB History'!$AB:$AB)</f>
        <v>1</v>
      </c>
      <c r="R38" s="34">
        <f>SUMIFS('OB History'!H:H,'OB History'!B:B,'Old Bow v2'!A38)</f>
        <v>9</v>
      </c>
      <c r="S38" s="2">
        <f>SUMIFS('OB History'!G:G,'OB History'!B:B,'Old Bow v2'!A38)-R38</f>
        <v>4</v>
      </c>
      <c r="T38" s="88">
        <f>LOOKUP(2, 1/('OB History'!$B:$B=A38), 'OB History'!$AC:$AC)</f>
        <v>0.69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1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0</v>
      </c>
      <c r="AH38" s="2">
        <f>COUNTIFS('OB History'!$B:$B,$A$38,'OB History'!X:X, 1)</f>
        <v>1</v>
      </c>
      <c r="AI38" s="2">
        <f>COUNTIFS('OB History'!$B:$B,$A$38,'OB History'!Y:Y, 1)</f>
        <v>0</v>
      </c>
      <c r="AJ38" s="2">
        <f>COUNTIFS('OB History'!$B:$B,$A$38,'OB History'!Z:Z, 1)</f>
        <v>1</v>
      </c>
    </row>
    <row r="39" spans="1:36" x14ac:dyDescent="0.25">
      <c r="A39" s="2" t="s">
        <v>13</v>
      </c>
      <c r="B39" s="6" t="s">
        <v>124</v>
      </c>
      <c r="C39" s="1" t="s">
        <v>159</v>
      </c>
      <c r="D39" s="3">
        <v>7</v>
      </c>
      <c r="E39" s="3">
        <v>3</v>
      </c>
      <c r="F39" s="3">
        <v>1</v>
      </c>
      <c r="G39" s="3"/>
      <c r="H39" s="34">
        <f>SUMIFS('OB History'!C:C,'OB History'!B:B,A39)</f>
        <v>1944</v>
      </c>
      <c r="I39" s="4">
        <f>AVERAGEIFS('OB History'!C:C,'OB History'!B:B,A39)</f>
        <v>25.92</v>
      </c>
      <c r="J39" s="4">
        <f t="array" ref="J39">MEDIAN(IF('OB History'!B:B=A39, 'OB History'!C:C))</f>
        <v>24</v>
      </c>
      <c r="K39" s="35">
        <f t="array" ref="K39">MAX(IF('OB History'!B:B=A39, 'OB History'!C:C))</f>
        <v>58</v>
      </c>
      <c r="L39" s="34">
        <f>COUNTIFS('OB History'!B:B,A39,'OB History'!D:D, 1)</f>
        <v>44</v>
      </c>
      <c r="M39" s="2">
        <f>COUNTIFS('OB History'!B:B,A39,'OB History'!D:D, 0)</f>
        <v>31</v>
      </c>
      <c r="N39" s="88">
        <f>LOOKUP(2, 1/('OB History'!$B:$B=A39), 'OB History'!$AD:$AD)</f>
        <v>0.58666666666666667</v>
      </c>
      <c r="O39" s="34">
        <f>SUMIFS('OB History'!F:F,'OB History'!B:B,A39)</f>
        <v>167</v>
      </c>
      <c r="P39" s="2">
        <f>SUMIFS('OB History'!E:E,'OB History'!B:B,A39)-O39</f>
        <v>137</v>
      </c>
      <c r="Q39" s="88">
        <f>LOOKUP(2, 1/('OB History'!$B:$B=A39), 'OB History'!$AB:$AB)</f>
        <v>0.55000000000000004</v>
      </c>
      <c r="R39" s="34">
        <f>SUMIFS('OB History'!H:H,'OB History'!B:B,'Old Bow v2'!A39)</f>
        <v>668</v>
      </c>
      <c r="S39" s="2">
        <f>SUMIFS('OB History'!G:G,'OB History'!B:B,'Old Bow v2'!A39)-R39</f>
        <v>586</v>
      </c>
      <c r="T39" s="88">
        <f>LOOKUP(2, 1/('OB History'!$B:$B=A39), 'OB History'!$AC:$AC)</f>
        <v>0.5344000000000001</v>
      </c>
      <c r="U39" s="2">
        <f>COUNTIFS('OB History'!$B:$B,$A$39,'OB History'!K:K, 1)</f>
        <v>10</v>
      </c>
      <c r="V39" s="2">
        <f>COUNTIFS('OB History'!$B:$B,$A$39,'OB History'!L:L, 1)</f>
        <v>14</v>
      </c>
      <c r="W39" s="2">
        <f>COUNTIFS('OB History'!$B:$B,$A$39,'OB History'!M:M, 1)</f>
        <v>4</v>
      </c>
      <c r="X39" s="2">
        <f>COUNTIFS('OB History'!$B:$B,$A$39,'OB History'!N:N, 1)</f>
        <v>18</v>
      </c>
      <c r="Y39" s="2">
        <f>COUNTIFS('OB History'!$B:$B,$A$39,'OB History'!O:O, 1)</f>
        <v>3</v>
      </c>
      <c r="Z39" s="2">
        <f>COUNTIFS('OB History'!$B:$B,$A$39,'OB History'!P:P, 1)</f>
        <v>20</v>
      </c>
      <c r="AA39" s="2">
        <f>COUNTIFS('OB History'!$B:$B,$A$39,'OB History'!Q:Q, 1)</f>
        <v>6</v>
      </c>
      <c r="AB39" s="2">
        <f>COUNTIFS('OB History'!$B:$B,$A$39,'OB History'!R:R, 1)</f>
        <v>8</v>
      </c>
      <c r="AC39" s="2">
        <f>COUNTIFS('OB History'!$B:$B,$A$39,'OB History'!S:S, 1)</f>
        <v>2</v>
      </c>
      <c r="AD39" s="2">
        <f>COUNTIFS('OB History'!$B:$B,$A$39,'OB History'!T:T, 1)</f>
        <v>4</v>
      </c>
      <c r="AE39" s="2">
        <f>COUNTIFS('OB History'!$B:$B,$A$39,'OB History'!U:U, 1)</f>
        <v>2</v>
      </c>
      <c r="AF39" s="2">
        <f>COUNTIFS('OB History'!$B:$B,$A$39,'OB History'!V:V, 1)</f>
        <v>5</v>
      </c>
      <c r="AG39" s="2">
        <f>COUNTIFS('OB History'!$B:$B,$A$39,'OB History'!W:W, 1)</f>
        <v>15</v>
      </c>
      <c r="AH39" s="2">
        <f>COUNTIFS('OB History'!$B:$B,$A$39,'OB History'!X:X, 1)</f>
        <v>21</v>
      </c>
      <c r="AI39" s="2">
        <f>COUNTIFS('OB History'!$B:$B,$A$39,'OB History'!Y:Y, 1)</f>
        <v>16</v>
      </c>
      <c r="AJ39" s="2">
        <f>COUNTIFS('OB History'!$B:$B,$A$39,'OB History'!Z:Z, 1)</f>
        <v>19</v>
      </c>
    </row>
    <row r="40" spans="1:36" x14ac:dyDescent="0.25">
      <c r="A40" s="2" t="s">
        <v>2</v>
      </c>
      <c r="B40" s="6" t="s">
        <v>60</v>
      </c>
      <c r="C40" s="2" t="s">
        <v>79</v>
      </c>
      <c r="D40" s="3">
        <v>2</v>
      </c>
      <c r="E40" s="3"/>
      <c r="F40" s="3"/>
      <c r="G40" s="3"/>
      <c r="H40" s="34">
        <f>SUMIFS('OB History'!C:C,'OB History'!B:B,A40)</f>
        <v>641</v>
      </c>
      <c r="I40" s="4">
        <f>AVERAGEIFS('OB History'!C:C,'OB History'!B:B,A40)</f>
        <v>27.869565217391305</v>
      </c>
      <c r="J40" s="4">
        <f t="array" ref="J40">MEDIAN(IF('OB History'!B:B=A40, 'OB History'!C:C))</f>
        <v>27</v>
      </c>
      <c r="K40" s="35">
        <f t="array" ref="K40">MAX(IF('OB History'!B:B=A40, 'OB History'!C:C))</f>
        <v>68</v>
      </c>
      <c r="L40" s="34">
        <f>COUNTIFS('OB History'!B:B,A40,'OB History'!D:D, 1)</f>
        <v>12</v>
      </c>
      <c r="M40" s="2">
        <f>COUNTIFS('OB History'!B:B,A40,'OB History'!D:D, 0)</f>
        <v>11</v>
      </c>
      <c r="N40" s="88">
        <f>LOOKUP(2, 1/('OB History'!$B:$B=A40), 'OB History'!$AD:$AD)</f>
        <v>0.52173913043478259</v>
      </c>
      <c r="O40" s="34">
        <f>SUMIFS('OB History'!F:F,'OB History'!B:B,A40)</f>
        <v>54</v>
      </c>
      <c r="P40" s="2">
        <f>SUMIFS('OB History'!E:E,'OB History'!B:B,A40)-O40</f>
        <v>41</v>
      </c>
      <c r="Q40" s="88">
        <f>LOOKUP(2, 1/('OB History'!$B:$B=A40), 'OB History'!$AB:$AB)</f>
        <v>0.60434782608695659</v>
      </c>
      <c r="R40" s="34">
        <f>SUMIFS('OB History'!H:H,'OB History'!B:B,'Old Bow v2'!A40)</f>
        <v>218</v>
      </c>
      <c r="S40" s="2">
        <f>SUMIFS('OB History'!G:G,'OB History'!B:B,'Old Bow v2'!A40)-R40</f>
        <v>186</v>
      </c>
      <c r="T40" s="88">
        <f>LOOKUP(2, 1/('OB History'!$B:$B=A40), 'OB History'!$AC:$AC)</f>
        <v>0.55391304347826076</v>
      </c>
      <c r="U40" s="2">
        <f>COUNTIFS('OB History'!$B:$B,$A$40,'OB History'!K:K, 1)</f>
        <v>4</v>
      </c>
      <c r="V40" s="2">
        <f>COUNTIFS('OB History'!$B:$B,$A$40,'OB History'!L:L, 1)</f>
        <v>6</v>
      </c>
      <c r="W40" s="2">
        <f>COUNTIFS('OB History'!$B:$B,$A$40,'OB History'!M:M, 1)</f>
        <v>3</v>
      </c>
      <c r="X40" s="2">
        <f>COUNTIFS('OB History'!$B:$B,$A$40,'OB History'!N:N, 1)</f>
        <v>11</v>
      </c>
      <c r="Y40" s="2">
        <f>COUNTIFS('OB History'!$B:$B,$A$40,'OB History'!O:O, 1)</f>
        <v>0</v>
      </c>
      <c r="Z40" s="2">
        <f>COUNTIFS('OB History'!$B:$B,$A$40,'OB History'!P:P, 1)</f>
        <v>4</v>
      </c>
      <c r="AA40" s="2">
        <f>COUNTIFS('OB History'!$B:$B,$A$40,'OB History'!Q:Q, 1)</f>
        <v>0</v>
      </c>
      <c r="AB40" s="2">
        <f>COUNTIFS('OB History'!$B:$B,$A$40,'OB History'!R:R, 1)</f>
        <v>1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5</v>
      </c>
      <c r="AH40" s="2">
        <f>COUNTIFS('OB History'!$B:$B,$A$40,'OB History'!X:X, 1)</f>
        <v>6</v>
      </c>
      <c r="AI40" s="2">
        <f>COUNTIFS('OB History'!$B:$B,$A$40,'OB History'!Y:Y, 1)</f>
        <v>6</v>
      </c>
      <c r="AJ40" s="2">
        <f>COUNTIFS('OB History'!$B:$B,$A$40,'OB History'!Z:Z, 1)</f>
        <v>8</v>
      </c>
    </row>
    <row r="41" spans="1:36" x14ac:dyDescent="0.25">
      <c r="A41" s="2" t="s">
        <v>54</v>
      </c>
      <c r="B41" s="6" t="s">
        <v>60</v>
      </c>
      <c r="C41" s="6" t="s">
        <v>79</v>
      </c>
      <c r="D41" s="3"/>
      <c r="E41" s="3"/>
      <c r="F41" s="3"/>
      <c r="G41" s="3"/>
      <c r="H41" s="34">
        <f>SUMIFS('OB History'!C:C,'OB History'!B:B,A41)</f>
        <v>74</v>
      </c>
      <c r="I41" s="4">
        <f>AVERAGEIFS('OB History'!C:C,'OB History'!B:B,A41)</f>
        <v>18.5</v>
      </c>
      <c r="J41" s="4">
        <f t="array" ref="J41">MEDIAN(IF('OB History'!B:B=A41, 'OB History'!C:C))</f>
        <v>18</v>
      </c>
      <c r="K41" s="35">
        <f t="array" ref="K41">MAX(IF('OB History'!B:B=A41, 'OB History'!C:C))</f>
        <v>29</v>
      </c>
      <c r="L41" s="34">
        <f>COUNTIFS('OB History'!B:B,A41,'OB History'!D:D, 1)</f>
        <v>3</v>
      </c>
      <c r="M41" s="2">
        <f>COUNTIFS('OB History'!B:B,A41,'OB History'!D:D, 0)</f>
        <v>1</v>
      </c>
      <c r="N41" s="88">
        <f>LOOKUP(2, 1/('OB History'!$B:$B=A41), 'OB History'!$AD:$AD)</f>
        <v>0.75</v>
      </c>
      <c r="O41" s="34">
        <f>SUMIFS('OB History'!F:F,'OB History'!B:B,A41)</f>
        <v>11</v>
      </c>
      <c r="P41" s="2">
        <f>SUMIFS('OB History'!E:E,'OB History'!B:B,A41)-O41</f>
        <v>9</v>
      </c>
      <c r="Q41" s="88">
        <f>LOOKUP(2, 1/('OB History'!$B:$B=A41), 'OB History'!$AB:$AB)</f>
        <v>0.54999999999999993</v>
      </c>
      <c r="R41" s="34">
        <f>SUMIFS('OB History'!H:H,'OB History'!B:B,'Old Bow v2'!A41)</f>
        <v>45</v>
      </c>
      <c r="S41" s="2">
        <f>SUMIFS('OB History'!G:G,'OB History'!B:B,'Old Bow v2'!A41)-R41</f>
        <v>36</v>
      </c>
      <c r="T41" s="88">
        <f>LOOKUP(2, 1/('OB History'!$B:$B=A41), 'OB History'!$AC:$AC)</f>
        <v>0.55249999999999999</v>
      </c>
      <c r="U41" s="2">
        <f>COUNTIFS('OB History'!$B:$B,$A$41,'OB History'!K:K, 1)</f>
        <v>1</v>
      </c>
      <c r="V41" s="2">
        <f>COUNTIFS('OB History'!$B:$B,$A$41,'OB History'!L:L, 1)</f>
        <v>1</v>
      </c>
      <c r="W41" s="2">
        <f>COUNTIFS('OB History'!$B:$B,$A$41,'OB History'!M:M, 1)</f>
        <v>0</v>
      </c>
      <c r="X41" s="2">
        <f>COUNTIFS('OB History'!$B:$B,$A$41,'OB History'!N:N, 1)</f>
        <v>1</v>
      </c>
      <c r="Y41" s="2">
        <f>COUNTIFS('OB History'!$B:$B,$A$41,'OB History'!O:O, 1)</f>
        <v>2</v>
      </c>
      <c r="Z41" s="2">
        <f>COUNTIFS('OB History'!$B:$B,$A$41,'OB History'!P:P, 1)</f>
        <v>1</v>
      </c>
      <c r="AA41" s="2">
        <f>COUNTIFS('OB History'!$B:$B,$A$41,'OB History'!Q:Q, 1)</f>
        <v>3</v>
      </c>
      <c r="AB41" s="2">
        <f>COUNTIFS('OB History'!$B:$B,$A$41,'OB History'!R:R, 1)</f>
        <v>0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1</v>
      </c>
      <c r="AG41" s="2">
        <f>COUNTIFS('OB History'!$B:$B,$A$41,'OB History'!W:W, 1)</f>
        <v>1</v>
      </c>
      <c r="AH41" s="2">
        <f>COUNTIFS('OB History'!$B:$B,$A$41,'OB History'!X:X, 1)</f>
        <v>0</v>
      </c>
      <c r="AI41" s="2">
        <f>COUNTIFS('OB History'!$B:$B,$A$41,'OB History'!Y:Y, 1)</f>
        <v>0</v>
      </c>
      <c r="AJ41" s="2">
        <f>COUNTIFS('OB History'!$B:$B,$A$41,'OB History'!Z:Z, 1)</f>
        <v>0</v>
      </c>
    </row>
    <row r="42" spans="1:36" x14ac:dyDescent="0.25">
      <c r="A42" s="2" t="s">
        <v>5</v>
      </c>
      <c r="B42" s="6" t="s">
        <v>124</v>
      </c>
      <c r="C42" s="1" t="s">
        <v>159</v>
      </c>
      <c r="D42" s="3">
        <v>3</v>
      </c>
      <c r="E42" s="3"/>
      <c r="F42" s="3"/>
      <c r="G42" s="3"/>
      <c r="H42" s="34">
        <f>SUMIFS('OB History'!C:C,'OB History'!B:B,A42)</f>
        <v>599</v>
      </c>
      <c r="I42" s="4">
        <f>AVERAGEIFS('OB History'!C:C,'OB History'!B:B,A42)</f>
        <v>22.185185185185187</v>
      </c>
      <c r="J42" s="4">
        <f t="array" ref="J42">MEDIAN(IF('OB History'!B:B=A42, 'OB History'!C:C))</f>
        <v>21</v>
      </c>
      <c r="K42" s="35">
        <f t="array" ref="K42">MAX(IF('OB History'!B:B=A42, 'OB History'!C:C))</f>
        <v>51</v>
      </c>
      <c r="L42" s="34">
        <f>COUNTIFS('OB History'!B:B,A42,'OB History'!D:D, 1)</f>
        <v>11</v>
      </c>
      <c r="M42" s="2">
        <f>COUNTIFS('OB History'!B:B,A42,'OB History'!D:D, 0)</f>
        <v>16</v>
      </c>
      <c r="N42" s="88">
        <f>LOOKUP(2, 1/('OB History'!$B:$B=A42), 'OB History'!$AD:$AD)</f>
        <v>0.40740740740740738</v>
      </c>
      <c r="O42" s="34">
        <f>SUMIFS('OB History'!F:F,'OB History'!B:B,A42)</f>
        <v>51</v>
      </c>
      <c r="P42" s="2">
        <f>SUMIFS('OB History'!E:E,'OB History'!B:B,A42)-O42</f>
        <v>62</v>
      </c>
      <c r="Q42" s="88">
        <f>LOOKUP(2, 1/('OB History'!$B:$B=A42), 'OB History'!$AB:$AB)</f>
        <v>0.44814814814814813</v>
      </c>
      <c r="R42" s="34">
        <f>SUMIFS('OB History'!H:H,'OB History'!B:B,'Old Bow v2'!A42)</f>
        <v>228</v>
      </c>
      <c r="S42" s="2">
        <f>SUMIFS('OB History'!G:G,'OB History'!B:B,'Old Bow v2'!A42)-R42</f>
        <v>245</v>
      </c>
      <c r="T42" s="88">
        <f>LOOKUP(2, 1/('OB History'!$B:$B=A42), 'OB History'!$AC:$AC)</f>
        <v>0.4777777777777778</v>
      </c>
      <c r="U42" s="2">
        <f>COUNTIFS('OB History'!$B:$B,$A$42,'OB History'!K:K, 1)</f>
        <v>5</v>
      </c>
      <c r="V42" s="2">
        <f>COUNTIFS('OB History'!$B:$B,$A$42,'OB History'!L:L, 1)</f>
        <v>5</v>
      </c>
      <c r="W42" s="2">
        <f>COUNTIFS('OB History'!$B:$B,$A$42,'OB History'!M:M, 1)</f>
        <v>4</v>
      </c>
      <c r="X42" s="2">
        <f>COUNTIFS('OB History'!$B:$B,$A$42,'OB History'!N:N, 1)</f>
        <v>4</v>
      </c>
      <c r="Y42" s="2">
        <f>COUNTIFS('OB History'!$B:$B,$A$42,'OB History'!O:O, 1)</f>
        <v>3</v>
      </c>
      <c r="Z42" s="2">
        <f>COUNTIFS('OB History'!$B:$B,$A$42,'OB History'!P:P, 1)</f>
        <v>4</v>
      </c>
      <c r="AA42" s="2">
        <f>COUNTIFS('OB History'!$B:$B,$A$42,'OB History'!Q:Q, 1)</f>
        <v>1</v>
      </c>
      <c r="AB42" s="2">
        <f>COUNTIFS('OB History'!$B:$B,$A$42,'OB History'!R:R, 1)</f>
        <v>4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3</v>
      </c>
      <c r="AH42" s="2">
        <f>COUNTIFS('OB History'!$B:$B,$A$42,'OB History'!X:X, 1)</f>
        <v>8</v>
      </c>
      <c r="AI42" s="2">
        <f>COUNTIFS('OB History'!$B:$B,$A$42,'OB History'!Y:Y, 1)</f>
        <v>6</v>
      </c>
      <c r="AJ42" s="2">
        <f>COUNTIFS('OB History'!$B:$B,$A$42,'OB History'!Z:Z, 1)</f>
        <v>4</v>
      </c>
    </row>
    <row r="43" spans="1:36" x14ac:dyDescent="0.25">
      <c r="A43" s="2" t="s">
        <v>38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174</v>
      </c>
      <c r="I43" s="4">
        <f>AVERAGEIFS('OB History'!C:C,'OB History'!B:B,A43)</f>
        <v>8.2857142857142865</v>
      </c>
      <c r="J43" s="4">
        <f t="array" ref="J43">MEDIAN(IF('OB History'!B:B=A43, 'OB History'!C:C))</f>
        <v>7</v>
      </c>
      <c r="K43" s="35">
        <f t="array" ref="K43">MAX(IF('OB History'!B:B=A43, 'OB History'!C:C))</f>
        <v>28</v>
      </c>
      <c r="L43" s="34">
        <f>COUNTIFS('OB History'!B:B,A43,'OB History'!D:D, 1)</f>
        <v>8</v>
      </c>
      <c r="M43" s="2">
        <f>COUNTIFS('OB History'!B:B,A43,'OB History'!D:D, 0)</f>
        <v>13</v>
      </c>
      <c r="N43" s="88">
        <f>LOOKUP(2, 1/('OB History'!$B:$B=A43), 'OB History'!$AD:$AD)</f>
        <v>0.38095238095238093</v>
      </c>
      <c r="O43" s="34">
        <f>SUMIFS('OB History'!F:F,'OB History'!B:B,A43)</f>
        <v>35</v>
      </c>
      <c r="P43" s="2">
        <f>SUMIFS('OB History'!E:E,'OB History'!B:B,A43)-O43</f>
        <v>47</v>
      </c>
      <c r="Q43" s="88">
        <f>LOOKUP(2, 1/('OB History'!$B:$B=A43), 'OB History'!$AB:$AB)</f>
        <v>0.4</v>
      </c>
      <c r="R43" s="34">
        <f>SUMIFS('OB History'!H:H,'OB History'!B:B,'Old Bow v2'!A43)</f>
        <v>157</v>
      </c>
      <c r="S43" s="2">
        <f>SUMIFS('OB History'!G:G,'OB History'!B:B,'Old Bow v2'!A43)-R43</f>
        <v>184</v>
      </c>
      <c r="T43" s="88">
        <f>LOOKUP(2, 1/('OB History'!$B:$B=A43), 'OB History'!$AC:$AC)</f>
        <v>0.45238095238095244</v>
      </c>
      <c r="U43" s="2">
        <f>COUNTIFS('OB History'!$B:$B,$A$43,'OB History'!K:K, 1)</f>
        <v>2</v>
      </c>
      <c r="V43" s="2">
        <f>COUNTIFS('OB History'!$B:$B,$A$43,'OB History'!L:L, 1)</f>
        <v>1</v>
      </c>
      <c r="W43" s="2">
        <f>COUNTIFS('OB History'!$B:$B,$A$43,'OB History'!M:M, 1)</f>
        <v>2</v>
      </c>
      <c r="X43" s="2">
        <f>COUNTIFS('OB History'!$B:$B,$A$43,'OB History'!N:N, 1)</f>
        <v>5</v>
      </c>
      <c r="Y43" s="2">
        <f>COUNTIFS('OB History'!$B:$B,$A$43,'OB History'!O:O, 1)</f>
        <v>0</v>
      </c>
      <c r="Z43" s="2">
        <f>COUNTIFS('OB History'!$B:$B,$A$43,'OB History'!P:P, 1)</f>
        <v>4</v>
      </c>
      <c r="AA43" s="2">
        <f>COUNTIFS('OB History'!$B:$B,$A$43,'OB History'!Q:Q, 1)</f>
        <v>2</v>
      </c>
      <c r="AB43" s="2">
        <f>COUNTIFS('OB History'!$B:$B,$A$43,'OB History'!R:R, 1)</f>
        <v>5</v>
      </c>
      <c r="AC43" s="2">
        <f>COUNTIFS('OB History'!$B:$B,$A$43,'OB History'!S:S, 1)</f>
        <v>0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2</v>
      </c>
      <c r="AH43" s="2">
        <f>COUNTIFS('OB History'!$B:$B,$A$43,'OB History'!X:X, 1)</f>
        <v>4</v>
      </c>
      <c r="AI43" s="2">
        <f>COUNTIFS('OB History'!$B:$B,$A$43,'OB History'!Y:Y, 1)</f>
        <v>4</v>
      </c>
      <c r="AJ43" s="2">
        <f>COUNTIFS('OB History'!$B:$B,$A$43,'OB History'!Z:Z, 1)</f>
        <v>4</v>
      </c>
    </row>
    <row r="44" spans="1:36" x14ac:dyDescent="0.25">
      <c r="A44" s="2" t="s">
        <v>242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8</v>
      </c>
      <c r="I44" s="4">
        <f>AVERAGEIFS('OB History'!C:C,'OB History'!B:B,A44)</f>
        <v>4</v>
      </c>
      <c r="J44" s="4">
        <f t="array" ref="J44">MEDIAN(IF('OB History'!B:B=A44, 'OB History'!C:C))</f>
        <v>4</v>
      </c>
      <c r="K44" s="35">
        <f t="array" ref="K44">MAX(IF('OB History'!B:B=A44, 'OB History'!C:C))</f>
        <v>4</v>
      </c>
      <c r="L44" s="34">
        <f>COUNTIFS('OB History'!B:B,A44,'OB History'!D:D, 1)</f>
        <v>0</v>
      </c>
      <c r="M44" s="2">
        <f>COUNTIFS('OB History'!B:B,A44,'OB History'!D:D, 0)</f>
        <v>2</v>
      </c>
      <c r="N44" s="88">
        <f>LOOKUP(2, 1/('OB History'!$B:$B=A44), 'OB History'!$AD:$AD)</f>
        <v>0</v>
      </c>
      <c r="O44" s="34">
        <f>SUMIFS('OB History'!F:F,'OB History'!B:B,A44)</f>
        <v>2</v>
      </c>
      <c r="P44" s="2">
        <f>SUMIFS('OB History'!E:E,'OB History'!B:B,A44)-O44</f>
        <v>6</v>
      </c>
      <c r="Q44" s="88">
        <f>LOOKUP(2, 1/('OB History'!$B:$B=A44), 'OB History'!$AB:$AB)</f>
        <v>0.2</v>
      </c>
      <c r="R44" s="34">
        <f>SUMIFS('OB History'!H:H,'OB History'!B:B,'Old Bow v2'!A44)</f>
        <v>11</v>
      </c>
      <c r="S44" s="2">
        <f>SUMIFS('OB History'!G:G,'OB History'!B:B,'Old Bow v2'!A44)-R44</f>
        <v>22</v>
      </c>
      <c r="T44" s="88">
        <f>LOOKUP(2, 1/('OB History'!$B:$B=A44), 'OB History'!$AC:$AC)</f>
        <v>0.315</v>
      </c>
      <c r="U44" s="2">
        <f>COUNTIFS('OB History'!$B:$B,$A$44,'OB History'!K:K, 1)</f>
        <v>0</v>
      </c>
      <c r="V44" s="2">
        <f>COUNTIFS('OB History'!$B:$B,$A$44,'OB History'!L:L, 1)</f>
        <v>0</v>
      </c>
      <c r="W44" s="2">
        <f>COUNTIFS('OB History'!$B:$B,$A$44,'OB History'!M:M, 1)</f>
        <v>0</v>
      </c>
      <c r="X44" s="2">
        <f>COUNTIFS('OB History'!$B:$B,$A$44,'OB History'!N:N, 1)</f>
        <v>0</v>
      </c>
      <c r="Y44" s="2">
        <f>COUNTIFS('OB History'!$B:$B,$A$44,'OB History'!O:O, 1)</f>
        <v>0</v>
      </c>
      <c r="Z44" s="2">
        <f>COUNTIFS('OB History'!$B:$B,$A$44,'OB History'!P:P, 1)</f>
        <v>0</v>
      </c>
      <c r="AA44" s="2">
        <f>COUNTIFS('OB History'!$B:$B,$A$44,'OB History'!Q:Q, 1)</f>
        <v>0</v>
      </c>
      <c r="AB44" s="2">
        <f>COUNTIFS('OB History'!$B:$B,$A$44,'OB History'!R:R, 1)</f>
        <v>1</v>
      </c>
      <c r="AC44" s="2">
        <f>COUNTIFS('OB History'!$B:$B,$A$44,'OB History'!S:S, 1)</f>
        <v>0</v>
      </c>
      <c r="AD44" s="2">
        <f>COUNTIFS('OB History'!$B:$B,$A$44,'OB History'!T:T, 1)</f>
        <v>0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0</v>
      </c>
      <c r="AH44" s="2">
        <f>COUNTIFS('OB History'!$B:$B,$A$44,'OB History'!X:X, 1)</f>
        <v>0</v>
      </c>
      <c r="AI44" s="2"/>
      <c r="AJ44" s="2"/>
    </row>
    <row r="45" spans="1:36" x14ac:dyDescent="0.25">
      <c r="A45" s="2" t="s">
        <v>141</v>
      </c>
      <c r="B45" s="2" t="s">
        <v>79</v>
      </c>
      <c r="C45" s="2" t="s">
        <v>79</v>
      </c>
      <c r="D45" s="3">
        <v>1</v>
      </c>
      <c r="E45" s="3"/>
      <c r="F45" s="3"/>
      <c r="G45" s="3"/>
      <c r="H45" s="34">
        <f>SUMIFS('OB History'!C:C,'OB History'!B:B,A45)</f>
        <v>284</v>
      </c>
      <c r="I45" s="4">
        <f>AVERAGEIFS('OB History'!C:C,'OB History'!B:B,A45)</f>
        <v>16.705882352941178</v>
      </c>
      <c r="J45" s="4">
        <f t="array" ref="J45">MEDIAN(IF('OB History'!B:B=A45, 'OB History'!C:C))</f>
        <v>16</v>
      </c>
      <c r="K45" s="35">
        <f t="array" ref="K45">MAX(IF('OB History'!B:B=A45, 'OB History'!C:C))</f>
        <v>33</v>
      </c>
      <c r="L45" s="34">
        <f>COUNTIFS('OB History'!B:B,A45,'OB History'!D:D, 1)</f>
        <v>7</v>
      </c>
      <c r="M45" s="2">
        <f>COUNTIFS('OB History'!B:B,A45,'OB History'!D:D, 0)</f>
        <v>10</v>
      </c>
      <c r="N45" s="88">
        <f>LOOKUP(2, 1/('OB History'!$B:$B=A45), 'OB History'!$AD:$AD)</f>
        <v>0.41176470588235292</v>
      </c>
      <c r="O45" s="34">
        <f>SUMIFS('OB History'!F:F,'OB History'!B:B,A45)</f>
        <v>31</v>
      </c>
      <c r="P45" s="2">
        <f>SUMIFS('OB History'!E:E,'OB History'!B:B,A45)-O45</f>
        <v>38</v>
      </c>
      <c r="Q45" s="88">
        <f>LOOKUP(2, 1/('OB History'!$B:$B=A45), 'OB History'!$AB:$AB)</f>
        <v>0.44999999999999996</v>
      </c>
      <c r="R45" s="34">
        <f>SUMIFS('OB History'!H:H,'OB History'!B:B,'Old Bow v2'!A45)</f>
        <v>140</v>
      </c>
      <c r="S45" s="2">
        <f>SUMIFS('OB History'!G:G,'OB History'!B:B,'Old Bow v2'!A45)-R45</f>
        <v>149</v>
      </c>
      <c r="T45" s="88">
        <f>LOOKUP(2, 1/('OB History'!$B:$B=A45), 'OB History'!$AC:$AC)</f>
        <v>0.48588235294117654</v>
      </c>
      <c r="U45" s="2">
        <f>COUNTIFS('OB History'!$B:$B,$A$45,'OB History'!K:K, 1)</f>
        <v>3</v>
      </c>
      <c r="V45" s="2">
        <f>COUNTIFS('OB History'!$B:$B,$A$45,'OB History'!L:L, 1)</f>
        <v>3</v>
      </c>
      <c r="W45" s="2">
        <f>COUNTIFS('OB History'!$B:$B,$A$45,'OB History'!M:M, 1)</f>
        <v>0</v>
      </c>
      <c r="X45" s="2">
        <f>COUNTIFS('OB History'!$B:$B,$A$45,'OB History'!N:N, 1)</f>
        <v>4</v>
      </c>
      <c r="Y45" s="2">
        <f>COUNTIFS('OB History'!$B:$B,$A$45,'OB History'!O:O, 1)</f>
        <v>2</v>
      </c>
      <c r="Z45" s="2">
        <f>COUNTIFS('OB History'!$B:$B,$A$45,'OB History'!P:P, 1)</f>
        <v>1</v>
      </c>
      <c r="AA45" s="2">
        <f>COUNTIFS('OB History'!$B:$B,$A$45,'OB History'!Q:Q, 1)</f>
        <v>2</v>
      </c>
      <c r="AB45" s="2">
        <f>COUNTIFS('OB History'!$B:$B,$A$45,'OB History'!R:R, 1)</f>
        <v>2</v>
      </c>
      <c r="AC45" s="2">
        <f>COUNTIFS('OB History'!$B:$B,$A$45,'OB History'!S:S, 1)</f>
        <v>0</v>
      </c>
      <c r="AD45" s="2">
        <f>COUNTIFS('OB History'!$B:$B,$A$45,'OB History'!T:T, 1)</f>
        <v>1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2</v>
      </c>
      <c r="AH45" s="2">
        <f>COUNTIFS('OB History'!$B:$B,$A$45,'OB History'!X:X, 1)</f>
        <v>3</v>
      </c>
      <c r="AI45" s="2">
        <f>COUNTIFS('OB History'!$B:$B,$A$45,'OB History'!Y:Y, 1)</f>
        <v>4</v>
      </c>
      <c r="AJ45" s="2">
        <f>COUNTIFS('OB History'!$B:$B,$A$45,'OB History'!Z:Z, 1)</f>
        <v>4</v>
      </c>
    </row>
    <row r="46" spans="1:36" x14ac:dyDescent="0.25">
      <c r="A46" s="2" t="s">
        <v>149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4</v>
      </c>
      <c r="I46" s="4">
        <f>AVERAGEIFS('OB History'!C:C,'OB History'!B:B,A46)</f>
        <v>4</v>
      </c>
      <c r="J46" s="4">
        <f t="array" ref="J46">MEDIAN(IF('OB History'!B:B=A46, 'OB History'!C:C))</f>
        <v>4</v>
      </c>
      <c r="K46" s="35">
        <f t="array" ref="K46">MAX(IF('OB History'!B:B=A46, 'OB History'!C:C))</f>
        <v>4</v>
      </c>
      <c r="L46" s="34">
        <f>COUNTIFS('OB History'!B:B,A46,'OB History'!D:D, 1)</f>
        <v>0</v>
      </c>
      <c r="M46" s="2">
        <f>COUNTIFS('OB History'!B:B,A46,'OB History'!D:D, 0)</f>
        <v>1</v>
      </c>
      <c r="N46" s="88">
        <f>LOOKUP(2, 1/('OB History'!$B:$B=A46), 'OB History'!$AD:$AD)</f>
        <v>0</v>
      </c>
      <c r="O46" s="34">
        <f>SUMIFS('OB History'!F:F,'OB History'!B:B,A46)</f>
        <v>2</v>
      </c>
      <c r="P46" s="2">
        <f>SUMIFS('OB History'!E:E,'OB History'!B:B,A46)-O46</f>
        <v>3</v>
      </c>
      <c r="Q46" s="88">
        <f>LOOKUP(2, 1/('OB History'!$B:$B=A46), 'OB History'!$AB:$AB)</f>
        <v>0.4</v>
      </c>
      <c r="R46" s="34">
        <f>SUMIFS('OB History'!H:H,'OB History'!B:B,'Old Bow v2'!A46)</f>
        <v>8</v>
      </c>
      <c r="S46" s="2">
        <f>SUMIFS('OB History'!G:G,'OB History'!B:B,'Old Bow v2'!A46)-R46</f>
        <v>10</v>
      </c>
      <c r="T46" s="88">
        <f>LOOKUP(2, 1/('OB History'!$B:$B=A46), 'OB History'!$AC:$AC)</f>
        <v>0.44</v>
      </c>
      <c r="U46" s="2">
        <f>COUNTIFS('OB History'!$B:$B,$A$46,'OB History'!K:K, 1)</f>
        <v>1</v>
      </c>
      <c r="V46" s="2">
        <f>COUNTIFS('OB History'!$B:$B,$A$46,'OB History'!L:L, 1)</f>
        <v>0</v>
      </c>
      <c r="W46" s="2">
        <f>COUNTIFS('OB History'!$B:$B,$A$46,'OB History'!M:M, 1)</f>
        <v>0</v>
      </c>
      <c r="X46" s="2">
        <f>COUNTIFS('OB History'!$B:$B,$A$46,'OB History'!N:N, 1)</f>
        <v>0</v>
      </c>
      <c r="Y46" s="2">
        <f>COUNTIFS('OB History'!$B:$B,$A$46,'OB History'!O:O, 1)</f>
        <v>0</v>
      </c>
      <c r="Z46" s="2">
        <f>COUNTIFS('OB History'!$B:$B,$A$46,'OB History'!P:P, 1)</f>
        <v>1</v>
      </c>
      <c r="AA46" s="2">
        <f>COUNTIFS('OB History'!$B:$B,$A$46,'OB History'!Q:Q, 1)</f>
        <v>0</v>
      </c>
      <c r="AB46" s="2">
        <f>COUNTIFS('OB History'!$B:$B,$A$46,'OB History'!R:R, 1)</f>
        <v>0</v>
      </c>
      <c r="AC46" s="2">
        <f>COUNTIFS('OB History'!$B:$B,$A$46,'OB History'!S:S, 1)</f>
        <v>0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0</v>
      </c>
      <c r="AH46" s="2">
        <f>COUNTIFS('OB History'!$B:$B,$A$46,'OB History'!X:X, 1)</f>
        <v>0</v>
      </c>
      <c r="AI46" s="2">
        <f>COUNTIFS('OB History'!$B:$B,$A$46,'OB History'!Y:Y, 1)</f>
        <v>0</v>
      </c>
      <c r="AJ46" s="2">
        <f>COUNTIFS('OB History'!$B:$B,$A$46,'OB History'!Z:Z, 1)</f>
        <v>0</v>
      </c>
    </row>
    <row r="47" spans="1:36" x14ac:dyDescent="0.25">
      <c r="A47" s="2" t="s">
        <v>40</v>
      </c>
      <c r="B47" s="2" t="s">
        <v>79</v>
      </c>
      <c r="C47" s="2" t="s">
        <v>79</v>
      </c>
      <c r="D47" s="3">
        <v>1</v>
      </c>
      <c r="E47" s="3"/>
      <c r="F47" s="3"/>
      <c r="G47" s="3"/>
      <c r="H47" s="34">
        <f>SUMIFS('OB History'!C:C,'OB History'!B:B,A47)</f>
        <v>373</v>
      </c>
      <c r="I47" s="4">
        <f>AVERAGEIFS('OB History'!C:C,'OB History'!B:B,A47)</f>
        <v>19.631578947368421</v>
      </c>
      <c r="J47" s="4">
        <f t="array" ref="J47">MEDIAN(IF('OB History'!B:B=A47, 'OB History'!C:C))</f>
        <v>18</v>
      </c>
      <c r="K47" s="35">
        <f t="array" ref="K47">MAX(IF('OB History'!B:B=A47, 'OB History'!C:C))</f>
        <v>40</v>
      </c>
      <c r="L47" s="34">
        <f>COUNTIFS('OB History'!B:B,A47,'OB History'!D:D, 1)</f>
        <v>9</v>
      </c>
      <c r="M47" s="2">
        <f>COUNTIFS('OB History'!B:B,A47,'OB History'!D:D, 0)</f>
        <v>10</v>
      </c>
      <c r="N47" s="88">
        <f>LOOKUP(2, 1/('OB History'!$B:$B=A47), 'OB History'!$AD:$AD)</f>
        <v>0.47368421052631576</v>
      </c>
      <c r="O47" s="34">
        <f>SUMIFS('OB History'!F:F,'OB History'!B:B,A47)</f>
        <v>40</v>
      </c>
      <c r="P47" s="2">
        <f>SUMIFS('OB History'!E:E,'OB History'!B:B,A47)-O47</f>
        <v>39</v>
      </c>
      <c r="Q47" s="88">
        <f>LOOKUP(2, 1/('OB History'!$B:$B=A47), 'OB History'!$AB:$AB)</f>
        <v>0.51578947368421046</v>
      </c>
      <c r="R47" s="34">
        <f>SUMIFS('OB History'!H:H,'OB History'!B:B,'Old Bow v2'!A47)</f>
        <v>156</v>
      </c>
      <c r="S47" s="2">
        <f>SUMIFS('OB History'!G:G,'OB History'!B:B,'Old Bow v2'!A47)-R47</f>
        <v>172</v>
      </c>
      <c r="T47" s="88">
        <f>LOOKUP(2, 1/('OB History'!$B:$B=A47), 'OB History'!$AC:$AC)</f>
        <v>0.47157894736842099</v>
      </c>
      <c r="U47" s="2">
        <f>COUNTIFS('OB History'!$B:$B,$A$47,'OB History'!K:K, 1)</f>
        <v>4</v>
      </c>
      <c r="V47" s="2">
        <f>COUNTIFS('OB History'!$B:$B,$A$47,'OB History'!L:L, 1)</f>
        <v>2</v>
      </c>
      <c r="W47" s="2">
        <f>COUNTIFS('OB History'!$B:$B,$A$47,'OB History'!M:M, 1)</f>
        <v>4</v>
      </c>
      <c r="X47" s="2">
        <f>COUNTIFS('OB History'!$B:$B,$A$47,'OB History'!N:N, 1)</f>
        <v>3</v>
      </c>
      <c r="Y47" s="2">
        <f>COUNTIFS('OB History'!$B:$B,$A$47,'OB History'!O:O, 1)</f>
        <v>2</v>
      </c>
      <c r="Z47" s="2">
        <f>COUNTIFS('OB History'!$B:$B,$A$47,'OB History'!P:P, 1)</f>
        <v>2</v>
      </c>
      <c r="AA47" s="2">
        <f>COUNTIFS('OB History'!$B:$B,$A$47,'OB History'!Q:Q, 1)</f>
        <v>3</v>
      </c>
      <c r="AB47" s="2">
        <f>COUNTIFS('OB History'!$B:$B,$A$47,'OB History'!R:R, 1)</f>
        <v>0</v>
      </c>
      <c r="AC47" s="2">
        <f>COUNTIFS('OB History'!$B:$B,$A$47,'OB History'!S:S, 1)</f>
        <v>1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2</v>
      </c>
      <c r="AH47" s="2">
        <f>COUNTIFS('OB History'!$B:$B,$A$47,'OB History'!X:X, 1)</f>
        <v>7</v>
      </c>
      <c r="AI47" s="2">
        <f>COUNTIFS('OB History'!$B:$B,$A$47,'OB History'!Y:Y, 1)</f>
        <v>5</v>
      </c>
      <c r="AJ47" s="2">
        <f>COUNTIFS('OB History'!$B:$B,$A$47,'OB History'!Z:Z, 1)</f>
        <v>5</v>
      </c>
    </row>
    <row r="48" spans="1:36" x14ac:dyDescent="0.25">
      <c r="A48" s="2" t="s">
        <v>147</v>
      </c>
      <c r="B48" s="2" t="s">
        <v>79</v>
      </c>
      <c r="C48" s="2" t="s">
        <v>79</v>
      </c>
      <c r="D48" s="3"/>
      <c r="E48" s="3"/>
      <c r="F48" s="3"/>
      <c r="G48" s="3"/>
      <c r="H48" s="34">
        <f>SUMIFS('OB History'!C:C,'OB History'!B:B,A48)</f>
        <v>242</v>
      </c>
      <c r="I48" s="4">
        <f>AVERAGEIFS('OB History'!C:C,'OB History'!B:B,A48)</f>
        <v>17.285714285714285</v>
      </c>
      <c r="J48" s="4">
        <f t="array" ref="J48">MEDIAN(IF('OB History'!B:B=A48, 'OB History'!C:C))</f>
        <v>14.5</v>
      </c>
      <c r="K48" s="35">
        <f t="array" ref="K48">MAX(IF('OB History'!B:B=A48, 'OB History'!C:C))</f>
        <v>35</v>
      </c>
      <c r="L48" s="34">
        <f>COUNTIFS('OB History'!B:B,A48,'OB History'!D:D, 1)</f>
        <v>6</v>
      </c>
      <c r="M48" s="2">
        <f>COUNTIFS('OB History'!B:B,A48,'OB History'!D:D, 0)</f>
        <v>8</v>
      </c>
      <c r="N48" s="88">
        <f>LOOKUP(2, 1/('OB History'!$B:$B=A48), 'OB History'!$AD:$AD)</f>
        <v>0.42857142857142855</v>
      </c>
      <c r="O48" s="34">
        <f>SUMIFS('OB History'!F:F,'OB History'!B:B,A48)</f>
        <v>26</v>
      </c>
      <c r="P48" s="2">
        <f>SUMIFS('OB History'!E:E,'OB History'!B:B,A48)-O48</f>
        <v>29</v>
      </c>
      <c r="Q48" s="88">
        <f>LOOKUP(2, 1/('OB History'!$B:$B=A48), 'OB History'!$AB:$AB)</f>
        <v>0.46071428571428574</v>
      </c>
      <c r="R48" s="34">
        <f>SUMIFS('OB History'!H:H,'OB History'!B:B,'Old Bow v2'!A48)</f>
        <v>111</v>
      </c>
      <c r="S48" s="2">
        <f>SUMIFS('OB History'!G:G,'OB History'!B:B,'Old Bow v2'!A48)-R48</f>
        <v>119</v>
      </c>
      <c r="T48" s="88">
        <f>LOOKUP(2, 1/('OB History'!$B:$B=A48), 'OB History'!$AC:$AC)</f>
        <v>0.47571428571428581</v>
      </c>
      <c r="U48" s="2">
        <f>COUNTIFS('OB History'!$B:$B,$A$48,'OB History'!K:K, 1)</f>
        <v>4</v>
      </c>
      <c r="V48" s="2">
        <f>COUNTIFS('OB History'!$B:$B,$A$48,'OB History'!L:L, 1)</f>
        <v>2</v>
      </c>
      <c r="W48" s="2">
        <f>COUNTIFS('OB History'!$B:$B,$A$48,'OB History'!M:M, 1)</f>
        <v>2</v>
      </c>
      <c r="X48" s="2">
        <f>COUNTIFS('OB History'!$B:$B,$A$48,'OB History'!N:N, 1)</f>
        <v>3</v>
      </c>
      <c r="Y48" s="2">
        <f>COUNTIFS('OB History'!$B:$B,$A$48,'OB History'!O:O, 1)</f>
        <v>1</v>
      </c>
      <c r="Z48" s="2">
        <f>COUNTIFS('OB History'!$B:$B,$A$48,'OB History'!P:P, 1)</f>
        <v>3</v>
      </c>
      <c r="AA48" s="2">
        <f>COUNTIFS('OB History'!$B:$B,$A$48,'OB History'!Q:Q, 1)</f>
        <v>2</v>
      </c>
      <c r="AB48" s="2">
        <f>COUNTIFS('OB History'!$B:$B,$A$48,'OB History'!R:R, 1)</f>
        <v>0</v>
      </c>
      <c r="AC48" s="2">
        <f>COUNTIFS('OB History'!$B:$B,$A$48,'OB History'!S:S, 1)</f>
        <v>1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1</v>
      </c>
      <c r="AH48" s="2">
        <f>COUNTIFS('OB History'!$B:$B,$A$48,'OB History'!X:X, 1)</f>
        <v>4</v>
      </c>
      <c r="AI48" s="2">
        <f>COUNTIFS('OB History'!$B:$B,$A$48,'OB History'!Y:Y, 1)</f>
        <v>2</v>
      </c>
      <c r="AJ48" s="2">
        <f>COUNTIFS('OB History'!$B:$B,$A$48,'OB History'!Z:Z, 1)</f>
        <v>1</v>
      </c>
    </row>
    <row r="49" spans="1:36" ht="14.25" customHeight="1" x14ac:dyDescent="0.25">
      <c r="A49" s="2" t="s">
        <v>17</v>
      </c>
      <c r="B49" s="2" t="s">
        <v>79</v>
      </c>
      <c r="C49" s="2" t="s">
        <v>79</v>
      </c>
      <c r="D49" s="3">
        <v>17</v>
      </c>
      <c r="E49" s="3">
        <v>3</v>
      </c>
      <c r="F49" s="3"/>
      <c r="G49" s="3"/>
      <c r="H49" s="34">
        <f>SUMIFS('OB History'!C:C,'OB History'!B:B,A49)</f>
        <v>1549</v>
      </c>
      <c r="I49" s="4">
        <f>AVERAGEIFS('OB History'!C:C,'OB History'!B:B,A49)</f>
        <v>25.393442622950818</v>
      </c>
      <c r="J49" s="4">
        <f t="array" ref="J49">MEDIAN(IF('OB History'!B:B=A49, 'OB History'!C:C))</f>
        <v>23</v>
      </c>
      <c r="K49" s="35">
        <f t="array" ref="K49">MAX(IF('OB History'!B:B=A49, 'OB History'!C:C))</f>
        <v>58</v>
      </c>
      <c r="L49" s="34">
        <f>COUNTIFS('OB History'!B:B,A49,'OB History'!D:D, 1)</f>
        <v>24</v>
      </c>
      <c r="M49" s="2">
        <f>COUNTIFS('OB History'!B:B,A49,'OB History'!D:D, 0)</f>
        <v>37</v>
      </c>
      <c r="N49" s="88">
        <f>LOOKUP(2, 1/('OB History'!$B:$B=A49), 'OB History'!$AD:$AD)</f>
        <v>0.39344262295081966</v>
      </c>
      <c r="O49" s="34">
        <f>SUMIFS('OB History'!F:F,'OB History'!B:B,A49)</f>
        <v>114</v>
      </c>
      <c r="P49" s="2">
        <f>SUMIFS('OB History'!E:E,'OB History'!B:B,A49)-O49</f>
        <v>134</v>
      </c>
      <c r="Q49" s="88">
        <f>LOOKUP(2, 1/('OB History'!$B:$B=A49), 'OB History'!$AB:$AB)</f>
        <v>0.45983606557377055</v>
      </c>
      <c r="R49" s="34">
        <f>SUMIFS('OB History'!H:H,'OB History'!B:B,'Old Bow v2'!A49)</f>
        <v>502</v>
      </c>
      <c r="S49" s="2">
        <f>SUMIFS('OB History'!G:G,'OB History'!B:B,'Old Bow v2'!A49)-R49</f>
        <v>523</v>
      </c>
      <c r="T49" s="88">
        <f>LOOKUP(2, 1/('OB History'!$B:$B=A49), 'OB History'!$AC:$AC)</f>
        <v>0.49360655737704895</v>
      </c>
      <c r="U49" s="2">
        <f>COUNTIFS('OB History'!$B:$B,$A$49,'OB History'!K:K, 1)</f>
        <v>7</v>
      </c>
      <c r="V49" s="2">
        <f>COUNTIFS('OB History'!$B:$B,$A$49,'OB History'!L:L, 1)</f>
        <v>9</v>
      </c>
      <c r="W49" s="2">
        <f>COUNTIFS('OB History'!$B:$B,$A$49,'OB History'!M:M, 1)</f>
        <v>3</v>
      </c>
      <c r="X49" s="2">
        <f>COUNTIFS('OB History'!$B:$B,$A$49,'OB History'!N:N, 1)</f>
        <v>11</v>
      </c>
      <c r="Y49" s="2">
        <f>COUNTIFS('OB History'!$B:$B,$A$49,'OB History'!O:O, 1)</f>
        <v>1</v>
      </c>
      <c r="Z49" s="2">
        <f>COUNTIFS('OB History'!$B:$B,$A$49,'OB History'!P:P, 1)</f>
        <v>11</v>
      </c>
      <c r="AA49" s="2">
        <f>COUNTIFS('OB History'!$B:$B,$A$49,'OB History'!Q:Q, 1)</f>
        <v>5</v>
      </c>
      <c r="AB49" s="2">
        <f>COUNTIFS('OB History'!$B:$B,$A$49,'OB History'!R:R, 1)</f>
        <v>6</v>
      </c>
      <c r="AC49" s="2">
        <f>COUNTIFS('OB History'!$B:$B,$A$49,'OB History'!S:S, 1)</f>
        <v>1</v>
      </c>
      <c r="AD49" s="2">
        <f>COUNTIFS('OB History'!$B:$B,$A$49,'OB History'!T:T, 1)</f>
        <v>2</v>
      </c>
      <c r="AE49" s="2">
        <f>COUNTIFS('OB History'!$B:$B,$A$49,'OB History'!U:U, 1)</f>
        <v>1</v>
      </c>
      <c r="AF49" s="2">
        <f>COUNTIFS('OB History'!$B:$B,$A$49,'OB History'!V:V, 1)</f>
        <v>3</v>
      </c>
      <c r="AG49" s="2">
        <f>COUNTIFS('OB History'!$B:$B,$A$49,'OB History'!W:W, 1)</f>
        <v>7</v>
      </c>
      <c r="AH49" s="2">
        <f>COUNTIFS('OB History'!$B:$B,$A$49,'OB History'!X:X, 1)</f>
        <v>22</v>
      </c>
      <c r="AI49" s="2">
        <f>COUNTIFS('OB History'!$B:$B,$A$49,'OB History'!Y:Y, 1)</f>
        <v>8</v>
      </c>
      <c r="AJ49" s="2">
        <f>COUNTIFS('OB History'!$B:$B,$A$49,'OB History'!Z:Z, 1)</f>
        <v>17</v>
      </c>
    </row>
    <row r="50" spans="1:36" x14ac:dyDescent="0.25">
      <c r="A50" s="2" t="s">
        <v>155</v>
      </c>
      <c r="B50" s="6" t="s">
        <v>60</v>
      </c>
      <c r="C50" s="2" t="s">
        <v>79</v>
      </c>
      <c r="D50" s="3">
        <v>8</v>
      </c>
      <c r="E50" s="3">
        <v>1</v>
      </c>
      <c r="F50" s="3"/>
      <c r="G50" s="3"/>
      <c r="H50" s="34">
        <f>SUMIFS('OB History'!C:C,'OB History'!B:B,A50)</f>
        <v>706</v>
      </c>
      <c r="I50" s="4">
        <f>AVERAGEIFS('OB History'!C:C,'OB History'!B:B,A50)</f>
        <v>18.102564102564102</v>
      </c>
      <c r="J50" s="4">
        <f t="array" ref="J50">MEDIAN(IF('OB History'!B:B=A50, 'OB History'!C:C))</f>
        <v>18</v>
      </c>
      <c r="K50" s="35">
        <f t="array" ref="K50">MAX(IF('OB History'!B:B=A50, 'OB History'!C:C))</f>
        <v>43</v>
      </c>
      <c r="L50" s="34">
        <f>COUNTIFS('OB History'!B:B,A50,'OB History'!D:D, 1)</f>
        <v>14</v>
      </c>
      <c r="M50" s="2">
        <f>COUNTIFS('OB History'!B:B,A50,'OB History'!D:D, 0)</f>
        <v>25</v>
      </c>
      <c r="N50" s="88">
        <f>LOOKUP(2, 1/('OB History'!$B:$B=A50), 'OB History'!$AD:$AD)</f>
        <v>0.35897435897435898</v>
      </c>
      <c r="O50" s="34">
        <f>SUMIFS('OB History'!F:F,'OB History'!B:B,A50)</f>
        <v>67</v>
      </c>
      <c r="P50" s="2">
        <f>SUMIFS('OB History'!E:E,'OB History'!B:B,A50)-O50</f>
        <v>95</v>
      </c>
      <c r="Q50" s="88">
        <f>LOOKUP(2, 1/('OB History'!$B:$B=A50), 'OB History'!$AB:$AB)</f>
        <v>0.38974358974358975</v>
      </c>
      <c r="R50" s="34">
        <f>SUMIFS('OB History'!H:H,'OB History'!B:B,'Old Bow v2'!A50)</f>
        <v>319</v>
      </c>
      <c r="S50" s="2">
        <f>SUMIFS('OB History'!G:G,'OB History'!B:B,'Old Bow v2'!A50)-R50</f>
        <v>354</v>
      </c>
      <c r="T50" s="88">
        <f>LOOKUP(2, 1/('OB History'!$B:$B=A50), 'OB History'!$AC:$AC)</f>
        <v>0.46179487179487172</v>
      </c>
      <c r="U50" s="2">
        <f>COUNTIFS('OB History'!$B:$B,$A$50,'OB History'!K:K, 1)</f>
        <v>4</v>
      </c>
      <c r="V50" s="2">
        <f>COUNTIFS('OB History'!$B:$B,$A$50,'OB History'!L:L, 1)</f>
        <v>4</v>
      </c>
      <c r="W50" s="2">
        <f>COUNTIFS('OB History'!$B:$B,$A$50,'OB History'!M:M, 1)</f>
        <v>3</v>
      </c>
      <c r="X50" s="2">
        <f>COUNTIFS('OB History'!$B:$B,$A$50,'OB History'!N:N, 1)</f>
        <v>10</v>
      </c>
      <c r="Y50" s="2">
        <f>COUNTIFS('OB History'!$B:$B,$A$50,'OB History'!O:O, 1)</f>
        <v>4</v>
      </c>
      <c r="Z50" s="2">
        <f>COUNTIFS('OB History'!$B:$B,$A$50,'OB History'!P:P, 1)</f>
        <v>7</v>
      </c>
      <c r="AA50" s="2">
        <f>COUNTIFS('OB History'!$B:$B,$A$50,'OB History'!Q:Q, 1)</f>
        <v>1</v>
      </c>
      <c r="AB50" s="2">
        <f>COUNTIFS('OB History'!$B:$B,$A$50,'OB History'!R:R, 1)</f>
        <v>5</v>
      </c>
      <c r="AC50" s="2">
        <f>COUNTIFS('OB History'!$B:$B,$A$50,'OB History'!S:S, 1)</f>
        <v>1</v>
      </c>
      <c r="AD50" s="2">
        <f>COUNTIFS('OB History'!$B:$B,$A$50,'OB History'!T:T, 1)</f>
        <v>3</v>
      </c>
      <c r="AE50" s="2">
        <f>COUNTIFS('OB History'!$B:$B,$A$50,'OB History'!U:U, 1)</f>
        <v>0</v>
      </c>
      <c r="AF50" s="2">
        <f>COUNTIFS('OB History'!$B:$B,$A$50,'OB History'!V:V, 1)</f>
        <v>1</v>
      </c>
      <c r="AG50" s="2">
        <f>COUNTIFS('OB History'!$B:$B,$A$50,'OB History'!W:W, 1)</f>
        <v>5</v>
      </c>
      <c r="AH50" s="2">
        <f>COUNTIFS('OB History'!$B:$B,$A$50,'OB History'!X:X, 1)</f>
        <v>7</v>
      </c>
      <c r="AI50" s="2">
        <f>COUNTIFS('OB History'!$B:$B,$A$50,'OB History'!Y:Y, 1)</f>
        <v>7</v>
      </c>
      <c r="AJ50" s="2">
        <f>COUNTIFS('OB History'!$B:$B,$A$50,'OB History'!Z:Z, 1)</f>
        <v>5</v>
      </c>
    </row>
    <row r="51" spans="1:36" x14ac:dyDescent="0.25">
      <c r="A51" s="2" t="s">
        <v>6</v>
      </c>
      <c r="B51" s="2" t="s">
        <v>60</v>
      </c>
      <c r="C51" s="2" t="s">
        <v>79</v>
      </c>
      <c r="D51" s="3">
        <v>1</v>
      </c>
      <c r="E51" s="3">
        <v>1</v>
      </c>
      <c r="F51" s="3"/>
      <c r="G51" s="3"/>
      <c r="H51" s="34">
        <f>SUMIFS('OB History'!C:C,'OB History'!B:B,A51)</f>
        <v>883</v>
      </c>
      <c r="I51" s="4">
        <f>AVERAGEIFS('OB History'!C:C,'OB History'!B:B,A51)</f>
        <v>23.864864864864863</v>
      </c>
      <c r="J51" s="4">
        <f t="array" ref="J51">MEDIAN(IF('OB History'!B:B=A51, 'OB History'!C:C))</f>
        <v>19</v>
      </c>
      <c r="K51" s="35">
        <f t="array" ref="K51">MAX(IF('OB History'!B:B=A51, 'OB History'!C:C))</f>
        <v>66</v>
      </c>
      <c r="L51" s="34">
        <f>COUNTIFS('OB History'!B:B,A51,'OB History'!D:D, 1)</f>
        <v>26</v>
      </c>
      <c r="M51" s="2">
        <f>COUNTIFS('OB History'!B:B,A51,'OB History'!D:D, 0)</f>
        <v>11</v>
      </c>
      <c r="N51" s="88">
        <f>LOOKUP(2, 1/('OB History'!$B:$B=A51), 'OB History'!$AD:$AD)</f>
        <v>0.70270270270270274</v>
      </c>
      <c r="O51" s="34">
        <f>SUMIFS('OB History'!F:F,'OB History'!B:B,A51)</f>
        <v>92</v>
      </c>
      <c r="P51" s="2">
        <f>SUMIFS('OB History'!E:E,'OB History'!B:B,A51)-O51</f>
        <v>56</v>
      </c>
      <c r="Q51" s="88">
        <f>LOOKUP(2, 1/('OB History'!$B:$B=A51), 'OB History'!$AB:$AB)</f>
        <v>0.64729729729729724</v>
      </c>
      <c r="R51" s="34">
        <f>SUMIFS('OB History'!H:H,'OB History'!B:B,'Old Bow v2'!A51)</f>
        <v>349</v>
      </c>
      <c r="S51" s="2">
        <f>SUMIFS('OB History'!G:G,'OB History'!B:B,'Old Bow v2'!A51)-R51</f>
        <v>278</v>
      </c>
      <c r="T51" s="88">
        <f>LOOKUP(2, 1/('OB History'!$B:$B=A51), 'OB History'!$AC:$AC)</f>
        <v>0.56837837837837846</v>
      </c>
      <c r="U51" s="2">
        <f>COUNTIFS('OB History'!$B:$B,$A$51,'OB History'!K:K, 1)</f>
        <v>4</v>
      </c>
      <c r="V51" s="2">
        <f>COUNTIFS('OB History'!$B:$B,$A$51,'OB History'!L:L, 1)</f>
        <v>10</v>
      </c>
      <c r="W51" s="2">
        <f>COUNTIFS('OB History'!$B:$B,$A$51,'OB History'!M:M, 1)</f>
        <v>9</v>
      </c>
      <c r="X51" s="2">
        <f>COUNTIFS('OB History'!$B:$B,$A$51,'OB History'!N:N, 1)</f>
        <v>8</v>
      </c>
      <c r="Y51" s="2">
        <f>COUNTIFS('OB History'!$B:$B,$A$51,'OB History'!O:O, 1)</f>
        <v>3</v>
      </c>
      <c r="Z51" s="2">
        <f>COUNTIFS('OB History'!$B:$B,$A$51,'OB History'!P:P, 1)</f>
        <v>9</v>
      </c>
      <c r="AA51" s="2">
        <f>COUNTIFS('OB History'!$B:$B,$A$51,'OB History'!Q:Q, 1)</f>
        <v>5</v>
      </c>
      <c r="AB51" s="2">
        <f>COUNTIFS('OB History'!$B:$B,$A$51,'OB History'!R:R, 1)</f>
        <v>2</v>
      </c>
      <c r="AC51" s="2">
        <f>COUNTIFS('OB History'!$B:$B,$A$51,'OB History'!S:S, 1)</f>
        <v>1</v>
      </c>
      <c r="AD51" s="2">
        <f>COUNTIFS('OB History'!$B:$B,$A$51,'OB History'!T:T, 1)</f>
        <v>3</v>
      </c>
      <c r="AE51" s="2">
        <f>COUNTIFS('OB History'!$B:$B,$A$51,'OB History'!U:U, 1)</f>
        <v>0</v>
      </c>
      <c r="AF51" s="2">
        <f>COUNTIFS('OB History'!$B:$B,$A$51,'OB History'!V:V, 1)</f>
        <v>1</v>
      </c>
      <c r="AG51" s="2">
        <f>COUNTIFS('OB History'!$B:$B,$A$51,'OB History'!W:W, 1)</f>
        <v>8</v>
      </c>
      <c r="AH51" s="2">
        <f>COUNTIFS('OB History'!$B:$B,$A$51,'OB History'!X:X, 1)</f>
        <v>13</v>
      </c>
      <c r="AI51" s="2">
        <f>COUNTIFS('OB History'!$B:$B,$A$51,'OB History'!Y:Y, 1)</f>
        <v>6</v>
      </c>
      <c r="AJ51" s="2">
        <f>COUNTIFS('OB History'!$B:$B,$A$51,'OB History'!Z:Z, 1)</f>
        <v>10</v>
      </c>
    </row>
    <row r="52" spans="1:36" x14ac:dyDescent="0.25">
      <c r="A52" s="2" t="s">
        <v>18</v>
      </c>
      <c r="B52" s="6" t="s">
        <v>60</v>
      </c>
      <c r="C52" s="2" t="s">
        <v>79</v>
      </c>
      <c r="D52" s="3">
        <v>6</v>
      </c>
      <c r="E52" s="3">
        <v>3</v>
      </c>
      <c r="F52" s="3"/>
      <c r="G52" s="3">
        <v>1</v>
      </c>
      <c r="H52" s="34">
        <f>SUMIFS('OB History'!C:C,'OB History'!B:B,A52)</f>
        <v>968</v>
      </c>
      <c r="I52" s="4">
        <f>AVERAGEIFS('OB History'!C:C,'OB History'!B:B,A52)</f>
        <v>26.162162162162161</v>
      </c>
      <c r="J52" s="4">
        <f t="array" ref="J52">MEDIAN(IF('OB History'!B:B=A52, 'OB History'!C:C))</f>
        <v>25</v>
      </c>
      <c r="K52" s="35">
        <f t="array" ref="K52">MAX(IF('OB History'!B:B=A52, 'OB History'!C:C))</f>
        <v>58</v>
      </c>
      <c r="L52" s="34">
        <f>COUNTIFS('OB History'!B:B,A52,'OB History'!D:D, 1)</f>
        <v>18</v>
      </c>
      <c r="M52" s="2">
        <f>COUNTIFS('OB History'!B:B,A52,'OB History'!D:D, 0)</f>
        <v>19</v>
      </c>
      <c r="N52" s="88">
        <f>LOOKUP(2, 1/('OB History'!$B:$B=A52), 'OB History'!$AD:$AD)</f>
        <v>0.48648648648648651</v>
      </c>
      <c r="O52" s="34">
        <f>SUMIFS('OB History'!F:F,'OB History'!B:B,A52)</f>
        <v>75</v>
      </c>
      <c r="P52" s="2">
        <f>SUMIFS('OB History'!E:E,'OB History'!B:B,A52)-O52</f>
        <v>78</v>
      </c>
      <c r="Q52" s="88">
        <f>LOOKUP(2, 1/('OB History'!$B:$B=A52), 'OB History'!$AB:$AB)</f>
        <v>0.48108108108108111</v>
      </c>
      <c r="R52" s="34">
        <f>SUMIFS('OB History'!H:H,'OB History'!B:B,'Old Bow v2'!A52)</f>
        <v>314</v>
      </c>
      <c r="S52" s="2">
        <f>SUMIFS('OB History'!G:G,'OB History'!B:B,'Old Bow v2'!A52)-R52</f>
        <v>323</v>
      </c>
      <c r="T52" s="88">
        <f>LOOKUP(2, 1/('OB History'!$B:$B=A52), 'OB History'!$AC:$AC)</f>
        <v>0.49054054054054053</v>
      </c>
      <c r="U52" s="2">
        <f>COUNTIFS('OB History'!$B:$B,$A$52,'OB History'!K:K, 1)</f>
        <v>6</v>
      </c>
      <c r="V52" s="2">
        <f>COUNTIFS('OB History'!$B:$B,$A$52,'OB History'!L:L, 1)</f>
        <v>3</v>
      </c>
      <c r="W52" s="2">
        <f>COUNTIFS('OB History'!$B:$B,$A$52,'OB History'!M:M, 1)</f>
        <v>2</v>
      </c>
      <c r="X52" s="2">
        <f>COUNTIFS('OB History'!$B:$B,$A$52,'OB History'!N:N, 1)</f>
        <v>12</v>
      </c>
      <c r="Y52" s="2">
        <f>COUNTIFS('OB History'!$B:$B,$A$52,'OB History'!O:O, 1)</f>
        <v>3</v>
      </c>
      <c r="Z52" s="2">
        <f>COUNTIFS('OB History'!$B:$B,$A$52,'OB History'!P:P, 1)</f>
        <v>8</v>
      </c>
      <c r="AA52" s="2">
        <f>COUNTIFS('OB History'!$B:$B,$A$52,'OB History'!Q:Q, 1)</f>
        <v>5</v>
      </c>
      <c r="AB52" s="2">
        <f>COUNTIFS('OB History'!$B:$B,$A$52,'OB History'!R:R, 1)</f>
        <v>4</v>
      </c>
      <c r="AC52" s="2">
        <f>COUNTIFS('OB History'!$B:$B,$A$52,'OB History'!S:S, 1)</f>
        <v>0</v>
      </c>
      <c r="AD52" s="2">
        <f>COUNTIFS('OB History'!$B:$B,$A$52,'OB History'!T:T, 1)</f>
        <v>1</v>
      </c>
      <c r="AE52" s="2">
        <f>COUNTIFS('OB History'!$B:$B,$A$52,'OB History'!U:U, 1)</f>
        <v>1</v>
      </c>
      <c r="AF52" s="2">
        <f>COUNTIFS('OB History'!$B:$B,$A$52,'OB History'!V:V, 1)</f>
        <v>0</v>
      </c>
      <c r="AG52" s="2">
        <f>COUNTIFS('OB History'!$B:$B,$A$52,'OB History'!W:W, 1)</f>
        <v>8</v>
      </c>
      <c r="AH52" s="2">
        <f>COUNTIFS('OB History'!$B:$B,$A$52,'OB History'!X:X, 1)</f>
        <v>9</v>
      </c>
      <c r="AI52" s="2">
        <f>COUNTIFS('OB History'!$B:$B,$A$52,'OB History'!Y:Y, 1)</f>
        <v>4</v>
      </c>
      <c r="AJ52" s="2">
        <f>COUNTIFS('OB History'!$B:$B,$A$52,'OB History'!Z:Z, 1)</f>
        <v>9</v>
      </c>
    </row>
    <row r="53" spans="1:36" x14ac:dyDescent="0.25">
      <c r="A53" s="2" t="s">
        <v>113</v>
      </c>
      <c r="B53" s="2" t="s">
        <v>79</v>
      </c>
      <c r="C53" s="2" t="s">
        <v>79</v>
      </c>
      <c r="D53" s="3">
        <v>1</v>
      </c>
      <c r="E53" s="3"/>
      <c r="F53" s="3"/>
      <c r="G53" s="3"/>
      <c r="H53" s="34">
        <f>SUMIFS('OB History'!C:C,'OB History'!B:B,A53)</f>
        <v>321</v>
      </c>
      <c r="I53" s="4">
        <f>AVERAGEIFS('OB History'!C:C,'OB History'!B:B,A53)</f>
        <v>20.0625</v>
      </c>
      <c r="J53" s="4">
        <f t="array" ref="J53">MEDIAN(IF('OB History'!B:B=A53, 'OB History'!C:C))</f>
        <v>16</v>
      </c>
      <c r="K53" s="35">
        <f t="array" ref="K53">MAX(IF('OB History'!B:B=A53, 'OB History'!C:C))</f>
        <v>50</v>
      </c>
      <c r="L53" s="34">
        <f>COUNTIFS('OB History'!B:B,A53,'OB History'!D:D, 1)</f>
        <v>11</v>
      </c>
      <c r="M53" s="2">
        <f>COUNTIFS('OB History'!B:B,A53,'OB History'!D:D, 0)</f>
        <v>5</v>
      </c>
      <c r="N53" s="88">
        <f>LOOKUP(2, 1/('OB History'!$B:$B=A53), 'OB History'!$AD:$AD)</f>
        <v>0.6875</v>
      </c>
      <c r="O53" s="34">
        <f>SUMIFS('OB History'!F:F,'OB History'!B:B,A53)</f>
        <v>36</v>
      </c>
      <c r="P53" s="2">
        <f>SUMIFS('OB History'!E:E,'OB History'!B:B,A53)-O53</f>
        <v>25</v>
      </c>
      <c r="Q53" s="88">
        <f>LOOKUP(2, 1/('OB History'!$B:$B=A53), 'OB History'!$AB:$AB)</f>
        <v>0.59062500000000007</v>
      </c>
      <c r="R53" s="34">
        <f>SUMIFS('OB History'!H:H,'OB History'!B:B,'Old Bow v2'!A53)</f>
        <v>135</v>
      </c>
      <c r="S53" s="2">
        <f>SUMIFS('OB History'!G:G,'OB History'!B:B,'Old Bow v2'!A53)-R53</f>
        <v>119</v>
      </c>
      <c r="T53" s="88">
        <f>LOOKUP(2, 1/('OB History'!$B:$B=A53), 'OB History'!$AC:$AC)</f>
        <v>0.52687499999999987</v>
      </c>
      <c r="U53" s="2">
        <f>COUNTIFS('OB History'!$B:$B,$A$53,'OB History'!K:K, 1)</f>
        <v>0</v>
      </c>
      <c r="V53" s="2">
        <f>COUNTIFS('OB History'!$B:$B,$A$53,'OB History'!L:L, 1)</f>
        <v>6</v>
      </c>
      <c r="W53" s="2">
        <f>COUNTIFS('OB History'!$B:$B,$A$53,'OB History'!M:M, 1)</f>
        <v>4</v>
      </c>
      <c r="X53" s="2">
        <f>COUNTIFS('OB History'!$B:$B,$A$53,'OB History'!N:N, 1)</f>
        <v>4</v>
      </c>
      <c r="Y53" s="2">
        <f>COUNTIFS('OB History'!$B:$B,$A$53,'OB History'!O:O, 1)</f>
        <v>1</v>
      </c>
      <c r="Z53" s="2">
        <f>COUNTIFS('OB History'!$B:$B,$A$53,'OB History'!P:P, 1)</f>
        <v>2</v>
      </c>
      <c r="AA53" s="2">
        <f>COUNTIFS('OB History'!$B:$B,$A$53,'OB History'!Q:Q, 1)</f>
        <v>2</v>
      </c>
      <c r="AB53" s="2">
        <f>COUNTIFS('OB History'!$B:$B,$A$53,'OB History'!R:R, 1)</f>
        <v>1</v>
      </c>
      <c r="AC53" s="2">
        <f>COUNTIFS('OB History'!$B:$B,$A$53,'OB History'!S:S, 1)</f>
        <v>0</v>
      </c>
      <c r="AD53" s="2">
        <f>COUNTIFS('OB History'!$B:$B,$A$53,'OB History'!T:T, 1)</f>
        <v>0</v>
      </c>
      <c r="AE53" s="2">
        <f>COUNTIFS('OB History'!$B:$B,$A$53,'OB History'!U:U, 1)</f>
        <v>0</v>
      </c>
      <c r="AF53" s="2">
        <f>COUNTIFS('OB History'!$B:$B,$A$53,'OB History'!V:V, 1)</f>
        <v>1</v>
      </c>
      <c r="AG53" s="2">
        <f>COUNTIFS('OB History'!$B:$B,$A$53,'OB History'!W:W, 1)</f>
        <v>2</v>
      </c>
      <c r="AH53" s="2">
        <f>COUNTIFS('OB History'!$B:$B,$A$53,'OB History'!X:X, 1)</f>
        <v>5</v>
      </c>
      <c r="AI53" s="2">
        <f>COUNTIFS('OB History'!$B:$B,$A$53,'OB History'!Y:Y, 1)</f>
        <v>3</v>
      </c>
      <c r="AJ53" s="2">
        <f>COUNTIFS('OB History'!$B:$B,$A$53,'OB History'!Z:Z, 1)</f>
        <v>5</v>
      </c>
    </row>
    <row r="54" spans="1:36" x14ac:dyDescent="0.25">
      <c r="A54" s="2" t="s">
        <v>169</v>
      </c>
      <c r="B54" s="2" t="s">
        <v>79</v>
      </c>
      <c r="C54" s="2" t="s">
        <v>79</v>
      </c>
      <c r="D54" s="3"/>
      <c r="E54" s="3"/>
      <c r="F54" s="3"/>
      <c r="G54" s="3"/>
      <c r="H54" s="34">
        <f>SUMIFS('OB History'!C:C,'OB History'!B:B,A54)</f>
        <v>2</v>
      </c>
      <c r="I54" s="4">
        <f>AVERAGEIFS('OB History'!C:C,'OB History'!B:B,A54)</f>
        <v>2</v>
      </c>
      <c r="J54" s="4">
        <f t="array" ref="J54">MEDIAN(IF('OB History'!B:B=A54, 'OB History'!C:C))</f>
        <v>2</v>
      </c>
      <c r="K54" s="35">
        <f t="array" ref="K54">MAX(IF('OB History'!B:B=A54, 'OB History'!C:C))</f>
        <v>2</v>
      </c>
      <c r="L54" s="34">
        <f>COUNTIFS('OB History'!B:B,A54,'OB History'!D:D, 1)</f>
        <v>0</v>
      </c>
      <c r="M54" s="2">
        <f>COUNTIFS('OB History'!B:B,A54,'OB History'!D:D, 0)</f>
        <v>1</v>
      </c>
      <c r="N54" s="88">
        <f>LOOKUP(2, 1/('OB History'!$B:$B=A54), 'OB History'!$AD:$AD)</f>
        <v>0</v>
      </c>
      <c r="O54" s="34">
        <f>SUMIFS('OB History'!F:F,'OB History'!B:B,A54)</f>
        <v>2</v>
      </c>
      <c r="P54" s="2">
        <f>SUMIFS('OB History'!E:E,'OB History'!B:B,A54)-O54</f>
        <v>3</v>
      </c>
      <c r="Q54" s="88">
        <f>LOOKUP(2, 1/('OB History'!$B:$B=A54), 'OB History'!$AB:$AB)</f>
        <v>0.4</v>
      </c>
      <c r="R54" s="34">
        <f>SUMIFS('OB History'!H:H,'OB History'!B:B,'Old Bow v2'!A54)</f>
        <v>6</v>
      </c>
      <c r="S54" s="2">
        <f>SUMIFS('OB History'!G:G,'OB History'!B:B,'Old Bow v2'!A54)-R54</f>
        <v>14</v>
      </c>
      <c r="T54" s="88">
        <f>LOOKUP(2, 1/('OB History'!$B:$B=A54), 'OB History'!$AC:$AC)</f>
        <v>0.3</v>
      </c>
      <c r="U54" s="2">
        <f>COUNTIFS('OB History'!$B:$B,$A$54,'OB History'!K:K, 1)</f>
        <v>0</v>
      </c>
      <c r="V54" s="2">
        <f>COUNTIFS('OB History'!$B:$B,$A$54,'OB History'!L:L, 1)</f>
        <v>0</v>
      </c>
      <c r="W54" s="2">
        <f>COUNTIFS('OB History'!$B:$B,$A$54,'OB History'!M:M, 1)</f>
        <v>0</v>
      </c>
      <c r="X54" s="2">
        <f>COUNTIFS('OB History'!$B:$B,$A$54,'OB History'!N:N, 1)</f>
        <v>0</v>
      </c>
      <c r="Y54" s="2">
        <f>COUNTIFS('OB History'!$B:$B,$A$54,'OB History'!O:O, 1)</f>
        <v>0</v>
      </c>
      <c r="Z54" s="2">
        <f>COUNTIFS('OB History'!$B:$B,$A$54,'OB History'!P:P, 1)</f>
        <v>0</v>
      </c>
      <c r="AA54" s="2">
        <f>COUNTIFS('OB History'!$B:$B,$A$54,'OB History'!Q:Q, 1)</f>
        <v>0</v>
      </c>
      <c r="AB54" s="2">
        <f>COUNTIFS('OB History'!$B:$B,$A$54,'OB History'!R:R, 1)</f>
        <v>0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0</v>
      </c>
      <c r="AG54" s="2">
        <f>COUNTIFS('OB History'!$B:$B,$A$54,'OB History'!W:W, 1)</f>
        <v>1</v>
      </c>
      <c r="AH54" s="2">
        <f>COUNTIFS('OB History'!$B:$B,$A$54,'OB History'!X:X, 1)</f>
        <v>0</v>
      </c>
      <c r="AI54" s="2">
        <f>COUNTIFS('OB History'!$B:$B,$A$54,'OB History'!Y:Y, 1)</f>
        <v>1</v>
      </c>
      <c r="AJ54" s="2">
        <f>COUNTIFS('OB History'!$B:$B,$A$54,'OB History'!Z:Z, 1)</f>
        <v>0</v>
      </c>
    </row>
    <row r="55" spans="1:36" x14ac:dyDescent="0.25">
      <c r="A55" s="2" t="s">
        <v>14</v>
      </c>
      <c r="B55" s="6" t="s">
        <v>124</v>
      </c>
      <c r="C55" s="1" t="s">
        <v>160</v>
      </c>
      <c r="D55" s="3">
        <v>6</v>
      </c>
      <c r="E55" s="3">
        <v>2</v>
      </c>
      <c r="F55" s="3"/>
      <c r="G55" s="3"/>
      <c r="H55" s="34">
        <f>SUMIFS('OB History'!C:C,'OB History'!B:B,A55)</f>
        <v>1306</v>
      </c>
      <c r="I55" s="4">
        <f>AVERAGEIFS('OB History'!C:C,'OB History'!B:B,A55)</f>
        <v>24.185185185185187</v>
      </c>
      <c r="J55" s="4">
        <f t="array" ref="J55">MEDIAN(IF('OB History'!B:B=A55, 'OB History'!C:C))</f>
        <v>20.5</v>
      </c>
      <c r="K55" s="35">
        <f t="array" ref="K55">MAX(IF('OB History'!B:B=A55, 'OB History'!C:C))</f>
        <v>56</v>
      </c>
      <c r="L55" s="34">
        <f>COUNTIFS('OB History'!B:B,A55,'OB History'!D:D, 1)</f>
        <v>26</v>
      </c>
      <c r="M55" s="2">
        <f>COUNTIFS('OB History'!B:B,A55,'OB History'!D:D, 0)</f>
        <v>28</v>
      </c>
      <c r="N55" s="88">
        <f>LOOKUP(2, 1/('OB History'!$B:$B=A55), 'OB History'!$AD:$AD)</f>
        <v>0.48148148148148145</v>
      </c>
      <c r="O55" s="34">
        <f>SUMIFS('OB History'!F:F,'OB History'!B:B,A55)</f>
        <v>105</v>
      </c>
      <c r="P55" s="2">
        <f>SUMIFS('OB History'!E:E,'OB History'!B:B,A55)-O55</f>
        <v>114</v>
      </c>
      <c r="Q55" s="88">
        <f>LOOKUP(2, 1/('OB History'!$B:$B=A55), 'OB History'!$AB:$AB)</f>
        <v>0.47870370370370374</v>
      </c>
      <c r="R55" s="34">
        <f>SUMIFS('OB History'!H:H,'OB History'!B:B,'Old Bow v2'!A55)</f>
        <v>441</v>
      </c>
      <c r="S55" s="2">
        <f>SUMIFS('OB History'!G:G,'OB History'!B:B,'Old Bow v2'!A55)-R55</f>
        <v>472</v>
      </c>
      <c r="T55" s="88">
        <f>LOOKUP(2, 1/('OB History'!$B:$B=A55), 'OB History'!$AC:$AC)</f>
        <v>0.48666666666666669</v>
      </c>
      <c r="U55" s="2">
        <f>COUNTIFS('OB History'!$B:$B,$A$55,'OB History'!K:K, 1)</f>
        <v>6</v>
      </c>
      <c r="V55" s="2">
        <f>COUNTIFS('OB History'!$B:$B,$A$55,'OB History'!L:L, 1)</f>
        <v>10</v>
      </c>
      <c r="W55" s="2">
        <f>COUNTIFS('OB History'!$B:$B,$A$55,'OB History'!M:M, 1)</f>
        <v>5</v>
      </c>
      <c r="X55" s="2">
        <f>COUNTIFS('OB History'!$B:$B,$A$55,'OB History'!N:N, 1)</f>
        <v>10</v>
      </c>
      <c r="Y55" s="2">
        <f>COUNTIFS('OB History'!$B:$B,$A$55,'OB History'!O:O, 1)</f>
        <v>4</v>
      </c>
      <c r="Z55" s="2">
        <f>COUNTIFS('OB History'!$B:$B,$A$55,'OB History'!P:P, 1)</f>
        <v>7</v>
      </c>
      <c r="AA55" s="2">
        <f>COUNTIFS('OB History'!$B:$B,$A$55,'OB History'!Q:Q, 1)</f>
        <v>2</v>
      </c>
      <c r="AB55" s="2">
        <f>COUNTIFS('OB History'!$B:$B,$A$55,'OB History'!R:R, 1)</f>
        <v>2</v>
      </c>
      <c r="AC55" s="2">
        <f>COUNTIFS('OB History'!$B:$B,$A$55,'OB History'!S:S, 1)</f>
        <v>1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3</v>
      </c>
      <c r="AG55" s="2">
        <f>COUNTIFS('OB History'!$B:$B,$A$55,'OB History'!W:W, 1)</f>
        <v>11</v>
      </c>
      <c r="AH55" s="2">
        <f>COUNTIFS('OB History'!$B:$B,$A$55,'OB History'!X:X, 1)</f>
        <v>25</v>
      </c>
      <c r="AI55" s="2">
        <f>COUNTIFS('OB History'!$B:$B,$A$55,'OB History'!Y:Y, 1)</f>
        <v>6</v>
      </c>
      <c r="AJ55" s="2">
        <f>COUNTIFS('OB History'!$B:$B,$A$55,'OB History'!Z:Z, 1)</f>
        <v>13</v>
      </c>
    </row>
    <row r="56" spans="1:36" x14ac:dyDescent="0.25">
      <c r="A56" s="2" t="s">
        <v>70</v>
      </c>
      <c r="B56" s="6" t="s">
        <v>79</v>
      </c>
      <c r="C56" s="6" t="s">
        <v>79</v>
      </c>
      <c r="D56" s="3"/>
      <c r="E56" s="3"/>
      <c r="F56" s="3"/>
      <c r="G56" s="3"/>
      <c r="H56" s="34">
        <f>SUMIFS('OB History'!C:C,'OB History'!B:B,A56)</f>
        <v>116</v>
      </c>
      <c r="I56" s="4">
        <f>AVERAGEIFS('OB History'!C:C,'OB History'!B:B,A56)</f>
        <v>19.333333333333332</v>
      </c>
      <c r="J56" s="4">
        <f t="array" ref="J56">MEDIAN(IF('OB History'!B:B=A56, 'OB History'!C:C))</f>
        <v>20</v>
      </c>
      <c r="K56" s="35">
        <f t="array" ref="K56">MAX(IF('OB History'!B:B=A56, 'OB History'!C:C))</f>
        <v>27</v>
      </c>
      <c r="L56" s="34">
        <f>COUNTIFS('OB History'!B:B,A56,'OB History'!D:D, 1)</f>
        <v>4</v>
      </c>
      <c r="M56" s="2">
        <f>COUNTIFS('OB History'!B:B,A56,'OB History'!D:D, 0)</f>
        <v>2</v>
      </c>
      <c r="N56" s="88">
        <f>LOOKUP(2, 1/('OB History'!$B:$B=A56), 'OB History'!$AD:$AD)</f>
        <v>0.66666666666666663</v>
      </c>
      <c r="O56" s="34">
        <f>SUMIFS('OB History'!F:F,'OB History'!B:B,A56)</f>
        <v>16</v>
      </c>
      <c r="P56" s="2">
        <f>SUMIFS('OB History'!E:E,'OB History'!B:B,A56)-O56</f>
        <v>12</v>
      </c>
      <c r="Q56" s="88">
        <f>LOOKUP(2, 1/('OB History'!$B:$B=A56), 'OB History'!$AB:$AB)</f>
        <v>0.6</v>
      </c>
      <c r="R56" s="34">
        <f>SUMIFS('OB History'!H:H,'OB History'!B:B,'Old Bow v2'!A56)</f>
        <v>61</v>
      </c>
      <c r="S56" s="2">
        <f>SUMIFS('OB History'!G:G,'OB History'!B:B,'Old Bow v2'!A56)-R56</f>
        <v>53</v>
      </c>
      <c r="T56" s="88">
        <f>LOOKUP(2, 1/('OB History'!$B:$B=A56), 'OB History'!$AC:$AC)</f>
        <v>0.54500000000000004</v>
      </c>
      <c r="U56" s="2">
        <f>COUNTIFS('OB History'!$B:$B,$A$56,'OB History'!K:K, 1)</f>
        <v>1</v>
      </c>
      <c r="V56" s="2">
        <f>COUNTIFS('OB History'!$B:$B,$A$56,'OB History'!L:L, 1)</f>
        <v>0</v>
      </c>
      <c r="W56" s="2">
        <f>COUNTIFS('OB History'!$B:$B,$A$56,'OB History'!M:M, 1)</f>
        <v>0</v>
      </c>
      <c r="X56" s="2">
        <f>COUNTIFS('OB History'!$B:$B,$A$56,'OB History'!N:N, 1)</f>
        <v>2</v>
      </c>
      <c r="Y56" s="2">
        <f>COUNTIFS('OB History'!$B:$B,$A$56,'OB History'!O:O, 1)</f>
        <v>2</v>
      </c>
      <c r="Z56" s="2">
        <f>COUNTIFS('OB History'!$B:$B,$A$56,'OB History'!P:P, 1)</f>
        <v>0</v>
      </c>
      <c r="AA56" s="2">
        <f>COUNTIFS('OB History'!$B:$B,$A$56,'OB History'!Q:Q, 1)</f>
        <v>0</v>
      </c>
      <c r="AB56" s="2">
        <f>COUNTIFS('OB History'!$B:$B,$A$56,'OB History'!R:R, 1)</f>
        <v>2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1</v>
      </c>
      <c r="AG56" s="2">
        <f>COUNTIFS('OB History'!$B:$B,$A$56,'OB History'!W:W, 1)</f>
        <v>0</v>
      </c>
      <c r="AH56" s="2">
        <f>COUNTIFS('OB History'!$B:$B,$A$56,'OB History'!X:X, 1)</f>
        <v>4</v>
      </c>
      <c r="AI56" s="2">
        <f>COUNTIFS('OB History'!$B:$B,$A$56,'OB History'!Y:Y, 1)</f>
        <v>1</v>
      </c>
      <c r="AJ56" s="2">
        <f>COUNTIFS('OB History'!$B:$B,$A$56,'OB History'!Z:Z, 1)</f>
        <v>3</v>
      </c>
    </row>
    <row r="57" spans="1:36" x14ac:dyDescent="0.25">
      <c r="A57" s="2" t="s">
        <v>4</v>
      </c>
      <c r="B57" s="6" t="s">
        <v>60</v>
      </c>
      <c r="C57" s="2" t="s">
        <v>79</v>
      </c>
      <c r="D57" s="3">
        <v>2</v>
      </c>
      <c r="E57" s="3"/>
      <c r="F57" s="3"/>
      <c r="G57" s="3"/>
      <c r="H57" s="34">
        <f>SUMIFS('OB History'!C:C,'OB History'!B:B,A57)</f>
        <v>317</v>
      </c>
      <c r="I57" s="4">
        <f>AVERAGEIFS('OB History'!C:C,'OB History'!B:B,A57)</f>
        <v>21.133333333333333</v>
      </c>
      <c r="J57" s="4">
        <f t="array" ref="J57">MEDIAN(IF('OB History'!B:B=A57, 'OB History'!C:C))</f>
        <v>19</v>
      </c>
      <c r="K57" s="35">
        <f t="array" ref="K57">MAX(IF('OB History'!B:B=A57, 'OB History'!C:C))</f>
        <v>46</v>
      </c>
      <c r="L57" s="34">
        <f>COUNTIFS('OB History'!B:B,A57,'OB History'!D:D, 1)</f>
        <v>9</v>
      </c>
      <c r="M57" s="2">
        <f>COUNTIFS('OB History'!B:B,A57,'OB History'!D:D, 0)</f>
        <v>6</v>
      </c>
      <c r="N57" s="88">
        <f>LOOKUP(2, 1/('OB History'!$B:$B=A57), 'OB History'!$AD:$AD)</f>
        <v>0.6</v>
      </c>
      <c r="O57" s="34">
        <f>SUMIFS('OB History'!F:F,'OB History'!B:B,A57)</f>
        <v>30</v>
      </c>
      <c r="P57" s="2">
        <f>SUMIFS('OB History'!E:E,'OB History'!B:B,A57)-O57</f>
        <v>29</v>
      </c>
      <c r="Q57" s="88">
        <f>LOOKUP(2, 1/('OB History'!$B:$B=A57), 'OB History'!$AB:$AB)</f>
        <v>0.5033333333333333</v>
      </c>
      <c r="R57" s="34">
        <f>SUMIFS('OB History'!H:H,'OB History'!B:B,'Old Bow v2'!A57)</f>
        <v>121</v>
      </c>
      <c r="S57" s="2">
        <f>SUMIFS('OB History'!G:G,'OB History'!B:B,'Old Bow v2'!A57)-R57</f>
        <v>120</v>
      </c>
      <c r="T57" s="88">
        <f>LOOKUP(2, 1/('OB History'!$B:$B=A57), 'OB History'!$AC:$AC)</f>
        <v>0.49266666666666664</v>
      </c>
      <c r="U57" s="2">
        <f>COUNTIFS('OB History'!$B:$B,$A$57,'OB History'!K:K, 1)</f>
        <v>2</v>
      </c>
      <c r="V57" s="2">
        <f>COUNTIFS('OB History'!$B:$B,$A$57,'OB History'!L:L, 1)</f>
        <v>6</v>
      </c>
      <c r="W57" s="2">
        <f>COUNTIFS('OB History'!$B:$B,$A$57,'OB History'!M:M, 1)</f>
        <v>3</v>
      </c>
      <c r="X57" s="2">
        <f>COUNTIFS('OB History'!$B:$B,$A$57,'OB History'!N:N, 1)</f>
        <v>1</v>
      </c>
      <c r="Y57" s="2">
        <f>COUNTIFS('OB History'!$B:$B,$A$57,'OB History'!O:O, 1)</f>
        <v>3</v>
      </c>
      <c r="Z57" s="2">
        <f>COUNTIFS('OB History'!$B:$B,$A$57,'OB History'!P:P, 1)</f>
        <v>3</v>
      </c>
      <c r="AA57" s="2">
        <f>COUNTIFS('OB History'!$B:$B,$A$57,'OB History'!Q:Q, 1)</f>
        <v>1</v>
      </c>
      <c r="AB57" s="2">
        <f>COUNTIFS('OB History'!$B:$B,$A$57,'OB History'!R:R, 1)</f>
        <v>0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2</v>
      </c>
      <c r="AH57" s="2">
        <f>COUNTIFS('OB History'!$B:$B,$A$57,'OB History'!X:X, 1)</f>
        <v>4</v>
      </c>
      <c r="AI57" s="2">
        <f>COUNTIFS('OB History'!$B:$B,$A$57,'OB History'!Y:Y, 1)</f>
        <v>3</v>
      </c>
      <c r="AJ57" s="2">
        <f>COUNTIFS('OB History'!$B:$B,$A$57,'OB History'!Z:Z, 1)</f>
        <v>2</v>
      </c>
    </row>
    <row r="58" spans="1:36" x14ac:dyDescent="0.25">
      <c r="A58" s="2" t="s">
        <v>55</v>
      </c>
      <c r="B58" s="2" t="s">
        <v>79</v>
      </c>
      <c r="C58" s="2" t="s">
        <v>79</v>
      </c>
      <c r="D58" s="3"/>
      <c r="E58" s="3"/>
      <c r="F58" s="3"/>
      <c r="G58" s="3"/>
      <c r="H58" s="34">
        <f>SUMIFS('OB History'!C:C,'OB History'!B:B,A58)</f>
        <v>165</v>
      </c>
      <c r="I58" s="4">
        <f>AVERAGEIFS('OB History'!C:C,'OB History'!B:B,A58)</f>
        <v>10.3125</v>
      </c>
      <c r="J58" s="4">
        <f t="array" ref="J58">MEDIAN(IF('OB History'!B:B=A58, 'OB History'!C:C))</f>
        <v>9.5</v>
      </c>
      <c r="K58" s="35">
        <f t="array" ref="K58">MAX(IF('OB History'!B:B=A58, 'OB History'!C:C))</f>
        <v>20</v>
      </c>
      <c r="L58" s="34">
        <f>COUNTIFS('OB History'!B:B,A58,'OB History'!D:D, 1)</f>
        <v>10</v>
      </c>
      <c r="M58" s="2">
        <f>COUNTIFS('OB History'!B:B,A58,'OB History'!D:D, 0)</f>
        <v>6</v>
      </c>
      <c r="N58" s="88">
        <f>LOOKUP(2, 1/('OB History'!$B:$B=A58), 'OB History'!$AD:$AD)</f>
        <v>0.625</v>
      </c>
      <c r="O58" s="34">
        <f>SUMIFS('OB History'!F:F,'OB History'!B:B,A58)</f>
        <v>38</v>
      </c>
      <c r="P58" s="2">
        <f>SUMIFS('OB History'!E:E,'OB History'!B:B,A58)-O58</f>
        <v>29</v>
      </c>
      <c r="Q58" s="88">
        <f>LOOKUP(2, 1/('OB History'!$B:$B=A58), 'OB History'!$AB:$AB)</f>
        <v>0.58437499999999998</v>
      </c>
      <c r="R58" s="34">
        <f>SUMIFS('OB History'!H:H,'OB History'!B:B,'Old Bow v2'!A58)</f>
        <v>150</v>
      </c>
      <c r="S58" s="2">
        <f>SUMIFS('OB History'!G:G,'OB History'!B:B,'Old Bow v2'!A58)-R58</f>
        <v>124</v>
      </c>
      <c r="T58" s="88">
        <f>LOOKUP(2, 1/('OB History'!$B:$B=A58), 'OB History'!$AC:$AC)</f>
        <v>0.55062500000000003</v>
      </c>
      <c r="U58" s="2">
        <f>COUNTIFS('OB History'!$B:$B,$A$58,'OB History'!K:K, 1)</f>
        <v>3</v>
      </c>
      <c r="V58" s="2">
        <f>COUNTIFS('OB History'!$B:$B,$A$58,'OB History'!L:L, 1)</f>
        <v>1</v>
      </c>
      <c r="W58" s="2">
        <f>COUNTIFS('OB History'!$B:$B,$A$58,'OB History'!M:M, 1)</f>
        <v>1</v>
      </c>
      <c r="X58" s="2">
        <f>COUNTIFS('OB History'!$B:$B,$A$58,'OB History'!N:N, 1)</f>
        <v>7</v>
      </c>
      <c r="Y58" s="2">
        <f>COUNTIFS('OB History'!$B:$B,$A$58,'OB History'!O:O, 1)</f>
        <v>1</v>
      </c>
      <c r="Z58" s="2">
        <f>COUNTIFS('OB History'!$B:$B,$A$58,'OB History'!P:P, 1)</f>
        <v>2</v>
      </c>
      <c r="AA58" s="2">
        <f>COUNTIFS('OB History'!$B:$B,$A$58,'OB History'!Q:Q, 1)</f>
        <v>2</v>
      </c>
      <c r="AB58" s="2">
        <f>COUNTIFS('OB History'!$B:$B,$A$58,'OB History'!R:R, 1)</f>
        <v>1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1</v>
      </c>
      <c r="AF58" s="2">
        <f>COUNTIFS('OB History'!$B:$B,$A$58,'OB History'!V:V, 1)</f>
        <v>0</v>
      </c>
      <c r="AG58" s="2">
        <f>COUNTIFS('OB History'!$B:$B,$A$58,'OB History'!W:W, 1)</f>
        <v>3</v>
      </c>
      <c r="AH58" s="2">
        <f>COUNTIFS('OB History'!$B:$B,$A$58,'OB History'!X:X, 1)</f>
        <v>8</v>
      </c>
      <c r="AI58" s="2">
        <f>COUNTIFS('OB History'!$B:$B,$A$58,'OB History'!Y:Y, 1)</f>
        <v>3</v>
      </c>
      <c r="AJ58" s="2">
        <f>COUNTIFS('OB History'!$B:$B,$A$58,'OB History'!Z:Z, 1)</f>
        <v>5</v>
      </c>
    </row>
  </sheetData>
  <autoFilter ref="A1:AJ58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187"/>
  <sheetViews>
    <sheetView workbookViewId="0">
      <pane ySplit="1" topLeftCell="A1156" activePane="bottomLeft" state="frozen"/>
      <selection pane="bottomLeft" activeCell="A1162" sqref="A1162:Z1187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  <row r="1124" spans="1:30" x14ac:dyDescent="0.25">
      <c r="A1124" s="85">
        <v>46169</v>
      </c>
      <c r="B1124" t="s">
        <v>152</v>
      </c>
      <c r="C1124">
        <v>8</v>
      </c>
      <c r="D1124" s="86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86">
        <f>AVERAGEIFS($C$2:C1124, $B$2:B1124, B1124)</f>
        <v>13.5</v>
      </c>
      <c r="AB1124" s="86">
        <f>AVERAGEIFS($I$2:I1124, $B$2:B1124, B1124)</f>
        <v>0.31666666666666665</v>
      </c>
      <c r="AC1124" s="86">
        <f>AVERAGEIFS($J$2:J1124, $B$2:B1124, B1124)</f>
        <v>0.38500000000000001</v>
      </c>
      <c r="AD1124" s="86">
        <f>AVERAGEIFS($D$2:D1124, $B$2:B1124, B1124)</f>
        <v>0.25</v>
      </c>
    </row>
    <row r="1125" spans="1:30" x14ac:dyDescent="0.25">
      <c r="A1125" s="85">
        <v>46169</v>
      </c>
      <c r="B1125" t="s">
        <v>140</v>
      </c>
      <c r="C1125">
        <v>11</v>
      </c>
      <c r="D1125" s="86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86">
        <f>AVERAGEIFS($C$2:C1125, $B$2:B1125, B1125)</f>
        <v>9.3333333333333339</v>
      </c>
      <c r="AB1125" s="86">
        <f>AVERAGEIFS($I$2:I1125, $B$2:B1125, B1125)</f>
        <v>0.43888888888888894</v>
      </c>
      <c r="AC1125" s="86">
        <f>AVERAGEIFS($J$2:J1125, $B$2:B1125, B1125)</f>
        <v>0.47666666666666652</v>
      </c>
      <c r="AD1125" s="86">
        <f>AVERAGEIFS($D$2:D1125, $B$2:B1125, B1125)</f>
        <v>0.44444444444444442</v>
      </c>
    </row>
    <row r="1126" spans="1:30" x14ac:dyDescent="0.25">
      <c r="A1126" s="85">
        <v>46169</v>
      </c>
      <c r="B1126" t="s">
        <v>71</v>
      </c>
      <c r="C1126">
        <v>11</v>
      </c>
      <c r="D1126" s="86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86">
        <f>AVERAGEIFS($C$2:C1126, $B$2:B1126, B1126)</f>
        <v>11.25</v>
      </c>
      <c r="AB1126" s="86">
        <f>AVERAGEIFS($I$2:I1126, $B$2:B1126, B1126)</f>
        <v>0.61250000000000004</v>
      </c>
      <c r="AC1126" s="86">
        <f>AVERAGEIFS($J$2:J1126, $B$2:B1126, B1126)</f>
        <v>0.54499999999999993</v>
      </c>
      <c r="AD1126" s="86">
        <f>AVERAGEIFS($D$2:D1126, $B$2:B1126, B1126)</f>
        <v>0.75</v>
      </c>
    </row>
    <row r="1127" spans="1:30" x14ac:dyDescent="0.25">
      <c r="A1127" s="85">
        <v>46169</v>
      </c>
      <c r="B1127" t="s">
        <v>46</v>
      </c>
      <c r="C1127">
        <v>15</v>
      </c>
      <c r="D1127" s="86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86">
        <f>AVERAGEIFS($C$2:C1127, $B$2:B1127, B1127)</f>
        <v>19.727272727272727</v>
      </c>
      <c r="AB1127" s="86">
        <f>AVERAGEIFS($I$2:I1127, $B$2:B1127, B1127)</f>
        <v>0.45454545454545453</v>
      </c>
      <c r="AC1127" s="86">
        <f>AVERAGEIFS($J$2:J1127, $B$2:B1127, B1127)</f>
        <v>0.45545454545454545</v>
      </c>
      <c r="AD1127" s="86">
        <f>AVERAGEIFS($D$2:D1127, $B$2:B1127, B1127)</f>
        <v>0.45454545454545453</v>
      </c>
    </row>
    <row r="1128" spans="1:30" x14ac:dyDescent="0.25">
      <c r="A1128" s="85">
        <v>46169</v>
      </c>
      <c r="B1128" t="s">
        <v>2</v>
      </c>
      <c r="C1128">
        <v>17</v>
      </c>
      <c r="D1128" s="86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86">
        <f>AVERAGEIFS($C$2:C1128, $B$2:B1128, B1128)</f>
        <v>27.863636363636363</v>
      </c>
      <c r="AB1128" s="86">
        <f>AVERAGEIFS($I$2:I1128, $B$2:B1128, B1128)</f>
        <v>0.61363636363636376</v>
      </c>
      <c r="AC1128" s="86">
        <f>AVERAGEIFS($J$2:J1128, $B$2:B1128, B1128)</f>
        <v>0.55636363636363628</v>
      </c>
      <c r="AD1128" s="86">
        <f>AVERAGEIFS($D$2:D1128, $B$2:B1128, B1128)</f>
        <v>0.54545454545454541</v>
      </c>
    </row>
    <row r="1129" spans="1:30" x14ac:dyDescent="0.25">
      <c r="A1129" s="85">
        <v>46169</v>
      </c>
      <c r="B1129" t="s">
        <v>150</v>
      </c>
      <c r="C1129">
        <v>14</v>
      </c>
      <c r="D1129" s="86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86">
        <f>AVERAGEIFS($C$2:C1129, $B$2:B1129, B1129)</f>
        <v>18</v>
      </c>
      <c r="AB1129" s="86">
        <f>AVERAGEIFS($I$2:I1129, $B$2:B1129, B1129)</f>
        <v>0.68055555555555558</v>
      </c>
      <c r="AC1129" s="86">
        <f>AVERAGEIFS($J$2:J1129, $B$2:B1129, B1129)</f>
        <v>0.59777777777777752</v>
      </c>
      <c r="AD1129" s="86">
        <f>AVERAGEIFS($D$2:D1129, $B$2:B1129, B1129)</f>
        <v>0.72222222222222221</v>
      </c>
    </row>
    <row r="1130" spans="1:30" x14ac:dyDescent="0.25">
      <c r="A1130" s="85">
        <v>46169</v>
      </c>
      <c r="B1130" t="s">
        <v>6</v>
      </c>
      <c r="C1130">
        <v>16</v>
      </c>
      <c r="D1130" s="86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86">
        <f>AVERAGEIFS($C$2:C1130, $B$2:B1130, B1130)</f>
        <v>23.823529411764707</v>
      </c>
      <c r="AB1130" s="86">
        <f>AVERAGEIFS($I$2:I1130, $B$2:B1130, B1130)</f>
        <v>0.64117647058823535</v>
      </c>
      <c r="AC1130" s="86">
        <f>AVERAGEIFS($J$2:J1130, $B$2:B1130, B1130)</f>
        <v>0.56705882352941184</v>
      </c>
      <c r="AD1130" s="86">
        <f>AVERAGEIFS($D$2:D1130, $B$2:B1130, B1130)</f>
        <v>0.70588235294117652</v>
      </c>
    </row>
    <row r="1131" spans="1:30" x14ac:dyDescent="0.25">
      <c r="A1131" s="85">
        <v>46169</v>
      </c>
      <c r="B1131" t="s">
        <v>27</v>
      </c>
      <c r="C1131">
        <v>6</v>
      </c>
      <c r="D1131" s="86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86">
        <f>AVERAGEIFS($C$2:C1131, $B$2:B1131, B1131)</f>
        <v>15.064516129032258</v>
      </c>
      <c r="AB1131" s="86">
        <f>AVERAGEIFS($I$2:I1131, $B$2:B1131, B1131)</f>
        <v>0.49354838709677418</v>
      </c>
      <c r="AC1131" s="86">
        <f>AVERAGEIFS($J$2:J1131, $B$2:B1131, B1131)</f>
        <v>0.49838709677419363</v>
      </c>
      <c r="AD1131" s="86">
        <f>AVERAGEIFS($D$2:D1131, $B$2:B1131, B1131)</f>
        <v>0.54838709677419351</v>
      </c>
    </row>
    <row r="1132" spans="1:30" x14ac:dyDescent="0.25">
      <c r="A1132" s="85">
        <v>46169</v>
      </c>
      <c r="B1132" t="s">
        <v>28</v>
      </c>
      <c r="C1132">
        <v>9</v>
      </c>
      <c r="D1132" s="86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86">
        <f>AVERAGEIFS($C$2:C1132, $B$2:B1132, B1132)</f>
        <v>15.576923076923077</v>
      </c>
      <c r="AB1132" s="86">
        <f>AVERAGEIFS($I$2:I1132, $B$2:B1132, B1132)</f>
        <v>0.38653846153846155</v>
      </c>
      <c r="AC1132" s="86">
        <f>AVERAGEIFS($J$2:J1132, $B$2:B1132, B1132)</f>
        <v>0.44769230769230778</v>
      </c>
      <c r="AD1132" s="86">
        <f>AVERAGEIFS($D$2:D1132, $B$2:B1132, B1132)</f>
        <v>0.34615384615384615</v>
      </c>
    </row>
    <row r="1133" spans="1:30" x14ac:dyDescent="0.25">
      <c r="A1133" s="85">
        <v>46169</v>
      </c>
      <c r="B1133" t="s">
        <v>15</v>
      </c>
      <c r="C1133">
        <v>9</v>
      </c>
      <c r="D1133" s="86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86">
        <f>AVERAGEIFS($C$2:C1133, $B$2:B1133, B1133)</f>
        <v>22.795918367346939</v>
      </c>
      <c r="AB1133" s="86">
        <f>AVERAGEIFS($I$2:I1133, $B$2:B1133, B1133)</f>
        <v>0.4551020408163266</v>
      </c>
      <c r="AC1133" s="86">
        <f>AVERAGEIFS($J$2:J1133, $B$2:B1133, B1133)</f>
        <v>0.48632653061224485</v>
      </c>
      <c r="AD1133" s="86">
        <f>AVERAGEIFS($D$2:D1133, $B$2:B1133, B1133)</f>
        <v>0.40816326530612246</v>
      </c>
    </row>
    <row r="1134" spans="1:30" x14ac:dyDescent="0.25">
      <c r="A1134" s="85">
        <v>46169</v>
      </c>
      <c r="B1134" t="s">
        <v>14</v>
      </c>
      <c r="C1134">
        <v>19</v>
      </c>
      <c r="D1134" s="86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86">
        <f>AVERAGEIFS($C$2:C1134, $B$2:B1134, B1134)</f>
        <v>23.924528301886792</v>
      </c>
      <c r="AB1134" s="86">
        <f>AVERAGEIFS($I$2:I1134, $B$2:B1134, B1134)</f>
        <v>0.48301886792452831</v>
      </c>
      <c r="AC1134" s="86">
        <f>AVERAGEIFS($J$2:J1134, $B$2:B1134, B1134)</f>
        <v>0.48641509433962266</v>
      </c>
      <c r="AD1134" s="86">
        <f>AVERAGEIFS($D$2:D1134, $B$2:B1134, B1134)</f>
        <v>0.49056603773584906</v>
      </c>
    </row>
    <row r="1135" spans="1:30" x14ac:dyDescent="0.25">
      <c r="A1135" s="85">
        <v>46169</v>
      </c>
      <c r="B1135" t="s">
        <v>13</v>
      </c>
      <c r="C1135">
        <v>20</v>
      </c>
      <c r="D1135" s="86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86">
        <f>AVERAGEIFS($C$2:C1135, $B$2:B1135, B1135)</f>
        <v>26.123287671232877</v>
      </c>
      <c r="AB1135" s="86">
        <f>AVERAGEIFS($I$2:I1135, $B$2:B1135, B1135)</f>
        <v>0.55342465753424652</v>
      </c>
      <c r="AC1135" s="86">
        <f>AVERAGEIFS($J$2:J1135, $B$2:B1135, B1135)</f>
        <v>0.5353424657534247</v>
      </c>
      <c r="AD1135" s="86">
        <f>AVERAGEIFS($D$2:D1135, $B$2:B1135, B1135)</f>
        <v>0.58904109589041098</v>
      </c>
    </row>
    <row r="1136" spans="1:30" x14ac:dyDescent="0.25">
      <c r="A1136" s="85">
        <v>46169</v>
      </c>
      <c r="B1136" t="s">
        <v>155</v>
      </c>
      <c r="C1136">
        <v>8</v>
      </c>
      <c r="D1136" s="86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86">
        <f>AVERAGEIFS($C$2:C1136, $B$2:B1136, B1136)</f>
        <v>17.828571428571429</v>
      </c>
      <c r="AB1136" s="86">
        <f>AVERAGEIFS($I$2:I1136, $B$2:B1136, B1136)</f>
        <v>0.39857142857142858</v>
      </c>
      <c r="AC1136" s="86">
        <f>AVERAGEIFS($J$2:J1136, $B$2:B1136, B1136)</f>
        <v>0.46799999999999997</v>
      </c>
      <c r="AD1136" s="86">
        <f>AVERAGEIFS($D$2:D1136, $B$2:B1136, B1136)</f>
        <v>0.37142857142857144</v>
      </c>
    </row>
    <row r="1137" spans="1:30" x14ac:dyDescent="0.25">
      <c r="A1137" s="85">
        <v>46169</v>
      </c>
      <c r="B1137" t="s">
        <v>38</v>
      </c>
      <c r="C1137">
        <v>3</v>
      </c>
      <c r="D1137" s="86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86">
        <f>AVERAGEIFS($C$2:C1137, $B$2:B1137, B1137)</f>
        <v>7.5263157894736841</v>
      </c>
      <c r="AB1137" s="86">
        <f>AVERAGEIFS($I$2:I1137, $B$2:B1137, B1137)</f>
        <v>0.40789473684210531</v>
      </c>
      <c r="AC1137" s="86">
        <f>AVERAGEIFS($J$2:J1137, $B$2:B1137, B1137)</f>
        <v>0.45368421052631586</v>
      </c>
      <c r="AD1137" s="86">
        <f>AVERAGEIFS($D$2:D1137, $B$2:B1137, B1137)</f>
        <v>0.42105263157894735</v>
      </c>
    </row>
    <row r="1138" spans="1:30" x14ac:dyDescent="0.25">
      <c r="A1138" s="85">
        <v>46170</v>
      </c>
      <c r="B1138" t="s">
        <v>13</v>
      </c>
      <c r="C1138">
        <v>12</v>
      </c>
      <c r="D1138" s="86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86">
        <f>AVERAGEIFS($C$2:C1138, $B$2:B1138, B1138)</f>
        <v>25.932432432432432</v>
      </c>
      <c r="AB1138" s="86">
        <f>AVERAGEIFS($I$2:I1138, $B$2:B1138, B1138)</f>
        <v>0.55405405405405406</v>
      </c>
      <c r="AC1138" s="86">
        <f>AVERAGEIFS($J$2:J1138, $B$2:B1138, B1138)</f>
        <v>0.53486486486486495</v>
      </c>
      <c r="AD1138" s="86">
        <f>AVERAGEIFS($D$2:D1138, $B$2:B1138, B1138)</f>
        <v>0.59459459459459463</v>
      </c>
    </row>
    <row r="1139" spans="1:30" x14ac:dyDescent="0.25">
      <c r="A1139" s="85">
        <v>46170</v>
      </c>
      <c r="B1139" t="s">
        <v>15</v>
      </c>
      <c r="C1139">
        <v>22</v>
      </c>
      <c r="D1139" s="86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86">
        <f>AVERAGEIFS($C$2:C1139, $B$2:B1139, B1139)</f>
        <v>22.78</v>
      </c>
      <c r="AB1139" s="86">
        <f>AVERAGEIFS($I$2:I1139, $B$2:B1139, B1139)</f>
        <v>0.45800000000000013</v>
      </c>
      <c r="AC1139" s="86">
        <f>AVERAGEIFS($J$2:J1139, $B$2:B1139, B1139)</f>
        <v>0.48659999999999998</v>
      </c>
      <c r="AD1139" s="86">
        <f>AVERAGEIFS($D$2:D1139, $B$2:B1139, B1139)</f>
        <v>0.42</v>
      </c>
    </row>
    <row r="1140" spans="1:30" x14ac:dyDescent="0.25">
      <c r="A1140" s="85">
        <v>46170</v>
      </c>
      <c r="B1140" t="s">
        <v>140</v>
      </c>
      <c r="C1140">
        <v>12</v>
      </c>
      <c r="D1140" s="86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86">
        <f>AVERAGEIFS($C$2:C1140, $B$2:B1140, B1140)</f>
        <v>9.4285714285714288</v>
      </c>
      <c r="AB1140" s="86">
        <f>AVERAGEIFS($I$2:I1140, $B$2:B1140, B1140)</f>
        <v>0.44464285714285717</v>
      </c>
      <c r="AC1140" s="86">
        <f>AVERAGEIFS($J$2:J1140, $B$2:B1140, B1140)</f>
        <v>0.47749999999999987</v>
      </c>
      <c r="AD1140" s="86">
        <f>AVERAGEIFS($D$2:D1140, $B$2:B1140, B1140)</f>
        <v>0.4642857142857143</v>
      </c>
    </row>
    <row r="1141" spans="1:30" x14ac:dyDescent="0.25">
      <c r="A1141" s="85">
        <v>46170</v>
      </c>
      <c r="B1141" t="s">
        <v>150</v>
      </c>
      <c r="C1141">
        <v>20</v>
      </c>
      <c r="D1141" s="86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86">
        <f>AVERAGEIFS($C$2:C1141, $B$2:B1141, B1141)</f>
        <v>18.105263157894736</v>
      </c>
      <c r="AB1141" s="86">
        <f>AVERAGEIFS($I$2:I1141, $B$2:B1141, B1141)</f>
        <v>0.6763157894736842</v>
      </c>
      <c r="AC1141" s="86">
        <f>AVERAGEIFS($J$2:J1141, $B$2:B1141, B1141)</f>
        <v>0.59263157894736818</v>
      </c>
      <c r="AD1141" s="86">
        <f>AVERAGEIFS($D$2:D1141, $B$2:B1141, B1141)</f>
        <v>0.73684210526315785</v>
      </c>
    </row>
    <row r="1142" spans="1:30" x14ac:dyDescent="0.25">
      <c r="A1142" s="85">
        <v>46170</v>
      </c>
      <c r="B1142" t="s">
        <v>155</v>
      </c>
      <c r="C1142">
        <v>24</v>
      </c>
      <c r="D1142" s="86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86">
        <f>AVERAGEIFS($C$2:C1142, $B$2:B1142, B1142)</f>
        <v>18</v>
      </c>
      <c r="AB1142" s="86">
        <f>AVERAGEIFS($I$2:I1142, $B$2:B1142, B1142)</f>
        <v>0.40416666666666662</v>
      </c>
      <c r="AC1142" s="86">
        <f>AVERAGEIFS($J$2:J1142, $B$2:B1142, B1142)</f>
        <v>0.46888888888888886</v>
      </c>
      <c r="AD1142" s="86">
        <f>AVERAGEIFS($D$2:D1142, $B$2:B1142, B1142)</f>
        <v>0.3888888888888889</v>
      </c>
    </row>
    <row r="1143" spans="1:30" x14ac:dyDescent="0.25">
      <c r="A1143" s="85">
        <v>46170</v>
      </c>
      <c r="B1143" t="s">
        <v>141</v>
      </c>
      <c r="C1143">
        <v>25</v>
      </c>
      <c r="D1143" s="86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86">
        <f>AVERAGEIFS($C$2:C1143, $B$2:B1143, B1143)</f>
        <v>16.705882352941178</v>
      </c>
      <c r="AB1143" s="86">
        <f>AVERAGEIFS($I$2:I1143, $B$2:B1143, B1143)</f>
        <v>0.44999999999999996</v>
      </c>
      <c r="AC1143" s="86">
        <f>AVERAGEIFS($J$2:J1143, $B$2:B1143, B1143)</f>
        <v>0.48588235294117654</v>
      </c>
      <c r="AD1143" s="86">
        <f>AVERAGEIFS($D$2:D1143, $B$2:B1143, B1143)</f>
        <v>0.41176470588235292</v>
      </c>
    </row>
    <row r="1144" spans="1:30" x14ac:dyDescent="0.25">
      <c r="A1144" s="85">
        <v>46170</v>
      </c>
      <c r="B1144" t="s">
        <v>6</v>
      </c>
      <c r="C1144">
        <v>15</v>
      </c>
      <c r="D1144" s="86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86">
        <f>AVERAGEIFS($C$2:C1144, $B$2:B1144, B1144)</f>
        <v>23.571428571428573</v>
      </c>
      <c r="AB1144" s="86">
        <f>AVERAGEIFS($I$2:I1144, $B$2:B1144, B1144)</f>
        <v>0.63428571428571423</v>
      </c>
      <c r="AC1144" s="86">
        <f>AVERAGEIFS($J$2:J1144, $B$2:B1144, B1144)</f>
        <v>0.56514285714285717</v>
      </c>
      <c r="AD1144" s="86">
        <f>AVERAGEIFS($D$2:D1144, $B$2:B1144, B1144)</f>
        <v>0.68571428571428572</v>
      </c>
    </row>
    <row r="1145" spans="1:30" x14ac:dyDescent="0.25">
      <c r="A1145" s="85">
        <v>46170</v>
      </c>
      <c r="B1145" t="s">
        <v>152</v>
      </c>
      <c r="C1145">
        <v>15</v>
      </c>
      <c r="D1145" s="86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86">
        <f>AVERAGEIFS($C$2:C1145, $B$2:B1145, B1145)</f>
        <v>13.615384615384615</v>
      </c>
      <c r="AB1145" s="86">
        <f>AVERAGEIFS($I$2:I1145, $B$2:B1145, B1145)</f>
        <v>0.32307692307692309</v>
      </c>
      <c r="AC1145" s="86">
        <f>AVERAGEIFS($J$2:J1145, $B$2:B1145, B1145)</f>
        <v>0.39384615384615385</v>
      </c>
      <c r="AD1145" s="86">
        <f>AVERAGEIFS($D$2:D1145, $B$2:B1145, B1145)</f>
        <v>0.23076923076923078</v>
      </c>
    </row>
    <row r="1146" spans="1:30" x14ac:dyDescent="0.25">
      <c r="A1146" s="85">
        <v>46170</v>
      </c>
      <c r="B1146" t="s">
        <v>2</v>
      </c>
      <c r="C1146">
        <v>28</v>
      </c>
      <c r="D1146" s="86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86">
        <f>AVERAGEIFS($C$2:C1146, $B$2:B1146, B1146)</f>
        <v>27.869565217391305</v>
      </c>
      <c r="AB1146" s="86">
        <f>AVERAGEIFS($I$2:I1146, $B$2:B1146, B1146)</f>
        <v>0.60434782608695659</v>
      </c>
      <c r="AC1146" s="86">
        <f>AVERAGEIFS($J$2:J1146, $B$2:B1146, B1146)</f>
        <v>0.55391304347826076</v>
      </c>
      <c r="AD1146" s="86">
        <f>AVERAGEIFS($D$2:D1146, $B$2:B1146, B1146)</f>
        <v>0.52173913043478259</v>
      </c>
    </row>
    <row r="1147" spans="1:30" x14ac:dyDescent="0.25">
      <c r="A1147" s="85">
        <v>46170</v>
      </c>
      <c r="B1147" t="s">
        <v>71</v>
      </c>
      <c r="C1147">
        <v>22</v>
      </c>
      <c r="D1147" s="86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86">
        <f>AVERAGEIFS($C$2:C1147, $B$2:B1147, B1147)</f>
        <v>13.4</v>
      </c>
      <c r="AB1147" s="86">
        <f>AVERAGEIFS($I$2:I1147, $B$2:B1147, B1147)</f>
        <v>0.57000000000000006</v>
      </c>
      <c r="AC1147" s="86">
        <f>AVERAGEIFS($J$2:J1147, $B$2:B1147, B1147)</f>
        <v>0.53599999999999992</v>
      </c>
      <c r="AD1147" s="86">
        <f>AVERAGEIFS($D$2:D1147, $B$2:B1147, B1147)</f>
        <v>0.6</v>
      </c>
    </row>
    <row r="1148" spans="1:30" x14ac:dyDescent="0.25">
      <c r="A1148" s="85">
        <v>46170</v>
      </c>
      <c r="B1148" t="s">
        <v>146</v>
      </c>
      <c r="C1148">
        <v>14</v>
      </c>
      <c r="D1148" s="86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86">
        <f>AVERAGEIFS($C$2:C1148, $B$2:B1148, B1148)</f>
        <v>13.222222222222221</v>
      </c>
      <c r="AB1148" s="86">
        <f>AVERAGEIFS($I$2:I1148, $B$2:B1148, B1148)</f>
        <v>0.40555555555555556</v>
      </c>
      <c r="AC1148" s="86">
        <f>AVERAGEIFS($J$2:J1148, $B$2:B1148, B1148)</f>
        <v>0.47111111111111104</v>
      </c>
      <c r="AD1148" s="86">
        <f>AVERAGEIFS($D$2:D1148, $B$2:B1148, B1148)</f>
        <v>0.33333333333333331</v>
      </c>
    </row>
    <row r="1149" spans="1:30" x14ac:dyDescent="0.25">
      <c r="A1149" s="85">
        <v>46170</v>
      </c>
      <c r="B1149" t="s">
        <v>35</v>
      </c>
      <c r="C1149">
        <v>13</v>
      </c>
      <c r="D1149" s="86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86">
        <f>AVERAGEIFS($C$2:C1149, $B$2:B1149, B1149)</f>
        <v>12.425000000000001</v>
      </c>
      <c r="AB1149" s="86">
        <f>AVERAGEIFS($I$2:I1149, $B$2:B1149, B1149)</f>
        <v>0.53249999999999997</v>
      </c>
      <c r="AC1149" s="86">
        <f>AVERAGEIFS($J$2:J1149, $B$2:B1149, B1149)</f>
        <v>0.51075000000000004</v>
      </c>
      <c r="AD1149" s="86">
        <f>AVERAGEIFS($D$2:D1149, $B$2:B1149, B1149)</f>
        <v>0.625</v>
      </c>
    </row>
    <row r="1150" spans="1:30" x14ac:dyDescent="0.25">
      <c r="A1150" s="85">
        <v>46173</v>
      </c>
      <c r="B1150" t="s">
        <v>5</v>
      </c>
      <c r="C1150">
        <v>9</v>
      </c>
      <c r="D1150" s="86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86">
        <f>AVERAGEIFS($C$2:C1150, $B$2:B1150, B1150)</f>
        <v>22.26923076923077</v>
      </c>
      <c r="AB1150" s="86">
        <f>AVERAGEIFS($I$2:I1150, $B$2:B1150, B1150)</f>
        <v>0.45576923076923076</v>
      </c>
      <c r="AC1150" s="86">
        <f>AVERAGEIFS($J$2:J1150, $B$2:B1150, B1150)</f>
        <v>0.47692307692307695</v>
      </c>
      <c r="AD1150" s="86">
        <f>AVERAGEIFS($D$2:D1150, $B$2:B1150, B1150)</f>
        <v>0.42307692307692307</v>
      </c>
    </row>
    <row r="1151" spans="1:30" x14ac:dyDescent="0.25">
      <c r="A1151" s="85">
        <v>46173</v>
      </c>
      <c r="B1151" t="s">
        <v>155</v>
      </c>
      <c r="C1151">
        <v>27</v>
      </c>
      <c r="D1151" s="86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86">
        <f>AVERAGEIFS($C$2:C1151, $B$2:B1151, B1151)</f>
        <v>18.243243243243242</v>
      </c>
      <c r="AB1151" s="86">
        <f>AVERAGEIFS($I$2:I1151, $B$2:B1151, B1151)</f>
        <v>0.40405405405405403</v>
      </c>
      <c r="AC1151" s="86">
        <f>AVERAGEIFS($J$2:J1151, $B$2:B1151, B1151)</f>
        <v>0.46648648648648644</v>
      </c>
      <c r="AD1151" s="86">
        <f>AVERAGEIFS($D$2:D1151, $B$2:B1151, B1151)</f>
        <v>0.3783783783783784</v>
      </c>
    </row>
    <row r="1152" spans="1:30" x14ac:dyDescent="0.25">
      <c r="A1152" s="85">
        <v>46173</v>
      </c>
      <c r="B1152" t="s">
        <v>140</v>
      </c>
      <c r="C1152">
        <v>17</v>
      </c>
      <c r="D1152" s="86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86">
        <f>AVERAGEIFS($C$2:C1152, $B$2:B1152, B1152)</f>
        <v>9.6896551724137936</v>
      </c>
      <c r="AB1152" s="86">
        <f>AVERAGEIFS($I$2:I1152, $B$2:B1152, B1152)</f>
        <v>0.44310344827586212</v>
      </c>
      <c r="AC1152" s="86">
        <f>AVERAGEIFS($J$2:J1152, $B$2:B1152, B1152)</f>
        <v>0.47413793103448265</v>
      </c>
      <c r="AD1152" s="86">
        <f>AVERAGEIFS($D$2:D1152, $B$2:B1152, B1152)</f>
        <v>0.44827586206896552</v>
      </c>
    </row>
    <row r="1153" spans="1:30" x14ac:dyDescent="0.25">
      <c r="A1153" s="85">
        <v>46173</v>
      </c>
      <c r="B1153" t="s">
        <v>139</v>
      </c>
      <c r="C1153">
        <v>17</v>
      </c>
      <c r="D1153" s="86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86">
        <f>AVERAGEIFS($C$2:C1153, $B$2:B1153, B1153)</f>
        <v>11.423076923076923</v>
      </c>
      <c r="AB1153" s="86">
        <f>AVERAGEIFS($I$2:I1153, $B$2:B1153, B1153)</f>
        <v>0.42884615384615388</v>
      </c>
      <c r="AC1153" s="86">
        <f>AVERAGEIFS($J$2:J1153, $B$2:B1153, B1153)</f>
        <v>0.48346153846153839</v>
      </c>
      <c r="AD1153" s="86">
        <f>AVERAGEIFS($D$2:D1153, $B$2:B1153, B1153)</f>
        <v>0.42307692307692307</v>
      </c>
    </row>
    <row r="1154" spans="1:30" x14ac:dyDescent="0.25">
      <c r="A1154" s="85">
        <v>46173</v>
      </c>
      <c r="B1154" t="s">
        <v>38</v>
      </c>
      <c r="C1154">
        <v>16</v>
      </c>
      <c r="D1154" s="86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86">
        <f>AVERAGEIFS($C$2:C1154, $B$2:B1154, B1154)</f>
        <v>7.95</v>
      </c>
      <c r="AB1154" s="86">
        <f>AVERAGEIFS($I$2:I1154, $B$2:B1154, B1154)</f>
        <v>0.40750000000000003</v>
      </c>
      <c r="AC1154" s="86">
        <f>AVERAGEIFS($J$2:J1154, $B$2:B1154, B1154)</f>
        <v>0.45000000000000007</v>
      </c>
      <c r="AD1154" s="86">
        <f>AVERAGEIFS($D$2:D1154, $B$2:B1154, B1154)</f>
        <v>0.4</v>
      </c>
    </row>
    <row r="1155" spans="1:30" x14ac:dyDescent="0.25">
      <c r="A1155" s="85">
        <v>46173</v>
      </c>
      <c r="B1155" t="s">
        <v>242</v>
      </c>
      <c r="C1155">
        <v>4</v>
      </c>
      <c r="D1155" s="86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86">
        <f>AVERAGEIFS($C$2:C1155, $B$2:B1155, B1155)</f>
        <v>4</v>
      </c>
      <c r="AB1155" s="86">
        <f>AVERAGEIFS($I$2:I1155, $B$2:B1155, B1155)</f>
        <v>0.4</v>
      </c>
      <c r="AC1155" s="86">
        <f>AVERAGEIFS($J$2:J1155, $B$2:B1155, B1155)</f>
        <v>0.38</v>
      </c>
      <c r="AD1155" s="86">
        <f>AVERAGEIFS($D$2:D1155, $B$2:B1155, B1155)</f>
        <v>0</v>
      </c>
    </row>
    <row r="1156" spans="1:30" x14ac:dyDescent="0.25">
      <c r="A1156" s="85">
        <v>46173</v>
      </c>
      <c r="B1156" t="s">
        <v>150</v>
      </c>
      <c r="C1156">
        <v>16</v>
      </c>
      <c r="D1156" s="86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86">
        <f>AVERAGEIFS($C$2:C1156, $B$2:B1156, B1156)</f>
        <v>18</v>
      </c>
      <c r="AB1156" s="86">
        <f>AVERAGEIFS($I$2:I1156, $B$2:B1156, B1156)</f>
        <v>0.67249999999999999</v>
      </c>
      <c r="AC1156" s="86">
        <f>AVERAGEIFS($J$2:J1156, $B$2:B1156, B1156)</f>
        <v>0.59399999999999975</v>
      </c>
      <c r="AD1156" s="86">
        <f>AVERAGEIFS($D$2:D1156, $B$2:B1156, B1156)</f>
        <v>0.75</v>
      </c>
    </row>
    <row r="1157" spans="1:30" x14ac:dyDescent="0.25">
      <c r="A1157" s="85">
        <v>46173</v>
      </c>
      <c r="B1157" t="s">
        <v>179</v>
      </c>
      <c r="C1157">
        <v>16</v>
      </c>
      <c r="D1157" s="86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86">
        <f>AVERAGEIFS($C$2:C1157, $B$2:B1157, B1157)</f>
        <v>14.444444444444445</v>
      </c>
      <c r="AB1157" s="86">
        <f>AVERAGEIFS($I$2:I1157, $B$2:B1157, B1157)</f>
        <v>0.81666666666666665</v>
      </c>
      <c r="AC1157" s="86">
        <f>AVERAGEIFS($J$2:J1157, $B$2:B1157, B1157)</f>
        <v>0.61222222222222233</v>
      </c>
      <c r="AD1157" s="86">
        <f>AVERAGEIFS($D$2:D1157, $B$2:B1157, B1157)</f>
        <v>0.88888888888888884</v>
      </c>
    </row>
    <row r="1158" spans="1:30" x14ac:dyDescent="0.25">
      <c r="A1158" s="85">
        <v>46173</v>
      </c>
      <c r="B1158" t="s">
        <v>19</v>
      </c>
      <c r="C1158">
        <v>11</v>
      </c>
      <c r="D1158" s="86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86">
        <f>AVERAGEIFS($C$2:C1158, $B$2:B1158, B1158)</f>
        <v>12.475</v>
      </c>
      <c r="AB1158" s="86">
        <f>AVERAGEIFS($I$2:I1158, $B$2:B1158, B1158)</f>
        <v>0.45875000000000005</v>
      </c>
      <c r="AC1158" s="86">
        <f>AVERAGEIFS($J$2:J1158, $B$2:B1158, B1158)</f>
        <v>0.47350000000000014</v>
      </c>
      <c r="AD1158" s="86">
        <f>AVERAGEIFS($D$2:D1158, $B$2:B1158, B1158)</f>
        <v>0.45</v>
      </c>
    </row>
    <row r="1159" spans="1:30" x14ac:dyDescent="0.25">
      <c r="A1159" s="85">
        <v>46173</v>
      </c>
      <c r="B1159" t="s">
        <v>55</v>
      </c>
      <c r="C1159">
        <v>9</v>
      </c>
      <c r="D1159" s="86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86">
        <f>AVERAGEIFS($C$2:C1159, $B$2:B1159, B1159)</f>
        <v>10.3125</v>
      </c>
      <c r="AB1159" s="86">
        <f>AVERAGEIFS($I$2:I1159, $B$2:B1159, B1159)</f>
        <v>0.58437499999999998</v>
      </c>
      <c r="AC1159" s="86">
        <f>AVERAGEIFS($J$2:J1159, $B$2:B1159, B1159)</f>
        <v>0.55062500000000003</v>
      </c>
      <c r="AD1159" s="86">
        <f>AVERAGEIFS($D$2:D1159, $B$2:B1159, B1159)</f>
        <v>0.625</v>
      </c>
    </row>
    <row r="1160" spans="1:30" x14ac:dyDescent="0.25">
      <c r="A1160" s="85">
        <v>46173</v>
      </c>
      <c r="B1160" t="s">
        <v>37</v>
      </c>
      <c r="C1160">
        <v>30</v>
      </c>
      <c r="D1160" s="86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86">
        <f>AVERAGEIFS($C$2:C1160, $B$2:B1160, B1160)</f>
        <v>19.90909090909091</v>
      </c>
      <c r="AB1160" s="86">
        <f>AVERAGEIFS($I$2:I1160, $B$2:B1160, B1160)</f>
        <v>0.4242424242424242</v>
      </c>
      <c r="AC1160" s="86">
        <f>AVERAGEIFS($J$2:J1160, $B$2:B1160, B1160)</f>
        <v>0.45818181818181813</v>
      </c>
      <c r="AD1160" s="86">
        <f>AVERAGEIFS($D$2:D1160, $B$2:B1160, B1160)</f>
        <v>0.45454545454545453</v>
      </c>
    </row>
    <row r="1161" spans="1:30" x14ac:dyDescent="0.25">
      <c r="A1161" s="85">
        <v>46173</v>
      </c>
      <c r="B1161" t="s">
        <v>154</v>
      </c>
      <c r="C1161">
        <v>21</v>
      </c>
      <c r="D1161" s="86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86">
        <f>AVERAGEIFS($C$2:C1161, $B$2:B1161, B1161)</f>
        <v>13.142857142857142</v>
      </c>
      <c r="AB1161" s="86">
        <f>AVERAGEIFS($I$2:I1161, $B$2:B1161, B1161)</f>
        <v>0.48571428571428571</v>
      </c>
      <c r="AC1161" s="86">
        <f>AVERAGEIFS($J$2:J1161, $B$2:B1161, B1161)</f>
        <v>0.50928571428571423</v>
      </c>
      <c r="AD1161" s="86">
        <f>AVERAGEIFS($D$2:D1161, $B$2:B1161, B1161)</f>
        <v>0.5714285714285714</v>
      </c>
    </row>
    <row r="1162" spans="1:30" x14ac:dyDescent="0.25">
      <c r="A1162" s="85">
        <v>46175</v>
      </c>
      <c r="B1162" t="s">
        <v>6</v>
      </c>
      <c r="C1162">
        <v>26</v>
      </c>
      <c r="D1162" s="86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86">
        <f>AVERAGEIFS($C$2:C1162, $B$2:B1162, B1162)</f>
        <v>23.638888888888889</v>
      </c>
      <c r="AB1162" s="86">
        <f>AVERAGEIFS($I$2:I1162, $B$2:B1162, B1162)</f>
        <v>0.64444444444444438</v>
      </c>
      <c r="AC1162" s="86">
        <f>AVERAGEIFS($J$2:J1162, $B$2:B1162, B1162)</f>
        <v>0.57027777777777777</v>
      </c>
      <c r="AD1162" s="86">
        <f>AVERAGEIFS($D$2:D1162, $B$2:B1162, B1162)</f>
        <v>0.69444444444444442</v>
      </c>
    </row>
    <row r="1163" spans="1:30" x14ac:dyDescent="0.25">
      <c r="A1163" s="85">
        <v>46175</v>
      </c>
      <c r="B1163" t="s">
        <v>179</v>
      </c>
      <c r="C1163">
        <v>14</v>
      </c>
      <c r="D1163" s="86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86">
        <f>AVERAGEIFS($C$2:C1163, $B$2:B1163, B1163)</f>
        <v>14.4</v>
      </c>
      <c r="AB1163" s="86">
        <f>AVERAGEIFS($I$2:I1163, $B$2:B1163, B1163)</f>
        <v>0.83499999999999996</v>
      </c>
      <c r="AC1163" s="86">
        <f>AVERAGEIFS($J$2:J1163, $B$2:B1163, B1163)</f>
        <v>0.62600000000000011</v>
      </c>
      <c r="AD1163" s="86">
        <f>AVERAGEIFS($D$2:D1163, $B$2:B1163, B1163)</f>
        <v>0.9</v>
      </c>
    </row>
    <row r="1164" spans="1:30" x14ac:dyDescent="0.25">
      <c r="A1164" s="85">
        <v>46175</v>
      </c>
      <c r="B1164" t="s">
        <v>147</v>
      </c>
      <c r="C1164">
        <v>13</v>
      </c>
      <c r="D1164" s="86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86">
        <f>AVERAGEIFS($C$2:C1164, $B$2:B1164, B1164)</f>
        <v>17.692307692307693</v>
      </c>
      <c r="AB1164" s="86">
        <f>AVERAGEIFS($I$2:I1164, $B$2:B1164, B1164)</f>
        <v>0.43846153846153846</v>
      </c>
      <c r="AC1164" s="86">
        <f>AVERAGEIFS($J$2:J1164, $B$2:B1164, B1164)</f>
        <v>0.47384615384615392</v>
      </c>
      <c r="AD1164" s="86">
        <f>AVERAGEIFS($D$2:D1164, $B$2:B1164, B1164)</f>
        <v>0.38461538461538464</v>
      </c>
    </row>
    <row r="1165" spans="1:30" x14ac:dyDescent="0.25">
      <c r="A1165" s="85">
        <v>46175</v>
      </c>
      <c r="B1165" t="s">
        <v>148</v>
      </c>
      <c r="C1165">
        <v>11</v>
      </c>
      <c r="D1165" s="86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86">
        <f>AVERAGEIFS($C$2:C1165, $B$2:B1165, B1165)</f>
        <v>12.75609756097561</v>
      </c>
      <c r="AB1165" s="86">
        <f>AVERAGEIFS($I$2:I1165, $B$2:B1165, B1165)</f>
        <v>0.54146341463414627</v>
      </c>
      <c r="AC1165" s="86">
        <f>AVERAGEIFS($J$2:J1165, $B$2:B1165, B1165)</f>
        <v>0.51853658536585368</v>
      </c>
      <c r="AD1165" s="86">
        <f>AVERAGEIFS($D$2:D1165, $B$2:B1165, B1165)</f>
        <v>0.53658536585365857</v>
      </c>
    </row>
    <row r="1166" spans="1:30" x14ac:dyDescent="0.25">
      <c r="A1166" s="85">
        <v>46175</v>
      </c>
      <c r="B1166" t="s">
        <v>50</v>
      </c>
      <c r="C1166">
        <v>10</v>
      </c>
      <c r="D1166" s="86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86">
        <f>AVERAGEIFS($C$2:C1166, $B$2:B1166, B1166)</f>
        <v>13.8</v>
      </c>
      <c r="AB1166" s="86">
        <f>AVERAGEIFS($I$2:I1166, $B$2:B1166, B1166)</f>
        <v>0.43</v>
      </c>
      <c r="AC1166" s="86">
        <f>AVERAGEIFS($J$2:J1166, $B$2:B1166, B1166)</f>
        <v>0.5</v>
      </c>
      <c r="AD1166" s="86">
        <f>AVERAGEIFS($D$2:D1166, $B$2:B1166, B1166)</f>
        <v>0.2</v>
      </c>
    </row>
    <row r="1167" spans="1:30" x14ac:dyDescent="0.25">
      <c r="A1167" s="85">
        <v>46175</v>
      </c>
      <c r="B1167" t="s">
        <v>140</v>
      </c>
      <c r="C1167">
        <v>2</v>
      </c>
      <c r="D1167" s="86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86">
        <f>AVERAGEIFS($C$2:C1167, $B$2:B1167, B1167)</f>
        <v>9.4333333333333336</v>
      </c>
      <c r="AB1167" s="86">
        <f>AVERAGEIFS($I$2:I1167, $B$2:B1167, B1167)</f>
        <v>0.46166666666666673</v>
      </c>
      <c r="AC1167" s="86">
        <f>AVERAGEIFS($J$2:J1167, $B$2:B1167, B1167)</f>
        <v>0.48333333333333323</v>
      </c>
      <c r="AD1167" s="86">
        <f>AVERAGEIFS($D$2:D1167, $B$2:B1167, B1167)</f>
        <v>0.46666666666666667</v>
      </c>
    </row>
    <row r="1168" spans="1:30" x14ac:dyDescent="0.25">
      <c r="A1168" s="85">
        <v>46175</v>
      </c>
      <c r="B1168" t="s">
        <v>29</v>
      </c>
      <c r="C1168">
        <v>12</v>
      </c>
      <c r="D1168" s="86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86">
        <f>AVERAGEIFS($C$2:C1168, $B$2:B1168, B1168)</f>
        <v>10.678571428571429</v>
      </c>
      <c r="AB1168" s="86">
        <f>AVERAGEIFS($I$2:I1168, $B$2:B1168, B1168)</f>
        <v>0.4642857142857143</v>
      </c>
      <c r="AC1168" s="86">
        <f>AVERAGEIFS($J$2:J1168, $B$2:B1168, B1168)</f>
        <v>0.49535714285714283</v>
      </c>
      <c r="AD1168" s="86">
        <f>AVERAGEIFS($D$2:D1168, $B$2:B1168, B1168)</f>
        <v>0.42857142857142855</v>
      </c>
    </row>
    <row r="1169" spans="1:30" x14ac:dyDescent="0.25">
      <c r="A1169" s="85">
        <v>46175</v>
      </c>
      <c r="B1169" t="s">
        <v>154</v>
      </c>
      <c r="C1169">
        <v>11</v>
      </c>
      <c r="D1169" s="86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86">
        <f>AVERAGEIFS($C$2:C1169, $B$2:B1169, B1169)</f>
        <v>13</v>
      </c>
      <c r="AB1169" s="86">
        <f>AVERAGEIFS($I$2:I1169, $B$2:B1169, B1169)</f>
        <v>0.45333333333333331</v>
      </c>
      <c r="AC1169" s="86">
        <f>AVERAGEIFS($J$2:J1169, $B$2:B1169, B1169)</f>
        <v>0.49199999999999994</v>
      </c>
      <c r="AD1169" s="86">
        <f>AVERAGEIFS($D$2:D1169, $B$2:B1169, B1169)</f>
        <v>0.53333333333333333</v>
      </c>
    </row>
    <row r="1170" spans="1:30" x14ac:dyDescent="0.25">
      <c r="A1170" s="85">
        <v>46175</v>
      </c>
      <c r="B1170" t="s">
        <v>155</v>
      </c>
      <c r="C1170">
        <v>10</v>
      </c>
      <c r="D1170" s="86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86">
        <f>AVERAGEIFS($C$2:C1170, $B$2:B1170, B1170)</f>
        <v>18.026315789473685</v>
      </c>
      <c r="AB1170" s="86">
        <f>AVERAGEIFS($I$2:I1170, $B$2:B1170, B1170)</f>
        <v>0.39342105263157895</v>
      </c>
      <c r="AC1170" s="86">
        <f>AVERAGEIFS($J$2:J1170, $B$2:B1170, B1170)</f>
        <v>0.46078947368421047</v>
      </c>
      <c r="AD1170" s="86">
        <f>AVERAGEIFS($D$2:D1170, $B$2:B1170, B1170)</f>
        <v>0.36842105263157893</v>
      </c>
    </row>
    <row r="1171" spans="1:30" x14ac:dyDescent="0.25">
      <c r="A1171" s="85">
        <v>46175</v>
      </c>
      <c r="B1171" t="s">
        <v>150</v>
      </c>
      <c r="C1171">
        <v>10</v>
      </c>
      <c r="D1171" s="86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86">
        <f>AVERAGEIFS($C$2:C1171, $B$2:B1171, B1171)</f>
        <v>17.61904761904762</v>
      </c>
      <c r="AB1171" s="86">
        <f>AVERAGEIFS($I$2:I1171, $B$2:B1171, B1171)</f>
        <v>0.64047619047619042</v>
      </c>
      <c r="AC1171" s="86">
        <f>AVERAGEIFS($J$2:J1171, $B$2:B1171, B1171)</f>
        <v>0.57761904761904737</v>
      </c>
      <c r="AD1171" s="86">
        <f>AVERAGEIFS($D$2:D1171, $B$2:B1171, B1171)</f>
        <v>0.7142857142857143</v>
      </c>
    </row>
    <row r="1172" spans="1:30" x14ac:dyDescent="0.25">
      <c r="A1172" s="85">
        <v>46175</v>
      </c>
      <c r="B1172" t="s">
        <v>139</v>
      </c>
      <c r="C1172">
        <v>5</v>
      </c>
      <c r="D1172" s="86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86">
        <f>AVERAGEIFS($C$2:C1172, $B$2:B1172, B1172)</f>
        <v>11.185185185185185</v>
      </c>
      <c r="AB1172" s="86">
        <f>AVERAGEIFS($I$2:I1172, $B$2:B1172, B1172)</f>
        <v>0.41296296296296298</v>
      </c>
      <c r="AC1172" s="86">
        <f>AVERAGEIFS($J$2:J1172, $B$2:B1172, B1172)</f>
        <v>0.47481481481481475</v>
      </c>
      <c r="AD1172" s="86">
        <f>AVERAGEIFS($D$2:D1172, $B$2:B1172, B1172)</f>
        <v>0.40740740740740738</v>
      </c>
    </row>
    <row r="1173" spans="1:30" x14ac:dyDescent="0.25">
      <c r="A1173" s="85">
        <v>46175</v>
      </c>
      <c r="B1173" t="s">
        <v>242</v>
      </c>
      <c r="C1173">
        <v>4</v>
      </c>
      <c r="D1173" s="86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86">
        <f>AVERAGEIFS($C$2:C1173, $B$2:B1173, B1173)</f>
        <v>4</v>
      </c>
      <c r="AB1173" s="86">
        <f>AVERAGEIFS($I$2:I1173, $B$2:B1173, B1173)</f>
        <v>0.2</v>
      </c>
      <c r="AC1173" s="86">
        <f>AVERAGEIFS($J$2:J1173, $B$2:B1173, B1173)</f>
        <v>0.315</v>
      </c>
      <c r="AD1173" s="86">
        <f>AVERAGEIFS($D$2:D1173, $B$2:B1173, B1173)</f>
        <v>0</v>
      </c>
    </row>
    <row r="1174" spans="1:30" x14ac:dyDescent="0.25">
      <c r="A1174" s="85">
        <v>46175</v>
      </c>
      <c r="B1174" t="s">
        <v>13</v>
      </c>
      <c r="C1174">
        <v>25</v>
      </c>
      <c r="D1174" s="86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86">
        <f>AVERAGEIFS($C$2:C1174, $B$2:B1174, B1174)</f>
        <v>25.92</v>
      </c>
      <c r="AB1174" s="86">
        <f>AVERAGEIFS($I$2:I1174, $B$2:B1174, B1174)</f>
        <v>0.55000000000000004</v>
      </c>
      <c r="AC1174" s="86">
        <f>AVERAGEIFS($J$2:J1174, $B$2:B1174, B1174)</f>
        <v>0.5344000000000001</v>
      </c>
      <c r="AD1174" s="86">
        <f>AVERAGEIFS($D$2:D1174, $B$2:B1174, B1174)</f>
        <v>0.58666666666666667</v>
      </c>
    </row>
    <row r="1175" spans="1:30" x14ac:dyDescent="0.25">
      <c r="A1175" s="85">
        <v>46175</v>
      </c>
      <c r="B1175" t="s">
        <v>155</v>
      </c>
      <c r="C1175">
        <v>21</v>
      </c>
      <c r="D1175" s="86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86">
        <f>AVERAGEIFS($C$2:C1175, $B$2:B1175, B1175)</f>
        <v>18.102564102564102</v>
      </c>
      <c r="AB1175" s="86">
        <f>AVERAGEIFS($I$2:I1175, $B$2:B1175, B1175)</f>
        <v>0.38974358974358975</v>
      </c>
      <c r="AC1175" s="86">
        <f>AVERAGEIFS($J$2:J1175, $B$2:B1175, B1175)</f>
        <v>0.46179487179487172</v>
      </c>
      <c r="AD1175" s="86">
        <f>AVERAGEIFS($D$2:D1175, $B$2:B1175, B1175)</f>
        <v>0.35897435897435898</v>
      </c>
    </row>
    <row r="1176" spans="1:30" x14ac:dyDescent="0.25">
      <c r="A1176" s="85">
        <v>46175</v>
      </c>
      <c r="B1176" t="s">
        <v>5</v>
      </c>
      <c r="C1176">
        <v>20</v>
      </c>
      <c r="D1176" s="86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86">
        <f>AVERAGEIFS($C$2:C1176, $B$2:B1176, B1176)</f>
        <v>22.185185185185187</v>
      </c>
      <c r="AB1176" s="86">
        <f>AVERAGEIFS($I$2:I1176, $B$2:B1176, B1176)</f>
        <v>0.44814814814814813</v>
      </c>
      <c r="AC1176" s="86">
        <f>AVERAGEIFS($J$2:J1176, $B$2:B1176, B1176)</f>
        <v>0.4777777777777778</v>
      </c>
      <c r="AD1176" s="86">
        <f>AVERAGEIFS($D$2:D1176, $B$2:B1176, B1176)</f>
        <v>0.40740740740740738</v>
      </c>
    </row>
    <row r="1177" spans="1:30" x14ac:dyDescent="0.25">
      <c r="A1177" s="85">
        <v>46175</v>
      </c>
      <c r="B1177" t="s">
        <v>29</v>
      </c>
      <c r="C1177">
        <v>17</v>
      </c>
      <c r="D1177" s="86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86">
        <f>AVERAGEIFS($C$2:C1177, $B$2:B1177, B1177)</f>
        <v>10.789473684210526</v>
      </c>
      <c r="AB1177" s="86">
        <f>AVERAGEIFS($I$2:I1177, $B$2:B1177, B1177)</f>
        <v>0.46052631578947367</v>
      </c>
      <c r="AC1177" s="86">
        <f>AVERAGEIFS($J$2:J1177, $B$2:B1177, B1177)</f>
        <v>0.49543859649122807</v>
      </c>
      <c r="AD1177" s="86">
        <f>AVERAGEIFS($D$2:D1177, $B$2:B1177, B1177)</f>
        <v>0.42105263157894735</v>
      </c>
    </row>
    <row r="1178" spans="1:30" x14ac:dyDescent="0.25">
      <c r="A1178" s="85">
        <v>46175</v>
      </c>
      <c r="B1178" t="s">
        <v>38</v>
      </c>
      <c r="C1178">
        <v>15</v>
      </c>
      <c r="D1178" s="86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86">
        <f>AVERAGEIFS($C$2:C1178, $B$2:B1178, B1178)</f>
        <v>8.2857142857142865</v>
      </c>
      <c r="AB1178" s="86">
        <f>AVERAGEIFS($I$2:I1178, $B$2:B1178, B1178)</f>
        <v>0.4</v>
      </c>
      <c r="AC1178" s="86">
        <f>AVERAGEIFS($J$2:J1178, $B$2:B1178, B1178)</f>
        <v>0.45238095238095244</v>
      </c>
      <c r="AD1178" s="86">
        <f>AVERAGEIFS($D$2:D1178, $B$2:B1178, B1178)</f>
        <v>0.38095238095238093</v>
      </c>
    </row>
    <row r="1179" spans="1:30" x14ac:dyDescent="0.25">
      <c r="A1179" s="85">
        <v>46175</v>
      </c>
      <c r="B1179" t="s">
        <v>154</v>
      </c>
      <c r="C1179">
        <v>9</v>
      </c>
      <c r="D1179" s="86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86">
        <f>AVERAGEIFS($C$2:C1179, $B$2:B1179, B1179)</f>
        <v>12.75</v>
      </c>
      <c r="AB1179" s="86">
        <f>AVERAGEIFS($I$2:I1179, $B$2:B1179, B1179)</f>
        <v>0.44062499999999999</v>
      </c>
      <c r="AC1179" s="86">
        <f>AVERAGEIFS($J$2:J1179, $B$2:B1179, B1179)</f>
        <v>0.49249999999999994</v>
      </c>
      <c r="AD1179" s="86">
        <f>AVERAGEIFS($D$2:D1179, $B$2:B1179, B1179)</f>
        <v>0.5</v>
      </c>
    </row>
    <row r="1180" spans="1:30" x14ac:dyDescent="0.25">
      <c r="A1180" s="85">
        <v>46175</v>
      </c>
      <c r="B1180" t="s">
        <v>14</v>
      </c>
      <c r="C1180">
        <v>38</v>
      </c>
      <c r="D1180" s="86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86">
        <f>AVERAGEIFS($C$2:C1180, $B$2:B1180, B1180)</f>
        <v>24.185185185185187</v>
      </c>
      <c r="AB1180" s="86">
        <f>AVERAGEIFS($I$2:I1180, $B$2:B1180, B1180)</f>
        <v>0.47870370370370374</v>
      </c>
      <c r="AC1180" s="86">
        <f>AVERAGEIFS($J$2:J1180, $B$2:B1180, B1180)</f>
        <v>0.48666666666666669</v>
      </c>
      <c r="AD1180" s="86">
        <f>AVERAGEIFS($D$2:D1180, $B$2:B1180, B1180)</f>
        <v>0.48148148148148145</v>
      </c>
    </row>
    <row r="1181" spans="1:30" x14ac:dyDescent="0.25">
      <c r="A1181" s="85">
        <v>46175</v>
      </c>
      <c r="B1181" t="s">
        <v>6</v>
      </c>
      <c r="C1181">
        <v>32</v>
      </c>
      <c r="D1181" s="86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86">
        <f>AVERAGEIFS($C$2:C1181, $B$2:B1181, B1181)</f>
        <v>23.864864864864863</v>
      </c>
      <c r="AB1181" s="86">
        <f>AVERAGEIFS($I$2:I1181, $B$2:B1181, B1181)</f>
        <v>0.64729729729729724</v>
      </c>
      <c r="AC1181" s="86">
        <f>AVERAGEIFS($J$2:J1181, $B$2:B1181, B1181)</f>
        <v>0.56837837837837846</v>
      </c>
      <c r="AD1181" s="86">
        <f>AVERAGEIFS($D$2:D1181, $B$2:B1181, B1181)</f>
        <v>0.70270270270270274</v>
      </c>
    </row>
    <row r="1182" spans="1:30" x14ac:dyDescent="0.25">
      <c r="A1182" s="85">
        <v>46175</v>
      </c>
      <c r="B1182" t="s">
        <v>150</v>
      </c>
      <c r="C1182">
        <v>32</v>
      </c>
      <c r="D1182" s="86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86">
        <f>AVERAGEIFS($C$2:C1182, $B$2:B1182, B1182)</f>
        <v>18.272727272727273</v>
      </c>
      <c r="AB1182" s="86">
        <f>AVERAGEIFS($I$2:I1182, $B$2:B1182, B1182)</f>
        <v>0.64545454545454539</v>
      </c>
      <c r="AC1182" s="86">
        <f>AVERAGEIFS($J$2:J1182, $B$2:B1182, B1182)</f>
        <v>0.57409090909090887</v>
      </c>
      <c r="AD1182" s="86">
        <f>AVERAGEIFS($D$2:D1182, $B$2:B1182, B1182)</f>
        <v>0.72727272727272729</v>
      </c>
    </row>
    <row r="1183" spans="1:30" x14ac:dyDescent="0.25">
      <c r="A1183" s="85">
        <v>46175</v>
      </c>
      <c r="B1183" t="s">
        <v>40</v>
      </c>
      <c r="C1183">
        <v>31</v>
      </c>
      <c r="D1183" s="86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86">
        <f>AVERAGEIFS($C$2:C1183, $B$2:B1183, B1183)</f>
        <v>19.631578947368421</v>
      </c>
      <c r="AB1183" s="86">
        <f>AVERAGEIFS($I$2:I1183, $B$2:B1183, B1183)</f>
        <v>0.51578947368421046</v>
      </c>
      <c r="AC1183" s="86">
        <f>AVERAGEIFS($J$2:J1183, $B$2:B1183, B1183)</f>
        <v>0.47157894736842099</v>
      </c>
      <c r="AD1183" s="86">
        <f>AVERAGEIFS($D$2:D1183, $B$2:B1183, B1183)</f>
        <v>0.47368421052631576</v>
      </c>
    </row>
    <row r="1184" spans="1:30" x14ac:dyDescent="0.25">
      <c r="A1184" s="85">
        <v>46175</v>
      </c>
      <c r="B1184" t="s">
        <v>140</v>
      </c>
      <c r="C1184">
        <v>18</v>
      </c>
      <c r="D1184" s="86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86">
        <f>AVERAGEIFS($C$2:C1184, $B$2:B1184, B1184)</f>
        <v>9.7096774193548381</v>
      </c>
      <c r="AB1184" s="86">
        <f>AVERAGEIFS($I$2:I1184, $B$2:B1184, B1184)</f>
        <v>0.47096774193548391</v>
      </c>
      <c r="AC1184" s="86">
        <f>AVERAGEIFS($J$2:J1184, $B$2:B1184, B1184)</f>
        <v>0.48387096774193539</v>
      </c>
      <c r="AD1184" s="86">
        <f>AVERAGEIFS($D$2:D1184, $B$2:B1184, B1184)</f>
        <v>0.4838709677419355</v>
      </c>
    </row>
    <row r="1185" spans="1:30" x14ac:dyDescent="0.25">
      <c r="A1185" s="85">
        <v>46175</v>
      </c>
      <c r="B1185" t="s">
        <v>53</v>
      </c>
      <c r="C1185">
        <v>16</v>
      </c>
      <c r="D1185" s="86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86">
        <f>AVERAGEIFS($C$2:C1185, $B$2:B1185, B1185)</f>
        <v>15.428571428571429</v>
      </c>
      <c r="AB1185" s="86">
        <f>AVERAGEIFS($I$2:I1185, $B$2:B1185, B1185)</f>
        <v>0.52857142857142858</v>
      </c>
      <c r="AC1185" s="86">
        <f>AVERAGEIFS($J$2:J1185, $B$2:B1185, B1185)</f>
        <v>0.52571428571428569</v>
      </c>
      <c r="AD1185" s="86">
        <f>AVERAGEIFS($D$2:D1185, $B$2:B1185, B1185)</f>
        <v>0.7142857142857143</v>
      </c>
    </row>
    <row r="1186" spans="1:30" x14ac:dyDescent="0.25">
      <c r="A1186" s="85">
        <v>46175</v>
      </c>
      <c r="B1186" t="s">
        <v>147</v>
      </c>
      <c r="C1186">
        <v>12</v>
      </c>
      <c r="D1186" s="86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86">
        <f>AVERAGEIFS($C$2:C1186, $B$2:B1186, B1186)</f>
        <v>17.285714285714285</v>
      </c>
      <c r="AB1186" s="86">
        <f>AVERAGEIFS($I$2:I1186, $B$2:B1186, B1186)</f>
        <v>0.46071428571428574</v>
      </c>
      <c r="AC1186" s="86">
        <f>AVERAGEIFS($J$2:J1186, $B$2:B1186, B1186)</f>
        <v>0.47571428571428581</v>
      </c>
      <c r="AD1186" s="86">
        <f>AVERAGEIFS($D$2:D1186, $B$2:B1186, B1186)</f>
        <v>0.42857142857142855</v>
      </c>
    </row>
    <row r="1187" spans="1:30" x14ac:dyDescent="0.25">
      <c r="A1187" s="85">
        <v>46175</v>
      </c>
      <c r="B1187" t="s">
        <v>179</v>
      </c>
      <c r="C1187">
        <v>9</v>
      </c>
      <c r="D1187" s="86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86">
        <f>AVERAGEIFS($C$2:C1187, $B$2:B1187, B1187)</f>
        <v>13.909090909090908</v>
      </c>
      <c r="AB1187" s="86">
        <f>AVERAGEIFS($I$2:I1187, $B$2:B1187, B1187)</f>
        <v>0.82727272727272727</v>
      </c>
      <c r="AC1187" s="86">
        <f>AVERAGEIFS($J$2:J1187, $B$2:B1187, B1187)</f>
        <v>0.61454545454545462</v>
      </c>
      <c r="AD1187" s="86">
        <f>AVERAGEIFS($D$2:D1187, $B$2:B1187, B1187)</f>
        <v>0.90909090909090906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4"/>
  <sheetViews>
    <sheetView workbookViewId="0">
      <pane xSplit="1" ySplit="1" topLeftCell="B33" activePane="bottomRight" state="frozen"/>
      <selection pane="topRight" activeCell="B1" sqref="B1"/>
      <selection pane="bottomLeft" activeCell="A2" sqref="A2"/>
      <selection pane="bottomRight" activeCell="Z61" sqref="Z6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175</v>
      </c>
      <c r="I3" s="4">
        <f>AVERAGEIFS('OB History S2'!C:C,'OB History S2'!B:B,A3)</f>
        <v>12.5</v>
      </c>
      <c r="J3" s="35">
        <f t="array" ref="J3">MAX(IF('OB History S2'!B:B=A3, 'OB History S2'!C:C))</f>
        <v>35</v>
      </c>
      <c r="K3" s="34">
        <f>COUNTIFS('OB History S2'!B:B,A3,'OB History S2'!D:D, 1)</f>
        <v>7</v>
      </c>
      <c r="L3" s="2">
        <f>COUNTIFS('OB History S2'!B:B,A3,'OB History S2'!D:D, 0)</f>
        <v>7</v>
      </c>
      <c r="M3" s="88">
        <f>LOOKUP(2, 1/('OB History S2'!$B:$B=A3), 'OB History S2'!$AD:$AD)</f>
        <v>0.5</v>
      </c>
      <c r="N3" s="34">
        <f>SUMIFS('OB History S2'!F:F,'OB History S2'!B:B,A3)</f>
        <v>25</v>
      </c>
      <c r="O3" s="2">
        <f>SUMIFS('OB History S2'!E:E,'OB History S2'!B:B,A3)-N3</f>
        <v>29</v>
      </c>
      <c r="P3" s="88">
        <f>LOOKUP(2, 1/('OB History S2'!$B:$B=A3), 'OB History S2'!$AB:$AB)</f>
        <v>0.44285714285714278</v>
      </c>
      <c r="Q3" s="34">
        <f>SUMIFS('OB History S2'!H:H,'OB History S2'!B:B,A3)</f>
        <v>115</v>
      </c>
      <c r="R3" s="2">
        <f>SUMIFS('OB History S2'!G:G,'OB History S2'!B:B,A3)-Q3</f>
        <v>113</v>
      </c>
      <c r="S3" s="88">
        <f>LOOKUP(2, 1/('OB History S2'!$B:$B=A3), 'OB History S2'!$AC:$AC)</f>
        <v>0.50357142857142867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4</v>
      </c>
      <c r="X3" s="2">
        <f>COUNTIFS('OB History S2'!$B:$B,$A$3,'OB History S2'!O:O, 1)</f>
        <v>1</v>
      </c>
      <c r="Y3" s="2">
        <f>COUNTIFS('OB History S2'!$B:$B,$A$3,'OB History S2'!P:P, 1)</f>
        <v>2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3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261</v>
      </c>
      <c r="I4" s="4">
        <f>AVERAGEIFS('OB History S2'!C:C,'OB History S2'!B:B,A4)</f>
        <v>9.3214285714285712</v>
      </c>
      <c r="J4" s="35">
        <f t="array" ref="J4">MAX(IF('OB History S2'!B:B=A4, 'OB History S2'!C:C))</f>
        <v>18</v>
      </c>
      <c r="K4" s="34">
        <f>COUNTIFS('OB History S2'!B:B,A4,'OB History S2'!D:D, 1)</f>
        <v>12</v>
      </c>
      <c r="L4" s="2">
        <f>COUNTIFS('OB History S2'!B:B,A4,'OB History S2'!D:D, 0)</f>
        <v>16</v>
      </c>
      <c r="M4" s="88">
        <f>LOOKUP(2, 1/('OB History S2'!$B:$B=A4), 'OB History S2'!$AD:$AD)</f>
        <v>0.42857142857142855</v>
      </c>
      <c r="N4" s="34">
        <f>SUMIFS('OB History S2'!F:F,'OB History S2'!B:B,A4)</f>
        <v>48</v>
      </c>
      <c r="O4" s="2">
        <f>SUMIFS('OB History S2'!E:E,'OB History S2'!B:B,A4)-N4</f>
        <v>59</v>
      </c>
      <c r="P4" s="88">
        <f>LOOKUP(2, 1/('OB History S2'!$B:$B=A4), 'OB History S2'!$AB:$AB)</f>
        <v>0.45178571428571429</v>
      </c>
      <c r="Q4" s="34">
        <f>SUMIFS('OB History S2'!H:H,'OB History S2'!B:B,A4)</f>
        <v>216</v>
      </c>
      <c r="R4" s="2">
        <f>SUMIFS('OB History S2'!G:G,'OB History S2'!B:B,A4)-Q4</f>
        <v>240</v>
      </c>
      <c r="S4" s="88">
        <f>LOOKUP(2, 1/('OB History S2'!$B:$B=A4), 'OB History S2'!$AC:$AC)</f>
        <v>0.47499999999999998</v>
      </c>
      <c r="T4" s="2">
        <f>COUNTIFS('OB History S2'!$B:$B,$A$4,'OB History S2'!K:K, 1)</f>
        <v>4</v>
      </c>
      <c r="U4" s="2">
        <f>COUNTIFS('OB History S2'!$B:$B,$A$4,'OB History S2'!L:L, 1)</f>
        <v>2</v>
      </c>
      <c r="V4" s="2">
        <f>COUNTIFS('OB History S2'!$B:$B,$A$4,'OB History S2'!M:M, 1)</f>
        <v>1</v>
      </c>
      <c r="W4" s="2">
        <f>COUNTIFS('OB History S2'!$B:$B,$A$4,'OB History S2'!N:N, 1)</f>
        <v>5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4</v>
      </c>
      <c r="AG4" s="2">
        <f>COUNTIFS('OB History S2'!$B:$B,$A$4,'OB History S2'!X:X, 1)</f>
        <v>8</v>
      </c>
      <c r="AH4" s="2">
        <f>COUNTIFS('OB History S2'!$B:$B,$A$4,'OB History S2'!Y:Y, 1)</f>
        <v>7</v>
      </c>
      <c r="AI4" s="2">
        <f>COUNTIFS('OB History S2'!$B:$B,$A$4,'OB History S2'!Z:Z, 1)</f>
        <v>4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351</v>
      </c>
      <c r="I5" s="4">
        <f>AVERAGEIFS('OB History S2'!C:C,'OB History S2'!B:B,A5)</f>
        <v>20.647058823529413</v>
      </c>
      <c r="J5" s="35">
        <f t="array" ref="J5">MAX(IF('OB History S2'!B:B=A5, 'OB History S2'!C:C))</f>
        <v>36</v>
      </c>
      <c r="K5" s="34">
        <f>COUNTIFS('OB History S2'!B:B,A5,'OB History S2'!D:D, 1)</f>
        <v>9</v>
      </c>
      <c r="L5" s="2">
        <f>COUNTIFS('OB History S2'!B:B,A5,'OB History S2'!D:D, 0)</f>
        <v>8</v>
      </c>
      <c r="M5" s="88">
        <f>LOOKUP(2, 1/('OB History S2'!$B:$B=A5), 'OB History S2'!$AD:$AD)</f>
        <v>0.52941176470588236</v>
      </c>
      <c r="N5" s="34">
        <f>SUMIFS('OB History S2'!F:F,'OB History S2'!B:B,A5)</f>
        <v>31</v>
      </c>
      <c r="O5" s="2">
        <f>SUMIFS('OB History S2'!E:E,'OB History S2'!B:B,A5)-N5</f>
        <v>37</v>
      </c>
      <c r="P5" s="88">
        <f>LOOKUP(2, 1/('OB History S2'!$B:$B=A5), 'OB History S2'!$AB:$AB)</f>
        <v>0.42647058823529405</v>
      </c>
      <c r="Q5" s="34">
        <f>SUMIFS('OB History S2'!H:H,'OB History S2'!B:B,A5)</f>
        <v>133</v>
      </c>
      <c r="R5" s="2">
        <f>SUMIFS('OB History S2'!G:G,'OB History S2'!B:B,A5)-Q5</f>
        <v>148</v>
      </c>
      <c r="S5" s="88">
        <f>LOOKUP(2, 1/('OB History S2'!$B:$B=A5), 'OB History S2'!$AC:$AC)</f>
        <v>0.46294117647058813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4</v>
      </c>
      <c r="X5" s="2">
        <f>COUNTIFS('OB History S2'!$B:$B,$A$5,'OB History S2'!O:O, 1)</f>
        <v>1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6</v>
      </c>
      <c r="AI5" s="2">
        <f>COUNTIFS('OB History S2'!$B:$B,$A$5,'OB History S2'!Z:Z, 1)</f>
        <v>7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67</v>
      </c>
      <c r="I6" s="4">
        <f>AVERAGEIFS('OB History S2'!C:C,'OB History S2'!B:B,A6)</f>
        <v>13.4</v>
      </c>
      <c r="J6" s="35">
        <f t="array" ref="J6">MAX(IF('OB History S2'!B:B=A6, 'OB History S2'!C:C))</f>
        <v>22</v>
      </c>
      <c r="K6" s="34">
        <f>COUNTIFS('OB History S2'!B:B,A6,'OB History S2'!D:D, 1)</f>
        <v>3</v>
      </c>
      <c r="L6" s="2">
        <f>COUNTIFS('OB History S2'!B:B,A6,'OB History S2'!D:D, 0)</f>
        <v>2</v>
      </c>
      <c r="M6" s="88">
        <f>LOOKUP(2, 1/('OB History S2'!$B:$B=A6), 'OB History S2'!$AD:$AD)</f>
        <v>0.6</v>
      </c>
      <c r="N6" s="34">
        <f>SUMIFS('OB History S2'!F:F,'OB History S2'!B:B,A6)</f>
        <v>12</v>
      </c>
      <c r="O6" s="2">
        <f>SUMIFS('OB History S2'!E:E,'OB History S2'!B:B,A6)-N6</f>
        <v>10</v>
      </c>
      <c r="P6" s="88">
        <f>LOOKUP(2, 1/('OB History S2'!$B:$B=A6), 'OB History S2'!$AB:$AB)</f>
        <v>0.57000000000000006</v>
      </c>
      <c r="Q6" s="34">
        <f>SUMIFS('OB History S2'!H:H,'OB History S2'!B:B,A6)</f>
        <v>49</v>
      </c>
      <c r="R6" s="2">
        <f>SUMIFS('OB History S2'!G:G,'OB History S2'!B:B,A6)-Q6</f>
        <v>44</v>
      </c>
      <c r="S6" s="88">
        <f>LOOKUP(2, 1/('OB History S2'!$B:$B=A6), 'OB History S2'!$AC:$AC)</f>
        <v>0.53599999999999992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352</v>
      </c>
      <c r="I8" s="4">
        <f>AVERAGEIFS('OB History S2'!C:C,'OB History S2'!B:B,A8)</f>
        <v>13.037037037037036</v>
      </c>
      <c r="J8" s="35">
        <f t="array" ref="J8">MAX(IF('OB History S2'!B:B=A8, 'OB History S2'!C:C))</f>
        <v>32</v>
      </c>
      <c r="K8" s="34">
        <f>COUNTIFS('OB History S2'!B:B,A8,'OB History S2'!D:D, 1)</f>
        <v>16</v>
      </c>
      <c r="L8" s="2">
        <f>COUNTIFS('OB History S2'!B:B,A8,'OB History S2'!D:D, 0)</f>
        <v>11</v>
      </c>
      <c r="M8" s="88">
        <f>LOOKUP(2, 1/('OB History S2'!$B:$B=A8), 'OB History S2'!$AD:$AD)</f>
        <v>0.59259259259259256</v>
      </c>
      <c r="N8" s="34">
        <f>SUMIFS('OB History S2'!F:F,'OB History S2'!B:B,A8)</f>
        <v>58</v>
      </c>
      <c r="O8" s="2">
        <f>SUMIFS('OB History S2'!E:E,'OB History S2'!B:B,A8)-N8</f>
        <v>50</v>
      </c>
      <c r="P8" s="88">
        <f>LOOKUP(2, 1/('OB History S2'!$B:$B=A8), 'OB History S2'!$AB:$AB)</f>
        <v>0.53333333333333333</v>
      </c>
      <c r="Q8" s="34">
        <f>SUMIFS('OB History S2'!H:H,'OB History S2'!B:B,A8)</f>
        <v>223</v>
      </c>
      <c r="R8" s="2">
        <f>SUMIFS('OB History S2'!G:G,'OB History S2'!B:B,A8)-Q8</f>
        <v>218</v>
      </c>
      <c r="S8" s="88">
        <f>LOOKUP(2, 1/('OB History S2'!$B:$B=A8), 'OB History S2'!$AC:$AC)</f>
        <v>0.49888888888888899</v>
      </c>
      <c r="T8" s="2">
        <f>COUNTIFS('OB History S2'!$B:$B,$A$8,'OB History S2'!K:K, 1)</f>
        <v>4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6</v>
      </c>
      <c r="AG8" s="2">
        <f>COUNTIFS('OB History S2'!$B:$B,$A$8,'OB History S2'!X:X, 1)</f>
        <v>9</v>
      </c>
      <c r="AH8" s="2">
        <f>COUNTIFS('OB History S2'!$B:$B,$A$8,'OB History S2'!Y:Y, 1)</f>
        <v>5</v>
      </c>
      <c r="AI8" s="2">
        <f>COUNTIFS('OB History S2'!$B:$B,$A$8,'OB History S2'!Z:Z, 1)</f>
        <v>7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176</v>
      </c>
      <c r="I9" s="4">
        <f>AVERAGEIFS('OB History S2'!C:C,'OB History S2'!B:B,A9)</f>
        <v>13.538461538461538</v>
      </c>
      <c r="J9" s="35">
        <f t="array" ref="J9">MAX(IF('OB History S2'!B:B=A9, 'OB History S2'!C:C))</f>
        <v>24</v>
      </c>
      <c r="K9" s="34">
        <f>COUNTIFS('OB History S2'!B:B,A9,'OB History S2'!D:D, 1)</f>
        <v>8</v>
      </c>
      <c r="L9" s="2">
        <f>COUNTIFS('OB History S2'!B:B,A9,'OB History S2'!D:D, 0)</f>
        <v>5</v>
      </c>
      <c r="M9" s="88">
        <f>LOOKUP(2, 1/('OB History S2'!$B:$B=A9), 'OB History S2'!$AD:$AD)</f>
        <v>0.61538461538461542</v>
      </c>
      <c r="N9" s="34">
        <f>SUMIFS('OB History S2'!F:F,'OB History S2'!B:B,A9)</f>
        <v>32</v>
      </c>
      <c r="O9" s="2">
        <f>SUMIFS('OB History S2'!E:E,'OB History S2'!B:B,A9)-N9</f>
        <v>23</v>
      </c>
      <c r="P9" s="88">
        <f>LOOKUP(2, 1/('OB History S2'!$B:$B=A9), 'OB History S2'!$AB:$AB)</f>
        <v>0.61538461538461531</v>
      </c>
      <c r="Q9" s="34">
        <f>SUMIFS('OB History S2'!H:H,'OB History S2'!B:B,A9)</f>
        <v>123</v>
      </c>
      <c r="R9" s="2">
        <f>SUMIFS('OB History S2'!G:G,'OB History S2'!B:B,A9)-Q9</f>
        <v>106</v>
      </c>
      <c r="S9" s="88">
        <f>LOOKUP(2, 1/('OB History S2'!$B:$B=A9), 'OB History S2'!$AC:$AC)</f>
        <v>0.54307692307692312</v>
      </c>
      <c r="T9" s="2">
        <f>COUNTIFS('OB History S2'!$B:$B,$A$9,'OB History S2'!K:K, 1)</f>
        <v>2</v>
      </c>
      <c r="U9" s="2">
        <f>COUNTIFS('OB History S2'!$B:$B,$A$9,'OB History S2'!L:L, 1)</f>
        <v>3</v>
      </c>
      <c r="V9" s="2">
        <f>COUNTIFS('OB History S2'!$B:$B,$A$9,'OB History S2'!M:M, 1)</f>
        <v>0</v>
      </c>
      <c r="W9" s="2">
        <f>COUNTIFS('OB History S2'!$B:$B,$A$9,'OB History S2'!N:N, 1)</f>
        <v>5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2</v>
      </c>
      <c r="AG9" s="2">
        <f>COUNTIFS('OB History S2'!$B:$B,$A$9,'OB History S2'!X:X, 1)</f>
        <v>3</v>
      </c>
      <c r="AH9" s="2">
        <f>COUNTIFS('OB History S2'!$B:$B,$A$9,'OB History S2'!Y:Y, 1)</f>
        <v>5</v>
      </c>
      <c r="AI9" s="2">
        <f>COUNTIFS('OB History S2'!$B:$B,$A$9,'OB History S2'!Z:Z, 1)</f>
        <v>6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53</v>
      </c>
      <c r="I10" s="4">
        <f>AVERAGEIFS('OB History S2'!C:C,'OB History S2'!B:B,A10)</f>
        <v>13.25</v>
      </c>
      <c r="J10" s="35">
        <f t="array" ref="J10">MAX(IF('OB History S2'!B:B=A10, 'OB History S2'!C:C))</f>
        <v>29</v>
      </c>
      <c r="K10" s="34">
        <f>COUNTIFS('OB History S2'!B:B,A10,'OB History S2'!D:D, 1)</f>
        <v>1</v>
      </c>
      <c r="L10" s="2">
        <f>COUNTIFS('OB History S2'!B:B,A10,'OB History S2'!D:D, 0)</f>
        <v>3</v>
      </c>
      <c r="M10" s="88">
        <f>LOOKUP(2, 1/('OB History S2'!$B:$B=A10), 'OB History S2'!$AD:$AD)</f>
        <v>0.25</v>
      </c>
      <c r="N10" s="34">
        <f>SUMIFS('OB History S2'!F:F,'OB History S2'!B:B,A10)</f>
        <v>5</v>
      </c>
      <c r="O10" s="2">
        <f>SUMIFS('OB History S2'!E:E,'OB History S2'!B:B,A10)-N10</f>
        <v>10</v>
      </c>
      <c r="P10" s="88">
        <f>LOOKUP(2, 1/('OB History S2'!$B:$B=A10), 'OB History S2'!$AB:$AB)</f>
        <v>0.28749999999999998</v>
      </c>
      <c r="Q10" s="34">
        <f>SUMIFS('OB History S2'!H:H,'OB History S2'!B:B,A10)</f>
        <v>25</v>
      </c>
      <c r="R10" s="2">
        <f>SUMIFS('OB History S2'!G:G,'OB History S2'!B:B,A10)-Q10</f>
        <v>35</v>
      </c>
      <c r="S10" s="88">
        <f>LOOKUP(2, 1/('OB History S2'!$B:$B=A10), 'OB History S2'!$AC:$AC)</f>
        <v>0.39249999999999996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0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153</v>
      </c>
      <c r="I11" s="4">
        <f>AVERAGEIFS('OB History S2'!C:C,'OB History S2'!B:B,A11)</f>
        <v>13.909090909090908</v>
      </c>
      <c r="J11" s="35">
        <f t="array" ref="J11">MAX(IF('OB History S2'!B:B=A11, 'OB History S2'!C:C))</f>
        <v>22</v>
      </c>
      <c r="K11" s="34">
        <f>COUNTIFS('OB History S2'!B:B,A11,'OB History S2'!D:D, 1)</f>
        <v>10</v>
      </c>
      <c r="L11" s="2">
        <f>COUNTIFS('OB History S2'!B:B,A11,'OB History S2'!D:D, 0)</f>
        <v>1</v>
      </c>
      <c r="M11" s="88">
        <f>LOOKUP(2, 1/('OB History S2'!$B:$B=A11), 'OB History S2'!$AD:$AD)</f>
        <v>0.90909090909090906</v>
      </c>
      <c r="N11" s="34">
        <f>SUMIFS('OB History S2'!F:F,'OB History S2'!B:B,A11)</f>
        <v>32</v>
      </c>
      <c r="O11" s="2">
        <f>SUMIFS('OB History S2'!E:E,'OB History S2'!B:B,A11)-N11</f>
        <v>8</v>
      </c>
      <c r="P11" s="88">
        <f>LOOKUP(2, 1/('OB History S2'!$B:$B=A11), 'OB History S2'!$AB:$AB)</f>
        <v>0.82727272727272727</v>
      </c>
      <c r="Q11" s="34">
        <f>SUMIFS('OB History S2'!H:H,'OB History S2'!B:B,A11)</f>
        <v>103</v>
      </c>
      <c r="R11" s="2">
        <f>SUMIFS('OB History S2'!G:G,'OB History S2'!B:B,A11)-Q11</f>
        <v>68</v>
      </c>
      <c r="S11" s="88">
        <f>LOOKUP(2, 1/('OB History S2'!$B:$B=A11), 'OB History S2'!$AC:$AC)</f>
        <v>0.61454545454545462</v>
      </c>
      <c r="T11" s="2">
        <f>COUNTIFS('OB History S2'!$B:$B,$A$11,'OB History S2'!K:K, 1)</f>
        <v>1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6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2</v>
      </c>
      <c r="AG11" s="2">
        <f>COUNTIFS('OB History S2'!$B:$B,$A$11,'OB History S2'!X:X, 1)</f>
        <v>6</v>
      </c>
      <c r="AH11" s="2">
        <f>COUNTIFS('OB History S2'!$B:$B,$A$11,'OB History S2'!Y:Y, 1)</f>
        <v>2</v>
      </c>
      <c r="AI11" s="2">
        <f>COUNTIFS('OB History S2'!$B:$B,$A$11,'OB History S2'!Z:Z, 1)</f>
        <v>5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24</v>
      </c>
      <c r="I12" s="4">
        <f>AVERAGEIFS('OB History S2'!C:C,'OB History S2'!B:B,A12)</f>
        <v>8</v>
      </c>
      <c r="J12" s="35">
        <f t="array" ref="J12">MAX(IF('OB History S2'!B:B=A12, 'OB History S2'!C:C))</f>
        <v>11</v>
      </c>
      <c r="K12" s="34">
        <f>COUNTIFS('OB History S2'!B:B,A12,'OB History S2'!D:D, 1)</f>
        <v>3</v>
      </c>
      <c r="L12" s="2">
        <f>COUNTIFS('OB History S2'!B:B,A12,'OB History S2'!D:D, 0)</f>
        <v>0</v>
      </c>
      <c r="M12" s="88">
        <f>LOOKUP(2, 1/('OB History S2'!$B:$B=A12), 'OB History S2'!$AD:$AD)</f>
        <v>1</v>
      </c>
      <c r="N12" s="34">
        <f>SUMIFS('OB History S2'!F:F,'OB History S2'!B:B,A12)</f>
        <v>10</v>
      </c>
      <c r="O12" s="2">
        <f>SUMIFS('OB History S2'!E:E,'OB History S2'!B:B,A12)-N12</f>
        <v>2</v>
      </c>
      <c r="P12" s="88">
        <f>LOOKUP(2, 1/('OB History S2'!$B:$B=A12), 'OB History S2'!$AB:$AB)</f>
        <v>0.8666666666666667</v>
      </c>
      <c r="Q12" s="34">
        <f>SUMIFS('OB History S2'!H:H,'OB History S2'!B:B,A12)</f>
        <v>33</v>
      </c>
      <c r="R12" s="2">
        <f>SUMIFS('OB History S2'!G:G,'OB History S2'!B:B,A12)-Q12</f>
        <v>21</v>
      </c>
      <c r="S12" s="88">
        <f>LOOKUP(2, 1/('OB History S2'!$B:$B=A12), 'OB History S2'!$AC:$AC)</f>
        <v>0.62333333333333341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0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1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387</v>
      </c>
      <c r="I13" s="4">
        <f>AVERAGEIFS('OB History S2'!C:C,'OB History S2'!B:B,A13)</f>
        <v>20.368421052631579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8</v>
      </c>
      <c r="M13" s="88">
        <f>LOOKUP(2, 1/('OB History S2'!$B:$B=A13), 'OB History S2'!$AD:$AD)</f>
        <v>0.57894736842105265</v>
      </c>
      <c r="N13" s="34">
        <f>SUMIFS('OB History S2'!F:F,'OB History S2'!B:B,A13)</f>
        <v>43</v>
      </c>
      <c r="O13" s="2">
        <f>SUMIFS('OB History S2'!E:E,'OB History S2'!B:B,A13)-N13</f>
        <v>38</v>
      </c>
      <c r="P13" s="88">
        <f>LOOKUP(2, 1/('OB History S2'!$B:$B=A13), 'OB History S2'!$AB:$AB)</f>
        <v>0.53157894736842104</v>
      </c>
      <c r="Q13" s="34">
        <f>SUMIFS('OB History S2'!H:H,'OB History S2'!B:B,A13)</f>
        <v>168</v>
      </c>
      <c r="R13" s="2">
        <f>SUMIFS('OB History S2'!G:G,'OB History S2'!B:B,A13)-Q13</f>
        <v>170</v>
      </c>
      <c r="S13" s="88">
        <f>LOOKUP(2, 1/('OB History S2'!$B:$B=A13), 'OB History S2'!$AC:$AC)</f>
        <v>0.50105263157894731</v>
      </c>
      <c r="T13" s="2">
        <f>COUNTIFS('OB History S2'!$B:$B,$A$13,'OB History S2'!K:K, 1)</f>
        <v>2</v>
      </c>
      <c r="U13" s="2">
        <f>COUNTIFS('OB History S2'!$B:$B,$A$13,'OB History S2'!L:L, 1)</f>
        <v>3</v>
      </c>
      <c r="V13" s="2">
        <f>COUNTIFS('OB History S2'!$B:$B,$A$13,'OB History S2'!M:M, 1)</f>
        <v>1</v>
      </c>
      <c r="W13" s="2">
        <f>COUNTIFS('OB History S2'!$B:$B,$A$13,'OB History S2'!N:N, 1)</f>
        <v>4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4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156</v>
      </c>
      <c r="I14" s="4">
        <f>AVERAGEIFS('OB History S2'!C:C,'OB History S2'!B:B,A14)</f>
        <v>13</v>
      </c>
      <c r="J14" s="35">
        <f t="array" ref="J14">MAX(IF('OB History S2'!B:B=A14, 'OB History S2'!C:C))</f>
        <v>27</v>
      </c>
      <c r="K14" s="34">
        <f>COUNTIFS('OB History S2'!B:B,A14,'OB History S2'!D:D, 1)</f>
        <v>4</v>
      </c>
      <c r="L14" s="2">
        <f>COUNTIFS('OB History S2'!B:B,A14,'OB History S2'!D:D, 0)</f>
        <v>8</v>
      </c>
      <c r="M14" s="88">
        <f>LOOKUP(2, 1/('OB History S2'!$B:$B=A14), 'OB History S2'!$AD:$AD)</f>
        <v>0.33333333333333331</v>
      </c>
      <c r="N14" s="34">
        <f>SUMIFS('OB History S2'!F:F,'OB History S2'!B:B,A14)</f>
        <v>20</v>
      </c>
      <c r="O14" s="2">
        <f>SUMIFS('OB History S2'!E:E,'OB History S2'!B:B,A14)-N14</f>
        <v>28</v>
      </c>
      <c r="P14" s="88">
        <f>LOOKUP(2, 1/('OB History S2'!$B:$B=A14), 'OB History S2'!$AB:$AB)</f>
        <v>0.40000000000000008</v>
      </c>
      <c r="Q14" s="34">
        <f>SUMIFS('OB History S2'!H:H,'OB History S2'!B:B,A14)</f>
        <v>99</v>
      </c>
      <c r="R14" s="2">
        <f>SUMIFS('OB History S2'!G:G,'OB History S2'!B:B,A14)-Q14</f>
        <v>108</v>
      </c>
      <c r="S14" s="88">
        <f>LOOKUP(2, 1/('OB History S2'!$B:$B=A14), 'OB History S2'!$AC:$AC)</f>
        <v>0.47416666666666663</v>
      </c>
      <c r="T14" s="2">
        <f>COUNTIFS('OB History S2'!$B:$B,$A$14,'OB History S2'!K:K, 1)</f>
        <v>1</v>
      </c>
      <c r="U14" s="2">
        <f>COUNTIFS('OB History S2'!$B:$B,$A$14,'OB History S2'!L:L, 1)</f>
        <v>4</v>
      </c>
      <c r="V14" s="2">
        <f>COUNTIFS('OB History S2'!$B:$B,$A$14,'OB History S2'!M:M, 1)</f>
        <v>3</v>
      </c>
      <c r="W14" s="2">
        <f>COUNTIFS('OB History S2'!$B:$B,$A$14,'OB History S2'!N:N, 1)</f>
        <v>4</v>
      </c>
      <c r="X14" s="2">
        <f>COUNTIFS('OB History S2'!$B:$B,$A$14,'OB History S2'!O:O, 1)</f>
        <v>2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1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231</v>
      </c>
      <c r="I15" s="4">
        <f>AVERAGEIFS('OB History S2'!C:C,'OB History S2'!B:B,A15)</f>
        <v>16.5</v>
      </c>
      <c r="J15" s="35">
        <f t="array" ref="J15">MAX(IF('OB History S2'!B:B=A15, 'OB History S2'!C:C))</f>
        <v>44</v>
      </c>
      <c r="K15" s="34">
        <f>COUNTIFS('OB History S2'!B:B,A15,'OB History S2'!D:D, 1)</f>
        <v>9</v>
      </c>
      <c r="L15" s="2">
        <f>COUNTIFS('OB History S2'!B:B,A15,'OB History S2'!D:D, 0)</f>
        <v>5</v>
      </c>
      <c r="M15" s="88">
        <f>LOOKUP(2, 1/('OB History S2'!$B:$B=A15), 'OB History S2'!$AD:$AD)</f>
        <v>0.6428571428571429</v>
      </c>
      <c r="N15" s="34">
        <f>SUMIFS('OB History S2'!F:F,'OB History S2'!B:B,A15)</f>
        <v>31</v>
      </c>
      <c r="O15" s="2">
        <f>SUMIFS('OB History S2'!E:E,'OB History S2'!B:B,A15)-N15</f>
        <v>25</v>
      </c>
      <c r="P15" s="88">
        <f>LOOKUP(2, 1/('OB History S2'!$B:$B=A15), 'OB History S2'!$AB:$AB)</f>
        <v>0.54285714285714282</v>
      </c>
      <c r="Q15" s="34">
        <f>SUMIFS('OB History S2'!H:H,'OB History S2'!B:B,A15)</f>
        <v>120</v>
      </c>
      <c r="R15" s="2">
        <f>SUMIFS('OB History S2'!G:G,'OB History S2'!B:B,A15)-Q15</f>
        <v>106</v>
      </c>
      <c r="S15" s="88">
        <f>LOOKUP(2, 1/('OB History S2'!$B:$B=A15), 'OB History S2'!$AC:$AC)</f>
        <v>0.53142857142857147</v>
      </c>
      <c r="T15" s="2">
        <f>COUNTIFS('OB History S2'!$B:$B,$A$15,'OB History S2'!K:K, 1)</f>
        <v>1</v>
      </c>
      <c r="U15" s="2">
        <f>COUNTIFS('OB History S2'!$B:$B,$A$15,'OB History S2'!L:L, 1)</f>
        <v>3</v>
      </c>
      <c r="V15" s="2">
        <f>COUNTIFS('OB History S2'!$B:$B,$A$15,'OB History S2'!M:M, 1)</f>
        <v>1</v>
      </c>
      <c r="W15" s="2">
        <f>COUNTIFS('OB History S2'!$B:$B,$A$15,'OB History S2'!N:N, 1)</f>
        <v>2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3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5</v>
      </c>
      <c r="AH15" s="2">
        <f>COUNTIFS('OB History S2'!$B:$B,$A$15,'OB History S2'!Y:Y, 1)</f>
        <v>3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295</v>
      </c>
      <c r="I16" s="4">
        <f>AVERAGEIFS('OB History S2'!C:C,'OB History S2'!B:B,A16)</f>
        <v>15.526315789473685</v>
      </c>
      <c r="J16" s="35">
        <f t="array" ref="J16">MAX(IF('OB History S2'!B:B=A16, 'OB History S2'!C:C))</f>
        <v>41</v>
      </c>
      <c r="K16" s="34">
        <f>COUNTIFS('OB History S2'!B:B,A16,'OB History S2'!D:D, 1)</f>
        <v>10</v>
      </c>
      <c r="L16" s="2">
        <f>COUNTIFS('OB History S2'!B:B,A16,'OB History S2'!D:D, 0)</f>
        <v>9</v>
      </c>
      <c r="M16" s="88">
        <f>LOOKUP(2, 1/('OB History S2'!$B:$B=A16), 'OB History S2'!$AD:$AD)</f>
        <v>0.52631578947368418</v>
      </c>
      <c r="N16" s="34">
        <f>SUMIFS('OB History S2'!F:F,'OB History S2'!B:B,A16)</f>
        <v>41</v>
      </c>
      <c r="O16" s="2">
        <f>SUMIFS('OB History S2'!E:E,'OB History S2'!B:B,A16)-N16</f>
        <v>35</v>
      </c>
      <c r="P16" s="88">
        <f>LOOKUP(2, 1/('OB History S2'!$B:$B=A16), 'OB History S2'!$AB:$AB)</f>
        <v>0.5552631578947369</v>
      </c>
      <c r="Q16" s="34">
        <f>SUMIFS('OB History S2'!H:H,'OB History S2'!B:B,A16)</f>
        <v>158</v>
      </c>
      <c r="R16" s="2">
        <f>SUMIFS('OB History S2'!G:G,'OB History S2'!B:B,A16)-Q16</f>
        <v>160</v>
      </c>
      <c r="S16" s="88">
        <f>LOOKUP(2, 1/('OB History S2'!$B:$B=A16), 'OB History S2'!$AC:$AC)</f>
        <v>0.49368421052631573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1</v>
      </c>
      <c r="W16" s="2">
        <f>COUNTIFS('OB History S2'!$B:$B,$A$16,'OB History S2'!N:N, 1)</f>
        <v>3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6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177</v>
      </c>
      <c r="I18" s="4">
        <f>AVERAGEIFS('OB History S2'!C:C,'OB History S2'!B:B,A18)</f>
        <v>13.615384615384615</v>
      </c>
      <c r="J18" s="35">
        <f t="array" ref="J18">MAX(IF('OB History S2'!B:B=A18, 'OB History S2'!C:C))</f>
        <v>19</v>
      </c>
      <c r="K18" s="34">
        <f>COUNTIFS('OB History S2'!B:B,A18,'OB History S2'!D:D, 1)</f>
        <v>3</v>
      </c>
      <c r="L18" s="2">
        <f>COUNTIFS('OB History S2'!B:B,A18,'OB History S2'!D:D, 0)</f>
        <v>10</v>
      </c>
      <c r="M18" s="88">
        <f>LOOKUP(2, 1/('OB History S2'!$B:$B=A18), 'OB History S2'!$AD:$AD)</f>
        <v>0.23076923076923078</v>
      </c>
      <c r="N18" s="34">
        <f>SUMIFS('OB History S2'!F:F,'OB History S2'!B:B,A18)</f>
        <v>17</v>
      </c>
      <c r="O18" s="2">
        <f>SUMIFS('OB History S2'!E:E,'OB History S2'!B:B,A18)-N18</f>
        <v>33</v>
      </c>
      <c r="P18" s="88">
        <f>LOOKUP(2, 1/('OB History S2'!$B:$B=A18), 'OB History S2'!$AB:$AB)</f>
        <v>0.32307692307692309</v>
      </c>
      <c r="Q18" s="34">
        <f>SUMIFS('OB History S2'!H:H,'OB History S2'!B:B,A18)</f>
        <v>87</v>
      </c>
      <c r="R18" s="2">
        <f>SUMIFS('OB History S2'!G:G,'OB History S2'!B:B,A18)-Q18</f>
        <v>126</v>
      </c>
      <c r="S18" s="88">
        <f>LOOKUP(2, 1/('OB History S2'!$B:$B=A18), 'OB History S2'!$AC:$AC)</f>
        <v>0.39384615384615385</v>
      </c>
      <c r="T18" s="2">
        <f>COUNTIFS('OB History S2'!$B:$B,$A$18,'OB History S2'!K:K, 1)</f>
        <v>2</v>
      </c>
      <c r="U18" s="2">
        <f>COUNTIFS('OB History S2'!$B:$B,$A$18,'OB History S2'!L:L, 1)</f>
        <v>1</v>
      </c>
      <c r="V18" s="2">
        <f>COUNTIFS('OB History S2'!$B:$B,$A$18,'OB History S2'!M:M, 1)</f>
        <v>3</v>
      </c>
      <c r="W18" s="2">
        <f>COUNTIFS('OB History S2'!$B:$B,$A$18,'OB History S2'!N:N, 1)</f>
        <v>1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4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34</v>
      </c>
      <c r="I21" s="4">
        <f>AVERAGEIFS('OB History S2'!C:C,'OB History S2'!B:B,A21)</f>
        <v>34</v>
      </c>
      <c r="J21" s="35">
        <f t="array" ref="J21">MAX(IF('OB History S2'!B:B=A21, 'OB History S2'!C:C))</f>
        <v>34</v>
      </c>
      <c r="K21" s="34">
        <f>COUNTIFS('OB History S2'!B:B,A21,'OB History S2'!D:D, 1)</f>
        <v>0</v>
      </c>
      <c r="L21" s="2">
        <f>COUNTIFS('OB History S2'!B:B,A21,'OB History S2'!D:D, 0)</f>
        <v>1</v>
      </c>
      <c r="M21" s="88">
        <f>LOOKUP(2, 1/('OB History S2'!$B:$B=A21), 'OB History S2'!$AD:$AD)</f>
        <v>0</v>
      </c>
      <c r="N21" s="34">
        <f>SUMIFS('OB History S2'!F:F,'OB History S2'!B:B,A21)</f>
        <v>2</v>
      </c>
      <c r="O21" s="2">
        <f>SUMIFS('OB History S2'!E:E,'OB History S2'!B:B,A21)-N21</f>
        <v>3</v>
      </c>
      <c r="P21" s="88">
        <f>LOOKUP(2, 1/('OB History S2'!$B:$B=A21), 'OB History S2'!$AB:$AB)</f>
        <v>0.4</v>
      </c>
      <c r="Q21" s="34">
        <f>SUMIFS('OB History S2'!H:H,'OB History S2'!B:B,A21)</f>
        <v>8</v>
      </c>
      <c r="R21" s="2">
        <f>SUMIFS('OB History S2'!G:G,'OB History S2'!B:B,A21)-Q21</f>
        <v>13</v>
      </c>
      <c r="S21" s="88">
        <f>LOOKUP(2, 1/('OB History S2'!$B:$B=A21), 'OB History S2'!$AC:$AC)</f>
        <v>0.38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1</v>
      </c>
      <c r="AH21" s="2">
        <f>COUNTIFS('OB History S2'!$B:$B,$A$21,'OB History S2'!Y:Y, 1)</f>
        <v>0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/>
      <c r="E22" s="2"/>
      <c r="F22" s="2"/>
      <c r="G22" s="2"/>
      <c r="H22" s="34">
        <f>SUMIFS('OB History S2'!C:C,'OB History S2'!B:B,A22)</f>
        <v>74</v>
      </c>
      <c r="I22" s="4">
        <f>AVERAGEIFS('OB History S2'!C:C,'OB History S2'!B:B,A22)</f>
        <v>14.8</v>
      </c>
      <c r="J22" s="35">
        <f t="array" ref="J22">MAX(IF('OB History S2'!B:B=A22, 'OB History S2'!C:C))</f>
        <v>28</v>
      </c>
      <c r="K22" s="34">
        <f>COUNTIFS('OB History S2'!B:B,A22,'OB History S2'!D:D, 1)</f>
        <v>5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15</v>
      </c>
      <c r="O22" s="2">
        <f>SUMIFS('OB History S2'!E:E,'OB History S2'!B:B,A22)-N22</f>
        <v>3</v>
      </c>
      <c r="P22" s="88">
        <f>LOOKUP(2, 1/('OB History S2'!$B:$B=A22), 'OB History S2'!$AB:$AB)</f>
        <v>0.86999999999999988</v>
      </c>
      <c r="Q22" s="34">
        <f>SUMIFS('OB History S2'!H:H,'OB History S2'!B:B,A22)</f>
        <v>49</v>
      </c>
      <c r="R22" s="2">
        <f>SUMIFS('OB History S2'!G:G,'OB History S2'!B:B,A22)-Q22</f>
        <v>26</v>
      </c>
      <c r="S22" s="88">
        <f>LOOKUP(2, 1/('OB History S2'!$B:$B=A22), 'OB History S2'!$AC:$AC)</f>
        <v>0.67</v>
      </c>
      <c r="T22" s="2">
        <f>COUNTIFS('OB History S2'!$B:$B,$A$22,'OB History S2'!K:K, 1)</f>
        <v>0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0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3</v>
      </c>
      <c r="AH22" s="2">
        <f>COUNTIFS('OB History S2'!$B:$B,$A$22,'OB History S2'!Y:Y, 1)</f>
        <v>4</v>
      </c>
      <c r="AI22" s="2">
        <f>COUNTIFS('OB History S2'!$B:$B,$A$22,'OB History S2'!Z:Z, 1)</f>
        <v>1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101</v>
      </c>
      <c r="I23" s="4">
        <f>AVERAGEIFS('OB History S2'!C:C,'OB History S2'!B:B,A23)</f>
        <v>20.2</v>
      </c>
      <c r="J23" s="35">
        <f t="array" ref="J23">MAX(IF('OB History S2'!B:B=A23, 'OB History S2'!C:C))</f>
        <v>38</v>
      </c>
      <c r="K23" s="34">
        <f>COUNTIFS('OB History S2'!B:B,A23,'OB History S2'!D:D, 1)</f>
        <v>2</v>
      </c>
      <c r="L23" s="2">
        <f>COUNTIFS('OB History S2'!B:B,A23,'OB History S2'!D:D, 0)</f>
        <v>3</v>
      </c>
      <c r="M23" s="88">
        <f>LOOKUP(2, 1/('OB History S2'!$B:$B=A23), 'OB History S2'!$AD:$AD)</f>
        <v>0.4</v>
      </c>
      <c r="N23" s="34">
        <f>SUMIFS('OB History S2'!F:F,'OB History S2'!B:B,A23)</f>
        <v>9</v>
      </c>
      <c r="O23" s="2">
        <f>SUMIFS('OB History S2'!E:E,'OB History S2'!B:B,A23)-N23</f>
        <v>12</v>
      </c>
      <c r="P23" s="88">
        <f>LOOKUP(2, 1/('OB History S2'!$B:$B=A23), 'OB History S2'!$AB:$AB)</f>
        <v>0.4</v>
      </c>
      <c r="Q23" s="34">
        <f>SUMIFS('OB History S2'!H:H,'OB History S2'!B:B,A23)</f>
        <v>34</v>
      </c>
      <c r="R23" s="2">
        <f>SUMIFS('OB History S2'!G:G,'OB History S2'!B:B,A23)-Q23</f>
        <v>43</v>
      </c>
      <c r="S23" s="88">
        <f>LOOKUP(2, 1/('OB History S2'!$B:$B=A23), 'OB History S2'!$AC:$AC)</f>
        <v>0.41799999999999998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1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0</v>
      </c>
      <c r="AH23" s="2">
        <f>COUNTIFS('OB History S2'!$B:$B,$A$23,'OB History S2'!Y:Y, 1)</f>
        <v>3</v>
      </c>
      <c r="AI23" s="2">
        <f>COUNTIFS('OB History S2'!$B:$B,$A$23,'OB History S2'!Z:Z, 1)</f>
        <v>1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2</v>
      </c>
      <c r="E24" s="2"/>
      <c r="F24" s="2"/>
      <c r="G24" s="2"/>
      <c r="H24" s="34">
        <f>SUMIFS('OB History S2'!C:C,'OB History S2'!B:B,A24)</f>
        <v>402</v>
      </c>
      <c r="I24" s="4">
        <f>AVERAGEIFS('OB History S2'!C:C,'OB History S2'!B:B,A24)</f>
        <v>18.272727272727273</v>
      </c>
      <c r="J24" s="35">
        <f t="array" ref="J24">MAX(IF('OB History S2'!B:B=A24, 'OB History S2'!C:C))</f>
        <v>41</v>
      </c>
      <c r="K24" s="34">
        <f>COUNTIFS('OB History S2'!B:B,A24,'OB History S2'!D:D, 1)</f>
        <v>16</v>
      </c>
      <c r="L24" s="2">
        <f>COUNTIFS('OB History S2'!B:B,A24,'OB History S2'!D:D, 0)</f>
        <v>6</v>
      </c>
      <c r="M24" s="88">
        <f>LOOKUP(2, 1/('OB History S2'!$B:$B=A24), 'OB History S2'!$AD:$AD)</f>
        <v>0.72727272727272729</v>
      </c>
      <c r="N24" s="34">
        <f>SUMIFS('OB History S2'!F:F,'OB History S2'!B:B,A24)</f>
        <v>54</v>
      </c>
      <c r="O24" s="2">
        <f>SUMIFS('OB History S2'!E:E,'OB History S2'!B:B,A24)-N24</f>
        <v>33</v>
      </c>
      <c r="P24" s="88">
        <f>LOOKUP(2, 1/('OB History S2'!$B:$B=A24), 'OB History S2'!$AB:$AB)</f>
        <v>0.64545454545454539</v>
      </c>
      <c r="Q24" s="34">
        <f>SUMIFS('OB History S2'!H:H,'OB History S2'!B:B,A24)</f>
        <v>205</v>
      </c>
      <c r="R24" s="2">
        <f>SUMIFS('OB History S2'!G:G,'OB History S2'!B:B,A24)-Q24</f>
        <v>157</v>
      </c>
      <c r="S24" s="88">
        <f>LOOKUP(2, 1/('OB History S2'!$B:$B=A24), 'OB History S2'!$AC:$AC)</f>
        <v>0.57409090909090887</v>
      </c>
      <c r="T24" s="2">
        <f>COUNTIFS('OB History S2'!$B:$B,$A$24,'OB History S2'!K:K, 1)</f>
        <v>3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6</v>
      </c>
      <c r="X24" s="2">
        <f>COUNTIFS('OB History S2'!$B:$B,$A$24,'OB History S2'!O:O, 1)</f>
        <v>0</v>
      </c>
      <c r="Y24" s="2">
        <f>COUNTIFS('OB History S2'!$B:$B,$A$24,'OB History S2'!P:P, 1)</f>
        <v>5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5</v>
      </c>
      <c r="AG24" s="2">
        <f>COUNTIFS('OB History S2'!$B:$B,$A$24,'OB History S2'!X:X, 1)</f>
        <v>10</v>
      </c>
      <c r="AH24" s="2">
        <f>COUNTIFS('OB History S2'!$B:$B,$A$24,'OB History S2'!Y:Y, 1)</f>
        <v>9</v>
      </c>
      <c r="AI24" s="2">
        <f>COUNTIFS('OB History S2'!$B:$B,$A$24,'OB History S2'!Z:Z, 1)</f>
        <v>6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371</v>
      </c>
      <c r="I25" s="4">
        <f>AVERAGEIFS('OB History S2'!C:C,'OB History S2'!B:B,A25)</f>
        <v>11.59375</v>
      </c>
      <c r="J25" s="35">
        <f t="array" ref="J25">MAX(IF('OB History S2'!B:B=A25, 'OB History S2'!C:C))</f>
        <v>21</v>
      </c>
      <c r="K25" s="34">
        <f>COUNTIFS('OB History S2'!B:B,A25,'OB History S2'!D:D, 1)</f>
        <v>11</v>
      </c>
      <c r="L25" s="2">
        <f>COUNTIFS('OB History S2'!B:B,A25,'OB History S2'!D:D, 0)</f>
        <v>21</v>
      </c>
      <c r="M25" s="88">
        <f>LOOKUP(2, 1/('OB History S2'!$B:$B=A25), 'OB History S2'!$AD:$AD)</f>
        <v>0.34375</v>
      </c>
      <c r="N25" s="34">
        <f>SUMIFS('OB History S2'!F:F,'OB History S2'!B:B,A25)</f>
        <v>55</v>
      </c>
      <c r="O25" s="2">
        <f>SUMIFS('OB History S2'!E:E,'OB History S2'!B:B,A25)-N25</f>
        <v>72</v>
      </c>
      <c r="P25" s="88">
        <f>LOOKUP(2, 1/('OB History S2'!$B:$B=A25), 'OB History S2'!$AB:$AB)</f>
        <v>0.42031249999999998</v>
      </c>
      <c r="Q25" s="34">
        <f>SUMIFS('OB History S2'!H:H,'OB History S2'!B:B,A25)</f>
        <v>251</v>
      </c>
      <c r="R25" s="2">
        <f>SUMIFS('OB History S2'!G:G,'OB History S2'!B:B,A25)-Q25</f>
        <v>274</v>
      </c>
      <c r="S25" s="88">
        <f>LOOKUP(2, 1/('OB History S2'!$B:$B=A25), 'OB History S2'!$AC:$AC)</f>
        <v>0.47843750000000002</v>
      </c>
      <c r="T25" s="2">
        <f>COUNTIFS('OB History S2'!$B:$B,$A$25,'OB History S2'!K:K, 1)</f>
        <v>5</v>
      </c>
      <c r="U25" s="2">
        <f>COUNTIFS('OB History S2'!$B:$B,$A$25,'OB History S2'!L:L, 1)</f>
        <v>4</v>
      </c>
      <c r="V25" s="2">
        <f>COUNTIFS('OB History S2'!$B:$B,$A$25,'OB History S2'!M:M, 1)</f>
        <v>0</v>
      </c>
      <c r="W25" s="2">
        <f>COUNTIFS('OB History S2'!$B:$B,$A$25,'OB History S2'!N:N, 1)</f>
        <v>6</v>
      </c>
      <c r="X25" s="2">
        <f>COUNTIFS('OB History S2'!$B:$B,$A$25,'OB History S2'!O:O, 1)</f>
        <v>3</v>
      </c>
      <c r="Y25" s="2">
        <f>COUNTIFS('OB History S2'!$B:$B,$A$25,'OB History S2'!P:P, 1)</f>
        <v>6</v>
      </c>
      <c r="Z25" s="2">
        <f>COUNTIFS('OB History S2'!$B:$B,$A$25,'OB History S2'!Q:Q, 1)</f>
        <v>1</v>
      </c>
      <c r="AA25" s="2">
        <f>COUNTIFS('OB History S2'!$B:$B,$A$25,'OB History S2'!R:R, 1)</f>
        <v>2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9</v>
      </c>
      <c r="AG25" s="2">
        <f>COUNTIFS('OB History S2'!$B:$B,$A$25,'OB History S2'!X:X, 1)</f>
        <v>7</v>
      </c>
      <c r="AH25" s="2">
        <f>COUNTIFS('OB History S2'!$B:$B,$A$25,'OB History S2'!Y:Y, 1)</f>
        <v>9</v>
      </c>
      <c r="AI25" s="2">
        <f>COUNTIFS('OB History S2'!$B:$B,$A$25,'OB History S2'!Z:Z, 1)</f>
        <v>2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34</v>
      </c>
      <c r="I26" s="4">
        <f>AVERAGEIFS('OB History S2'!C:C,'OB History S2'!B:B,A26)</f>
        <v>17</v>
      </c>
      <c r="J26" s="35">
        <f t="array" ref="J26">MAX(IF('OB History S2'!B:B=A26, 'OB History S2'!C:C))</f>
        <v>19</v>
      </c>
      <c r="K26" s="34">
        <f>COUNTIFS('OB History S2'!B:B,A26,'OB History S2'!D:D, 1)</f>
        <v>1</v>
      </c>
      <c r="L26" s="2">
        <f>COUNTIFS('OB History S2'!B:B,A26,'OB History S2'!D:D, 0)</f>
        <v>1</v>
      </c>
      <c r="M26" s="88">
        <f>LOOKUP(2, 1/('OB History S2'!$B:$B=A26), 'OB History S2'!$AD:$AD)</f>
        <v>0.5</v>
      </c>
      <c r="N26" s="34">
        <f>SUMIFS('OB History S2'!F:F,'OB History S2'!B:B,A26)</f>
        <v>4</v>
      </c>
      <c r="O26" s="2">
        <f>SUMIFS('OB History S2'!E:E,'OB History S2'!B:B,A26)-N26</f>
        <v>3</v>
      </c>
      <c r="P26" s="88">
        <f>LOOKUP(2, 1/('OB History S2'!$B:$B=A26), 'OB History S2'!$AB:$AB)</f>
        <v>0.625</v>
      </c>
      <c r="Q26" s="34">
        <f>SUMIFS('OB History S2'!H:H,'OB History S2'!B:B,A26)</f>
        <v>13</v>
      </c>
      <c r="R26" s="2">
        <f>SUMIFS('OB History S2'!G:G,'OB History S2'!B:B,A26)-Q26</f>
        <v>15</v>
      </c>
      <c r="S26" s="88">
        <f>LOOKUP(2, 1/('OB History S2'!$B:$B=A26), 'OB History S2'!$AC:$AC)</f>
        <v>0.48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1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2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144</v>
      </c>
      <c r="I27" s="4">
        <f>AVERAGEIFS('OB History S2'!C:C,'OB History S2'!B:B,A27)</f>
        <v>20.571428571428573</v>
      </c>
      <c r="J27" s="35">
        <f t="array" ref="J27">MAX(IF('OB History S2'!B:B=A27, 'OB History S2'!C:C))</f>
        <v>43</v>
      </c>
      <c r="K27" s="34">
        <f>COUNTIFS('OB History S2'!B:B,A27,'OB History S2'!D:D, 1)</f>
        <v>2</v>
      </c>
      <c r="L27" s="2">
        <f>COUNTIFS('OB History S2'!B:B,A27,'OB History S2'!D:D, 0)</f>
        <v>5</v>
      </c>
      <c r="M27" s="88">
        <f>LOOKUP(2, 1/('OB History S2'!$B:$B=A27), 'OB History S2'!$AD:$AD)</f>
        <v>0.2857142857142857</v>
      </c>
      <c r="N27" s="34">
        <f>SUMIFS('OB History S2'!F:F,'OB History S2'!B:B,A27)</f>
        <v>13</v>
      </c>
      <c r="O27" s="2">
        <f>SUMIFS('OB History S2'!E:E,'OB History S2'!B:B,A27)-N27</f>
        <v>18</v>
      </c>
      <c r="P27" s="88">
        <f>LOOKUP(2, 1/('OB History S2'!$B:$B=A27), 'OB History S2'!$AB:$AB)</f>
        <v>0.39999999999999997</v>
      </c>
      <c r="Q27" s="34">
        <f>SUMIFS('OB History S2'!H:H,'OB History S2'!B:B,A27)</f>
        <v>58</v>
      </c>
      <c r="R27" s="2">
        <f>SUMIFS('OB History S2'!G:G,'OB History S2'!B:B,A27)-Q27</f>
        <v>68</v>
      </c>
      <c r="S27" s="88">
        <f>LOOKUP(2, 1/('OB History S2'!$B:$B=A27), 'OB History S2'!$AC:$AC)</f>
        <v>0.45571428571428579</v>
      </c>
      <c r="T27" s="2">
        <f>COUNTIFS('OB History S2'!$B:$B,$A$27,'OB History S2'!K:K, 1)</f>
        <v>1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1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248</v>
      </c>
      <c r="I28" s="4">
        <f>AVERAGEIFS('OB History S2'!C:C,'OB History S2'!B:B,A28)</f>
        <v>11.272727272727273</v>
      </c>
      <c r="J28" s="35">
        <f t="array" ref="J28">MAX(IF('OB History S2'!B:B=A28, 'OB History S2'!C:C))</f>
        <v>21</v>
      </c>
      <c r="K28" s="34">
        <f>COUNTIFS('OB History S2'!B:B,A28,'OB History S2'!D:D, 1)</f>
        <v>8</v>
      </c>
      <c r="L28" s="2">
        <f>COUNTIFS('OB History S2'!B:B,A28,'OB History S2'!D:D, 0)</f>
        <v>14</v>
      </c>
      <c r="M28" s="88">
        <f>LOOKUP(2, 1/('OB History S2'!$B:$B=A28), 'OB History S2'!$AD:$AD)</f>
        <v>0.36363636363636365</v>
      </c>
      <c r="N28" s="34">
        <f>SUMIFS('OB History S2'!F:F,'OB History S2'!B:B,A28)</f>
        <v>36</v>
      </c>
      <c r="O28" s="2">
        <f>SUMIFS('OB History S2'!E:E,'OB History S2'!B:B,A28)-N28</f>
        <v>54</v>
      </c>
      <c r="P28" s="88">
        <f>LOOKUP(2, 1/('OB History S2'!$B:$B=A28), 'OB History S2'!$AB:$AB)</f>
        <v>0.37045454545454548</v>
      </c>
      <c r="Q28" s="34">
        <f>SUMIFS('OB History S2'!H:H,'OB History S2'!B:B,A28)</f>
        <v>170</v>
      </c>
      <c r="R28" s="2">
        <f>SUMIFS('OB History S2'!G:G,'OB History S2'!B:B,A28)-Q28</f>
        <v>196</v>
      </c>
      <c r="S28" s="88">
        <f>LOOKUP(2, 1/('OB History S2'!$B:$B=A28), 'OB History S2'!$AC:$AC)</f>
        <v>0.45727272727272728</v>
      </c>
      <c r="T28" s="2">
        <f>COUNTIFS('OB History S2'!$B:$B,$A$28,'OB History S2'!K:K, 1)</f>
        <v>2</v>
      </c>
      <c r="U28" s="2">
        <f>COUNTIFS('OB History S2'!$B:$B,$A$28,'OB History S2'!L:L, 1)</f>
        <v>6</v>
      </c>
      <c r="V28" s="2">
        <f>COUNTIFS('OB History S2'!$B:$B,$A$28,'OB History S2'!M:M, 1)</f>
        <v>0</v>
      </c>
      <c r="W28" s="2">
        <f>COUNTIFS('OB History S2'!$B:$B,$A$28,'OB History S2'!N:N, 1)</f>
        <v>3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4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0</v>
      </c>
      <c r="AG28" s="2">
        <f>COUNTIFS('OB History S2'!$B:$B,$A$28,'OB History S2'!X:X, 1)</f>
        <v>7</v>
      </c>
      <c r="AH28" s="2">
        <f>COUNTIFS('OB History S2'!$B:$B,$A$28,'OB History S2'!Y:Y, 1)</f>
        <v>3</v>
      </c>
      <c r="AI28" s="2">
        <f>COUNTIFS('OB History S2'!$B:$B,$A$28,'OB History S2'!Z:Z, 1)</f>
        <v>5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65</v>
      </c>
      <c r="I29" s="4">
        <f>AVERAGEIFS('OB History S2'!C:C,'OB History S2'!B:B,A29)</f>
        <v>16.25</v>
      </c>
      <c r="J29" s="35">
        <f t="array" ref="J29">MAX(IF('OB History S2'!B:B=A29, 'OB History S2'!C:C))</f>
        <v>25</v>
      </c>
      <c r="K29" s="34">
        <f>COUNTIFS('OB History S2'!B:B,A29,'OB History S2'!D:D, 1)</f>
        <v>3</v>
      </c>
      <c r="L29" s="2">
        <f>COUNTIFS('OB History S2'!B:B,A29,'OB History S2'!D:D, 0)</f>
        <v>1</v>
      </c>
      <c r="M29" s="88">
        <f>LOOKUP(2, 1/('OB History S2'!$B:$B=A29), 'OB History S2'!$AD:$AD)</f>
        <v>0.75</v>
      </c>
      <c r="N29" s="34">
        <f>SUMIFS('OB History S2'!F:F,'OB History S2'!B:B,A29)</f>
        <v>10</v>
      </c>
      <c r="O29" s="2">
        <f>SUMIFS('OB History S2'!E:E,'OB History S2'!B:B,A29)-N29</f>
        <v>6</v>
      </c>
      <c r="P29" s="88">
        <f>LOOKUP(2, 1/('OB History S2'!$B:$B=A29), 'OB History S2'!$AB:$AB)</f>
        <v>0.625</v>
      </c>
      <c r="Q29" s="34">
        <f>SUMIFS('OB History S2'!H:H,'OB History S2'!B:B,A29)</f>
        <v>37</v>
      </c>
      <c r="R29" s="2">
        <f>SUMIFS('OB History S2'!G:G,'OB History S2'!B:B,A29)-Q29</f>
        <v>31</v>
      </c>
      <c r="S29" s="88">
        <f>LOOKUP(2, 1/('OB History S2'!$B:$B=A29), 'OB History S2'!$AC:$AC)</f>
        <v>0.55500000000000005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1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2</v>
      </c>
      <c r="AG29" s="2">
        <f>COUNTIFS('OB History S2'!$B:$B,$A$29,'OB History S2'!X:X, 1)</f>
        <v>2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141</v>
      </c>
      <c r="I30" s="4">
        <f>AVERAGEIFS('OB History S2'!C:C,'OB History S2'!B:B,A30)</f>
        <v>15.666666666666666</v>
      </c>
      <c r="J30" s="35">
        <f t="array" ref="J30">MAX(IF('OB History S2'!B:B=A30, 'OB History S2'!C:C))</f>
        <v>37</v>
      </c>
      <c r="K30" s="34">
        <f>COUNTIFS('OB History S2'!B:B,A30,'OB History S2'!D:D, 1)</f>
        <v>4</v>
      </c>
      <c r="L30" s="2">
        <f>COUNTIFS('OB History S2'!B:B,A30,'OB History S2'!D:D, 0)</f>
        <v>5</v>
      </c>
      <c r="M30" s="88">
        <f>LOOKUP(2, 1/('OB History S2'!$B:$B=A30), 'OB History S2'!$AD:$AD)</f>
        <v>0.44444444444444442</v>
      </c>
      <c r="N30" s="34">
        <f>SUMIFS('OB History S2'!F:F,'OB History S2'!B:B,A30)</f>
        <v>19</v>
      </c>
      <c r="O30" s="2">
        <f>SUMIFS('OB History S2'!E:E,'OB History S2'!B:B,A30)-N30</f>
        <v>18</v>
      </c>
      <c r="P30" s="88">
        <f>LOOKUP(2, 1/('OB History S2'!$B:$B=A30), 'OB History S2'!$AB:$AB)</f>
        <v>0.52222222222222214</v>
      </c>
      <c r="Q30" s="34">
        <f>SUMIFS('OB History S2'!H:H,'OB History S2'!B:B,A30)</f>
        <v>79</v>
      </c>
      <c r="R30" s="2">
        <f>SUMIFS('OB History S2'!G:G,'OB History S2'!B:B,A30)-Q30</f>
        <v>74</v>
      </c>
      <c r="S30" s="88">
        <f>LOOKUP(2, 1/('OB History S2'!$B:$B=A30), 'OB History S2'!$AC:$AC)</f>
        <v>0.51888888888888884</v>
      </c>
      <c r="T30" s="2">
        <f>COUNTIFS('OB History S2'!$B:$B,$A$30,'OB History S2'!K:K, 1)</f>
        <v>3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1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2</v>
      </c>
    </row>
    <row r="31" spans="1:35" x14ac:dyDescent="0.25">
      <c r="A31" s="1" t="s">
        <v>47</v>
      </c>
      <c r="B31" s="2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32</v>
      </c>
      <c r="I31" s="4">
        <f>AVERAGEIFS('OB History S2'!C:C,'OB History S2'!B:B,A31)</f>
        <v>10.666666666666666</v>
      </c>
      <c r="J31" s="35">
        <f t="array" ref="J31">MAX(IF('OB History S2'!B:B=A31, 'OB History S2'!C:C))</f>
        <v>14</v>
      </c>
      <c r="K31" s="34">
        <f>COUNTIFS('OB History S2'!B:B,A31,'OB History S2'!D:D, 1)</f>
        <v>1</v>
      </c>
      <c r="L31" s="2">
        <f>COUNTIFS('OB History S2'!B:B,A31,'OB History S2'!D:D, 0)</f>
        <v>2</v>
      </c>
      <c r="M31" s="88">
        <f>LOOKUP(2, 1/('OB History S2'!$B:$B=A31), 'OB History S2'!$AD:$AD)</f>
        <v>0.33333333333333331</v>
      </c>
      <c r="N31" s="34">
        <f>SUMIFS('OB History S2'!F:F,'OB History S2'!B:B,A31)</f>
        <v>6</v>
      </c>
      <c r="O31" s="2">
        <f>SUMIFS('OB History S2'!E:E,'OB History S2'!B:B,A31)-N31</f>
        <v>7</v>
      </c>
      <c r="P31" s="88">
        <f>LOOKUP(2, 1/('OB History S2'!$B:$B=A31), 'OB History S2'!$AB:$AB)</f>
        <v>0.46666666666666662</v>
      </c>
      <c r="Q31" s="34">
        <f>SUMIFS('OB History S2'!H:H,'OB History S2'!B:B,A31)</f>
        <v>23</v>
      </c>
      <c r="R31" s="2">
        <f>SUMIFS('OB History S2'!G:G,'OB History S2'!B:B,A31)-Q31</f>
        <v>28</v>
      </c>
      <c r="S31" s="88">
        <f>LOOKUP(2, 1/('OB History S2'!$B:$B=A31), 'OB History S2'!$AC:$AC)</f>
        <v>0.45</v>
      </c>
      <c r="T31" s="2">
        <f>COUNTIFS('OB History S2'!$B:$B,$A$31,'OB History S2'!K:K, 1)</f>
        <v>2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1" t="s">
        <v>225</v>
      </c>
      <c r="B32" s="6" t="s">
        <v>60</v>
      </c>
      <c r="C32" s="1" t="s">
        <v>159</v>
      </c>
      <c r="D32" s="2"/>
      <c r="E32" s="2">
        <v>3</v>
      </c>
      <c r="F32" s="2"/>
      <c r="G32" s="2"/>
      <c r="H32" s="34">
        <f>SUMIFS('OB History S2'!C:C,'OB History S2'!B:B,A32)</f>
        <v>26</v>
      </c>
      <c r="I32" s="4">
        <f>AVERAGEIFS('OB History S2'!C:C,'OB History S2'!B:B,A32)</f>
        <v>26</v>
      </c>
      <c r="J32" s="35">
        <f t="array" ref="J32">MAX(IF('OB History S2'!B:B=A32, 'OB History S2'!C:C))</f>
        <v>26</v>
      </c>
      <c r="K32" s="34">
        <f>COUNTIFS('OB History S2'!B:B,A32,'OB History S2'!D:D, 1)</f>
        <v>1</v>
      </c>
      <c r="L32" s="2">
        <f>COUNTIFS('OB History S2'!B:B,A32,'OB History S2'!D:D, 0)</f>
        <v>0</v>
      </c>
      <c r="M32" s="88">
        <f>LOOKUP(2, 1/('OB History S2'!$B:$B=A32), 'OB History S2'!$AD:$AD)</f>
        <v>1</v>
      </c>
      <c r="N32" s="34">
        <f>SUMIFS('OB History S2'!F:F,'OB History S2'!B:B,A32)</f>
        <v>3</v>
      </c>
      <c r="O32" s="2">
        <f>SUMIFS('OB History S2'!E:E,'OB History S2'!B:B,A32)-N32</f>
        <v>2</v>
      </c>
      <c r="P32" s="88">
        <f>LOOKUP(2, 1/('OB History S2'!$B:$B=A32), 'OB History S2'!$AB:$AB)</f>
        <v>0.6</v>
      </c>
      <c r="Q32" s="34">
        <f>SUMIFS('OB History S2'!H:H,'OB History S2'!B:B,A32)</f>
        <v>10</v>
      </c>
      <c r="R32" s="2">
        <f>SUMIFS('OB History S2'!G:G,'OB History S2'!B:B,A32)-Q32</f>
        <v>7</v>
      </c>
      <c r="S32" s="88">
        <f>LOOKUP(2, 1/('OB History S2'!$B:$B=A32), 'OB History S2'!$AC:$AC)</f>
        <v>0.59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1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0</v>
      </c>
      <c r="AH32" s="2">
        <f>COUNTIFS('OB History S2'!$B:$B,$A$32,'OB History S2'!Y:Y, 1)</f>
        <v>1</v>
      </c>
      <c r="AI32" s="2">
        <f>COUNTIFS('OB History S2'!$B:$B,$A$32,'OB History S2'!Z:Z, 1)</f>
        <v>1</v>
      </c>
    </row>
    <row r="33" spans="1:35" x14ac:dyDescent="0.25">
      <c r="A33" s="2" t="s">
        <v>148</v>
      </c>
      <c r="B33" s="6" t="s">
        <v>79</v>
      </c>
      <c r="C33" s="6" t="s">
        <v>79</v>
      </c>
      <c r="D33" s="3">
        <v>4</v>
      </c>
      <c r="E33" s="6">
        <v>1</v>
      </c>
      <c r="F33" s="6"/>
      <c r="G33" s="6"/>
      <c r="H33" s="34">
        <f>SUMIFS('OB History S2'!C:C,'OB History S2'!B:B,A33)</f>
        <v>473</v>
      </c>
      <c r="I33" s="4">
        <f>AVERAGEIFS('OB History S2'!C:C,'OB History S2'!B:B,A33)</f>
        <v>12.783783783783784</v>
      </c>
      <c r="J33" s="35">
        <f t="array" ref="J33">MAX(IF('OB History S2'!B:B=A33, 'OB History S2'!C:C))</f>
        <v>27</v>
      </c>
      <c r="K33" s="34">
        <f>COUNTIFS('OB History S2'!B:B,A33,'OB History S2'!D:D, 1)</f>
        <v>21</v>
      </c>
      <c r="L33" s="2">
        <f>COUNTIFS('OB History S2'!B:B,A33,'OB History S2'!D:D, 0)</f>
        <v>16</v>
      </c>
      <c r="M33" s="88">
        <f>LOOKUP(2, 1/('OB History S2'!$B:$B=A33), 'OB History S2'!$AD:$AD)</f>
        <v>0.56756756756756754</v>
      </c>
      <c r="N33" s="34">
        <f>SUMIFS('OB History S2'!F:F,'OB History S2'!B:B,A33)</f>
        <v>79</v>
      </c>
      <c r="O33" s="2">
        <f>SUMIFS('OB History S2'!E:E,'OB History S2'!B:B,A33)-N33</f>
        <v>67</v>
      </c>
      <c r="P33" s="88">
        <f>LOOKUP(2, 1/('OB History S2'!$B:$B=A33), 'OB History S2'!$AB:$AB)</f>
        <v>0.55540540540540528</v>
      </c>
      <c r="Q33" s="34">
        <f>SUMIFS('OB History S2'!H:H,'OB History S2'!B:B,A33)</f>
        <v>311</v>
      </c>
      <c r="R33" s="2">
        <f>SUMIFS('OB History S2'!G:G,'OB History S2'!B:B,A33)-Q33</f>
        <v>287</v>
      </c>
      <c r="S33" s="88">
        <f>LOOKUP(2, 1/('OB History S2'!$B:$B=A33), 'OB History S2'!$AC:$AC)</f>
        <v>0.52675675675675682</v>
      </c>
      <c r="T33" s="2">
        <f>COUNTIFS('OB History S2'!$B:$B,$A$33,'OB History S2'!K:K, 1)</f>
        <v>1</v>
      </c>
      <c r="U33" s="2">
        <f>COUNTIFS('OB History S2'!$B:$B,$A$33,'OB History S2'!L:L, 1)</f>
        <v>10</v>
      </c>
      <c r="V33" s="2">
        <f>COUNTIFS('OB History S2'!$B:$B,$A$33,'OB History S2'!M:M, 1)</f>
        <v>2</v>
      </c>
      <c r="W33" s="2">
        <f>COUNTIFS('OB History S2'!$B:$B,$A$33,'OB History S2'!N:N, 1)</f>
        <v>9</v>
      </c>
      <c r="X33" s="2">
        <f>COUNTIFS('OB History S2'!$B:$B,$A$33,'OB History S2'!O:O, 1)</f>
        <v>0</v>
      </c>
      <c r="Y33" s="2">
        <f>COUNTIFS('OB History S2'!$B:$B,$A$33,'OB History S2'!P:P, 1)</f>
        <v>5</v>
      </c>
      <c r="Z33" s="2">
        <f>COUNTIFS('OB History S2'!$B:$B,$A$33,'OB History S2'!Q:Q, 1)</f>
        <v>2</v>
      </c>
      <c r="AA33" s="2">
        <f>COUNTIFS('OB History S2'!$B:$B,$A$33,'OB History S2'!R:R, 1)</f>
        <v>4</v>
      </c>
      <c r="AB33" s="2">
        <f>COUNTIFS('OB History S2'!$B:$B,$A$33,'OB History S2'!S:S, 1)</f>
        <v>2</v>
      </c>
      <c r="AC33" s="2">
        <f>COUNTIFS('OB History S2'!$B:$B,$A$33,'OB History S2'!T:T, 1)</f>
        <v>2</v>
      </c>
      <c r="AD33" s="2">
        <f>COUNTIFS('OB History S2'!$B:$B,$A$33,'OB History S2'!U:U, 1)</f>
        <v>1</v>
      </c>
      <c r="AE33" s="2">
        <f>COUNTIFS('OB History S2'!$B:$B,$A$33,'OB History S2'!V:V, 1)</f>
        <v>1</v>
      </c>
      <c r="AF33" s="2">
        <f>COUNTIFS('OB History S2'!$B:$B,$A$33,'OB History S2'!W:W, 1)</f>
        <v>5</v>
      </c>
      <c r="AG33" s="2">
        <f>COUNTIFS('OB History S2'!$B:$B,$A$33,'OB History S2'!X:X, 1)</f>
        <v>16</v>
      </c>
      <c r="AH33" s="2">
        <f>COUNTIFS('OB History S2'!$B:$B,$A$33,'OB History S2'!Y:Y, 1)</f>
        <v>8</v>
      </c>
      <c r="AI33" s="2">
        <f>COUNTIFS('OB History S2'!$B:$B,$A$33,'OB History S2'!Z:Z, 1)</f>
        <v>11</v>
      </c>
    </row>
    <row r="34" spans="1:35" x14ac:dyDescent="0.25">
      <c r="A34" s="2" t="s">
        <v>15</v>
      </c>
      <c r="B34" s="2" t="s">
        <v>79</v>
      </c>
      <c r="C34" s="2" t="s">
        <v>79</v>
      </c>
      <c r="D34" s="3">
        <v>3</v>
      </c>
      <c r="E34" s="2">
        <v>1</v>
      </c>
      <c r="F34" s="2"/>
      <c r="G34" s="2"/>
      <c r="H34" s="34">
        <f>SUMIFS('OB History S2'!C:C,'OB History S2'!B:B,A34)</f>
        <v>558</v>
      </c>
      <c r="I34" s="4">
        <f>AVERAGEIFS('OB History S2'!C:C,'OB History S2'!B:B,A34)</f>
        <v>20.666666666666668</v>
      </c>
      <c r="J34" s="35">
        <f t="array" ref="J34">MAX(IF('OB History S2'!B:B=A34, 'OB History S2'!C:C))</f>
        <v>39</v>
      </c>
      <c r="K34" s="34">
        <f>COUNTIFS('OB History S2'!B:B,A34,'OB History S2'!D:D, 1)</f>
        <v>14</v>
      </c>
      <c r="L34" s="2">
        <f>COUNTIFS('OB History S2'!B:B,A34,'OB History S2'!D:D, 0)</f>
        <v>13</v>
      </c>
      <c r="M34" s="88">
        <f>LOOKUP(2, 1/('OB History S2'!$B:$B=A34), 'OB History S2'!$AD:$AD)</f>
        <v>0.51851851851851849</v>
      </c>
      <c r="N34" s="34">
        <f>SUMIFS('OB History S2'!F:F,'OB History S2'!B:B,A34)</f>
        <v>52</v>
      </c>
      <c r="O34" s="2">
        <f>SUMIFS('OB History S2'!E:E,'OB History S2'!B:B,A34)-N34</f>
        <v>55</v>
      </c>
      <c r="P34" s="88">
        <f>LOOKUP(2, 1/('OB History S2'!$B:$B=A34), 'OB History S2'!$AB:$AB)</f>
        <v>0.47962962962962952</v>
      </c>
      <c r="Q34" s="34">
        <f>SUMIFS('OB History S2'!H:H,'OB History S2'!B:B,A34)</f>
        <v>223</v>
      </c>
      <c r="R34" s="2">
        <f>SUMIFS('OB History S2'!G:G,'OB History S2'!B:B,A34)-Q34</f>
        <v>222</v>
      </c>
      <c r="S34" s="88">
        <f>LOOKUP(2, 1/('OB History S2'!$B:$B=A34), 'OB History S2'!$AC:$AC)</f>
        <v>0.4996296296296297</v>
      </c>
      <c r="T34" s="2">
        <f>COUNTIFS('OB History S2'!$B:$B,$A$34,'OB History S2'!K:K, 1)</f>
        <v>3</v>
      </c>
      <c r="U34" s="2">
        <f>COUNTIFS('OB History S2'!$B:$B,$A$34,'OB History S2'!L:L, 1)</f>
        <v>5</v>
      </c>
      <c r="V34" s="2">
        <f>COUNTIFS('OB History S2'!$B:$B,$A$34,'OB History S2'!M:M, 1)</f>
        <v>0</v>
      </c>
      <c r="W34" s="2">
        <f>COUNTIFS('OB History S2'!$B:$B,$A$34,'OB History S2'!N:N, 1)</f>
        <v>7</v>
      </c>
      <c r="X34" s="2">
        <f>COUNTIFS('OB History S2'!$B:$B,$A$34,'OB History S2'!O:O, 1)</f>
        <v>2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2</v>
      </c>
      <c r="AB34" s="2">
        <f>COUNTIFS('OB History S2'!$B:$B,$A$34,'OB History S2'!S:S, 1)</f>
        <v>1</v>
      </c>
      <c r="AC34" s="2">
        <f>COUNTIFS('OB History S2'!$B:$B,$A$34,'OB History S2'!T:T, 1)</f>
        <v>1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4</v>
      </c>
      <c r="AG34" s="2">
        <f>COUNTIFS('OB History S2'!$B:$B,$A$34,'OB History S2'!X:X, 1)</f>
        <v>7</v>
      </c>
      <c r="AH34" s="2">
        <f>COUNTIFS('OB History S2'!$B:$B,$A$34,'OB History S2'!Y:Y, 1)</f>
        <v>5</v>
      </c>
      <c r="AI34" s="2">
        <f>COUNTIFS('OB History S2'!$B:$B,$A$34,'OB History S2'!Z:Z, 1)</f>
        <v>5</v>
      </c>
    </row>
    <row r="35" spans="1:35" x14ac:dyDescent="0.25">
      <c r="A35" s="2" t="s">
        <v>161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31</v>
      </c>
      <c r="I35" s="4">
        <f>AVERAGEIFS('OB History S2'!C:C,'OB History S2'!B:B,A35)</f>
        <v>15.5</v>
      </c>
      <c r="J35" s="35">
        <f t="array" ref="J35">MAX(IF('OB History S2'!B:B=A35, 'OB History S2'!C:C))</f>
        <v>16</v>
      </c>
      <c r="K35" s="34">
        <f>COUNTIFS('OB History S2'!B:B,A35,'OB History S2'!D:D, 1)</f>
        <v>0</v>
      </c>
      <c r="L35" s="2">
        <f>COUNTIFS('OB History S2'!B:B,A35,'OB History S2'!D:D, 0)</f>
        <v>2</v>
      </c>
      <c r="M35" s="88">
        <f>LOOKUP(2, 1/('OB History S2'!$B:$B=A35), 'OB History S2'!$AD:$AD)</f>
        <v>0</v>
      </c>
      <c r="N35" s="34">
        <f>SUMIFS('OB History S2'!F:F,'OB History S2'!B:B,A35)</f>
        <v>2</v>
      </c>
      <c r="O35" s="2">
        <f>SUMIFS('OB History S2'!E:E,'OB History S2'!B:B,A35)-N35</f>
        <v>6</v>
      </c>
      <c r="P35" s="88">
        <f>LOOKUP(2, 1/('OB History S2'!$B:$B=A35), 'OB History S2'!$AB:$AB)</f>
        <v>0.25</v>
      </c>
      <c r="Q35" s="34">
        <f>SUMIFS('OB History S2'!H:H,'OB History S2'!B:B,A35)</f>
        <v>16</v>
      </c>
      <c r="R35" s="2">
        <f>SUMIFS('OB History S2'!G:G,'OB History S2'!B:B,A35)-Q35</f>
        <v>22</v>
      </c>
      <c r="S35" s="88">
        <f>LOOKUP(2, 1/('OB History S2'!$B:$B=A35), 'OB History S2'!$AC:$AC)</f>
        <v>0.42</v>
      </c>
      <c r="T35" s="2">
        <f>COUNTIFS('OB History S2'!$B:$B,$A$35,'OB History S2'!K:K, 1)</f>
        <v>0</v>
      </c>
      <c r="U35" s="2">
        <f>COUNTIFS('OB History S2'!$B:$B,$A$35,'OB History S2'!L:L, 1)</f>
        <v>0</v>
      </c>
      <c r="V35" s="2">
        <f>COUNTIFS('OB History S2'!$B:$B,$A$35,'OB History S2'!M:M, 1)</f>
        <v>0</v>
      </c>
      <c r="W35" s="2">
        <f>COUNTIFS('OB History S2'!$B:$B,$A$35,'OB History S2'!N:N, 1)</f>
        <v>0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0</v>
      </c>
      <c r="AH35" s="2">
        <f>COUNTIFS('OB History S2'!$B:$B,$A$35,'OB History S2'!Y:Y, 1)</f>
        <v>1</v>
      </c>
      <c r="AI35" s="2">
        <f>COUNTIFS('OB History S2'!$B:$B,$A$35,'OB History S2'!Z:Z, 1)</f>
        <v>0</v>
      </c>
    </row>
    <row r="36" spans="1:35" x14ac:dyDescent="0.25">
      <c r="A36" s="2" t="s">
        <v>13</v>
      </c>
      <c r="B36" s="6" t="s">
        <v>124</v>
      </c>
      <c r="C36" s="6" t="s">
        <v>60</v>
      </c>
      <c r="D36" s="3">
        <v>7</v>
      </c>
      <c r="E36" s="6">
        <v>3</v>
      </c>
      <c r="F36" s="6">
        <v>1</v>
      </c>
      <c r="G36" s="6"/>
      <c r="H36" s="34">
        <f>SUMIFS('OB History S2'!C:C,'OB History S2'!B:B,A36)</f>
        <v>1026</v>
      </c>
      <c r="I36" s="4">
        <f>AVERAGEIFS('OB History S2'!C:C,'OB History S2'!B:B,A36)</f>
        <v>24.428571428571427</v>
      </c>
      <c r="J36" s="35">
        <f t="array" ref="J36">MAX(IF('OB History S2'!B:B=A36, 'OB History S2'!C:C))</f>
        <v>58</v>
      </c>
      <c r="K36" s="34">
        <f>COUNTIFS('OB History S2'!B:B,A36,'OB History S2'!D:D, 1)</f>
        <v>24</v>
      </c>
      <c r="L36" s="2">
        <f>COUNTIFS('OB History S2'!B:B,A36,'OB History S2'!D:D, 0)</f>
        <v>18</v>
      </c>
      <c r="M36" s="88">
        <f>LOOKUP(2, 1/('OB History S2'!$B:$B=A36), 'OB History S2'!$AD:$AD)</f>
        <v>0.5714285714285714</v>
      </c>
      <c r="N36" s="34">
        <f>SUMIFS('OB History S2'!F:F,'OB History S2'!B:B,A36)</f>
        <v>93</v>
      </c>
      <c r="O36" s="2">
        <f>SUMIFS('OB History S2'!E:E,'OB History S2'!B:B,A36)-N36</f>
        <v>74</v>
      </c>
      <c r="P36" s="88">
        <f>LOOKUP(2, 1/('OB History S2'!$B:$B=A36), 'OB History S2'!$AB:$AB)</f>
        <v>0.56309523809523809</v>
      </c>
      <c r="Q36" s="34">
        <f>SUMIFS('OB History S2'!H:H,'OB History S2'!B:B,A36)</f>
        <v>372</v>
      </c>
      <c r="R36" s="2">
        <f>SUMIFS('OB History S2'!G:G,'OB History S2'!B:B,A36)-Q36</f>
        <v>319</v>
      </c>
      <c r="S36" s="88">
        <f>LOOKUP(2, 1/('OB History S2'!$B:$B=A36), 'OB History S2'!$AC:$AC)</f>
        <v>0.5428571428571427</v>
      </c>
      <c r="T36" s="2">
        <f>COUNTIFS('OB History S2'!$B:$B,$A$36,'OB History S2'!K:K, 1)</f>
        <v>7</v>
      </c>
      <c r="U36" s="2">
        <f>COUNTIFS('OB History S2'!$B:$B,$A$36,'OB History S2'!L:L, 1)</f>
        <v>7</v>
      </c>
      <c r="V36" s="2">
        <f>COUNTIFS('OB History S2'!$B:$B,$A$36,'OB History S2'!M:M, 1)</f>
        <v>2</v>
      </c>
      <c r="W36" s="2">
        <f>COUNTIFS('OB History S2'!$B:$B,$A$36,'OB History S2'!N:N, 1)</f>
        <v>9</v>
      </c>
      <c r="X36" s="2">
        <f>COUNTIFS('OB History S2'!$B:$B,$A$36,'OB History S2'!O:O, 1)</f>
        <v>0</v>
      </c>
      <c r="Y36" s="2">
        <f>COUNTIFS('OB History S2'!$B:$B,$A$36,'OB History S2'!P:P, 1)</f>
        <v>8</v>
      </c>
      <c r="Z36" s="2">
        <f>COUNTIFS('OB History S2'!$B:$B,$A$36,'OB History S2'!Q:Q, 1)</f>
        <v>2</v>
      </c>
      <c r="AA36" s="2">
        <f>COUNTIFS('OB History S2'!$B:$B,$A$36,'OB History S2'!R:R, 1)</f>
        <v>7</v>
      </c>
      <c r="AB36" s="2">
        <f>COUNTIFS('OB History S2'!$B:$B,$A$36,'OB History S2'!S:S, 1)</f>
        <v>1</v>
      </c>
      <c r="AC36" s="2">
        <f>COUNTIFS('OB History S2'!$B:$B,$A$36,'OB History S2'!T:T, 1)</f>
        <v>3</v>
      </c>
      <c r="AD36" s="2">
        <f>COUNTIFS('OB History S2'!$B:$B,$A$36,'OB History S2'!U:U, 1)</f>
        <v>1</v>
      </c>
      <c r="AE36" s="2">
        <f>COUNTIFS('OB History S2'!$B:$B,$A$36,'OB History S2'!V:V, 1)</f>
        <v>1</v>
      </c>
      <c r="AF36" s="2">
        <f>COUNTIFS('OB History S2'!$B:$B,$A$36,'OB History S2'!W:W, 1)</f>
        <v>8</v>
      </c>
      <c r="AG36" s="2">
        <f>COUNTIFS('OB History S2'!$B:$B,$A$36,'OB History S2'!X:X, 1)</f>
        <v>13</v>
      </c>
      <c r="AH36" s="2">
        <f>COUNTIFS('OB History S2'!$B:$B,$A$36,'OB History S2'!Y:Y, 1)</f>
        <v>14</v>
      </c>
      <c r="AI36" s="2">
        <f>COUNTIFS('OB History S2'!$B:$B,$A$36,'OB History S2'!Z:Z, 1)</f>
        <v>10</v>
      </c>
    </row>
    <row r="37" spans="1:35" x14ac:dyDescent="0.25">
      <c r="A37" s="2" t="s">
        <v>2</v>
      </c>
      <c r="B37" s="6" t="s">
        <v>60</v>
      </c>
      <c r="C37" s="6" t="s">
        <v>79</v>
      </c>
      <c r="D37" s="3">
        <v>2</v>
      </c>
      <c r="E37" s="6"/>
      <c r="F37" s="6"/>
      <c r="G37" s="6"/>
      <c r="H37" s="34">
        <f>SUMIFS('OB History S2'!C:C,'OB History S2'!B:B,A37)</f>
        <v>287</v>
      </c>
      <c r="I37" s="4">
        <f>AVERAGEIFS('OB History S2'!C:C,'OB History S2'!B:B,A37)</f>
        <v>28.7</v>
      </c>
      <c r="J37" s="35">
        <f t="array" ref="J37">MAX(IF('OB History S2'!B:B=A37, 'OB History S2'!C:C))</f>
        <v>68</v>
      </c>
      <c r="K37" s="34">
        <f>COUNTIFS('OB History S2'!B:B,A37,'OB History S2'!D:D, 1)</f>
        <v>5</v>
      </c>
      <c r="L37" s="2">
        <f>COUNTIFS('OB History S2'!B:B,A37,'OB History S2'!D:D, 0)</f>
        <v>5</v>
      </c>
      <c r="M37" s="88">
        <f>LOOKUP(2, 1/('OB History S2'!$B:$B=A37), 'OB History S2'!$AD:$AD)</f>
        <v>0.5</v>
      </c>
      <c r="N37" s="34">
        <f>SUMIFS('OB History S2'!F:F,'OB History S2'!B:B,A37)</f>
        <v>24</v>
      </c>
      <c r="O37" s="2">
        <f>SUMIFS('OB History S2'!E:E,'OB History S2'!B:B,A37)-N37</f>
        <v>15</v>
      </c>
      <c r="P37" s="88">
        <f>LOOKUP(2, 1/('OB History S2'!$B:$B=A37), 'OB History S2'!$AB:$AB)</f>
        <v>0.68500000000000005</v>
      </c>
      <c r="Q37" s="34">
        <f>SUMIFS('OB History S2'!H:H,'OB History S2'!B:B,A37)</f>
        <v>94</v>
      </c>
      <c r="R37" s="2">
        <f>SUMIFS('OB History S2'!G:G,'OB History S2'!B:B,A37)-Q37</f>
        <v>77</v>
      </c>
      <c r="S37" s="88">
        <f>LOOKUP(2, 1/('OB History S2'!$B:$B=A37), 'OB History S2'!$AC:$AC)</f>
        <v>0.57300000000000006</v>
      </c>
      <c r="T37" s="2">
        <f>COUNTIFS('OB History S2'!$B:$B,$A$37,'OB History S2'!K:K, 1)</f>
        <v>2</v>
      </c>
      <c r="U37" s="2">
        <f>COUNTIFS('OB History S2'!$B:$B,$A$37,'OB History S2'!L:L, 1)</f>
        <v>4</v>
      </c>
      <c r="V37" s="2">
        <f>COUNTIFS('OB History S2'!$B:$B,$A$37,'OB History S2'!M:M, 1)</f>
        <v>1</v>
      </c>
      <c r="W37" s="2">
        <f>COUNTIFS('OB History S2'!$B:$B,$A$37,'OB History S2'!N:N, 1)</f>
        <v>5</v>
      </c>
      <c r="X37" s="2">
        <f>COUNTIFS('OB History S2'!$B:$B,$A$37,'OB History S2'!O:O, 1)</f>
        <v>0</v>
      </c>
      <c r="Y37" s="2">
        <f>COUNTIFS('OB History S2'!$B:$B,$A$37,'OB History S2'!P:P, 1)</f>
        <v>1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5</v>
      </c>
      <c r="AH37" s="2">
        <f>COUNTIFS('OB History S2'!$B:$B,$A$37,'OB History S2'!Y:Y, 1)</f>
        <v>2</v>
      </c>
      <c r="AI37" s="2">
        <f>COUNTIFS('OB History S2'!$B:$B,$A$37,'OB History S2'!Z:Z, 1)</f>
        <v>4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6"/>
      <c r="F38" s="6"/>
      <c r="G38" s="6"/>
      <c r="H38" s="34">
        <f>SUMIFS('OB History S2'!C:C,'OB History S2'!B:B,A38)</f>
        <v>9</v>
      </c>
      <c r="I38" s="4">
        <f>AVERAGEIFS('OB History S2'!C:C,'OB History S2'!B:B,A38)</f>
        <v>9</v>
      </c>
      <c r="J38" s="35">
        <f t="array" ref="J38">MAX(IF('OB History S2'!B:B=A38, 'OB History S2'!C:C))</f>
        <v>9</v>
      </c>
      <c r="K38" s="34">
        <f>COUNTIFS('OB History S2'!B:B,A38,'OB History S2'!D:D, 1)</f>
        <v>0</v>
      </c>
      <c r="L38" s="2">
        <f>COUNTIFS('OB History S2'!B:B,A38,'OB History S2'!D:D, 0)</f>
        <v>1</v>
      </c>
      <c r="M38" s="88">
        <f>LOOKUP(2, 1/('OB History S2'!$B:$B=A38), 'OB History S2'!$AD:$AD)</f>
        <v>0</v>
      </c>
      <c r="N38" s="34">
        <f>SUMIFS('OB History S2'!F:F,'OB History S2'!B:B,A38)</f>
        <v>2</v>
      </c>
      <c r="O38" s="2">
        <f>SUMIFS('OB History S2'!E:E,'OB History S2'!B:B,A38)-N38</f>
        <v>3</v>
      </c>
      <c r="P38" s="88">
        <f>LOOKUP(2, 1/('OB History S2'!$B:$B=A38), 'OB History S2'!$AB:$AB)</f>
        <v>0.4</v>
      </c>
      <c r="Q38" s="34">
        <f>SUMIFS('OB History S2'!H:H,'OB History S2'!B:B,A38)</f>
        <v>9</v>
      </c>
      <c r="R38" s="2">
        <f>SUMIFS('OB History S2'!G:G,'OB History S2'!B:B,A38)-Q38</f>
        <v>10</v>
      </c>
      <c r="S38" s="88">
        <f>LOOKUP(2, 1/('OB History S2'!$B:$B=A38), 'OB History S2'!$AC:$AC)</f>
        <v>0.47</v>
      </c>
      <c r="T38" s="2">
        <f>COUNTIFS('OB History S2'!$B:$B,$A$38,'OB History S2'!K:K, 1)</f>
        <v>1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0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1</v>
      </c>
      <c r="E39" s="6"/>
      <c r="F39" s="6"/>
      <c r="G39" s="6"/>
      <c r="H39" s="34">
        <f>SUMIFS('OB History S2'!C:C,'OB History S2'!B:B,A39)</f>
        <v>363</v>
      </c>
      <c r="I39" s="4">
        <f>AVERAGEIFS('OB History S2'!C:C,'OB History S2'!B:B,A39)</f>
        <v>21.352941176470587</v>
      </c>
      <c r="J39" s="35">
        <f t="array" ref="J39">MAX(IF('OB History S2'!B:B=A39, 'OB History S2'!C:C))</f>
        <v>51</v>
      </c>
      <c r="K39" s="34">
        <f>COUNTIFS('OB History S2'!B:B,A39,'OB History S2'!D:D, 1)</f>
        <v>6</v>
      </c>
      <c r="L39" s="2">
        <f>COUNTIFS('OB History S2'!B:B,A39,'OB History S2'!D:D, 0)</f>
        <v>11</v>
      </c>
      <c r="M39" s="88">
        <f>LOOKUP(2, 1/('OB History S2'!$B:$B=A39), 'OB History S2'!$AD:$AD)</f>
        <v>0.35294117647058826</v>
      </c>
      <c r="N39" s="34">
        <f>SUMIFS('OB History S2'!F:F,'OB History S2'!B:B,A39)</f>
        <v>30</v>
      </c>
      <c r="O39" s="2">
        <f>SUMIFS('OB History S2'!E:E,'OB History S2'!B:B,A39)-N39</f>
        <v>39</v>
      </c>
      <c r="P39" s="88">
        <f>LOOKUP(2, 1/('OB History S2'!$B:$B=A39), 'OB History S2'!$AB:$AB)</f>
        <v>0.43529411764705883</v>
      </c>
      <c r="Q39" s="34">
        <f>SUMIFS('OB History S2'!H:H,'OB History S2'!B:B,A39)</f>
        <v>137</v>
      </c>
      <c r="R39" s="2">
        <f>SUMIFS('OB History S2'!G:G,'OB History S2'!B:B,A39)-Q39</f>
        <v>150</v>
      </c>
      <c r="S39" s="88">
        <f>LOOKUP(2, 1/('OB History S2'!$B:$B=A39), 'OB History S2'!$AC:$AC)</f>
        <v>0.47647058823529398</v>
      </c>
      <c r="T39" s="2">
        <f>COUNTIFS('OB History S2'!$B:$B,$A$39,'OB History S2'!K:K, 1)</f>
        <v>4</v>
      </c>
      <c r="U39" s="2">
        <f>COUNTIFS('OB History S2'!$B:$B,$A$39,'OB History S2'!L:L, 1)</f>
        <v>4</v>
      </c>
      <c r="V39" s="2">
        <f>COUNTIFS('OB History S2'!$B:$B,$A$39,'OB History S2'!M:M, 1)</f>
        <v>1</v>
      </c>
      <c r="W39" s="2">
        <f>COUNTIFS('OB History S2'!$B:$B,$A$39,'OB History S2'!N:N, 1)</f>
        <v>2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3</v>
      </c>
      <c r="AB39" s="2">
        <f>COUNTIFS('OB History S2'!$B:$B,$A$39,'OB History S2'!S:S, 1)</f>
        <v>0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2</v>
      </c>
      <c r="AG39" s="2">
        <f>COUNTIFS('OB History S2'!$B:$B,$A$39,'OB History S2'!X:X, 1)</f>
        <v>3</v>
      </c>
      <c r="AH39" s="2">
        <f>COUNTIFS('OB History S2'!$B:$B,$A$39,'OB History S2'!Y:Y, 1)</f>
        <v>3</v>
      </c>
      <c r="AI39" s="2">
        <f>COUNTIFS('OB History S2'!$B:$B,$A$39,'OB History S2'!Z:Z, 1)</f>
        <v>2</v>
      </c>
    </row>
    <row r="40" spans="1:35" x14ac:dyDescent="0.25">
      <c r="A40" s="2" t="s">
        <v>38</v>
      </c>
      <c r="B40" s="6" t="s">
        <v>79</v>
      </c>
      <c r="C40" s="6" t="s">
        <v>79</v>
      </c>
      <c r="D40" s="3">
        <v>1</v>
      </c>
      <c r="E40" s="6"/>
      <c r="F40" s="6"/>
      <c r="G40" s="6"/>
      <c r="H40" s="34">
        <f>SUMIFS('OB History S2'!C:C,'OB History S2'!B:B,A40)</f>
        <v>150</v>
      </c>
      <c r="I40" s="4">
        <f>AVERAGEIFS('OB History S2'!C:C,'OB History S2'!B:B,A40)</f>
        <v>10</v>
      </c>
      <c r="J40" s="35">
        <f t="array" ref="J40">MAX(IF('OB History S2'!B:B=A40, 'OB History S2'!C:C))</f>
        <v>28</v>
      </c>
      <c r="K40" s="34">
        <f>COUNTIFS('OB History S2'!B:B,A40,'OB History S2'!D:D, 1)</f>
        <v>6</v>
      </c>
      <c r="L40" s="2">
        <f>COUNTIFS('OB History S2'!B:B,A40,'OB History S2'!D:D, 0)</f>
        <v>9</v>
      </c>
      <c r="M40" s="88">
        <f>LOOKUP(2, 1/('OB History S2'!$B:$B=A40), 'OB History S2'!$AD:$AD)</f>
        <v>0.4</v>
      </c>
      <c r="N40" s="34">
        <f>SUMIFS('OB History S2'!F:F,'OB History S2'!B:B,A40)</f>
        <v>27</v>
      </c>
      <c r="O40" s="2">
        <f>SUMIFS('OB History S2'!E:E,'OB History S2'!B:B,A40)-N40</f>
        <v>34</v>
      </c>
      <c r="P40" s="88">
        <f>LOOKUP(2, 1/('OB History S2'!$B:$B=A40), 'OB History S2'!$AB:$AB)</f>
        <v>0.41000000000000003</v>
      </c>
      <c r="Q40" s="34">
        <f>SUMIFS('OB History S2'!H:H,'OB History S2'!B:B,A40)</f>
        <v>122</v>
      </c>
      <c r="R40" s="2">
        <f>SUMIFS('OB History S2'!G:G,'OB History S2'!B:B,A40)-Q40</f>
        <v>134</v>
      </c>
      <c r="S40" s="88">
        <f>LOOKUP(2, 1/('OB History S2'!$B:$B=A40), 'OB History S2'!$AC:$AC)</f>
        <v>0.46666666666666656</v>
      </c>
      <c r="T40" s="2">
        <f>COUNTIFS('OB History S2'!$B:$B,$A$40,'OB History S2'!K:K, 1)</f>
        <v>1</v>
      </c>
      <c r="U40" s="2">
        <f>COUNTIFS('OB History S2'!$B:$B,$A$40,'OB History S2'!L:L, 1)</f>
        <v>0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4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4</v>
      </c>
      <c r="AH40" s="2">
        <f>COUNTIFS('OB History S2'!$B:$B,$A$40,'OB History S2'!Y:Y, 1)</f>
        <v>4</v>
      </c>
      <c r="AI40" s="2">
        <f>COUNTIFS('OB History S2'!$B:$B,$A$40,'OB History S2'!Z:Z, 1)</f>
        <v>4</v>
      </c>
    </row>
    <row r="41" spans="1:35" x14ac:dyDescent="0.25">
      <c r="A41" s="2" t="s">
        <v>242</v>
      </c>
      <c r="B41" s="6" t="s">
        <v>79</v>
      </c>
      <c r="C41" s="6" t="s">
        <v>79</v>
      </c>
      <c r="D41" s="3"/>
      <c r="E41" s="6"/>
      <c r="F41" s="6"/>
      <c r="G41" s="6"/>
      <c r="H41" s="34">
        <f>SUMIFS('OB History S2'!C:C,'OB History S2'!B:B,A41)</f>
        <v>8</v>
      </c>
      <c r="I41" s="4">
        <f>AVERAGEIFS('OB History S2'!C:C,'OB History S2'!B:B,A41)</f>
        <v>4</v>
      </c>
      <c r="J41" s="35">
        <f t="array" ref="J41">MAX(IF('OB History S2'!B:B=A41, 'OB History S2'!C:C))</f>
        <v>4</v>
      </c>
      <c r="K41" s="34">
        <f>COUNTIFS('OB History S2'!B:B,A41,'OB History S2'!D:D, 1)</f>
        <v>0</v>
      </c>
      <c r="L41" s="2">
        <f>COUNTIFS('OB History S2'!B:B,A41,'OB History S2'!D:D, 0)</f>
        <v>2</v>
      </c>
      <c r="M41" s="88">
        <f>LOOKUP(2, 1/('OB History S2'!$B:$B=A41), 'OB History S2'!$AD:$AD)</f>
        <v>0</v>
      </c>
      <c r="N41" s="34">
        <f>SUMIFS('OB History S2'!F:F,'OB History S2'!B:B,A41)</f>
        <v>2</v>
      </c>
      <c r="O41" s="2">
        <f>SUMIFS('OB History S2'!E:E,'OB History S2'!B:B,A41)-N41</f>
        <v>6</v>
      </c>
      <c r="P41" s="88">
        <f>LOOKUP(2, 1/('OB History S2'!$B:$B=A41), 'OB History S2'!$AB:$AB)</f>
        <v>0.2</v>
      </c>
      <c r="Q41" s="34">
        <f>SUMIFS('OB History S2'!H:H,'OB History S2'!B:B,A41)</f>
        <v>11</v>
      </c>
      <c r="R41" s="2">
        <f>SUMIFS('OB History S2'!G:G,'OB History S2'!B:B,A41)-Q41</f>
        <v>22</v>
      </c>
      <c r="S41" s="88">
        <f>LOOKUP(2, 1/('OB History S2'!$B:$B=A41), 'OB History S2'!$AC:$AC)</f>
        <v>0.315</v>
      </c>
      <c r="T41" s="2">
        <f>COUNTIFS('OB History S2'!$B:$B,$A$41,'OB History S2'!K:K, 1)</f>
        <v>0</v>
      </c>
      <c r="U41" s="2">
        <f>COUNTIFS('OB History S2'!$B:$B,$A$41,'OB History S2'!L:L, 1)</f>
        <v>0</v>
      </c>
      <c r="V41" s="2">
        <f>COUNTIFS('OB History S2'!$B:$B,$A$41,'OB History S2'!M:M, 1)</f>
        <v>0</v>
      </c>
      <c r="W41" s="2">
        <f>COUNTIFS('OB History S2'!$B:$B,$A$41,'OB History S2'!N:N, 1)</f>
        <v>0</v>
      </c>
      <c r="X41" s="2">
        <f>COUNTIFS('OB History S2'!$B:$B,$A$41,'OB History S2'!O:O, 1)</f>
        <v>0</v>
      </c>
      <c r="Y41" s="2">
        <f>COUNTIFS('OB History S2'!$B:$B,$A$41,'OB History S2'!P:P, 1)</f>
        <v>0</v>
      </c>
      <c r="Z41" s="2">
        <f>COUNTIFS('OB History S2'!$B:$B,$A$41,'OB History S2'!Q:Q, 1)</f>
        <v>0</v>
      </c>
      <c r="AA41" s="2">
        <f>COUNTIFS('OB History S2'!$B:$B,$A$41,'OB History S2'!R:R, 1)</f>
        <v>1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0</v>
      </c>
      <c r="AG41" s="2">
        <f>COUNTIFS('OB History S2'!$B:$B,$A$41,'OB History S2'!X:X, 1)</f>
        <v>0</v>
      </c>
      <c r="AH41" s="2">
        <f>COUNTIFS('OB History S2'!$B:$B,$A$41,'OB History S2'!Y:Y, 1)</f>
        <v>1</v>
      </c>
      <c r="AI41" s="2">
        <f>COUNTIFS('OB History S2'!$B:$B,$A$41,'OB History S2'!Z:Z, 1)</f>
        <v>0</v>
      </c>
    </row>
    <row r="42" spans="1:35" x14ac:dyDescent="0.25">
      <c r="A42" s="2" t="s">
        <v>141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284</v>
      </c>
      <c r="I42" s="4">
        <f>AVERAGEIFS('OB History S2'!C:C,'OB History S2'!B:B,A42)</f>
        <v>16.705882352941178</v>
      </c>
      <c r="J42" s="35">
        <f t="array" ref="J42">MAX(IF('OB History S2'!B:B=A42, 'OB History S2'!C:C))</f>
        <v>33</v>
      </c>
      <c r="K42" s="34">
        <f>COUNTIFS('OB History S2'!B:B,A42,'OB History S2'!D:D, 1)</f>
        <v>7</v>
      </c>
      <c r="L42" s="2">
        <f>COUNTIFS('OB History S2'!B:B,A42,'OB History S2'!D:D, 0)</f>
        <v>10</v>
      </c>
      <c r="M42" s="88">
        <f>LOOKUP(2, 1/('OB History S2'!$B:$B=A42), 'OB History S2'!$AD:$AD)</f>
        <v>0.41176470588235292</v>
      </c>
      <c r="N42" s="34">
        <f>SUMIFS('OB History S2'!F:F,'OB History S2'!B:B,A42)</f>
        <v>31</v>
      </c>
      <c r="O42" s="2">
        <f>SUMIFS('OB History S2'!E:E,'OB History S2'!B:B,A42)-N42</f>
        <v>38</v>
      </c>
      <c r="P42" s="88">
        <f>LOOKUP(2, 1/('OB History S2'!$B:$B=A42), 'OB History S2'!$AB:$AB)</f>
        <v>0.44999999999999996</v>
      </c>
      <c r="Q42" s="34">
        <f>SUMIFS('OB History S2'!H:H,'OB History S2'!B:B,A42)</f>
        <v>140</v>
      </c>
      <c r="R42" s="2">
        <f>SUMIFS('OB History S2'!G:G,'OB History S2'!B:B,A42)-Q42</f>
        <v>149</v>
      </c>
      <c r="S42" s="88">
        <f>LOOKUP(2, 1/('OB History S2'!$B:$B=A42), 'OB History S2'!$AC:$AC)</f>
        <v>0.48588235294117654</v>
      </c>
      <c r="T42" s="2">
        <f>COUNTIFS('OB History S2'!$B:$B,$A$42,'OB History S2'!K:K, 1)</f>
        <v>3</v>
      </c>
      <c r="U42" s="2">
        <f>COUNTIFS('OB History S2'!$B:$B,$A$42,'OB History S2'!L:L, 1)</f>
        <v>3</v>
      </c>
      <c r="V42" s="2">
        <f>COUNTIFS('OB History S2'!$B:$B,$A$42,'OB History S2'!M:M, 1)</f>
        <v>0</v>
      </c>
      <c r="W42" s="2">
        <f>COUNTIFS('OB History S2'!$B:$B,$A$42,'OB History S2'!N:N, 1)</f>
        <v>4</v>
      </c>
      <c r="X42" s="2">
        <f>COUNTIFS('OB History S2'!$B:$B,$A$42,'OB History S2'!O:O, 1)</f>
        <v>2</v>
      </c>
      <c r="Y42" s="2">
        <f>COUNTIFS('OB History S2'!$B:$B,$A$42,'OB History S2'!P:P, 1)</f>
        <v>1</v>
      </c>
      <c r="Z42" s="2">
        <f>COUNTIFS('OB History S2'!$B:$B,$A$42,'OB History S2'!Q:Q, 1)</f>
        <v>2</v>
      </c>
      <c r="AA42" s="2">
        <f>COUNTIFS('OB History S2'!$B:$B,$A$42,'OB History S2'!R:R, 1)</f>
        <v>2</v>
      </c>
      <c r="AB42" s="2">
        <f>COUNTIFS('OB History S2'!$B:$B,$A$42,'OB History S2'!S:S, 1)</f>
        <v>0</v>
      </c>
      <c r="AC42" s="2">
        <f>COUNTIFS('OB History S2'!$B:$B,$A$42,'OB History S2'!T:T, 1)</f>
        <v>1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2</v>
      </c>
      <c r="AG42" s="2">
        <f>COUNTIFS('OB History S2'!$B:$B,$A$42,'OB History S2'!X:X, 1)</f>
        <v>3</v>
      </c>
      <c r="AH42" s="2">
        <f>COUNTIFS('OB History S2'!$B:$B,$A$42,'OB History S2'!Y:Y, 1)</f>
        <v>4</v>
      </c>
      <c r="AI42" s="2">
        <f>COUNTIFS('OB History S2'!$B:$B,$A$42,'OB History S2'!Z:Z, 1)</f>
        <v>4</v>
      </c>
    </row>
    <row r="43" spans="1:35" x14ac:dyDescent="0.25">
      <c r="A43" s="2" t="s">
        <v>40</v>
      </c>
      <c r="B43" s="2" t="s">
        <v>79</v>
      </c>
      <c r="C43" s="2" t="s">
        <v>79</v>
      </c>
      <c r="D43" s="3">
        <v>1</v>
      </c>
      <c r="E43" s="2"/>
      <c r="F43" s="2"/>
      <c r="G43" s="2"/>
      <c r="H43" s="34">
        <f>SUMIFS('OB History S2'!C:C,'OB History S2'!B:B,A43)</f>
        <v>308</v>
      </c>
      <c r="I43" s="4">
        <f>AVERAGEIFS('OB History S2'!C:C,'OB History S2'!B:B,A43)</f>
        <v>20.533333333333335</v>
      </c>
      <c r="J43" s="35">
        <f t="array" ref="J43">MAX(IF('OB History S2'!B:B=A43, 'OB History S2'!C:C))</f>
        <v>40</v>
      </c>
      <c r="K43" s="34">
        <f>COUNTIFS('OB History S2'!B:B,A43,'OB History S2'!D:D, 1)</f>
        <v>9</v>
      </c>
      <c r="L43" s="2">
        <f>COUNTIFS('OB History S2'!B:B,A43,'OB History S2'!D:D, 0)</f>
        <v>6</v>
      </c>
      <c r="M43" s="88">
        <f>LOOKUP(2, 1/('OB History S2'!$B:$B=A43), 'OB History S2'!$AD:$AD)</f>
        <v>0.6</v>
      </c>
      <c r="N43" s="34">
        <f>SUMIFS('OB History S2'!F:F,'OB History S2'!B:B,A43)</f>
        <v>36</v>
      </c>
      <c r="O43" s="2">
        <f>SUMIFS('OB History S2'!E:E,'OB History S2'!B:B,A43)-N43</f>
        <v>27</v>
      </c>
      <c r="P43" s="88">
        <f>LOOKUP(2, 1/('OB History S2'!$B:$B=A43), 'OB History S2'!$AB:$AB)</f>
        <v>0.59333333333333327</v>
      </c>
      <c r="Q43" s="34">
        <f>SUMIFS('OB History S2'!H:H,'OB History S2'!B:B,A43)</f>
        <v>133</v>
      </c>
      <c r="R43" s="2">
        <f>SUMIFS('OB History S2'!G:G,'OB History S2'!B:B,A43)-Q43</f>
        <v>130</v>
      </c>
      <c r="S43" s="88">
        <f>LOOKUP(2, 1/('OB History S2'!$B:$B=A43), 'OB History S2'!$AC:$AC)</f>
        <v>0.5086666666666666</v>
      </c>
      <c r="T43" s="2">
        <f>COUNTIFS('OB History S2'!$B:$B,$A$43,'OB History S2'!K:K, 1)</f>
        <v>3</v>
      </c>
      <c r="U43" s="2">
        <f>COUNTIFS('OB History S2'!$B:$B,$A$43,'OB History S2'!L:L, 1)</f>
        <v>2</v>
      </c>
      <c r="V43" s="2">
        <f>COUNTIFS('OB History S2'!$B:$B,$A$43,'OB History S2'!M:M, 1)</f>
        <v>4</v>
      </c>
      <c r="W43" s="2">
        <f>COUNTIFS('OB History S2'!$B:$B,$A$43,'OB History S2'!N:N, 1)</f>
        <v>3</v>
      </c>
      <c r="X43" s="2">
        <f>COUNTIFS('OB History S2'!$B:$B,$A$43,'OB History S2'!O:O, 1)</f>
        <v>2</v>
      </c>
      <c r="Y43" s="2">
        <f>COUNTIFS('OB History S2'!$B:$B,$A$43,'OB History S2'!P:P, 1)</f>
        <v>2</v>
      </c>
      <c r="Z43" s="2">
        <f>COUNTIFS('OB History S2'!$B:$B,$A$43,'OB History S2'!Q:Q, 1)</f>
        <v>3</v>
      </c>
      <c r="AA43" s="2">
        <f>COUNTIFS('OB History S2'!$B:$B,$A$43,'OB History S2'!R:R, 1)</f>
        <v>0</v>
      </c>
      <c r="AB43" s="2">
        <f>COUNTIFS('OB History S2'!$B:$B,$A$43,'OB History S2'!S:S, 1)</f>
        <v>1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2</v>
      </c>
      <c r="AG43" s="2">
        <f>COUNTIFS('OB History S2'!$B:$B,$A$43,'OB History S2'!X:X, 1)</f>
        <v>6</v>
      </c>
      <c r="AH43" s="2">
        <f>COUNTIFS('OB History S2'!$B:$B,$A$43,'OB History S2'!Y:Y, 1)</f>
        <v>4</v>
      </c>
      <c r="AI43" s="2">
        <f>COUNTIFS('OB History S2'!$B:$B,$A$43,'OB History S2'!Z:Z, 1)</f>
        <v>4</v>
      </c>
    </row>
    <row r="44" spans="1:35" x14ac:dyDescent="0.25">
      <c r="A44" s="2" t="s">
        <v>147</v>
      </c>
      <c r="B44" s="2" t="s">
        <v>79</v>
      </c>
      <c r="C44" s="2" t="s">
        <v>79</v>
      </c>
      <c r="D44" s="3"/>
      <c r="E44" s="2"/>
      <c r="F44" s="2"/>
      <c r="G44" s="2"/>
      <c r="H44" s="34">
        <f>SUMIFS('OB History S2'!C:C,'OB History S2'!B:B,A44)</f>
        <v>181</v>
      </c>
      <c r="I44" s="4">
        <f>AVERAGEIFS('OB History S2'!C:C,'OB History S2'!B:B,A44)</f>
        <v>16.454545454545453</v>
      </c>
      <c r="J44" s="35">
        <f t="array" ref="J44">MAX(IF('OB History S2'!B:B=A44, 'OB History S2'!C:C))</f>
        <v>35</v>
      </c>
      <c r="K44" s="34">
        <f>COUNTIFS('OB History S2'!B:B,A44,'OB History S2'!D:D, 1)</f>
        <v>6</v>
      </c>
      <c r="L44" s="2">
        <f>COUNTIFS('OB History S2'!B:B,A44,'OB History S2'!D:D, 0)</f>
        <v>5</v>
      </c>
      <c r="M44" s="88">
        <f>LOOKUP(2, 1/('OB History S2'!$B:$B=A44), 'OB History S2'!$AD:$AD)</f>
        <v>0.54545454545454541</v>
      </c>
      <c r="N44" s="34">
        <f>SUMIFS('OB History S2'!F:F,'OB History S2'!B:B,A44)</f>
        <v>20</v>
      </c>
      <c r="O44" s="2">
        <f>SUMIFS('OB History S2'!E:E,'OB History S2'!B:B,A44)-N44</f>
        <v>20</v>
      </c>
      <c r="P44" s="88">
        <f>LOOKUP(2, 1/('OB History S2'!$B:$B=A44), 'OB History S2'!$AB:$AB)</f>
        <v>0.47727272727272729</v>
      </c>
      <c r="Q44" s="34">
        <f>SUMIFS('OB History S2'!H:H,'OB History S2'!B:B,A44)</f>
        <v>84</v>
      </c>
      <c r="R44" s="2">
        <f>SUMIFS('OB History S2'!G:G,'OB History S2'!B:B,A44)-Q44</f>
        <v>87</v>
      </c>
      <c r="S44" s="88">
        <f>LOOKUP(2, 1/('OB History S2'!$B:$B=A44), 'OB History S2'!$AC:$AC)</f>
        <v>0.48181818181818181</v>
      </c>
      <c r="T44" s="2">
        <f>COUNTIFS('OB History S2'!$B:$B,$A$44,'OB History S2'!K:K, 1)</f>
        <v>2</v>
      </c>
      <c r="U44" s="2">
        <f>COUNTIFS('OB History S2'!$B:$B,$A$44,'OB History S2'!L:L, 1)</f>
        <v>2</v>
      </c>
      <c r="V44" s="2">
        <f>COUNTIFS('OB History S2'!$B:$B,$A$44,'OB History S2'!M:M, 1)</f>
        <v>2</v>
      </c>
      <c r="W44" s="2">
        <f>COUNTIFS('OB History S2'!$B:$B,$A$44,'OB History S2'!N:N, 1)</f>
        <v>3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2</v>
      </c>
      <c r="AA44" s="2">
        <f>COUNTIFS('OB History S2'!$B:$B,$A$44,'OB History S2'!R:R, 1)</f>
        <v>0</v>
      </c>
      <c r="AB44" s="2">
        <f>COUNTIFS('OB History S2'!$B:$B,$A$44,'OB History S2'!S:S, 1)</f>
        <v>1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1</v>
      </c>
      <c r="AG44" s="2">
        <f>COUNTIFS('OB History S2'!$B:$B,$A$44,'OB History S2'!X:X, 1)</f>
        <v>3</v>
      </c>
      <c r="AH44" s="2">
        <f>COUNTIFS('OB History S2'!$B:$B,$A$44,'OB History S2'!Y:Y, 1)</f>
        <v>1</v>
      </c>
      <c r="AI44" s="2">
        <f>COUNTIFS('OB History S2'!$B:$B,$A$44,'OB History S2'!Z:Z, 1)</f>
        <v>1</v>
      </c>
    </row>
    <row r="45" spans="1:35" x14ac:dyDescent="0.25">
      <c r="A45" s="2" t="s">
        <v>17</v>
      </c>
      <c r="B45" s="2" t="s">
        <v>79</v>
      </c>
      <c r="C45" s="2" t="s">
        <v>79</v>
      </c>
      <c r="D45" s="3">
        <v>17</v>
      </c>
      <c r="E45" s="2">
        <v>3</v>
      </c>
      <c r="F45" s="2"/>
      <c r="G45" s="2"/>
      <c r="H45" s="34">
        <f>SUMIFS('OB History S2'!C:C,'OB History S2'!B:B,A45)</f>
        <v>717</v>
      </c>
      <c r="I45" s="4">
        <f>AVERAGEIFS('OB History S2'!C:C,'OB History S2'!B:B,A45)</f>
        <v>23.9</v>
      </c>
      <c r="J45" s="35">
        <f t="array" ref="J45">MAX(IF('OB History S2'!B:B=A45, 'OB History S2'!C:C))</f>
        <v>58</v>
      </c>
      <c r="K45" s="34">
        <f>COUNTIFS('OB History S2'!B:B,A45,'OB History S2'!D:D, 1)</f>
        <v>12</v>
      </c>
      <c r="L45" s="2">
        <f>COUNTIFS('OB History S2'!B:B,A45,'OB History S2'!D:D, 0)</f>
        <v>18</v>
      </c>
      <c r="M45" s="88">
        <f>LOOKUP(2, 1/('OB History S2'!$B:$B=A45), 'OB History S2'!$AD:$AD)</f>
        <v>0.4</v>
      </c>
      <c r="N45" s="34">
        <f>SUMIFS('OB History S2'!F:F,'OB History S2'!B:B,A45)</f>
        <v>50</v>
      </c>
      <c r="O45" s="2">
        <f>SUMIFS('OB History S2'!E:E,'OB History S2'!B:B,A45)-N45</f>
        <v>68</v>
      </c>
      <c r="P45" s="88">
        <f>LOOKUP(2, 1/('OB History S2'!$B:$B=A45), 'OB History S2'!$AB:$AB)</f>
        <v>0.40666666666666668</v>
      </c>
      <c r="Q45" s="34">
        <f>SUMIFS('OB History S2'!H:H,'OB History S2'!B:B,A45)</f>
        <v>230</v>
      </c>
      <c r="R45" s="2">
        <f>SUMIFS('OB History S2'!G:G,'OB History S2'!B:B,A45)-Q45</f>
        <v>255</v>
      </c>
      <c r="S45" s="88">
        <f>LOOKUP(2, 1/('OB History S2'!$B:$B=A45), 'OB History S2'!$AC:$AC)</f>
        <v>0.46933333333333321</v>
      </c>
      <c r="T45" s="2">
        <f>COUNTIFS('OB History S2'!$B:$B,$A$45,'OB History S2'!K:K, 1)</f>
        <v>1</v>
      </c>
      <c r="U45" s="2">
        <f>COUNTIFS('OB History S2'!$B:$B,$A$45,'OB History S2'!L:L, 1)</f>
        <v>7</v>
      </c>
      <c r="V45" s="2">
        <f>COUNTIFS('OB History S2'!$B:$B,$A$45,'OB History S2'!M:M, 1)</f>
        <v>1</v>
      </c>
      <c r="W45" s="2">
        <f>COUNTIFS('OB History S2'!$B:$B,$A$45,'OB History S2'!N:N, 1)</f>
        <v>3</v>
      </c>
      <c r="X45" s="2">
        <f>COUNTIFS('OB History S2'!$B:$B,$A$45,'OB History S2'!O:O, 1)</f>
        <v>1</v>
      </c>
      <c r="Y45" s="2">
        <f>COUNTIFS('OB History S2'!$B:$B,$A$45,'OB History S2'!P:P, 1)</f>
        <v>1</v>
      </c>
      <c r="Z45" s="2">
        <f>COUNTIFS('OB History S2'!$B:$B,$A$45,'OB History S2'!Q:Q, 1)</f>
        <v>3</v>
      </c>
      <c r="AA45" s="2">
        <f>COUNTIFS('OB History S2'!$B:$B,$A$45,'OB History S2'!R:R, 1)</f>
        <v>6</v>
      </c>
      <c r="AB45" s="2">
        <f>COUNTIFS('OB History S2'!$B:$B,$A$45,'OB History S2'!S:S, 1)</f>
        <v>0</v>
      </c>
      <c r="AC45" s="2">
        <f>COUNTIFS('OB History S2'!$B:$B,$A$45,'OB History S2'!T:T, 1)</f>
        <v>2</v>
      </c>
      <c r="AD45" s="2">
        <f>COUNTIFS('OB History S2'!$B:$B,$A$45,'OB History S2'!U:U, 1)</f>
        <v>0</v>
      </c>
      <c r="AE45" s="2">
        <f>COUNTIFS('OB History S2'!$B:$B,$A$45,'OB History S2'!V:V, 1)</f>
        <v>1</v>
      </c>
      <c r="AF45" s="2">
        <f>COUNTIFS('OB History S2'!$B:$B,$A$45,'OB History S2'!W:W, 1)</f>
        <v>1</v>
      </c>
      <c r="AG45" s="2">
        <f>COUNTIFS('OB History S2'!$B:$B,$A$45,'OB History S2'!X:X, 1)</f>
        <v>13</v>
      </c>
      <c r="AH45" s="2">
        <f>COUNTIFS('OB History S2'!$B:$B,$A$45,'OB History S2'!Y:Y, 1)</f>
        <v>3</v>
      </c>
      <c r="AI45" s="2">
        <f>COUNTIFS('OB History S2'!$B:$B,$A$45,'OB History S2'!Z:Z, 1)</f>
        <v>7</v>
      </c>
    </row>
    <row r="46" spans="1:35" x14ac:dyDescent="0.25">
      <c r="A46" s="2" t="s">
        <v>155</v>
      </c>
      <c r="B46" s="2" t="s">
        <v>60</v>
      </c>
      <c r="C46" s="2" t="s">
        <v>79</v>
      </c>
      <c r="D46" s="3">
        <v>8</v>
      </c>
      <c r="E46" s="3">
        <v>1</v>
      </c>
      <c r="F46" s="3"/>
      <c r="G46" s="3"/>
      <c r="H46" s="34">
        <f>SUMIFS('OB History S2'!C:C,'OB History S2'!B:B,A46)</f>
        <v>691</v>
      </c>
      <c r="I46" s="4">
        <f>AVERAGEIFS('OB History S2'!C:C,'OB History S2'!B:B,A46)</f>
        <v>18.675675675675677</v>
      </c>
      <c r="J46" s="35">
        <f t="array" ref="J46">MAX(IF('OB History S2'!B:B=A46, 'OB History S2'!C:C))</f>
        <v>43</v>
      </c>
      <c r="K46" s="34">
        <f>COUNTIFS('OB History S2'!B:B,A46,'OB History S2'!D:D, 1)</f>
        <v>13</v>
      </c>
      <c r="L46" s="2">
        <f>COUNTIFS('OB History S2'!B:B,A46,'OB History S2'!D:D, 0)</f>
        <v>24</v>
      </c>
      <c r="M46" s="88">
        <f>LOOKUP(2, 1/('OB History S2'!$B:$B=A46), 'OB History S2'!$AD:$AD)</f>
        <v>0.35135135135135137</v>
      </c>
      <c r="N46" s="34">
        <f>SUMIFS('OB History S2'!F:F,'OB History S2'!B:B,A46)</f>
        <v>62</v>
      </c>
      <c r="O46" s="2">
        <f>SUMIFS('OB History S2'!E:E,'OB History S2'!B:B,A46)-N46</f>
        <v>91</v>
      </c>
      <c r="P46" s="88">
        <f>LOOKUP(2, 1/('OB History S2'!$B:$B=A46), 'OB History S2'!$AB:$AB)</f>
        <v>0.37972972972972968</v>
      </c>
      <c r="Q46" s="34">
        <f>SUMIFS('OB History S2'!H:H,'OB History S2'!B:B,A46)</f>
        <v>297</v>
      </c>
      <c r="R46" s="2">
        <f>SUMIFS('OB History S2'!G:G,'OB History S2'!B:B,A46)-Q46</f>
        <v>338</v>
      </c>
      <c r="S46" s="88">
        <f>LOOKUP(2, 1/('OB History S2'!$B:$B=A46), 'OB History S2'!$AC:$AC)</f>
        <v>0.4551351351351352</v>
      </c>
      <c r="T46" s="2">
        <f>COUNTIFS('OB History S2'!$B:$B,$A$46,'OB History S2'!K:K, 1)</f>
        <v>3</v>
      </c>
      <c r="U46" s="2">
        <f>COUNTIFS('OB History S2'!$B:$B,$A$46,'OB History S2'!L:L, 1)</f>
        <v>3</v>
      </c>
      <c r="V46" s="2">
        <f>COUNTIFS('OB History S2'!$B:$B,$A$46,'OB History S2'!M:M, 1)</f>
        <v>3</v>
      </c>
      <c r="W46" s="2">
        <f>COUNTIFS('OB History S2'!$B:$B,$A$46,'OB History S2'!N:N, 1)</f>
        <v>9</v>
      </c>
      <c r="X46" s="2">
        <f>COUNTIFS('OB History S2'!$B:$B,$A$46,'OB History S2'!O:O, 1)</f>
        <v>4</v>
      </c>
      <c r="Y46" s="2">
        <f>COUNTIFS('OB History S2'!$B:$B,$A$46,'OB History S2'!P:P, 1)</f>
        <v>5</v>
      </c>
      <c r="Z46" s="2">
        <f>COUNTIFS('OB History S2'!$B:$B,$A$46,'OB History S2'!Q:Q, 1)</f>
        <v>1</v>
      </c>
      <c r="AA46" s="2">
        <f>COUNTIFS('OB History S2'!$B:$B,$A$46,'OB History S2'!R:R, 1)</f>
        <v>5</v>
      </c>
      <c r="AB46" s="2">
        <f>COUNTIFS('OB History S2'!$B:$B,$A$46,'OB History S2'!S:S, 1)</f>
        <v>1</v>
      </c>
      <c r="AC46" s="2">
        <f>COUNTIFS('OB History S2'!$B:$B,$A$46,'OB History S2'!T:T, 1)</f>
        <v>3</v>
      </c>
      <c r="AD46" s="2">
        <f>COUNTIFS('OB History S2'!$B:$B,$A$46,'OB History S2'!U:U, 1)</f>
        <v>0</v>
      </c>
      <c r="AE46" s="2">
        <f>COUNTIFS('OB History S2'!$B:$B,$A$46,'OB History S2'!V:V, 1)</f>
        <v>1</v>
      </c>
      <c r="AF46" s="2">
        <f>COUNTIFS('OB History S2'!$B:$B,$A$46,'OB History S2'!W:W, 1)</f>
        <v>5</v>
      </c>
      <c r="AG46" s="2">
        <f>COUNTIFS('OB History S2'!$B:$B,$A$46,'OB History S2'!X:X, 1)</f>
        <v>7</v>
      </c>
      <c r="AH46" s="2">
        <f>COUNTIFS('OB History S2'!$B:$B,$A$46,'OB History S2'!Y:Y, 1)</f>
        <v>7</v>
      </c>
      <c r="AI46" s="2">
        <f>COUNTIFS('OB History S2'!$B:$B,$A$46,'OB History S2'!Z:Z, 1)</f>
        <v>5</v>
      </c>
    </row>
    <row r="47" spans="1:35" x14ac:dyDescent="0.25">
      <c r="A47" s="2" t="s">
        <v>6</v>
      </c>
      <c r="B47" s="2" t="s">
        <v>60</v>
      </c>
      <c r="C47" s="2" t="s">
        <v>79</v>
      </c>
      <c r="D47" s="3">
        <v>1</v>
      </c>
      <c r="E47" s="2">
        <v>1</v>
      </c>
      <c r="F47" s="2"/>
      <c r="G47" s="2"/>
      <c r="H47" s="34">
        <f>SUMIFS('OB History S2'!C:C,'OB History S2'!B:B,A47)</f>
        <v>471</v>
      </c>
      <c r="I47" s="4">
        <f>AVERAGEIFS('OB History S2'!C:C,'OB History S2'!B:B,A47)</f>
        <v>24.789473684210527</v>
      </c>
      <c r="J47" s="35">
        <f t="array" ref="J47">MAX(IF('OB History S2'!B:B=A47, 'OB History S2'!C:C))</f>
        <v>66</v>
      </c>
      <c r="K47" s="34">
        <f>COUNTIFS('OB History S2'!B:B,A47,'OB History S2'!D:D, 1)</f>
        <v>12</v>
      </c>
      <c r="L47" s="2">
        <f>COUNTIFS('OB History S2'!B:B,A47,'OB History S2'!D:D, 0)</f>
        <v>7</v>
      </c>
      <c r="M47" s="88">
        <f>LOOKUP(2, 1/('OB History S2'!$B:$B=A47), 'OB History S2'!$AD:$AD)</f>
        <v>0.63157894736842102</v>
      </c>
      <c r="N47" s="34">
        <f>SUMIFS('OB History S2'!F:F,'OB History S2'!B:B,A47)</f>
        <v>46</v>
      </c>
      <c r="O47" s="2">
        <f>SUMIFS('OB History S2'!E:E,'OB History S2'!B:B,A47)-N47</f>
        <v>29</v>
      </c>
      <c r="P47" s="88">
        <f>LOOKUP(2, 1/('OB History S2'!$B:$B=A47), 'OB History S2'!$AB:$AB)</f>
        <v>0.64736842105263148</v>
      </c>
      <c r="Q47" s="34">
        <f>SUMIFS('OB History S2'!H:H,'OB History S2'!B:B,A47)</f>
        <v>179</v>
      </c>
      <c r="R47" s="2">
        <f>SUMIFS('OB History S2'!G:G,'OB History S2'!B:B,A47)-Q47</f>
        <v>139</v>
      </c>
      <c r="S47" s="88">
        <f>LOOKUP(2, 1/('OB History S2'!$B:$B=A47), 'OB History S2'!$AC:$AC)</f>
        <v>0.57736842105263153</v>
      </c>
      <c r="T47" s="2">
        <f>COUNTIFS('OB History S2'!$B:$B,$A$47,'OB History S2'!K:K, 1)</f>
        <v>3</v>
      </c>
      <c r="U47" s="2">
        <f>COUNTIFS('OB History S2'!$B:$B,$A$47,'OB History S2'!L:L, 1)</f>
        <v>5</v>
      </c>
      <c r="V47" s="2">
        <f>COUNTIFS('OB History S2'!$B:$B,$A$47,'OB History S2'!M:M, 1)</f>
        <v>6</v>
      </c>
      <c r="W47" s="2">
        <f>COUNTIFS('OB History S2'!$B:$B,$A$47,'OB History S2'!N:N, 1)</f>
        <v>6</v>
      </c>
      <c r="X47" s="2">
        <f>COUNTIFS('OB History S2'!$B:$B,$A$47,'OB History S2'!O:O, 1)</f>
        <v>2</v>
      </c>
      <c r="Y47" s="2">
        <f>COUNTIFS('OB History S2'!$B:$B,$A$47,'OB History S2'!P:P, 1)</f>
        <v>2</v>
      </c>
      <c r="Z47" s="2">
        <f>COUNTIFS('OB History S2'!$B:$B,$A$47,'OB History S2'!Q:Q, 1)</f>
        <v>4</v>
      </c>
      <c r="AA47" s="2">
        <f>COUNTIFS('OB History S2'!$B:$B,$A$47,'OB History S2'!R:R, 1)</f>
        <v>0</v>
      </c>
      <c r="AB47" s="2">
        <f>COUNTIFS('OB History S2'!$B:$B,$A$47,'OB History S2'!S:S, 1)</f>
        <v>1</v>
      </c>
      <c r="AC47" s="2">
        <f>COUNTIFS('OB History S2'!$B:$B,$A$47,'OB History S2'!T:T, 1)</f>
        <v>2</v>
      </c>
      <c r="AD47" s="2">
        <f>COUNTIFS('OB History S2'!$B:$B,$A$47,'OB History S2'!U:U, 1)</f>
        <v>0</v>
      </c>
      <c r="AE47" s="2">
        <f>COUNTIFS('OB History S2'!$B:$B,$A$47,'OB History S2'!V:V, 1)</f>
        <v>0</v>
      </c>
      <c r="AF47" s="2">
        <f>COUNTIFS('OB History S2'!$B:$B,$A$47,'OB History S2'!W:W, 1)</f>
        <v>2</v>
      </c>
      <c r="AG47" s="2">
        <f>COUNTIFS('OB History S2'!$B:$B,$A$47,'OB History S2'!X:X, 1)</f>
        <v>6</v>
      </c>
      <c r="AH47" s="2">
        <f>COUNTIFS('OB History S2'!$B:$B,$A$47,'OB History S2'!Y:Y, 1)</f>
        <v>4</v>
      </c>
      <c r="AI47" s="2">
        <f>COUNTIFS('OB History S2'!$B:$B,$A$47,'OB History S2'!Z:Z, 1)</f>
        <v>3</v>
      </c>
    </row>
    <row r="48" spans="1:35" x14ac:dyDescent="0.25">
      <c r="A48" s="2" t="s">
        <v>18</v>
      </c>
      <c r="B48" s="2" t="s">
        <v>60</v>
      </c>
      <c r="C48" s="2" t="s">
        <v>79</v>
      </c>
      <c r="D48" s="3">
        <v>6</v>
      </c>
      <c r="E48" s="2">
        <v>4</v>
      </c>
      <c r="F48" s="2"/>
      <c r="G48" s="2">
        <v>1</v>
      </c>
      <c r="H48" s="34">
        <f>SUMIFS('OB History S2'!C:C,'OB History S2'!B:B,A48)</f>
        <v>554</v>
      </c>
      <c r="I48" s="4">
        <f>AVERAGEIFS('OB History S2'!C:C,'OB History S2'!B:B,A48)</f>
        <v>26.38095238095238</v>
      </c>
      <c r="J48" s="35">
        <f t="array" ref="J48">MAX(IF('OB History S2'!B:B=A48, 'OB History S2'!C:C))</f>
        <v>58</v>
      </c>
      <c r="K48" s="34">
        <f>COUNTIFS('OB History S2'!B:B,A48,'OB History S2'!D:D, 1)</f>
        <v>12</v>
      </c>
      <c r="L48" s="2">
        <f>COUNTIFS('OB History S2'!B:B,A48,'OB History S2'!D:D, 0)</f>
        <v>9</v>
      </c>
      <c r="M48" s="88">
        <f>LOOKUP(2, 1/('OB History S2'!$B:$B=A48), 'OB History S2'!$AD:$AD)</f>
        <v>0.5714285714285714</v>
      </c>
      <c r="N48" s="34">
        <f>SUMIFS('OB History S2'!F:F,'OB History S2'!B:B,A48)</f>
        <v>45</v>
      </c>
      <c r="O48" s="2">
        <f>SUMIFS('OB History S2'!E:E,'OB History S2'!B:B,A48)-N48</f>
        <v>40</v>
      </c>
      <c r="P48" s="88">
        <f>LOOKUP(2, 1/('OB History S2'!$B:$B=A48), 'OB History S2'!$AB:$AB)</f>
        <v>0.52380952380952384</v>
      </c>
      <c r="Q48" s="34">
        <f>SUMIFS('OB History S2'!H:H,'OB History S2'!B:B,A48)</f>
        <v>181</v>
      </c>
      <c r="R48" s="2">
        <f>SUMIFS('OB History S2'!G:G,'OB History S2'!B:B,A48)-Q48</f>
        <v>172</v>
      </c>
      <c r="S48" s="88">
        <f>LOOKUP(2, 1/('OB History S2'!$B:$B=A48), 'OB History S2'!$AC:$AC)</f>
        <v>0.51666666666666672</v>
      </c>
      <c r="T48" s="2">
        <f>COUNTIFS('OB History S2'!$B:$B,$A$48,'OB History S2'!K:K, 1)</f>
        <v>4</v>
      </c>
      <c r="U48" s="2">
        <f>COUNTIFS('OB History S2'!$B:$B,$A$48,'OB History S2'!L:L, 1)</f>
        <v>3</v>
      </c>
      <c r="V48" s="2">
        <f>COUNTIFS('OB History S2'!$B:$B,$A$48,'OB History S2'!M:M, 1)</f>
        <v>2</v>
      </c>
      <c r="W48" s="2">
        <f>COUNTIFS('OB History S2'!$B:$B,$A$48,'OB History S2'!N:N, 1)</f>
        <v>6</v>
      </c>
      <c r="X48" s="2">
        <f>COUNTIFS('OB History S2'!$B:$B,$A$48,'OB History S2'!O:O, 1)</f>
        <v>2</v>
      </c>
      <c r="Y48" s="2">
        <f>COUNTIFS('OB History S2'!$B:$B,$A$48,'OB History S2'!P:P, 1)</f>
        <v>4</v>
      </c>
      <c r="Z48" s="2">
        <f>COUNTIFS('OB History S2'!$B:$B,$A$48,'OB History S2'!Q:Q, 1)</f>
        <v>3</v>
      </c>
      <c r="AA48" s="2">
        <f>COUNTIFS('OB History S2'!$B:$B,$A$48,'OB History S2'!R:R, 1)</f>
        <v>2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1</v>
      </c>
      <c r="AE48" s="2">
        <f>COUNTIFS('OB History S2'!$B:$B,$A$48,'OB History S2'!V:V, 1)</f>
        <v>0</v>
      </c>
      <c r="AF48" s="2">
        <f>COUNTIFS('OB History S2'!$B:$B,$A$48,'OB History S2'!W:W, 1)</f>
        <v>4</v>
      </c>
      <c r="AG48" s="2">
        <f>COUNTIFS('OB History S2'!$B:$B,$A$48,'OB History S2'!X:X, 1)</f>
        <v>5</v>
      </c>
      <c r="AH48" s="2">
        <f>COUNTIFS('OB History S2'!$B:$B,$A$48,'OB History S2'!Y:Y, 1)</f>
        <v>4</v>
      </c>
      <c r="AI48" s="2">
        <f>COUNTIFS('OB History S2'!$B:$B,$A$48,'OB History S2'!Z:Z, 1)</f>
        <v>5</v>
      </c>
    </row>
    <row r="49" spans="1:35" x14ac:dyDescent="0.25">
      <c r="A49" s="2" t="s">
        <v>113</v>
      </c>
      <c r="B49" s="2" t="s">
        <v>79</v>
      </c>
      <c r="C49" s="2" t="s">
        <v>79</v>
      </c>
      <c r="D49" s="3">
        <v>1</v>
      </c>
      <c r="E49" s="2"/>
      <c r="F49" s="2"/>
      <c r="G49" s="2"/>
      <c r="H49" s="34">
        <f>SUMIFS('OB History S2'!C:C,'OB History S2'!B:B,A49)</f>
        <v>313</v>
      </c>
      <c r="I49" s="4">
        <f>AVERAGEIFS('OB History S2'!C:C,'OB History S2'!B:B,A49)</f>
        <v>20.866666666666667</v>
      </c>
      <c r="J49" s="35">
        <f t="array" ref="J49">MAX(IF('OB History S2'!B:B=A49, 'OB History S2'!C:C))</f>
        <v>50</v>
      </c>
      <c r="K49" s="34">
        <f>COUNTIFS('OB History S2'!B:B,A49,'OB History S2'!D:D, 1)</f>
        <v>10</v>
      </c>
      <c r="L49" s="2">
        <f>COUNTIFS('OB History S2'!B:B,A49,'OB History S2'!D:D, 0)</f>
        <v>5</v>
      </c>
      <c r="M49" s="88">
        <f>LOOKUP(2, 1/('OB History S2'!$B:$B=A49), 'OB History S2'!$AD:$AD)</f>
        <v>0.66666666666666663</v>
      </c>
      <c r="N49" s="34">
        <f>SUMIFS('OB History S2'!F:F,'OB History S2'!B:B,A49)</f>
        <v>33</v>
      </c>
      <c r="O49" s="2">
        <f>SUMIFS('OB History S2'!E:E,'OB History S2'!B:B,A49)-N49</f>
        <v>23</v>
      </c>
      <c r="P49" s="88">
        <f>LOOKUP(2, 1/('OB History S2'!$B:$B=A49), 'OB History S2'!$AB:$AB)</f>
        <v>0.59</v>
      </c>
      <c r="Q49" s="34">
        <f>SUMIFS('OB History S2'!H:H,'OB History S2'!B:B,A49)</f>
        <v>123</v>
      </c>
      <c r="R49" s="2">
        <f>SUMIFS('OB History S2'!G:G,'OB History S2'!B:B,A49)-Q49</f>
        <v>110</v>
      </c>
      <c r="S49" s="88">
        <f>LOOKUP(2, 1/('OB History S2'!$B:$B=A49), 'OB History S2'!$AC:$AC)</f>
        <v>0.52399999999999991</v>
      </c>
      <c r="T49" s="2">
        <f>COUNTIFS('OB History S2'!$B:$B,$A$49,'OB History S2'!K:K, 1)</f>
        <v>0</v>
      </c>
      <c r="U49" s="2">
        <f>COUNTIFS('OB History S2'!$B:$B,$A$49,'OB History S2'!L:L, 1)</f>
        <v>6</v>
      </c>
      <c r="V49" s="2">
        <f>COUNTIFS('OB History S2'!$B:$B,$A$49,'OB History S2'!M:M, 1)</f>
        <v>3</v>
      </c>
      <c r="W49" s="2">
        <f>COUNTIFS('OB History S2'!$B:$B,$A$49,'OB History S2'!N:N, 1)</f>
        <v>4</v>
      </c>
      <c r="X49" s="2">
        <f>COUNTIFS('OB History S2'!$B:$B,$A$49,'OB History S2'!O:O, 1)</f>
        <v>1</v>
      </c>
      <c r="Y49" s="2">
        <f>COUNTIFS('OB History S2'!$B:$B,$A$49,'OB History S2'!P:P, 1)</f>
        <v>2</v>
      </c>
      <c r="Z49" s="2">
        <f>COUNTIFS('OB History S2'!$B:$B,$A$49,'OB History S2'!Q:Q, 1)</f>
        <v>2</v>
      </c>
      <c r="AA49" s="2">
        <f>COUNTIFS('OB History S2'!$B:$B,$A$49,'OB History S2'!R:R, 1)</f>
        <v>0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1</v>
      </c>
      <c r="AF49" s="2">
        <f>COUNTIFS('OB History S2'!$B:$B,$A$49,'OB History S2'!W:W, 1)</f>
        <v>2</v>
      </c>
      <c r="AG49" s="2">
        <f>COUNTIFS('OB History S2'!$B:$B,$A$49,'OB History S2'!X:X, 1)</f>
        <v>4</v>
      </c>
      <c r="AH49" s="2">
        <f>COUNTIFS('OB History S2'!$B:$B,$A$49,'OB History S2'!Y:Y, 1)</f>
        <v>3</v>
      </c>
      <c r="AI49" s="2">
        <f>COUNTIFS('OB History S2'!$B:$B,$A$49,'OB History S2'!Z:Z, 1)</f>
        <v>5</v>
      </c>
    </row>
    <row r="50" spans="1:35" x14ac:dyDescent="0.25">
      <c r="A50" s="2" t="s">
        <v>169</v>
      </c>
      <c r="B50" s="2" t="s">
        <v>79</v>
      </c>
      <c r="C50" s="2" t="s">
        <v>79</v>
      </c>
      <c r="D50" s="3"/>
      <c r="E50" s="2"/>
      <c r="F50" s="2"/>
      <c r="G50" s="2"/>
      <c r="H50" s="34">
        <f>SUMIFS('OB History S2'!C:C,'OB History S2'!B:B,A50)</f>
        <v>2</v>
      </c>
      <c r="I50" s="4">
        <f>AVERAGEIFS('OB History S2'!C:C,'OB History S2'!B:B,A50)</f>
        <v>2</v>
      </c>
      <c r="J50" s="35">
        <f t="array" ref="J50">MAX(IF('OB History S2'!B:B=A50, 'OB History S2'!C:C))</f>
        <v>2</v>
      </c>
      <c r="K50" s="34">
        <f>COUNTIFS('OB History S2'!B:B,A50,'OB History S2'!D:D, 1)</f>
        <v>0</v>
      </c>
      <c r="L50" s="2">
        <f>COUNTIFS('OB History S2'!B:B,A50,'OB History S2'!D:D, 0)</f>
        <v>1</v>
      </c>
      <c r="M50" s="88">
        <f>LOOKUP(2, 1/('OB History S2'!$B:$B=A50), 'OB History S2'!$AD:$AD)</f>
        <v>0</v>
      </c>
      <c r="N50" s="34">
        <f>SUMIFS('OB History S2'!F:F,'OB History S2'!B:B,A50)</f>
        <v>2</v>
      </c>
      <c r="O50" s="2">
        <f>SUMIFS('OB History S2'!E:E,'OB History S2'!B:B,A50)-N50</f>
        <v>3</v>
      </c>
      <c r="P50" s="88">
        <f>LOOKUP(2, 1/('OB History S2'!$B:$B=A50), 'OB History S2'!$AB:$AB)</f>
        <v>0.4</v>
      </c>
      <c r="Q50" s="34">
        <f>SUMIFS('OB History S2'!H:H,'OB History S2'!B:B,A50)</f>
        <v>6</v>
      </c>
      <c r="R50" s="2">
        <f>SUMIFS('OB History S2'!G:G,'OB History S2'!B:B,A50)-Q50</f>
        <v>14</v>
      </c>
      <c r="S50" s="88">
        <f>LOOKUP(2, 1/('OB History S2'!$B:$B=A50), 'OB History S2'!$AC:$AC)</f>
        <v>0.3</v>
      </c>
      <c r="T50" s="2">
        <f>COUNTIFS('OB History S2'!$B:$B,$A$50,'OB History S2'!K:K, 1)</f>
        <v>0</v>
      </c>
      <c r="U50" s="2">
        <f>COUNTIFS('OB History S2'!$B:$B,$A$50,'OB History S2'!L:L, 1)</f>
        <v>0</v>
      </c>
      <c r="V50" s="2">
        <f>COUNTIFS('OB History S2'!$B:$B,$A$50,'OB History S2'!M:M, 1)</f>
        <v>0</v>
      </c>
      <c r="W50" s="2">
        <f>COUNTIFS('OB History S2'!$B:$B,$A$50,'OB History S2'!N:N, 1)</f>
        <v>0</v>
      </c>
      <c r="X50" s="2">
        <f>COUNTIFS('OB History S2'!$B:$B,$A$50,'OB History S2'!O:O, 1)</f>
        <v>0</v>
      </c>
      <c r="Y50" s="2">
        <f>COUNTIFS('OB History S2'!$B:$B,$A$50,'OB History S2'!P:P, 1)</f>
        <v>0</v>
      </c>
      <c r="Z50" s="2">
        <f>COUNTIFS('OB History S2'!$B:$B,$A$50,'OB History S2'!Q:Q, 1)</f>
        <v>0</v>
      </c>
      <c r="AA50" s="2">
        <f>COUNTIFS('OB History S2'!$B:$B,$A$50,'OB History S2'!R:R, 1)</f>
        <v>0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0</v>
      </c>
      <c r="AF50" s="2">
        <f>COUNTIFS('OB History S2'!$B:$B,$A$50,'OB History S2'!W:W, 1)</f>
        <v>1</v>
      </c>
      <c r="AG50" s="2">
        <f>COUNTIFS('OB History S2'!$B:$B,$A$50,'OB History S2'!X:X, 1)</f>
        <v>0</v>
      </c>
      <c r="AH50" s="2">
        <f>COUNTIFS('OB History S2'!$B:$B,$A$50,'OB History S2'!Y:Y, 1)</f>
        <v>1</v>
      </c>
      <c r="AI50" s="2">
        <f>COUNTIFS('OB History S2'!$B:$B,$A$50,'OB History S2'!Z:Z, 1)</f>
        <v>0</v>
      </c>
    </row>
    <row r="51" spans="1:35" x14ac:dyDescent="0.25">
      <c r="A51" s="2" t="s">
        <v>14</v>
      </c>
      <c r="B51" s="6" t="s">
        <v>124</v>
      </c>
      <c r="C51" s="6" t="s">
        <v>124</v>
      </c>
      <c r="D51" s="3">
        <v>6</v>
      </c>
      <c r="E51" s="6">
        <v>2</v>
      </c>
      <c r="F51" s="6"/>
      <c r="G51" s="6"/>
      <c r="H51" s="34">
        <f>SUMIFS('OB History S2'!C:C,'OB History S2'!B:B,A51)</f>
        <v>609</v>
      </c>
      <c r="I51" s="4">
        <f>AVERAGEIFS('OB History S2'!C:C,'OB History S2'!B:B,A51)</f>
        <v>22.555555555555557</v>
      </c>
      <c r="J51" s="35">
        <f t="array" ref="J51">MAX(IF('OB History S2'!B:B=A51, 'OB History S2'!C:C))</f>
        <v>54</v>
      </c>
      <c r="K51" s="34">
        <f>COUNTIFS('OB History S2'!B:B,A51,'OB History S2'!D:D, 1)</f>
        <v>10</v>
      </c>
      <c r="L51" s="2">
        <f>COUNTIFS('OB History S2'!B:B,A51,'OB History S2'!D:D, 0)</f>
        <v>17</v>
      </c>
      <c r="M51" s="88">
        <f>LOOKUP(2, 1/('OB History S2'!$B:$B=A51), 'OB History S2'!$AD:$AD)</f>
        <v>0.37037037037037035</v>
      </c>
      <c r="N51" s="34">
        <f>SUMIFS('OB History S2'!F:F,'OB History S2'!B:B,A51)</f>
        <v>45</v>
      </c>
      <c r="O51" s="2">
        <f>SUMIFS('OB History S2'!E:E,'OB History S2'!B:B,A51)-N51</f>
        <v>62</v>
      </c>
      <c r="P51" s="88">
        <f>LOOKUP(2, 1/('OB History S2'!$B:$B=A51), 'OB History S2'!$AB:$AB)</f>
        <v>0.40740740740740738</v>
      </c>
      <c r="Q51" s="34">
        <f>SUMIFS('OB History S2'!H:H,'OB History S2'!B:B,A51)</f>
        <v>201</v>
      </c>
      <c r="R51" s="2">
        <f>SUMIFS('OB History S2'!G:G,'OB History S2'!B:B,A51)-Q51</f>
        <v>243</v>
      </c>
      <c r="S51" s="88">
        <f>LOOKUP(2, 1/('OB History S2'!$B:$B=A51), 'OB History S2'!$AC:$AC)</f>
        <v>0.4525925925925926</v>
      </c>
      <c r="T51" s="2">
        <f>COUNTIFS('OB History S2'!$B:$B,$A$51,'OB History S2'!K:K, 1)</f>
        <v>3</v>
      </c>
      <c r="U51" s="2">
        <f>COUNTIFS('OB History S2'!$B:$B,$A$51,'OB History S2'!L:L, 1)</f>
        <v>4</v>
      </c>
      <c r="V51" s="2">
        <f>COUNTIFS('OB History S2'!$B:$B,$A$51,'OB History S2'!M:M, 1)</f>
        <v>2</v>
      </c>
      <c r="W51" s="2">
        <f>COUNTIFS('OB History S2'!$B:$B,$A$51,'OB History S2'!N:N, 1)</f>
        <v>3</v>
      </c>
      <c r="X51" s="2">
        <f>COUNTIFS('OB History S2'!$B:$B,$A$51,'OB History S2'!O:O, 1)</f>
        <v>2</v>
      </c>
      <c r="Y51" s="2">
        <f>COUNTIFS('OB History S2'!$B:$B,$A$51,'OB History S2'!P:P, 1)</f>
        <v>2</v>
      </c>
      <c r="Z51" s="2">
        <f>COUNTIFS('OB History S2'!$B:$B,$A$51,'OB History S2'!Q:Q, 1)</f>
        <v>2</v>
      </c>
      <c r="AA51" s="2">
        <f>COUNTIFS('OB History S2'!$B:$B,$A$51,'OB History S2'!R:R, 1)</f>
        <v>1</v>
      </c>
      <c r="AB51" s="2">
        <f>COUNTIFS('OB History S2'!$B:$B,$A$51,'OB History S2'!S:S, 1)</f>
        <v>1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5</v>
      </c>
      <c r="AG51" s="2">
        <f>COUNTIFS('OB History S2'!$B:$B,$A$51,'OB History S2'!X:X, 1)</f>
        <v>11</v>
      </c>
      <c r="AH51" s="2">
        <f>COUNTIFS('OB History S2'!$B:$B,$A$51,'OB History S2'!Y:Y, 1)</f>
        <v>4</v>
      </c>
      <c r="AI51" s="2">
        <f>COUNTIFS('OB History S2'!$B:$B,$A$51,'OB History S2'!Z:Z, 1)</f>
        <v>5</v>
      </c>
    </row>
    <row r="52" spans="1:35" x14ac:dyDescent="0.25">
      <c r="A52" s="2" t="s">
        <v>70</v>
      </c>
      <c r="B52" s="6" t="s">
        <v>79</v>
      </c>
      <c r="C52" s="6" t="s">
        <v>79</v>
      </c>
      <c r="D52" s="3"/>
      <c r="E52" s="6"/>
      <c r="F52" s="6"/>
      <c r="G52" s="6"/>
      <c r="H52" s="34">
        <f>SUMIFS('OB History S2'!C:C,'OB History S2'!B:B,A52)</f>
        <v>70</v>
      </c>
      <c r="I52" s="4">
        <f>AVERAGEIFS('OB History S2'!C:C,'OB History S2'!B:B,A52)</f>
        <v>17.5</v>
      </c>
      <c r="J52" s="35">
        <f t="array" ref="J52">MAX(IF('OB History S2'!B:B=A52, 'OB History S2'!C:C))</f>
        <v>27</v>
      </c>
      <c r="K52" s="34">
        <f>COUNTIFS('OB History S2'!B:B,A52,'OB History S2'!D:D, 1)</f>
        <v>3</v>
      </c>
      <c r="L52" s="2">
        <f>COUNTIFS('OB History S2'!B:B,A52,'OB History S2'!D:D, 0)</f>
        <v>1</v>
      </c>
      <c r="M52" s="88">
        <f>LOOKUP(2, 1/('OB History S2'!$B:$B=A52), 'OB History S2'!$AD:$AD)</f>
        <v>0.75</v>
      </c>
      <c r="N52" s="34">
        <f>SUMIFS('OB History S2'!F:F,'OB History S2'!B:B,A52)</f>
        <v>11</v>
      </c>
      <c r="O52" s="2">
        <f>SUMIFS('OB History S2'!E:E,'OB History S2'!B:B,A52)-N52</f>
        <v>7</v>
      </c>
      <c r="P52" s="88">
        <f>LOOKUP(2, 1/('OB History S2'!$B:$B=A52), 'OB History S2'!$AB:$AB)</f>
        <v>0.65</v>
      </c>
      <c r="Q52" s="34">
        <f>SUMIFS('OB History S2'!H:H,'OB History S2'!B:B,A52)</f>
        <v>41</v>
      </c>
      <c r="R52" s="2">
        <f>SUMIFS('OB History S2'!G:G,'OB History S2'!B:B,A52)-Q52</f>
        <v>34</v>
      </c>
      <c r="S52" s="88">
        <f>LOOKUP(2, 1/('OB History S2'!$B:$B=A52), 'OB History S2'!$AC:$AC)</f>
        <v>0.5575</v>
      </c>
      <c r="T52" s="2">
        <f>COUNTIFS('OB History S2'!$B:$B,$A$52,'OB History S2'!K:K, 1)</f>
        <v>1</v>
      </c>
      <c r="U52" s="2">
        <f>COUNTIFS('OB History S2'!$B:$B,$A$52,'OB History S2'!L:L, 1)</f>
        <v>0</v>
      </c>
      <c r="V52" s="2">
        <f>COUNTIFS('OB History S2'!$B:$B,$A$52,'OB History S2'!M:M, 1)</f>
        <v>0</v>
      </c>
      <c r="W52" s="2">
        <f>COUNTIFS('OB History S2'!$B:$B,$A$52,'OB History S2'!N:N, 1)</f>
        <v>0</v>
      </c>
      <c r="X52" s="2">
        <f>COUNTIFS('OB History S2'!$B:$B,$A$52,'OB History S2'!O:O, 1)</f>
        <v>2</v>
      </c>
      <c r="Y52" s="2">
        <f>COUNTIFS('OB History S2'!$B:$B,$A$52,'OB History S2'!P:P, 1)</f>
        <v>0</v>
      </c>
      <c r="Z52" s="2">
        <f>COUNTIFS('OB History S2'!$B:$B,$A$52,'OB History S2'!Q:Q, 1)</f>
        <v>0</v>
      </c>
      <c r="AA52" s="2">
        <f>COUNTIFS('OB History S2'!$B:$B,$A$52,'OB History S2'!R:R, 1)</f>
        <v>1</v>
      </c>
      <c r="AB52" s="2">
        <f>COUNTIFS('OB History S2'!$B:$B,$A$52,'OB History S2'!S:S, 1)</f>
        <v>0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0</v>
      </c>
      <c r="AG52" s="2">
        <f>COUNTIFS('OB History S2'!$B:$B,$A$52,'OB History S2'!X:X, 1)</f>
        <v>3</v>
      </c>
      <c r="AH52" s="2">
        <f>COUNTIFS('OB History S2'!$B:$B,$A$52,'OB History S2'!Y:Y, 1)</f>
        <v>1</v>
      </c>
      <c r="AI52" s="2">
        <f>COUNTIFS('OB History S2'!$B:$B,$A$52,'OB History S2'!Z:Z, 1)</f>
        <v>3</v>
      </c>
    </row>
    <row r="53" spans="1:35" x14ac:dyDescent="0.25">
      <c r="A53" s="2" t="s">
        <v>4</v>
      </c>
      <c r="B53" s="2" t="s">
        <v>79</v>
      </c>
      <c r="C53" s="2" t="s">
        <v>79</v>
      </c>
      <c r="D53" s="3">
        <v>1</v>
      </c>
      <c r="E53" s="2"/>
      <c r="F53" s="2"/>
      <c r="G53" s="2"/>
      <c r="H53" s="34">
        <f>SUMIFS('OB History S2'!C:C,'OB History S2'!B:B,A53)</f>
        <v>247</v>
      </c>
      <c r="I53" s="4">
        <f>AVERAGEIFS('OB History S2'!C:C,'OB History S2'!B:B,A53)</f>
        <v>22.454545454545453</v>
      </c>
      <c r="J53" s="35">
        <f t="array" ref="J53">MAX(IF('OB History S2'!B:B=A53, 'OB History S2'!C:C))</f>
        <v>46</v>
      </c>
      <c r="K53" s="34">
        <f>COUNTIFS('OB History S2'!B:B,A53,'OB History S2'!D:D, 1)</f>
        <v>6</v>
      </c>
      <c r="L53" s="2">
        <f>COUNTIFS('OB History S2'!B:B,A53,'OB History S2'!D:D, 0)</f>
        <v>5</v>
      </c>
      <c r="M53" s="88">
        <f>LOOKUP(2, 1/('OB History S2'!$B:$B=A53), 'OB History S2'!$AD:$AD)</f>
        <v>0.54545454545454541</v>
      </c>
      <c r="N53" s="34">
        <f>SUMIFS('OB History S2'!F:F,'OB History S2'!B:B,A53)</f>
        <v>21</v>
      </c>
      <c r="O53" s="2">
        <f>SUMIFS('OB History S2'!E:E,'OB History S2'!B:B,A53)-N53</f>
        <v>23</v>
      </c>
      <c r="P53" s="88">
        <f>LOOKUP(2, 1/('OB History S2'!$B:$B=A53), 'OB History S2'!$AB:$AB)</f>
        <v>0.47272727272727272</v>
      </c>
      <c r="Q53" s="34">
        <f>SUMIFS('OB History S2'!H:H,'OB History S2'!B:B,A53)</f>
        <v>88</v>
      </c>
      <c r="R53" s="2">
        <f>SUMIFS('OB History S2'!G:G,'OB History S2'!B:B,A53)-Q53</f>
        <v>93</v>
      </c>
      <c r="S53" s="88">
        <f>LOOKUP(2, 1/('OB History S2'!$B:$B=A53), 'OB History S2'!$AC:$AC)</f>
        <v>0.47545454545454541</v>
      </c>
      <c r="T53" s="2">
        <f>COUNTIFS('OB History S2'!$B:$B,$A$53,'OB History S2'!K:K, 1)</f>
        <v>2</v>
      </c>
      <c r="U53" s="2">
        <f>COUNTIFS('OB History S2'!$B:$B,$A$53,'OB History S2'!L:L, 1)</f>
        <v>4</v>
      </c>
      <c r="V53" s="2">
        <f>COUNTIFS('OB History S2'!$B:$B,$A$53,'OB History S2'!M:M, 1)</f>
        <v>1</v>
      </c>
      <c r="W53" s="2">
        <f>COUNTIFS('OB History S2'!$B:$B,$A$53,'OB History S2'!N:N, 1)</f>
        <v>1</v>
      </c>
      <c r="X53" s="2">
        <f>COUNTIFS('OB History S2'!$B:$B,$A$53,'OB History S2'!O:O, 1)</f>
        <v>2</v>
      </c>
      <c r="Y53" s="2">
        <f>COUNTIFS('OB History S2'!$B:$B,$A$53,'OB History S2'!P:P, 1)</f>
        <v>1</v>
      </c>
      <c r="Z53" s="2">
        <f>COUNTIFS('OB History S2'!$B:$B,$A$53,'OB History S2'!Q:Q, 1)</f>
        <v>1</v>
      </c>
      <c r="AA53" s="2">
        <f>COUNTIFS('OB History S2'!$B:$B,$A$53,'OB History S2'!R:R, 1)</f>
        <v>0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0</v>
      </c>
      <c r="AE53" s="2">
        <f>COUNTIFS('OB History S2'!$B:$B,$A$53,'OB History S2'!V:V, 1)</f>
        <v>0</v>
      </c>
      <c r="AF53" s="2">
        <f>COUNTIFS('OB History S2'!$B:$B,$A$53,'OB History S2'!W:W, 1)</f>
        <v>2</v>
      </c>
      <c r="AG53" s="2">
        <f>COUNTIFS('OB History S2'!$B:$B,$A$53,'OB History S2'!X:X, 1)</f>
        <v>4</v>
      </c>
      <c r="AH53" s="2">
        <f>COUNTIFS('OB History S2'!$B:$B,$A$53,'OB History S2'!Y:Y, 1)</f>
        <v>2</v>
      </c>
      <c r="AI53" s="2">
        <f>COUNTIFS('OB History S2'!$B:$B,$A$53,'OB History S2'!Z:Z, 1)</f>
        <v>1</v>
      </c>
    </row>
    <row r="54" spans="1:35" x14ac:dyDescent="0.25">
      <c r="A54" s="2" t="s">
        <v>55</v>
      </c>
      <c r="B54" s="2" t="s">
        <v>79</v>
      </c>
      <c r="C54" s="2" t="s">
        <v>79</v>
      </c>
      <c r="D54" s="2"/>
      <c r="E54" s="2"/>
      <c r="F54" s="2"/>
      <c r="G54" s="2"/>
      <c r="H54" s="34">
        <f>SUMIFS('OB History S2'!C:C,'OB History S2'!B:B,A54)</f>
        <v>74</v>
      </c>
      <c r="I54" s="4">
        <f>AVERAGEIFS('OB History S2'!C:C,'OB History S2'!B:B,A54)</f>
        <v>10.571428571428571</v>
      </c>
      <c r="J54" s="35">
        <f t="array" ref="J54">MAX(IF('OB History S2'!B:B=A54, 'OB History S2'!C:C))</f>
        <v>20</v>
      </c>
      <c r="K54" s="34">
        <f>COUNTIFS('OB History S2'!B:B,A54,'OB History S2'!D:D, 1)</f>
        <v>5</v>
      </c>
      <c r="L54" s="2">
        <f>COUNTIFS('OB History S2'!B:B,A54,'OB History S2'!D:D, 0)</f>
        <v>2</v>
      </c>
      <c r="M54" s="88">
        <f>LOOKUP(2, 1/('OB History S2'!$B:$B=A54), 'OB History S2'!$AD:$AD)</f>
        <v>0.7142857142857143</v>
      </c>
      <c r="N54" s="34">
        <f>SUMIFS('OB History S2'!F:F,'OB History S2'!B:B,A54)</f>
        <v>18</v>
      </c>
      <c r="O54" s="2">
        <f>SUMIFS('OB History S2'!E:E,'OB History S2'!B:B,A54)-N54</f>
        <v>10</v>
      </c>
      <c r="P54" s="88">
        <f>LOOKUP(2, 1/('OB History S2'!$B:$B=A54), 'OB History S2'!$AB:$AB)</f>
        <v>0.6785714285714286</v>
      </c>
      <c r="Q54" s="34">
        <f>SUMIFS('OB History S2'!H:H,'OB History S2'!B:B,A54)</f>
        <v>70</v>
      </c>
      <c r="R54" s="2">
        <f>SUMIFS('OB History S2'!G:G,'OB History S2'!B:B,A54)-Q54</f>
        <v>46</v>
      </c>
      <c r="S54" s="88">
        <f>LOOKUP(2, 1/('OB History S2'!$B:$B=A54), 'OB History S2'!$AC:$AC)</f>
        <v>0.6171428571428571</v>
      </c>
      <c r="T54" s="2">
        <f>COUNTIFS('OB History S2'!$B:$B,$A$54,'OB History S2'!K:K, 1)</f>
        <v>1</v>
      </c>
      <c r="U54" s="2">
        <f>COUNTIFS('OB History S2'!$B:$B,$A$54,'OB History S2'!L:L, 1)</f>
        <v>1</v>
      </c>
      <c r="V54" s="2">
        <f>COUNTIFS('OB History S2'!$B:$B,$A$54,'OB History S2'!M:M, 1)</f>
        <v>0</v>
      </c>
      <c r="W54" s="2">
        <f>COUNTIFS('OB History S2'!$B:$B,$A$54,'OB History S2'!N:N, 1)</f>
        <v>3</v>
      </c>
      <c r="X54" s="2">
        <f>COUNTIFS('OB History S2'!$B:$B,$A$54,'OB History S2'!O:O, 1)</f>
        <v>0</v>
      </c>
      <c r="Y54" s="2">
        <f>COUNTIFS('OB History S2'!$B:$B,$A$54,'OB History S2'!P:P, 1)</f>
        <v>1</v>
      </c>
      <c r="Z54" s="2">
        <f>COUNTIFS('OB History S2'!$B:$B,$A$54,'OB History S2'!Q:Q, 1)</f>
        <v>1</v>
      </c>
      <c r="AA54" s="2">
        <f>COUNTIFS('OB History S2'!$B:$B,$A$54,'OB History S2'!R:R, 1)</f>
        <v>1</v>
      </c>
      <c r="AB54" s="2">
        <f>COUNTIFS('OB History S2'!$B:$B,$A$54,'OB History S2'!S:S, 1)</f>
        <v>0</v>
      </c>
      <c r="AC54" s="2">
        <f>COUNTIFS('OB History S2'!$B:$B,$A$54,'OB History S2'!T:T, 1)</f>
        <v>0</v>
      </c>
      <c r="AD54" s="2">
        <f>COUNTIFS('OB History S2'!$B:$B,$A$54,'OB History S2'!U:U, 1)</f>
        <v>1</v>
      </c>
      <c r="AE54" s="2">
        <f>COUNTIFS('OB History S2'!$B:$B,$A$54,'OB History S2'!V:V, 1)</f>
        <v>0</v>
      </c>
      <c r="AF54" s="2">
        <f>COUNTIFS('OB History S2'!$B:$B,$A$54,'OB History S2'!W:W, 1)</f>
        <v>0</v>
      </c>
      <c r="AG54" s="2">
        <f>COUNTIFS('OB History S2'!$B:$B,$A$54,'OB History S2'!X:X, 1)</f>
        <v>4</v>
      </c>
      <c r="AH54" s="2">
        <f>COUNTIFS('OB History S2'!$B:$B,$A$54,'OB History S2'!Y:Y, 1)</f>
        <v>2</v>
      </c>
      <c r="AI54" s="2">
        <f>COUNTIFS('OB History S2'!$B:$B,$A$54,'OB History S2'!Z:Z, 1)</f>
        <v>3</v>
      </c>
    </row>
  </sheetData>
  <autoFilter ref="A1:AI53" xr:uid="{EEC03B8F-669F-4FC0-BA62-50F3D395660C}">
    <sortState xmlns:xlrd2="http://schemas.microsoft.com/office/spreadsheetml/2017/richdata2" ref="A2:AI54">
      <sortCondition ref="A1:A53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699"/>
  <sheetViews>
    <sheetView topLeftCell="C1" workbookViewId="0">
      <pane ySplit="1" topLeftCell="A670" activePane="bottomLeft" state="frozen"/>
      <selection pane="bottomLeft" activeCell="AB702" sqref="AB70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f>AVERAGEIFS($C$2:C623, $B$2:B623, B623)</f>
        <v>30.25</v>
      </c>
      <c r="AB623" s="86">
        <f>AVERAGEIFS($I$2:I623, $B$2:B623, B623)</f>
        <v>0.68125000000000002</v>
      </c>
      <c r="AC623" s="86">
        <f>AVERAGEIFS($J$2:J623, $B$2:B623, B623)</f>
        <v>0.5675</v>
      </c>
      <c r="AD623" s="86">
        <f>AVERAGEIFS($D$2:D623, $B$2:B623, B623)</f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f>AVERAGEIFS($C$2:C624, $B$2:B624, B624)</f>
        <v>25.466666666666665</v>
      </c>
      <c r="AB624" s="86">
        <f>AVERAGEIFS($I$2:I624, $B$2:B624, B624)</f>
        <v>0.60999999999999988</v>
      </c>
      <c r="AC624" s="86">
        <f>AVERAGEIFS($J$2:J624, $B$2:B624, B624)</f>
        <v>0.56866666666666665</v>
      </c>
      <c r="AD624" s="86">
        <f>AVERAGEIFS($D$2:D624, $B$2:B624, B624)</f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f>AVERAGEIFS($C$2:C625, $B$2:B625, B625)</f>
        <v>11.333333333333334</v>
      </c>
      <c r="AB625" s="86">
        <f>AVERAGEIFS($I$2:I625, $B$2:B625, B625)</f>
        <v>0.48333333333333334</v>
      </c>
      <c r="AC625" s="86">
        <f>AVERAGEIFS($J$2:J625, $B$2:B625, B625)</f>
        <v>0.49666666666666665</v>
      </c>
      <c r="AD625" s="86">
        <f>AVERAGEIFS($D$2:D625, $B$2:B625, B625)</f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f>AVERAGEIFS($C$2:C626, $B$2:B626, B626)</f>
        <v>12.833333333333334</v>
      </c>
      <c r="AB626" s="86">
        <f>AVERAGEIFS($I$2:I626, $B$2:B626, B626)</f>
        <v>0.54305555555555551</v>
      </c>
      <c r="AC626" s="86">
        <f>AVERAGEIFS($J$2:J626, $B$2:B626, B626)</f>
        <v>0.52055555555555566</v>
      </c>
      <c r="AD626" s="86">
        <f>AVERAGEIFS($D$2:D626, $B$2:B626, B626)</f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f>AVERAGEIFS($C$2:C627, $B$2:B627, B627)</f>
        <v>18.235294117647058</v>
      </c>
      <c r="AB627" s="86">
        <f>AVERAGEIFS($I$2:I627, $B$2:B627, B627)</f>
        <v>0.66176470588235292</v>
      </c>
      <c r="AC627" s="86">
        <f>AVERAGEIFS($J$2:J627, $B$2:B627, B627)</f>
        <v>0.59235294117647042</v>
      </c>
      <c r="AD627" s="86">
        <f>AVERAGEIFS($D$2:D627, $B$2:B627, B627)</f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f>AVERAGEIFS($C$2:C628, $B$2:B628, B628)</f>
        <v>16.1875</v>
      </c>
      <c r="AB628" s="86">
        <f>AVERAGEIFS($I$2:I628, $B$2:B628, B628)</f>
        <v>0.44062499999999999</v>
      </c>
      <c r="AC628" s="86">
        <f>AVERAGEIFS($J$2:J628, $B$2:B628, B628)</f>
        <v>0.48500000000000004</v>
      </c>
      <c r="AD628" s="86">
        <f>AVERAGEIFS($D$2:D628, $B$2:B628, B628)</f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f>AVERAGEIFS($C$2:C629, $B$2:B629, B629)</f>
        <v>22.08</v>
      </c>
      <c r="AB629" s="86">
        <f>AVERAGEIFS($I$2:I629, $B$2:B629, B629)</f>
        <v>0.43</v>
      </c>
      <c r="AC629" s="86">
        <f>AVERAGEIFS($J$2:J629, $B$2:B629, B629)</f>
        <v>0.45640000000000003</v>
      </c>
      <c r="AD629" s="86">
        <f>AVERAGEIFS($D$2:D629, $B$2:B629, B629)</f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f>AVERAGEIFS($C$2:C630, $B$2:B630, B630)</f>
        <v>26.38095238095238</v>
      </c>
      <c r="AB630" s="86">
        <f>AVERAGEIFS($I$2:I630, $B$2:B630, B630)</f>
        <v>0.52380952380952384</v>
      </c>
      <c r="AC630" s="86">
        <f>AVERAGEIFS($J$2:J630, $B$2:B630, B630)</f>
        <v>0.51666666666666672</v>
      </c>
      <c r="AD630" s="86">
        <f>AVERAGEIFS($D$2:D630, $B$2:B630, B630)</f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f>AVERAGEIFS($C$2:C631, $B$2:B631, B631)</f>
        <v>18.78125</v>
      </c>
      <c r="AB631" s="86">
        <f>AVERAGEIFS($I$2:I631, $B$2:B631, B631)</f>
        <v>0.39999999999999997</v>
      </c>
      <c r="AC631" s="86">
        <f>AVERAGEIFS($J$2:J631, $B$2:B631, B631)</f>
        <v>0.46562500000000012</v>
      </c>
      <c r="AD631" s="86">
        <f>AVERAGEIFS($D$2:D631, $B$2:B631, B631)</f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f>AVERAGEIFS($C$2:C632, $B$2:B632, B632)</f>
        <v>20.866666666666667</v>
      </c>
      <c r="AB632" s="86">
        <f>AVERAGEIFS($I$2:I632, $B$2:B632, B632)</f>
        <v>0.59</v>
      </c>
      <c r="AC632" s="86">
        <f>AVERAGEIFS($J$2:J632, $B$2:B632, B632)</f>
        <v>0.52399999999999991</v>
      </c>
      <c r="AD632" s="86">
        <f>AVERAGEIFS($D$2:D632, $B$2:B632, B632)</f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f>AVERAGEIFS($C$2:C633, $B$2:B633, B633)</f>
        <v>13.038461538461538</v>
      </c>
      <c r="AB633" s="86">
        <f>AVERAGEIFS($I$2:I633, $B$2:B633, B633)</f>
        <v>0.53846153846153844</v>
      </c>
      <c r="AC633" s="86">
        <f>AVERAGEIFS($J$2:J633, $B$2:B633, B633)</f>
        <v>0.49884615384615394</v>
      </c>
      <c r="AD633" s="86">
        <f>AVERAGEIFS($D$2:D633, $B$2:B633, B633)</f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f>AVERAGEIFS($C$2:C634, $B$2:B634, B634)</f>
        <v>14.25</v>
      </c>
      <c r="AB634" s="86">
        <f>AVERAGEIFS($I$2:I634, $B$2:B634, B634)</f>
        <v>0.84375</v>
      </c>
      <c r="AC634" s="86">
        <f>AVERAGEIFS($J$2:J634, $B$2:B634, B634)</f>
        <v>0.61125000000000007</v>
      </c>
      <c r="AD634" s="86">
        <f>AVERAGEIFS($D$2:D634, $B$2:B634, B634)</f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f>AVERAGEIFS($C$2:C635, $B$2:B635, B635)</f>
        <v>9.6666666666666661</v>
      </c>
      <c r="AB635" s="86">
        <f>AVERAGEIFS($I$2:I635, $B$2:B635, B635)</f>
        <v>0.45833333333333331</v>
      </c>
      <c r="AC635" s="86">
        <f>AVERAGEIFS($J$2:J635, $B$2:B635, B635)</f>
        <v>0.48416666666666658</v>
      </c>
      <c r="AD635" s="86">
        <f>AVERAGEIFS($D$2:D635, $B$2:B635, B635)</f>
        <v>0.5</v>
      </c>
    </row>
    <row r="636" spans="1:30" x14ac:dyDescent="0.25">
      <c r="A636" s="85">
        <v>46169</v>
      </c>
      <c r="B636" t="s">
        <v>152</v>
      </c>
      <c r="C636">
        <v>8</v>
      </c>
      <c r="D636" s="86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86">
        <f>AVERAGEIFS($C$2:C636, $B$2:B636, B636)</f>
        <v>13.5</v>
      </c>
      <c r="AB636" s="86">
        <f>AVERAGEIFS($I$2:I636, $B$2:B636, B636)</f>
        <v>0.31666666666666665</v>
      </c>
      <c r="AC636" s="86">
        <f>AVERAGEIFS($J$2:J636, $B$2:B636, B636)</f>
        <v>0.38500000000000001</v>
      </c>
      <c r="AD636" s="86">
        <f>AVERAGEIFS($D$2:D636, $B$2:B636, B636)</f>
        <v>0.25</v>
      </c>
    </row>
    <row r="637" spans="1:30" x14ac:dyDescent="0.25">
      <c r="A637" s="85">
        <v>46169</v>
      </c>
      <c r="B637" t="s">
        <v>140</v>
      </c>
      <c r="C637">
        <v>11</v>
      </c>
      <c r="D637" s="86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86">
        <f>AVERAGEIFS($C$2:C637, $B$2:B637, B637)</f>
        <v>8.8333333333333339</v>
      </c>
      <c r="AB637" s="86">
        <f>AVERAGEIFS($I$2:I637, $B$2:B637, B637)</f>
        <v>0.41250000000000003</v>
      </c>
      <c r="AC637" s="86">
        <f>AVERAGEIFS($J$2:J637, $B$2:B637, B637)</f>
        <v>0.46541666666666659</v>
      </c>
      <c r="AD637" s="86">
        <f>AVERAGEIFS($D$2:D637, $B$2:B637, B637)</f>
        <v>0.375</v>
      </c>
    </row>
    <row r="638" spans="1:30" x14ac:dyDescent="0.25">
      <c r="A638" s="85">
        <v>46169</v>
      </c>
      <c r="B638" t="s">
        <v>71</v>
      </c>
      <c r="C638">
        <v>11</v>
      </c>
      <c r="D638" s="86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86">
        <f>AVERAGEIFS($C$2:C638, $B$2:B638, B638)</f>
        <v>11.25</v>
      </c>
      <c r="AB638" s="86">
        <f>AVERAGEIFS($I$2:I638, $B$2:B638, B638)</f>
        <v>0.61250000000000004</v>
      </c>
      <c r="AC638" s="86">
        <f>AVERAGEIFS($J$2:J638, $B$2:B638, B638)</f>
        <v>0.54499999999999993</v>
      </c>
      <c r="AD638" s="86">
        <f>AVERAGEIFS($D$2:D638, $B$2:B638, B638)</f>
        <v>0.75</v>
      </c>
    </row>
    <row r="639" spans="1:30" x14ac:dyDescent="0.25">
      <c r="A639" s="85">
        <v>46169</v>
      </c>
      <c r="B639" t="s">
        <v>46</v>
      </c>
      <c r="C639">
        <v>15</v>
      </c>
      <c r="D639" s="86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86">
        <f>AVERAGEIFS($C$2:C639, $B$2:B639, B639)</f>
        <v>17</v>
      </c>
      <c r="AB639" s="86">
        <f>AVERAGEIFS($I$2:I639, $B$2:B639, B639)</f>
        <v>0.625</v>
      </c>
      <c r="AC639" s="86">
        <f>AVERAGEIFS($J$2:J639, $B$2:B639, B639)</f>
        <v>0.48</v>
      </c>
      <c r="AD639" s="86">
        <f>AVERAGEIFS($D$2:D639, $B$2:B639, B639)</f>
        <v>0.5</v>
      </c>
    </row>
    <row r="640" spans="1:30" x14ac:dyDescent="0.25">
      <c r="A640" s="85">
        <v>46169</v>
      </c>
      <c r="B640" t="s">
        <v>2</v>
      </c>
      <c r="C640">
        <v>17</v>
      </c>
      <c r="D640" s="86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86">
        <f>AVERAGEIFS($C$2:C640, $B$2:B640, B640)</f>
        <v>28.777777777777779</v>
      </c>
      <c r="AB640" s="86">
        <f>AVERAGEIFS($I$2:I640, $B$2:B640, B640)</f>
        <v>0.71666666666666667</v>
      </c>
      <c r="AC640" s="86">
        <f>AVERAGEIFS($J$2:J640, $B$2:B640, B640)</f>
        <v>0.58111111111111113</v>
      </c>
      <c r="AD640" s="86">
        <f>AVERAGEIFS($D$2:D640, $B$2:B640, B640)</f>
        <v>0.55555555555555558</v>
      </c>
    </row>
    <row r="641" spans="1:30" x14ac:dyDescent="0.25">
      <c r="A641" s="85">
        <v>46169</v>
      </c>
      <c r="B641" t="s">
        <v>150</v>
      </c>
      <c r="C641">
        <v>14</v>
      </c>
      <c r="D641" s="86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86">
        <f>AVERAGEIFS($C$2:C641, $B$2:B641, B641)</f>
        <v>18</v>
      </c>
      <c r="AB641" s="86">
        <f>AVERAGEIFS($I$2:I641, $B$2:B641, B641)</f>
        <v>0.68055555555555558</v>
      </c>
      <c r="AC641" s="86">
        <f>AVERAGEIFS($J$2:J641, $B$2:B641, B641)</f>
        <v>0.59777777777777752</v>
      </c>
      <c r="AD641" s="86">
        <f>AVERAGEIFS($D$2:D641, $B$2:B641, B641)</f>
        <v>0.72222222222222221</v>
      </c>
    </row>
    <row r="642" spans="1:30" x14ac:dyDescent="0.25">
      <c r="A642" s="85">
        <v>46169</v>
      </c>
      <c r="B642" t="s">
        <v>6</v>
      </c>
      <c r="C642">
        <v>16</v>
      </c>
      <c r="D642" s="86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86">
        <f>AVERAGEIFS($C$2:C642, $B$2:B642, B642)</f>
        <v>24.875</v>
      </c>
      <c r="AB642" s="86">
        <f>AVERAGEIFS($I$2:I642, $B$2:B642, B642)</f>
        <v>0.63437499999999991</v>
      </c>
      <c r="AC642" s="86">
        <f>AVERAGEIFS($J$2:J642, $B$2:B642, B642)</f>
        <v>0.57624999999999993</v>
      </c>
      <c r="AD642" s="86">
        <f>AVERAGEIFS($D$2:D642, $B$2:B642, B642)</f>
        <v>0.625</v>
      </c>
    </row>
    <row r="643" spans="1:30" x14ac:dyDescent="0.25">
      <c r="A643" s="85">
        <v>46169</v>
      </c>
      <c r="B643" t="s">
        <v>27</v>
      </c>
      <c r="C643">
        <v>6</v>
      </c>
      <c r="D643" s="86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86">
        <f>AVERAGEIFS($C$2:C643, $B$2:B643, B643)</f>
        <v>16.5</v>
      </c>
      <c r="AB643" s="86">
        <f>AVERAGEIFS($I$2:I643, $B$2:B643, B643)</f>
        <v>0.54285714285714282</v>
      </c>
      <c r="AC643" s="86">
        <f>AVERAGEIFS($J$2:J643, $B$2:B643, B643)</f>
        <v>0.53142857142857147</v>
      </c>
      <c r="AD643" s="86">
        <f>AVERAGEIFS($D$2:D643, $B$2:B643, B643)</f>
        <v>0.6428571428571429</v>
      </c>
    </row>
    <row r="644" spans="1:30" x14ac:dyDescent="0.25">
      <c r="A644" s="85">
        <v>46169</v>
      </c>
      <c r="B644" t="s">
        <v>28</v>
      </c>
      <c r="C644">
        <v>9</v>
      </c>
      <c r="D644" s="86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86">
        <f>AVERAGEIFS($C$2:C644, $B$2:B644, B644)</f>
        <v>20.571428571428573</v>
      </c>
      <c r="AB644" s="86">
        <f>AVERAGEIFS($I$2:I644, $B$2:B644, B644)</f>
        <v>0.39999999999999997</v>
      </c>
      <c r="AC644" s="86">
        <f>AVERAGEIFS($J$2:J644, $B$2:B644, B644)</f>
        <v>0.45571428571428579</v>
      </c>
      <c r="AD644" s="86">
        <f>AVERAGEIFS($D$2:D644, $B$2:B644, B644)</f>
        <v>0.2857142857142857</v>
      </c>
    </row>
    <row r="645" spans="1:30" x14ac:dyDescent="0.25">
      <c r="A645" s="85">
        <v>46169</v>
      </c>
      <c r="B645" t="s">
        <v>15</v>
      </c>
      <c r="C645">
        <v>9</v>
      </c>
      <c r="D645" s="86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86">
        <f>AVERAGEIFS($C$2:C645, $B$2:B645, B645)</f>
        <v>20.615384615384617</v>
      </c>
      <c r="AB645" s="86">
        <f>AVERAGEIFS($I$2:I645, $B$2:B645, B645)</f>
        <v>0.47499999999999992</v>
      </c>
      <c r="AC645" s="86">
        <f>AVERAGEIFS($J$2:J645, $B$2:B645, B645)</f>
        <v>0.49961538461538468</v>
      </c>
      <c r="AD645" s="86">
        <f>AVERAGEIFS($D$2:D645, $B$2:B645, B645)</f>
        <v>0.5</v>
      </c>
    </row>
    <row r="646" spans="1:30" x14ac:dyDescent="0.25">
      <c r="A646" s="85">
        <v>46169</v>
      </c>
      <c r="B646" t="s">
        <v>14</v>
      </c>
      <c r="C646">
        <v>19</v>
      </c>
      <c r="D646" s="86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86">
        <f>AVERAGEIFS($C$2:C646, $B$2:B646, B646)</f>
        <v>21.96153846153846</v>
      </c>
      <c r="AB646" s="86">
        <f>AVERAGEIFS($I$2:I646, $B$2:B646, B646)</f>
        <v>0.41346153846153844</v>
      </c>
      <c r="AC646" s="86">
        <f>AVERAGEIFS($J$2:J646, $B$2:B646, B646)</f>
        <v>0.45076923076923081</v>
      </c>
      <c r="AD646" s="86">
        <f>AVERAGEIFS($D$2:D646, $B$2:B646, B646)</f>
        <v>0.38461538461538464</v>
      </c>
    </row>
    <row r="647" spans="1:30" x14ac:dyDescent="0.25">
      <c r="A647" s="85">
        <v>46169</v>
      </c>
      <c r="B647" t="s">
        <v>13</v>
      </c>
      <c r="C647">
        <v>20</v>
      </c>
      <c r="D647" s="86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86">
        <f>AVERAGEIFS($C$2:C647, $B$2:B647, B647)</f>
        <v>24.725000000000001</v>
      </c>
      <c r="AB647" s="86">
        <f>AVERAGEIFS($I$2:I647, $B$2:B647, B647)</f>
        <v>0.56999999999999995</v>
      </c>
      <c r="AC647" s="86">
        <f>AVERAGEIFS($J$2:J647, $B$2:B647, B647)</f>
        <v>0.54499999999999982</v>
      </c>
      <c r="AD647" s="86">
        <f>AVERAGEIFS($D$2:D647, $B$2:B647, B647)</f>
        <v>0.57499999999999996</v>
      </c>
    </row>
    <row r="648" spans="1:30" x14ac:dyDescent="0.25">
      <c r="A648" s="85">
        <v>46169</v>
      </c>
      <c r="B648" t="s">
        <v>155</v>
      </c>
      <c r="C648">
        <v>8</v>
      </c>
      <c r="D648" s="86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86">
        <f>AVERAGEIFS($C$2:C648, $B$2:B648, B648)</f>
        <v>18.454545454545453</v>
      </c>
      <c r="AB648" s="86">
        <f>AVERAGEIFS($I$2:I648, $B$2:B648, B648)</f>
        <v>0.38787878787878782</v>
      </c>
      <c r="AC648" s="86">
        <f>AVERAGEIFS($J$2:J648, $B$2:B648, B648)</f>
        <v>0.46090909090909105</v>
      </c>
      <c r="AD648" s="86">
        <f>AVERAGEIFS($D$2:D648, $B$2:B648, B648)</f>
        <v>0.36363636363636365</v>
      </c>
    </row>
    <row r="649" spans="1:30" x14ac:dyDescent="0.25">
      <c r="A649" s="85">
        <v>46169</v>
      </c>
      <c r="B649" t="s">
        <v>38</v>
      </c>
      <c r="C649">
        <v>3</v>
      </c>
      <c r="D649" s="86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86">
        <f>AVERAGEIFS($C$2:C649, $B$2:B649, B649)</f>
        <v>9.1538461538461533</v>
      </c>
      <c r="AB649" s="86">
        <f>AVERAGEIFS($I$2:I649, $B$2:B649, B649)</f>
        <v>0.42307692307692307</v>
      </c>
      <c r="AC649" s="86">
        <f>AVERAGEIFS($J$2:J649, $B$2:B649, B649)</f>
        <v>0.47076923076923066</v>
      </c>
      <c r="AD649" s="86">
        <f>AVERAGEIFS($D$2:D649, $B$2:B649, B649)</f>
        <v>0.46153846153846156</v>
      </c>
    </row>
    <row r="650" spans="1:30" x14ac:dyDescent="0.25">
      <c r="A650" s="85">
        <v>46170</v>
      </c>
      <c r="B650" t="s">
        <v>13</v>
      </c>
      <c r="C650">
        <v>12</v>
      </c>
      <c r="D650" s="86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86">
        <f>AVERAGEIFS($C$2:C650, $B$2:B650, B650)</f>
        <v>24.414634146341463</v>
      </c>
      <c r="AB650" s="86">
        <f>AVERAGEIFS($I$2:I650, $B$2:B650, B650)</f>
        <v>0.57073170731707312</v>
      </c>
      <c r="AC650" s="86">
        <f>AVERAGEIFS($J$2:J650, $B$2:B650, B650)</f>
        <v>0.54390243902439006</v>
      </c>
      <c r="AD650" s="86">
        <f>AVERAGEIFS($D$2:D650, $B$2:B650, B650)</f>
        <v>0.58536585365853655</v>
      </c>
    </row>
    <row r="651" spans="1:30" x14ac:dyDescent="0.25">
      <c r="A651" s="85">
        <v>46170</v>
      </c>
      <c r="B651" t="s">
        <v>15</v>
      </c>
      <c r="C651">
        <v>22</v>
      </c>
      <c r="D651" s="86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86">
        <f>AVERAGEIFS($C$2:C651, $B$2:B651, B651)</f>
        <v>20.666666666666668</v>
      </c>
      <c r="AB651" s="86">
        <f>AVERAGEIFS($I$2:I651, $B$2:B651, B651)</f>
        <v>0.47962962962962952</v>
      </c>
      <c r="AC651" s="86">
        <f>AVERAGEIFS($J$2:J651, $B$2:B651, B651)</f>
        <v>0.4996296296296297</v>
      </c>
      <c r="AD651" s="86">
        <f>AVERAGEIFS($D$2:D651, $B$2:B651, B651)</f>
        <v>0.51851851851851849</v>
      </c>
    </row>
    <row r="652" spans="1:30" x14ac:dyDescent="0.25">
      <c r="A652" s="85">
        <v>46170</v>
      </c>
      <c r="B652" t="s">
        <v>140</v>
      </c>
      <c r="C652">
        <v>12</v>
      </c>
      <c r="D652" s="86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86">
        <f>AVERAGEIFS($C$2:C652, $B$2:B652, B652)</f>
        <v>8.9600000000000009</v>
      </c>
      <c r="AB652" s="86">
        <f>AVERAGEIFS($I$2:I652, $B$2:B652, B652)</f>
        <v>0.42</v>
      </c>
      <c r="AC652" s="86">
        <f>AVERAGEIFS($J$2:J652, $B$2:B652, B652)</f>
        <v>0.46679999999999994</v>
      </c>
      <c r="AD652" s="86">
        <f>AVERAGEIFS($D$2:D652, $B$2:B652, B652)</f>
        <v>0.4</v>
      </c>
    </row>
    <row r="653" spans="1:30" x14ac:dyDescent="0.25">
      <c r="A653" s="85">
        <v>46170</v>
      </c>
      <c r="B653" t="s">
        <v>150</v>
      </c>
      <c r="C653">
        <v>20</v>
      </c>
      <c r="D653" s="86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86">
        <f>AVERAGEIFS($C$2:C653, $B$2:B653, B653)</f>
        <v>18.105263157894736</v>
      </c>
      <c r="AB653" s="86">
        <f>AVERAGEIFS($I$2:I653, $B$2:B653, B653)</f>
        <v>0.6763157894736842</v>
      </c>
      <c r="AC653" s="86">
        <f>AVERAGEIFS($J$2:J653, $B$2:B653, B653)</f>
        <v>0.59263157894736818</v>
      </c>
      <c r="AD653" s="86">
        <f>AVERAGEIFS($D$2:D653, $B$2:B653, B653)</f>
        <v>0.73684210526315785</v>
      </c>
    </row>
    <row r="654" spans="1:30" x14ac:dyDescent="0.25">
      <c r="A654" s="85">
        <v>46170</v>
      </c>
      <c r="B654" t="s">
        <v>155</v>
      </c>
      <c r="C654">
        <v>24</v>
      </c>
      <c r="D654" s="86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86">
        <f>AVERAGEIFS($C$2:C654, $B$2:B654, B654)</f>
        <v>18.617647058823529</v>
      </c>
      <c r="AB654" s="86">
        <f>AVERAGEIFS($I$2:I654, $B$2:B654, B654)</f>
        <v>0.39411764705882346</v>
      </c>
      <c r="AC654" s="86">
        <f>AVERAGEIFS($J$2:J654, $B$2:B654, B654)</f>
        <v>0.46205882352941191</v>
      </c>
      <c r="AD654" s="86">
        <f>AVERAGEIFS($D$2:D654, $B$2:B654, B654)</f>
        <v>0.38235294117647056</v>
      </c>
    </row>
    <row r="655" spans="1:30" x14ac:dyDescent="0.25">
      <c r="A655" s="85">
        <v>46170</v>
      </c>
      <c r="B655" t="s">
        <v>141</v>
      </c>
      <c r="C655">
        <v>25</v>
      </c>
      <c r="D655" s="86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86">
        <f>AVERAGEIFS($C$2:C655, $B$2:B655, B655)</f>
        <v>16.705882352941178</v>
      </c>
      <c r="AB655" s="86">
        <f>AVERAGEIFS($I$2:I655, $B$2:B655, B655)</f>
        <v>0.44999999999999996</v>
      </c>
      <c r="AC655" s="86">
        <f>AVERAGEIFS($J$2:J655, $B$2:B655, B655)</f>
        <v>0.48588235294117654</v>
      </c>
      <c r="AD655" s="86">
        <f>AVERAGEIFS($D$2:D655, $B$2:B655, B655)</f>
        <v>0.41176470588235292</v>
      </c>
    </row>
    <row r="656" spans="1:30" x14ac:dyDescent="0.25">
      <c r="A656" s="85">
        <v>46170</v>
      </c>
      <c r="B656" t="s">
        <v>6</v>
      </c>
      <c r="C656">
        <v>15</v>
      </c>
      <c r="D656" s="86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86">
        <f>AVERAGEIFS($C$2:C656, $B$2:B656, B656)</f>
        <v>24.294117647058822</v>
      </c>
      <c r="AB656" s="86">
        <f>AVERAGEIFS($I$2:I656, $B$2:B656, B656)</f>
        <v>0.62058823529411755</v>
      </c>
      <c r="AC656" s="86">
        <f>AVERAGEIFS($J$2:J656, $B$2:B656, B656)</f>
        <v>0.57176470588235284</v>
      </c>
      <c r="AD656" s="86">
        <f>AVERAGEIFS($D$2:D656, $B$2:B656, B656)</f>
        <v>0.58823529411764708</v>
      </c>
    </row>
    <row r="657" spans="1:30" x14ac:dyDescent="0.25">
      <c r="A657" s="85">
        <v>46170</v>
      </c>
      <c r="B657" t="s">
        <v>152</v>
      </c>
      <c r="C657">
        <v>15</v>
      </c>
      <c r="D657" s="86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86">
        <f>AVERAGEIFS($C$2:C657, $B$2:B657, B657)</f>
        <v>13.615384615384615</v>
      </c>
      <c r="AB657" s="86">
        <f>AVERAGEIFS($I$2:I657, $B$2:B657, B657)</f>
        <v>0.32307692307692309</v>
      </c>
      <c r="AC657" s="86">
        <f>AVERAGEIFS($J$2:J657, $B$2:B657, B657)</f>
        <v>0.39384615384615385</v>
      </c>
      <c r="AD657" s="86">
        <f>AVERAGEIFS($D$2:D657, $B$2:B657, B657)</f>
        <v>0.23076923076923078</v>
      </c>
    </row>
    <row r="658" spans="1:30" x14ac:dyDescent="0.25">
      <c r="A658" s="85">
        <v>46170</v>
      </c>
      <c r="B658" t="s">
        <v>2</v>
      </c>
      <c r="C658">
        <v>28</v>
      </c>
      <c r="D658" s="86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86">
        <f>AVERAGEIFS($C$2:C658, $B$2:B658, B658)</f>
        <v>28.7</v>
      </c>
      <c r="AB658" s="86">
        <f>AVERAGEIFS($I$2:I658, $B$2:B658, B658)</f>
        <v>0.68500000000000005</v>
      </c>
      <c r="AC658" s="86">
        <f>AVERAGEIFS($J$2:J658, $B$2:B658, B658)</f>
        <v>0.57300000000000006</v>
      </c>
      <c r="AD658" s="86">
        <f>AVERAGEIFS($D$2:D658, $B$2:B658, B658)</f>
        <v>0.5</v>
      </c>
    </row>
    <row r="659" spans="1:30" x14ac:dyDescent="0.25">
      <c r="A659" s="85">
        <v>46170</v>
      </c>
      <c r="B659" t="s">
        <v>71</v>
      </c>
      <c r="C659">
        <v>22</v>
      </c>
      <c r="D659" s="86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86">
        <f>AVERAGEIFS($C$2:C659, $B$2:B659, B659)</f>
        <v>13.4</v>
      </c>
      <c r="AB659" s="86">
        <f>AVERAGEIFS($I$2:I659, $B$2:B659, B659)</f>
        <v>0.57000000000000006</v>
      </c>
      <c r="AC659" s="86">
        <f>AVERAGEIFS($J$2:J659, $B$2:B659, B659)</f>
        <v>0.53599999999999992</v>
      </c>
      <c r="AD659" s="86">
        <f>AVERAGEIFS($D$2:D659, $B$2:B659, B659)</f>
        <v>0.6</v>
      </c>
    </row>
    <row r="660" spans="1:30" x14ac:dyDescent="0.25">
      <c r="A660" s="85">
        <v>46170</v>
      </c>
      <c r="B660" t="s">
        <v>146</v>
      </c>
      <c r="C660">
        <v>14</v>
      </c>
      <c r="D660" s="86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86">
        <f>AVERAGEIFS($C$2:C660, $B$2:B660, B660)</f>
        <v>13</v>
      </c>
      <c r="AB660" s="86">
        <f>AVERAGEIFS($I$2:I660, $B$2:B660, B660)</f>
        <v>0.40000000000000008</v>
      </c>
      <c r="AC660" s="86">
        <f>AVERAGEIFS($J$2:J660, $B$2:B660, B660)</f>
        <v>0.47416666666666663</v>
      </c>
      <c r="AD660" s="86">
        <f>AVERAGEIFS($D$2:D660, $B$2:B660, B660)</f>
        <v>0.33333333333333331</v>
      </c>
    </row>
    <row r="661" spans="1:30" x14ac:dyDescent="0.25">
      <c r="A661" s="85">
        <v>46170</v>
      </c>
      <c r="B661" t="s">
        <v>35</v>
      </c>
      <c r="C661">
        <v>13</v>
      </c>
      <c r="D661" s="86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86">
        <f>AVERAGEIFS($C$2:C661, $B$2:B661, B661)</f>
        <v>13.037037037037036</v>
      </c>
      <c r="AB661" s="86">
        <f>AVERAGEIFS($I$2:I661, $B$2:B661, B661)</f>
        <v>0.53333333333333333</v>
      </c>
      <c r="AC661" s="86">
        <f>AVERAGEIFS($J$2:J661, $B$2:B661, B661)</f>
        <v>0.49888888888888899</v>
      </c>
      <c r="AD661" s="86">
        <f>AVERAGEIFS($D$2:D661, $B$2:B661, B661)</f>
        <v>0.59259259259259256</v>
      </c>
    </row>
    <row r="662" spans="1:30" x14ac:dyDescent="0.25">
      <c r="A662" s="85">
        <v>46173</v>
      </c>
      <c r="B662" t="s">
        <v>5</v>
      </c>
      <c r="C662">
        <v>9</v>
      </c>
      <c r="D662" s="86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21.4375</v>
      </c>
      <c r="AB662" s="86">
        <f>AVERAGEIFS($I$2:I662, $B$2:B662, B662)</f>
        <v>0.44687500000000002</v>
      </c>
      <c r="AC662" s="86">
        <f>AVERAGEIFS($J$2:J662, $B$2:B662, B662)</f>
        <v>0.47499999999999992</v>
      </c>
      <c r="AD662" s="86">
        <f>AVERAGEIFS($D$2:D662, $B$2:B662, B662)</f>
        <v>0.375</v>
      </c>
    </row>
    <row r="663" spans="1:30" x14ac:dyDescent="0.25">
      <c r="A663" s="85">
        <v>46173</v>
      </c>
      <c r="B663" t="s">
        <v>155</v>
      </c>
      <c r="C663">
        <v>27</v>
      </c>
      <c r="D663" s="86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18.857142857142858</v>
      </c>
      <c r="AB663" s="86">
        <f>AVERAGEIFS($I$2:I663, $B$2:B663, B663)</f>
        <v>0.39428571428571424</v>
      </c>
      <c r="AC663" s="86">
        <f>AVERAGEIFS($J$2:J663, $B$2:B663, B663)</f>
        <v>0.4597142857142858</v>
      </c>
      <c r="AD663" s="86">
        <f>AVERAGEIFS($D$2:D663, $B$2:B663, B663)</f>
        <v>0.37142857142857144</v>
      </c>
    </row>
    <row r="664" spans="1:30" x14ac:dyDescent="0.25">
      <c r="A664" s="85">
        <v>46173</v>
      </c>
      <c r="B664" t="s">
        <v>140</v>
      </c>
      <c r="C664">
        <v>17</v>
      </c>
      <c r="D664" s="86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9.2692307692307701</v>
      </c>
      <c r="AB664" s="86">
        <f>AVERAGEIFS($I$2:I664, $B$2:B664, B664)</f>
        <v>0.41923076923076924</v>
      </c>
      <c r="AC664" s="86">
        <f>AVERAGEIFS($J$2:J664, $B$2:B664, B664)</f>
        <v>0.46346153846153842</v>
      </c>
      <c r="AD664" s="86">
        <f>AVERAGEIFS($D$2:D664, $B$2:B664, B664)</f>
        <v>0.38461538461538464</v>
      </c>
    </row>
    <row r="665" spans="1:30" x14ac:dyDescent="0.25">
      <c r="A665" s="85">
        <v>46173</v>
      </c>
      <c r="B665" t="s">
        <v>139</v>
      </c>
      <c r="C665">
        <v>17</v>
      </c>
      <c r="D665" s="86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86">
        <f>AVERAGEIFS($C$2:C665, $B$2:B665, B665)</f>
        <v>11.571428571428571</v>
      </c>
      <c r="AB665" s="86">
        <f>AVERAGEIFS($I$2:I665, $B$2:B665, B665)</f>
        <v>0.3880952380952381</v>
      </c>
      <c r="AC665" s="86">
        <f>AVERAGEIFS($J$2:J665, $B$2:B665, B665)</f>
        <v>0.46714285714285719</v>
      </c>
      <c r="AD665" s="86">
        <f>AVERAGEIFS($D$2:D665, $B$2:B665, B665)</f>
        <v>0.38095238095238093</v>
      </c>
    </row>
    <row r="666" spans="1:30" x14ac:dyDescent="0.25">
      <c r="A666" s="85">
        <v>46173</v>
      </c>
      <c r="B666" t="s">
        <v>38</v>
      </c>
      <c r="C666">
        <v>16</v>
      </c>
      <c r="D666" s="86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86">
        <f>AVERAGEIFS($C$2:C666, $B$2:B666, B666)</f>
        <v>9.6428571428571423</v>
      </c>
      <c r="AB666" s="86">
        <f>AVERAGEIFS($I$2:I666, $B$2:B666, B666)</f>
        <v>0.42142857142857143</v>
      </c>
      <c r="AC666" s="86">
        <f>AVERAGEIFS($J$2:J666, $B$2:B666, B666)</f>
        <v>0.46428571428571414</v>
      </c>
      <c r="AD666" s="86">
        <f>AVERAGEIFS($D$2:D666, $B$2:B666, B666)</f>
        <v>0.42857142857142855</v>
      </c>
    </row>
    <row r="667" spans="1:30" x14ac:dyDescent="0.25">
      <c r="A667" s="85">
        <v>46173</v>
      </c>
      <c r="B667" t="s">
        <v>242</v>
      </c>
      <c r="C667">
        <v>4</v>
      </c>
      <c r="D667" s="86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86">
        <f>AVERAGEIFS($C$2:C667, $B$2:B667, B667)</f>
        <v>4</v>
      </c>
      <c r="AB667" s="86">
        <f>AVERAGEIFS($I$2:I667, $B$2:B667, B667)</f>
        <v>0.4</v>
      </c>
      <c r="AC667" s="86">
        <f>AVERAGEIFS($J$2:J667, $B$2:B667, B667)</f>
        <v>0.38</v>
      </c>
      <c r="AD667" s="86">
        <f>AVERAGEIFS($D$2:D667, $B$2:B667, B667)</f>
        <v>0</v>
      </c>
    </row>
    <row r="668" spans="1:30" x14ac:dyDescent="0.25">
      <c r="A668" s="85">
        <v>46173</v>
      </c>
      <c r="B668" t="s">
        <v>150</v>
      </c>
      <c r="C668">
        <v>16</v>
      </c>
      <c r="D668" s="86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86">
        <f>AVERAGEIFS($C$2:C668, $B$2:B668, B668)</f>
        <v>18</v>
      </c>
      <c r="AB668" s="86">
        <f>AVERAGEIFS($I$2:I668, $B$2:B668, B668)</f>
        <v>0.67249999999999999</v>
      </c>
      <c r="AC668" s="86">
        <f>AVERAGEIFS($J$2:J668, $B$2:B668, B668)</f>
        <v>0.59399999999999975</v>
      </c>
      <c r="AD668" s="86">
        <f>AVERAGEIFS($D$2:D668, $B$2:B668, B668)</f>
        <v>0.75</v>
      </c>
    </row>
    <row r="669" spans="1:30" x14ac:dyDescent="0.25">
      <c r="A669" s="85">
        <v>46173</v>
      </c>
      <c r="B669" t="s">
        <v>179</v>
      </c>
      <c r="C669">
        <v>16</v>
      </c>
      <c r="D669" s="86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86">
        <f>AVERAGEIFS($C$2:C669, $B$2:B669, B669)</f>
        <v>14.444444444444445</v>
      </c>
      <c r="AB669" s="86">
        <f>AVERAGEIFS($I$2:I669, $B$2:B669, B669)</f>
        <v>0.81666666666666665</v>
      </c>
      <c r="AC669" s="86">
        <f>AVERAGEIFS($J$2:J669, $B$2:B669, B669)</f>
        <v>0.61222222222222233</v>
      </c>
      <c r="AD669" s="86">
        <f>AVERAGEIFS($D$2:D669, $B$2:B669, B669)</f>
        <v>0.88888888888888884</v>
      </c>
    </row>
    <row r="670" spans="1:30" x14ac:dyDescent="0.25">
      <c r="A670" s="85">
        <v>46173</v>
      </c>
      <c r="B670" t="s">
        <v>19</v>
      </c>
      <c r="C670">
        <v>11</v>
      </c>
      <c r="D670" s="86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86">
        <f>AVERAGEIFS($C$2:C670, $B$2:B670, B670)</f>
        <v>13.538461538461538</v>
      </c>
      <c r="AB670" s="86">
        <f>AVERAGEIFS($I$2:I670, $B$2:B670, B670)</f>
        <v>0.61538461538461531</v>
      </c>
      <c r="AC670" s="86">
        <f>AVERAGEIFS($J$2:J670, $B$2:B670, B670)</f>
        <v>0.54307692307692312</v>
      </c>
      <c r="AD670" s="86">
        <f>AVERAGEIFS($D$2:D670, $B$2:B670, B670)</f>
        <v>0.61538461538461542</v>
      </c>
    </row>
    <row r="671" spans="1:30" x14ac:dyDescent="0.25">
      <c r="A671" s="85">
        <v>46173</v>
      </c>
      <c r="B671" t="s">
        <v>55</v>
      </c>
      <c r="C671">
        <v>9</v>
      </c>
      <c r="D671" s="86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86">
        <f>AVERAGEIFS($C$2:C671, $B$2:B671, B671)</f>
        <v>10.571428571428571</v>
      </c>
      <c r="AB671" s="86">
        <f>AVERAGEIFS($I$2:I671, $B$2:B671, B671)</f>
        <v>0.6785714285714286</v>
      </c>
      <c r="AC671" s="86">
        <f>AVERAGEIFS($J$2:J671, $B$2:B671, B671)</f>
        <v>0.6171428571428571</v>
      </c>
      <c r="AD671" s="86">
        <f>AVERAGEIFS($D$2:D671, $B$2:B671, B671)</f>
        <v>0.7142857142857143</v>
      </c>
    </row>
    <row r="672" spans="1:30" x14ac:dyDescent="0.25">
      <c r="A672" s="85">
        <v>46173</v>
      </c>
      <c r="B672" t="s">
        <v>37</v>
      </c>
      <c r="C672">
        <v>30</v>
      </c>
      <c r="D672" s="86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86">
        <f>AVERAGEIFS($C$2:C672, $B$2:B672, B672)</f>
        <v>20.647058823529413</v>
      </c>
      <c r="AB672" s="86">
        <f>AVERAGEIFS($I$2:I672, $B$2:B672, B672)</f>
        <v>0.42647058823529405</v>
      </c>
      <c r="AC672" s="86">
        <f>AVERAGEIFS($J$2:J672, $B$2:B672, B672)</f>
        <v>0.46294117647058813</v>
      </c>
      <c r="AD672" s="86">
        <f>AVERAGEIFS($D$2:D672, $B$2:B672, B672)</f>
        <v>0.52941176470588236</v>
      </c>
    </row>
    <row r="673" spans="1:30" x14ac:dyDescent="0.25">
      <c r="A673" s="85">
        <v>46173</v>
      </c>
      <c r="B673" t="s">
        <v>154</v>
      </c>
      <c r="C673">
        <v>21</v>
      </c>
      <c r="D673" s="86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86">
        <f>AVERAGEIFS($C$2:C673, $B$2:B673, B673)</f>
        <v>12.916666666666666</v>
      </c>
      <c r="AB673" s="86">
        <f>AVERAGEIFS($I$2:I673, $B$2:B673, B673)</f>
        <v>0.49583333333333329</v>
      </c>
      <c r="AC673" s="86">
        <f>AVERAGEIFS($J$2:J673, $B$2:B673, B673)</f>
        <v>0.52500000000000002</v>
      </c>
      <c r="AD673" s="86">
        <f>AVERAGEIFS($D$2:D673, $B$2:B673, B673)</f>
        <v>0.58333333333333337</v>
      </c>
    </row>
    <row r="674" spans="1:30" x14ac:dyDescent="0.25">
      <c r="A674" s="85">
        <v>46175</v>
      </c>
      <c r="B674" t="s">
        <v>6</v>
      </c>
      <c r="C674">
        <v>26</v>
      </c>
      <c r="D674" s="86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86">
        <f>AVERAGEIFS($C$2:C674, $B$2:B674, B674)</f>
        <v>24.388888888888889</v>
      </c>
      <c r="AB674" s="86">
        <f>AVERAGEIFS($I$2:I674, $B$2:B674, B674)</f>
        <v>0.64166666666666661</v>
      </c>
      <c r="AC674" s="86">
        <f>AVERAGEIFS($J$2:J674, $B$2:B674, B674)</f>
        <v>0.58166666666666655</v>
      </c>
      <c r="AD674" s="86">
        <f>AVERAGEIFS($D$2:D674, $B$2:B674, B674)</f>
        <v>0.61111111111111116</v>
      </c>
    </row>
    <row r="675" spans="1:30" x14ac:dyDescent="0.25">
      <c r="A675" s="85">
        <v>46175</v>
      </c>
      <c r="B675" t="s">
        <v>179</v>
      </c>
      <c r="C675">
        <v>14</v>
      </c>
      <c r="D675" s="86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86">
        <f>AVERAGEIFS($C$2:C675, $B$2:B675, B675)</f>
        <v>14.4</v>
      </c>
      <c r="AB675" s="86">
        <f>AVERAGEIFS($I$2:I675, $B$2:B675, B675)</f>
        <v>0.83499999999999996</v>
      </c>
      <c r="AC675" s="86">
        <f>AVERAGEIFS($J$2:J675, $B$2:B675, B675)</f>
        <v>0.62600000000000011</v>
      </c>
      <c r="AD675" s="86">
        <f>AVERAGEIFS($D$2:D675, $B$2:B675, B675)</f>
        <v>0.9</v>
      </c>
    </row>
    <row r="676" spans="1:30" x14ac:dyDescent="0.25">
      <c r="A676" s="85">
        <v>46175</v>
      </c>
      <c r="B676" t="s">
        <v>147</v>
      </c>
      <c r="C676">
        <v>13</v>
      </c>
      <c r="D676" s="86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86">
        <f>AVERAGEIFS($C$2:C676, $B$2:B676, B676)</f>
        <v>16.899999999999999</v>
      </c>
      <c r="AB676" s="86">
        <f>AVERAGEIFS($I$2:I676, $B$2:B676, B676)</f>
        <v>0.45</v>
      </c>
      <c r="AC676" s="86">
        <f>AVERAGEIFS($J$2:J676, $B$2:B676, B676)</f>
        <v>0.48</v>
      </c>
      <c r="AD676" s="86">
        <f>AVERAGEIFS($D$2:D676, $B$2:B676, B676)</f>
        <v>0.5</v>
      </c>
    </row>
    <row r="677" spans="1:30" x14ac:dyDescent="0.25">
      <c r="A677" s="85">
        <v>46175</v>
      </c>
      <c r="B677" t="s">
        <v>148</v>
      </c>
      <c r="C677">
        <v>11</v>
      </c>
      <c r="D677" s="86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86">
        <f>AVERAGEIFS($C$2:C677, $B$2:B677, B677)</f>
        <v>12.783783783783784</v>
      </c>
      <c r="AB677" s="86">
        <f>AVERAGEIFS($I$2:I677, $B$2:B677, B677)</f>
        <v>0.55540540540540528</v>
      </c>
      <c r="AC677" s="86">
        <f>AVERAGEIFS($J$2:J677, $B$2:B677, B677)</f>
        <v>0.52675675675675682</v>
      </c>
      <c r="AD677" s="86">
        <f>AVERAGEIFS($D$2:D677, $B$2:B677, B677)</f>
        <v>0.56756756756756754</v>
      </c>
    </row>
    <row r="678" spans="1:30" x14ac:dyDescent="0.25">
      <c r="A678" s="85">
        <v>46175</v>
      </c>
      <c r="B678" t="s">
        <v>50</v>
      </c>
      <c r="C678">
        <v>10</v>
      </c>
      <c r="D678" s="86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86">
        <f>AVERAGEIFS($C$2:C678, $B$2:B678, B678)</f>
        <v>13</v>
      </c>
      <c r="AB678" s="86">
        <f>AVERAGEIFS($I$2:I678, $B$2:B678, B678)</f>
        <v>0.625</v>
      </c>
      <c r="AC678" s="86">
        <f>AVERAGEIFS($J$2:J678, $B$2:B678, B678)</f>
        <v>0.625</v>
      </c>
      <c r="AD678" s="86">
        <f>AVERAGEIFS($D$2:D678, $B$2:B678, B678)</f>
        <v>0.5</v>
      </c>
    </row>
    <row r="679" spans="1:30" x14ac:dyDescent="0.25">
      <c r="A679" s="85">
        <v>46175</v>
      </c>
      <c r="B679" t="s">
        <v>140</v>
      </c>
      <c r="C679">
        <v>2</v>
      </c>
      <c r="D679" s="86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86">
        <f>AVERAGEIFS($C$2:C679, $B$2:B679, B679)</f>
        <v>9</v>
      </c>
      <c r="AB679" s="86">
        <f>AVERAGEIFS($I$2:I679, $B$2:B679, B679)</f>
        <v>0.44074074074074077</v>
      </c>
      <c r="AC679" s="86">
        <f>AVERAGEIFS($J$2:J679, $B$2:B679, B679)</f>
        <v>0.47407407407407404</v>
      </c>
      <c r="AD679" s="86">
        <f>AVERAGEIFS($D$2:D679, $B$2:B679, B679)</f>
        <v>0.40740740740740738</v>
      </c>
    </row>
    <row r="680" spans="1:30" x14ac:dyDescent="0.25">
      <c r="A680" s="85">
        <v>46175</v>
      </c>
      <c r="B680" t="s">
        <v>29</v>
      </c>
      <c r="C680">
        <v>12</v>
      </c>
      <c r="D680" s="86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11.419354838709678</v>
      </c>
      <c r="AB680" s="86">
        <f>AVERAGEIFS($I$2:I680, $B$2:B680, B680)</f>
        <v>0.4258064516129032</v>
      </c>
      <c r="AC680" s="86">
        <f>AVERAGEIFS($J$2:J680, $B$2:B680, B680)</f>
        <v>0.47774193548387101</v>
      </c>
      <c r="AD680" s="86">
        <f>AVERAGEIFS($D$2:D680, $B$2:B680, B680)</f>
        <v>0.35483870967741937</v>
      </c>
    </row>
    <row r="681" spans="1:30" x14ac:dyDescent="0.25">
      <c r="A681" s="85">
        <v>46175</v>
      </c>
      <c r="B681" t="s">
        <v>154</v>
      </c>
      <c r="C681">
        <v>11</v>
      </c>
      <c r="D681" s="86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12.76923076923077</v>
      </c>
      <c r="AB681" s="86">
        <f>AVERAGEIFS($I$2:I681, $B$2:B681, B681)</f>
        <v>0.45769230769230762</v>
      </c>
      <c r="AC681" s="86">
        <f>AVERAGEIFS($J$2:J681, $B$2:B681, B681)</f>
        <v>0.50384615384615394</v>
      </c>
      <c r="AD681" s="86">
        <f>AVERAGEIFS($D$2:D681, $B$2:B681, B681)</f>
        <v>0.53846153846153844</v>
      </c>
    </row>
    <row r="682" spans="1:30" x14ac:dyDescent="0.25">
      <c r="A682" s="85">
        <v>46175</v>
      </c>
      <c r="B682" t="s">
        <v>155</v>
      </c>
      <c r="C682">
        <v>10</v>
      </c>
      <c r="D682" s="86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18.611111111111111</v>
      </c>
      <c r="AB682" s="86">
        <f>AVERAGEIFS($I$2:I682, $B$2:B682, B682)</f>
        <v>0.3833333333333333</v>
      </c>
      <c r="AC682" s="86">
        <f>AVERAGEIFS($J$2:J682, $B$2:B682, B682)</f>
        <v>0.45388888888888901</v>
      </c>
      <c r="AD682" s="86">
        <f>AVERAGEIFS($D$2:D682, $B$2:B682, B682)</f>
        <v>0.3611111111111111</v>
      </c>
    </row>
    <row r="683" spans="1:30" x14ac:dyDescent="0.25">
      <c r="A683" s="85">
        <v>46175</v>
      </c>
      <c r="B683" t="s">
        <v>150</v>
      </c>
      <c r="C683">
        <v>10</v>
      </c>
      <c r="D683" s="86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17.61904761904762</v>
      </c>
      <c r="AB683" s="86">
        <f>AVERAGEIFS($I$2:I683, $B$2:B683, B683)</f>
        <v>0.64047619047619042</v>
      </c>
      <c r="AC683" s="86">
        <f>AVERAGEIFS($J$2:J683, $B$2:B683, B683)</f>
        <v>0.57761904761904737</v>
      </c>
      <c r="AD683" s="86">
        <f>AVERAGEIFS($D$2:D683, $B$2:B683, B683)</f>
        <v>0.7142857142857143</v>
      </c>
    </row>
    <row r="684" spans="1:30" x14ac:dyDescent="0.25">
      <c r="A684" s="85">
        <v>46175</v>
      </c>
      <c r="B684" t="s">
        <v>139</v>
      </c>
      <c r="C684">
        <v>5</v>
      </c>
      <c r="D684" s="86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11.272727272727273</v>
      </c>
      <c r="AB684" s="86">
        <f>AVERAGEIFS($I$2:I684, $B$2:B684, B684)</f>
        <v>0.37045454545454548</v>
      </c>
      <c r="AC684" s="86">
        <f>AVERAGEIFS($J$2:J684, $B$2:B684, B684)</f>
        <v>0.45727272727272728</v>
      </c>
      <c r="AD684" s="86">
        <f>AVERAGEIFS($D$2:D684, $B$2:B684, B684)</f>
        <v>0.36363636363636365</v>
      </c>
    </row>
    <row r="685" spans="1:30" x14ac:dyDescent="0.25">
      <c r="A685" s="85">
        <v>46175</v>
      </c>
      <c r="B685" t="s">
        <v>242</v>
      </c>
      <c r="C685">
        <v>4</v>
      </c>
      <c r="D685" s="86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4</v>
      </c>
      <c r="AB685" s="86">
        <f>AVERAGEIFS($I$2:I685, $B$2:B685, B685)</f>
        <v>0.2</v>
      </c>
      <c r="AC685" s="86">
        <f>AVERAGEIFS($J$2:J685, $B$2:B685, B685)</f>
        <v>0.315</v>
      </c>
      <c r="AD685" s="86">
        <f>AVERAGEIFS($D$2:D685, $B$2:B685, B685)</f>
        <v>0</v>
      </c>
    </row>
    <row r="686" spans="1:30" x14ac:dyDescent="0.25">
      <c r="A686" s="85">
        <v>46175</v>
      </c>
      <c r="B686" t="s">
        <v>13</v>
      </c>
      <c r="C686">
        <v>25</v>
      </c>
      <c r="D686" s="86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24.428571428571427</v>
      </c>
      <c r="AB686" s="86">
        <f>AVERAGEIFS($I$2:I686, $B$2:B686, B686)</f>
        <v>0.56309523809523809</v>
      </c>
      <c r="AC686" s="86">
        <f>AVERAGEIFS($J$2:J686, $B$2:B686, B686)</f>
        <v>0.5428571428571427</v>
      </c>
      <c r="AD686" s="86">
        <f>AVERAGEIFS($D$2:D686, $B$2:B686, B686)</f>
        <v>0.5714285714285714</v>
      </c>
    </row>
    <row r="687" spans="1:30" x14ac:dyDescent="0.25">
      <c r="A687" s="85">
        <v>46175</v>
      </c>
      <c r="B687" t="s">
        <v>155</v>
      </c>
      <c r="C687">
        <v>21</v>
      </c>
      <c r="D687" s="86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86">
        <f>AVERAGEIFS($C$2:C687, $B$2:B687, B687)</f>
        <v>18.675675675675677</v>
      </c>
      <c r="AB687" s="86">
        <f>AVERAGEIFS($I$2:I687, $B$2:B687, B687)</f>
        <v>0.37972972972972968</v>
      </c>
      <c r="AC687" s="86">
        <f>AVERAGEIFS($J$2:J687, $B$2:B687, B687)</f>
        <v>0.4551351351351352</v>
      </c>
      <c r="AD687" s="86">
        <f>AVERAGEIFS($D$2:D687, $B$2:B687, B687)</f>
        <v>0.35135135135135137</v>
      </c>
    </row>
    <row r="688" spans="1:30" x14ac:dyDescent="0.25">
      <c r="A688" s="85">
        <v>46175</v>
      </c>
      <c r="B688" t="s">
        <v>5</v>
      </c>
      <c r="C688">
        <v>20</v>
      </c>
      <c r="D688" s="86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86">
        <f>AVERAGEIFS($C$2:C688, $B$2:B688, B688)</f>
        <v>21.352941176470587</v>
      </c>
      <c r="AB688" s="86">
        <f>AVERAGEIFS($I$2:I688, $B$2:B688, B688)</f>
        <v>0.43529411764705883</v>
      </c>
      <c r="AC688" s="86">
        <f>AVERAGEIFS($J$2:J688, $B$2:B688, B688)</f>
        <v>0.47647058823529398</v>
      </c>
      <c r="AD688" s="86">
        <f>AVERAGEIFS($D$2:D688, $B$2:B688, B688)</f>
        <v>0.35294117647058826</v>
      </c>
    </row>
    <row r="689" spans="1:30" x14ac:dyDescent="0.25">
      <c r="A689" s="85">
        <v>46175</v>
      </c>
      <c r="B689" t="s">
        <v>29</v>
      </c>
      <c r="C689">
        <v>17</v>
      </c>
      <c r="D689" s="86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86">
        <f>AVERAGEIFS($C$2:C689, $B$2:B689, B689)</f>
        <v>11.59375</v>
      </c>
      <c r="AB689" s="86">
        <f>AVERAGEIFS($I$2:I689, $B$2:B689, B689)</f>
        <v>0.42031249999999998</v>
      </c>
      <c r="AC689" s="86">
        <f>AVERAGEIFS($J$2:J689, $B$2:B689, B689)</f>
        <v>0.47843750000000002</v>
      </c>
      <c r="AD689" s="86">
        <f>AVERAGEIFS($D$2:D689, $B$2:B689, B689)</f>
        <v>0.34375</v>
      </c>
    </row>
    <row r="690" spans="1:30" x14ac:dyDescent="0.25">
      <c r="A690" s="85">
        <v>46175</v>
      </c>
      <c r="B690" t="s">
        <v>38</v>
      </c>
      <c r="C690">
        <v>15</v>
      </c>
      <c r="D690" s="86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86">
        <f>AVERAGEIFS($C$2:C690, $B$2:B690, B690)</f>
        <v>10</v>
      </c>
      <c r="AB690" s="86">
        <f>AVERAGEIFS($I$2:I690, $B$2:B690, B690)</f>
        <v>0.41000000000000003</v>
      </c>
      <c r="AC690" s="86">
        <f>AVERAGEIFS($J$2:J690, $B$2:B690, B690)</f>
        <v>0.46666666666666656</v>
      </c>
      <c r="AD690" s="86">
        <f>AVERAGEIFS($D$2:D690, $B$2:B690, B690)</f>
        <v>0.4</v>
      </c>
    </row>
    <row r="691" spans="1:30" x14ac:dyDescent="0.25">
      <c r="A691" s="85">
        <v>46175</v>
      </c>
      <c r="B691" t="s">
        <v>154</v>
      </c>
      <c r="C691">
        <v>9</v>
      </c>
      <c r="D691" s="86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86">
        <f>AVERAGEIFS($C$2:C691, $B$2:B691, B691)</f>
        <v>12.5</v>
      </c>
      <c r="AB691" s="86">
        <f>AVERAGEIFS($I$2:I691, $B$2:B691, B691)</f>
        <v>0.44285714285714278</v>
      </c>
      <c r="AC691" s="86">
        <f>AVERAGEIFS($J$2:J691, $B$2:B691, B691)</f>
        <v>0.50357142857142867</v>
      </c>
      <c r="AD691" s="86">
        <f>AVERAGEIFS($D$2:D691, $B$2:B691, B691)</f>
        <v>0.5</v>
      </c>
    </row>
    <row r="692" spans="1:30" x14ac:dyDescent="0.25">
      <c r="A692" s="85">
        <v>46175</v>
      </c>
      <c r="B692" t="s">
        <v>14</v>
      </c>
      <c r="C692">
        <v>38</v>
      </c>
      <c r="D692" s="86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86">
        <f>AVERAGEIFS($C$2:C692, $B$2:B692, B692)</f>
        <v>22.555555555555557</v>
      </c>
      <c r="AB692" s="86">
        <f>AVERAGEIFS($I$2:I692, $B$2:B692, B692)</f>
        <v>0.40740740740740738</v>
      </c>
      <c r="AC692" s="86">
        <f>AVERAGEIFS($J$2:J692, $B$2:B692, B692)</f>
        <v>0.4525925925925926</v>
      </c>
      <c r="AD692" s="86">
        <f>AVERAGEIFS($D$2:D692, $B$2:B692, B692)</f>
        <v>0.37037037037037035</v>
      </c>
    </row>
    <row r="693" spans="1:30" x14ac:dyDescent="0.25">
      <c r="A693" s="85">
        <v>46175</v>
      </c>
      <c r="B693" t="s">
        <v>6</v>
      </c>
      <c r="C693">
        <v>32</v>
      </c>
      <c r="D693" s="86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86">
        <f>AVERAGEIFS($C$2:C693, $B$2:B693, B693)</f>
        <v>24.789473684210527</v>
      </c>
      <c r="AB693" s="86">
        <f>AVERAGEIFS($I$2:I693, $B$2:B693, B693)</f>
        <v>0.64736842105263148</v>
      </c>
      <c r="AC693" s="86">
        <f>AVERAGEIFS($J$2:J693, $B$2:B693, B693)</f>
        <v>0.57736842105263153</v>
      </c>
      <c r="AD693" s="86">
        <f>AVERAGEIFS($D$2:D693, $B$2:B693, B693)</f>
        <v>0.63157894736842102</v>
      </c>
    </row>
    <row r="694" spans="1:30" x14ac:dyDescent="0.25">
      <c r="A694" s="85">
        <v>46175</v>
      </c>
      <c r="B694" t="s">
        <v>150</v>
      </c>
      <c r="C694">
        <v>32</v>
      </c>
      <c r="D694" s="86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86">
        <f>AVERAGEIFS($C$2:C694, $B$2:B694, B694)</f>
        <v>18.272727272727273</v>
      </c>
      <c r="AB694" s="86">
        <f>AVERAGEIFS($I$2:I694, $B$2:B694, B694)</f>
        <v>0.64545454545454539</v>
      </c>
      <c r="AC694" s="86">
        <f>AVERAGEIFS($J$2:J694, $B$2:B694, B694)</f>
        <v>0.57409090909090887</v>
      </c>
      <c r="AD694" s="86">
        <f>AVERAGEIFS($D$2:D694, $B$2:B694, B694)</f>
        <v>0.72727272727272729</v>
      </c>
    </row>
    <row r="695" spans="1:30" x14ac:dyDescent="0.25">
      <c r="A695" s="85">
        <v>46175</v>
      </c>
      <c r="B695" t="s">
        <v>40</v>
      </c>
      <c r="C695">
        <v>31</v>
      </c>
      <c r="D695" s="86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86">
        <f>AVERAGEIFS($C$2:C695, $B$2:B695, B695)</f>
        <v>20.533333333333335</v>
      </c>
      <c r="AB695" s="86">
        <f>AVERAGEIFS($I$2:I695, $B$2:B695, B695)</f>
        <v>0.59333333333333327</v>
      </c>
      <c r="AC695" s="86">
        <f>AVERAGEIFS($J$2:J695, $B$2:B695, B695)</f>
        <v>0.5086666666666666</v>
      </c>
      <c r="AD695" s="86">
        <f>AVERAGEIFS($D$2:D695, $B$2:B695, B695)</f>
        <v>0.6</v>
      </c>
    </row>
    <row r="696" spans="1:30" x14ac:dyDescent="0.25">
      <c r="A696" s="85">
        <v>46175</v>
      </c>
      <c r="B696" t="s">
        <v>140</v>
      </c>
      <c r="C696">
        <v>18</v>
      </c>
      <c r="D696" s="86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86">
        <f>AVERAGEIFS($C$2:C696, $B$2:B696, B696)</f>
        <v>9.3214285714285712</v>
      </c>
      <c r="AB696" s="86">
        <f>AVERAGEIFS($I$2:I696, $B$2:B696, B696)</f>
        <v>0.45178571428571429</v>
      </c>
      <c r="AC696" s="86">
        <f>AVERAGEIFS($J$2:J696, $B$2:B696, B696)</f>
        <v>0.47499999999999998</v>
      </c>
      <c r="AD696" s="86">
        <f>AVERAGEIFS($D$2:D696, $B$2:B696, B696)</f>
        <v>0.42857142857142855</v>
      </c>
    </row>
    <row r="697" spans="1:30" x14ac:dyDescent="0.25">
      <c r="A697" s="85">
        <v>46175</v>
      </c>
      <c r="B697" t="s">
        <v>53</v>
      </c>
      <c r="C697">
        <v>16</v>
      </c>
      <c r="D697" s="86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86">
        <f>AVERAGEIFS($C$2:C697, $B$2:B697, B697)</f>
        <v>16.25</v>
      </c>
      <c r="AB697" s="86">
        <f>AVERAGEIFS($I$2:I697, $B$2:B697, B697)</f>
        <v>0.625</v>
      </c>
      <c r="AC697" s="86">
        <f>AVERAGEIFS($J$2:J697, $B$2:B697, B697)</f>
        <v>0.55500000000000005</v>
      </c>
      <c r="AD697" s="86">
        <f>AVERAGEIFS($D$2:D697, $B$2:B697, B697)</f>
        <v>0.75</v>
      </c>
    </row>
    <row r="698" spans="1:30" x14ac:dyDescent="0.25">
      <c r="A698" s="85">
        <v>46175</v>
      </c>
      <c r="B698" t="s">
        <v>147</v>
      </c>
      <c r="C698">
        <v>12</v>
      </c>
      <c r="D698" s="86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86">
        <f>AVERAGEIFS($C$2:C698, $B$2:B698, B698)</f>
        <v>16.454545454545453</v>
      </c>
      <c r="AB698" s="86">
        <f>AVERAGEIFS($I$2:I698, $B$2:B698, B698)</f>
        <v>0.47727272727272729</v>
      </c>
      <c r="AC698" s="86">
        <f>AVERAGEIFS($J$2:J698, $B$2:B698, B698)</f>
        <v>0.48181818181818181</v>
      </c>
      <c r="AD698" s="86">
        <f>AVERAGEIFS($D$2:D698, $B$2:B698, B698)</f>
        <v>0.54545454545454541</v>
      </c>
    </row>
    <row r="699" spans="1:30" x14ac:dyDescent="0.25">
      <c r="A699" s="85">
        <v>46175</v>
      </c>
      <c r="B699" t="s">
        <v>179</v>
      </c>
      <c r="C699">
        <v>9</v>
      </c>
      <c r="D699" s="86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86">
        <f>AVERAGEIFS($C$2:C699, $B$2:B699, B699)</f>
        <v>13.909090909090908</v>
      </c>
      <c r="AB699" s="86">
        <f>AVERAGEIFS($I$2:I699, $B$2:B699, B699)</f>
        <v>0.82727272727272727</v>
      </c>
      <c r="AC699" s="86">
        <f>AVERAGEIFS($J$2:J699, $B$2:B699, B699)</f>
        <v>0.61454545454545462</v>
      </c>
      <c r="AD699" s="86">
        <f>AVERAGEIFS($D$2:D699, $B$2:B699, B699)</f>
        <v>0.90909090909090906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147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3</v>
      </c>
      <c r="H4" s="2">
        <f>COUNTIFS('Tourney History'!B:B,A4,'Tourney History'!D:D, 0)</f>
        <v>4</v>
      </c>
      <c r="I4" s="88">
        <f>LOOKUP(2, 1/('Tourney History'!$B:$B=A4), 'Tourney History'!$AD:$AD)</f>
        <v>0.42857142857142855</v>
      </c>
      <c r="J4" s="34">
        <f>SUMIFS('Tourney History'!F:F,'Tourney History'!B:B,A4)</f>
        <v>13</v>
      </c>
      <c r="K4" s="2">
        <f>SUMIFS('Tourney History'!E:E,'Tourney History'!B:B,A4)-J4</f>
        <v>17</v>
      </c>
      <c r="L4" s="88">
        <f>LOOKUP(2, 1/('Tourney History'!$B:$B=A4), 'Tourney History'!$AB:$AB)</f>
        <v>0.40714285714285714</v>
      </c>
      <c r="M4" s="34">
        <f>SUMIFS('Tourney History'!H:H,'Tourney History'!B:B,A4)</f>
        <v>55</v>
      </c>
      <c r="N4" s="2">
        <f>SUMIFS('Tourney History'!G:G,'Tourney History'!B:B,A4)-M4</f>
        <v>62</v>
      </c>
      <c r="O4" s="88">
        <f>LOOKUP(2, 1/('Tourney History'!$B:$B=A4), 'Tourney History'!$AC:$AC)</f>
        <v>0.45571428571428568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1</v>
      </c>
      <c r="AE4" s="2">
        <f>COUNTIFS('Tourney History'!$B:$B,$A$4,'Tourney History'!Z:Z, 1)</f>
        <v>3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130</v>
      </c>
      <c r="E5" s="4">
        <f>AVERAGEIFS('Tourney History'!C:C,'Tourney History'!B:B,A5)</f>
        <v>16.25</v>
      </c>
      <c r="F5" s="35">
        <f t="array" ref="F5">MAX(IF('Tourney History'!B:B=A5, 'Tourney History'!C:C))</f>
        <v>32</v>
      </c>
      <c r="G5" s="34">
        <f>COUNTIFS('Tourney History'!B:B,A5,'Tourney History'!D:D, 1)</f>
        <v>5</v>
      </c>
      <c r="H5" s="2">
        <f>COUNTIFS('Tourney History'!B:B,A5,'Tourney History'!D:D, 0)</f>
        <v>3</v>
      </c>
      <c r="I5" s="88">
        <f>LOOKUP(2, 1/('Tourney History'!$B:$B=A5), 'Tourney History'!$AD:$AD)</f>
        <v>0.625</v>
      </c>
      <c r="J5" s="34">
        <f>SUMIFS('Tourney History'!F:F,'Tourney History'!B:B,A5)</f>
        <v>17</v>
      </c>
      <c r="K5" s="2">
        <f>SUMIFS('Tourney History'!E:E,'Tourney History'!B:B,A5)-J5</f>
        <v>17</v>
      </c>
      <c r="L5" s="88">
        <f>LOOKUP(2, 1/('Tourney History'!$B:$B=A5), 'Tourney History'!$AB:$AB)</f>
        <v>0.47500000000000003</v>
      </c>
      <c r="M5" s="34">
        <f>SUMIFS('Tourney History'!H:H,'Tourney History'!B:B,A5)</f>
        <v>72</v>
      </c>
      <c r="N5" s="2">
        <f>SUMIFS('Tourney History'!G:G,'Tourney History'!B:B,A5)-M5</f>
        <v>65</v>
      </c>
      <c r="O5" s="88">
        <f>LOOKUP(2, 1/('Tourney History'!$B:$B=A5), 'Tourney History'!$AC:$AC)</f>
        <v>0.51624999999999999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3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1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163</v>
      </c>
      <c r="E6" s="4">
        <f>AVERAGEIFS('Tourney History'!C:C,'Tourney History'!B:B,A6)</f>
        <v>14.818181818181818</v>
      </c>
      <c r="F6" s="35">
        <f t="array" ref="F6">MAX(IF('Tourney History'!B:B=A6, 'Tourney History'!C:C))</f>
        <v>26</v>
      </c>
      <c r="G6" s="34">
        <f>COUNTIFS('Tourney History'!B:B,A6,'Tourney History'!D:D, 1)</f>
        <v>4</v>
      </c>
      <c r="H6" s="2">
        <f>COUNTIFS('Tourney History'!B:B,A6,'Tourney History'!D:D, 0)</f>
        <v>7</v>
      </c>
      <c r="I6" s="88">
        <f>LOOKUP(2, 1/('Tourney History'!$B:$B=A6), 'Tourney History'!$AD:$AD)</f>
        <v>0.36363636363636365</v>
      </c>
      <c r="J6" s="34">
        <f>SUMIFS('Tourney History'!F:F,'Tourney History'!B:B,A6)</f>
        <v>21</v>
      </c>
      <c r="K6" s="2">
        <f>SUMIFS('Tourney History'!E:E,'Tourney History'!B:B,A6)-J6</f>
        <v>26</v>
      </c>
      <c r="L6" s="88">
        <f>LOOKUP(2, 1/('Tourney History'!$B:$B=A6), 'Tourney History'!$AB:$AB)</f>
        <v>0.44545454545454538</v>
      </c>
      <c r="M6" s="34">
        <f>SUMIFS('Tourney History'!H:H,'Tourney History'!B:B,A6)</f>
        <v>91</v>
      </c>
      <c r="N6" s="2">
        <f>SUMIFS('Tourney History'!G:G,'Tourney History'!B:B,A6)-M6</f>
        <v>101</v>
      </c>
      <c r="O6" s="88">
        <f>LOOKUP(2, 1/('Tourney History'!$B:$B=A6), 'Tourney History'!$AC:$AC)</f>
        <v>0.46727272727272734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2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4</v>
      </c>
      <c r="AC6" s="2">
        <f>COUNTIFS('Tourney History'!$B:$B,$A$6,'Tourney History'!X:X, 1)</f>
        <v>5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196</v>
      </c>
      <c r="E10" s="4">
        <f>AVERAGEIFS('Tourney History'!C:C,'Tourney History'!B:B,A10)</f>
        <v>19.600000000000001</v>
      </c>
      <c r="F10" s="35">
        <f t="array" ref="F10">MAX(IF('Tourney History'!B:B=A10, 'Tourney History'!C:C))</f>
        <v>44</v>
      </c>
      <c r="G10" s="34">
        <f>COUNTIFS('Tourney History'!B:B,A10,'Tourney History'!D:D, 1)</f>
        <v>5</v>
      </c>
      <c r="H10" s="2">
        <f>COUNTIFS('Tourney History'!B:B,A10,'Tourney History'!D:D, 0)</f>
        <v>5</v>
      </c>
      <c r="I10" s="88">
        <f>LOOKUP(2, 1/('Tourney History'!$B:$B=A10), 'Tourney History'!$AD:$AD)</f>
        <v>0.5</v>
      </c>
      <c r="J10" s="34">
        <f>SUMIFS('Tourney History'!F:F,'Tourney History'!B:B,A10)</f>
        <v>21</v>
      </c>
      <c r="K10" s="2">
        <f>SUMIFS('Tourney History'!E:E,'Tourney History'!B:B,A10)-J10</f>
        <v>24</v>
      </c>
      <c r="L10" s="88">
        <f>LOOKUP(2, 1/('Tourney History'!$B:$B=A10), 'Tourney History'!$AB:$AB)</f>
        <v>0.44500000000000001</v>
      </c>
      <c r="M10" s="34">
        <f>SUMIFS('Tourney History'!H:H,'Tourney History'!B:B,A10)</f>
        <v>90</v>
      </c>
      <c r="N10" s="2">
        <f>SUMIFS('Tourney History'!G:G,'Tourney History'!B:B,A10)-M10</f>
        <v>96</v>
      </c>
      <c r="O10" s="88">
        <f>LOOKUP(2, 1/('Tourney History'!$B:$B=A10), 'Tourney History'!$AC:$AC)</f>
        <v>0.46600000000000003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4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4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186</v>
      </c>
      <c r="E11" s="4">
        <f>AVERAGEIFS('Tourney History'!C:C,'Tourney History'!B:B,A11)</f>
        <v>18.600000000000001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5</v>
      </c>
      <c r="I11" s="88">
        <f>LOOKUP(2, 1/('Tourney History'!$B:$B=A11), 'Tourney History'!$AD:$AD)</f>
        <v>0.5</v>
      </c>
      <c r="J11" s="34">
        <f>SUMIFS('Tourney History'!F:F,'Tourney History'!B:B,A11)</f>
        <v>23</v>
      </c>
      <c r="K11" s="2">
        <f>SUMIFS('Tourney History'!E:E,'Tourney History'!B:B,A11)-J11</f>
        <v>22</v>
      </c>
      <c r="L11" s="88">
        <f>LOOKUP(2, 1/('Tourney History'!$B:$B=A11), 'Tourney History'!$AB:$AB)</f>
        <v>0.52500000000000013</v>
      </c>
      <c r="M11" s="34">
        <f>SUMIFS('Tourney History'!H:H,'Tourney History'!B:B,A11)</f>
        <v>91</v>
      </c>
      <c r="N11" s="2">
        <f>SUMIFS('Tourney History'!G:G,'Tourney History'!B:B,A11)-M11</f>
        <v>92</v>
      </c>
      <c r="O11" s="88">
        <f>LOOKUP(2, 1/('Tourney History'!$B:$B=A11), 'Tourney History'!$AC:$AC)</f>
        <v>0.50600000000000001</v>
      </c>
      <c r="P11" s="2">
        <f>COUNTIFS('Tourney History'!$B:$B,$A$11,'Tourney History'!K:K, 1)</f>
        <v>0</v>
      </c>
      <c r="Q11" s="2">
        <f>COUNTIFS('Tourney History'!$B:$B,$A$11,'Tourney History'!L:L, 1)</f>
        <v>4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5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130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9</v>
      </c>
      <c r="H16" s="2">
        <f>COUNTIFS('Tourney History'!B:B,A16,'Tourney History'!D:D, 0)</f>
        <v>1</v>
      </c>
      <c r="I16" s="88">
        <f>LOOKUP(2, 1/('Tourney History'!$B:$B=A16), 'Tourney History'!$AD:$AD)</f>
        <v>0.9</v>
      </c>
      <c r="J16" s="34">
        <f>SUMIFS('Tourney History'!F:F,'Tourney History'!B:B,A16)</f>
        <v>28</v>
      </c>
      <c r="K16" s="2">
        <f>SUMIFS('Tourney History'!E:E,'Tourney History'!B:B,A16)-J16</f>
        <v>16</v>
      </c>
      <c r="L16" s="88">
        <f>LOOKUP(2, 1/('Tourney History'!$B:$B=A16), 'Tourney History'!$AB:$AB)</f>
        <v>0.64999999999999991</v>
      </c>
      <c r="M16" s="34">
        <f>SUMIFS('Tourney History'!H:H,'Tourney History'!B:B,A16)</f>
        <v>104</v>
      </c>
      <c r="N16" s="2">
        <f>SUMIFS('Tourney History'!G:G,'Tourney History'!B:B,A16)-M16</f>
        <v>75</v>
      </c>
      <c r="O16" s="88">
        <f>LOOKUP(2, 1/('Tourney History'!$B:$B=A16), 'Tourney History'!$AC:$AC)</f>
        <v>0.59199999999999997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5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4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198</v>
      </c>
      <c r="E17" s="4">
        <f>AVERAGEIFS('Tourney History'!C:C,'Tourney History'!B:B,A17)</f>
        <v>28.285714285714285</v>
      </c>
      <c r="F17" s="35">
        <f t="array" ref="F17">MAX(IF('Tourney History'!B:B=A17, 'Tourney History'!C:C))</f>
        <v>38</v>
      </c>
      <c r="G17" s="34">
        <f>COUNTIFS('Tourney History'!B:B,A17,'Tourney History'!D:D, 1)</f>
        <v>6</v>
      </c>
      <c r="H17" s="2">
        <f>COUNTIFS('Tourney History'!B:B,A17,'Tourney History'!D:D, 0)</f>
        <v>1</v>
      </c>
      <c r="I17" s="88">
        <f>LOOKUP(2, 1/('Tourney History'!$B:$B=A17), 'Tourney History'!$AD:$AD)</f>
        <v>0.8571428571428571</v>
      </c>
      <c r="J17" s="34">
        <f>SUMIFS('Tourney History'!F:F,'Tourney History'!B:B,A17)</f>
        <v>20</v>
      </c>
      <c r="K17" s="2">
        <f>SUMIFS('Tourney History'!E:E,'Tourney History'!B:B,A17)-J17</f>
        <v>11</v>
      </c>
      <c r="L17" s="88">
        <f>LOOKUP(2, 1/('Tourney History'!$B:$B=A17), 'Tourney History'!$AB:$AB)</f>
        <v>0.67142857142857137</v>
      </c>
      <c r="M17" s="34">
        <f>SUMIFS('Tourney History'!H:H,'Tourney History'!B:B,A17)</f>
        <v>73</v>
      </c>
      <c r="N17" s="2">
        <f>SUMIFS('Tourney History'!G:G,'Tourney History'!B:B,A17)-M17</f>
        <v>58</v>
      </c>
      <c r="O17" s="88">
        <f>LOOKUP(2, 1/('Tourney History'!$B:$B=A17), 'Tourney History'!$AC:$AC)</f>
        <v>0.57714285714285718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3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3</v>
      </c>
      <c r="AE17" s="2">
        <f>COUNTIFS('Tourney History'!$B:$B,$A$17,'Tourney History'!Z:Z, 1)</f>
        <v>4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139</v>
      </c>
      <c r="B19" s="6" t="s">
        <v>79</v>
      </c>
      <c r="C19" s="2" t="s">
        <v>79</v>
      </c>
      <c r="D19" s="34">
        <f>SUMIFS('Tourney History'!C:C,'Tourney History'!B:B,A19)</f>
        <v>32</v>
      </c>
      <c r="E19" s="4">
        <f>AVERAGEIFS('Tourney History'!C:C,'Tourney History'!B:B,A19)</f>
        <v>16</v>
      </c>
      <c r="F19" s="35">
        <f t="array" ref="F19">MAX(IF('Tourney History'!B:B=A19, 'Tourney History'!C:C))</f>
        <v>21</v>
      </c>
      <c r="G19" s="34">
        <f>COUNTIFS('Tourney History'!B:B,A19,'Tourney History'!D:D, 1)</f>
        <v>0</v>
      </c>
      <c r="H19" s="2">
        <f>COUNTIFS('Tourney History'!B:B,A19,'Tourney History'!D:D, 0)</f>
        <v>2</v>
      </c>
      <c r="I19" s="88">
        <f>LOOKUP(2, 1/('Tourney History'!$B:$B=A19), 'Tourney History'!$AD:$AD)</f>
        <v>0</v>
      </c>
      <c r="J19" s="34">
        <f>SUMIFS('Tourney History'!F:F,'Tourney History'!B:B,A19)</f>
        <v>4</v>
      </c>
      <c r="K19" s="2">
        <f>SUMIFS('Tourney History'!E:E,'Tourney History'!B:B,A19)-J19</f>
        <v>6</v>
      </c>
      <c r="L19" s="88">
        <f>LOOKUP(2, 1/('Tourney History'!$B:$B=A19), 'Tourney History'!$AB:$AB)</f>
        <v>0.4</v>
      </c>
      <c r="M19" s="34">
        <f>SUMIFS('Tourney History'!H:H,'Tourney History'!B:B,A19)</f>
        <v>17</v>
      </c>
      <c r="N19" s="2">
        <f>SUMIFS('Tourney History'!G:G,'Tourney History'!B:B,A19)-M19</f>
        <v>22</v>
      </c>
      <c r="O19" s="88">
        <f>LOOKUP(2, 1/('Tourney History'!$B:$B=A19), 'Tourney History'!$AC:$AC)</f>
        <v>0.43</v>
      </c>
      <c r="P19" s="2">
        <f>COUNTIFS('Tourney History'!$B:$B,$A$19,'Tourney History'!K:K, 1)</f>
        <v>0</v>
      </c>
      <c r="Q19" s="2">
        <f>COUNTIFS('Tourney History'!$B:$B,$A$19,'Tourney History'!L:L, 1)</f>
        <v>2</v>
      </c>
      <c r="R19" s="2">
        <f>COUNTIFS('Tourney History'!$B:$B,$A$19,'Tourney History'!M:M, 1)</f>
        <v>0</v>
      </c>
      <c r="S19" s="2">
        <f>COUNTIFS('Tourney History'!$B:$B,$A$19,'Tourney History'!N:N, 1)</f>
        <v>0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0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0</v>
      </c>
      <c r="AC19" s="2">
        <f>COUNTIFS('Tourney History'!$B:$B,$A$19,'Tourney History'!X:X, 1)</f>
        <v>1</v>
      </c>
      <c r="AD19" s="2">
        <f>COUNTIFS('Tourney History'!$B:$B,$A$19,'Tourney History'!Y:Y, 1)</f>
        <v>0</v>
      </c>
      <c r="AE19" s="2">
        <f>COUNTIFS('Tourney History'!$B:$B,$A$19,'Tourney History'!Z:Z,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SUMIFS('Tourney History'!C:C,'Tourney History'!B:B,A20)</f>
        <v>207</v>
      </c>
      <c r="E20" s="4">
        <f>AVERAGEIFS('Tourney History'!C:C,'Tourney History'!B:B,A20)</f>
        <v>23</v>
      </c>
      <c r="F20" s="35">
        <f t="array" ref="F20">MAX(IF('Tourney History'!B:B=A20, 'Tourney History'!C:C))</f>
        <v>43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20</v>
      </c>
      <c r="K20" s="2">
        <f>SUMIFS('Tourney History'!E:E,'Tourney History'!B:B,A20)-J20</f>
        <v>23</v>
      </c>
      <c r="L20" s="88">
        <f>LOOKUP(2, 1/('Tourney History'!$B:$B=A20), 'Tourney History'!$AB:$AB)</f>
        <v>0.46666666666666667</v>
      </c>
      <c r="M20" s="34">
        <f>SUMIFS('Tourney History'!H:H,'Tourney History'!B:B,A20)</f>
        <v>90</v>
      </c>
      <c r="N20" s="2">
        <f>SUMIFS('Tourney History'!G:G,'Tourney History'!B:B,A20)-M20</f>
        <v>96</v>
      </c>
      <c r="O20" s="88">
        <f>LOOKUP(2, 1/('Tourney History'!$B:$B=A20), 'Tourney History'!$AC:$AC)</f>
        <v>0.4811111111111111</v>
      </c>
      <c r="P20" s="2">
        <f>COUNTIFS('Tourney History'!$B:$B,$A$20,'Tourney History'!K:K, 1)</f>
        <v>1</v>
      </c>
      <c r="Q20" s="2">
        <f>COUNTIFS('Tourney History'!$B:$B,$A$20,'Tourney History'!L:L, 1)</f>
        <v>2</v>
      </c>
      <c r="R20" s="2">
        <f>COUNTIFS('Tourney History'!$B:$B,$A$20,'Tourney History'!M:M, 1)</f>
        <v>1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5</v>
      </c>
      <c r="AD20" s="2">
        <f>COUNTIFS('Tourney History'!$B:$B,$A$20,'Tourney History'!Y:Y, 1)</f>
        <v>1</v>
      </c>
      <c r="AE20" s="2">
        <f>COUNTIFS('Tourney History'!$B:$B,$A$20,'Tourney History'!Z:Z, 1)</f>
        <v>4</v>
      </c>
    </row>
    <row r="21" spans="1:31" x14ac:dyDescent="0.25">
      <c r="A21" s="2" t="s">
        <v>53</v>
      </c>
      <c r="B21" s="6" t="s">
        <v>60</v>
      </c>
      <c r="C21" s="2" t="s">
        <v>79</v>
      </c>
      <c r="D21" s="34">
        <f>SUMIFS('Tourney History'!C:C,'Tourney History'!B:B,A21)</f>
        <v>55</v>
      </c>
      <c r="E21" s="4">
        <f>AVERAGEIFS('Tourney History'!C:C,'Tourney History'!B:B,A21)</f>
        <v>13.75</v>
      </c>
      <c r="F21" s="35">
        <f t="array" ref="F21">MAX(IF('Tourney History'!B:B=A21, 'Tourney History'!C:C))</f>
        <v>25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9</v>
      </c>
      <c r="K21" s="2">
        <f>SUMIFS('Tourney History'!E:E,'Tourney History'!B:B,A21)-J21</f>
        <v>8</v>
      </c>
      <c r="L21" s="88">
        <f>LOOKUP(2, 1/('Tourney History'!$B:$B=A21), 'Tourney History'!$AB:$AB)</f>
        <v>0.48749999999999999</v>
      </c>
      <c r="M21" s="34">
        <f>SUMIFS('Tourney History'!H:H,'Tourney History'!B:B,A21)</f>
        <v>36</v>
      </c>
      <c r="N21" s="2">
        <f>SUMIFS('Tourney History'!G:G,'Tourney History'!B:B,A21)-M21</f>
        <v>32</v>
      </c>
      <c r="O21" s="88">
        <f>LOOKUP(2, 1/('Tourney History'!$B:$B=A21), 'Tourney History'!$AC:$AC)</f>
        <v>0.51500000000000001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0</v>
      </c>
    </row>
    <row r="22" spans="1:31" x14ac:dyDescent="0.25">
      <c r="A22" s="2" t="s">
        <v>51</v>
      </c>
      <c r="B22" s="6" t="s">
        <v>79</v>
      </c>
      <c r="C22" s="2" t="s">
        <v>79</v>
      </c>
      <c r="D22" s="34">
        <f>SUMIFS('Tourney History'!C:C,'Tourney History'!B:B,A22)</f>
        <v>84</v>
      </c>
      <c r="E22" s="4">
        <f>AVERAGEIFS('Tourney History'!C:C,'Tourney History'!B:B,A22)</f>
        <v>16.8</v>
      </c>
      <c r="F22" s="35">
        <f t="array" ref="F22">MAX(IF('Tourney History'!B:B=A22, 'Tourney History'!C:C))</f>
        <v>22</v>
      </c>
      <c r="G22" s="34">
        <f>COUNTIFS('Tourney History'!B:B,A22,'Tourney History'!D:D, 1)</f>
        <v>3</v>
      </c>
      <c r="H22" s="2">
        <f>COUNTIFS('Tourney History'!B:B,A22,'Tourney History'!D:D, 0)</f>
        <v>2</v>
      </c>
      <c r="I22" s="88">
        <f>LOOKUP(2, 1/('Tourney History'!$B:$B=A22), 'Tourney History'!$AD:$AD)</f>
        <v>0.6</v>
      </c>
      <c r="J22" s="34">
        <f>SUMIFS('Tourney History'!F:F,'Tourney History'!B:B,A22)</f>
        <v>12</v>
      </c>
      <c r="K22" s="2">
        <f>SUMIFS('Tourney History'!E:E,'Tourney History'!B:B,A22)-J22</f>
        <v>8</v>
      </c>
      <c r="L22" s="88">
        <f>LOOKUP(2, 1/('Tourney History'!$B:$B=A22), 'Tourney History'!$AB:$AB)</f>
        <v>0.63</v>
      </c>
      <c r="M22" s="34">
        <f>SUMIFS('Tourney History'!H:H,'Tourney History'!B:B,A22)</f>
        <v>41</v>
      </c>
      <c r="N22" s="2">
        <f>SUMIFS('Tourney History'!G:G,'Tourney History'!B:B,A22)-M22</f>
        <v>40</v>
      </c>
      <c r="O22" s="88">
        <f>LOOKUP(2, 1/('Tourney History'!$B:$B=A22), 'Tourney History'!$AC:$AC)</f>
        <v>0.51600000000000001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2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2</v>
      </c>
      <c r="AC22" s="2">
        <f>COUNTIFS('Tourney History'!$B:$B,$A$22,'Tourney History'!X:X, 1)</f>
        <v>3</v>
      </c>
      <c r="AD22" s="2">
        <f>COUNTIFS('Tourney History'!$B:$B,$A$22,'Tourney History'!Y:Y, 1)</f>
        <v>0</v>
      </c>
      <c r="AE22" s="2">
        <f>COUNTIFS('Tourney History'!$B:$B,$A$22,'Tourney History'!Z:Z, 1)</f>
        <v>2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34">
        <f>SUMIFS('Tourney History'!C:C,'Tourney History'!B:B,A23)</f>
        <v>183</v>
      </c>
      <c r="E23" s="4">
        <f>AVERAGEIFS('Tourney History'!C:C,'Tourney History'!B:B,A23)</f>
        <v>18.3</v>
      </c>
      <c r="F23" s="35">
        <f t="array" ref="F23">MAX(IF('Tourney History'!B:B=A23, 'Tourney History'!C:C))</f>
        <v>37</v>
      </c>
      <c r="G23" s="34">
        <f>COUNTIFS('Tourney History'!B:B,A23,'Tourney History'!D:D, 1)</f>
        <v>4</v>
      </c>
      <c r="H23" s="2">
        <f>COUNTIFS('Tourney History'!B:B,A23,'Tourney History'!D:D, 0)</f>
        <v>6</v>
      </c>
      <c r="I23" s="88">
        <f>LOOKUP(2, 1/('Tourney History'!$B:$B=A23), 'Tourney History'!$AD:$AD)</f>
        <v>0.4</v>
      </c>
      <c r="J23" s="34">
        <f>SUMIFS('Tourney History'!F:F,'Tourney History'!B:B,A23)</f>
        <v>22</v>
      </c>
      <c r="K23" s="2">
        <f>SUMIFS('Tourney History'!E:E,'Tourney History'!B:B,A23)-J23</f>
        <v>22</v>
      </c>
      <c r="L23" s="88">
        <f>LOOKUP(2, 1/('Tourney History'!$B:$B=A23), 'Tourney History'!$AB:$AB)</f>
        <v>0.51</v>
      </c>
      <c r="M23" s="34">
        <f>SUMIFS('Tourney History'!H:H,'Tourney History'!B:B,A23)</f>
        <v>92</v>
      </c>
      <c r="N23" s="2">
        <f>SUMIFS('Tourney History'!G:G,'Tourney History'!B:B,A23)-M23</f>
        <v>90</v>
      </c>
      <c r="O23" s="88">
        <f>LOOKUP(2, 1/('Tourney History'!$B:$B=A23), 'Tourney History'!$AC:$AC)</f>
        <v>0.5159999999999999</v>
      </c>
      <c r="P23" s="2">
        <f>COUNTIFS('Tourney History'!$B:$B,$A$23,'Tourney History'!K:K, 1)</f>
        <v>2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4</v>
      </c>
      <c r="T23" s="2">
        <f>COUNTIFS('Tourney History'!$B:$B,$A$23,'Tourney History'!O:O, 1)</f>
        <v>0</v>
      </c>
      <c r="U23" s="2">
        <f>COUNTIFS('Tourney History'!$B:$B,$A$23,'Tourney History'!P:P, 1)</f>
        <v>3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5</v>
      </c>
      <c r="AC23" s="2">
        <f>COUNTIFS('Tourney History'!$B:$B,$A$23,'Tourney History'!X:X, 1)</f>
        <v>3</v>
      </c>
      <c r="AD23" s="2">
        <f>COUNTIFS('Tourney History'!$B:$B,$A$23,'Tourney History'!Y:Y, 1)</f>
        <v>1</v>
      </c>
      <c r="AE23" s="2">
        <f>COUNTIFS('Tourney History'!$B:$B,$A$23,'Tourney History'!Z:Z, 1)</f>
        <v>2</v>
      </c>
    </row>
    <row r="24" spans="1:31" x14ac:dyDescent="0.25">
      <c r="A24" s="1" t="s">
        <v>47</v>
      </c>
      <c r="B24" s="2" t="s">
        <v>79</v>
      </c>
      <c r="C24" s="2" t="s">
        <v>79</v>
      </c>
      <c r="D24" s="34">
        <f>SUMIFS('Tourney History'!C:C,'Tourney History'!B:B,A24)</f>
        <v>62</v>
      </c>
      <c r="E24" s="4">
        <f>AVERAGEIFS('Tourney History'!C:C,'Tourney History'!B:B,A24)</f>
        <v>10.333333333333334</v>
      </c>
      <c r="F24" s="35">
        <f t="array" ref="F24">MAX(IF('Tourney History'!B:B=A24, 'Tourney History'!C:C))</f>
        <v>14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12</v>
      </c>
      <c r="K24" s="2">
        <f>SUMIFS('Tourney History'!E:E,'Tourney History'!B:B,A24)-J24</f>
        <v>12</v>
      </c>
      <c r="L24" s="88">
        <f>LOOKUP(2, 1/('Tourney History'!$B:$B=A24), 'Tourney History'!$AB:$AB)</f>
        <v>0.5</v>
      </c>
      <c r="M24" s="34">
        <f>SUMIFS('Tourney History'!H:H,'Tourney History'!B:B,A24)</f>
        <v>51</v>
      </c>
      <c r="N24" s="2">
        <f>SUMIFS('Tourney History'!G:G,'Tourney History'!B:B,A24)-M24</f>
        <v>50</v>
      </c>
      <c r="O24" s="88">
        <f>LOOKUP(2, 1/('Tourney History'!$B:$B=A24), 'Tourney History'!$AC:$AC)</f>
        <v>0.49500000000000005</v>
      </c>
      <c r="P24" s="2">
        <f>COUNTIFS('Tourney History'!$B:$B,$A$24,'Tourney History'!K:K, 1)</f>
        <v>1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0</v>
      </c>
      <c r="T24" s="2">
        <f>COUNTIFS('Tourney History'!$B:$B,$A$24,'Tourney History'!O:O, 1)</f>
        <v>1</v>
      </c>
      <c r="U24" s="2">
        <f>COUNTIFS('Tourney History'!$B:$B,$A$24,'Tourney History'!P:P, 1)</f>
        <v>2</v>
      </c>
      <c r="V24" s="2">
        <f>COUNTIFS('Tourney History'!$B:$B,$A$24,'Tourney History'!Q:Q, 1)</f>
        <v>0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2</v>
      </c>
      <c r="AD24" s="2">
        <f>COUNTIFS('Tourney History'!$B:$B,$A$24,'Tourney History'!Y:Y, 1)</f>
        <v>0</v>
      </c>
      <c r="AE24" s="2">
        <f>COUNTIFS('Tourney History'!$B:$B,$A$24,'Tourney History'!Z:Z, 1)</f>
        <v>3</v>
      </c>
    </row>
    <row r="25" spans="1:31" ht="15.75" x14ac:dyDescent="0.25">
      <c r="A25" s="1" t="s">
        <v>3</v>
      </c>
      <c r="B25" s="80" t="s">
        <v>157</v>
      </c>
      <c r="C25" s="2" t="s">
        <v>159</v>
      </c>
      <c r="D25" s="34">
        <f>SUMIFS('Tourney History'!C:C,'Tourney History'!B:B,A25)</f>
        <v>143</v>
      </c>
      <c r="E25" s="4">
        <f>AVERAGEIFS('Tourney History'!C:C,'Tourney History'!B:B,A25)</f>
        <v>28.6</v>
      </c>
      <c r="F25" s="35">
        <f t="array" ref="F25">MAX(IF('Tourney History'!B:B=A25, 'Tourney History'!C:C))</f>
        <v>44</v>
      </c>
      <c r="G25" s="34">
        <f>COUNTIFS('Tourney History'!B:B,A25,'Tourney History'!D:D, 1)</f>
        <v>4</v>
      </c>
      <c r="H25" s="2">
        <f>COUNTIFS('Tourney History'!B:B,A25,'Tourney History'!D:D, 0)</f>
        <v>1</v>
      </c>
      <c r="I25" s="88">
        <f>LOOKUP(2, 1/('Tourney History'!$B:$B=A25), 'Tourney History'!$AD:$AD)</f>
        <v>0.8</v>
      </c>
      <c r="J25" s="34">
        <f>SUMIFS('Tourney History'!F:F,'Tourney History'!B:B,A25)</f>
        <v>13</v>
      </c>
      <c r="K25" s="2">
        <f>SUMIFS('Tourney History'!E:E,'Tourney History'!B:B,A25)-J25</f>
        <v>10</v>
      </c>
      <c r="L25" s="88">
        <f>LOOKUP(2, 1/('Tourney History'!$B:$B=A25), 'Tourney History'!$AB:$AB)</f>
        <v>0.56000000000000005</v>
      </c>
      <c r="M25" s="34">
        <f>SUMIFS('Tourney History'!H:H,'Tourney History'!B:B,A25)</f>
        <v>49</v>
      </c>
      <c r="N25" s="2">
        <f>SUMIFS('Tourney History'!G:G,'Tourney History'!B:B,A25)-M25</f>
        <v>42</v>
      </c>
      <c r="O25" s="88">
        <f>LOOKUP(2, 1/('Tourney History'!$B:$B=A25), 'Tourney History'!$AC:$AC)</f>
        <v>0.53599999999999992</v>
      </c>
      <c r="P25" s="2">
        <f>COUNTIFS('Tourney History'!$B:$B,$A$25,'Tourney History'!K:K, 1)</f>
        <v>0</v>
      </c>
      <c r="Q25" s="2">
        <f>COUNTIFS('Tourney History'!$B:$B,$A$25,'Tourney History'!L:L, 1)</f>
        <v>1</v>
      </c>
      <c r="R25" s="2">
        <f>COUNTIFS('Tourney History'!$B:$B,$A$25,'Tourney History'!M:M, 1)</f>
        <v>1</v>
      </c>
      <c r="S25" s="2">
        <f>COUNTIFS('Tourney History'!$B:$B,$A$25,'Tourney History'!N:N, 1)</f>
        <v>1</v>
      </c>
      <c r="T25" s="2">
        <f>COUNTIFS('Tourney History'!$B:$B,$A$25,'Tourney History'!O:O, 1)</f>
        <v>3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1</v>
      </c>
      <c r="AD25" s="2">
        <f>COUNTIFS('Tourney History'!$B:$B,$A$25,'Tourney History'!Y:Y, 1)</f>
        <v>2</v>
      </c>
      <c r="AE25" s="2">
        <f>COUNTIFS('Tourney History'!$B:$B,$A$25,'Tourney History'!Z:Z, 1)</f>
        <v>1</v>
      </c>
    </row>
    <row r="26" spans="1:31" ht="15.75" x14ac:dyDescent="0.25">
      <c r="A26" s="1" t="s">
        <v>148</v>
      </c>
      <c r="B26" s="80" t="s">
        <v>79</v>
      </c>
      <c r="C26" s="2" t="s">
        <v>79</v>
      </c>
      <c r="D26" s="34">
        <f>SUMIFS('Tourney History'!C:C,'Tourney History'!B:B,A26)</f>
        <v>39</v>
      </c>
      <c r="E26" s="4">
        <f>AVERAGEIFS('Tourney History'!C:C,'Tourney History'!B:B,A26)</f>
        <v>19.5</v>
      </c>
      <c r="F26" s="35">
        <f t="array" ref="F26">MAX(IF('Tourney History'!B:B=A26, 'Tourney History'!C:C))</f>
        <v>27</v>
      </c>
      <c r="G26" s="34">
        <f>COUNTIFS('Tourney History'!B:B,A26,'Tourney History'!D:D, 1)</f>
        <v>0</v>
      </c>
      <c r="H26" s="2">
        <f>COUNTIFS('Tourney History'!B:B,A26,'Tourney History'!D:D, 0)</f>
        <v>2</v>
      </c>
      <c r="I26" s="88">
        <f>LOOKUP(2, 1/('Tourney History'!$B:$B=A26), 'Tourney History'!$AD:$AD)</f>
        <v>0</v>
      </c>
      <c r="J26" s="34">
        <f>SUMIFS('Tourney History'!F:F,'Tourney History'!B:B,A26)</f>
        <v>4</v>
      </c>
      <c r="K26" s="2">
        <f>SUMIFS('Tourney History'!E:E,'Tourney History'!B:B,A26)-J26</f>
        <v>6</v>
      </c>
      <c r="L26" s="88">
        <f>LOOKUP(2, 1/('Tourney History'!$B:$B=A26), 'Tourney History'!$AB:$AB)</f>
        <v>0.4</v>
      </c>
      <c r="M26" s="34">
        <f>SUMIFS('Tourney History'!H:H,'Tourney History'!B:B,A26)</f>
        <v>17</v>
      </c>
      <c r="N26" s="2">
        <f>SUMIFS('Tourney History'!G:G,'Tourney History'!B:B,A26)-M26</f>
        <v>22</v>
      </c>
      <c r="O26" s="88">
        <f>LOOKUP(2, 1/('Tourney History'!$B:$B=A26), 'Tourney History'!$AC:$AC)</f>
        <v>0.43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0</v>
      </c>
      <c r="S26" s="2">
        <f>COUNTIFS('Tourney History'!$B:$B,$A$26,'Tourney History'!N:N, 1)</f>
        <v>0</v>
      </c>
      <c r="T26" s="2">
        <f>COUNTIFS('Tourney History'!$B:$B,$A$26,'Tourney History'!O:O, 1)</f>
        <v>0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34">
        <f>SUMIFS('Tourney History'!C:C,'Tourney History'!B:B,A27)</f>
        <v>324</v>
      </c>
      <c r="E27" s="4">
        <f>AVERAGEIFS('Tourney History'!C:C,'Tourney History'!B:B,A27)</f>
        <v>32.4</v>
      </c>
      <c r="F27" s="35">
        <f t="array" ref="F27">MAX(IF('Tourney History'!B:B=A27, 'Tourney History'!C:C))</f>
        <v>55</v>
      </c>
      <c r="G27" s="34">
        <f>COUNTIFS('Tourney History'!B:B,A27,'Tourney History'!D:D, 1)</f>
        <v>3</v>
      </c>
      <c r="H27" s="2">
        <f>COUNTIFS('Tourney History'!B:B,A27,'Tourney History'!D:D, 0)</f>
        <v>7</v>
      </c>
      <c r="I27" s="88">
        <f>LOOKUP(2, 1/('Tourney History'!$B:$B=A27), 'Tourney History'!$AD:$AD)</f>
        <v>0.3</v>
      </c>
      <c r="J27" s="34">
        <f>SUMIFS('Tourney History'!F:F,'Tourney History'!B:B,A27)</f>
        <v>20</v>
      </c>
      <c r="K27" s="2">
        <f>SUMIFS('Tourney History'!E:E,'Tourney History'!B:B,A27)-J27</f>
        <v>24</v>
      </c>
      <c r="L27" s="88">
        <f>LOOKUP(2, 1/('Tourney History'!$B:$B=A27), 'Tourney History'!$AB:$AB)</f>
        <v>0.46999999999999992</v>
      </c>
      <c r="M27" s="34">
        <f>SUMIFS('Tourney History'!H:H,'Tourney History'!B:B,A27)</f>
        <v>89</v>
      </c>
      <c r="N27" s="2">
        <f>SUMIFS('Tourney History'!G:G,'Tourney History'!B:B,A27)-M27</f>
        <v>98</v>
      </c>
      <c r="O27" s="88">
        <f>LOOKUP(2, 1/('Tourney History'!$B:$B=A27), 'Tourney History'!$AC:$AC)</f>
        <v>0.48299999999999998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2</v>
      </c>
      <c r="T27" s="2">
        <f>COUNTIFS('Tourney History'!$B:$B,$A$27,'Tourney History'!O:O, 1)</f>
        <v>1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4</v>
      </c>
      <c r="AC27" s="2">
        <f>COUNTIFS('Tourney History'!$B:$B,$A$27,'Tourney History'!X:X, 1)</f>
        <v>5</v>
      </c>
      <c r="AD27" s="2">
        <f>COUNTIFS('Tourney History'!$B:$B,$A$27,'Tourney History'!Y:Y, 1)</f>
        <v>1</v>
      </c>
      <c r="AE27" s="2">
        <f>COUNTIFS('Tourney History'!$B:$B,$A$27,'Tourney History'!Z:Z, 1)</f>
        <v>3</v>
      </c>
    </row>
    <row r="28" spans="1:31" x14ac:dyDescent="0.25">
      <c r="A28" s="2" t="s">
        <v>13</v>
      </c>
      <c r="B28" s="6" t="s">
        <v>124</v>
      </c>
      <c r="C28" s="1" t="s">
        <v>159</v>
      </c>
      <c r="D28" s="34">
        <f>SUMIFS('Tourney History'!C:C,'Tourney History'!B:B,A28)</f>
        <v>391</v>
      </c>
      <c r="E28" s="4">
        <f>AVERAGEIFS('Tourney History'!C:C,'Tourney History'!B:B,A28)</f>
        <v>35.545454545454547</v>
      </c>
      <c r="F28" s="35">
        <f t="array" ref="F28">MAX(IF('Tourney History'!B:B=A28, 'Tourney History'!C:C))</f>
        <v>58</v>
      </c>
      <c r="G28" s="34">
        <f>COUNTIFS('Tourney History'!B:B,A28,'Tourney History'!D:D, 1)</f>
        <v>5</v>
      </c>
      <c r="H28" s="2">
        <f>COUNTIFS('Tourney History'!B:B,A28,'Tourney History'!D:D, 0)</f>
        <v>6</v>
      </c>
      <c r="I28" s="88">
        <f>LOOKUP(2, 1/('Tourney History'!$B:$B=A28), 'Tourney History'!$AD:$AD)</f>
        <v>0.45454545454545453</v>
      </c>
      <c r="J28" s="34">
        <f>SUMIFS('Tourney History'!F:F,'Tourney History'!B:B,A28)</f>
        <v>22</v>
      </c>
      <c r="K28" s="2">
        <f>SUMIFS('Tourney History'!E:E,'Tourney History'!B:B,A28)-J28</f>
        <v>26</v>
      </c>
      <c r="L28" s="88">
        <f>LOOKUP(2, 1/('Tourney History'!$B:$B=A28), 'Tourney History'!$AB:$AB)</f>
        <v>0.43181818181818188</v>
      </c>
      <c r="M28" s="34">
        <f>SUMIFS('Tourney History'!H:H,'Tourney History'!B:B,A28)</f>
        <v>95</v>
      </c>
      <c r="N28" s="2">
        <f>SUMIFS('Tourney History'!G:G,'Tourney History'!B:B,A28)-M28</f>
        <v>97</v>
      </c>
      <c r="O28" s="88">
        <f>LOOKUP(2, 1/('Tourney History'!$B:$B=A28), 'Tourney History'!$AC:$AC)</f>
        <v>0.48000000000000004</v>
      </c>
      <c r="P28" s="2">
        <f>COUNTIFS('Tourney History'!$B:$B,$A$28,'Tourney History'!K:K, 1)</f>
        <v>0</v>
      </c>
      <c r="Q28" s="2">
        <f>COUNTIFS('Tourney History'!$B:$B,$A$28,'Tourney History'!L:L, 1)</f>
        <v>3</v>
      </c>
      <c r="R28" s="2">
        <f>COUNTIFS('Tourney History'!$B:$B,$A$28,'Tourney History'!M:M, 1)</f>
        <v>0</v>
      </c>
      <c r="S28" s="2">
        <f>COUNTIFS('Tourney History'!$B:$B,$A$28,'Tourney History'!N:N, 1)</f>
        <v>3</v>
      </c>
      <c r="T28" s="2">
        <f>COUNTIFS('Tourney History'!$B:$B,$A$28,'Tourney History'!O:O, 1)</f>
        <v>3</v>
      </c>
      <c r="U28" s="2">
        <f>COUNTIFS('Tourney History'!$B:$B,$A$28,'Tourney History'!P:P, 1)</f>
        <v>4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3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2</v>
      </c>
    </row>
    <row r="29" spans="1:31" x14ac:dyDescent="0.25">
      <c r="A29" s="2" t="s">
        <v>2</v>
      </c>
      <c r="B29" s="6" t="s">
        <v>124</v>
      </c>
      <c r="C29" s="6" t="s">
        <v>79</v>
      </c>
      <c r="D29" s="34">
        <f>SUMIFS('Tourney History'!C:C,'Tourney History'!B:B,A29)</f>
        <v>309</v>
      </c>
      <c r="E29" s="4">
        <f>AVERAGEIFS('Tourney History'!C:C,'Tourney History'!B:B,A29)</f>
        <v>38.625</v>
      </c>
      <c r="F29" s="35">
        <f t="array" ref="F29">MAX(IF('Tourney History'!B:B=A29, 'Tourney History'!C:C))</f>
        <v>68</v>
      </c>
      <c r="G29" s="34">
        <f>COUNTIFS('Tourney History'!B:B,A29,'Tourney History'!D:D, 1)</f>
        <v>3</v>
      </c>
      <c r="H29" s="2">
        <f>COUNTIFS('Tourney History'!B:B,A29,'Tourney History'!D:D, 0)</f>
        <v>5</v>
      </c>
      <c r="I29" s="88">
        <f>LOOKUP(2, 1/('Tourney History'!$B:$B=A29), 'Tourney History'!$AD:$AD)</f>
        <v>0.375</v>
      </c>
      <c r="J29" s="34">
        <f>SUMIFS('Tourney History'!F:F,'Tourney History'!B:B,A29)</f>
        <v>18</v>
      </c>
      <c r="K29" s="2">
        <f>SUMIFS('Tourney History'!E:E,'Tourney History'!B:B,A29)-J29</f>
        <v>18</v>
      </c>
      <c r="L29" s="88">
        <f>LOOKUP(2, 1/('Tourney History'!$B:$B=A29), 'Tourney History'!$AB:$AB)</f>
        <v>0.51249999999999996</v>
      </c>
      <c r="M29" s="34">
        <f>SUMIFS('Tourney History'!H:H,'Tourney History'!B:B,A29)</f>
        <v>78</v>
      </c>
      <c r="N29" s="2">
        <f>SUMIFS('Tourney History'!G:G,'Tourney History'!B:B,A29)-M29</f>
        <v>77</v>
      </c>
      <c r="O29" s="88">
        <f>LOOKUP(2, 1/('Tourney History'!$B:$B=A29), 'Tourney History'!$AC:$AC)</f>
        <v>0.51500000000000001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1</v>
      </c>
      <c r="S29" s="2">
        <f>COUNTIFS('Tourney History'!$B:$B,$A$29,'Tourney History'!N:N, 1)</f>
        <v>4</v>
      </c>
      <c r="T29" s="2">
        <f>COUNTIFS('Tourney History'!$B:$B,$A$29,'Tourney History'!O:O, 1)</f>
        <v>0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1</v>
      </c>
      <c r="AD29" s="2">
        <f>COUNTIFS('Tourney History'!$B:$B,$A$29,'Tourney History'!Y:Y, 1)</f>
        <v>2</v>
      </c>
      <c r="AE29" s="2">
        <f>COUNTIFS('Tourney History'!$B:$B,$A$29,'Tourney History'!Z:Z, 1)</f>
        <v>2</v>
      </c>
    </row>
    <row r="30" spans="1:31" x14ac:dyDescent="0.25">
      <c r="A30" s="2" t="s">
        <v>54</v>
      </c>
      <c r="B30" s="6" t="s">
        <v>60</v>
      </c>
      <c r="C30" s="6" t="s">
        <v>79</v>
      </c>
      <c r="D30" s="34">
        <f>SUMIFS('Tourney History'!C:C,'Tourney History'!B:B,A30)</f>
        <v>53</v>
      </c>
      <c r="E30" s="4">
        <f>AVERAGEIFS('Tourney History'!C:C,'Tourney History'!B:B,A30)</f>
        <v>26.5</v>
      </c>
      <c r="F30" s="35">
        <f t="array" ref="F30">MAX(IF('Tourney History'!B:B=A30, 'Tourney History'!C:C))</f>
        <v>29</v>
      </c>
      <c r="G30" s="34">
        <f>COUNTIFS('Tourney History'!B:B,A30,'Tourney History'!D:D, 1)</f>
        <v>2</v>
      </c>
      <c r="H30" s="2">
        <f>COUNTIFS('Tourney History'!B:B,A30,'Tourney History'!D:D, 0)</f>
        <v>0</v>
      </c>
      <c r="I30" s="88">
        <f>LOOKUP(2, 1/('Tourney History'!$B:$B=A30), 'Tourney History'!$AD:$AD)</f>
        <v>1</v>
      </c>
      <c r="J30" s="34">
        <f>SUMIFS('Tourney History'!F:F,'Tourney History'!B:B,A30)</f>
        <v>6</v>
      </c>
      <c r="K30" s="2">
        <f>SUMIFS('Tourney History'!E:E,'Tourney History'!B:B,A30)-J30</f>
        <v>4</v>
      </c>
      <c r="L30" s="88">
        <f>LOOKUP(2, 1/('Tourney History'!$B:$B=A30), 'Tourney History'!$AB:$AB)</f>
        <v>0.6</v>
      </c>
      <c r="M30" s="34">
        <f>SUMIFS('Tourney History'!H:H,'Tourney History'!B:B,A30)</f>
        <v>23</v>
      </c>
      <c r="N30" s="2">
        <f>SUMIFS('Tourney History'!G:G,'Tourney History'!B:B,A30)-M30</f>
        <v>17</v>
      </c>
      <c r="O30" s="88">
        <f>LOOKUP(2, 1/('Tourney History'!$B:$B=A30), 'Tourney History'!$AC:$AC)</f>
        <v>0.57499999999999996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2</v>
      </c>
      <c r="U30" s="2">
        <f>COUNTIFS('Tourney History'!$B:$B,$A$30,'Tourney History'!P:P, 1)</f>
        <v>1</v>
      </c>
      <c r="V30" s="2">
        <f>COUNTIFS('Tourney History'!$B:$B,$A$30,'Tourney History'!Q:Q, 1)</f>
        <v>2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5</v>
      </c>
      <c r="B31" s="6" t="s">
        <v>177</v>
      </c>
      <c r="C31" s="1" t="s">
        <v>159</v>
      </c>
      <c r="D31" s="34">
        <f>SUMIFS('Tourney History'!C:C,'Tourney History'!B:B,A31)</f>
        <v>220</v>
      </c>
      <c r="E31" s="4">
        <f>AVERAGEIFS('Tourney History'!C:C,'Tourney History'!B:B,A31)</f>
        <v>31.428571428571427</v>
      </c>
      <c r="F31" s="35">
        <f t="array" ref="F31">MAX(IF('Tourney History'!B:B=A31, 'Tourney History'!C:C))</f>
        <v>51</v>
      </c>
      <c r="G31" s="34">
        <f>COUNTIFS('Tourney History'!B:B,A31,'Tourney History'!D:D, 1)</f>
        <v>6</v>
      </c>
      <c r="H31" s="2">
        <f>COUNTIFS('Tourney History'!B:B,A31,'Tourney History'!D:D, 0)</f>
        <v>1</v>
      </c>
      <c r="I31" s="88">
        <f>LOOKUP(2, 1/('Tourney History'!$B:$B=A31), 'Tourney History'!$AD:$AD)</f>
        <v>0.8571428571428571</v>
      </c>
      <c r="J31" s="34">
        <f>SUMIFS('Tourney History'!F:F,'Tourney History'!B:B,A31)</f>
        <v>19</v>
      </c>
      <c r="K31" s="2">
        <f>SUMIFS('Tourney History'!E:E,'Tourney History'!B:B,A31)-J31</f>
        <v>12</v>
      </c>
      <c r="L31" s="88">
        <f>LOOKUP(2, 1/('Tourney History'!$B:$B=A31), 'Tourney History'!$AB:$AB)</f>
        <v>0.61428571428571443</v>
      </c>
      <c r="M31" s="34">
        <f>SUMIFS('Tourney History'!H:H,'Tourney History'!B:B,A31)</f>
        <v>72</v>
      </c>
      <c r="N31" s="2">
        <f>SUMIFS('Tourney History'!G:G,'Tourney History'!B:B,A31)-M31</f>
        <v>59</v>
      </c>
      <c r="O31" s="88">
        <f>LOOKUP(2, 1/('Tourney History'!$B:$B=A31), 'Tourney History'!$AC:$AC)</f>
        <v>0.54714285714285715</v>
      </c>
      <c r="P31" s="2">
        <f>COUNTIFS('Tourney History'!$B:$B,$A$31,'Tourney History'!K:K, 1)</f>
        <v>2</v>
      </c>
      <c r="Q31" s="2">
        <f>COUNTIFS('Tourney History'!$B:$B,$A$31,'Tourney History'!L:L, 1)</f>
        <v>2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3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2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1</v>
      </c>
    </row>
    <row r="32" spans="1:31" x14ac:dyDescent="0.25">
      <c r="A32" s="2" t="s">
        <v>38</v>
      </c>
      <c r="B32" s="6" t="s">
        <v>79</v>
      </c>
      <c r="C32" s="6" t="s">
        <v>79</v>
      </c>
      <c r="D32" s="34">
        <f>SUMIFS('Tourney History'!C:C,'Tourney History'!B:B,A32)</f>
        <v>10</v>
      </c>
      <c r="E32" s="4">
        <f>AVERAGEIFS('Tourney History'!C:C,'Tourney History'!B:B,A32)</f>
        <v>5</v>
      </c>
      <c r="F32" s="35">
        <f t="array" ref="F32">MAX(IF('Tourney History'!B:B=A32, 'Tourney History'!C:C))</f>
        <v>6</v>
      </c>
      <c r="G32" s="34">
        <f>COUNTIFS('Tourney History'!B:B,A32,'Tourney History'!D:D, 1)</f>
        <v>1</v>
      </c>
      <c r="H32" s="2">
        <f>COUNTIFS('Tourney History'!B:B,A32,'Tourney History'!D:D, 0)</f>
        <v>1</v>
      </c>
      <c r="I32" s="88">
        <f>LOOKUP(2, 1/('Tourney History'!$B:$B=A32), 'Tourney History'!$AD:$AD)</f>
        <v>0.5</v>
      </c>
      <c r="J32" s="34">
        <f>SUMIFS('Tourney History'!F:F,'Tourney History'!B:B,A32)</f>
        <v>4</v>
      </c>
      <c r="K32" s="2">
        <f>SUMIFS('Tourney History'!E:E,'Tourney History'!B:B,A32)-J32</f>
        <v>4</v>
      </c>
      <c r="L32" s="88">
        <f>LOOKUP(2, 1/('Tourney History'!$B:$B=A32), 'Tourney History'!$AB:$AB)</f>
        <v>0.5</v>
      </c>
      <c r="M32" s="34">
        <f>SUMIFS('Tourney History'!H:H,'Tourney History'!B:B,A32)</f>
        <v>15</v>
      </c>
      <c r="N32" s="2">
        <f>SUMIFS('Tourney History'!G:G,'Tourney History'!B:B,A32)-M32</f>
        <v>19</v>
      </c>
      <c r="O32" s="88">
        <f>LOOKUP(2, 1/('Tourney History'!$B:$B=A32), 'Tourney History'!$AC:$AC)</f>
        <v>0.43500000000000005</v>
      </c>
      <c r="P32" s="2">
        <f>COUNTIFS('Tourney History'!$B:$B,$A$32,'Tourney History'!K:K, 1)</f>
        <v>0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0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1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141</v>
      </c>
      <c r="B33" s="6" t="s">
        <v>79</v>
      </c>
      <c r="C33" s="6" t="s">
        <v>79</v>
      </c>
      <c r="D33" s="34">
        <f>SUMIFS('Tourney History'!C:C,'Tourney History'!B:B,A33)</f>
        <v>15</v>
      </c>
      <c r="E33" s="4">
        <f>AVERAGEIFS('Tourney History'!C:C,'Tourney History'!B:B,A33)</f>
        <v>15</v>
      </c>
      <c r="F33" s="35">
        <f t="array" ref="F33">MAX(IF('Tourney History'!B:B=A33, 'Tourney History'!C:C))</f>
        <v>15</v>
      </c>
      <c r="G33" s="34">
        <f>COUNTIFS('Tourney History'!B:B,A33,'Tourney History'!D:D, 1)</f>
        <v>1</v>
      </c>
      <c r="H33" s="2">
        <f>COUNTIFS('Tourney History'!B:B,A33,'Tourney History'!D:D, 0)</f>
        <v>0</v>
      </c>
      <c r="I33" s="88">
        <f>LOOKUP(2, 1/('Tourney History'!$B:$B=A33), 'Tourney History'!$AD:$AD)</f>
        <v>1</v>
      </c>
      <c r="J33" s="34">
        <f>SUMIFS('Tourney History'!F:F,'Tourney History'!B:B,A33)</f>
        <v>3</v>
      </c>
      <c r="K33" s="2">
        <f>SUMIFS('Tourney History'!E:E,'Tourney History'!B:B,A33)-J33</f>
        <v>2</v>
      </c>
      <c r="L33" s="88">
        <f>LOOKUP(2, 1/('Tourney History'!$B:$B=A33), 'Tourney History'!$AB:$AB)</f>
        <v>0.6</v>
      </c>
      <c r="M33" s="34">
        <f>SUMIFS('Tourney History'!H:H,'Tourney History'!B:B,A33)</f>
        <v>10</v>
      </c>
      <c r="N33" s="2">
        <f>SUMIFS('Tourney History'!G:G,'Tourney History'!B:B,A33)-M33</f>
        <v>7</v>
      </c>
      <c r="O33" s="88">
        <f>LOOKUP(2, 1/('Tourney History'!$B:$B=A33), 'Tourney History'!$AC:$AC)</f>
        <v>0.59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0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0</v>
      </c>
      <c r="AC33" s="2">
        <f>COUNTIFS('Tourney History'!$B:$B,$A$33,'Tourney History'!X:X, 1)</f>
        <v>0</v>
      </c>
      <c r="AD33" s="2">
        <f>COUNTIFS('Tourney History'!$B:$B,$A$33,'Tourney History'!Y:Y, 1)</f>
        <v>1</v>
      </c>
      <c r="AE33" s="2">
        <f>COUNTIFS('Tourney History'!$B:$B,$A$33,'Tourney History'!Z:Z, 1)</f>
        <v>1</v>
      </c>
    </row>
    <row r="34" spans="1:31" x14ac:dyDescent="0.25">
      <c r="A34" s="2" t="s">
        <v>40</v>
      </c>
      <c r="B34" s="2" t="s">
        <v>79</v>
      </c>
      <c r="C34" s="2" t="s">
        <v>79</v>
      </c>
      <c r="D34" s="34">
        <f>SUMIFS('Tourney History'!C:C,'Tourney History'!B:B,A34)</f>
        <v>134</v>
      </c>
      <c r="E34" s="4">
        <f>AVERAGEIFS('Tourney History'!C:C,'Tourney History'!B:B,A34)</f>
        <v>26.8</v>
      </c>
      <c r="F34" s="35">
        <f t="array" ref="F34">MAX(IF('Tourney History'!B:B=A34, 'Tourney History'!C:C))</f>
        <v>40</v>
      </c>
      <c r="G34" s="34">
        <f>COUNTIFS('Tourney History'!B:B,A34,'Tourney History'!D:D, 1)</f>
        <v>2</v>
      </c>
      <c r="H34" s="2">
        <f>COUNTIFS('Tourney History'!B:B,A34,'Tourney History'!D:D, 0)</f>
        <v>3</v>
      </c>
      <c r="I34" s="88">
        <f>LOOKUP(2, 1/('Tourney History'!$B:$B=A34), 'Tourney History'!$AD:$AD)</f>
        <v>0.4</v>
      </c>
      <c r="J34" s="34">
        <f>SUMIFS('Tourney History'!F:F,'Tourney History'!B:B,A34)</f>
        <v>11</v>
      </c>
      <c r="K34" s="2">
        <f>SUMIFS('Tourney History'!E:E,'Tourney History'!B:B,A34)-J34</f>
        <v>13</v>
      </c>
      <c r="L34" s="88">
        <f>LOOKUP(2, 1/('Tourney History'!$B:$B=A34), 'Tourney History'!$AB:$AB)</f>
        <v>0.45</v>
      </c>
      <c r="M34" s="34">
        <f>SUMIFS('Tourney History'!H:H,'Tourney History'!B:B,A34)</f>
        <v>49</v>
      </c>
      <c r="N34" s="2">
        <f>SUMIFS('Tourney History'!G:G,'Tourney History'!B:B,A34)-M34</f>
        <v>54</v>
      </c>
      <c r="O34" s="88">
        <f>LOOKUP(2, 1/('Tourney History'!$B:$B=A34), 'Tourney History'!$AC:$AC)</f>
        <v>0.47200000000000009</v>
      </c>
      <c r="P34" s="2">
        <f>COUNTIFS('Tourney History'!$B:$B,$A$34,'Tourney History'!K:K, 1)</f>
        <v>1</v>
      </c>
      <c r="Q34" s="2">
        <f>COUNTIFS('Tourney History'!$B:$B,$A$34,'Tourney History'!L:L, 1)</f>
        <v>0</v>
      </c>
      <c r="R34" s="2">
        <f>COUNTIFS('Tourney History'!$B:$B,$A$34,'Tourney History'!M:M, 1)</f>
        <v>1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3</v>
      </c>
      <c r="AD34" s="2">
        <f>COUNTIFS('Tourney History'!$B:$B,$A$34,'Tourney History'!Y:Y, 1)</f>
        <v>1</v>
      </c>
      <c r="AE34" s="2">
        <f>COUNTIFS('Tourney History'!$B:$B,$A$34,'Tourney History'!Z:Z, 1)</f>
        <v>2</v>
      </c>
    </row>
    <row r="35" spans="1:31" x14ac:dyDescent="0.25">
      <c r="A35" s="2" t="s">
        <v>147</v>
      </c>
      <c r="B35" s="2" t="s">
        <v>79</v>
      </c>
      <c r="C35" s="2" t="s">
        <v>79</v>
      </c>
      <c r="D35" s="34">
        <f>SUMIFS('Tourney History'!C:C,'Tourney History'!B:B,A35)</f>
        <v>91</v>
      </c>
      <c r="E35" s="4">
        <f>AVERAGEIFS('Tourney History'!C:C,'Tourney History'!B:B,A35)</f>
        <v>30.333333333333332</v>
      </c>
      <c r="F35" s="35">
        <f t="array" ref="F35">MAX(IF('Tourney History'!B:B=A35, 'Tourney History'!C:C))</f>
        <v>35</v>
      </c>
      <c r="G35" s="34">
        <f>COUNTIFS('Tourney History'!B:B,A35,'Tourney History'!D:D, 1)</f>
        <v>1</v>
      </c>
      <c r="H35" s="2">
        <f>COUNTIFS('Tourney History'!B:B,A35,'Tourney History'!D:D, 0)</f>
        <v>2</v>
      </c>
      <c r="I35" s="88">
        <f>LOOKUP(2, 1/('Tourney History'!$B:$B=A35), 'Tourney History'!$AD:$AD)</f>
        <v>0.33333333333333331</v>
      </c>
      <c r="J35" s="34">
        <f>SUMIFS('Tourney History'!F:F,'Tourney History'!B:B,A35)</f>
        <v>7</v>
      </c>
      <c r="K35" s="2">
        <f>SUMIFS('Tourney History'!E:E,'Tourney History'!B:B,A35)-J35</f>
        <v>8</v>
      </c>
      <c r="L35" s="88">
        <f>LOOKUP(2, 1/('Tourney History'!$B:$B=A35), 'Tourney History'!$AB:$AB)</f>
        <v>0.46666666666666662</v>
      </c>
      <c r="M35" s="34">
        <f>SUMIFS('Tourney History'!H:H,'Tourney History'!B:B,A35)</f>
        <v>29</v>
      </c>
      <c r="N35" s="2">
        <f>SUMIFS('Tourney History'!G:G,'Tourney History'!B:B,A35)-M35</f>
        <v>35</v>
      </c>
      <c r="O35" s="88">
        <f>LOOKUP(2, 1/('Tourney History'!$B:$B=A35), 'Tourney History'!$AC:$AC)</f>
        <v>0.45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2</v>
      </c>
      <c r="T35" s="2">
        <f>COUNTIFS('Tourney History'!$B:$B,$A$35,'Tourney History'!O:O, 1)</f>
        <v>1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1</v>
      </c>
      <c r="AD35" s="2">
        <f>COUNTIFS('Tourney History'!$B:$B,$A$35,'Tourney History'!Y:Y, 1)</f>
        <v>1</v>
      </c>
      <c r="AE35" s="2">
        <f>COUNTIFS('Tourney History'!$B:$B,$A$35,'Tourney History'!Z:Z, 1)</f>
        <v>0</v>
      </c>
    </row>
    <row r="36" spans="1:31" x14ac:dyDescent="0.25">
      <c r="A36" s="2" t="s">
        <v>17</v>
      </c>
      <c r="B36" s="2" t="s">
        <v>79</v>
      </c>
      <c r="C36" s="2" t="s">
        <v>79</v>
      </c>
      <c r="D36" s="34">
        <f>SUMIFS('Tourney History'!C:C,'Tourney History'!B:B,A36)</f>
        <v>365</v>
      </c>
      <c r="E36" s="4">
        <f>AVERAGEIFS('Tourney History'!C:C,'Tourney History'!B:B,A36)</f>
        <v>36.5</v>
      </c>
      <c r="F36" s="35">
        <f t="array" ref="F36">MAX(IF('Tourney History'!B:B=A36, 'Tourney History'!C:C))</f>
        <v>58</v>
      </c>
      <c r="G36" s="34">
        <f>COUNTIFS('Tourney History'!B:B,A36,'Tourney History'!D:D, 1)</f>
        <v>2</v>
      </c>
      <c r="H36" s="2">
        <f>COUNTIFS('Tourney History'!B:B,A36,'Tourney History'!D:D, 0)</f>
        <v>8</v>
      </c>
      <c r="I36" s="88">
        <f>LOOKUP(2, 1/('Tourney History'!$B:$B=A36), 'Tourney History'!$AD:$AD)</f>
        <v>0.2</v>
      </c>
      <c r="J36" s="34">
        <f>SUMIFS('Tourney History'!F:F,'Tourney History'!B:B,A36)</f>
        <v>20</v>
      </c>
      <c r="K36" s="2">
        <f>SUMIFS('Tourney History'!E:E,'Tourney History'!B:B,A36)-J36</f>
        <v>26</v>
      </c>
      <c r="L36" s="88">
        <f>LOOKUP(2, 1/('Tourney History'!$B:$B=A36), 'Tourney History'!$AB:$AB)</f>
        <v>0.45</v>
      </c>
      <c r="M36" s="34">
        <f>SUMIFS('Tourney History'!H:H,'Tourney History'!B:B,A36)</f>
        <v>92</v>
      </c>
      <c r="N36" s="2">
        <f>SUMIFS('Tourney History'!G:G,'Tourney History'!B:B,A36)-M36</f>
        <v>105</v>
      </c>
      <c r="O36" s="88">
        <f>LOOKUP(2, 1/('Tourney History'!$B:$B=A36), 'Tourney History'!$AC:$AC)</f>
        <v>0.47199999999999998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0</v>
      </c>
      <c r="S36" s="2">
        <f>COUNTIFS('Tourney History'!$B:$B,$A$36,'Tourney History'!N:N, 1)</f>
        <v>0</v>
      </c>
      <c r="T36" s="2">
        <f>COUNTIFS('Tourney History'!$B:$B,$A$36,'Tourney History'!O:O, 1)</f>
        <v>1</v>
      </c>
      <c r="U36" s="2">
        <f>COUNTIFS('Tourney History'!$B:$B,$A$36,'Tourney History'!P:P, 1)</f>
        <v>2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2</v>
      </c>
      <c r="AE36" s="2">
        <f>COUNTIFS('Tourney History'!$B:$B,$A$36,'Tourney History'!Z:Z, 1)</f>
        <v>4</v>
      </c>
    </row>
    <row r="37" spans="1:31" ht="15.75" x14ac:dyDescent="0.25">
      <c r="A37" s="2" t="s">
        <v>155</v>
      </c>
      <c r="B37" s="97" t="s">
        <v>176</v>
      </c>
      <c r="C37" s="2" t="s">
        <v>79</v>
      </c>
      <c r="D37" s="34">
        <f>SUMIFS('Tourney History'!C:C,'Tourney History'!B:B,A37)</f>
        <v>123</v>
      </c>
      <c r="E37" s="4">
        <f>AVERAGEIFS('Tourney History'!C:C,'Tourney History'!B:B,A37)</f>
        <v>30.75</v>
      </c>
      <c r="F37" s="35">
        <f t="array" ref="F37">MAX(IF('Tourney History'!B:B=A37, 'Tourney History'!C:C))</f>
        <v>43</v>
      </c>
      <c r="G37" s="34">
        <f>COUNTIFS('Tourney History'!B:B,A37,'Tourney History'!D:D, 1)</f>
        <v>3</v>
      </c>
      <c r="H37" s="2">
        <f>COUNTIFS('Tourney History'!B:B,A37,'Tourney History'!D:D, 0)</f>
        <v>1</v>
      </c>
      <c r="I37" s="88">
        <f>LOOKUP(2, 1/('Tourney History'!$B:$B=A37), 'Tourney History'!$AD:$AD)</f>
        <v>0.75</v>
      </c>
      <c r="J37" s="34">
        <f>SUMIFS('Tourney History'!F:F,'Tourney History'!B:B,A37)</f>
        <v>10</v>
      </c>
      <c r="K37" s="2">
        <f>SUMIFS('Tourney History'!E:E,'Tourney History'!B:B,A37)-J37</f>
        <v>9</v>
      </c>
      <c r="L37" s="88">
        <f>LOOKUP(2, 1/('Tourney History'!$B:$B=A37), 'Tourney History'!$AB:$AB)</f>
        <v>0.51249999999999996</v>
      </c>
      <c r="M37" s="34">
        <f>SUMIFS('Tourney History'!H:H,'Tourney History'!B:B,A37)</f>
        <v>41</v>
      </c>
      <c r="N37" s="2">
        <f>SUMIFS('Tourney History'!G:G,'Tourney History'!B:B,A37)-M37</f>
        <v>36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3</v>
      </c>
      <c r="U37" s="2">
        <f>COUNTIFS('Tourney History'!$B:$B,$A$37,'Tourney History'!P:P, 1)</f>
        <v>1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6</v>
      </c>
      <c r="B38" s="2" t="s">
        <v>157</v>
      </c>
      <c r="C38" s="2" t="s">
        <v>79</v>
      </c>
      <c r="D38" s="34">
        <f>SUMIFS('Tourney History'!C:C,'Tourney History'!B:B,A38)</f>
        <v>293</v>
      </c>
      <c r="E38" s="4">
        <f>AVERAGEIFS('Tourney History'!C:C,'Tourney History'!B:B,A38)</f>
        <v>32.555555555555557</v>
      </c>
      <c r="F38" s="35">
        <f t="array" ref="F38">MAX(IF('Tourney History'!B:B=A38, 'Tourney History'!C:C))</f>
        <v>66</v>
      </c>
      <c r="G38" s="34">
        <f>COUNTIFS('Tourney History'!B:B,A38,'Tourney History'!D:D, 1)</f>
        <v>6</v>
      </c>
      <c r="H38" s="2">
        <f>COUNTIFS('Tourney History'!B:B,A38,'Tourney History'!D:D, 0)</f>
        <v>3</v>
      </c>
      <c r="I38" s="88">
        <f>LOOKUP(2, 1/('Tourney History'!$B:$B=A38), 'Tourney History'!$AD:$AD)</f>
        <v>0.66666666666666663</v>
      </c>
      <c r="J38" s="34">
        <f>SUMIFS('Tourney History'!F:F,'Tourney History'!B:B,A38)</f>
        <v>23</v>
      </c>
      <c r="K38" s="2">
        <f>SUMIFS('Tourney History'!E:E,'Tourney History'!B:B,A38)-J38</f>
        <v>15</v>
      </c>
      <c r="L38" s="88">
        <f>LOOKUP(2, 1/('Tourney History'!$B:$B=A38), 'Tourney History'!$AB:$AB)</f>
        <v>0.63888888888888884</v>
      </c>
      <c r="M38" s="34">
        <f>SUMIFS('Tourney History'!H:H,'Tourney History'!B:B,A38)</f>
        <v>84</v>
      </c>
      <c r="N38" s="2">
        <f>SUMIFS('Tourney History'!G:G,'Tourney History'!B:B,A38)-M38</f>
        <v>77</v>
      </c>
      <c r="O38" s="88">
        <f>LOOKUP(2, 1/('Tourney History'!$B:$B=A38), 'Tourney History'!$AC:$AC)</f>
        <v>0.53999999999999992</v>
      </c>
      <c r="P38" s="2">
        <f>COUNTIFS('Tourney History'!$B:$B,$A$38,'Tourney History'!K:K, 1)</f>
        <v>0</v>
      </c>
      <c r="Q38" s="2">
        <f>COUNTIFS('Tourney History'!$B:$B,$A$38,'Tourney History'!L:L, 1)</f>
        <v>3</v>
      </c>
      <c r="R38" s="2">
        <f>COUNTIFS('Tourney History'!$B:$B,$A$38,'Tourney History'!M:M, 1)</f>
        <v>3</v>
      </c>
      <c r="S38" s="2">
        <f>COUNTIFS('Tourney History'!$B:$B,$A$38,'Tourney History'!N:N, 1)</f>
        <v>2</v>
      </c>
      <c r="T38" s="2">
        <f>COUNTIFS('Tourney History'!$B:$B,$A$38,'Tourney History'!O:O, 1)</f>
        <v>2</v>
      </c>
      <c r="U38" s="2">
        <f>COUNTIFS('Tourney History'!$B:$B,$A$38,'Tourney History'!P:P, 1)</f>
        <v>3</v>
      </c>
      <c r="V38" s="2">
        <f>COUNTIFS('Tourney History'!$B:$B,$A$38,'Tourney History'!Q:Q, 1)</f>
        <v>0</v>
      </c>
      <c r="W38" s="2">
        <f>COUNTIFS('Tourney History'!$B:$B,$A$38,'Tourney History'!R:R, 1)</f>
        <v>1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4</v>
      </c>
      <c r="AC38" s="2">
        <f>COUNTIFS('Tourney History'!$B:$B,$A$38,'Tourney History'!X:X, 1)</f>
        <v>1</v>
      </c>
      <c r="AD38" s="2">
        <f>COUNTIFS('Tourney History'!$B:$B,$A$38,'Tourney History'!Y:Y, 1)</f>
        <v>2</v>
      </c>
      <c r="AE38" s="2">
        <f>COUNTIFS('Tourney History'!$B:$B,$A$38,'Tourney History'!Z:Z, 1)</f>
        <v>2</v>
      </c>
    </row>
    <row r="39" spans="1:31" ht="15.75" x14ac:dyDescent="0.25">
      <c r="A39" s="2" t="s">
        <v>18</v>
      </c>
      <c r="B39" s="97" t="s">
        <v>176</v>
      </c>
      <c r="C39" s="2" t="s">
        <v>79</v>
      </c>
      <c r="D39" s="34">
        <f>SUMIFS('Tourney History'!C:C,'Tourney History'!B:B,A39)</f>
        <v>363</v>
      </c>
      <c r="E39" s="4">
        <f>AVERAGEIFS('Tourney History'!C:C,'Tourney History'!B:B,A39)</f>
        <v>36.299999999999997</v>
      </c>
      <c r="F39" s="35">
        <f t="array" ref="F39">MAX(IF('Tourney History'!B:B=A39, 'Tourney History'!C:C))</f>
        <v>58</v>
      </c>
      <c r="G39" s="34">
        <f>COUNTIFS('Tourney History'!B:B,A39,'Tourney History'!D:D, 1)</f>
        <v>4</v>
      </c>
      <c r="H39" s="2">
        <f>COUNTIFS('Tourney History'!B:B,A39,'Tourney History'!D:D, 0)</f>
        <v>6</v>
      </c>
      <c r="I39" s="88">
        <f>LOOKUP(2, 1/('Tourney History'!$B:$B=A39), 'Tourney History'!$AD:$AD)</f>
        <v>0.4</v>
      </c>
      <c r="J39" s="34">
        <f>SUMIFS('Tourney History'!F:F,'Tourney History'!B:B,A39)</f>
        <v>21</v>
      </c>
      <c r="K39" s="2">
        <f>SUMIFS('Tourney History'!E:E,'Tourney History'!B:B,A39)-J39</f>
        <v>24</v>
      </c>
      <c r="L39" s="88">
        <f>LOOKUP(2, 1/('Tourney History'!$B:$B=A39), 'Tourney History'!$AB:$AB)</f>
        <v>0.46500000000000002</v>
      </c>
      <c r="M39" s="34">
        <f>SUMIFS('Tourney History'!H:H,'Tourney History'!B:B,A39)</f>
        <v>91</v>
      </c>
      <c r="N39" s="2">
        <f>SUMIFS('Tourney History'!G:G,'Tourney History'!B:B,A39)-M39</f>
        <v>96</v>
      </c>
      <c r="O39" s="88">
        <f>LOOKUP(2, 1/('Tourney History'!$B:$B=A39), 'Tourney History'!$AC:$AC)</f>
        <v>0.48599999999999993</v>
      </c>
      <c r="P39" s="2">
        <f>COUNTIFS('Tourney History'!$B:$B,$A$39,'Tourney History'!K:K, 1)</f>
        <v>2</v>
      </c>
      <c r="Q39" s="2">
        <f>COUNTIFS('Tourney History'!$B:$B,$A$39,'Tourney History'!L:L, 1)</f>
        <v>1</v>
      </c>
      <c r="R39" s="2">
        <f>COUNTIFS('Tourney History'!$B:$B,$A$39,'Tourney History'!M:M, 1)</f>
        <v>0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2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2</v>
      </c>
      <c r="AC39" s="2">
        <f>COUNTIFS('Tourney History'!$B:$B,$A$39,'Tourney History'!X:X, 1)</f>
        <v>3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113</v>
      </c>
      <c r="B40" s="2" t="s">
        <v>79</v>
      </c>
      <c r="C40" s="2" t="s">
        <v>79</v>
      </c>
      <c r="D40" s="34">
        <f>SUMIFS('Tourney History'!C:C,'Tourney History'!B:B,A40)</f>
        <v>99</v>
      </c>
      <c r="E40" s="4">
        <f>AVERAGEIFS('Tourney History'!C:C,'Tourney History'!B:B,A40)</f>
        <v>49.5</v>
      </c>
      <c r="F40" s="35">
        <f t="array" ref="F40">MAX(IF('Tourney History'!B:B=A40, 'Tourney History'!C:C))</f>
        <v>50</v>
      </c>
      <c r="G40" s="34">
        <f>COUNTIFS('Tourney History'!B:B,A40,'Tourney History'!D:D, 1)</f>
        <v>1</v>
      </c>
      <c r="H40" s="2">
        <f>COUNTIFS('Tourney History'!B:B,A40,'Tourney History'!D:D, 0)</f>
        <v>1</v>
      </c>
      <c r="I40" s="88">
        <f>LOOKUP(2, 1/('Tourney History'!$B:$B=A40), 'Tourney History'!$AD:$AD)</f>
        <v>0.5</v>
      </c>
      <c r="J40" s="34">
        <f>SUMIFS('Tourney History'!F:F,'Tourney History'!B:B,A40)</f>
        <v>5</v>
      </c>
      <c r="K40" s="2">
        <f>SUMIFS('Tourney History'!E:E,'Tourney History'!B:B,A40)-J40</f>
        <v>5</v>
      </c>
      <c r="L40" s="88">
        <f>LOOKUP(2, 1/('Tourney History'!$B:$B=A40), 'Tourney History'!$AB:$AB)</f>
        <v>0.5</v>
      </c>
      <c r="M40" s="34">
        <f>SUMIFS('Tourney History'!H:H,'Tourney History'!B:B,A40)</f>
        <v>21</v>
      </c>
      <c r="N40" s="2">
        <f>SUMIFS('Tourney History'!G:G,'Tourney History'!B:B,A40)-M40</f>
        <v>23</v>
      </c>
      <c r="O40" s="88">
        <f>LOOKUP(2, 1/('Tourney History'!$B:$B=A40), 'Tourney History'!$AC:$AC)</f>
        <v>0.47499999999999998</v>
      </c>
      <c r="P40" s="2">
        <f>COUNTIFS('Tourney History'!$B:$B,$A$40,'Tourney History'!K:K, 1)</f>
        <v>0</v>
      </c>
      <c r="Q40" s="2">
        <f>COUNTIFS('Tourney History'!$B:$B,$A$40,'Tourney History'!L:L, 1)</f>
        <v>1</v>
      </c>
      <c r="R40" s="2">
        <f>COUNTIFS('Tourney History'!$B:$B,$A$40,'Tourney History'!M:M, 1)</f>
        <v>1</v>
      </c>
      <c r="S40" s="2">
        <f>COUNTIFS('Tourney History'!$B:$B,$A$40,'Tourney History'!N:N, 1)</f>
        <v>2</v>
      </c>
      <c r="T40" s="2">
        <f>COUNTIFS('Tourney History'!$B:$B,$A$40,'Tourney History'!O:O, 1)</f>
        <v>1</v>
      </c>
      <c r="U40" s="2">
        <f>COUNTIFS('Tourney History'!$B:$B,$A$40,'Tourney History'!P:P, 1)</f>
        <v>0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0</v>
      </c>
      <c r="AE40" s="2">
        <f>COUNTIFS('Tourney History'!$B:$B,$A$40,'Tourney History'!Z:Z, 1)</f>
        <v>0</v>
      </c>
    </row>
    <row r="41" spans="1:31" x14ac:dyDescent="0.25">
      <c r="A41" s="2" t="s">
        <v>14</v>
      </c>
      <c r="B41" s="6" t="s">
        <v>124</v>
      </c>
      <c r="C41" s="6" t="s">
        <v>160</v>
      </c>
      <c r="D41" s="34">
        <f>SUMIFS('Tourney History'!C:C,'Tourney History'!B:B,A41)</f>
        <v>427</v>
      </c>
      <c r="E41" s="4">
        <f>AVERAGEIFS('Tourney History'!C:C,'Tourney History'!B:B,A41)</f>
        <v>38.81818181818182</v>
      </c>
      <c r="F41" s="35">
        <f t="array" ref="F41">MAX(IF('Tourney History'!B:B=A41, 'Tourney History'!C:C))</f>
        <v>56</v>
      </c>
      <c r="G41" s="34">
        <f>COUNTIFS('Tourney History'!B:B,A41,'Tourney History'!D:D, 1)</f>
        <v>6</v>
      </c>
      <c r="H41" s="2">
        <f>COUNTIFS('Tourney History'!B:B,A41,'Tourney History'!D:D, 0)</f>
        <v>5</v>
      </c>
      <c r="I41" s="88">
        <f>LOOKUP(2, 1/('Tourney History'!$B:$B=A41), 'Tourney History'!$AD:$AD)</f>
        <v>0.54545454545454541</v>
      </c>
      <c r="J41" s="34">
        <f>SUMIFS('Tourney History'!F:F,'Tourney History'!B:B,A41)</f>
        <v>24</v>
      </c>
      <c r="K41" s="2">
        <f>SUMIFS('Tourney History'!E:E,'Tourney History'!B:B,A41)-J41</f>
        <v>24</v>
      </c>
      <c r="L41" s="88">
        <f>LOOKUP(2, 1/('Tourney History'!$B:$B=A41), 'Tourney History'!$AB:$AB)</f>
        <v>0.50454545454545452</v>
      </c>
      <c r="M41" s="34">
        <f>SUMIFS('Tourney History'!H:H,'Tourney History'!B:B,A41)</f>
        <v>104</v>
      </c>
      <c r="N41" s="2">
        <f>SUMIFS('Tourney History'!G:G,'Tourney History'!B:B,A41)-M41</f>
        <v>101</v>
      </c>
      <c r="O41" s="88">
        <f>LOOKUP(2, 1/('Tourney History'!$B:$B=A41), 'Tourney History'!$AC:$AC)</f>
        <v>0.51181818181818184</v>
      </c>
      <c r="P41" s="2">
        <f>COUNTIFS('Tourney History'!$B:$B,$A$41,'Tourney History'!K:K, 1)</f>
        <v>1</v>
      </c>
      <c r="Q41" s="2">
        <f>COUNTIFS('Tourney History'!$B:$B,$A$41,'Tourney History'!L:L, 1)</f>
        <v>3</v>
      </c>
      <c r="R41" s="2">
        <f>COUNTIFS('Tourney History'!$B:$B,$A$41,'Tourney History'!M:M, 1)</f>
        <v>2</v>
      </c>
      <c r="S41" s="2">
        <f>COUNTIFS('Tourney History'!$B:$B,$A$41,'Tourney History'!N:N, 1)</f>
        <v>0</v>
      </c>
      <c r="T41" s="2">
        <f>COUNTIFS('Tourney History'!$B:$B,$A$41,'Tourney History'!O:O, 1)</f>
        <v>4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4</v>
      </c>
      <c r="AC41" s="2">
        <f>COUNTIFS('Tourney History'!$B:$B,$A$41,'Tourney History'!X:X, 1)</f>
        <v>6</v>
      </c>
      <c r="AD41" s="2">
        <f>COUNTIFS('Tourney History'!$B:$B,$A$41,'Tourney History'!Y:Y, 1)</f>
        <v>0</v>
      </c>
      <c r="AE41" s="2">
        <f>COUNTIFS('Tourney History'!$B:$B,$A$41,'Tourney History'!Z:Z, 1)</f>
        <v>3</v>
      </c>
    </row>
    <row r="42" spans="1:31" x14ac:dyDescent="0.25">
      <c r="A42" s="2" t="s">
        <v>70</v>
      </c>
      <c r="B42" s="6" t="s">
        <v>79</v>
      </c>
      <c r="C42" s="6" t="s">
        <v>79</v>
      </c>
      <c r="D42" s="34">
        <f>SUMIFS('Tourney History'!C:C,'Tourney History'!B:B,A42)</f>
        <v>88</v>
      </c>
      <c r="E42" s="4">
        <f>AVERAGEIFS('Tourney History'!C:C,'Tourney History'!B:B,A42)</f>
        <v>22</v>
      </c>
      <c r="F42" s="35">
        <f t="array" ref="F42">MAX(IF('Tourney History'!B:B=A42, 'Tourney History'!C:C))</f>
        <v>27</v>
      </c>
      <c r="G42" s="34">
        <f>COUNTIFS('Tourney History'!B:B,A42,'Tourney History'!D:D, 1)</f>
        <v>2</v>
      </c>
      <c r="H42" s="2">
        <f>COUNTIFS('Tourney History'!B:B,A42,'Tourney History'!D:D, 0)</f>
        <v>2</v>
      </c>
      <c r="I42" s="88">
        <f>LOOKUP(2, 1/('Tourney History'!$B:$B=A42), 'Tourney History'!$AD:$AD)</f>
        <v>0.5</v>
      </c>
      <c r="J42" s="34">
        <f>SUMIFS('Tourney History'!F:F,'Tourney History'!B:B,A42)</f>
        <v>10</v>
      </c>
      <c r="K42" s="2">
        <f>SUMIFS('Tourney History'!E:E,'Tourney History'!B:B,A42)-J42</f>
        <v>10</v>
      </c>
      <c r="L42" s="88">
        <f>LOOKUP(2, 1/('Tourney History'!$B:$B=A42), 'Tourney History'!$AB:$AB)</f>
        <v>0.5</v>
      </c>
      <c r="M42" s="34">
        <f>SUMIFS('Tourney History'!H:H,'Tourney History'!B:B,A42)</f>
        <v>42</v>
      </c>
      <c r="N42" s="2">
        <f>SUMIFS('Tourney History'!G:G,'Tourney History'!B:B,A42)-M42</f>
        <v>40</v>
      </c>
      <c r="O42" s="88">
        <f>LOOKUP(2, 1/('Tourney History'!$B:$B=A42), 'Tourney History'!$AC:$AC)</f>
        <v>0.51749999999999996</v>
      </c>
      <c r="P42" s="2">
        <f>COUNTIFS('Tourney History'!$B:$B,$A$42,'Tourney History'!K:K, 1)</f>
        <v>1</v>
      </c>
      <c r="Q42" s="2">
        <f>COUNTIFS('Tourney History'!$B:$B,$A$42,'Tourney History'!L:L, 1)</f>
        <v>0</v>
      </c>
      <c r="R42" s="2">
        <f>COUNTIFS('Tourney History'!$B:$B,$A$42,'Tourney History'!M:M, 1)</f>
        <v>0</v>
      </c>
      <c r="S42" s="2">
        <f>COUNTIFS('Tourney History'!$B:$B,$A$42,'Tourney History'!N:N, 1)</f>
        <v>1</v>
      </c>
      <c r="T42" s="2">
        <f>COUNTIFS('Tourney History'!$B:$B,$A$42,'Tourney History'!O:O, 1)</f>
        <v>2</v>
      </c>
      <c r="U42" s="2">
        <f>COUNTIFS('Tourney History'!$B:$B,$A$42,'Tourney History'!P:P, 1)</f>
        <v>0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0</v>
      </c>
      <c r="AC42" s="2">
        <f>COUNTIFS('Tourney History'!$B:$B,$A$42,'Tourney History'!X:X, 1)</f>
        <v>2</v>
      </c>
      <c r="AD42" s="2">
        <f>COUNTIFS('Tourney History'!$B:$B,$A$42,'Tourney History'!Y:Y, 1)</f>
        <v>1</v>
      </c>
      <c r="AE42" s="2">
        <f>COUNTIFS('Tourney History'!$B:$B,$A$42,'Tourney History'!Z:Z, 1)</f>
        <v>2</v>
      </c>
    </row>
    <row r="43" spans="1:31" x14ac:dyDescent="0.25">
      <c r="A43" s="2" t="s">
        <v>4</v>
      </c>
      <c r="B43" s="6" t="s">
        <v>175</v>
      </c>
      <c r="C43" s="2" t="s">
        <v>79</v>
      </c>
      <c r="D43" s="34">
        <f>SUMIFS('Tourney History'!C:C,'Tourney History'!B:B,A43)</f>
        <v>160</v>
      </c>
      <c r="E43" s="4">
        <f>AVERAGEIFS('Tourney History'!C:C,'Tourney History'!B:B,A43)</f>
        <v>26.666666666666668</v>
      </c>
      <c r="F43" s="35">
        <f t="array" ref="F43">MAX(IF('Tourney History'!B:B=A43, 'Tourney History'!C:C))</f>
        <v>46</v>
      </c>
      <c r="G43" s="34">
        <f>COUNTIFS('Tourney History'!B:B,A43,'Tourney History'!D:D, 1)</f>
        <v>5</v>
      </c>
      <c r="H43" s="2">
        <f>COUNTIFS('Tourney History'!B:B,A43,'Tourney History'!D:D, 0)</f>
        <v>1</v>
      </c>
      <c r="I43" s="88">
        <f>LOOKUP(2, 1/('Tourney History'!$B:$B=A43), 'Tourney History'!$AD:$AD)</f>
        <v>0.83333333333333337</v>
      </c>
      <c r="J43" s="34">
        <f>SUMIFS('Tourney History'!F:F,'Tourney History'!B:B,A43)</f>
        <v>15</v>
      </c>
      <c r="K43" s="2">
        <f>SUMIFS('Tourney History'!E:E,'Tourney History'!B:B,A43)-J43</f>
        <v>11</v>
      </c>
      <c r="L43" s="88">
        <f>LOOKUP(2, 1/('Tourney History'!$B:$B=A43), 'Tourney History'!$AB:$AB)</f>
        <v>0.55000000000000004</v>
      </c>
      <c r="M43" s="34">
        <f>SUMIFS('Tourney History'!H:H,'Tourney History'!B:B,A43)</f>
        <v>56</v>
      </c>
      <c r="N43" s="2">
        <f>SUMIFS('Tourney History'!G:G,'Tourney History'!B:B,A43)-M43</f>
        <v>48</v>
      </c>
      <c r="O43" s="88">
        <f>LOOKUP(2, 1/('Tourney History'!$B:$B=A43), 'Tourney History'!$AC:$AC)</f>
        <v>0.51500000000000001</v>
      </c>
      <c r="P43" s="2">
        <f>COUNTIFS('Tourney History'!$B:$B,$A$43,'Tourney History'!K:K, 1)</f>
        <v>2</v>
      </c>
      <c r="Q43" s="2">
        <f>COUNTIFS('Tourney History'!$B:$B,$A$43,'Tourney History'!L:L, 1)</f>
        <v>2</v>
      </c>
      <c r="R43" s="2">
        <f>COUNTIFS('Tourney History'!$B:$B,$A$43,'Tourney History'!M:M, 1)</f>
        <v>1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2</v>
      </c>
      <c r="V43" s="2">
        <f>COUNTIFS('Tourney History'!$B:$B,$A$43,'Tourney History'!Q:Q, 1)</f>
        <v>0</v>
      </c>
      <c r="W43" s="2">
        <f>COUNTIFS('Tourney History'!$B:$B,$A$43,'Tourney History'!R:R, 1)</f>
        <v>0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1</v>
      </c>
      <c r="AC43" s="2">
        <f>COUNTIFS('Tourney History'!$B:$B,$A$43,'Tourney History'!X:X, 1)</f>
        <v>1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55</v>
      </c>
      <c r="B44" s="2" t="s">
        <v>79</v>
      </c>
      <c r="C44" s="2" t="s">
        <v>79</v>
      </c>
      <c r="D44" s="34">
        <f>SUMIFS('Tourney History'!C:C,'Tourney History'!B:B,A44)</f>
        <v>18</v>
      </c>
      <c r="E44" s="4">
        <f>AVERAGEIFS('Tourney History'!C:C,'Tourney History'!B:B,A44)</f>
        <v>9</v>
      </c>
      <c r="F44" s="35">
        <f t="array" ref="F44">MAX(IF('Tourney History'!B:B=A44, 'Tourney History'!C:C))</f>
        <v>12</v>
      </c>
      <c r="G44" s="34">
        <f>COUNTIFS('Tourney History'!B:B,A44,'Tourney History'!D:D, 1)</f>
        <v>1</v>
      </c>
      <c r="H44" s="2">
        <f>COUNTIFS('Tourney History'!B:B,A44,'Tourney History'!D:D, 0)</f>
        <v>1</v>
      </c>
      <c r="I44" s="88">
        <f>LOOKUP(2, 1/('Tourney History'!$B:$B=A44), 'Tourney History'!$AD:$AD)</f>
        <v>0.5</v>
      </c>
      <c r="J44" s="34">
        <f>SUMIFS('Tourney History'!F:F,'Tourney History'!B:B,A44)</f>
        <v>4</v>
      </c>
      <c r="K44" s="2">
        <f>SUMIFS('Tourney History'!E:E,'Tourney History'!B:B,A44)-J44</f>
        <v>5</v>
      </c>
      <c r="L44" s="88">
        <f>LOOKUP(2, 1/('Tourney History'!$B:$B=A44), 'Tourney History'!$AB:$AB)</f>
        <v>0.42499999999999999</v>
      </c>
      <c r="M44" s="34">
        <f>SUMIFS('Tourney History'!H:H,'Tourney History'!B:B,A44)</f>
        <v>18</v>
      </c>
      <c r="N44" s="2">
        <f>SUMIFS('Tourney History'!G:G,'Tourney History'!B:B,A44)-M44</f>
        <v>19</v>
      </c>
      <c r="O44" s="88">
        <f>LOOKUP(2, 1/('Tourney History'!$B:$B=A44), 'Tourney History'!$AC:$AC)</f>
        <v>0.47499999999999998</v>
      </c>
      <c r="P44" s="2">
        <f>COUNTIFS('Tourney History'!$B:$B,$A$44,'Tourney History'!K:K, 1)</f>
        <v>0</v>
      </c>
      <c r="Q44" s="2">
        <f>COUNTIFS('Tourney History'!$B:$B,$A$44,'Tourney History'!L:L, 1)</f>
        <v>0</v>
      </c>
      <c r="R44" s="2">
        <f>COUNTIFS('Tourney History'!$B:$B,$A$44,'Tourney History'!M:M, 1)</f>
        <v>0</v>
      </c>
      <c r="S44" s="2">
        <f>COUNTIFS('Tourney History'!$B:$B,$A$44,'Tourney History'!N:N, 1)</f>
        <v>1</v>
      </c>
      <c r="T44" s="2">
        <f>COUNTIFS('Tourney History'!$B:$B,$A$44,'Tourney History'!O:O, 1)</f>
        <v>1</v>
      </c>
      <c r="U44" s="2">
        <f>COUNTIFS('Tourney History'!$B:$B,$A$44,'Tourney History'!P:P, 1)</f>
        <v>0</v>
      </c>
      <c r="V44" s="2">
        <f>COUNTIFS('Tourney History'!$B:$B,$A$44,'Tourney History'!Q:Q, 1)</f>
        <v>1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1</v>
      </c>
      <c r="AD44" s="2">
        <f>COUNTIFS('Tourney History'!$B:$B,$A$44,'Tourney History'!Y:Y, 1)</f>
        <v>0</v>
      </c>
      <c r="AE44" s="2">
        <f>COUNTIFS('Tourney History'!$B:$B,$A$44,'Tourney History'!Z:Z, 1)</f>
        <v>0</v>
      </c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43"/>
  <sheetViews>
    <sheetView workbookViewId="0">
      <selection activeCell="A239" sqref="A239:XFD23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</sheetData>
  <autoFilter ref="A1:AD159" xr:uid="{683C13F5-AE6A-44E6-924D-3936AA002E1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10" sqref="L10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324</v>
      </c>
      <c r="G2" s="66">
        <f>AVERAGEIFS('BA History'!C:C,'BA History'!B:B,A2)</f>
        <v>12.96</v>
      </c>
      <c r="H2" s="66">
        <f t="array" ref="H2">MEDIAN(IF('BA History'!B:B=A2, 'BA History'!C:C))</f>
        <v>14</v>
      </c>
      <c r="I2" s="35">
        <f t="array" ref="I2">MAX(IF('BA History'!B:B=A2, 'BA History'!C:C))</f>
        <v>23</v>
      </c>
      <c r="J2" s="34">
        <f>COUNTIFS('BA History'!B:B,A2,'BA History'!D:D, 1)</f>
        <v>12</v>
      </c>
      <c r="K2" s="2">
        <f>COUNTIFS('BA History'!B:B,A2,'BA History'!D:D, 0)</f>
        <v>13</v>
      </c>
      <c r="L2" s="75">
        <f>LOOKUP(2, 1/('BA History'!$B:$B=A2), 'BA History'!$AK:$AK)</f>
        <v>0.48</v>
      </c>
      <c r="M2" s="34">
        <f>SUMIFS('BA History'!F:F,'BA History'!B:B,A2)</f>
        <v>53</v>
      </c>
      <c r="N2" s="2">
        <f>SUMIFS('BA History'!E:E,'BA History'!B:B,A2)-M2</f>
        <v>52</v>
      </c>
      <c r="O2" s="75">
        <f>LOOKUP(2, 1/('BA History'!$B:$B=A2), 'BA History'!$AI:$AI)</f>
        <v>0.50800000000000001</v>
      </c>
      <c r="P2" s="34">
        <f>SUMIFS('BA History'!H:H,'BA History'!B:B,A2)</f>
        <v>216</v>
      </c>
      <c r="Q2" s="2">
        <f>SUMIFS('BA History'!G:G,'BA History'!B:B,A2)-P2</f>
        <v>217</v>
      </c>
      <c r="R2" s="89">
        <f>LOOKUP(2, 1/('BA History'!$B:$B=A2), 'BA History'!$AJ:$AJ)</f>
        <v>0.49479999999999996</v>
      </c>
      <c r="S2" s="2">
        <f>COUNTIFS('BA History'!$B:$B,$A$2,'BA History'!K:K, 1)</f>
        <v>2</v>
      </c>
      <c r="T2" s="2">
        <f>COUNTIFS('BA History'!$B:$B,$A$2,'BA History'!L:L, 1)</f>
        <v>2</v>
      </c>
      <c r="U2" s="2">
        <f>COUNTIFS('BA History'!$B:$B,$A$2,'BA History'!M:M, 1)</f>
        <v>7</v>
      </c>
      <c r="V2" s="2">
        <f>COUNTIFS('BA History'!$B:$B,$A$2,'BA History'!N:N, 1)</f>
        <v>6</v>
      </c>
      <c r="W2" s="2">
        <f>COUNTIFS('BA History'!$B:$B,$A$2,'BA History'!O:O, 1)</f>
        <v>3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0</v>
      </c>
      <c r="AD2" s="2">
        <f>COUNTIFS('BA History'!$B:$B,$A$2,'BA History'!V:V, 1)</f>
        <v>2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2</v>
      </c>
      <c r="AH2" s="2">
        <f>COUNTIFS('BA History'!$B:$B,$A$2,'BA History'!Z:Z, 1)</f>
        <v>8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7</v>
      </c>
      <c r="AL2" s="2">
        <f>COUNTIFS('BA History'!$B:$B,$A$2,'BA History'!AD:AD, 1)</f>
        <v>1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4</v>
      </c>
    </row>
    <row r="3" spans="1:41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History'!C:C,'BA History'!B:B,A3)</f>
        <v>220</v>
      </c>
      <c r="G3" s="66">
        <f>AVERAGEIFS('BA History'!C:C,'BA History'!B:B,A3)</f>
        <v>15.714285714285714</v>
      </c>
      <c r="H3" s="66">
        <f t="array" ref="H3">MEDIAN(IF('BA History'!B:B=A3, 'BA History'!C:C))</f>
        <v>15</v>
      </c>
      <c r="I3" s="35">
        <f t="array" ref="I3">MAX(IF('BA History'!B:B=A3, 'BA History'!C:C))</f>
        <v>27</v>
      </c>
      <c r="J3" s="34">
        <f>COUNTIFS('BA History'!B:B,A3,'BA History'!D:D, 1)</f>
        <v>8</v>
      </c>
      <c r="K3" s="2">
        <f>COUNTIFS('BA History'!B:B,A3,'BA History'!D:D, 0)</f>
        <v>6</v>
      </c>
      <c r="L3" s="75">
        <f>LOOKUP(2, 1/('BA History'!$B:$B=A3), 'BA History'!$AK:$AK)</f>
        <v>0.5714285714285714</v>
      </c>
      <c r="M3" s="34">
        <f>SUMIFS('BA History'!F:F,'BA History'!B:B,A3)</f>
        <v>33</v>
      </c>
      <c r="N3" s="2">
        <f>SUMIFS('BA History'!E:E,'BA History'!B:B,A3)-M3</f>
        <v>24</v>
      </c>
      <c r="O3" s="75">
        <f>LOOKUP(2, 1/('BA History'!$B:$B=A3), 'BA History'!$AI:$AI)</f>
        <v>0.59642857142857142</v>
      </c>
      <c r="P3" s="34">
        <f>SUMIFS('BA History'!H:H,'BA History'!B:B,A3)</f>
        <v>125</v>
      </c>
      <c r="Q3" s="2">
        <f>SUMIFS('BA History'!G:G,'BA History'!B:B,A3)-P3</f>
        <v>113</v>
      </c>
      <c r="R3" s="89">
        <f>LOOKUP(2, 1/('BA History'!$B:$B=A3), 'BA History'!$AJ:$AJ)</f>
        <v>0.52071428571428569</v>
      </c>
      <c r="S3" s="2">
        <f>COUNTIFS('BA History'!$B:$B,$A$3,'BA History'!K:K, 1)</f>
        <v>1</v>
      </c>
      <c r="T3" s="2">
        <f>COUNTIFS('BA History'!$B:$B,$A$3,'BA History'!L:L, 1)</f>
        <v>1</v>
      </c>
      <c r="U3" s="2">
        <f>COUNTIFS('BA History'!$B:$B,$A$3,'BA History'!M:M, 1)</f>
        <v>4</v>
      </c>
      <c r="V3" s="2">
        <f>COUNTIFS('BA History'!$B:$B,$A$3,'BA History'!N:N, 1)</f>
        <v>0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4</v>
      </c>
      <c r="AA3" s="2">
        <f>COUNTIFS('BA History'!$B:$B,$A$3,'BA History'!S:S, 1)</f>
        <v>2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3</v>
      </c>
      <c r="AH3" s="2">
        <f>COUNTIFS('BA History'!$B:$B,$A$3,'BA History'!Z:Z, 1)</f>
        <v>3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3</v>
      </c>
      <c r="AL3" s="2">
        <f>COUNTIFS('BA History'!$B:$B,$A$3,'BA History'!AD:AD, 1)</f>
        <v>2</v>
      </c>
      <c r="AM3" s="2">
        <f>COUNTIFS('BA History'!$B:$B,$A$3,'BA History'!AE:AE, 1)</f>
        <v>3</v>
      </c>
      <c r="AN3" s="2">
        <f>COUNTIFS('BA History'!$B:$B,$A$3,'BA History'!AF:AF, 1)</f>
        <v>0</v>
      </c>
      <c r="AO3" s="2">
        <f>COUNTIFS('BA History'!$B:$B,$A$3,'BA History'!AG:AG, 1)</f>
        <v>4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636</v>
      </c>
      <c r="G5" s="66">
        <f>AVERAGEIFS('BA History'!C:C,'BA History'!B:B,A5)</f>
        <v>15.9</v>
      </c>
      <c r="H5" s="66">
        <f t="array" ref="H5">MEDIAN(IF('BA History'!B:B=A5, 'BA History'!C:C))</f>
        <v>13.5</v>
      </c>
      <c r="I5" s="35">
        <f t="array" ref="I5">MAX(IF('BA History'!B:B=A5, 'BA History'!C:C))</f>
        <v>44</v>
      </c>
      <c r="J5" s="34">
        <f>COUNTIFS('BA History'!B:B,A5,'BA History'!D:D, 1)</f>
        <v>22</v>
      </c>
      <c r="K5" s="2">
        <f>COUNTIFS('BA History'!B:B,A5,'BA History'!D:D, 0)</f>
        <v>18</v>
      </c>
      <c r="L5" s="75">
        <f>LOOKUP(2, 1/('BA History'!$B:$B=A5), 'BA History'!$AK:$AK)</f>
        <v>0.55000000000000004</v>
      </c>
      <c r="M5" s="34">
        <f>SUMIFS('BA History'!F:F,'BA History'!B:B,A5)</f>
        <v>84</v>
      </c>
      <c r="N5" s="2">
        <f>SUMIFS('BA History'!E:E,'BA History'!B:B,A5)-M5</f>
        <v>82</v>
      </c>
      <c r="O5" s="75">
        <f>LOOKUP(2, 1/('BA History'!$B:$B=A5), 'BA History'!$AI:$AI)</f>
        <v>0.49000000000000005</v>
      </c>
      <c r="P5" s="34">
        <f>SUMIFS('BA History'!H:H,'BA History'!B:B,A5)</f>
        <v>342</v>
      </c>
      <c r="Q5" s="2">
        <f>SUMIFS('BA History'!G:G,'BA History'!B:B,A5)-P5</f>
        <v>353</v>
      </c>
      <c r="R5" s="89">
        <f>LOOKUP(2, 1/('BA History'!$B:$B=A5), 'BA History'!$AJ:$AJ)</f>
        <v>0.48424999999999985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9</v>
      </c>
      <c r="V5" s="2">
        <f>COUNTIFS('BA History'!$B:$B,$A$5,'BA History'!N:N, 1)</f>
        <v>6</v>
      </c>
      <c r="W5" s="2">
        <f>COUNTIFS('BA History'!$B:$B,$A$5,'BA History'!O:O, 1)</f>
        <v>1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2</v>
      </c>
      <c r="AD5" s="2">
        <f>COUNTIFS('BA History'!$B:$B,$A$5,'BA History'!V:V, 1)</f>
        <v>6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7</v>
      </c>
      <c r="AH5" s="2">
        <f>COUNTIFS('BA History'!$B:$B,$A$5,'BA History'!Z:Z, 1)</f>
        <v>7</v>
      </c>
      <c r="AI5" s="2">
        <f>COUNTIFS('BA History'!$B:$B,$A5,'BA History'!AA:AA, 1)</f>
        <v>0</v>
      </c>
      <c r="AJ5" s="2">
        <f>COUNTIFS('BA History'!$B:$B,$A$5,'BA History'!AB:AB, 1)</f>
        <v>2</v>
      </c>
      <c r="AK5" s="2">
        <f>COUNTIFS('BA History'!$B:$B,$A$5,'BA History'!AC:AC, 1)</f>
        <v>10</v>
      </c>
      <c r="AL5" s="2">
        <f>COUNTIFS('BA History'!$B:$B,$A$5,'BA History'!AD:AD, 1)</f>
        <v>3</v>
      </c>
      <c r="AM5" s="2">
        <f>COUNTIFS('BA History'!$B:$B,$A$5,'BA History'!AE:AE, 1)</f>
        <v>7</v>
      </c>
      <c r="AN5" s="2">
        <f>COUNTIFS('BA History'!$B:$B,$A$5,'BA History'!AF:AF, 1)</f>
        <v>2</v>
      </c>
      <c r="AO5" s="2">
        <f>COUNTIFS('BA History'!$B:$B,$A$5,'BA History'!AG:AG, 1)</f>
        <v>6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458</v>
      </c>
      <c r="G7" s="66">
        <f>AVERAGEIFS('BA History'!C:C,'BA History'!B:B,A7)</f>
        <v>10.177777777777777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19</v>
      </c>
      <c r="K7" s="2">
        <f>COUNTIFS('BA History'!B:B,A7,'BA History'!D:D, 0)</f>
        <v>26</v>
      </c>
      <c r="L7" s="75">
        <f>LOOKUP(2, 1/('BA History'!$B:$B=A7), 'BA History'!$AK:$AK)</f>
        <v>0.42222222222222222</v>
      </c>
      <c r="M7" s="34">
        <f>SUMIFS('BA History'!F:F,'BA History'!B:B,A7)</f>
        <v>86</v>
      </c>
      <c r="N7" s="2">
        <f>SUMIFS('BA History'!E:E,'BA History'!B:B,A7)-M7</f>
        <v>98</v>
      </c>
      <c r="O7" s="75">
        <f>LOOKUP(2, 1/('BA History'!$B:$B=A7), 'BA History'!$AI:$AI)</f>
        <v>0.45511111111111113</v>
      </c>
      <c r="P7" s="34">
        <f>SUMIFS('BA History'!H:H,'BA History'!B:B,A7)</f>
        <v>375</v>
      </c>
      <c r="Q7" s="2">
        <f>SUMIFS('BA History'!G:G,'BA History'!B:B,A7)-P7</f>
        <v>392</v>
      </c>
      <c r="R7" s="89">
        <f>LOOKUP(2, 1/('BA History'!$B:$B=A7), 'BA History'!$AJ:$AJ)</f>
        <v>0.4844444444444444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7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2</v>
      </c>
      <c r="AD7" s="2">
        <f>COUNTIFS('BA History'!$B:$B,$A$7,'BA History'!V:V, 1)</f>
        <v>5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10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10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4</v>
      </c>
      <c r="L8" s="75">
        <f>LOOKUP(2, 1/('BA History'!$B:$B=A8), 'BA History'!$AK:$AK)</f>
        <v>0.69230769230769229</v>
      </c>
      <c r="M8" s="34">
        <f>SUMIFS('BA History'!F:F,'BA History'!B:B,A8)</f>
        <v>31</v>
      </c>
      <c r="N8" s="2">
        <f>SUMIFS('BA History'!E:E,'BA History'!B:B,A8)-M8</f>
        <v>21</v>
      </c>
      <c r="O8" s="75">
        <f>LOOKUP(2, 1/('BA History'!$B:$B=A8), 'BA History'!$AI:$AI)</f>
        <v>0.60615384615384615</v>
      </c>
      <c r="P8" s="34">
        <f>SUMIFS('BA History'!H:H,'BA History'!B:B,A8)</f>
        <v>120</v>
      </c>
      <c r="Q8" s="2">
        <f>SUMIFS('BA History'!G:G,'BA History'!B:B,A8)-P8</f>
        <v>92</v>
      </c>
      <c r="R8" s="89">
        <f>LOOKUP(2, 1/('BA History'!$B:$B=A8), 'BA History'!$AJ:$AJ)</f>
        <v>0.57846153846153836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1083</v>
      </c>
      <c r="G9" s="66">
        <f>AVERAGEIFS('BA History'!C:C,'BA History'!B:B,A9)</f>
        <v>18.05</v>
      </c>
      <c r="H9" s="66">
        <f t="array" ref="H9">MEDIAN(IF('BA History'!B:B=A9, 'BA History'!C:C))</f>
        <v>17</v>
      </c>
      <c r="I9" s="35">
        <f t="array" ref="I9">MAX(IF('BA History'!B:B=A9, 'BA History'!C:C))</f>
        <v>40</v>
      </c>
      <c r="J9" s="34">
        <f>COUNTIFS('BA History'!B:B,A9,'BA History'!D:D, 1)</f>
        <v>27</v>
      </c>
      <c r="K9" s="2">
        <f>COUNTIFS('BA History'!B:B,A9,'BA History'!D:D, 0)</f>
        <v>33</v>
      </c>
      <c r="L9" s="75">
        <f>LOOKUP(2, 1/('BA History'!$B:$B=A9), 'BA History'!$AK:$AK)</f>
        <v>0.45</v>
      </c>
      <c r="M9" s="34">
        <f>SUMIFS('BA History'!F:F,'BA History'!B:B,A9)</f>
        <v>114</v>
      </c>
      <c r="N9" s="2">
        <f>SUMIFS('BA History'!E:E,'BA History'!B:B,A9)-M9</f>
        <v>132</v>
      </c>
      <c r="O9" s="75">
        <f>LOOKUP(2, 1/('BA History'!$B:$B=A9), 'BA History'!$AI:$AI)</f>
        <v>0.45833333333333331</v>
      </c>
      <c r="P9" s="34">
        <f>SUMIFS('BA History'!H:H,'BA History'!B:B,A9)</f>
        <v>483</v>
      </c>
      <c r="Q9" s="2">
        <f>SUMIFS('BA History'!G:G,'BA History'!B:B,A9)-P9</f>
        <v>539</v>
      </c>
      <c r="R9" s="89">
        <f>LOOKUP(2, 1/('BA History'!$B:$B=A9), 'BA History'!$AJ:$AJ)</f>
        <v>0.46416666666666651</v>
      </c>
      <c r="S9" s="2">
        <f>COUNTIFS('BA History'!$B:$B,$A$9,'BA History'!K:K, 1)</f>
        <v>8</v>
      </c>
      <c r="T9" s="2">
        <f>COUNTIFS('BA History'!$B:$B,$A$9,'BA History'!L:L, 1)</f>
        <v>8</v>
      </c>
      <c r="U9" s="2">
        <f>COUNTIFS('BA History'!$B:$B,$A$9,'BA History'!M:M, 1)</f>
        <v>7</v>
      </c>
      <c r="V9" s="2">
        <f>COUNTIFS('BA History'!$B:$B,$A$9,'BA History'!N:N, 1)</f>
        <v>10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4</v>
      </c>
      <c r="AB9" s="2">
        <f>COUNTIFS('BA History'!$B:$B,$A$9,'BA History'!T:T, 1)</f>
        <v>0</v>
      </c>
      <c r="AC9" s="2">
        <f>COUNTIFS('BA History'!$B:$B,$A$9,'BA History'!U:U, 1)</f>
        <v>3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12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14</v>
      </c>
      <c r="AL9" s="2">
        <f>COUNTIFS('BA History'!$B:$B,$A$9,'BA History'!AD:AD, 1)</f>
        <v>6</v>
      </c>
      <c r="AM9" s="2">
        <f>COUNTIFS('BA History'!$B:$B,$A$9,'BA History'!AE:AE, 1)</f>
        <v>12</v>
      </c>
      <c r="AN9" s="2">
        <f>COUNTIFS('BA History'!$B:$B,$A$9,'BA History'!AF:AF, 1)</f>
        <v>0</v>
      </c>
      <c r="AO9" s="2">
        <f>COUNTIFS('BA History'!$B:$B,$A$9,'BA History'!AG:AG, 1)</f>
        <v>5</v>
      </c>
    </row>
    <row r="10" spans="1:41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279</v>
      </c>
      <c r="G10" s="66">
        <f>AVERAGEIFS('BA History'!C:C,'BA History'!B:B,A10)</f>
        <v>18.600000000000001</v>
      </c>
      <c r="H10" s="66">
        <f t="array" ref="H10">MEDIAN(IF('BA History'!B:B=A10, 'BA History'!C:C))</f>
        <v>20</v>
      </c>
      <c r="I10" s="35">
        <f t="array" ref="I10">MAX(IF('BA History'!B:B=A10, 'BA History'!C:C))</f>
        <v>30</v>
      </c>
      <c r="J10" s="34">
        <f>COUNTIFS('BA History'!B:B,A10,'BA History'!D:D, 1)</f>
        <v>7</v>
      </c>
      <c r="K10" s="2">
        <f>COUNTIFS('BA History'!B:B,A10,'BA History'!D:D, 0)</f>
        <v>8</v>
      </c>
      <c r="L10" s="75">
        <f>LOOKUP(2, 1/('BA History'!$B:$B=A10), 'BA History'!$AK:$AK)</f>
        <v>0.46666666666666667</v>
      </c>
      <c r="M10" s="34">
        <f>SUMIFS('BA History'!F:F,'BA History'!B:B,A10)</f>
        <v>32</v>
      </c>
      <c r="N10" s="2">
        <f>SUMIFS('BA History'!E:E,'BA History'!B:B,A10)-M10</f>
        <v>32</v>
      </c>
      <c r="O10" s="75">
        <f>LOOKUP(2, 1/('BA History'!$B:$B=A10), 'BA History'!$AI:$AI)</f>
        <v>0.5033333333333333</v>
      </c>
      <c r="P10" s="34">
        <f>SUMIFS('BA History'!H:H,'BA History'!B:B,A10)</f>
        <v>131</v>
      </c>
      <c r="Q10" s="2">
        <f>SUMIFS('BA History'!G:G,'BA History'!B:B,A10)-P10</f>
        <v>131</v>
      </c>
      <c r="R10" s="89">
        <f>LOOKUP(2, 1/('BA History'!$B:$B=A10), 'BA History'!$AJ:$AJ)</f>
        <v>0.5066666666666666</v>
      </c>
      <c r="S10" s="2">
        <f>COUNTIFS('BA History'!$B:$B,$A$10,'BA History'!K:K, 1)</f>
        <v>3</v>
      </c>
      <c r="T10" s="2">
        <f>COUNTIFS('BA History'!$B:$B,$A$10,'BA History'!L:L, 1)</f>
        <v>1</v>
      </c>
      <c r="U10" s="2">
        <f>COUNTIFS('BA History'!$B:$B,$A$10,'BA History'!M:M, 1)</f>
        <v>1</v>
      </c>
      <c r="V10" s="2">
        <f>COUNTIFS('BA History'!$B:$B,$A$10,'BA History'!N:N, 1)</f>
        <v>6</v>
      </c>
      <c r="W10" s="2">
        <f>COUNTIFS('BA History'!$B:$B,$A$10,'BA History'!O:O, 1)</f>
        <v>2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0</v>
      </c>
      <c r="AB10" s="2">
        <f>COUNTIFS('BA History'!$B:$B,$A$10,'BA History'!T:T, 1)</f>
        <v>0</v>
      </c>
      <c r="AC10" s="2">
        <f>COUNTIFS('BA History'!$B:$B,$A$10,'BA History'!U:U, 1)</f>
        <v>0</v>
      </c>
      <c r="AD10" s="2">
        <f>COUNTIFS('BA History'!$B:$B,$A$10,'BA History'!V:V, 1)</f>
        <v>1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2</v>
      </c>
      <c r="AH10" s="2">
        <f>COUNTIFS('BA History'!$B:$B,$A$10,'BA History'!Z:Z, 1)</f>
        <v>1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5</v>
      </c>
      <c r="AL10" s="2">
        <f>COUNTIFS('BA History'!$B:$B,$A$10,'BA History'!AD:AD, 1)</f>
        <v>0</v>
      </c>
      <c r="AM10" s="2">
        <f>COUNTIFS('BA History'!$B:$B,$A$10,'BA History'!AE:AE, 1)</f>
        <v>4</v>
      </c>
      <c r="AN10" s="2">
        <f>COUNTIFS('BA History'!$B:$B,$A$10,'BA History'!AF:AF, 1)</f>
        <v>1</v>
      </c>
      <c r="AO10" s="2">
        <f>COUNTIFS('BA History'!$B:$B,$A$10,'BA History'!AG:AG, 1)</f>
        <v>3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20</v>
      </c>
      <c r="G11" s="66">
        <f>AVERAGEIFS('BA History'!C:C,'BA History'!B:B,A11)</f>
        <v>3.3333333333333335</v>
      </c>
      <c r="H11" s="66">
        <f t="array" ref="H11">MEDIAN(IF('BA History'!B:B=A11, 'BA History'!C:C))</f>
        <v>3</v>
      </c>
      <c r="I11" s="35">
        <f t="array" ref="I11">MAX(IF('BA History'!B:B=A11, 'BA History'!C:C))</f>
        <v>6</v>
      </c>
      <c r="J11" s="34">
        <f>COUNTIFS('BA History'!B:B,A11,'BA History'!D:D, 1)</f>
        <v>5</v>
      </c>
      <c r="K11" s="2">
        <f>COUNTIFS('BA History'!B:B,A11,'BA History'!D:D, 0)</f>
        <v>1</v>
      </c>
      <c r="L11" s="75">
        <f>LOOKUP(2, 1/('BA History'!$B:$B=A11), 'BA History'!$AK:$AK)</f>
        <v>0.83333333333333337</v>
      </c>
      <c r="M11" s="34">
        <f>SUMIFS('BA History'!F:F,'BA History'!B:B,A11)</f>
        <v>16</v>
      </c>
      <c r="N11" s="2">
        <f>SUMIFS('BA History'!E:E,'BA History'!B:B,A11)-M11</f>
        <v>8</v>
      </c>
      <c r="O11" s="75">
        <f>LOOKUP(2, 1/('BA History'!$B:$B=A11), 'BA History'!$AI:$AI)</f>
        <v>0.68333333333333324</v>
      </c>
      <c r="P11" s="34">
        <f>SUMIFS('BA History'!H:H,'BA History'!B:B,A11)</f>
        <v>58</v>
      </c>
      <c r="Q11" s="2">
        <f>SUMIFS('BA History'!G:G,'BA History'!B:B,A11)-P11</f>
        <v>45</v>
      </c>
      <c r="R11" s="89">
        <f>LOOKUP(2, 1/('BA History'!$B:$B=A11), 'BA History'!$AJ:$AJ)</f>
        <v>0.57499999999999996</v>
      </c>
      <c r="S11" s="2">
        <f>COUNTIFS('BA History'!$B:$B,$A$11,'BA History'!K:K, 1)</f>
        <v>1</v>
      </c>
      <c r="T11" s="2">
        <f>COUNTIFS('BA History'!$B:$B,$A$11,'BA History'!L:L, 1)</f>
        <v>1</v>
      </c>
      <c r="U11" s="2">
        <f>COUNTIFS('BA History'!$B:$B,$A$11,'BA History'!M:M, 1)</f>
        <v>2</v>
      </c>
      <c r="V11" s="2">
        <f>COUNTIFS('BA History'!$B:$B,$A$11,'BA History'!N:N, 1)</f>
        <v>2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1</v>
      </c>
      <c r="AF11" s="2">
        <f>COUNTIFS('BA History'!$B:$B,$A$11,'BA History'!X:X, 1)</f>
        <v>0</v>
      </c>
      <c r="AG11" s="2">
        <f>COUNTIFS('BA History'!$B:$B,$A$11,'BA History'!Y:Y, 1)</f>
        <v>2</v>
      </c>
      <c r="AH11" s="2">
        <f>COUNTIFS('BA History'!$B:$B,$A$11,'BA History'!Z:Z, 1)</f>
        <v>1</v>
      </c>
      <c r="AI11" s="2">
        <f>COUNTIFS('BA History'!$B:$B,$A$11,'BA History'!AA:AA, 1)</f>
        <v>0</v>
      </c>
      <c r="AJ11" s="2">
        <f>COUNTIFS('BA History'!$B:$B,$A$11,'BA History'!AB:AB, 1)</f>
        <v>1</v>
      </c>
      <c r="AK11" s="2">
        <f>COUNTIFS('BA History'!$B:$B,$A$11,'BA History'!AC:AC, 1)</f>
        <v>1</v>
      </c>
      <c r="AL11" s="2">
        <f>COUNTIFS('BA History'!$B:$B,$A$11,'BA History'!AD:AD, 1)</f>
        <v>0</v>
      </c>
      <c r="AM11" s="2">
        <f>COUNTIFS('BA History'!$B:$B,$A$11,'BA History'!AE:AE, 1)</f>
        <v>2</v>
      </c>
      <c r="AN11" s="2">
        <f>COUNTIFS('BA History'!$B:$B,$A$11,'BA History'!AF:AF, 1)</f>
        <v>0</v>
      </c>
      <c r="AO11" s="2">
        <f>COUNTIFS('BA History'!$B:$B,$A$11,'BA History'!AG:AG, 1)</f>
        <v>1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100</v>
      </c>
      <c r="G12" s="66">
        <f>AVERAGEIFS('BA History'!C:C,'BA History'!B:B,A12)</f>
        <v>12.5</v>
      </c>
      <c r="H12" s="66">
        <f t="array" ref="H12">MEDIAN(IF('BA History'!B:B=A12, 'BA History'!C:C))</f>
        <v>11</v>
      </c>
      <c r="I12" s="35">
        <f t="array" ref="I12">MAX(IF('BA History'!B:B=A12, 'BA History'!C:C))</f>
        <v>29</v>
      </c>
      <c r="J12" s="34">
        <f>COUNTIFS('BA History'!B:B,A12,'BA History'!D:D, 1)</f>
        <v>5</v>
      </c>
      <c r="K12" s="2">
        <f>COUNTIFS('BA History'!B:B,A12,'BA History'!D:D, 0)</f>
        <v>3</v>
      </c>
      <c r="L12" s="75">
        <f>LOOKUP(2, 1/('BA History'!$B:$B=A12), 'BA History'!$AK:$AK)</f>
        <v>0.625</v>
      </c>
      <c r="M12" s="34">
        <f>SUMIFS('BA History'!F:F,'BA History'!B:B,A12)</f>
        <v>19</v>
      </c>
      <c r="N12" s="2">
        <f>SUMIFS('BA History'!E:E,'BA History'!B:B,A12)-M12</f>
        <v>12</v>
      </c>
      <c r="O12" s="75">
        <f>LOOKUP(2, 1/('BA History'!$B:$B=A12), 'BA History'!$AI:$AI)</f>
        <v>0.64375000000000004</v>
      </c>
      <c r="P12" s="34">
        <f>SUMIFS('BA History'!H:H,'BA History'!B:B,A12)</f>
        <v>72</v>
      </c>
      <c r="Q12" s="2">
        <f>SUMIFS('BA History'!G:G,'BA History'!B:B,A12)-P12</f>
        <v>53</v>
      </c>
      <c r="R12" s="89">
        <f>LOOKUP(2, 1/('BA History'!$B:$B=A12), 'BA History'!$AJ:$AJ)</f>
        <v>0.60875000000000012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2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2</v>
      </c>
      <c r="AH12" s="2">
        <f>COUNTIFS('BA History'!$B:$B,$A$12,'BA History'!Z:Z, 1)</f>
        <v>3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2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262</v>
      </c>
      <c r="G13" s="66">
        <f>AVERAGEIFS('BA History'!C:C,'BA History'!B:B,A13)</f>
        <v>13.1</v>
      </c>
      <c r="H13" s="66">
        <f t="array" ref="H13">MEDIAN(IF('BA History'!B:B=A13, 'BA History'!C:C))</f>
        <v>12</v>
      </c>
      <c r="I13" s="35">
        <f t="array" ref="I13">MAX(IF('BA History'!B:B=A13, 'BA History'!C:C))</f>
        <v>24</v>
      </c>
      <c r="J13" s="34">
        <f>COUNTIFS('BA History'!B:B,A13,'BA History'!D:D, 1)</f>
        <v>11</v>
      </c>
      <c r="K13" s="2">
        <f>COUNTIFS('BA History'!B:B,A13,'BA History'!D:D, 0)</f>
        <v>9</v>
      </c>
      <c r="L13" s="75">
        <f>LOOKUP(2, 1/('BA History'!$B:$B=A13), 'BA History'!$AK:$AK)</f>
        <v>0.55000000000000004</v>
      </c>
      <c r="M13" s="34">
        <f>SUMIFS('BA History'!F:F,'BA History'!B:B,A13)</f>
        <v>45</v>
      </c>
      <c r="N13" s="2">
        <f>SUMIFS('BA History'!E:E,'BA History'!B:B,A13)-M13</f>
        <v>43</v>
      </c>
      <c r="O13" s="75">
        <f>LOOKUP(2, 1/('BA History'!$B:$B=A13), 'BA History'!$AI:$AI)</f>
        <v>0.51</v>
      </c>
      <c r="P13" s="34">
        <f>SUMIFS('BA History'!H:H,'BA History'!B:B,A13)</f>
        <v>182</v>
      </c>
      <c r="Q13" s="2">
        <f>SUMIFS('BA History'!G:G,'BA History'!B:B,A13)-P13</f>
        <v>181</v>
      </c>
      <c r="R13" s="89">
        <f>LOOKUP(2, 1/('BA History'!$B:$B=A13), 'BA History'!$AJ:$AJ)</f>
        <v>0.50299999999999989</v>
      </c>
      <c r="S13" s="2">
        <f>COUNTIFS('BA History'!$B:$B,$A$13,'BA History'!K:K, 1)</f>
        <v>3</v>
      </c>
      <c r="T13" s="2">
        <f>COUNTIFS('BA History'!$B:$B,$A$13,'BA History'!L:L, 1)</f>
        <v>3</v>
      </c>
      <c r="U13" s="2">
        <f>COUNTIFS('BA History'!$B:$B,$A$13,'BA History'!M:M, 1)</f>
        <v>6</v>
      </c>
      <c r="V13" s="2">
        <f>COUNTIFS('BA History'!$B:$B,$A$13,'BA History'!N:N, 1)</f>
        <v>2</v>
      </c>
      <c r="W13" s="2">
        <f>COUNTIFS('BA History'!$B:$B,$A$13,'BA History'!O:O, 1)</f>
        <v>2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1</v>
      </c>
      <c r="AA13" s="2">
        <f>COUNTIFS('BA History'!$B:$B,$A$13,'BA History'!S:S, 1)</f>
        <v>0</v>
      </c>
      <c r="AB13" s="2">
        <f>COUNTIFS('BA History'!$B:$B,$A$13,'BA History'!T:T, 1)</f>
        <v>0</v>
      </c>
      <c r="AC13" s="2">
        <f>COUNTIFS('BA History'!$B:$B,$A$13,'BA History'!U:U, 1)</f>
        <v>2</v>
      </c>
      <c r="AD13" s="2">
        <f>COUNTIFS('BA History'!$B:$B,$A$13,'BA History'!V:V, 1)</f>
        <v>2</v>
      </c>
      <c r="AE13" s="2">
        <f>COUNTIFS('BA History'!$B:$B,$A$13,'BA History'!W:W, 1)</f>
        <v>2</v>
      </c>
      <c r="AF13" s="2">
        <f>COUNTIFS('BA History'!$B:$B,$A$13,'BA History'!X:X, 1)</f>
        <v>1</v>
      </c>
      <c r="AG13" s="2">
        <f>COUNTIFS('BA History'!$B:$B,$A$13,'BA History'!Y:Y, 1)</f>
        <v>2</v>
      </c>
      <c r="AH13" s="2">
        <f>COUNTIFS('BA History'!$B:$B,$A$13,'BA History'!Z:Z, 1)</f>
        <v>4</v>
      </c>
      <c r="AI13" s="2">
        <f>COUNTIFS('BA History'!$B:$B,$A13,'BA History'!AA:AA, 1)</f>
        <v>0</v>
      </c>
      <c r="AJ13" s="2">
        <f>COUNTIFS('BA History'!$B:$B,$A$13,'BA History'!AB:AB, 1)</f>
        <v>0</v>
      </c>
      <c r="AK13" s="2">
        <f>COUNTIFS('BA History'!$B:$B,$A$13,'BA History'!AC:AC, 1)</f>
        <v>2</v>
      </c>
      <c r="AL13" s="2">
        <f>COUNTIFS('BA History'!$B:$B,$A$13,'BA History'!AD:AD, 1)</f>
        <v>4</v>
      </c>
      <c r="AM13" s="2">
        <f>COUNTIFS('BA History'!$B:$B,$A$13,'BA History'!AE:AE, 1)</f>
        <v>3</v>
      </c>
      <c r="AN13" s="2">
        <f>COUNTIFS('BA History'!$B:$B,$A$13,'BA History'!AF:AF, 1)</f>
        <v>0</v>
      </c>
      <c r="AO13" s="2">
        <f>COUNTIFS('BA History'!$B:$B,$A$13,'BA History'!AG:AG, 1)</f>
        <v>5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177</v>
      </c>
      <c r="G14" s="66">
        <f>AVERAGEIFS('BA History'!C:C,'BA History'!B:B,A14)</f>
        <v>11.8</v>
      </c>
      <c r="H14" s="66">
        <f t="array" ref="H14">MEDIAN(IF('BA History'!B:B=A14, 'BA History'!C:C))</f>
        <v>13</v>
      </c>
      <c r="I14" s="35">
        <f t="array" ref="I14">MAX(IF('BA History'!B:B=A14, 'BA History'!C:C))</f>
        <v>21</v>
      </c>
      <c r="J14" s="34">
        <f>COUNTIFS('BA History'!B:B,A14,'BA History'!D:D, 1)</f>
        <v>5</v>
      </c>
      <c r="K14" s="2">
        <f>COUNTIFS('BA History'!B:B,A14,'BA History'!D:D, 0)</f>
        <v>10</v>
      </c>
      <c r="L14" s="75">
        <f>LOOKUP(2, 1/('BA History'!$B:$B=A14), 'BA History'!$AK:$AK)</f>
        <v>0.33333333333333331</v>
      </c>
      <c r="M14" s="34">
        <f>SUMIFS('BA History'!F:F,'BA History'!B:B,A14)</f>
        <v>22</v>
      </c>
      <c r="N14" s="2">
        <f>SUMIFS('BA History'!E:E,'BA History'!B:B,A14)-M14</f>
        <v>37</v>
      </c>
      <c r="O14" s="75">
        <f>LOOKUP(2, 1/('BA History'!$B:$B=A14), 'BA History'!$AI:$AI)</f>
        <v>0.34666666666666668</v>
      </c>
      <c r="P14" s="34">
        <f>SUMIFS('BA History'!H:H,'BA History'!B:B,A14)</f>
        <v>111</v>
      </c>
      <c r="Q14" s="2">
        <f>SUMIFS('BA History'!G:G,'BA History'!B:B,A14)-P14</f>
        <v>139</v>
      </c>
      <c r="R14" s="89">
        <f>LOOKUP(2, 1/('BA History'!$B:$B=A14), 'BA History'!$AJ:$AJ)</f>
        <v>0.41800000000000004</v>
      </c>
      <c r="S14" s="2">
        <f>COUNTIFS('BA History'!$B:$B,$A$14,'BA History'!K:K, 1)</f>
        <v>4</v>
      </c>
      <c r="T14" s="2">
        <f>COUNTIFS('BA History'!$B:$B,$A$14,'BA History'!L:L, 1)</f>
        <v>1</v>
      </c>
      <c r="U14" s="2">
        <f>COUNTIFS('BA History'!$B:$B,$A$14,'BA History'!M:M, 1)</f>
        <v>3</v>
      </c>
      <c r="V14" s="2">
        <f>COUNTIFS('BA History'!$B:$B,$A$14,'BA History'!N:N, 1)</f>
        <v>1</v>
      </c>
      <c r="W14" s="2">
        <f>COUNTIFS('BA History'!$B:$B,$A$14,'BA History'!O:O, 1)</f>
        <v>2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1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1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2</v>
      </c>
      <c r="AN14" s="2">
        <f>COUNTIFS('BA History'!$B:$B,$A$14,'BA History'!AF:AF, 1)</f>
        <v>0</v>
      </c>
      <c r="AO14" s="2">
        <f>COUNTIFS('BA History'!$B:$B,$A$14,'BA History'!AG:AG, 1)</f>
        <v>1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156</v>
      </c>
      <c r="G15" s="66">
        <f>AVERAGEIFS('BA History'!C:C,'BA History'!B:B,A15)</f>
        <v>12</v>
      </c>
      <c r="H15" s="66">
        <f t="array" ref="H15">MEDIAN(IF('BA History'!B:B=A15, 'BA History'!C:C))</f>
        <v>10</v>
      </c>
      <c r="I15" s="35">
        <f t="array" ref="I15">MAX(IF('BA History'!B:B=A15, 'BA History'!C:C))</f>
        <v>20</v>
      </c>
      <c r="J15" s="34">
        <f>COUNTIFS('BA History'!B:B,A15,'BA History'!D:D, 1)</f>
        <v>5</v>
      </c>
      <c r="K15" s="2">
        <f>COUNTIFS('BA History'!B:B,A15,'BA History'!D:D, 0)</f>
        <v>8</v>
      </c>
      <c r="L15" s="75">
        <f>LOOKUP(2, 1/('BA History'!$B:$B=A15), 'BA History'!$AK:$AK)</f>
        <v>0.38461538461538464</v>
      </c>
      <c r="M15" s="34">
        <f>SUMIFS('BA History'!F:F,'BA History'!B:B,A15)</f>
        <v>25</v>
      </c>
      <c r="N15" s="2">
        <f>SUMIFS('BA History'!E:E,'BA History'!B:B,A15)-M15</f>
        <v>30</v>
      </c>
      <c r="O15" s="75">
        <f>LOOKUP(2, 1/('BA History'!$B:$B=A15), 'BA History'!$AI:$AI)</f>
        <v>0.4538461538461539</v>
      </c>
      <c r="P15" s="34">
        <f>SUMIFS('BA History'!H:H,'BA History'!B:B,A15)</f>
        <v>102</v>
      </c>
      <c r="Q15" s="2">
        <f>SUMIFS('BA History'!G:G,'BA History'!B:B,A15)-P15</f>
        <v>125</v>
      </c>
      <c r="R15" s="89">
        <f>LOOKUP(2, 1/('BA History'!$B:$B=A15), 'BA History'!$AJ:$AJ)</f>
        <v>0.4392307692307692</v>
      </c>
      <c r="S15" s="2">
        <f>COUNTIFS('BA History'!$B:$B,$A$15,'BA History'!K:K, 1)</f>
        <v>0</v>
      </c>
      <c r="T15" s="2">
        <f>COUNTIFS('BA History'!$B:$B,$A$15,'BA History'!L:L, 1)</f>
        <v>1</v>
      </c>
      <c r="U15" s="2">
        <f>COUNTIFS('BA History'!$B:$B,$A$15,'BA History'!M:M, 1)</f>
        <v>2</v>
      </c>
      <c r="V15" s="2">
        <f>COUNTIFS('BA History'!$B:$B,$A$15,'BA History'!N:N, 1)</f>
        <v>2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1</v>
      </c>
      <c r="AA15" s="2">
        <f>COUNTIFS('BA History'!$B:$B,$A$15,'BA History'!S:S, 1)</f>
        <v>1</v>
      </c>
      <c r="AB15" s="2">
        <f>COUNTIFS('BA History'!$B:$B,$A$15,'BA History'!T:T, 1)</f>
        <v>0</v>
      </c>
      <c r="AC15" s="2">
        <f>COUNTIFS('BA History'!$B:$B,$A$15,'BA History'!U:U, 1)</f>
        <v>2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3</v>
      </c>
      <c r="AI15" s="2">
        <f>COUNTIFS('BA History'!$B:$B,$A15,'BA History'!AA:AA, 1)</f>
        <v>0</v>
      </c>
      <c r="AJ15" s="2">
        <f>COUNTIFS('BA History'!$B:$B,$A$15,'BA History'!AB:AB, 1)</f>
        <v>1</v>
      </c>
      <c r="AK15" s="2">
        <f>COUNTIFS('BA History'!$B:$B,$A$15,'BA History'!AC:AC, 1)</f>
        <v>5</v>
      </c>
      <c r="AL15" s="2">
        <f>COUNTIFS('BA History'!$B:$B,$A$15,'BA History'!AD:AD, 1)</f>
        <v>2</v>
      </c>
      <c r="AM15" s="2">
        <f>COUNTIFS('BA History'!$B:$B,$A$15,'BA History'!AE:AE, 1)</f>
        <v>1</v>
      </c>
      <c r="AN15" s="2">
        <f>COUNTIFS('BA History'!$B:$B,$A$15,'BA History'!AF:AF, 1)</f>
        <v>0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230</v>
      </c>
      <c r="G17" s="66">
        <f>AVERAGEIFS('BA History'!C:C,'BA History'!B:B,A17)</f>
        <v>14.375</v>
      </c>
      <c r="H17" s="66">
        <f t="array" ref="H17">MEDIAN(IF('BA History'!B:B=A17, 'BA History'!C:C))</f>
        <v>12</v>
      </c>
      <c r="I17" s="35">
        <f t="array" ref="I17">MAX(IF('BA History'!B:B=A17, 'BA History'!C:C))</f>
        <v>37</v>
      </c>
      <c r="J17" s="34">
        <f>COUNTIFS('BA History'!B:B,A17,'BA History'!D:D, 1)</f>
        <v>5</v>
      </c>
      <c r="K17" s="2">
        <f>COUNTIFS('BA History'!B:B,A17,'BA History'!D:D, 0)</f>
        <v>11</v>
      </c>
      <c r="L17" s="75">
        <f>LOOKUP(2, 1/('BA History'!$B:$B=A17), 'BA History'!$AK:$AK)</f>
        <v>0.3125</v>
      </c>
      <c r="M17" s="34">
        <f>SUMIFS('BA History'!F:F,'BA History'!B:B,A17)</f>
        <v>30</v>
      </c>
      <c r="N17" s="2">
        <f>SUMIFS('BA History'!E:E,'BA History'!B:B,A17)-M17</f>
        <v>40</v>
      </c>
      <c r="O17" s="75">
        <f>LOOKUP(2, 1/('BA History'!$B:$B=A17), 'BA History'!$AI:$AI)</f>
        <v>0.40625</v>
      </c>
      <c r="P17" s="34">
        <f>SUMIFS('BA History'!H:H,'BA History'!B:B,A17)</f>
        <v>141</v>
      </c>
      <c r="Q17" s="2">
        <f>SUMIFS('BA History'!G:G,'BA History'!B:B,A17)-P17</f>
        <v>150</v>
      </c>
      <c r="R17" s="89">
        <f>LOOKUP(2, 1/('BA History'!$B:$B=A17), 'BA History'!$AJ:$AJ)</f>
        <v>0.47625000000000001</v>
      </c>
      <c r="S17" s="2">
        <f>COUNTIFS('BA History'!$B:$B,$A$17,'BA History'!K:K, 1)</f>
        <v>1</v>
      </c>
      <c r="T17" s="2">
        <f>COUNTIFS('BA History'!$B:$B,$A$17,'BA History'!L:L, 1)</f>
        <v>0</v>
      </c>
      <c r="U17" s="2">
        <f>COUNTIFS('BA History'!$B:$B,$A$17,'BA History'!M:M, 1)</f>
        <v>3</v>
      </c>
      <c r="V17" s="2">
        <f>COUNTIFS('BA History'!$B:$B,$A$17,'BA History'!N:N, 1)</f>
        <v>3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0</v>
      </c>
      <c r="Z17" s="2">
        <f>COUNTIFS('BA History'!$B:$B,$A$17,'BA History'!R:R, 1)</f>
        <v>1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2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3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6</v>
      </c>
      <c r="AL17" s="2">
        <f>COUNTIFS('BA History'!$B:$B,$A$17,'BA History'!AD:AD, 1)</f>
        <v>3</v>
      </c>
      <c r="AM17" s="2">
        <f>COUNTIFS('BA History'!$B:$B,$A$17,'BA History'!AE:AE, 1)</f>
        <v>1</v>
      </c>
      <c r="AN17" s="2">
        <f>COUNTIFS('BA History'!$B:$B,$A$17,'BA History'!AF:AF, 1)</f>
        <v>0</v>
      </c>
      <c r="AO17" s="2">
        <f>COUNTIFS('BA History'!$B:$B,$A$17,'BA History'!AG:AG, 1)</f>
        <v>2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3</v>
      </c>
      <c r="G18" s="66">
        <f>AVERAGEIFS('BA History'!C:C,'BA History'!B:B,A18)</f>
        <v>3</v>
      </c>
      <c r="H18" s="66">
        <f t="array" ref="H18">MEDIAN(IF('BA History'!B:B=A18, 'BA History'!C:C))</f>
        <v>3</v>
      </c>
      <c r="I18" s="35">
        <f t="array" ref="I18">MAX(IF('BA History'!B:B=A18, 'BA History'!C:C))</f>
        <v>3</v>
      </c>
      <c r="J18" s="34">
        <f>COUNTIFS('BA History'!B:B,A18,'BA History'!D:D, 1)</f>
        <v>0</v>
      </c>
      <c r="K18" s="2">
        <f>COUNTIFS('BA History'!B:B,A18,'BA History'!D:D, 0)</f>
        <v>1</v>
      </c>
      <c r="L18" s="75">
        <f>LOOKUP(2, 1/('BA History'!$B:$B=A18), 'BA History'!$AK:$AK)</f>
        <v>0</v>
      </c>
      <c r="M18" s="34">
        <f>SUMIFS('BA History'!F:F,'BA History'!B:B,A18)</f>
        <v>0</v>
      </c>
      <c r="N18" s="2">
        <f>SUMIFS('BA History'!E:E,'BA History'!B:B,A18)-M18</f>
        <v>3</v>
      </c>
      <c r="O18" s="75">
        <f>LOOKUP(2, 1/('BA History'!$B:$B=A18), 'BA History'!$AI:$AI)</f>
        <v>0</v>
      </c>
      <c r="P18" s="34">
        <f>SUMIFS('BA History'!H:H,'BA History'!B:B,A18)</f>
        <v>4</v>
      </c>
      <c r="Q18" s="2">
        <f>SUMIFS('BA History'!G:G,'BA History'!B:B,A18)-P18</f>
        <v>9</v>
      </c>
      <c r="R18" s="89">
        <f>LOOKUP(2, 1/('BA History'!$B:$B=A18), 'BA History'!$AJ:$AJ)</f>
        <v>0.31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0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945</v>
      </c>
      <c r="G20" s="66">
        <f>AVERAGEIFS('BA History'!C:C,'BA History'!B:B,A20)</f>
        <v>18.173076923076923</v>
      </c>
      <c r="H20" s="66">
        <f t="array" ref="H20">MEDIAN(IF('BA History'!B:B=A20, 'BA History'!C:C))</f>
        <v>18.5</v>
      </c>
      <c r="I20" s="35">
        <f t="array" ref="I20">MAX(IF('BA History'!B:B=A20, 'BA History'!C:C))</f>
        <v>31</v>
      </c>
      <c r="J20" s="34">
        <f>COUNTIFS('BA History'!B:B,A20,'BA History'!D:D, 1)</f>
        <v>25</v>
      </c>
      <c r="K20" s="2">
        <f>COUNTIFS('BA History'!B:B,A20,'BA History'!D:D, 0)</f>
        <v>27</v>
      </c>
      <c r="L20" s="75">
        <f>LOOKUP(2, 1/('BA History'!$B:$B=A20), 'BA History'!$AK:$AK)</f>
        <v>0.48076923076923078</v>
      </c>
      <c r="M20" s="34">
        <f>SUMIFS('BA History'!F:F,'BA History'!B:B,A20)</f>
        <v>103</v>
      </c>
      <c r="N20" s="2">
        <f>SUMIFS('BA History'!E:E,'BA History'!B:B,A20)-M20</f>
        <v>106</v>
      </c>
      <c r="O20" s="75">
        <f>LOOKUP(2, 1/('BA History'!$B:$B=A20), 'BA History'!$AI:$AI)</f>
        <v>0.4957692307692308</v>
      </c>
      <c r="P20" s="34">
        <f>SUMIFS('BA History'!H:H,'BA History'!B:B,A20)</f>
        <v>445</v>
      </c>
      <c r="Q20" s="2">
        <f>SUMIFS('BA History'!G:G,'BA History'!B:B,A20)-P20</f>
        <v>440</v>
      </c>
      <c r="R20" s="89">
        <f>LOOKUP(2, 1/('BA History'!$B:$B=A20), 'BA History'!$AJ:$AJ)</f>
        <v>0.5099999999999999</v>
      </c>
      <c r="S20" s="2">
        <f>COUNTIFS('BA History'!$B:$B,$A$20,'BA History'!K:K, 1)</f>
        <v>4</v>
      </c>
      <c r="T20" s="2">
        <f>COUNTIFS('BA History'!$B:$B,$A$20,'BA History'!L:L, 1)</f>
        <v>8</v>
      </c>
      <c r="U20" s="2">
        <f>COUNTIFS('BA History'!$B:$B,$A$20,'BA History'!M:M, 1)</f>
        <v>7</v>
      </c>
      <c r="V20" s="2">
        <f>COUNTIFS('BA History'!$B:$B,$A$20,'BA History'!N:N, 1)</f>
        <v>9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0</v>
      </c>
      <c r="AD20" s="2">
        <f>COUNTIFS('BA History'!$B:$B,$A$20,'BA History'!V:V, 1)</f>
        <v>9</v>
      </c>
      <c r="AE20" s="2">
        <f>COUNTIFS('BA History'!$B:$B,$A$20,'BA History'!W:W, 1)</f>
        <v>2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10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3</v>
      </c>
      <c r="AM20" s="2">
        <f>COUNTIFS('BA History'!$B:$B,$A$20,'BA History'!AE:AE, 1)</f>
        <v>11</v>
      </c>
      <c r="AN20" s="2">
        <f>COUNTIFS('BA History'!$B:$B,$A$20,'BA History'!AF:AF, 1)</f>
        <v>3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66">
        <f t="array" ref="H21">MEDIAN(IF('BA History'!B:B=A21, 'BA History'!C:C))</f>
        <v>14</v>
      </c>
      <c r="I21" s="35">
        <f t="array" ref="I21">MAX(IF('BA History'!B:B=A21, 'BA History'!C:C))</f>
        <v>31</v>
      </c>
      <c r="J21" s="34">
        <f>COUNTIFS('BA History'!B:B,A21,'BA History'!D:D, 1)</f>
        <v>5</v>
      </c>
      <c r="K21" s="2">
        <f>COUNTIFS('BA History'!B:B,A21,'BA History'!D:D, 0)</f>
        <v>10</v>
      </c>
      <c r="L21" s="75">
        <f>LOOKUP(2, 1/('BA History'!$B:$B=A21), 'BA History'!$AK:$AK)</f>
        <v>0.33333333333333331</v>
      </c>
      <c r="M21" s="34">
        <f>SUMIFS('BA History'!F:F,'BA History'!B:B,A21)</f>
        <v>29</v>
      </c>
      <c r="N21" s="2">
        <f>SUMIFS('BA History'!E:E,'BA History'!B:B,A21)-M21</f>
        <v>35</v>
      </c>
      <c r="O21" s="75">
        <f>LOOKUP(2, 1/('BA History'!$B:$B=A21), 'BA History'!$AI:$AI)</f>
        <v>0.47000000000000003</v>
      </c>
      <c r="P21" s="34">
        <f>SUMIFS('BA History'!H:H,'BA History'!B:B,A21)</f>
        <v>121</v>
      </c>
      <c r="Q21" s="2">
        <f>SUMIFS('BA History'!G:G,'BA History'!B:B,A21)-P21</f>
        <v>134</v>
      </c>
      <c r="R21" s="89">
        <f>LOOKUP(2, 1/('BA History'!$B:$B=A21), 'BA History'!$AJ:$AJ)</f>
        <v>0.48600000000000004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3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4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0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3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935</v>
      </c>
      <c r="G22" s="66">
        <f>AVERAGEIFS('BA History'!C:C,'BA History'!B:B,A22)</f>
        <v>16.696428571428573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32</v>
      </c>
      <c r="K22" s="2">
        <f>COUNTIFS('BA History'!B:B,A22,'BA History'!D:D, 0)</f>
        <v>24</v>
      </c>
      <c r="L22" s="75">
        <f>LOOKUP(2, 1/('BA History'!$B:$B=A22), 'BA History'!$AK:$AK)</f>
        <v>0.5714285714285714</v>
      </c>
      <c r="M22" s="34">
        <f>SUMIFS('BA History'!F:F,'BA History'!B:B,A22)</f>
        <v>119</v>
      </c>
      <c r="N22" s="2">
        <f>SUMIFS('BA History'!E:E,'BA History'!B:B,A22)-M22</f>
        <v>106</v>
      </c>
      <c r="O22" s="75">
        <f>LOOKUP(2, 1/('BA History'!$B:$B=A22), 'BA History'!$AI:$AI)</f>
        <v>0.52767857142857133</v>
      </c>
      <c r="P22" s="34">
        <f>SUMIFS('BA History'!H:H,'BA History'!B:B,A22)</f>
        <v>492</v>
      </c>
      <c r="Q22" s="2">
        <f>SUMIFS('BA History'!G:G,'BA History'!B:B,A22)-P22</f>
        <v>452</v>
      </c>
      <c r="R22" s="89">
        <f>LOOKUP(2, 1/('BA History'!$B:$B=A22), 'BA History'!$AJ:$AJ)</f>
        <v>0.52732142857142861</v>
      </c>
      <c r="S22" s="2">
        <f>COUNTIFS('BA History'!$B:$B,$A$22,'BA History'!K:K, 1)</f>
        <v>6</v>
      </c>
      <c r="T22" s="2">
        <f>COUNTIFS('BA History'!$B:$B,$A$22,'BA History'!L:L, 1)</f>
        <v>4</v>
      </c>
      <c r="U22" s="2">
        <f>COUNTIFS('BA History'!$B:$B,$A$22,'BA History'!M:M, 1)</f>
        <v>14</v>
      </c>
      <c r="V22" s="2">
        <f>COUNTIFS('BA History'!$B:$B,$A$22,'BA History'!N:N, 1)</f>
        <v>11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1</v>
      </c>
      <c r="AD22" s="2">
        <f>COUNTIFS('BA History'!$B:$B,$A$22,'BA History'!V:V, 1)</f>
        <v>5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7</v>
      </c>
      <c r="AH22" s="2">
        <f>COUNTIFS('BA History'!$B:$B,$A$22,'BA History'!Z:Z, 1)</f>
        <v>10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13</v>
      </c>
      <c r="AL22" s="2">
        <f>COUNTIFS('BA History'!$B:$B,$A$22,'BA History'!AD:AD, 1)</f>
        <v>6</v>
      </c>
      <c r="AM22" s="2">
        <f>COUNTIFS('BA History'!$B:$B,$A$22,'BA History'!AE:AE, 1)</f>
        <v>10</v>
      </c>
      <c r="AN22" s="2">
        <f>COUNTIFS('BA History'!$B:$B,$A$22,'BA History'!AF:AF, 1)</f>
        <v>1</v>
      </c>
      <c r="AO22" s="2">
        <f>COUNTIFS('BA History'!$B:$B,$A$22,'BA History'!AG:AG, 1)</f>
        <v>13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1200</v>
      </c>
      <c r="G24" s="66">
        <f>AVERAGEIFS('BA History'!C:C,'BA History'!B:B,A24)</f>
        <v>27.272727272727273</v>
      </c>
      <c r="H24" s="66">
        <f t="array" ref="H24">MEDIAN(IF('BA History'!B:B=A24, 'BA History'!C:C))</f>
        <v>25.5</v>
      </c>
      <c r="I24" s="35">
        <f t="array" ref="I24">MAX(IF('BA History'!B:B=A24, 'BA History'!C:C))</f>
        <v>50</v>
      </c>
      <c r="J24" s="34">
        <f>COUNTIFS('BA History'!B:B,A24,'BA History'!D:D, 1)</f>
        <v>23</v>
      </c>
      <c r="K24" s="2">
        <f>COUNTIFS('BA History'!B:B,A24,'BA History'!D:D, 0)</f>
        <v>21</v>
      </c>
      <c r="L24" s="75">
        <f>LOOKUP(2, 1/('BA History'!$B:$B=A24), 'BA History'!$AK:$AK)</f>
        <v>0.52272727272727271</v>
      </c>
      <c r="M24" s="34">
        <f>SUMIFS('BA History'!F:F,'BA History'!B:B,A24)</f>
        <v>89</v>
      </c>
      <c r="N24" s="2">
        <f>SUMIFS('BA History'!E:E,'BA History'!B:B,A24)-M24</f>
        <v>88</v>
      </c>
      <c r="O24" s="75">
        <f>LOOKUP(2, 1/('BA History'!$B:$B=A24), 'BA History'!$AI:$AI)</f>
        <v>0.49886363636363645</v>
      </c>
      <c r="P24" s="34">
        <f>SUMIFS('BA History'!H:H,'BA History'!B:B,A24)</f>
        <v>364</v>
      </c>
      <c r="Q24" s="2">
        <f>SUMIFS('BA History'!G:G,'BA History'!B:B,A24)-P24</f>
        <v>369</v>
      </c>
      <c r="R24" s="89">
        <f>LOOKUP(2, 1/('BA History'!$B:$B=A24), 'BA History'!$AJ:$AJ)</f>
        <v>0.4990909090909092</v>
      </c>
      <c r="S24" s="2">
        <f>COUNTIFS('BA History'!$B:$B,$A$24,'BA History'!K:K, 1)</f>
        <v>4</v>
      </c>
      <c r="T24" s="2">
        <f>COUNTIFS('BA History'!$B:$B,$A$24,'BA History'!L:L, 1)</f>
        <v>7</v>
      </c>
      <c r="U24" s="2">
        <f>COUNTIFS('BA History'!$B:$B,$A$24,'BA History'!M:M, 1)</f>
        <v>7</v>
      </c>
      <c r="V24" s="2">
        <f>COUNTIFS('BA History'!$B:$B,$A$24,'BA History'!N:N, 1)</f>
        <v>6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2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7</v>
      </c>
      <c r="AH24" s="2">
        <f>COUNTIFS('BA History'!$B:$B,$A$24,'BA History'!Z:Z, 1)</f>
        <v>8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8</v>
      </c>
      <c r="AL24" s="2">
        <f>COUNTIFS('BA History'!$B:$B,$A$24,'BA History'!AD:AD, 1)</f>
        <v>5</v>
      </c>
      <c r="AM24" s="2">
        <f>COUNTIFS('BA History'!$B:$B,$A$24,'BA History'!AE:AE, 1)</f>
        <v>11</v>
      </c>
      <c r="AN24" s="2">
        <f>COUNTIFS('BA History'!$B:$B,$A$24,'BA History'!AF:AF, 1)</f>
        <v>1</v>
      </c>
      <c r="AO24" s="2">
        <f>COUNTIFS('BA History'!$B:$B,$A$24,'BA History'!AG:AG, 1)</f>
        <v>6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3</v>
      </c>
      <c r="D26" s="95">
        <v>2</v>
      </c>
      <c r="E26" s="95"/>
      <c r="F26" s="34">
        <f>SUMIFS('BA History'!C:C,'BA History'!B:B,A26)</f>
        <v>689</v>
      </c>
      <c r="G26" s="66">
        <f>AVERAGEIFS('BA History'!C:C,'BA History'!B:B,A26)</f>
        <v>19.685714285714287</v>
      </c>
      <c r="H26" s="66">
        <f t="array" ref="H26">MEDIAN(IF('BA History'!B:B=A26, 'BA History'!C:C))</f>
        <v>19</v>
      </c>
      <c r="I26" s="35">
        <f t="array" ref="I26">MAX(IF('BA History'!B:B=A26, 'BA History'!C:C))</f>
        <v>33</v>
      </c>
      <c r="J26" s="34">
        <f>COUNTIFS('BA History'!B:B,A26,'BA History'!D:D, 1)</f>
        <v>21</v>
      </c>
      <c r="K26" s="2">
        <f>COUNTIFS('BA History'!B:B,A26,'BA History'!D:D, 0)</f>
        <v>14</v>
      </c>
      <c r="L26" s="75">
        <f>LOOKUP(2, 1/('BA History'!$B:$B=A26), 'BA History'!$AK:$AK)</f>
        <v>0.6</v>
      </c>
      <c r="M26" s="34">
        <f>SUMIFS('BA History'!F:F,'BA History'!B:B,A26)</f>
        <v>80</v>
      </c>
      <c r="N26" s="2">
        <f>SUMIFS('BA History'!E:E,'BA History'!B:B,A26)-M26</f>
        <v>65</v>
      </c>
      <c r="O26" s="75">
        <f>LOOKUP(2, 1/('BA History'!$B:$B=A26), 'BA History'!$AI:$AI)</f>
        <v>0.56000000000000005</v>
      </c>
      <c r="P26" s="34">
        <f>SUMIFS('BA History'!H:H,'BA History'!B:B,A26)</f>
        <v>314</v>
      </c>
      <c r="Q26" s="2">
        <f>SUMIFS('BA History'!G:G,'BA History'!B:B,A26)-P26</f>
        <v>278</v>
      </c>
      <c r="R26" s="89">
        <f>LOOKUP(2, 1/('BA History'!$B:$B=A26), 'BA History'!$AJ:$AJ)</f>
        <v>0.54342857142857137</v>
      </c>
      <c r="S26" s="2">
        <f>COUNTIFS('BA History'!$B:$B,$A$26,'BA History'!K:K, 1)</f>
        <v>2</v>
      </c>
      <c r="T26" s="2">
        <f>COUNTIFS('BA History'!$B:$B,$A$26,'BA History'!L:L, 1)</f>
        <v>2</v>
      </c>
      <c r="U26" s="2">
        <f>COUNTIFS('BA History'!$B:$B,$A$26,'BA History'!M:M, 1)</f>
        <v>8</v>
      </c>
      <c r="V26" s="2">
        <f>COUNTIFS('BA History'!$B:$B,$A$26,'BA History'!N:N, 1)</f>
        <v>10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3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3</v>
      </c>
      <c r="AD26" s="2">
        <f>COUNTIFS('BA History'!$B:$B,$A$26,'BA History'!V:V, 1)</f>
        <v>4</v>
      </c>
      <c r="AE26" s="2">
        <f>COUNTIFS('BA History'!$B:$B,$A$26,'BA History'!W:W, 1)</f>
        <v>3</v>
      </c>
      <c r="AF26" s="2">
        <f>COUNTIFS('BA History'!$B:$B,$A$26,'BA History'!X:X, 1)</f>
        <v>0</v>
      </c>
      <c r="AG26" s="2">
        <f>COUNTIFS('BA History'!$B:$B,$A$26,'BA History'!Y:Y, 1)</f>
        <v>6</v>
      </c>
      <c r="AH26" s="2">
        <f>COUNTIFS('BA History'!$B:$B,$A$26,'BA History'!Z:Z, 1)</f>
        <v>11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11</v>
      </c>
      <c r="AL26" s="2">
        <f>COUNTIFS('BA History'!$B:$B,$A$26,'BA History'!AD:AD, 1)</f>
        <v>2</v>
      </c>
      <c r="AM26" s="2">
        <f>COUNTIFS('BA History'!$B:$B,$A$26,'BA History'!AE:AE, 1)</f>
        <v>6</v>
      </c>
      <c r="AN26" s="2">
        <f>COUNTIFS('BA History'!$B:$B,$A$26,'BA History'!AF:AF, 1)</f>
        <v>0</v>
      </c>
      <c r="AO26" s="2">
        <f>COUNTIFS('BA History'!$B:$B,$A$26,'BA History'!AG:AG, 1)</f>
        <v>4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531</v>
      </c>
      <c r="G27" s="66">
        <f>AVERAGEIFS('BA History'!C:C,'BA History'!B:B,A27)</f>
        <v>17.7</v>
      </c>
      <c r="H27" s="66">
        <f t="array" ref="H27">MEDIAN(IF('BA History'!B:B=A27, 'BA History'!C:C))</f>
        <v>17.5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20</v>
      </c>
      <c r="L27" s="75">
        <f>LOOKUP(2, 1/('BA History'!$B:$B=A27), 'BA History'!$AK:$AK)</f>
        <v>0.33333333333333331</v>
      </c>
      <c r="M27" s="34">
        <f>SUMIFS('BA History'!F:F,'BA History'!B:B,A27)</f>
        <v>52</v>
      </c>
      <c r="N27" s="2">
        <f>SUMIFS('BA History'!E:E,'BA History'!B:B,A27)-M27</f>
        <v>75</v>
      </c>
      <c r="O27" s="75">
        <f>LOOKUP(2, 1/('BA History'!$B:$B=A27), 'BA History'!$AI:$AI)</f>
        <v>0.38833333333333331</v>
      </c>
      <c r="P27" s="34">
        <f>SUMIFS('BA History'!H:H,'BA History'!B:B,A27)</f>
        <v>238</v>
      </c>
      <c r="Q27" s="2">
        <f>SUMIFS('BA History'!G:G,'BA History'!B:B,A27)-P27</f>
        <v>290</v>
      </c>
      <c r="R27" s="89">
        <f>LOOKUP(2, 1/('BA History'!$B:$B=A27), 'BA History'!$AJ:$AJ)</f>
        <v>0.4346666666666667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4</v>
      </c>
      <c r="V27" s="2">
        <f>COUNTIFS('BA History'!$B:$B,$A$27,'BA History'!N:N, 1)</f>
        <v>4</v>
      </c>
      <c r="W27" s="2">
        <f>COUNTIFS('BA History'!$B:$B,$A$27,'BA History'!O:O, 1)</f>
        <v>1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2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418</v>
      </c>
      <c r="G28" s="66">
        <f>AVERAGEIFS('BA History'!C:C,'BA History'!B:B,A28)</f>
        <v>13.483870967741936</v>
      </c>
      <c r="H28" s="66">
        <f t="array" ref="H28">MEDIAN(IF('BA History'!B:B=A28, 'BA History'!C:C))</f>
        <v>14</v>
      </c>
      <c r="I28" s="35">
        <f t="array" ref="I28">MAX(IF('BA History'!B:B=A28, 'BA History'!C:C))</f>
        <v>25</v>
      </c>
      <c r="J28" s="34">
        <f>COUNTIFS('BA History'!B:B,A28,'BA History'!D:D, 1)</f>
        <v>13</v>
      </c>
      <c r="K28" s="2">
        <f>COUNTIFS('BA History'!B:B,A28,'BA History'!D:D, 0)</f>
        <v>18</v>
      </c>
      <c r="L28" s="75">
        <f>LOOKUP(2, 1/('BA History'!$B:$B=A28), 'BA History'!$AK:$AK)</f>
        <v>0.41935483870967744</v>
      </c>
      <c r="M28" s="34">
        <f>SUMIFS('BA History'!F:F,'BA History'!B:B,A28)</f>
        <v>53</v>
      </c>
      <c r="N28" s="2">
        <f>SUMIFS('BA History'!E:E,'BA History'!B:B,A28)-M28</f>
        <v>64</v>
      </c>
      <c r="O28" s="75">
        <f>LOOKUP(2, 1/('BA History'!$B:$B=A28), 'BA History'!$AI:$AI)</f>
        <v>0.45580645161290317</v>
      </c>
      <c r="P28" s="34">
        <f>SUMIFS('BA History'!H:H,'BA History'!B:B,A28)</f>
        <v>225</v>
      </c>
      <c r="Q28" s="2">
        <f>SUMIFS('BA History'!G:G,'BA History'!B:B,A28)-P28</f>
        <v>250</v>
      </c>
      <c r="R28" s="89">
        <f>LOOKUP(2, 1/('BA History'!$B:$B=A28), 'BA History'!$AJ:$AJ)</f>
        <v>0.46838709677419349</v>
      </c>
      <c r="S28" s="2">
        <f>COUNTIFS('BA History'!$B:$B,$A$28,'BA History'!K:K, 1)</f>
        <v>2</v>
      </c>
      <c r="T28" s="2">
        <f>COUNTIFS('BA History'!$B:$B,$A$28,'BA History'!L:L, 1)</f>
        <v>4</v>
      </c>
      <c r="U28" s="2">
        <f>COUNTIFS('BA History'!$B:$B,$A$28,'BA History'!M:M, 1)</f>
        <v>3</v>
      </c>
      <c r="V28" s="2">
        <f>COUNTIFS('BA History'!$B:$B,$A$28,'BA History'!N:N, 1)</f>
        <v>5</v>
      </c>
      <c r="W28" s="2">
        <f>COUNTIFS('BA History'!$B:$B,$A$28,'BA History'!O:O, 1)</f>
        <v>4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6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499</v>
      </c>
      <c r="G29" s="66">
        <f>AVERAGEIFS('BA History'!C:C,'BA History'!B:B,A29)</f>
        <v>15.59375</v>
      </c>
      <c r="H29" s="66">
        <f t="array" ref="H29">MEDIAN(IF('BA History'!B:B=A29, 'BA History'!C:C))</f>
        <v>14.5</v>
      </c>
      <c r="I29" s="35">
        <f t="array" ref="I29">MAX(IF('BA History'!B:B=A29, 'BA History'!C:C))</f>
        <v>36</v>
      </c>
      <c r="J29" s="34">
        <f>COUNTIFS('BA History'!B:B,A29,'BA History'!D:D, 1)</f>
        <v>13</v>
      </c>
      <c r="K29" s="2">
        <f>COUNTIFS('BA History'!B:B,A29,'BA History'!D:D, 0)</f>
        <v>19</v>
      </c>
      <c r="L29" s="75">
        <f>LOOKUP(2, 1/('BA History'!$B:$B=A29), 'BA History'!$AK:$AK)</f>
        <v>0.40625</v>
      </c>
      <c r="M29" s="34">
        <f>SUMIFS('BA History'!F:F,'BA History'!B:B,A29)</f>
        <v>59</v>
      </c>
      <c r="N29" s="2">
        <f>SUMIFS('BA History'!E:E,'BA History'!B:B,A29)-M29</f>
        <v>64</v>
      </c>
      <c r="O29" s="75">
        <f>LOOKUP(2, 1/('BA History'!$B:$B=A29), 'BA History'!$AI:$AI)</f>
        <v>0.49218750000000006</v>
      </c>
      <c r="P29" s="34">
        <f>SUMIFS('BA History'!H:H,'BA History'!B:B,A29)</f>
        <v>246</v>
      </c>
      <c r="Q29" s="2">
        <f>SUMIFS('BA History'!G:G,'BA History'!B:B,A29)-P29</f>
        <v>258</v>
      </c>
      <c r="R29" s="89">
        <f>LOOKUP(2, 1/('BA History'!$B:$B=A29), 'BA History'!$AJ:$AJ)</f>
        <v>0.49343750000000008</v>
      </c>
      <c r="S29" s="2">
        <f>COUNTIFS('BA History'!$B:$B,$A$29,'BA History'!K:K, 1)</f>
        <v>2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7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3</v>
      </c>
      <c r="AE29" s="2">
        <f>COUNTIFS('BA History'!$B:$B,$A$29,'BA History'!W:W, 1)</f>
        <v>1</v>
      </c>
      <c r="AF29" s="2">
        <f>COUNTIFS('BA History'!$B:$B,$A$29,'BA History'!X:X, 1)</f>
        <v>1</v>
      </c>
      <c r="AG29" s="2">
        <f>COUNTIFS('BA History'!$B:$B,$A$29,'BA History'!Y:Y, 1)</f>
        <v>3</v>
      </c>
      <c r="AH29" s="2">
        <f>COUNTIFS('BA History'!$B:$B,$A$29,'BA History'!Z:Z, 1)</f>
        <v>11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5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67</v>
      </c>
      <c r="G31" s="66">
        <f>AVERAGEIFS('BA History'!C:C,'BA History'!B:B,A31)</f>
        <v>7.4444444444444446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3</v>
      </c>
      <c r="K31" s="2">
        <f>COUNTIFS('BA History'!B:B,A31,'BA History'!D:D, 0)</f>
        <v>6</v>
      </c>
      <c r="L31" s="75">
        <f>LOOKUP(2, 1/('BA History'!$B:$B=A31), 'BA History'!$AK:$AK)</f>
        <v>0.33333333333333331</v>
      </c>
      <c r="M31" s="34">
        <f>SUMIFS('BA History'!F:F,'BA History'!B:B,A31)</f>
        <v>18</v>
      </c>
      <c r="N31" s="2">
        <f>SUMIFS('BA History'!E:E,'BA History'!B:B,A31)-M31</f>
        <v>21</v>
      </c>
      <c r="O31" s="75">
        <f>LOOKUP(2, 1/('BA History'!$B:$B=A31), 'BA History'!$AI:$AI)</f>
        <v>0.47777777777777775</v>
      </c>
      <c r="P31" s="34">
        <f>SUMIFS('BA History'!H:H,'BA History'!B:B,A31)</f>
        <v>73</v>
      </c>
      <c r="Q31" s="2">
        <f>SUMIFS('BA History'!G:G,'BA History'!B:B,A31)-P31</f>
        <v>80</v>
      </c>
      <c r="R31" s="89">
        <f>LOOKUP(2, 1/('BA History'!$B:$B=A31), 'BA History'!$AJ:$AJ)</f>
        <v>0.49666666666666665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2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0</v>
      </c>
      <c r="Z31" s="2">
        <f>COUNTIFS('BA History'!$B:$B,$A$31,'BA History'!R:R, 1)</f>
        <v>0</v>
      </c>
      <c r="AA31" s="2">
        <f>COUNTIFS('BA History'!$B:$B,$A$31,'BA History'!S:S, 1)</f>
        <v>1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1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1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194</v>
      </c>
      <c r="G32" s="66">
        <f>AVERAGEIFS('BA History'!C:C,'BA History'!B:B,A32)</f>
        <v>19.399999999999999</v>
      </c>
      <c r="H32" s="66">
        <f t="array" ref="H32">MEDIAN(IF('BA History'!B:B=A32, 'BA History'!C:C))</f>
        <v>21.5</v>
      </c>
      <c r="I32" s="35">
        <f t="array" ref="I32">MAX(IF('BA History'!B:B=A32, 'BA History'!C:C))</f>
        <v>27</v>
      </c>
      <c r="J32" s="34">
        <f>COUNTIFS('BA History'!B:B,A32,'BA History'!D:D, 1)</f>
        <v>3</v>
      </c>
      <c r="K32" s="2">
        <f>COUNTIFS('BA History'!B:B,A32,'BA History'!D:D, 0)</f>
        <v>7</v>
      </c>
      <c r="L32" s="75">
        <f>LOOKUP(2, 1/('BA History'!$B:$B=A32), 'BA History'!$AK:$AK)</f>
        <v>0.3</v>
      </c>
      <c r="M32" s="34">
        <f>SUMIFS('BA History'!F:F,'BA History'!B:B,A32)</f>
        <v>18</v>
      </c>
      <c r="N32" s="2">
        <f>SUMIFS('BA History'!E:E,'BA History'!B:B,A32)-M32</f>
        <v>26</v>
      </c>
      <c r="O32" s="75">
        <f>LOOKUP(2, 1/('BA History'!$B:$B=A32), 'BA History'!$AI:$AI)</f>
        <v>0.38</v>
      </c>
      <c r="P32" s="34">
        <f>SUMIFS('BA History'!H:H,'BA History'!B:B,A32)</f>
        <v>90</v>
      </c>
      <c r="Q32" s="2">
        <f>SUMIFS('BA History'!G:G,'BA History'!B:B,A32)-P32</f>
        <v>104</v>
      </c>
      <c r="R32" s="89">
        <f>LOOKUP(2, 1/('BA History'!$B:$B=A32), 'BA History'!$AJ:$AJ)</f>
        <v>0.45599999999999996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2</v>
      </c>
      <c r="V32" s="2">
        <f>COUNTIFS('BA History'!$B:$B,$A$32,'BA History'!N:N, 1)</f>
        <v>1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1</v>
      </c>
      <c r="AD32" s="2">
        <f>COUNTIFS('BA History'!$B:$B,$A$32,'BA History'!V:V, 1)</f>
        <v>1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1</v>
      </c>
      <c r="AI32" s="2">
        <f>COUNTIFS('BA History'!$B:$B,$A32,'BA History'!AA:AA, 1)</f>
        <v>0</v>
      </c>
      <c r="AJ32" s="2">
        <f>COUNTIFS('BA History'!$B:$B,$A$32,'BA History'!AB:AB, 1)</f>
        <v>0</v>
      </c>
      <c r="AK32" s="2">
        <f>COUNTIFS('BA History'!$B:$B,$A$32,'BA History'!AC:AC, 1)</f>
        <v>2</v>
      </c>
      <c r="AL32" s="2">
        <f>COUNTIFS('BA History'!$B:$B,$A$32,'BA History'!AD:AD, 1)</f>
        <v>3</v>
      </c>
      <c r="AM32" s="2">
        <f>COUNTIFS('BA History'!$B:$B,$A$32,'BA History'!AE:AE, 1)</f>
        <v>2</v>
      </c>
      <c r="AN32" s="2">
        <f>COUNTIFS('BA History'!$B:$B,$A$32,'BA History'!AF:AF, 1)</f>
        <v>0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122</v>
      </c>
      <c r="G33" s="66">
        <f>AVERAGEIFS('BA History'!C:C,'BA History'!B:B,A33)</f>
        <v>8.7142857142857135</v>
      </c>
      <c r="H33" s="66">
        <f t="array" ref="H33">MEDIAN(IF('BA History'!B:B=A33, 'BA History'!C:C))</f>
        <v>7.5</v>
      </c>
      <c r="I33" s="35">
        <f t="array" ref="I33">MAX(IF('BA History'!B:B=A33, 'BA History'!C:C))</f>
        <v>18</v>
      </c>
      <c r="J33" s="34">
        <f>COUNTIFS('BA History'!B:B,A33,'BA History'!D:D, 1)</f>
        <v>6</v>
      </c>
      <c r="K33" s="2">
        <f>COUNTIFS('BA History'!B:B,A33,'BA History'!D:D, 0)</f>
        <v>8</v>
      </c>
      <c r="L33" s="75">
        <f>LOOKUP(2, 1/('BA History'!$B:$B=A33), 'BA History'!$AK:$AK)</f>
        <v>0.42857142857142855</v>
      </c>
      <c r="M33" s="34">
        <f>SUMIFS('BA History'!F:F,'BA History'!B:B,A33)</f>
        <v>26</v>
      </c>
      <c r="N33" s="2">
        <f>SUMIFS('BA History'!E:E,'BA History'!B:B,A33)-M33</f>
        <v>34</v>
      </c>
      <c r="O33" s="75">
        <f>LOOKUP(2, 1/('BA History'!$B:$B=A33), 'BA History'!$AI:$AI)</f>
        <v>0.40714285714285714</v>
      </c>
      <c r="P33" s="34">
        <f>SUMIFS('BA History'!H:H,'BA History'!B:B,A33)</f>
        <v>114</v>
      </c>
      <c r="Q33" s="2">
        <f>SUMIFS('BA History'!G:G,'BA History'!B:B,A33)-P33</f>
        <v>134</v>
      </c>
      <c r="R33" s="89">
        <f>LOOKUP(2, 1/('BA History'!$B:$B=A33), 'BA History'!$AJ:$AJ)</f>
        <v>0.45071428571428562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1</v>
      </c>
      <c r="V33" s="2">
        <f>COUNTIFS('BA History'!$B:$B,$A$33,'BA History'!N:N, 1)</f>
        <v>2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1</v>
      </c>
      <c r="AA33" s="2">
        <f>COUNTIFS('BA History'!$B:$B,$A$33,'BA History'!S:S, 1)</f>
        <v>2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1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1</v>
      </c>
      <c r="AH33" s="2">
        <f>COUNTIFS('BA History'!$B:$B,$A$33,'BA History'!Z:Z, 1)</f>
        <v>2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5</v>
      </c>
      <c r="AL33" s="2">
        <f>COUNTIFS('BA History'!$B:$B,$A$33,'BA History'!AD:AD, 1)</f>
        <v>1</v>
      </c>
      <c r="AM33" s="2">
        <f>COUNTIFS('BA History'!$B:$B,$A$33,'BA History'!AE:AE, 1)</f>
        <v>3</v>
      </c>
      <c r="AN33" s="2">
        <f>COUNTIFS('BA History'!$B:$B,$A$33,'BA History'!AF:AF, 1)</f>
        <v>0</v>
      </c>
      <c r="AO33" s="2">
        <f>COUNTIFS('BA History'!$B:$B,$A$33,'BA History'!AG:AG, 1)</f>
        <v>2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202</v>
      </c>
      <c r="G34" s="66">
        <f>AVERAGEIFS('BA History'!C:C,'BA History'!B:B,A34)</f>
        <v>11.222222222222221</v>
      </c>
      <c r="H34" s="66">
        <f t="array" ref="H34">MEDIAN(IF('BA History'!B:B=A34, 'BA History'!C:C))</f>
        <v>9.5</v>
      </c>
      <c r="I34" s="35">
        <f t="array" ref="I34">MAX(IF('BA History'!B:B=A34, 'BA History'!C:C))</f>
        <v>29</v>
      </c>
      <c r="J34" s="34">
        <f>COUNTIFS('BA History'!B:B,A34,'BA History'!D:D, 1)</f>
        <v>10</v>
      </c>
      <c r="K34" s="2">
        <f>COUNTIFS('BA History'!B:B,A34,'BA History'!D:D, 0)</f>
        <v>8</v>
      </c>
      <c r="L34" s="75">
        <f>LOOKUP(2, 1/('BA History'!$B:$B=A34), 'BA History'!$AK:$AK)</f>
        <v>0.55555555555555558</v>
      </c>
      <c r="M34" s="34">
        <f>SUMIFS('BA History'!F:F,'BA History'!B:B,A34)</f>
        <v>38</v>
      </c>
      <c r="N34" s="2">
        <f>SUMIFS('BA History'!E:E,'BA History'!B:B,A34)-M34</f>
        <v>37</v>
      </c>
      <c r="O34" s="75">
        <f>LOOKUP(2, 1/('BA History'!$B:$B=A34), 'BA History'!$AI:$AI)</f>
        <v>0.49722222222222218</v>
      </c>
      <c r="P34" s="34">
        <f>SUMIFS('BA History'!H:H,'BA History'!B:B,A34)</f>
        <v>157</v>
      </c>
      <c r="Q34" s="2">
        <f>SUMIFS('BA History'!G:G,'BA History'!B:B,A34)-P34</f>
        <v>165</v>
      </c>
      <c r="R34" s="89">
        <f>LOOKUP(2, 1/('BA History'!$B:$B=A34), 'BA History'!$AJ:$AJ)</f>
        <v>0.48833333333333329</v>
      </c>
      <c r="S34" s="2">
        <f>COUNTIFS('BA History'!$B:$B,$A$34,'BA History'!K:K, 1)</f>
        <v>2</v>
      </c>
      <c r="T34" s="2">
        <f>COUNTIFS('BA History'!$B:$B,$A$34,'BA History'!L:L, 1)</f>
        <v>2</v>
      </c>
      <c r="U34" s="2">
        <f>COUNTIFS('BA History'!$B:$B,$A$34,'BA History'!M:M, 1)</f>
        <v>4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0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3</v>
      </c>
      <c r="AH34" s="2">
        <f>COUNTIFS('BA History'!$B:$B,$A$34,'BA History'!Z:Z, 1)</f>
        <v>5</v>
      </c>
      <c r="AI34" s="2">
        <f>COUNTIFS('BA History'!$B:$B,$A34,'BA History'!AA:AA, 1)</f>
        <v>1</v>
      </c>
      <c r="AJ34" s="2">
        <f>COUNTIFS('BA History'!$B:$B,$A$34,'BA History'!AB:AB, 1)</f>
        <v>2</v>
      </c>
      <c r="AK34" s="2">
        <f>COUNTIFS('BA History'!$B:$B,$A$34,'BA History'!AC:AC, 1)</f>
        <v>5</v>
      </c>
      <c r="AL34" s="2">
        <f>COUNTIFS('BA History'!$B:$B,$A$34,'BA History'!AD:AD, 1)</f>
        <v>2</v>
      </c>
      <c r="AM34" s="2">
        <f>COUNTIFS('BA History'!$B:$B,$A$34,'BA History'!AE:AE, 1)</f>
        <v>2</v>
      </c>
      <c r="AN34" s="2">
        <f>COUNTIFS('BA History'!$B:$B,$A$34,'BA History'!AF:AF, 1)</f>
        <v>1</v>
      </c>
      <c r="AO34" s="2">
        <f>COUNTIFS('BA History'!$B:$B,$A$34,'BA History'!AG:AG, 1)</f>
        <v>3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45</v>
      </c>
      <c r="G35" s="66">
        <f>AVERAGEIFS('BA History'!C:C,'BA History'!B:B,A35)</f>
        <v>15</v>
      </c>
      <c r="H35" s="66">
        <f t="array" ref="H35">MEDIAN(IF('BA History'!B:B=A35, 'BA History'!C:C))</f>
        <v>18</v>
      </c>
      <c r="I35" s="35">
        <f t="array" ref="I35">MAX(IF('BA History'!B:B=A35, 'BA History'!C:C))</f>
        <v>23</v>
      </c>
      <c r="J35" s="34">
        <f>COUNTIFS('BA History'!B:B,A35,'BA History'!D:D, 1)</f>
        <v>0</v>
      </c>
      <c r="K35" s="2">
        <f>COUNTIFS('BA History'!B:B,A35,'BA History'!D:D, 0)</f>
        <v>3</v>
      </c>
      <c r="L35" s="75">
        <f>LOOKUP(2, 1/('BA History'!$B:$B=A35), 'BA History'!$AK:$AK)</f>
        <v>0</v>
      </c>
      <c r="M35" s="34">
        <f>SUMIFS('BA History'!F:F,'BA History'!B:B,A35)</f>
        <v>3</v>
      </c>
      <c r="N35" s="2">
        <f>SUMIFS('BA History'!E:E,'BA History'!B:B,A35)-M35</f>
        <v>9</v>
      </c>
      <c r="O35" s="75">
        <f>LOOKUP(2, 1/('BA History'!$B:$B=A35), 'BA History'!$AI:$AI)</f>
        <v>0.21666666666666667</v>
      </c>
      <c r="P35" s="34">
        <f>SUMIFS('BA History'!H:H,'BA History'!B:B,A35)</f>
        <v>19</v>
      </c>
      <c r="Q35" s="2">
        <f>SUMIFS('BA History'!G:G,'BA History'!B:B,A35)-P35</f>
        <v>29</v>
      </c>
      <c r="R35" s="89">
        <f>LOOKUP(2, 1/('BA History'!$B:$B=A35), 'BA History'!$AJ:$AJ)</f>
        <v>0.34666666666666668</v>
      </c>
      <c r="S35" s="2">
        <f>COUNTIFS('BA History'!$B:$B,$A$35,'BA History'!K:K, 1)</f>
        <v>0</v>
      </c>
      <c r="T35" s="2">
        <f>COUNTIFS('BA History'!$B:$B,$A$35,'BA History'!L:L, 1)</f>
        <v>1</v>
      </c>
      <c r="U35" s="2">
        <f>COUNTIFS('BA History'!$B:$B,$A$35,'BA History'!M:M, 1)</f>
        <v>1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1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>
        <v>1</v>
      </c>
      <c r="D38" s="2"/>
      <c r="E38" s="2"/>
      <c r="F38" s="34">
        <f>SUMIFS('BA History'!C:C,'BA History'!B:B,A38)</f>
        <v>622</v>
      </c>
      <c r="G38" s="66">
        <f>AVERAGEIFS('BA History'!C:C,'BA History'!B:B,A38)</f>
        <v>16.810810810810811</v>
      </c>
      <c r="H38" s="66">
        <f t="array" ref="H38">MEDIAN(IF('BA History'!B:B=A38, 'BA History'!C:C))</f>
        <v>16</v>
      </c>
      <c r="I38" s="35">
        <f t="array" ref="I38">MAX(IF('BA History'!B:B=A38, 'BA History'!C:C))</f>
        <v>38</v>
      </c>
      <c r="J38" s="34">
        <f>COUNTIFS('BA History'!B:B,A38,'BA History'!D:D, 1)</f>
        <v>15</v>
      </c>
      <c r="K38" s="2">
        <f>COUNTIFS('BA History'!B:B,A38,'BA History'!D:D, 0)</f>
        <v>22</v>
      </c>
      <c r="L38" s="75">
        <f>LOOKUP(2, 1/('BA History'!$B:$B=A38), 'BA History'!$AK:$AK)</f>
        <v>0.40540540540540543</v>
      </c>
      <c r="M38" s="34">
        <f>SUMIFS('BA History'!F:F,'BA History'!B:B,A38)</f>
        <v>69</v>
      </c>
      <c r="N38" s="2">
        <f>SUMIFS('BA History'!E:E,'BA History'!B:B,A38)-M38</f>
        <v>78</v>
      </c>
      <c r="O38" s="75">
        <f>LOOKUP(2, 1/('BA History'!$B:$B=A38), 'BA History'!$AI:$AI)</f>
        <v>0.47297297297297297</v>
      </c>
      <c r="P38" s="34">
        <f>SUMIFS('BA History'!H:H,'BA History'!B:B,A38)</f>
        <v>303</v>
      </c>
      <c r="Q38" s="2">
        <f>SUMIFS('BA History'!G:G,'BA History'!B:B,A38)-P38</f>
        <v>323</v>
      </c>
      <c r="R38" s="89">
        <f>LOOKUP(2, 1/('BA History'!$B:$B=A38), 'BA History'!$AJ:$AJ)</f>
        <v>0.49189189189189197</v>
      </c>
      <c r="S38" s="2">
        <f>COUNTIFS('BA History'!$B:$B,$A$38,'BA History'!K:K, 1)</f>
        <v>7</v>
      </c>
      <c r="T38" s="2">
        <f>COUNTIFS('BA History'!$B:$B,$A$38,'BA History'!L:L, 1)</f>
        <v>3</v>
      </c>
      <c r="U38" s="2">
        <f>COUNTIFS('BA History'!$B:$B,$A$38,'BA History'!M:M, 1)</f>
        <v>7</v>
      </c>
      <c r="V38" s="2">
        <f>COUNTIFS('BA History'!$B:$B,$A$38,'BA History'!N:N, 1)</f>
        <v>3</v>
      </c>
      <c r="W38" s="2">
        <f>COUNTIFS('BA History'!$B:$B,$A$38,'BA History'!O:O, 1)</f>
        <v>3</v>
      </c>
      <c r="X38" s="2">
        <f>COUNTIFS('BA History'!$B:$B,$A$38,'BA History'!P:P, 1)</f>
        <v>0</v>
      </c>
      <c r="Y38" s="2">
        <f>COUNTIFS('BA History'!$B:$B,$A$38,'BA History'!Q:Q, 1)</f>
        <v>2</v>
      </c>
      <c r="Z38" s="2">
        <f>COUNTIFS('BA History'!$B:$B,$A$38,'BA History'!R:R, 1)</f>
        <v>1</v>
      </c>
      <c r="AA38" s="2">
        <f>COUNTIFS('BA History'!$B:$B,$A$38,'BA History'!S:S, 1)</f>
        <v>1</v>
      </c>
      <c r="AB38" s="2">
        <f>COUNTIFS('BA History'!$B:$B,$A$38,'BA History'!T:T, 1)</f>
        <v>0</v>
      </c>
      <c r="AC38" s="2">
        <f>COUNTIFS('BA History'!$B:$B,$A$38,'BA History'!U:U, 1)</f>
        <v>2</v>
      </c>
      <c r="AD38" s="2">
        <f>COUNTIFS('BA History'!$B:$B,$A$38,'BA History'!V:V, 1)</f>
        <v>2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7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10</v>
      </c>
      <c r="AL38" s="2">
        <f>COUNTIFS('BA History'!$B:$B,$A$38,'BA History'!AD:AD, 1)</f>
        <v>5</v>
      </c>
      <c r="AM38" s="2">
        <f>COUNTIFS('BA History'!$B:$B,$A$38,'BA History'!AE:AE, 1)</f>
        <v>5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1416</v>
      </c>
      <c r="G39" s="66">
        <f>AVERAGEIFS('BA History'!C:C,'BA History'!B:B,A39)</f>
        <v>24.413793103448278</v>
      </c>
      <c r="H39" s="66">
        <f t="array" ref="H39">MEDIAN(IF('BA History'!B:B=A39, 'BA History'!C:C))</f>
        <v>24</v>
      </c>
      <c r="I39" s="35">
        <f t="array" ref="I39">MAX(IF('BA History'!B:B=A39, 'BA History'!C:C))</f>
        <v>50</v>
      </c>
      <c r="J39" s="34">
        <f>COUNTIFS('BA History'!B:B,A39,'BA History'!D:D, 1)</f>
        <v>28</v>
      </c>
      <c r="K39" s="2">
        <f>COUNTIFS('BA History'!B:B,A39,'BA History'!D:D, 0)</f>
        <v>30</v>
      </c>
      <c r="L39" s="75">
        <f>LOOKUP(2, 1/('BA History'!$B:$B=A39), 'BA History'!$AK:$AK)</f>
        <v>0.48275862068965519</v>
      </c>
      <c r="M39" s="34">
        <f>SUMIFS('BA History'!F:F,'BA History'!B:B,A39)</f>
        <v>117</v>
      </c>
      <c r="N39" s="2">
        <f>SUMIFS('BA History'!E:E,'BA History'!B:B,A39)-M39</f>
        <v>115</v>
      </c>
      <c r="O39" s="75">
        <f>LOOKUP(2, 1/('BA History'!$B:$B=A39), 'BA History'!$AI:$AI)</f>
        <v>0.50913793103448268</v>
      </c>
      <c r="P39" s="34">
        <f>SUMIFS('BA History'!H:H,'BA History'!B:B,A39)</f>
        <v>504</v>
      </c>
      <c r="Q39" s="2">
        <f>SUMIFS('BA History'!G:G,'BA History'!B:B,A39)-P39</f>
        <v>466</v>
      </c>
      <c r="R39" s="89">
        <f>LOOKUP(2, 1/('BA History'!$B:$B=A39), 'BA History'!$AJ:$AJ)</f>
        <v>0.52810344827586209</v>
      </c>
      <c r="S39" s="2">
        <f>COUNTIFS('BA History'!$B:$B,$A$39,'BA History'!K:K, 1)</f>
        <v>7</v>
      </c>
      <c r="T39" s="2">
        <f>COUNTIFS('BA History'!$B:$B,$A$39,'BA History'!L:L, 1)</f>
        <v>3</v>
      </c>
      <c r="U39" s="2">
        <f>COUNTIFS('BA History'!$B:$B,$A$39,'BA History'!M:M, 1)</f>
        <v>9</v>
      </c>
      <c r="V39" s="2">
        <f>COUNTIFS('BA History'!$B:$B,$A$39,'BA History'!N:N, 1)</f>
        <v>11</v>
      </c>
      <c r="W39" s="2">
        <f>COUNTIFS('BA History'!$B:$B,$A$39,'BA History'!O:O, 1)</f>
        <v>3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3</v>
      </c>
      <c r="AA39" s="2">
        <f>COUNTIFS('BA History'!$B:$B,$A$39,'BA History'!S:S, 1)</f>
        <v>3</v>
      </c>
      <c r="AB39" s="2">
        <f>COUNTIFS('BA History'!$B:$B,$A$39,'BA History'!T:T, 1)</f>
        <v>0</v>
      </c>
      <c r="AC39" s="2">
        <f>COUNTIFS('BA History'!$B:$B,$A$39,'BA History'!U:U, 1)</f>
        <v>5</v>
      </c>
      <c r="AD39" s="2">
        <f>COUNTIFS('BA History'!$B:$B,$A$39,'BA History'!V:V, 1)</f>
        <v>5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8</v>
      </c>
      <c r="AH39" s="2">
        <f>COUNTIFS('BA History'!$B:$B,$A$39,'BA History'!Z:Z, 1)</f>
        <v>11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20</v>
      </c>
      <c r="AL39" s="2">
        <f>COUNTIFS('BA History'!$B:$B,$A$39,'BA History'!AD:AD, 1)</f>
        <v>5</v>
      </c>
      <c r="AM39" s="2">
        <f>COUNTIFS('BA History'!$B:$B,$A$39,'BA History'!AE:AE, 1)</f>
        <v>11</v>
      </c>
      <c r="AN39" s="2">
        <f>COUNTIFS('BA History'!$B:$B,$A$39,'BA History'!AF:AF, 1)</f>
        <v>0</v>
      </c>
      <c r="AO39" s="2">
        <f>COUNTIFS('BA History'!$B:$B,$A$39,'BA History'!AG:AG, 1)</f>
        <v>6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1728</v>
      </c>
      <c r="G40" s="66">
        <f>AVERAGEIFS('BA History'!C:C,'BA History'!B:B,A40)</f>
        <v>23.671232876712327</v>
      </c>
      <c r="H40" s="66">
        <f t="array" ref="H40">MEDIAN(IF('BA History'!B:B=A40, 'BA History'!C:C))</f>
        <v>23</v>
      </c>
      <c r="I40" s="35">
        <f t="array" ref="I40">MAX(IF('BA History'!B:B=A40, 'BA History'!C:C))</f>
        <v>47</v>
      </c>
      <c r="J40" s="34">
        <f>COUNTIFS('BA History'!B:B,A40,'BA History'!D:D, 1)</f>
        <v>40</v>
      </c>
      <c r="K40" s="2">
        <f>COUNTIFS('BA History'!B:B,A40,'BA History'!D:D, 0)</f>
        <v>33</v>
      </c>
      <c r="L40" s="75">
        <f>LOOKUP(2, 1/('BA History'!$B:$B=A40), 'BA History'!$AK:$AK)</f>
        <v>0.54794520547945202</v>
      </c>
      <c r="M40" s="34">
        <f>SUMIFS('BA History'!F:F,'BA History'!B:B,A40)</f>
        <v>158</v>
      </c>
      <c r="N40" s="2">
        <f>SUMIFS('BA History'!E:E,'BA History'!B:B,A40)-M40</f>
        <v>139</v>
      </c>
      <c r="O40" s="75">
        <f>LOOKUP(2, 1/('BA History'!$B:$B=A40), 'BA History'!$AI:$AI)</f>
        <v>0.5338356164383562</v>
      </c>
      <c r="P40" s="34">
        <f>SUMIFS('BA History'!H:H,'BA History'!B:B,A40)</f>
        <v>633</v>
      </c>
      <c r="Q40" s="2">
        <f>SUMIFS('BA History'!G:G,'BA History'!B:B,A40)-P40</f>
        <v>602</v>
      </c>
      <c r="R40" s="89">
        <f>LOOKUP(2, 1/('BA History'!$B:$B=A40), 'BA History'!$AJ:$AJ)</f>
        <v>0.51301369863013702</v>
      </c>
      <c r="S40" s="2">
        <f>COUNTIFS('BA History'!$B:$B,$A$40,'BA History'!K:K, 1)</f>
        <v>8</v>
      </c>
      <c r="T40" s="2">
        <f>COUNTIFS('BA History'!$B:$B,$A$40,'BA History'!L:L, 1)</f>
        <v>12</v>
      </c>
      <c r="U40" s="2">
        <f>COUNTIFS('BA History'!$B:$B,$A$40,'BA History'!M:M, 1)</f>
        <v>13</v>
      </c>
      <c r="V40" s="2">
        <f>COUNTIFS('BA History'!$B:$B,$A$40,'BA History'!N:N, 1)</f>
        <v>11</v>
      </c>
      <c r="W40" s="2">
        <f>COUNTIFS('BA History'!$B:$B,$A$40,'BA History'!O:O, 1)</f>
        <v>4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3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4</v>
      </c>
      <c r="AD40" s="2">
        <f>COUNTIFS('BA History'!$B:$B,$A$40,'BA History'!V:V, 1)</f>
        <v>10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11</v>
      </c>
      <c r="AH40" s="2">
        <f>COUNTIFS('BA History'!$B:$B,$A$40,'BA History'!Z:Z, 1)</f>
        <v>15</v>
      </c>
      <c r="AI40" s="2">
        <f>COUNTIFS('BA History'!$B:$B,$A40,'BA History'!AA:AA, 1)</f>
        <v>0</v>
      </c>
      <c r="AJ40" s="2">
        <f>COUNTIFS('BA History'!$B:$B,$A$40,'BA History'!AB:AB, 1)</f>
        <v>5</v>
      </c>
      <c r="AK40" s="2">
        <f>COUNTIFS('BA History'!$B:$B,$A$40,'BA History'!AC:AC, 1)</f>
        <v>18</v>
      </c>
      <c r="AL40" s="2">
        <f>COUNTIFS('BA History'!$B:$B,$A$40,'BA History'!AD:AD, 1)</f>
        <v>11</v>
      </c>
      <c r="AM40" s="2">
        <f>COUNTIFS('BA History'!$B:$B,$A$40,'BA History'!AE:AE, 1)</f>
        <v>12</v>
      </c>
      <c r="AN40" s="2">
        <f>COUNTIFS('BA History'!$B:$B,$A$40,'BA History'!AF:AF, 1)</f>
        <v>2</v>
      </c>
      <c r="AO40" s="2">
        <f>COUNTIFS('BA History'!$B:$B,$A$40,'BA History'!AG:AG, 1)</f>
        <v>9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781</v>
      </c>
      <c r="G41" s="66">
        <f>AVERAGEIFS('BA History'!C:C,'BA History'!B:B,A41)</f>
        <v>19.524999999999999</v>
      </c>
      <c r="H41" s="66">
        <f t="array" ref="H41">MEDIAN(IF('BA History'!B:B=A41, 'BA History'!C:C))</f>
        <v>19</v>
      </c>
      <c r="I41" s="35">
        <f t="array" ref="I41">MAX(IF('BA History'!B:B=A41, 'BA History'!C:C))</f>
        <v>37</v>
      </c>
      <c r="J41" s="34">
        <f>COUNTIFS('BA History'!B:B,A41,'BA History'!D:D, 1)</f>
        <v>24</v>
      </c>
      <c r="K41" s="2">
        <f>COUNTIFS('BA History'!B:B,A41,'BA History'!D:D, 0)</f>
        <v>16</v>
      </c>
      <c r="L41" s="75">
        <f>LOOKUP(2, 1/('BA History'!$B:$B=A41), 'BA History'!$AK:$AK)</f>
        <v>0.6</v>
      </c>
      <c r="M41" s="34">
        <f>SUMIFS('BA History'!F:F,'BA History'!B:B,A41)</f>
        <v>87</v>
      </c>
      <c r="N41" s="2">
        <f>SUMIFS('BA History'!E:E,'BA History'!B:B,A41)-M41</f>
        <v>73</v>
      </c>
      <c r="O41" s="75">
        <f>LOOKUP(2, 1/('BA History'!$B:$B=A41), 'BA History'!$AI:$AI)</f>
        <v>0.5442499999999999</v>
      </c>
      <c r="P41" s="34">
        <f>SUMIFS('BA History'!H:H,'BA History'!B:B,A41)</f>
        <v>350</v>
      </c>
      <c r="Q41" s="2">
        <f>SUMIFS('BA History'!G:G,'BA History'!B:B,A41)-P41</f>
        <v>326</v>
      </c>
      <c r="R41" s="89">
        <f>LOOKUP(2, 1/('BA History'!$B:$B=A41), 'BA History'!$AJ:$AJ)</f>
        <v>0.52175000000000016</v>
      </c>
      <c r="S41" s="2">
        <f>COUNTIFS('BA History'!$B:$B,$A$41,'BA History'!K:K, 1)</f>
        <v>3</v>
      </c>
      <c r="T41" s="2">
        <f>COUNTIFS('BA History'!$B:$B,$A$41,'BA History'!L:L, 1)</f>
        <v>8</v>
      </c>
      <c r="U41" s="2">
        <f>COUNTIFS('BA History'!$B:$B,$A$41,'BA History'!M:M, 1)</f>
        <v>7</v>
      </c>
      <c r="V41" s="2">
        <f>COUNTIFS('BA History'!$B:$B,$A$41,'BA History'!N:N, 1)</f>
        <v>12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2</v>
      </c>
      <c r="Z41" s="2">
        <f>COUNTIFS('BA History'!$B:$B,$A$41,'BA History'!R:R, 1)</f>
        <v>0</v>
      </c>
      <c r="AA41" s="2">
        <f>COUNTIFS('BA History'!$B:$B,$A$41,'BA History'!S:S, 1)</f>
        <v>0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8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11</v>
      </c>
      <c r="AL41" s="2">
        <f>COUNTIFS('BA History'!$B:$B,$A$41,'BA History'!AD:AD, 1)</f>
        <v>6</v>
      </c>
      <c r="AM41" s="2">
        <f>COUNTIFS('BA History'!$B:$B,$A$41,'BA History'!AE:AE, 1)</f>
        <v>6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17</v>
      </c>
      <c r="G43" s="66">
        <f>AVERAGEIFS('BA History'!C:C,'BA History'!B:B,A43)</f>
        <v>8.5</v>
      </c>
      <c r="H43" s="66">
        <f t="array" ref="H43">MEDIAN(IF('BA History'!B:B=A43, 'BA History'!C:C))</f>
        <v>8.5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1</v>
      </c>
      <c r="L43" s="75">
        <f>LOOKUP(2, 1/('BA History'!$B:$B=A43), 'BA History'!$AK:$AK)</f>
        <v>0.5</v>
      </c>
      <c r="M43" s="34">
        <f>SUMIFS('BA History'!F:F,'BA History'!B:B,A43)</f>
        <v>4</v>
      </c>
      <c r="N43" s="2">
        <f>SUMIFS('BA History'!E:E,'BA History'!B:B,A43)-M43</f>
        <v>3</v>
      </c>
      <c r="O43" s="75">
        <f>LOOKUP(2, 1/('BA History'!$B:$B=A43), 'BA History'!$AI:$AI)</f>
        <v>0.625</v>
      </c>
      <c r="P43" s="34">
        <f>SUMIFS('BA History'!H:H,'BA History'!B:B,A43)</f>
        <v>17</v>
      </c>
      <c r="Q43" s="2">
        <f>SUMIFS('BA History'!G:G,'BA History'!B:B,A43)-P43</f>
        <v>16</v>
      </c>
      <c r="R43" s="89">
        <f>LOOKUP(2, 1/('BA History'!$B:$B=A43), 'BA History'!$AJ:$AJ)</f>
        <v>0.53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1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617</v>
      </c>
      <c r="G44" s="66">
        <f>AVERAGEIFS('BA History'!C:C,'BA History'!B:B,A44)</f>
        <v>19.28125</v>
      </c>
      <c r="H44" s="66">
        <f t="array" ref="H44">MEDIAN(IF('BA History'!B:B=A44, 'BA History'!C:C))</f>
        <v>16</v>
      </c>
      <c r="I44" s="35">
        <f t="array" ref="I44">MAX(IF('BA History'!B:B=A44, 'BA History'!C:C))</f>
        <v>43</v>
      </c>
      <c r="J44" s="34">
        <f>COUNTIFS('BA History'!B:B,A44,'BA History'!D:D, 1)</f>
        <v>20</v>
      </c>
      <c r="K44" s="2">
        <f>COUNTIFS('BA History'!B:B,A44,'BA History'!D:D, 0)</f>
        <v>12</v>
      </c>
      <c r="L44" s="75">
        <f>LOOKUP(2, 1/('BA History'!$B:$B=A44), 'BA History'!$AK:$AK)</f>
        <v>0.625</v>
      </c>
      <c r="M44" s="34">
        <f>SUMIFS('BA History'!F:F,'BA History'!B:B,A44)</f>
        <v>67</v>
      </c>
      <c r="N44" s="2">
        <f>SUMIFS('BA History'!E:E,'BA History'!B:B,A44)-M44</f>
        <v>63</v>
      </c>
      <c r="O44" s="75">
        <f>LOOKUP(2, 1/('BA History'!$B:$B=A44), 'BA History'!$AI:$AI)</f>
        <v>0.49687499999999996</v>
      </c>
      <c r="P44" s="34">
        <f>SUMIFS('BA History'!H:H,'BA History'!B:B,A44)</f>
        <v>278</v>
      </c>
      <c r="Q44" s="2">
        <f>SUMIFS('BA History'!G:G,'BA History'!B:B,A44)-P44</f>
        <v>275</v>
      </c>
      <c r="R44" s="89">
        <f>LOOKUP(2, 1/('BA History'!$B:$B=A44), 'BA History'!$AJ:$AJ)</f>
        <v>0.50000000000000011</v>
      </c>
      <c r="S44" s="2">
        <f>COUNTIFS('BA History'!$B:$B,$A$44,'BA History'!K:K, 1)</f>
        <v>6</v>
      </c>
      <c r="T44" s="2">
        <f>COUNTIFS('BA History'!$B:$B,$A$44,'BA History'!L:L, 1)</f>
        <v>2</v>
      </c>
      <c r="U44" s="2">
        <f>COUNTIFS('BA History'!$B:$B,$A$44,'BA History'!M:M, 1)</f>
        <v>3</v>
      </c>
      <c r="V44" s="2">
        <f>COUNTIFS('BA History'!$B:$B,$A$44,'BA History'!N:N, 1)</f>
        <v>8</v>
      </c>
      <c r="W44" s="2">
        <f>COUNTIFS('BA History'!$B:$B,$A$44,'BA History'!O:O, 1)</f>
        <v>0</v>
      </c>
      <c r="X44" s="2">
        <f>COUNTIFS('BA History'!$B:$B,$A$44,'BA History'!P:P, 1)</f>
        <v>0</v>
      </c>
      <c r="Y44" s="2">
        <f>COUNTIFS('BA History'!$B:$B,$A$44,'BA History'!Q:Q, 1)</f>
        <v>2</v>
      </c>
      <c r="Z44" s="2">
        <f>COUNTIFS('BA History'!$B:$B,$A$44,'BA History'!R:R, 1)</f>
        <v>1</v>
      </c>
      <c r="AA44" s="2">
        <f>COUNTIFS('BA History'!$B:$B,$A$44,'BA History'!S:S, 1)</f>
        <v>1</v>
      </c>
      <c r="AB44" s="2">
        <f>COUNTIFS('BA History'!$B:$B,$A$44,'BA History'!T:T, 1)</f>
        <v>0</v>
      </c>
      <c r="AC44" s="2">
        <f>COUNTIFS('BA History'!$B:$B,$A$44,'BA History'!U:U, 1)</f>
        <v>0</v>
      </c>
      <c r="AD44" s="2">
        <f>COUNTIFS('BA History'!$B:$B,$A$44,'BA History'!V:V, 1)</f>
        <v>4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6</v>
      </c>
      <c r="AH44" s="2">
        <f>COUNTIFS('BA History'!$B:$B,$A$44,'BA History'!Z:Z, 1)</f>
        <v>6</v>
      </c>
      <c r="AI44" s="2">
        <f>COUNTIFS('BA History'!$B:$B,$A44,'BA History'!AA:AA, 1)</f>
        <v>0</v>
      </c>
      <c r="AJ44" s="2">
        <f>COUNTIFS('BA History'!$B:$B,$A$44,'BA History'!AB:AB, 1)</f>
        <v>1</v>
      </c>
      <c r="AK44" s="2">
        <f>COUNTIFS('BA History'!$B:$B,$A$44,'BA History'!AC:AC, 1)</f>
        <v>12</v>
      </c>
      <c r="AL44" s="2">
        <f>COUNTIFS('BA History'!$B:$B,$A$44,'BA History'!AD:AD, 1)</f>
        <v>3</v>
      </c>
      <c r="AM44" s="2">
        <f>COUNTIFS('BA History'!$B:$B,$A$44,'BA History'!AE:AE, 1)</f>
        <v>7</v>
      </c>
      <c r="AN44" s="2">
        <f>COUNTIFS('BA History'!$B:$B,$A$44,'BA History'!AF:AF, 1)</f>
        <v>1</v>
      </c>
      <c r="AO44" s="2">
        <f>COUNTIFS('BA History'!$B:$B,$A$44,'BA History'!AG:AG, 1)</f>
        <v>3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1408</v>
      </c>
      <c r="G46" s="66">
        <f>AVERAGEIFS('BA History'!C:C,'BA History'!B:B,A46)</f>
        <v>18.773333333333333</v>
      </c>
      <c r="H46" s="66">
        <f t="array" ref="H46">MEDIAN(IF('BA History'!B:B=A46, 'BA History'!C:C))</f>
        <v>18</v>
      </c>
      <c r="I46" s="35">
        <f t="array" ref="I46">MAX(IF('BA History'!B:B=A46, 'BA History'!C:C))</f>
        <v>38</v>
      </c>
      <c r="J46" s="34">
        <f>COUNTIFS('BA History'!B:B,A46,'BA History'!D:D, 1)</f>
        <v>32</v>
      </c>
      <c r="K46" s="2">
        <f>COUNTIFS('BA History'!B:B,A46,'BA History'!D:D, 0)</f>
        <v>43</v>
      </c>
      <c r="L46" s="75">
        <f>LOOKUP(2, 1/('BA History'!$B:$B=A46), 'BA History'!$AK:$AK)</f>
        <v>0.42666666666666669</v>
      </c>
      <c r="M46" s="34">
        <f>SUMIFS('BA History'!F:F,'BA History'!B:B,A46)</f>
        <v>148</v>
      </c>
      <c r="N46" s="2">
        <f>SUMIFS('BA History'!E:E,'BA History'!B:B,A46)-M46</f>
        <v>161</v>
      </c>
      <c r="O46" s="75">
        <f>LOOKUP(2, 1/('BA History'!$B:$B=A46), 'BA History'!$AI:$AI)</f>
        <v>0.48133333333333317</v>
      </c>
      <c r="P46" s="34">
        <f>SUMIFS('BA History'!H:H,'BA History'!B:B,A46)</f>
        <v>621</v>
      </c>
      <c r="Q46" s="2">
        <f>SUMIFS('BA History'!G:G,'BA History'!B:B,A46)-P46</f>
        <v>655</v>
      </c>
      <c r="R46" s="89">
        <f>LOOKUP(2, 1/('BA History'!$B:$B=A46), 'BA History'!$AJ:$AJ)</f>
        <v>0.48360000000000025</v>
      </c>
      <c r="S46" s="2">
        <f>COUNTIFS('BA History'!$B:$B,$A$46,'BA History'!K:K, 1)</f>
        <v>6</v>
      </c>
      <c r="T46" s="2">
        <f>COUNTIFS('BA History'!$B:$B,$A$46,'BA History'!L:L, 1)</f>
        <v>10</v>
      </c>
      <c r="U46" s="2">
        <f>COUNTIFS('BA History'!$B:$B,$A$46,'BA History'!M:M, 1)</f>
        <v>16</v>
      </c>
      <c r="V46" s="2">
        <f>COUNTIFS('BA History'!$B:$B,$A$46,'BA History'!N:N, 1)</f>
        <v>16</v>
      </c>
      <c r="W46" s="2">
        <f>COUNTIFS('BA History'!$B:$B,$A$46,'BA History'!O:O, 1)</f>
        <v>4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4</v>
      </c>
      <c r="AA46" s="2">
        <f>COUNTIFS('BA History'!$B:$B,$A$46,'BA History'!S:S, 1)</f>
        <v>3</v>
      </c>
      <c r="AB46" s="2">
        <f>COUNTIFS('BA History'!$B:$B,$A$46,'BA History'!T:T, 1)</f>
        <v>0</v>
      </c>
      <c r="AC46" s="2">
        <f>COUNTIFS('BA History'!$B:$B,$A$46,'BA History'!U:U, 1)</f>
        <v>5</v>
      </c>
      <c r="AD46" s="2">
        <f>COUNTIFS('BA History'!$B:$B,$A$46,'BA History'!V:V, 1)</f>
        <v>9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7</v>
      </c>
      <c r="AH46" s="2">
        <f>COUNTIFS('BA History'!$B:$B,$A$46,'BA History'!Z:Z, 1)</f>
        <v>13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6</v>
      </c>
      <c r="AL46" s="2">
        <f>COUNTIFS('BA History'!$B:$B,$A$46,'BA History'!AD:AD, 1)</f>
        <v>7</v>
      </c>
      <c r="AM46" s="2">
        <f>COUNTIFS('BA History'!$B:$B,$A$46,'BA History'!AE:AE, 1)</f>
        <v>21</v>
      </c>
      <c r="AN46" s="2">
        <f>COUNTIFS('BA History'!$B:$B,$A$46,'BA History'!AF:AF, 1)</f>
        <v>0</v>
      </c>
      <c r="AO46" s="2">
        <f>COUNTIFS('BA History'!$B:$B,$A$46,'BA History'!AG:AG, 1)</f>
        <v>11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>
        <v>1</v>
      </c>
      <c r="D48" s="2"/>
      <c r="E48" s="2"/>
      <c r="F48" s="34">
        <f>SUMIFS('BA History'!C:C,'BA History'!B:B,A48)</f>
        <v>712</v>
      </c>
      <c r="G48" s="66">
        <f>AVERAGEIFS('BA History'!C:C,'BA History'!B:B,A48)</f>
        <v>15.148936170212766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26</v>
      </c>
      <c r="K48" s="2">
        <f>COUNTIFS('BA History'!B:B,A48,'BA History'!D:D, 0)</f>
        <v>21</v>
      </c>
      <c r="L48" s="75">
        <f>LOOKUP(2, 1/('BA History'!$B:$B=A48), 'BA History'!$AK:$AK)</f>
        <v>0.55319148936170215</v>
      </c>
      <c r="M48" s="34">
        <f>SUMIFS('BA History'!F:F,'BA History'!B:B,A48)</f>
        <v>105</v>
      </c>
      <c r="N48" s="2">
        <f>SUMIFS('BA History'!E:E,'BA History'!B:B,A48)-M48</f>
        <v>90</v>
      </c>
      <c r="O48" s="75">
        <f>LOOKUP(2, 1/('BA History'!$B:$B=A48), 'BA History'!$AI:$AI)</f>
        <v>0.55744680851063833</v>
      </c>
      <c r="P48" s="34">
        <f>SUMIFS('BA History'!H:H,'BA History'!B:B,A48)</f>
        <v>422</v>
      </c>
      <c r="Q48" s="2">
        <f>SUMIFS('BA History'!G:G,'BA History'!B:B,A48)-P48</f>
        <v>389</v>
      </c>
      <c r="R48" s="89">
        <f>LOOKUP(2, 1/('BA History'!$B:$B=A48), 'BA History'!$AJ:$AJ)</f>
        <v>0.5306382978723404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8</v>
      </c>
      <c r="V48" s="2">
        <f>COUNTIFS('BA History'!$B:$B,$A$48,'BA History'!N:N, 1)</f>
        <v>10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3</v>
      </c>
      <c r="AA48" s="2">
        <f>COUNTIFS('BA History'!$B:$B,$A$48,'BA History'!S:S, 1)</f>
        <v>2</v>
      </c>
      <c r="AB48" s="2">
        <f>COUNTIFS('BA History'!$B:$B,$A$48,'BA History'!T:T, 1)</f>
        <v>0</v>
      </c>
      <c r="AC48" s="2">
        <f>COUNTIFS('BA History'!$B:$B,$A$48,'BA History'!U:U, 1)</f>
        <v>0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9</v>
      </c>
      <c r="AH48" s="2">
        <f>COUNTIFS('BA History'!$B:$B,$A$48,'BA History'!Z:Z, 1)</f>
        <v>13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16</v>
      </c>
      <c r="AL48" s="2">
        <f>COUNTIFS('BA History'!$B:$B,$A$48,'BA History'!AD:AD, 1)</f>
        <v>1</v>
      </c>
      <c r="AM48" s="2">
        <f>COUNTIFS('BA History'!$B:$B,$A$48,'BA History'!AE:AE, 1)</f>
        <v>10</v>
      </c>
      <c r="AN48" s="2">
        <f>COUNTIFS('BA History'!$B:$B,$A$48,'BA History'!AF:AF, 1)</f>
        <v>0</v>
      </c>
      <c r="AO48" s="2">
        <f>COUNTIFS('BA History'!$B:$B,$A$48,'BA History'!AG:AG, 1)</f>
        <v>9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873</v>
      </c>
      <c r="G49" s="66">
        <f>AVERAGEIFS('BA History'!C:C,'BA History'!B:B,A49)</f>
        <v>19.84090909090909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20</v>
      </c>
      <c r="L49" s="75">
        <f>LOOKUP(2, 1/('BA History'!$B:$B=A49), 'BA History'!$AK:$AK)</f>
        <v>0.54545454545454541</v>
      </c>
      <c r="M49" s="34">
        <f>SUMIFS('BA History'!F:F,'BA History'!B:B,A49)</f>
        <v>92</v>
      </c>
      <c r="N49" s="2">
        <f>SUMIFS('BA History'!E:E,'BA History'!B:B,A49)-M49</f>
        <v>82</v>
      </c>
      <c r="O49" s="75">
        <f>LOOKUP(2, 1/('BA History'!$B:$B=A49), 'BA History'!$AI:$AI)</f>
        <v>0.53568181818181815</v>
      </c>
      <c r="P49" s="34">
        <f>SUMIFS('BA History'!H:H,'BA History'!B:B,A49)</f>
        <v>364</v>
      </c>
      <c r="Q49" s="2">
        <f>SUMIFS('BA History'!G:G,'BA History'!B:B,A49)-P49</f>
        <v>358</v>
      </c>
      <c r="R49" s="89">
        <f>LOOKUP(2, 1/('BA History'!$B:$B=A49), 'BA History'!$AJ:$AJ)</f>
        <v>0.49954545454545463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9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2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/>
      <c r="D53" s="1">
        <v>1</v>
      </c>
      <c r="E53" s="1">
        <v>1</v>
      </c>
      <c r="F53" s="34">
        <f>SUMIFS('BA History'!C:C,'BA History'!B:B,A53)</f>
        <v>2095</v>
      </c>
      <c r="G53" s="66">
        <f>AVERAGEIFS('BA History'!C:C,'BA History'!B:B,A53)</f>
        <v>23.806818181818183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56</v>
      </c>
      <c r="K53" s="2">
        <f>COUNTIFS('BA History'!B:B,A53,'BA History'!D:D, 0)</f>
        <v>32</v>
      </c>
      <c r="L53" s="75">
        <f>LOOKUP(2, 1/('BA History'!$B:$B=A53), 'BA History'!$AK:$AK)</f>
        <v>0.63636363636363635</v>
      </c>
      <c r="M53" s="34">
        <f>SUMIFS('BA History'!F:F,'BA History'!B:B,A53)</f>
        <v>200</v>
      </c>
      <c r="N53" s="2">
        <f>SUMIFS('BA History'!E:E,'BA History'!B:B,A53)-M53</f>
        <v>156</v>
      </c>
      <c r="O53" s="75">
        <f>LOOKUP(2, 1/('BA History'!$B:$B=A53), 'BA History'!$AI:$AI)</f>
        <v>0.56511363636363654</v>
      </c>
      <c r="P53" s="34">
        <f>SUMIFS('BA History'!H:H,'BA History'!B:B,A53)</f>
        <v>787</v>
      </c>
      <c r="Q53" s="2">
        <f>SUMIFS('BA History'!G:G,'BA History'!B:B,A53)-P53</f>
        <v>699</v>
      </c>
      <c r="R53" s="89">
        <f>LOOKUP(2, 1/('BA History'!$B:$B=A53), 'BA History'!$AJ:$AJ)</f>
        <v>0.53090909090909078</v>
      </c>
      <c r="S53" s="2">
        <f>COUNTIFS('BA History'!$B:$B,$A$53,'BA History'!K:K, 1)</f>
        <v>10</v>
      </c>
      <c r="T53" s="2">
        <f>COUNTIFS('BA History'!$B:$B,$A$53,'BA History'!L:L, 1)</f>
        <v>8</v>
      </c>
      <c r="U53" s="2">
        <f>COUNTIFS('BA History'!$B:$B,$A$53,'BA History'!M:M, 1)</f>
        <v>18</v>
      </c>
      <c r="V53" s="2">
        <f>COUNTIFS('BA History'!$B:$B,$A$53,'BA History'!N:N, 1)</f>
        <v>14</v>
      </c>
      <c r="W53" s="2">
        <f>COUNTIFS('BA History'!$B:$B,$A$53,'BA History'!O:O, 1)</f>
        <v>4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7</v>
      </c>
      <c r="AA53" s="2">
        <f>COUNTIFS('BA History'!$B:$B,$A$53,'BA History'!S:S, 1)</f>
        <v>3</v>
      </c>
      <c r="AB53" s="2">
        <f>COUNTIFS('BA History'!$B:$B,$A$53,'BA History'!T:T, 1)</f>
        <v>0</v>
      </c>
      <c r="AC53" s="2">
        <f>COUNTIFS('BA History'!$B:$B,$A$53,'BA History'!U:U, 1)</f>
        <v>4</v>
      </c>
      <c r="AD53" s="2">
        <f>COUNTIFS('BA History'!$B:$B,$A$53,'BA History'!V:V, 1)</f>
        <v>13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8</v>
      </c>
      <c r="AH53" s="2">
        <f>COUNTIFS('BA History'!$B:$B,$A$53,'BA History'!Z:Z, 1)</f>
        <v>27</v>
      </c>
      <c r="AI53" s="2">
        <f>COUNTIFS('BA History'!$B:$B,$A53,'BA History'!AA:AA, 1)</f>
        <v>1</v>
      </c>
      <c r="AJ53" s="2">
        <f>COUNTIFS('BA History'!$B:$B,$A$53,'BA History'!AB:AB, 1)</f>
        <v>2</v>
      </c>
      <c r="AK53" s="2">
        <f>COUNTIFS('BA History'!$B:$B,$A$53,'BA History'!AC:AC, 1)</f>
        <v>25</v>
      </c>
      <c r="AL53" s="2">
        <f>COUNTIFS('BA History'!$B:$B,$A$53,'BA History'!AD:AD, 1)</f>
        <v>10</v>
      </c>
      <c r="AM53" s="2">
        <f>COUNTIFS('BA History'!$B:$B,$A$53,'BA History'!AE:AE, 1)</f>
        <v>13</v>
      </c>
      <c r="AN53" s="2">
        <f>COUNTIFS('BA History'!$B:$B,$A$53,'BA History'!AF:AF, 1)</f>
        <v>2</v>
      </c>
      <c r="AO53" s="2">
        <f>COUNTIFS('BA History'!$B:$B,$A$53,'BA History'!AG:AG, 1)</f>
        <v>16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247</v>
      </c>
      <c r="G54" s="66">
        <f>AVERAGEIFS('BA History'!C:C,'BA History'!B:B,A54)</f>
        <v>19</v>
      </c>
      <c r="H54" s="66">
        <f t="array" ref="H54">MEDIAN(IF('BA History'!B:B=A54, 'BA History'!C:C))</f>
        <v>20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5</v>
      </c>
      <c r="L54" s="75">
        <f>LOOKUP(2, 1/('BA History'!$B:$B=A54), 'BA History'!$AK:$AK)</f>
        <v>0.61538461538461542</v>
      </c>
      <c r="M54" s="34">
        <f>SUMIFS('BA History'!F:F,'BA History'!B:B,A54)</f>
        <v>28</v>
      </c>
      <c r="N54" s="2">
        <f>SUMIFS('BA History'!E:E,'BA History'!B:B,A54)-M54</f>
        <v>19</v>
      </c>
      <c r="O54" s="75">
        <f>LOOKUP(2, 1/('BA History'!$B:$B=A54), 'BA History'!$AI:$AI)</f>
        <v>0.62307692307692308</v>
      </c>
      <c r="P54" s="34">
        <f>SUMIFS('BA History'!H:H,'BA History'!B:B,A54)</f>
        <v>110</v>
      </c>
      <c r="Q54" s="2">
        <f>SUMIFS('BA History'!G:G,'BA History'!B:B,A54)-P54</f>
        <v>92</v>
      </c>
      <c r="R54" s="89">
        <f>LOOKUP(2, 1/('BA History'!$B:$B=A54), 'BA History'!$AJ:$AJ)</f>
        <v>0.56076923076923069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5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3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2</v>
      </c>
      <c r="D56" s="2">
        <v>3</v>
      </c>
      <c r="E56" s="2"/>
      <c r="F56" s="34">
        <f>SUMIFS('BA History'!C:C,'BA History'!B:B,A56)</f>
        <v>987</v>
      </c>
      <c r="G56" s="66">
        <f>AVERAGEIFS('BA History'!C:C,'BA History'!B:B,A56)</f>
        <v>18.622641509433961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29</v>
      </c>
      <c r="K56" s="2">
        <f>COUNTIFS('BA History'!B:B,A56,'BA History'!D:D, 0)</f>
        <v>24</v>
      </c>
      <c r="L56" s="75">
        <f>LOOKUP(2, 1/('BA History'!$B:$B=A56), 'BA History'!$AK:$AK)</f>
        <v>0.54716981132075471</v>
      </c>
      <c r="M56" s="34">
        <f>SUMIFS('BA History'!F:F,'BA History'!B:B,A56)</f>
        <v>116</v>
      </c>
      <c r="N56" s="2">
        <f>SUMIFS('BA History'!E:E,'BA History'!B:B,A56)-M56</f>
        <v>99</v>
      </c>
      <c r="O56" s="75">
        <f>LOOKUP(2, 1/('BA History'!$B:$B=A56), 'BA History'!$AI:$AI)</f>
        <v>0.55094339622641508</v>
      </c>
      <c r="P56" s="34">
        <f>SUMIFS('BA History'!H:H,'BA History'!B:B,A56)</f>
        <v>456</v>
      </c>
      <c r="Q56" s="2">
        <f>SUMIFS('BA History'!G:G,'BA History'!B:B,A56)-P56</f>
        <v>430</v>
      </c>
      <c r="R56" s="89">
        <f>LOOKUP(2, 1/('BA History'!$B:$B=A56), 'BA History'!$AJ:$AJ)</f>
        <v>0.52207547169811319</v>
      </c>
      <c r="S56" s="2">
        <f>COUNTIFS('BA History'!$B:$B,$A$56,'BA History'!K:K, 1)</f>
        <v>6</v>
      </c>
      <c r="T56" s="2">
        <f>COUNTIFS('BA History'!$B:$B,$A$56,'BA History'!L:L, 1)</f>
        <v>6</v>
      </c>
      <c r="U56" s="2">
        <f>COUNTIFS('BA History'!$B:$B,$A$56,'BA History'!M:M, 1)</f>
        <v>13</v>
      </c>
      <c r="V56" s="2">
        <f>COUNTIFS('BA History'!$B:$B,$A$56,'BA History'!N:N, 1)</f>
        <v>11</v>
      </c>
      <c r="W56" s="2">
        <f>COUNTIFS('BA History'!$B:$B,$A$56,'BA History'!O:O, 1)</f>
        <v>3</v>
      </c>
      <c r="X56" s="2">
        <f>COUNTIFS('BA History'!$B:$B,$A$56,'BA History'!P:P, 1)</f>
        <v>1</v>
      </c>
      <c r="Y56" s="2">
        <f>COUNTIFS('BA History'!$B:$B,$A$56,'BA History'!Q:Q, 1)</f>
        <v>4</v>
      </c>
      <c r="Z56" s="2">
        <f>COUNTIFS('BA History'!$B:$B,$A$56,'BA History'!R:R, 1)</f>
        <v>3</v>
      </c>
      <c r="AA56" s="2">
        <f>COUNTIFS('BA History'!$B:$B,$A$56,'BA History'!S:S, 1)</f>
        <v>3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7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11</v>
      </c>
      <c r="AH56" s="2">
        <f>COUNTIFS('BA History'!$B:$B,$A$56,'BA History'!Z:Z, 1)</f>
        <v>11</v>
      </c>
      <c r="AI56" s="2">
        <f>COUNTIFS('BA History'!$B:$B,$A56,'BA History'!AA:AA, 1)</f>
        <v>0</v>
      </c>
      <c r="AJ56" s="2">
        <f>COUNTIFS('BA History'!$B:$B,$A$56,'BA History'!AB:AB, 1)</f>
        <v>2</v>
      </c>
      <c r="AK56" s="2">
        <f>COUNTIFS('BA History'!$B:$B,$A$56,'BA History'!AC:AC, 1)</f>
        <v>14</v>
      </c>
      <c r="AL56" s="2">
        <f>COUNTIFS('BA History'!$B:$B,$A$56,'BA History'!AD:AD, 1)</f>
        <v>8</v>
      </c>
      <c r="AM56" s="2">
        <f>COUNTIFS('BA History'!$B:$B,$A$56,'BA History'!AE:AE, 1)</f>
        <v>5</v>
      </c>
      <c r="AN56" s="2">
        <f>COUNTIFS('BA History'!$B:$B,$A$56,'BA History'!AF:AF, 1)</f>
        <v>0</v>
      </c>
      <c r="AO56" s="2">
        <f>COUNTIFS('BA History'!$B:$B,$A$56,'BA History'!AG:AG, 1)</f>
        <v>6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426</v>
      </c>
      <c r="G57" s="66">
        <f>AVERAGEIFS('BA History'!C:C,'BA History'!B:B,A57)</f>
        <v>16.384615384615383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13</v>
      </c>
      <c r="K57" s="2">
        <f>COUNTIFS('BA History'!B:B,A57,'BA History'!D:D, 0)</f>
        <v>13</v>
      </c>
      <c r="L57" s="75">
        <f>LOOKUP(2, 1/('BA History'!$B:$B=A57), 'BA History'!$AK:$AK)</f>
        <v>0.5</v>
      </c>
      <c r="M57" s="34">
        <f>SUMIFS('BA History'!F:F,'BA History'!B:B,A57)</f>
        <v>52</v>
      </c>
      <c r="N57" s="2">
        <f>SUMIFS('BA History'!E:E,'BA History'!B:B,A57)-M57</f>
        <v>55</v>
      </c>
      <c r="O57" s="75">
        <f>LOOKUP(2, 1/('BA History'!$B:$B=A57), 'BA History'!$AI:$AI)</f>
        <v>0.48923076923076919</v>
      </c>
      <c r="P57" s="34">
        <f>SUMIFS('BA History'!H:H,'BA History'!B:B,A57)</f>
        <v>222</v>
      </c>
      <c r="Q57" s="2">
        <f>SUMIFS('BA History'!G:G,'BA History'!B:B,A57)-P57</f>
        <v>219</v>
      </c>
      <c r="R57" s="89">
        <f>LOOKUP(2, 1/('BA History'!$B:$B=A57), 'BA History'!$AJ:$AJ)</f>
        <v>0.50115384615384617</v>
      </c>
      <c r="S57" s="2">
        <f>COUNTIFS('BA History'!$B:$B,$A$57,'BA History'!K:K, 1)</f>
        <v>2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4</v>
      </c>
      <c r="W57" s="2">
        <f>COUNTIFS('BA History'!$B:$B,$A$57,'BA History'!O:O, 1)</f>
        <v>1</v>
      </c>
      <c r="X57" s="2">
        <f>COUNTIFS('BA History'!$B:$B,$A$57,'BA History'!P:P, 1)</f>
        <v>0</v>
      </c>
      <c r="Y57" s="2">
        <f>COUNTIFS('BA History'!$B:$B,$A$57,'BA History'!Q:Q, 1)</f>
        <v>4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10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113</v>
      </c>
      <c r="G58" s="66">
        <f>AVERAGEIFS('BA History'!C:C,'BA History'!B:B,A58)</f>
        <v>11.3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5</v>
      </c>
      <c r="L58" s="75">
        <f>LOOKUP(2, 1/('BA History'!$B:$B=A58), 'BA History'!$AK:$AK)</f>
        <v>0.5</v>
      </c>
      <c r="M58" s="34">
        <f>SUMIFS('BA History'!F:F,'BA History'!B:B,A58)</f>
        <v>18</v>
      </c>
      <c r="N58" s="2">
        <f>SUMIFS('BA History'!E:E,'BA History'!B:B,A58)-M58</f>
        <v>22</v>
      </c>
      <c r="O58" s="75">
        <f>LOOKUP(2, 1/('BA History'!$B:$B=A58), 'BA History'!$AI:$AI)</f>
        <v>0.43000000000000005</v>
      </c>
      <c r="P58" s="34">
        <f>SUMIFS('BA History'!H:H,'BA History'!B:B,A58)</f>
        <v>81</v>
      </c>
      <c r="Q58" s="2">
        <f>SUMIFS('BA History'!G:G,'BA History'!B:B,A58)-P58</f>
        <v>87</v>
      </c>
      <c r="R58" s="89">
        <f>LOOKUP(2, 1/('BA History'!$B:$B=A58), 'BA History'!$AJ:$AJ)</f>
        <v>0.47899999999999998</v>
      </c>
      <c r="S58" s="2">
        <f>COUNTIFS('BA History'!$B:$B,$A$58,'BA History'!K:K, 1)</f>
        <v>2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1221</v>
      </c>
      <c r="G59" s="66">
        <f>AVERAGEIFS('BA History'!C:C,'BA History'!B:B,A59)</f>
        <v>24.918367346938776</v>
      </c>
      <c r="H59" s="66">
        <f t="array" ref="H59">MEDIAN(IF('BA History'!B:B=A59, 'BA History'!C:C))</f>
        <v>27</v>
      </c>
      <c r="I59" s="35">
        <f t="array" ref="I59">MAX(IF('BA History'!B:B=A59, 'BA History'!C:C))</f>
        <v>43</v>
      </c>
      <c r="J59" s="34">
        <f>COUNTIFS('BA History'!B:B,A59,'BA History'!D:D, 1)</f>
        <v>19</v>
      </c>
      <c r="K59" s="2">
        <f>COUNTIFS('BA History'!B:B,A59,'BA History'!D:D, 0)</f>
        <v>30</v>
      </c>
      <c r="L59" s="75">
        <f>LOOKUP(2, 1/('BA History'!$B:$B=A59), 'BA History'!$AK:$AK)</f>
        <v>0.38775510204081631</v>
      </c>
      <c r="M59" s="34">
        <f>SUMIFS('BA History'!F:F,'BA History'!B:B,A59)</f>
        <v>92</v>
      </c>
      <c r="N59" s="2">
        <f>SUMIFS('BA History'!E:E,'BA History'!B:B,A59)-M59</f>
        <v>112</v>
      </c>
      <c r="O59" s="75">
        <f>LOOKUP(2, 1/('BA History'!$B:$B=A59), 'BA History'!$AI:$AI)</f>
        <v>0.45</v>
      </c>
      <c r="P59" s="34">
        <f>SUMIFS('BA History'!H:H,'BA History'!B:B,A59)</f>
        <v>403</v>
      </c>
      <c r="Q59" s="2">
        <f>SUMIFS('BA History'!G:G,'BA History'!B:B,A59)-P59</f>
        <v>443</v>
      </c>
      <c r="R59" s="89">
        <f>LOOKUP(2, 1/('BA History'!$B:$B=A59), 'BA History'!$AJ:$AJ)</f>
        <v>0.47183673469387744</v>
      </c>
      <c r="S59" s="2">
        <f>COUNTIFS('BA History'!$B:$B,$A$59,'BA History'!K:K, 1)</f>
        <v>5</v>
      </c>
      <c r="T59" s="2">
        <f>COUNTIFS('BA History'!$B:$B,$A$59,'BA History'!L:L, 1)</f>
        <v>8</v>
      </c>
      <c r="U59" s="2">
        <f>COUNTIFS('BA History'!$B:$B,$A$59,'BA History'!M:M, 1)</f>
        <v>9</v>
      </c>
      <c r="V59" s="2">
        <f>COUNTIFS('BA History'!$B:$B,$A$59,'BA History'!N:N, 1)</f>
        <v>10</v>
      </c>
      <c r="W59" s="2">
        <f>COUNTIFS('BA History'!$B:$B,$A$59,'BA History'!O:O, 1)</f>
        <v>2</v>
      </c>
      <c r="X59" s="2">
        <f>COUNTIFS('BA History'!$B:$B,$A$59,'BA History'!P:P, 1)</f>
        <v>0</v>
      </c>
      <c r="Y59" s="2">
        <f>COUNTIFS('BA History'!$B:$B,$A$59,'BA History'!Q:Q, 1)</f>
        <v>2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3</v>
      </c>
      <c r="AD59" s="2">
        <f>COUNTIFS('BA History'!$B:$B,$A$59,'BA History'!V:V, 1)</f>
        <v>3</v>
      </c>
      <c r="AE59" s="2">
        <f>COUNTIFS('BA History'!$B:$B,$A$59,'BA History'!W:W, 1)</f>
        <v>2</v>
      </c>
      <c r="AF59" s="2">
        <f>COUNTIFS('BA History'!$B:$B,$A$59,'BA History'!X:X, 1)</f>
        <v>0</v>
      </c>
      <c r="AG59" s="2">
        <f>COUNTIFS('BA History'!$B:$B,$A$59,'BA History'!Y:Y, 1)</f>
        <v>11</v>
      </c>
      <c r="AH59" s="2">
        <f>COUNTIFS('BA History'!$B:$B,$A$59,'BA History'!Z:Z, 1)</f>
        <v>6</v>
      </c>
      <c r="AI59" s="2">
        <f>COUNTIFS('BA History'!$B:$B,$A59,'BA History'!AA:AA, 1)</f>
        <v>1</v>
      </c>
      <c r="AJ59" s="2">
        <f>COUNTIFS('BA History'!$B:$B,$A$59,'BA History'!AB:AB, 1)</f>
        <v>2</v>
      </c>
      <c r="AK59" s="2">
        <f>COUNTIFS('BA History'!$B:$B,$A$59,'BA History'!AC:AC, 1)</f>
        <v>12</v>
      </c>
      <c r="AL59" s="2">
        <f>COUNTIFS('BA History'!$B:$B,$A$59,'BA History'!AD:AD, 1)</f>
        <v>8</v>
      </c>
      <c r="AM59" s="2">
        <f>COUNTIFS('BA History'!$B:$B,$A$59,'BA History'!AE:AE, 1)</f>
        <v>6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883</v>
      </c>
      <c r="G60" s="66">
        <f>AVERAGEIFS('BA History'!C:C,'BA History'!B:B,A60)</f>
        <v>16.351851851851851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30</v>
      </c>
      <c r="K60" s="2">
        <f>COUNTIFS('BA History'!B:B,A60,'BA History'!D:D, 0)</f>
        <v>24</v>
      </c>
      <c r="L60" s="75">
        <f>LOOKUP(2, 1/('BA History'!$B:$B=A60), 'BA History'!$AK:$AK)</f>
        <v>0.55555555555555558</v>
      </c>
      <c r="M60" s="34">
        <f>SUMIFS('BA History'!F:F,'BA History'!B:B,A60)</f>
        <v>112</v>
      </c>
      <c r="N60" s="2">
        <f>SUMIFS('BA History'!E:E,'BA History'!B:B,A60)-M60</f>
        <v>106</v>
      </c>
      <c r="O60" s="75">
        <f>LOOKUP(2, 1/('BA History'!$B:$B=A60), 'BA History'!$AI:$AI)</f>
        <v>0.50740740740740753</v>
      </c>
      <c r="P60" s="34">
        <f>SUMIFS('BA History'!H:H,'BA History'!B:B,A60)</f>
        <v>466</v>
      </c>
      <c r="Q60" s="2">
        <f>SUMIFS('BA History'!G:G,'BA History'!B:B,A60)-P60</f>
        <v>440</v>
      </c>
      <c r="R60" s="89">
        <f>LOOKUP(2, 1/('BA History'!$B:$B=A60), 'BA History'!$AJ:$AJ)</f>
        <v>0.51111111111111107</v>
      </c>
      <c r="S60" s="2">
        <f>COUNTIFS('BA History'!$B:$B,$A$60,'BA History'!K:K, 1)</f>
        <v>6</v>
      </c>
      <c r="T60" s="2">
        <f>COUNTIFS('BA History'!$B:$B,$A$60,'BA History'!L:L, 1)</f>
        <v>3</v>
      </c>
      <c r="U60" s="2">
        <f>COUNTIFS('BA History'!$B:$B,$A$60,'BA History'!M:M, 1)</f>
        <v>15</v>
      </c>
      <c r="V60" s="2">
        <f>COUNTIFS('BA History'!$B:$B,$A$60,'BA History'!N:N, 1)</f>
        <v>13</v>
      </c>
      <c r="W60" s="2">
        <f>COUNTIFS('BA History'!$B:$B,$A$60,'BA History'!O:O, 1)</f>
        <v>4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2</v>
      </c>
      <c r="AD60" s="2">
        <f>COUNTIFS('BA History'!$B:$B,$A$60,'BA History'!V:V, 1)</f>
        <v>3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13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9</v>
      </c>
      <c r="AL60" s="2">
        <f>COUNTIFS('BA History'!$B:$B,$A$60,'BA History'!AD:AD, 1)</f>
        <v>5</v>
      </c>
      <c r="AM60" s="2">
        <f>COUNTIFS('BA History'!$B:$B,$A$60,'BA History'!AE:AE, 1)</f>
        <v>11</v>
      </c>
      <c r="AN60" s="2">
        <f>COUNTIFS('BA History'!$B:$B,$A$60,'BA History'!AF:AF, 1)</f>
        <v>1</v>
      </c>
      <c r="AO60" s="2">
        <f>COUNTIFS('BA History'!$B:$B,$A$60,'BA History'!AG:AG, 1)</f>
        <v>8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386"/>
  <sheetViews>
    <sheetView workbookViewId="0">
      <pane xSplit="2" ySplit="1" topLeftCell="C1359" activePane="bottomRight" state="frozen"/>
      <selection pane="topRight" activeCell="C1" sqref="C1"/>
      <selection pane="bottomLeft" activeCell="A2" sqref="A2"/>
      <selection pane="bottomRight" activeCell="AG1386" sqref="A1373:AG1386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  <row r="1267" spans="1:37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G1267">
        <v>1</v>
      </c>
      <c r="AH1267" s="86">
        <f>AVERAGEIFS($C$2:C1267, $B$2:B1267, B1267)</f>
        <v>27.285714285714285</v>
      </c>
      <c r="AI1267" s="86">
        <f>AVERAGEIFS($I$2:I1267, $B$2:B1267, B1267)</f>
        <v>0.50238095238095237</v>
      </c>
      <c r="AJ1267" s="86">
        <f>AVERAGEIFS($J$2:J1267, $B$2:B1267, B1267)</f>
        <v>0.50309523809523815</v>
      </c>
      <c r="AK1267" s="86">
        <f>AVERAGEIFS($D$2:D1267, $B$2:B1267, B1267)</f>
        <v>0.52380952380952384</v>
      </c>
    </row>
    <row r="1268" spans="1:37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1</v>
      </c>
      <c r="AF1268">
        <v>0</v>
      </c>
      <c r="AG1268">
        <v>1</v>
      </c>
      <c r="AH1268" s="86">
        <f>AVERAGEIFS($C$2:C1268, $B$2:B1268, B1268)</f>
        <v>18.916666666666668</v>
      </c>
      <c r="AI1268" s="86">
        <f>AVERAGEIFS($I$2:I1268, $B$2:B1268, B1268)</f>
        <v>0.49583333333333329</v>
      </c>
      <c r="AJ1268" s="86">
        <f>AVERAGEIFS($J$2:J1268, $B$2:B1268, B1268)</f>
        <v>0.49916666666666659</v>
      </c>
      <c r="AK1268" s="86">
        <f>AVERAGEIFS($D$2:D1268, $B$2:B1268, B1268)</f>
        <v>0.41666666666666669</v>
      </c>
    </row>
    <row r="1269" spans="1:37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1</v>
      </c>
      <c r="AF1269">
        <v>0</v>
      </c>
      <c r="AG1269">
        <v>1</v>
      </c>
      <c r="AH1269" s="86">
        <f>AVERAGEIFS($C$2:C1269, $B$2:B1269, B1269)</f>
        <v>15.024390243902438</v>
      </c>
      <c r="AI1269" s="86">
        <f>AVERAGEIFS($I$2:I1269, $B$2:B1269, B1269)</f>
        <v>0.56951219512195128</v>
      </c>
      <c r="AJ1269" s="86">
        <f>AVERAGEIFS($J$2:J1269, $B$2:B1269, B1269)</f>
        <v>0.53390243902439027</v>
      </c>
      <c r="AK1269" s="86">
        <f>AVERAGEIFS($D$2:D1269, $B$2:B1269, B1269)</f>
        <v>0.56097560975609762</v>
      </c>
    </row>
    <row r="1270" spans="1:37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1</v>
      </c>
      <c r="AF1270">
        <v>0</v>
      </c>
      <c r="AG1270">
        <v>1</v>
      </c>
      <c r="AH1270" s="86">
        <f>AVERAGEIFS($C$2:C1270, $B$2:B1270, B1270)</f>
        <v>14.833333333333334</v>
      </c>
      <c r="AI1270" s="86">
        <f>AVERAGEIFS($I$2:I1270, $B$2:B1270, B1270)</f>
        <v>0.61249999999999993</v>
      </c>
      <c r="AJ1270" s="86">
        <f>AVERAGEIFS($J$2:J1270, $B$2:B1270, B1270)</f>
        <v>0.52583333333333326</v>
      </c>
      <c r="AK1270" s="86">
        <f>AVERAGEIFS($D$2:D1270, $B$2:B1270, B1270)</f>
        <v>0.58333333333333337</v>
      </c>
    </row>
    <row r="1271" spans="1:37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1</v>
      </c>
      <c r="AH1271" s="86">
        <f>AVERAGEIFS($C$2:C1271, $B$2:B1271, B1271)</f>
        <v>16.581818181818182</v>
      </c>
      <c r="AI1271" s="86">
        <f>AVERAGEIFS($I$2:I1271, $B$2:B1271, B1271)</f>
        <v>0.52999999999999992</v>
      </c>
      <c r="AJ1271" s="86">
        <f>AVERAGEIFS($J$2:J1271, $B$2:B1271, B1271)</f>
        <v>0.52745454545454551</v>
      </c>
      <c r="AK1271" s="86">
        <f>AVERAGEIFS($D$2:D1271, $B$2:B1271, B1271)</f>
        <v>0.58181818181818179</v>
      </c>
    </row>
    <row r="1272" spans="1:37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1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 s="86">
        <f>AVERAGEIFS($C$2:C1272, $B$2:B1272, B1272)</f>
        <v>3.3333333333333335</v>
      </c>
      <c r="AI1272" s="86">
        <f>AVERAGEIFS($I$2:I1272, $B$2:B1272, B1272)</f>
        <v>0.68333333333333324</v>
      </c>
      <c r="AJ1272" s="86">
        <f>AVERAGEIFS($J$2:J1272, $B$2:B1272, B1272)</f>
        <v>0.57499999999999996</v>
      </c>
      <c r="AK1272" s="86">
        <f>AVERAGEIFS($D$2:D1272, $B$2:B1272, B1272)</f>
        <v>0.83333333333333337</v>
      </c>
    </row>
    <row r="1273" spans="1:37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s="86">
        <f>AVERAGEIFS($C$2:C1273, $B$2:B1273, B1273)</f>
        <v>24.627450980392158</v>
      </c>
      <c r="AI1273" s="86">
        <f>AVERAGEIFS($I$2:I1273, $B$2:B1273, B1273)</f>
        <v>0.49862745098039202</v>
      </c>
      <c r="AJ1273" s="86">
        <f>AVERAGEIFS($J$2:J1273, $B$2:B1273, B1273)</f>
        <v>0.52588235294117647</v>
      </c>
      <c r="AK1273" s="86">
        <f>AVERAGEIFS($D$2:D1273, $B$2:B1273, B1273)</f>
        <v>0.45098039215686275</v>
      </c>
    </row>
    <row r="1274" spans="1:37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 s="86">
        <f>AVERAGEIFS($C$2:C1274, $B$2:B1274, B1274)</f>
        <v>18.160714285714285</v>
      </c>
      <c r="AI1274" s="86">
        <f>AVERAGEIFS($I$2:I1274, $B$2:B1274, B1274)</f>
        <v>0.46785714285714292</v>
      </c>
      <c r="AJ1274" s="86">
        <f>AVERAGEIFS($J$2:J1274, $B$2:B1274, B1274)</f>
        <v>0.46571428571428558</v>
      </c>
      <c r="AK1274" s="86">
        <f>AVERAGEIFS($D$2:D1274, $B$2:B1274, B1274)</f>
        <v>0.48214285714285715</v>
      </c>
    </row>
    <row r="1275" spans="1:37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 s="86">
        <f>AVERAGEIFS($C$2:C1275, $B$2:B1275, B1275)</f>
        <v>13.483870967741936</v>
      </c>
      <c r="AI1275" s="86">
        <f>AVERAGEIFS($I$2:I1275, $B$2:B1275, B1275)</f>
        <v>0.45580645161290317</v>
      </c>
      <c r="AJ1275" s="86">
        <f>AVERAGEIFS($J$2:J1275, $B$2:B1275, B1275)</f>
        <v>0.46838709677419349</v>
      </c>
      <c r="AK1275" s="86">
        <f>AVERAGEIFS($D$2:D1275, $B$2:B1275, B1275)</f>
        <v>0.41935483870967744</v>
      </c>
    </row>
    <row r="1276" spans="1:37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 s="86">
        <f>AVERAGEIFS($C$2:C1276, $B$2:B1276, B1276)</f>
        <v>11.571428571428571</v>
      </c>
      <c r="AI1276" s="86">
        <f>AVERAGEIFS($I$2:I1276, $B$2:B1276, B1276)</f>
        <v>0.34285714285714286</v>
      </c>
      <c r="AJ1276" s="86">
        <f>AVERAGEIFS($J$2:J1276, $B$2:B1276, B1276)</f>
        <v>0.4121428571428572</v>
      </c>
      <c r="AK1276" s="86">
        <f>AVERAGEIFS($D$2:D1276, $B$2:B1276, B1276)</f>
        <v>0.35714285714285715</v>
      </c>
    </row>
    <row r="1277" spans="1:37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s="86">
        <f>AVERAGEIFS($C$2:C1277, $B$2:B1277, B1277)</f>
        <v>11.3</v>
      </c>
      <c r="AI1277" s="86">
        <f>AVERAGEIFS($I$2:I1277, $B$2:B1277, B1277)</f>
        <v>0.43000000000000005</v>
      </c>
      <c r="AJ1277" s="86">
        <f>AVERAGEIFS($J$2:J1277, $B$2:B1277, B1277)</f>
        <v>0.47899999999999998</v>
      </c>
      <c r="AK1277" s="86">
        <f>AVERAGEIFS($D$2:D1277, $B$2:B1277, B1277)</f>
        <v>0.5</v>
      </c>
    </row>
    <row r="1278" spans="1:37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 s="86">
        <f>AVERAGEIFS($C$2:C1278, $B$2:B1278, B1278)</f>
        <v>16.351851851851851</v>
      </c>
      <c r="AI1278" s="86">
        <f>AVERAGEIFS($I$2:I1278, $B$2:B1278, B1278)</f>
        <v>0.50740740740740753</v>
      </c>
      <c r="AJ1278" s="86">
        <f>AVERAGEIFS($J$2:J1278, $B$2:B1278, B1278)</f>
        <v>0.51111111111111107</v>
      </c>
      <c r="AK1278" s="86">
        <f>AVERAGEIFS($D$2:D1278, $B$2:B1278, B1278)</f>
        <v>0.55555555555555558</v>
      </c>
    </row>
    <row r="1279" spans="1:37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0</v>
      </c>
      <c r="AG1279">
        <v>1</v>
      </c>
      <c r="AH1279" s="86">
        <f>AVERAGEIFS($C$2:C1279, $B$2:B1279, B1279)</f>
        <v>15.5</v>
      </c>
      <c r="AI1279" s="86">
        <f>AVERAGEIFS($I$2:I1279, $B$2:B1279, B1279)</f>
        <v>0.47631578947368425</v>
      </c>
      <c r="AJ1279" s="86">
        <f>AVERAGEIFS($J$2:J1279, $B$2:B1279, B1279)</f>
        <v>0.47842105263157886</v>
      </c>
      <c r="AK1279" s="86">
        <f>AVERAGEIFS($D$2:D1279, $B$2:B1279, B1279)</f>
        <v>0.52631578947368418</v>
      </c>
    </row>
    <row r="1280" spans="1:37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 s="86">
        <f>AVERAGEIFS($C$2:C1280, $B$2:B1280, B1280)</f>
        <v>23.62962962962963</v>
      </c>
      <c r="AI1280" s="86">
        <f>AVERAGEIFS($I$2:I1280, $B$2:B1280, B1280)</f>
        <v>0.56148148148148158</v>
      </c>
      <c r="AJ1280" s="86">
        <f>AVERAGEIFS($J$2:J1280, $B$2:B1280, B1280)</f>
        <v>0.52987654320987643</v>
      </c>
      <c r="AK1280" s="86">
        <f>AVERAGEIFS($D$2:D1280, $B$2:B1280, B1280)</f>
        <v>0.62962962962962965</v>
      </c>
    </row>
    <row r="1281" spans="1:37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1</v>
      </c>
      <c r="AH1281" s="86">
        <f>AVERAGEIFS($C$2:C1281, $B$2:B1281, B1281)</f>
        <v>19.206896551724139</v>
      </c>
      <c r="AI1281" s="86">
        <f>AVERAGEIFS($I$2:I1281, $B$2:B1281, B1281)</f>
        <v>0.49827586206896551</v>
      </c>
      <c r="AJ1281" s="86">
        <f>AVERAGEIFS($J$2:J1281, $B$2:B1281, B1281)</f>
        <v>0.50517241379310351</v>
      </c>
      <c r="AK1281" s="86">
        <f>AVERAGEIFS($D$2:D1281, $B$2:B1281, B1281)</f>
        <v>0.62068965517241381</v>
      </c>
    </row>
    <row r="1282" spans="1:37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0</v>
      </c>
      <c r="AG1282">
        <v>1</v>
      </c>
      <c r="AH1282" s="86">
        <f>AVERAGEIFS($C$2:C1282, $B$2:B1282, B1282)</f>
        <v>15.5</v>
      </c>
      <c r="AI1282" s="86">
        <f>AVERAGEIFS($I$2:I1282, $B$2:B1282, B1282)</f>
        <v>0.40416666666666662</v>
      </c>
      <c r="AJ1282" s="86">
        <f>AVERAGEIFS($J$2:J1282, $B$2:B1282, B1282)</f>
        <v>0.47833333333333333</v>
      </c>
      <c r="AK1282" s="86">
        <f>AVERAGEIFS($D$2:D1282, $B$2:B1282, B1282)</f>
        <v>0.33333333333333331</v>
      </c>
    </row>
    <row r="1283" spans="1:37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1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1</v>
      </c>
      <c r="AH1283" s="86">
        <f>AVERAGEIFS($C$2:C1283, $B$2:B1283, B1283)</f>
        <v>15.238095238095237</v>
      </c>
      <c r="AI1283" s="86">
        <f>AVERAGEIFS($I$2:I1283, $B$2:B1283, B1283)</f>
        <v>0.57023809523809532</v>
      </c>
      <c r="AJ1283" s="86">
        <f>AVERAGEIFS($J$2:J1283, $B$2:B1283, B1283)</f>
        <v>0.53309523809523807</v>
      </c>
      <c r="AK1283" s="86">
        <f>AVERAGEIFS($D$2:D1283, $B$2:B1283, B1283)</f>
        <v>0.5714285714285714</v>
      </c>
    </row>
    <row r="1284" spans="1:37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1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0</v>
      </c>
      <c r="AG1284">
        <v>1</v>
      </c>
      <c r="AH1284" s="86">
        <f>AVERAGEIFS($C$2:C1284, $B$2:B1284, B1284)</f>
        <v>13.611111111111111</v>
      </c>
      <c r="AI1284" s="86">
        <f>AVERAGEIFS($I$2:I1284, $B$2:B1284, B1284)</f>
        <v>0.50277777777777777</v>
      </c>
      <c r="AJ1284" s="86">
        <f>AVERAGEIFS($J$2:J1284, $B$2:B1284, B1284)</f>
        <v>0.496111111111111</v>
      </c>
      <c r="AK1284" s="86">
        <f>AVERAGEIFS($D$2:D1284, $B$2:B1284, B1284)</f>
        <v>0.55555555555555558</v>
      </c>
    </row>
    <row r="1285" spans="1:37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 s="86">
        <f>AVERAGEIFS($C$2:C1285, $B$2:B1285, B1285)</f>
        <v>18.087719298245613</v>
      </c>
      <c r="AI1285" s="86">
        <f>AVERAGEIFS($I$2:I1285, $B$2:B1285, B1285)</f>
        <v>0.46666666666666667</v>
      </c>
      <c r="AJ1285" s="86">
        <f>AVERAGEIFS($J$2:J1285, $B$2:B1285, B1285)</f>
        <v>0.46631578947368407</v>
      </c>
      <c r="AK1285" s="86">
        <f>AVERAGEIFS($D$2:D1285, $B$2:B1285, B1285)</f>
        <v>0.47368421052631576</v>
      </c>
    </row>
    <row r="1286" spans="1:37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 s="86">
        <f>AVERAGEIFS($C$2:C1286, $B$2:B1286, B1286)</f>
        <v>24.71153846153846</v>
      </c>
      <c r="AI1286" s="86">
        <f>AVERAGEIFS($I$2:I1286, $B$2:B1286, B1286)</f>
        <v>0.49673076923076909</v>
      </c>
      <c r="AJ1286" s="86">
        <f>AVERAGEIFS($J$2:J1286, $B$2:B1286, B1286)</f>
        <v>0.52538461538461534</v>
      </c>
      <c r="AK1286" s="86">
        <f>AVERAGEIFS($D$2:D1286, $B$2:B1286, B1286)</f>
        <v>0.44230769230769229</v>
      </c>
    </row>
    <row r="1287" spans="1:37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 s="86">
        <f>AVERAGEIFS($C$2:C1287, $B$2:B1287, B1287)</f>
        <v>19.524999999999999</v>
      </c>
      <c r="AI1287" s="86">
        <f>AVERAGEIFS($I$2:I1287, $B$2:B1287, B1287)</f>
        <v>0.5442499999999999</v>
      </c>
      <c r="AJ1287" s="86">
        <f>AVERAGEIFS($J$2:J1287, $B$2:B1287, B1287)</f>
        <v>0.52175000000000016</v>
      </c>
      <c r="AK1287" s="86">
        <f>AVERAGEIFS($D$2:D1287, $B$2:B1287, B1287)</f>
        <v>0.6</v>
      </c>
    </row>
    <row r="1288" spans="1:37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 s="86">
        <f>AVERAGEIFS($C$2:C1288, $B$2:B1288, B1288)</f>
        <v>16.387096774193548</v>
      </c>
      <c r="AI1288" s="86">
        <f>AVERAGEIFS($I$2:I1288, $B$2:B1288, B1288)</f>
        <v>0.4629032258064516</v>
      </c>
      <c r="AJ1288" s="86">
        <f>AVERAGEIFS($J$2:J1288, $B$2:B1288, B1288)</f>
        <v>0.48806451612903229</v>
      </c>
      <c r="AK1288" s="86">
        <f>AVERAGEIFS($D$2:D1288, $B$2:B1288, B1288)</f>
        <v>0.38709677419354838</v>
      </c>
    </row>
    <row r="1289" spans="1:37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 s="86">
        <f>AVERAGEIFS($C$2:C1289, $B$2:B1289, B1289)</f>
        <v>11.8</v>
      </c>
      <c r="AI1289" s="86">
        <f>AVERAGEIFS($I$2:I1289, $B$2:B1289, B1289)</f>
        <v>0.34666666666666668</v>
      </c>
      <c r="AJ1289" s="86">
        <f>AVERAGEIFS($J$2:J1289, $B$2:B1289, B1289)</f>
        <v>0.41800000000000004</v>
      </c>
      <c r="AK1289" s="86">
        <f>AVERAGEIFS($D$2:D1289, $B$2:B1289, B1289)</f>
        <v>0.33333333333333331</v>
      </c>
    </row>
    <row r="1290" spans="1:37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 s="86">
        <f>AVERAGEIFS($C$2:C1290, $B$2:B1290, B1290)</f>
        <v>13.5</v>
      </c>
      <c r="AI1290" s="86">
        <f>AVERAGEIFS($I$2:I1290, $B$2:B1290, B1290)</f>
        <v>0.2</v>
      </c>
      <c r="AJ1290" s="86">
        <f>AVERAGEIFS($J$2:J1290, $B$2:B1290, B1290)</f>
        <v>0.3</v>
      </c>
      <c r="AK1290" s="86">
        <f>AVERAGEIFS($D$2:D1290, $B$2:B1290, B1290)</f>
        <v>0</v>
      </c>
    </row>
    <row r="1291" spans="1:37" x14ac:dyDescent="0.25">
      <c r="A1291" s="85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1</v>
      </c>
      <c r="AF1291">
        <v>0</v>
      </c>
      <c r="AG1291">
        <v>0</v>
      </c>
      <c r="AH1291" s="86">
        <f>AVERAGEIFS($C$2:C1291, $B$2:B1291, B1291)</f>
        <v>27.11627906976744</v>
      </c>
      <c r="AI1291" s="86">
        <f>AVERAGEIFS($I$2:I1291, $B$2:B1291, B1291)</f>
        <v>0.49651162790697678</v>
      </c>
      <c r="AJ1291" s="86">
        <f>AVERAGEIFS($J$2:J1291, $B$2:B1291, B1291)</f>
        <v>0.4995348837209303</v>
      </c>
      <c r="AK1291" s="86">
        <f>AVERAGEIFS($D$2:D1291, $B$2:B1291, B1291)</f>
        <v>0.51162790697674421</v>
      </c>
    </row>
    <row r="1292" spans="1:37" x14ac:dyDescent="0.25">
      <c r="A1292" s="85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 s="86">
        <f>AVERAGEIFS($C$2:C1292, $B$2:B1292, B1292)</f>
        <v>24.754716981132077</v>
      </c>
      <c r="AI1292" s="86">
        <f>AVERAGEIFS($I$2:I1292, $B$2:B1292, B1292)</f>
        <v>0.49207547169811305</v>
      </c>
      <c r="AJ1292" s="86">
        <f>AVERAGEIFS($J$2:J1292, $B$2:B1292, B1292)</f>
        <v>0.52207547169811319</v>
      </c>
      <c r="AK1292" s="86">
        <f>AVERAGEIFS($D$2:D1292, $B$2:B1292, B1292)</f>
        <v>0.43396226415094341</v>
      </c>
    </row>
    <row r="1293" spans="1:37" x14ac:dyDescent="0.25">
      <c r="A1293" s="85">
        <v>46170</v>
      </c>
      <c r="B1293" t="s">
        <v>150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1</v>
      </c>
      <c r="AF1293">
        <v>0</v>
      </c>
      <c r="AG1293">
        <v>0</v>
      </c>
      <c r="AH1293" s="86">
        <f>AVERAGEIFS($C$2:C1293, $B$2:B1293, B1293)</f>
        <v>19.3</v>
      </c>
      <c r="AI1293" s="86">
        <f>AVERAGEIFS($I$2:I1293, $B$2:B1293, B1293)</f>
        <v>0.57166666666666666</v>
      </c>
      <c r="AJ1293" s="86">
        <f>AVERAGEIFS($J$2:J1293, $B$2:B1293, B1293)</f>
        <v>0.55466666666666675</v>
      </c>
      <c r="AK1293" s="86">
        <f>AVERAGEIFS($D$2:D1293, $B$2:B1293, B1293)</f>
        <v>0.6</v>
      </c>
    </row>
    <row r="1294" spans="1:37" x14ac:dyDescent="0.25">
      <c r="A1294" s="85">
        <v>46170</v>
      </c>
      <c r="B1294" t="s">
        <v>40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 s="86">
        <f>AVERAGEIFS($C$2:C1294, $B$2:B1294, B1294)</f>
        <v>18.458333333333332</v>
      </c>
      <c r="AI1294" s="86">
        <f>AVERAGEIFS($I$2:I1294, $B$2:B1294, B1294)</f>
        <v>0.47499999999999987</v>
      </c>
      <c r="AJ1294" s="86">
        <f>AVERAGEIFS($J$2:J1294, $B$2:B1294, B1294)</f>
        <v>0.48041666666666683</v>
      </c>
      <c r="AK1294" s="86">
        <f>AVERAGEIFS($D$2:D1294, $B$2:B1294, B1294)</f>
        <v>0.41666666666666669</v>
      </c>
    </row>
    <row r="1295" spans="1:37" x14ac:dyDescent="0.25">
      <c r="A1295" s="85">
        <v>46170</v>
      </c>
      <c r="B1295" t="s">
        <v>42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1</v>
      </c>
      <c r="AF1295">
        <v>0</v>
      </c>
      <c r="AG1295">
        <v>0</v>
      </c>
      <c r="AH1295" s="86">
        <f>AVERAGEIFS($C$2:C1295, $B$2:B1295, B1295)</f>
        <v>17.96551724137931</v>
      </c>
      <c r="AI1295" s="86">
        <f>AVERAGEIFS($I$2:I1295, $B$2:B1295, B1295)</f>
        <v>0.46293103448275863</v>
      </c>
      <c r="AJ1295" s="86">
        <f>AVERAGEIFS($J$2:J1295, $B$2:B1295, B1295)</f>
        <v>0.4643103448275861</v>
      </c>
      <c r="AK1295" s="86">
        <f>AVERAGEIFS($D$2:D1295, $B$2:B1295, B1295)</f>
        <v>0.46551724137931033</v>
      </c>
    </row>
    <row r="1296" spans="1:37" x14ac:dyDescent="0.25">
      <c r="A1296" s="85">
        <v>46170</v>
      </c>
      <c r="B1296" t="s">
        <v>152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1</v>
      </c>
      <c r="AF1296">
        <v>0</v>
      </c>
      <c r="AG1296">
        <v>0</v>
      </c>
      <c r="AH1296" s="86">
        <f>AVERAGEIFS($C$2:C1296, $B$2:B1296, B1296)</f>
        <v>15.461538461538462</v>
      </c>
      <c r="AI1296" s="86">
        <f>AVERAGEIFS($I$2:I1296, $B$2:B1296, B1296)</f>
        <v>0.3923076923076923</v>
      </c>
      <c r="AJ1296" s="86">
        <f>AVERAGEIFS($J$2:J1296, $B$2:B1296, B1296)</f>
        <v>0.46846153846153843</v>
      </c>
      <c r="AK1296" s="86">
        <f>AVERAGEIFS($D$2:D1296, $B$2:B1296, B1296)</f>
        <v>0.30769230769230771</v>
      </c>
    </row>
    <row r="1297" spans="1:37" x14ac:dyDescent="0.25">
      <c r="A1297" s="85">
        <v>46170</v>
      </c>
      <c r="B1297" t="s">
        <v>161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1</v>
      </c>
      <c r="AF1297">
        <v>0</v>
      </c>
      <c r="AG1297">
        <v>0</v>
      </c>
      <c r="AH1297" s="86">
        <f>AVERAGEIFS($C$2:C1297, $B$2:B1297, B1297)</f>
        <v>10.941176470588236</v>
      </c>
      <c r="AI1297" s="86">
        <f>AVERAGEIFS($I$2:I1297, $B$2:B1297, B1297)</f>
        <v>0.49117647058823527</v>
      </c>
      <c r="AJ1297" s="86">
        <f>AVERAGEIFS($J$2:J1297, $B$2:B1297, B1297)</f>
        <v>0.48882352941176466</v>
      </c>
      <c r="AK1297" s="86">
        <f>AVERAGEIFS($D$2:D1297, $B$2:B1297, B1297)</f>
        <v>0.52941176470588236</v>
      </c>
    </row>
    <row r="1298" spans="1:37" x14ac:dyDescent="0.25">
      <c r="A1298" s="85">
        <v>46170</v>
      </c>
      <c r="B1298" t="s">
        <v>148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1</v>
      </c>
      <c r="AF1298">
        <v>0</v>
      </c>
      <c r="AG1298">
        <v>0</v>
      </c>
      <c r="AH1298" s="86">
        <f>AVERAGEIFS($C$2:C1298, $B$2:B1298, B1298)</f>
        <v>9.2222222222222214</v>
      </c>
      <c r="AI1298" s="86">
        <f>AVERAGEIFS($I$2:I1298, $B$2:B1298, B1298)</f>
        <v>0.34444444444444444</v>
      </c>
      <c r="AJ1298" s="86">
        <f>AVERAGEIFS($J$2:J1298, $B$2:B1298, B1298)</f>
        <v>0.43333333333333335</v>
      </c>
      <c r="AK1298" s="86">
        <f>AVERAGEIFS($D$2:D1298, $B$2:B1298, B1298)</f>
        <v>0.33333333333333331</v>
      </c>
    </row>
    <row r="1299" spans="1:37" x14ac:dyDescent="0.25">
      <c r="A1299" s="85">
        <v>46170</v>
      </c>
      <c r="B1299" t="s">
        <v>54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1</v>
      </c>
      <c r="AD1299">
        <v>0</v>
      </c>
      <c r="AE1299">
        <v>0</v>
      </c>
      <c r="AF1299">
        <v>0</v>
      </c>
      <c r="AG1299">
        <v>0</v>
      </c>
      <c r="AH1299" s="86">
        <f>AVERAGEIFS($C$2:C1299, $B$2:B1299, B1299)</f>
        <v>23.62857142857143</v>
      </c>
      <c r="AI1299" s="86">
        <f>AVERAGEIFS($I$2:I1299, $B$2:B1299, B1299)</f>
        <v>0.53457142857142859</v>
      </c>
      <c r="AJ1299" s="86">
        <f>AVERAGEIFS($J$2:J1299, $B$2:B1299, B1299)</f>
        <v>0.51142857142857145</v>
      </c>
      <c r="AK1299" s="86">
        <f>AVERAGEIFS($D$2:D1299, $B$2:B1299, B1299)</f>
        <v>0.55714285714285716</v>
      </c>
    </row>
    <row r="1300" spans="1:37" x14ac:dyDescent="0.25">
      <c r="A1300" s="85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1</v>
      </c>
      <c r="AD1300">
        <v>0</v>
      </c>
      <c r="AE1300">
        <v>0</v>
      </c>
      <c r="AF1300">
        <v>0</v>
      </c>
      <c r="AG1300">
        <v>0</v>
      </c>
      <c r="AH1300" s="86">
        <f>AVERAGEIFS($C$2:C1300, $B$2:B1300, B1300)</f>
        <v>23.548780487804876</v>
      </c>
      <c r="AI1300" s="86">
        <f>AVERAGEIFS($I$2:I1300, $B$2:B1300, B1300)</f>
        <v>0.56378048780487822</v>
      </c>
      <c r="AJ1300" s="86">
        <f>AVERAGEIFS($J$2:J1300, $B$2:B1300, B1300)</f>
        <v>0.53134146341463406</v>
      </c>
      <c r="AK1300" s="86">
        <f>AVERAGEIFS($D$2:D1300, $B$2:B1300, B1300)</f>
        <v>0.63414634146341464</v>
      </c>
    </row>
    <row r="1301" spans="1:37" x14ac:dyDescent="0.25">
      <c r="A1301" s="85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1</v>
      </c>
      <c r="AD1301">
        <v>0</v>
      </c>
      <c r="AE1301">
        <v>0</v>
      </c>
      <c r="AF1301">
        <v>0</v>
      </c>
      <c r="AG1301">
        <v>0</v>
      </c>
      <c r="AH1301" s="86">
        <f>AVERAGEIFS($C$2:C1301, $B$2:B1301, B1301)</f>
        <v>25.022727272727273</v>
      </c>
      <c r="AI1301" s="86">
        <f>AVERAGEIFS($I$2:I1301, $B$2:B1301, B1301)</f>
        <v>0.46590909090909099</v>
      </c>
      <c r="AJ1301" s="86">
        <f>AVERAGEIFS($J$2:J1301, $B$2:B1301, B1301)</f>
        <v>0.47749999999999987</v>
      </c>
      <c r="AK1301" s="86">
        <f>AVERAGEIFS($D$2:D1301, $B$2:B1301, B1301)</f>
        <v>0.43181818181818182</v>
      </c>
    </row>
    <row r="1302" spans="1:37" x14ac:dyDescent="0.25">
      <c r="A1302" s="85">
        <v>46170</v>
      </c>
      <c r="B1302" t="s">
        <v>179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1</v>
      </c>
      <c r="AD1302">
        <v>0</v>
      </c>
      <c r="AE1302">
        <v>0</v>
      </c>
      <c r="AF1302">
        <v>0</v>
      </c>
      <c r="AG1302">
        <v>0</v>
      </c>
      <c r="AH1302" s="86">
        <f>AVERAGEIFS($C$2:C1302, $B$2:B1302, B1302)</f>
        <v>19</v>
      </c>
      <c r="AI1302" s="86">
        <f>AVERAGEIFS($I$2:I1302, $B$2:B1302, B1302)</f>
        <v>0.51538461538461533</v>
      </c>
      <c r="AJ1302" s="86">
        <f>AVERAGEIFS($J$2:J1302, $B$2:B1302, B1302)</f>
        <v>0.51076923076923075</v>
      </c>
      <c r="AK1302" s="86">
        <f>AVERAGEIFS($D$2:D1302, $B$2:B1302, B1302)</f>
        <v>0.46153846153846156</v>
      </c>
    </row>
    <row r="1303" spans="1:37" x14ac:dyDescent="0.25">
      <c r="A1303" s="85">
        <v>46170</v>
      </c>
      <c r="B1303" t="s">
        <v>113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1</v>
      </c>
      <c r="AD1303">
        <v>0</v>
      </c>
      <c r="AE1303">
        <v>0</v>
      </c>
      <c r="AF1303">
        <v>0</v>
      </c>
      <c r="AG1303">
        <v>0</v>
      </c>
      <c r="AH1303" s="86">
        <f>AVERAGEIFS($C$2:C1303, $B$2:B1303, B1303)</f>
        <v>18.551020408163264</v>
      </c>
      <c r="AI1303" s="86">
        <f>AVERAGEIFS($I$2:I1303, $B$2:B1303, B1303)</f>
        <v>0.55816326530612237</v>
      </c>
      <c r="AJ1303" s="86">
        <f>AVERAGEIFS($J$2:J1303, $B$2:B1303, B1303)</f>
        <v>0.52428571428571435</v>
      </c>
      <c r="AK1303" s="86">
        <f>AVERAGEIFS($D$2:D1303, $B$2:B1303, B1303)</f>
        <v>0.55102040816326525</v>
      </c>
    </row>
    <row r="1304" spans="1:37" x14ac:dyDescent="0.25">
      <c r="A1304" s="85">
        <v>46170</v>
      </c>
      <c r="B1304" t="s">
        <v>140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1</v>
      </c>
      <c r="AD1304">
        <v>0</v>
      </c>
      <c r="AE1304">
        <v>0</v>
      </c>
      <c r="AF1304">
        <v>0</v>
      </c>
      <c r="AG1304">
        <v>0</v>
      </c>
      <c r="AH1304" s="86">
        <f>AVERAGEIFS($C$2:C1304, $B$2:B1304, B1304)</f>
        <v>13.136363636363637</v>
      </c>
      <c r="AI1304" s="86">
        <f>AVERAGEIFS($I$2:I1304, $B$2:B1304, B1304)</f>
        <v>0.5204545454545455</v>
      </c>
      <c r="AJ1304" s="86">
        <f>AVERAGEIFS($J$2:J1304, $B$2:B1304, B1304)</f>
        <v>0.50636363636363635</v>
      </c>
      <c r="AK1304" s="86">
        <f>AVERAGEIFS($D$2:D1304, $B$2:B1304, B1304)</f>
        <v>0.5</v>
      </c>
    </row>
    <row r="1305" spans="1:37" x14ac:dyDescent="0.25">
      <c r="A1305" s="85">
        <v>46170</v>
      </c>
      <c r="B1305" t="s">
        <v>13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1</v>
      </c>
      <c r="AD1305">
        <v>0</v>
      </c>
      <c r="AE1305">
        <v>0</v>
      </c>
      <c r="AF1305">
        <v>0</v>
      </c>
      <c r="AG1305">
        <v>0</v>
      </c>
      <c r="AH1305" s="86">
        <f>AVERAGEIFS($C$2:C1305, $B$2:B1305, B1305)</f>
        <v>16.46875</v>
      </c>
      <c r="AI1305" s="86">
        <f>AVERAGEIFS($I$2:I1305, $B$2:B1305, B1305)</f>
        <v>0.47187499999999999</v>
      </c>
      <c r="AJ1305" s="86">
        <f>AVERAGEIFS($J$2:J1305, $B$2:B1305, B1305)</f>
        <v>0.49312500000000004</v>
      </c>
      <c r="AK1305" s="86">
        <f>AVERAGEIFS($D$2:D1305, $B$2:B1305, B1305)</f>
        <v>0.40625</v>
      </c>
    </row>
    <row r="1306" spans="1:37" x14ac:dyDescent="0.25">
      <c r="A1306" s="85">
        <v>46170</v>
      </c>
      <c r="B1306" t="s">
        <v>14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1</v>
      </c>
      <c r="AD1306">
        <v>0</v>
      </c>
      <c r="AE1306">
        <v>0</v>
      </c>
      <c r="AF1306">
        <v>0</v>
      </c>
      <c r="AG1306">
        <v>0</v>
      </c>
      <c r="AH1306" s="86">
        <f>AVERAGEIFS($C$2:C1306, $B$2:B1306, B1306)</f>
        <v>16.333333333333332</v>
      </c>
      <c r="AI1306" s="86">
        <f>AVERAGEIFS($I$2:I1306, $B$2:B1306, B1306)</f>
        <v>0.50916666666666666</v>
      </c>
      <c r="AJ1306" s="86">
        <f>AVERAGEIFS($J$2:J1306, $B$2:B1306, B1306)</f>
        <v>0.50791666666666668</v>
      </c>
      <c r="AK1306" s="86">
        <f>AVERAGEIFS($D$2:D1306, $B$2:B1306, B1306)</f>
        <v>0.54166666666666663</v>
      </c>
    </row>
    <row r="1307" spans="1:37" x14ac:dyDescent="0.25">
      <c r="A1307" s="85">
        <v>46171</v>
      </c>
      <c r="B1307" t="s">
        <v>54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1</v>
      </c>
      <c r="AH1307" s="86">
        <f>AVERAGEIFS($C$2:C1307, $B$2:B1307, B1307)</f>
        <v>23.52112676056338</v>
      </c>
      <c r="AI1307" s="86">
        <f>AVERAGEIFS($I$2:I1307, $B$2:B1307, B1307)</f>
        <v>0.5376056338028169</v>
      </c>
      <c r="AJ1307" s="86">
        <f>AVERAGEIFS($J$2:J1307, $B$2:B1307, B1307)</f>
        <v>0.51394366197183106</v>
      </c>
      <c r="AK1307" s="86">
        <f>AVERAGEIFS($D$2:D1307, $B$2:B1307, B1307)</f>
        <v>0.56338028169014087</v>
      </c>
    </row>
    <row r="1308" spans="1:37" x14ac:dyDescent="0.25">
      <c r="A1308" s="85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1</v>
      </c>
      <c r="AH1308" s="86">
        <f>AVERAGEIFS($C$2:C1308, $B$2:B1308, B1308)</f>
        <v>24.74074074074074</v>
      </c>
      <c r="AI1308" s="86">
        <f>AVERAGEIFS($I$2:I1308, $B$2:B1308, B1308)</f>
        <v>0.49685185185185171</v>
      </c>
      <c r="AJ1308" s="86">
        <f>AVERAGEIFS($J$2:J1308, $B$2:B1308, B1308)</f>
        <v>0.5251851851851852</v>
      </c>
      <c r="AK1308" s="86">
        <f>AVERAGEIFS($D$2:D1308, $B$2:B1308, B1308)</f>
        <v>0.44444444444444442</v>
      </c>
    </row>
    <row r="1309" spans="1:37" x14ac:dyDescent="0.25">
      <c r="A1309" s="85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1</v>
      </c>
      <c r="AH1309" s="86">
        <f>AVERAGEIFS($C$2:C1309, $B$2:B1309, B1309)</f>
        <v>23.53012048192771</v>
      </c>
      <c r="AI1309" s="86">
        <f>AVERAGEIFS($I$2:I1309, $B$2:B1309, B1309)</f>
        <v>0.5660240963855423</v>
      </c>
      <c r="AJ1309" s="86">
        <f>AVERAGEIFS($J$2:J1309, $B$2:B1309, B1309)</f>
        <v>0.53325301204819264</v>
      </c>
      <c r="AK1309" s="86">
        <f>AVERAGEIFS($D$2:D1309, $B$2:B1309, B1309)</f>
        <v>0.63855421686746983</v>
      </c>
    </row>
    <row r="1310" spans="1:37" x14ac:dyDescent="0.25">
      <c r="A1310" s="85">
        <v>46171</v>
      </c>
      <c r="B1310" t="s">
        <v>152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 s="86">
        <f>AVERAGEIFS($C$2:C1310, $B$2:B1310, B1310)</f>
        <v>14.857142857142858</v>
      </c>
      <c r="AI1310" s="86">
        <f>AVERAGEIFS($I$2:I1310, $B$2:B1310, B1310)</f>
        <v>0.41785714285714282</v>
      </c>
      <c r="AJ1310" s="86">
        <f>AVERAGEIFS($J$2:J1310, $B$2:B1310, B1310)</f>
        <v>0.48428571428571426</v>
      </c>
      <c r="AK1310" s="86">
        <f>AVERAGEIFS($D$2:D1310, $B$2:B1310, B1310)</f>
        <v>0.35714285714285715</v>
      </c>
    </row>
    <row r="1311" spans="1:37" x14ac:dyDescent="0.25">
      <c r="A1311" s="85">
        <v>46171</v>
      </c>
      <c r="B1311" t="s">
        <v>147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1</v>
      </c>
      <c r="AH1311" s="86">
        <f>AVERAGEIFS($C$2:C1311, $B$2:B1311, B1311)</f>
        <v>15.13953488372093</v>
      </c>
      <c r="AI1311" s="86">
        <f>AVERAGEIFS($I$2:I1311, $B$2:B1311, B1311)</f>
        <v>0.5744186046511629</v>
      </c>
      <c r="AJ1311" s="86">
        <f>AVERAGEIFS($J$2:J1311, $B$2:B1311, B1311)</f>
        <v>0.53674418604651164</v>
      </c>
      <c r="AK1311" s="86">
        <f>AVERAGEIFS($D$2:D1311, $B$2:B1311, B1311)</f>
        <v>0.58139534883720934</v>
      </c>
    </row>
    <row r="1312" spans="1:37" x14ac:dyDescent="0.25">
      <c r="A1312" s="85">
        <v>46171</v>
      </c>
      <c r="B1312" t="s">
        <v>115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1</v>
      </c>
      <c r="AH1312" s="86">
        <f>AVERAGEIFS($C$2:C1312, $B$2:B1312, B1312)</f>
        <v>13.157894736842104</v>
      </c>
      <c r="AI1312" s="86">
        <f>AVERAGEIFS($I$2:I1312, $B$2:B1312, B1312)</f>
        <v>0.51578947368421046</v>
      </c>
      <c r="AJ1312" s="86">
        <f>AVERAGEIFS($J$2:J1312, $B$2:B1312, B1312)</f>
        <v>0.50631578947368405</v>
      </c>
      <c r="AK1312" s="86">
        <f>AVERAGEIFS($D$2:D1312, $B$2:B1312, B1312)</f>
        <v>0.57894736842105265</v>
      </c>
    </row>
    <row r="1313" spans="1:37" x14ac:dyDescent="0.25">
      <c r="A1313" s="85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1</v>
      </c>
      <c r="AD1313">
        <v>0</v>
      </c>
      <c r="AE1313">
        <v>0</v>
      </c>
      <c r="AF1313">
        <v>0</v>
      </c>
      <c r="AG1313">
        <v>0</v>
      </c>
      <c r="AH1313" s="86">
        <f>AVERAGEIFS($C$2:C1313, $B$2:B1313, B1313)</f>
        <v>24.666666666666668</v>
      </c>
      <c r="AI1313" s="86">
        <f>AVERAGEIFS($I$2:I1313, $B$2:B1313, B1313)</f>
        <v>0.46111111111111119</v>
      </c>
      <c r="AJ1313" s="86">
        <f>AVERAGEIFS($J$2:J1313, $B$2:B1313, B1313)</f>
        <v>0.47377777777777763</v>
      </c>
      <c r="AK1313" s="86">
        <f>AVERAGEIFS($D$2:D1313, $B$2:B1313, B1313)</f>
        <v>0.42222222222222222</v>
      </c>
    </row>
    <row r="1314" spans="1:37" x14ac:dyDescent="0.25">
      <c r="A1314" s="85">
        <v>46171</v>
      </c>
      <c r="B1314" t="s">
        <v>141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1</v>
      </c>
      <c r="AD1314">
        <v>0</v>
      </c>
      <c r="AE1314">
        <v>0</v>
      </c>
      <c r="AF1314">
        <v>0</v>
      </c>
      <c r="AG1314">
        <v>0</v>
      </c>
      <c r="AH1314" s="86">
        <f>AVERAGEIFS($C$2:C1314, $B$2:B1314, B1314)</f>
        <v>18.766666666666666</v>
      </c>
      <c r="AI1314" s="86">
        <f>AVERAGEIFS($I$2:I1314, $B$2:B1314, B1314)</f>
        <v>0.49</v>
      </c>
      <c r="AJ1314" s="86">
        <f>AVERAGEIFS($J$2:J1314, $B$2:B1314, B1314)</f>
        <v>0.49866666666666676</v>
      </c>
      <c r="AK1314" s="86">
        <f>AVERAGEIFS($D$2:D1314, $B$2:B1314, B1314)</f>
        <v>0.6</v>
      </c>
    </row>
    <row r="1315" spans="1:37" x14ac:dyDescent="0.25">
      <c r="A1315" s="85">
        <v>46171</v>
      </c>
      <c r="B1315" t="s">
        <v>150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1</v>
      </c>
      <c r="AD1315">
        <v>0</v>
      </c>
      <c r="AE1315">
        <v>0</v>
      </c>
      <c r="AF1315">
        <v>0</v>
      </c>
      <c r="AG1315">
        <v>0</v>
      </c>
      <c r="AH1315" s="86">
        <f>AVERAGEIFS($C$2:C1315, $B$2:B1315, B1315)</f>
        <v>19.032258064516128</v>
      </c>
      <c r="AI1315" s="86">
        <f>AVERAGEIFS($I$2:I1315, $B$2:B1315, B1315)</f>
        <v>0.56129032258064515</v>
      </c>
      <c r="AJ1315" s="86">
        <f>AVERAGEIFS($J$2:J1315, $B$2:B1315, B1315)</f>
        <v>0.54677419354838719</v>
      </c>
      <c r="AK1315" s="86">
        <f>AVERAGEIFS($D$2:D1315, $B$2:B1315, B1315)</f>
        <v>0.58064516129032262</v>
      </c>
    </row>
    <row r="1316" spans="1:37" x14ac:dyDescent="0.25">
      <c r="A1316" s="85">
        <v>46171</v>
      </c>
      <c r="B1316" t="s">
        <v>13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1</v>
      </c>
      <c r="AD1316">
        <v>0</v>
      </c>
      <c r="AE1316">
        <v>0</v>
      </c>
      <c r="AF1316">
        <v>0</v>
      </c>
      <c r="AG1316">
        <v>0</v>
      </c>
      <c r="AH1316" s="86">
        <f>AVERAGEIFS($C$2:C1316, $B$2:B1316, B1316)</f>
        <v>16.575757575757574</v>
      </c>
      <c r="AI1316" s="86">
        <f>AVERAGEIFS($I$2:I1316, $B$2:B1316, B1316)</f>
        <v>0.46515151515151515</v>
      </c>
      <c r="AJ1316" s="86">
        <f>AVERAGEIFS($J$2:J1316, $B$2:B1316, B1316)</f>
        <v>0.48757575757575755</v>
      </c>
      <c r="AK1316" s="86">
        <f>AVERAGEIFS($D$2:D1316, $B$2:B1316, B1316)</f>
        <v>0.39393939393939392</v>
      </c>
    </row>
    <row r="1317" spans="1:37" x14ac:dyDescent="0.25">
      <c r="A1317" s="85">
        <v>46171</v>
      </c>
      <c r="B1317" t="s">
        <v>140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 s="86">
        <f>AVERAGEIFS($C$2:C1317, $B$2:B1317, B1317)</f>
        <v>12.956521739130435</v>
      </c>
      <c r="AI1317" s="86">
        <f>AVERAGEIFS($I$2:I1317, $B$2:B1317, B1317)</f>
        <v>0.5086956521739131</v>
      </c>
      <c r="AJ1317" s="86">
        <f>AVERAGEIFS($J$2:J1317, $B$2:B1317, B1317)</f>
        <v>0.4978260869565217</v>
      </c>
      <c r="AK1317" s="86">
        <f>AVERAGEIFS($D$2:D1317, $B$2:B1317, B1317)</f>
        <v>0.47826086956521741</v>
      </c>
    </row>
    <row r="1318" spans="1:37" x14ac:dyDescent="0.25">
      <c r="A1318" s="85">
        <v>46171</v>
      </c>
      <c r="B1318" t="s">
        <v>148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1</v>
      </c>
      <c r="AD1318">
        <v>0</v>
      </c>
      <c r="AE1318">
        <v>0</v>
      </c>
      <c r="AF1318">
        <v>0</v>
      </c>
      <c r="AG1318">
        <v>0</v>
      </c>
      <c r="AH1318" s="86">
        <f>AVERAGEIFS($C$2:C1318, $B$2:B1318, B1318)</f>
        <v>8.8000000000000007</v>
      </c>
      <c r="AI1318" s="86">
        <f>AVERAGEIFS($I$2:I1318, $B$2:B1318, B1318)</f>
        <v>0.33500000000000002</v>
      </c>
      <c r="AJ1318" s="86">
        <f>AVERAGEIFS($J$2:J1318, $B$2:B1318, B1318)</f>
        <v>0.42099999999999999</v>
      </c>
      <c r="AK1318" s="86">
        <f>AVERAGEIFS($D$2:D1318, $B$2:B1318, B1318)</f>
        <v>0.3</v>
      </c>
    </row>
    <row r="1319" spans="1:37" x14ac:dyDescent="0.25">
      <c r="A1319" s="85">
        <v>46172</v>
      </c>
      <c r="B1319" t="s">
        <v>13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1</v>
      </c>
      <c r="AA1319">
        <v>0</v>
      </c>
      <c r="AB1319">
        <v>0</v>
      </c>
      <c r="AC1319">
        <v>0</v>
      </c>
      <c r="AD1319">
        <v>1</v>
      </c>
      <c r="AE1319">
        <v>0</v>
      </c>
      <c r="AF1319">
        <v>0</v>
      </c>
      <c r="AG1319">
        <v>0</v>
      </c>
      <c r="AH1319" s="86">
        <f>AVERAGEIFS($C$2:C1319, $B$2:B1319, B1319)</f>
        <v>16.529411764705884</v>
      </c>
      <c r="AI1319" s="86">
        <f>AVERAGEIFS($I$2:I1319, $B$2:B1319, B1319)</f>
        <v>0.46323529411764708</v>
      </c>
      <c r="AJ1319" s="86">
        <f>AVERAGEIFS($J$2:J1319, $B$2:B1319, B1319)</f>
        <v>0.48617647058823532</v>
      </c>
      <c r="AK1319" s="86">
        <f>AVERAGEIFS($D$2:D1319, $B$2:B1319, B1319)</f>
        <v>0.38235294117647056</v>
      </c>
    </row>
    <row r="1320" spans="1:37" x14ac:dyDescent="0.25">
      <c r="A1320" s="85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1</v>
      </c>
      <c r="AE1320">
        <v>0</v>
      </c>
      <c r="AF1320">
        <v>0</v>
      </c>
      <c r="AG1320">
        <v>0</v>
      </c>
      <c r="AH1320" s="86">
        <f>AVERAGEIFS($C$2:C1320, $B$2:B1320, B1320)</f>
        <v>23.452380952380953</v>
      </c>
      <c r="AI1320" s="86">
        <f>AVERAGEIFS($I$2:I1320, $B$2:B1320, B1320)</f>
        <v>0.56404761904761913</v>
      </c>
      <c r="AJ1320" s="86">
        <f>AVERAGEIFS($J$2:J1320, $B$2:B1320, B1320)</f>
        <v>0.53214285714285703</v>
      </c>
      <c r="AK1320" s="86">
        <f>AVERAGEIFS($D$2:D1320, $B$2:B1320, B1320)</f>
        <v>0.63095238095238093</v>
      </c>
    </row>
    <row r="1321" spans="1:37" x14ac:dyDescent="0.25">
      <c r="A1321" s="85">
        <v>46172</v>
      </c>
      <c r="B1321" t="s">
        <v>54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1</v>
      </c>
      <c r="AA1321">
        <v>0</v>
      </c>
      <c r="AB1321">
        <v>0</v>
      </c>
      <c r="AC1321">
        <v>0</v>
      </c>
      <c r="AD1321">
        <v>1</v>
      </c>
      <c r="AE1321">
        <v>0</v>
      </c>
      <c r="AF1321">
        <v>0</v>
      </c>
      <c r="AG1321">
        <v>0</v>
      </c>
      <c r="AH1321" s="86">
        <f>AVERAGEIFS($C$2:C1321, $B$2:B1321, B1321)</f>
        <v>23.458333333333332</v>
      </c>
      <c r="AI1321" s="86">
        <f>AVERAGEIFS($I$2:I1321, $B$2:B1321, B1321)</f>
        <v>0.53569444444444447</v>
      </c>
      <c r="AJ1321" s="86">
        <f>AVERAGEIFS($J$2:J1321, $B$2:B1321, B1321)</f>
        <v>0.51291666666666669</v>
      </c>
      <c r="AK1321" s="86">
        <f>AVERAGEIFS($D$2:D1321, $B$2:B1321, B1321)</f>
        <v>0.55555555555555558</v>
      </c>
    </row>
    <row r="1322" spans="1:37" x14ac:dyDescent="0.25">
      <c r="A1322" s="85">
        <v>46172</v>
      </c>
      <c r="B1322" t="s">
        <v>140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1</v>
      </c>
      <c r="AA1322">
        <v>0</v>
      </c>
      <c r="AB1322">
        <v>0</v>
      </c>
      <c r="AC1322">
        <v>0</v>
      </c>
      <c r="AD1322">
        <v>1</v>
      </c>
      <c r="AE1322">
        <v>0</v>
      </c>
      <c r="AF1322">
        <v>0</v>
      </c>
      <c r="AG1322">
        <v>0</v>
      </c>
      <c r="AH1322" s="86">
        <f>AVERAGEIFS($C$2:C1322, $B$2:B1322, B1322)</f>
        <v>12.833333333333334</v>
      </c>
      <c r="AI1322" s="86">
        <f>AVERAGEIFS($I$2:I1322, $B$2:B1322, B1322)</f>
        <v>0.50416666666666676</v>
      </c>
      <c r="AJ1322" s="86">
        <f>AVERAGEIFS($J$2:J1322, $B$2:B1322, B1322)</f>
        <v>0.49541666666666662</v>
      </c>
      <c r="AK1322" s="86">
        <f>AVERAGEIFS($D$2:D1322, $B$2:B1322, B1322)</f>
        <v>0.45833333333333331</v>
      </c>
    </row>
    <row r="1323" spans="1:37" x14ac:dyDescent="0.25">
      <c r="A1323" s="85">
        <v>46172</v>
      </c>
      <c r="B1323" t="s">
        <v>152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1</v>
      </c>
      <c r="AE1323">
        <v>0</v>
      </c>
      <c r="AF1323">
        <v>0</v>
      </c>
      <c r="AG1323">
        <v>0</v>
      </c>
      <c r="AH1323" s="86">
        <f>AVERAGEIFS($C$2:C1323, $B$2:B1323, B1323)</f>
        <v>14.666666666666666</v>
      </c>
      <c r="AI1323" s="86">
        <f>AVERAGEIFS($I$2:I1323, $B$2:B1323, B1323)</f>
        <v>0.41666666666666669</v>
      </c>
      <c r="AJ1323" s="86">
        <f>AVERAGEIFS($J$2:J1323, $B$2:B1323, B1323)</f>
        <v>0.48133333333333334</v>
      </c>
      <c r="AK1323" s="86">
        <f>AVERAGEIFS($D$2:D1323, $B$2:B1323, B1323)</f>
        <v>0.33333333333333331</v>
      </c>
    </row>
    <row r="1324" spans="1:37" x14ac:dyDescent="0.25">
      <c r="A1324" s="85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1</v>
      </c>
      <c r="AA1324">
        <v>0</v>
      </c>
      <c r="AB1324">
        <v>0</v>
      </c>
      <c r="AC1324">
        <v>0</v>
      </c>
      <c r="AD1324">
        <v>1</v>
      </c>
      <c r="AE1324">
        <v>0</v>
      </c>
      <c r="AF1324">
        <v>0</v>
      </c>
      <c r="AG1324">
        <v>0</v>
      </c>
      <c r="AH1324" s="86">
        <f>AVERAGEIFS($C$2:C1324, $B$2:B1324, B1324)</f>
        <v>24.608695652173914</v>
      </c>
      <c r="AI1324" s="86">
        <f>AVERAGEIFS($I$2:I1324, $B$2:B1324, B1324)</f>
        <v>0.45978260869565224</v>
      </c>
      <c r="AJ1324" s="86">
        <f>AVERAGEIFS($J$2:J1324, $B$2:B1324, B1324)</f>
        <v>0.47304347826086945</v>
      </c>
      <c r="AK1324" s="86">
        <f>AVERAGEIFS($D$2:D1324, $B$2:B1324, B1324)</f>
        <v>0.41304347826086957</v>
      </c>
    </row>
    <row r="1325" spans="1:37" x14ac:dyDescent="0.25">
      <c r="A1325" s="85">
        <v>46172</v>
      </c>
      <c r="B1325" t="s">
        <v>115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0</v>
      </c>
      <c r="AB1325">
        <v>0</v>
      </c>
      <c r="AC1325">
        <v>0</v>
      </c>
      <c r="AD1325">
        <v>1</v>
      </c>
      <c r="AE1325">
        <v>0</v>
      </c>
      <c r="AF1325">
        <v>0</v>
      </c>
      <c r="AG1325">
        <v>0</v>
      </c>
      <c r="AH1325" s="86">
        <f>AVERAGEIFS($C$2:C1325, $B$2:B1325, B1325)</f>
        <v>13.1</v>
      </c>
      <c r="AI1325" s="86">
        <f>AVERAGEIFS($I$2:I1325, $B$2:B1325, B1325)</f>
        <v>0.51</v>
      </c>
      <c r="AJ1325" s="86">
        <f>AVERAGEIFS($J$2:J1325, $B$2:B1325, B1325)</f>
        <v>0.50299999999999989</v>
      </c>
      <c r="AK1325" s="86">
        <f>AVERAGEIFS($D$2:D1325, $B$2:B1325, B1325)</f>
        <v>0.55000000000000004</v>
      </c>
    </row>
    <row r="1326" spans="1:37" x14ac:dyDescent="0.25">
      <c r="A1326" s="85">
        <v>46172</v>
      </c>
      <c r="B1326" t="s">
        <v>179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1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1</v>
      </c>
      <c r="AF1326">
        <v>0</v>
      </c>
      <c r="AG1326">
        <v>0</v>
      </c>
      <c r="AH1326" s="86">
        <f>AVERAGEIFS($C$2:C1326, $B$2:B1326, B1326)</f>
        <v>19.142857142857142</v>
      </c>
      <c r="AI1326" s="86">
        <f>AVERAGEIFS($I$2:I1326, $B$2:B1326, B1326)</f>
        <v>0.52142857142857135</v>
      </c>
      <c r="AJ1326" s="86">
        <f>AVERAGEIFS($J$2:J1326, $B$2:B1326, B1326)</f>
        <v>0.51428571428571423</v>
      </c>
      <c r="AK1326" s="86">
        <f>AVERAGEIFS($D$2:D1326, $B$2:B1326, B1326)</f>
        <v>0.5</v>
      </c>
    </row>
    <row r="1327" spans="1:37" x14ac:dyDescent="0.25">
      <c r="A1327" s="85">
        <v>46172</v>
      </c>
      <c r="B1327" t="s">
        <v>150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1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1</v>
      </c>
      <c r="AF1327">
        <v>0</v>
      </c>
      <c r="AG1327">
        <v>0</v>
      </c>
      <c r="AH1327" s="86">
        <f>AVERAGEIFS($C$2:C1327, $B$2:B1327, B1327)</f>
        <v>19.3125</v>
      </c>
      <c r="AI1327" s="86">
        <f>AVERAGEIFS($I$2:I1327, $B$2:B1327, B1327)</f>
        <v>0.5625</v>
      </c>
      <c r="AJ1327" s="86">
        <f>AVERAGEIFS($J$2:J1327, $B$2:B1327, B1327)</f>
        <v>0.54718750000000005</v>
      </c>
      <c r="AK1327" s="86">
        <f>AVERAGEIFS($D$2:D1327, $B$2:B1327, B1327)</f>
        <v>0.59375</v>
      </c>
    </row>
    <row r="1328" spans="1:37" x14ac:dyDescent="0.25">
      <c r="A1328" s="85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1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1</v>
      </c>
      <c r="AF1328">
        <v>0</v>
      </c>
      <c r="AG1328">
        <v>0</v>
      </c>
      <c r="AH1328" s="86">
        <f>AVERAGEIFS($C$2:C1328, $B$2:B1328, B1328)</f>
        <v>24.545454545454547</v>
      </c>
      <c r="AI1328" s="86">
        <f>AVERAGEIFS($I$2:I1328, $B$2:B1328, B1328)</f>
        <v>0.49872727272727257</v>
      </c>
      <c r="AJ1328" s="86">
        <f>AVERAGEIFS($J$2:J1328, $B$2:B1328, B1328)</f>
        <v>0.52581818181818185</v>
      </c>
      <c r="AK1328" s="86">
        <f>AVERAGEIFS($D$2:D1328, $B$2:B1328, B1328)</f>
        <v>0.45454545454545453</v>
      </c>
    </row>
    <row r="1329" spans="1:37" x14ac:dyDescent="0.25">
      <c r="A1329" s="85">
        <v>46172</v>
      </c>
      <c r="B1329" t="s">
        <v>141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1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1</v>
      </c>
      <c r="AF1329">
        <v>0</v>
      </c>
      <c r="AG1329">
        <v>0</v>
      </c>
      <c r="AH1329" s="86">
        <f>AVERAGEIFS($C$2:C1329, $B$2:B1329, B1329)</f>
        <v>18.741935483870968</v>
      </c>
      <c r="AI1329" s="86">
        <f>AVERAGEIFS($I$2:I1329, $B$2:B1329, B1329)</f>
        <v>0.49354838709677418</v>
      </c>
      <c r="AJ1329" s="86">
        <f>AVERAGEIFS($J$2:J1329, $B$2:B1329, B1329)</f>
        <v>0.50064516129032266</v>
      </c>
      <c r="AK1329" s="86">
        <f>AVERAGEIFS($D$2:D1329, $B$2:B1329, B1329)</f>
        <v>0.61290322580645162</v>
      </c>
    </row>
    <row r="1330" spans="1:37" x14ac:dyDescent="0.25">
      <c r="A1330" s="85">
        <v>46172</v>
      </c>
      <c r="B1330" t="s">
        <v>147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1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1</v>
      </c>
      <c r="AF1330">
        <v>0</v>
      </c>
      <c r="AG1330">
        <v>0</v>
      </c>
      <c r="AH1330" s="86">
        <f>AVERAGEIFS($C$2:C1330, $B$2:B1330, B1330)</f>
        <v>15.181818181818182</v>
      </c>
      <c r="AI1330" s="86">
        <f>AVERAGEIFS($I$2:I1330, $B$2:B1330, B1330)</f>
        <v>0.57500000000000007</v>
      </c>
      <c r="AJ1330" s="86">
        <f>AVERAGEIFS($J$2:J1330, $B$2:B1330, B1330)</f>
        <v>0.53727272727272724</v>
      </c>
      <c r="AK1330" s="86">
        <f>AVERAGEIFS($D$2:D1330, $B$2:B1330, B1330)</f>
        <v>0.59090909090909094</v>
      </c>
    </row>
    <row r="1331" spans="1:37" x14ac:dyDescent="0.25">
      <c r="A1331" s="85">
        <v>46172</v>
      </c>
      <c r="B1331" t="s">
        <v>113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1</v>
      </c>
      <c r="AF1331">
        <v>0</v>
      </c>
      <c r="AG1331">
        <v>0</v>
      </c>
      <c r="AH1331" s="86">
        <f>AVERAGEIFS($C$2:C1331, $B$2:B1331, B1331)</f>
        <v>18.48</v>
      </c>
      <c r="AI1331" s="86">
        <f>AVERAGEIFS($I$2:I1331, $B$2:B1331, B1331)</f>
        <v>0.55899999999999994</v>
      </c>
      <c r="AJ1331" s="86">
        <f>AVERAGEIFS($J$2:J1331, $B$2:B1331, B1331)</f>
        <v>0.52500000000000002</v>
      </c>
      <c r="AK1331" s="86">
        <f>AVERAGEIFS($D$2:D1331, $B$2:B1331, B1331)</f>
        <v>0.56000000000000005</v>
      </c>
    </row>
    <row r="1332" spans="1:37" x14ac:dyDescent="0.25">
      <c r="A1332" s="85">
        <v>46172</v>
      </c>
      <c r="B1332" t="s">
        <v>148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1</v>
      </c>
      <c r="AF1332">
        <v>0</v>
      </c>
      <c r="AG1332">
        <v>0</v>
      </c>
      <c r="AH1332" s="86">
        <f>AVERAGEIFS($C$2:C1332, $B$2:B1332, B1332)</f>
        <v>8.6363636363636367</v>
      </c>
      <c r="AI1332" s="86">
        <f>AVERAGEIFS($I$2:I1332, $B$2:B1332, B1332)</f>
        <v>0.35909090909090913</v>
      </c>
      <c r="AJ1332" s="86">
        <f>AVERAGEIFS($J$2:J1332, $B$2:B1332, B1332)</f>
        <v>0.4336363636363636</v>
      </c>
      <c r="AK1332" s="86">
        <f>AVERAGEIFS($D$2:D1332, $B$2:B1332, B1332)</f>
        <v>0.36363636363636365</v>
      </c>
    </row>
    <row r="1333" spans="1:37" x14ac:dyDescent="0.25">
      <c r="A1333" s="85">
        <v>46172</v>
      </c>
      <c r="B1333" t="s">
        <v>42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 s="86">
        <f>AVERAGEIFS($C$2:C1333, $B$2:B1333, B1333)</f>
        <v>17.8135593220339</v>
      </c>
      <c r="AI1333" s="86">
        <f>AVERAGEIFS($I$2:I1333, $B$2:B1333, B1333)</f>
        <v>0.45932203389830512</v>
      </c>
      <c r="AJ1333" s="86">
        <f>AVERAGEIFS($J$2:J1333, $B$2:B1333, B1333)</f>
        <v>0.46322033898305071</v>
      </c>
      <c r="AK1333" s="86">
        <f>AVERAGEIFS($D$2:D1333, $B$2:B1333, B1333)</f>
        <v>0.4576271186440678</v>
      </c>
    </row>
    <row r="1334" spans="1:37" x14ac:dyDescent="0.25">
      <c r="A1334" s="85">
        <v>46172</v>
      </c>
      <c r="B1334" t="s">
        <v>179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 s="86">
        <f>AVERAGEIFS($C$2:C1334, $B$2:B1334, B1334)</f>
        <v>18.600000000000001</v>
      </c>
      <c r="AI1334" s="86">
        <f>AVERAGEIFS($I$2:I1334, $B$2:B1334, B1334)</f>
        <v>0.5033333333333333</v>
      </c>
      <c r="AJ1334" s="86">
        <f>AVERAGEIFS($J$2:J1334, $B$2:B1334, B1334)</f>
        <v>0.5066666666666666</v>
      </c>
      <c r="AK1334" s="86">
        <f>AVERAGEIFS($D$2:D1334, $B$2:B1334, B1334)</f>
        <v>0.46666666666666667</v>
      </c>
    </row>
    <row r="1335" spans="1:37" x14ac:dyDescent="0.25">
      <c r="A1335" s="85">
        <v>46172</v>
      </c>
      <c r="B1335" t="s">
        <v>152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 s="86">
        <f>AVERAGEIFS($C$2:C1335, $B$2:B1335, B1335)</f>
        <v>14.375</v>
      </c>
      <c r="AI1335" s="86">
        <f>AVERAGEIFS($I$2:I1335, $B$2:B1335, B1335)</f>
        <v>0.40625</v>
      </c>
      <c r="AJ1335" s="86">
        <f>AVERAGEIFS($J$2:J1335, $B$2:B1335, B1335)</f>
        <v>0.47625000000000001</v>
      </c>
      <c r="AK1335" s="86">
        <f>AVERAGEIFS($D$2:D1335, $B$2:B1335, B1335)</f>
        <v>0.3125</v>
      </c>
    </row>
    <row r="1336" spans="1:37" x14ac:dyDescent="0.25">
      <c r="A1336" s="85">
        <v>46172</v>
      </c>
      <c r="B1336" t="s">
        <v>137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 s="86">
        <f>AVERAGEIFS($C$2:C1336, $B$2:B1336, B1336)</f>
        <v>7.125</v>
      </c>
      <c r="AI1336" s="86">
        <f>AVERAGEIFS($I$2:I1336, $B$2:B1336, B1336)</f>
        <v>0.50624999999999998</v>
      </c>
      <c r="AJ1336" s="86">
        <f>AVERAGEIFS($J$2:J1336, $B$2:B1336, B1336)</f>
        <v>0.51124999999999998</v>
      </c>
      <c r="AK1336" s="86">
        <f>AVERAGEIFS($D$2:D1336, $B$2:B1336, B1336)</f>
        <v>0.375</v>
      </c>
    </row>
    <row r="1337" spans="1:37" x14ac:dyDescent="0.25">
      <c r="A1337" s="85">
        <v>46172</v>
      </c>
      <c r="B1337" t="s">
        <v>147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 s="86">
        <f>AVERAGEIFS($C$2:C1337, $B$2:B1337, B1337)</f>
        <v>15.155555555555555</v>
      </c>
      <c r="AI1337" s="86">
        <f>AVERAGEIFS($I$2:I1337, $B$2:B1337, B1337)</f>
        <v>0.56777777777777783</v>
      </c>
      <c r="AJ1337" s="86">
        <f>AVERAGEIFS($J$2:J1337, $B$2:B1337, B1337)</f>
        <v>0.53422222222222215</v>
      </c>
      <c r="AK1337" s="86">
        <f>AVERAGEIFS($D$2:D1337, $B$2:B1337, B1337)</f>
        <v>0.57777777777777772</v>
      </c>
    </row>
    <row r="1338" spans="1:37" x14ac:dyDescent="0.25">
      <c r="A1338" s="85">
        <v>46172</v>
      </c>
      <c r="B1338" t="s">
        <v>150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 s="86">
        <f>AVERAGEIFS($C$2:C1338, $B$2:B1338, B1338)</f>
        <v>19.363636363636363</v>
      </c>
      <c r="AI1338" s="86">
        <f>AVERAGEIFS($I$2:I1338, $B$2:B1338, B1338)</f>
        <v>0.55303030303030298</v>
      </c>
      <c r="AJ1338" s="86">
        <f>AVERAGEIFS($J$2:J1338, $B$2:B1338, B1338)</f>
        <v>0.54272727272727272</v>
      </c>
      <c r="AK1338" s="86">
        <f>AVERAGEIFS($D$2:D1338, $B$2:B1338, B1338)</f>
        <v>0.5757575757575758</v>
      </c>
    </row>
    <row r="1339" spans="1:37" x14ac:dyDescent="0.25">
      <c r="A1339" s="85">
        <v>46172</v>
      </c>
      <c r="B1339" t="s">
        <v>14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 s="86">
        <f>AVERAGEIFS($C$2:C1339, $B$2:B1339, B1339)</f>
        <v>16.16</v>
      </c>
      <c r="AI1339" s="86">
        <f>AVERAGEIFS($I$2:I1339, $B$2:B1339, B1339)</f>
        <v>0.49879999999999997</v>
      </c>
      <c r="AJ1339" s="86">
        <f>AVERAGEIFS($J$2:J1339, $B$2:B1339, B1339)</f>
        <v>0.50360000000000005</v>
      </c>
      <c r="AK1339" s="86">
        <f>AVERAGEIFS($D$2:D1339, $B$2:B1339, B1339)</f>
        <v>0.52</v>
      </c>
    </row>
    <row r="1340" spans="1:37" x14ac:dyDescent="0.25">
      <c r="A1340" s="85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 s="86">
        <f>AVERAGEIFS($C$2:C1340, $B$2:B1340, B1340)</f>
        <v>24.574468085106382</v>
      </c>
      <c r="AI1340" s="86">
        <f>AVERAGEIFS($I$2:I1340, $B$2:B1340, B1340)</f>
        <v>0.45531914893617026</v>
      </c>
      <c r="AJ1340" s="86">
        <f>AVERAGEIFS($J$2:J1340, $B$2:B1340, B1340)</f>
        <v>0.47148936170212752</v>
      </c>
      <c r="AK1340" s="86">
        <f>AVERAGEIFS($D$2:D1340, $B$2:B1340, B1340)</f>
        <v>0.40425531914893614</v>
      </c>
    </row>
    <row r="1341" spans="1:37" x14ac:dyDescent="0.25">
      <c r="A1341" s="85">
        <v>46172</v>
      </c>
      <c r="B1341" t="s">
        <v>37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1</v>
      </c>
      <c r="AF1341">
        <v>0</v>
      </c>
      <c r="AG1341">
        <v>0</v>
      </c>
      <c r="AH1341" s="86">
        <f>AVERAGEIFS($C$2:C1341, $B$2:B1341, B1341)</f>
        <v>15.307692307692308</v>
      </c>
      <c r="AI1341" s="86">
        <f>AVERAGEIFS($I$2:I1341, $B$2:B1341, B1341)</f>
        <v>0.62307692307692308</v>
      </c>
      <c r="AJ1341" s="86">
        <f>AVERAGEIFS($J$2:J1341, $B$2:B1341, B1341)</f>
        <v>0.53153846153846152</v>
      </c>
      <c r="AK1341" s="86">
        <f>AVERAGEIFS($D$2:D1341, $B$2:B1341, B1341)</f>
        <v>0.61538461538461542</v>
      </c>
    </row>
    <row r="1342" spans="1:37" x14ac:dyDescent="0.25">
      <c r="A1342" s="85">
        <v>46172</v>
      </c>
      <c r="B1342" t="s">
        <v>27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1</v>
      </c>
      <c r="AF1342">
        <v>0</v>
      </c>
      <c r="AG1342">
        <v>0</v>
      </c>
      <c r="AH1342" s="86">
        <f>AVERAGEIFS($C$2:C1342, $B$2:B1342, B1342)</f>
        <v>11.666666666666666</v>
      </c>
      <c r="AI1342" s="86">
        <f>AVERAGEIFS($I$2:I1342, $B$2:B1342, B1342)</f>
        <v>0.4291666666666667</v>
      </c>
      <c r="AJ1342" s="86">
        <f>AVERAGEIFS($J$2:J1342, $B$2:B1342, B1342)</f>
        <v>0.42333333333333334</v>
      </c>
      <c r="AK1342" s="86">
        <f>AVERAGEIFS($D$2:D1342, $B$2:B1342, B1342)</f>
        <v>0.33333333333333331</v>
      </c>
    </row>
    <row r="1343" spans="1:37" x14ac:dyDescent="0.25">
      <c r="A1343" s="85">
        <v>46172</v>
      </c>
      <c r="B1343" t="s">
        <v>148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1</v>
      </c>
      <c r="AF1343">
        <v>0</v>
      </c>
      <c r="AG1343">
        <v>0</v>
      </c>
      <c r="AH1343" s="86">
        <f>AVERAGEIFS($C$2:C1343, $B$2:B1343, B1343)</f>
        <v>8.4166666666666661</v>
      </c>
      <c r="AI1343" s="86">
        <f>AVERAGEIFS($I$2:I1343, $B$2:B1343, B1343)</f>
        <v>0.39166666666666666</v>
      </c>
      <c r="AJ1343" s="86">
        <f>AVERAGEIFS($J$2:J1343, $B$2:B1343, B1343)</f>
        <v>0.44749999999999995</v>
      </c>
      <c r="AK1343" s="86">
        <f>AVERAGEIFS($D$2:D1343, $B$2:B1343, B1343)</f>
        <v>0.41666666666666669</v>
      </c>
    </row>
    <row r="1344" spans="1:37" x14ac:dyDescent="0.25">
      <c r="A1344" s="85">
        <v>46172</v>
      </c>
      <c r="B1344" t="s">
        <v>13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1</v>
      </c>
      <c r="AF1344">
        <v>0</v>
      </c>
      <c r="AG1344">
        <v>0</v>
      </c>
      <c r="AH1344" s="86">
        <f>AVERAGEIFS($C$2:C1344, $B$2:B1344, B1344)</f>
        <v>16.399999999999999</v>
      </c>
      <c r="AI1344" s="86">
        <f>AVERAGEIFS($I$2:I1344, $B$2:B1344, B1344)</f>
        <v>0.47142857142857142</v>
      </c>
      <c r="AJ1344" s="86">
        <f>AVERAGEIFS($J$2:J1344, $B$2:B1344, B1344)</f>
        <v>0.48942857142857149</v>
      </c>
      <c r="AK1344" s="86">
        <f>AVERAGEIFS($D$2:D1344, $B$2:B1344, B1344)</f>
        <v>0.4</v>
      </c>
    </row>
    <row r="1345" spans="1:37" x14ac:dyDescent="0.25">
      <c r="A1345" s="85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1</v>
      </c>
      <c r="AF1345">
        <v>0</v>
      </c>
      <c r="AG1345">
        <v>0</v>
      </c>
      <c r="AH1345" s="86">
        <f>AVERAGEIFS($C$2:C1345, $B$2:B1345, B1345)</f>
        <v>24.357142857142858</v>
      </c>
      <c r="AI1345" s="86">
        <f>AVERAGEIFS($I$2:I1345, $B$2:B1345, B1345)</f>
        <v>0.50321428571428561</v>
      </c>
      <c r="AJ1345" s="86">
        <f>AVERAGEIFS($J$2:J1345, $B$2:B1345, B1345)</f>
        <v>0.52714285714285725</v>
      </c>
      <c r="AK1345" s="86">
        <f>AVERAGEIFS($D$2:D1345, $B$2:B1345, B1345)</f>
        <v>0.4642857142857143</v>
      </c>
    </row>
    <row r="1346" spans="1:37" x14ac:dyDescent="0.25">
      <c r="A1346" s="85">
        <v>46172</v>
      </c>
      <c r="B1346" t="s">
        <v>40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1</v>
      </c>
      <c r="AF1346">
        <v>0</v>
      </c>
      <c r="AG1346">
        <v>0</v>
      </c>
      <c r="AH1346" s="86">
        <f>AVERAGEIFS($C$2:C1346, $B$2:B1346, B1346)</f>
        <v>18.328767123287673</v>
      </c>
      <c r="AI1346" s="86">
        <f>AVERAGEIFS($I$2:I1346, $B$2:B1346, B1346)</f>
        <v>0.47876712328767107</v>
      </c>
      <c r="AJ1346" s="86">
        <f>AVERAGEIFS($J$2:J1346, $B$2:B1346, B1346)</f>
        <v>0.48205479452054811</v>
      </c>
      <c r="AK1346" s="86">
        <f>AVERAGEIFS($D$2:D1346, $B$2:B1346, B1346)</f>
        <v>0.42465753424657532</v>
      </c>
    </row>
    <row r="1347" spans="1:37" x14ac:dyDescent="0.25">
      <c r="A1347" s="85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1</v>
      </c>
      <c r="AF1347">
        <v>0</v>
      </c>
      <c r="AG1347">
        <v>0</v>
      </c>
      <c r="AH1347" s="86">
        <f>AVERAGEIFS($C$2:C1347, $B$2:B1347, B1347)</f>
        <v>23.529411764705884</v>
      </c>
      <c r="AI1347" s="86">
        <f>AVERAGEIFS($I$2:I1347, $B$2:B1347, B1347)</f>
        <v>0.56623529411764717</v>
      </c>
      <c r="AJ1347" s="86">
        <f>AVERAGEIFS($J$2:J1347, $B$2:B1347, B1347)</f>
        <v>0.53294117647058814</v>
      </c>
      <c r="AK1347" s="86">
        <f>AVERAGEIFS($D$2:D1347, $B$2:B1347, B1347)</f>
        <v>0.63529411764705879</v>
      </c>
    </row>
    <row r="1348" spans="1:37" x14ac:dyDescent="0.25">
      <c r="A1348" s="85">
        <v>46172</v>
      </c>
      <c r="B1348" t="s">
        <v>113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1</v>
      </c>
      <c r="AF1348">
        <v>0</v>
      </c>
      <c r="AG1348">
        <v>0</v>
      </c>
      <c r="AH1348" s="86">
        <f>AVERAGEIFS($C$2:C1348, $B$2:B1348, B1348)</f>
        <v>18.450980392156861</v>
      </c>
      <c r="AI1348" s="86">
        <f>AVERAGEIFS($I$2:I1348, $B$2:B1348, B1348)</f>
        <v>0.56274509803921569</v>
      </c>
      <c r="AJ1348" s="86">
        <f>AVERAGEIFS($J$2:J1348, $B$2:B1348, B1348)</f>
        <v>0.52647058823529413</v>
      </c>
      <c r="AK1348" s="86">
        <f>AVERAGEIFS($D$2:D1348, $B$2:B1348, B1348)</f>
        <v>0.56862745098039214</v>
      </c>
    </row>
    <row r="1349" spans="1:37" x14ac:dyDescent="0.25">
      <c r="A1349" s="85">
        <v>46173</v>
      </c>
      <c r="B1349" t="s">
        <v>13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1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 s="86">
        <f>AVERAGEIFS($C$2:C1349, $B$2:B1349, B1349)</f>
        <v>16.5</v>
      </c>
      <c r="AI1349" s="86">
        <f>AVERAGEIFS($I$2:I1349, $B$2:B1349, B1349)</f>
        <v>0.47916666666666669</v>
      </c>
      <c r="AJ1349" s="86">
        <f>AVERAGEIFS($J$2:J1349, $B$2:B1349, B1349)</f>
        <v>0.4933333333333334</v>
      </c>
      <c r="AK1349" s="86">
        <f>AVERAGEIFS($D$2:D1349, $B$2:B1349, B1349)</f>
        <v>0.41666666666666669</v>
      </c>
    </row>
    <row r="1350" spans="1:37" x14ac:dyDescent="0.25">
      <c r="A1350" s="85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1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1</v>
      </c>
      <c r="AD1350">
        <v>0</v>
      </c>
      <c r="AE1350">
        <v>0</v>
      </c>
      <c r="AF1350">
        <v>0</v>
      </c>
      <c r="AG1350">
        <v>0</v>
      </c>
      <c r="AH1350" s="86">
        <f>AVERAGEIFS($C$2:C1350, $B$2:B1350, B1350)</f>
        <v>24.421052631578949</v>
      </c>
      <c r="AI1350" s="86">
        <f>AVERAGEIFS($I$2:I1350, $B$2:B1350, B1350)</f>
        <v>0.50754385964912263</v>
      </c>
      <c r="AJ1350" s="86">
        <f>AVERAGEIFS($J$2:J1350, $B$2:B1350, B1350)</f>
        <v>0.52894736842105272</v>
      </c>
      <c r="AK1350" s="86">
        <f>AVERAGEIFS($D$2:D1350, $B$2:B1350, B1350)</f>
        <v>0.47368421052631576</v>
      </c>
    </row>
    <row r="1351" spans="1:37" x14ac:dyDescent="0.25">
      <c r="A1351" s="85">
        <v>46173</v>
      </c>
      <c r="B1351" t="s">
        <v>27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1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1</v>
      </c>
      <c r="AD1351">
        <v>0</v>
      </c>
      <c r="AE1351">
        <v>0</v>
      </c>
      <c r="AF1351">
        <v>0</v>
      </c>
      <c r="AG1351">
        <v>0</v>
      </c>
      <c r="AH1351" s="86">
        <f>AVERAGEIFS($C$2:C1351, $B$2:B1351, B1351)</f>
        <v>12</v>
      </c>
      <c r="AI1351" s="86">
        <f>AVERAGEIFS($I$2:I1351, $B$2:B1351, B1351)</f>
        <v>0.4538461538461539</v>
      </c>
      <c r="AJ1351" s="86">
        <f>AVERAGEIFS($J$2:J1351, $B$2:B1351, B1351)</f>
        <v>0.4392307692307692</v>
      </c>
      <c r="AK1351" s="86">
        <f>AVERAGEIFS($D$2:D1351, $B$2:B1351, B1351)</f>
        <v>0.38461538461538464</v>
      </c>
    </row>
    <row r="1352" spans="1:37" x14ac:dyDescent="0.25">
      <c r="A1352" s="85">
        <v>46173</v>
      </c>
      <c r="B1352" t="s">
        <v>150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1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1</v>
      </c>
      <c r="AD1352">
        <v>0</v>
      </c>
      <c r="AE1352">
        <v>0</v>
      </c>
      <c r="AF1352">
        <v>0</v>
      </c>
      <c r="AG1352">
        <v>0</v>
      </c>
      <c r="AH1352" s="86">
        <f>AVERAGEIFS($C$2:C1352, $B$2:B1352, B1352)</f>
        <v>19.470588235294116</v>
      </c>
      <c r="AI1352" s="86">
        <f>AVERAGEIFS($I$2:I1352, $B$2:B1352, B1352)</f>
        <v>0.55882352941176472</v>
      </c>
      <c r="AJ1352" s="86">
        <f>AVERAGEIFS($J$2:J1352, $B$2:B1352, B1352)</f>
        <v>0.54529411764705882</v>
      </c>
      <c r="AK1352" s="86">
        <f>AVERAGEIFS($D$2:D1352, $B$2:B1352, B1352)</f>
        <v>0.58823529411764708</v>
      </c>
    </row>
    <row r="1353" spans="1:37" x14ac:dyDescent="0.25">
      <c r="A1353" s="85">
        <v>46173</v>
      </c>
      <c r="B1353" t="s">
        <v>35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1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1</v>
      </c>
      <c r="AD1353">
        <v>0</v>
      </c>
      <c r="AE1353">
        <v>0</v>
      </c>
      <c r="AF1353">
        <v>0</v>
      </c>
      <c r="AG1353">
        <v>0</v>
      </c>
      <c r="AH1353" s="86">
        <f>AVERAGEIFS($C$2:C1353, $B$2:B1353, B1353)</f>
        <v>10.177777777777777</v>
      </c>
      <c r="AI1353" s="86">
        <f>AVERAGEIFS($I$2:I1353, $B$2:B1353, B1353)</f>
        <v>0.45511111111111113</v>
      </c>
      <c r="AJ1353" s="86">
        <f>AVERAGEIFS($J$2:J1353, $B$2:B1353, B1353)</f>
        <v>0.4844444444444444</v>
      </c>
      <c r="AK1353" s="86">
        <f>AVERAGEIFS($D$2:D1353, $B$2:B1353, B1353)</f>
        <v>0.42222222222222222</v>
      </c>
    </row>
    <row r="1354" spans="1:37" x14ac:dyDescent="0.25">
      <c r="A1354" s="85">
        <v>46173</v>
      </c>
      <c r="B1354" t="s">
        <v>71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1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1</v>
      </c>
      <c r="AD1354">
        <v>0</v>
      </c>
      <c r="AE1354">
        <v>0</v>
      </c>
      <c r="AF1354">
        <v>0</v>
      </c>
      <c r="AG1354">
        <v>0</v>
      </c>
      <c r="AH1354" s="86">
        <f>AVERAGEIFS($C$2:C1354, $B$2:B1354, B1354)</f>
        <v>15.641025641025641</v>
      </c>
      <c r="AI1354" s="86">
        <f>AVERAGEIFS($I$2:I1354, $B$2:B1354, B1354)</f>
        <v>0.48333333333333339</v>
      </c>
      <c r="AJ1354" s="86">
        <f>AVERAGEIFS($J$2:J1354, $B$2:B1354, B1354)</f>
        <v>0.48230769230769216</v>
      </c>
      <c r="AK1354" s="86">
        <f>AVERAGEIFS($D$2:D1354, $B$2:B1354, B1354)</f>
        <v>0.53846153846153844</v>
      </c>
    </row>
    <row r="1355" spans="1:37" x14ac:dyDescent="0.25">
      <c r="A1355" s="85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 s="86">
        <f>AVERAGEIFS($C$2:C1355, $B$2:B1355, B1355)</f>
        <v>23.465116279069768</v>
      </c>
      <c r="AI1355" s="86">
        <f>AVERAGEIFS($I$2:I1355, $B$2:B1355, B1355)</f>
        <v>0.56255813953488387</v>
      </c>
      <c r="AJ1355" s="86">
        <f>AVERAGEIFS($J$2:J1355, $B$2:B1355, B1355)</f>
        <v>0.53116279069767436</v>
      </c>
      <c r="AK1355" s="86">
        <f>AVERAGEIFS($D$2:D1355, $B$2:B1355, B1355)</f>
        <v>0.62790697674418605</v>
      </c>
    </row>
    <row r="1356" spans="1:37" x14ac:dyDescent="0.25">
      <c r="A1356" s="85">
        <v>46173</v>
      </c>
      <c r="B1356" t="s">
        <v>137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 s="86">
        <f>AVERAGEIFS($C$2:C1356, $B$2:B1356, B1356)</f>
        <v>7.4444444444444446</v>
      </c>
      <c r="AI1356" s="86">
        <f>AVERAGEIFS($I$2:I1356, $B$2:B1356, B1356)</f>
        <v>0.47777777777777775</v>
      </c>
      <c r="AJ1356" s="86">
        <f>AVERAGEIFS($J$2:J1356, $B$2:B1356, B1356)</f>
        <v>0.49666666666666665</v>
      </c>
      <c r="AK1356" s="86">
        <f>AVERAGEIFS($D$2:D1356, $B$2:B1356, B1356)</f>
        <v>0.33333333333333331</v>
      </c>
    </row>
    <row r="1357" spans="1:37" x14ac:dyDescent="0.25">
      <c r="A1357" s="85">
        <v>46173</v>
      </c>
      <c r="B1357" t="s">
        <v>147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 s="86">
        <f>AVERAGEIFS($C$2:C1357, $B$2:B1357, B1357)</f>
        <v>15.239130434782609</v>
      </c>
      <c r="AI1357" s="86">
        <f>AVERAGEIFS($I$2:I1357, $B$2:B1357, B1357)</f>
        <v>0.5608695652173914</v>
      </c>
      <c r="AJ1357" s="86">
        <f>AVERAGEIFS($J$2:J1357, $B$2:B1357, B1357)</f>
        <v>0.53086956521739126</v>
      </c>
      <c r="AK1357" s="86">
        <f>AVERAGEIFS($D$2:D1357, $B$2:B1357, B1357)</f>
        <v>0.56521739130434778</v>
      </c>
    </row>
    <row r="1358" spans="1:37" x14ac:dyDescent="0.25">
      <c r="A1358" s="85">
        <v>46173</v>
      </c>
      <c r="B1358" t="s">
        <v>37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 s="86">
        <f>AVERAGEIFS($C$2:C1358, $B$2:B1358, B1358)</f>
        <v>15.714285714285714</v>
      </c>
      <c r="AI1358" s="86">
        <f>AVERAGEIFS($I$2:I1358, $B$2:B1358, B1358)</f>
        <v>0.59642857142857142</v>
      </c>
      <c r="AJ1358" s="86">
        <f>AVERAGEIFS($J$2:J1358, $B$2:B1358, B1358)</f>
        <v>0.52071428571428569</v>
      </c>
      <c r="AK1358" s="86">
        <f>AVERAGEIFS($D$2:D1358, $B$2:B1358, B1358)</f>
        <v>0.5714285714285714</v>
      </c>
    </row>
    <row r="1359" spans="1:37" x14ac:dyDescent="0.25">
      <c r="A1359" s="85">
        <v>46173</v>
      </c>
      <c r="B1359" t="s">
        <v>148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 s="86">
        <f>AVERAGEIFS($C$2:C1359, $B$2:B1359, B1359)</f>
        <v>8.1538461538461533</v>
      </c>
      <c r="AI1359" s="86">
        <f>AVERAGEIFS($I$2:I1359, $B$2:B1359, B1359)</f>
        <v>0.3807692307692308</v>
      </c>
      <c r="AJ1359" s="86">
        <f>AVERAGEIFS($J$2:J1359, $B$2:B1359, B1359)</f>
        <v>0.44230769230769224</v>
      </c>
      <c r="AK1359" s="86">
        <f>AVERAGEIFS($D$2:D1359, $B$2:B1359, B1359)</f>
        <v>0.38461538461538464</v>
      </c>
    </row>
    <row r="1360" spans="1:37" x14ac:dyDescent="0.25">
      <c r="A1360" s="85">
        <v>46173</v>
      </c>
      <c r="B1360" t="s">
        <v>113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 s="86">
        <f>AVERAGEIFS($C$2:C1360, $B$2:B1360, B1360)</f>
        <v>18.673076923076923</v>
      </c>
      <c r="AI1360" s="86">
        <f>AVERAGEIFS($I$2:I1360, $B$2:B1360, B1360)</f>
        <v>0.55673076923076925</v>
      </c>
      <c r="AJ1360" s="86">
        <f>AVERAGEIFS($J$2:J1360, $B$2:B1360, B1360)</f>
        <v>0.52365384615384614</v>
      </c>
      <c r="AK1360" s="86">
        <f>AVERAGEIFS($D$2:D1360, $B$2:B1360, B1360)</f>
        <v>0.55769230769230771</v>
      </c>
    </row>
    <row r="1361" spans="1:37" x14ac:dyDescent="0.25">
      <c r="A1361" s="85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 s="86">
        <f>AVERAGEIFS($C$2:C1361, $B$2:B1361, B1361)</f>
        <v>24.75</v>
      </c>
      <c r="AI1361" s="86">
        <f>AVERAGEIFS($I$2:I1361, $B$2:B1361, B1361)</f>
        <v>0.45104166666666673</v>
      </c>
      <c r="AJ1361" s="86">
        <f>AVERAGEIFS($J$2:J1361, $B$2:B1361, B1361)</f>
        <v>0.47083333333333321</v>
      </c>
      <c r="AK1361" s="86">
        <f>AVERAGEIFS($D$2:D1361, $B$2:B1361, B1361)</f>
        <v>0.39583333333333331</v>
      </c>
    </row>
    <row r="1362" spans="1:37" x14ac:dyDescent="0.25">
      <c r="A1362" s="85">
        <v>46173</v>
      </c>
      <c r="B1362" t="s">
        <v>18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 s="86">
        <f>AVERAGEIFS($C$2:C1362, $B$2:B1362, B1362)</f>
        <v>19</v>
      </c>
      <c r="AI1362" s="86">
        <f>AVERAGEIFS($I$2:I1362, $B$2:B1362, B1362)</f>
        <v>0.62307692307692308</v>
      </c>
      <c r="AJ1362" s="86">
        <f>AVERAGEIFS($J$2:J1362, $B$2:B1362, B1362)</f>
        <v>0.56076923076923069</v>
      </c>
      <c r="AK1362" s="86">
        <f>AVERAGEIFS($D$2:D1362, $B$2:B1362, B1362)</f>
        <v>0.61538461538461542</v>
      </c>
    </row>
    <row r="1363" spans="1:37" x14ac:dyDescent="0.25">
      <c r="A1363" s="85">
        <v>46173</v>
      </c>
      <c r="B1363" t="s">
        <v>15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 s="86">
        <f>AVERAGEIFS($C$2:C1363, $B$2:B1363, B1363)</f>
        <v>15</v>
      </c>
      <c r="AI1363" s="86">
        <f>AVERAGEIFS($I$2:I1363, $B$2:B1363, B1363)</f>
        <v>0.21666666666666667</v>
      </c>
      <c r="AJ1363" s="86">
        <f>AVERAGEIFS($J$2:J1363, $B$2:B1363, B1363)</f>
        <v>0.34666666666666668</v>
      </c>
      <c r="AK1363" s="86">
        <f>AVERAGEIFS($D$2:D1363, $B$2:B1363, B1363)</f>
        <v>0</v>
      </c>
    </row>
    <row r="1364" spans="1:37" x14ac:dyDescent="0.25">
      <c r="A1364" s="85">
        <v>46173</v>
      </c>
      <c r="B1364" t="s">
        <v>14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 s="86">
        <f>AVERAGEIFS($C$2:C1364, $B$2:B1364, B1364)</f>
        <v>16.384615384615383</v>
      </c>
      <c r="AI1364" s="86">
        <f>AVERAGEIFS($I$2:I1364, $B$2:B1364, B1364)</f>
        <v>0.48923076923076919</v>
      </c>
      <c r="AJ1364" s="86">
        <f>AVERAGEIFS($J$2:J1364, $B$2:B1364, B1364)</f>
        <v>0.50115384615384617</v>
      </c>
      <c r="AK1364" s="86">
        <f>AVERAGEIFS($D$2:D1364, $B$2:B1364, B1364)</f>
        <v>0.5</v>
      </c>
    </row>
    <row r="1365" spans="1:37" x14ac:dyDescent="0.25">
      <c r="A1365" s="85">
        <v>46173</v>
      </c>
      <c r="B1365" t="s">
        <v>13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 s="86">
        <f>AVERAGEIFS($C$2:C1365, $B$2:B1365, B1365)</f>
        <v>16.810810810810811</v>
      </c>
      <c r="AI1365" s="86">
        <f>AVERAGEIFS($I$2:I1365, $B$2:B1365, B1365)</f>
        <v>0.47297297297297297</v>
      </c>
      <c r="AJ1365" s="86">
        <f>AVERAGEIFS($J$2:J1365, $B$2:B1365, B1365)</f>
        <v>0.49189189189189197</v>
      </c>
      <c r="AK1365" s="86">
        <f>AVERAGEIFS($D$2:D1365, $B$2:B1365, B1365)</f>
        <v>0.40540540540540543</v>
      </c>
    </row>
    <row r="1366" spans="1:37" x14ac:dyDescent="0.25">
      <c r="A1366" s="85">
        <v>46173</v>
      </c>
      <c r="B1366" t="s">
        <v>113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 s="86">
        <f>AVERAGEIFS($C$2:C1366, $B$2:B1366, B1366)</f>
        <v>18.622641509433961</v>
      </c>
      <c r="AI1366" s="86">
        <f>AVERAGEIFS($I$2:I1366, $B$2:B1366, B1366)</f>
        <v>0.55094339622641508</v>
      </c>
      <c r="AJ1366" s="86">
        <f>AVERAGEIFS($J$2:J1366, $B$2:B1366, B1366)</f>
        <v>0.52207547169811319</v>
      </c>
      <c r="AK1366" s="86">
        <f>AVERAGEIFS($D$2:D1366, $B$2:B1366, B1366)</f>
        <v>0.54716981132075471</v>
      </c>
    </row>
    <row r="1367" spans="1:37" x14ac:dyDescent="0.25">
      <c r="A1367" s="85">
        <v>46173</v>
      </c>
      <c r="B1367" t="s">
        <v>40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X1367">
        <v>0</v>
      </c>
      <c r="Y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1</v>
      </c>
      <c r="AH1367" s="86">
        <f>AVERAGEIFS($C$2:C1367, $B$2:B1367, B1367)</f>
        <v>18.513513513513512</v>
      </c>
      <c r="AI1367" s="86">
        <f>AVERAGEIFS($I$2:I1367, $B$2:B1367, B1367)</f>
        <v>0.48243243243243228</v>
      </c>
      <c r="AJ1367" s="86">
        <f>AVERAGEIFS($J$2:J1367, $B$2:B1367, B1367)</f>
        <v>0.48310810810810828</v>
      </c>
      <c r="AK1367" s="86">
        <f>AVERAGEIFS($D$2:D1367, $B$2:B1367, B1367)</f>
        <v>0.43243243243243246</v>
      </c>
    </row>
    <row r="1368" spans="1:37" x14ac:dyDescent="0.25">
      <c r="A1368" s="85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1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1</v>
      </c>
      <c r="AH1368" s="86">
        <f>AVERAGEIFS($C$2:C1368, $B$2:B1368, B1368)</f>
        <v>23.632183908045977</v>
      </c>
      <c r="AI1368" s="86">
        <f>AVERAGEIFS($I$2:I1368, $B$2:B1368, B1368)</f>
        <v>0.56471264367816099</v>
      </c>
      <c r="AJ1368" s="86">
        <f>AVERAGEIFS($J$2:J1368, $B$2:B1368, B1368)</f>
        <v>0.53149425287356311</v>
      </c>
      <c r="AK1368" s="86">
        <f>AVERAGEIFS($D$2:D1368, $B$2:B1368, B1368)</f>
        <v>0.63218390804597702</v>
      </c>
    </row>
    <row r="1369" spans="1:37" x14ac:dyDescent="0.25">
      <c r="A1369" s="85">
        <v>46173</v>
      </c>
      <c r="B1369" t="s">
        <v>71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1</v>
      </c>
      <c r="AH1369" s="86">
        <f>AVERAGEIFS($C$2:C1369, $B$2:B1369, B1369)</f>
        <v>15.9</v>
      </c>
      <c r="AI1369" s="86">
        <f>AVERAGEIFS($I$2:I1369, $B$2:B1369, B1369)</f>
        <v>0.49000000000000005</v>
      </c>
      <c r="AJ1369" s="86">
        <f>AVERAGEIFS($J$2:J1369, $B$2:B1369, B1369)</f>
        <v>0.48424999999999985</v>
      </c>
      <c r="AK1369" s="86">
        <f>AVERAGEIFS($D$2:D1369, $B$2:B1369, B1369)</f>
        <v>0.55000000000000004</v>
      </c>
    </row>
    <row r="1370" spans="1:37" x14ac:dyDescent="0.25">
      <c r="A1370" s="85">
        <v>46173</v>
      </c>
      <c r="B1370" t="s">
        <v>53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1</v>
      </c>
      <c r="AH1370" s="86">
        <f>AVERAGEIFS($C$2:C1370, $B$2:B1370, B1370)</f>
        <v>15.59375</v>
      </c>
      <c r="AI1370" s="86">
        <f>AVERAGEIFS($I$2:I1370, $B$2:B1370, B1370)</f>
        <v>0.49218750000000006</v>
      </c>
      <c r="AJ1370" s="86">
        <f>AVERAGEIFS($J$2:J1370, $B$2:B1370, B1370)</f>
        <v>0.49343750000000008</v>
      </c>
      <c r="AK1370" s="86">
        <f>AVERAGEIFS($D$2:D1370, $B$2:B1370, B1370)</f>
        <v>0.40625</v>
      </c>
    </row>
    <row r="1371" spans="1:37" x14ac:dyDescent="0.25">
      <c r="A1371" s="85">
        <v>46173</v>
      </c>
      <c r="B1371" t="s">
        <v>25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1</v>
      </c>
      <c r="AH1371" s="86">
        <f>AVERAGEIFS($C$2:C1371, $B$2:B1371, B1371)</f>
        <v>12.5</v>
      </c>
      <c r="AI1371" s="86">
        <f>AVERAGEIFS($I$2:I1371, $B$2:B1371, B1371)</f>
        <v>0.64375000000000004</v>
      </c>
      <c r="AJ1371" s="86">
        <f>AVERAGEIFS($J$2:J1371, $B$2:B1371, B1371)</f>
        <v>0.60875000000000012</v>
      </c>
      <c r="AK1371" s="86">
        <f>AVERAGEIFS($D$2:D1371, $B$2:B1371, B1371)</f>
        <v>0.625</v>
      </c>
    </row>
    <row r="1372" spans="1:37" x14ac:dyDescent="0.25">
      <c r="A1372" s="85">
        <v>46173</v>
      </c>
      <c r="B1372" t="s">
        <v>148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1</v>
      </c>
      <c r="AH1372" s="86">
        <f>AVERAGEIFS($C$2:C1372, $B$2:B1372, B1372)</f>
        <v>8.7142857142857135</v>
      </c>
      <c r="AI1372" s="86">
        <f>AVERAGEIFS($I$2:I1372, $B$2:B1372, B1372)</f>
        <v>0.40714285714285714</v>
      </c>
      <c r="AJ1372" s="86">
        <f>AVERAGEIFS($J$2:J1372, $B$2:B1372, B1372)</f>
        <v>0.45071428571428562</v>
      </c>
      <c r="AK1372" s="86">
        <f>AVERAGEIFS($D$2:D1372, $B$2:B1372, B1372)</f>
        <v>0.42857142857142855</v>
      </c>
    </row>
    <row r="1373" spans="1:37" x14ac:dyDescent="0.25">
      <c r="A1373" s="85">
        <v>46175</v>
      </c>
      <c r="B1373" t="s">
        <v>42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1</v>
      </c>
      <c r="AF1373">
        <v>0</v>
      </c>
      <c r="AG1373">
        <v>0</v>
      </c>
      <c r="AH1373" s="86">
        <f>AVERAGEIFS($C$2:C1373, $B$2:B1373, B1373)</f>
        <v>18.05</v>
      </c>
      <c r="AI1373" s="86">
        <f>AVERAGEIFS($I$2:I1373, $B$2:B1373, B1373)</f>
        <v>0.45833333333333331</v>
      </c>
      <c r="AJ1373" s="86">
        <f>AVERAGEIFS($J$2:J1373, $B$2:B1373, B1373)</f>
        <v>0.46416666666666651</v>
      </c>
      <c r="AK1373" s="86">
        <f>AVERAGEIFS($D$2:D1373, $B$2:B1373, B1373)</f>
        <v>0.45</v>
      </c>
    </row>
    <row r="1374" spans="1:37" x14ac:dyDescent="0.25">
      <c r="A1374" s="85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1</v>
      </c>
      <c r="AF1374">
        <v>0</v>
      </c>
      <c r="AG1374">
        <v>0</v>
      </c>
      <c r="AH1374" s="86">
        <f>AVERAGEIFS($C$2:C1374, $B$2:B1374, B1374)</f>
        <v>24.918367346938776</v>
      </c>
      <c r="AI1374" s="86">
        <f>AVERAGEIFS($I$2:I1374, $B$2:B1374, B1374)</f>
        <v>0.45</v>
      </c>
      <c r="AJ1374" s="86">
        <f>AVERAGEIFS($J$2:J1374, $B$2:B1374, B1374)</f>
        <v>0.47183673469387744</v>
      </c>
      <c r="AK1374" s="86">
        <f>AVERAGEIFS($D$2:D1374, $B$2:B1374, B1374)</f>
        <v>0.38775510204081631</v>
      </c>
    </row>
    <row r="1375" spans="1:37" x14ac:dyDescent="0.25">
      <c r="A1375" s="85">
        <v>46175</v>
      </c>
      <c r="B1375" t="s">
        <v>40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1</v>
      </c>
      <c r="AF1375">
        <v>0</v>
      </c>
      <c r="AG1375">
        <v>0</v>
      </c>
      <c r="AH1375" s="86">
        <f>AVERAGEIFS($C$2:C1375, $B$2:B1375, B1375)</f>
        <v>18.773333333333333</v>
      </c>
      <c r="AI1375" s="86">
        <f>AVERAGEIFS($I$2:I1375, $B$2:B1375, B1375)</f>
        <v>0.48133333333333317</v>
      </c>
      <c r="AJ1375" s="86">
        <f>AVERAGEIFS($J$2:J1375, $B$2:B1375, B1375)</f>
        <v>0.48360000000000025</v>
      </c>
      <c r="AK1375" s="86">
        <f>AVERAGEIFS($D$2:D1375, $B$2:B1375, B1375)</f>
        <v>0.42666666666666669</v>
      </c>
    </row>
    <row r="1376" spans="1:37" x14ac:dyDescent="0.25">
      <c r="A1376" s="85">
        <v>46175</v>
      </c>
      <c r="B1376" t="s">
        <v>54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1</v>
      </c>
      <c r="AF1376">
        <v>0</v>
      </c>
      <c r="AG1376">
        <v>0</v>
      </c>
      <c r="AH1376" s="86">
        <f>AVERAGEIFS($C$2:C1376, $B$2:B1376, B1376)</f>
        <v>23.671232876712327</v>
      </c>
      <c r="AI1376" s="86">
        <f>AVERAGEIFS($I$2:I1376, $B$2:B1376, B1376)</f>
        <v>0.5338356164383562</v>
      </c>
      <c r="AJ1376" s="86">
        <f>AVERAGEIFS($J$2:J1376, $B$2:B1376, B1376)</f>
        <v>0.51301369863013702</v>
      </c>
      <c r="AK1376" s="86">
        <f>AVERAGEIFS($D$2:D1376, $B$2:B1376, B1376)</f>
        <v>0.54794520547945202</v>
      </c>
    </row>
    <row r="1377" spans="1:37" x14ac:dyDescent="0.25">
      <c r="A1377" s="85">
        <v>46175</v>
      </c>
      <c r="B1377" t="s">
        <v>147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1</v>
      </c>
      <c r="AF1377">
        <v>0</v>
      </c>
      <c r="AG1377">
        <v>0</v>
      </c>
      <c r="AH1377" s="86">
        <f>AVERAGEIFS($C$2:C1377, $B$2:B1377, B1377)</f>
        <v>15.148936170212766</v>
      </c>
      <c r="AI1377" s="86">
        <f>AVERAGEIFS($I$2:I1377, $B$2:B1377, B1377)</f>
        <v>0.55744680851063833</v>
      </c>
      <c r="AJ1377" s="86">
        <f>AVERAGEIFS($J$2:J1377, $B$2:B1377, B1377)</f>
        <v>0.5306382978723404</v>
      </c>
      <c r="AK1377" s="86">
        <f>AVERAGEIFS($D$2:D1377, $B$2:B1377, B1377)</f>
        <v>0.55319148936170215</v>
      </c>
    </row>
    <row r="1378" spans="1:37" x14ac:dyDescent="0.25">
      <c r="A1378" s="85">
        <v>46175</v>
      </c>
      <c r="B1378" t="s">
        <v>50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1</v>
      </c>
      <c r="AF1378">
        <v>0</v>
      </c>
      <c r="AG1378">
        <v>0</v>
      </c>
      <c r="AH1378" s="86">
        <f>AVERAGEIFS($C$2:C1378, $B$2:B1378, B1378)</f>
        <v>18.173076923076923</v>
      </c>
      <c r="AI1378" s="86">
        <f>AVERAGEIFS($I$2:I1378, $B$2:B1378, B1378)</f>
        <v>0.4957692307692308</v>
      </c>
      <c r="AJ1378" s="86">
        <f>AVERAGEIFS($J$2:J1378, $B$2:B1378, B1378)</f>
        <v>0.5099999999999999</v>
      </c>
      <c r="AK1378" s="86">
        <f>AVERAGEIFS($D$2:D1378, $B$2:B1378, B1378)</f>
        <v>0.48076923076923078</v>
      </c>
    </row>
    <row r="1379" spans="1:37" x14ac:dyDescent="0.25">
      <c r="A1379" s="85">
        <v>46175</v>
      </c>
      <c r="B1379" t="s">
        <v>44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1</v>
      </c>
      <c r="AF1379">
        <v>0</v>
      </c>
      <c r="AG1379">
        <v>0</v>
      </c>
      <c r="AH1379" s="86">
        <f>AVERAGEIFS($C$2:C1379, $B$2:B1379, B1379)</f>
        <v>16.696428571428573</v>
      </c>
      <c r="AI1379" s="86">
        <f>AVERAGEIFS($I$2:I1379, $B$2:B1379, B1379)</f>
        <v>0.52767857142857133</v>
      </c>
      <c r="AJ1379" s="86">
        <f>AVERAGEIFS($J$2:J1379, $B$2:B1379, B1379)</f>
        <v>0.52732142857142861</v>
      </c>
      <c r="AK1379" s="86">
        <f>AVERAGEIFS($D$2:D1379, $B$2:B1379, B1379)</f>
        <v>0.5714285714285714</v>
      </c>
    </row>
    <row r="1380" spans="1:37" x14ac:dyDescent="0.25">
      <c r="A1380" s="85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1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0</v>
      </c>
      <c r="AG1380">
        <v>0</v>
      </c>
      <c r="AH1380" s="86">
        <f>AVERAGEIFS($C$2:C1380, $B$2:B1380, B1380)</f>
        <v>27.272727272727273</v>
      </c>
      <c r="AI1380" s="86">
        <f>AVERAGEIFS($I$2:I1380, $B$2:B1380, B1380)</f>
        <v>0.49886363636363645</v>
      </c>
      <c r="AJ1380" s="86">
        <f>AVERAGEIFS($J$2:J1380, $B$2:B1380, B1380)</f>
        <v>0.4990909090909092</v>
      </c>
      <c r="AK1380" s="86">
        <f>AVERAGEIFS($D$2:D1380, $B$2:B1380, B1380)</f>
        <v>0.52272727272727271</v>
      </c>
    </row>
    <row r="1381" spans="1:37" x14ac:dyDescent="0.25">
      <c r="A1381" s="85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1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0</v>
      </c>
      <c r="AG1381">
        <v>0</v>
      </c>
      <c r="AH1381" s="86">
        <f>AVERAGEIFS($C$2:C1381, $B$2:B1381, B1381)</f>
        <v>24.413793103448278</v>
      </c>
      <c r="AI1381" s="86">
        <f>AVERAGEIFS($I$2:I1381, $B$2:B1381, B1381)</f>
        <v>0.50913793103448268</v>
      </c>
      <c r="AJ1381" s="86">
        <f>AVERAGEIFS($J$2:J1381, $B$2:B1381, B1381)</f>
        <v>0.52810344827586209</v>
      </c>
      <c r="AK1381" s="86">
        <f>AVERAGEIFS($D$2:D1381, $B$2:B1381, B1381)</f>
        <v>0.48275862068965519</v>
      </c>
    </row>
    <row r="1382" spans="1:37" x14ac:dyDescent="0.25">
      <c r="A1382" s="85">
        <v>46175</v>
      </c>
      <c r="B1382" t="s">
        <v>150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1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0</v>
      </c>
      <c r="AG1382">
        <v>0</v>
      </c>
      <c r="AH1382" s="86">
        <f>AVERAGEIFS($C$2:C1382, $B$2:B1382, B1382)</f>
        <v>19.685714285714287</v>
      </c>
      <c r="AI1382" s="86">
        <f>AVERAGEIFS($I$2:I1382, $B$2:B1382, B1382)</f>
        <v>0.56000000000000005</v>
      </c>
      <c r="AJ1382" s="86">
        <f>AVERAGEIFS($J$2:J1382, $B$2:B1382, B1382)</f>
        <v>0.54342857142857137</v>
      </c>
      <c r="AK1382" s="86">
        <f>AVERAGEIFS($D$2:D1382, $B$2:B1382, B1382)</f>
        <v>0.6</v>
      </c>
    </row>
    <row r="1383" spans="1:37" x14ac:dyDescent="0.25">
      <c r="A1383" s="85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1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0</v>
      </c>
      <c r="AG1383">
        <v>0</v>
      </c>
      <c r="AH1383" s="86">
        <f>AVERAGEIFS($C$2:C1383, $B$2:B1383, B1383)</f>
        <v>23.806818181818183</v>
      </c>
      <c r="AI1383" s="86">
        <f>AVERAGEIFS($I$2:I1383, $B$2:B1383, B1383)</f>
        <v>0.56511363636363654</v>
      </c>
      <c r="AJ1383" s="86">
        <f>AVERAGEIFS($J$2:J1383, $B$2:B1383, B1383)</f>
        <v>0.53090909090909078</v>
      </c>
      <c r="AK1383" s="86">
        <f>AVERAGEIFS($D$2:D1383, $B$2:B1383, B1383)</f>
        <v>0.63636363636363635</v>
      </c>
    </row>
    <row r="1384" spans="1:37" x14ac:dyDescent="0.25">
      <c r="A1384" s="85">
        <v>46175</v>
      </c>
      <c r="B1384" t="s">
        <v>141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0</v>
      </c>
      <c r="AG1384">
        <v>0</v>
      </c>
      <c r="AH1384" s="86">
        <f>AVERAGEIFS($C$2:C1384, $B$2:B1384, B1384)</f>
        <v>19.28125</v>
      </c>
      <c r="AI1384" s="86">
        <f>AVERAGEIFS($I$2:I1384, $B$2:B1384, B1384)</f>
        <v>0.49687499999999996</v>
      </c>
      <c r="AJ1384" s="86">
        <f>AVERAGEIFS($J$2:J1384, $B$2:B1384, B1384)</f>
        <v>0.50000000000000011</v>
      </c>
      <c r="AK1384" s="86">
        <f>AVERAGEIFS($D$2:D1384, $B$2:B1384, B1384)</f>
        <v>0.625</v>
      </c>
    </row>
    <row r="1385" spans="1:37" x14ac:dyDescent="0.25">
      <c r="A1385" s="85">
        <v>46175</v>
      </c>
      <c r="B1385" t="s">
        <v>140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0</v>
      </c>
      <c r="AG1385">
        <v>0</v>
      </c>
      <c r="AH1385" s="86">
        <f>AVERAGEIFS($C$2:C1385, $B$2:B1385, B1385)</f>
        <v>12.96</v>
      </c>
      <c r="AI1385" s="86">
        <f>AVERAGEIFS($I$2:I1385, $B$2:B1385, B1385)</f>
        <v>0.50800000000000001</v>
      </c>
      <c r="AJ1385" s="86">
        <f>AVERAGEIFS($J$2:J1385, $B$2:B1385, B1385)</f>
        <v>0.49479999999999996</v>
      </c>
      <c r="AK1385" s="86">
        <f>AVERAGEIFS($D$2:D1385, $B$2:B1385, B1385)</f>
        <v>0.48</v>
      </c>
    </row>
    <row r="1386" spans="1:37" x14ac:dyDescent="0.25">
      <c r="A1386" s="85">
        <v>46175</v>
      </c>
      <c r="B1386" t="s">
        <v>161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0</v>
      </c>
      <c r="AG1386">
        <v>0</v>
      </c>
      <c r="AH1386" s="86">
        <f>AVERAGEIFS($C$2:C1386, $B$2:B1386, B1386)</f>
        <v>11.222222222222221</v>
      </c>
      <c r="AI1386" s="86">
        <f>AVERAGEIFS($I$2:I1386, $B$2:B1386, B1386)</f>
        <v>0.49722222222222218</v>
      </c>
      <c r="AJ1386" s="86">
        <f>AVERAGEIFS($J$2:J1386, $B$2:B1386, B1386)</f>
        <v>0.48833333333333329</v>
      </c>
      <c r="AK1386" s="86">
        <f>AVERAGEIFS($D$2:D1386, $B$2:B1386, B1386)</f>
        <v>0.55555555555555558</v>
      </c>
    </row>
  </sheetData>
  <autoFilter ref="A1:AK90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5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B44" sqref="B44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178</v>
      </c>
      <c r="G2" s="66">
        <f>AVERAGEIFS('BA History S2'!C:C,'BA History S2'!B:B,A2)</f>
        <v>12.714285714285714</v>
      </c>
      <c r="H2" s="35">
        <f t="array" ref="H2">MAX(IF('BA History S2'!B:B=A2, 'BA History S2'!C:C))</f>
        <v>22</v>
      </c>
      <c r="I2" s="34">
        <f>COUNTIFS('BA History S2'!B:B,A2,'BA History S2'!D:D, 1)</f>
        <v>7</v>
      </c>
      <c r="J2" s="2">
        <f>COUNTIFS('BA History S2'!B:B,A2,'BA History S2'!D:D, 0)</f>
        <v>7</v>
      </c>
      <c r="K2" s="75">
        <f>LOOKUP(2, 1/('BA History S2'!$B:$B=A2), 'BA History S2'!$AK:$AK)</f>
        <v>0.5</v>
      </c>
      <c r="L2" s="34">
        <f>SUMIFS('BA History S2'!F:F,'BA History S2'!B:B,A2)</f>
        <v>31</v>
      </c>
      <c r="M2" s="2">
        <f>SUMIFS('BA History S2'!E:E,'BA History S2'!B:B,A2)-L2</f>
        <v>28</v>
      </c>
      <c r="N2" s="75">
        <f>LOOKUP(2, 1/('BA History S2'!$B:$B=A2), 'BA History S2'!$AI:$AI)</f>
        <v>0.53928571428571437</v>
      </c>
      <c r="O2" s="34">
        <f>SUMIFS('BA History S2'!H:H,'BA History S2'!B:B,A2)</f>
        <v>124</v>
      </c>
      <c r="P2" s="2">
        <f>SUMIFS('BA History S2'!G:G,'BA History S2'!B:B,A2)-O2</f>
        <v>123</v>
      </c>
      <c r="Q2" s="89">
        <f>LOOKUP(2, 1/('BA History S2'!$B:$B=A2), 'BA History S2'!$AJ:$AJ)</f>
        <v>0.51214285714285712</v>
      </c>
      <c r="R2" s="2">
        <f>COUNTIFS('BA History S2'!$B:$B,$A$2,'BA History S2'!K:K, 1)</f>
        <v>1</v>
      </c>
      <c r="S2" s="2">
        <f>COUNTIFS('BA History S2'!$B:$B,$A$2,'BA History S2'!L:L, 1)</f>
        <v>1</v>
      </c>
      <c r="T2" s="2">
        <f>COUNTIFS('BA History S2'!$B:$B,$A$2,'BA History S2'!M:M, 1)</f>
        <v>3</v>
      </c>
      <c r="U2" s="2">
        <f>COUNTIFS('BA History S2'!$B:$B,$A$2,'BA History S2'!N:N, 1)</f>
        <v>3</v>
      </c>
      <c r="V2" s="2">
        <f>COUNTIFS('BA History S2'!$B:$B,$A$2,'BA History S2'!O:O, 1)</f>
        <v>3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2</v>
      </c>
      <c r="AG2" s="2">
        <f>COUNTIFS('BA History S2'!$B:$B,$A$2,'BA History S2'!Z:Z, 1)</f>
        <v>6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5</v>
      </c>
      <c r="AK2" s="2">
        <f>COUNTIFS('BA History S2'!$B:$B,$A$2,'BA History S2'!AD:AD, 1)</f>
        <v>1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2</v>
      </c>
    </row>
    <row r="3" spans="1:40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 S2'!C:C,'BA History S2'!B:B,A3)</f>
        <v>119</v>
      </c>
      <c r="G3" s="66">
        <f>AVERAGEIFS('BA History S2'!C:C,'BA History S2'!B:B,A3)</f>
        <v>19.833333333333332</v>
      </c>
      <c r="H3" s="35">
        <f t="array" ref="H3">MAX(IF('BA History S2'!B:B=A3, 'BA History S2'!C:C))</f>
        <v>27</v>
      </c>
      <c r="I3" s="34">
        <f>COUNTIFS('BA History S2'!B:B,A3,'BA History S2'!D:D, 1)</f>
        <v>5</v>
      </c>
      <c r="J3" s="2">
        <f>COUNTIFS('BA History S2'!B:B,A3,'BA History S2'!D:D, 0)</f>
        <v>1</v>
      </c>
      <c r="K3" s="75">
        <f>LOOKUP(2, 1/('BA History S2'!$B:$B=A3), 'BA History S2'!$AK:$AK)</f>
        <v>0.83333333333333337</v>
      </c>
      <c r="L3" s="34">
        <f>SUMIFS('BA History S2'!F:F,'BA History S2'!B:B,A3)</f>
        <v>16</v>
      </c>
      <c r="M3" s="2">
        <f>SUMIFS('BA History S2'!E:E,'BA History S2'!B:B,A3)-L3</f>
        <v>7</v>
      </c>
      <c r="N3" s="75">
        <f>LOOKUP(2, 1/('BA History S2'!$B:$B=A3), 'BA History S2'!$AI:$AI)</f>
        <v>0.70833333333333337</v>
      </c>
      <c r="O3" s="34">
        <f>SUMIFS('BA History S2'!H:H,'BA History S2'!B:B,A3)</f>
        <v>55</v>
      </c>
      <c r="P3" s="2">
        <f>SUMIFS('BA History S2'!G:G,'BA History S2'!B:B,A3)-O3</f>
        <v>42</v>
      </c>
      <c r="Q3" s="89">
        <f>LOOKUP(2, 1/('BA History S2'!$B:$B=A3), 'BA History S2'!$AJ:$AJ)</f>
        <v>0.56999999999999995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2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2</v>
      </c>
      <c r="Z3" s="2">
        <f>COUNTIFS('BA History S2'!$B:$B,$A$3,'BA History S2'!S:S, 1)</f>
        <v>2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1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2</v>
      </c>
      <c r="AK3" s="2">
        <f>COUNTIFS('BA History S2'!$B:$B,$A$3,'BA History S2'!AD:AD, 1)</f>
        <v>0</v>
      </c>
      <c r="AL3" s="2">
        <f>COUNTIFS('BA History S2'!$B:$B,$A$3,'BA History S2'!AE:AE, 1)</f>
        <v>2</v>
      </c>
      <c r="AM3" s="2">
        <f>COUNTIFS('BA History S2'!$B:$B,$A$3,'BA History S2'!AF:AF, 1)</f>
        <v>0</v>
      </c>
      <c r="AN3" s="2">
        <f>COUNTIFS('BA History S2'!$B:$B,$A$3,'BA History S2'!AG:AG, 1)</f>
        <v>2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418</v>
      </c>
      <c r="G4" s="66">
        <f>AVERAGEIFS('BA History S2'!C:C,'BA History S2'!B:B,A4)</f>
        <v>18.173913043478262</v>
      </c>
      <c r="H4" s="35">
        <f t="array" ref="H4">MAX(IF('BA History S2'!B:B=A4, 'BA History S2'!C:C))</f>
        <v>44</v>
      </c>
      <c r="I4" s="34">
        <f>COUNTIFS('BA History S2'!B:B,A4,'BA History S2'!D:D, 1)</f>
        <v>12</v>
      </c>
      <c r="J4" s="2">
        <f>COUNTIFS('BA History S2'!B:B,A4,'BA History S2'!D:D, 0)</f>
        <v>11</v>
      </c>
      <c r="K4" s="75">
        <f>LOOKUP(2, 1/('BA History S2'!$B:$B=A4), 'BA History S2'!$AK:$AK)</f>
        <v>0.52173913043478259</v>
      </c>
      <c r="L4" s="34">
        <f>SUMIFS('BA History S2'!F:F,'BA History S2'!B:B,A4)</f>
        <v>49</v>
      </c>
      <c r="M4" s="2">
        <f>SUMIFS('BA History S2'!E:E,'BA History S2'!B:B,A4)-L4</f>
        <v>48</v>
      </c>
      <c r="N4" s="75">
        <f>LOOKUP(2, 1/('BA History S2'!$B:$B=A4), 'BA History S2'!$AI:$AI)</f>
        <v>0.5</v>
      </c>
      <c r="O4" s="34">
        <f>SUMIFS('BA History S2'!H:H,'BA History S2'!B:B,A4)</f>
        <v>206</v>
      </c>
      <c r="P4" s="2">
        <f>SUMIFS('BA History S2'!G:G,'BA History S2'!B:B,A4)-O4</f>
        <v>214</v>
      </c>
      <c r="Q4" s="89">
        <f>LOOKUP(2, 1/('BA History S2'!$B:$B=A4), 'BA History S2'!$AJ:$AJ)</f>
        <v>0.48826086956521741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6</v>
      </c>
      <c r="U4" s="2">
        <f>COUNTIFS('BA History S2'!$B:$B,$A$4,'BA History S2'!N:N, 1)</f>
        <v>4</v>
      </c>
      <c r="V4" s="2">
        <f>COUNTIFS('BA History S2'!$B:$B,$A$4,'BA History S2'!O:O, 1)</f>
        <v>1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2</v>
      </c>
      <c r="AC4" s="2">
        <f>COUNTIFS('BA History S2'!$B:$B,$A$4,'BA History S2'!V:V, 1)</f>
        <v>3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4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7</v>
      </c>
      <c r="AK4" s="2">
        <f>COUNTIFS('BA History S2'!$B:$B,$A$4,'BA History S2'!AD:AD, 1)</f>
        <v>1</v>
      </c>
      <c r="AL4" s="2">
        <f>COUNTIFS('BA History S2'!$B:$B,$A$4,'BA History S2'!AE:AE, 1)</f>
        <v>3</v>
      </c>
      <c r="AM4" s="2">
        <f>COUNTIFS('BA History S2'!$B:$B,$A$4,'BA History S2'!AF:AF, 1)</f>
        <v>1</v>
      </c>
      <c r="AN4" s="2">
        <f>COUNTIFS('BA History S2'!$B:$B,$A$4,'BA History S2'!AG:AG, 1)</f>
        <v>5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70</v>
      </c>
      <c r="G5" s="66">
        <f>AVERAGEIFS('BA History S2'!C:C,'BA History S2'!B:B,A5)</f>
        <v>7</v>
      </c>
      <c r="H5" s="35">
        <f t="array" ref="H5">MAX(IF('BA History S2'!B:B=A5, 'BA History S2'!C:C))</f>
        <v>11</v>
      </c>
      <c r="I5" s="34">
        <f>COUNTIFS('BA History S2'!B:B,A5,'BA History S2'!D:D, 1)</f>
        <v>3</v>
      </c>
      <c r="J5" s="2">
        <f>COUNTIFS('BA History S2'!B:B,A5,'BA History S2'!D:D, 0)</f>
        <v>7</v>
      </c>
      <c r="K5" s="75">
        <f>LOOKUP(2, 1/('BA History S2'!$B:$B=A5), 'BA History S2'!$AK:$AK)</f>
        <v>0.3</v>
      </c>
      <c r="L5" s="34">
        <f>SUMIFS('BA History S2'!F:F,'BA History S2'!B:B,A5)</f>
        <v>16</v>
      </c>
      <c r="M5" s="2">
        <f>SUMIFS('BA History S2'!E:E,'BA History S2'!B:B,A5)-L5</f>
        <v>24</v>
      </c>
      <c r="N5" s="75">
        <f>LOOKUP(2, 1/('BA History S2'!$B:$B=A5), 'BA History S2'!$AI:$AI)</f>
        <v>0.39</v>
      </c>
      <c r="O5" s="34">
        <f>SUMIFS('BA History S2'!H:H,'BA History S2'!B:B,A5)</f>
        <v>74</v>
      </c>
      <c r="P5" s="2">
        <f>SUMIFS('BA History S2'!G:G,'BA History S2'!B:B,A5)-O5</f>
        <v>90</v>
      </c>
      <c r="Q5" s="89">
        <f>LOOKUP(2, 1/('BA History S2'!$B:$B=A5), 'BA History S2'!$AJ:$AJ)</f>
        <v>0.46000000000000008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2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1</v>
      </c>
      <c r="AC5" s="2">
        <f>COUNTIFS('BA History S2'!$B:$B,$A$5,'BA History S2'!V:V, 1)</f>
        <v>1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3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553</v>
      </c>
      <c r="G6" s="66">
        <f>AVERAGEIFS('BA History S2'!C:C,'BA History S2'!B:B,A6)</f>
        <v>17.28125</v>
      </c>
      <c r="H6" s="35">
        <f t="array" ref="H6">MAX(IF('BA History S2'!B:B=A6, 'BA History S2'!C:C))</f>
        <v>40</v>
      </c>
      <c r="I6" s="34">
        <f>COUNTIFS('BA History S2'!B:B,A6,'BA History S2'!D:D, 1)</f>
        <v>14</v>
      </c>
      <c r="J6" s="2">
        <f>COUNTIFS('BA History S2'!B:B,A6,'BA History S2'!D:D, 0)</f>
        <v>18</v>
      </c>
      <c r="K6" s="75">
        <f>LOOKUP(2, 1/('BA History S2'!$B:$B=A6), 'BA History S2'!$AK:$AK)</f>
        <v>0.4375</v>
      </c>
      <c r="L6" s="34">
        <f>SUMIFS('BA History S2'!F:F,'BA History S2'!B:B,A6)</f>
        <v>61</v>
      </c>
      <c r="M6" s="2">
        <f>SUMIFS('BA History S2'!E:E,'BA History S2'!B:B,A6)-L6</f>
        <v>69</v>
      </c>
      <c r="N6" s="75">
        <f>LOOKUP(2, 1/('BA History S2'!$B:$B=A6), 'BA History S2'!$AI:$AI)</f>
        <v>0.46875</v>
      </c>
      <c r="O6" s="34">
        <f>SUMIFS('BA History S2'!H:H,'BA History S2'!B:B,A6)</f>
        <v>262</v>
      </c>
      <c r="P6" s="2">
        <f>SUMIFS('BA History S2'!G:G,'BA History S2'!B:B,A6)-O6</f>
        <v>283</v>
      </c>
      <c r="Q6" s="89">
        <f>LOOKUP(2, 1/('BA History S2'!$B:$B=A6), 'BA History S2'!$AJ:$AJ)</f>
        <v>0.47312500000000007</v>
      </c>
      <c r="R6" s="2">
        <f>COUNTIFS('BA History S2'!$B:$B,$A$6,'BA History S2'!K:K, 1)</f>
        <v>6</v>
      </c>
      <c r="S6" s="2">
        <f>COUNTIFS('BA History S2'!$B:$B,$A$6,'BA History S2'!L:L, 1)</f>
        <v>2</v>
      </c>
      <c r="T6" s="2">
        <f>COUNTIFS('BA History S2'!$B:$B,$A$6,'BA History S2'!M:M, 1)</f>
        <v>6</v>
      </c>
      <c r="U6" s="2">
        <f>COUNTIFS('BA History S2'!$B:$B,$A$6,'BA History S2'!N:N, 1)</f>
        <v>4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2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5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11</v>
      </c>
      <c r="AK6" s="2">
        <f>COUNTIFS('BA History S2'!$B:$B,$A$6,'BA History S2'!AD:AD, 1)</f>
        <v>3</v>
      </c>
      <c r="AL6" s="2">
        <f>COUNTIFS('BA History S2'!$B:$B,$A$6,'BA History S2'!AE:AE, 1)</f>
        <v>6</v>
      </c>
      <c r="AM6" s="2">
        <f>COUNTIFS('BA History S2'!$B:$B,$A$6,'BA History S2'!AF:AF, 1)</f>
        <v>0</v>
      </c>
      <c r="AN6" s="2">
        <f>COUNTIFS('BA History S2'!$B:$B,$A$6,'BA History S2'!AG:AG, 1)</f>
        <v>4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279</v>
      </c>
      <c r="G7" s="66">
        <f>AVERAGEIFS('BA History S2'!C:C,'BA History S2'!B:B,A7)</f>
        <v>18.600000000000001</v>
      </c>
      <c r="H7" s="35">
        <f t="array" ref="H7">MAX(IF('BA History S2'!B:B=A7, 'BA History S2'!C:C))</f>
        <v>30</v>
      </c>
      <c r="I7" s="34">
        <f>COUNTIFS('BA History S2'!B:B,A7,'BA History S2'!D:D, 1)</f>
        <v>7</v>
      </c>
      <c r="J7" s="2">
        <f>COUNTIFS('BA History S2'!B:B,A7,'BA History S2'!D:D, 0)</f>
        <v>8</v>
      </c>
      <c r="K7" s="75">
        <f>LOOKUP(2, 1/('BA History S2'!$B:$B=A7), 'BA History S2'!$AK:$AK)</f>
        <v>0.46666666666666667</v>
      </c>
      <c r="L7" s="34">
        <f>SUMIFS('BA History S2'!F:F,'BA History S2'!B:B,A7)</f>
        <v>32</v>
      </c>
      <c r="M7" s="2">
        <f>SUMIFS('BA History S2'!E:E,'BA History S2'!B:B,A7)-L7</f>
        <v>32</v>
      </c>
      <c r="N7" s="75">
        <f>LOOKUP(2, 1/('BA History S2'!$B:$B=A7), 'BA History S2'!$AI:$AI)</f>
        <v>0.5033333333333333</v>
      </c>
      <c r="O7" s="34">
        <f>SUMIFS('BA History S2'!H:H,'BA History S2'!B:B,A7)</f>
        <v>131</v>
      </c>
      <c r="P7" s="2">
        <f>SUMIFS('BA History S2'!G:G,'BA History S2'!B:B,A7)-O7</f>
        <v>131</v>
      </c>
      <c r="Q7" s="89">
        <f>LOOKUP(2, 1/('BA History S2'!$B:$B=A7), 'BA History S2'!$AJ:$AJ)</f>
        <v>0.5066666666666666</v>
      </c>
      <c r="R7" s="2">
        <f>COUNTIFS('BA History S2'!$B:$B,$A$7,'BA History S2'!K:K, 1)</f>
        <v>3</v>
      </c>
      <c r="S7" s="2">
        <f>COUNTIFS('BA History S2'!$B:$B,$A$7,'BA History S2'!L:L, 1)</f>
        <v>1</v>
      </c>
      <c r="T7" s="2">
        <f>COUNTIFS('BA History S2'!$B:$B,$A$7,'BA History S2'!M:M, 1)</f>
        <v>1</v>
      </c>
      <c r="U7" s="2">
        <f>COUNTIFS('BA History S2'!$B:$B,$A$7,'BA History S2'!N:N, 1)</f>
        <v>6</v>
      </c>
      <c r="V7" s="2">
        <f>COUNTIFS('BA History S2'!$B:$B,$A$7,'BA History S2'!O:O, 1)</f>
        <v>2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1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2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5</v>
      </c>
      <c r="AK7" s="2">
        <f>COUNTIFS('BA History S2'!$B:$B,$A$7,'BA History S2'!AD:AD, 1)</f>
        <v>0</v>
      </c>
      <c r="AL7" s="2">
        <f>COUNTIFS('BA History S2'!$B:$B,$A$7,'BA History S2'!AE:AE, 1)</f>
        <v>4</v>
      </c>
      <c r="AM7" s="2">
        <f>COUNTIFS('BA History S2'!$B:$B,$A$7,'BA History S2'!AF:AF, 1)</f>
        <v>1</v>
      </c>
      <c r="AN7" s="2">
        <f>COUNTIFS('BA History S2'!$B:$B,$A$7,'BA History S2'!AG:AG, 1)</f>
        <v>3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20</v>
      </c>
      <c r="G8" s="66">
        <f>AVERAGEIFS('BA History S2'!C:C,'BA History S2'!B:B,A8)</f>
        <v>3.3333333333333335</v>
      </c>
      <c r="H8" s="35">
        <f t="array" ref="H8">MAX(IF('BA History S2'!B:B=A8, 'BA History S2'!C:C))</f>
        <v>6</v>
      </c>
      <c r="I8" s="34">
        <f>COUNTIFS('BA History S2'!B:B,A8,'BA History S2'!D:D, 1)</f>
        <v>5</v>
      </c>
      <c r="J8" s="2">
        <f>COUNTIFS('BA History S2'!B:B,A8,'BA History S2'!D:D, 0)</f>
        <v>1</v>
      </c>
      <c r="K8" s="75">
        <f>LOOKUP(2, 1/('BA History S2'!$B:$B=A8), 'BA History S2'!$AK:$AK)</f>
        <v>0.83333333333333337</v>
      </c>
      <c r="L8" s="34">
        <f>SUMIFS('BA History S2'!F:F,'BA History S2'!B:B,A8)</f>
        <v>16</v>
      </c>
      <c r="M8" s="2">
        <f>SUMIFS('BA History S2'!E:E,'BA History S2'!B:B,A8)-L8</f>
        <v>8</v>
      </c>
      <c r="N8" s="75">
        <f>LOOKUP(2, 1/('BA History S2'!$B:$B=A8), 'BA History S2'!$AI:$AI)</f>
        <v>0.68333333333333324</v>
      </c>
      <c r="O8" s="34">
        <f>SUMIFS('BA History S2'!H:H,'BA History S2'!B:B,A8)</f>
        <v>58</v>
      </c>
      <c r="P8" s="2">
        <f>SUMIFS('BA History S2'!G:G,'BA History S2'!B:B,A8)-O8</f>
        <v>45</v>
      </c>
      <c r="Q8" s="89">
        <f>LOOKUP(2, 1/('BA History S2'!$B:$B=A8), 'BA History S2'!$AJ:$AJ)</f>
        <v>0.57499999999999996</v>
      </c>
      <c r="R8" s="2">
        <f>COUNTIFS('BA History S2'!$B:$B,$A$8,'BA History S2'!K:K, 1)</f>
        <v>1</v>
      </c>
      <c r="S8" s="2">
        <f>COUNTIFS('BA History S2'!$B:$B,$A$8,'BA History S2'!L:L, 1)</f>
        <v>1</v>
      </c>
      <c r="T8" s="2">
        <f>COUNTIFS('BA History S2'!$B:$B,$A$8,'BA History S2'!M:M, 1)</f>
        <v>2</v>
      </c>
      <c r="U8" s="2">
        <f>COUNTIFS('BA History S2'!$B:$B,$A$8,'BA History S2'!N:N, 1)</f>
        <v>2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1</v>
      </c>
      <c r="AE8" s="2">
        <f>COUNTIFS('BA History S2'!$B:$B,$A$8,'BA History S2'!X:X, 1)</f>
        <v>0</v>
      </c>
      <c r="AF8" s="2">
        <f>COUNTIFS('BA History S2'!$B:$B,$A$8,'BA History S2'!Y:Y, 1)</f>
        <v>2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2</v>
      </c>
      <c r="AM8" s="2">
        <f>COUNTIFS('BA History S2'!$B:$B,$A$8,'BA History S2'!AF:AF, 1)</f>
        <v>0</v>
      </c>
      <c r="AN8" s="2">
        <f>COUNTIFS('BA History S2'!$B:$B,$A$8,'BA History S2'!AG:AG, 1)</f>
        <v>1</v>
      </c>
    </row>
    <row r="9" spans="1:40" x14ac:dyDescent="0.25">
      <c r="A9" s="2" t="s">
        <v>25</v>
      </c>
      <c r="B9" s="2" t="s">
        <v>79</v>
      </c>
      <c r="C9" s="2"/>
      <c r="D9" s="2"/>
      <c r="E9" s="2"/>
      <c r="F9" s="34">
        <f>SUMIFS('BA History S2'!C:C,'BA History S2'!B:B,A9)</f>
        <v>42</v>
      </c>
      <c r="G9" s="66">
        <f>AVERAGEIFS('BA History S2'!C:C,'BA History S2'!B:B,A9)</f>
        <v>21</v>
      </c>
      <c r="H9" s="35">
        <f t="array" ref="H9">MAX(IF('BA History S2'!B:B=A9, 'BA History S2'!C:C))</f>
        <v>29</v>
      </c>
      <c r="I9" s="34">
        <f>COUNTIFS('BA History S2'!B:B,A9,'BA History S2'!D:D, 1)</f>
        <v>1</v>
      </c>
      <c r="J9" s="2">
        <f>COUNTIFS('BA History S2'!B:B,A9,'BA History S2'!D:D, 0)</f>
        <v>1</v>
      </c>
      <c r="K9" s="75">
        <f>LOOKUP(2, 1/('BA History S2'!$B:$B=A9), 'BA History S2'!$AK:$AK)</f>
        <v>0.5</v>
      </c>
      <c r="L9" s="34">
        <f>SUMIFS('BA History S2'!F:F,'BA History S2'!B:B,A9)</f>
        <v>5</v>
      </c>
      <c r="M9" s="2">
        <f>SUMIFS('BA History S2'!E:E,'BA History S2'!B:B,A9)-L9</f>
        <v>4</v>
      </c>
      <c r="N9" s="75">
        <f>LOOKUP(2, 1/('BA History S2'!$B:$B=A9), 'BA History S2'!$AI:$AI)</f>
        <v>0.57499999999999996</v>
      </c>
      <c r="O9" s="34">
        <f>SUMIFS('BA History S2'!H:H,'BA History S2'!B:B,A9)</f>
        <v>19</v>
      </c>
      <c r="P9" s="2">
        <f>SUMIFS('BA History S2'!G:G,'BA History S2'!B:B,A9)-O9</f>
        <v>18</v>
      </c>
      <c r="Q9" s="89">
        <f>LOOKUP(2, 1/('BA History S2'!$B:$B=A9), 'BA History S2'!$AJ:$AJ)</f>
        <v>0.52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1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1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2</v>
      </c>
    </row>
    <row r="10" spans="1:40" x14ac:dyDescent="0.25">
      <c r="A10" s="2" t="s">
        <v>115</v>
      </c>
      <c r="B10" s="2" t="s">
        <v>79</v>
      </c>
      <c r="C10" s="2"/>
      <c r="D10" s="2"/>
      <c r="E10" s="2"/>
      <c r="F10" s="34">
        <f>SUMIFS('BA History S2'!C:C,'BA History S2'!B:B,A10)</f>
        <v>153</v>
      </c>
      <c r="G10" s="66">
        <f>AVERAGEIFS('BA History S2'!C:C,'BA History S2'!B:B,A10)</f>
        <v>12.75</v>
      </c>
      <c r="H10" s="35">
        <f t="array" ref="H10">MAX(IF('BA History S2'!B:B=A10, 'BA History S2'!C:C))</f>
        <v>24</v>
      </c>
      <c r="I10" s="34">
        <f>COUNTIFS('BA History S2'!B:B,A10,'BA History S2'!D:D, 1)</f>
        <v>8</v>
      </c>
      <c r="J10" s="2">
        <f>COUNTIFS('BA History S2'!B:B,A10,'BA History S2'!D:D, 0)</f>
        <v>4</v>
      </c>
      <c r="K10" s="75">
        <f>LOOKUP(2, 1/('BA History S2'!$B:$B=A10), 'BA History S2'!$AK:$AK)</f>
        <v>0.66666666666666663</v>
      </c>
      <c r="L10" s="34">
        <f>SUMIFS('BA History S2'!F:F,'BA History S2'!B:B,A10)</f>
        <v>29</v>
      </c>
      <c r="M10" s="2">
        <f>SUMIFS('BA History S2'!E:E,'BA History S2'!B:B,A10)-L10</f>
        <v>24</v>
      </c>
      <c r="N10" s="75">
        <f>LOOKUP(2, 1/('BA History S2'!$B:$B=A10), 'BA History S2'!$AI:$AI)</f>
        <v>0.54583333333333328</v>
      </c>
      <c r="O10" s="34">
        <f>SUMIFS('BA History S2'!H:H,'BA History S2'!B:B,A10)</f>
        <v>116</v>
      </c>
      <c r="P10" s="2">
        <f>SUMIFS('BA History S2'!G:G,'BA History S2'!B:B,A10)-O10</f>
        <v>110</v>
      </c>
      <c r="Q10" s="89">
        <f>LOOKUP(2, 1/('BA History S2'!$B:$B=A10), 'BA History S2'!$AJ:$AJ)</f>
        <v>0.51583333333333337</v>
      </c>
      <c r="R10" s="2">
        <f>COUNTIFS('BA History S2'!$B:$B,$A$10,'BA History S2'!K:K, 1)</f>
        <v>2</v>
      </c>
      <c r="S10" s="2">
        <f>COUNTIFS('BA History S2'!$B:$B,$A$10,'BA History S2'!L:L, 1)</f>
        <v>1</v>
      </c>
      <c r="T10" s="2">
        <f>COUNTIFS('BA History S2'!$B:$B,$A$10,'BA History S2'!M:M, 1)</f>
        <v>5</v>
      </c>
      <c r="U10" s="2">
        <f>COUNTIFS('BA History S2'!$B:$B,$A$10,'BA History S2'!N:N, 1)</f>
        <v>2</v>
      </c>
      <c r="V10" s="2">
        <f>COUNTIFS('BA History S2'!$B:$B,$A$10,'BA History S2'!O:O, 1)</f>
        <v>1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1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1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1</v>
      </c>
      <c r="AG10" s="2">
        <f>COUNTIFS('BA History S2'!$B:$B,$A$10,'BA History S2'!Z:Z, 1)</f>
        <v>3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2</v>
      </c>
      <c r="AK10" s="2">
        <f>COUNTIFS('BA History S2'!$B:$B,$A$10,'BA History S2'!AD:AD, 1)</f>
        <v>2</v>
      </c>
      <c r="AL10" s="2">
        <f>COUNTIFS('BA History S2'!$B:$B,$A$10,'BA History S2'!AE:AE, 1)</f>
        <v>2</v>
      </c>
      <c r="AM10" s="2">
        <f>COUNTIFS('BA History S2'!$B:$B,$A$10,'BA History S2'!AF:AF, 1)</f>
        <v>0</v>
      </c>
      <c r="AN10" s="2">
        <f>COUNTIFS('BA History S2'!$B:$B,$A$10,'BA History S2'!AG:AG, 1)</f>
        <v>4</v>
      </c>
    </row>
    <row r="11" spans="1:40" x14ac:dyDescent="0.25">
      <c r="A11" s="2" t="s">
        <v>146</v>
      </c>
      <c r="B11" s="2" t="s">
        <v>79</v>
      </c>
      <c r="C11" s="2"/>
      <c r="D11" s="2"/>
      <c r="E11" s="2"/>
      <c r="F11" s="34">
        <f>SUMIFS('BA History S2'!C:C,'BA History S2'!B:B,A11)</f>
        <v>134</v>
      </c>
      <c r="G11" s="66">
        <f>AVERAGEIFS('BA History S2'!C:C,'BA History S2'!B:B,A11)</f>
        <v>13.4</v>
      </c>
      <c r="H11" s="35">
        <f t="array" ref="H11">MAX(IF('BA History S2'!B:B=A11, 'BA History S2'!C:C))</f>
        <v>21</v>
      </c>
      <c r="I11" s="34">
        <f>COUNTIFS('BA History S2'!B:B,A11,'BA History S2'!D:D, 1)</f>
        <v>4</v>
      </c>
      <c r="J11" s="2">
        <f>COUNTIFS('BA History S2'!B:B,A11,'BA History S2'!D:D, 0)</f>
        <v>6</v>
      </c>
      <c r="K11" s="75">
        <f>LOOKUP(2, 1/('BA History S2'!$B:$B=A11), 'BA History S2'!$AK:$AK)</f>
        <v>0.4</v>
      </c>
      <c r="L11" s="34">
        <f>SUMIFS('BA History S2'!F:F,'BA History S2'!B:B,A11)</f>
        <v>17</v>
      </c>
      <c r="M11" s="2">
        <f>SUMIFS('BA History S2'!E:E,'BA History S2'!B:B,A11)-L11</f>
        <v>25</v>
      </c>
      <c r="N11" s="75">
        <f>LOOKUP(2, 1/('BA History S2'!$B:$B=A11), 'BA History S2'!$AI:$AI)</f>
        <v>0.37</v>
      </c>
      <c r="O11" s="34">
        <f>SUMIFS('BA History S2'!H:H,'BA History S2'!B:B,A11)</f>
        <v>85</v>
      </c>
      <c r="P11" s="2">
        <f>SUMIFS('BA History S2'!G:G,'BA History S2'!B:B,A11)-O11</f>
        <v>96</v>
      </c>
      <c r="Q11" s="89">
        <f>LOOKUP(2, 1/('BA History S2'!$B:$B=A11), 'BA History S2'!$AJ:$AJ)</f>
        <v>0.44600000000000001</v>
      </c>
      <c r="R11" s="2">
        <f>COUNTIFS('BA History S2'!$B:$B,$A$11,'BA History S2'!K:K, 1)</f>
        <v>4</v>
      </c>
      <c r="S11" s="2">
        <f>COUNTIFS('BA History S2'!$B:$B,$A$11,'BA History S2'!L:L, 1)</f>
        <v>1</v>
      </c>
      <c r="T11" s="2">
        <f>COUNTIFS('BA History S2'!$B:$B,$A$11,'BA History S2'!M:M, 1)</f>
        <v>2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1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2</v>
      </c>
      <c r="AL11" s="2">
        <f>COUNTIFS('BA History S2'!$B:$B,$A$11,'BA History S2'!AE:AE, 1)</f>
        <v>1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27</v>
      </c>
      <c r="B12" s="2" t="s">
        <v>79</v>
      </c>
      <c r="C12" s="2"/>
      <c r="D12" s="2"/>
      <c r="E12" s="2"/>
      <c r="F12" s="34">
        <f>SUMIFS('BA History S2'!C:C,'BA History S2'!B:B,A12)</f>
        <v>63</v>
      </c>
      <c r="G12" s="66">
        <f>AVERAGEIFS('BA History S2'!C:C,'BA History S2'!B:B,A12)</f>
        <v>12.6</v>
      </c>
      <c r="H12" s="35">
        <f t="array" ref="H12">MAX(IF('BA History S2'!B:B=A12, 'BA History S2'!C:C))</f>
        <v>19</v>
      </c>
      <c r="I12" s="34">
        <f>COUNTIFS('BA History S2'!B:B,A12,'BA History S2'!D:D, 1)</f>
        <v>3</v>
      </c>
      <c r="J12" s="2">
        <f>COUNTIFS('BA History S2'!B:B,A12,'BA History S2'!D:D, 0)</f>
        <v>2</v>
      </c>
      <c r="K12" s="75">
        <f>LOOKUP(2, 1/('BA History S2'!$B:$B=A12), 'BA History S2'!$AK:$AK)</f>
        <v>0.6</v>
      </c>
      <c r="L12" s="34">
        <f>SUMIFS('BA History S2'!F:F,'BA History S2'!B:B,A12)</f>
        <v>13</v>
      </c>
      <c r="M12" s="2">
        <f>SUMIFS('BA History S2'!E:E,'BA History S2'!B:B,A12)-L12</f>
        <v>8</v>
      </c>
      <c r="N12" s="75">
        <f>LOOKUP(2, 1/('BA History S2'!$B:$B=A12), 'BA History S2'!$AI:$AI)</f>
        <v>0.65999999999999992</v>
      </c>
      <c r="O12" s="34">
        <f>SUMIFS('BA History S2'!H:H,'BA History S2'!B:B,A12)</f>
        <v>50</v>
      </c>
      <c r="P12" s="2">
        <f>SUMIFS('BA History S2'!G:G,'BA History S2'!B:B,A12)-O12</f>
        <v>41</v>
      </c>
      <c r="Q12" s="89">
        <f>LOOKUP(2, 1/('BA History S2'!$B:$B=A12), 'BA History S2'!$AJ:$AJ)</f>
        <v>0.56600000000000006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1</v>
      </c>
      <c r="U12" s="2">
        <f>COUNTIFS('BA History S2'!$B:$B,$A$12,'BA History S2'!N:N, 1)</f>
        <v>0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1</v>
      </c>
      <c r="AC12" s="2">
        <f>COUNTIFS('BA History S2'!$B:$B,$A$12,'BA History S2'!V:V, 1)</f>
        <v>1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1</v>
      </c>
      <c r="AH12" s="2">
        <f>COUNTIFS('BA History S2'!$B:$B,$A12,'BA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2</v>
      </c>
      <c r="AK12" s="2">
        <f>COUNTIFS('BA History S2'!$B:$B,$A$12,'BA History S2'!AD:AD, 1)</f>
        <v>1</v>
      </c>
      <c r="AL12" s="2">
        <f>COUNTIFS('BA History S2'!$B:$B,$A$12,'BA History S2'!AE:AE, 1)</f>
        <v>1</v>
      </c>
      <c r="AM12" s="2">
        <f>COUNTIFS('BA History S2'!$B:$B,$A$12,'BA History S2'!AF:AF, 1)</f>
        <v>0</v>
      </c>
      <c r="AN12" s="2">
        <f>COUNTIFS('BA History S2'!$B:$B,$A$12,'BA History S2'!AG:AG, 1)</f>
        <v>1</v>
      </c>
    </row>
    <row r="13" spans="1:40" x14ac:dyDescent="0.25">
      <c r="A13" s="2" t="s">
        <v>152</v>
      </c>
      <c r="B13" s="2" t="s">
        <v>79</v>
      </c>
      <c r="C13" s="2"/>
      <c r="D13" s="2"/>
      <c r="E13" s="2"/>
      <c r="F13" s="34">
        <f>SUMIFS('BA History S2'!C:C,'BA History S2'!B:B,A13)</f>
        <v>218</v>
      </c>
      <c r="G13" s="66">
        <f>AVERAGEIFS('BA History S2'!C:C,'BA History S2'!B:B,A13)</f>
        <v>14.533333333333333</v>
      </c>
      <c r="H13" s="35">
        <f t="array" ref="H13">MAX(IF('BA History S2'!B:B=A13, 'BA History S2'!C:C))</f>
        <v>37</v>
      </c>
      <c r="I13" s="34">
        <f>COUNTIFS('BA History S2'!B:B,A13,'BA History S2'!D:D, 1)</f>
        <v>4</v>
      </c>
      <c r="J13" s="2">
        <f>COUNTIFS('BA History S2'!B:B,A13,'BA History S2'!D:D, 0)</f>
        <v>11</v>
      </c>
      <c r="K13" s="75">
        <f>LOOKUP(2, 1/('BA History S2'!$B:$B=A13), 'BA History S2'!$AK:$AK)</f>
        <v>0.26666666666666666</v>
      </c>
      <c r="L13" s="34">
        <f>SUMIFS('BA History S2'!F:F,'BA History S2'!B:B,A13)</f>
        <v>26</v>
      </c>
      <c r="M13" s="2">
        <f>SUMIFS('BA History S2'!E:E,'BA History S2'!B:B,A13)-L13</f>
        <v>39</v>
      </c>
      <c r="N13" s="75">
        <f>LOOKUP(2, 1/('BA History S2'!$B:$B=A13), 'BA History S2'!$AI:$AI)</f>
        <v>0.38</v>
      </c>
      <c r="O13" s="34">
        <f>SUMIFS('BA History S2'!H:H,'BA History S2'!B:B,A13)</f>
        <v>127</v>
      </c>
      <c r="P13" s="2">
        <f>SUMIFS('BA History S2'!G:G,'BA History S2'!B:B,A13)-O13</f>
        <v>145</v>
      </c>
      <c r="Q13" s="89">
        <f>LOOKUP(2, 1/('BA History S2'!$B:$B=A13), 'BA History S2'!$AJ:$AJ)</f>
        <v>0.45866666666666667</v>
      </c>
      <c r="R13" s="2">
        <f>COUNTIFS('BA History S2'!$B:$B,$A$13,'BA History S2'!K:K, 1)</f>
        <v>1</v>
      </c>
      <c r="S13" s="2">
        <f>COUNTIFS('BA History S2'!$B:$B,$A$13,'BA History S2'!L:L, 1)</f>
        <v>0</v>
      </c>
      <c r="T13" s="2">
        <f>COUNTIFS('BA History S2'!$B:$B,$A$13,'BA History S2'!M:M, 1)</f>
        <v>2</v>
      </c>
      <c r="U13" s="2">
        <f>COUNTIFS('BA History S2'!$B:$B,$A$13,'BA History S2'!N:N, 1)</f>
        <v>2</v>
      </c>
      <c r="V13" s="2">
        <f>COUNTIFS('BA History S2'!$B:$B,$A$13,'BA History S2'!O:O, 1)</f>
        <v>2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2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3</v>
      </c>
      <c r="AH13" s="2">
        <f>COUNTIFS('BA History S2'!$B:$B,$A13,'BA History S2'!AA:AA, 1)</f>
        <v>1</v>
      </c>
      <c r="AI13" s="2">
        <f>COUNTIFS('BA History S2'!$B:$B,$A$13,'BA History S2'!AB:AB, 1)</f>
        <v>0</v>
      </c>
      <c r="AJ13" s="2">
        <f>COUNTIFS('BA History S2'!$B:$B,$A$13,'BA History S2'!AC:AC, 1)</f>
        <v>5</v>
      </c>
      <c r="AK13" s="2">
        <f>COUNTIFS('BA History S2'!$B:$B,$A$13,'BA History S2'!AD:AD, 1)</f>
        <v>2</v>
      </c>
      <c r="AL13" s="2">
        <f>COUNTIFS('BA History S2'!$B:$B,$A$13,'BA History S2'!AE:AE, 1)</f>
        <v>1</v>
      </c>
      <c r="AM13" s="2">
        <f>COUNTIFS('BA History S2'!$B:$B,$A$13,'BA History S2'!AF:AF, 1)</f>
        <v>0</v>
      </c>
      <c r="AN13" s="2">
        <f>COUNTIFS('BA History S2'!$B:$B,$A$13,'BA History S2'!AG:AG, 1)</f>
        <v>2</v>
      </c>
    </row>
    <row r="14" spans="1:40" x14ac:dyDescent="0.25">
      <c r="A14" s="2" t="s">
        <v>50</v>
      </c>
      <c r="B14" s="2" t="s">
        <v>79</v>
      </c>
      <c r="C14" s="2">
        <v>1</v>
      </c>
      <c r="D14" s="2">
        <v>1</v>
      </c>
      <c r="E14" s="2"/>
      <c r="F14" s="34">
        <f>SUMIFS('BA History S2'!C:C,'BA History S2'!B:B,A14)</f>
        <v>333</v>
      </c>
      <c r="G14" s="66">
        <f>AVERAGEIFS('BA History S2'!C:C,'BA History S2'!B:B,A14)</f>
        <v>17.526315789473685</v>
      </c>
      <c r="H14" s="35">
        <f t="array" ref="H14">MAX(IF('BA History S2'!B:B=A14, 'BA History S2'!C:C))</f>
        <v>24</v>
      </c>
      <c r="I14" s="34">
        <f>COUNTIFS('BA History S2'!B:B,A14,'BA History S2'!D:D, 1)</f>
        <v>7</v>
      </c>
      <c r="J14" s="2">
        <f>COUNTIFS('BA History S2'!B:B,A14,'BA History S2'!D:D, 0)</f>
        <v>12</v>
      </c>
      <c r="K14" s="75">
        <f>LOOKUP(2, 1/('BA History S2'!$B:$B=A14), 'BA History S2'!$AK:$AK)</f>
        <v>0.36842105263157893</v>
      </c>
      <c r="L14" s="34">
        <f>SUMIFS('BA History S2'!F:F,'BA History S2'!B:B,A14)</f>
        <v>33</v>
      </c>
      <c r="M14" s="2">
        <f>SUMIFS('BA History S2'!E:E,'BA History S2'!B:B,A14)-L14</f>
        <v>44</v>
      </c>
      <c r="N14" s="75">
        <f>LOOKUP(2, 1/('BA History S2'!$B:$B=A14), 'BA History S2'!$AI:$AI)</f>
        <v>0.41578947368421054</v>
      </c>
      <c r="O14" s="34">
        <f>SUMIFS('BA History S2'!H:H,'BA History S2'!B:B,A14)</f>
        <v>157</v>
      </c>
      <c r="P14" s="2">
        <f>SUMIFS('BA History S2'!G:G,'BA History S2'!B:B,A14)-O14</f>
        <v>173</v>
      </c>
      <c r="Q14" s="89">
        <f>LOOKUP(2, 1/('BA History S2'!$B:$B=A14), 'BA History S2'!$AJ:$AJ)</f>
        <v>0.46473684210526306</v>
      </c>
      <c r="R14" s="2">
        <f>COUNTIFS('BA History S2'!$B:$B,$A$14,'BA History S2'!K:K, 1)</f>
        <v>1</v>
      </c>
      <c r="S14" s="2">
        <f>COUNTIFS('BA History S2'!$B:$B,$A$14,'BA History S2'!L:L, 1)</f>
        <v>2</v>
      </c>
      <c r="T14" s="2">
        <f>COUNTIFS('BA History S2'!$B:$B,$A$14,'BA History S2'!M:M, 1)</f>
        <v>5</v>
      </c>
      <c r="U14" s="2">
        <f>COUNTIFS('BA History S2'!$B:$B,$A$14,'BA History S2'!N:N, 1)</f>
        <v>3</v>
      </c>
      <c r="V14" s="2">
        <f>COUNTIFS('BA History S2'!$B:$B,$A$14,'BA History S2'!O:O, 1)</f>
        <v>1</v>
      </c>
      <c r="W14" s="2">
        <f>COUNTIFS('BA History S2'!$B:$B,$A$14,'BA History S2'!P:P, 1)</f>
        <v>1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1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7</v>
      </c>
      <c r="AK14" s="2">
        <f>COUNTIFS('BA History S2'!$B:$B,$A$14,'BA History S2'!AD:AD, 1)</f>
        <v>2</v>
      </c>
      <c r="AL14" s="2">
        <f>COUNTIFS('BA History S2'!$B:$B,$A$14,'BA History S2'!AE:AE, 1)</f>
        <v>3</v>
      </c>
      <c r="AM14" s="2">
        <f>COUNTIFS('BA History S2'!$B:$B,$A$14,'BA History S2'!AF:AF, 1)</f>
        <v>2</v>
      </c>
      <c r="AN14" s="2">
        <f>COUNTIFS('BA History S2'!$B:$B,$A$14,'BA History S2'!AG:AG, 1)</f>
        <v>2</v>
      </c>
    </row>
    <row r="15" spans="1:40" x14ac:dyDescent="0.25">
      <c r="A15" s="2" t="s">
        <v>52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27</v>
      </c>
      <c r="G15" s="66">
        <f>AVERAGEIFS('BA History S2'!C:C,'BA History S2'!B:B,A15)</f>
        <v>13.5</v>
      </c>
      <c r="H15" s="35">
        <f t="array" ref="H15">MAX(IF('BA History S2'!B:B=A15, 'BA History S2'!C:C))</f>
        <v>17</v>
      </c>
      <c r="I15" s="34">
        <f>COUNTIFS('BA History S2'!B:B,A15,'BA History S2'!D:D, 1)</f>
        <v>0</v>
      </c>
      <c r="J15" s="2">
        <f>COUNTIFS('BA History S2'!B:B,A15,'BA History S2'!D:D, 0)</f>
        <v>2</v>
      </c>
      <c r="K15" s="75">
        <f>LOOKUP(2, 1/('BA History S2'!$B:$B=A15), 'BA History S2'!$AK:$AK)</f>
        <v>0</v>
      </c>
      <c r="L15" s="34">
        <f>SUMIFS('BA History S2'!F:F,'BA History S2'!B:B,A15)</f>
        <v>3</v>
      </c>
      <c r="M15" s="2">
        <f>SUMIFS('BA History S2'!E:E,'BA History S2'!B:B,A15)-L15</f>
        <v>6</v>
      </c>
      <c r="N15" s="75">
        <f>LOOKUP(2, 1/('BA History S2'!$B:$B=A15), 'BA History S2'!$AI:$AI)</f>
        <v>0.32500000000000001</v>
      </c>
      <c r="O15" s="34">
        <f>SUMIFS('BA History S2'!H:H,'BA History S2'!B:B,A15)</f>
        <v>17</v>
      </c>
      <c r="P15" s="2">
        <f>SUMIFS('BA History S2'!G:G,'BA History S2'!B:B,A15)-O15</f>
        <v>21</v>
      </c>
      <c r="Q15" s="89">
        <f>LOOKUP(2, 1/('BA History S2'!$B:$B=A15), 'BA History S2'!$AJ:$AJ)</f>
        <v>0.44499999999999995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0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0</v>
      </c>
      <c r="AK15" s="2">
        <f>COUNTIFS('BA History S2'!$B:$B,$A$15,'BA History S2'!AD:AD, 1)</f>
        <v>1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44</v>
      </c>
      <c r="B16" s="2" t="s">
        <v>79</v>
      </c>
      <c r="C16" s="2">
        <v>1</v>
      </c>
      <c r="D16" s="2"/>
      <c r="E16" s="2"/>
      <c r="F16" s="34">
        <f>SUMIFS('BA History S2'!C:C,'BA History S2'!B:B,A16)</f>
        <v>488</v>
      </c>
      <c r="G16" s="66">
        <f>AVERAGEIFS('BA History S2'!C:C,'BA History S2'!B:B,A16)</f>
        <v>16.827586206896552</v>
      </c>
      <c r="H16" s="35">
        <f t="array" ref="H16">MAX(IF('BA History S2'!B:B=A16, 'BA History S2'!C:C))</f>
        <v>31</v>
      </c>
      <c r="I16" s="34">
        <f>COUNTIFS('BA History S2'!B:B,A16,'BA History S2'!D:D, 1)</f>
        <v>15</v>
      </c>
      <c r="J16" s="2">
        <f>COUNTIFS('BA History S2'!B:B,A16,'BA History S2'!D:D, 0)</f>
        <v>14</v>
      </c>
      <c r="K16" s="75">
        <f>LOOKUP(2, 1/('BA History S2'!$B:$B=A16), 'BA History S2'!$AK:$AK)</f>
        <v>0.51724137931034486</v>
      </c>
      <c r="L16" s="34">
        <f>SUMIFS('BA History S2'!F:F,'BA History S2'!B:B,A16)</f>
        <v>61</v>
      </c>
      <c r="M16" s="2">
        <f>SUMIFS('BA History S2'!E:E,'BA History S2'!B:B,A16)-L16</f>
        <v>55</v>
      </c>
      <c r="N16" s="75">
        <f>LOOKUP(2, 1/('BA History S2'!$B:$B=A16), 'BA History S2'!$AI:$AI)</f>
        <v>0.53965517241379313</v>
      </c>
      <c r="O16" s="34">
        <f>SUMIFS('BA History S2'!H:H,'BA History S2'!B:B,A16)</f>
        <v>253</v>
      </c>
      <c r="P16" s="2">
        <f>SUMIFS('BA History S2'!G:G,'BA History S2'!B:B,A16)-O16</f>
        <v>239</v>
      </c>
      <c r="Q16" s="89">
        <f>LOOKUP(2, 1/('BA History S2'!$B:$B=A16), 'BA History S2'!$AJ:$AJ)</f>
        <v>0.52448275862068972</v>
      </c>
      <c r="R16" s="2">
        <f>COUNTIFS('BA History S2'!$B:$B,$A$16,'BA History S2'!K:K, 1)</f>
        <v>3</v>
      </c>
      <c r="S16" s="2">
        <f>COUNTIFS('BA History S2'!$B:$B,$A$16,'BA History S2'!L:L, 1)</f>
        <v>1</v>
      </c>
      <c r="T16" s="2">
        <f>COUNTIFS('BA History S2'!$B:$B,$A$16,'BA History S2'!M:M, 1)</f>
        <v>9</v>
      </c>
      <c r="U16" s="2">
        <f>COUNTIFS('BA History S2'!$B:$B,$A$16,'BA History S2'!N:N, 1)</f>
        <v>6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1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1</v>
      </c>
      <c r="AC16" s="2">
        <f>COUNTIFS('BA History S2'!$B:$B,$A$16,'BA History S2'!V:V, 1)</f>
        <v>1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4</v>
      </c>
      <c r="AG16" s="2">
        <f>COUNTIFS('BA History S2'!$B:$B,$A$16,'BA History S2'!Z:Z, 1)</f>
        <v>4</v>
      </c>
      <c r="AH16" s="2">
        <f>COUNTIFS('BA History S2'!$B:$B,$A16,'BA History S2'!AA:AA, 1)</f>
        <v>0</v>
      </c>
      <c r="AI16" s="2">
        <f>COUNTIFS('BA History S2'!$B:$B,$A$16,'BA History S2'!AB:AB, 1)</f>
        <v>2</v>
      </c>
      <c r="AJ16" s="2">
        <f>COUNTIFS('BA History S2'!$B:$B,$A$16,'BA History S2'!AC:AC, 1)</f>
        <v>8</v>
      </c>
      <c r="AK16" s="2">
        <f>COUNTIFS('BA History S2'!$B:$B,$A$16,'BA History S2'!AD:AD, 1)</f>
        <v>2</v>
      </c>
      <c r="AL16" s="2">
        <f>COUNTIFS('BA History S2'!$B:$B,$A$16,'BA History S2'!AE:AE, 1)</f>
        <v>6</v>
      </c>
      <c r="AM16" s="2">
        <f>COUNTIFS('BA History S2'!$B:$B,$A$16,'BA History S2'!AF:AF, 1)</f>
        <v>0</v>
      </c>
      <c r="AN16" s="2">
        <f>COUNTIFS('BA History S2'!$B:$B,$A$16,'BA History S2'!AG:AG, 1)</f>
        <v>9</v>
      </c>
    </row>
    <row r="17" spans="1:40" x14ac:dyDescent="0.25">
      <c r="A17" s="2" t="s">
        <v>167</v>
      </c>
      <c r="B17" s="2" t="s">
        <v>79</v>
      </c>
      <c r="C17" s="2"/>
      <c r="D17" s="2"/>
      <c r="E17" s="2"/>
      <c r="F17" s="34">
        <f>SUMIFS('BA History S2'!C:C,'BA History S2'!B:B,A17)</f>
        <v>20</v>
      </c>
      <c r="G17" s="66">
        <f>AVERAGEIFS('BA History S2'!C:C,'BA History S2'!B:B,A17)</f>
        <v>10</v>
      </c>
      <c r="H17" s="35">
        <f t="array" ref="H17">MAX(IF('BA History S2'!B:B=A17, 'BA History S2'!C:C))</f>
        <v>14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S2'!$AK:$AK)</f>
        <v>0.5</v>
      </c>
      <c r="L17" s="34">
        <f>SUMIFS('BA History S2'!F:F,'BA History S2'!B:B,A17)</f>
        <v>4</v>
      </c>
      <c r="M17" s="2">
        <f>SUMIFS('BA History S2'!E:E,'BA History S2'!B:B,A17)-L17</f>
        <v>4</v>
      </c>
      <c r="N17" s="75">
        <f>LOOKUP(2, 1/('BA History S2'!$B:$B=A17), 'BA History S2'!$AI:$AI)</f>
        <v>0.5</v>
      </c>
      <c r="O17" s="34">
        <f>SUMIFS('BA History S2'!H:H,'BA History S2'!B:B,A17)</f>
        <v>17</v>
      </c>
      <c r="P17" s="2">
        <f>SUMIFS('BA History S2'!G:G,'BA History S2'!B:B,A17)-O17</f>
        <v>17</v>
      </c>
      <c r="Q17" s="89">
        <f>LOOKUP(2, 1/('BA History S2'!$B:$B=A17), 'BA History S2'!$AJ:$AJ)</f>
        <v>0.5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1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  <c r="AN17" s="2">
        <f>COUNTIFS('BA History S2'!$B:$B,$A$17,'BA History S2'!AG:AG, 1)</f>
        <v>0</v>
      </c>
    </row>
    <row r="18" spans="1:40" x14ac:dyDescent="0.25">
      <c r="A18" s="2" t="s">
        <v>1</v>
      </c>
      <c r="B18" s="1" t="s">
        <v>158</v>
      </c>
      <c r="F18" s="34">
        <f>SUMIFS('BA History S2'!C:C,'BA History S2'!B:B,A18)</f>
        <v>572</v>
      </c>
      <c r="G18" s="66">
        <f>AVERAGEIFS('BA History S2'!C:C,'BA History S2'!B:B,A18)</f>
        <v>27.238095238095237</v>
      </c>
      <c r="H18" s="35">
        <f t="array" ref="H18">MAX(IF('BA History S2'!B:B=A18, 'BA History S2'!C:C))</f>
        <v>49</v>
      </c>
      <c r="I18" s="34">
        <f>COUNTIFS('BA History S2'!B:B,A18,'BA History S2'!D:D, 1)</f>
        <v>12</v>
      </c>
      <c r="J18" s="2">
        <f>COUNTIFS('BA History S2'!B:B,A18,'BA History S2'!D:D, 0)</f>
        <v>9</v>
      </c>
      <c r="K18" s="75">
        <f>LOOKUP(2, 1/('BA History S2'!$B:$B=A18), 'BA History S2'!$AK:$AK)</f>
        <v>0.5714285714285714</v>
      </c>
      <c r="L18" s="34">
        <f>SUMIFS('BA History S2'!F:F,'BA History S2'!B:B,A18)</f>
        <v>46</v>
      </c>
      <c r="M18" s="2">
        <f>SUMIFS('BA History S2'!E:E,'BA History S2'!B:B,A18)-L18</f>
        <v>38</v>
      </c>
      <c r="N18" s="75">
        <f>LOOKUP(2, 1/('BA History S2'!$B:$B=A18), 'BA History S2'!$AI:$AI)</f>
        <v>0.55952380952380953</v>
      </c>
      <c r="O18" s="34">
        <f>SUMIFS('BA History S2'!H:H,'BA History S2'!B:B,A18)</f>
        <v>184</v>
      </c>
      <c r="P18" s="2">
        <f>SUMIFS('BA History S2'!G:G,'BA History S2'!B:B,A18)-O18</f>
        <v>167</v>
      </c>
      <c r="Q18" s="89">
        <f>LOOKUP(2, 1/('BA History S2'!$B:$B=A18), 'BA History S2'!$AJ:$AJ)</f>
        <v>0.54142857142857137</v>
      </c>
      <c r="R18" s="2">
        <f>COUNTIFS('BA History S2'!$B:$B,$A$18,'BA History S2'!K:K, 1)</f>
        <v>2</v>
      </c>
      <c r="S18" s="2">
        <f>COUNTIFS('BA History S2'!$B:$B,$A$18,'BA History S2'!L:L, 1)</f>
        <v>2</v>
      </c>
      <c r="T18" s="2">
        <f>COUNTIFS('BA History S2'!$B:$B,$A$18,'BA History S2'!M:M, 1)</f>
        <v>3</v>
      </c>
      <c r="U18" s="2">
        <f>COUNTIFS('BA History S2'!$B:$B,$A$18,'BA History S2'!N:N, 1)</f>
        <v>4</v>
      </c>
      <c r="V18" s="2">
        <f>COUNTIFS('BA History S2'!$B:$B,$A$18,'BA History S2'!O:O, 1)</f>
        <v>1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2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5</v>
      </c>
      <c r="AG18" s="2">
        <f>COUNTIFS('BA History S2'!$B:$B,$A$18,'BA History S2'!Z:Z, 1)</f>
        <v>5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5</v>
      </c>
      <c r="AK18" s="2">
        <f>COUNTIFS('BA History S2'!$B:$B,$A$18,'BA History S2'!AD:AD, 1)</f>
        <v>2</v>
      </c>
      <c r="AL18" s="2">
        <f>COUNTIFS('BA History S2'!$B:$B,$A$18,'BA History S2'!AE:AE, 1)</f>
        <v>6</v>
      </c>
      <c r="AM18" s="2">
        <f>COUNTIFS('BA History S2'!$B:$B,$A$18,'BA History S2'!AF:AF, 1)</f>
        <v>0</v>
      </c>
      <c r="AN18" s="2">
        <f>COUNTIFS('BA History S2'!$B:$B,$A$18,'BA History S2'!AG:AG, 1)</f>
        <v>4</v>
      </c>
    </row>
    <row r="19" spans="1:40" ht="15.75" x14ac:dyDescent="0.25">
      <c r="A19" s="2" t="s">
        <v>150</v>
      </c>
      <c r="B19" s="95" t="s">
        <v>79</v>
      </c>
      <c r="C19" s="95">
        <v>3</v>
      </c>
      <c r="D19" s="95">
        <v>2</v>
      </c>
      <c r="E19" s="95"/>
      <c r="F19" s="34">
        <f>SUMIFS('BA History S2'!C:C,'BA History S2'!B:B,A19)</f>
        <v>609</v>
      </c>
      <c r="G19" s="66">
        <f>AVERAGEIFS('BA History S2'!C:C,'BA History S2'!B:B,A19)</f>
        <v>21</v>
      </c>
      <c r="H19" s="35">
        <f t="array" ref="H19">MAX(IF('BA History S2'!B:B=A19, 'BA History S2'!C:C))</f>
        <v>33</v>
      </c>
      <c r="I19" s="34">
        <f>COUNTIFS('BA History S2'!B:B,A19,'BA History S2'!D:D, 1)</f>
        <v>19</v>
      </c>
      <c r="J19" s="2">
        <f>COUNTIFS('BA History S2'!B:B,A19,'BA History S2'!D:D, 0)</f>
        <v>10</v>
      </c>
      <c r="K19" s="75">
        <f>LOOKUP(2, 1/('BA History S2'!$B:$B=A19), 'BA History S2'!$AK:$AK)</f>
        <v>0.65517241379310343</v>
      </c>
      <c r="L19" s="34">
        <f>SUMIFS('BA History S2'!F:F,'BA History S2'!B:B,A19)</f>
        <v>67</v>
      </c>
      <c r="M19" s="2">
        <f>SUMIFS('BA History S2'!E:E,'BA History S2'!B:B,A19)-L19</f>
        <v>50</v>
      </c>
      <c r="N19" s="75">
        <f>LOOKUP(2, 1/('BA History S2'!$B:$B=A19), 'BA History S2'!$AI:$AI)</f>
        <v>0.57931034482758625</v>
      </c>
      <c r="O19" s="34">
        <f>SUMIFS('BA History S2'!H:H,'BA History S2'!B:B,A19)</f>
        <v>256</v>
      </c>
      <c r="P19" s="2">
        <f>SUMIFS('BA History S2'!G:G,'BA History S2'!B:B,A19)-O19</f>
        <v>221</v>
      </c>
      <c r="Q19" s="89">
        <f>LOOKUP(2, 1/('BA History S2'!$B:$B=A19), 'BA History S2'!$AJ:$AJ)</f>
        <v>0.55137931034482757</v>
      </c>
      <c r="R19" s="2">
        <f>COUNTIFS('BA History S2'!$B:$B,$A$19,'BA History S2'!K:K, 1)</f>
        <v>2</v>
      </c>
      <c r="S19" s="2">
        <f>COUNTIFS('BA History S2'!$B:$B,$A$19,'BA History S2'!L:L, 1)</f>
        <v>1</v>
      </c>
      <c r="T19" s="2">
        <f>COUNTIFS('BA History S2'!$B:$B,$A$19,'BA History S2'!M:M, 1)</f>
        <v>6</v>
      </c>
      <c r="U19" s="2">
        <f>COUNTIFS('BA History S2'!$B:$B,$A$19,'BA History S2'!N:N, 1)</f>
        <v>10</v>
      </c>
      <c r="V19" s="2">
        <f>COUNTIFS('BA History S2'!$B:$B,$A$19,'BA History S2'!O:O, 1)</f>
        <v>0</v>
      </c>
      <c r="W19" s="2">
        <f>COUNTIFS('BA History S2'!$B:$B,$A$19,'BA History S2'!P:P, 1)</f>
        <v>1</v>
      </c>
      <c r="X19" s="2">
        <f>COUNTIFS('BA History S2'!$B:$B,$A$19,'BA History S2'!Q:Q, 1)</f>
        <v>2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3</v>
      </c>
      <c r="AC19" s="2">
        <f>COUNTIFS('BA History S2'!$B:$B,$A$19,'BA History S2'!V:V, 1)</f>
        <v>3</v>
      </c>
      <c r="AD19" s="2">
        <f>COUNTIFS('BA History S2'!$B:$B,$A$19,'BA History S2'!W:W, 1)</f>
        <v>1</v>
      </c>
      <c r="AE19" s="2">
        <f>COUNTIFS('BA History S2'!$B:$B,$A$19,'BA History S2'!X:X, 1)</f>
        <v>0</v>
      </c>
      <c r="AF19" s="2">
        <f>COUNTIFS('BA History S2'!$B:$B,$A$19,'BA History S2'!Y:Y, 1)</f>
        <v>5</v>
      </c>
      <c r="AG19" s="2">
        <f>COUNTIFS('BA History S2'!$B:$B,$A$19,'BA History S2'!Z:Z, 1)</f>
        <v>10</v>
      </c>
      <c r="AH19" s="2">
        <f>COUNTIFS('BA History S2'!$B:$B,$A19,'BA History S2'!AA:AA, 1)</f>
        <v>1</v>
      </c>
      <c r="AI19" s="2">
        <f>COUNTIFS('BA History S2'!$B:$B,$A$19,'BA History S2'!AB:AB, 1)</f>
        <v>1</v>
      </c>
      <c r="AJ19" s="2">
        <f>COUNTIFS('BA History S2'!$B:$B,$A$19,'BA History S2'!AC:AC, 1)</f>
        <v>9</v>
      </c>
      <c r="AK19" s="2">
        <f>COUNTIFS('BA History S2'!$B:$B,$A$19,'BA History S2'!AD:AD, 1)</f>
        <v>2</v>
      </c>
      <c r="AL19" s="2">
        <f>COUNTIFS('BA History S2'!$B:$B,$A$19,'BA History S2'!AE:AE, 1)</f>
        <v>5</v>
      </c>
      <c r="AM19" s="2">
        <f>COUNTIFS('BA History S2'!$B:$B,$A$19,'BA History S2'!AF:AF, 1)</f>
        <v>0</v>
      </c>
      <c r="AN19" s="2">
        <f>COUNTIFS('BA History S2'!$B:$B,$A$19,'BA History S2'!AG:AG, 1)</f>
        <v>4</v>
      </c>
    </row>
    <row r="20" spans="1:40" x14ac:dyDescent="0.25">
      <c r="A20" s="2" t="s">
        <v>46</v>
      </c>
      <c r="B20" s="1" t="s">
        <v>158</v>
      </c>
      <c r="F20" s="34">
        <f>SUMIFS('BA History S2'!C:C,'BA History S2'!B:B,A20)</f>
        <v>106</v>
      </c>
      <c r="G20" s="66">
        <f>AVERAGEIFS('BA History S2'!C:C,'BA History S2'!B:B,A20)</f>
        <v>15.142857142857142</v>
      </c>
      <c r="H20" s="35">
        <f t="array" ref="H20">MAX(IF('BA History S2'!B:B=A20, 'BA History S2'!C:C))</f>
        <v>34</v>
      </c>
      <c r="I20" s="34">
        <f>COUNTIFS('BA History S2'!B:B,A20,'BA History S2'!D:D, 1)</f>
        <v>1</v>
      </c>
      <c r="J20" s="2">
        <f>COUNTIFS('BA History S2'!B:B,A20,'BA History S2'!D:D, 0)</f>
        <v>6</v>
      </c>
      <c r="K20" s="75">
        <f>LOOKUP(2, 1/('BA History S2'!$B:$B=A20), 'BA History S2'!$AK:$AK)</f>
        <v>0.14285714285714285</v>
      </c>
      <c r="L20" s="34">
        <f>SUMIFS('BA History S2'!F:F,'BA History S2'!B:B,A20)</f>
        <v>9</v>
      </c>
      <c r="M20" s="2">
        <f>SUMIFS('BA History S2'!E:E,'BA History S2'!B:B,A20)-L20</f>
        <v>20</v>
      </c>
      <c r="N20" s="75">
        <f>LOOKUP(2, 1/('BA History S2'!$B:$B=A20), 'BA History S2'!$AI:$AI)</f>
        <v>0.27142857142857141</v>
      </c>
      <c r="O20" s="34">
        <f>SUMIFS('BA History S2'!H:H,'BA History S2'!B:B,A20)</f>
        <v>48</v>
      </c>
      <c r="P20" s="2">
        <f>SUMIFS('BA History S2'!G:G,'BA History S2'!B:B,A20)-O20</f>
        <v>72</v>
      </c>
      <c r="Q20" s="89">
        <f>LOOKUP(2, 1/('BA History S2'!$B:$B=A20), 'BA History S2'!$AJ:$AJ)</f>
        <v>0.36285714285714288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1</v>
      </c>
      <c r="U20" s="2">
        <f>COUNTIFS('BA History S2'!$B:$B,$A$20,'BA History S2'!N:N, 1)</f>
        <v>1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0</v>
      </c>
      <c r="AN20" s="2">
        <f>COUNTIFS('BA History S2'!$B:$B,$A$20,'BA History S2'!AG:AG, 1)</f>
        <v>1</v>
      </c>
    </row>
    <row r="21" spans="1:40" x14ac:dyDescent="0.25">
      <c r="A21" s="2" t="s">
        <v>28</v>
      </c>
      <c r="B21" s="1" t="s">
        <v>79</v>
      </c>
      <c r="F21" s="34">
        <f>SUMIFS('BA History S2'!C:C,'BA History S2'!B:B,A21)</f>
        <v>46</v>
      </c>
      <c r="G21" s="66">
        <f>AVERAGEIFS('BA History S2'!C:C,'BA History S2'!B:B,A21)</f>
        <v>11.5</v>
      </c>
      <c r="H21" s="35">
        <f t="array" ref="H21">MAX(IF('BA History S2'!B:B=A21, 'BA History S2'!C:C))</f>
        <v>17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S2'!$AK:$AK)</f>
        <v>0.5</v>
      </c>
      <c r="L21" s="34">
        <f>SUMIFS('BA History S2'!F:F,'BA History S2'!B:B,A21)</f>
        <v>7</v>
      </c>
      <c r="M21" s="2">
        <f>SUMIFS('BA History S2'!E:E,'BA History S2'!B:B,A21)-L21</f>
        <v>7</v>
      </c>
      <c r="N21" s="75">
        <f>LOOKUP(2, 1/('BA History S2'!$B:$B=A21), 'BA History S2'!$AI:$AI)</f>
        <v>0.5</v>
      </c>
      <c r="O21" s="34">
        <f>SUMIFS('BA History S2'!H:H,'BA History S2'!B:B,A21)</f>
        <v>27</v>
      </c>
      <c r="P21" s="2">
        <f>SUMIFS('BA History S2'!G:G,'BA History S2'!B:B,A21)-O21</f>
        <v>29</v>
      </c>
      <c r="Q21" s="89">
        <f>LOOKUP(2, 1/('BA History S2'!$B:$B=A21), 'BA History S2'!$AJ:$AJ)</f>
        <v>0.45499999999999996</v>
      </c>
      <c r="R21" s="2">
        <f>COUNTIFS('BA History S2'!$B:$B,$A$21,'BA History S2'!K:K, 1)</f>
        <v>1</v>
      </c>
      <c r="S21" s="2">
        <f>COUNTIFS('BA History S2'!$B:$B,$A$21,'BA History S2'!L:L, 1)</f>
        <v>0</v>
      </c>
      <c r="T21" s="2">
        <f>COUNTIFS('BA History S2'!$B:$B,$A$21,'BA History S2'!M:M, 1)</f>
        <v>1</v>
      </c>
      <c r="U21" s="2">
        <f>COUNTIFS('BA History S2'!$B:$B,$A$21,'BA History S2'!N:N, 1)</f>
        <v>0</v>
      </c>
      <c r="V21" s="2">
        <f>COUNTIFS('BA History S2'!$B:$B,$A$21,'BA History S2'!O:O, 1)</f>
        <v>1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2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53</v>
      </c>
      <c r="B22" s="2" t="s">
        <v>79</v>
      </c>
      <c r="C22" s="2">
        <v>1</v>
      </c>
      <c r="D22" s="2"/>
      <c r="E22" s="2"/>
      <c r="F22" s="34">
        <f>SUMIFS('BA History S2'!C:C,'BA History S2'!B:B,A22)</f>
        <v>258</v>
      </c>
      <c r="G22" s="66">
        <f>AVERAGEIFS('BA History S2'!C:C,'BA History S2'!B:B,A22)</f>
        <v>15.176470588235293</v>
      </c>
      <c r="H22" s="35">
        <f t="array" ref="H22">MAX(IF('BA History S2'!B:B=A22, 'BA History S2'!C:C))</f>
        <v>27</v>
      </c>
      <c r="I22" s="34">
        <f>COUNTIFS('BA History S2'!B:B,A22,'BA History S2'!D:D, 1)</f>
        <v>5</v>
      </c>
      <c r="J22" s="2">
        <f>COUNTIFS('BA History S2'!B:B,A22,'BA History S2'!D:D, 0)</f>
        <v>12</v>
      </c>
      <c r="K22" s="75">
        <f>LOOKUP(2, 1/('BA History S2'!$B:$B=A22), 'BA History S2'!$AK:$AK)</f>
        <v>0.29411764705882354</v>
      </c>
      <c r="L22" s="34">
        <f>SUMIFS('BA History S2'!F:F,'BA History S2'!B:B,A22)</f>
        <v>29</v>
      </c>
      <c r="M22" s="2">
        <f>SUMIFS('BA History S2'!E:E,'BA History S2'!B:B,A22)-L22</f>
        <v>38</v>
      </c>
      <c r="N22" s="75">
        <f>LOOKUP(2, 1/('BA History S2'!$B:$B=A22), 'BA History S2'!$AI:$AI)</f>
        <v>0.44705882352941173</v>
      </c>
      <c r="O22" s="34">
        <f>SUMIFS('BA History S2'!H:H,'BA History S2'!B:B,A22)</f>
        <v>132</v>
      </c>
      <c r="P22" s="2">
        <f>SUMIFS('BA History S2'!G:G,'BA History S2'!B:B,A22)-O22</f>
        <v>150</v>
      </c>
      <c r="Q22" s="89">
        <f>LOOKUP(2, 1/('BA History S2'!$B:$B=A22), 'BA History S2'!$AJ:$AJ)</f>
        <v>0.47058823529411764</v>
      </c>
      <c r="R22" s="2">
        <f>COUNTIFS('BA History S2'!$B:$B,$A$22,'BA History S2'!K:K, 1)</f>
        <v>1</v>
      </c>
      <c r="S22" s="2">
        <f>COUNTIFS('BA History S2'!$B:$B,$A$22,'BA History S2'!L:L, 1)</f>
        <v>3</v>
      </c>
      <c r="T22" s="2">
        <f>COUNTIFS('BA History S2'!$B:$B,$A$22,'BA History S2'!M:M, 1)</f>
        <v>0</v>
      </c>
      <c r="U22" s="2">
        <f>COUNTIFS('BA History S2'!$B:$B,$A$22,'BA History S2'!N:N, 1)</f>
        <v>3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1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5</v>
      </c>
      <c r="AH22" s="2">
        <f>COUNTIFS('BA History S2'!$B:$B,$A22,'BA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  <c r="AN22" s="2">
        <f>COUNTIFS('BA History S2'!$B:$B,$A$22,'BA History S2'!AG:AG, 1)</f>
        <v>5</v>
      </c>
    </row>
    <row r="23" spans="1:40" x14ac:dyDescent="0.25">
      <c r="A23" s="2" t="s">
        <v>137</v>
      </c>
      <c r="B23" s="2" t="s">
        <v>79</v>
      </c>
      <c r="C23" s="2"/>
      <c r="D23" s="2"/>
      <c r="E23" s="2"/>
      <c r="F23" s="34">
        <f>SUMIFS('BA History S2'!C:C,'BA History S2'!B:B,A23)</f>
        <v>27</v>
      </c>
      <c r="G23" s="66">
        <f>AVERAGEIFS('BA History S2'!C:C,'BA History S2'!B:B,A23)</f>
        <v>9</v>
      </c>
      <c r="H23" s="35">
        <f t="array" ref="H23">MAX(IF('BA History S2'!B:B=A23, 'BA History S2'!C:C))</f>
        <v>10</v>
      </c>
      <c r="I23" s="34">
        <f>COUNTIFS('BA History S2'!B:B,A23,'BA History S2'!D:D, 1)</f>
        <v>1</v>
      </c>
      <c r="J23" s="2">
        <f>COUNTIFS('BA History S2'!B:B,A23,'BA History S2'!D:D, 0)</f>
        <v>2</v>
      </c>
      <c r="K23" s="75">
        <f>LOOKUP(2, 1/('BA History S2'!$B:$B=A23), 'BA History S2'!$AK:$AK)</f>
        <v>0.33333333333333331</v>
      </c>
      <c r="L23" s="34">
        <f>SUMIFS('BA History S2'!F:F,'BA History S2'!B:B,A23)</f>
        <v>5</v>
      </c>
      <c r="M23" s="2">
        <f>SUMIFS('BA History S2'!E:E,'BA History S2'!B:B,A23)-L23</f>
        <v>7</v>
      </c>
      <c r="N23" s="75">
        <f>LOOKUP(2, 1/('BA History S2'!$B:$B=A23), 'BA History S2'!$AI:$AI)</f>
        <v>0.41666666666666669</v>
      </c>
      <c r="O23" s="34">
        <f>SUMIFS('BA History S2'!H:H,'BA History S2'!B:B,A23)</f>
        <v>22</v>
      </c>
      <c r="P23" s="2">
        <f>SUMIFS('BA History S2'!G:G,'BA History S2'!B:B,A23)-O23</f>
        <v>26</v>
      </c>
      <c r="Q23" s="89">
        <f>LOOKUP(2, 1/('BA History S2'!$B:$B=A23), 'BA History S2'!$AJ:$AJ)</f>
        <v>0.45666666666666672</v>
      </c>
      <c r="R23" s="2">
        <f>COUNTIFS('BA History S2'!$B:$B,$A$23,'BA History S2'!K:K, 1)</f>
        <v>0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1</v>
      </c>
      <c r="V23" s="2">
        <f>COUNTIFS('BA History S2'!$B:$B,$A$23,'BA History S2'!O:O, 1)</f>
        <v>0</v>
      </c>
      <c r="W23" s="2">
        <f>COUNTIFS('BA History S2'!$B:$B,$A$23,'BA History S2'!P:P, 1)</f>
        <v>1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0</v>
      </c>
      <c r="AH23" s="2">
        <f>COUNTIFS('BA History S2'!$B:$B,$A$23,'BA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0</v>
      </c>
      <c r="AK23" s="2">
        <f>COUNTIFS('BA History S2'!$B:$B,$A$23,'BA History S2'!AD:AD, 1)</f>
        <v>0</v>
      </c>
      <c r="AL23" s="2">
        <f>COUNTIFS('BA History S2'!$B:$B,$A$23,'BA History S2'!AE:AE, 1)</f>
        <v>1</v>
      </c>
      <c r="AM23" s="2">
        <f>COUNTIFS('BA History S2'!$B:$B,$A$23,'BA History S2'!AF:AF, 1)</f>
        <v>0</v>
      </c>
      <c r="AN23" s="2">
        <f>COUNTIFS('BA History S2'!$B:$B,$A$23,'BA History S2'!AG:AG, 1)</f>
        <v>0</v>
      </c>
    </row>
    <row r="24" spans="1:40" x14ac:dyDescent="0.25">
      <c r="A24" s="2" t="s">
        <v>148</v>
      </c>
      <c r="B24" s="2" t="s">
        <v>79</v>
      </c>
      <c r="C24" s="2"/>
      <c r="D24" s="2"/>
      <c r="E24" s="2"/>
      <c r="F24" s="34">
        <f>SUMIFS('BA History S2'!C:C,'BA History S2'!B:B,A24)</f>
        <v>122</v>
      </c>
      <c r="G24" s="66">
        <f>AVERAGEIFS('BA History S2'!C:C,'BA History S2'!B:B,A24)</f>
        <v>8.7142857142857135</v>
      </c>
      <c r="H24" s="35">
        <f t="array" ref="H24">MAX(IF('BA History S2'!B:B=A24, 'BA History S2'!C:C))</f>
        <v>18</v>
      </c>
      <c r="I24" s="34">
        <f>COUNTIFS('BA History S2'!B:B,A24,'BA History S2'!D:D, 1)</f>
        <v>6</v>
      </c>
      <c r="J24" s="2">
        <f>COUNTIFS('BA History S2'!B:B,A24,'BA History S2'!D:D, 0)</f>
        <v>8</v>
      </c>
      <c r="K24" s="75">
        <f>LOOKUP(2, 1/('BA History S2'!$B:$B=A24), 'BA History S2'!$AK:$AK)</f>
        <v>0.42857142857142855</v>
      </c>
      <c r="L24" s="34">
        <f>SUMIFS('BA History S2'!F:F,'BA History S2'!B:B,A24)</f>
        <v>26</v>
      </c>
      <c r="M24" s="2">
        <f>SUMIFS('BA History S2'!E:E,'BA History S2'!B:B,A24)-L24</f>
        <v>34</v>
      </c>
      <c r="N24" s="75">
        <f>LOOKUP(2, 1/('BA History S2'!$B:$B=A24), 'BA History S2'!$AI:$AI)</f>
        <v>0.40714285714285714</v>
      </c>
      <c r="O24" s="34">
        <f>SUMIFS('BA History S2'!H:H,'BA History S2'!B:B,A24)</f>
        <v>114</v>
      </c>
      <c r="P24" s="2">
        <f>SUMIFS('BA History S2'!G:G,'BA History S2'!B:B,A24)-O24</f>
        <v>134</v>
      </c>
      <c r="Q24" s="89">
        <f>LOOKUP(2, 1/('BA History S2'!$B:$B=A24), 'BA History S2'!$AJ:$AJ)</f>
        <v>0.45071428571428562</v>
      </c>
      <c r="R24" s="2">
        <f>COUNTIFS('BA History S2'!$B:$B,$A$24,'BA History S2'!K:K, 1)</f>
        <v>2</v>
      </c>
      <c r="S24" s="2">
        <f>COUNTIFS('BA History S2'!$B:$B,$A$24,'BA History S2'!L:L, 1)</f>
        <v>1</v>
      </c>
      <c r="T24" s="2">
        <f>COUNTIFS('BA History S2'!$B:$B,$A$24,'BA History S2'!M:M, 1)</f>
        <v>1</v>
      </c>
      <c r="U24" s="2">
        <f>COUNTIFS('BA History S2'!$B:$B,$A$24,'BA History S2'!N:N, 1)</f>
        <v>2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1</v>
      </c>
      <c r="Z24" s="2">
        <f>COUNTIFS('BA History S2'!$B:$B,$A$24,'BA History S2'!S:S, 1)</f>
        <v>2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1</v>
      </c>
      <c r="AG24" s="2">
        <f>COUNTIFS('BA History S2'!$B:$B,$A$24,'BA History S2'!Z:Z, 1)</f>
        <v>2</v>
      </c>
      <c r="AH24" s="2">
        <f>COUNTIFS('BA History S2'!$B:$B,$A24,'BA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1</v>
      </c>
      <c r="AL24" s="2">
        <f>COUNTIFS('BA History S2'!$B:$B,$A$24,'BA History S2'!AE:AE, 1)</f>
        <v>3</v>
      </c>
      <c r="AM24" s="2">
        <f>COUNTIFS('BA History S2'!$B:$B,$A$24,'BA History S2'!AF:AF, 1)</f>
        <v>0</v>
      </c>
      <c r="AN24" s="2">
        <f>COUNTIFS('BA History S2'!$B:$B,$A$24,'BA History S2'!AG:AG, 1)</f>
        <v>2</v>
      </c>
    </row>
    <row r="25" spans="1:40" x14ac:dyDescent="0.25">
      <c r="A25" s="2" t="s">
        <v>15</v>
      </c>
      <c r="B25" s="2" t="s">
        <v>79</v>
      </c>
      <c r="C25" s="2"/>
      <c r="D25" s="2"/>
      <c r="E25" s="2"/>
      <c r="F25" s="34">
        <f>SUMIFS('BA History S2'!C:C,'BA History S2'!B:B,A25)</f>
        <v>41</v>
      </c>
      <c r="G25" s="66">
        <f>AVERAGEIFS('BA History S2'!C:C,'BA History S2'!B:B,A25)</f>
        <v>20.5</v>
      </c>
      <c r="H25" s="35">
        <f t="array" ref="H25">MAX(IF('BA History S2'!B:B=A25, 'BA History S2'!C:C))</f>
        <v>23</v>
      </c>
      <c r="I25" s="34">
        <f>COUNTIFS('BA History S2'!B:B,A25,'BA History S2'!D:D, 1)</f>
        <v>0</v>
      </c>
      <c r="J25" s="2">
        <f>COUNTIFS('BA History S2'!B:B,A25,'BA History S2'!D:D, 0)</f>
        <v>2</v>
      </c>
      <c r="K25" s="75">
        <f>LOOKUP(2, 1/('BA History S2'!$B:$B=A25), 'BA History S2'!$AK:$AK)</f>
        <v>0</v>
      </c>
      <c r="L25" s="34">
        <f>SUMIFS('BA History S2'!F:F,'BA History S2'!B:B,A25)</f>
        <v>3</v>
      </c>
      <c r="M25" s="2">
        <f>SUMIFS('BA History S2'!E:E,'BA History S2'!B:B,A25)-L25</f>
        <v>6</v>
      </c>
      <c r="N25" s="75">
        <f>LOOKUP(2, 1/('BA History S2'!$B:$B=A25), 'BA History S2'!$AI:$AI)</f>
        <v>0.32500000000000001</v>
      </c>
      <c r="O25" s="34">
        <f>SUMIFS('BA History S2'!H:H,'BA History S2'!B:B,A25)</f>
        <v>18</v>
      </c>
      <c r="P25" s="2">
        <f>SUMIFS('BA History S2'!G:G,'BA History S2'!B:B,A25)-O25</f>
        <v>20</v>
      </c>
      <c r="Q25" s="89">
        <f>LOOKUP(2, 1/('BA History S2'!$B:$B=A25), 'BA History S2'!$AJ:$AJ)</f>
        <v>0.47</v>
      </c>
      <c r="R25" s="2">
        <f>COUNTIFS('BA History S2'!$B:$B,$A$25,'BA History S2'!K:K, 1)</f>
        <v>0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0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0</v>
      </c>
      <c r="AH25" s="2">
        <f>COUNTIFS('BA History S2'!$B:$B,$A$25,'BA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0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0</v>
      </c>
      <c r="AN25" s="2">
        <f>COUNTIFS('BA History S2'!$B:$B,$A$25,'BA History S2'!AG:AG, 1)</f>
        <v>0</v>
      </c>
    </row>
    <row r="26" spans="1:40" x14ac:dyDescent="0.25">
      <c r="A26" s="2" t="s">
        <v>3</v>
      </c>
      <c r="B26" s="1" t="s">
        <v>158</v>
      </c>
      <c r="C26" s="2"/>
      <c r="D26" s="2"/>
      <c r="E26" s="2"/>
      <c r="F26" s="34">
        <f>SUMIFS('BA History S2'!C:C,'BA History S2'!B:B,A26)</f>
        <v>37</v>
      </c>
      <c r="G26" s="66">
        <f>AVERAGEIFS('BA History S2'!C:C,'BA History S2'!B:B,A26)</f>
        <v>18.5</v>
      </c>
      <c r="H26" s="35">
        <f t="array" ref="H26">MAX(IF('BA History S2'!B:B=A26, 'BA History S2'!C:C))</f>
        <v>26</v>
      </c>
      <c r="I26" s="34">
        <f>COUNTIFS('BA History S2'!B:B,A26,'BA History S2'!D:D, 1)</f>
        <v>0</v>
      </c>
      <c r="J26" s="2">
        <f>COUNTIFS('BA History S2'!B:B,A26,'BA History S2'!D:D, 0)</f>
        <v>2</v>
      </c>
      <c r="K26" s="75">
        <f>LOOKUP(2, 1/('BA History S2'!$B:$B=A26), 'BA History S2'!$AK:$AK)</f>
        <v>0</v>
      </c>
      <c r="L26" s="34">
        <f>SUMIFS('BA History S2'!F:F,'BA History S2'!B:B,A26)</f>
        <v>2</v>
      </c>
      <c r="M26" s="2">
        <f>SUMIFS('BA History S2'!E:E,'BA History S2'!B:B,A26)-L26</f>
        <v>6</v>
      </c>
      <c r="N26" s="75">
        <f>LOOKUP(2, 1/('BA History S2'!$B:$B=A26), 'BA History S2'!$AI:$AI)</f>
        <v>0.2</v>
      </c>
      <c r="O26" s="34">
        <f>SUMIFS('BA History S2'!H:H,'BA History S2'!B:B,A26)</f>
        <v>16</v>
      </c>
      <c r="P26" s="2">
        <f>SUMIFS('BA History S2'!G:G,'BA History S2'!B:B,A26)-O26</f>
        <v>21</v>
      </c>
      <c r="Q26" s="89">
        <f>LOOKUP(2, 1/('BA History S2'!$B:$B=A26), 'BA History S2'!$AJ:$AJ)</f>
        <v>0.40500000000000003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0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0</v>
      </c>
      <c r="AH26" s="2">
        <f>COUNTIFS('BA History S2'!$B:$B,$A$26,'BA History S2'!AA:AA, 1)</f>
        <v>0</v>
      </c>
      <c r="AI26" s="2">
        <f>COUNTIFS('BA History S2'!$B:$B,$A$26,'BA History S2'!AB:AB, 1)</f>
        <v>0</v>
      </c>
      <c r="AJ26" s="2">
        <f>COUNTIFS('BA History S2'!$B:$B,$A$26,'BA History S2'!AC:AC, 1)</f>
        <v>1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0</v>
      </c>
      <c r="AN26" s="2">
        <f>COUNTIFS('BA History S2'!$B:$B,$A$26,'BA History S2'!AG:AG, 1)</f>
        <v>0</v>
      </c>
    </row>
    <row r="27" spans="1:40" x14ac:dyDescent="0.25">
      <c r="A27" s="2" t="s">
        <v>161</v>
      </c>
      <c r="B27" s="2" t="s">
        <v>79</v>
      </c>
      <c r="C27" s="2"/>
      <c r="D27" s="2"/>
      <c r="E27" s="2"/>
      <c r="F27" s="34">
        <f>SUMIFS('BA History S2'!C:C,'BA History S2'!B:B,A27)</f>
        <v>202</v>
      </c>
      <c r="G27" s="66">
        <f>AVERAGEIFS('BA History S2'!C:C,'BA History S2'!B:B,A27)</f>
        <v>11.222222222222221</v>
      </c>
      <c r="H27" s="35">
        <f t="array" ref="H27">MAX(IF('BA History S2'!B:B=A27, 'BA History S2'!C:C))</f>
        <v>29</v>
      </c>
      <c r="I27" s="34">
        <f>COUNTIFS('BA History S2'!B:B,A27,'BA History S2'!D:D, 1)</f>
        <v>10</v>
      </c>
      <c r="J27" s="2">
        <f>COUNTIFS('BA History S2'!B:B,A27,'BA History S2'!D:D, 0)</f>
        <v>8</v>
      </c>
      <c r="K27" s="75">
        <f>LOOKUP(2, 1/('BA History S2'!$B:$B=A27), 'BA History S2'!$AK:$AK)</f>
        <v>0.55555555555555558</v>
      </c>
      <c r="L27" s="34">
        <f>SUMIFS('BA History S2'!F:F,'BA History S2'!B:B,A27)</f>
        <v>38</v>
      </c>
      <c r="M27" s="2">
        <f>SUMIFS('BA History S2'!E:E,'BA History S2'!B:B,A27)-L27</f>
        <v>37</v>
      </c>
      <c r="N27" s="75">
        <f>LOOKUP(2, 1/('BA History S2'!$B:$B=A27), 'BA History S2'!$AI:$AI)</f>
        <v>0.49722222222222218</v>
      </c>
      <c r="O27" s="34">
        <f>SUMIFS('BA History S2'!H:H,'BA History S2'!B:B,A27)</f>
        <v>157</v>
      </c>
      <c r="P27" s="2">
        <f>SUMIFS('BA History S2'!G:G,'BA History S2'!B:B,A27)-O27</f>
        <v>165</v>
      </c>
      <c r="Q27" s="89">
        <f>LOOKUP(2, 1/('BA History S2'!$B:$B=A27), 'BA History S2'!$AJ:$AJ)</f>
        <v>0.48833333333333329</v>
      </c>
      <c r="R27" s="2">
        <f>COUNTIFS('BA History S2'!$B:$B,$A$27,'BA History S2'!K:K, 1)</f>
        <v>2</v>
      </c>
      <c r="S27" s="2">
        <f>COUNTIFS('BA History S2'!$B:$B,$A$27,'BA History S2'!L:L, 1)</f>
        <v>2</v>
      </c>
      <c r="T27" s="2">
        <f>COUNTIFS('BA History S2'!$B:$B,$A$27,'BA History S2'!M:M, 1)</f>
        <v>4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3</v>
      </c>
      <c r="AG27" s="2">
        <f>COUNTIFS('BA History S2'!$B:$B,$A$27,'BA History S2'!Z:Z, 1)</f>
        <v>5</v>
      </c>
      <c r="AH27" s="2">
        <f>COUNTIFS('BA History S2'!$B:$B,$A27,'BA History S2'!AA:AA, 1)</f>
        <v>1</v>
      </c>
      <c r="AI27" s="2">
        <f>COUNTIFS('BA History S2'!$B:$B,$A$27,'BA History S2'!AB:AB, 1)</f>
        <v>2</v>
      </c>
      <c r="AJ27" s="2">
        <f>COUNTIFS('BA History S2'!$B:$B,$A$27,'BA History S2'!AC:AC, 1)</f>
        <v>5</v>
      </c>
      <c r="AK27" s="2">
        <f>COUNTIFS('BA History S2'!$B:$B,$A$27,'BA History S2'!AD:AD, 1)</f>
        <v>2</v>
      </c>
      <c r="AL27" s="2">
        <f>COUNTIFS('BA History S2'!$B:$B,$A$27,'BA History S2'!AE:AE, 1)</f>
        <v>2</v>
      </c>
      <c r="AM27" s="2">
        <f>COUNTIFS('BA History S2'!$B:$B,$A$27,'BA History S2'!AF:AF, 1)</f>
        <v>1</v>
      </c>
      <c r="AN27" s="2">
        <f>COUNTIFS('BA History S2'!$B:$B,$A$27,'BA History S2'!AG:AG, 1)</f>
        <v>3</v>
      </c>
    </row>
    <row r="28" spans="1:40" x14ac:dyDescent="0.25">
      <c r="A28" s="2" t="s">
        <v>13</v>
      </c>
      <c r="B28" s="2" t="s">
        <v>79</v>
      </c>
      <c r="C28" s="2">
        <v>1</v>
      </c>
      <c r="D28" s="2"/>
      <c r="E28" s="2"/>
      <c r="F28" s="34">
        <f>SUMIFS('BA History S2'!C:C,'BA History S2'!B:B,A28)</f>
        <v>476</v>
      </c>
      <c r="G28" s="66">
        <f>AVERAGEIFS('BA History S2'!C:C,'BA History S2'!B:B,A28)</f>
        <v>18.307692307692307</v>
      </c>
      <c r="H28" s="35">
        <f t="array" ref="H28">MAX(IF('BA History S2'!B:B=A28, 'BA History S2'!C:C))</f>
        <v>38</v>
      </c>
      <c r="I28" s="34">
        <f>COUNTIFS('BA History S2'!B:B,A28,'BA History S2'!D:D, 1)</f>
        <v>11</v>
      </c>
      <c r="J28" s="2">
        <f>COUNTIFS('BA History S2'!B:B,A28,'BA History S2'!D:D, 0)</f>
        <v>15</v>
      </c>
      <c r="K28" s="75">
        <f>LOOKUP(2, 1/('BA History S2'!$B:$B=A28), 'BA History S2'!$AK:$AK)</f>
        <v>0.42307692307692307</v>
      </c>
      <c r="L28" s="34">
        <f>SUMIFS('BA History S2'!F:F,'BA History S2'!B:B,A28)</f>
        <v>48</v>
      </c>
      <c r="M28" s="2">
        <f>SUMIFS('BA History S2'!E:E,'BA History S2'!B:B,A28)-L28</f>
        <v>55</v>
      </c>
      <c r="N28" s="75">
        <f>LOOKUP(2, 1/('BA History S2'!$B:$B=A28), 'BA History S2'!$AI:$AI)</f>
        <v>0.46346153846153848</v>
      </c>
      <c r="O28" s="34">
        <f>SUMIFS('BA History S2'!H:H,'BA History S2'!B:B,A28)</f>
        <v>214</v>
      </c>
      <c r="P28" s="2">
        <f>SUMIFS('BA History S2'!G:G,'BA History S2'!B:B,A28)-O28</f>
        <v>227</v>
      </c>
      <c r="Q28" s="89">
        <f>LOOKUP(2, 1/('BA History S2'!$B:$B=A28), 'BA History S2'!$AJ:$AJ)</f>
        <v>0.4819230769230769</v>
      </c>
      <c r="R28" s="2">
        <f>COUNTIFS('BA History S2'!$B:$B,$A$28,'BA History S2'!K:K, 1)</f>
        <v>3</v>
      </c>
      <c r="S28" s="2">
        <f>COUNTIFS('BA History S2'!$B:$B,$A$28,'BA History S2'!L:L, 1)</f>
        <v>3</v>
      </c>
      <c r="T28" s="2">
        <f>COUNTIFS('BA History S2'!$B:$B,$A$28,'BA History S2'!M:M, 1)</f>
        <v>5</v>
      </c>
      <c r="U28" s="2">
        <f>COUNTIFS('BA History S2'!$B:$B,$A$28,'BA History S2'!N:N, 1)</f>
        <v>2</v>
      </c>
      <c r="V28" s="2">
        <f>COUNTIFS('BA History S2'!$B:$B,$A$28,'BA History S2'!O:O, 1)</f>
        <v>3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1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2</v>
      </c>
      <c r="AC28" s="2">
        <f>COUNTIFS('BA History S2'!$B:$B,$A$28,'BA History S2'!V:V, 1)</f>
        <v>2</v>
      </c>
      <c r="AD28" s="2">
        <f>COUNTIFS('BA History S2'!$B:$B,$A$28,'BA History S2'!W:W, 1)</f>
        <v>1</v>
      </c>
      <c r="AE28" s="2">
        <f>COUNTIFS('BA History S2'!$B:$B,$A$28,'BA History S2'!X:X, 1)</f>
        <v>0</v>
      </c>
      <c r="AF28" s="2">
        <f>COUNTIFS('BA History S2'!$B:$B,$A$28,'BA History S2'!Y:Y, 1)</f>
        <v>2</v>
      </c>
      <c r="AG28" s="2">
        <f>COUNTIFS('BA History S2'!$B:$B,$A$28,'BA History S2'!Z:Z, 1)</f>
        <v>4</v>
      </c>
      <c r="AH28" s="2">
        <f>COUNTIFS('BA History S2'!$B:$B,$A28,'BA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8</v>
      </c>
      <c r="AK28" s="2">
        <f>COUNTIFS('BA History S2'!$B:$B,$A$28,'BA History S2'!AD:AD, 1)</f>
        <v>4</v>
      </c>
      <c r="AL28" s="2">
        <f>COUNTIFS('BA History S2'!$B:$B,$A$28,'BA History S2'!AE:AE, 1)</f>
        <v>3</v>
      </c>
      <c r="AM28" s="2">
        <f>COUNTIFS('BA History S2'!$B:$B,$A$28,'BA History S2'!AF:AF, 1)</f>
        <v>1</v>
      </c>
      <c r="AN28" s="2">
        <f>COUNTIFS('BA History S2'!$B:$B,$A$28,'BA History S2'!AG:AG, 1)</f>
        <v>1</v>
      </c>
    </row>
    <row r="29" spans="1:40" x14ac:dyDescent="0.25">
      <c r="A29" s="2" t="s">
        <v>2</v>
      </c>
      <c r="B29" s="1" t="s">
        <v>158</v>
      </c>
      <c r="C29" s="1">
        <v>1</v>
      </c>
      <c r="F29" s="34">
        <f>SUMIFS('BA History S2'!C:C,'BA History S2'!B:B,A29)</f>
        <v>686</v>
      </c>
      <c r="G29" s="66">
        <f>AVERAGEIFS('BA History S2'!C:C,'BA History S2'!B:B,A29)</f>
        <v>24.5</v>
      </c>
      <c r="H29" s="35">
        <f t="array" ref="H29">MAX(IF('BA History S2'!B:B=A29, 'BA History S2'!C:C))</f>
        <v>50</v>
      </c>
      <c r="I29" s="34">
        <f>COUNTIFS('BA History S2'!B:B,A29,'BA History S2'!D:D, 1)</f>
        <v>11</v>
      </c>
      <c r="J29" s="2">
        <f>COUNTIFS('BA History S2'!B:B,A29,'BA History S2'!D:D, 0)</f>
        <v>17</v>
      </c>
      <c r="K29" s="75">
        <f>LOOKUP(2, 1/('BA History S2'!$B:$B=A29), 'BA History S2'!$AK:$AK)</f>
        <v>0.39285714285714285</v>
      </c>
      <c r="L29" s="34">
        <f>SUMIFS('BA History S2'!F:F,'BA History S2'!B:B,A29)</f>
        <v>53</v>
      </c>
      <c r="M29" s="2">
        <f>SUMIFS('BA History S2'!E:E,'BA History S2'!B:B,A29)-L29</f>
        <v>63</v>
      </c>
      <c r="N29" s="75">
        <f>LOOKUP(2, 1/('BA History S2'!$B:$B=A29), 'BA History S2'!$AI:$AI)</f>
        <v>0.45357142857142857</v>
      </c>
      <c r="O29" s="34">
        <f>SUMIFS('BA History S2'!H:H,'BA History S2'!B:B,A29)</f>
        <v>247</v>
      </c>
      <c r="P29" s="2">
        <f>SUMIFS('BA History S2'!G:G,'BA History S2'!B:B,A29)-O29</f>
        <v>245</v>
      </c>
      <c r="Q29" s="89">
        <f>LOOKUP(2, 1/('BA History S2'!$B:$B=A29), 'BA History S2'!$AJ:$AJ)</f>
        <v>0.50178571428571428</v>
      </c>
      <c r="R29" s="2">
        <f>COUNTIFS('BA History S2'!$B:$B,$A$29,'BA History S2'!K:K, 1)</f>
        <v>3</v>
      </c>
      <c r="S29" s="2">
        <f>COUNTIFS('BA History S2'!$B:$B,$A$29,'BA History S2'!L:L, 1)</f>
        <v>2</v>
      </c>
      <c r="T29" s="2">
        <f>COUNTIFS('BA History S2'!$B:$B,$A$29,'BA History S2'!M:M, 1)</f>
        <v>4</v>
      </c>
      <c r="U29" s="2">
        <f>COUNTIFS('BA History S2'!$B:$B,$A$29,'BA History S2'!N:N, 1)</f>
        <v>4</v>
      </c>
      <c r="V29" s="2">
        <f>COUNTIFS('BA History S2'!$B:$B,$A$29,'BA History S2'!O:O, 1)</f>
        <v>2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2</v>
      </c>
      <c r="Z29" s="2">
        <f>COUNTIFS('BA History S2'!$B:$B,$A$29,'BA History S2'!S:S, 1)</f>
        <v>2</v>
      </c>
      <c r="AA29" s="2">
        <f>COUNTIFS('BA History S2'!$B:$B,$A$29,'BA History S2'!T:T, 1)</f>
        <v>0</v>
      </c>
      <c r="AB29" s="2">
        <f>COUNTIFS('BA History S2'!$B:$B,$A$29,'BA History S2'!U:U, 1)</f>
        <v>3</v>
      </c>
      <c r="AC29" s="2">
        <f>COUNTIFS('BA History S2'!$B:$B,$A$29,'BA History S2'!V:V, 1)</f>
        <v>2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2</v>
      </c>
      <c r="AG29" s="2">
        <f>COUNTIFS('BA History S2'!$B:$B,$A$29,'BA History S2'!Z:Z, 1)</f>
        <v>3</v>
      </c>
      <c r="AH29" s="2">
        <f>COUNTIFS('BA History S2'!$B:$B,$A29,'BA History S2'!AA:AA, 1)</f>
        <v>1</v>
      </c>
      <c r="AI29" s="2">
        <f>COUNTIFS('BA History S2'!$B:$B,$A$29,'BA History S2'!AB:AB, 1)</f>
        <v>1</v>
      </c>
      <c r="AJ29" s="2">
        <f>COUNTIFS('BA History S2'!$B:$B,$A$29,'BA History S2'!AC:AC, 1)</f>
        <v>9</v>
      </c>
      <c r="AK29" s="2">
        <f>COUNTIFS('BA History S2'!$B:$B,$A$29,'BA History S2'!AD:AD, 1)</f>
        <v>2</v>
      </c>
      <c r="AL29" s="2">
        <f>COUNTIFS('BA History S2'!$B:$B,$A$29,'BA History S2'!AE:AE, 1)</f>
        <v>7</v>
      </c>
      <c r="AM29" s="2">
        <f>COUNTIFS('BA History S2'!$B:$B,$A$29,'BA History S2'!AF:AF, 1)</f>
        <v>0</v>
      </c>
      <c r="AN29" s="2">
        <f>COUNTIFS('BA History S2'!$B:$B,$A$29,'BA History S2'!AG:AG, 1)</f>
        <v>3</v>
      </c>
    </row>
    <row r="30" spans="1:40" x14ac:dyDescent="0.25">
      <c r="A30" s="2" t="s">
        <v>54</v>
      </c>
      <c r="B30" s="2" t="s">
        <v>79</v>
      </c>
      <c r="C30" s="2">
        <v>3</v>
      </c>
      <c r="D30" s="2">
        <v>1</v>
      </c>
      <c r="E30" s="2"/>
      <c r="F30" s="34">
        <f>SUMIFS('BA History S2'!C:C,'BA History S2'!B:B,A30)</f>
        <v>595</v>
      </c>
      <c r="G30" s="66">
        <f>AVERAGEIFS('BA History S2'!C:C,'BA History S2'!B:B,A30)</f>
        <v>22.884615384615383</v>
      </c>
      <c r="H30" s="35">
        <f t="array" ref="H30">MAX(IF('BA History S2'!B:B=A30, 'BA History S2'!C:C))</f>
        <v>47</v>
      </c>
      <c r="I30" s="34">
        <f>COUNTIFS('BA History S2'!B:B,A30,'BA History S2'!D:D, 1)</f>
        <v>14</v>
      </c>
      <c r="J30" s="2">
        <f>COUNTIFS('BA History S2'!B:B,A30,'BA History S2'!D:D, 0)</f>
        <v>12</v>
      </c>
      <c r="K30" s="75">
        <f>LOOKUP(2, 1/('BA History S2'!$B:$B=A30), 'BA History S2'!$AK:$AK)</f>
        <v>0.53846153846153844</v>
      </c>
      <c r="L30" s="34">
        <f>SUMIFS('BA History S2'!F:F,'BA History S2'!B:B,A30)</f>
        <v>56</v>
      </c>
      <c r="M30" s="2">
        <f>SUMIFS('BA History S2'!E:E,'BA History S2'!B:B,A30)-L30</f>
        <v>49</v>
      </c>
      <c r="N30" s="75">
        <f>LOOKUP(2, 1/('BA History S2'!$B:$B=A30), 'BA History S2'!$AI:$AI)</f>
        <v>0.53653846153846163</v>
      </c>
      <c r="O30" s="34">
        <f>SUMIFS('BA History S2'!H:H,'BA History S2'!B:B,A30)</f>
        <v>226</v>
      </c>
      <c r="P30" s="2">
        <f>SUMIFS('BA History S2'!G:G,'BA History S2'!B:B,A30)-O30</f>
        <v>211</v>
      </c>
      <c r="Q30" s="89">
        <f>LOOKUP(2, 1/('BA History S2'!$B:$B=A30), 'BA History S2'!$AJ:$AJ)</f>
        <v>0.51692307692307682</v>
      </c>
      <c r="R30" s="2">
        <f>COUNTIFS('BA History S2'!$B:$B,$A$30,'BA History S2'!K:K, 1)</f>
        <v>3</v>
      </c>
      <c r="S30" s="2">
        <f>COUNTIFS('BA History S2'!$B:$B,$A$30,'BA History S2'!L:L, 1)</f>
        <v>5</v>
      </c>
      <c r="T30" s="2">
        <f>COUNTIFS('BA History S2'!$B:$B,$A$30,'BA History S2'!M:M, 1)</f>
        <v>6</v>
      </c>
      <c r="U30" s="2">
        <f>COUNTIFS('BA History S2'!$B:$B,$A$30,'BA History S2'!N:N, 1)</f>
        <v>3</v>
      </c>
      <c r="V30" s="2">
        <f>COUNTIFS('BA History S2'!$B:$B,$A$30,'BA History S2'!O:O, 1)</f>
        <v>3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3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6</v>
      </c>
      <c r="AH30" s="2">
        <f>COUNTIFS('BA History S2'!$B:$B,$A30,'BA History S2'!AA:AA, 1)</f>
        <v>0</v>
      </c>
      <c r="AI30" s="2">
        <f>COUNTIFS('BA History S2'!$B:$B,$A$30,'BA History S2'!AB:AB, 1)</f>
        <v>2</v>
      </c>
      <c r="AJ30" s="2">
        <f>COUNTIFS('BA History S2'!$B:$B,$A$30,'BA History S2'!AC:AC, 1)</f>
        <v>5</v>
      </c>
      <c r="AK30" s="2">
        <f>COUNTIFS('BA History S2'!$B:$B,$A$30,'BA History S2'!AD:AD, 1)</f>
        <v>3</v>
      </c>
      <c r="AL30" s="2">
        <f>COUNTIFS('BA History S2'!$B:$B,$A$30,'BA History S2'!AE:AE, 1)</f>
        <v>4</v>
      </c>
      <c r="AM30" s="2">
        <f>COUNTIFS('BA History S2'!$B:$B,$A$30,'BA History S2'!AF:AF, 1)</f>
        <v>0</v>
      </c>
      <c r="AN30" s="2">
        <f>COUNTIFS('BA History S2'!$B:$B,$A$30,'BA History S2'!AG:AG, 1)</f>
        <v>5</v>
      </c>
    </row>
    <row r="31" spans="1:40" x14ac:dyDescent="0.25">
      <c r="A31" s="2" t="s">
        <v>5</v>
      </c>
      <c r="B31" s="1" t="s">
        <v>158</v>
      </c>
      <c r="C31" s="1">
        <v>1</v>
      </c>
      <c r="D31" s="1">
        <v>1</v>
      </c>
      <c r="F31" s="34">
        <f>SUMIFS('BA History S2'!C:C,'BA History S2'!B:B,A31)</f>
        <v>444</v>
      </c>
      <c r="G31" s="66">
        <f>AVERAGEIFS('BA History S2'!C:C,'BA History S2'!B:B,A31)</f>
        <v>18.5</v>
      </c>
      <c r="H31" s="35">
        <f t="array" ref="H31">MAX(IF('BA History S2'!B:B=A31, 'BA History S2'!C:C))</f>
        <v>37</v>
      </c>
      <c r="I31" s="34">
        <f>COUNTIFS('BA History S2'!B:B,A31,'BA History S2'!D:D, 1)</f>
        <v>11</v>
      </c>
      <c r="J31" s="2">
        <f>COUNTIFS('BA History S2'!B:B,A31,'BA History S2'!D:D, 0)</f>
        <v>13</v>
      </c>
      <c r="K31" s="75">
        <f>LOOKUP(2, 1/('BA History S2'!$B:$B=A31), 'BA History S2'!$AK:$AK)</f>
        <v>0.45833333333333331</v>
      </c>
      <c r="L31" s="34">
        <f>SUMIFS('BA History S2'!F:F,'BA History S2'!B:B,A31)</f>
        <v>47</v>
      </c>
      <c r="M31" s="2">
        <f>SUMIFS('BA History S2'!E:E,'BA History S2'!B:B,A31)-L31</f>
        <v>52</v>
      </c>
      <c r="N31" s="75">
        <f>LOOKUP(2, 1/('BA History S2'!$B:$B=A31), 'BA History S2'!$AI:$AI)</f>
        <v>0.4645833333333334</v>
      </c>
      <c r="O31" s="34">
        <f>SUMIFS('BA History S2'!H:H,'BA History S2'!B:B,A31)</f>
        <v>201</v>
      </c>
      <c r="P31" s="2">
        <f>SUMIFS('BA History S2'!G:G,'BA History S2'!B:B,A31)-O31</f>
        <v>213</v>
      </c>
      <c r="Q31" s="89">
        <f>LOOKUP(2, 1/('BA History S2'!$B:$B=A31), 'BA History S2'!$AJ:$AJ)</f>
        <v>0.48333333333333339</v>
      </c>
      <c r="R31" s="2">
        <f>COUNTIFS('BA History S2'!$B:$B,$A$31,'BA History S2'!K:K, 1)</f>
        <v>2</v>
      </c>
      <c r="S31" s="2">
        <f>COUNTIFS('BA History S2'!$B:$B,$A$31,'BA History S2'!L:L, 1)</f>
        <v>5</v>
      </c>
      <c r="T31" s="2">
        <f>COUNTIFS('BA History S2'!$B:$B,$A$31,'BA History S2'!M:M, 1)</f>
        <v>6</v>
      </c>
      <c r="U31" s="2">
        <f>COUNTIFS('BA History S2'!$B:$B,$A$31,'BA History S2'!N:N, 1)</f>
        <v>7</v>
      </c>
      <c r="V31" s="2">
        <f>COUNTIFS('BA History S2'!$B:$B,$A$31,'BA History S2'!O:O, 1)</f>
        <v>2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3</v>
      </c>
      <c r="AG31" s="2">
        <f>COUNTIFS('BA History S2'!$B:$B,$A$31,'BA History S2'!Z:Z, 1)</f>
        <v>6</v>
      </c>
      <c r="AH31" s="2">
        <f>COUNTIFS('BA History S2'!$B:$B,$A31,'BA History S2'!AA:AA, 1)</f>
        <v>0</v>
      </c>
      <c r="AI31" s="2">
        <f>COUNTIFS('BA History S2'!$B:$B,$A$31,'BA History S2'!AB:AB, 1)</f>
        <v>2</v>
      </c>
      <c r="AJ31" s="2">
        <f>COUNTIFS('BA History S2'!$B:$B,$A$31,'BA History S2'!AC:AC, 1)</f>
        <v>8</v>
      </c>
      <c r="AK31" s="2">
        <f>COUNTIFS('BA History S2'!$B:$B,$A$31,'BA History S2'!AD:AD, 1)</f>
        <v>1</v>
      </c>
      <c r="AL31" s="2">
        <f>COUNTIFS('BA History S2'!$B:$B,$A$31,'BA History S2'!AE:AE, 1)</f>
        <v>2</v>
      </c>
      <c r="AM31" s="2">
        <f>COUNTIFS('BA History S2'!$B:$B,$A$31,'BA History S2'!AF:AF, 1)</f>
        <v>0</v>
      </c>
      <c r="AN31" s="2">
        <f>COUNTIFS('BA History S2'!$B:$B,$A$31,'BA History S2'!AG:AG, 1)</f>
        <v>2</v>
      </c>
    </row>
    <row r="32" spans="1:40" x14ac:dyDescent="0.25">
      <c r="A32" s="2" t="s">
        <v>224</v>
      </c>
      <c r="B32" s="1" t="s">
        <v>79</v>
      </c>
      <c r="F32" s="34">
        <f>SUMIFS('BA History S2'!C:C,'BA History S2'!B:B,A32)</f>
        <v>17</v>
      </c>
      <c r="G32" s="66">
        <f>AVERAGEIFS('BA History S2'!C:C,'BA History S2'!B:B,A32)</f>
        <v>8.5</v>
      </c>
      <c r="H32" s="35">
        <f t="array" ref="H32">MAX(IF('BA History S2'!B:B=A32, 'BA History S2'!C:C))</f>
        <v>10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S2'!$AK:$AK)</f>
        <v>0.5</v>
      </c>
      <c r="L32" s="34">
        <f>SUMIFS('BA History S2'!F:F,'BA History S2'!B:B,A32)</f>
        <v>4</v>
      </c>
      <c r="M32" s="2">
        <f>SUMIFS('BA History S2'!E:E,'BA History S2'!B:B,A32)-L32</f>
        <v>3</v>
      </c>
      <c r="N32" s="75">
        <f>LOOKUP(2, 1/('BA History S2'!$B:$B=A32), 'BA History S2'!$AI:$AI)</f>
        <v>0.625</v>
      </c>
      <c r="O32" s="34">
        <f>SUMIFS('BA History S2'!H:H,'BA History S2'!B:B,A32)</f>
        <v>17</v>
      </c>
      <c r="P32" s="2">
        <f>SUMIFS('BA History S2'!G:G,'BA History S2'!B:B,A32)-O32</f>
        <v>16</v>
      </c>
      <c r="Q32" s="89">
        <f>LOOKUP(2, 1/('BA History S2'!$B:$B=A32), 'BA History S2'!$AJ:$AJ)</f>
        <v>0.53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1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1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  <c r="AN32" s="2">
        <f>COUNTIFS('BA History S2'!$B:$B,$A$32,'BA History S2'!AG:AG, 1)</f>
        <v>1</v>
      </c>
    </row>
    <row r="33" spans="1:40" x14ac:dyDescent="0.25">
      <c r="A33" s="2" t="s">
        <v>141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535</v>
      </c>
      <c r="G33" s="66">
        <f>AVERAGEIFS('BA History S2'!C:C,'BA History S2'!B:B,A33)</f>
        <v>20.576923076923077</v>
      </c>
      <c r="H33" s="35">
        <f t="array" ref="H33">MAX(IF('BA History S2'!B:B=A33, 'BA History S2'!C:C))</f>
        <v>43</v>
      </c>
      <c r="I33" s="34">
        <f>COUNTIFS('BA History S2'!B:B,A33,'BA History S2'!D:D, 1)</f>
        <v>17</v>
      </c>
      <c r="J33" s="2">
        <f>COUNTIFS('BA History S2'!B:B,A33,'BA History S2'!D:D, 0)</f>
        <v>9</v>
      </c>
      <c r="K33" s="75">
        <f>LOOKUP(2, 1/('BA History S2'!$B:$B=A33), 'BA History S2'!$AK:$AK)</f>
        <v>0.65384615384615385</v>
      </c>
      <c r="L33" s="34">
        <f>SUMIFS('BA History S2'!F:F,'BA History S2'!B:B,A33)</f>
        <v>57</v>
      </c>
      <c r="M33" s="2">
        <f>SUMIFS('BA History S2'!E:E,'BA History S2'!B:B,A33)-L33</f>
        <v>51</v>
      </c>
      <c r="N33" s="75">
        <f>LOOKUP(2, 1/('BA History S2'!$B:$B=A33), 'BA History S2'!$AI:$AI)</f>
        <v>0.5115384615384615</v>
      </c>
      <c r="O33" s="34">
        <f>SUMIFS('BA History S2'!H:H,'BA History S2'!B:B,A33)</f>
        <v>233</v>
      </c>
      <c r="P33" s="2">
        <f>SUMIFS('BA History S2'!G:G,'BA History S2'!B:B,A33)-O33</f>
        <v>229</v>
      </c>
      <c r="Q33" s="89">
        <f>LOOKUP(2, 1/('BA History S2'!$B:$B=A33), 'BA History S2'!$AJ:$AJ)</f>
        <v>0.49961538461538474</v>
      </c>
      <c r="R33" s="2">
        <f>COUNTIFS('BA History S2'!$B:$B,$A$33,'BA History S2'!K:K, 1)</f>
        <v>4</v>
      </c>
      <c r="S33" s="2">
        <f>COUNTIFS('BA History S2'!$B:$B,$A$33,'BA History S2'!L:L, 1)</f>
        <v>1</v>
      </c>
      <c r="T33" s="2">
        <f>COUNTIFS('BA History S2'!$B:$B,$A$33,'BA History S2'!M:M, 1)</f>
        <v>2</v>
      </c>
      <c r="U33" s="2">
        <f>COUNTIFS('BA History S2'!$B:$B,$A$33,'BA History S2'!N:N, 1)</f>
        <v>7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1</v>
      </c>
      <c r="Y33" s="2">
        <f>COUNTIFS('BA History S2'!$B:$B,$A$33,'BA History S2'!R:R, 1)</f>
        <v>1</v>
      </c>
      <c r="Z33" s="2">
        <f>COUNTIFS('BA History S2'!$B:$B,$A$33,'BA History S2'!S:S, 1)</f>
        <v>1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3</v>
      </c>
      <c r="AD33" s="2">
        <f>COUNTIFS('BA History S2'!$B:$B,$A$33,'BA History S2'!W:W, 1)</f>
        <v>1</v>
      </c>
      <c r="AE33" s="2">
        <f>COUNTIFS('BA History S2'!$B:$B,$A$33,'BA History S2'!X:X, 1)</f>
        <v>0</v>
      </c>
      <c r="AF33" s="2">
        <f>COUNTIFS('BA History S2'!$B:$B,$A$33,'BA History S2'!Y:Y, 1)</f>
        <v>6</v>
      </c>
      <c r="AG33" s="2">
        <f>COUNTIFS('BA History S2'!$B:$B,$A$33,'BA History S2'!Z:Z, 1)</f>
        <v>6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10</v>
      </c>
      <c r="AK33" s="2">
        <f>COUNTIFS('BA History S2'!$B:$B,$A$33,'BA History S2'!AD:AD, 1)</f>
        <v>3</v>
      </c>
      <c r="AL33" s="2">
        <f>COUNTIFS('BA History S2'!$B:$B,$A$33,'BA History S2'!AE:AE, 1)</f>
        <v>6</v>
      </c>
      <c r="AM33" s="2">
        <f>COUNTIFS('BA History S2'!$B:$B,$A$33,'BA History S2'!AF:AF, 1)</f>
        <v>1</v>
      </c>
      <c r="AN33" s="2">
        <f>COUNTIFS('BA History S2'!$B:$B,$A$33,'BA History S2'!AG:AG, 1)</f>
        <v>3</v>
      </c>
    </row>
    <row r="34" spans="1:40" x14ac:dyDescent="0.25">
      <c r="A34" s="2" t="s">
        <v>40</v>
      </c>
      <c r="B34" s="2" t="s">
        <v>79</v>
      </c>
      <c r="C34" s="2"/>
      <c r="D34" s="2"/>
      <c r="E34" s="2"/>
      <c r="F34" s="34">
        <f>SUMIFS('BA History S2'!C:C,'BA History S2'!B:B,A34)</f>
        <v>594</v>
      </c>
      <c r="G34" s="66">
        <f>AVERAGEIFS('BA History S2'!C:C,'BA History S2'!B:B,A34)</f>
        <v>19.8</v>
      </c>
      <c r="H34" s="35">
        <f t="array" ref="H34">MAX(IF('BA History S2'!B:B=A34, 'BA History S2'!C:C))</f>
        <v>38</v>
      </c>
      <c r="I34" s="34">
        <f>COUNTIFS('BA History S2'!B:B,A34,'BA History S2'!D:D, 1)</f>
        <v>13</v>
      </c>
      <c r="J34" s="2">
        <f>COUNTIFS('BA History S2'!B:B,A34,'BA History S2'!D:D, 0)</f>
        <v>17</v>
      </c>
      <c r="K34" s="75">
        <f>LOOKUP(2, 1/('BA History S2'!$B:$B=A34), 'BA History S2'!$AK:$AK)</f>
        <v>0.43333333333333335</v>
      </c>
      <c r="L34" s="34">
        <f>SUMIFS('BA History S2'!F:F,'BA History S2'!B:B,A34)</f>
        <v>59</v>
      </c>
      <c r="M34" s="2">
        <f>SUMIFS('BA History S2'!E:E,'BA History S2'!B:B,A34)-L34</f>
        <v>65</v>
      </c>
      <c r="N34" s="75">
        <f>LOOKUP(2, 1/('BA History S2'!$B:$B=A34), 'BA History S2'!$AI:$AI)</f>
        <v>0.47000000000000003</v>
      </c>
      <c r="O34" s="34">
        <f>SUMIFS('BA History S2'!H:H,'BA History S2'!B:B,A34)</f>
        <v>254</v>
      </c>
      <c r="P34" s="2">
        <f>SUMIFS('BA History S2'!G:G,'BA History S2'!B:B,A34)-O34</f>
        <v>264</v>
      </c>
      <c r="Q34" s="89">
        <f>LOOKUP(2, 1/('BA History S2'!$B:$B=A34), 'BA History S2'!$AJ:$AJ)</f>
        <v>0.48533333333333328</v>
      </c>
      <c r="R34" s="2">
        <f>COUNTIFS('BA History S2'!$B:$B,$A$34,'BA History S2'!K:K, 1)</f>
        <v>2</v>
      </c>
      <c r="S34" s="2">
        <f>COUNTIFS('BA History S2'!$B:$B,$A$34,'BA History S2'!L:L, 1)</f>
        <v>4</v>
      </c>
      <c r="T34" s="2">
        <f>COUNTIFS('BA History S2'!$B:$B,$A$34,'BA History S2'!M:M, 1)</f>
        <v>6</v>
      </c>
      <c r="U34" s="2">
        <f>COUNTIFS('BA History S2'!$B:$B,$A$34,'BA History S2'!N:N, 1)</f>
        <v>5</v>
      </c>
      <c r="V34" s="2">
        <f>COUNTIFS('BA History S2'!$B:$B,$A$34,'BA History S2'!O:O, 1)</f>
        <v>1</v>
      </c>
      <c r="W34" s="2">
        <f>COUNTIFS('BA History S2'!$B:$B,$A$34,'BA History S2'!P:P, 1)</f>
        <v>0</v>
      </c>
      <c r="X34" s="2">
        <f>COUNTIFS('BA History S2'!$B:$B,$A$34,'BA History S2'!Q:Q, 1)</f>
        <v>1</v>
      </c>
      <c r="Y34" s="2">
        <f>COUNTIFS('BA History S2'!$B:$B,$A$34,'BA History S2'!R:R, 1)</f>
        <v>1</v>
      </c>
      <c r="Z34" s="2">
        <f>COUNTIFS('BA History S2'!$B:$B,$A$34,'BA History S2'!S:S, 1)</f>
        <v>2</v>
      </c>
      <c r="AA34" s="2">
        <f>COUNTIFS('BA History S2'!$B:$B,$A$34,'BA History S2'!T:T, 1)</f>
        <v>0</v>
      </c>
      <c r="AB34" s="2">
        <f>COUNTIFS('BA History S2'!$B:$B,$A$34,'BA History S2'!U:U, 1)</f>
        <v>2</v>
      </c>
      <c r="AC34" s="2">
        <f>COUNTIFS('BA History S2'!$B:$B,$A$34,'BA History S2'!V:V, 1)</f>
        <v>4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7</v>
      </c>
      <c r="AH34" s="2">
        <f>COUNTIFS('BA History S2'!$B:$B,$A34,'BA History S2'!AA:AA, 1)</f>
        <v>0</v>
      </c>
      <c r="AI34" s="2">
        <f>COUNTIFS('BA History S2'!$B:$B,$A$34,'BA History S2'!AB:AB, 1)</f>
        <v>1</v>
      </c>
      <c r="AJ34" s="2">
        <f>COUNTIFS('BA History S2'!$B:$B,$A$34,'BA History S2'!AC:AC, 1)</f>
        <v>3</v>
      </c>
      <c r="AK34" s="2">
        <f>COUNTIFS('BA History S2'!$B:$B,$A$34,'BA History S2'!AD:AD, 1)</f>
        <v>3</v>
      </c>
      <c r="AL34" s="2">
        <f>COUNTIFS('BA History S2'!$B:$B,$A$34,'BA History S2'!AE:AE, 1)</f>
        <v>9</v>
      </c>
      <c r="AM34" s="2">
        <f>COUNTIFS('BA History S2'!$B:$B,$A$34,'BA History S2'!AF:AF, 1)</f>
        <v>0</v>
      </c>
      <c r="AN34" s="2">
        <f>COUNTIFS('BA History S2'!$B:$B,$A$34,'BA History S2'!AG:AG, 1)</f>
        <v>6</v>
      </c>
    </row>
    <row r="35" spans="1:40" x14ac:dyDescent="0.25">
      <c r="A35" s="2" t="s">
        <v>166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40</v>
      </c>
      <c r="G35" s="66">
        <f>AVERAGEIFS('BA History S2'!C:C,'BA History S2'!B:B,A35)</f>
        <v>10</v>
      </c>
      <c r="H35" s="35">
        <f t="array" ref="H35">MAX(IF('BA History S2'!B:B=A35, 'BA History S2'!C:C))</f>
        <v>21</v>
      </c>
      <c r="I35" s="34">
        <f>COUNTIFS('BA History S2'!B:B,A35,'BA History S2'!D:D, 1)</f>
        <v>3</v>
      </c>
      <c r="J35" s="2">
        <f>COUNTIFS('BA History S2'!B:B,A35,'BA History S2'!D:D, 0)</f>
        <v>1</v>
      </c>
      <c r="K35" s="75">
        <f>LOOKUP(2, 1/('BA History S2'!$B:$B=A35), 'BA History S2'!$AK:$AK)</f>
        <v>0.75</v>
      </c>
      <c r="L35" s="34">
        <f>SUMIFS('BA History S2'!F:F,'BA History S2'!B:B,A35)</f>
        <v>9</v>
      </c>
      <c r="M35" s="2">
        <f>SUMIFS('BA History S2'!E:E,'BA History S2'!B:B,A35)-L35</f>
        <v>8</v>
      </c>
      <c r="N35" s="75">
        <f>LOOKUP(2, 1/('BA History S2'!$B:$B=A35), 'BA History S2'!$AI:$AI)</f>
        <v>0.48750000000000004</v>
      </c>
      <c r="O35" s="34">
        <f>SUMIFS('BA History S2'!H:H,'BA History S2'!B:B,A35)</f>
        <v>38</v>
      </c>
      <c r="P35" s="2">
        <f>SUMIFS('BA History S2'!G:G,'BA History S2'!B:B,A35)-O35</f>
        <v>35</v>
      </c>
      <c r="Q35" s="89">
        <f>LOOKUP(2, 1/('BA History S2'!$B:$B=A35), 'BA History S2'!$AJ:$AJ)</f>
        <v>0.49249999999999999</v>
      </c>
      <c r="R35" s="2">
        <f>COUNTIFS('BA History S2'!$B:$B,$A$35,'BA History S2'!K:K, 1)</f>
        <v>1</v>
      </c>
      <c r="S35" s="2">
        <f>COUNTIFS('BA History S2'!$B:$B,$A$35,'BA History S2'!L:L, 1)</f>
        <v>0</v>
      </c>
      <c r="T35" s="2">
        <f>COUNTIFS('BA History S2'!$B:$B,$A$35,'BA History S2'!M:M, 1)</f>
        <v>1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1</v>
      </c>
      <c r="AM35" s="2">
        <f>COUNTIFS('BA History S2'!$B:$B,$A$35,'BA History S2'!AF:AF, 1)</f>
        <v>0</v>
      </c>
      <c r="AN35" s="2">
        <f>COUNTIFS('BA History S2'!$B:$B,$A$35,'BA History S2'!AG:AG, 1)</f>
        <v>1</v>
      </c>
    </row>
    <row r="36" spans="1:40" x14ac:dyDescent="0.25">
      <c r="A36" s="2" t="s">
        <v>147</v>
      </c>
      <c r="B36" s="2" t="s">
        <v>79</v>
      </c>
      <c r="C36" s="2">
        <v>1</v>
      </c>
      <c r="D36" s="2"/>
      <c r="E36" s="2"/>
      <c r="F36" s="34">
        <f>SUMIFS('BA History S2'!C:C,'BA History S2'!B:B,A36)</f>
        <v>518</v>
      </c>
      <c r="G36" s="66">
        <f>AVERAGEIFS('BA History S2'!C:C,'BA History S2'!B:B,A36)</f>
        <v>17.266666666666666</v>
      </c>
      <c r="H36" s="35">
        <f t="array" ref="H36">MAX(IF('BA History S2'!B:B=A36, 'BA History S2'!C:C))</f>
        <v>28</v>
      </c>
      <c r="I36" s="34">
        <f>COUNTIFS('BA History S2'!B:B,A36,'BA History S2'!D:D, 1)</f>
        <v>16</v>
      </c>
      <c r="J36" s="2">
        <f>COUNTIFS('BA History S2'!B:B,A36,'BA History S2'!D:D, 0)</f>
        <v>14</v>
      </c>
      <c r="K36" s="75">
        <f>LOOKUP(2, 1/('BA History S2'!$B:$B=A36), 'BA History S2'!$AK:$AK)</f>
        <v>0.53333333333333333</v>
      </c>
      <c r="L36" s="34">
        <f>SUMIFS('BA History S2'!F:F,'BA History S2'!B:B,A36)</f>
        <v>68</v>
      </c>
      <c r="M36" s="2">
        <f>SUMIFS('BA History S2'!E:E,'BA History S2'!B:B,A36)-L36</f>
        <v>61</v>
      </c>
      <c r="N36" s="75">
        <f>LOOKUP(2, 1/('BA History S2'!$B:$B=A36), 'BA History S2'!$AI:$AI)</f>
        <v>0.54166666666666652</v>
      </c>
      <c r="O36" s="34">
        <f>SUMIFS('BA History S2'!H:H,'BA History S2'!B:B,A36)</f>
        <v>284</v>
      </c>
      <c r="P36" s="2">
        <f>SUMIFS('BA History S2'!G:G,'BA History S2'!B:B,A36)-O36</f>
        <v>260</v>
      </c>
      <c r="Q36" s="89">
        <f>LOOKUP(2, 1/('BA History S2'!$B:$B=A36), 'BA History S2'!$AJ:$AJ)</f>
        <v>0.52866666666666673</v>
      </c>
      <c r="R36" s="2">
        <f>COUNTIFS('BA History S2'!$B:$B,$A$36,'BA History S2'!K:K, 1)</f>
        <v>4</v>
      </c>
      <c r="S36" s="2">
        <f>COUNTIFS('BA History S2'!$B:$B,$A$36,'BA History S2'!L:L, 1)</f>
        <v>5</v>
      </c>
      <c r="T36" s="2">
        <f>COUNTIFS('BA History S2'!$B:$B,$A$36,'BA History S2'!M:M, 1)</f>
        <v>5</v>
      </c>
      <c r="U36" s="2">
        <f>COUNTIFS('BA History S2'!$B:$B,$A$36,'BA History S2'!N:N, 1)</f>
        <v>6</v>
      </c>
      <c r="V36" s="2">
        <f>COUNTIFS('BA History S2'!$B:$B,$A$36,'BA History S2'!O:O, 1)</f>
        <v>2</v>
      </c>
      <c r="W36" s="2">
        <f>COUNTIFS('BA History S2'!$B:$B,$A$36,'BA History S2'!P:P, 1)</f>
        <v>2</v>
      </c>
      <c r="X36" s="2">
        <f>COUNTIFS('BA History S2'!$B:$B,$A$36,'BA History S2'!Q:Q, 1)</f>
        <v>1</v>
      </c>
      <c r="Y36" s="2">
        <f>COUNTIFS('BA History S2'!$B:$B,$A$36,'BA History S2'!R:R, 1)</f>
        <v>2</v>
      </c>
      <c r="Z36" s="2">
        <f>COUNTIFS('BA History S2'!$B:$B,$A$36,'BA History S2'!S:S, 1)</f>
        <v>2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0</v>
      </c>
      <c r="AD36" s="2">
        <f>COUNTIFS('BA History S2'!$B:$B,$A$36,'BA History S2'!W:W, 1)</f>
        <v>3</v>
      </c>
      <c r="AE36" s="2">
        <f>COUNTIFS('BA History S2'!$B:$B,$A$36,'BA History S2'!X:X, 1)</f>
        <v>0</v>
      </c>
      <c r="AF36" s="2">
        <f>COUNTIFS('BA History S2'!$B:$B,$A$36,'BA History S2'!Y:Y, 1)</f>
        <v>4</v>
      </c>
      <c r="AG36" s="2">
        <f>COUNTIFS('BA History S2'!$B:$B,$A$36,'BA History S2'!Z:Z, 1)</f>
        <v>7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10</v>
      </c>
      <c r="AK36" s="2">
        <f>COUNTIFS('BA History S2'!$B:$B,$A$36,'BA History S2'!AD:AD, 1)</f>
        <v>1</v>
      </c>
      <c r="AL36" s="2">
        <f>COUNTIFS('BA History S2'!$B:$B,$A$36,'BA History S2'!AE:AE, 1)</f>
        <v>8</v>
      </c>
      <c r="AM36" s="2">
        <f>COUNTIFS('BA History S2'!$B:$B,$A$36,'BA History S2'!AF:AF, 1)</f>
        <v>0</v>
      </c>
      <c r="AN36" s="2">
        <f>COUNTIFS('BA History S2'!$B:$B,$A$36,'BA History S2'!AG:AG, 1)</f>
        <v>6</v>
      </c>
    </row>
    <row r="37" spans="1:40" x14ac:dyDescent="0.25">
      <c r="A37" s="2" t="s">
        <v>17</v>
      </c>
      <c r="B37" s="2" t="s">
        <v>79</v>
      </c>
      <c r="C37" s="2">
        <v>1</v>
      </c>
      <c r="D37" s="2">
        <v>1</v>
      </c>
      <c r="E37" s="2"/>
      <c r="F37" s="34">
        <f>SUMIFS('BA History S2'!C:C,'BA History S2'!B:B,A37)</f>
        <v>334</v>
      </c>
      <c r="G37" s="66">
        <f>AVERAGEIFS('BA History S2'!C:C,'BA History S2'!B:B,A37)</f>
        <v>18.555555555555557</v>
      </c>
      <c r="H37" s="35">
        <f t="array" ref="H37">MAX(IF('BA History S2'!B:B=A37, 'BA History S2'!C:C))</f>
        <v>31</v>
      </c>
      <c r="I37" s="34">
        <f>COUNTIFS('BA History S2'!B:B,A37,'BA History S2'!D:D, 1)</f>
        <v>12</v>
      </c>
      <c r="J37" s="2">
        <f>COUNTIFS('BA History S2'!B:B,A37,'BA History S2'!D:D, 0)</f>
        <v>6</v>
      </c>
      <c r="K37" s="75">
        <f>LOOKUP(2, 1/('BA History S2'!$B:$B=A37), 'BA History S2'!$AK:$AK)</f>
        <v>0.66666666666666663</v>
      </c>
      <c r="L37" s="34">
        <f>SUMIFS('BA History S2'!F:F,'BA History S2'!B:B,A37)</f>
        <v>41</v>
      </c>
      <c r="M37" s="2">
        <f>SUMIFS('BA History S2'!E:E,'BA History S2'!B:B,A37)-L37</f>
        <v>29</v>
      </c>
      <c r="N37" s="75">
        <f>LOOKUP(2, 1/('BA History S2'!$B:$B=A37), 'BA History S2'!$AI:$AI)</f>
        <v>0.59444444444444444</v>
      </c>
      <c r="O37" s="34">
        <f>SUMIFS('BA History S2'!H:H,'BA History S2'!B:B,A37)</f>
        <v>154</v>
      </c>
      <c r="P37" s="2">
        <f>SUMIFS('BA History S2'!G:G,'BA History S2'!B:B,A37)-O37</f>
        <v>137</v>
      </c>
      <c r="Q37" s="89">
        <f>LOOKUP(2, 1/('BA History S2'!$B:$B=A37), 'BA History S2'!$AJ:$AJ)</f>
        <v>0.52555555555555555</v>
      </c>
      <c r="R37" s="2">
        <f>COUNTIFS('BA History S2'!$B:$B,$A$37,'BA History S2'!K:K, 1)</f>
        <v>2</v>
      </c>
      <c r="S37" s="2">
        <f>COUNTIFS('BA History S2'!$B:$B,$A$37,'BA History S2'!L:L, 1)</f>
        <v>2</v>
      </c>
      <c r="T37" s="2">
        <f>COUNTIFS('BA History S2'!$B:$B,$A$37,'BA History S2'!M:M, 1)</f>
        <v>5</v>
      </c>
      <c r="U37" s="2">
        <f>COUNTIFS('BA History S2'!$B:$B,$A$37,'BA History S2'!N:N, 1)</f>
        <v>2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2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0</v>
      </c>
      <c r="AC37" s="2">
        <f>COUNTIFS('BA History S2'!$B:$B,$A$37,'BA History S2'!V:V, 1)</f>
        <v>1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1</v>
      </c>
      <c r="AG37" s="2">
        <f>COUNTIFS('BA History S2'!$B:$B,$A$37,'BA History S2'!Z:Z, 1)</f>
        <v>4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7</v>
      </c>
      <c r="AK37" s="2">
        <f>COUNTIFS('BA History S2'!$B:$B,$A$37,'BA History S2'!AD:AD, 1)</f>
        <v>3</v>
      </c>
      <c r="AL37" s="2">
        <f>COUNTIFS('BA History S2'!$B:$B,$A$37,'BA History S2'!AE:AE, 1)</f>
        <v>3</v>
      </c>
      <c r="AM37" s="2">
        <f>COUNTIFS('BA History S2'!$B:$B,$A$37,'BA History S2'!AF:AF, 1)</f>
        <v>2</v>
      </c>
      <c r="AN37" s="2">
        <f>COUNTIFS('BA History S2'!$B:$B,$A$37,'BA History S2'!AG:AG, 1)</f>
        <v>4</v>
      </c>
    </row>
    <row r="38" spans="1:40" x14ac:dyDescent="0.25">
      <c r="A38" s="2" t="s">
        <v>6</v>
      </c>
      <c r="B38" s="1" t="s">
        <v>158</v>
      </c>
      <c r="D38" s="1">
        <v>1</v>
      </c>
      <c r="E38" s="1">
        <v>1</v>
      </c>
      <c r="F38" s="34">
        <f>SUMIFS('BA History S2'!C:C,'BA History S2'!B:B,A38)</f>
        <v>1071</v>
      </c>
      <c r="G38" s="66">
        <f>AVERAGEIFS('BA History S2'!C:C,'BA History S2'!B:B,A38)</f>
        <v>25.5</v>
      </c>
      <c r="H38" s="35">
        <f t="array" ref="H38">MAX(IF('BA History S2'!B:B=A38, 'BA History S2'!C:C))</f>
        <v>42</v>
      </c>
      <c r="I38" s="34">
        <f>COUNTIFS('BA History S2'!B:B,A38,'BA History S2'!D:D, 1)</f>
        <v>27</v>
      </c>
      <c r="J38" s="2">
        <f>COUNTIFS('BA History S2'!B:B,A38,'BA History S2'!D:D, 0)</f>
        <v>15</v>
      </c>
      <c r="K38" s="75">
        <f>LOOKUP(2, 1/('BA History S2'!$B:$B=A38), 'BA History S2'!$AK:$AK)</f>
        <v>0.6428571428571429</v>
      </c>
      <c r="L38" s="34">
        <f>SUMIFS('BA History S2'!F:F,'BA History S2'!B:B,A38)</f>
        <v>98</v>
      </c>
      <c r="M38" s="2">
        <f>SUMIFS('BA History S2'!E:E,'BA History S2'!B:B,A38)-L38</f>
        <v>73</v>
      </c>
      <c r="N38" s="75">
        <f>LOOKUP(2, 1/('BA History S2'!$B:$B=A38), 'BA History S2'!$AI:$AI)</f>
        <v>0.58452380952380956</v>
      </c>
      <c r="O38" s="34">
        <f>SUMIFS('BA History S2'!H:H,'BA History S2'!B:B,A38)</f>
        <v>378</v>
      </c>
      <c r="P38" s="2">
        <f>SUMIFS('BA History S2'!G:G,'BA History S2'!B:B,A38)-O38</f>
        <v>339</v>
      </c>
      <c r="Q38" s="89">
        <f>LOOKUP(2, 1/('BA History S2'!$B:$B=A38), 'BA History S2'!$AJ:$AJ)</f>
        <v>0.5302380952380954</v>
      </c>
      <c r="R38" s="2">
        <f>COUNTIFS('BA History S2'!$B:$B,$A$38,'BA History S2'!K:K, 1)</f>
        <v>5</v>
      </c>
      <c r="S38" s="2">
        <f>COUNTIFS('BA History S2'!$B:$B,$A$38,'BA History S2'!L:L, 1)</f>
        <v>4</v>
      </c>
      <c r="T38" s="2">
        <f>COUNTIFS('BA History S2'!$B:$B,$A$38,'BA History S2'!M:M, 1)</f>
        <v>10</v>
      </c>
      <c r="U38" s="2">
        <f>COUNTIFS('BA History S2'!$B:$B,$A$38,'BA History S2'!N:N, 1)</f>
        <v>6</v>
      </c>
      <c r="V38" s="2">
        <f>COUNTIFS('BA History S2'!$B:$B,$A$38,'BA History S2'!O:O, 1)</f>
        <v>2</v>
      </c>
      <c r="W38" s="2">
        <f>COUNTIFS('BA History S2'!$B:$B,$A$38,'BA History S2'!P:P, 1)</f>
        <v>2</v>
      </c>
      <c r="X38" s="2">
        <f>COUNTIFS('BA History S2'!$B:$B,$A$38,'BA History S2'!Q:Q, 1)</f>
        <v>2</v>
      </c>
      <c r="Y38" s="2">
        <f>COUNTIFS('BA History S2'!$B:$B,$A$38,'BA History S2'!R:R, 1)</f>
        <v>4</v>
      </c>
      <c r="Z38" s="2">
        <f>COUNTIFS('BA History S2'!$B:$B,$A$38,'BA History S2'!S:S, 1)</f>
        <v>2</v>
      </c>
      <c r="AA38" s="2">
        <f>COUNTIFS('BA History S2'!$B:$B,$A$38,'BA History S2'!T:T, 1)</f>
        <v>0</v>
      </c>
      <c r="AB38" s="2">
        <f>COUNTIFS('BA History S2'!$B:$B,$A$38,'BA History S2'!U:U, 1)</f>
        <v>2</v>
      </c>
      <c r="AC38" s="2">
        <f>COUNTIFS('BA History S2'!$B:$B,$A$38,'BA History S2'!V:V, 1)</f>
        <v>4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3</v>
      </c>
      <c r="AG38" s="2">
        <f>COUNTIFS('BA History S2'!$B:$B,$A$38,'BA History S2'!Z:Z, 1)</f>
        <v>13</v>
      </c>
      <c r="AH38" s="2">
        <f>COUNTIFS('BA History S2'!$B:$B,$A38,'BA History S2'!AA:AA, 1)</f>
        <v>1</v>
      </c>
      <c r="AI38" s="2">
        <f>COUNTIFS('BA History S2'!$B:$B,$A$38,'BA History S2'!AB:AB, 1)</f>
        <v>1</v>
      </c>
      <c r="AJ38" s="2">
        <f>COUNTIFS('BA History S2'!$B:$B,$A$38,'BA History S2'!AC:AC, 1)</f>
        <v>14</v>
      </c>
      <c r="AK38" s="2">
        <f>COUNTIFS('BA History S2'!$B:$B,$A$38,'BA History S2'!AD:AD, 1)</f>
        <v>6</v>
      </c>
      <c r="AL38" s="2">
        <f>COUNTIFS('BA History S2'!$B:$B,$A$38,'BA History S2'!AE:AE, 1)</f>
        <v>5</v>
      </c>
      <c r="AM38" s="2">
        <f>COUNTIFS('BA History S2'!$B:$B,$A$38,'BA History S2'!AF:AF, 1)</f>
        <v>1</v>
      </c>
      <c r="AN38" s="2">
        <f>COUNTIFS('BA History S2'!$B:$B,$A$38,'BA History S2'!AG:AG, 1)</f>
        <v>10</v>
      </c>
    </row>
    <row r="39" spans="1:40" x14ac:dyDescent="0.25">
      <c r="A39" s="2" t="s">
        <v>18</v>
      </c>
      <c r="B39" s="1" t="s">
        <v>79</v>
      </c>
      <c r="F39" s="34">
        <f>SUMIFS('BA History S2'!C:C,'BA History S2'!B:B,A39)</f>
        <v>118</v>
      </c>
      <c r="G39" s="66">
        <f>AVERAGEIFS('BA History S2'!C:C,'BA History S2'!B:B,A39)</f>
        <v>19.666666666666668</v>
      </c>
      <c r="H39" s="35">
        <f t="array" ref="H39">MAX(IF('BA History S2'!B:B=A39, 'BA History S2'!C:C))</f>
        <v>30</v>
      </c>
      <c r="I39" s="34">
        <f>COUNTIFS('BA History S2'!B:B,A39,'BA History S2'!D:D, 1)</f>
        <v>2</v>
      </c>
      <c r="J39" s="2">
        <f>COUNTIFS('BA History S2'!B:B,A39,'BA History S2'!D:D, 0)</f>
        <v>4</v>
      </c>
      <c r="K39" s="75">
        <f>LOOKUP(2, 1/('BA History S2'!$B:$B=A39), 'BA History S2'!$AK:$AK)</f>
        <v>0.33333333333333331</v>
      </c>
      <c r="L39" s="34">
        <f>SUMIFS('BA History S2'!F:F,'BA History S2'!B:B,A39)</f>
        <v>9</v>
      </c>
      <c r="M39" s="2">
        <f>SUMIFS('BA History S2'!E:E,'BA History S2'!B:B,A39)-L39</f>
        <v>12</v>
      </c>
      <c r="N39" s="75">
        <f>LOOKUP(2, 1/('BA History S2'!$B:$B=A39), 'BA History S2'!$AI:$AI)</f>
        <v>0.45833333333333331</v>
      </c>
      <c r="O39" s="34">
        <f>SUMIFS('BA History S2'!H:H,'BA History S2'!B:B,A39)</f>
        <v>44</v>
      </c>
      <c r="P39" s="2">
        <f>SUMIFS('BA History S2'!G:G,'BA History S2'!B:B,A39)-O39</f>
        <v>48</v>
      </c>
      <c r="Q39" s="89">
        <f>LOOKUP(2, 1/('BA History S2'!$B:$B=A39), 'BA History S2'!$AJ:$AJ)</f>
        <v>0.49166666666666664</v>
      </c>
      <c r="R39" s="2">
        <f>COUNTIFS('BA History S2'!$B:$B,$A$39,'BA History S2'!K:K, 1)</f>
        <v>0</v>
      </c>
      <c r="S39" s="2">
        <f>COUNTIFS('BA History S2'!$B:$B,$A$39,'BA History S2'!L:L, 1)</f>
        <v>1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2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2</v>
      </c>
      <c r="AH39" s="2">
        <f>COUNTIFS('BA History S2'!$B:$B,$A39,'BA History S2'!AA:AA, 1)</f>
        <v>0</v>
      </c>
      <c r="AI39" s="2">
        <f>COUNTIFS('BA History S2'!$B:$B,$A$39,'BA History S2'!AB:AB, 1)</f>
        <v>1</v>
      </c>
      <c r="AJ39" s="2">
        <f>COUNTIFS('BA History S2'!$B:$B,$A$39,'BA History S2'!AC:AC, 1)</f>
        <v>1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178</v>
      </c>
      <c r="B40" s="1" t="s">
        <v>79</v>
      </c>
      <c r="C40" s="1">
        <v>1</v>
      </c>
      <c r="F40" s="34">
        <f>SUMIFS('BA History S2'!C:C,'BA History S2'!B:B,A40)</f>
        <v>26</v>
      </c>
      <c r="G40" s="66">
        <f>AVERAGEIFS('BA History S2'!C:C,'BA History S2'!B:B,A40)</f>
        <v>13</v>
      </c>
      <c r="H40" s="35">
        <f t="array" ref="H40">MAX(IF('BA History S2'!B:B=A40, 'BA History S2'!C:C))</f>
        <v>16</v>
      </c>
      <c r="I40" s="34">
        <f>COUNTIFS('BA History S2'!B:B,A40,'BA History S2'!D:D, 1)</f>
        <v>0</v>
      </c>
      <c r="J40" s="2">
        <f>COUNTIFS('BA History S2'!B:B,A40,'BA History S2'!D:D, 0)</f>
        <v>2</v>
      </c>
      <c r="K40" s="75">
        <f>LOOKUP(2, 1/('BA History S2'!$B:$B=A40), 'BA History S2'!$AK:$AK)</f>
        <v>0</v>
      </c>
      <c r="L40" s="34">
        <f>SUMIFS('BA History S2'!F:F,'BA History S2'!B:B,A40)</f>
        <v>3</v>
      </c>
      <c r="M40" s="2">
        <f>SUMIFS('BA History S2'!E:E,'BA History S2'!B:B,A40)-L40</f>
        <v>6</v>
      </c>
      <c r="N40" s="75">
        <f>LOOKUP(2, 1/('BA History S2'!$B:$B=A40), 'BA History S2'!$AI:$AI)</f>
        <v>0.32500000000000001</v>
      </c>
      <c r="O40" s="34">
        <f>SUMIFS('BA History S2'!H:H,'BA History S2'!B:B,A40)</f>
        <v>19</v>
      </c>
      <c r="P40" s="2">
        <f>SUMIFS('BA History S2'!G:G,'BA History S2'!B:B,A40)-O40</f>
        <v>22</v>
      </c>
      <c r="Q40" s="89">
        <f>LOOKUP(2, 1/('BA History S2'!$B:$B=A40), 'BA History S2'!$AJ:$AJ)</f>
        <v>0.46499999999999997</v>
      </c>
      <c r="R40" s="2">
        <f>COUNTIFS('BA History S2'!$B:$B,$A$40,'BA History S2'!K:K, 1)</f>
        <v>0</v>
      </c>
      <c r="S40" s="2">
        <f>COUNTIFS('BA History S2'!$B:$B,$A$40,'BA History S2'!L:L, 1)</f>
        <v>0</v>
      </c>
      <c r="T40" s="2">
        <f>COUNTIFS('BA History S2'!$B:$B,$A$40,'BA History S2'!M:M, 1)</f>
        <v>0</v>
      </c>
      <c r="U40" s="2">
        <f>COUNTIFS('BA History S2'!$B:$B,$A$40,'BA History S2'!N:N, 1)</f>
        <v>1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0</v>
      </c>
      <c r="AC40" s="2">
        <f>COUNTIFS('BA History S2'!$B:$B,$A$40,'BA History S2'!V:V, 1)</f>
        <v>1</v>
      </c>
      <c r="AD40" s="2">
        <f>COUNTIFS('BA History S2'!$B:$B,$A$40,'BA History S2'!W:W, 1)</f>
        <v>0</v>
      </c>
      <c r="AE40" s="2">
        <f>COUNTIFS('BA History S2'!$B:$B,$A$40,'BA History S2'!X:X, 1)</f>
        <v>0</v>
      </c>
      <c r="AF40" s="2">
        <f>COUNTIFS('BA History S2'!$B:$B,$A$40,'BA History S2'!Y:Y, 1)</f>
        <v>0</v>
      </c>
      <c r="AG40" s="2">
        <f>COUNTIFS('BA History S2'!$B:$B,$A$40,'BA History S2'!Z:Z, 1)</f>
        <v>0</v>
      </c>
      <c r="AH40" s="2">
        <f>COUNTIFS('BA History S2'!$B:$B,$A40,'BA History S2'!AA:AA, 1)</f>
        <v>0</v>
      </c>
      <c r="AI40" s="2">
        <f>COUNTIFS('BA History S2'!$B:$B,$A$40,'BA History S2'!AB:AB, 1)</f>
        <v>0</v>
      </c>
      <c r="AJ40" s="2">
        <f>COUNTIFS('BA History S2'!$B:$B,$A$40,'BA History S2'!AC:AC, 1)</f>
        <v>0</v>
      </c>
      <c r="AK40" s="2">
        <f>COUNTIFS('BA History S2'!$B:$B,$A$40,'BA History S2'!AD:AD, 1)</f>
        <v>1</v>
      </c>
      <c r="AL40" s="2">
        <f>COUNTIFS('BA History S2'!$B:$B,$A$40,'BA History S2'!AE:AE, 1)</f>
        <v>0</v>
      </c>
      <c r="AM40" s="2">
        <f>COUNTIFS('BA History S2'!$B:$B,$A$40,'BA History S2'!AF:AF, 1)</f>
        <v>0</v>
      </c>
      <c r="AN40" s="2">
        <f>COUNTIFS('BA History S2'!$B:$B,$A$40,'BA History S2'!AG:AG, 1)</f>
        <v>0</v>
      </c>
    </row>
    <row r="41" spans="1:40" x14ac:dyDescent="0.25">
      <c r="A41" s="2" t="s">
        <v>113</v>
      </c>
      <c r="B41" s="2" t="s">
        <v>79</v>
      </c>
      <c r="C41" s="2">
        <v>2</v>
      </c>
      <c r="D41" s="2">
        <v>3</v>
      </c>
      <c r="E41" s="2"/>
      <c r="F41" s="34">
        <f>SUMIFS('BA History S2'!C:C,'BA History S2'!B:B,A41)</f>
        <v>626</v>
      </c>
      <c r="G41" s="66">
        <f>AVERAGEIFS('BA History S2'!C:C,'BA History S2'!B:B,A41)</f>
        <v>20.193548387096776</v>
      </c>
      <c r="H41" s="35">
        <f t="array" ref="H41">MAX(IF('BA History S2'!B:B=A41, 'BA History S2'!C:C))</f>
        <v>36</v>
      </c>
      <c r="I41" s="34">
        <f>COUNTIFS('BA History S2'!B:B,A41,'BA History S2'!D:D, 1)</f>
        <v>18</v>
      </c>
      <c r="J41" s="2">
        <f>COUNTIFS('BA History S2'!B:B,A41,'BA History S2'!D:D, 0)</f>
        <v>13</v>
      </c>
      <c r="K41" s="75">
        <f>LOOKUP(2, 1/('BA History S2'!$B:$B=A41), 'BA History S2'!$AK:$AK)</f>
        <v>0.58064516129032262</v>
      </c>
      <c r="L41" s="34">
        <f>SUMIFS('BA History S2'!F:F,'BA History S2'!B:B,A41)</f>
        <v>71</v>
      </c>
      <c r="M41" s="2">
        <f>SUMIFS('BA History S2'!E:E,'BA History S2'!B:B,A41)-L41</f>
        <v>58</v>
      </c>
      <c r="N41" s="75">
        <f>LOOKUP(2, 1/('BA History S2'!$B:$B=A41), 'BA History S2'!$AI:$AI)</f>
        <v>0.56451612903225812</v>
      </c>
      <c r="O41" s="34">
        <f>SUMIFS('BA History S2'!H:H,'BA History S2'!B:B,A41)</f>
        <v>283</v>
      </c>
      <c r="P41" s="2">
        <f>SUMIFS('BA History S2'!G:G,'BA History S2'!B:B,A41)-O41</f>
        <v>260</v>
      </c>
      <c r="Q41" s="89">
        <f>LOOKUP(2, 1/('BA History S2'!$B:$B=A41), 'BA History S2'!$AJ:$AJ)</f>
        <v>0.53870967741935494</v>
      </c>
      <c r="R41" s="2">
        <f>COUNTIFS('BA History S2'!$B:$B,$A$41,'BA History S2'!K:K, 1)</f>
        <v>4</v>
      </c>
      <c r="S41" s="2">
        <f>COUNTIFS('BA History S2'!$B:$B,$A$41,'BA History S2'!L:L, 1)</f>
        <v>5</v>
      </c>
      <c r="T41" s="2">
        <f>COUNTIFS('BA History S2'!$B:$B,$A$41,'BA History S2'!M:M, 1)</f>
        <v>4</v>
      </c>
      <c r="U41" s="2">
        <f>COUNTIFS('BA History S2'!$B:$B,$A$41,'BA History S2'!N:N, 1)</f>
        <v>6</v>
      </c>
      <c r="V41" s="2">
        <f>COUNTIFS('BA History S2'!$B:$B,$A$41,'BA History S2'!O:O, 1)</f>
        <v>2</v>
      </c>
      <c r="W41" s="2">
        <f>COUNTIFS('BA History S2'!$B:$B,$A$41,'BA History S2'!P:P, 1)</f>
        <v>1</v>
      </c>
      <c r="X41" s="2">
        <f>COUNTIFS('BA History S2'!$B:$B,$A$41,'BA History S2'!Q:Q, 1)</f>
        <v>2</v>
      </c>
      <c r="Y41" s="2">
        <f>COUNTIFS('BA History S2'!$B:$B,$A$41,'BA History S2'!R:R, 1)</f>
        <v>2</v>
      </c>
      <c r="Z41" s="2">
        <f>COUNTIFS('BA History S2'!$B:$B,$A$41,'BA History S2'!S:S, 1)</f>
        <v>3</v>
      </c>
      <c r="AA41" s="2">
        <f>COUNTIFS('BA History S2'!$B:$B,$A$41,'BA History S2'!T:T, 1)</f>
        <v>0</v>
      </c>
      <c r="AB41" s="2">
        <f>COUNTIFS('BA History S2'!$B:$B,$A$41,'BA History S2'!U:U, 1)</f>
        <v>1</v>
      </c>
      <c r="AC41" s="2">
        <f>COUNTIFS('BA History S2'!$B:$B,$A$41,'BA History S2'!V:V, 1)</f>
        <v>4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5</v>
      </c>
      <c r="AG41" s="2">
        <f>COUNTIFS('BA History S2'!$B:$B,$A$41,'BA History S2'!Z:Z, 1)</f>
        <v>8</v>
      </c>
      <c r="AH41" s="2">
        <f>COUNTIFS('BA History S2'!$B:$B,$A41,'BA History S2'!AA:AA, 1)</f>
        <v>0</v>
      </c>
      <c r="AI41" s="2">
        <f>COUNTIFS('BA History S2'!$B:$B,$A$41,'BA History S2'!AB:AB, 1)</f>
        <v>2</v>
      </c>
      <c r="AJ41" s="2">
        <f>COUNTIFS('BA History S2'!$B:$B,$A$41,'BA History S2'!AC:AC, 1)</f>
        <v>9</v>
      </c>
      <c r="AK41" s="2">
        <f>COUNTIFS('BA History S2'!$B:$B,$A$41,'BA History S2'!AD:AD, 1)</f>
        <v>4</v>
      </c>
      <c r="AL41" s="2">
        <f>COUNTIFS('BA History S2'!$B:$B,$A$41,'BA History S2'!AE:AE, 1)</f>
        <v>3</v>
      </c>
      <c r="AM41" s="2">
        <f>COUNTIFS('BA History S2'!$B:$B,$A$41,'BA History S2'!AF:AF, 1)</f>
        <v>0</v>
      </c>
      <c r="AN41" s="2">
        <f>COUNTIFS('BA History S2'!$B:$B,$A$41,'BA History S2'!AG:AG, 1)</f>
        <v>6</v>
      </c>
    </row>
    <row r="42" spans="1:40" x14ac:dyDescent="0.25">
      <c r="A42" s="2" t="s">
        <v>14</v>
      </c>
      <c r="B42" s="2" t="s">
        <v>79</v>
      </c>
      <c r="C42" s="2">
        <v>1</v>
      </c>
      <c r="D42" s="2"/>
      <c r="E42" s="2"/>
      <c r="F42" s="34">
        <f>SUMIFS('BA History S2'!C:C,'BA History S2'!B:B,A42)</f>
        <v>140</v>
      </c>
      <c r="G42" s="66">
        <f>AVERAGEIFS('BA History S2'!C:C,'BA History S2'!B:B,A42)</f>
        <v>14</v>
      </c>
      <c r="H42" s="35">
        <f t="array" ref="H42">MAX(IF('BA History S2'!B:B=A42, 'BA History S2'!C:C))</f>
        <v>22</v>
      </c>
      <c r="I42" s="34">
        <f>COUNTIFS('BA History S2'!B:B,A42,'BA History S2'!D:D, 1)</f>
        <v>5</v>
      </c>
      <c r="J42" s="2">
        <f>COUNTIFS('BA History S2'!B:B,A42,'BA History S2'!D:D, 0)</f>
        <v>5</v>
      </c>
      <c r="K42" s="75">
        <f>LOOKUP(2, 1/('BA History S2'!$B:$B=A42), 'BA History S2'!$AK:$AK)</f>
        <v>0.5</v>
      </c>
      <c r="L42" s="34">
        <f>SUMIFS('BA History S2'!F:F,'BA History S2'!B:B,A42)</f>
        <v>19</v>
      </c>
      <c r="M42" s="2">
        <f>SUMIFS('BA History S2'!E:E,'BA History S2'!B:B,A42)-L42</f>
        <v>21</v>
      </c>
      <c r="N42" s="75">
        <f>LOOKUP(2, 1/('BA History S2'!$B:$B=A42), 'BA History S2'!$AI:$AI)</f>
        <v>0.47000000000000003</v>
      </c>
      <c r="O42" s="34">
        <f>SUMIFS('BA History S2'!H:H,'BA History S2'!B:B,A42)</f>
        <v>80</v>
      </c>
      <c r="P42" s="2">
        <f>SUMIFS('BA History S2'!G:G,'BA History S2'!B:B,A42)-O42</f>
        <v>85</v>
      </c>
      <c r="Q42" s="89">
        <f>LOOKUP(2, 1/('BA History S2'!$B:$B=A42), 'BA History S2'!$AJ:$AJ)</f>
        <v>0.46500000000000002</v>
      </c>
      <c r="R42" s="2">
        <f>COUNTIFS('BA History S2'!$B:$B,$A$42,'BA History S2'!K:K, 1)</f>
        <v>1</v>
      </c>
      <c r="S42" s="2">
        <f>COUNTIFS('BA History S2'!$B:$B,$A$42,'BA History S2'!L:L, 1)</f>
        <v>1</v>
      </c>
      <c r="T42" s="2">
        <f>COUNTIFS('BA History S2'!$B:$B,$A$42,'BA History S2'!M:M, 1)</f>
        <v>0</v>
      </c>
      <c r="U42" s="2">
        <f>COUNTIFS('BA History S2'!$B:$B,$A$42,'BA History S2'!N:N, 1)</f>
        <v>3</v>
      </c>
      <c r="V42" s="2">
        <f>COUNTIFS('BA History S2'!$B:$B,$A$42,'BA History S2'!O:O, 1)</f>
        <v>1</v>
      </c>
      <c r="W42" s="2">
        <f>COUNTIFS('BA History S2'!$B:$B,$A$42,'BA History S2'!P:P, 1)</f>
        <v>0</v>
      </c>
      <c r="X42" s="2">
        <f>COUNTIFS('BA History S2'!$B:$B,$A$42,'BA History S2'!Q:Q, 1)</f>
        <v>1</v>
      </c>
      <c r="Y42" s="2">
        <f>COUNTIFS('BA History S2'!$B:$B,$A$42,'BA History S2'!R:R, 1)</f>
        <v>1</v>
      </c>
      <c r="Z42" s="2">
        <f>COUNTIFS('BA History S2'!$B:$B,$A$42,'BA History S2'!S:S, 1)</f>
        <v>0</v>
      </c>
      <c r="AA42" s="2">
        <f>COUNTIFS('BA History S2'!$B:$B,$A$42,'BA History S2'!T:T, 1)</f>
        <v>0</v>
      </c>
      <c r="AB42" s="2">
        <f>COUNTIFS('BA History S2'!$B:$B,$A$42,'BA History S2'!U:U, 1)</f>
        <v>0</v>
      </c>
      <c r="AC42" s="2">
        <f>COUNTIFS('BA History S2'!$B:$B,$A$42,'BA History S2'!V:V, 1)</f>
        <v>1</v>
      </c>
      <c r="AD42" s="2">
        <f>COUNTIFS('BA History S2'!$B:$B,$A$42,'BA History S2'!W:W, 1)</f>
        <v>0</v>
      </c>
      <c r="AE42" s="2">
        <f>COUNTIFS('BA History S2'!$B:$B,$A$42,'BA History S2'!X:X, 1)</f>
        <v>0</v>
      </c>
      <c r="AF42" s="2">
        <f>COUNTIFS('BA History S2'!$B:$B,$A$42,'BA History S2'!Y:Y, 1)</f>
        <v>2</v>
      </c>
      <c r="AG42" s="2">
        <f>COUNTIFS('BA History S2'!$B:$B,$A$42,'BA History S2'!Z:Z, 1)</f>
        <v>2</v>
      </c>
      <c r="AH42" s="2">
        <f>COUNTIFS('BA History S2'!$B:$B,$A42,'BA History S2'!AA:AA, 1)</f>
        <v>0</v>
      </c>
      <c r="AI42" s="2">
        <f>COUNTIFS('BA History S2'!$B:$B,$A$42,'BA History S2'!AB:AB, 1)</f>
        <v>0</v>
      </c>
      <c r="AJ42" s="2">
        <f>COUNTIFS('BA History S2'!$B:$B,$A$42,'BA History S2'!AC:AC, 1)</f>
        <v>5</v>
      </c>
      <c r="AK42" s="2">
        <f>COUNTIFS('BA History S2'!$B:$B,$A$42,'BA History S2'!AD:AD, 1)</f>
        <v>1</v>
      </c>
      <c r="AL42" s="2">
        <f>COUNTIFS('BA History S2'!$B:$B,$A$42,'BA History S2'!AE:AE, 1)</f>
        <v>0</v>
      </c>
      <c r="AM42" s="2">
        <f>COUNTIFS('BA History S2'!$B:$B,$A$42,'BA History S2'!AF:AF, 1)</f>
        <v>0</v>
      </c>
      <c r="AN42" s="2">
        <f>COUNTIFS('BA History S2'!$B:$B,$A$42,'BA History S2'!AG:AG, 1)</f>
        <v>0</v>
      </c>
    </row>
    <row r="43" spans="1:40" x14ac:dyDescent="0.25">
      <c r="A43" s="2" t="s">
        <v>70</v>
      </c>
      <c r="B43" s="2" t="s">
        <v>79</v>
      </c>
      <c r="C43" s="2"/>
      <c r="D43" s="2"/>
      <c r="E43" s="2"/>
      <c r="F43" s="34">
        <f>SUMIFS('BA History S2'!C:C,'BA History S2'!B:B,A43)</f>
        <v>40</v>
      </c>
      <c r="G43" s="66">
        <f>AVERAGEIFS('BA History S2'!C:C,'BA History S2'!B:B,A43)</f>
        <v>10</v>
      </c>
      <c r="H43" s="35">
        <f t="array" ref="H43">MAX(IF('BA History S2'!B:B=A43, 'BA History S2'!C:C))</f>
        <v>13</v>
      </c>
      <c r="I43" s="34">
        <f>COUNTIFS('BA History S2'!B:B,A43,'BA History S2'!D:D, 1)</f>
        <v>0</v>
      </c>
      <c r="J43" s="2">
        <f>COUNTIFS('BA History S2'!B:B,A43,'BA History S2'!D:D, 0)</f>
        <v>4</v>
      </c>
      <c r="K43" s="75">
        <f>LOOKUP(2, 1/('BA History S2'!$B:$B=A43), 'BA History S2'!$AK:$AK)</f>
        <v>0</v>
      </c>
      <c r="L43" s="34">
        <f>SUMIFS('BA History S2'!F:F,'BA History S2'!B:B,A43)</f>
        <v>3</v>
      </c>
      <c r="M43" s="2">
        <f>SUMIFS('BA History S2'!E:E,'BA History S2'!B:B,A43)-L43</f>
        <v>12</v>
      </c>
      <c r="N43" s="75">
        <f>LOOKUP(2, 1/('BA History S2'!$B:$B=A43), 'BA History S2'!$AI:$AI)</f>
        <v>0.1875</v>
      </c>
      <c r="O43" s="34">
        <f>SUMIFS('BA History S2'!H:H,'BA History S2'!B:B,A43)</f>
        <v>25</v>
      </c>
      <c r="P43" s="2">
        <f>SUMIFS('BA History S2'!G:G,'BA History S2'!B:B,A43)-O43</f>
        <v>38</v>
      </c>
      <c r="Q43" s="89">
        <f>LOOKUP(2, 1/('BA History S2'!$B:$B=A43), 'BA History S2'!$AJ:$AJ)</f>
        <v>0.39500000000000002</v>
      </c>
      <c r="R43" s="2">
        <f>COUNTIFS('BA History S2'!$B:$B,$A$43,'BA History S2'!K:K, 1)</f>
        <v>1</v>
      </c>
      <c r="S43" s="2">
        <f>COUNTIFS('BA History S2'!$B:$B,$A$43,'BA History S2'!L:L, 1)</f>
        <v>0</v>
      </c>
      <c r="T43" s="2">
        <f>COUNTIFS('BA History S2'!$B:$B,$A$43,'BA History S2'!M:M, 1)</f>
        <v>0</v>
      </c>
      <c r="U43" s="2">
        <f>COUNTIFS('BA History S2'!$B:$B,$A$43,'BA History S2'!N:N, 1)</f>
        <v>2</v>
      </c>
      <c r="V43" s="2">
        <f>COUNTIFS('BA History S2'!$B:$B,$A$43,'BA History S2'!O:O, 1)</f>
        <v>0</v>
      </c>
      <c r="W43" s="2">
        <f>COUNTIFS('BA History S2'!$B:$B,$A$43,'BA History S2'!P:P, 1)</f>
        <v>0</v>
      </c>
      <c r="X43" s="2">
        <f>COUNTIFS('BA History S2'!$B:$B,$A$43,'BA History S2'!Q:Q, 1)</f>
        <v>0</v>
      </c>
      <c r="Y43" s="2">
        <f>COUNTIFS('BA History S2'!$B:$B,$A$43,'BA History S2'!R:R, 1)</f>
        <v>0</v>
      </c>
      <c r="Z43" s="2">
        <f>COUNTIFS('BA History S2'!$B:$B,$A$43,'BA History S2'!S:S, 1)</f>
        <v>0</v>
      </c>
      <c r="AA43" s="2">
        <f>COUNTIFS('BA History S2'!$B:$B,$A$43,'BA History S2'!T:T, 1)</f>
        <v>0</v>
      </c>
      <c r="AB43" s="2">
        <f>COUNTIFS('BA History S2'!$B:$B,$A$43,'BA History S2'!U:U, 1)</f>
        <v>0</v>
      </c>
      <c r="AC43" s="2">
        <f>COUNTIFS('BA History S2'!$B:$B,$A$43,'BA History S2'!V:V, 1)</f>
        <v>0</v>
      </c>
      <c r="AD43" s="2">
        <f>COUNTIFS('BA History S2'!$B:$B,$A$43,'BA History S2'!W:W, 1)</f>
        <v>0</v>
      </c>
      <c r="AE43" s="2">
        <f>COUNTIFS('BA History S2'!$B:$B,$A$43,'BA History S2'!X:X, 1)</f>
        <v>0</v>
      </c>
      <c r="AF43" s="2">
        <f>COUNTIFS('BA History S2'!$B:$B,$A$43,'BA History S2'!Y:Y, 1)</f>
        <v>0</v>
      </c>
      <c r="AG43" s="2">
        <f>COUNTIFS('BA History S2'!$B:$B,$A$43,'BA History S2'!Z:Z, 1)</f>
        <v>0</v>
      </c>
      <c r="AH43" s="2">
        <f>COUNTIFS('BA History S2'!$B:$B,$A43,'BA History S2'!AA:AA, 1)</f>
        <v>0</v>
      </c>
      <c r="AI43" s="2">
        <f>COUNTIFS('BA History S2'!$B:$B,$A$43,'BA History S2'!AB:AB, 1)</f>
        <v>0</v>
      </c>
      <c r="AJ43" s="2">
        <f>COUNTIFS('BA History S2'!$B:$B,$A$43,'BA History S2'!AC:AC, 1)</f>
        <v>0</v>
      </c>
      <c r="AK43" s="2">
        <f>COUNTIFS('BA History S2'!$B:$B,$A$43,'BA History S2'!AD:AD, 1)</f>
        <v>0</v>
      </c>
      <c r="AL43" s="2">
        <f>COUNTIFS('BA History S2'!$B:$B,$A$43,'BA History S2'!AE:AE, 1)</f>
        <v>0</v>
      </c>
      <c r="AM43" s="2">
        <f>COUNTIFS('BA History S2'!$B:$B,$A$43,'BA History S2'!AF:AF, 1)</f>
        <v>0</v>
      </c>
      <c r="AN43" s="2">
        <f>COUNTIFS('BA History S2'!$B:$B,$A$43,'BA History S2'!AG:AG, 1)</f>
        <v>0</v>
      </c>
    </row>
    <row r="44" spans="1:40" x14ac:dyDescent="0.25">
      <c r="A44" s="2" t="s">
        <v>4</v>
      </c>
      <c r="B44" s="1" t="s">
        <v>158</v>
      </c>
      <c r="C44" s="1">
        <v>1</v>
      </c>
      <c r="D44" s="1">
        <v>1</v>
      </c>
      <c r="F44" s="34">
        <f>SUMIFS('BA History S2'!C:C,'BA History S2'!B:B,A44)</f>
        <v>674</v>
      </c>
      <c r="G44" s="66">
        <f>AVERAGEIFS('BA History S2'!C:C,'BA History S2'!B:B,A44)</f>
        <v>25.923076923076923</v>
      </c>
      <c r="H44" s="35">
        <f t="array" ref="H44">MAX(IF('BA History S2'!B:B=A44, 'BA History S2'!C:C))</f>
        <v>43</v>
      </c>
      <c r="I44" s="34">
        <f>COUNTIFS('BA History S2'!B:B,A44,'BA History S2'!D:D, 1)</f>
        <v>14</v>
      </c>
      <c r="J44" s="2">
        <f>COUNTIFS('BA History S2'!B:B,A44,'BA History S2'!D:D, 0)</f>
        <v>12</v>
      </c>
      <c r="K44" s="75">
        <f>LOOKUP(2, 1/('BA History S2'!$B:$B=A44), 'BA History S2'!$AK:$AK)</f>
        <v>0.53846153846153844</v>
      </c>
      <c r="L44" s="34">
        <f>SUMIFS('BA History S2'!F:F,'BA History S2'!B:B,A44)</f>
        <v>56</v>
      </c>
      <c r="M44" s="2">
        <f>SUMIFS('BA History S2'!E:E,'BA History S2'!B:B,A44)-L44</f>
        <v>54</v>
      </c>
      <c r="N44" s="75">
        <f>LOOKUP(2, 1/('BA History S2'!$B:$B=A44), 'BA History S2'!$AI:$AI)</f>
        <v>0.51153846153846161</v>
      </c>
      <c r="O44" s="34">
        <f>SUMIFS('BA History S2'!H:H,'BA History S2'!B:B,A44)</f>
        <v>235</v>
      </c>
      <c r="P44" s="2">
        <f>SUMIFS('BA History S2'!G:G,'BA History S2'!B:B,A44)-O44</f>
        <v>229</v>
      </c>
      <c r="Q44" s="89">
        <f>LOOKUP(2, 1/('BA History S2'!$B:$B=A44), 'BA History S2'!$AJ:$AJ)</f>
        <v>0.50576923076923075</v>
      </c>
      <c r="R44" s="2">
        <f>COUNTIFS('BA History S2'!$B:$B,$A$44,'BA History S2'!K:K, 1)</f>
        <v>4</v>
      </c>
      <c r="S44" s="2">
        <f>COUNTIFS('BA History S2'!$B:$B,$A$44,'BA History S2'!L:L, 1)</f>
        <v>4</v>
      </c>
      <c r="T44" s="2">
        <f>COUNTIFS('BA History S2'!$B:$B,$A$44,'BA History S2'!M:M, 1)</f>
        <v>6</v>
      </c>
      <c r="U44" s="2">
        <f>COUNTIFS('BA History S2'!$B:$B,$A$44,'BA History S2'!N:N, 1)</f>
        <v>5</v>
      </c>
      <c r="V44" s="2">
        <f>COUNTIFS('BA History S2'!$B:$B,$A$44,'BA History S2'!O:O, 1)</f>
        <v>1</v>
      </c>
      <c r="W44" s="2">
        <f>COUNTIFS('BA History S2'!$B:$B,$A$44,'BA History S2'!P:P, 1)</f>
        <v>0</v>
      </c>
      <c r="X44" s="2">
        <f>COUNTIFS('BA History S2'!$B:$B,$A$44,'BA History S2'!Q:Q, 1)</f>
        <v>1</v>
      </c>
      <c r="Y44" s="2">
        <f>COUNTIFS('BA History S2'!$B:$B,$A$44,'BA History S2'!R:R, 1)</f>
        <v>0</v>
      </c>
      <c r="Z44" s="2">
        <f>COUNTIFS('BA History S2'!$B:$B,$A$44,'BA History S2'!S:S, 1)</f>
        <v>0</v>
      </c>
      <c r="AA44" s="2">
        <f>COUNTIFS('BA History S2'!$B:$B,$A$44,'BA History S2'!T:T, 1)</f>
        <v>0</v>
      </c>
      <c r="AB44" s="2">
        <f>COUNTIFS('BA History S2'!$B:$B,$A$44,'BA History S2'!U:U, 1)</f>
        <v>1</v>
      </c>
      <c r="AC44" s="2">
        <f>COUNTIFS('BA History S2'!$B:$B,$A$44,'BA History S2'!V:V, 1)</f>
        <v>2</v>
      </c>
      <c r="AD44" s="2">
        <f>COUNTIFS('BA History S2'!$B:$B,$A$44,'BA History S2'!W:W, 1)</f>
        <v>2</v>
      </c>
      <c r="AE44" s="2">
        <f>COUNTIFS('BA History S2'!$B:$B,$A$44,'BA History S2'!X:X, 1)</f>
        <v>0</v>
      </c>
      <c r="AF44" s="2">
        <f>COUNTIFS('BA History S2'!$B:$B,$A$44,'BA History S2'!Y:Y, 1)</f>
        <v>4</v>
      </c>
      <c r="AG44" s="2">
        <f>COUNTIFS('BA History S2'!$B:$B,$A$44,'BA History S2'!Z:Z, 1)</f>
        <v>4</v>
      </c>
      <c r="AH44" s="2">
        <f>COUNTIFS('BA History S2'!$B:$B,$A44,'BA History S2'!AA:AA, 1)</f>
        <v>1</v>
      </c>
      <c r="AI44" s="2">
        <f>COUNTIFS('BA History S2'!$B:$B,$A$44,'BA History S2'!AB:AB, 1)</f>
        <v>2</v>
      </c>
      <c r="AJ44" s="2">
        <f>COUNTIFS('BA History S2'!$B:$B,$A$44,'BA History S2'!AC:AC, 1)</f>
        <v>9</v>
      </c>
      <c r="AK44" s="2">
        <f>COUNTIFS('BA History S2'!$B:$B,$A$44,'BA History S2'!AD:AD, 1)</f>
        <v>5</v>
      </c>
      <c r="AL44" s="2">
        <f>COUNTIFS('BA History S2'!$B:$B,$A$44,'BA History S2'!AE:AE, 1)</f>
        <v>3</v>
      </c>
      <c r="AM44" s="2">
        <f>COUNTIFS('BA History S2'!$B:$B,$A$44,'BA History S2'!AF:AF, 1)</f>
        <v>1</v>
      </c>
      <c r="AN44" s="2">
        <f>COUNTIFS('BA History S2'!$B:$B,$A$44,'BA History S2'!AG:AG, 1)</f>
        <v>1</v>
      </c>
    </row>
    <row r="45" spans="1:40" x14ac:dyDescent="0.25">
      <c r="A45" s="1" t="s">
        <v>107</v>
      </c>
      <c r="B45" s="2" t="s">
        <v>79</v>
      </c>
      <c r="C45" s="2"/>
      <c r="D45" s="2"/>
      <c r="E45" s="2"/>
      <c r="F45" s="34">
        <f>SUMIFS('BA History S2'!C:C,'BA History S2'!B:B,A45)</f>
        <v>424</v>
      </c>
      <c r="G45" s="66">
        <f>AVERAGEIFS('BA History S2'!C:C,'BA History S2'!B:B,A45)</f>
        <v>15.703703703703704</v>
      </c>
      <c r="H45" s="35">
        <f t="array" ref="H45">MAX(IF('BA History S2'!B:B=A45, 'BA History S2'!C:C))</f>
        <v>33</v>
      </c>
      <c r="I45" s="34">
        <f>COUNTIFS('BA History S2'!B:B,A45,'BA History S2'!D:D, 1)</f>
        <v>14</v>
      </c>
      <c r="J45" s="2">
        <f>COUNTIFS('BA History S2'!B:B,A45,'BA History S2'!D:D, 0)</f>
        <v>13</v>
      </c>
      <c r="K45" s="75">
        <f>LOOKUP(2, 1/('BA History S2'!$B:$B=A45), 'BA History S2'!$AK:$AK)</f>
        <v>0.51851851851851849</v>
      </c>
      <c r="L45" s="34">
        <f>SUMIFS('BA History S2'!F:F,'BA History S2'!B:B,A45)</f>
        <v>51</v>
      </c>
      <c r="M45" s="2">
        <f>SUMIFS('BA History S2'!E:E,'BA History S2'!B:B,A45)-L45</f>
        <v>56</v>
      </c>
      <c r="N45" s="75">
        <f>LOOKUP(2, 1/('BA History S2'!$B:$B=A45), 'BA History S2'!$AI:$AI)</f>
        <v>0.4592592592592592</v>
      </c>
      <c r="O45" s="34">
        <f>SUMIFS('BA History S2'!H:H,'BA History S2'!B:B,A45)</f>
        <v>218</v>
      </c>
      <c r="P45" s="2">
        <f>SUMIFS('BA History S2'!G:G,'BA History S2'!B:B,A45)-O45</f>
        <v>227</v>
      </c>
      <c r="Q45" s="89">
        <f>LOOKUP(2, 1/('BA History S2'!$B:$B=A45), 'BA History S2'!$AJ:$AJ)</f>
        <v>0.48148148148148145</v>
      </c>
      <c r="R45" s="2">
        <f>COUNTIFS('BA History S2'!$B:$B,$A$45,'BA History S2'!K:K, 1)</f>
        <v>4</v>
      </c>
      <c r="S45" s="2">
        <f>COUNTIFS('BA History S2'!$B:$B,$A$45,'BA History S2'!L:L, 1)</f>
        <v>1</v>
      </c>
      <c r="T45" s="2">
        <f>COUNTIFS('BA History S2'!$B:$B,$A$45,'BA History S2'!M:M, 1)</f>
        <v>8</v>
      </c>
      <c r="U45" s="2">
        <f>COUNTIFS('BA History S2'!$B:$B,$A$45,'BA History S2'!N:N, 1)</f>
        <v>3</v>
      </c>
      <c r="V45" s="2">
        <f>COUNTIFS('BA History S2'!$B:$B,$A$45,'BA History S2'!O:O, 1)</f>
        <v>2</v>
      </c>
      <c r="W45" s="2">
        <f>COUNTIFS('BA History S2'!$B:$B,$A$45,'BA History S2'!P:P, 1)</f>
        <v>0</v>
      </c>
      <c r="X45" s="2">
        <f>COUNTIFS('BA History S2'!$B:$B,$A$45,'BA History S2'!Q:Q, 1)</f>
        <v>0</v>
      </c>
      <c r="Y45" s="2">
        <f>COUNTIFS('BA History S2'!$B:$B,$A$45,'BA History S2'!R:R, 1)</f>
        <v>1</v>
      </c>
      <c r="Z45" s="2">
        <f>COUNTIFS('BA History S2'!$B:$B,$A$45,'BA History S2'!S:S, 1)</f>
        <v>0</v>
      </c>
      <c r="AA45" s="2">
        <f>COUNTIFS('BA History S2'!$B:$B,$A$45,'BA History S2'!T:T, 1)</f>
        <v>0</v>
      </c>
      <c r="AB45" s="2">
        <f>COUNTIFS('BA History S2'!$B:$B,$A$45,'BA History S2'!U:U, 1)</f>
        <v>2</v>
      </c>
      <c r="AC45" s="2">
        <f>COUNTIFS('BA History S2'!$B:$B,$A$45,'BA History S2'!V:V, 1)</f>
        <v>1</v>
      </c>
      <c r="AD45" s="2">
        <f>COUNTIFS('BA History S2'!$B:$B,$A$45,'BA History S2'!W:W, 1)</f>
        <v>1</v>
      </c>
      <c r="AE45" s="2">
        <f>COUNTIFS('BA History S2'!$B:$B,$A$45,'BA History S2'!X:X, 1)</f>
        <v>0</v>
      </c>
      <c r="AF45" s="2">
        <f>COUNTIFS('BA History S2'!$B:$B,$A$45,'BA History S2'!Y:Y, 1)</f>
        <v>3</v>
      </c>
      <c r="AG45" s="2">
        <f>COUNTIFS('BA History S2'!$B:$B,$A$45,'BA History S2'!Z:Z, 1)</f>
        <v>6</v>
      </c>
      <c r="AH45" s="2">
        <f>COUNTIFS('BA History S2'!$B:$B,$A45,'BA History S2'!AA:AA, 1)</f>
        <v>1</v>
      </c>
      <c r="AI45" s="2">
        <f>COUNTIFS('BA History S2'!$B:$B,$A$45,'BA History S2'!AB:AB, 1)</f>
        <v>0</v>
      </c>
      <c r="AJ45" s="2">
        <f>COUNTIFS('BA History S2'!$B:$B,$A$45,'BA History S2'!AC:AC, 1)</f>
        <v>5</v>
      </c>
      <c r="AK45" s="2">
        <f>COUNTIFS('BA History S2'!$B:$B,$A$45,'BA History S2'!AD:AD, 1)</f>
        <v>2</v>
      </c>
      <c r="AL45" s="2">
        <f>COUNTIFS('BA History S2'!$B:$B,$A$45,'BA History S2'!AE:AE, 1)</f>
        <v>6</v>
      </c>
      <c r="AM45" s="2">
        <f>COUNTIFS('BA History S2'!$B:$B,$A$45,'BA History S2'!AF:AF, 1)</f>
        <v>1</v>
      </c>
      <c r="AN45" s="2">
        <f>COUNTIFS('BA History S2'!$B:$B,$A$45,'BA History S2'!AG:AG, 1)</f>
        <v>4</v>
      </c>
    </row>
  </sheetData>
  <autoFilter ref="A1:AN45" xr:uid="{DA548192-1F03-46EA-8AB8-115EB9A7CE5D}">
    <sortState xmlns:xlrd2="http://schemas.microsoft.com/office/spreadsheetml/2017/richdata2" ref="A2:AN45">
      <sortCondition ref="A1:A45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682"/>
  <sheetViews>
    <sheetView tabSelected="1" workbookViewId="0">
      <pane xSplit="2" ySplit="1" topLeftCell="O652" activePane="bottomRight" state="frozen"/>
      <selection pane="topRight" activeCell="C1" sqref="C1"/>
      <selection pane="bottomLeft" activeCell="A2" sqref="A2"/>
      <selection pane="bottomRight" activeCell="AM674" sqref="AM67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  <row r="587" spans="1:37" x14ac:dyDescent="0.25">
      <c r="A587" s="85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86">
        <f>AVERAGEIFS($C$2:C587, $B$2:B587, B587)</f>
        <v>26.9</v>
      </c>
      <c r="AI587" s="86">
        <f>AVERAGEIFS($I$2:I587, $B$2:B587, B587)</f>
        <v>0.5575</v>
      </c>
      <c r="AJ587" s="86">
        <f>AVERAGEIFS($J$2:J587, $B$2:B587, B587)</f>
        <v>0.54449999999999998</v>
      </c>
      <c r="AK587" s="86">
        <f>AVERAGEIFS($D$2:D587, $B$2:B587, B587)</f>
        <v>0.55000000000000004</v>
      </c>
    </row>
    <row r="588" spans="1:37" x14ac:dyDescent="0.25">
      <c r="A588" s="85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86">
        <f>AVERAGEIFS($C$2:C588, $B$2:B588, B588)</f>
        <v>25.304347826086957</v>
      </c>
      <c r="AI588" s="86">
        <f>AVERAGEIFS($I$2:I588, $B$2:B588, B588)</f>
        <v>0.40217391304347827</v>
      </c>
      <c r="AJ588" s="86">
        <f>AVERAGEIFS($J$2:J588, $B$2:B588, B588)</f>
        <v>0.48217391304347823</v>
      </c>
      <c r="AK588" s="86">
        <f>AVERAGEIFS($D$2:D588, $B$2:B588, B588)</f>
        <v>0.2608695652173913</v>
      </c>
    </row>
    <row r="589" spans="1:37" x14ac:dyDescent="0.25">
      <c r="A589" s="85">
        <v>46170</v>
      </c>
      <c r="B589" t="s">
        <v>150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86">
        <f>AVERAGEIFS($C$2:C589, $B$2:B589, B589)</f>
        <v>20.791666666666668</v>
      </c>
      <c r="AI589" s="86">
        <f>AVERAGEIFS($I$2:I589, $B$2:B589, B589)</f>
        <v>0.59791666666666665</v>
      </c>
      <c r="AJ589" s="86">
        <f>AVERAGEIFS($J$2:J589, $B$2:B589, B589)</f>
        <v>0.56708333333333327</v>
      </c>
      <c r="AK589" s="86">
        <f>AVERAGEIFS($D$2:D589, $B$2:B589, B589)</f>
        <v>0.66666666666666663</v>
      </c>
    </row>
    <row r="590" spans="1:37" x14ac:dyDescent="0.25">
      <c r="A590" s="85">
        <v>46170</v>
      </c>
      <c r="B590" t="s">
        <v>40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86">
        <f>AVERAGEIFS($C$2:C590, $B$2:B590, B590)</f>
        <v>19.074074074074073</v>
      </c>
      <c r="AI590" s="86">
        <f>AVERAGEIFS($I$2:I590, $B$2:B590, B590)</f>
        <v>0.45185185185185189</v>
      </c>
      <c r="AJ590" s="86">
        <f>AVERAGEIFS($J$2:J590, $B$2:B590, B590)</f>
        <v>0.47703703703703698</v>
      </c>
      <c r="AK590" s="86">
        <f>AVERAGEIFS($D$2:D590, $B$2:B590, B590)</f>
        <v>0.40740740740740738</v>
      </c>
    </row>
    <row r="591" spans="1:37" x14ac:dyDescent="0.25">
      <c r="A591" s="85">
        <v>46170</v>
      </c>
      <c r="B591" t="s">
        <v>42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86">
        <f>AVERAGEIFS($C$2:C591, $B$2:B591, B591)</f>
        <v>17.066666666666666</v>
      </c>
      <c r="AI591" s="86">
        <f>AVERAGEIFS($I$2:I591, $B$2:B591, B591)</f>
        <v>0.47833333333333333</v>
      </c>
      <c r="AJ591" s="86">
        <f>AVERAGEIFS($J$2:J591, $B$2:B591, B591)</f>
        <v>0.47400000000000009</v>
      </c>
      <c r="AK591" s="86">
        <f>AVERAGEIFS($D$2:D591, $B$2:B591, B591)</f>
        <v>0.46666666666666667</v>
      </c>
    </row>
    <row r="592" spans="1:37" x14ac:dyDescent="0.25">
      <c r="A592" s="85">
        <v>46170</v>
      </c>
      <c r="B592" t="s">
        <v>152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86">
        <f>AVERAGEIFS($C$2:C592, $B$2:B592, B592)</f>
        <v>15.75</v>
      </c>
      <c r="AI592" s="86">
        <f>AVERAGEIFS($I$2:I592, $B$2:B592, B592)</f>
        <v>0.35833333333333334</v>
      </c>
      <c r="AJ592" s="86">
        <f>AVERAGEIFS($J$2:J592, $B$2:B592, B592)</f>
        <v>0.4458333333333333</v>
      </c>
      <c r="AK592" s="86">
        <f>AVERAGEIFS($D$2:D592, $B$2:B592, B592)</f>
        <v>0.25</v>
      </c>
    </row>
    <row r="593" spans="1:37" x14ac:dyDescent="0.25">
      <c r="A593" s="85">
        <v>46170</v>
      </c>
      <c r="B593" t="s">
        <v>161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86">
        <f>AVERAGEIFS($C$2:C593, $B$2:B593, B593)</f>
        <v>10.941176470588236</v>
      </c>
      <c r="AI593" s="86">
        <f>AVERAGEIFS($I$2:I593, $B$2:B593, B593)</f>
        <v>0.49117647058823527</v>
      </c>
      <c r="AJ593" s="86">
        <f>AVERAGEIFS($J$2:J593, $B$2:B593, B593)</f>
        <v>0.48882352941176466</v>
      </c>
      <c r="AK593" s="86">
        <f>AVERAGEIFS($D$2:D593, $B$2:B593, B593)</f>
        <v>0.52941176470588236</v>
      </c>
    </row>
    <row r="594" spans="1:37" x14ac:dyDescent="0.25">
      <c r="A594" s="85">
        <v>46170</v>
      </c>
      <c r="B594" t="s">
        <v>148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86">
        <f>AVERAGEIFS($C$2:C594, $B$2:B594, B594)</f>
        <v>9.2222222222222214</v>
      </c>
      <c r="AI594" s="86">
        <f>AVERAGEIFS($I$2:I594, $B$2:B594, B594)</f>
        <v>0.34444444444444444</v>
      </c>
      <c r="AJ594" s="86">
        <f>AVERAGEIFS($J$2:J594, $B$2:B594, B594)</f>
        <v>0.43333333333333335</v>
      </c>
      <c r="AK594" s="86">
        <f>AVERAGEIFS($D$2:D594, $B$2:B594, B594)</f>
        <v>0.33333333333333331</v>
      </c>
    </row>
    <row r="595" spans="1:37" x14ac:dyDescent="0.25">
      <c r="A595" s="85">
        <v>46170</v>
      </c>
      <c r="B595" t="s">
        <v>54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86">
        <f>AVERAGEIFS($C$2:C595, $B$2:B595, B595)</f>
        <v>22.652173913043477</v>
      </c>
      <c r="AI595" s="86">
        <f>AVERAGEIFS($I$2:I595, $B$2:B595, B595)</f>
        <v>0.53913043478260869</v>
      </c>
      <c r="AJ595" s="86">
        <f>AVERAGEIFS($J$2:J595, $B$2:B595, B595)</f>
        <v>0.51260869565217393</v>
      </c>
      <c r="AK595" s="86">
        <f>AVERAGEIFS($D$2:D595, $B$2:B595, B595)</f>
        <v>0.56521739130434778</v>
      </c>
    </row>
    <row r="596" spans="1:37" x14ac:dyDescent="0.25">
      <c r="A596" s="85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86">
        <f>AVERAGEIFS($C$2:C596, $B$2:B596, B596)</f>
        <v>25.194444444444443</v>
      </c>
      <c r="AI596" s="86">
        <f>AVERAGEIFS($I$2:I596, $B$2:B596, B596)</f>
        <v>0.58472222222222225</v>
      </c>
      <c r="AJ596" s="86">
        <f>AVERAGEIFS($J$2:J596, $B$2:B596, B596)</f>
        <v>0.5311111111111112</v>
      </c>
      <c r="AK596" s="86">
        <f>AVERAGEIFS($D$2:D596, $B$2:B596, B596)</f>
        <v>0.63888888888888884</v>
      </c>
    </row>
    <row r="597" spans="1:37" x14ac:dyDescent="0.25">
      <c r="A597" s="85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86">
        <f>AVERAGEIFS($C$2:C597, $B$2:B597, B597)</f>
        <v>26.38095238095238</v>
      </c>
      <c r="AI597" s="86">
        <f>AVERAGEIFS($I$2:I597, $B$2:B597, B597)</f>
        <v>0.55952380952380953</v>
      </c>
      <c r="AJ597" s="86">
        <f>AVERAGEIFS($J$2:J597, $B$2:B597, B597)</f>
        <v>0.52571428571428569</v>
      </c>
      <c r="AK597" s="86">
        <f>AVERAGEIFS($D$2:D597, $B$2:B597, B597)</f>
        <v>0.66666666666666663</v>
      </c>
    </row>
    <row r="598" spans="1:37" x14ac:dyDescent="0.25">
      <c r="A598" s="85">
        <v>46170</v>
      </c>
      <c r="B598" t="s">
        <v>179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86">
        <f>AVERAGEIFS($C$2:C598, $B$2:B598, B598)</f>
        <v>19</v>
      </c>
      <c r="AI598" s="86">
        <f>AVERAGEIFS($I$2:I598, $B$2:B598, B598)</f>
        <v>0.51538461538461533</v>
      </c>
      <c r="AJ598" s="86">
        <f>AVERAGEIFS($J$2:J598, $B$2:B598, B598)</f>
        <v>0.51076923076923075</v>
      </c>
      <c r="AK598" s="86">
        <f>AVERAGEIFS($D$2:D598, $B$2:B598, B598)</f>
        <v>0.46153846153846156</v>
      </c>
    </row>
    <row r="599" spans="1:37" x14ac:dyDescent="0.25">
      <c r="A599" s="85">
        <v>46170</v>
      </c>
      <c r="B599" t="s">
        <v>113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86">
        <f>AVERAGEIFS($C$2:C599, $B$2:B599, B599)</f>
        <v>20.296296296296298</v>
      </c>
      <c r="AI599" s="86">
        <f>AVERAGEIFS($I$2:I599, $B$2:B599, B599)</f>
        <v>0.57962962962962961</v>
      </c>
      <c r="AJ599" s="86">
        <f>AVERAGEIFS($J$2:J599, $B$2:B599, B599)</f>
        <v>0.54518518518518522</v>
      </c>
      <c r="AK599" s="86">
        <f>AVERAGEIFS($D$2:D599, $B$2:B599, B599)</f>
        <v>0.59259259259259256</v>
      </c>
    </row>
    <row r="600" spans="1:37" x14ac:dyDescent="0.25">
      <c r="A600" s="85">
        <v>46170</v>
      </c>
      <c r="B600" t="s">
        <v>140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86">
        <f>AVERAGEIFS($C$2:C600, $B$2:B600, B600)</f>
        <v>13</v>
      </c>
      <c r="AI600" s="86">
        <f>AVERAGEIFS($I$2:I600, $B$2:B600, B600)</f>
        <v>0.57272727272727275</v>
      </c>
      <c r="AJ600" s="86">
        <f>AVERAGEIFS($J$2:J600, $B$2:B600, B600)</f>
        <v>0.53999999999999992</v>
      </c>
      <c r="AK600" s="86">
        <f>AVERAGEIFS($D$2:D600, $B$2:B600, B600)</f>
        <v>0.54545454545454541</v>
      </c>
    </row>
    <row r="601" spans="1:37" x14ac:dyDescent="0.25">
      <c r="A601" s="85">
        <v>46170</v>
      </c>
      <c r="B601" t="s">
        <v>13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18.142857142857142</v>
      </c>
      <c r="AI601" s="86">
        <f>AVERAGEIFS($I$2:I601, $B$2:B601, B601)</f>
        <v>0.45952380952380956</v>
      </c>
      <c r="AJ601" s="86">
        <f>AVERAGEIFS($J$2:J601, $B$2:B601, B601)</f>
        <v>0.48142857142857143</v>
      </c>
      <c r="AK601" s="86">
        <f>AVERAGEIFS($D$2:D601, $B$2:B601, B601)</f>
        <v>0.42857142857142855</v>
      </c>
    </row>
    <row r="602" spans="1:37" x14ac:dyDescent="0.25">
      <c r="A602" s="85">
        <v>46170</v>
      </c>
      <c r="B602" t="s">
        <v>14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13.25</v>
      </c>
      <c r="AI602" s="86">
        <f>AVERAGEIFS($I$2:I602, $B$2:B602, B602)</f>
        <v>0.52500000000000002</v>
      </c>
      <c r="AJ602" s="86">
        <f>AVERAGEIFS($J$2:J602, $B$2:B602, B602)</f>
        <v>0.47624999999999995</v>
      </c>
      <c r="AK602" s="86">
        <f>AVERAGEIFS($D$2:D602, $B$2:B602, B602)</f>
        <v>0.625</v>
      </c>
    </row>
    <row r="603" spans="1:37" x14ac:dyDescent="0.25">
      <c r="A603" s="85">
        <v>46171</v>
      </c>
      <c r="B603" t="s">
        <v>54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86">
        <f>AVERAGEIFS($C$2:C603, $B$2:B603, B603)</f>
        <v>22.375</v>
      </c>
      <c r="AI603" s="86">
        <f>AVERAGEIFS($I$2:I603, $B$2:B603, B603)</f>
        <v>0.54791666666666672</v>
      </c>
      <c r="AJ603" s="86">
        <f>AVERAGEIFS($J$2:J603, $B$2:B603, B603)</f>
        <v>0.51999999999999991</v>
      </c>
      <c r="AK603" s="86">
        <f>AVERAGEIFS($D$2:D603, $B$2:B603, B603)</f>
        <v>0.58333333333333337</v>
      </c>
    </row>
    <row r="604" spans="1:37" x14ac:dyDescent="0.25">
      <c r="A604" s="85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86">
        <f>AVERAGEIFS($C$2:C604, $B$2:B604, B604)</f>
        <v>25.25</v>
      </c>
      <c r="AI604" s="86">
        <f>AVERAGEIFS($I$2:I604, $B$2:B604, B604)</f>
        <v>0.41666666666666669</v>
      </c>
      <c r="AJ604" s="86">
        <f>AVERAGEIFS($J$2:J604, $B$2:B604, B604)</f>
        <v>0.49083333333333329</v>
      </c>
      <c r="AK604" s="86">
        <f>AVERAGEIFS($D$2:D604, $B$2:B604, B604)</f>
        <v>0.29166666666666669</v>
      </c>
    </row>
    <row r="605" spans="1:37" x14ac:dyDescent="0.25">
      <c r="A605" s="85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86">
        <f>AVERAGEIFS($C$2:C605, $B$2:B605, B605)</f>
        <v>25.108108108108109</v>
      </c>
      <c r="AI605" s="86">
        <f>AVERAGEIFS($I$2:I605, $B$2:B605, B605)</f>
        <v>0.58918918918918917</v>
      </c>
      <c r="AJ605" s="86">
        <f>AVERAGEIFS($J$2:J605, $B$2:B605, B605)</f>
        <v>0.5354054054054056</v>
      </c>
      <c r="AK605" s="86">
        <f>AVERAGEIFS($D$2:D605, $B$2:B605, B605)</f>
        <v>0.64864864864864868</v>
      </c>
    </row>
    <row r="606" spans="1:37" x14ac:dyDescent="0.25">
      <c r="A606" s="85">
        <v>46171</v>
      </c>
      <c r="B606" t="s">
        <v>152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86">
        <f>AVERAGEIFS($C$2:C606, $B$2:B606, B606)</f>
        <v>15.076923076923077</v>
      </c>
      <c r="AI606" s="86">
        <f>AVERAGEIFS($I$2:I606, $B$2:B606, B606)</f>
        <v>0.38846153846153847</v>
      </c>
      <c r="AJ606" s="86">
        <f>AVERAGEIFS($J$2:J606, $B$2:B606, B606)</f>
        <v>0.46461538461538454</v>
      </c>
      <c r="AK606" s="86">
        <f>AVERAGEIFS($D$2:D606, $B$2:B606, B606)</f>
        <v>0.30769230769230771</v>
      </c>
    </row>
    <row r="607" spans="1:37" x14ac:dyDescent="0.25">
      <c r="A607" s="85">
        <v>46171</v>
      </c>
      <c r="B607" t="s">
        <v>147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86">
        <f>AVERAGEIFS($C$2:C607, $B$2:B607, B607)</f>
        <v>17.576923076923077</v>
      </c>
      <c r="AI607" s="86">
        <f>AVERAGEIFS($I$2:I607, $B$2:B607, B607)</f>
        <v>0.56730769230769229</v>
      </c>
      <c r="AJ607" s="86">
        <f>AVERAGEIFS($J$2:J607, $B$2:B607, B607)</f>
        <v>0.53846153846153844</v>
      </c>
      <c r="AK607" s="86">
        <f>AVERAGEIFS($D$2:D607, $B$2:B607, B607)</f>
        <v>0.57692307692307687</v>
      </c>
    </row>
    <row r="608" spans="1:37" x14ac:dyDescent="0.25">
      <c r="A608" s="85">
        <v>46171</v>
      </c>
      <c r="B608" t="s">
        <v>115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86">
        <f>AVERAGEIFS($C$2:C608, $B$2:B608, B608)</f>
        <v>12.818181818181818</v>
      </c>
      <c r="AI608" s="86">
        <f>AVERAGEIFS($I$2:I608, $B$2:B608, B608)</f>
        <v>0.55909090909090908</v>
      </c>
      <c r="AJ608" s="86">
        <f>AVERAGEIFS($J$2:J608, $B$2:B608, B608)</f>
        <v>0.52272727272727271</v>
      </c>
      <c r="AK608" s="86">
        <f>AVERAGEIFS($D$2:D608, $B$2:B608, B608)</f>
        <v>0.72727272727272729</v>
      </c>
    </row>
    <row r="609" spans="1:37" x14ac:dyDescent="0.25">
      <c r="A609" s="85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25.59090909090909</v>
      </c>
      <c r="AI609" s="86">
        <f>AVERAGEIFS($I$2:I609, $B$2:B609, B609)</f>
        <v>0.54545454545454541</v>
      </c>
      <c r="AJ609" s="86">
        <f>AVERAGEIFS($J$2:J609, $B$2:B609, B609)</f>
        <v>0.51590909090909087</v>
      </c>
      <c r="AK609" s="86">
        <f>AVERAGEIFS($D$2:D609, $B$2:B609, B609)</f>
        <v>0.63636363636363635</v>
      </c>
    </row>
    <row r="610" spans="1:37" x14ac:dyDescent="0.25">
      <c r="A610" s="85">
        <v>46171</v>
      </c>
      <c r="B610" t="s">
        <v>141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20.041666666666668</v>
      </c>
      <c r="AI610" s="86">
        <f>AVERAGEIFS($I$2:I610, $B$2:B610, B610)</f>
        <v>0.50416666666666665</v>
      </c>
      <c r="AJ610" s="86">
        <f>AVERAGEIFS($J$2:J610, $B$2:B610, B610)</f>
        <v>0.49791666666666679</v>
      </c>
      <c r="AK610" s="86">
        <f>AVERAGEIFS($D$2:D610, $B$2:B610, B610)</f>
        <v>0.625</v>
      </c>
    </row>
    <row r="611" spans="1:37" x14ac:dyDescent="0.25">
      <c r="A611" s="85">
        <v>46171</v>
      </c>
      <c r="B611" t="s">
        <v>150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20.399999999999999</v>
      </c>
      <c r="AI611" s="86">
        <f>AVERAGEIFS($I$2:I611, $B$2:B611, B611)</f>
        <v>0.58399999999999996</v>
      </c>
      <c r="AJ611" s="86">
        <f>AVERAGEIFS($J$2:J611, $B$2:B611, B611)</f>
        <v>0.55679999999999996</v>
      </c>
      <c r="AK611" s="86">
        <f>AVERAGEIFS($D$2:D611, $B$2:B611, B611)</f>
        <v>0.64</v>
      </c>
    </row>
    <row r="612" spans="1:37" x14ac:dyDescent="0.25">
      <c r="A612" s="85">
        <v>46171</v>
      </c>
      <c r="B612" t="s">
        <v>13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18.227272727272727</v>
      </c>
      <c r="AI612" s="86">
        <f>AVERAGEIFS($I$2:I612, $B$2:B612, B612)</f>
        <v>0.45</v>
      </c>
      <c r="AJ612" s="86">
        <f>AVERAGEIFS($J$2:J612, $B$2:B612, B612)</f>
        <v>0.47363636363636363</v>
      </c>
      <c r="AK612" s="86">
        <f>AVERAGEIFS($D$2:D612, $B$2:B612, B612)</f>
        <v>0.40909090909090912</v>
      </c>
    </row>
    <row r="613" spans="1:37" x14ac:dyDescent="0.25">
      <c r="A613" s="85">
        <v>46171</v>
      </c>
      <c r="B613" t="s">
        <v>140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86">
        <f>AVERAGEIFS($C$2:C613, $B$2:B613, B613)</f>
        <v>12.666666666666666</v>
      </c>
      <c r="AI613" s="86">
        <f>AVERAGEIFS($I$2:I613, $B$2:B613, B613)</f>
        <v>0.54583333333333339</v>
      </c>
      <c r="AJ613" s="86">
        <f>AVERAGEIFS($J$2:J613, $B$2:B613, B613)</f>
        <v>0.52083333333333326</v>
      </c>
      <c r="AK613" s="86">
        <f>AVERAGEIFS($D$2:D613, $B$2:B613, B613)</f>
        <v>0.5</v>
      </c>
    </row>
    <row r="614" spans="1:37" x14ac:dyDescent="0.25">
      <c r="A614" s="85">
        <v>46171</v>
      </c>
      <c r="B614" t="s">
        <v>148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86">
        <f>AVERAGEIFS($C$2:C614, $B$2:B614, B614)</f>
        <v>8.8000000000000007</v>
      </c>
      <c r="AI614" s="86">
        <f>AVERAGEIFS($I$2:I614, $B$2:B614, B614)</f>
        <v>0.33500000000000002</v>
      </c>
      <c r="AJ614" s="86">
        <f>AVERAGEIFS($J$2:J614, $B$2:B614, B614)</f>
        <v>0.42099999999999999</v>
      </c>
      <c r="AK614" s="86">
        <f>AVERAGEIFS($D$2:D614, $B$2:B614, B614)</f>
        <v>0.3</v>
      </c>
    </row>
    <row r="615" spans="1:37" x14ac:dyDescent="0.25">
      <c r="A615" s="85">
        <v>46172</v>
      </c>
      <c r="B615" t="s">
        <v>13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86">
        <f>AVERAGEIFS($C$2:C615, $B$2:B615, B615)</f>
        <v>18.086956521739129</v>
      </c>
      <c r="AI615" s="86">
        <f>AVERAGEIFS($I$2:I615, $B$2:B615, B615)</f>
        <v>0.44782608695652176</v>
      </c>
      <c r="AJ615" s="86">
        <f>AVERAGEIFS($J$2:J615, $B$2:B615, B615)</f>
        <v>0.47217391304347822</v>
      </c>
      <c r="AK615" s="86">
        <f>AVERAGEIFS($D$2:D615, $B$2:B615, B615)</f>
        <v>0.39130434782608697</v>
      </c>
    </row>
    <row r="616" spans="1:37" x14ac:dyDescent="0.25">
      <c r="A616" s="85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86">
        <f>AVERAGEIFS($C$2:C616, $B$2:B616, B616)</f>
        <v>24.894736842105264</v>
      </c>
      <c r="AI616" s="86">
        <f>AVERAGEIFS($I$2:I616, $B$2:B616, B616)</f>
        <v>0.5842105263157894</v>
      </c>
      <c r="AJ616" s="86">
        <f>AVERAGEIFS($J$2:J616, $B$2:B616, B616)</f>
        <v>0.53289473684210542</v>
      </c>
      <c r="AK616" s="86">
        <f>AVERAGEIFS($D$2:D616, $B$2:B616, B616)</f>
        <v>0.63157894736842102</v>
      </c>
    </row>
    <row r="617" spans="1:37" x14ac:dyDescent="0.25">
      <c r="A617" s="85">
        <v>46172</v>
      </c>
      <c r="B617" t="s">
        <v>54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86">
        <f>AVERAGEIFS($C$2:C617, $B$2:B617, B617)</f>
        <v>22.24</v>
      </c>
      <c r="AI617" s="86">
        <f>AVERAGEIFS($I$2:I617, $B$2:B617, B617)</f>
        <v>0.54200000000000004</v>
      </c>
      <c r="AJ617" s="86">
        <f>AVERAGEIFS($J$2:J617, $B$2:B617, B617)</f>
        <v>0.51679999999999993</v>
      </c>
      <c r="AK617" s="86">
        <f>AVERAGEIFS($D$2:D617, $B$2:B617, B617)</f>
        <v>0.56000000000000005</v>
      </c>
    </row>
    <row r="618" spans="1:37" x14ac:dyDescent="0.25">
      <c r="A618" s="85">
        <v>46172</v>
      </c>
      <c r="B618" t="s">
        <v>140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86">
        <f>AVERAGEIFS($C$2:C618, $B$2:B618, B618)</f>
        <v>12.461538461538462</v>
      </c>
      <c r="AI618" s="86">
        <f>AVERAGEIFS($I$2:I618, $B$2:B618, B618)</f>
        <v>0.53461538461538471</v>
      </c>
      <c r="AJ618" s="86">
        <f>AVERAGEIFS($J$2:J618, $B$2:B618, B618)</f>
        <v>0.51461538461538459</v>
      </c>
      <c r="AK618" s="86">
        <f>AVERAGEIFS($D$2:D618, $B$2:B618, B618)</f>
        <v>0.46153846153846156</v>
      </c>
    </row>
    <row r="619" spans="1:37" x14ac:dyDescent="0.25">
      <c r="A619" s="85">
        <v>46172</v>
      </c>
      <c r="B619" t="s">
        <v>152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86">
        <f>AVERAGEIFS($C$2:C619, $B$2:B619, B619)</f>
        <v>14.857142857142858</v>
      </c>
      <c r="AI619" s="86">
        <f>AVERAGEIFS($I$2:I619, $B$2:B619, B619)</f>
        <v>0.38928571428571429</v>
      </c>
      <c r="AJ619" s="86">
        <f>AVERAGEIFS($J$2:J619, $B$2:B619, B619)</f>
        <v>0.4628571428571428</v>
      </c>
      <c r="AK619" s="86">
        <f>AVERAGEIFS($D$2:D619, $B$2:B619, B619)</f>
        <v>0.2857142857142857</v>
      </c>
    </row>
    <row r="620" spans="1:37" x14ac:dyDescent="0.25">
      <c r="A620" s="85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86">
        <f>AVERAGEIFS($C$2:C620, $B$2:B620, B620)</f>
        <v>25.434782608695652</v>
      </c>
      <c r="AI620" s="86">
        <f>AVERAGEIFS($I$2:I620, $B$2:B620, B620)</f>
        <v>0.53913043478260869</v>
      </c>
      <c r="AJ620" s="86">
        <f>AVERAGEIFS($J$2:J620, $B$2:B620, B620)</f>
        <v>0.51260869565217393</v>
      </c>
      <c r="AK620" s="86">
        <f>AVERAGEIFS($D$2:D620, $B$2:B620, B620)</f>
        <v>0.60869565217391308</v>
      </c>
    </row>
    <row r="621" spans="1:37" x14ac:dyDescent="0.25">
      <c r="A621" s="85">
        <v>46172</v>
      </c>
      <c r="B621" t="s">
        <v>115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86">
        <f>AVERAGEIFS($C$2:C621, $B$2:B621, B621)</f>
        <v>12.75</v>
      </c>
      <c r="AI621" s="86">
        <f>AVERAGEIFS($I$2:I621, $B$2:B621, B621)</f>
        <v>0.54583333333333328</v>
      </c>
      <c r="AJ621" s="86">
        <f>AVERAGEIFS($J$2:J621, $B$2:B621, B621)</f>
        <v>0.51583333333333337</v>
      </c>
      <c r="AK621" s="86">
        <f>AVERAGEIFS($D$2:D621, $B$2:B621, B621)</f>
        <v>0.66666666666666663</v>
      </c>
    </row>
    <row r="622" spans="1:37" x14ac:dyDescent="0.25">
      <c r="A622" s="85">
        <v>46172</v>
      </c>
      <c r="B622" t="s">
        <v>179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86">
        <f>AVERAGEIFS($C$2:C622, $B$2:B622, B622)</f>
        <v>19.142857142857142</v>
      </c>
      <c r="AI622" s="86">
        <f>AVERAGEIFS($I$2:I622, $B$2:B622, B622)</f>
        <v>0.52142857142857135</v>
      </c>
      <c r="AJ622" s="86">
        <f>AVERAGEIFS($J$2:J622, $B$2:B622, B622)</f>
        <v>0.51428571428571423</v>
      </c>
      <c r="AK622" s="86">
        <f>AVERAGEIFS($D$2:D622, $B$2:B622, B622)</f>
        <v>0.5</v>
      </c>
    </row>
    <row r="623" spans="1:37" x14ac:dyDescent="0.25">
      <c r="A623" s="85">
        <v>46172</v>
      </c>
      <c r="B623" t="s">
        <v>150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86">
        <f>AVERAGEIFS($C$2:C623, $B$2:B623, B623)</f>
        <v>20.692307692307693</v>
      </c>
      <c r="AI623" s="86">
        <f>AVERAGEIFS($I$2:I623, $B$2:B623, B623)</f>
        <v>0.58461538461538454</v>
      </c>
      <c r="AJ623" s="86">
        <f>AVERAGEIFS($J$2:J623, $B$2:B623, B623)</f>
        <v>0.55692307692307685</v>
      </c>
      <c r="AK623" s="86">
        <f>AVERAGEIFS($D$2:D623, $B$2:B623, B623)</f>
        <v>0.65384615384615385</v>
      </c>
    </row>
    <row r="624" spans="1:37" x14ac:dyDescent="0.25">
      <c r="A624" s="85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86">
        <f>AVERAGEIFS($C$2:C624, $B$2:B624, B624)</f>
        <v>24.8</v>
      </c>
      <c r="AI624" s="86">
        <f>AVERAGEIFS($I$2:I624, $B$2:B624, B624)</f>
        <v>0.42399999999999999</v>
      </c>
      <c r="AJ624" s="86">
        <f>AVERAGEIFS($J$2:J624, $B$2:B624, B624)</f>
        <v>0.49359999999999998</v>
      </c>
      <c r="AK624" s="86">
        <f>AVERAGEIFS($D$2:D624, $B$2:B624, B624)</f>
        <v>0.32</v>
      </c>
    </row>
    <row r="625" spans="1:37" x14ac:dyDescent="0.25">
      <c r="A625" s="85">
        <v>46172</v>
      </c>
      <c r="B625" t="s">
        <v>141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86">
        <f>AVERAGEIFS($C$2:C625, $B$2:B625, B625)</f>
        <v>19.96</v>
      </c>
      <c r="AI625" s="86">
        <f>AVERAGEIFS($I$2:I625, $B$2:B625, B625)</f>
        <v>0.50800000000000001</v>
      </c>
      <c r="AJ625" s="86">
        <f>AVERAGEIFS($J$2:J625, $B$2:B625, B625)</f>
        <v>0.50040000000000018</v>
      </c>
      <c r="AK625" s="86">
        <f>AVERAGEIFS($D$2:D625, $B$2:B625, B625)</f>
        <v>0.64</v>
      </c>
    </row>
    <row r="626" spans="1:37" x14ac:dyDescent="0.25">
      <c r="A626" s="85">
        <v>46172</v>
      </c>
      <c r="B626" t="s">
        <v>147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86">
        <f>AVERAGEIFS($C$2:C626, $B$2:B626, B626)</f>
        <v>17.555555555555557</v>
      </c>
      <c r="AI626" s="86">
        <f>AVERAGEIFS($I$2:I626, $B$2:B626, B626)</f>
        <v>0.56851851851851842</v>
      </c>
      <c r="AJ626" s="86">
        <f>AVERAGEIFS($J$2:J626, $B$2:B626, B626)</f>
        <v>0.53925925925925933</v>
      </c>
      <c r="AK626" s="86">
        <f>AVERAGEIFS($D$2:D626, $B$2:B626, B626)</f>
        <v>0.59259259259259256</v>
      </c>
    </row>
    <row r="627" spans="1:37" x14ac:dyDescent="0.25">
      <c r="A627" s="85">
        <v>46172</v>
      </c>
      <c r="B627" t="s">
        <v>113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86">
        <f>AVERAGEIFS($C$2:C627, $B$2:B627, B627)</f>
        <v>20.107142857142858</v>
      </c>
      <c r="AI627" s="86">
        <f>AVERAGEIFS($I$2:I627, $B$2:B627, B627)</f>
        <v>0.5803571428571429</v>
      </c>
      <c r="AJ627" s="86">
        <f>AVERAGEIFS($J$2:J627, $B$2:B627, B627)</f>
        <v>0.54571428571428571</v>
      </c>
      <c r="AK627" s="86">
        <f>AVERAGEIFS($D$2:D627, $B$2:B627, B627)</f>
        <v>0.6071428571428571</v>
      </c>
    </row>
    <row r="628" spans="1:37" x14ac:dyDescent="0.25">
      <c r="A628" s="85">
        <v>46172</v>
      </c>
      <c r="B628" t="s">
        <v>148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86">
        <f>AVERAGEIFS($C$2:C628, $B$2:B628, B628)</f>
        <v>8.6363636363636367</v>
      </c>
      <c r="AI628" s="86">
        <f>AVERAGEIFS($I$2:I628, $B$2:B628, B628)</f>
        <v>0.35909090909090913</v>
      </c>
      <c r="AJ628" s="86">
        <f>AVERAGEIFS($J$2:J628, $B$2:B628, B628)</f>
        <v>0.4336363636363636</v>
      </c>
      <c r="AK628" s="86">
        <f>AVERAGEIFS($D$2:D628, $B$2:B628, B628)</f>
        <v>0.36363636363636365</v>
      </c>
    </row>
    <row r="629" spans="1:37" x14ac:dyDescent="0.25">
      <c r="A629" s="85">
        <v>46172</v>
      </c>
      <c r="B629" t="s">
        <v>42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16.806451612903224</v>
      </c>
      <c r="AI629" s="86">
        <f>AVERAGEIFS($I$2:I629, $B$2:B629, B629)</f>
        <v>0.47096774193548385</v>
      </c>
      <c r="AJ629" s="86">
        <f>AVERAGEIFS($J$2:J629, $B$2:B629, B629)</f>
        <v>0.47161290322580657</v>
      </c>
      <c r="AK629" s="86">
        <f>AVERAGEIFS($D$2:D629, $B$2:B629, B629)</f>
        <v>0.45161290322580644</v>
      </c>
    </row>
    <row r="630" spans="1:37" x14ac:dyDescent="0.25">
      <c r="A630" s="85">
        <v>46172</v>
      </c>
      <c r="B630" t="s">
        <v>179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18.600000000000001</v>
      </c>
      <c r="AI630" s="86">
        <f>AVERAGEIFS($I$2:I630, $B$2:B630, B630)</f>
        <v>0.5033333333333333</v>
      </c>
      <c r="AJ630" s="86">
        <f>AVERAGEIFS($J$2:J630, $B$2:B630, B630)</f>
        <v>0.5066666666666666</v>
      </c>
      <c r="AK630" s="86">
        <f>AVERAGEIFS($D$2:D630, $B$2:B630, B630)</f>
        <v>0.46666666666666667</v>
      </c>
    </row>
    <row r="631" spans="1:37" x14ac:dyDescent="0.25">
      <c r="A631" s="85">
        <v>46172</v>
      </c>
      <c r="B631" t="s">
        <v>152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14.533333333333333</v>
      </c>
      <c r="AI631" s="86">
        <f>AVERAGEIFS($I$2:I631, $B$2:B631, B631)</f>
        <v>0.38</v>
      </c>
      <c r="AJ631" s="86">
        <f>AVERAGEIFS($J$2:J631, $B$2:B631, B631)</f>
        <v>0.45866666666666667</v>
      </c>
      <c r="AK631" s="86">
        <f>AVERAGEIFS($D$2:D631, $B$2:B631, B631)</f>
        <v>0.26666666666666666</v>
      </c>
    </row>
    <row r="632" spans="1:37" x14ac:dyDescent="0.25">
      <c r="A632" s="85">
        <v>46172</v>
      </c>
      <c r="B632" t="s">
        <v>137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8.5</v>
      </c>
      <c r="AI632" s="86">
        <f>AVERAGEIFS($I$2:I632, $B$2:B632, B632)</f>
        <v>0.5</v>
      </c>
      <c r="AJ632" s="86">
        <f>AVERAGEIFS($J$2:J632, $B$2:B632, B632)</f>
        <v>0.495</v>
      </c>
      <c r="AK632" s="86">
        <f>AVERAGEIFS($D$2:D632, $B$2:B632, B632)</f>
        <v>0.5</v>
      </c>
    </row>
    <row r="633" spans="1:37" x14ac:dyDescent="0.25">
      <c r="A633" s="85">
        <v>46172</v>
      </c>
      <c r="B633" t="s">
        <v>147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86">
        <f>AVERAGEIFS($C$2:C633, $B$2:B633, B633)</f>
        <v>17.428571428571427</v>
      </c>
      <c r="AI633" s="86">
        <f>AVERAGEIFS($I$2:I633, $B$2:B633, B633)</f>
        <v>0.55714285714285705</v>
      </c>
      <c r="AJ633" s="86">
        <f>AVERAGEIFS($J$2:J633, $B$2:B633, B633)</f>
        <v>0.53428571428571436</v>
      </c>
      <c r="AK633" s="86">
        <f>AVERAGEIFS($D$2:D633, $B$2:B633, B633)</f>
        <v>0.5714285714285714</v>
      </c>
    </row>
    <row r="634" spans="1:37" x14ac:dyDescent="0.25">
      <c r="A634" s="85">
        <v>46172</v>
      </c>
      <c r="B634" t="s">
        <v>150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86">
        <f>AVERAGEIFS($C$2:C634, $B$2:B634, B634)</f>
        <v>20.703703703703702</v>
      </c>
      <c r="AI634" s="86">
        <f>AVERAGEIFS($I$2:I634, $B$2:B634, B634)</f>
        <v>0.57222222222222219</v>
      </c>
      <c r="AJ634" s="86">
        <f>AVERAGEIFS($J$2:J634, $B$2:B634, B634)</f>
        <v>0.55111111111111111</v>
      </c>
      <c r="AK634" s="86">
        <f>AVERAGEIFS($D$2:D634, $B$2:B634, B634)</f>
        <v>0.62962962962962965</v>
      </c>
    </row>
    <row r="635" spans="1:37" x14ac:dyDescent="0.25">
      <c r="A635" s="85">
        <v>46172</v>
      </c>
      <c r="B635" t="s">
        <v>14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86">
        <f>AVERAGEIFS($C$2:C635, $B$2:B635, B635)</f>
        <v>13.111111111111111</v>
      </c>
      <c r="AI635" s="86">
        <f>AVERAGEIFS($I$2:I635, $B$2:B635, B635)</f>
        <v>0.49444444444444446</v>
      </c>
      <c r="AJ635" s="86">
        <f>AVERAGEIFS($J$2:J635, $B$2:B635, B635)</f>
        <v>0.46777777777777779</v>
      </c>
      <c r="AK635" s="86">
        <f>AVERAGEIFS($D$2:D635, $B$2:B635, B635)</f>
        <v>0.55555555555555558</v>
      </c>
    </row>
    <row r="636" spans="1:37" x14ac:dyDescent="0.25">
      <c r="A636" s="85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86">
        <f>AVERAGEIFS($C$2:C636, $B$2:B636, B636)</f>
        <v>25.333333333333332</v>
      </c>
      <c r="AI636" s="86">
        <f>AVERAGEIFS($I$2:I636, $B$2:B636, B636)</f>
        <v>0.52708333333333335</v>
      </c>
      <c r="AJ636" s="86">
        <f>AVERAGEIFS($J$2:J636, $B$2:B636, B636)</f>
        <v>0.50791666666666668</v>
      </c>
      <c r="AK636" s="86">
        <f>AVERAGEIFS($D$2:D636, $B$2:B636, B636)</f>
        <v>0.58333333333333337</v>
      </c>
    </row>
    <row r="637" spans="1:37" x14ac:dyDescent="0.25">
      <c r="A637" s="85">
        <v>46172</v>
      </c>
      <c r="B637" t="s">
        <v>37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19.600000000000001</v>
      </c>
      <c r="AI637" s="86">
        <f>AVERAGEIFS($I$2:I637, $B$2:B637, B637)</f>
        <v>0.8</v>
      </c>
      <c r="AJ637" s="86">
        <f>AVERAGEIFS($J$2:J637, $B$2:B637, B637)</f>
        <v>0.60799999999999998</v>
      </c>
      <c r="AK637" s="86">
        <f>AVERAGEIFS($D$2:D637, $B$2:B637, B637)</f>
        <v>1</v>
      </c>
    </row>
    <row r="638" spans="1:37" x14ac:dyDescent="0.25">
      <c r="A638" s="85">
        <v>46172</v>
      </c>
      <c r="B638" t="s">
        <v>27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11.75</v>
      </c>
      <c r="AI638" s="86">
        <f>AVERAGEIFS($I$2:I638, $B$2:B638, B638)</f>
        <v>0.63749999999999996</v>
      </c>
      <c r="AJ638" s="86">
        <f>AVERAGEIFS($J$2:J638, $B$2:B638, B638)</f>
        <v>0.55000000000000004</v>
      </c>
      <c r="AK638" s="86">
        <f>AVERAGEIFS($D$2:D638, $B$2:B638, B638)</f>
        <v>0.5</v>
      </c>
    </row>
    <row r="639" spans="1:37" x14ac:dyDescent="0.25">
      <c r="A639" s="85">
        <v>46172</v>
      </c>
      <c r="B639" t="s">
        <v>148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8.4166666666666661</v>
      </c>
      <c r="AI639" s="86">
        <f>AVERAGEIFS($I$2:I639, $B$2:B639, B639)</f>
        <v>0.39166666666666666</v>
      </c>
      <c r="AJ639" s="86">
        <f>AVERAGEIFS($J$2:J639, $B$2:B639, B639)</f>
        <v>0.44749999999999995</v>
      </c>
      <c r="AK639" s="86">
        <f>AVERAGEIFS($D$2:D639, $B$2:B639, B639)</f>
        <v>0.41666666666666669</v>
      </c>
    </row>
    <row r="640" spans="1:37" x14ac:dyDescent="0.25">
      <c r="A640" s="85">
        <v>46172</v>
      </c>
      <c r="B640" t="s">
        <v>13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17.833333333333332</v>
      </c>
      <c r="AI640" s="86">
        <f>AVERAGEIFS($I$2:I640, $B$2:B640, B640)</f>
        <v>0.4604166666666667</v>
      </c>
      <c r="AJ640" s="86">
        <f>AVERAGEIFS($J$2:J640, $B$2:B640, B640)</f>
        <v>0.47749999999999998</v>
      </c>
      <c r="AK640" s="86">
        <f>AVERAGEIFS($D$2:D640, $B$2:B640, B640)</f>
        <v>0.41666666666666669</v>
      </c>
    </row>
    <row r="641" spans="1:37" x14ac:dyDescent="0.25">
      <c r="A641" s="85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86">
        <f>AVERAGEIFS($C$2:C641, $B$2:B641, B641)</f>
        <v>24.384615384615383</v>
      </c>
      <c r="AI641" s="86">
        <f>AVERAGEIFS($I$2:I641, $B$2:B641, B641)</f>
        <v>0.43653846153846154</v>
      </c>
      <c r="AJ641" s="86">
        <f>AVERAGEIFS($J$2:J641, $B$2:B641, B641)</f>
        <v>0.49769230769230766</v>
      </c>
      <c r="AK641" s="86">
        <f>AVERAGEIFS($D$2:D641, $B$2:B641, B641)</f>
        <v>0.34615384615384615</v>
      </c>
    </row>
    <row r="642" spans="1:37" x14ac:dyDescent="0.25">
      <c r="A642" s="85">
        <v>46172</v>
      </c>
      <c r="B642" t="s">
        <v>40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86">
        <f>AVERAGEIFS($C$2:C642, $B$2:B642, B642)</f>
        <v>18.714285714285715</v>
      </c>
      <c r="AI642" s="86">
        <f>AVERAGEIFS($I$2:I642, $B$2:B642, B642)</f>
        <v>0.46250000000000002</v>
      </c>
      <c r="AJ642" s="86">
        <f>AVERAGEIFS($J$2:J642, $B$2:B642, B642)</f>
        <v>0.48142857142857137</v>
      </c>
      <c r="AK642" s="86">
        <f>AVERAGEIFS($D$2:D642, $B$2:B642, B642)</f>
        <v>0.42857142857142855</v>
      </c>
    </row>
    <row r="643" spans="1:37" x14ac:dyDescent="0.25">
      <c r="A643" s="85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86">
        <f>AVERAGEIFS($C$2:C643, $B$2:B643, B643)</f>
        <v>25.025641025641026</v>
      </c>
      <c r="AI643" s="86">
        <f>AVERAGEIFS($I$2:I643, $B$2:B643, B643)</f>
        <v>0.58846153846153848</v>
      </c>
      <c r="AJ643" s="86">
        <f>AVERAGEIFS($J$2:J643, $B$2:B643, B643)</f>
        <v>0.53461538461538483</v>
      </c>
      <c r="AK643" s="86">
        <f>AVERAGEIFS($D$2:D643, $B$2:B643, B643)</f>
        <v>0.64102564102564108</v>
      </c>
    </row>
    <row r="644" spans="1:37" x14ac:dyDescent="0.25">
      <c r="A644" s="85">
        <v>46172</v>
      </c>
      <c r="B644" t="s">
        <v>113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86">
        <f>AVERAGEIFS($C$2:C644, $B$2:B644, B644)</f>
        <v>20</v>
      </c>
      <c r="AI644" s="86">
        <f>AVERAGEIFS($I$2:I644, $B$2:B644, B644)</f>
        <v>0.58620689655172409</v>
      </c>
      <c r="AJ644" s="86">
        <f>AVERAGEIFS($J$2:J644, $B$2:B644, B644)</f>
        <v>0.5475862068965518</v>
      </c>
      <c r="AK644" s="86">
        <f>AVERAGEIFS($D$2:D644, $B$2:B644, B644)</f>
        <v>0.62068965517241381</v>
      </c>
    </row>
    <row r="645" spans="1:37" x14ac:dyDescent="0.25">
      <c r="A645" s="85">
        <v>46173</v>
      </c>
      <c r="B645" t="s">
        <v>13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17.920000000000002</v>
      </c>
      <c r="AI645" s="86">
        <f>AVERAGEIFS($I$2:I645, $B$2:B645, B645)</f>
        <v>0.47200000000000003</v>
      </c>
      <c r="AJ645" s="86">
        <f>AVERAGEIFS($J$2:J645, $B$2:B645, B645)</f>
        <v>0.48359999999999997</v>
      </c>
      <c r="AK645" s="86">
        <f>AVERAGEIFS($D$2:D645, $B$2:B645, B645)</f>
        <v>0.44</v>
      </c>
    </row>
    <row r="646" spans="1:37" x14ac:dyDescent="0.25">
      <c r="A646" s="85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24.518518518518519</v>
      </c>
      <c r="AI646" s="86">
        <f>AVERAGEIFS($I$2:I646, $B$2:B646, B646)</f>
        <v>0.44814814814814813</v>
      </c>
      <c r="AJ646" s="86">
        <f>AVERAGEIFS($J$2:J646, $B$2:B646, B646)</f>
        <v>0.50259259259259259</v>
      </c>
      <c r="AK646" s="86">
        <f>AVERAGEIFS($D$2:D646, $B$2:B646, B646)</f>
        <v>0.37037037037037035</v>
      </c>
    </row>
    <row r="647" spans="1:37" x14ac:dyDescent="0.25">
      <c r="A647" s="85">
        <v>46173</v>
      </c>
      <c r="B647" t="s">
        <v>27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12.6</v>
      </c>
      <c r="AI647" s="86">
        <f>AVERAGEIFS($I$2:I647, $B$2:B647, B647)</f>
        <v>0.65999999999999992</v>
      </c>
      <c r="AJ647" s="86">
        <f>AVERAGEIFS($J$2:J647, $B$2:B647, B647)</f>
        <v>0.56600000000000006</v>
      </c>
      <c r="AK647" s="86">
        <f>AVERAGEIFS($D$2:D647, $B$2:B647, B647)</f>
        <v>0.6</v>
      </c>
    </row>
    <row r="648" spans="1:37" x14ac:dyDescent="0.25">
      <c r="A648" s="85">
        <v>46173</v>
      </c>
      <c r="B648" t="s">
        <v>150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20.785714285714285</v>
      </c>
      <c r="AI648" s="86">
        <f>AVERAGEIFS($I$2:I648, $B$2:B648, B648)</f>
        <v>0.57857142857142851</v>
      </c>
      <c r="AJ648" s="86">
        <f>AVERAGEIFS($J$2:J648, $B$2:B648, B648)</f>
        <v>0.55392857142857144</v>
      </c>
      <c r="AK648" s="86">
        <f>AVERAGEIFS($D$2:D648, $B$2:B648, B648)</f>
        <v>0.6428571428571429</v>
      </c>
    </row>
    <row r="649" spans="1:37" x14ac:dyDescent="0.25">
      <c r="A649" s="85">
        <v>46173</v>
      </c>
      <c r="B649" t="s">
        <v>35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7</v>
      </c>
      <c r="AI649" s="86">
        <f>AVERAGEIFS($I$2:I649, $B$2:B649, B649)</f>
        <v>0.39</v>
      </c>
      <c r="AJ649" s="86">
        <f>AVERAGEIFS($J$2:J649, $B$2:B649, B649)</f>
        <v>0.46000000000000008</v>
      </c>
      <c r="AK649" s="86">
        <f>AVERAGEIFS($D$2:D649, $B$2:B649, B649)</f>
        <v>0.3</v>
      </c>
    </row>
    <row r="650" spans="1:37" x14ac:dyDescent="0.25">
      <c r="A650" s="85">
        <v>46173</v>
      </c>
      <c r="B650" t="s">
        <v>71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17.818181818181817</v>
      </c>
      <c r="AI650" s="86">
        <f>AVERAGEIFS($I$2:I650, $B$2:B650, B650)</f>
        <v>0.48863636363636365</v>
      </c>
      <c r="AJ650" s="86">
        <f>AVERAGEIFS($J$2:J650, $B$2:B650, B650)</f>
        <v>0.48499999999999999</v>
      </c>
      <c r="AK650" s="86">
        <f>AVERAGEIFS($D$2:D650, $B$2:B650, B650)</f>
        <v>0.5</v>
      </c>
    </row>
    <row r="651" spans="1:37" x14ac:dyDescent="0.25">
      <c r="A651" s="85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24.85</v>
      </c>
      <c r="AI651" s="86">
        <f>AVERAGEIFS($I$2:I651, $B$2:B651, B651)</f>
        <v>0.57999999999999996</v>
      </c>
      <c r="AJ651" s="86">
        <f>AVERAGEIFS($J$2:J651, $B$2:B651, B651)</f>
        <v>0.53075000000000017</v>
      </c>
      <c r="AK651" s="86">
        <f>AVERAGEIFS($D$2:D651, $B$2:B651, B651)</f>
        <v>0.625</v>
      </c>
    </row>
    <row r="652" spans="1:37" x14ac:dyDescent="0.25">
      <c r="A652" s="85">
        <v>46173</v>
      </c>
      <c r="B652" t="s">
        <v>137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9</v>
      </c>
      <c r="AI652" s="86">
        <f>AVERAGEIFS($I$2:I652, $B$2:B652, B652)</f>
        <v>0.41666666666666669</v>
      </c>
      <c r="AJ652" s="86">
        <f>AVERAGEIFS($J$2:J652, $B$2:B652, B652)</f>
        <v>0.45666666666666672</v>
      </c>
      <c r="AK652" s="86">
        <f>AVERAGEIFS($D$2:D652, $B$2:B652, B652)</f>
        <v>0.33333333333333331</v>
      </c>
    </row>
    <row r="653" spans="1:37" x14ac:dyDescent="0.25">
      <c r="A653" s="85">
        <v>46173</v>
      </c>
      <c r="B653" t="s">
        <v>147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17.482758620689655</v>
      </c>
      <c r="AI653" s="86">
        <f>AVERAGEIFS($I$2:I653, $B$2:B653, B653)</f>
        <v>0.54655172413793096</v>
      </c>
      <c r="AJ653" s="86">
        <f>AVERAGEIFS($J$2:J653, $B$2:B653, B653)</f>
        <v>0.52896551724137941</v>
      </c>
      <c r="AK653" s="86">
        <f>AVERAGEIFS($D$2:D653, $B$2:B653, B653)</f>
        <v>0.55172413793103448</v>
      </c>
    </row>
    <row r="654" spans="1:37" x14ac:dyDescent="0.25">
      <c r="A654" s="85">
        <v>46173</v>
      </c>
      <c r="B654" t="s">
        <v>37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19.833333333333332</v>
      </c>
      <c r="AI654" s="86">
        <f>AVERAGEIFS($I$2:I654, $B$2:B654, B654)</f>
        <v>0.70833333333333337</v>
      </c>
      <c r="AJ654" s="86">
        <f>AVERAGEIFS($J$2:J654, $B$2:B654, B654)</f>
        <v>0.56999999999999995</v>
      </c>
      <c r="AK654" s="86">
        <f>AVERAGEIFS($D$2:D654, $B$2:B654, B654)</f>
        <v>0.83333333333333337</v>
      </c>
    </row>
    <row r="655" spans="1:37" x14ac:dyDescent="0.25">
      <c r="A655" s="85">
        <v>46173</v>
      </c>
      <c r="B655" t="s">
        <v>148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8.1538461538461533</v>
      </c>
      <c r="AI655" s="86">
        <f>AVERAGEIFS($I$2:I655, $B$2:B655, B655)</f>
        <v>0.3807692307692308</v>
      </c>
      <c r="AJ655" s="86">
        <f>AVERAGEIFS($J$2:J655, $B$2:B655, B655)</f>
        <v>0.44230769230769224</v>
      </c>
      <c r="AK655" s="86">
        <f>AVERAGEIFS($D$2:D655, $B$2:B655, B655)</f>
        <v>0.38461538461538464</v>
      </c>
    </row>
    <row r="656" spans="1:37" x14ac:dyDescent="0.25">
      <c r="A656" s="85">
        <v>46173</v>
      </c>
      <c r="B656" t="s">
        <v>113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20.333333333333332</v>
      </c>
      <c r="AI656" s="86">
        <f>AVERAGEIFS($I$2:I656, $B$2:B656, B656)</f>
        <v>0.57499999999999996</v>
      </c>
      <c r="AJ656" s="86">
        <f>AVERAGEIFS($J$2:J656, $B$2:B656, B656)</f>
        <v>0.54200000000000004</v>
      </c>
      <c r="AK656" s="86">
        <f>AVERAGEIFS($D$2:D656, $B$2:B656, B656)</f>
        <v>0.6</v>
      </c>
    </row>
    <row r="657" spans="1:37" x14ac:dyDescent="0.25">
      <c r="A657" s="85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25.64</v>
      </c>
      <c r="AI657" s="86">
        <f>AVERAGEIFS($I$2:I657, $B$2:B657, B657)</f>
        <v>0.51600000000000001</v>
      </c>
      <c r="AJ657" s="86">
        <f>AVERAGEIFS($J$2:J657, $B$2:B657, B657)</f>
        <v>0.50519999999999998</v>
      </c>
      <c r="AK657" s="86">
        <f>AVERAGEIFS($D$2:D657, $B$2:B657, B657)</f>
        <v>0.56000000000000005</v>
      </c>
    </row>
    <row r="658" spans="1:37" x14ac:dyDescent="0.25">
      <c r="A658" s="85">
        <v>46173</v>
      </c>
      <c r="B658" t="s">
        <v>18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19.666666666666668</v>
      </c>
      <c r="AI658" s="86">
        <f>AVERAGEIFS($I$2:I658, $B$2:B658, B658)</f>
        <v>0.45833333333333331</v>
      </c>
      <c r="AJ658" s="86">
        <f>AVERAGEIFS($J$2:J658, $B$2:B658, B658)</f>
        <v>0.49166666666666664</v>
      </c>
      <c r="AK658" s="86">
        <f>AVERAGEIFS($D$2:D658, $B$2:B658, B658)</f>
        <v>0.33333333333333331</v>
      </c>
    </row>
    <row r="659" spans="1:37" x14ac:dyDescent="0.25">
      <c r="A659" s="85">
        <v>46173</v>
      </c>
      <c r="B659" t="s">
        <v>15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20.5</v>
      </c>
      <c r="AI659" s="86">
        <f>AVERAGEIFS($I$2:I659, $B$2:B659, B659)</f>
        <v>0.32500000000000001</v>
      </c>
      <c r="AJ659" s="86">
        <f>AVERAGEIFS($J$2:J659, $B$2:B659, B659)</f>
        <v>0.47</v>
      </c>
      <c r="AK659" s="86">
        <f>AVERAGEIFS($D$2:D659, $B$2:B659, B659)</f>
        <v>0</v>
      </c>
    </row>
    <row r="660" spans="1:37" x14ac:dyDescent="0.25">
      <c r="A660" s="85">
        <v>46173</v>
      </c>
      <c r="B660" t="s">
        <v>14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14</v>
      </c>
      <c r="AI660" s="86">
        <f>AVERAGEIFS($I$2:I660, $B$2:B660, B660)</f>
        <v>0.47000000000000003</v>
      </c>
      <c r="AJ660" s="86">
        <f>AVERAGEIFS($J$2:J660, $B$2:B660, B660)</f>
        <v>0.46500000000000002</v>
      </c>
      <c r="AK660" s="86">
        <f>AVERAGEIFS($D$2:D660, $B$2:B660, B660)</f>
        <v>0.5</v>
      </c>
    </row>
    <row r="661" spans="1:37" x14ac:dyDescent="0.25">
      <c r="A661" s="85">
        <v>46173</v>
      </c>
      <c r="B661" t="s">
        <v>13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18.307692307692307</v>
      </c>
      <c r="AI661" s="86">
        <f>AVERAGEIFS($I$2:I661, $B$2:B661, B661)</f>
        <v>0.46346153846153848</v>
      </c>
      <c r="AJ661" s="86">
        <f>AVERAGEIFS($J$2:J661, $B$2:B661, B661)</f>
        <v>0.4819230769230769</v>
      </c>
      <c r="AK661" s="86">
        <f>AVERAGEIFS($D$2:D661, $B$2:B661, B661)</f>
        <v>0.42307692307692307</v>
      </c>
    </row>
    <row r="662" spans="1:37" x14ac:dyDescent="0.25">
      <c r="A662" s="85">
        <v>46173</v>
      </c>
      <c r="B662" t="s">
        <v>113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20.193548387096776</v>
      </c>
      <c r="AI662" s="86">
        <f>AVERAGEIFS($I$2:I662, $B$2:B662, B662)</f>
        <v>0.56451612903225812</v>
      </c>
      <c r="AJ662" s="86">
        <f>AVERAGEIFS($J$2:J662, $B$2:B662, B662)</f>
        <v>0.53870967741935494</v>
      </c>
      <c r="AK662" s="86">
        <f>AVERAGEIFS($D$2:D662, $B$2:B662, B662)</f>
        <v>0.58064516129032262</v>
      </c>
    </row>
    <row r="663" spans="1:37" x14ac:dyDescent="0.25">
      <c r="A663" s="85">
        <v>46173</v>
      </c>
      <c r="B663" t="s">
        <v>40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86">
        <f>AVERAGEIFS($C$2:C663, $B$2:B663, B663)</f>
        <v>19.172413793103448</v>
      </c>
      <c r="AI663" s="86">
        <f>AVERAGEIFS($I$2:I663, $B$2:B663, B663)</f>
        <v>0.47241379310344833</v>
      </c>
      <c r="AJ663" s="86">
        <f>AVERAGEIFS($J$2:J663, $B$2:B663, B663)</f>
        <v>0.48413793103448272</v>
      </c>
      <c r="AK663" s="86">
        <f>AVERAGEIFS($D$2:D663, $B$2:B663, B663)</f>
        <v>0.44827586206896552</v>
      </c>
    </row>
    <row r="664" spans="1:37" x14ac:dyDescent="0.25">
      <c r="A664" s="85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86">
        <f>AVERAGEIFS($C$2:C664, $B$2:B664, B664)</f>
        <v>25.170731707317074</v>
      </c>
      <c r="AI664" s="86">
        <f>AVERAGEIFS($I$2:I664, $B$2:B664, B664)</f>
        <v>0.5841463414634146</v>
      </c>
      <c r="AJ664" s="86">
        <f>AVERAGEIFS($J$2:J664, $B$2:B664, B664)</f>
        <v>0.53146341463414648</v>
      </c>
      <c r="AK664" s="86">
        <f>AVERAGEIFS($D$2:D664, $B$2:B664, B664)</f>
        <v>0.63414634146341464</v>
      </c>
    </row>
    <row r="665" spans="1:37" x14ac:dyDescent="0.25">
      <c r="A665" s="85">
        <v>46173</v>
      </c>
      <c r="B665" t="s">
        <v>71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86">
        <f>AVERAGEIFS($C$2:C665, $B$2:B665, B665)</f>
        <v>18.173913043478262</v>
      </c>
      <c r="AI665" s="86">
        <f>AVERAGEIFS($I$2:I665, $B$2:B665, B665)</f>
        <v>0.5</v>
      </c>
      <c r="AJ665" s="86">
        <f>AVERAGEIFS($J$2:J665, $B$2:B665, B665)</f>
        <v>0.48826086956521741</v>
      </c>
      <c r="AK665" s="86">
        <f>AVERAGEIFS($D$2:D665, $B$2:B665, B665)</f>
        <v>0.52173913043478259</v>
      </c>
    </row>
    <row r="666" spans="1:37" x14ac:dyDescent="0.25">
      <c r="A666" s="85">
        <v>46173</v>
      </c>
      <c r="B666" t="s">
        <v>53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86">
        <f>AVERAGEIFS($C$2:C666, $B$2:B666, B666)</f>
        <v>15.176470588235293</v>
      </c>
      <c r="AI666" s="86">
        <f>AVERAGEIFS($I$2:I666, $B$2:B666, B666)</f>
        <v>0.44705882352941173</v>
      </c>
      <c r="AJ666" s="86">
        <f>AVERAGEIFS($J$2:J666, $B$2:B666, B666)</f>
        <v>0.47058823529411764</v>
      </c>
      <c r="AK666" s="86">
        <f>AVERAGEIFS($D$2:D666, $B$2:B666, B666)</f>
        <v>0.29411764705882354</v>
      </c>
    </row>
    <row r="667" spans="1:37" x14ac:dyDescent="0.25">
      <c r="A667" s="85">
        <v>46173</v>
      </c>
      <c r="B667" t="s">
        <v>25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86">
        <f>AVERAGEIFS($C$2:C667, $B$2:B667, B667)</f>
        <v>21</v>
      </c>
      <c r="AI667" s="86">
        <f>AVERAGEIFS($I$2:I667, $B$2:B667, B667)</f>
        <v>0.57499999999999996</v>
      </c>
      <c r="AJ667" s="86">
        <f>AVERAGEIFS($J$2:J667, $B$2:B667, B667)</f>
        <v>0.52</v>
      </c>
      <c r="AK667" s="86">
        <f>AVERAGEIFS($D$2:D667, $B$2:B667, B667)</f>
        <v>0.5</v>
      </c>
    </row>
    <row r="668" spans="1:37" x14ac:dyDescent="0.25">
      <c r="A668" s="85">
        <v>46173</v>
      </c>
      <c r="B668" t="s">
        <v>148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86">
        <f>AVERAGEIFS($C$2:C668, $B$2:B668, B668)</f>
        <v>8.7142857142857135</v>
      </c>
      <c r="AI668" s="86">
        <f>AVERAGEIFS($I$2:I668, $B$2:B668, B668)</f>
        <v>0.40714285714285714</v>
      </c>
      <c r="AJ668" s="86">
        <f>AVERAGEIFS($J$2:J668, $B$2:B668, B668)</f>
        <v>0.45071428571428562</v>
      </c>
      <c r="AK668" s="86">
        <f>AVERAGEIFS($D$2:D668, $B$2:B668, B668)</f>
        <v>0.42857142857142855</v>
      </c>
    </row>
    <row r="669" spans="1:37" x14ac:dyDescent="0.25">
      <c r="A669" s="85">
        <v>46175</v>
      </c>
      <c r="B669" t="s">
        <v>42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86">
        <f>AVERAGEIFS($C$2:C669, $B$2:B669, B669)</f>
        <v>17.28125</v>
      </c>
      <c r="AI669" s="86">
        <f>AVERAGEIFS($I$2:I669, $B$2:B669, B669)</f>
        <v>0.46875</v>
      </c>
      <c r="AJ669" s="86">
        <f>AVERAGEIFS($J$2:J669, $B$2:B669, B669)</f>
        <v>0.47312500000000007</v>
      </c>
      <c r="AK669" s="86">
        <f>AVERAGEIFS($D$2:D669, $B$2:B669, B669)</f>
        <v>0.4375</v>
      </c>
    </row>
    <row r="670" spans="1:37" x14ac:dyDescent="0.25">
      <c r="A670" s="85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86">
        <f>AVERAGEIFS($C$2:C670, $B$2:B670, B670)</f>
        <v>25.923076923076923</v>
      </c>
      <c r="AI670" s="86">
        <f>AVERAGEIFS($I$2:I670, $B$2:B670, B670)</f>
        <v>0.51153846153846161</v>
      </c>
      <c r="AJ670" s="86">
        <f>AVERAGEIFS($J$2:J670, $B$2:B670, B670)</f>
        <v>0.50576923076923075</v>
      </c>
      <c r="AK670" s="86">
        <f>AVERAGEIFS($D$2:D670, $B$2:B670, B670)</f>
        <v>0.53846153846153844</v>
      </c>
    </row>
    <row r="671" spans="1:37" x14ac:dyDescent="0.25">
      <c r="A671" s="85">
        <v>46175</v>
      </c>
      <c r="B671" t="s">
        <v>40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86">
        <f>AVERAGEIFS($C$2:C671, $B$2:B671, B671)</f>
        <v>19.8</v>
      </c>
      <c r="AI671" s="86">
        <f>AVERAGEIFS($I$2:I671, $B$2:B671, B671)</f>
        <v>0.47000000000000003</v>
      </c>
      <c r="AJ671" s="86">
        <f>AVERAGEIFS($J$2:J671, $B$2:B671, B671)</f>
        <v>0.48533333333333328</v>
      </c>
      <c r="AK671" s="86">
        <f>AVERAGEIFS($D$2:D671, $B$2:B671, B671)</f>
        <v>0.43333333333333335</v>
      </c>
    </row>
    <row r="672" spans="1:37" x14ac:dyDescent="0.25">
      <c r="A672" s="85">
        <v>46175</v>
      </c>
      <c r="B672" t="s">
        <v>54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86">
        <f>AVERAGEIFS($C$2:C672, $B$2:B672, B672)</f>
        <v>22.884615384615383</v>
      </c>
      <c r="AI672" s="86">
        <f>AVERAGEIFS($I$2:I672, $B$2:B672, B672)</f>
        <v>0.53653846153846163</v>
      </c>
      <c r="AJ672" s="86">
        <f>AVERAGEIFS($J$2:J672, $B$2:B672, B672)</f>
        <v>0.51692307692307682</v>
      </c>
      <c r="AK672" s="86">
        <f>AVERAGEIFS($D$2:D672, $B$2:B672, B672)</f>
        <v>0.53846153846153844</v>
      </c>
    </row>
    <row r="673" spans="1:37" x14ac:dyDescent="0.25">
      <c r="A673" s="85">
        <v>46175</v>
      </c>
      <c r="B673" t="s">
        <v>147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86">
        <f>AVERAGEIFS($C$2:C673, $B$2:B673, B673)</f>
        <v>17.266666666666666</v>
      </c>
      <c r="AI673" s="86">
        <f>AVERAGEIFS($I$2:I673, $B$2:B673, B673)</f>
        <v>0.54166666666666652</v>
      </c>
      <c r="AJ673" s="86">
        <f>AVERAGEIFS($J$2:J673, $B$2:B673, B673)</f>
        <v>0.52866666666666673</v>
      </c>
      <c r="AK673" s="86">
        <f>AVERAGEIFS($D$2:D673, $B$2:B673, B673)</f>
        <v>0.53333333333333333</v>
      </c>
    </row>
    <row r="674" spans="1:37" x14ac:dyDescent="0.25">
      <c r="A674" s="85">
        <v>46175</v>
      </c>
      <c r="B674" t="s">
        <v>50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86">
        <f>AVERAGEIFS($C$2:C674, $B$2:B674, B674)</f>
        <v>17.526315789473685</v>
      </c>
      <c r="AI674" s="86">
        <f>AVERAGEIFS($I$2:I674, $B$2:B674, B674)</f>
        <v>0.41578947368421054</v>
      </c>
      <c r="AJ674" s="86">
        <f>AVERAGEIFS($J$2:J674, $B$2:B674, B674)</f>
        <v>0.46473684210526306</v>
      </c>
      <c r="AK674" s="86">
        <f>AVERAGEIFS($D$2:D674, $B$2:B674, B674)</f>
        <v>0.36842105263157893</v>
      </c>
    </row>
    <row r="675" spans="1:37" x14ac:dyDescent="0.25">
      <c r="A675" s="85">
        <v>46175</v>
      </c>
      <c r="B675" t="s">
        <v>44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86">
        <f>AVERAGEIFS($C$2:C675, $B$2:B675, B675)</f>
        <v>16.827586206896552</v>
      </c>
      <c r="AI675" s="86">
        <f>AVERAGEIFS($I$2:I675, $B$2:B675, B675)</f>
        <v>0.53965517241379313</v>
      </c>
      <c r="AJ675" s="86">
        <f>AVERAGEIFS($J$2:J675, $B$2:B675, B675)</f>
        <v>0.52448275862068972</v>
      </c>
      <c r="AK675" s="86">
        <f>AVERAGEIFS($D$2:D675, $B$2:B675, B675)</f>
        <v>0.51724137931034486</v>
      </c>
    </row>
    <row r="676" spans="1:37" x14ac:dyDescent="0.25">
      <c r="A676" s="85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27.238095238095237</v>
      </c>
      <c r="AI676" s="86">
        <f>AVERAGEIFS($I$2:I676, $B$2:B676, B676)</f>
        <v>0.55952380952380953</v>
      </c>
      <c r="AJ676" s="86">
        <f>AVERAGEIFS($J$2:J676, $B$2:B676, B676)</f>
        <v>0.54142857142857137</v>
      </c>
      <c r="AK676" s="86">
        <f>AVERAGEIFS($D$2:D676, $B$2:B676, B676)</f>
        <v>0.5714285714285714</v>
      </c>
    </row>
    <row r="677" spans="1:37" x14ac:dyDescent="0.25">
      <c r="A677" s="85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24.5</v>
      </c>
      <c r="AI677" s="86">
        <f>AVERAGEIFS($I$2:I677, $B$2:B677, B677)</f>
        <v>0.45357142857142857</v>
      </c>
      <c r="AJ677" s="86">
        <f>AVERAGEIFS($J$2:J677, $B$2:B677, B677)</f>
        <v>0.50178571428571428</v>
      </c>
      <c r="AK677" s="86">
        <f>AVERAGEIFS($D$2:D677, $B$2:B677, B677)</f>
        <v>0.39285714285714285</v>
      </c>
    </row>
    <row r="678" spans="1:37" x14ac:dyDescent="0.25">
      <c r="A678" s="85">
        <v>46175</v>
      </c>
      <c r="B678" t="s">
        <v>150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21</v>
      </c>
      <c r="AI678" s="86">
        <f>AVERAGEIFS($I$2:I678, $B$2:B678, B678)</f>
        <v>0.57931034482758625</v>
      </c>
      <c r="AJ678" s="86">
        <f>AVERAGEIFS($J$2:J678, $B$2:B678, B678)</f>
        <v>0.55137931034482757</v>
      </c>
      <c r="AK678" s="86">
        <f>AVERAGEIFS($D$2:D678, $B$2:B678, B678)</f>
        <v>0.65517241379310343</v>
      </c>
    </row>
    <row r="679" spans="1:37" x14ac:dyDescent="0.25">
      <c r="A679" s="85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25.5</v>
      </c>
      <c r="AI679" s="86">
        <f>AVERAGEIFS($I$2:I679, $B$2:B679, B679)</f>
        <v>0.58452380952380956</v>
      </c>
      <c r="AJ679" s="86">
        <f>AVERAGEIFS($J$2:J679, $B$2:B679, B679)</f>
        <v>0.5302380952380954</v>
      </c>
      <c r="AK679" s="86">
        <f>AVERAGEIFS($D$2:D679, $B$2:B679, B679)</f>
        <v>0.6428571428571429</v>
      </c>
    </row>
    <row r="680" spans="1:37" x14ac:dyDescent="0.25">
      <c r="A680" s="85">
        <v>46175</v>
      </c>
      <c r="B680" t="s">
        <v>141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20.576923076923077</v>
      </c>
      <c r="AI680" s="86">
        <f>AVERAGEIFS($I$2:I680, $B$2:B680, B680)</f>
        <v>0.5115384615384615</v>
      </c>
      <c r="AJ680" s="86">
        <f>AVERAGEIFS($J$2:J680, $B$2:B680, B680)</f>
        <v>0.49961538461538474</v>
      </c>
      <c r="AK680" s="86">
        <f>AVERAGEIFS($D$2:D680, $B$2:B680, B680)</f>
        <v>0.65384615384615385</v>
      </c>
    </row>
    <row r="681" spans="1:37" x14ac:dyDescent="0.25">
      <c r="A681" s="85">
        <v>46175</v>
      </c>
      <c r="B681" t="s">
        <v>140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12.714285714285714</v>
      </c>
      <c r="AI681" s="86">
        <f>AVERAGEIFS($I$2:I681, $B$2:B681, B681)</f>
        <v>0.53928571428571437</v>
      </c>
      <c r="AJ681" s="86">
        <f>AVERAGEIFS($J$2:J681, $B$2:B681, B681)</f>
        <v>0.51214285714285712</v>
      </c>
      <c r="AK681" s="86">
        <f>AVERAGEIFS($D$2:D681, $B$2:B681, B681)</f>
        <v>0.5</v>
      </c>
    </row>
    <row r="682" spans="1:37" x14ac:dyDescent="0.25">
      <c r="A682" s="85">
        <v>46175</v>
      </c>
      <c r="B682" t="s">
        <v>161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11.222222222222221</v>
      </c>
      <c r="AI682" s="86">
        <f>AVERAGEIFS($I$2:I682, $B$2:B682, B682)</f>
        <v>0.49722222222222218</v>
      </c>
      <c r="AJ682" s="86">
        <f>AVERAGEIFS($J$2:J682, $B$2:B682, B682)</f>
        <v>0.48833333333333329</v>
      </c>
      <c r="AK682" s="86">
        <f>AVERAGEIFS($D$2:D682, $B$2:B682, B682)</f>
        <v>0.55555555555555558</v>
      </c>
    </row>
  </sheetData>
  <autoFilter ref="A1:AK339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K243"/>
  <sheetViews>
    <sheetView topLeftCell="K1" workbookViewId="0">
      <selection activeCell="AH13" sqref="AH13:AK2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  <col min="27" max="33" width="11.42578125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4" t="s">
        <v>136</v>
      </c>
    </row>
    <row r="2" spans="1:37" x14ac:dyDescent="0.25">
      <c r="A2" s="85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1</v>
      </c>
      <c r="AH2" s="86">
        <f>AVERAGEIFS($C$2:C2, $B$2:B2, B2)</f>
        <v>37</v>
      </c>
      <c r="AI2" s="86">
        <f>AVERAGEIFS($I$2:I2, $B$2:B2, B2)</f>
        <v>0.75</v>
      </c>
      <c r="AJ2" s="86">
        <f>AVERAGEIFS($J$2:J2, $B$2:B2, B2)</f>
        <v>0.63</v>
      </c>
      <c r="AK2" s="86">
        <f>AVERAGEIFS($D$2:D2, $B$2:B2, B2)</f>
        <v>1</v>
      </c>
    </row>
    <row r="3" spans="1:37" x14ac:dyDescent="0.25">
      <c r="A3" s="85">
        <v>46168</v>
      </c>
      <c r="B3" t="s">
        <v>179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 s="86">
        <f>AVERAGEIFS($C$2:C3, $B$2:B3, B3)</f>
        <v>30</v>
      </c>
      <c r="AI3" s="86">
        <f>AVERAGEIFS($I$2:I3, $B$2:B3, B3)</f>
        <v>0.75</v>
      </c>
      <c r="AJ3" s="86">
        <f>AVERAGEIFS($J$2:J3, $B$2:B3, B3)</f>
        <v>0.63</v>
      </c>
      <c r="AK3" s="86">
        <f>AVERAGEIFS($D$2:D3, $B$2:B3, B3)</f>
        <v>1</v>
      </c>
    </row>
    <row r="4" spans="1:37" x14ac:dyDescent="0.25">
      <c r="A4" s="85">
        <v>46168</v>
      </c>
      <c r="B4" t="s">
        <v>147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1</v>
      </c>
      <c r="AH4" s="86">
        <f>AVERAGEIFS($C$2:C4, $B$2:B4, B4)</f>
        <v>18</v>
      </c>
      <c r="AI4" s="86">
        <f>AVERAGEIFS($I$2:I4, $B$2:B4, B4)</f>
        <v>0.75</v>
      </c>
      <c r="AJ4" s="86">
        <f>AVERAGEIFS($J$2:J4, $B$2:B4, B4)</f>
        <v>0.63</v>
      </c>
      <c r="AK4" s="86">
        <f>AVERAGEIFS($D$2:D4, $B$2:B4, B4)</f>
        <v>1</v>
      </c>
    </row>
    <row r="5" spans="1:37" x14ac:dyDescent="0.25">
      <c r="A5" s="85">
        <v>46168</v>
      </c>
      <c r="B5" t="s">
        <v>37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1</v>
      </c>
      <c r="AH5" s="86">
        <f>AVERAGEIFS($C$2:C5, $B$2:B5, B5)</f>
        <v>17</v>
      </c>
      <c r="AI5" s="86">
        <f>AVERAGEIFS($I$2:I5, $B$2:B5, B5)</f>
        <v>0.75</v>
      </c>
      <c r="AJ5" s="86">
        <f>AVERAGEIFS($J$2:J5, $B$2:B5, B5)</f>
        <v>0.63</v>
      </c>
      <c r="AK5" s="86">
        <f>AVERAGEIFS($D$2:D5, $B$2:B5, B5)</f>
        <v>1</v>
      </c>
    </row>
    <row r="6" spans="1:37" x14ac:dyDescent="0.25">
      <c r="A6" s="85">
        <v>46168</v>
      </c>
      <c r="B6" t="s">
        <v>44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1</v>
      </c>
      <c r="AH6" s="86">
        <f>AVERAGEIFS($C$2:C6, $B$2:B6, B6)</f>
        <v>16</v>
      </c>
      <c r="AI6" s="86">
        <f>AVERAGEIFS($I$2:I6, $B$2:B6, B6)</f>
        <v>0.75</v>
      </c>
      <c r="AJ6" s="86">
        <f>AVERAGEIFS($J$2:J6, $B$2:B6, B6)</f>
        <v>0.63</v>
      </c>
      <c r="AK6" s="86">
        <f>AVERAGEIFS($D$2:D6, $B$2:B6, B6)</f>
        <v>1</v>
      </c>
    </row>
    <row r="7" spans="1:37" x14ac:dyDescent="0.25">
      <c r="A7" s="85">
        <v>46168</v>
      </c>
      <c r="B7" t="s">
        <v>214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1</v>
      </c>
      <c r="AF7">
        <v>0</v>
      </c>
      <c r="AG7">
        <v>1</v>
      </c>
      <c r="AH7" s="86">
        <f>AVERAGEIFS($C$2:C7, $B$2:B7, B7)</f>
        <v>3</v>
      </c>
      <c r="AI7" s="86">
        <f>AVERAGEIFS($I$2:I7, $B$2:B7, B7)</f>
        <v>0.75</v>
      </c>
      <c r="AJ7" s="86">
        <f>AVERAGEIFS($J$2:J7, $B$2:B7, B7)</f>
        <v>0.63</v>
      </c>
      <c r="AK7" s="86">
        <f>AVERAGEIFS($D$2:D7, $B$2:B7, B7)</f>
        <v>1</v>
      </c>
    </row>
    <row r="8" spans="1:37" x14ac:dyDescent="0.25">
      <c r="A8" s="85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38</v>
      </c>
      <c r="AI8" s="86">
        <f>AVERAGEIFS($I$2:I8, $B$2:B8, B8)</f>
        <v>0.25</v>
      </c>
      <c r="AJ8" s="86">
        <f>AVERAGEIFS($J$2:J8, $B$2:B8, B8)</f>
        <v>0.38</v>
      </c>
      <c r="AK8" s="86">
        <f>AVERAGEIFS($D$2:D8, $B$2:B8, B8)</f>
        <v>0</v>
      </c>
    </row>
    <row r="9" spans="1:37" x14ac:dyDescent="0.25">
      <c r="A9" s="85">
        <v>46168</v>
      </c>
      <c r="B9" t="s">
        <v>42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0.25</v>
      </c>
      <c r="AJ9" s="86">
        <f>AVERAGEIFS($J$2:J9, $B$2:B9, B9)</f>
        <v>0.38</v>
      </c>
      <c r="AK9" s="86">
        <f>AVERAGEIFS($D$2:D9, $B$2:B9, B9)</f>
        <v>0</v>
      </c>
    </row>
    <row r="10" spans="1:37" x14ac:dyDescent="0.25">
      <c r="A10" s="85">
        <v>46168</v>
      </c>
      <c r="B10" t="s">
        <v>28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14</v>
      </c>
      <c r="AI10" s="86">
        <f>AVERAGEIFS($I$2:I10, $B$2:B10, B10)</f>
        <v>0.25</v>
      </c>
      <c r="AJ10" s="86">
        <f>AVERAGEIFS($J$2:J10, $B$2:B10, B10)</f>
        <v>0.38</v>
      </c>
      <c r="AK10" s="86">
        <f>AVERAGEIFS($D$2:D10, $B$2:B10, B10)</f>
        <v>0</v>
      </c>
    </row>
    <row r="11" spans="1:37" x14ac:dyDescent="0.25">
      <c r="A11" s="85">
        <v>46168</v>
      </c>
      <c r="B11" t="s">
        <v>146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13</v>
      </c>
      <c r="AI11" s="86">
        <f>AVERAGEIFS($I$2:I11, $B$2:B11, B11)</f>
        <v>0.25</v>
      </c>
      <c r="AJ11" s="86">
        <f>AVERAGEIFS($J$2:J11, $B$2:B11, B11)</f>
        <v>0.38</v>
      </c>
      <c r="AK11" s="86">
        <f>AVERAGEIFS($D$2:D11, $B$2:B11, B11)</f>
        <v>0</v>
      </c>
    </row>
    <row r="12" spans="1:37" x14ac:dyDescent="0.25">
      <c r="A12" s="85">
        <v>46168</v>
      </c>
      <c r="B12" t="s">
        <v>70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13</v>
      </c>
      <c r="AI12" s="86">
        <f>AVERAGEIFS($I$2:I12, $B$2:B12, B12)</f>
        <v>0.25</v>
      </c>
      <c r="AJ12" s="86">
        <f>AVERAGEIFS($J$2:J12, $B$2:B12, B12)</f>
        <v>0.38</v>
      </c>
      <c r="AK12" s="86">
        <f>AVERAGEIFS($D$2:D12, $B$2:B12, B12)</f>
        <v>0</v>
      </c>
    </row>
    <row r="13" spans="1:37" x14ac:dyDescent="0.25">
      <c r="A13" s="85">
        <v>46168</v>
      </c>
      <c r="B13" t="s">
        <v>107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12</v>
      </c>
      <c r="AI13" s="86">
        <f>AVERAGEIFS($I$2:I13, $B$2:B13, B13)</f>
        <v>0.25</v>
      </c>
      <c r="AJ13" s="86">
        <f>AVERAGEIFS($J$2:J13, $B$2:B13, B13)</f>
        <v>0.38</v>
      </c>
      <c r="AK13" s="86">
        <f>AVERAGEIFS($D$2:D13, $B$2:B13, B13)</f>
        <v>0</v>
      </c>
    </row>
    <row r="14" spans="1:37" x14ac:dyDescent="0.25">
      <c r="A14" s="85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33</v>
      </c>
      <c r="AI14" s="86">
        <f>AVERAGEIFS($I$2:I14, $B$2:B14, B14)</f>
        <v>0.25</v>
      </c>
      <c r="AJ14" s="86">
        <f>AVERAGEIFS($J$2:J14, $B$2:B14, B14)</f>
        <v>0.44</v>
      </c>
      <c r="AK14" s="86">
        <f>AVERAGEIFS($D$2:D14, $B$2:B14, B14)</f>
        <v>0</v>
      </c>
    </row>
    <row r="15" spans="1:37" x14ac:dyDescent="0.25">
      <c r="A15" s="85">
        <v>46173</v>
      </c>
      <c r="B15" t="s">
        <v>18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22</v>
      </c>
      <c r="AI15" s="86">
        <f>AVERAGEIFS($I$2:I15, $B$2:B15, B15)</f>
        <v>0.25</v>
      </c>
      <c r="AJ15" s="86">
        <f>AVERAGEIFS($J$2:J15, $B$2:B15, B15)</f>
        <v>0.44</v>
      </c>
      <c r="AK15" s="86">
        <f>AVERAGEIFS($D$2:D15, $B$2:B15, B15)</f>
        <v>0</v>
      </c>
    </row>
    <row r="16" spans="1:37" x14ac:dyDescent="0.25">
      <c r="A16" s="85">
        <v>46173</v>
      </c>
      <c r="B16" t="s">
        <v>15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18</v>
      </c>
      <c r="AI16" s="86">
        <f>AVERAGEIFS($I$2:I16, $B$2:B16, B16)</f>
        <v>0.25</v>
      </c>
      <c r="AJ16" s="86">
        <f>AVERAGEIFS($J$2:J16, $B$2:B16, B16)</f>
        <v>0.44</v>
      </c>
      <c r="AK16" s="86">
        <f>AVERAGEIFS($D$2:D16, $B$2:B16, B16)</f>
        <v>0</v>
      </c>
    </row>
    <row r="17" spans="1:37" x14ac:dyDescent="0.25">
      <c r="A17" s="85">
        <v>46173</v>
      </c>
      <c r="B17" t="s">
        <v>14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22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46173</v>
      </c>
      <c r="B18" t="s">
        <v>13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28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46173</v>
      </c>
      <c r="B19" t="s">
        <v>113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16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46173</v>
      </c>
      <c r="B20" t="s">
        <v>40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1</v>
      </c>
      <c r="AH20" s="86">
        <f>AVERAGEIFS($C$2:C20, $B$2:B20, B20)</f>
        <v>32</v>
      </c>
      <c r="AI20" s="86">
        <f>AVERAGEIFS($I$2:I20, $B$2:B20, B20)</f>
        <v>0.75</v>
      </c>
      <c r="AJ20" s="86">
        <f>AVERAGEIFS($J$2:J20, $B$2:B20, B20)</f>
        <v>0.56000000000000005</v>
      </c>
      <c r="AK20" s="86">
        <f>AVERAGEIFS($D$2:D20, $B$2:B20, B20)</f>
        <v>1</v>
      </c>
    </row>
    <row r="21" spans="1:37" x14ac:dyDescent="0.25">
      <c r="A21" s="85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</v>
      </c>
      <c r="AH21" s="86">
        <f>AVERAGEIFS($C$2:C21, $B$2:B21, B21)</f>
        <v>38</v>
      </c>
      <c r="AI21" s="86">
        <f>AVERAGEIFS($I$2:I21, $B$2:B21, B21)</f>
        <v>0.75</v>
      </c>
      <c r="AJ21" s="86">
        <f>AVERAGEIFS($J$2:J21, $B$2:B21, B21)</f>
        <v>0.56000000000000005</v>
      </c>
      <c r="AK21" s="86">
        <f>AVERAGEIFS($D$2:D21, $B$2:B21, B21)</f>
        <v>1</v>
      </c>
    </row>
    <row r="22" spans="1:37" x14ac:dyDescent="0.25">
      <c r="A22" s="85">
        <v>46173</v>
      </c>
      <c r="B22" t="s">
        <v>71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  <c r="AH22" s="86">
        <f>AVERAGEIFS($C$2:C22, $B$2:B22, B22)</f>
        <v>26</v>
      </c>
      <c r="AI22" s="86">
        <f>AVERAGEIFS($I$2:I22, $B$2:B22, B22)</f>
        <v>0.75</v>
      </c>
      <c r="AJ22" s="86">
        <f>AVERAGEIFS($J$2:J22, $B$2:B22, B22)</f>
        <v>0.56000000000000005</v>
      </c>
      <c r="AK22" s="86">
        <f>AVERAGEIFS($D$2:D22, $B$2:B22, B22)</f>
        <v>1</v>
      </c>
    </row>
    <row r="23" spans="1:37" x14ac:dyDescent="0.25">
      <c r="A23" s="85">
        <v>46173</v>
      </c>
      <c r="B23" t="s">
        <v>53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</v>
      </c>
      <c r="AH23" s="86">
        <f>AVERAGEIFS($C$2:C23, $B$2:B23, B23)</f>
        <v>27</v>
      </c>
      <c r="AI23" s="86">
        <f>AVERAGEIFS($I$2:I23, $B$2:B23, B23)</f>
        <v>0.75</v>
      </c>
      <c r="AJ23" s="86">
        <f>AVERAGEIFS($J$2:J23, $B$2:B23, B23)</f>
        <v>0.56000000000000005</v>
      </c>
      <c r="AK23" s="86">
        <f>AVERAGEIFS($D$2:D23, $B$2:B23, B23)</f>
        <v>1</v>
      </c>
    </row>
    <row r="24" spans="1:37" x14ac:dyDescent="0.25">
      <c r="A24" s="85">
        <v>46173</v>
      </c>
      <c r="B24" t="s">
        <v>25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</v>
      </c>
      <c r="AH24" s="86">
        <f>AVERAGEIFS($C$2:C24, $B$2:B24, B24)</f>
        <v>13</v>
      </c>
      <c r="AI24" s="86">
        <f>AVERAGEIFS($I$2:I24, $B$2:B24, B24)</f>
        <v>0.75</v>
      </c>
      <c r="AJ24" s="86">
        <f>AVERAGEIFS($J$2:J24, $B$2:B24, B24)</f>
        <v>0.56000000000000005</v>
      </c>
      <c r="AK24" s="86">
        <f>AVERAGEIFS($D$2:D24, $B$2:B24, B24)</f>
        <v>1</v>
      </c>
    </row>
    <row r="25" spans="1:37" x14ac:dyDescent="0.25">
      <c r="A25" s="85">
        <v>46173</v>
      </c>
      <c r="B25" t="s">
        <v>148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</v>
      </c>
      <c r="AH25" s="86">
        <f>AVERAGEIFS($C$2:C25, $B$2:B25, B25)</f>
        <v>16</v>
      </c>
      <c r="AI25" s="86">
        <f>AVERAGEIFS($I$2:I25, $B$2:B25, B25)</f>
        <v>0.75</v>
      </c>
      <c r="AJ25" s="86">
        <f>AVERAGEIFS($J$2:J25, $B$2:B25, B25)</f>
        <v>0.56000000000000005</v>
      </c>
      <c r="AK25" s="86">
        <f>AVERAGEIFS($D$2:D25, $B$2:B25, B25)</f>
        <v>1</v>
      </c>
    </row>
    <row r="26" spans="1:37" x14ac:dyDescent="0.25">
      <c r="A26" s="85"/>
      <c r="D26" s="86"/>
      <c r="AH26" s="86"/>
      <c r="AI26" s="86"/>
      <c r="AJ26" s="86"/>
      <c r="AK26" s="86"/>
    </row>
    <row r="27" spans="1:37" x14ac:dyDescent="0.25">
      <c r="A27" s="85"/>
      <c r="D27" s="86"/>
      <c r="AH27" s="86"/>
      <c r="AI27" s="86"/>
      <c r="AJ27" s="86"/>
      <c r="AK27" s="86"/>
    </row>
    <row r="28" spans="1:37" x14ac:dyDescent="0.25">
      <c r="A28" s="85"/>
      <c r="D28" s="86"/>
      <c r="AH28" s="86"/>
      <c r="AI28" s="86"/>
      <c r="AJ28" s="86"/>
      <c r="AK28" s="86"/>
    </row>
    <row r="29" spans="1:37" x14ac:dyDescent="0.25">
      <c r="A29" s="85"/>
      <c r="D29" s="86"/>
      <c r="AH29" s="86"/>
      <c r="AI29" s="86"/>
      <c r="AJ29" s="86"/>
      <c r="AK29" s="86"/>
    </row>
    <row r="30" spans="1:37" x14ac:dyDescent="0.25">
      <c r="A30" s="85"/>
      <c r="D30" s="86"/>
      <c r="AH30" s="86"/>
      <c r="AI30" s="86"/>
      <c r="AJ30" s="86"/>
      <c r="AK30" s="86"/>
    </row>
    <row r="31" spans="1:37" x14ac:dyDescent="0.25">
      <c r="A31" s="85"/>
      <c r="D31" s="86"/>
      <c r="AH31" s="86"/>
      <c r="AI31" s="86"/>
      <c r="AJ31" s="86"/>
      <c r="AK31" s="86"/>
    </row>
    <row r="32" spans="1:37" x14ac:dyDescent="0.25">
      <c r="A32" s="85"/>
      <c r="D32" s="86"/>
      <c r="AH32" s="86"/>
      <c r="AI32" s="86"/>
      <c r="AJ32" s="86"/>
      <c r="AK32" s="86"/>
    </row>
    <row r="33" spans="1:37" x14ac:dyDescent="0.25">
      <c r="A33" s="85"/>
      <c r="D33" s="86"/>
      <c r="AH33" s="86"/>
      <c r="AI33" s="86"/>
      <c r="AJ33" s="86"/>
      <c r="AK33" s="86"/>
    </row>
    <row r="34" spans="1:37" x14ac:dyDescent="0.25">
      <c r="A34" s="85"/>
      <c r="D34" s="86"/>
      <c r="AH34" s="86"/>
      <c r="AI34" s="86"/>
      <c r="AJ34" s="86"/>
      <c r="AK34" s="86"/>
    </row>
    <row r="35" spans="1:37" x14ac:dyDescent="0.25">
      <c r="A35" s="85"/>
      <c r="D35" s="86"/>
      <c r="AH35" s="86"/>
      <c r="AI35" s="86"/>
      <c r="AJ35" s="86"/>
      <c r="AK35" s="86"/>
    </row>
    <row r="36" spans="1:37" x14ac:dyDescent="0.25">
      <c r="A36" s="85"/>
      <c r="D36" s="86"/>
      <c r="AH36" s="86"/>
      <c r="AI36" s="86"/>
      <c r="AJ36" s="86"/>
      <c r="AK36" s="86"/>
    </row>
    <row r="37" spans="1:37" x14ac:dyDescent="0.25">
      <c r="A37" s="85"/>
      <c r="D37" s="86"/>
      <c r="AH37" s="86"/>
      <c r="AI37" s="86"/>
      <c r="AJ37" s="86"/>
      <c r="AK37" s="86"/>
    </row>
    <row r="38" spans="1:37" x14ac:dyDescent="0.25">
      <c r="A38" s="85"/>
      <c r="D38" s="86"/>
      <c r="AH38" s="86"/>
      <c r="AI38" s="86"/>
      <c r="AJ38" s="86"/>
      <c r="AK38" s="86"/>
    </row>
    <row r="39" spans="1:37" x14ac:dyDescent="0.25">
      <c r="A39" s="85"/>
      <c r="D39" s="86"/>
      <c r="AH39" s="86"/>
      <c r="AI39" s="86"/>
      <c r="AJ39" s="86"/>
      <c r="AK39" s="86"/>
    </row>
    <row r="40" spans="1:37" x14ac:dyDescent="0.25">
      <c r="A40" s="85"/>
      <c r="D40" s="86"/>
      <c r="AH40" s="86"/>
      <c r="AI40" s="86"/>
      <c r="AJ40" s="86"/>
      <c r="AK40" s="86"/>
    </row>
    <row r="41" spans="1:37" x14ac:dyDescent="0.25">
      <c r="A41" s="85"/>
      <c r="D41" s="86"/>
      <c r="AH41" s="86"/>
      <c r="AI41" s="86"/>
      <c r="AJ41" s="86"/>
      <c r="AK41" s="86"/>
    </row>
    <row r="42" spans="1:37" x14ac:dyDescent="0.25">
      <c r="A42" s="85"/>
      <c r="D42" s="86"/>
      <c r="AH42" s="86"/>
      <c r="AI42" s="86"/>
      <c r="AJ42" s="86"/>
      <c r="AK42" s="86"/>
    </row>
    <row r="43" spans="1:37" x14ac:dyDescent="0.25">
      <c r="A43" s="85"/>
      <c r="D43" s="86"/>
      <c r="AH43" s="86"/>
      <c r="AI43" s="86"/>
      <c r="AJ43" s="86"/>
      <c r="AK43" s="86"/>
    </row>
    <row r="44" spans="1:37" x14ac:dyDescent="0.25">
      <c r="A44" s="85"/>
      <c r="D44" s="86"/>
      <c r="AH44" s="86"/>
      <c r="AI44" s="86"/>
      <c r="AJ44" s="86"/>
      <c r="AK44" s="86"/>
    </row>
    <row r="45" spans="1:37" x14ac:dyDescent="0.25">
      <c r="A45" s="85"/>
      <c r="D45" s="86"/>
      <c r="AH45" s="86"/>
      <c r="AI45" s="86"/>
      <c r="AJ45" s="86"/>
      <c r="AK45" s="86"/>
    </row>
    <row r="46" spans="1:37" x14ac:dyDescent="0.25">
      <c r="A46" s="85"/>
      <c r="D46" s="86"/>
      <c r="AH46" s="86"/>
      <c r="AI46" s="86"/>
      <c r="AJ46" s="86"/>
      <c r="AK46" s="86"/>
    </row>
    <row r="47" spans="1:37" x14ac:dyDescent="0.25">
      <c r="A47" s="85"/>
      <c r="D47" s="86"/>
      <c r="AH47" s="86"/>
      <c r="AI47" s="86"/>
      <c r="AJ47" s="86"/>
      <c r="AK47" s="86"/>
    </row>
    <row r="48" spans="1:37" x14ac:dyDescent="0.25">
      <c r="A48" s="85"/>
      <c r="D48" s="86"/>
      <c r="AH48" s="86"/>
      <c r="AI48" s="86"/>
      <c r="AJ48" s="86"/>
      <c r="AK48" s="86"/>
    </row>
    <row r="49" spans="1:37" x14ac:dyDescent="0.25">
      <c r="A49" s="85"/>
      <c r="D49" s="86"/>
      <c r="AH49" s="86"/>
      <c r="AI49" s="86"/>
      <c r="AJ49" s="86"/>
      <c r="AK49" s="86"/>
    </row>
    <row r="50" spans="1:37" x14ac:dyDescent="0.25">
      <c r="A50" s="85"/>
      <c r="D50" s="86"/>
      <c r="AH50" s="86"/>
      <c r="AI50" s="86"/>
      <c r="AJ50" s="86"/>
      <c r="AK50" s="86"/>
    </row>
    <row r="51" spans="1:37" x14ac:dyDescent="0.25">
      <c r="A51" s="85"/>
      <c r="D51" s="86"/>
      <c r="AH51" s="86"/>
      <c r="AI51" s="86"/>
      <c r="AJ51" s="86"/>
      <c r="AK51" s="86"/>
    </row>
    <row r="52" spans="1:37" x14ac:dyDescent="0.25">
      <c r="A52" s="85"/>
      <c r="D52" s="86"/>
      <c r="AH52" s="86"/>
      <c r="AI52" s="86"/>
      <c r="AJ52" s="86"/>
      <c r="AK52" s="86"/>
    </row>
    <row r="53" spans="1:37" x14ac:dyDescent="0.25">
      <c r="A53" s="85"/>
      <c r="D53" s="86"/>
      <c r="AH53" s="86"/>
      <c r="AI53" s="86"/>
      <c r="AJ53" s="86"/>
      <c r="AK53" s="86"/>
    </row>
    <row r="54" spans="1:37" x14ac:dyDescent="0.25">
      <c r="A54" s="85"/>
      <c r="D54" s="86"/>
      <c r="AH54" s="86"/>
      <c r="AI54" s="86"/>
      <c r="AJ54" s="86"/>
      <c r="AK54" s="86"/>
    </row>
    <row r="55" spans="1:37" x14ac:dyDescent="0.25">
      <c r="A55" s="85"/>
      <c r="D55" s="86"/>
      <c r="AH55" s="86"/>
      <c r="AI55" s="86"/>
      <c r="AJ55" s="86"/>
      <c r="AK55" s="86"/>
    </row>
    <row r="56" spans="1:37" x14ac:dyDescent="0.25">
      <c r="A56" s="85"/>
      <c r="D56" s="86"/>
      <c r="AH56" s="86"/>
      <c r="AI56" s="86"/>
      <c r="AJ56" s="86"/>
      <c r="AK56" s="86"/>
    </row>
    <row r="57" spans="1:37" x14ac:dyDescent="0.25">
      <c r="A57" s="85"/>
      <c r="D57" s="86"/>
      <c r="AH57" s="86"/>
      <c r="AI57" s="86"/>
      <c r="AJ57" s="86"/>
      <c r="AK57" s="86"/>
    </row>
    <row r="58" spans="1:37" x14ac:dyDescent="0.25">
      <c r="A58" s="85"/>
      <c r="D58" s="86"/>
      <c r="AH58" s="86"/>
      <c r="AI58" s="86"/>
      <c r="AJ58" s="86"/>
      <c r="AK58" s="86"/>
    </row>
    <row r="59" spans="1:37" x14ac:dyDescent="0.25">
      <c r="A59" s="85"/>
      <c r="D59" s="86"/>
      <c r="AH59" s="86"/>
      <c r="AI59" s="86"/>
      <c r="AJ59" s="86"/>
      <c r="AK59" s="86"/>
    </row>
    <row r="60" spans="1:37" x14ac:dyDescent="0.25">
      <c r="A60" s="85"/>
      <c r="D60" s="86"/>
      <c r="AH60" s="86"/>
      <c r="AI60" s="86"/>
      <c r="AJ60" s="86"/>
      <c r="AK60" s="86"/>
    </row>
    <row r="61" spans="1:37" x14ac:dyDescent="0.25">
      <c r="A61" s="85"/>
      <c r="D61" s="86"/>
      <c r="AH61" s="86"/>
      <c r="AI61" s="86"/>
      <c r="AJ61" s="86"/>
      <c r="AK61" s="86"/>
    </row>
    <row r="62" spans="1:37" x14ac:dyDescent="0.25">
      <c r="A62" s="85"/>
      <c r="D62" s="86"/>
      <c r="AH62" s="86"/>
      <c r="AI62" s="86"/>
      <c r="AJ62" s="86"/>
      <c r="AK62" s="86"/>
    </row>
    <row r="63" spans="1:37" x14ac:dyDescent="0.25">
      <c r="A63" s="85"/>
      <c r="D63" s="86"/>
      <c r="AH63" s="86"/>
      <c r="AI63" s="86"/>
      <c r="AJ63" s="86"/>
      <c r="AK63" s="86"/>
    </row>
    <row r="64" spans="1:37" x14ac:dyDescent="0.25">
      <c r="A64" s="85"/>
      <c r="D64" s="86"/>
      <c r="AH64" s="86"/>
      <c r="AI64" s="86"/>
      <c r="AJ64" s="86"/>
      <c r="AK64" s="86"/>
    </row>
    <row r="65" spans="1:37" x14ac:dyDescent="0.25">
      <c r="A65" s="85"/>
      <c r="D65" s="86"/>
      <c r="AH65" s="86"/>
      <c r="AI65" s="86"/>
      <c r="AJ65" s="86"/>
      <c r="AK65" s="86"/>
    </row>
    <row r="66" spans="1:37" x14ac:dyDescent="0.25">
      <c r="A66" s="85"/>
      <c r="D66" s="86"/>
      <c r="AH66" s="86"/>
      <c r="AI66" s="86"/>
      <c r="AJ66" s="86"/>
      <c r="AK66" s="86"/>
    </row>
    <row r="67" spans="1:37" x14ac:dyDescent="0.25">
      <c r="A67" s="85"/>
      <c r="D67" s="86"/>
      <c r="AH67" s="86"/>
      <c r="AI67" s="86"/>
      <c r="AJ67" s="86"/>
      <c r="AK67" s="86"/>
    </row>
    <row r="68" spans="1:37" x14ac:dyDescent="0.25">
      <c r="A68" s="85"/>
      <c r="D68" s="86"/>
      <c r="AH68" s="86"/>
      <c r="AI68" s="86"/>
      <c r="AJ68" s="86"/>
      <c r="AK68" s="86"/>
    </row>
    <row r="69" spans="1:37" x14ac:dyDescent="0.25">
      <c r="A69" s="85"/>
      <c r="D69" s="86"/>
      <c r="AH69" s="86"/>
      <c r="AI69" s="86"/>
      <c r="AJ69" s="86"/>
      <c r="AK69" s="86"/>
    </row>
    <row r="70" spans="1:37" x14ac:dyDescent="0.25">
      <c r="A70" s="85"/>
      <c r="D70" s="86"/>
      <c r="AH70" s="86"/>
      <c r="AI70" s="86"/>
      <c r="AJ70" s="86"/>
      <c r="AK70" s="86"/>
    </row>
    <row r="71" spans="1:37" x14ac:dyDescent="0.25">
      <c r="A71" s="85"/>
      <c r="D71" s="86"/>
      <c r="AH71" s="86"/>
      <c r="AI71" s="86"/>
      <c r="AJ71" s="86"/>
      <c r="AK71" s="86"/>
    </row>
    <row r="72" spans="1:37" x14ac:dyDescent="0.25">
      <c r="A72" s="85"/>
      <c r="D72" s="86"/>
      <c r="AH72" s="86"/>
      <c r="AI72" s="86"/>
      <c r="AJ72" s="86"/>
      <c r="AK72" s="86"/>
    </row>
    <row r="73" spans="1:37" x14ac:dyDescent="0.25">
      <c r="A73" s="85"/>
      <c r="D73" s="86"/>
      <c r="AH73" s="86"/>
      <c r="AI73" s="86"/>
      <c r="AJ73" s="86"/>
      <c r="AK73" s="86"/>
    </row>
    <row r="74" spans="1:37" x14ac:dyDescent="0.25">
      <c r="A74" s="85"/>
      <c r="D74" s="86"/>
      <c r="AH74" s="86"/>
      <c r="AI74" s="86"/>
      <c r="AJ74" s="86"/>
      <c r="AK74" s="86"/>
    </row>
    <row r="75" spans="1:37" x14ac:dyDescent="0.25">
      <c r="A75" s="85"/>
      <c r="D75" s="86"/>
      <c r="AH75" s="86"/>
      <c r="AI75" s="86"/>
      <c r="AJ75" s="86"/>
      <c r="AK75" s="86"/>
    </row>
    <row r="76" spans="1:37" x14ac:dyDescent="0.25">
      <c r="A76" s="85"/>
      <c r="D76" s="86"/>
      <c r="AH76" s="86"/>
      <c r="AI76" s="86"/>
      <c r="AJ76" s="86"/>
      <c r="AK76" s="86"/>
    </row>
    <row r="77" spans="1:37" x14ac:dyDescent="0.25">
      <c r="A77" s="85"/>
      <c r="D77" s="86"/>
      <c r="AH77" s="86"/>
      <c r="AI77" s="86"/>
      <c r="AJ77" s="86"/>
      <c r="AK77" s="86"/>
    </row>
    <row r="78" spans="1:37" x14ac:dyDescent="0.25">
      <c r="A78" s="85"/>
      <c r="D78" s="86"/>
      <c r="AH78" s="86"/>
      <c r="AI78" s="86"/>
      <c r="AJ78" s="86"/>
      <c r="AK78" s="86"/>
    </row>
    <row r="79" spans="1:37" x14ac:dyDescent="0.25">
      <c r="A79" s="85"/>
      <c r="D79" s="86"/>
      <c r="AH79" s="86"/>
      <c r="AI79" s="86"/>
      <c r="AJ79" s="86"/>
      <c r="AK79" s="86"/>
    </row>
    <row r="80" spans="1:37" x14ac:dyDescent="0.25">
      <c r="A80" s="85"/>
      <c r="D80" s="86"/>
      <c r="AH80" s="86"/>
      <c r="AI80" s="86"/>
      <c r="AJ80" s="86"/>
      <c r="AK80" s="86"/>
    </row>
    <row r="81" spans="1:37" x14ac:dyDescent="0.25">
      <c r="A81" s="85"/>
      <c r="D81" s="86"/>
      <c r="AH81" s="86"/>
      <c r="AI81" s="86"/>
      <c r="AJ81" s="86"/>
      <c r="AK81" s="86"/>
    </row>
    <row r="82" spans="1:37" x14ac:dyDescent="0.25">
      <c r="A82" s="85"/>
      <c r="D82" s="86"/>
      <c r="AH82" s="86"/>
      <c r="AI82" s="86"/>
      <c r="AJ82" s="86"/>
      <c r="AK82" s="86"/>
    </row>
    <row r="83" spans="1:37" x14ac:dyDescent="0.25">
      <c r="A83" s="85"/>
      <c r="D83" s="86"/>
      <c r="AH83" s="86"/>
      <c r="AI83" s="86"/>
      <c r="AJ83" s="86"/>
      <c r="AK83" s="86"/>
    </row>
    <row r="84" spans="1:37" x14ac:dyDescent="0.25">
      <c r="A84" s="85"/>
      <c r="D84" s="86"/>
      <c r="AH84" s="86"/>
      <c r="AI84" s="86"/>
      <c r="AJ84" s="86"/>
      <c r="AK84" s="86"/>
    </row>
    <row r="85" spans="1:37" x14ac:dyDescent="0.25">
      <c r="A85" s="85"/>
      <c r="D85" s="86"/>
      <c r="AH85" s="86"/>
      <c r="AI85" s="86"/>
      <c r="AJ85" s="86"/>
      <c r="AK85" s="86"/>
    </row>
    <row r="86" spans="1:37" x14ac:dyDescent="0.25">
      <c r="A86" s="85"/>
      <c r="D86" s="86"/>
      <c r="AH86" s="86"/>
      <c r="AI86" s="86"/>
      <c r="AJ86" s="86"/>
      <c r="AK86" s="86"/>
    </row>
    <row r="87" spans="1:37" x14ac:dyDescent="0.25">
      <c r="A87" s="85"/>
      <c r="D87" s="86"/>
      <c r="AH87" s="86"/>
      <c r="AI87" s="86"/>
      <c r="AJ87" s="86"/>
      <c r="AK87" s="86"/>
    </row>
    <row r="88" spans="1:37" x14ac:dyDescent="0.25">
      <c r="A88" s="85"/>
      <c r="D88" s="86"/>
      <c r="AH88" s="86"/>
      <c r="AI88" s="86"/>
      <c r="AJ88" s="86"/>
      <c r="AK88" s="86"/>
    </row>
    <row r="89" spans="1:37" x14ac:dyDescent="0.25">
      <c r="A89" s="85"/>
      <c r="D89" s="86"/>
      <c r="AH89" s="86"/>
      <c r="AI89" s="86"/>
      <c r="AJ89" s="86"/>
      <c r="AK89" s="86"/>
    </row>
    <row r="90" spans="1:37" x14ac:dyDescent="0.25">
      <c r="A90" s="85"/>
      <c r="D90" s="86"/>
      <c r="AH90" s="86"/>
      <c r="AI90" s="86"/>
      <c r="AJ90" s="86"/>
      <c r="AK90" s="86"/>
    </row>
    <row r="91" spans="1:37" x14ac:dyDescent="0.25">
      <c r="A91" s="85"/>
      <c r="D91" s="86"/>
      <c r="AH91" s="86"/>
      <c r="AI91" s="86"/>
      <c r="AJ91" s="86"/>
      <c r="AK91" s="86"/>
    </row>
    <row r="92" spans="1:37" x14ac:dyDescent="0.25">
      <c r="A92" s="85"/>
      <c r="D92" s="86"/>
      <c r="AH92" s="86"/>
      <c r="AI92" s="86"/>
      <c r="AJ92" s="86"/>
      <c r="AK92" s="86"/>
    </row>
    <row r="93" spans="1:37" x14ac:dyDescent="0.25">
      <c r="A93" s="85"/>
      <c r="D93" s="86"/>
      <c r="AH93" s="86"/>
      <c r="AI93" s="86"/>
      <c r="AJ93" s="86"/>
      <c r="AK93" s="86"/>
    </row>
    <row r="94" spans="1:37" x14ac:dyDescent="0.25">
      <c r="A94" s="85"/>
      <c r="D94" s="86"/>
      <c r="AH94" s="86"/>
      <c r="AI94" s="86"/>
      <c r="AJ94" s="86"/>
      <c r="AK94" s="86"/>
    </row>
    <row r="95" spans="1:37" x14ac:dyDescent="0.25">
      <c r="A95" s="85"/>
      <c r="D95" s="86"/>
      <c r="AH95" s="86"/>
      <c r="AI95" s="86"/>
      <c r="AJ95" s="86"/>
      <c r="AK95" s="86"/>
    </row>
    <row r="96" spans="1:37" x14ac:dyDescent="0.25">
      <c r="A96" s="85"/>
      <c r="D96" s="86"/>
      <c r="AH96" s="86"/>
      <c r="AI96" s="86"/>
      <c r="AJ96" s="86"/>
      <c r="AK96" s="86"/>
    </row>
    <row r="97" spans="1:37" x14ac:dyDescent="0.25">
      <c r="A97" s="85"/>
      <c r="D97" s="86"/>
      <c r="AH97" s="86"/>
      <c r="AI97" s="86"/>
      <c r="AJ97" s="86"/>
      <c r="AK97" s="86"/>
    </row>
    <row r="98" spans="1:37" x14ac:dyDescent="0.25">
      <c r="A98" s="85"/>
      <c r="D98" s="86"/>
      <c r="AH98" s="86"/>
      <c r="AI98" s="86"/>
      <c r="AJ98" s="86"/>
      <c r="AK98" s="86"/>
    </row>
    <row r="99" spans="1:37" x14ac:dyDescent="0.25">
      <c r="A99" s="85"/>
      <c r="D99" s="86"/>
      <c r="AH99" s="86"/>
      <c r="AI99" s="86"/>
      <c r="AJ99" s="86"/>
      <c r="AK99" s="86"/>
    </row>
    <row r="100" spans="1:37" x14ac:dyDescent="0.25">
      <c r="A100" s="85"/>
      <c r="D100" s="86"/>
      <c r="AH100" s="86"/>
      <c r="AI100" s="86"/>
      <c r="AJ100" s="86"/>
      <c r="AK100" s="86"/>
    </row>
    <row r="101" spans="1:37" x14ac:dyDescent="0.25">
      <c r="A101" s="85"/>
      <c r="D101" s="86"/>
      <c r="AH101" s="86"/>
      <c r="AI101" s="86"/>
      <c r="AJ101" s="86"/>
      <c r="AK101" s="86"/>
    </row>
    <row r="102" spans="1:37" x14ac:dyDescent="0.25">
      <c r="A102" s="85"/>
      <c r="D102" s="86"/>
      <c r="AH102" s="86"/>
      <c r="AI102" s="86"/>
      <c r="AJ102" s="86"/>
      <c r="AK102" s="86"/>
    </row>
    <row r="103" spans="1:37" x14ac:dyDescent="0.25">
      <c r="A103" s="85"/>
      <c r="D103" s="86"/>
      <c r="AH103" s="86"/>
      <c r="AI103" s="86"/>
      <c r="AJ103" s="86"/>
      <c r="AK103" s="86"/>
    </row>
    <row r="104" spans="1:37" x14ac:dyDescent="0.25">
      <c r="A104" s="85"/>
      <c r="D104" s="86"/>
      <c r="AH104" s="86"/>
      <c r="AI104" s="86"/>
      <c r="AJ104" s="86"/>
      <c r="AK104" s="86"/>
    </row>
    <row r="105" spans="1:37" x14ac:dyDescent="0.25">
      <c r="A105" s="85"/>
      <c r="D105" s="86"/>
      <c r="AH105" s="86"/>
      <c r="AI105" s="86"/>
      <c r="AJ105" s="86"/>
      <c r="AK105" s="86"/>
    </row>
    <row r="106" spans="1:37" x14ac:dyDescent="0.25">
      <c r="A106" s="85"/>
      <c r="D106" s="86"/>
      <c r="AH106" s="86"/>
      <c r="AI106" s="86"/>
      <c r="AJ106" s="86"/>
      <c r="AK106" s="86"/>
    </row>
    <row r="107" spans="1:37" x14ac:dyDescent="0.25">
      <c r="A107" s="85"/>
      <c r="D107" s="86"/>
      <c r="AH107" s="86"/>
      <c r="AI107" s="86"/>
      <c r="AJ107" s="86"/>
      <c r="AK107" s="86"/>
    </row>
    <row r="108" spans="1:37" x14ac:dyDescent="0.25">
      <c r="A108" s="85"/>
      <c r="D108" s="86"/>
      <c r="AH108" s="86"/>
      <c r="AI108" s="86"/>
      <c r="AJ108" s="86"/>
      <c r="AK108" s="86"/>
    </row>
    <row r="109" spans="1:37" x14ac:dyDescent="0.25">
      <c r="A109" s="85"/>
      <c r="D109" s="86"/>
      <c r="AH109" s="86"/>
      <c r="AI109" s="86"/>
      <c r="AJ109" s="86"/>
      <c r="AK109" s="86"/>
    </row>
    <row r="110" spans="1:37" x14ac:dyDescent="0.25">
      <c r="A110" s="85"/>
      <c r="D110" s="86"/>
      <c r="AH110" s="86"/>
      <c r="AI110" s="86"/>
      <c r="AJ110" s="86"/>
      <c r="AK110" s="86"/>
    </row>
    <row r="111" spans="1:37" x14ac:dyDescent="0.25">
      <c r="A111" s="85"/>
      <c r="D111" s="86"/>
      <c r="AH111" s="86"/>
      <c r="AI111" s="86"/>
      <c r="AJ111" s="86"/>
      <c r="AK111" s="86"/>
    </row>
    <row r="112" spans="1:37" x14ac:dyDescent="0.25">
      <c r="A112" s="85"/>
      <c r="D112" s="86"/>
      <c r="AH112" s="86"/>
      <c r="AI112" s="86"/>
      <c r="AJ112" s="86"/>
      <c r="AK112" s="86"/>
    </row>
    <row r="113" spans="1:37" x14ac:dyDescent="0.25">
      <c r="A113" s="85"/>
      <c r="D113" s="86"/>
      <c r="AH113" s="86"/>
      <c r="AI113" s="86"/>
      <c r="AJ113" s="86"/>
      <c r="AK113" s="86"/>
    </row>
    <row r="114" spans="1:37" x14ac:dyDescent="0.25">
      <c r="A114" s="85"/>
      <c r="D114" s="86"/>
      <c r="AH114" s="86"/>
      <c r="AI114" s="86"/>
      <c r="AJ114" s="86"/>
      <c r="AK114" s="86"/>
    </row>
    <row r="115" spans="1:37" x14ac:dyDescent="0.25">
      <c r="A115" s="85"/>
      <c r="D115" s="86"/>
      <c r="AH115" s="86"/>
      <c r="AI115" s="86"/>
      <c r="AJ115" s="86"/>
      <c r="AK115" s="86"/>
    </row>
    <row r="116" spans="1:37" x14ac:dyDescent="0.25">
      <c r="A116" s="85"/>
      <c r="D116" s="86"/>
      <c r="AH116" s="86"/>
      <c r="AI116" s="86"/>
      <c r="AJ116" s="86"/>
      <c r="AK116" s="86"/>
    </row>
    <row r="117" spans="1:37" x14ac:dyDescent="0.25">
      <c r="A117" s="85"/>
      <c r="D117" s="86"/>
      <c r="AH117" s="86"/>
      <c r="AI117" s="86"/>
      <c r="AJ117" s="86"/>
      <c r="AK117" s="86"/>
    </row>
    <row r="118" spans="1:37" x14ac:dyDescent="0.25">
      <c r="A118" s="85"/>
      <c r="D118" s="86"/>
      <c r="AH118" s="86"/>
      <c r="AI118" s="86"/>
      <c r="AJ118" s="86"/>
      <c r="AK118" s="86"/>
    </row>
    <row r="119" spans="1:37" x14ac:dyDescent="0.25">
      <c r="A119" s="85"/>
      <c r="D119" s="86"/>
      <c r="AH119" s="86"/>
      <c r="AI119" s="86"/>
      <c r="AJ119" s="86"/>
      <c r="AK119" s="86"/>
    </row>
    <row r="120" spans="1:37" x14ac:dyDescent="0.25">
      <c r="A120" s="85"/>
      <c r="D120" s="86"/>
      <c r="AH120" s="86"/>
      <c r="AI120" s="86"/>
      <c r="AJ120" s="86"/>
      <c r="AK120" s="86"/>
    </row>
    <row r="121" spans="1:37" x14ac:dyDescent="0.25">
      <c r="A121" s="85"/>
      <c r="D121" s="86"/>
      <c r="AH121" s="86"/>
      <c r="AI121" s="86"/>
      <c r="AJ121" s="86"/>
      <c r="AK121" s="86"/>
    </row>
    <row r="122" spans="1:37" x14ac:dyDescent="0.25">
      <c r="A122" s="85"/>
      <c r="D122" s="86"/>
      <c r="AH122" s="86"/>
      <c r="AI122" s="86"/>
      <c r="AJ122" s="86"/>
      <c r="AK122" s="86"/>
    </row>
    <row r="123" spans="1:37" x14ac:dyDescent="0.25">
      <c r="A123" s="85"/>
      <c r="D123" s="86"/>
      <c r="AH123" s="86"/>
      <c r="AI123" s="86"/>
      <c r="AJ123" s="86"/>
      <c r="AK123" s="86"/>
    </row>
    <row r="124" spans="1:37" x14ac:dyDescent="0.25">
      <c r="A124" s="85"/>
      <c r="D124" s="86"/>
      <c r="AH124" s="86"/>
      <c r="AI124" s="86"/>
      <c r="AJ124" s="86"/>
      <c r="AK124" s="86"/>
    </row>
    <row r="125" spans="1:37" x14ac:dyDescent="0.25">
      <c r="A125" s="85"/>
      <c r="D125" s="86"/>
      <c r="AH125" s="86"/>
      <c r="AI125" s="86"/>
      <c r="AJ125" s="86"/>
      <c r="AK125" s="86"/>
    </row>
    <row r="126" spans="1:37" x14ac:dyDescent="0.25">
      <c r="A126" s="85"/>
      <c r="D126" s="86"/>
      <c r="AH126" s="86"/>
      <c r="AI126" s="86"/>
      <c r="AJ126" s="86"/>
      <c r="AK126" s="86"/>
    </row>
    <row r="127" spans="1:37" x14ac:dyDescent="0.25">
      <c r="A127" s="85"/>
      <c r="D127" s="86"/>
      <c r="AH127" s="86"/>
      <c r="AI127" s="86"/>
      <c r="AJ127" s="86"/>
      <c r="AK127" s="86"/>
    </row>
    <row r="128" spans="1:37" x14ac:dyDescent="0.25">
      <c r="A128" s="85"/>
      <c r="D128" s="86"/>
      <c r="AH128" s="86"/>
      <c r="AI128" s="86"/>
      <c r="AJ128" s="86"/>
      <c r="AK128" s="86"/>
    </row>
    <row r="129" spans="1:37" x14ac:dyDescent="0.25">
      <c r="A129" s="85"/>
      <c r="D129" s="86"/>
      <c r="AH129" s="86"/>
      <c r="AI129" s="86"/>
      <c r="AJ129" s="86"/>
      <c r="AK129" s="86"/>
    </row>
    <row r="130" spans="1:37" x14ac:dyDescent="0.25">
      <c r="A130" s="85"/>
      <c r="D130" s="86"/>
      <c r="AH130" s="86"/>
      <c r="AI130" s="86"/>
      <c r="AJ130" s="86"/>
      <c r="AK130" s="86"/>
    </row>
    <row r="131" spans="1:37" x14ac:dyDescent="0.25">
      <c r="A131" s="85"/>
      <c r="D131" s="86"/>
      <c r="AH131" s="86"/>
      <c r="AI131" s="86"/>
      <c r="AJ131" s="86"/>
      <c r="AK131" s="86"/>
    </row>
    <row r="132" spans="1:37" x14ac:dyDescent="0.25">
      <c r="A132" s="85"/>
      <c r="D132" s="86"/>
      <c r="AH132" s="86"/>
      <c r="AI132" s="86"/>
      <c r="AJ132" s="86"/>
      <c r="AK132" s="86"/>
    </row>
    <row r="133" spans="1:37" x14ac:dyDescent="0.25">
      <c r="A133" s="85"/>
      <c r="D133" s="86"/>
      <c r="AH133" s="86"/>
      <c r="AI133" s="86"/>
      <c r="AJ133" s="86"/>
      <c r="AK133" s="86"/>
    </row>
    <row r="134" spans="1:37" x14ac:dyDescent="0.25">
      <c r="A134" s="85"/>
      <c r="D134" s="86"/>
      <c r="AH134" s="86"/>
      <c r="AI134" s="86"/>
      <c r="AJ134" s="86"/>
      <c r="AK134" s="86"/>
    </row>
    <row r="135" spans="1:37" x14ac:dyDescent="0.25">
      <c r="A135" s="85"/>
      <c r="D135" s="86"/>
      <c r="AH135" s="86"/>
      <c r="AI135" s="86"/>
      <c r="AJ135" s="86"/>
      <c r="AK135" s="86"/>
    </row>
    <row r="136" spans="1:37" x14ac:dyDescent="0.25">
      <c r="A136" s="85"/>
      <c r="D136" s="86"/>
      <c r="AH136" s="86"/>
      <c r="AI136" s="86"/>
      <c r="AJ136" s="86"/>
      <c r="AK136" s="86"/>
    </row>
    <row r="137" spans="1:37" x14ac:dyDescent="0.25">
      <c r="A137" s="85"/>
      <c r="D137" s="86"/>
      <c r="AH137" s="86"/>
      <c r="AI137" s="86"/>
      <c r="AJ137" s="86"/>
      <c r="AK137" s="86"/>
    </row>
    <row r="138" spans="1:37" x14ac:dyDescent="0.25">
      <c r="A138" s="85"/>
      <c r="D138" s="86"/>
      <c r="AH138" s="86"/>
      <c r="AI138" s="86"/>
      <c r="AJ138" s="86"/>
      <c r="AK138" s="86"/>
    </row>
    <row r="139" spans="1:37" x14ac:dyDescent="0.25">
      <c r="A139" s="85"/>
      <c r="D139" s="86"/>
      <c r="AH139" s="86"/>
      <c r="AI139" s="86"/>
      <c r="AJ139" s="86"/>
      <c r="AK139" s="86"/>
    </row>
    <row r="140" spans="1:37" x14ac:dyDescent="0.25">
      <c r="A140" s="85"/>
      <c r="D140" s="86"/>
      <c r="AH140" s="86"/>
      <c r="AI140" s="86"/>
      <c r="AJ140" s="86"/>
      <c r="AK140" s="86"/>
    </row>
    <row r="141" spans="1:37" x14ac:dyDescent="0.25">
      <c r="A141" s="85"/>
      <c r="D141" s="86"/>
      <c r="AH141" s="86"/>
      <c r="AI141" s="86"/>
      <c r="AJ141" s="86"/>
      <c r="AK141" s="86"/>
    </row>
    <row r="142" spans="1:37" x14ac:dyDescent="0.25">
      <c r="A142" s="85"/>
      <c r="D142" s="86"/>
      <c r="AH142" s="86"/>
      <c r="AI142" s="86"/>
      <c r="AJ142" s="86"/>
      <c r="AK142" s="86"/>
    </row>
    <row r="143" spans="1:37" x14ac:dyDescent="0.25">
      <c r="A143" s="85"/>
      <c r="D143" s="86"/>
      <c r="AH143" s="86"/>
      <c r="AI143" s="86"/>
      <c r="AJ143" s="86"/>
      <c r="AK143" s="86"/>
    </row>
    <row r="144" spans="1:37" x14ac:dyDescent="0.25">
      <c r="A144" s="85"/>
      <c r="D144" s="86"/>
      <c r="AH144" s="86"/>
      <c r="AI144" s="86"/>
      <c r="AJ144" s="86"/>
      <c r="AK144" s="86"/>
    </row>
    <row r="145" spans="1:37" x14ac:dyDescent="0.25">
      <c r="A145" s="85"/>
      <c r="D145" s="86"/>
      <c r="AH145" s="86"/>
      <c r="AI145" s="86"/>
      <c r="AJ145" s="86"/>
      <c r="AK145" s="86"/>
    </row>
    <row r="146" spans="1:37" x14ac:dyDescent="0.25">
      <c r="A146" s="85"/>
      <c r="D146" s="86"/>
      <c r="AH146" s="86"/>
      <c r="AI146" s="86"/>
      <c r="AJ146" s="86"/>
      <c r="AK146" s="86"/>
    </row>
    <row r="147" spans="1:37" x14ac:dyDescent="0.25">
      <c r="A147" s="85"/>
      <c r="D147" s="86"/>
      <c r="AH147" s="86"/>
      <c r="AI147" s="86"/>
      <c r="AJ147" s="86"/>
      <c r="AK147" s="86"/>
    </row>
    <row r="148" spans="1:37" x14ac:dyDescent="0.25">
      <c r="A148" s="85"/>
      <c r="D148" s="86"/>
      <c r="AH148" s="86"/>
      <c r="AI148" s="86"/>
      <c r="AJ148" s="86"/>
      <c r="AK148" s="86"/>
    </row>
    <row r="149" spans="1:37" x14ac:dyDescent="0.25">
      <c r="A149" s="85"/>
      <c r="D149" s="86"/>
      <c r="AH149" s="86"/>
      <c r="AI149" s="86"/>
      <c r="AJ149" s="86"/>
      <c r="AK149" s="86"/>
    </row>
    <row r="150" spans="1:37" x14ac:dyDescent="0.25">
      <c r="A150" s="85"/>
      <c r="D150" s="86"/>
      <c r="AH150" s="86"/>
      <c r="AI150" s="86"/>
      <c r="AJ150" s="86"/>
      <c r="AK150" s="86"/>
    </row>
    <row r="151" spans="1:37" x14ac:dyDescent="0.25">
      <c r="A151" s="85"/>
      <c r="D151" s="86"/>
      <c r="AH151" s="86"/>
      <c r="AI151" s="86"/>
      <c r="AJ151" s="86"/>
      <c r="AK151" s="86"/>
    </row>
    <row r="152" spans="1:37" x14ac:dyDescent="0.25">
      <c r="A152" s="85"/>
      <c r="D152" s="86"/>
      <c r="AH152" s="86"/>
      <c r="AI152" s="86"/>
      <c r="AJ152" s="86"/>
      <c r="AK152" s="86"/>
    </row>
    <row r="153" spans="1:37" x14ac:dyDescent="0.25">
      <c r="A153" s="85"/>
      <c r="D153" s="86"/>
      <c r="AH153" s="86"/>
      <c r="AI153" s="86"/>
      <c r="AJ153" s="86"/>
      <c r="AK153" s="86"/>
    </row>
    <row r="154" spans="1:37" x14ac:dyDescent="0.25">
      <c r="A154" s="85"/>
      <c r="D154" s="86"/>
      <c r="AH154" s="86"/>
      <c r="AI154" s="86"/>
      <c r="AJ154" s="86"/>
      <c r="AK154" s="86"/>
    </row>
    <row r="155" spans="1:37" x14ac:dyDescent="0.25">
      <c r="A155" s="85"/>
      <c r="D155" s="86"/>
      <c r="AH155" s="86"/>
      <c r="AI155" s="86"/>
      <c r="AJ155" s="86"/>
      <c r="AK155" s="86"/>
    </row>
    <row r="156" spans="1:37" x14ac:dyDescent="0.25">
      <c r="A156" s="85"/>
      <c r="D156" s="86"/>
      <c r="AH156" s="86"/>
      <c r="AI156" s="86"/>
      <c r="AJ156" s="86"/>
      <c r="AK156" s="86"/>
    </row>
    <row r="157" spans="1:37" x14ac:dyDescent="0.25">
      <c r="A157" s="85"/>
      <c r="D157" s="86"/>
      <c r="AH157" s="86"/>
      <c r="AI157" s="86"/>
      <c r="AJ157" s="86"/>
      <c r="AK157" s="86"/>
    </row>
    <row r="158" spans="1:37" x14ac:dyDescent="0.25">
      <c r="A158" s="85"/>
      <c r="D158" s="86"/>
      <c r="AH158" s="86"/>
      <c r="AI158" s="86"/>
      <c r="AJ158" s="86"/>
      <c r="AK158" s="86"/>
    </row>
    <row r="159" spans="1:37" x14ac:dyDescent="0.25">
      <c r="A159" s="85"/>
      <c r="D159" s="86"/>
      <c r="AH159" s="86"/>
      <c r="AI159" s="86"/>
      <c r="AJ159" s="86"/>
      <c r="AK159" s="86"/>
    </row>
    <row r="160" spans="1:37" x14ac:dyDescent="0.25">
      <c r="A160" s="85"/>
      <c r="D160" s="86"/>
      <c r="AH160" s="86"/>
      <c r="AI160" s="86"/>
      <c r="AJ160" s="86"/>
      <c r="AK160" s="86"/>
    </row>
    <row r="161" spans="1:37" x14ac:dyDescent="0.25">
      <c r="A161" s="85"/>
      <c r="D161" s="86"/>
      <c r="AH161" s="86"/>
      <c r="AI161" s="86"/>
      <c r="AJ161" s="86"/>
      <c r="AK161" s="86"/>
    </row>
    <row r="162" spans="1:37" x14ac:dyDescent="0.25">
      <c r="A162" s="85"/>
      <c r="D162" s="86"/>
      <c r="AH162" s="86"/>
      <c r="AI162" s="86"/>
      <c r="AJ162" s="86"/>
      <c r="AK162" s="86"/>
    </row>
    <row r="163" spans="1:37" x14ac:dyDescent="0.25">
      <c r="A163" s="85"/>
      <c r="D163" s="86"/>
      <c r="AH163" s="86"/>
      <c r="AI163" s="86"/>
      <c r="AJ163" s="86"/>
      <c r="AK163" s="86"/>
    </row>
    <row r="164" spans="1:37" x14ac:dyDescent="0.25">
      <c r="A164" s="85"/>
      <c r="D164" s="86"/>
      <c r="AH164" s="86"/>
      <c r="AI164" s="86"/>
      <c r="AJ164" s="86"/>
      <c r="AK164" s="86"/>
    </row>
    <row r="165" spans="1:37" x14ac:dyDescent="0.25">
      <c r="A165" s="85"/>
      <c r="D165" s="86"/>
      <c r="AH165" s="86"/>
      <c r="AI165" s="86"/>
      <c r="AJ165" s="86"/>
      <c r="AK165" s="86"/>
    </row>
    <row r="166" spans="1:37" x14ac:dyDescent="0.25">
      <c r="A166" s="85"/>
      <c r="D166" s="86"/>
      <c r="AH166" s="86"/>
      <c r="AI166" s="86"/>
      <c r="AJ166" s="86"/>
      <c r="AK166" s="86"/>
    </row>
    <row r="167" spans="1:37" x14ac:dyDescent="0.25">
      <c r="A167" s="85"/>
      <c r="D167" s="86"/>
      <c r="AH167" s="86"/>
      <c r="AI167" s="86"/>
      <c r="AJ167" s="86"/>
      <c r="AK167" s="86"/>
    </row>
    <row r="168" spans="1:37" x14ac:dyDescent="0.25">
      <c r="A168" s="85"/>
      <c r="D168" s="86"/>
      <c r="AH168" s="86"/>
      <c r="AI168" s="86"/>
      <c r="AJ168" s="86"/>
      <c r="AK168" s="86"/>
    </row>
    <row r="169" spans="1:37" x14ac:dyDescent="0.25">
      <c r="A169" s="85"/>
      <c r="D169" s="86"/>
      <c r="AH169" s="86"/>
      <c r="AI169" s="86"/>
      <c r="AJ169" s="86"/>
      <c r="AK169" s="86"/>
    </row>
    <row r="170" spans="1:37" x14ac:dyDescent="0.25">
      <c r="A170" s="85"/>
      <c r="D170" s="86"/>
      <c r="AH170" s="86"/>
      <c r="AI170" s="86"/>
      <c r="AJ170" s="86"/>
      <c r="AK170" s="86"/>
    </row>
    <row r="171" spans="1:37" x14ac:dyDescent="0.25">
      <c r="A171" s="85"/>
      <c r="D171" s="86"/>
      <c r="AH171" s="86"/>
      <c r="AI171" s="86"/>
      <c r="AJ171" s="86"/>
      <c r="AK171" s="86"/>
    </row>
    <row r="172" spans="1:37" x14ac:dyDescent="0.25">
      <c r="A172" s="85"/>
      <c r="D172" s="86"/>
      <c r="AH172" s="86"/>
      <c r="AI172" s="86"/>
      <c r="AJ172" s="86"/>
      <c r="AK172" s="86"/>
    </row>
    <row r="173" spans="1:37" x14ac:dyDescent="0.25">
      <c r="A173" s="85"/>
      <c r="D173" s="86"/>
      <c r="AH173" s="86"/>
      <c r="AI173" s="86"/>
      <c r="AJ173" s="86"/>
      <c r="AK173" s="86"/>
    </row>
    <row r="174" spans="1:37" x14ac:dyDescent="0.25">
      <c r="A174" s="85"/>
      <c r="D174" s="86"/>
      <c r="AH174" s="86"/>
      <c r="AI174" s="86"/>
      <c r="AJ174" s="86"/>
      <c r="AK174" s="86"/>
    </row>
    <row r="175" spans="1:37" x14ac:dyDescent="0.25">
      <c r="A175" s="85"/>
      <c r="D175" s="86"/>
      <c r="AH175" s="86"/>
      <c r="AI175" s="86"/>
      <c r="AJ175" s="86"/>
      <c r="AK175" s="86"/>
    </row>
    <row r="176" spans="1:37" x14ac:dyDescent="0.25">
      <c r="A176" s="85"/>
      <c r="D176" s="86"/>
      <c r="AH176" s="86"/>
      <c r="AI176" s="86"/>
      <c r="AJ176" s="86"/>
      <c r="AK176" s="86"/>
    </row>
    <row r="177" spans="1:37" x14ac:dyDescent="0.25">
      <c r="A177" s="85"/>
      <c r="D177" s="86"/>
      <c r="AH177" s="86"/>
      <c r="AI177" s="86"/>
      <c r="AJ177" s="86"/>
      <c r="AK177" s="86"/>
    </row>
    <row r="178" spans="1:37" x14ac:dyDescent="0.25">
      <c r="A178" s="85"/>
      <c r="D178" s="86"/>
      <c r="AH178" s="86"/>
      <c r="AI178" s="86"/>
      <c r="AJ178" s="86"/>
      <c r="AK178" s="86"/>
    </row>
    <row r="179" spans="1:37" x14ac:dyDescent="0.25">
      <c r="A179" s="85"/>
      <c r="D179" s="86"/>
      <c r="AH179" s="86"/>
      <c r="AI179" s="86"/>
      <c r="AJ179" s="86"/>
      <c r="AK179" s="86"/>
    </row>
    <row r="180" spans="1:37" x14ac:dyDescent="0.25">
      <c r="A180" s="85"/>
      <c r="D180" s="86"/>
      <c r="AH180" s="86"/>
      <c r="AI180" s="86"/>
      <c r="AJ180" s="86"/>
      <c r="AK180" s="86"/>
    </row>
    <row r="181" spans="1:37" x14ac:dyDescent="0.25">
      <c r="A181" s="85"/>
      <c r="D181" s="86"/>
      <c r="AH181" s="86"/>
      <c r="AI181" s="86"/>
      <c r="AJ181" s="86"/>
      <c r="AK181" s="86"/>
    </row>
    <row r="182" spans="1:37" x14ac:dyDescent="0.25">
      <c r="A182" s="85"/>
      <c r="D182" s="86"/>
      <c r="AH182" s="86"/>
      <c r="AI182" s="86"/>
      <c r="AJ182" s="86"/>
      <c r="AK182" s="86"/>
    </row>
    <row r="183" spans="1:37" x14ac:dyDescent="0.25">
      <c r="A183" s="85"/>
      <c r="D183" s="86"/>
      <c r="AH183" s="86"/>
      <c r="AI183" s="86"/>
      <c r="AJ183" s="86"/>
      <c r="AK183" s="86"/>
    </row>
    <row r="184" spans="1:37" x14ac:dyDescent="0.25">
      <c r="A184" s="85"/>
      <c r="D184" s="86"/>
      <c r="AH184" s="86"/>
      <c r="AI184" s="86"/>
      <c r="AJ184" s="86"/>
      <c r="AK184" s="86"/>
    </row>
    <row r="185" spans="1:37" x14ac:dyDescent="0.25">
      <c r="A185" s="85"/>
      <c r="D185" s="86"/>
      <c r="AH185" s="86"/>
      <c r="AI185" s="86"/>
      <c r="AJ185" s="86"/>
      <c r="AK185" s="86"/>
    </row>
    <row r="186" spans="1:37" x14ac:dyDescent="0.25">
      <c r="A186" s="85"/>
      <c r="D186" s="86"/>
      <c r="AH186" s="86"/>
      <c r="AI186" s="86"/>
      <c r="AJ186" s="86"/>
      <c r="AK186" s="86"/>
    </row>
    <row r="187" spans="1:37" x14ac:dyDescent="0.25">
      <c r="A187" s="85"/>
      <c r="D187" s="86"/>
      <c r="AH187" s="86"/>
      <c r="AI187" s="86"/>
      <c r="AJ187" s="86"/>
      <c r="AK187" s="86"/>
    </row>
    <row r="188" spans="1:37" x14ac:dyDescent="0.25">
      <c r="A188" s="85"/>
      <c r="D188" s="86"/>
      <c r="AH188" s="86"/>
      <c r="AI188" s="86"/>
      <c r="AJ188" s="86"/>
      <c r="AK188" s="86"/>
    </row>
    <row r="189" spans="1:37" x14ac:dyDescent="0.25">
      <c r="A189" s="85"/>
      <c r="D189" s="86"/>
      <c r="AH189" s="86"/>
      <c r="AI189" s="86"/>
      <c r="AJ189" s="86"/>
      <c r="AK189" s="86"/>
    </row>
    <row r="190" spans="1:37" x14ac:dyDescent="0.25">
      <c r="A190" s="85"/>
      <c r="D190" s="86"/>
      <c r="AH190" s="86"/>
      <c r="AI190" s="86"/>
      <c r="AJ190" s="86"/>
      <c r="AK190" s="86"/>
    </row>
    <row r="191" spans="1:37" x14ac:dyDescent="0.25">
      <c r="A191" s="85"/>
      <c r="D191" s="86"/>
      <c r="AH191" s="86"/>
      <c r="AI191" s="86"/>
      <c r="AJ191" s="86"/>
      <c r="AK191" s="86"/>
    </row>
    <row r="192" spans="1:37" x14ac:dyDescent="0.25">
      <c r="A192" s="85"/>
      <c r="D192" s="86"/>
      <c r="AH192" s="86"/>
      <c r="AI192" s="86"/>
      <c r="AJ192" s="86"/>
      <c r="AK192" s="86"/>
    </row>
    <row r="193" spans="1:37" x14ac:dyDescent="0.25">
      <c r="A193" s="85"/>
      <c r="D193" s="86"/>
      <c r="AH193" s="86"/>
      <c r="AI193" s="86"/>
      <c r="AJ193" s="86"/>
      <c r="AK193" s="86"/>
    </row>
    <row r="194" spans="1:37" x14ac:dyDescent="0.25">
      <c r="A194" s="85"/>
      <c r="D194" s="86"/>
      <c r="AH194" s="86"/>
      <c r="AI194" s="86"/>
      <c r="AJ194" s="86"/>
      <c r="AK194" s="86"/>
    </row>
    <row r="195" spans="1:37" x14ac:dyDescent="0.25">
      <c r="A195" s="85"/>
      <c r="D195" s="86"/>
      <c r="AH195" s="86"/>
      <c r="AI195" s="86"/>
      <c r="AJ195" s="86"/>
      <c r="AK195" s="86"/>
    </row>
    <row r="196" spans="1:37" x14ac:dyDescent="0.25">
      <c r="A196" s="85"/>
      <c r="D196" s="86"/>
      <c r="AH196" s="86"/>
      <c r="AI196" s="86"/>
      <c r="AJ196" s="86"/>
      <c r="AK196" s="86"/>
    </row>
    <row r="197" spans="1:37" x14ac:dyDescent="0.25">
      <c r="A197" s="85"/>
      <c r="D197" s="86"/>
      <c r="AH197" s="86"/>
      <c r="AI197" s="86"/>
      <c r="AJ197" s="86"/>
      <c r="AK197" s="86"/>
    </row>
    <row r="198" spans="1:37" x14ac:dyDescent="0.25">
      <c r="A198" s="85"/>
      <c r="D198" s="86"/>
      <c r="AH198" s="86"/>
      <c r="AI198" s="86"/>
      <c r="AJ198" s="86"/>
      <c r="AK198" s="86"/>
    </row>
    <row r="199" spans="1:37" x14ac:dyDescent="0.25">
      <c r="A199" s="85"/>
      <c r="D199" s="86"/>
      <c r="AH199" s="86"/>
      <c r="AI199" s="86"/>
      <c r="AJ199" s="86"/>
      <c r="AK199" s="86"/>
    </row>
    <row r="200" spans="1:37" x14ac:dyDescent="0.25">
      <c r="A200" s="85"/>
      <c r="D200" s="86"/>
      <c r="AH200" s="86"/>
      <c r="AI200" s="86"/>
      <c r="AJ200" s="86"/>
      <c r="AK200" s="86"/>
    </row>
    <row r="201" spans="1:37" x14ac:dyDescent="0.25">
      <c r="A201" s="85"/>
      <c r="D201" s="86"/>
      <c r="AH201" s="86"/>
      <c r="AI201" s="86"/>
      <c r="AJ201" s="86"/>
      <c r="AK201" s="86"/>
    </row>
    <row r="202" spans="1:37" x14ac:dyDescent="0.25">
      <c r="A202" s="85"/>
      <c r="D202" s="86"/>
      <c r="AH202" s="86"/>
      <c r="AI202" s="86"/>
      <c r="AJ202" s="86"/>
      <c r="AK202" s="86"/>
    </row>
    <row r="203" spans="1:37" x14ac:dyDescent="0.25">
      <c r="A203" s="85"/>
      <c r="D203" s="86"/>
      <c r="AH203" s="86"/>
      <c r="AI203" s="86"/>
      <c r="AJ203" s="86"/>
      <c r="AK203" s="86"/>
    </row>
    <row r="204" spans="1:37" x14ac:dyDescent="0.25">
      <c r="A204" s="85"/>
      <c r="D204" s="86"/>
      <c r="AH204" s="86"/>
      <c r="AI204" s="86"/>
      <c r="AJ204" s="86"/>
      <c r="AK204" s="86"/>
    </row>
    <row r="205" spans="1:37" x14ac:dyDescent="0.25">
      <c r="A205" s="85"/>
      <c r="D205" s="86"/>
      <c r="AH205" s="86"/>
      <c r="AI205" s="86"/>
      <c r="AJ205" s="86"/>
      <c r="AK205" s="86"/>
    </row>
    <row r="206" spans="1:37" x14ac:dyDescent="0.25">
      <c r="A206" s="85"/>
      <c r="D206" s="86"/>
      <c r="AH206" s="86"/>
      <c r="AI206" s="86"/>
      <c r="AJ206" s="86"/>
      <c r="AK206" s="86"/>
    </row>
    <row r="207" spans="1:37" x14ac:dyDescent="0.25">
      <c r="A207" s="85"/>
      <c r="D207" s="86"/>
      <c r="AH207" s="86"/>
      <c r="AI207" s="86"/>
      <c r="AJ207" s="86"/>
      <c r="AK207" s="86"/>
    </row>
    <row r="208" spans="1:37" x14ac:dyDescent="0.25">
      <c r="A208" s="85"/>
      <c r="D208" s="86"/>
      <c r="AH208" s="86"/>
      <c r="AI208" s="86"/>
      <c r="AJ208" s="86"/>
      <c r="AK208" s="86"/>
    </row>
    <row r="209" spans="1:37" x14ac:dyDescent="0.25">
      <c r="A209" s="85"/>
      <c r="D209" s="86"/>
      <c r="AH209" s="86"/>
      <c r="AI209" s="86"/>
      <c r="AJ209" s="86"/>
      <c r="AK209" s="86"/>
    </row>
    <row r="210" spans="1:37" x14ac:dyDescent="0.25">
      <c r="A210" s="85"/>
      <c r="D210" s="86"/>
      <c r="AH210" s="86"/>
      <c r="AI210" s="86"/>
      <c r="AJ210" s="86"/>
      <c r="AK210" s="86"/>
    </row>
    <row r="211" spans="1:37" x14ac:dyDescent="0.25">
      <c r="A211" s="85"/>
      <c r="D211" s="86"/>
      <c r="AH211" s="86"/>
      <c r="AI211" s="86"/>
      <c r="AJ211" s="86"/>
      <c r="AK211" s="86"/>
    </row>
    <row r="212" spans="1:37" x14ac:dyDescent="0.25">
      <c r="A212" s="85"/>
      <c r="D212" s="86"/>
      <c r="AH212" s="86"/>
      <c r="AI212" s="86"/>
      <c r="AJ212" s="86"/>
      <c r="AK212" s="86"/>
    </row>
    <row r="213" spans="1:37" x14ac:dyDescent="0.25">
      <c r="A213" s="85"/>
      <c r="D213" s="86"/>
      <c r="AH213" s="86"/>
      <c r="AI213" s="86"/>
      <c r="AJ213" s="86"/>
      <c r="AK213" s="86"/>
    </row>
    <row r="214" spans="1:37" x14ac:dyDescent="0.25">
      <c r="A214" s="85"/>
      <c r="D214" s="86"/>
      <c r="AH214" s="86"/>
      <c r="AI214" s="86"/>
      <c r="AJ214" s="86"/>
      <c r="AK214" s="86"/>
    </row>
    <row r="215" spans="1:37" x14ac:dyDescent="0.25">
      <c r="A215" s="85"/>
      <c r="D215" s="86"/>
      <c r="AH215" s="86"/>
      <c r="AI215" s="86"/>
      <c r="AJ215" s="86"/>
      <c r="AK215" s="86"/>
    </row>
    <row r="216" spans="1:37" x14ac:dyDescent="0.25">
      <c r="A216" s="85"/>
      <c r="D216" s="86"/>
      <c r="AH216" s="86"/>
      <c r="AI216" s="86"/>
      <c r="AJ216" s="86"/>
      <c r="AK216" s="86"/>
    </row>
    <row r="217" spans="1:37" x14ac:dyDescent="0.25">
      <c r="A217" s="85"/>
      <c r="D217" s="86"/>
      <c r="AH217" s="86"/>
      <c r="AI217" s="86"/>
      <c r="AJ217" s="86"/>
      <c r="AK217" s="86"/>
    </row>
    <row r="218" spans="1:37" x14ac:dyDescent="0.25">
      <c r="A218" s="85"/>
      <c r="D218" s="86"/>
      <c r="AH218" s="86"/>
      <c r="AI218" s="86"/>
      <c r="AJ218" s="86"/>
      <c r="AK218" s="86"/>
    </row>
    <row r="219" spans="1:37" x14ac:dyDescent="0.25">
      <c r="A219" s="85"/>
      <c r="D219" s="86"/>
      <c r="AH219" s="86"/>
      <c r="AI219" s="86"/>
      <c r="AJ219" s="86"/>
      <c r="AK219" s="86"/>
    </row>
    <row r="220" spans="1:37" x14ac:dyDescent="0.25">
      <c r="A220" s="85"/>
      <c r="D220" s="86"/>
      <c r="AH220" s="86"/>
      <c r="AI220" s="86"/>
      <c r="AJ220" s="86"/>
      <c r="AK220" s="86"/>
    </row>
    <row r="221" spans="1:37" x14ac:dyDescent="0.25">
      <c r="A221" s="85"/>
      <c r="D221" s="86"/>
      <c r="AH221" s="86"/>
      <c r="AI221" s="86"/>
      <c r="AJ221" s="86"/>
      <c r="AK221" s="86"/>
    </row>
    <row r="222" spans="1:37" x14ac:dyDescent="0.25">
      <c r="A222" s="85"/>
      <c r="D222" s="86"/>
      <c r="AH222" s="86"/>
      <c r="AI222" s="86"/>
      <c r="AJ222" s="86"/>
      <c r="AK222" s="86"/>
    </row>
    <row r="223" spans="1:37" x14ac:dyDescent="0.25">
      <c r="A223" s="85"/>
      <c r="D223" s="86"/>
      <c r="AH223" s="86"/>
      <c r="AI223" s="86"/>
      <c r="AJ223" s="86"/>
      <c r="AK223" s="86"/>
    </row>
    <row r="224" spans="1:37" x14ac:dyDescent="0.25">
      <c r="A224" s="85"/>
      <c r="D224" s="86"/>
      <c r="AH224" s="86"/>
      <c r="AI224" s="86"/>
      <c r="AJ224" s="86"/>
      <c r="AK224" s="86"/>
    </row>
    <row r="225" spans="1:37" x14ac:dyDescent="0.25">
      <c r="A225" s="85"/>
      <c r="D225" s="86"/>
      <c r="AH225" s="86"/>
      <c r="AI225" s="86"/>
      <c r="AJ225" s="86"/>
      <c r="AK225" s="86"/>
    </row>
    <row r="226" spans="1:37" x14ac:dyDescent="0.25">
      <c r="A226" s="85"/>
      <c r="D226" s="86"/>
      <c r="AH226" s="86"/>
      <c r="AI226" s="86"/>
      <c r="AJ226" s="86"/>
      <c r="AK226" s="86"/>
    </row>
    <row r="227" spans="1:37" x14ac:dyDescent="0.25">
      <c r="A227" s="85"/>
      <c r="D227" s="86"/>
      <c r="AH227" s="86"/>
      <c r="AI227" s="86"/>
      <c r="AJ227" s="86"/>
      <c r="AK227" s="86"/>
    </row>
    <row r="228" spans="1:37" x14ac:dyDescent="0.25">
      <c r="A228" s="85"/>
      <c r="D228" s="86"/>
      <c r="AH228" s="86"/>
      <c r="AI228" s="86"/>
      <c r="AJ228" s="86"/>
      <c r="AK228" s="86"/>
    </row>
    <row r="229" spans="1:37" x14ac:dyDescent="0.25">
      <c r="A229" s="85"/>
      <c r="D229" s="86"/>
      <c r="AH229" s="86"/>
      <c r="AI229" s="86"/>
      <c r="AJ229" s="86"/>
      <c r="AK229" s="86"/>
    </row>
    <row r="230" spans="1:37" x14ac:dyDescent="0.25">
      <c r="A230" s="85"/>
      <c r="D230" s="86"/>
      <c r="AH230" s="86"/>
      <c r="AI230" s="86"/>
      <c r="AJ230" s="86"/>
      <c r="AK230" s="86"/>
    </row>
    <row r="231" spans="1:37" x14ac:dyDescent="0.25">
      <c r="A231" s="85"/>
      <c r="D231" s="86"/>
      <c r="AH231" s="86"/>
      <c r="AI231" s="86"/>
      <c r="AJ231" s="86"/>
      <c r="AK231" s="86"/>
    </row>
    <row r="232" spans="1:37" x14ac:dyDescent="0.25">
      <c r="A232" s="85"/>
      <c r="D232" s="86"/>
      <c r="AH232" s="86"/>
      <c r="AI232" s="86"/>
      <c r="AJ232" s="86"/>
      <c r="AK232" s="86"/>
    </row>
    <row r="233" spans="1:37" x14ac:dyDescent="0.25">
      <c r="A233" s="85"/>
      <c r="D233" s="86"/>
      <c r="AH233" s="86"/>
      <c r="AI233" s="86"/>
      <c r="AJ233" s="86"/>
      <c r="AK233" s="86"/>
    </row>
    <row r="234" spans="1:37" x14ac:dyDescent="0.25">
      <c r="A234" s="85"/>
      <c r="D234" s="86"/>
      <c r="AH234" s="86"/>
      <c r="AI234" s="86"/>
      <c r="AJ234" s="86"/>
      <c r="AK234" s="86"/>
    </row>
    <row r="235" spans="1:37" x14ac:dyDescent="0.25">
      <c r="A235" s="85"/>
      <c r="D235" s="86"/>
      <c r="AH235" s="86"/>
      <c r="AI235" s="86"/>
      <c r="AJ235" s="86"/>
      <c r="AK235" s="86"/>
    </row>
    <row r="236" spans="1:37" x14ac:dyDescent="0.25">
      <c r="A236" s="85"/>
      <c r="D236" s="86"/>
      <c r="AH236" s="86"/>
      <c r="AI236" s="86"/>
      <c r="AJ236" s="86"/>
      <c r="AK236" s="86"/>
    </row>
    <row r="237" spans="1:37" x14ac:dyDescent="0.25">
      <c r="A237" s="85"/>
      <c r="D237" s="86"/>
      <c r="AH237" s="86"/>
      <c r="AI237" s="86"/>
      <c r="AJ237" s="86"/>
      <c r="AK237" s="86"/>
    </row>
    <row r="238" spans="1:37" ht="16.5" customHeight="1" x14ac:dyDescent="0.25">
      <c r="A238" s="85"/>
      <c r="D238" s="86"/>
      <c r="AH238" s="86"/>
      <c r="AI238" s="86"/>
      <c r="AJ238" s="86"/>
      <c r="AK238" s="86"/>
    </row>
    <row r="239" spans="1:37" x14ac:dyDescent="0.25">
      <c r="A239" s="85"/>
      <c r="D239" s="86"/>
      <c r="AH239" s="86"/>
      <c r="AI239" s="86"/>
      <c r="AJ239" s="86"/>
      <c r="AK239" s="86"/>
    </row>
    <row r="240" spans="1:37" x14ac:dyDescent="0.25">
      <c r="A240" s="85"/>
      <c r="D240" s="86"/>
      <c r="AH240" s="86"/>
      <c r="AI240" s="86"/>
      <c r="AJ240" s="86"/>
      <c r="AK240" s="86"/>
    </row>
    <row r="241" spans="1:37" x14ac:dyDescent="0.25">
      <c r="A241" s="85"/>
      <c r="D241" s="86"/>
      <c r="AH241" s="86"/>
      <c r="AI241" s="86"/>
      <c r="AJ241" s="86"/>
      <c r="AK241" s="86"/>
    </row>
    <row r="242" spans="1:37" x14ac:dyDescent="0.25">
      <c r="A242" s="85"/>
      <c r="D242" s="86"/>
      <c r="AH242" s="86"/>
      <c r="AI242" s="86"/>
      <c r="AJ242" s="86"/>
      <c r="AK242" s="86"/>
    </row>
    <row r="243" spans="1:37" x14ac:dyDescent="0.25">
      <c r="A243" s="85"/>
      <c r="D243" s="86"/>
      <c r="AH243" s="86"/>
      <c r="AI243" s="86"/>
      <c r="AJ243" s="86"/>
      <c r="AK243" s="86"/>
    </row>
  </sheetData>
  <autoFilter ref="A1:AK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L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4" sqref="B24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8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68" t="s">
        <v>93</v>
      </c>
      <c r="Q1" s="69" t="s">
        <v>41</v>
      </c>
      <c r="R1" s="69" t="s">
        <v>69</v>
      </c>
      <c r="S1" s="70" t="s">
        <v>63</v>
      </c>
      <c r="T1" s="70" t="s">
        <v>116</v>
      </c>
      <c r="U1" s="69" t="s">
        <v>112</v>
      </c>
      <c r="V1" s="70" t="s">
        <v>32</v>
      </c>
      <c r="W1" s="69" t="s">
        <v>106</v>
      </c>
      <c r="X1" s="69" t="s">
        <v>144</v>
      </c>
      <c r="Y1" s="70" t="s">
        <v>62</v>
      </c>
      <c r="Z1" s="69" t="s">
        <v>73</v>
      </c>
      <c r="AA1" s="69" t="s">
        <v>91</v>
      </c>
      <c r="AB1" s="70" t="s">
        <v>95</v>
      </c>
      <c r="AC1" s="69" t="s">
        <v>92</v>
      </c>
      <c r="AD1" s="70" t="s">
        <v>67</v>
      </c>
      <c r="AE1" s="70" t="s">
        <v>56</v>
      </c>
      <c r="AF1" s="70" t="s">
        <v>218</v>
      </c>
      <c r="AG1" s="69" t="s">
        <v>104</v>
      </c>
      <c r="AH1" s="69" t="s">
        <v>66</v>
      </c>
      <c r="AI1" s="69" t="s">
        <v>72</v>
      </c>
      <c r="AJ1" s="70" t="s">
        <v>68</v>
      </c>
      <c r="AK1" s="70" t="s">
        <v>135</v>
      </c>
      <c r="AL1" s="71" t="s">
        <v>96</v>
      </c>
    </row>
    <row r="2" spans="1:38" x14ac:dyDescent="0.25">
      <c r="A2" s="2" t="s">
        <v>37</v>
      </c>
      <c r="B2" s="3" t="s">
        <v>79</v>
      </c>
      <c r="C2" s="3" t="s">
        <v>79</v>
      </c>
      <c r="D2" s="34">
        <f>SUMIFS('Tourney History BA'!C:C,'Tourney History BA'!B:B,A2)</f>
        <v>17</v>
      </c>
      <c r="E2" s="4">
        <f>AVERAGEIFS('Tourney History BA'!C:C,'Tourney History BA'!B:B,A2)</f>
        <v>17</v>
      </c>
      <c r="F2" s="35">
        <f t="array" ref="F2">MAX(IF('Tourney History BA'!B:B=A2, 'Tourney History BA'!C:C))</f>
        <v>17</v>
      </c>
      <c r="G2" s="34">
        <f>COUNTIFS('Tourney History BA'!B:B,A2,'Tourney History BA'!D:D, 1)</f>
        <v>1</v>
      </c>
      <c r="H2" s="2">
        <f>COUNTIFS('Tourney History BA'!B:B,A2,'Tourney History BA'!D:D, 0)</f>
        <v>0</v>
      </c>
      <c r="I2" s="88">
        <f>LOOKUP(2, 1/('Tourney History BA'!$B:$B=A2), 'Tourney History BA'!$AK:$AK)</f>
        <v>1</v>
      </c>
      <c r="J2" s="34">
        <f>SUMIFS('Tourney History BA'!F:F,'Tourney History BA'!B:B,A2)</f>
        <v>3</v>
      </c>
      <c r="K2" s="2">
        <f>SUMIFS('Tourney History BA'!E:E,'Tourney History BA'!B:B,A2)-J2</f>
        <v>1</v>
      </c>
      <c r="L2" s="88">
        <f>LOOKUP(2, 1/('Tourney History BA'!$B:$B=A2), 'Tourney History BA'!$AI:$AI)</f>
        <v>0.75</v>
      </c>
      <c r="M2" s="34">
        <f>SUMIFS('Tourney History BA'!H:H,'Tourney History BA'!B:B,A2)</f>
        <v>10</v>
      </c>
      <c r="N2" s="2">
        <f>SUMIFS('Tourney History BA'!G:G,'Tourney History BA'!B:B,A2)-M2</f>
        <v>6</v>
      </c>
      <c r="O2" s="88">
        <f>LOOKUP(2, 1/('Tourney History BA'!$B:$B=A2), 'Tourney History BA'!$AJ:$AJ)</f>
        <v>0.63</v>
      </c>
      <c r="P2" s="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BA'!$B:$B,$A$2,'Tourney History BA'!U:U, 1)</f>
        <v>0</v>
      </c>
      <c r="AA2" s="2">
        <f>COUNTIFS('Tourney History BA'!$B:$B,$A$2,'Tourney History BA'!V:V, 1)</f>
        <v>0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1</v>
      </c>
      <c r="AE2" s="2">
        <f>COUNTIFS('Tourney History BA'!$B:$B,$A$2,'Tourney History BA'!Z:Z, 1)</f>
        <v>0</v>
      </c>
      <c r="AF2" s="2">
        <f>COUNTIFS('Tourney History BA'!$B:$B,$A$2,'Tourney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BA'!$B:$B,$A$2,'Tourney History BA'!AD:AD, 1)</f>
        <v>0</v>
      </c>
      <c r="AJ2" s="2">
        <f>COUNTIFS('Tourney History BA'!$B:$B,$A$2,'Tourney History BA'!AE:AE, 1)</f>
        <v>1</v>
      </c>
      <c r="AK2" s="2">
        <f>COUNTIFS('Tourney History BA'!$B:$B,$A$2,'Tourney History BA'!AF:AF, 1)</f>
        <v>0</v>
      </c>
      <c r="AL2" s="2">
        <f>COUNTIFS('Tourney History BA'!$B:$B,$A$2,'Tourney History BA'!AG:AG, 1)</f>
        <v>1</v>
      </c>
    </row>
    <row r="3" spans="1:38" x14ac:dyDescent="0.25">
      <c r="A3" s="2" t="s">
        <v>71</v>
      </c>
      <c r="B3" s="3" t="s">
        <v>79</v>
      </c>
      <c r="C3" s="3" t="s">
        <v>79</v>
      </c>
      <c r="D3" s="34">
        <f>SUMIFS('Tourney History BA'!C:C,'Tourney History BA'!B:B,A3)</f>
        <v>26</v>
      </c>
      <c r="E3" s="4">
        <f>AVERAGEIFS('Tourney History BA'!C:C,'Tourney History BA'!B:B,A3)</f>
        <v>26</v>
      </c>
      <c r="F3" s="35">
        <f t="array" ref="F3">MAX(IF('Tourney History BA'!B:B=A3, 'Tourney History BA'!C:C))</f>
        <v>26</v>
      </c>
      <c r="G3" s="34">
        <f>COUNTIFS('Tourney History BA'!B:B,A3,'Tourney History BA'!D:D, 1)</f>
        <v>1</v>
      </c>
      <c r="H3" s="2">
        <f>COUNTIFS('Tourney History BA'!B:B,A3,'Tourney History BA'!D:D, 0)</f>
        <v>0</v>
      </c>
      <c r="I3" s="88">
        <f>LOOKUP(2, 1/('Tourney History BA'!$B:$B=A3), 'Tourney History BA'!$AK:$AK)</f>
        <v>1</v>
      </c>
      <c r="J3" s="34">
        <f>SUMIFS('Tourney History BA'!F:F,'Tourney History BA'!B:B,A3)</f>
        <v>3</v>
      </c>
      <c r="K3" s="2">
        <f>SUMIFS('Tourney History BA'!E:E,'Tourney History BA'!B:B,A3)-J3</f>
        <v>1</v>
      </c>
      <c r="L3" s="88">
        <f>LOOKUP(2, 1/('Tourney History BA'!$B:$B=A3), 'Tourney History BA'!$AI:$AI)</f>
        <v>0.75</v>
      </c>
      <c r="M3" s="34">
        <f>SUMIFS('Tourney History BA'!H:H,'Tourney History BA'!B:B,A3)</f>
        <v>9</v>
      </c>
      <c r="N3" s="2">
        <f>SUMIFS('Tourney History BA'!G:G,'Tourney History BA'!B:B,A3)-M3</f>
        <v>7</v>
      </c>
      <c r="O3" s="88">
        <f>LOOKUP(2, 1/('Tourney History BA'!$B:$B=A3), 'Tourney History BA'!$AJ:$AJ)</f>
        <v>0.56000000000000005</v>
      </c>
      <c r="P3" s="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0</v>
      </c>
      <c r="S3" s="2">
        <f>COUNTIFS('Tourney History BA'!$B:$B,$A$3,'Tourney History BA'!N:N, 1)</f>
        <v>0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BA'!$B:$B,$A$3,'Tourney History BA'!U:U, 1)</f>
        <v>0</v>
      </c>
      <c r="AA3" s="2">
        <f>COUNTIFS('Tourney History BA'!$B:$B,$A$3,'Tourney History BA'!V:V, 1)</f>
        <v>1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1</v>
      </c>
      <c r="AF3" s="2">
        <f>COUNTIFS('Tourney History BA'!$B:$B,$A$3,'Tourney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0</v>
      </c>
      <c r="AI3" s="2">
        <f>COUNTIFS('Tourney History BA'!$B:$B,$A$3,'Tourney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1</v>
      </c>
    </row>
    <row r="4" spans="1:38" x14ac:dyDescent="0.25">
      <c r="A4" s="1" t="s">
        <v>42</v>
      </c>
      <c r="B4" s="3" t="s">
        <v>79</v>
      </c>
      <c r="C4" s="3" t="s">
        <v>79</v>
      </c>
      <c r="D4" s="34">
        <f>SUMIFS('Tourney History BA'!C:C,'Tourney History BA'!B:B,A4)</f>
        <v>28</v>
      </c>
      <c r="E4" s="4">
        <f>AVERAGEIFS('Tourney History BA'!C:C,'Tourney History BA'!B:B,A4)</f>
        <v>28</v>
      </c>
      <c r="F4" s="35">
        <f t="array" ref="F4">MAX(IF('Tourney History BA'!B:B=A4, 'Tourney History BA'!C:C))</f>
        <v>28</v>
      </c>
      <c r="G4" s="34">
        <f>COUNTIFS('Tourney History BA'!B:B,A4,'Tourney History BA'!D:D, 1)</f>
        <v>0</v>
      </c>
      <c r="H4" s="2">
        <f>COUNTIFS('Tourney History BA'!B:B,A4,'Tourney History BA'!D:D, 0)</f>
        <v>1</v>
      </c>
      <c r="I4" s="88">
        <f>LOOKUP(2, 1/('Tourney History BA'!$B:$B=A4), 'Tourney History BA'!$AK:$AK)</f>
        <v>0</v>
      </c>
      <c r="J4" s="34">
        <f>SUMIFS('Tourney History BA'!F:F,'Tourney History BA'!B:B,A4)</f>
        <v>1</v>
      </c>
      <c r="K4" s="2">
        <f>SUMIFS('Tourney History BA'!E:E,'Tourney History BA'!B:B,A4)-J4</f>
        <v>3</v>
      </c>
      <c r="L4" s="88">
        <f>LOOKUP(2, 1/('Tourney History BA'!$B:$B=A4), 'Tourney History BA'!$AI:$AI)</f>
        <v>0.25</v>
      </c>
      <c r="M4" s="34">
        <f>SUMIFS('Tourney History BA'!H:H,'Tourney History BA'!B:B,A4)</f>
        <v>6</v>
      </c>
      <c r="N4" s="2">
        <f>SUMIFS('Tourney History BA'!G:G,'Tourney History BA'!B:B,A4)-M4</f>
        <v>10</v>
      </c>
      <c r="O4" s="88">
        <f>LOOKUP(2, 1/('Tourney History BA'!$B:$B=A4), 'Tourney History BA'!$AJ:$AJ)</f>
        <v>0.38</v>
      </c>
      <c r="P4" s="2">
        <f>COUNTIFS('Tourney History BA'!$B:$B,$A$4,'Tourney History BA'!K:K, 1)</f>
        <v>1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BA'!$B:$B,$A$4,'Tourney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0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0</v>
      </c>
      <c r="AF4" s="2">
        <f>COUNTIFS('Tourney History BA'!$B:$B,$A$4,'Tourney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0</v>
      </c>
      <c r="AI4" s="2">
        <f>COUNTIFS('Tourney History BA'!$B:$B,$A$4,'Tourney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</row>
    <row r="5" spans="1:38" x14ac:dyDescent="0.25">
      <c r="A5" s="1" t="s">
        <v>179</v>
      </c>
      <c r="B5" s="3" t="s">
        <v>79</v>
      </c>
      <c r="C5" s="3" t="s">
        <v>79</v>
      </c>
      <c r="D5" s="34">
        <f>SUMIFS('Tourney History BA'!C:C,'Tourney History BA'!B:B,A5)</f>
        <v>30</v>
      </c>
      <c r="E5" s="4">
        <f>AVERAGEIFS('Tourney History BA'!C:C,'Tourney History BA'!B:B,A5)</f>
        <v>30</v>
      </c>
      <c r="F5" s="35">
        <f t="array" ref="F5">MAX(IF('Tourney History BA'!B:B=A5, 'Tourney History BA'!C:C))</f>
        <v>30</v>
      </c>
      <c r="G5" s="34">
        <f>COUNTIFS('Tourney History BA'!B:B,A5,'Tourney History BA'!D:D, 1)</f>
        <v>1</v>
      </c>
      <c r="H5" s="2">
        <f>COUNTIFS('Tourney History BA'!B:B,A5,'Tourney History BA'!D:D, 0)</f>
        <v>0</v>
      </c>
      <c r="I5" s="88">
        <f>LOOKUP(2, 1/('Tourney History BA'!$B:$B=A5), 'Tourney History BA'!$AK:$AK)</f>
        <v>1</v>
      </c>
      <c r="J5" s="34">
        <f>SUMIFS('Tourney History BA'!F:F,'Tourney History BA'!B:B,A5)</f>
        <v>3</v>
      </c>
      <c r="K5" s="2">
        <f>SUMIFS('Tourney History BA'!E:E,'Tourney History BA'!B:B,A5)-J5</f>
        <v>1</v>
      </c>
      <c r="L5" s="88">
        <f>LOOKUP(2, 1/('Tourney History BA'!$B:$B=A5), 'Tourney History BA'!$AI:$AI)</f>
        <v>0.75</v>
      </c>
      <c r="M5" s="34">
        <f>SUMIFS('Tourney History BA'!H:H,'Tourney History BA'!B:B,A5)</f>
        <v>10</v>
      </c>
      <c r="N5" s="2">
        <f>SUMIFS('Tourney History BA'!G:G,'Tourney History BA'!B:B,A5)-M5</f>
        <v>6</v>
      </c>
      <c r="O5" s="88">
        <f>LOOKUP(2, 1/('Tourney History BA'!$B:$B=A5), 'Tourney History BA'!$AJ:$AJ)</f>
        <v>0.63</v>
      </c>
      <c r="P5" s="2">
        <f>COUNTIFS('Tourney History BA'!$B:$B,$A$5,'Tourney History BA'!K:K, 1)</f>
        <v>0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BA'!$B:$B,$A$5,'Tourney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1</v>
      </c>
      <c r="AE5" s="2">
        <f>COUNTIFS('Tourney History BA'!$B:$B,$A$5,'Tourney History BA'!Z:Z, 1)</f>
        <v>0</v>
      </c>
      <c r="AF5" s="2">
        <f>COUNTIFS('Tourney History BA'!$B:$B,$A$5,'Tourney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BA'!$B:$B,$A$5,'Tourney History BA'!AD:AD, 1)</f>
        <v>0</v>
      </c>
      <c r="AJ5" s="2">
        <f>COUNTIFS('Tourney History BA'!$B:$B,$A$5,'Tourney History BA'!AE:AE, 1)</f>
        <v>1</v>
      </c>
      <c r="AK5" s="2">
        <f>COUNTIFS('Tourney History BA'!$B:$B,$A$5,'Tourney History BA'!AF:AF, 1)</f>
        <v>0</v>
      </c>
      <c r="AL5" s="2">
        <f>COUNTIFS('Tourney History BA'!$B:$B,$A$5,'Tourney History BA'!AG:AG, 1)</f>
        <v>1</v>
      </c>
    </row>
    <row r="6" spans="1:38" x14ac:dyDescent="0.25">
      <c r="A6" s="1" t="s">
        <v>214</v>
      </c>
      <c r="B6" s="3" t="s">
        <v>79</v>
      </c>
      <c r="C6" s="3" t="s">
        <v>79</v>
      </c>
      <c r="D6" s="34">
        <f>SUMIFS('Tourney History BA'!C:C,'Tourney History BA'!B:B,A6)</f>
        <v>3</v>
      </c>
      <c r="E6" s="4">
        <f>AVERAGEIFS('Tourney History BA'!C:C,'Tourney History BA'!B:B,A6)</f>
        <v>3</v>
      </c>
      <c r="F6" s="35">
        <f t="array" ref="F6">MAX(IF('Tourney History BA'!B:B=A6, 'Tourney History BA'!C:C))</f>
        <v>3</v>
      </c>
      <c r="G6" s="34">
        <f>COUNTIFS('Tourney History BA'!B:B,A6,'Tourney History BA'!D:D, 1)</f>
        <v>1</v>
      </c>
      <c r="H6" s="2">
        <f>COUNTIFS('Tourney History BA'!B:B,A6,'Tourney History BA'!D:D, 0)</f>
        <v>0</v>
      </c>
      <c r="I6" s="88">
        <f>LOOKUP(2, 1/('Tourney History BA'!$B:$B=A6), 'Tourney History BA'!$AK:$AK)</f>
        <v>1</v>
      </c>
      <c r="J6" s="34">
        <f>SUMIFS('Tourney History BA'!F:F,'Tourney History BA'!B:B,A6)</f>
        <v>3</v>
      </c>
      <c r="K6" s="2">
        <f>SUMIFS('Tourney History BA'!E:E,'Tourney History BA'!B:B,A6)-J6</f>
        <v>1</v>
      </c>
      <c r="L6" s="88">
        <f>LOOKUP(2, 1/('Tourney History BA'!$B:$B=A6), 'Tourney History BA'!$AI:$AI)</f>
        <v>0.75</v>
      </c>
      <c r="M6" s="34">
        <f>SUMIFS('Tourney History BA'!H:H,'Tourney History BA'!B:B,A6)</f>
        <v>10</v>
      </c>
      <c r="N6" s="2">
        <f>SUMIFS('Tourney History BA'!G:G,'Tourney History BA'!B:B,A6)-M6</f>
        <v>6</v>
      </c>
      <c r="O6" s="88">
        <f>LOOKUP(2, 1/('Tourney History BA'!$B:$B=A6), 'Tourney History BA'!$AJ:$AJ)</f>
        <v>0.63</v>
      </c>
      <c r="P6" s="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0</v>
      </c>
      <c r="S6" s="2">
        <f>COUNTIFS('Tourney History BA'!$B:$B,$A$6,'Tourney History BA'!N:N, 1)</f>
        <v>0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BA'!$B:$B,$A$6,'Tourney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1</v>
      </c>
      <c r="AE6" s="2">
        <f>COUNTIFS('Tourney History BA'!$B:$B,$A$6,'Tourney History BA'!Z:Z, 1)</f>
        <v>0</v>
      </c>
      <c r="AF6" s="2">
        <f>COUNTIFS('Tourney History BA'!$B:$B,$A$6,'Tourney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0</v>
      </c>
      <c r="AI6" s="2">
        <f>COUNTIFS('Tourney History BA'!$B:$B,$A$6,'Tourney History BA'!AD:AD, 1)</f>
        <v>0</v>
      </c>
      <c r="AJ6" s="2">
        <f>COUNTIFS('Tourney History BA'!$B:$B,$A$6,'Tourney History BA'!AE:AE, 1)</f>
        <v>1</v>
      </c>
      <c r="AK6" s="2">
        <f>COUNTIFS('Tourney History BA'!$B:$B,$A$6,'Tourney History BA'!AF:AF, 1)</f>
        <v>0</v>
      </c>
      <c r="AL6" s="2">
        <f>COUNTIFS('Tourney History BA'!$B:$B,$A$6,'Tourney History BA'!AG:AG, 1)</f>
        <v>1</v>
      </c>
    </row>
    <row r="7" spans="1:38" x14ac:dyDescent="0.25">
      <c r="A7" s="1" t="s">
        <v>25</v>
      </c>
      <c r="B7" s="3" t="s">
        <v>79</v>
      </c>
      <c r="C7" s="3" t="s">
        <v>79</v>
      </c>
      <c r="D7" s="34">
        <f>SUMIFS('Tourney History BA'!C:C,'Tourney History BA'!B:B,A7)</f>
        <v>13</v>
      </c>
      <c r="E7" s="4">
        <f>AVERAGEIFS('Tourney History BA'!C:C,'Tourney History BA'!B:B,A7)</f>
        <v>13</v>
      </c>
      <c r="F7" s="35">
        <f t="array" ref="F7">MAX(IF('Tourney History BA'!B:B=A7, 'Tourney History BA'!C:C))</f>
        <v>13</v>
      </c>
      <c r="G7" s="34">
        <f>COUNTIFS('Tourney History BA'!B:B,A7,'Tourney History BA'!D:D, 1)</f>
        <v>1</v>
      </c>
      <c r="H7" s="2">
        <f>COUNTIFS('Tourney History BA'!B:B,A7,'Tourney History BA'!D:D, 0)</f>
        <v>0</v>
      </c>
      <c r="I7" s="88">
        <f>LOOKUP(2, 1/('Tourney History BA'!$B:$B=A7), 'Tourney History BA'!$AK:$AK)</f>
        <v>1</v>
      </c>
      <c r="J7" s="34">
        <f>SUMIFS('Tourney History BA'!F:F,'Tourney History BA'!B:B,A7)</f>
        <v>3</v>
      </c>
      <c r="K7" s="2">
        <f>SUMIFS('Tourney History BA'!E:E,'Tourney History BA'!B:B,A7)-J7</f>
        <v>1</v>
      </c>
      <c r="L7" s="88">
        <f>LOOKUP(2, 1/('Tourney History BA'!$B:$B=A7), 'Tourney History BA'!$AI:$AI)</f>
        <v>0.75</v>
      </c>
      <c r="M7" s="34">
        <f>SUMIFS('Tourney History BA'!H:H,'Tourney History BA'!B:B,A7)</f>
        <v>9</v>
      </c>
      <c r="N7" s="2">
        <f>SUMIFS('Tourney History BA'!G:G,'Tourney History BA'!B:B,A7)-M7</f>
        <v>7</v>
      </c>
      <c r="O7" s="88">
        <f>LOOKUP(2, 1/('Tourney History BA'!$B:$B=A7), 'Tourney History BA'!$AJ:$AJ)</f>
        <v>0.56000000000000005</v>
      </c>
      <c r="P7" s="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0</v>
      </c>
      <c r="S7" s="2">
        <f>COUNTIFS('Tourney History BA'!$B:$B,$A$7,'Tourney History BA'!N:N, 1)</f>
        <v>0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BA'!$B:$B,$A$7,'Tourney History BA'!U:U, 1)</f>
        <v>0</v>
      </c>
      <c r="AA7" s="2">
        <f>COUNTIFS('Tourney History BA'!$B:$B,$A$7,'Tourney History BA'!V:V, 1)</f>
        <v>1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1</v>
      </c>
      <c r="AF7" s="2">
        <f>COUNTIFS('Tourney History BA'!$B:$B,$A$7,'Tourney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0</v>
      </c>
      <c r="AI7" s="2">
        <f>COUNTIFS('Tourney History BA'!$B:$B,$A$7,'Tourney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1</v>
      </c>
    </row>
    <row r="8" spans="1:38" x14ac:dyDescent="0.25">
      <c r="A8" s="1" t="s">
        <v>146</v>
      </c>
      <c r="B8" s="3" t="s">
        <v>79</v>
      </c>
      <c r="C8" s="3" t="s">
        <v>79</v>
      </c>
      <c r="D8" s="34">
        <f>SUMIFS('Tourney History BA'!C:C,'Tourney History BA'!B:B,A8)</f>
        <v>13</v>
      </c>
      <c r="E8" s="4">
        <f>AVERAGEIFS('Tourney History BA'!C:C,'Tourney History BA'!B:B,A8)</f>
        <v>13</v>
      </c>
      <c r="F8" s="35">
        <f t="array" ref="F8">MAX(IF('Tourney History BA'!B:B=A8, 'Tourney History BA'!C:C))</f>
        <v>13</v>
      </c>
      <c r="G8" s="34">
        <f>COUNTIFS('Tourney History BA'!B:B,A8,'Tourney History BA'!D:D, 1)</f>
        <v>0</v>
      </c>
      <c r="H8" s="2">
        <f>COUNTIFS('Tourney History BA'!B:B,A8,'Tourney History BA'!D:D, 0)</f>
        <v>1</v>
      </c>
      <c r="I8" s="88">
        <f>LOOKUP(2, 1/('Tourney History BA'!$B:$B=A8), 'Tourney History BA'!$AK:$AK)</f>
        <v>0</v>
      </c>
      <c r="J8" s="34">
        <f>SUMIFS('Tourney History BA'!F:F,'Tourney History BA'!B:B,A8)</f>
        <v>1</v>
      </c>
      <c r="K8" s="2">
        <f>SUMIFS('Tourney History BA'!E:E,'Tourney History BA'!B:B,A8)-J8</f>
        <v>3</v>
      </c>
      <c r="L8" s="88">
        <f>LOOKUP(2, 1/('Tourney History BA'!$B:$B=A8), 'Tourney History BA'!$AI:$AI)</f>
        <v>0.25</v>
      </c>
      <c r="M8" s="34">
        <f>SUMIFS('Tourney History BA'!H:H,'Tourney History BA'!B:B,A8)</f>
        <v>6</v>
      </c>
      <c r="N8" s="2">
        <f>SUMIFS('Tourney History BA'!G:G,'Tourney History BA'!B:B,A8)-M8</f>
        <v>10</v>
      </c>
      <c r="O8" s="88">
        <f>LOOKUP(2, 1/('Tourney History BA'!$B:$B=A8), 'Tourney History BA'!$AJ:$AJ)</f>
        <v>0.38</v>
      </c>
      <c r="P8" s="2">
        <f>COUNTIFS('Tourney History BA'!$B:$B,$A$8,'Tourney History BA'!K:K, 1)</f>
        <v>1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BA'!$B:$B,$A$8,'Tourney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0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0</v>
      </c>
      <c r="AF8" s="2">
        <f>COUNTIFS('Tourney History BA'!$B:$B,$A$8,'Tourney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0</v>
      </c>
      <c r="AI8" s="2">
        <f>COUNTIFS('Tourney History BA'!$B:$B,$A$8,'Tourney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</row>
    <row r="9" spans="1:38" x14ac:dyDescent="0.25">
      <c r="A9" s="1" t="s">
        <v>44</v>
      </c>
      <c r="B9" s="3" t="s">
        <v>79</v>
      </c>
      <c r="C9" s="3" t="s">
        <v>79</v>
      </c>
      <c r="D9" s="34">
        <f>SUMIFS('Tourney History BA'!C:C,'Tourney History BA'!B:B,A9)</f>
        <v>16</v>
      </c>
      <c r="E9" s="4">
        <f>AVERAGEIFS('Tourney History BA'!C:C,'Tourney History BA'!B:B,A9)</f>
        <v>16</v>
      </c>
      <c r="F9" s="35">
        <f t="array" ref="F9">MAX(IF('Tourney History BA'!B:B=A9, 'Tourney History BA'!C:C))</f>
        <v>16</v>
      </c>
      <c r="G9" s="34">
        <f>COUNTIFS('Tourney History BA'!B:B,A9,'Tourney History BA'!D:D, 1)</f>
        <v>1</v>
      </c>
      <c r="H9" s="2">
        <f>COUNTIFS('Tourney History BA'!B:B,A9,'Tourney History BA'!D:D, 0)</f>
        <v>0</v>
      </c>
      <c r="I9" s="88">
        <f>LOOKUP(2, 1/('Tourney History BA'!$B:$B=A9), 'Tourney History BA'!$AK:$AK)</f>
        <v>1</v>
      </c>
      <c r="J9" s="34">
        <f>SUMIFS('Tourney History BA'!F:F,'Tourney History BA'!B:B,A9)</f>
        <v>3</v>
      </c>
      <c r="K9" s="2">
        <f>SUMIFS('Tourney History BA'!E:E,'Tourney History BA'!B:B,A9)-J9</f>
        <v>1</v>
      </c>
      <c r="L9" s="88">
        <f>LOOKUP(2, 1/('Tourney History BA'!$B:$B=A9), 'Tourney History BA'!$AI:$AI)</f>
        <v>0.75</v>
      </c>
      <c r="M9" s="34">
        <f>SUMIFS('Tourney History BA'!H:H,'Tourney History BA'!B:B,A9)</f>
        <v>10</v>
      </c>
      <c r="N9" s="2">
        <f>SUMIFS('Tourney History BA'!G:G,'Tourney History BA'!B:B,A9)-M9</f>
        <v>6</v>
      </c>
      <c r="O9" s="88">
        <f>LOOKUP(2, 1/('Tourney History BA'!$B:$B=A9), 'Tourney History BA'!$AJ:$AJ)</f>
        <v>0.63</v>
      </c>
      <c r="P9" s="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BA'!$B:$B,$A$9,'Tourney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1</v>
      </c>
      <c r="AE9" s="2">
        <f>COUNTIFS('Tourney History BA'!$B:$B,$A$9,'Tourney History BA'!Z:Z, 1)</f>
        <v>0</v>
      </c>
      <c r="AF9" s="2">
        <f>COUNTIFS('Tourney History BA'!$B:$B,$A$9,'Tourney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0</v>
      </c>
      <c r="AI9" s="2">
        <f>COUNTIFS('Tourney History BA'!$B:$B,$A$9,'Tourney History BA'!AD:AD, 1)</f>
        <v>0</v>
      </c>
      <c r="AJ9" s="2">
        <f>COUNTIFS('Tourney History BA'!$B:$B,$A$9,'Tourney History BA'!AE:AE, 1)</f>
        <v>1</v>
      </c>
      <c r="AK9" s="2">
        <f>COUNTIFS('Tourney History BA'!$B:$B,$A$9,'Tourney History BA'!AF:AF, 1)</f>
        <v>0</v>
      </c>
      <c r="AL9" s="2">
        <f>COUNTIFS('Tourney History BA'!$B:$B,$A$9,'Tourney History BA'!AG:AG, 1)</f>
        <v>1</v>
      </c>
    </row>
    <row r="10" spans="1:38" x14ac:dyDescent="0.25">
      <c r="A10" s="1" t="s">
        <v>1</v>
      </c>
      <c r="B10" s="1" t="s">
        <v>158</v>
      </c>
      <c r="C10" s="3" t="s">
        <v>79</v>
      </c>
      <c r="D10" s="34">
        <f>SUMIFS('Tourney History BA'!C:C,'Tourney History BA'!B:B,A10)</f>
        <v>37</v>
      </c>
      <c r="E10" s="4">
        <f>AVERAGEIFS('Tourney History BA'!C:C,'Tourney History BA'!B:B,A10)</f>
        <v>37</v>
      </c>
      <c r="F10" s="35">
        <f t="array" ref="F10">MAX(IF('Tourney History BA'!B:B=A10, 'Tourney History BA'!C:C))</f>
        <v>37</v>
      </c>
      <c r="G10" s="34">
        <f>COUNTIFS('Tourney History BA'!B:B,A10,'Tourney History BA'!D:D, 1)</f>
        <v>1</v>
      </c>
      <c r="H10" s="2">
        <f>COUNTIFS('Tourney History BA'!B:B,A10,'Tourney History BA'!D:D, 0)</f>
        <v>0</v>
      </c>
      <c r="I10" s="88">
        <f>LOOKUP(2, 1/('Tourney History BA'!$B:$B=A10), 'Tourney History BA'!$AK:$AK)</f>
        <v>1</v>
      </c>
      <c r="J10" s="34">
        <f>SUMIFS('Tourney History BA'!F:F,'Tourney History BA'!B:B,A10)</f>
        <v>3</v>
      </c>
      <c r="K10" s="2">
        <f>SUMIFS('Tourney History BA'!E:E,'Tourney History BA'!B:B,A10)-J10</f>
        <v>1</v>
      </c>
      <c r="L10" s="88">
        <f>LOOKUP(2, 1/('Tourney History BA'!$B:$B=A10), 'Tourney History BA'!$AI:$AI)</f>
        <v>0.75</v>
      </c>
      <c r="M10" s="34">
        <f>SUMIFS('Tourney History BA'!H:H,'Tourney History BA'!B:B,A10)</f>
        <v>10</v>
      </c>
      <c r="N10" s="2">
        <f>SUMIFS('Tourney History BA'!G:G,'Tourney History BA'!B:B,A10)-M10</f>
        <v>6</v>
      </c>
      <c r="O10" s="88">
        <f>LOOKUP(2, 1/('Tourney History BA'!$B:$B=A10), 'Tourney History BA'!$AJ:$AJ)</f>
        <v>0.63</v>
      </c>
      <c r="P10" s="2">
        <f>COUNTIFS('Tourney History BA'!$B:$B,$A$10,'Tourney History BA'!K:K, 1)</f>
        <v>0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BA'!$B:$B,$A$10,'Tourney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1</v>
      </c>
      <c r="AE10" s="2">
        <f>COUNTIFS('Tourney History BA'!$B:$B,$A$10,'Tourney History BA'!Z:Z, 1)</f>
        <v>0</v>
      </c>
      <c r="AF10" s="2">
        <f>COUNTIFS('Tourney History BA'!$B:$B,$A$10,'Tourney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BA'!$B:$B,$A$10,'Tourney History BA'!AD:AD, 1)</f>
        <v>0</v>
      </c>
      <c r="AJ10" s="2">
        <f>COUNTIFS('Tourney History BA'!$B:$B,$A$10,'Tourney History BA'!AE:AE, 1)</f>
        <v>1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1</v>
      </c>
    </row>
    <row r="11" spans="1:38" x14ac:dyDescent="0.25">
      <c r="A11" s="1" t="s">
        <v>28</v>
      </c>
      <c r="B11" s="3" t="s">
        <v>79</v>
      </c>
      <c r="C11" s="3" t="s">
        <v>79</v>
      </c>
      <c r="D11" s="34">
        <f>SUMIFS('Tourney History BA'!C:C,'Tourney History BA'!B:B,A11)</f>
        <v>14</v>
      </c>
      <c r="E11" s="4">
        <f>AVERAGEIFS('Tourney History BA'!C:C,'Tourney History BA'!B:B,A11)</f>
        <v>14</v>
      </c>
      <c r="F11" s="35">
        <f t="array" ref="F11">MAX(IF('Tourney History BA'!B:B=A11, 'Tourney History BA'!C:C))</f>
        <v>14</v>
      </c>
      <c r="G11" s="34">
        <f>COUNTIFS('Tourney History BA'!B:B,A11,'Tourney History BA'!D:D, 1)</f>
        <v>0</v>
      </c>
      <c r="H11" s="2">
        <f>COUNTIFS('Tourney History BA'!B:B,A11,'Tourney History BA'!D:D, 0)</f>
        <v>1</v>
      </c>
      <c r="I11" s="88">
        <f>LOOKUP(2, 1/('Tourney History BA'!$B:$B=A11), 'Tourney History BA'!$AK:$AK)</f>
        <v>0</v>
      </c>
      <c r="J11" s="34">
        <f>SUMIFS('Tourney History BA'!F:F,'Tourney History BA'!B:B,A11)</f>
        <v>1</v>
      </c>
      <c r="K11" s="2">
        <f>SUMIFS('Tourney History BA'!E:E,'Tourney History BA'!B:B,A11)-J11</f>
        <v>3</v>
      </c>
      <c r="L11" s="88">
        <f>LOOKUP(2, 1/('Tourney History BA'!$B:$B=A11), 'Tourney History BA'!$AI:$AI)</f>
        <v>0.25</v>
      </c>
      <c r="M11" s="34">
        <f>SUMIFS('Tourney History BA'!H:H,'Tourney History BA'!B:B,A11)</f>
        <v>6</v>
      </c>
      <c r="N11" s="2">
        <f>SUMIFS('Tourney History BA'!G:G,'Tourney History BA'!B:B,A11)-M11</f>
        <v>10</v>
      </c>
      <c r="O11" s="88">
        <f>LOOKUP(2, 1/('Tourney History BA'!$B:$B=A11), 'Tourney History BA'!$AJ:$AJ)</f>
        <v>0.38</v>
      </c>
      <c r="P11" s="2">
        <f>COUNTIFS('Tourney History BA'!$B:$B,$A$11,'Tourney History BA'!K:K, 1)</f>
        <v>1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BA'!$B:$B,$A$11,'Tourney History BA'!U:U, 1)</f>
        <v>0</v>
      </c>
      <c r="AA11" s="2">
        <f>COUNTIFS('Tourney History BA'!$B:$B,$A$11,'Tourney History BA'!V:V, 1)</f>
        <v>0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BA'!$B:$B,$A$11,'Tourney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BA'!$B:$B,$A$11,'Tourney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</row>
    <row r="12" spans="1:38" x14ac:dyDescent="0.25">
      <c r="A12" s="1" t="s">
        <v>53</v>
      </c>
      <c r="B12" s="3" t="s">
        <v>79</v>
      </c>
      <c r="C12" s="3" t="s">
        <v>79</v>
      </c>
      <c r="D12" s="34">
        <f>SUMIFS('Tourney History BA'!C:C,'Tourney History BA'!B:B,A12)</f>
        <v>27</v>
      </c>
      <c r="E12" s="4">
        <f>AVERAGEIFS('Tourney History BA'!C:C,'Tourney History BA'!B:B,A12)</f>
        <v>27</v>
      </c>
      <c r="F12" s="35">
        <f t="array" ref="F12">MAX(IF('Tourney History BA'!B:B=A12, 'Tourney History BA'!C:C))</f>
        <v>27</v>
      </c>
      <c r="G12" s="34">
        <f>COUNTIFS('Tourney History BA'!B:B,A12,'Tourney History BA'!D:D, 1)</f>
        <v>1</v>
      </c>
      <c r="H12" s="2">
        <f>COUNTIFS('Tourney History BA'!B:B,A12,'Tourney History BA'!D:D, 0)</f>
        <v>0</v>
      </c>
      <c r="I12" s="88">
        <f>LOOKUP(2, 1/('Tourney History BA'!$B:$B=A12), 'Tourney History BA'!$AK:$AK)</f>
        <v>1</v>
      </c>
      <c r="J12" s="34">
        <f>SUMIFS('Tourney History BA'!F:F,'Tourney History BA'!B:B,A12)</f>
        <v>3</v>
      </c>
      <c r="K12" s="2">
        <f>SUMIFS('Tourney History BA'!E:E,'Tourney History BA'!B:B,A12)-J12</f>
        <v>1</v>
      </c>
      <c r="L12" s="88">
        <f>LOOKUP(2, 1/('Tourney History BA'!$B:$B=A12), 'Tourney History BA'!$AI:$AI)</f>
        <v>0.75</v>
      </c>
      <c r="M12" s="34">
        <f>SUMIFS('Tourney History BA'!H:H,'Tourney History BA'!B:B,A12)</f>
        <v>9</v>
      </c>
      <c r="N12" s="2">
        <f>SUMIFS('Tourney History BA'!G:G,'Tourney History BA'!B:B,A12)-M12</f>
        <v>7</v>
      </c>
      <c r="O12" s="88">
        <f>LOOKUP(2, 1/('Tourney History BA'!$B:$B=A12), 'Tourney History BA'!$AJ:$AJ)</f>
        <v>0.56000000000000005</v>
      </c>
      <c r="P12" s="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0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BA'!$B:$B,$A$12,'Tourney History BA'!U:U, 1)</f>
        <v>0</v>
      </c>
      <c r="AA12" s="2">
        <f>COUNTIFS('Tourney History BA'!$B:$B,$A$12,'Tourney History BA'!V:V, 1)</f>
        <v>1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1</v>
      </c>
      <c r="AF12" s="2">
        <f>COUNTIFS('Tourney History BA'!$B:$B,$A$12,'Tourney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0</v>
      </c>
      <c r="AI12" s="2">
        <f>COUNTIFS('Tourney History BA'!$B:$B,$A$12,'Tourney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0</v>
      </c>
      <c r="AL12" s="2">
        <f>COUNTIFS('Tourney History BA'!$B:$B,$A$12,'Tourney History BA'!AG:AG, 1)</f>
        <v>1</v>
      </c>
    </row>
    <row r="13" spans="1:38" x14ac:dyDescent="0.25">
      <c r="A13" s="1" t="s">
        <v>148</v>
      </c>
      <c r="B13" s="3" t="s">
        <v>79</v>
      </c>
      <c r="C13" s="3" t="s">
        <v>79</v>
      </c>
      <c r="D13" s="34">
        <f>SUMIFS('Tourney History BA'!C:C,'Tourney History BA'!B:B,A13)</f>
        <v>16</v>
      </c>
      <c r="E13" s="4">
        <f>AVERAGEIFS('Tourney History BA'!C:C,'Tourney History BA'!B:B,A13)</f>
        <v>16</v>
      </c>
      <c r="F13" s="35">
        <f t="array" ref="F13">MAX(IF('Tourney History BA'!B:B=A13, 'Tourney History BA'!C:C))</f>
        <v>16</v>
      </c>
      <c r="G13" s="34">
        <f>COUNTIFS('Tourney History BA'!B:B,A13,'Tourney History BA'!D:D, 1)</f>
        <v>1</v>
      </c>
      <c r="H13" s="2">
        <f>COUNTIFS('Tourney History BA'!B:B,A13,'Tourney History BA'!D:D, 0)</f>
        <v>0</v>
      </c>
      <c r="I13" s="88">
        <f>LOOKUP(2, 1/('Tourney History BA'!$B:$B=A13), 'Tourney History BA'!$AK:$AK)</f>
        <v>1</v>
      </c>
      <c r="J13" s="34">
        <f>SUMIFS('Tourney History BA'!F:F,'Tourney History BA'!B:B,A13)</f>
        <v>3</v>
      </c>
      <c r="K13" s="2">
        <f>SUMIFS('Tourney History BA'!E:E,'Tourney History BA'!B:B,A13)-J13</f>
        <v>1</v>
      </c>
      <c r="L13" s="88">
        <f>LOOKUP(2, 1/('Tourney History BA'!$B:$B=A13), 'Tourney History BA'!$AI:$AI)</f>
        <v>0.75</v>
      </c>
      <c r="M13" s="34">
        <f>SUMIFS('Tourney History BA'!H:H,'Tourney History BA'!B:B,A13)</f>
        <v>9</v>
      </c>
      <c r="N13" s="2">
        <f>SUMIFS('Tourney History BA'!G:G,'Tourney History BA'!B:B,A13)-M13</f>
        <v>7</v>
      </c>
      <c r="O13" s="88">
        <f>LOOKUP(2, 1/('Tourney History BA'!$B:$B=A13), 'Tourney History BA'!$AJ:$AJ)</f>
        <v>0.56000000000000005</v>
      </c>
      <c r="P13" s="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BA'!$B:$B,$A$13,'Tourney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1</v>
      </c>
      <c r="AF13" s="2">
        <f>COUNTIFS('Tourney History BA'!$B:$B,$A$13,'Tourney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BA'!$B:$B,$A$13,'Tourney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1</v>
      </c>
    </row>
    <row r="14" spans="1:38" x14ac:dyDescent="0.25">
      <c r="A14" s="1" t="s">
        <v>15</v>
      </c>
      <c r="B14" s="3" t="s">
        <v>79</v>
      </c>
      <c r="C14" s="3" t="s">
        <v>79</v>
      </c>
      <c r="D14" s="34">
        <f>SUMIFS('Tourney History BA'!C:C,'Tourney History BA'!B:B,A14)</f>
        <v>18</v>
      </c>
      <c r="E14" s="4">
        <f>AVERAGEIFS('Tourney History BA'!C:C,'Tourney History BA'!B:B,A14)</f>
        <v>18</v>
      </c>
      <c r="F14" s="35">
        <f t="array" ref="F14">MAX(IF('Tourney History BA'!B:B=A14, 'Tourney History BA'!C:C))</f>
        <v>18</v>
      </c>
      <c r="G14" s="34">
        <f>COUNTIFS('Tourney History BA'!B:B,A14,'Tourney History BA'!D:D, 1)</f>
        <v>0</v>
      </c>
      <c r="H14" s="2">
        <f>COUNTIFS('Tourney History BA'!B:B,A14,'Tourney History BA'!D:D, 0)</f>
        <v>1</v>
      </c>
      <c r="I14" s="88">
        <f>LOOKUP(2, 1/('Tourney History BA'!$B:$B=A14), 'Tourney History BA'!$AK:$AK)</f>
        <v>0</v>
      </c>
      <c r="J14" s="34">
        <f>SUMIFS('Tourney History BA'!F:F,'Tourney History BA'!B:B,A14)</f>
        <v>1</v>
      </c>
      <c r="K14" s="2">
        <f>SUMIFS('Tourney History BA'!E:E,'Tourney History BA'!B:B,A14)-J14</f>
        <v>3</v>
      </c>
      <c r="L14" s="88">
        <f>LOOKUP(2, 1/('Tourney History BA'!$B:$B=A14), 'Tourney History BA'!$AI:$AI)</f>
        <v>0.25</v>
      </c>
      <c r="M14" s="34">
        <f>SUMIFS('Tourney History BA'!H:H,'Tourney History BA'!B:B,A14)</f>
        <v>7</v>
      </c>
      <c r="N14" s="2">
        <f>SUMIFS('Tourney History BA'!G:G,'Tourney History BA'!B:B,A14)-M14</f>
        <v>9</v>
      </c>
      <c r="O14" s="88">
        <f>LOOKUP(2, 1/('Tourney History BA'!$B:$B=A14), 'Tourney History BA'!$AJ:$AJ)</f>
        <v>0.44</v>
      </c>
      <c r="P14" s="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0</v>
      </c>
      <c r="S14" s="2">
        <f>COUNTIFS('Tourney History BA'!$B:$B,$A$14,'Tourney History BA'!N:N, 1)</f>
        <v>0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1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BA'!$B:$B,$A$14,'Tourney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0</v>
      </c>
      <c r="AF14" s="2">
        <f>COUNTIFS('Tourney History BA'!$B:$B,$A$14,'Tourney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0</v>
      </c>
      <c r="AI14" s="2">
        <f>COUNTIFS('Tourney History BA'!$B:$B,$A$14,'Tourney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</row>
    <row r="15" spans="1:38" x14ac:dyDescent="0.25">
      <c r="A15" s="1" t="s">
        <v>13</v>
      </c>
      <c r="B15" s="3" t="s">
        <v>79</v>
      </c>
      <c r="C15" s="3" t="s">
        <v>79</v>
      </c>
      <c r="D15" s="34">
        <f>SUMIFS('Tourney History BA'!C:C,'Tourney History BA'!B:B,A15)</f>
        <v>28</v>
      </c>
      <c r="E15" s="4">
        <f>AVERAGEIFS('Tourney History BA'!C:C,'Tourney History BA'!B:B,A15)</f>
        <v>28</v>
      </c>
      <c r="F15" s="35">
        <f t="array" ref="F15">MAX(IF('Tourney History BA'!B:B=A15, 'Tourney History BA'!C:C))</f>
        <v>28</v>
      </c>
      <c r="G15" s="34">
        <f>COUNTIFS('Tourney History BA'!B:B,A15,'Tourney History BA'!D:D, 1)</f>
        <v>0</v>
      </c>
      <c r="H15" s="2">
        <f>COUNTIFS('Tourney History BA'!B:B,A15,'Tourney History BA'!D:D, 0)</f>
        <v>1</v>
      </c>
      <c r="I15" s="88">
        <f>LOOKUP(2, 1/('Tourney History BA'!$B:$B=A15), 'Tourney History BA'!$AK:$AK)</f>
        <v>0</v>
      </c>
      <c r="J15" s="34">
        <f>SUMIFS('Tourney History BA'!F:F,'Tourney History BA'!B:B,A15)</f>
        <v>1</v>
      </c>
      <c r="K15" s="2">
        <f>SUMIFS('Tourney History BA'!E:E,'Tourney History BA'!B:B,A15)-J15</f>
        <v>3</v>
      </c>
      <c r="L15" s="88">
        <f>LOOKUP(2, 1/('Tourney History BA'!$B:$B=A15), 'Tourney History BA'!$AI:$AI)</f>
        <v>0.25</v>
      </c>
      <c r="M15" s="34">
        <f>SUMIFS('Tourney History BA'!H:H,'Tourney History BA'!B:B,A15)</f>
        <v>7</v>
      </c>
      <c r="N15" s="2">
        <f>SUMIFS('Tourney History BA'!G:G,'Tourney History BA'!B:B,A15)-M15</f>
        <v>9</v>
      </c>
      <c r="O15" s="88">
        <f>LOOKUP(2, 1/('Tourney History BA'!$B:$B=A15), 'Tourney History BA'!$AJ:$AJ)</f>
        <v>0.44</v>
      </c>
      <c r="P15" s="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0</v>
      </c>
      <c r="S15" s="2">
        <f>COUNTIFS('Tourney History BA'!$B:$B,$A$15,'Tourney History BA'!N:N, 1)</f>
        <v>0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1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BA'!$B:$B,$A$15,'Tourney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0</v>
      </c>
      <c r="AF15" s="2">
        <f>COUNTIFS('Tourney History BA'!$B:$B,$A$15,'Tourney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0</v>
      </c>
      <c r="AI15" s="2">
        <f>COUNTIFS('Tourney History BA'!$B:$B,$A$15,'Tourney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</row>
    <row r="16" spans="1:38" x14ac:dyDescent="0.25">
      <c r="A16" s="1" t="s">
        <v>2</v>
      </c>
      <c r="B16" s="1" t="s">
        <v>158</v>
      </c>
      <c r="C16" s="3" t="s">
        <v>79</v>
      </c>
      <c r="D16" s="34">
        <f>SUMIFS('Tourney History BA'!C:C,'Tourney History BA'!B:B,A16)</f>
        <v>38</v>
      </c>
      <c r="E16" s="4">
        <f>AVERAGEIFS('Tourney History BA'!C:C,'Tourney History BA'!B:B,A16)</f>
        <v>38</v>
      </c>
      <c r="F16" s="35">
        <f t="array" ref="F16">MAX(IF('Tourney History BA'!B:B=A16, 'Tourney History BA'!C:C))</f>
        <v>38</v>
      </c>
      <c r="G16" s="34">
        <f>COUNTIFS('Tourney History BA'!B:B,A16,'Tourney History BA'!D:D, 1)</f>
        <v>0</v>
      </c>
      <c r="H16" s="2">
        <f>COUNTIFS('Tourney History BA'!B:B,A16,'Tourney History BA'!D:D, 0)</f>
        <v>1</v>
      </c>
      <c r="I16" s="88">
        <f>LOOKUP(2, 1/('Tourney History BA'!$B:$B=A16), 'Tourney History BA'!$AK:$AK)</f>
        <v>0</v>
      </c>
      <c r="J16" s="34">
        <f>SUMIFS('Tourney History BA'!F:F,'Tourney History BA'!B:B,A16)</f>
        <v>1</v>
      </c>
      <c r="K16" s="2">
        <f>SUMIFS('Tourney History BA'!E:E,'Tourney History BA'!B:B,A16)-J16</f>
        <v>3</v>
      </c>
      <c r="L16" s="88">
        <f>LOOKUP(2, 1/('Tourney History BA'!$B:$B=A16), 'Tourney History BA'!$AI:$AI)</f>
        <v>0.25</v>
      </c>
      <c r="M16" s="34">
        <f>SUMIFS('Tourney History BA'!H:H,'Tourney History BA'!B:B,A16)</f>
        <v>6</v>
      </c>
      <c r="N16" s="2">
        <f>SUMIFS('Tourney History BA'!G:G,'Tourney History BA'!B:B,A16)-M16</f>
        <v>10</v>
      </c>
      <c r="O16" s="88">
        <f>LOOKUP(2, 1/('Tourney History BA'!$B:$B=A16), 'Tourney History BA'!$AJ:$AJ)</f>
        <v>0.38</v>
      </c>
      <c r="P16" s="2">
        <f>COUNTIFS('Tourney History BA'!$B:$B,$A$16,'Tourney History BA'!K:K, 1)</f>
        <v>1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0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BA'!$B:$B,$A$16,'Tourney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BA'!$B:$B,$A$16,'Tourney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0</v>
      </c>
      <c r="AI16" s="2">
        <f>COUNTIFS('Tourney History BA'!$B:$B,$A$16,'Tourney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0</v>
      </c>
      <c r="AL16" s="2">
        <f>COUNTIFS('Tourney History BA'!$B:$B,$A$16,'Tourney History BA'!AG:AG, 1)</f>
        <v>0</v>
      </c>
    </row>
    <row r="17" spans="1:38" x14ac:dyDescent="0.25">
      <c r="A17" s="1" t="s">
        <v>40</v>
      </c>
      <c r="B17" s="1" t="s">
        <v>79</v>
      </c>
      <c r="C17" s="3" t="s">
        <v>79</v>
      </c>
      <c r="D17" s="34">
        <f>SUMIFS('Tourney History BA'!C:C,'Tourney History BA'!B:B,A17)</f>
        <v>32</v>
      </c>
      <c r="E17" s="4">
        <f>AVERAGEIFS('Tourney History BA'!C:C,'Tourney History BA'!B:B,A17)</f>
        <v>32</v>
      </c>
      <c r="F17" s="35">
        <f t="array" ref="F17">MAX(IF('Tourney History BA'!B:B=A17, 'Tourney History BA'!C:C))</f>
        <v>32</v>
      </c>
      <c r="G17" s="34">
        <f>COUNTIFS('Tourney History BA'!B:B,A17,'Tourney History BA'!D:D, 1)</f>
        <v>1</v>
      </c>
      <c r="H17" s="2">
        <f>COUNTIFS('Tourney History BA'!B:B,A17,'Tourney History BA'!D:D, 0)</f>
        <v>0</v>
      </c>
      <c r="I17" s="88">
        <f>LOOKUP(2, 1/('Tourney History BA'!$B:$B=A17), 'Tourney History BA'!$AK:$AK)</f>
        <v>1</v>
      </c>
      <c r="J17" s="34">
        <f>SUMIFS('Tourney History BA'!F:F,'Tourney History BA'!B:B,A17)</f>
        <v>3</v>
      </c>
      <c r="K17" s="2">
        <f>SUMIFS('Tourney History BA'!E:E,'Tourney History BA'!B:B,A17)-J17</f>
        <v>1</v>
      </c>
      <c r="L17" s="88">
        <f>LOOKUP(2, 1/('Tourney History BA'!$B:$B=A17), 'Tourney History BA'!$AI:$AI)</f>
        <v>0.75</v>
      </c>
      <c r="M17" s="34">
        <f>SUMIFS('Tourney History BA'!H:H,'Tourney History BA'!B:B,A17)</f>
        <v>9</v>
      </c>
      <c r="N17" s="2">
        <f>SUMIFS('Tourney History BA'!G:G,'Tourney History BA'!B:B,A17)-M17</f>
        <v>7</v>
      </c>
      <c r="O17" s="88">
        <f>LOOKUP(2, 1/('Tourney History BA'!$B:$B=A17), 'Tourney History BA'!$AJ:$AJ)</f>
        <v>0.56000000000000005</v>
      </c>
      <c r="P17" s="2">
        <f>COUNTIFS('Tourney History BA'!$B:$B,$A$17,'Tourney History BA'!K:K, 1)</f>
        <v>0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BA'!$B:$B,$A$17,'Tourney History BA'!U:U, 1)</f>
        <v>0</v>
      </c>
      <c r="AA17" s="2">
        <f>COUNTIFS('Tourney History BA'!$B:$B,$A$17,'Tourney History BA'!V:V, 1)</f>
        <v>1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1</v>
      </c>
      <c r="AF17" s="2">
        <f>COUNTIFS('Tourney History BA'!$B:$B,$A$17,'Tourney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BA'!$B:$B,$A$17,'Tourney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1</v>
      </c>
    </row>
    <row r="18" spans="1:38" x14ac:dyDescent="0.25">
      <c r="A18" s="1" t="s">
        <v>147</v>
      </c>
      <c r="B18" s="3" t="s">
        <v>79</v>
      </c>
      <c r="C18" s="3" t="s">
        <v>79</v>
      </c>
      <c r="D18" s="34">
        <f>SUMIFS('Tourney History BA'!C:C,'Tourney History BA'!B:B,A18)</f>
        <v>18</v>
      </c>
      <c r="E18" s="4">
        <f>AVERAGEIFS('Tourney History BA'!C:C,'Tourney History BA'!B:B,A18)</f>
        <v>18</v>
      </c>
      <c r="F18" s="35">
        <f t="array" ref="F18">MAX(IF('Tourney History BA'!B:B=A18, 'Tourney History BA'!C:C))</f>
        <v>18</v>
      </c>
      <c r="G18" s="34">
        <f>COUNTIFS('Tourney History BA'!B:B,A18,'Tourney History BA'!D:D, 1)</f>
        <v>1</v>
      </c>
      <c r="H18" s="2">
        <f>COUNTIFS('Tourney History BA'!B:B,A18,'Tourney History BA'!D:D, 0)</f>
        <v>0</v>
      </c>
      <c r="I18" s="88">
        <f>LOOKUP(2, 1/('Tourney History BA'!$B:$B=A18), 'Tourney History BA'!$AK:$AK)</f>
        <v>1</v>
      </c>
      <c r="J18" s="34">
        <f>SUMIFS('Tourney History BA'!F:F,'Tourney History BA'!B:B,A18)</f>
        <v>3</v>
      </c>
      <c r="K18" s="2">
        <f>SUMIFS('Tourney History BA'!E:E,'Tourney History BA'!B:B,A18)-J18</f>
        <v>1</v>
      </c>
      <c r="L18" s="88">
        <f>LOOKUP(2, 1/('Tourney History BA'!$B:$B=A18), 'Tourney History BA'!$AI:$AI)</f>
        <v>0.75</v>
      </c>
      <c r="M18" s="34">
        <f>SUMIFS('Tourney History BA'!H:H,'Tourney History BA'!B:B,A18)</f>
        <v>10</v>
      </c>
      <c r="N18" s="2">
        <f>SUMIFS('Tourney History BA'!G:G,'Tourney History BA'!B:B,A18)-M18</f>
        <v>6</v>
      </c>
      <c r="O18" s="88">
        <f>LOOKUP(2, 1/('Tourney History BA'!$B:$B=A18), 'Tourney History BA'!$AJ:$AJ)</f>
        <v>0.63</v>
      </c>
      <c r="P18" s="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BA'!$B:$B,$A$18,'Tourney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0</v>
      </c>
      <c r="AC18" s="2">
        <f>COUNTIFS('Tourney History BA'!$B:$B,$A$18,'Tourney History BA'!X:X, 1)</f>
        <v>0</v>
      </c>
      <c r="AD18" s="2">
        <f>COUNTIFS('Tourney History BA'!$B:$B,$A$18,'Tourney History BA'!Y:Y, 1)</f>
        <v>1</v>
      </c>
      <c r="AE18" s="2">
        <f>COUNTIFS('Tourney History BA'!$B:$B,$A$18,'Tourney History BA'!Z:Z, 1)</f>
        <v>0</v>
      </c>
      <c r="AF18" s="2">
        <f>COUNTIFS('Tourney History BA'!$B:$B,$A$18,'Tourney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0</v>
      </c>
      <c r="AI18" s="2">
        <f>COUNTIFS('Tourney History BA'!$B:$B,$A$18,'Tourney History BA'!AD:AD, 1)</f>
        <v>0</v>
      </c>
      <c r="AJ18" s="2">
        <f>COUNTIFS('Tourney History BA'!$B:$B,$A$18,'Tourney History BA'!AE:AE, 1)</f>
        <v>1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1</v>
      </c>
    </row>
    <row r="19" spans="1:38" x14ac:dyDescent="0.25">
      <c r="A19" s="1" t="s">
        <v>6</v>
      </c>
      <c r="B19" s="1" t="s">
        <v>158</v>
      </c>
      <c r="C19" s="3" t="s">
        <v>79</v>
      </c>
      <c r="D19" s="34">
        <f>SUMIFS('Tourney History BA'!C:C,'Tourney History BA'!B:B,A19)</f>
        <v>38</v>
      </c>
      <c r="E19" s="4">
        <f>AVERAGEIFS('Tourney History BA'!C:C,'Tourney History BA'!B:B,A19)</f>
        <v>38</v>
      </c>
      <c r="F19" s="35">
        <f t="array" ref="F19">MAX(IF('Tourney History BA'!B:B=A19, 'Tourney History BA'!C:C))</f>
        <v>38</v>
      </c>
      <c r="G19" s="34">
        <f>COUNTIFS('Tourney History BA'!B:B,A19,'Tourney History BA'!D:D, 1)</f>
        <v>1</v>
      </c>
      <c r="H19" s="2">
        <f>COUNTIFS('Tourney History BA'!B:B,A19,'Tourney History BA'!D:D, 0)</f>
        <v>0</v>
      </c>
      <c r="I19" s="88">
        <f>LOOKUP(2, 1/('Tourney History BA'!$B:$B=A19), 'Tourney History BA'!$AK:$AK)</f>
        <v>1</v>
      </c>
      <c r="J19" s="34">
        <f>SUMIFS('Tourney History BA'!F:F,'Tourney History BA'!B:B,A19)</f>
        <v>3</v>
      </c>
      <c r="K19" s="2">
        <f>SUMIFS('Tourney History BA'!E:E,'Tourney History BA'!B:B,A19)-J19</f>
        <v>1</v>
      </c>
      <c r="L19" s="88">
        <f>LOOKUP(2, 1/('Tourney History BA'!$B:$B=A19), 'Tourney History BA'!$AI:$AI)</f>
        <v>0.75</v>
      </c>
      <c r="M19" s="34">
        <f>SUMIFS('Tourney History BA'!H:H,'Tourney History BA'!B:B,A19)</f>
        <v>9</v>
      </c>
      <c r="N19" s="2">
        <f>SUMIFS('Tourney History BA'!G:G,'Tourney History BA'!B:B,A19)-M19</f>
        <v>7</v>
      </c>
      <c r="O19" s="88">
        <f>LOOKUP(2, 1/('Tourney History BA'!$B:$B=A19), 'Tourney History BA'!$AJ:$AJ)</f>
        <v>0.56000000000000005</v>
      </c>
      <c r="P19" s="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0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BA'!$B:$B,$A$19,'Tourney History BA'!U:U, 1)</f>
        <v>0</v>
      </c>
      <c r="AA19" s="2">
        <f>COUNTIFS('Tourney History BA'!$B:$B,$A$19,'Tourney History BA'!V:V, 1)</f>
        <v>1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1</v>
      </c>
      <c r="AF19" s="2">
        <f>COUNTIFS('Tourney History BA'!$B:$B,$A$19,'Tourney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0</v>
      </c>
      <c r="AI19" s="2">
        <f>COUNTIFS('Tourney History BA'!$B:$B,$A$19,'Tourney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0</v>
      </c>
      <c r="AL19" s="2">
        <f>COUNTIFS('Tourney History BA'!$B:$B,$A$19,'Tourney History BA'!AG:AG, 1)</f>
        <v>1</v>
      </c>
    </row>
    <row r="20" spans="1:38" x14ac:dyDescent="0.25">
      <c r="A20" s="1" t="s">
        <v>18</v>
      </c>
      <c r="B20" s="3" t="s">
        <v>79</v>
      </c>
      <c r="C20" s="3" t="s">
        <v>79</v>
      </c>
      <c r="D20" s="34">
        <f>SUMIFS('Tourney History BA'!C:C,'Tourney History BA'!B:B,A20)</f>
        <v>22</v>
      </c>
      <c r="E20" s="4">
        <f>AVERAGEIFS('Tourney History BA'!C:C,'Tourney History BA'!B:B,A20)</f>
        <v>22</v>
      </c>
      <c r="F20" s="35">
        <f t="array" ref="F20">MAX(IF('Tourney History BA'!B:B=A20, 'Tourney History BA'!C:C))</f>
        <v>22</v>
      </c>
      <c r="G20" s="34">
        <f>COUNTIFS('Tourney History BA'!B:B,A20,'Tourney History BA'!D:D, 1)</f>
        <v>0</v>
      </c>
      <c r="H20" s="2">
        <f>COUNTIFS('Tourney History BA'!B:B,A20,'Tourney History BA'!D:D, 0)</f>
        <v>1</v>
      </c>
      <c r="I20" s="88">
        <f>LOOKUP(2, 1/('Tourney History BA'!$B:$B=A20), 'Tourney History BA'!$AK:$AK)</f>
        <v>0</v>
      </c>
      <c r="J20" s="34">
        <f>SUMIFS('Tourney History BA'!F:F,'Tourney History BA'!B:B,A20)</f>
        <v>1</v>
      </c>
      <c r="K20" s="2">
        <f>SUMIFS('Tourney History BA'!E:E,'Tourney History BA'!B:B,A20)-J20</f>
        <v>3</v>
      </c>
      <c r="L20" s="88">
        <f>LOOKUP(2, 1/('Tourney History BA'!$B:$B=A20), 'Tourney History BA'!$AI:$AI)</f>
        <v>0.25</v>
      </c>
      <c r="M20" s="34">
        <f>SUMIFS('Tourney History BA'!H:H,'Tourney History BA'!B:B,A20)</f>
        <v>7</v>
      </c>
      <c r="N20" s="2">
        <f>SUMIFS('Tourney History BA'!G:G,'Tourney History BA'!B:B,A20)-M20</f>
        <v>9</v>
      </c>
      <c r="O20" s="88">
        <f>LOOKUP(2, 1/('Tourney History BA'!$B:$B=A20), 'Tourney History BA'!$AJ:$AJ)</f>
        <v>0.44</v>
      </c>
      <c r="P20" s="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1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BA'!$B:$B,$A$20,'Tourney History BA'!U:U, 1)</f>
        <v>0</v>
      </c>
      <c r="AA20" s="2">
        <f>COUNTIFS('Tourney History BA'!$B:$B,$A$20,'Tourney History BA'!V:V, 1)</f>
        <v>0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BA'!$B:$B,$A$20,'Tourney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BA'!$B:$B,$A$20,'Tourney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</row>
    <row r="21" spans="1:38" x14ac:dyDescent="0.25">
      <c r="A21" s="1" t="s">
        <v>113</v>
      </c>
      <c r="B21" s="3" t="s">
        <v>79</v>
      </c>
      <c r="C21" s="3" t="s">
        <v>79</v>
      </c>
      <c r="D21" s="34">
        <f>SUMIFS('Tourney History BA'!C:C,'Tourney History BA'!B:B,A21)</f>
        <v>16</v>
      </c>
      <c r="E21" s="4">
        <f>AVERAGEIFS('Tourney History BA'!C:C,'Tourney History BA'!B:B,A21)</f>
        <v>16</v>
      </c>
      <c r="F21" s="35">
        <f t="array" ref="F21">MAX(IF('Tourney History BA'!B:B=A21, 'Tourney History BA'!C:C))</f>
        <v>16</v>
      </c>
      <c r="G21" s="34">
        <f>COUNTIFS('Tourney History BA'!B:B,A21,'Tourney History BA'!D:D, 1)</f>
        <v>0</v>
      </c>
      <c r="H21" s="2">
        <f>COUNTIFS('Tourney History BA'!B:B,A21,'Tourney History BA'!D:D, 0)</f>
        <v>1</v>
      </c>
      <c r="I21" s="88">
        <f>LOOKUP(2, 1/('Tourney History BA'!$B:$B=A21), 'Tourney History BA'!$AK:$AK)</f>
        <v>0</v>
      </c>
      <c r="J21" s="34">
        <f>SUMIFS('Tourney History BA'!F:F,'Tourney History BA'!B:B,A21)</f>
        <v>1</v>
      </c>
      <c r="K21" s="2">
        <f>SUMIFS('Tourney History BA'!E:E,'Tourney History BA'!B:B,A21)-J21</f>
        <v>3</v>
      </c>
      <c r="L21" s="88">
        <f>LOOKUP(2, 1/('Tourney History BA'!$B:$B=A21), 'Tourney History BA'!$AI:$AI)</f>
        <v>0.25</v>
      </c>
      <c r="M21" s="34">
        <f>SUMIFS('Tourney History BA'!H:H,'Tourney History BA'!B:B,A21)</f>
        <v>7</v>
      </c>
      <c r="N21" s="2">
        <f>SUMIFS('Tourney History BA'!G:G,'Tourney History BA'!B:B,A21)-M21</f>
        <v>9</v>
      </c>
      <c r="O21" s="88">
        <f>LOOKUP(2, 1/('Tourney History BA'!$B:$B=A21), 'Tourney History BA'!$AJ:$AJ)</f>
        <v>0.44</v>
      </c>
      <c r="P21" s="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1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BA'!$B:$B,$A$21,'Tourney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0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BA'!$B:$B,$A$21,'Tourney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0</v>
      </c>
      <c r="AI21" s="2">
        <f>COUNTIFS('Tourney History BA'!$B:$B,$A$21,'Tourney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</row>
    <row r="22" spans="1:38" x14ac:dyDescent="0.25">
      <c r="A22" s="1" t="s">
        <v>14</v>
      </c>
      <c r="B22" s="3" t="s">
        <v>79</v>
      </c>
      <c r="C22" s="3" t="s">
        <v>79</v>
      </c>
      <c r="D22" s="34">
        <f>SUMIFS('Tourney History BA'!C:C,'Tourney History BA'!B:B,A22)</f>
        <v>22</v>
      </c>
      <c r="E22" s="4">
        <f>AVERAGEIFS('Tourney History BA'!C:C,'Tourney History BA'!B:B,A22)</f>
        <v>22</v>
      </c>
      <c r="F22" s="35">
        <f t="array" ref="F22">MAX(IF('Tourney History BA'!B:B=A22, 'Tourney History BA'!C:C))</f>
        <v>22</v>
      </c>
      <c r="G22" s="34">
        <f>COUNTIFS('Tourney History BA'!B:B,A22,'Tourney History BA'!D:D, 1)</f>
        <v>0</v>
      </c>
      <c r="H22" s="2">
        <f>COUNTIFS('Tourney History BA'!B:B,A22,'Tourney History BA'!D:D, 0)</f>
        <v>1</v>
      </c>
      <c r="I22" s="88">
        <f>LOOKUP(2, 1/('Tourney History BA'!$B:$B=A22), 'Tourney History BA'!$AK:$AK)</f>
        <v>0</v>
      </c>
      <c r="J22" s="34">
        <f>SUMIFS('Tourney History BA'!F:F,'Tourney History BA'!B:B,A22)</f>
        <v>1</v>
      </c>
      <c r="K22" s="2">
        <f>SUMIFS('Tourney History BA'!E:E,'Tourney History BA'!B:B,A22)-J22</f>
        <v>3</v>
      </c>
      <c r="L22" s="88">
        <f>LOOKUP(2, 1/('Tourney History BA'!$B:$B=A22), 'Tourney History BA'!$AI:$AI)</f>
        <v>0.25</v>
      </c>
      <c r="M22" s="34">
        <f>SUMIFS('Tourney History BA'!H:H,'Tourney History BA'!B:B,A22)</f>
        <v>7</v>
      </c>
      <c r="N22" s="2">
        <f>SUMIFS('Tourney History BA'!G:G,'Tourney History BA'!B:B,A22)-M22</f>
        <v>9</v>
      </c>
      <c r="O22" s="88">
        <f>LOOKUP(2, 1/('Tourney History BA'!$B:$B=A22), 'Tourney History BA'!$AJ:$AJ)</f>
        <v>0.44</v>
      </c>
      <c r="P22" s="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BA'!$B:$B,$A$22,'Tourney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BA'!$B:$B,$A$22,'Tourney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BA'!$B:$B,$A$22,'Tourney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</row>
    <row r="23" spans="1:38" x14ac:dyDescent="0.25">
      <c r="A23" s="1" t="s">
        <v>70</v>
      </c>
      <c r="B23" s="3" t="s">
        <v>79</v>
      </c>
      <c r="C23" s="3" t="s">
        <v>79</v>
      </c>
      <c r="D23" s="34">
        <f>SUMIFS('Tourney History BA'!C:C,'Tourney History BA'!B:B,A23)</f>
        <v>13</v>
      </c>
      <c r="E23" s="4">
        <f>AVERAGEIFS('Tourney History BA'!C:C,'Tourney History BA'!B:B,A23)</f>
        <v>13</v>
      </c>
      <c r="F23" s="35">
        <f t="array" ref="F23">MAX(IF('Tourney History BA'!B:B=A23, 'Tourney History BA'!C:C))</f>
        <v>13</v>
      </c>
      <c r="G23" s="34">
        <f>COUNTIFS('Tourney History BA'!B:B,A23,'Tourney History BA'!D:D, 1)</f>
        <v>0</v>
      </c>
      <c r="H23" s="2">
        <f>COUNTIFS('Tourney History BA'!B:B,A23,'Tourney History BA'!D:D, 0)</f>
        <v>1</v>
      </c>
      <c r="I23" s="88">
        <f>LOOKUP(2, 1/('Tourney History BA'!$B:$B=A23), 'Tourney History BA'!$AK:$AK)</f>
        <v>0</v>
      </c>
      <c r="J23" s="34">
        <f>SUMIFS('Tourney History BA'!F:F,'Tourney History BA'!B:B,A23)</f>
        <v>1</v>
      </c>
      <c r="K23" s="2">
        <f>SUMIFS('Tourney History BA'!E:E,'Tourney History BA'!B:B,A23)-J23</f>
        <v>3</v>
      </c>
      <c r="L23" s="88">
        <f>LOOKUP(2, 1/('Tourney History BA'!$B:$B=A23), 'Tourney History BA'!$AI:$AI)</f>
        <v>0.25</v>
      </c>
      <c r="M23" s="34">
        <f>SUMIFS('Tourney History BA'!H:H,'Tourney History BA'!B:B,A23)</f>
        <v>6</v>
      </c>
      <c r="N23" s="2">
        <f>SUMIFS('Tourney History BA'!G:G,'Tourney History BA'!B:B,A23)-M23</f>
        <v>10</v>
      </c>
      <c r="O23" s="88">
        <f>LOOKUP(2, 1/('Tourney History BA'!$B:$B=A23), 'Tourney History BA'!$AJ:$AJ)</f>
        <v>0.38</v>
      </c>
      <c r="P23" s="2">
        <f>COUNTIFS('Tourney History BA'!$B:$B,$A$23,'Tourney History BA'!K:K, 1)</f>
        <v>1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0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BA'!$B:$B,$A$23,'Tourney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BA'!$B:$B,$A$23,'Tourney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0</v>
      </c>
      <c r="AI23" s="2">
        <f>COUNTIFS('Tourney History BA'!$B:$B,$A$23,'Tourney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0</v>
      </c>
      <c r="AL23" s="2">
        <f>COUNTIFS('Tourney History BA'!$B:$B,$A$23,'Tourney History BA'!AG:AG, 1)</f>
        <v>0</v>
      </c>
    </row>
    <row r="24" spans="1:38" x14ac:dyDescent="0.25">
      <c r="A24" s="1" t="s">
        <v>4</v>
      </c>
      <c r="B24" s="1" t="s">
        <v>158</v>
      </c>
      <c r="C24" s="3" t="s">
        <v>79</v>
      </c>
      <c r="D24" s="34">
        <f>SUMIFS('Tourney History BA'!C:C,'Tourney History BA'!B:B,A24)</f>
        <v>33</v>
      </c>
      <c r="E24" s="4">
        <f>AVERAGEIFS('Tourney History BA'!C:C,'Tourney History BA'!B:B,A24)</f>
        <v>33</v>
      </c>
      <c r="F24" s="35">
        <f t="array" ref="F24">MAX(IF('Tourney History BA'!B:B=A24, 'Tourney History BA'!C:C))</f>
        <v>33</v>
      </c>
      <c r="G24" s="34">
        <f>COUNTIFS('Tourney History BA'!B:B,A24,'Tourney History BA'!D:D, 1)</f>
        <v>0</v>
      </c>
      <c r="H24" s="2">
        <f>COUNTIFS('Tourney History BA'!B:B,A24,'Tourney History BA'!D:D, 0)</f>
        <v>1</v>
      </c>
      <c r="I24" s="88">
        <f>LOOKUP(2, 1/('Tourney History BA'!$B:$B=A24), 'Tourney History BA'!$AK:$AK)</f>
        <v>0</v>
      </c>
      <c r="J24" s="34">
        <f>SUMIFS('Tourney History BA'!F:F,'Tourney History BA'!B:B,A24)</f>
        <v>1</v>
      </c>
      <c r="K24" s="2">
        <f>SUMIFS('Tourney History BA'!E:E,'Tourney History BA'!B:B,A24)-J24</f>
        <v>3</v>
      </c>
      <c r="L24" s="88">
        <f>LOOKUP(2, 1/('Tourney History BA'!$B:$B=A24), 'Tourney History BA'!$AI:$AI)</f>
        <v>0.25</v>
      </c>
      <c r="M24" s="34">
        <f>SUMIFS('Tourney History BA'!H:H,'Tourney History BA'!B:B,A24)</f>
        <v>7</v>
      </c>
      <c r="N24" s="2">
        <f>SUMIFS('Tourney History BA'!G:G,'Tourney History BA'!B:B,A24)-M24</f>
        <v>9</v>
      </c>
      <c r="O24" s="88">
        <f>LOOKUP(2, 1/('Tourney History BA'!$B:$B=A24), 'Tourney History BA'!$AJ:$AJ)</f>
        <v>0.44</v>
      </c>
      <c r="P24" s="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0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BA'!$B:$B,$A$24,'Tourney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BA'!$B:$B,$A$24,'Tourney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BA'!$B:$B,$A$24,'Tourney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</row>
    <row r="25" spans="1:38" x14ac:dyDescent="0.25">
      <c r="A25" s="1" t="s">
        <v>107</v>
      </c>
      <c r="B25" s="3" t="s">
        <v>79</v>
      </c>
      <c r="C25" s="3" t="s">
        <v>79</v>
      </c>
      <c r="D25" s="34">
        <f>SUMIFS('Tourney History BA'!C:C,'Tourney History BA'!B:B,A25)</f>
        <v>12</v>
      </c>
      <c r="E25" s="4">
        <f>AVERAGEIFS('Tourney History BA'!C:C,'Tourney History BA'!B:B,A25)</f>
        <v>12</v>
      </c>
      <c r="F25" s="35">
        <f t="array" ref="F25">MAX(IF('Tourney History BA'!B:B=A25, 'Tourney History BA'!C:C))</f>
        <v>12</v>
      </c>
      <c r="G25" s="34">
        <f>COUNTIFS('Tourney History BA'!B:B,A25,'Tourney History BA'!D:D, 1)</f>
        <v>0</v>
      </c>
      <c r="H25" s="2">
        <f>COUNTIFS('Tourney History BA'!B:B,A25,'Tourney History BA'!D:D, 0)</f>
        <v>1</v>
      </c>
      <c r="I25" s="88">
        <f>LOOKUP(2, 1/('Tourney History BA'!$B:$B=A25), 'Tourney History BA'!$AK:$AK)</f>
        <v>0</v>
      </c>
      <c r="J25" s="34">
        <f>SUMIFS('Tourney History BA'!F:F,'Tourney History BA'!B:B,A25)</f>
        <v>1</v>
      </c>
      <c r="K25" s="2">
        <f>SUMIFS('Tourney History BA'!E:E,'Tourney History BA'!B:B,A25)-J25</f>
        <v>3</v>
      </c>
      <c r="L25" s="88">
        <f>LOOKUP(2, 1/('Tourney History BA'!$B:$B=A25), 'Tourney History BA'!$AI:$AI)</f>
        <v>0.25</v>
      </c>
      <c r="M25" s="34">
        <f>SUMIFS('Tourney History BA'!H:H,'Tourney History BA'!B:B,A25)</f>
        <v>6</v>
      </c>
      <c r="N25" s="2">
        <f>SUMIFS('Tourney History BA'!G:G,'Tourney History BA'!B:B,A25)-M25</f>
        <v>10</v>
      </c>
      <c r="O25" s="88">
        <f>LOOKUP(2, 1/('Tourney History BA'!$B:$B=A25), 'Tourney History BA'!$AJ:$AJ)</f>
        <v>0.38</v>
      </c>
      <c r="P25" s="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BA'!$B:$B,$A$25,'Tourney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BA'!$B:$B,$A$25,'Tourney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BA'!$B:$B,$A$25,'Tourney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</row>
  </sheetData>
  <autoFilter ref="A1:AL1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6"/>
  <sheetViews>
    <sheetView workbookViewId="0">
      <selection activeCell="E28" sqref="E28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A20" t="s">
        <v>241</v>
      </c>
      <c r="B20" s="99" t="s">
        <v>203</v>
      </c>
      <c r="C20" t="s">
        <v>240</v>
      </c>
      <c r="D20" t="s">
        <v>205</v>
      </c>
    </row>
    <row r="21" spans="1:4" x14ac:dyDescent="0.25">
      <c r="B21" s="99"/>
    </row>
    <row r="22" spans="1:4" x14ac:dyDescent="0.25">
      <c r="B22" s="99"/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  <row r="26" spans="1:4" x14ac:dyDescent="0.25">
      <c r="B26" s="99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G8" sqref="G8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v2'!J40</f>
        <v>27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27</v>
      </c>
    </row>
    <row r="3" spans="1:5" x14ac:dyDescent="0.25">
      <c r="A3" s="2" t="s">
        <v>18</v>
      </c>
      <c r="B3" s="4">
        <f>'Old Bow v2'!J52</f>
        <v>25</v>
      </c>
      <c r="C3" s="1" t="s">
        <v>235</v>
      </c>
      <c r="D3" s="1">
        <f t="shared" si="0"/>
        <v>1</v>
      </c>
      <c r="E3" s="100">
        <f t="shared" ref="E3:E57" si="1">(0.75*B3)+(0.25*B3*D3)</f>
        <v>25</v>
      </c>
    </row>
    <row r="4" spans="1:5" x14ac:dyDescent="0.25">
      <c r="A4" s="2" t="s">
        <v>17</v>
      </c>
      <c r="B4" s="4">
        <f>'Old Bow v2'!J49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v2'!J56</f>
        <v>20</v>
      </c>
      <c r="C5" s="1" t="s">
        <v>235</v>
      </c>
      <c r="D5" s="1">
        <f t="shared" si="0"/>
        <v>1</v>
      </c>
      <c r="E5" s="100">
        <f t="shared" si="1"/>
        <v>20</v>
      </c>
    </row>
    <row r="6" spans="1:5" x14ac:dyDescent="0.25">
      <c r="A6" s="2" t="s">
        <v>52</v>
      </c>
      <c r="B6" s="4">
        <f>'Old Bow v2'!J22</f>
        <v>19.5</v>
      </c>
      <c r="C6" s="1" t="s">
        <v>235</v>
      </c>
      <c r="D6" s="1">
        <f t="shared" si="0"/>
        <v>1</v>
      </c>
      <c r="E6" s="100">
        <f t="shared" si="1"/>
        <v>19.5</v>
      </c>
    </row>
    <row r="7" spans="1:5" x14ac:dyDescent="0.25">
      <c r="A7" s="2" t="s">
        <v>4</v>
      </c>
      <c r="B7" s="4">
        <f>'Old Bow v2'!J57</f>
        <v>19</v>
      </c>
      <c r="C7" s="1" t="s">
        <v>235</v>
      </c>
      <c r="D7" s="1">
        <f t="shared" si="0"/>
        <v>1</v>
      </c>
      <c r="E7" s="100">
        <f t="shared" si="1"/>
        <v>19</v>
      </c>
    </row>
    <row r="8" spans="1:5" x14ac:dyDescent="0.25">
      <c r="A8" s="2" t="s">
        <v>37</v>
      </c>
      <c r="B8" s="4">
        <f>'Old Bow v2'!J5</f>
        <v>18</v>
      </c>
      <c r="C8" s="1" t="s">
        <v>235</v>
      </c>
      <c r="D8" s="1">
        <f t="shared" si="0"/>
        <v>1</v>
      </c>
      <c r="E8" s="100">
        <f t="shared" si="1"/>
        <v>18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17</v>
      </c>
      <c r="C10" s="1" t="s">
        <v>235</v>
      </c>
      <c r="D10" s="1">
        <f t="shared" si="0"/>
        <v>1</v>
      </c>
      <c r="E10" s="100">
        <f t="shared" si="1"/>
        <v>17</v>
      </c>
    </row>
    <row r="11" spans="1:5" x14ac:dyDescent="0.25">
      <c r="A11" s="2" t="s">
        <v>54</v>
      </c>
      <c r="B11" s="4">
        <f>'Old Bow v2'!J41</f>
        <v>18</v>
      </c>
      <c r="C11" s="1" t="s">
        <v>235</v>
      </c>
      <c r="D11" s="1">
        <f t="shared" si="0"/>
        <v>1</v>
      </c>
      <c r="E11" s="100">
        <f t="shared" si="1"/>
        <v>18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v2'!J36</f>
        <v>22</v>
      </c>
      <c r="C13" s="1" t="s">
        <v>234</v>
      </c>
      <c r="D13" s="1">
        <f t="shared" si="0"/>
        <v>0.5</v>
      </c>
      <c r="E13" s="100">
        <f t="shared" si="1"/>
        <v>19.25</v>
      </c>
    </row>
    <row r="14" spans="1:5" x14ac:dyDescent="0.25">
      <c r="A14" s="2" t="s">
        <v>152</v>
      </c>
      <c r="B14" s="4">
        <f>'Old Bow v2'!J18</f>
        <v>15</v>
      </c>
      <c r="C14" s="1" t="s">
        <v>235</v>
      </c>
      <c r="D14" s="1">
        <f t="shared" si="0"/>
        <v>1</v>
      </c>
      <c r="E14" s="100">
        <f t="shared" si="1"/>
        <v>15</v>
      </c>
    </row>
    <row r="15" spans="1:5" x14ac:dyDescent="0.25">
      <c r="A15" s="2" t="s">
        <v>141</v>
      </c>
      <c r="B15" s="4">
        <f>'Old Bow v2'!J45</f>
        <v>16</v>
      </c>
      <c r="C15" s="1" t="s">
        <v>235</v>
      </c>
      <c r="D15" s="1">
        <f t="shared" si="0"/>
        <v>1</v>
      </c>
      <c r="E15" s="100">
        <f t="shared" si="1"/>
        <v>16</v>
      </c>
    </row>
    <row r="16" spans="1:5" x14ac:dyDescent="0.25">
      <c r="A16" s="2" t="s">
        <v>3</v>
      </c>
      <c r="B16" s="4">
        <f>'Old Bow v2'!J34</f>
        <v>21</v>
      </c>
      <c r="C16" s="1" t="s">
        <v>234</v>
      </c>
      <c r="D16" s="1">
        <f t="shared" si="0"/>
        <v>0.5</v>
      </c>
      <c r="E16" s="100">
        <f t="shared" si="1"/>
        <v>18.375</v>
      </c>
    </row>
    <row r="17" spans="1:5" x14ac:dyDescent="0.25">
      <c r="A17" s="2" t="s">
        <v>147</v>
      </c>
      <c r="B17" s="4">
        <f>'Old Bow v2'!J48</f>
        <v>14.5</v>
      </c>
      <c r="C17" s="1" t="s">
        <v>235</v>
      </c>
      <c r="D17" s="1">
        <f t="shared" si="0"/>
        <v>1</v>
      </c>
      <c r="E17" s="100">
        <f t="shared" si="1"/>
        <v>14.5</v>
      </c>
    </row>
    <row r="18" spans="1:5" x14ac:dyDescent="0.25">
      <c r="A18" s="2" t="s">
        <v>14</v>
      </c>
      <c r="B18" s="4">
        <f>'Old Bow v2'!J55</f>
        <v>20.5</v>
      </c>
      <c r="C18" s="1" t="s">
        <v>234</v>
      </c>
      <c r="D18" s="1">
        <f t="shared" si="0"/>
        <v>0.5</v>
      </c>
      <c r="E18" s="100">
        <f t="shared" si="1"/>
        <v>17.9375</v>
      </c>
    </row>
    <row r="19" spans="1:5" x14ac:dyDescent="0.25">
      <c r="A19" s="2" t="s">
        <v>13</v>
      </c>
      <c r="B19" s="4">
        <f>'Old Bow v2'!J39</f>
        <v>24</v>
      </c>
      <c r="C19" s="1" t="s">
        <v>233</v>
      </c>
      <c r="D19" s="1">
        <f t="shared" si="0"/>
        <v>0.25</v>
      </c>
      <c r="E19" s="100">
        <f t="shared" si="1"/>
        <v>19.5</v>
      </c>
    </row>
    <row r="20" spans="1:5" x14ac:dyDescent="0.25">
      <c r="A20" s="1" t="s">
        <v>179</v>
      </c>
      <c r="B20" s="4">
        <f>'Old Bow v2'!J11</f>
        <v>14</v>
      </c>
      <c r="C20" s="1" t="s">
        <v>235</v>
      </c>
      <c r="D20" s="1">
        <f t="shared" si="0"/>
        <v>1</v>
      </c>
      <c r="E20" s="100">
        <f t="shared" si="1"/>
        <v>14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13.5</v>
      </c>
      <c r="C23" s="1" t="s">
        <v>235</v>
      </c>
      <c r="D23" s="1">
        <f t="shared" si="0"/>
        <v>1</v>
      </c>
      <c r="E23" s="100">
        <f t="shared" si="1"/>
        <v>13.5</v>
      </c>
    </row>
    <row r="24" spans="1:5" x14ac:dyDescent="0.25">
      <c r="A24" s="2" t="s">
        <v>5</v>
      </c>
      <c r="B24" s="4">
        <f>'Old Bow v2'!J42</f>
        <v>21</v>
      </c>
      <c r="C24" s="1" t="s">
        <v>233</v>
      </c>
      <c r="D24" s="1">
        <f t="shared" si="0"/>
        <v>0.25</v>
      </c>
      <c r="E24" s="100">
        <f t="shared" si="1"/>
        <v>17.0625</v>
      </c>
    </row>
    <row r="25" spans="1:5" x14ac:dyDescent="0.25">
      <c r="A25" s="2" t="s">
        <v>40</v>
      </c>
      <c r="B25" s="4">
        <f>'Old Bow v2'!J47</f>
        <v>18</v>
      </c>
      <c r="C25" s="1" t="s">
        <v>234</v>
      </c>
      <c r="D25" s="1">
        <f t="shared" si="0"/>
        <v>0.5</v>
      </c>
      <c r="E25" s="100">
        <f t="shared" si="1"/>
        <v>15.75</v>
      </c>
    </row>
    <row r="26" spans="1:5" x14ac:dyDescent="0.25">
      <c r="A26" s="1" t="s">
        <v>44</v>
      </c>
      <c r="B26" s="4">
        <f>'Old Bow v2'!J23</f>
        <v>13</v>
      </c>
      <c r="C26" s="1" t="s">
        <v>235</v>
      </c>
      <c r="D26" s="1">
        <f t="shared" si="0"/>
        <v>1</v>
      </c>
      <c r="E26" s="100">
        <f t="shared" si="1"/>
        <v>13</v>
      </c>
    </row>
    <row r="27" spans="1:5" x14ac:dyDescent="0.25">
      <c r="A27" s="2" t="s">
        <v>155</v>
      </c>
      <c r="B27" s="4">
        <f>'Old Bow v2'!J50</f>
        <v>18</v>
      </c>
      <c r="C27" s="1" t="s">
        <v>234</v>
      </c>
      <c r="D27" s="1">
        <f t="shared" si="0"/>
        <v>0.5</v>
      </c>
      <c r="E27" s="100">
        <f t="shared" si="1"/>
        <v>15.75</v>
      </c>
    </row>
    <row r="28" spans="1:5" x14ac:dyDescent="0.25">
      <c r="A28" s="2" t="s">
        <v>113</v>
      </c>
      <c r="B28" s="4">
        <f>'Old Bow v2'!J53</f>
        <v>16</v>
      </c>
      <c r="C28" s="1" t="s">
        <v>234</v>
      </c>
      <c r="D28" s="1">
        <f t="shared" si="0"/>
        <v>0.5</v>
      </c>
      <c r="E28" s="100">
        <f t="shared" si="1"/>
        <v>14</v>
      </c>
    </row>
    <row r="29" spans="1:5" x14ac:dyDescent="0.25">
      <c r="A29" s="2" t="s">
        <v>6</v>
      </c>
      <c r="B29" s="4">
        <f>'Old Bow v2'!J51</f>
        <v>19</v>
      </c>
      <c r="C29" s="1" t="s">
        <v>233</v>
      </c>
      <c r="D29" s="1">
        <f t="shared" si="0"/>
        <v>0.25</v>
      </c>
      <c r="E29" s="100">
        <f t="shared" si="1"/>
        <v>15.4375</v>
      </c>
    </row>
    <row r="30" spans="1:5" x14ac:dyDescent="0.25">
      <c r="A30" s="2" t="s">
        <v>161</v>
      </c>
      <c r="B30" s="4">
        <f>'Old Bow v2'!J37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14</v>
      </c>
      <c r="C32" s="1" t="s">
        <v>233</v>
      </c>
      <c r="D32" s="1">
        <f t="shared" si="0"/>
        <v>0.25</v>
      </c>
      <c r="E32" s="100">
        <f t="shared" si="1"/>
        <v>11.375</v>
      </c>
    </row>
    <row r="33" spans="1:5" x14ac:dyDescent="0.25">
      <c r="A33" s="2" t="s">
        <v>20</v>
      </c>
      <c r="B33" s="4">
        <f>'Old Bow v2'!J32</f>
        <v>14</v>
      </c>
      <c r="C33" s="1" t="s">
        <v>233</v>
      </c>
      <c r="D33" s="1">
        <f t="shared" si="0"/>
        <v>0.25</v>
      </c>
      <c r="E33" s="100">
        <f t="shared" si="1"/>
        <v>11.375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13</v>
      </c>
      <c r="C35" s="1" t="s">
        <v>233</v>
      </c>
      <c r="D35" s="1">
        <f t="shared" si="2"/>
        <v>0.25</v>
      </c>
      <c r="E35" s="100">
        <f t="shared" si="1"/>
        <v>10.5625</v>
      </c>
    </row>
    <row r="36" spans="1:5" x14ac:dyDescent="0.25">
      <c r="A36" s="2" t="s">
        <v>35</v>
      </c>
      <c r="B36" s="4">
        <f>'Old Bow v2'!J8</f>
        <v>12.5</v>
      </c>
      <c r="C36" s="1" t="s">
        <v>233</v>
      </c>
      <c r="D36" s="1">
        <f t="shared" si="2"/>
        <v>0.25</v>
      </c>
      <c r="E36" s="100">
        <f t="shared" si="1"/>
        <v>10.15625</v>
      </c>
    </row>
    <row r="37" spans="1:5" x14ac:dyDescent="0.25">
      <c r="A37" s="2" t="s">
        <v>146</v>
      </c>
      <c r="B37" s="4">
        <f>'Old Bow v2'!J14</f>
        <v>12</v>
      </c>
      <c r="C37" s="1" t="s">
        <v>233</v>
      </c>
      <c r="D37" s="1">
        <f t="shared" si="2"/>
        <v>0.25</v>
      </c>
      <c r="E37" s="100">
        <f t="shared" si="1"/>
        <v>9.75</v>
      </c>
    </row>
    <row r="38" spans="1:5" x14ac:dyDescent="0.25">
      <c r="A38" s="2" t="s">
        <v>26</v>
      </c>
      <c r="B38" s="4">
        <f>'Old Bow v2'!J16</f>
        <v>12</v>
      </c>
      <c r="C38" s="1" t="s">
        <v>233</v>
      </c>
      <c r="D38" s="1">
        <f t="shared" si="2"/>
        <v>0.25</v>
      </c>
      <c r="E38" s="100">
        <f t="shared" si="1"/>
        <v>9.75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v2'!J35</f>
        <v>12</v>
      </c>
      <c r="C40" s="1" t="s">
        <v>233</v>
      </c>
      <c r="D40" s="1">
        <f t="shared" si="2"/>
        <v>0.25</v>
      </c>
      <c r="E40" s="100">
        <f t="shared" si="1"/>
        <v>9.75</v>
      </c>
    </row>
    <row r="41" spans="1:5" x14ac:dyDescent="0.25">
      <c r="A41" s="2" t="s">
        <v>29</v>
      </c>
      <c r="B41" s="4">
        <f>'Old Bow v2'!J26</f>
        <v>12</v>
      </c>
      <c r="C41" s="1" t="s">
        <v>233</v>
      </c>
      <c r="D41" s="1">
        <f t="shared" si="2"/>
        <v>0.25</v>
      </c>
      <c r="E41" s="100">
        <f t="shared" si="1"/>
        <v>9.75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v2'!J58</f>
        <v>9.5</v>
      </c>
      <c r="C44" s="1" t="s">
        <v>233</v>
      </c>
      <c r="D44" s="1">
        <f t="shared" si="2"/>
        <v>0.25</v>
      </c>
      <c r="E44" s="100">
        <f t="shared" si="1"/>
        <v>7.71875</v>
      </c>
    </row>
    <row r="45" spans="1:5" x14ac:dyDescent="0.25">
      <c r="A45" s="1" t="s">
        <v>47</v>
      </c>
      <c r="B45" s="4">
        <f>'Old Bow v2'!J33</f>
        <v>9</v>
      </c>
      <c r="C45" s="1" t="s">
        <v>233</v>
      </c>
      <c r="D45" s="1">
        <f t="shared" si="2"/>
        <v>0.25</v>
      </c>
      <c r="E45" s="100">
        <f t="shared" si="1"/>
        <v>7.3125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8.5</v>
      </c>
      <c r="C48" s="1" t="s">
        <v>233</v>
      </c>
      <c r="D48" s="1">
        <f t="shared" si="2"/>
        <v>0.25</v>
      </c>
      <c r="E48" s="100">
        <f t="shared" si="1"/>
        <v>6.90625</v>
      </c>
    </row>
    <row r="49" spans="1:5" x14ac:dyDescent="0.25">
      <c r="A49" s="2" t="s">
        <v>38</v>
      </c>
      <c r="B49" s="4">
        <f>'Old Bow v2'!J43</f>
        <v>7</v>
      </c>
      <c r="C49" s="1" t="s">
        <v>234</v>
      </c>
      <c r="D49" s="1">
        <f t="shared" si="2"/>
        <v>0.5</v>
      </c>
      <c r="E49" s="100">
        <f t="shared" si="1"/>
        <v>6.125</v>
      </c>
    </row>
    <row r="50" spans="1:5" x14ac:dyDescent="0.25">
      <c r="A50" s="2" t="s">
        <v>140</v>
      </c>
      <c r="B50" s="4">
        <f>'Old Bow v2'!J4</f>
        <v>11</v>
      </c>
      <c r="C50" s="1" t="s">
        <v>233</v>
      </c>
      <c r="D50" s="1">
        <f t="shared" si="2"/>
        <v>0.25</v>
      </c>
      <c r="E50" s="100">
        <f t="shared" si="1"/>
        <v>8.9375</v>
      </c>
    </row>
    <row r="51" spans="1:5" x14ac:dyDescent="0.25">
      <c r="A51" s="2" t="s">
        <v>71</v>
      </c>
      <c r="B51" s="4">
        <f>'Old Bow v2'!J6</f>
        <v>12</v>
      </c>
      <c r="C51" s="1" t="s">
        <v>236</v>
      </c>
      <c r="D51" s="1">
        <f t="shared" si="2"/>
        <v>0.1</v>
      </c>
      <c r="E51" s="100">
        <f t="shared" si="1"/>
        <v>9.3000000000000007</v>
      </c>
    </row>
    <row r="52" spans="1:5" x14ac:dyDescent="0.25">
      <c r="A52" s="1" t="s">
        <v>214</v>
      </c>
      <c r="B52" s="4">
        <f>'Old Bow v2'!J12</f>
        <v>10</v>
      </c>
      <c r="C52" s="1" t="s">
        <v>233</v>
      </c>
      <c r="D52" s="1">
        <f t="shared" si="2"/>
        <v>0.25</v>
      </c>
      <c r="E52" s="100">
        <f t="shared" si="1"/>
        <v>8.125</v>
      </c>
    </row>
    <row r="53" spans="1:5" x14ac:dyDescent="0.25">
      <c r="A53" s="1" t="s">
        <v>43</v>
      </c>
      <c r="B53" s="4">
        <f>'Old Bow v2'!J38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v2'!J46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v2'!J54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Tourney Stats</vt:lpstr>
      <vt:lpstr>Tourney History</vt:lpstr>
      <vt:lpstr>BA v2</vt:lpstr>
      <vt:lpstr>BA</vt:lpstr>
      <vt:lpstr>BA History</vt:lpstr>
      <vt:lpstr>BA S2</vt:lpstr>
      <vt:lpstr>BA History S2</vt:lpstr>
      <vt:lpstr>Tourney History BA</vt:lpstr>
      <vt:lpstr>Tourney Stats BA</vt:lpstr>
      <vt:lpstr>Events</vt:lpstr>
      <vt:lpstr>TG OB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2026-06-04T00:22:37Z</dcterms:modified>
</cp:coreProperties>
</file>