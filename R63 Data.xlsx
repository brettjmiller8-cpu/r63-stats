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36E2994-F207-4C4D-A8CD-C2E982E47812}" xr6:coauthVersionLast="47" xr6:coauthVersionMax="47" xr10:uidLastSave="{00000000-0000-0000-0000-000000000000}"/>
  <bookViews>
    <workbookView xWindow="-28920" yWindow="-120" windowWidth="29040" windowHeight="15720" firstSheet="1" activeTab="14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TG OB" sheetId="22" r:id="rId16"/>
    <sheet name="BA comments" sheetId="6" state="hidden" r:id="rId17"/>
    <sheet name="Match Analyzer BA" sheetId="8" state="hidden" r:id="rId18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S2'!$A$1:$AN$45</definedName>
    <definedName name="_xlnm._FilterDatabase" localSheetId="7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v2'!$A$1:$AJ$57</definedName>
    <definedName name="_xlnm._FilterDatabase" localSheetId="15" hidden="1">'TG OB'!$A$1:$E$1</definedName>
    <definedName name="_xlnm._FilterDatabase" localSheetId="12" hidden="1">'Tourney History'!$A$1:$AD$159</definedName>
    <definedName name="_xlnm._FilterDatabase" localSheetId="13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603" i="17" l="1"/>
  <c r="AI603" i="17"/>
  <c r="AJ603" i="17"/>
  <c r="AK603" i="17"/>
  <c r="AH604" i="17"/>
  <c r="AI604" i="17"/>
  <c r="AJ604" i="17"/>
  <c r="AK604" i="17"/>
  <c r="AH605" i="17"/>
  <c r="AI605" i="17"/>
  <c r="AJ605" i="17"/>
  <c r="AK605" i="17"/>
  <c r="AH606" i="17"/>
  <c r="AI606" i="17"/>
  <c r="AJ606" i="17"/>
  <c r="AK606" i="17"/>
  <c r="AH607" i="17"/>
  <c r="AI607" i="17"/>
  <c r="AJ607" i="17"/>
  <c r="AK607" i="17"/>
  <c r="AH608" i="17"/>
  <c r="AI608" i="17"/>
  <c r="AJ608" i="17"/>
  <c r="AK608" i="17"/>
  <c r="AH609" i="17"/>
  <c r="AI609" i="17"/>
  <c r="AJ609" i="17"/>
  <c r="AK609" i="17"/>
  <c r="AH610" i="17"/>
  <c r="AI610" i="17"/>
  <c r="AJ610" i="17"/>
  <c r="AK610" i="17"/>
  <c r="AH611" i="17"/>
  <c r="AI611" i="17"/>
  <c r="AJ611" i="17"/>
  <c r="AK611" i="17"/>
  <c r="AH612" i="17"/>
  <c r="AI612" i="17"/>
  <c r="AJ612" i="17"/>
  <c r="AK612" i="17"/>
  <c r="AH613" i="17"/>
  <c r="AI613" i="17"/>
  <c r="AJ613" i="17"/>
  <c r="AK613" i="17"/>
  <c r="AH614" i="17"/>
  <c r="AI614" i="17"/>
  <c r="AJ614" i="17"/>
  <c r="AK614" i="17"/>
  <c r="AH1307" i="9"/>
  <c r="AI1307" i="9"/>
  <c r="AJ1307" i="9"/>
  <c r="AK1307" i="9"/>
  <c r="AH1308" i="9"/>
  <c r="AI1308" i="9"/>
  <c r="AJ1308" i="9"/>
  <c r="AK1308" i="9"/>
  <c r="AH1309" i="9"/>
  <c r="AI1309" i="9"/>
  <c r="AJ1309" i="9"/>
  <c r="AK1309" i="9"/>
  <c r="AH1310" i="9"/>
  <c r="AI1310" i="9"/>
  <c r="AJ1310" i="9"/>
  <c r="AK1310" i="9"/>
  <c r="AH1311" i="9"/>
  <c r="AI1311" i="9"/>
  <c r="AJ1311" i="9"/>
  <c r="AK1311" i="9"/>
  <c r="AH1312" i="9"/>
  <c r="AI1312" i="9"/>
  <c r="AJ1312" i="9"/>
  <c r="AK1312" i="9"/>
  <c r="AH1313" i="9"/>
  <c r="AI1313" i="9"/>
  <c r="AJ1313" i="9"/>
  <c r="AK1313" i="9"/>
  <c r="AH1314" i="9"/>
  <c r="AI1314" i="9"/>
  <c r="AJ1314" i="9"/>
  <c r="AK1314" i="9"/>
  <c r="AH1315" i="9"/>
  <c r="AI1315" i="9"/>
  <c r="AJ1315" i="9"/>
  <c r="AK1315" i="9"/>
  <c r="AH1316" i="9"/>
  <c r="AI1316" i="9"/>
  <c r="AJ1316" i="9"/>
  <c r="AK1316" i="9"/>
  <c r="AH1317" i="9"/>
  <c r="AI1317" i="9"/>
  <c r="AJ1317" i="9"/>
  <c r="AK1317" i="9"/>
  <c r="AH1318" i="9"/>
  <c r="AI1318" i="9"/>
  <c r="AJ1318" i="9"/>
  <c r="AK1318" i="9"/>
  <c r="AH587" i="17"/>
  <c r="AI587" i="17"/>
  <c r="AJ587" i="17"/>
  <c r="AK587" i="17"/>
  <c r="AH588" i="17"/>
  <c r="AI588" i="17"/>
  <c r="AJ588" i="17"/>
  <c r="AK588" i="17"/>
  <c r="AH589" i="17"/>
  <c r="AI589" i="17"/>
  <c r="AJ589" i="17"/>
  <c r="AK589" i="17"/>
  <c r="AH590" i="17"/>
  <c r="AI590" i="17"/>
  <c r="AJ590" i="17"/>
  <c r="AK590" i="17"/>
  <c r="AH591" i="17"/>
  <c r="AI591" i="17"/>
  <c r="AJ591" i="17"/>
  <c r="AK591" i="17"/>
  <c r="AH592" i="17"/>
  <c r="AI592" i="17"/>
  <c r="AJ592" i="17"/>
  <c r="AK592" i="17"/>
  <c r="AH593" i="17"/>
  <c r="AI593" i="17"/>
  <c r="AJ593" i="17"/>
  <c r="AK593" i="17"/>
  <c r="AH594" i="17"/>
  <c r="AI594" i="17"/>
  <c r="AJ594" i="17"/>
  <c r="AK594" i="17"/>
  <c r="AH595" i="17"/>
  <c r="AI595" i="17"/>
  <c r="AJ595" i="17"/>
  <c r="AK595" i="17"/>
  <c r="AH596" i="17"/>
  <c r="AI596" i="17"/>
  <c r="AJ596" i="17"/>
  <c r="AK596" i="17"/>
  <c r="AH597" i="17"/>
  <c r="AI597" i="17"/>
  <c r="AJ597" i="17"/>
  <c r="AK597" i="17"/>
  <c r="AH598" i="17"/>
  <c r="AI598" i="17"/>
  <c r="AJ598" i="17"/>
  <c r="AK598" i="17"/>
  <c r="AH599" i="17"/>
  <c r="AI599" i="17"/>
  <c r="AJ599" i="17"/>
  <c r="AK599" i="17"/>
  <c r="AH600" i="17"/>
  <c r="AI600" i="17"/>
  <c r="AJ600" i="17"/>
  <c r="AK600" i="17"/>
  <c r="AH601" i="17"/>
  <c r="AI601" i="17"/>
  <c r="AJ601" i="17"/>
  <c r="AK601" i="17"/>
  <c r="AH602" i="17"/>
  <c r="AI602" i="17"/>
  <c r="AJ602" i="17"/>
  <c r="AK602" i="17"/>
  <c r="AH1291" i="9"/>
  <c r="AI1291" i="9"/>
  <c r="AJ1291" i="9"/>
  <c r="AK1291" i="9"/>
  <c r="AH1292" i="9"/>
  <c r="AI1292" i="9"/>
  <c r="AJ1292" i="9"/>
  <c r="AK1292" i="9"/>
  <c r="AH1293" i="9"/>
  <c r="AI1293" i="9"/>
  <c r="AJ1293" i="9"/>
  <c r="AK1293" i="9"/>
  <c r="AH1294" i="9"/>
  <c r="AI1294" i="9"/>
  <c r="AJ1294" i="9"/>
  <c r="AK1294" i="9"/>
  <c r="AH1295" i="9"/>
  <c r="AI1295" i="9"/>
  <c r="AJ1295" i="9"/>
  <c r="AK1295" i="9"/>
  <c r="AH1296" i="9"/>
  <c r="AI1296" i="9"/>
  <c r="AJ1296" i="9"/>
  <c r="AK1296" i="9"/>
  <c r="AH1297" i="9"/>
  <c r="AI1297" i="9"/>
  <c r="AJ1297" i="9"/>
  <c r="AK1297" i="9"/>
  <c r="AH1298" i="9"/>
  <c r="AI1298" i="9"/>
  <c r="AJ1298" i="9"/>
  <c r="AK1298" i="9"/>
  <c r="AH1299" i="9"/>
  <c r="AI1299" i="9"/>
  <c r="AJ1299" i="9"/>
  <c r="AK1299" i="9"/>
  <c r="AH1300" i="9"/>
  <c r="AI1300" i="9"/>
  <c r="AJ1300" i="9"/>
  <c r="AK1300" i="9"/>
  <c r="AH1301" i="9"/>
  <c r="AI1301" i="9"/>
  <c r="AJ1301" i="9"/>
  <c r="AK1301" i="9"/>
  <c r="AH1302" i="9"/>
  <c r="AI1302" i="9"/>
  <c r="AJ1302" i="9"/>
  <c r="AK1302" i="9"/>
  <c r="AH1303" i="9"/>
  <c r="AI1303" i="9"/>
  <c r="AJ1303" i="9"/>
  <c r="AK1303" i="9"/>
  <c r="AH1304" i="9"/>
  <c r="AI1304" i="9"/>
  <c r="AJ1304" i="9"/>
  <c r="AK1304" i="9"/>
  <c r="AH1305" i="9"/>
  <c r="AI1305" i="9"/>
  <c r="AJ1305" i="9"/>
  <c r="AK1305" i="9"/>
  <c r="AH1306" i="9"/>
  <c r="AI1306" i="9"/>
  <c r="AJ1306" i="9"/>
  <c r="AK1306" i="9"/>
  <c r="AA650" i="15"/>
  <c r="AB650" i="15"/>
  <c r="AC650" i="15"/>
  <c r="AD650" i="15"/>
  <c r="AA651" i="15"/>
  <c r="AB651" i="15"/>
  <c r="AC651" i="15"/>
  <c r="AD651" i="15"/>
  <c r="AA652" i="15"/>
  <c r="AB652" i="15"/>
  <c r="AC652" i="15"/>
  <c r="AD652" i="15"/>
  <c r="AA653" i="15"/>
  <c r="AB653" i="15"/>
  <c r="AC653" i="15"/>
  <c r="AD653" i="15"/>
  <c r="AA654" i="15"/>
  <c r="AB654" i="15"/>
  <c r="AC654" i="15"/>
  <c r="AD654" i="15"/>
  <c r="AA655" i="15"/>
  <c r="AB655" i="15"/>
  <c r="AC655" i="15"/>
  <c r="AD655" i="15"/>
  <c r="AA656" i="15"/>
  <c r="AB656" i="15"/>
  <c r="AC656" i="15"/>
  <c r="AD656" i="15"/>
  <c r="AA657" i="15"/>
  <c r="AB657" i="15"/>
  <c r="AC657" i="15"/>
  <c r="AD657" i="15"/>
  <c r="AA658" i="15"/>
  <c r="AB658" i="15"/>
  <c r="AC658" i="15"/>
  <c r="AD658" i="15"/>
  <c r="AA659" i="15"/>
  <c r="AB659" i="15"/>
  <c r="AC659" i="15"/>
  <c r="AD659" i="15"/>
  <c r="AA660" i="15"/>
  <c r="AB660" i="15"/>
  <c r="AC660" i="15"/>
  <c r="AD660" i="15"/>
  <c r="AA661" i="15"/>
  <c r="AB661" i="15"/>
  <c r="AC661" i="15"/>
  <c r="AD661" i="15"/>
  <c r="AA1138" i="10"/>
  <c r="AB1138" i="10"/>
  <c r="AC1138" i="10"/>
  <c r="AD1138" i="10"/>
  <c r="AA1139" i="10"/>
  <c r="AB1139" i="10"/>
  <c r="AC1139" i="10"/>
  <c r="AD1139" i="10"/>
  <c r="AA1140" i="10"/>
  <c r="AB1140" i="10"/>
  <c r="AC1140" i="10"/>
  <c r="AD1140" i="10"/>
  <c r="AA1141" i="10"/>
  <c r="AB1141" i="10"/>
  <c r="AC1141" i="10"/>
  <c r="AD1141" i="10"/>
  <c r="AA1142" i="10"/>
  <c r="AB1142" i="10"/>
  <c r="AC1142" i="10"/>
  <c r="AD1142" i="10"/>
  <c r="AA1143" i="10"/>
  <c r="AB1143" i="10"/>
  <c r="AC1143" i="10"/>
  <c r="AD1143" i="10"/>
  <c r="AA1144" i="10"/>
  <c r="AB1144" i="10"/>
  <c r="AC1144" i="10"/>
  <c r="AD1144" i="10"/>
  <c r="AA1145" i="10"/>
  <c r="AB1145" i="10"/>
  <c r="AC1145" i="10"/>
  <c r="AD1145" i="10"/>
  <c r="AA1146" i="10"/>
  <c r="AB1146" i="10"/>
  <c r="AC1146" i="10"/>
  <c r="AD1146" i="10"/>
  <c r="AA1147" i="10"/>
  <c r="AB1147" i="10"/>
  <c r="AC1147" i="10"/>
  <c r="AD1147" i="10"/>
  <c r="AA1148" i="10"/>
  <c r="AB1148" i="10"/>
  <c r="AC1148" i="10"/>
  <c r="AD1148" i="10"/>
  <c r="AA1149" i="10"/>
  <c r="AB1149" i="10"/>
  <c r="AC1149" i="10"/>
  <c r="AD1149" i="10"/>
  <c r="AA636" i="15"/>
  <c r="AB636" i="15"/>
  <c r="AC636" i="15"/>
  <c r="AD636" i="15"/>
  <c r="AA637" i="15"/>
  <c r="AB637" i="15"/>
  <c r="AC637" i="15"/>
  <c r="AD637" i="15"/>
  <c r="AA638" i="15"/>
  <c r="AB638" i="15"/>
  <c r="AC638" i="15"/>
  <c r="AD638" i="15"/>
  <c r="AA639" i="15"/>
  <c r="AB639" i="15"/>
  <c r="AC639" i="15"/>
  <c r="AD639" i="15"/>
  <c r="AA640" i="15"/>
  <c r="AB640" i="15"/>
  <c r="AC640" i="15"/>
  <c r="AD640" i="15"/>
  <c r="AA641" i="15"/>
  <c r="AB641" i="15"/>
  <c r="AC641" i="15"/>
  <c r="AD641" i="15"/>
  <c r="AA642" i="15"/>
  <c r="AB642" i="15"/>
  <c r="AC642" i="15"/>
  <c r="AD642" i="15"/>
  <c r="AA643" i="15"/>
  <c r="AB643" i="15"/>
  <c r="AC643" i="15"/>
  <c r="AD643" i="15"/>
  <c r="AA644" i="15"/>
  <c r="AB644" i="15"/>
  <c r="AC644" i="15"/>
  <c r="AD644" i="15"/>
  <c r="AA645" i="15"/>
  <c r="AB645" i="15"/>
  <c r="AC645" i="15"/>
  <c r="AD645" i="15"/>
  <c r="AA646" i="15"/>
  <c r="AB646" i="15"/>
  <c r="AC646" i="15"/>
  <c r="AD646" i="15"/>
  <c r="AA647" i="15"/>
  <c r="AB647" i="15"/>
  <c r="AC647" i="15"/>
  <c r="AD647" i="15"/>
  <c r="AA648" i="15"/>
  <c r="AB648" i="15"/>
  <c r="AC648" i="15"/>
  <c r="AD648" i="15"/>
  <c r="AA649" i="15"/>
  <c r="AB649" i="15"/>
  <c r="AC649" i="15"/>
  <c r="AD649" i="15"/>
  <c r="AA1124" i="10"/>
  <c r="AB1124" i="10"/>
  <c r="AC1124" i="10"/>
  <c r="AD1124" i="10"/>
  <c r="AA1125" i="10"/>
  <c r="AB1125" i="10"/>
  <c r="AC1125" i="10"/>
  <c r="AD1125" i="10"/>
  <c r="AA1126" i="10"/>
  <c r="AB1126" i="10"/>
  <c r="AC1126" i="10"/>
  <c r="AD1126" i="10"/>
  <c r="AA1127" i="10"/>
  <c r="AB1127" i="10"/>
  <c r="AC1127" i="10"/>
  <c r="AD1127" i="10"/>
  <c r="AA1128" i="10"/>
  <c r="AB1128" i="10"/>
  <c r="AC1128" i="10"/>
  <c r="AD1128" i="10"/>
  <c r="AA1129" i="10"/>
  <c r="AB1129" i="10"/>
  <c r="AC1129" i="10"/>
  <c r="AD1129" i="10"/>
  <c r="AA1130" i="10"/>
  <c r="AB1130" i="10"/>
  <c r="AC1130" i="10"/>
  <c r="AD1130" i="10"/>
  <c r="AA1131" i="10"/>
  <c r="AB1131" i="10"/>
  <c r="AC1131" i="10"/>
  <c r="AD1131" i="10"/>
  <c r="AA1132" i="10"/>
  <c r="AB1132" i="10"/>
  <c r="AC1132" i="10"/>
  <c r="AD1132" i="10"/>
  <c r="AA1133" i="10"/>
  <c r="AB1133" i="10"/>
  <c r="AC1133" i="10"/>
  <c r="AD1133" i="10"/>
  <c r="AA1134" i="10"/>
  <c r="AB1134" i="10"/>
  <c r="AC1134" i="10"/>
  <c r="AD1134" i="10"/>
  <c r="AA1135" i="10"/>
  <c r="AB1135" i="10"/>
  <c r="AC1135" i="10"/>
  <c r="AD1135" i="10"/>
  <c r="AA1136" i="10"/>
  <c r="AB1136" i="10"/>
  <c r="AC1136" i="10"/>
  <c r="AD1136" i="10"/>
  <c r="AA1137" i="10"/>
  <c r="AB1137" i="10"/>
  <c r="AC1137" i="10"/>
  <c r="AD1137" i="10"/>
  <c r="AH563" i="17"/>
  <c r="AI563" i="17"/>
  <c r="AJ563" i="17"/>
  <c r="AK563" i="17"/>
  <c r="AH564" i="17"/>
  <c r="AI564" i="17"/>
  <c r="AJ564" i="17"/>
  <c r="AK564" i="17"/>
  <c r="AH565" i="17"/>
  <c r="AI565" i="17"/>
  <c r="AJ565" i="17"/>
  <c r="AK565" i="17"/>
  <c r="AH566" i="17"/>
  <c r="AI566" i="17"/>
  <c r="AJ566" i="17"/>
  <c r="AK566" i="17"/>
  <c r="AH567" i="17"/>
  <c r="AI567" i="17"/>
  <c r="AJ567" i="17"/>
  <c r="AK567" i="17"/>
  <c r="AH568" i="17"/>
  <c r="AI568" i="17"/>
  <c r="AJ568" i="17"/>
  <c r="AK568" i="17"/>
  <c r="AH569" i="17"/>
  <c r="AI569" i="17"/>
  <c r="AJ569" i="17"/>
  <c r="AK569" i="17"/>
  <c r="AH570" i="17"/>
  <c r="AI570" i="17"/>
  <c r="AJ570" i="17"/>
  <c r="AK570" i="17"/>
  <c r="AH571" i="17"/>
  <c r="AI571" i="17"/>
  <c r="AJ571" i="17"/>
  <c r="AK571" i="17"/>
  <c r="AH572" i="17"/>
  <c r="AI572" i="17"/>
  <c r="AJ572" i="17"/>
  <c r="AK572" i="17"/>
  <c r="AH573" i="17"/>
  <c r="AI573" i="17"/>
  <c r="AJ573" i="17"/>
  <c r="AK573" i="17"/>
  <c r="AH574" i="17"/>
  <c r="AI574" i="17"/>
  <c r="AJ574" i="17"/>
  <c r="AK574" i="17"/>
  <c r="AH575" i="17"/>
  <c r="AI575" i="17"/>
  <c r="AJ575" i="17"/>
  <c r="AK575" i="17"/>
  <c r="AH576" i="17"/>
  <c r="AI576" i="17"/>
  <c r="AJ576" i="17"/>
  <c r="AK576" i="17"/>
  <c r="AH577" i="17"/>
  <c r="AI577" i="17"/>
  <c r="AJ577" i="17"/>
  <c r="AK577" i="17"/>
  <c r="AH578" i="17"/>
  <c r="AI578" i="17"/>
  <c r="AJ578" i="17"/>
  <c r="AK578" i="17"/>
  <c r="AH579" i="17"/>
  <c r="AI579" i="17"/>
  <c r="AJ579" i="17"/>
  <c r="AK579" i="17"/>
  <c r="AH580" i="17"/>
  <c r="AI580" i="17"/>
  <c r="AJ580" i="17"/>
  <c r="AK580" i="17"/>
  <c r="AH581" i="17"/>
  <c r="AI581" i="17"/>
  <c r="AJ581" i="17"/>
  <c r="AK581" i="17"/>
  <c r="AH582" i="17"/>
  <c r="AI582" i="17"/>
  <c r="AJ582" i="17"/>
  <c r="AK582" i="17"/>
  <c r="AH583" i="17"/>
  <c r="AI583" i="17"/>
  <c r="AJ583" i="17"/>
  <c r="AK583" i="17"/>
  <c r="AH584" i="17"/>
  <c r="AI584" i="17"/>
  <c r="AJ584" i="17"/>
  <c r="AK584" i="17"/>
  <c r="AH585" i="17"/>
  <c r="AI585" i="17"/>
  <c r="AJ585" i="17"/>
  <c r="AK585" i="17"/>
  <c r="AH586" i="17"/>
  <c r="AI586" i="17"/>
  <c r="AJ586" i="17"/>
  <c r="AK586" i="17"/>
  <c r="AN26" i="16"/>
  <c r="AN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1279" i="9"/>
  <c r="AI1279" i="9"/>
  <c r="AJ1279" i="9"/>
  <c r="AK1279" i="9"/>
  <c r="AH1280" i="9"/>
  <c r="AI1280" i="9"/>
  <c r="AJ1280" i="9"/>
  <c r="AK1280" i="9"/>
  <c r="AH1281" i="9"/>
  <c r="AI1281" i="9"/>
  <c r="AJ1281" i="9"/>
  <c r="AK1281" i="9"/>
  <c r="AH1282" i="9"/>
  <c r="AI1282" i="9"/>
  <c r="AJ1282" i="9"/>
  <c r="AK1282" i="9"/>
  <c r="AH1283" i="9"/>
  <c r="AI1283" i="9"/>
  <c r="AJ1283" i="9"/>
  <c r="AK1283" i="9"/>
  <c r="AH1284" i="9"/>
  <c r="AI1284" i="9"/>
  <c r="AJ1284" i="9"/>
  <c r="AK1284" i="9"/>
  <c r="AH1285" i="9"/>
  <c r="AI1285" i="9"/>
  <c r="AJ1285" i="9"/>
  <c r="AK1285" i="9"/>
  <c r="AH1286" i="9"/>
  <c r="AI1286" i="9"/>
  <c r="AJ1286" i="9"/>
  <c r="AK1286" i="9"/>
  <c r="AH1287" i="9"/>
  <c r="AI1287" i="9"/>
  <c r="AJ1287" i="9"/>
  <c r="AK1287" i="9"/>
  <c r="AH1288" i="9"/>
  <c r="AI1288" i="9"/>
  <c r="AJ1288" i="9"/>
  <c r="AK1288" i="9"/>
  <c r="AH1289" i="9"/>
  <c r="AI1289" i="9"/>
  <c r="AJ1289" i="9"/>
  <c r="AK1289" i="9"/>
  <c r="AH1290" i="9"/>
  <c r="AI1290" i="9"/>
  <c r="AJ1290" i="9"/>
  <c r="AK1290" i="9"/>
  <c r="AH1267" i="9"/>
  <c r="AI1267" i="9"/>
  <c r="AJ1267" i="9"/>
  <c r="AK1267" i="9"/>
  <c r="AH1268" i="9"/>
  <c r="AI1268" i="9"/>
  <c r="AJ1268" i="9"/>
  <c r="AK1268" i="9"/>
  <c r="AH1269" i="9"/>
  <c r="AI1269" i="9"/>
  <c r="AJ1269" i="9"/>
  <c r="AK1269" i="9"/>
  <c r="AH1270" i="9"/>
  <c r="AI1270" i="9"/>
  <c r="AJ1270" i="9"/>
  <c r="AK1270" i="9"/>
  <c r="AH1271" i="9"/>
  <c r="AI1271" i="9"/>
  <c r="AJ1271" i="9"/>
  <c r="AK1271" i="9"/>
  <c r="AH1272" i="9"/>
  <c r="AI1272" i="9"/>
  <c r="AJ1272" i="9"/>
  <c r="AK1272" i="9"/>
  <c r="AH1273" i="9"/>
  <c r="AI1273" i="9"/>
  <c r="AJ1273" i="9"/>
  <c r="AK1273" i="9"/>
  <c r="AH1274" i="9"/>
  <c r="AI1274" i="9"/>
  <c r="AJ1274" i="9"/>
  <c r="AK1274" i="9"/>
  <c r="AH1275" i="9"/>
  <c r="AI1275" i="9"/>
  <c r="AJ1275" i="9"/>
  <c r="AK1275" i="9"/>
  <c r="AH1276" i="9"/>
  <c r="AI1276" i="9"/>
  <c r="AJ1276" i="9"/>
  <c r="AK1276" i="9"/>
  <c r="AH1277" i="9"/>
  <c r="AI1277" i="9"/>
  <c r="AJ1277" i="9"/>
  <c r="AK1277" i="9"/>
  <c r="AH1278" i="9"/>
  <c r="AI1278" i="9"/>
  <c r="AJ1278" i="9"/>
  <c r="AK1278" i="9"/>
  <c r="AH1241" i="9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4" i="11" a="1"/>
  <c r="J44" i="11" s="1"/>
  <c r="B15" i="22" s="1"/>
  <c r="E15" i="22" s="1"/>
  <c r="J45" i="11" a="1"/>
  <c r="J45" i="11" s="1"/>
  <c r="B54" i="22" s="1"/>
  <c r="E54" i="22" s="1"/>
  <c r="J46" i="11" a="1"/>
  <c r="J46" i="11" s="1"/>
  <c r="B25" i="22" s="1"/>
  <c r="E25" i="22" s="1"/>
  <c r="J47" i="11" a="1"/>
  <c r="J47" i="11" s="1"/>
  <c r="B17" i="22" s="1"/>
  <c r="E17" i="22" s="1"/>
  <c r="J48" i="11" a="1"/>
  <c r="J48" i="11" s="1"/>
  <c r="B4" i="22" s="1"/>
  <c r="E4" i="22" s="1"/>
  <c r="J49" i="11" a="1"/>
  <c r="J49" i="11" s="1"/>
  <c r="B27" i="22" s="1"/>
  <c r="E27" i="22" s="1"/>
  <c r="J50" i="11" a="1"/>
  <c r="J50" i="11" s="1"/>
  <c r="B29" i="22" s="1"/>
  <c r="E29" i="22" s="1"/>
  <c r="J51" i="11" a="1"/>
  <c r="J51" i="11" s="1"/>
  <c r="B3" i="22" s="1"/>
  <c r="E3" i="22" s="1"/>
  <c r="J52" i="11" a="1"/>
  <c r="J52" i="11" s="1"/>
  <c r="B28" i="22" s="1"/>
  <c r="E28" i="22" s="1"/>
  <c r="J53" i="11" a="1"/>
  <c r="J53" i="11" s="1"/>
  <c r="B56" i="22" s="1"/>
  <c r="E56" i="22" s="1"/>
  <c r="J54" i="11" a="1"/>
  <c r="J54" i="11" s="1"/>
  <c r="B18" i="22" s="1"/>
  <c r="E18" i="22" s="1"/>
  <c r="J55" i="11" a="1"/>
  <c r="J55" i="11" s="1"/>
  <c r="B5" i="22" s="1"/>
  <c r="E5" i="22" s="1"/>
  <c r="J56" i="11" a="1"/>
  <c r="J56" i="11" s="1"/>
  <c r="B7" i="22" s="1"/>
  <c r="E7" i="22" s="1"/>
  <c r="J57" i="11" a="1"/>
  <c r="J57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7" i="16"/>
  <c r="AH28" i="16"/>
  <c r="AH29" i="16"/>
  <c r="AH30" i="16"/>
  <c r="AH31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O39" i="16"/>
  <c r="P39" i="16" s="1"/>
  <c r="Q39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9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R40" i="16"/>
  <c r="F40" i="16"/>
  <c r="G40" i="16"/>
  <c r="H40" i="16" a="1"/>
  <c r="H40" i="16" s="1"/>
  <c r="I40" i="16"/>
  <c r="J40" i="16"/>
  <c r="K40" i="16"/>
  <c r="L40" i="16"/>
  <c r="M40" i="16" s="1"/>
  <c r="N40" i="16"/>
  <c r="O40" i="16"/>
  <c r="P40" i="16" s="1"/>
  <c r="Q40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5" i="16" s="1"/>
  <c r="AJ241" i="17"/>
  <c r="AK241" i="17"/>
  <c r="K35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L35" i="16"/>
  <c r="M35" i="16" s="1"/>
  <c r="O35" i="16"/>
  <c r="P35" i="16" s="1"/>
  <c r="Q35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3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L42" i="16"/>
  <c r="R42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R43" i="16"/>
  <c r="AK2" i="17"/>
  <c r="AI2" i="17"/>
  <c r="AH2" i="17"/>
  <c r="F43" i="16"/>
  <c r="G43" i="16"/>
  <c r="H43" i="16" a="1"/>
  <c r="H43" i="16" s="1"/>
  <c r="I43" i="16"/>
  <c r="J43" i="16"/>
  <c r="L43" i="16"/>
  <c r="M43" i="16" s="1"/>
  <c r="O43" i="16"/>
  <c r="P43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3" i="16"/>
  <c r="K43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I45" i="16"/>
  <c r="AJ45" i="16"/>
  <c r="AK45" i="16"/>
  <c r="AL45" i="16"/>
  <c r="AM45" i="16"/>
  <c r="AN45" i="16"/>
  <c r="R45" i="16"/>
  <c r="R44" i="16"/>
  <c r="R41" i="16"/>
  <c r="R38" i="16"/>
  <c r="R37" i="16"/>
  <c r="R36" i="16"/>
  <c r="R34" i="16"/>
  <c r="R33" i="16"/>
  <c r="R30" i="16"/>
  <c r="R29" i="16"/>
  <c r="R28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8" i="16"/>
  <c r="Q29" i="16"/>
  <c r="Q30" i="16"/>
  <c r="Q33" i="16"/>
  <c r="Q34" i="16"/>
  <c r="Q36" i="16"/>
  <c r="Q37" i="16"/>
  <c r="Q38" i="16"/>
  <c r="Q41" i="16"/>
  <c r="Q42" i="16"/>
  <c r="Q44" i="16"/>
  <c r="Q45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8" i="16"/>
  <c r="P28" i="16" s="1"/>
  <c r="O29" i="16"/>
  <c r="P29" i="16" s="1"/>
  <c r="O30" i="16"/>
  <c r="P30" i="16" s="1"/>
  <c r="O33" i="16"/>
  <c r="P33" i="16" s="1"/>
  <c r="O34" i="16"/>
  <c r="P34" i="16" s="1"/>
  <c r="O36" i="16"/>
  <c r="P36" i="16" s="1"/>
  <c r="O37" i="16"/>
  <c r="P37" i="16" s="1"/>
  <c r="O38" i="16"/>
  <c r="P38" i="16" s="1"/>
  <c r="O41" i="16"/>
  <c r="P41" i="16" s="1"/>
  <c r="O42" i="16"/>
  <c r="P42" i="16" s="1"/>
  <c r="O44" i="16"/>
  <c r="P44" i="16" s="1"/>
  <c r="O45" i="16"/>
  <c r="P45" i="16" s="1"/>
  <c r="O2" i="16"/>
  <c r="P2" i="16" s="1"/>
  <c r="N3" i="16"/>
  <c r="N4" i="16"/>
  <c r="N5" i="16"/>
  <c r="N6" i="16"/>
  <c r="N16" i="16"/>
  <c r="N18" i="16"/>
  <c r="N19" i="16"/>
  <c r="N20" i="16"/>
  <c r="N22" i="16"/>
  <c r="N28" i="16"/>
  <c r="N29" i="16"/>
  <c r="N30" i="16"/>
  <c r="N33" i="16"/>
  <c r="N34" i="16"/>
  <c r="N36" i="16"/>
  <c r="N37" i="16"/>
  <c r="N38" i="16"/>
  <c r="N41" i="16"/>
  <c r="N42" i="16"/>
  <c r="N44" i="16"/>
  <c r="N45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8" i="16"/>
  <c r="M28" i="16" s="1"/>
  <c r="L29" i="16"/>
  <c r="M29" i="16" s="1"/>
  <c r="L30" i="16"/>
  <c r="M30" i="16" s="1"/>
  <c r="L33" i="16"/>
  <c r="M33" i="16" s="1"/>
  <c r="L34" i="16"/>
  <c r="M34" i="16" s="1"/>
  <c r="L36" i="16"/>
  <c r="M36" i="16" s="1"/>
  <c r="L37" i="16"/>
  <c r="M37" i="16" s="1"/>
  <c r="L38" i="16"/>
  <c r="M38" i="16" s="1"/>
  <c r="L41" i="16"/>
  <c r="M41" i="16" s="1"/>
  <c r="M42" i="16"/>
  <c r="L44" i="16"/>
  <c r="M44" i="16" s="1"/>
  <c r="L45" i="16"/>
  <c r="M45" i="16" s="1"/>
  <c r="L2" i="16"/>
  <c r="M2" i="16" s="1"/>
  <c r="K3" i="16"/>
  <c r="K4" i="16"/>
  <c r="K5" i="16"/>
  <c r="K6" i="16"/>
  <c r="K16" i="16"/>
  <c r="K18" i="16"/>
  <c r="K19" i="16"/>
  <c r="K20" i="16"/>
  <c r="K22" i="16"/>
  <c r="K28" i="16"/>
  <c r="K29" i="16"/>
  <c r="K30" i="16"/>
  <c r="K33" i="16"/>
  <c r="K34" i="16"/>
  <c r="K36" i="16"/>
  <c r="K37" i="16"/>
  <c r="K38" i="16"/>
  <c r="K41" i="16"/>
  <c r="K42" i="16"/>
  <c r="K44" i="16"/>
  <c r="K45" i="16"/>
  <c r="J3" i="16"/>
  <c r="J4" i="16"/>
  <c r="J5" i="16"/>
  <c r="J6" i="16"/>
  <c r="J14" i="16"/>
  <c r="J16" i="16"/>
  <c r="J18" i="16"/>
  <c r="J19" i="16"/>
  <c r="J20" i="16"/>
  <c r="J22" i="16"/>
  <c r="J28" i="16"/>
  <c r="J29" i="16"/>
  <c r="J30" i="16"/>
  <c r="J33" i="16"/>
  <c r="J34" i="16"/>
  <c r="J36" i="16"/>
  <c r="J37" i="16"/>
  <c r="J38" i="16"/>
  <c r="J41" i="16"/>
  <c r="J42" i="16"/>
  <c r="J44" i="16"/>
  <c r="J45" i="16"/>
  <c r="J2" i="16"/>
  <c r="I3" i="16"/>
  <c r="I4" i="16"/>
  <c r="I5" i="16"/>
  <c r="I6" i="16"/>
  <c r="I14" i="16"/>
  <c r="I16" i="16"/>
  <c r="I18" i="16"/>
  <c r="I19" i="16"/>
  <c r="I20" i="16"/>
  <c r="I22" i="16"/>
  <c r="I28" i="16"/>
  <c r="I29" i="16"/>
  <c r="I30" i="16"/>
  <c r="I33" i="16"/>
  <c r="I34" i="16"/>
  <c r="I36" i="16"/>
  <c r="I37" i="16"/>
  <c r="I38" i="16"/>
  <c r="I41" i="16"/>
  <c r="I42" i="16"/>
  <c r="I44" i="16"/>
  <c r="I45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8" i="16" a="1"/>
  <c r="H28" i="16" s="1"/>
  <c r="H29" i="16" a="1"/>
  <c r="H29" i="16" s="1"/>
  <c r="H30" i="16" a="1"/>
  <c r="H30" i="16" s="1"/>
  <c r="H33" i="16" a="1"/>
  <c r="H33" i="16" s="1"/>
  <c r="H34" i="16" a="1"/>
  <c r="H34" i="16" s="1"/>
  <c r="H36" i="16" a="1"/>
  <c r="H36" i="16" s="1"/>
  <c r="H37" i="16" a="1"/>
  <c r="H37" i="16" s="1"/>
  <c r="H38" i="16" a="1"/>
  <c r="H38" i="16" s="1"/>
  <c r="H41" i="16" a="1"/>
  <c r="H41" i="16" s="1"/>
  <c r="H42" i="16" a="1"/>
  <c r="H42" i="16" s="1"/>
  <c r="H44" i="16" a="1"/>
  <c r="H44" i="16" s="1"/>
  <c r="H45" i="16" a="1"/>
  <c r="H45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8" i="16"/>
  <c r="G29" i="16"/>
  <c r="G30" i="16"/>
  <c r="G33" i="16"/>
  <c r="G34" i="16"/>
  <c r="G36" i="16"/>
  <c r="G37" i="16"/>
  <c r="G38" i="16"/>
  <c r="G41" i="16"/>
  <c r="G42" i="16"/>
  <c r="G44" i="16"/>
  <c r="G45" i="16"/>
  <c r="G2" i="16"/>
  <c r="F3" i="16"/>
  <c r="F4" i="16"/>
  <c r="F5" i="16"/>
  <c r="F6" i="16"/>
  <c r="F14" i="16"/>
  <c r="F16" i="16"/>
  <c r="F18" i="16"/>
  <c r="F19" i="16"/>
  <c r="F20" i="16"/>
  <c r="F22" i="16"/>
  <c r="F28" i="16"/>
  <c r="F29" i="16"/>
  <c r="F30" i="16"/>
  <c r="F33" i="16"/>
  <c r="F34" i="16"/>
  <c r="F36" i="16"/>
  <c r="F37" i="16"/>
  <c r="F38" i="16"/>
  <c r="F41" i="16"/>
  <c r="F42" i="16"/>
  <c r="F44" i="16"/>
  <c r="F45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<sst xmlns="http://schemas.openxmlformats.org/spreadsheetml/2006/main" count="5613" uniqueCount="242">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</sst>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E39" sqref="E3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264</v>
      </c>
      <c r="I4" s="4">
        <f>AVERAGEIFS('OB History'!C:C,'OB History'!B:B,A4)</f>
        <v>9.4285714285714288</v>
      </c>
      <c r="J4" s="4">
        <f t="array" ref="J4">MEDIAN(IF('OB History'!B:B=A4, 'OB History'!C:C))</f>
        <v>10</v>
      </c>
      <c r="K4" s="35">
        <f t="array" ref="K4">MAX(IF('OB History'!B:B=A4, 'OB History'!C:C))</f>
        <v>19</v>
      </c>
      <c r="L4" s="34">
        <f>COUNTIFS('OB History'!B:B,A4,'OB History'!D:D, 1)</f>
        <v>13</v>
      </c>
      <c r="M4" s="2">
        <f>COUNTIFS('OB History'!B:B,A4,'OB History'!D:D, 0)</f>
        <v>15</v>
      </c>
      <c r="N4" s="88">
        <f>LOOKUP(2, 1/('OB History'!$B:$B=A4), 'OB History'!$AD:$AD)</f>
        <v>0.4642857142857143</v>
      </c>
      <c r="O4" s="34">
        <f>SUMIFS('OB History'!F:F,'OB History'!B:B,A4)</f>
        <v>49</v>
      </c>
      <c r="P4" s="2">
        <f>SUMIFS('OB History'!E:E,'OB History'!B:B,A4)-O4</f>
        <v>60</v>
      </c>
      <c r="Q4" s="88">
        <f>LOOKUP(2, 1/('OB History'!$B:$B=A4), 'OB History'!$AB:$AB)</f>
        <v>0.44464285714285717</v>
      </c>
      <c r="R4" s="34">
        <f>SUMIFS('OB History'!H:H,'OB History'!B:B,A4)</f>
        <v>222</v>
      </c>
      <c r="S4" s="2">
        <f>SUMIFS('OB History'!G:G,'OB History'!B:B,A4)-R4</f>
        <v>240</v>
      </c>
      <c r="T4" s="88">
        <f>LOOKUP(2, 1/('OB History'!$B:$B=A4), 'OB History'!$AC:$AC)</f>
        <v>0.47749999999999987</v>
      </c>
      <c r="U4" s="2">
        <f>COUNTIFS('OB History'!$B:$B,$A$4,'OB History'!K:K, 1)</f>
        <v>4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6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3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8</v>
      </c>
      <c r="AI4" s="2">
        <f>COUNTIFS('OB History'!$B:$B,$A$4,'OB History'!Y:Y, 1)</f>
        <v>7</v>
      </c>
      <c r="AJ4" s="2">
        <f>COUNTIFS('OB History'!$B:$B,$A$4,'OB History'!Z:Z, 1)</f>
        <v>4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488</v>
      </c>
      <c r="I9" s="4">
        <f>AVERAGEIFS('OB History'!C:C,'OB History'!B:B,A9)</f>
        <v>12.512820512820513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17</v>
      </c>
      <c r="M9" s="2">
        <f>COUNTIFS('OB History'!B:B,A9,'OB History'!D:D, 0)</f>
        <v>22</v>
      </c>
      <c r="N9" s="88">
        <f>LOOKUP(2, 1/('OB History'!$B:$B=A9), 'OB History'!$AD:$AD)</f>
        <v>0.4358974358974359</v>
      </c>
      <c r="O9" s="34">
        <f>SUMIFS('OB History'!F:F,'OB History'!B:B,A9)</f>
        <v>75</v>
      </c>
      <c r="P9" s="2">
        <f>SUMIFS('OB History'!E:E,'OB History'!B:B,A9)-O9</f>
        <v>87</v>
      </c>
      <c r="Q9" s="88">
        <f>LOOKUP(2, 1/('OB History'!$B:$B=A9), 'OB History'!$AB:$AB)</f>
        <v>0.45512820512820512</v>
      </c>
      <c r="R9" s="34">
        <f>SUMIFS('OB History'!H:H,'OB History'!B:B,'Old Bow v2'!A9)</f>
        <v>321</v>
      </c>
      <c r="S9" s="2">
        <f>SUMIFS('OB History'!G:G,'OB History'!B:B,'Old Bow v2'!A9)-R9</f>
        <v>348</v>
      </c>
      <c r="T9" s="88">
        <f>LOOKUP(2, 1/('OB History'!$B:$B=A9), 'OB History'!$AC:$AC)</f>
        <v>0.46974358974358982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9</v>
      </c>
      <c r="Y9" s="2">
        <f>COUNTIFS('OB History'!$B:$B,$A$9,'OB History'!O:O, 1)</f>
        <v>2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114</v>
      </c>
      <c r="I11" s="4">
        <f>AVERAGEIFS('OB History'!C:C,'OB History'!B:B,A11)</f>
        <v>14.25</v>
      </c>
      <c r="J11" s="4">
        <f t="array" ref="J11">MEDIAN(IF('OB History'!B:B=A11, 'OB History'!C:C))</f>
        <v>14.5</v>
      </c>
      <c r="K11" s="35">
        <f t="array" ref="K11">MAX(IF('OB History'!B:B=A11, 'OB History'!C:C))</f>
        <v>22</v>
      </c>
      <c r="L11" s="34">
        <f>COUNTIFS('OB History'!B:B,A11,'OB History'!D:D, 1)</f>
        <v>7</v>
      </c>
      <c r="M11" s="2">
        <f>COUNTIFS('OB History'!B:B,A11,'OB History'!D:D, 0)</f>
        <v>1</v>
      </c>
      <c r="N11" s="88">
        <f>LOOKUP(2, 1/('OB History'!$B:$B=A11), 'OB History'!$AD:$AD)</f>
        <v>0.875</v>
      </c>
      <c r="O11" s="34">
        <f>SUMIFS('OB History'!F:F,'OB History'!B:B,A11)</f>
        <v>23</v>
      </c>
      <c r="P11" s="2">
        <f>SUMIFS('OB History'!E:E,'OB History'!B:B,A11)-O11</f>
        <v>5</v>
      </c>
      <c r="Q11" s="88">
        <f>LOOKUP(2, 1/('OB History'!$B:$B=A11), 'OB History'!$AB:$AB)</f>
        <v>0.84375</v>
      </c>
      <c r="R11" s="34">
        <f>SUMIFS('OB History'!H:H,'OB History'!B:B,'Old Bow v2'!A11)</f>
        <v>71</v>
      </c>
      <c r="S11" s="2">
        <f>SUMIFS('OB History'!G:G,'OB History'!B:B,'Old Bow v2'!A11)-R11</f>
        <v>47</v>
      </c>
      <c r="T11" s="88">
        <f>LOOKUP(2, 1/('OB History'!$B:$B=A11), 'OB History'!$AC:$AC)</f>
        <v>0.61125000000000007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4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238</v>
      </c>
      <c r="I14" s="4">
        <f>AVERAGEIFS('OB History'!C:C,'OB History'!B:B,A14)</f>
        <v>13.222222222222221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12</v>
      </c>
      <c r="N14" s="88">
        <f>LOOKUP(2, 1/('OB History'!$B:$B=A14), 'OB History'!$AD:$AD)</f>
        <v>0.33333333333333331</v>
      </c>
      <c r="O14" s="34">
        <f>SUMIFS('OB History'!F:F,'OB History'!B:B,A14)</f>
        <v>32</v>
      </c>
      <c r="P14" s="2">
        <f>SUMIFS('OB History'!E:E,'OB History'!B:B,A14)-O14</f>
        <v>44</v>
      </c>
      <c r="Q14" s="88">
        <f>LOOKUP(2, 1/('OB History'!$B:$B=A14), 'OB History'!$AB:$AB)</f>
        <v>0.40555555555555556</v>
      </c>
      <c r="R14" s="34">
        <f>SUMIFS('OB History'!H:H,'OB History'!B:B,'Old Bow v2'!A14)</f>
        <v>153</v>
      </c>
      <c r="S14" s="2">
        <f>SUMIFS('OB History'!G:G,'OB History'!B:B,'Old Bow v2'!A14)-R14</f>
        <v>169</v>
      </c>
      <c r="T14" s="88">
        <f>LOOKUP(2, 1/('OB History'!$B:$B=A14), 'OB History'!$AC:$AC)</f>
        <v>0.47111111111111104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467</v>
      </c>
      <c r="I15" s="4">
        <f>AVERAGEIFS('OB History'!C:C,'OB History'!B:B,A15)</f>
        <v>15.064516129032258</v>
      </c>
      <c r="J15" s="4">
        <f t="array" ref="J15">MEDIAN(IF('OB History'!B:B=A15, 'OB History'!C:C))</f>
        <v>13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14</v>
      </c>
      <c r="N15" s="88">
        <f>LOOKUP(2, 1/('OB History'!$B:$B=A15), 'OB History'!$AD:$AD)</f>
        <v>0.54838709677419351</v>
      </c>
      <c r="O15" s="34">
        <f>SUMIFS('OB History'!F:F,'OB History'!B:B,A15)</f>
        <v>63</v>
      </c>
      <c r="P15" s="2">
        <f>SUMIFS('OB History'!E:E,'OB History'!B:B,A15)-O15</f>
        <v>62</v>
      </c>
      <c r="Q15" s="88">
        <f>LOOKUP(2, 1/('OB History'!$B:$B=A15), 'OB History'!$AB:$AB)</f>
        <v>0.49354838709677418</v>
      </c>
      <c r="R15" s="34">
        <f>SUMIFS('OB History'!H:H,'OB History'!B:B,'Old Bow v2'!A15)</f>
        <v>257</v>
      </c>
      <c r="S15" s="2">
        <f>SUMIFS('OB History'!G:G,'OB History'!B:B,'Old Bow v2'!A15)-R15</f>
        <v>257</v>
      </c>
      <c r="T15" s="88">
        <f>LOOKUP(2, 1/('OB History'!$B:$B=A15), 'OB History'!$AC:$AC)</f>
        <v>0.49838709677419363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344</v>
      </c>
      <c r="I25" s="4">
        <f>AVERAGEIFS('OB History'!C:C,'OB History'!B:B,A25)</f>
        <v>18.105263157894736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14</v>
      </c>
      <c r="M25" s="2">
        <f>COUNTIFS('OB History'!B:B,A25,'OB History'!D:D, 0)</f>
        <v>5</v>
      </c>
      <c r="N25" s="88">
        <f>LOOKUP(2, 1/('OB History'!$B:$B=A25), 'OB History'!$AD:$AD)</f>
        <v>0.73684210526315785</v>
      </c>
      <c r="O25" s="34">
        <f>SUMIFS('OB History'!F:F,'OB History'!B:B,A25)</f>
        <v>48</v>
      </c>
      <c r="P25" s="2">
        <f>SUMIFS('OB History'!E:E,'OB History'!B:B,A25)-O25</f>
        <v>27</v>
      </c>
      <c r="Q25" s="88">
        <f>LOOKUP(2, 1/('OB History'!$B:$B=A25), 'OB History'!$AB:$AB)</f>
        <v>0.6763157894736842</v>
      </c>
      <c r="R25" s="34">
        <f>SUMIFS('OB History'!H:H,'OB History'!B:B,'Old Bow v2'!A25)</f>
        <v>179</v>
      </c>
      <c r="S25" s="2">
        <f>SUMIFS('OB History'!G:G,'OB History'!B:B,'Old Bow v2'!A25)-R25</f>
        <v>130</v>
      </c>
      <c r="T25" s="88">
        <f>LOOKUP(2, 1/('OB History'!$B:$B=A25), 'OB History'!$AC:$AC)</f>
        <v>0.59263157894736818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5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9</v>
      </c>
      <c r="AI25" s="2">
        <f>COUNTIFS('OB History'!$B:$B,$A$25,'OB History'!Y:Y, 1)</f>
        <v>9</v>
      </c>
      <c r="AJ25" s="2">
        <f>COUNTIFS('OB History'!$B:$B,$A$25,'OB History'!Z:Z, 1)</f>
        <v>5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217</v>
      </c>
      <c r="I27" s="4">
        <f>AVERAGEIFS('OB History'!C:C,'OB History'!B:B,A27)</f>
        <v>19.727272727272727</v>
      </c>
      <c r="J27" s="4">
        <f t="array" ref="J27">MEDIAN(IF('OB History'!B:B=A27, 'OB History'!C:C))</f>
        <v>17</v>
      </c>
      <c r="K27" s="35">
        <f t="array" ref="K27">MAX(IF('OB History'!B:B=A27, 'OB History'!C:C))</f>
        <v>36</v>
      </c>
      <c r="L27" s="34">
        <f>COUNTIFS('OB History'!B:B,A27,'OB History'!D:D, 1)</f>
        <v>5</v>
      </c>
      <c r="M27" s="2">
        <f>COUNTIFS('OB History'!B:B,A27,'OB History'!D:D, 0)</f>
        <v>6</v>
      </c>
      <c r="N27" s="88">
        <f>LOOKUP(2, 1/('OB History'!$B:$B=A27), 'OB History'!$AD:$AD)</f>
        <v>0.45454545454545453</v>
      </c>
      <c r="O27" s="34">
        <f>SUMIFS('OB History'!F:F,'OB History'!B:B,A27)</f>
        <v>20</v>
      </c>
      <c r="P27" s="2">
        <f>SUMIFS('OB History'!E:E,'OB History'!B:B,A27)-O27</f>
        <v>23</v>
      </c>
      <c r="Q27" s="88">
        <f>LOOKUP(2, 1/('OB History'!$B:$B=A27), 'OB History'!$AB:$AB)</f>
        <v>0.45454545454545453</v>
      </c>
      <c r="R27" s="34">
        <f>SUMIFS('OB History'!H:H,'OB History'!B:B,'Old Bow v2'!A27)</f>
        <v>83</v>
      </c>
      <c r="S27" s="2">
        <f>SUMIFS('OB History'!G:G,'OB History'!B:B,'Old Bow v2'!A27)-R27</f>
        <v>98</v>
      </c>
      <c r="T27" s="88">
        <f>LOOKUP(2, 1/('OB History'!$B:$B=A27), 'OB History'!$AC:$AC)</f>
        <v>0.45545454545454545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280</v>
      </c>
      <c r="I28" s="4">
        <f>AVERAGEIFS('OB History'!C:C,'OB History'!B:B,A28)</f>
        <v>11.2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14</v>
      </c>
      <c r="N28" s="88">
        <f>LOOKUP(2, 1/('OB History'!$B:$B=A28), 'OB History'!$AD:$AD)</f>
        <v>0.44</v>
      </c>
      <c r="O28" s="34">
        <f>SUMIFS('OB History'!F:F,'OB History'!B:B,A28)</f>
        <v>47</v>
      </c>
      <c r="P28" s="2">
        <f>SUMIFS('OB History'!E:E,'OB History'!B:B,A28)-O28</f>
        <v>58</v>
      </c>
      <c r="Q28" s="88">
        <f>LOOKUP(2, 1/('OB History'!$B:$B=A28), 'OB History'!$AB:$AB)</f>
        <v>0.43</v>
      </c>
      <c r="R28" s="34">
        <f>SUMIFS('OB History'!H:H,'OB History'!B:B,'Old Bow v2'!A28)</f>
        <v>211</v>
      </c>
      <c r="S28" s="2">
        <f>SUMIFS('OB History'!G:G,'OB History'!B:B,'Old Bow v2'!A28)-R28</f>
        <v>219</v>
      </c>
      <c r="T28" s="88">
        <f>LOOKUP(2, 1/('OB History'!$B:$B=A28), 'OB History'!$AC:$AC)</f>
        <v>0.48759999999999992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512</v>
      </c>
      <c r="I35" s="4">
        <f>AVERAGEIFS('OB History'!C:C,'OB History'!B:B,A35)</f>
        <v>12.8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19</v>
      </c>
      <c r="N35" s="88">
        <f>LOOKUP(2, 1/('OB History'!$B:$B=A35), 'OB History'!$AD:$AD)</f>
        <v>0.52500000000000002</v>
      </c>
      <c r="O35" s="34">
        <f>SUMIFS('OB History'!F:F,'OB History'!B:B,A35)</f>
        <v>84</v>
      </c>
      <c r="P35" s="2">
        <f>SUMIFS('OB History'!E:E,'OB History'!B:B,A35)-O35</f>
        <v>78</v>
      </c>
      <c r="Q35" s="88">
        <f>LOOKUP(2, 1/('OB History'!$B:$B=A35), 'OB History'!$AB:$AB)</f>
        <v>0.52999999999999992</v>
      </c>
      <c r="R35" s="34">
        <f>SUMIFS('OB History'!H:H,'OB History'!B:B,'Old Bow v2'!A35)</f>
        <v>338</v>
      </c>
      <c r="S35" s="2">
        <f>SUMIFS('OB History'!G:G,'OB History'!B:B,'Old Bow v2'!A35)-R35</f>
        <v>328</v>
      </c>
      <c r="T35" s="88">
        <f>LOOKUP(2, 1/('OB History'!$B:$B=A35), 'OB History'!$AC:$AC)</f>
        <v>0.51275000000000004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18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1919</v>
      </c>
      <c r="I39" s="4">
        <f>AVERAGEIFS('OB History'!C:C,'OB History'!B:B,A39)</f>
        <v>25.932432432432432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44</v>
      </c>
      <c r="M39" s="2">
        <f>COUNTIFS('OB History'!B:B,A39,'OB History'!D:D, 0)</f>
        <v>30</v>
      </c>
      <c r="N39" s="88">
        <f>LOOKUP(2, 1/('OB History'!$B:$B=A39), 'OB History'!$AD:$AD)</f>
        <v>0.59459459459459463</v>
      </c>
      <c r="O39" s="34">
        <f>SUMIFS('OB History'!F:F,'OB History'!B:B,A39)</f>
        <v>166</v>
      </c>
      <c r="P39" s="2">
        <f>SUMIFS('OB History'!E:E,'OB History'!B:B,A39)-O39</f>
        <v>134</v>
      </c>
      <c r="Q39" s="88">
        <f>LOOKUP(2, 1/('OB History'!$B:$B=A39), 'OB History'!$AB:$AB)</f>
        <v>0.55405405405405406</v>
      </c>
      <c r="R39" s="34">
        <f>SUMIFS('OB History'!H:H,'OB History'!B:B,'Old Bow v2'!A39)</f>
        <v>658</v>
      </c>
      <c r="S39" s="2">
        <f>SUMIFS('OB History'!G:G,'OB History'!B:B,'Old Bow v2'!A39)-R39</f>
        <v>576</v>
      </c>
      <c r="T39" s="88">
        <f>LOOKUP(2, 1/('OB History'!$B:$B=A39), 'OB History'!$AC:$AC)</f>
        <v>0.53486486486486495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7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19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641</v>
      </c>
      <c r="I40" s="4">
        <f>AVERAGEIFS('OB History'!C:C,'OB History'!B:B,A40)</f>
        <v>27.869565217391305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12</v>
      </c>
      <c r="M40" s="2">
        <f>COUNTIFS('OB History'!B:B,A40,'OB History'!D:D, 0)</f>
        <v>11</v>
      </c>
      <c r="N40" s="88">
        <f>LOOKUP(2, 1/('OB History'!$B:$B=A40), 'OB History'!$AD:$AD)</f>
        <v>0.52173913043478259</v>
      </c>
      <c r="O40" s="34">
        <f>SUMIFS('OB History'!F:F,'OB History'!B:B,A40)</f>
        <v>54</v>
      </c>
      <c r="P40" s="2">
        <f>SUMIFS('OB History'!E:E,'OB History'!B:B,A40)-O40</f>
        <v>41</v>
      </c>
      <c r="Q40" s="88">
        <f>LOOKUP(2, 1/('OB History'!$B:$B=A40), 'OB History'!$AB:$AB)</f>
        <v>0.60434782608695659</v>
      </c>
      <c r="R40" s="34">
        <f>SUMIFS('OB History'!H:H,'OB History'!B:B,'Old Bow v2'!A40)</f>
        <v>218</v>
      </c>
      <c r="S40" s="2">
        <f>SUMIFS('OB History'!G:G,'OB History'!B:B,'Old Bow v2'!A40)-R40</f>
        <v>186</v>
      </c>
      <c r="T40" s="88">
        <f>LOOKUP(2, 1/('OB History'!$B:$B=A40), 'OB History'!$AC:$AC)</f>
        <v>0.55391304347826076</v>
      </c>
      <c r="U40" s="2">
        <f>COUNTIFS('OB History'!$B:$B,$A$40,'OB History'!K:K, 1)</f>
        <v>4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11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6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143</v>
      </c>
      <c r="I43" s="4">
        <f>AVERAGEIFS('OB History'!C:C,'OB History'!B:B,A43)</f>
        <v>7.5263157894736841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11</v>
      </c>
      <c r="N43" s="88">
        <f>LOOKUP(2, 1/('OB History'!$B:$B=A43), 'OB History'!$AD:$AD)</f>
        <v>0.42105263157894735</v>
      </c>
      <c r="O43" s="34">
        <f>SUMIFS('OB History'!F:F,'OB History'!B:B,A43)</f>
        <v>32</v>
      </c>
      <c r="P43" s="2">
        <f>SUMIFS('OB History'!E:E,'OB History'!B:B,A43)-O43</f>
        <v>41</v>
      </c>
      <c r="Q43" s="88">
        <f>LOOKUP(2, 1/('OB History'!$B:$B=A43), 'OB History'!$AB:$AB)</f>
        <v>0.40789473684210531</v>
      </c>
      <c r="R43" s="34">
        <f>SUMIFS('OB History'!H:H,'OB History'!B:B,'Old Bow v2'!A43)</f>
        <v>139</v>
      </c>
      <c r="S43" s="2">
        <f>SUMIFS('OB History'!G:G,'OB History'!B:B,'Old Bow v2'!A43)-R43</f>
        <v>161</v>
      </c>
      <c r="T43" s="88">
        <f>LOOKUP(2, 1/('OB History'!$B:$B=A43), 'OB History'!$AC:$AC)</f>
        <v>0.45368421052631586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4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284</v>
      </c>
      <c r="I44" s="4">
        <f>AVERAGEIFS('OB History'!C:C,'OB History'!B:B,A44)</f>
        <v>16.705882352941178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7</v>
      </c>
      <c r="M44" s="2">
        <f>COUNTIFS('OB History'!B:B,A44,'OB History'!D:D, 0)</f>
        <v>10</v>
      </c>
      <c r="N44" s="88">
        <f>LOOKUP(2, 1/('OB History'!$B:$B=A44), 'OB History'!$AD:$AD)</f>
        <v>0.41176470588235292</v>
      </c>
      <c r="O44" s="34">
        <f>SUMIFS('OB History'!F:F,'OB History'!B:B,A44)</f>
        <v>31</v>
      </c>
      <c r="P44" s="2">
        <f>SUMIFS('OB History'!E:E,'OB History'!B:B,A44)-O44</f>
        <v>38</v>
      </c>
      <c r="Q44" s="88">
        <f>LOOKUP(2, 1/('OB History'!$B:$B=A44), 'OB History'!$AB:$AB)</f>
        <v>0.44999999999999996</v>
      </c>
      <c r="R44" s="34">
        <f>SUMIFS('OB History'!H:H,'OB History'!B:B,'Old Bow v2'!A44)</f>
        <v>140</v>
      </c>
      <c r="S44" s="2">
        <f>SUMIFS('OB History'!G:G,'OB History'!B:B,'Old Bow v2'!A44)-R44</f>
        <v>149</v>
      </c>
      <c r="T44" s="88">
        <f>LOOKUP(2, 1/('OB History'!$B:$B=A44), 'OB History'!$AC:$AC)</f>
        <v>0.48588235294117654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0</v>
      </c>
      <c r="X44" s="2">
        <f>COUNTIFS('OB History'!$B:$B,$A$44,'OB History'!N:N, 1)</f>
        <v>4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2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3</v>
      </c>
      <c r="AI44" s="2">
        <f>COUNTIFS('OB History'!$B:$B,$A$44,'OB History'!Y:Y, 1)</f>
        <v>4</v>
      </c>
      <c r="AJ44" s="2">
        <f>COUNTIFS('OB History'!$B:$B,$A$44,'OB History'!Z:Z, 1)</f>
        <v>4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17</v>
      </c>
      <c r="E48" s="3">
        <v>3</v>
      </c>
      <c r="F48" s="3"/>
      <c r="G48" s="3"/>
      <c r="H48" s="34">
        <f>SUMIFS('OB History'!C:C,'OB History'!B:B,A48)</f>
        <v>1549</v>
      </c>
      <c r="I48" s="4">
        <f>AVERAGEIFS('OB History'!C:C,'OB History'!B:B,A48)</f>
        <v>25.393442622950818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37</v>
      </c>
      <c r="N48" s="88">
        <f>LOOKUP(2, 1/('OB History'!$B:$B=A48), 'OB History'!$AD:$AD)</f>
        <v>0.39344262295081966</v>
      </c>
      <c r="O48" s="34">
        <f>SUMIFS('OB History'!F:F,'OB History'!B:B,A48)</f>
        <v>114</v>
      </c>
      <c r="P48" s="2">
        <f>SUMIFS('OB History'!E:E,'OB History'!B:B,A48)-O48</f>
        <v>134</v>
      </c>
      <c r="Q48" s="88">
        <f>LOOKUP(2, 1/('OB History'!$B:$B=A48), 'OB History'!$AB:$AB)</f>
        <v>0.45983606557377055</v>
      </c>
      <c r="R48" s="34">
        <f>SUMIFS('OB History'!H:H,'OB History'!B:B,'Old Bow v2'!A48)</f>
        <v>502</v>
      </c>
      <c r="S48" s="2">
        <f>SUMIFS('OB History'!G:G,'OB History'!B:B,'Old Bow v2'!A48)-R48</f>
        <v>523</v>
      </c>
      <c r="T48" s="88">
        <f>LOOKUP(2, 1/('OB History'!$B:$B=A48), 'OB History'!$AC:$AC)</f>
        <v>0.49360655737704895</v>
      </c>
      <c r="U48" s="2">
        <f>COUNTIFS('OB History'!$B:$B,$A$48,'OB History'!K:K, 1)</f>
        <v>7</v>
      </c>
      <c r="V48" s="2">
        <f>COUNTIFS('OB History'!$B:$B,$A$48,'OB History'!L:L, 1)</f>
        <v>9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11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648</v>
      </c>
      <c r="I49" s="4">
        <f>AVERAGEIFS('OB History'!C:C,'OB History'!B:B,A49)</f>
        <v>18</v>
      </c>
      <c r="J49" s="4">
        <f t="array" ref="J49">MEDIAN(IF('OB History'!B:B=A49, 'OB History'!C:C))</f>
        <v>17.5</v>
      </c>
      <c r="K49" s="35">
        <f t="array" ref="K49">MAX(IF('OB History'!B:B=A49, 'OB History'!C:C))</f>
        <v>43</v>
      </c>
      <c r="L49" s="34">
        <f>COUNTIFS('OB History'!B:B,A49,'OB History'!D:D, 1)</f>
        <v>14</v>
      </c>
      <c r="M49" s="2">
        <f>COUNTIFS('OB History'!B:B,A49,'OB History'!D:D, 0)</f>
        <v>22</v>
      </c>
      <c r="N49" s="88">
        <f>LOOKUP(2, 1/('OB History'!$B:$B=A49), 'OB History'!$AD:$AD)</f>
        <v>0.3888888888888889</v>
      </c>
      <c r="O49" s="34">
        <f>SUMIFS('OB History'!F:F,'OB History'!B:B,A49)</f>
        <v>64</v>
      </c>
      <c r="P49" s="2">
        <f>SUMIFS('OB History'!E:E,'OB History'!B:B,A49)-O49</f>
        <v>86</v>
      </c>
      <c r="Q49" s="88">
        <f>LOOKUP(2, 1/('OB History'!$B:$B=A49), 'OB History'!$AB:$AB)</f>
        <v>0.40416666666666662</v>
      </c>
      <c r="R49" s="34">
        <f>SUMIFS('OB History'!H:H,'OB History'!B:B,'Old Bow v2'!A49)</f>
        <v>298</v>
      </c>
      <c r="S49" s="2">
        <f>SUMIFS('OB History'!G:G,'OB History'!B:B,'Old Bow v2'!A49)-R49</f>
        <v>322</v>
      </c>
      <c r="T49" s="88">
        <f>LOOKUP(2, 1/('OB History'!$B:$B=A49), 'OB History'!$AC:$AC)</f>
        <v>0.46888888888888886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3</v>
      </c>
      <c r="X49" s="2">
        <f>COUNTIFS('OB History'!$B:$B,$A$49,'OB History'!N:N, 1)</f>
        <v>10</v>
      </c>
      <c r="Y49" s="2">
        <f>COUNTIFS('OB History'!$B:$B,$A$49,'OB History'!O:O, 1)</f>
        <v>4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3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5</v>
      </c>
      <c r="AH49" s="2">
        <f>COUNTIFS('OB History'!$B:$B,$A$49,'OB History'!X:X, 1)</f>
        <v>7</v>
      </c>
      <c r="AI49" s="2">
        <f>COUNTIFS('OB History'!$B:$B,$A$49,'OB History'!Y:Y, 1)</f>
        <v>6</v>
      </c>
      <c r="AJ49" s="2">
        <f>COUNTIFS('OB History'!$B:$B,$A$49,'OB History'!Z:Z, 1)</f>
        <v>5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825</v>
      </c>
      <c r="I50" s="4">
        <f>AVERAGEIFS('OB History'!C:C,'OB History'!B:B,A50)</f>
        <v>23.571428571428573</v>
      </c>
      <c r="J50" s="4">
        <f t="array" ref="J50">MEDIAN(IF('OB History'!B:B=A50, 'OB History'!C:C))</f>
        <v>18</v>
      </c>
      <c r="K50" s="35">
        <f t="array" ref="K50">MAX(IF('OB History'!B:B=A50, 'OB History'!C:C))</f>
        <v>66</v>
      </c>
      <c r="L50" s="34">
        <f>COUNTIFS('OB History'!B:B,A50,'OB History'!D:D, 1)</f>
        <v>24</v>
      </c>
      <c r="M50" s="2">
        <f>COUNTIFS('OB History'!B:B,A50,'OB History'!D:D, 0)</f>
        <v>11</v>
      </c>
      <c r="N50" s="88">
        <f>LOOKUP(2, 1/('OB History'!$B:$B=A50), 'OB History'!$AD:$AD)</f>
        <v>0.68571428571428572</v>
      </c>
      <c r="O50" s="34">
        <f>SUMIFS('OB History'!F:F,'OB History'!B:B,A50)</f>
        <v>86</v>
      </c>
      <c r="P50" s="2">
        <f>SUMIFS('OB History'!E:E,'OB History'!B:B,A50)-O50</f>
        <v>55</v>
      </c>
      <c r="Q50" s="88">
        <f>LOOKUP(2, 1/('OB History'!$B:$B=A50), 'OB History'!$AB:$AB)</f>
        <v>0.63428571428571423</v>
      </c>
      <c r="R50" s="34">
        <f>SUMIFS('OB History'!H:H,'OB History'!B:B,'Old Bow v2'!A50)</f>
        <v>330</v>
      </c>
      <c r="S50" s="2">
        <f>SUMIFS('OB History'!G:G,'OB History'!B:B,'Old Bow v2'!A50)-R50</f>
        <v>265</v>
      </c>
      <c r="T50" s="88">
        <f>LOOKUP(2, 1/('OB History'!$B:$B=A50), 'OB History'!$AC:$AC)</f>
        <v>0.56514285714285717</v>
      </c>
      <c r="U50" s="2">
        <f>COUNTIFS('OB History'!$B:$B,$A$50,'OB History'!K:K, 1)</f>
        <v>4</v>
      </c>
      <c r="V50" s="2">
        <f>COUNTIFS('OB History'!$B:$B,$A$50,'OB History'!L:L, 1)</f>
        <v>9</v>
      </c>
      <c r="W50" s="2">
        <f>COUNTIFS('OB History'!$B:$B,$A$50,'OB History'!M:M, 1)</f>
        <v>9</v>
      </c>
      <c r="X50" s="2">
        <f>COUNTIFS('OB History'!$B:$B,$A$50,'OB History'!N:N, 1)</f>
        <v>7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11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968</v>
      </c>
      <c r="I51" s="4">
        <f>AVERAGEIFS('OB History'!C:C,'OB History'!B:B,A51)</f>
        <v>26.162162162162161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18</v>
      </c>
      <c r="M51" s="2">
        <f>COUNTIFS('OB History'!B:B,A51,'OB History'!D:D, 0)</f>
        <v>19</v>
      </c>
      <c r="N51" s="88">
        <f>LOOKUP(2, 1/('OB History'!$B:$B=A51), 'OB History'!$AD:$AD)</f>
        <v>0.48648648648648651</v>
      </c>
      <c r="O51" s="34">
        <f>SUMIFS('OB History'!F:F,'OB History'!B:B,A51)</f>
        <v>75</v>
      </c>
      <c r="P51" s="2">
        <f>SUMIFS('OB History'!E:E,'OB History'!B:B,A51)-O51</f>
        <v>78</v>
      </c>
      <c r="Q51" s="88">
        <f>LOOKUP(2, 1/('OB History'!$B:$B=A51), 'OB History'!$AB:$AB)</f>
        <v>0.48108108108108111</v>
      </c>
      <c r="R51" s="34">
        <f>SUMIFS('OB History'!H:H,'OB History'!B:B,'Old Bow v2'!A51)</f>
        <v>314</v>
      </c>
      <c r="S51" s="2">
        <f>SUMIFS('OB History'!G:G,'OB History'!B:B,'Old Bow v2'!A51)-R51</f>
        <v>323</v>
      </c>
      <c r="T51" s="88">
        <f>LOOKUP(2, 1/('OB History'!$B:$B=A51), 'OB History'!$AC:$AC)</f>
        <v>0.49054054054054053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2</v>
      </c>
      <c r="X51" s="2">
        <f>COUNTIFS('OB History'!$B:$B,$A$51,'OB History'!N:N, 1)</f>
        <v>12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4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8</v>
      </c>
      <c r="AH51" s="2">
        <f>COUNTIFS('OB History'!$B:$B,$A$51,'OB History'!X:X, 1)</f>
        <v>9</v>
      </c>
      <c r="AI51" s="2">
        <f>COUNTIFS('OB History'!$B:$B,$A$51,'OB History'!Y:Y, 1)</f>
        <v>4</v>
      </c>
      <c r="AJ51" s="2">
        <f>COUNTIFS('OB History'!$B:$B,$A$51,'OB History'!Z:Z, 1)</f>
        <v>9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321</v>
      </c>
      <c r="I52" s="4">
        <f>AVERAGEIFS('OB History'!C:C,'OB History'!B:B,A52)</f>
        <v>20.0625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11</v>
      </c>
      <c r="M52" s="2">
        <f>COUNTIFS('OB History'!B:B,A52,'OB History'!D:D, 0)</f>
        <v>5</v>
      </c>
      <c r="N52" s="88">
        <f>LOOKUP(2, 1/('OB History'!$B:$B=A52), 'OB History'!$AD:$AD)</f>
        <v>0.6875</v>
      </c>
      <c r="O52" s="34">
        <f>SUMIFS('OB History'!F:F,'OB History'!B:B,A52)</f>
        <v>36</v>
      </c>
      <c r="P52" s="2">
        <f>SUMIFS('OB History'!E:E,'OB History'!B:B,A52)-O52</f>
        <v>25</v>
      </c>
      <c r="Q52" s="88">
        <f>LOOKUP(2, 1/('OB History'!$B:$B=A52), 'OB History'!$AB:$AB)</f>
        <v>0.59062500000000007</v>
      </c>
      <c r="R52" s="34">
        <f>SUMIFS('OB History'!H:H,'OB History'!B:B,'Old Bow v2'!A52)</f>
        <v>135</v>
      </c>
      <c r="S52" s="2">
        <f>SUMIFS('OB History'!G:G,'OB History'!B:B,'Old Bow v2'!A52)-R52</f>
        <v>119</v>
      </c>
      <c r="T52" s="88">
        <f>LOOKUP(2, 1/('OB History'!$B:$B=A52), 'OB History'!$AC:$AC)</f>
        <v>0.52687499999999987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4</v>
      </c>
      <c r="X52" s="2">
        <f>COUNTIFS('OB History'!$B:$B,$A$52,'OB History'!N:N, 1)</f>
        <v>4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5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6</v>
      </c>
      <c r="E54" s="3">
        <v>2</v>
      </c>
      <c r="F54" s="3"/>
      <c r="G54" s="3"/>
      <c r="H54" s="34">
        <f>SUMIFS('OB History'!C:C,'OB History'!B:B,A54)</f>
        <v>1268</v>
      </c>
      <c r="I54" s="4">
        <f>AVERAGEIFS('OB History'!C:C,'OB History'!B:B,A54)</f>
        <v>23.924528301886792</v>
      </c>
      <c r="J54" s="4">
        <f t="array" ref="J54">MEDIAN(IF('OB History'!B:B=A54, 'OB History'!C:C))</f>
        <v>20</v>
      </c>
      <c r="K54" s="35">
        <f t="array" ref="K54">MAX(IF('OB History'!B:B=A54, 'OB History'!C:C))</f>
        <v>56</v>
      </c>
      <c r="L54" s="34">
        <f>COUNTIFS('OB History'!B:B,A54,'OB History'!D:D, 1)</f>
        <v>26</v>
      </c>
      <c r="M54" s="2">
        <f>COUNTIFS('OB History'!B:B,A54,'OB History'!D:D, 0)</f>
        <v>27</v>
      </c>
      <c r="N54" s="88">
        <f>LOOKUP(2, 1/('OB History'!$B:$B=A54), 'OB History'!$AD:$AD)</f>
        <v>0.49056603773584906</v>
      </c>
      <c r="O54" s="34">
        <f>SUMIFS('OB History'!F:F,'OB History'!B:B,A54)</f>
        <v>104</v>
      </c>
      <c r="P54" s="2">
        <f>SUMIFS('OB History'!E:E,'OB History'!B:B,A54)-O54</f>
        <v>111</v>
      </c>
      <c r="Q54" s="88">
        <f>LOOKUP(2, 1/('OB History'!$B:$B=A54), 'OB History'!$AB:$AB)</f>
        <v>0.48301886792452831</v>
      </c>
      <c r="R54" s="34">
        <f>SUMIFS('OB History'!H:H,'OB History'!B:B,'Old Bow v2'!A54)</f>
        <v>431</v>
      </c>
      <c r="S54" s="2">
        <f>SUMIFS('OB History'!G:G,'OB History'!B:B,'Old Bow v2'!A54)-R54</f>
        <v>462</v>
      </c>
      <c r="T54" s="88">
        <f>LOOKUP(2, 1/('OB History'!$B:$B=A54), 'OB History'!$AC:$AC)</f>
        <v>0.48641509433962266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5</v>
      </c>
      <c r="X54" s="2">
        <f>COUNTIFS('OB History'!$B:$B,$A$54,'OB History'!N:N, 1)</f>
        <v>10</v>
      </c>
      <c r="Y54" s="2">
        <f>COUNTIFS('OB History'!$B:$B,$A$54,'OB History'!O:O, 1)</f>
        <v>4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11</v>
      </c>
      <c r="AH54" s="2">
        <f>COUNTIFS('OB History'!$B:$B,$A$54,'OB History'!X:X, 1)</f>
        <v>25</v>
      </c>
      <c r="AI54" s="2">
        <f>COUNTIFS('OB History'!$B:$B,$A$54,'OB History'!Y:Y, 1)</f>
        <v>6</v>
      </c>
      <c r="AJ54" s="2">
        <f>COUNTIFS('OB History'!$B:$B,$A$54,'OB History'!Z:Z, 1)</f>
        <v>13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49"/>
  <sheetViews>
    <sheetView workbookViewId="0">
      <pane ySplit="1" topLeftCell="A1119" activePane="bottomLeft" state="frozen"/>
      <selection pane="bottomLeft" activeCell="A1138" sqref="A1138:Z114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E36" sqref="E3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224</v>
      </c>
      <c r="I4" s="4">
        <f>AVERAGEIFS('OB History S2'!C:C,'OB History S2'!B:B,A4)</f>
        <v>8.9600000000000009</v>
      </c>
      <c r="J4" s="35">
        <f t="array" ref="J4">MAX(IF('OB History S2'!B:B=A4, 'OB History S2'!C:C))</f>
        <v>18</v>
      </c>
      <c r="K4" s="34">
        <f>COUNTIFS('OB History S2'!B:B,A4,'OB History S2'!D:D, 1)</f>
        <v>10</v>
      </c>
      <c r="L4" s="2">
        <f>COUNTIFS('OB History S2'!B:B,A4,'OB History S2'!D:D, 0)</f>
        <v>15</v>
      </c>
      <c r="M4" s="88">
        <f>LOOKUP(2, 1/('OB History S2'!$B:$B=A4), 'OB History S2'!$AD:$AD)</f>
        <v>0.4</v>
      </c>
      <c r="N4" s="34">
        <f>SUMIFS('OB History S2'!F:F,'OB History S2'!B:B,A4)</f>
        <v>40</v>
      </c>
      <c r="O4" s="2">
        <f>SUMIFS('OB History S2'!E:E,'OB History S2'!B:B,A4)-N4</f>
        <v>55</v>
      </c>
      <c r="P4" s="88">
        <f>LOOKUP(2, 1/('OB History S2'!$B:$B=A4), 'OB History S2'!$AB:$AB)</f>
        <v>0.42</v>
      </c>
      <c r="Q4" s="34">
        <f>SUMIFS('OB History S2'!H:H,'OB History S2'!B:B,A4)</f>
        <v>189</v>
      </c>
      <c r="R4" s="2">
        <f>SUMIFS('OB History S2'!G:G,'OB History S2'!B:B,A4)-Q4</f>
        <v>214</v>
      </c>
      <c r="S4" s="88">
        <f>LOOKUP(2, 1/('OB History S2'!$B:$B=A4), 'OB History S2'!$AC:$AC)</f>
        <v>0.46679999999999994</v>
      </c>
      <c r="T4" s="2">
        <f>COUNTIFS('OB History S2'!$B:$B,$A$4,'OB History S2'!K:K, 1)</f>
        <v>4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4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3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6</v>
      </c>
      <c r="AH4" s="2">
        <f>COUNTIFS('OB History S2'!$B:$B,$A$4,'OB History S2'!Y:Y, 1)</f>
        <v>6</v>
      </c>
      <c r="AI4" s="2">
        <f>COUNTIFS('OB History S2'!$B:$B,$A$4,'OB History S2'!Z:Z, 1)</f>
        <v>4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165</v>
      </c>
      <c r="I9" s="4">
        <f>AVERAGEIFS('OB History S2'!C:C,'OB History S2'!B:B,A9)</f>
        <v>13.75</v>
      </c>
      <c r="J9" s="35">
        <f t="array" ref="J9">MAX(IF('OB History S2'!B:B=A9, 'OB History S2'!C:C))</f>
        <v>24</v>
      </c>
      <c r="K9" s="34">
        <f>COUNTIFS('OB History S2'!B:B,A9,'OB History S2'!D:D, 1)</f>
        <v>7</v>
      </c>
      <c r="L9" s="2">
        <f>COUNTIFS('OB History S2'!B:B,A9,'OB History S2'!D:D, 0)</f>
        <v>5</v>
      </c>
      <c r="M9" s="88">
        <f>LOOKUP(2, 1/('OB History S2'!$B:$B=A9), 'OB History S2'!$AD:$AD)</f>
        <v>0.58333333333333337</v>
      </c>
      <c r="N9" s="34">
        <f>SUMIFS('OB History S2'!F:F,'OB History S2'!B:B,A9)</f>
        <v>29</v>
      </c>
      <c r="O9" s="2">
        <f>SUMIFS('OB History S2'!E:E,'OB History S2'!B:B,A9)-N9</f>
        <v>21</v>
      </c>
      <c r="P9" s="88">
        <f>LOOKUP(2, 1/('OB History S2'!$B:$B=A9), 'OB History S2'!$AB:$AB)</f>
        <v>0.61666666666666659</v>
      </c>
      <c r="Q9" s="34">
        <f>SUMIFS('OB History S2'!H:H,'OB History S2'!B:B,A9)</f>
        <v>110</v>
      </c>
      <c r="R9" s="2">
        <f>SUMIFS('OB History S2'!G:G,'OB History S2'!B:B,A9)-Q9</f>
        <v>98</v>
      </c>
      <c r="S9" s="88">
        <f>LOOKUP(2, 1/('OB History S2'!$B:$B=A9), 'OB History S2'!$AC:$AC)</f>
        <v>0.53666666666666674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4</v>
      </c>
      <c r="X9" s="2">
        <f>COUNTIFS('OB History S2'!$B:$B,$A$9,'OB History S2'!O:O, 1)</f>
        <v>1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114</v>
      </c>
      <c r="I11" s="4">
        <f>AVERAGEIFS('OB History S2'!C:C,'OB History S2'!B:B,A11)</f>
        <v>14.25</v>
      </c>
      <c r="J11" s="35">
        <f t="array" ref="J11">MAX(IF('OB History S2'!B:B=A11, 'OB History S2'!C:C))</f>
        <v>22</v>
      </c>
      <c r="K11" s="34">
        <f>COUNTIFS('OB History S2'!B:B,A11,'OB History S2'!D:D, 1)</f>
        <v>7</v>
      </c>
      <c r="L11" s="2">
        <f>COUNTIFS('OB History S2'!B:B,A11,'OB History S2'!D:D, 0)</f>
        <v>1</v>
      </c>
      <c r="M11" s="88">
        <f>LOOKUP(2, 1/('OB History S2'!$B:$B=A11), 'OB History S2'!$AD:$AD)</f>
        <v>0.875</v>
      </c>
      <c r="N11" s="34">
        <f>SUMIFS('OB History S2'!F:F,'OB History S2'!B:B,A11)</f>
        <v>23</v>
      </c>
      <c r="O11" s="2">
        <f>SUMIFS('OB History S2'!E:E,'OB History S2'!B:B,A11)-N11</f>
        <v>5</v>
      </c>
      <c r="P11" s="88">
        <f>LOOKUP(2, 1/('OB History S2'!$B:$B=A11), 'OB History S2'!$AB:$AB)</f>
        <v>0.84375</v>
      </c>
      <c r="Q11" s="34">
        <f>SUMIFS('OB History S2'!H:H,'OB History S2'!B:B,A11)</f>
        <v>71</v>
      </c>
      <c r="R11" s="2">
        <f>SUMIFS('OB History S2'!G:G,'OB History S2'!B:B,A11)-Q11</f>
        <v>47</v>
      </c>
      <c r="S11" s="88">
        <f>LOOKUP(2, 1/('OB History S2'!$B:$B=A11), 'OB History S2'!$AC:$AC)</f>
        <v>0.61125000000000007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2</v>
      </c>
      <c r="W11" s="2">
        <f>COUNTIFS('OB History S2'!$B:$B,$A$11,'OB History S2'!N:N, 1)</f>
        <v>4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4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156</v>
      </c>
      <c r="I14" s="4">
        <f>AVERAGEIFS('OB History S2'!C:C,'OB History S2'!B:B,A14)</f>
        <v>13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8</v>
      </c>
      <c r="M14" s="88">
        <f>LOOKUP(2, 1/('OB History S2'!$B:$B=A14), 'OB History S2'!$AD:$AD)</f>
        <v>0.33333333333333331</v>
      </c>
      <c r="N14" s="34">
        <f>SUMIFS('OB History S2'!F:F,'OB History S2'!B:B,A14)</f>
        <v>20</v>
      </c>
      <c r="O14" s="2">
        <f>SUMIFS('OB History S2'!E:E,'OB History S2'!B:B,A14)-N14</f>
        <v>28</v>
      </c>
      <c r="P14" s="88">
        <f>LOOKUP(2, 1/('OB History S2'!$B:$B=A14), 'OB History S2'!$AB:$AB)</f>
        <v>0.40000000000000008</v>
      </c>
      <c r="Q14" s="34">
        <f>SUMIFS('OB History S2'!H:H,'OB History S2'!B:B,A14)</f>
        <v>99</v>
      </c>
      <c r="R14" s="2">
        <f>SUMIFS('OB History S2'!G:G,'OB History S2'!B:B,A14)-Q14</f>
        <v>108</v>
      </c>
      <c r="S14" s="88">
        <f>LOOKUP(2, 1/('OB History S2'!$B:$B=A14), 'OB History S2'!$AC:$AC)</f>
        <v>0.47416666666666663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231</v>
      </c>
      <c r="I15" s="4">
        <f>AVERAGEIFS('OB History S2'!C:C,'OB History S2'!B:B,A15)</f>
        <v>16.5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5</v>
      </c>
      <c r="M15" s="88">
        <f>LOOKUP(2, 1/('OB History S2'!$B:$B=A15), 'OB History S2'!$AD:$AD)</f>
        <v>0.6428571428571429</v>
      </c>
      <c r="N15" s="34">
        <f>SUMIFS('OB History S2'!F:F,'OB History S2'!B:B,A15)</f>
        <v>31</v>
      </c>
      <c r="O15" s="2">
        <f>SUMIFS('OB History S2'!E:E,'OB History S2'!B:B,A15)-N15</f>
        <v>25</v>
      </c>
      <c r="P15" s="88">
        <f>LOOKUP(2, 1/('OB History S2'!$B:$B=A15), 'OB History S2'!$AB:$AB)</f>
        <v>0.54285714285714282</v>
      </c>
      <c r="Q15" s="34">
        <f>SUMIFS('OB History S2'!H:H,'OB History S2'!B:B,A15)</f>
        <v>120</v>
      </c>
      <c r="R15" s="2">
        <f>SUMIFS('OB History S2'!G:G,'OB History S2'!B:B,A15)-Q15</f>
        <v>106</v>
      </c>
      <c r="S15" s="88">
        <f>LOOKUP(2, 1/('OB History S2'!$B:$B=A15), 'OB History S2'!$AC:$AC)</f>
        <v>0.53142857142857147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344</v>
      </c>
      <c r="I24" s="4">
        <f>AVERAGEIFS('OB History S2'!C:C,'OB History S2'!B:B,A24)</f>
        <v>18.105263157894736</v>
      </c>
      <c r="J24" s="35">
        <f t="array" ref="J24">MAX(IF('OB History S2'!B:B=A24, 'OB History S2'!C:C))</f>
        <v>41</v>
      </c>
      <c r="K24" s="34">
        <f>COUNTIFS('OB History S2'!B:B,A24,'OB History S2'!D:D, 1)</f>
        <v>14</v>
      </c>
      <c r="L24" s="2">
        <f>COUNTIFS('OB History S2'!B:B,A24,'OB History S2'!D:D, 0)</f>
        <v>5</v>
      </c>
      <c r="M24" s="88">
        <f>LOOKUP(2, 1/('OB History S2'!$B:$B=A24), 'OB History S2'!$AD:$AD)</f>
        <v>0.73684210526315785</v>
      </c>
      <c r="N24" s="34">
        <f>SUMIFS('OB History S2'!F:F,'OB History S2'!B:B,A24)</f>
        <v>48</v>
      </c>
      <c r="O24" s="2">
        <f>SUMIFS('OB History S2'!E:E,'OB History S2'!B:B,A24)-N24</f>
        <v>27</v>
      </c>
      <c r="P24" s="88">
        <f>LOOKUP(2, 1/('OB History S2'!$B:$B=A24), 'OB History S2'!$AB:$AB)</f>
        <v>0.6763157894736842</v>
      </c>
      <c r="Q24" s="34">
        <f>SUMIFS('OB History S2'!H:H,'OB History S2'!B:B,A24)</f>
        <v>179</v>
      </c>
      <c r="R24" s="2">
        <f>SUMIFS('OB History S2'!G:G,'OB History S2'!B:B,A24)-Q24</f>
        <v>130</v>
      </c>
      <c r="S24" s="88">
        <f>LOOKUP(2, 1/('OB History S2'!$B:$B=A24), 'OB History S2'!$AC:$AC)</f>
        <v>0.59263157894736818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5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9</v>
      </c>
      <c r="AH24" s="2">
        <f>COUNTIFS('OB History S2'!$B:$B,$A$24,'OB History S2'!Y:Y, 1)</f>
        <v>9</v>
      </c>
      <c r="AI24" s="2">
        <f>COUNTIFS('OB History S2'!$B:$B,$A$24,'OB History S2'!Z:Z, 1)</f>
        <v>5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34</v>
      </c>
      <c r="I26" s="4">
        <f>AVERAGEIFS('OB History S2'!C:C,'OB History S2'!B:B,A26)</f>
        <v>17</v>
      </c>
      <c r="J26" s="35">
        <f t="array" ref="J26">MAX(IF('OB History S2'!B:B=A26, 'OB History S2'!C:C))</f>
        <v>19</v>
      </c>
      <c r="K26" s="34">
        <f>COUNTIFS('OB History S2'!B:B,A26,'OB History S2'!D:D, 1)</f>
        <v>1</v>
      </c>
      <c r="L26" s="2">
        <f>COUNTIFS('OB History S2'!B:B,A26,'OB History S2'!D:D, 0)</f>
        <v>1</v>
      </c>
      <c r="M26" s="88">
        <f>LOOKUP(2, 1/('OB History S2'!$B:$B=A26), 'OB History S2'!$AD:$AD)</f>
        <v>0.5</v>
      </c>
      <c r="N26" s="34">
        <f>SUMIFS('OB History S2'!F:F,'OB History S2'!B:B,A26)</f>
        <v>4</v>
      </c>
      <c r="O26" s="2">
        <f>SUMIFS('OB History S2'!E:E,'OB History S2'!B:B,A26)-N26</f>
        <v>3</v>
      </c>
      <c r="P26" s="88">
        <f>LOOKUP(2, 1/('OB History S2'!$B:$B=A26), 'OB History S2'!$AB:$AB)</f>
        <v>0.625</v>
      </c>
      <c r="Q26" s="34">
        <f>SUMIFS('OB History S2'!H:H,'OB History S2'!B:B,A26)</f>
        <v>13</v>
      </c>
      <c r="R26" s="2">
        <f>SUMIFS('OB History S2'!G:G,'OB History S2'!B:B,A26)-Q26</f>
        <v>15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1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226</v>
      </c>
      <c r="I28" s="4">
        <f>AVERAGEIFS('OB History S2'!C:C,'OB History S2'!B:B,A28)</f>
        <v>11.3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12</v>
      </c>
      <c r="M28" s="88">
        <f>LOOKUP(2, 1/('OB History S2'!$B:$B=A28), 'OB History S2'!$AD:$AD)</f>
        <v>0.4</v>
      </c>
      <c r="N28" s="34">
        <f>SUMIFS('OB History S2'!F:F,'OB History S2'!B:B,A28)</f>
        <v>34</v>
      </c>
      <c r="O28" s="2">
        <f>SUMIFS('OB History S2'!E:E,'OB History S2'!B:B,A28)-N28</f>
        <v>48</v>
      </c>
      <c r="P28" s="88">
        <f>LOOKUP(2, 1/('OB History S2'!$B:$B=A28), 'OB History S2'!$AB:$AB)</f>
        <v>0.38750000000000007</v>
      </c>
      <c r="Q28" s="34">
        <f>SUMIFS('OB History S2'!H:H,'OB History S2'!B:B,A28)</f>
        <v>159</v>
      </c>
      <c r="R28" s="2">
        <f>SUMIFS('OB History S2'!G:G,'OB History S2'!B:B,A28)-Q28</f>
        <v>174</v>
      </c>
      <c r="S28" s="88">
        <f>LOOKUP(2, 1/('OB History S2'!$B:$B=A28), 'OB History S2'!$AC:$AC)</f>
        <v>0.47149999999999997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462</v>
      </c>
      <c r="I33" s="4">
        <f>AVERAGEIFS('OB History S2'!C:C,'OB History S2'!B:B,A33)</f>
        <v>12.833333333333334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16</v>
      </c>
      <c r="M33" s="88">
        <f>LOOKUP(2, 1/('OB History S2'!$B:$B=A33), 'OB History S2'!$AD:$AD)</f>
        <v>0.55555555555555558</v>
      </c>
      <c r="N33" s="34">
        <f>SUMIFS('OB History S2'!F:F,'OB History S2'!B:B,A33)</f>
        <v>76</v>
      </c>
      <c r="O33" s="2">
        <f>SUMIFS('OB History S2'!E:E,'OB History S2'!B:B,A33)-N33</f>
        <v>67</v>
      </c>
      <c r="P33" s="88">
        <f>LOOKUP(2, 1/('OB History S2'!$B:$B=A33), 'OB History S2'!$AB:$AB)</f>
        <v>0.54305555555555551</v>
      </c>
      <c r="Q33" s="34">
        <f>SUMIFS('OB History S2'!H:H,'OB History S2'!B:B,A33)</f>
        <v>302</v>
      </c>
      <c r="R33" s="2">
        <f>SUMIFS('OB History S2'!G:G,'OB History S2'!B:B,A33)-Q33</f>
        <v>284</v>
      </c>
      <c r="S33" s="88">
        <f>LOOKUP(2, 1/('OB History S2'!$B:$B=A33), 'OB History S2'!$AC:$AC)</f>
        <v>0.52055555555555566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15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1001</v>
      </c>
      <c r="I36" s="4">
        <f>AVERAGEIFS('OB History S2'!C:C,'OB History S2'!B:B,A36)</f>
        <v>24.414634146341463</v>
      </c>
      <c r="J36" s="35">
        <f t="array" ref="J36">MAX(IF('OB History S2'!B:B=A36, 'OB History S2'!C:C))</f>
        <v>58</v>
      </c>
      <c r="K36" s="34">
        <f>COUNTIFS('OB History S2'!B:B,A36,'OB History S2'!D:D, 1)</f>
        <v>24</v>
      </c>
      <c r="L36" s="2">
        <f>COUNTIFS('OB History S2'!B:B,A36,'OB History S2'!D:D, 0)</f>
        <v>17</v>
      </c>
      <c r="M36" s="88">
        <f>LOOKUP(2, 1/('OB History S2'!$B:$B=A36), 'OB History S2'!$AD:$AD)</f>
        <v>0.58536585365853655</v>
      </c>
      <c r="N36" s="34">
        <f>SUMIFS('OB History S2'!F:F,'OB History S2'!B:B,A36)</f>
        <v>92</v>
      </c>
      <c r="O36" s="2">
        <f>SUMIFS('OB History S2'!E:E,'OB History S2'!B:B,A36)-N36</f>
        <v>71</v>
      </c>
      <c r="P36" s="88">
        <f>LOOKUP(2, 1/('OB History S2'!$B:$B=A36), 'OB History S2'!$AB:$AB)</f>
        <v>0.57073170731707312</v>
      </c>
      <c r="Q36" s="34">
        <f>SUMIFS('OB History S2'!H:H,'OB History S2'!B:B,A36)</f>
        <v>362</v>
      </c>
      <c r="R36" s="2">
        <f>SUMIFS('OB History S2'!G:G,'OB History S2'!B:B,A36)-Q36</f>
        <v>309</v>
      </c>
      <c r="S36" s="88">
        <f>LOOKUP(2, 1/('OB History S2'!$B:$B=A36), 'OB History S2'!$AC:$AC)</f>
        <v>0.54390243902439006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6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10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287</v>
      </c>
      <c r="I37" s="4">
        <f>AVERAGEIFS('OB History S2'!C:C,'OB History S2'!B:B,A37)</f>
        <v>28.7</v>
      </c>
      <c r="J37" s="35">
        <f t="array" ref="J37">MAX(IF('OB History S2'!B:B=A37, 'OB History S2'!C:C))</f>
        <v>68</v>
      </c>
      <c r="K37" s="34">
        <f>COUNTIFS('OB History S2'!B:B,A37,'OB History S2'!D:D, 1)</f>
        <v>5</v>
      </c>
      <c r="L37" s="2">
        <f>COUNTIFS('OB History S2'!B:B,A37,'OB History S2'!D:D, 0)</f>
        <v>5</v>
      </c>
      <c r="M37" s="88">
        <f>LOOKUP(2, 1/('OB History S2'!$B:$B=A37), 'OB History S2'!$AD:$AD)</f>
        <v>0.5</v>
      </c>
      <c r="N37" s="34">
        <f>SUMIFS('OB History S2'!F:F,'OB History S2'!B:B,A37)</f>
        <v>24</v>
      </c>
      <c r="O37" s="2">
        <f>SUMIFS('OB History S2'!E:E,'OB History S2'!B:B,A37)-N37</f>
        <v>15</v>
      </c>
      <c r="P37" s="88">
        <f>LOOKUP(2, 1/('OB History S2'!$B:$B=A37), 'OB History S2'!$AB:$AB)</f>
        <v>0.68500000000000005</v>
      </c>
      <c r="Q37" s="34">
        <f>SUMIFS('OB History S2'!H:H,'OB History S2'!B:B,A37)</f>
        <v>94</v>
      </c>
      <c r="R37" s="2">
        <f>SUMIFS('OB History S2'!G:G,'OB History S2'!B:B,A37)-Q37</f>
        <v>77</v>
      </c>
      <c r="S37" s="88">
        <f>LOOKUP(2, 1/('OB History S2'!$B:$B=A37), 'OB History S2'!$AC:$AC)</f>
        <v>0.57300000000000006</v>
      </c>
      <c r="T37" s="2">
        <f>COUNTIFS('OB History S2'!$B:$B,$A$37,'OB History S2'!K:K, 1)</f>
        <v>2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5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5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119</v>
      </c>
      <c r="I40" s="4">
        <f>AVERAGEIFS('OB History S2'!C:C,'OB History S2'!B:B,A40)</f>
        <v>9.1538461538461533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7</v>
      </c>
      <c r="M40" s="88">
        <f>LOOKUP(2, 1/('OB History S2'!$B:$B=A40), 'OB History S2'!$AD:$AD)</f>
        <v>0.46153846153846156</v>
      </c>
      <c r="N40" s="34">
        <f>SUMIFS('OB History S2'!F:F,'OB History S2'!B:B,A40)</f>
        <v>24</v>
      </c>
      <c r="O40" s="2">
        <f>SUMIFS('OB History S2'!E:E,'OB History S2'!B:B,A40)-N40</f>
        <v>28</v>
      </c>
      <c r="P40" s="88">
        <f>LOOKUP(2, 1/('OB History S2'!$B:$B=A40), 'OB History S2'!$AB:$AB)</f>
        <v>0.42307692307692307</v>
      </c>
      <c r="Q40" s="34">
        <f>SUMIFS('OB History S2'!H:H,'OB History S2'!B:B,A40)</f>
        <v>104</v>
      </c>
      <c r="R40" s="2">
        <f>SUMIFS('OB History S2'!G:G,'OB History S2'!B:B,A40)-Q40</f>
        <v>111</v>
      </c>
      <c r="S40" s="88">
        <f>LOOKUP(2, 1/('OB History S2'!$B:$B=A40), 'OB History S2'!$AC:$AC)</f>
        <v>0.47076923076923066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284</v>
      </c>
      <c r="I41" s="4">
        <f>AVERAGEIFS('OB History S2'!C:C,'OB History S2'!B:B,A41)</f>
        <v>16.705882352941178</v>
      </c>
      <c r="J41" s="35">
        <f t="array" ref="J41">MAX(IF('OB History S2'!B:B=A41, 'OB History S2'!C:C))</f>
        <v>33</v>
      </c>
      <c r="K41" s="34">
        <f>COUNTIFS('OB History S2'!B:B,A41,'OB History S2'!D:D, 1)</f>
        <v>7</v>
      </c>
      <c r="L41" s="2">
        <f>COUNTIFS('OB History S2'!B:B,A41,'OB History S2'!D:D, 0)</f>
        <v>10</v>
      </c>
      <c r="M41" s="88">
        <f>LOOKUP(2, 1/('OB History S2'!$B:$B=A41), 'OB History S2'!$AD:$AD)</f>
        <v>0.41176470588235292</v>
      </c>
      <c r="N41" s="34">
        <f>SUMIFS('OB History S2'!F:F,'OB History S2'!B:B,A41)</f>
        <v>31</v>
      </c>
      <c r="O41" s="2">
        <f>SUMIFS('OB History S2'!E:E,'OB History S2'!B:B,A41)-N41</f>
        <v>38</v>
      </c>
      <c r="P41" s="88">
        <f>LOOKUP(2, 1/('OB History S2'!$B:$B=A41), 'OB History S2'!$AB:$AB)</f>
        <v>0.44999999999999996</v>
      </c>
      <c r="Q41" s="34">
        <f>SUMIFS('OB History S2'!H:H,'OB History S2'!B:B,A41)</f>
        <v>140</v>
      </c>
      <c r="R41" s="2">
        <f>SUMIFS('OB History S2'!G:G,'OB History S2'!B:B,A41)-Q41</f>
        <v>149</v>
      </c>
      <c r="S41" s="88">
        <f>LOOKUP(2, 1/('OB History S2'!$B:$B=A41), 'OB History S2'!$AC:$AC)</f>
        <v>0.48588235294117654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0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2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4</v>
      </c>
      <c r="AI41" s="2">
        <f>COUNTIFS('OB History S2'!$B:$B,$A$41,'OB History S2'!Z:Z, 1)</f>
        <v>4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17</v>
      </c>
      <c r="E44" s="2">
        <v>3</v>
      </c>
      <c r="F44" s="2"/>
      <c r="G44" s="2"/>
      <c r="H44" s="34">
        <f>SUMIFS('OB History S2'!C:C,'OB History S2'!B:B,A44)</f>
        <v>717</v>
      </c>
      <c r="I44" s="4">
        <f>AVERAGEIFS('OB History S2'!C:C,'OB History S2'!B:B,A44)</f>
        <v>23.9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18</v>
      </c>
      <c r="M44" s="88">
        <f>LOOKUP(2, 1/('OB History S2'!$B:$B=A44), 'OB History S2'!$AD:$AD)</f>
        <v>0.4</v>
      </c>
      <c r="N44" s="34">
        <f>SUMIFS('OB History S2'!F:F,'OB History S2'!B:B,A44)</f>
        <v>50</v>
      </c>
      <c r="O44" s="2">
        <f>SUMIFS('OB History S2'!E:E,'OB History S2'!B:B,A44)-N44</f>
        <v>68</v>
      </c>
      <c r="P44" s="88">
        <f>LOOKUP(2, 1/('OB History S2'!$B:$B=A44), 'OB History S2'!$AB:$AB)</f>
        <v>0.40666666666666668</v>
      </c>
      <c r="Q44" s="34">
        <f>SUMIFS('OB History S2'!H:H,'OB History S2'!B:B,A44)</f>
        <v>230</v>
      </c>
      <c r="R44" s="2">
        <f>SUMIFS('OB History S2'!G:G,'OB History S2'!B:B,A44)-Q44</f>
        <v>255</v>
      </c>
      <c r="S44" s="88">
        <f>LOOKUP(2, 1/('OB History S2'!$B:$B=A44), 'OB History S2'!$AC:$AC)</f>
        <v>0.46933333333333321</v>
      </c>
      <c r="T44" s="2">
        <f>COUNTIFS('OB History S2'!$B:$B,$A$44,'OB History S2'!K:K, 1)</f>
        <v>1</v>
      </c>
      <c r="U44" s="2">
        <f>COUNTIFS('OB History S2'!$B:$B,$A$44,'OB History S2'!L:L, 1)</f>
        <v>7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633</v>
      </c>
      <c r="I45" s="4">
        <f>AVERAGEIFS('OB History S2'!C:C,'OB History S2'!B:B,A45)</f>
        <v>18.617647058823529</v>
      </c>
      <c r="J45" s="35">
        <f t="array" ref="J45">MAX(IF('OB History S2'!B:B=A45, 'OB History S2'!C:C))</f>
        <v>43</v>
      </c>
      <c r="K45" s="34">
        <f>COUNTIFS('OB History S2'!B:B,A45,'OB History S2'!D:D, 1)</f>
        <v>13</v>
      </c>
      <c r="L45" s="2">
        <f>COUNTIFS('OB History S2'!B:B,A45,'OB History S2'!D:D, 0)</f>
        <v>21</v>
      </c>
      <c r="M45" s="88">
        <f>LOOKUP(2, 1/('OB History S2'!$B:$B=A45), 'OB History S2'!$AD:$AD)</f>
        <v>0.38235294117647056</v>
      </c>
      <c r="N45" s="34">
        <f>SUMIFS('OB History S2'!F:F,'OB History S2'!B:B,A45)</f>
        <v>59</v>
      </c>
      <c r="O45" s="2">
        <f>SUMIFS('OB History S2'!E:E,'OB History S2'!B:B,A45)-N45</f>
        <v>82</v>
      </c>
      <c r="P45" s="88">
        <f>LOOKUP(2, 1/('OB History S2'!$B:$B=A45), 'OB History S2'!$AB:$AB)</f>
        <v>0.39411764705882346</v>
      </c>
      <c r="Q45" s="34">
        <f>SUMIFS('OB History S2'!H:H,'OB History S2'!B:B,A45)</f>
        <v>276</v>
      </c>
      <c r="R45" s="2">
        <f>SUMIFS('OB History S2'!G:G,'OB History S2'!B:B,A45)-Q45</f>
        <v>306</v>
      </c>
      <c r="S45" s="88">
        <f>LOOKUP(2, 1/('OB History S2'!$B:$B=A45), 'OB History S2'!$AC:$AC)</f>
        <v>0.46205882352941191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3</v>
      </c>
      <c r="W45" s="2">
        <f>COUNTIFS('OB History S2'!$B:$B,$A$45,'OB History S2'!N:N, 1)</f>
        <v>9</v>
      </c>
      <c r="X45" s="2">
        <f>COUNTIFS('OB History S2'!$B:$B,$A$45,'OB History S2'!O:O, 1)</f>
        <v>4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3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5</v>
      </c>
      <c r="AG45" s="2">
        <f>COUNTIFS('OB History S2'!$B:$B,$A$45,'OB History S2'!X:X, 1)</f>
        <v>7</v>
      </c>
      <c r="AH45" s="2">
        <f>COUNTIFS('OB History S2'!$B:$B,$A$45,'OB History S2'!Y:Y, 1)</f>
        <v>6</v>
      </c>
      <c r="AI45" s="2">
        <f>COUNTIFS('OB History S2'!$B:$B,$A$45,'OB History S2'!Z:Z, 1)</f>
        <v>5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413</v>
      </c>
      <c r="I46" s="4">
        <f>AVERAGEIFS('OB History S2'!C:C,'OB History S2'!B:B,A46)</f>
        <v>24.294117647058822</v>
      </c>
      <c r="J46" s="35">
        <f t="array" ref="J46">MAX(IF('OB History S2'!B:B=A46, 'OB History S2'!C:C))</f>
        <v>66</v>
      </c>
      <c r="K46" s="34">
        <f>COUNTIFS('OB History S2'!B:B,A46,'OB History S2'!D:D, 1)</f>
        <v>10</v>
      </c>
      <c r="L46" s="2">
        <f>COUNTIFS('OB History S2'!B:B,A46,'OB History S2'!D:D, 0)</f>
        <v>7</v>
      </c>
      <c r="M46" s="88">
        <f>LOOKUP(2, 1/('OB History S2'!$B:$B=A46), 'OB History S2'!$AD:$AD)</f>
        <v>0.58823529411764708</v>
      </c>
      <c r="N46" s="34">
        <f>SUMIFS('OB History S2'!F:F,'OB History S2'!B:B,A46)</f>
        <v>40</v>
      </c>
      <c r="O46" s="2">
        <f>SUMIFS('OB History S2'!E:E,'OB History S2'!B:B,A46)-N46</f>
        <v>28</v>
      </c>
      <c r="P46" s="88">
        <f>LOOKUP(2, 1/('OB History S2'!$B:$B=A46), 'OB History S2'!$AB:$AB)</f>
        <v>0.62058823529411755</v>
      </c>
      <c r="Q46" s="34">
        <f>SUMIFS('OB History S2'!H:H,'OB History S2'!B:B,A46)</f>
        <v>160</v>
      </c>
      <c r="R46" s="2">
        <f>SUMIFS('OB History S2'!G:G,'OB History S2'!B:B,A46)-Q46</f>
        <v>126</v>
      </c>
      <c r="S46" s="88">
        <f>LOOKUP(2, 1/('OB History S2'!$B:$B=A46), 'OB History S2'!$AC:$AC)</f>
        <v>0.57176470588235284</v>
      </c>
      <c r="T46" s="2">
        <f>COUNTIFS('OB History S2'!$B:$B,$A$46,'OB History S2'!K:K, 1)</f>
        <v>3</v>
      </c>
      <c r="U46" s="2">
        <f>COUNTIFS('OB History S2'!$B:$B,$A$46,'OB History S2'!L:L, 1)</f>
        <v>4</v>
      </c>
      <c r="V46" s="2">
        <f>COUNTIFS('OB History S2'!$B:$B,$A$46,'OB History S2'!M:M, 1)</f>
        <v>6</v>
      </c>
      <c r="W46" s="2">
        <f>COUNTIFS('OB History S2'!$B:$B,$A$46,'OB History S2'!N:N, 1)</f>
        <v>5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4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554</v>
      </c>
      <c r="I47" s="4">
        <f>AVERAGEIFS('OB History S2'!C:C,'OB History S2'!B:B,A47)</f>
        <v>26.38095238095238</v>
      </c>
      <c r="J47" s="35">
        <f t="array" ref="J47">MAX(IF('OB History S2'!B:B=A47, 'OB History S2'!C:C))</f>
        <v>58</v>
      </c>
      <c r="K47" s="34">
        <f>COUNTIFS('OB History S2'!B:B,A47,'OB History S2'!D:D, 1)</f>
        <v>12</v>
      </c>
      <c r="L47" s="2">
        <f>COUNTIFS('OB History S2'!B:B,A47,'OB History S2'!D:D, 0)</f>
        <v>9</v>
      </c>
      <c r="M47" s="88">
        <f>LOOKUP(2, 1/('OB History S2'!$B:$B=A47), 'OB History S2'!$AD:$AD)</f>
        <v>0.5714285714285714</v>
      </c>
      <c r="N47" s="34">
        <f>SUMIFS('OB History S2'!F:F,'OB History S2'!B:B,A47)</f>
        <v>45</v>
      </c>
      <c r="O47" s="2">
        <f>SUMIFS('OB History S2'!E:E,'OB History S2'!B:B,A47)-N47</f>
        <v>40</v>
      </c>
      <c r="P47" s="88">
        <f>LOOKUP(2, 1/('OB History S2'!$B:$B=A47), 'OB History S2'!$AB:$AB)</f>
        <v>0.52380952380952384</v>
      </c>
      <c r="Q47" s="34">
        <f>SUMIFS('OB History S2'!H:H,'OB History S2'!B:B,A47)</f>
        <v>181</v>
      </c>
      <c r="R47" s="2">
        <f>SUMIFS('OB History S2'!G:G,'OB History S2'!B:B,A47)-Q47</f>
        <v>172</v>
      </c>
      <c r="S47" s="88">
        <f>LOOKUP(2, 1/('OB History S2'!$B:$B=A47), 'OB History S2'!$AC:$AC)</f>
        <v>0.51666666666666672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2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2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4</v>
      </c>
      <c r="AG47" s="2">
        <f>COUNTIFS('OB History S2'!$B:$B,$A$47,'OB History S2'!X:X, 1)</f>
        <v>5</v>
      </c>
      <c r="AH47" s="2">
        <f>COUNTIFS('OB History S2'!$B:$B,$A$47,'OB History S2'!Y:Y, 1)</f>
        <v>4</v>
      </c>
      <c r="AI47" s="2">
        <f>COUNTIFS('OB History S2'!$B:$B,$A$47,'OB History S2'!Z:Z, 1)</f>
        <v>5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313</v>
      </c>
      <c r="I48" s="4">
        <f>AVERAGEIFS('OB History S2'!C:C,'OB History S2'!B:B,A48)</f>
        <v>20.866666666666667</v>
      </c>
      <c r="J48" s="35">
        <f t="array" ref="J48">MAX(IF('OB History S2'!B:B=A48, 'OB History S2'!C:C))</f>
        <v>50</v>
      </c>
      <c r="K48" s="34">
        <f>COUNTIFS('OB History S2'!B:B,A48,'OB History S2'!D:D, 1)</f>
        <v>10</v>
      </c>
      <c r="L48" s="2">
        <f>COUNTIFS('OB History S2'!B:B,A48,'OB History S2'!D:D, 0)</f>
        <v>5</v>
      </c>
      <c r="M48" s="88">
        <f>LOOKUP(2, 1/('OB History S2'!$B:$B=A48), 'OB History S2'!$AD:$AD)</f>
        <v>0.66666666666666663</v>
      </c>
      <c r="N48" s="34">
        <f>SUMIFS('OB History S2'!F:F,'OB History S2'!B:B,A48)</f>
        <v>33</v>
      </c>
      <c r="O48" s="2">
        <f>SUMIFS('OB History S2'!E:E,'OB History S2'!B:B,A48)-N48</f>
        <v>23</v>
      </c>
      <c r="P48" s="88">
        <f>LOOKUP(2, 1/('OB History S2'!$B:$B=A48), 'OB History S2'!$AB:$AB)</f>
        <v>0.59</v>
      </c>
      <c r="Q48" s="34">
        <f>SUMIFS('OB History S2'!H:H,'OB History S2'!B:B,A48)</f>
        <v>123</v>
      </c>
      <c r="R48" s="2">
        <f>SUMIFS('OB History S2'!G:G,'OB History S2'!B:B,A48)-Q48</f>
        <v>110</v>
      </c>
      <c r="S48" s="88">
        <f>LOOKUP(2, 1/('OB History S2'!$B:$B=A48), 'OB History S2'!$AC:$AC)</f>
        <v>0.52399999999999991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3</v>
      </c>
      <c r="W48" s="2">
        <f>COUNTIFS('OB History S2'!$B:$B,$A$48,'OB History S2'!N:N, 1)</f>
        <v>4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5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6</v>
      </c>
      <c r="E50" s="6">
        <v>2</v>
      </c>
      <c r="F50" s="6"/>
      <c r="G50" s="6"/>
      <c r="H50" s="34">
        <f>SUMIFS('OB History S2'!C:C,'OB History S2'!B:B,A50)</f>
        <v>571</v>
      </c>
      <c r="I50" s="4">
        <f>AVERAGEIFS('OB History S2'!C:C,'OB History S2'!B:B,A50)</f>
        <v>21.96153846153846</v>
      </c>
      <c r="J50" s="35">
        <f t="array" ref="J50">MAX(IF('OB History S2'!B:B=A50, 'OB History S2'!C:C))</f>
        <v>54</v>
      </c>
      <c r="K50" s="34">
        <f>COUNTIFS('OB History S2'!B:B,A50,'OB History S2'!D:D, 1)</f>
        <v>10</v>
      </c>
      <c r="L50" s="2">
        <f>COUNTIFS('OB History S2'!B:B,A50,'OB History S2'!D:D, 0)</f>
        <v>16</v>
      </c>
      <c r="M50" s="88">
        <f>LOOKUP(2, 1/('OB History S2'!$B:$B=A50), 'OB History S2'!$AD:$AD)</f>
        <v>0.38461538461538464</v>
      </c>
      <c r="N50" s="34">
        <f>SUMIFS('OB History S2'!F:F,'OB History S2'!B:B,A50)</f>
        <v>44</v>
      </c>
      <c r="O50" s="2">
        <f>SUMIFS('OB History S2'!E:E,'OB History S2'!B:B,A50)-N50</f>
        <v>59</v>
      </c>
      <c r="P50" s="88">
        <f>LOOKUP(2, 1/('OB History S2'!$B:$B=A50), 'OB History S2'!$AB:$AB)</f>
        <v>0.41346153846153844</v>
      </c>
      <c r="Q50" s="34">
        <f>SUMIFS('OB History S2'!H:H,'OB History S2'!B:B,A50)</f>
        <v>191</v>
      </c>
      <c r="R50" s="2">
        <f>SUMIFS('OB History S2'!G:G,'OB History S2'!B:B,A50)-Q50</f>
        <v>233</v>
      </c>
      <c r="S50" s="88">
        <f>LOOKUP(2, 1/('OB History S2'!$B:$B=A50), 'OB History S2'!$AC:$AC)</f>
        <v>0.45076923076923081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2</v>
      </c>
      <c r="W50" s="2">
        <f>COUNTIFS('OB History S2'!$B:$B,$A$50,'OB History S2'!N:N, 1)</f>
        <v>3</v>
      </c>
      <c r="X50" s="2">
        <f>COUNTIFS('OB History S2'!$B:$B,$A$50,'OB History S2'!O:O, 1)</f>
        <v>2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5</v>
      </c>
      <c r="AG50" s="2">
        <f>COUNTIFS('OB History S2'!$B:$B,$A$50,'OB History S2'!X:X, 1)</f>
        <v>11</v>
      </c>
      <c r="AH50" s="2">
        <f>COUNTIFS('OB History S2'!$B:$B,$A$50,'OB History S2'!Y:Y, 1)</f>
        <v>4</v>
      </c>
      <c r="AI50" s="2">
        <f>COUNTIFS('OB History S2'!$B:$B,$A$50,'OB History S2'!Z:Z, 1)</f>
        <v>5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61"/>
  <sheetViews>
    <sheetView topLeftCell="C1" workbookViewId="0">
      <pane ySplit="1" topLeftCell="A634" activePane="bottomLeft" state="frozen"/>
      <selection pane="bottomLeft" activeCell="AA649" sqref="AA649:AD66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298</v>
      </c>
      <c r="G2" s="66">
        <f>AVERAGEIFS('BA History'!C:C,'BA History'!B:B,A2)</f>
        <v>12.956521739130435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11</v>
      </c>
      <c r="K2" s="2">
        <f>COUNTIFS('BA History'!B:B,A2,'BA History'!D:D, 0)</f>
        <v>12</v>
      </c>
      <c r="L2" s="75">
        <f>LOOKUP(2, 1/('BA History'!$B:$B=A2), 'BA History'!$AK:$AK)</f>
        <v>0.47826086956521741</v>
      </c>
      <c r="M2" s="34">
        <f>SUMIFS('BA History'!F:F,'BA History'!B:B,A2)</f>
        <v>48</v>
      </c>
      <c r="N2" s="2">
        <f>SUMIFS('BA History'!E:E,'BA History'!B:B,A2)-M2</f>
        <v>47</v>
      </c>
      <c r="O2" s="75">
        <f>LOOKUP(2, 1/('BA History'!$B:$B=A2), 'BA History'!$AI:$AI)</f>
        <v>0.5086956521739131</v>
      </c>
      <c r="P2" s="34">
        <f>SUMIFS('BA History'!H:H,'BA History'!B:B,A2)</f>
        <v>197</v>
      </c>
      <c r="Q2" s="2">
        <f>SUMIFS('BA History'!G:G,'BA History'!B:B,A2)-P2</f>
        <v>195</v>
      </c>
      <c r="R2" s="89">
        <f>LOOKUP(2, 1/('BA History'!$B:$B=A2), 'BA History'!$AJ:$AJ)</f>
        <v>0.4978260869565217</v>
      </c>
      <c r="S2" s="2">
        <f>COUNTIFS('BA History'!$B:$B,$A$2,'BA History'!K:K, 1)</f>
        <v>2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6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6</v>
      </c>
      <c r="AL2" s="2">
        <f>COUNTIFS('BA History'!$B:$B,$A$2,'BA History'!AD:AD, 1)</f>
        <v>0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178</v>
      </c>
      <c r="G3" s="66">
        <f>AVERAGEIFS('BA History'!C:C,'BA History'!B:B,A3)</f>
        <v>14.833333333333334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7</v>
      </c>
      <c r="K3" s="2">
        <f>COUNTIFS('BA History'!B:B,A3,'BA History'!D:D, 0)</f>
        <v>5</v>
      </c>
      <c r="L3" s="75">
        <f>LOOKUP(2, 1/('BA History'!$B:$B=A3), 'BA History'!$AK:$AK)</f>
        <v>0.58333333333333337</v>
      </c>
      <c r="M3" s="34">
        <f>SUMIFS('BA History'!F:F,'BA History'!B:B,A3)</f>
        <v>29</v>
      </c>
      <c r="N3" s="2">
        <f>SUMIFS('BA History'!E:E,'BA History'!B:B,A3)-M3</f>
        <v>20</v>
      </c>
      <c r="O3" s="75">
        <f>LOOKUP(2, 1/('BA History'!$B:$B=A3), 'BA History'!$AI:$AI)</f>
        <v>0.61249999999999993</v>
      </c>
      <c r="P3" s="34">
        <f>SUMIFS('BA History'!H:H,'BA History'!B:B,A3)</f>
        <v>110</v>
      </c>
      <c r="Q3" s="2">
        <f>SUMIFS('BA History'!G:G,'BA History'!B:B,A3)-P3</f>
        <v>97</v>
      </c>
      <c r="R3" s="89">
        <f>LOOKUP(2, 1/('BA History'!$B:$B=A3), 'BA History'!$AJ:$AJ)</f>
        <v>0.52583333333333326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2</v>
      </c>
      <c r="AN3" s="2">
        <f>COUNTIFS('BA History'!$B:$B,$A$3,'BA History'!AF:AF, 1)</f>
        <v>0</v>
      </c>
      <c r="AO3" s="2">
        <f>COUNTIFS('BA History'!$B:$B,$A$3,'BA History'!AG:AG, 1)</f>
        <v>4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589</v>
      </c>
      <c r="G5" s="66">
        <f>AVERAGEIFS('BA History'!C:C,'BA History'!B:B,A5)</f>
        <v>15.5</v>
      </c>
      <c r="H5" s="66">
        <f t="array" ref="H5">MEDIAN(IF('BA History'!B:B=A5, 'BA History'!C:C))</f>
        <v>13</v>
      </c>
      <c r="I5" s="35">
        <f t="array" ref="I5">MAX(IF('BA History'!B:B=A5, 'BA History'!C:C))</f>
        <v>44</v>
      </c>
      <c r="J5" s="34">
        <f>COUNTIFS('BA History'!B:B,A5,'BA History'!D:D, 1)</f>
        <v>20</v>
      </c>
      <c r="K5" s="2">
        <f>COUNTIFS('BA History'!B:B,A5,'BA History'!D:D, 0)</f>
        <v>18</v>
      </c>
      <c r="L5" s="75">
        <f>LOOKUP(2, 1/('BA History'!$B:$B=A5), 'BA History'!$AK:$AK)</f>
        <v>0.52631578947368418</v>
      </c>
      <c r="M5" s="34">
        <f>SUMIFS('BA History'!F:F,'BA History'!B:B,A5)</f>
        <v>78</v>
      </c>
      <c r="N5" s="2">
        <f>SUMIFS('BA History'!E:E,'BA History'!B:B,A5)-M5</f>
        <v>80</v>
      </c>
      <c r="O5" s="75">
        <f>LOOKUP(2, 1/('BA History'!$B:$B=A5), 'BA History'!$AI:$AI)</f>
        <v>0.47631578947368425</v>
      </c>
      <c r="P5" s="34">
        <f>SUMIFS('BA History'!H:H,'BA History'!B:B,A5)</f>
        <v>323</v>
      </c>
      <c r="Q5" s="2">
        <f>SUMIFS('BA History'!G:G,'BA History'!B:B,A5)-P5</f>
        <v>340</v>
      </c>
      <c r="R5" s="89">
        <f>LOOKUP(2, 1/('BA History'!$B:$B=A5), 'BA History'!$AJ:$AJ)</f>
        <v>0.47842105263157886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8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6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9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5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10.409090909090908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26</v>
      </c>
      <c r="L7" s="75">
        <f>LOOKUP(2, 1/('BA History'!$B:$B=A7), 'BA History'!$AK:$AK)</f>
        <v>0.40909090909090912</v>
      </c>
      <c r="M7" s="34">
        <f>SUMIFS('BA History'!F:F,'BA History'!B:B,A7)</f>
        <v>83</v>
      </c>
      <c r="N7" s="2">
        <f>SUMIFS('BA History'!E:E,'BA History'!B:B,A7)-M7</f>
        <v>97</v>
      </c>
      <c r="O7" s="75">
        <f>LOOKUP(2, 1/('BA History'!$B:$B=A7), 'BA History'!$AI:$AI)</f>
        <v>0.44840909090909092</v>
      </c>
      <c r="P7" s="34">
        <f>SUMIFS('BA History'!H:H,'BA History'!B:B,A7)</f>
        <v>365</v>
      </c>
      <c r="Q7" s="2">
        <f>SUMIFS('BA History'!G:G,'BA History'!B:B,A7)-P7</f>
        <v>386</v>
      </c>
      <c r="R7" s="89">
        <f>LOOKUP(2, 1/('BA History'!$B:$B=A7), 'BA History'!$AJ:$AJ)</f>
        <v>0.48113636363636358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9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1042</v>
      </c>
      <c r="G9" s="66">
        <f>AVERAGEIFS('BA History'!C:C,'BA History'!B:B,A9)</f>
        <v>17.96551724137931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31</v>
      </c>
      <c r="L9" s="75">
        <f>LOOKUP(2, 1/('BA History'!$B:$B=A9), 'BA History'!$AK:$AK)</f>
        <v>0.46551724137931033</v>
      </c>
      <c r="M9" s="34">
        <f>SUMIFS('BA History'!F:F,'BA History'!B:B,A9)</f>
        <v>111</v>
      </c>
      <c r="N9" s="2">
        <f>SUMIFS('BA History'!E:E,'BA History'!B:B,A9)-M9</f>
        <v>126</v>
      </c>
      <c r="O9" s="75">
        <f>LOOKUP(2, 1/('BA History'!$B:$B=A9), 'BA History'!$AI:$AI)</f>
        <v>0.46293103448275863</v>
      </c>
      <c r="P9" s="34">
        <f>SUMIFS('BA History'!H:H,'BA History'!B:B,A9)</f>
        <v>465</v>
      </c>
      <c r="Q9" s="2">
        <f>SUMIFS('BA History'!G:G,'BA History'!B:B,A9)-P9</f>
        <v>519</v>
      </c>
      <c r="R9" s="89">
        <f>LOOKUP(2, 1/('BA History'!$B:$B=A9), 'BA History'!$AJ:$AJ)</f>
        <v>0.4643103448275861</v>
      </c>
      <c r="S9" s="2">
        <f>COUNTIFS('BA History'!$B:$B,$A$9,'BA History'!K:K, 1)</f>
        <v>8</v>
      </c>
      <c r="T9" s="2">
        <f>COUNTIFS('BA History'!$B:$B,$A$9,'BA History'!L:L, 1)</f>
        <v>8</v>
      </c>
      <c r="U9" s="2">
        <f>COUNTIFS('BA History'!$B:$B,$A$9,'BA History'!M:M, 1)</f>
        <v>6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11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247</v>
      </c>
      <c r="G10" s="66">
        <f>AVERAGEIFS('BA History'!C:C,'BA History'!B:B,A10)</f>
        <v>19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6</v>
      </c>
      <c r="K10" s="2">
        <f>COUNTIFS('BA History'!B:B,A10,'BA History'!D:D, 0)</f>
        <v>7</v>
      </c>
      <c r="L10" s="75">
        <f>LOOKUP(2, 1/('BA History'!$B:$B=A10), 'BA History'!$AK:$AK)</f>
        <v>0.46153846153846156</v>
      </c>
      <c r="M10" s="34">
        <f>SUMIFS('BA History'!F:F,'BA History'!B:B,A10)</f>
        <v>28</v>
      </c>
      <c r="N10" s="2">
        <f>SUMIFS('BA History'!E:E,'BA History'!B:B,A10)-M10</f>
        <v>27</v>
      </c>
      <c r="O10" s="75">
        <f>LOOKUP(2, 1/('BA History'!$B:$B=A10), 'BA History'!$AI:$AI)</f>
        <v>0.51538461538461533</v>
      </c>
      <c r="P10" s="34">
        <f>SUMIFS('BA History'!H:H,'BA History'!B:B,A10)</f>
        <v>115</v>
      </c>
      <c r="Q10" s="2">
        <f>SUMIFS('BA History'!G:G,'BA History'!B:B,A10)-P10</f>
        <v>114</v>
      </c>
      <c r="R10" s="89">
        <f>LOOKUP(2, 1/('BA History'!$B:$B=A10), 'BA History'!$AJ:$AJ)</f>
        <v>0.51076923076923075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4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1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3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250</v>
      </c>
      <c r="G13" s="66">
        <f>AVERAGEIFS('BA History'!C:C,'BA History'!B:B,A13)</f>
        <v>13.157894736842104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8</v>
      </c>
      <c r="L13" s="75">
        <f>LOOKUP(2, 1/('BA History'!$B:$B=A13), 'BA History'!$AK:$AK)</f>
        <v>0.57894736842105265</v>
      </c>
      <c r="M13" s="34">
        <f>SUMIFS('BA History'!F:F,'BA History'!B:B,A13)</f>
        <v>43</v>
      </c>
      <c r="N13" s="2">
        <f>SUMIFS('BA History'!E:E,'BA History'!B:B,A13)-M13</f>
        <v>40</v>
      </c>
      <c r="O13" s="75">
        <f>LOOKUP(2, 1/('BA History'!$B:$B=A13), 'BA History'!$AI:$AI)</f>
        <v>0.51578947368421046</v>
      </c>
      <c r="P13" s="34">
        <f>SUMIFS('BA History'!H:H,'BA History'!B:B,A13)</f>
        <v>174</v>
      </c>
      <c r="Q13" s="2">
        <f>SUMIFS('BA History'!G:G,'BA History'!B:B,A13)-P13</f>
        <v>171</v>
      </c>
      <c r="R13" s="89">
        <f>LOOKUP(2, 1/('BA History'!$B:$B=A13), 'BA History'!$AJ:$AJ)</f>
        <v>0.50631578947368405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3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3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177</v>
      </c>
      <c r="G14" s="66">
        <f>AVERAGEIFS('BA History'!C:C,'BA History'!B:B,A14)</f>
        <v>11.8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10</v>
      </c>
      <c r="L14" s="75">
        <f>LOOKUP(2, 1/('BA History'!$B:$B=A14), 'BA History'!$AK:$AK)</f>
        <v>0.33333333333333331</v>
      </c>
      <c r="M14" s="34">
        <f>SUMIFS('BA History'!F:F,'BA History'!B:B,A14)</f>
        <v>22</v>
      </c>
      <c r="N14" s="2">
        <f>SUMIFS('BA History'!E:E,'BA History'!B:B,A14)-M14</f>
        <v>37</v>
      </c>
      <c r="O14" s="75">
        <f>LOOKUP(2, 1/('BA History'!$B:$B=A14), 'BA History'!$AI:$AI)</f>
        <v>0.34666666666666668</v>
      </c>
      <c r="P14" s="34">
        <f>SUMIFS('BA History'!H:H,'BA History'!B:B,A14)</f>
        <v>111</v>
      </c>
      <c r="Q14" s="2">
        <f>SUMIFS('BA History'!G:G,'BA History'!B:B,A14)-P14</f>
        <v>139</v>
      </c>
      <c r="R14" s="89">
        <f>LOOKUP(2, 1/('BA History'!$B:$B=A14), 'BA History'!$AJ:$AJ)</f>
        <v>0.41800000000000004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3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208</v>
      </c>
      <c r="G17" s="66">
        <f>AVERAGEIFS('BA History'!C:C,'BA History'!B:B,A17)</f>
        <v>14.857142857142858</v>
      </c>
      <c r="H17" s="66">
        <f t="array" ref="H17">MEDIAN(IF('BA History'!B:B=A17, 'BA History'!C:C))</f>
        <v>13.5</v>
      </c>
      <c r="I17" s="35">
        <f t="array" ref="I17">MAX(IF('BA History'!B:B=A17, 'BA History'!C:C))</f>
        <v>37</v>
      </c>
      <c r="J17" s="34">
        <f>COUNTIFS('BA History'!B:B,A17,'BA History'!D:D, 1)</f>
        <v>5</v>
      </c>
      <c r="K17" s="2">
        <f>COUNTIFS('BA History'!B:B,A17,'BA History'!D:D, 0)</f>
        <v>9</v>
      </c>
      <c r="L17" s="75">
        <f>LOOKUP(2, 1/('BA History'!$B:$B=A17), 'BA History'!$AK:$AK)</f>
        <v>0.35714285714285715</v>
      </c>
      <c r="M17" s="34">
        <f>SUMIFS('BA History'!F:F,'BA History'!B:B,A17)</f>
        <v>27</v>
      </c>
      <c r="N17" s="2">
        <f>SUMIFS('BA History'!E:E,'BA History'!B:B,A17)-M17</f>
        <v>34</v>
      </c>
      <c r="O17" s="75">
        <f>LOOKUP(2, 1/('BA History'!$B:$B=A17), 'BA History'!$AI:$AI)</f>
        <v>0.41785714285714282</v>
      </c>
      <c r="P17" s="34">
        <f>SUMIFS('BA History'!H:H,'BA History'!B:B,A17)</f>
        <v>127</v>
      </c>
      <c r="Q17" s="2">
        <f>SUMIFS('BA History'!G:G,'BA History'!B:B,A17)-P17</f>
        <v>131</v>
      </c>
      <c r="R17" s="89">
        <f>LOOKUP(2, 1/('BA History'!$B:$B=A17), 'BA History'!$AJ:$AJ)</f>
        <v>0.48428571428571426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2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6</v>
      </c>
      <c r="AL17" s="2">
        <f>COUNTIFS('BA History'!$B:$B,$A$17,'BA History'!AD:AD, 1)</f>
        <v>2</v>
      </c>
      <c r="AM17" s="2">
        <f>COUNTIFS('BA History'!$B:$B,$A$17,'BA History'!AE:AE, 1)</f>
        <v>1</v>
      </c>
      <c r="AN17" s="2">
        <f>COUNTIFS('BA History'!$B:$B,$A$17,'BA History'!AF:AF, 1)</f>
        <v>0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912</v>
      </c>
      <c r="G22" s="66">
        <f>AVERAGEIFS('BA History'!C:C,'BA History'!B:B,A22)</f>
        <v>16.581818181818182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32</v>
      </c>
      <c r="K22" s="2">
        <f>COUNTIFS('BA History'!B:B,A22,'BA History'!D:D, 0)</f>
        <v>23</v>
      </c>
      <c r="L22" s="75">
        <f>LOOKUP(2, 1/('BA History'!$B:$B=A22), 'BA History'!$AK:$AK)</f>
        <v>0.58181818181818179</v>
      </c>
      <c r="M22" s="34">
        <f>SUMIFS('BA History'!F:F,'BA History'!B:B,A22)</f>
        <v>117</v>
      </c>
      <c r="N22" s="2">
        <f>SUMIFS('BA History'!E:E,'BA History'!B:B,A22)-M22</f>
        <v>103</v>
      </c>
      <c r="O22" s="75">
        <f>LOOKUP(2, 1/('BA History'!$B:$B=A22), 'BA History'!$AI:$AI)</f>
        <v>0.52999999999999992</v>
      </c>
      <c r="P22" s="34">
        <f>SUMIFS('BA History'!H:H,'BA History'!B:B,A22)</f>
        <v>480</v>
      </c>
      <c r="Q22" s="2">
        <f>SUMIFS('BA History'!G:G,'BA History'!B:B,A22)-P22</f>
        <v>441</v>
      </c>
      <c r="R22" s="89">
        <f>LOOKUP(2, 1/('BA History'!$B:$B=A22), 'BA History'!$AJ:$AJ)</f>
        <v>0.52745454545454551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9</v>
      </c>
      <c r="AN22" s="2">
        <f>COUNTIFS('BA History'!$B:$B,$A$22,'BA History'!AF:AF, 1)</f>
        <v>1</v>
      </c>
      <c r="AO22" s="2">
        <f>COUNTIFS('BA History'!$B:$B,$A$22,'BA History'!AG:AG, 1)</f>
        <v>13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1166</v>
      </c>
      <c r="G24" s="66">
        <f>AVERAGEIFS('BA History'!C:C,'BA History'!B:B,A24)</f>
        <v>27.11627906976744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22</v>
      </c>
      <c r="K24" s="2">
        <f>COUNTIFS('BA History'!B:B,A24,'BA History'!D:D, 0)</f>
        <v>21</v>
      </c>
      <c r="L24" s="75">
        <f>LOOKUP(2, 1/('BA History'!$B:$B=A24), 'BA History'!$AK:$AK)</f>
        <v>0.51162790697674421</v>
      </c>
      <c r="M24" s="34">
        <f>SUMIFS('BA History'!F:F,'BA History'!B:B,A24)</f>
        <v>86</v>
      </c>
      <c r="N24" s="2">
        <f>SUMIFS('BA History'!E:E,'BA History'!B:B,A24)-M24</f>
        <v>86</v>
      </c>
      <c r="O24" s="75">
        <f>LOOKUP(2, 1/('BA History'!$B:$B=A24), 'BA History'!$AI:$AI)</f>
        <v>0.49651162790697678</v>
      </c>
      <c r="P24" s="34">
        <f>SUMIFS('BA History'!H:H,'BA History'!B:B,A24)</f>
        <v>353</v>
      </c>
      <c r="Q24" s="2">
        <f>SUMIFS('BA History'!G:G,'BA History'!B:B,A24)-P24</f>
        <v>357</v>
      </c>
      <c r="R24" s="89">
        <f>LOOKUP(2, 1/('BA History'!$B:$B=A24), 'BA History'!$AJ:$AJ)</f>
        <v>0.4995348837209303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6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6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590</v>
      </c>
      <c r="G26" s="66">
        <f>AVERAGEIFS('BA History'!C:C,'BA History'!B:B,A26)</f>
        <v>19.032258064516128</v>
      </c>
      <c r="H26" s="66">
        <f t="array" ref="H26">MEDIAN(IF('BA History'!B:B=A26, 'BA History'!C:C))</f>
        <v>18</v>
      </c>
      <c r="I26" s="35">
        <f t="array" ref="I26">MAX(IF('BA History'!B:B=A26, 'BA History'!C:C))</f>
        <v>33</v>
      </c>
      <c r="J26" s="34">
        <f>COUNTIFS('BA History'!B:B,A26,'BA History'!D:D, 1)</f>
        <v>18</v>
      </c>
      <c r="K26" s="2">
        <f>COUNTIFS('BA History'!B:B,A26,'BA History'!D:D, 0)</f>
        <v>13</v>
      </c>
      <c r="L26" s="75">
        <f>LOOKUP(2, 1/('BA History'!$B:$B=A26), 'BA History'!$AK:$AK)</f>
        <v>0.58064516129032262</v>
      </c>
      <c r="M26" s="34">
        <f>SUMIFS('BA History'!F:F,'BA History'!B:B,A26)</f>
        <v>70</v>
      </c>
      <c r="N26" s="2">
        <f>SUMIFS('BA History'!E:E,'BA History'!B:B,A26)-M26</f>
        <v>57</v>
      </c>
      <c r="O26" s="75">
        <f>LOOKUP(2, 1/('BA History'!$B:$B=A26), 'BA History'!$AI:$AI)</f>
        <v>0.56129032258064515</v>
      </c>
      <c r="P26" s="34">
        <f>SUMIFS('BA History'!H:H,'BA History'!B:B,A26)</f>
        <v>277</v>
      </c>
      <c r="Q26" s="2">
        <f>SUMIFS('BA History'!G:G,'BA History'!B:B,A26)-P26</f>
        <v>243</v>
      </c>
      <c r="R26" s="89">
        <f>LOOKUP(2, 1/('BA History'!$B:$B=A26), 'BA History'!$AJ:$AJ)</f>
        <v>0.54677419354838719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8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2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4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9</v>
      </c>
      <c r="AL26" s="2">
        <f>COUNTIFS('BA History'!$B:$B,$A$26,'BA History'!AD:AD, 1)</f>
        <v>2</v>
      </c>
      <c r="AM26" s="2">
        <f>COUNTIFS('BA History'!$B:$B,$A$26,'BA History'!AE:AE, 1)</f>
        <v>5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88</v>
      </c>
      <c r="G33" s="66">
        <f>AVERAGEIFS('BA History'!C:C,'BA History'!B:B,A33)</f>
        <v>8.8000000000000007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3</v>
      </c>
      <c r="K33" s="2">
        <f>COUNTIFS('BA History'!B:B,A33,'BA History'!D:D, 0)</f>
        <v>7</v>
      </c>
      <c r="L33" s="75">
        <f>LOOKUP(2, 1/('BA History'!$B:$B=A33), 'BA History'!$AK:$AK)</f>
        <v>0.3</v>
      </c>
      <c r="M33" s="34">
        <f>SUMIFS('BA History'!F:F,'BA History'!B:B,A33)</f>
        <v>16</v>
      </c>
      <c r="N33" s="2">
        <f>SUMIFS('BA History'!E:E,'BA History'!B:B,A33)-M33</f>
        <v>27</v>
      </c>
      <c r="O33" s="75">
        <f>LOOKUP(2, 1/('BA History'!$B:$B=A33), 'BA History'!$AI:$AI)</f>
        <v>0.33500000000000002</v>
      </c>
      <c r="P33" s="34">
        <f>SUMIFS('BA History'!H:H,'BA History'!B:B,A33)</f>
        <v>80</v>
      </c>
      <c r="Q33" s="2">
        <f>SUMIFS('BA History'!G:G,'BA History'!B:B,A33)-P33</f>
        <v>103</v>
      </c>
      <c r="R33" s="89">
        <f>LOOKUP(2, 1/('BA History'!$B:$B=A33), 'BA History'!$AJ:$AJ)</f>
        <v>0.42099999999999999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1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0</v>
      </c>
      <c r="AH33" s="2">
        <f>COUNTIFS('BA History'!$B:$B,$A$33,'BA History'!Z:Z, 1)</f>
        <v>1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1</v>
      </c>
      <c r="AN33" s="2">
        <f>COUNTIFS('BA History'!$B:$B,$A$33,'BA History'!AF:AF, 1)</f>
        <v>0</v>
      </c>
      <c r="AO33" s="2">
        <f>COUNTIFS('BA History'!$B:$B,$A$33,'BA History'!AG:AG, 1)</f>
        <v>1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186</v>
      </c>
      <c r="G34" s="66">
        <f>AVERAGEIFS('BA History'!C:C,'BA History'!B:B,A34)</f>
        <v>10.941176470588236</v>
      </c>
      <c r="H34" s="66">
        <f t="array" ref="H34">MEDIAN(IF('BA History'!B:B=A34, 'BA History'!C:C))</f>
        <v>9</v>
      </c>
      <c r="I34" s="35">
        <f t="array" ref="I34">MAX(IF('BA History'!B:B=A34, 'BA History'!C:C))</f>
        <v>29</v>
      </c>
      <c r="J34" s="34">
        <f>COUNTIFS('BA History'!B:B,A34,'BA History'!D:D, 1)</f>
        <v>9</v>
      </c>
      <c r="K34" s="2">
        <f>COUNTIFS('BA History'!B:B,A34,'BA History'!D:D, 0)</f>
        <v>8</v>
      </c>
      <c r="L34" s="75">
        <f>LOOKUP(2, 1/('BA History'!$B:$B=A34), 'BA History'!$AK:$AK)</f>
        <v>0.52941176470588236</v>
      </c>
      <c r="M34" s="34">
        <f>SUMIFS('BA History'!F:F,'BA History'!B:B,A34)</f>
        <v>35</v>
      </c>
      <c r="N34" s="2">
        <f>SUMIFS('BA History'!E:E,'BA History'!B:B,A34)-M34</f>
        <v>35</v>
      </c>
      <c r="O34" s="75">
        <f>LOOKUP(2, 1/('BA History'!$B:$B=A34), 'BA History'!$AI:$AI)</f>
        <v>0.49117647058823527</v>
      </c>
      <c r="P34" s="34">
        <f>SUMIFS('BA History'!H:H,'BA History'!B:B,A34)</f>
        <v>146</v>
      </c>
      <c r="Q34" s="2">
        <f>SUMIFS('BA History'!G:G,'BA History'!B:B,A34)-P34</f>
        <v>153</v>
      </c>
      <c r="R34" s="89">
        <f>LOOKUP(2, 1/('BA History'!$B:$B=A34), 'BA History'!$AJ:$AJ)</f>
        <v>0.48882352941176466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4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27</v>
      </c>
      <c r="G35" s="66">
        <f>AVERAGEIFS('BA History'!C:C,'BA History'!B:B,A35)</f>
        <v>13.5</v>
      </c>
      <c r="H35" s="66">
        <f t="array" ref="H35">MEDIAN(IF('BA History'!B:B=A35, 'BA History'!C:C))</f>
        <v>13.5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2</v>
      </c>
      <c r="L35" s="75">
        <f>LOOKUP(2, 1/('BA History'!$B:$B=A35), 'BA History'!$AK:$AK)</f>
        <v>0</v>
      </c>
      <c r="M35" s="34">
        <f>SUMIFS('BA History'!F:F,'BA History'!B:B,A35)</f>
        <v>2</v>
      </c>
      <c r="N35" s="2">
        <f>SUMIFS('BA History'!E:E,'BA History'!B:B,A35)-M35</f>
        <v>6</v>
      </c>
      <c r="O35" s="75">
        <f>LOOKUP(2, 1/('BA History'!$B:$B=A35), 'BA History'!$AI:$AI)</f>
        <v>0.2</v>
      </c>
      <c r="P35" s="34">
        <f>SUMIFS('BA History'!H:H,'BA History'!B:B,A35)</f>
        <v>12</v>
      </c>
      <c r="Q35" s="2">
        <f>SUMIFS('BA History'!G:G,'BA History'!B:B,A35)-P35</f>
        <v>20</v>
      </c>
      <c r="R35" s="89">
        <f>LOOKUP(2, 1/('BA History'!$B:$B=A35), 'BA History'!$AJ:$AJ)</f>
        <v>0.3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547</v>
      </c>
      <c r="G38" s="66">
        <f>AVERAGEIFS('BA History'!C:C,'BA History'!B:B,A38)</f>
        <v>16.575757575757574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13</v>
      </c>
      <c r="K38" s="2">
        <f>COUNTIFS('BA History'!B:B,A38,'BA History'!D:D, 0)</f>
        <v>20</v>
      </c>
      <c r="L38" s="75">
        <f>LOOKUP(2, 1/('BA History'!$B:$B=A38), 'BA History'!$AK:$AK)</f>
        <v>0.39393939393939392</v>
      </c>
      <c r="M38" s="34">
        <f>SUMIFS('BA History'!F:F,'BA History'!B:B,A38)</f>
        <v>60</v>
      </c>
      <c r="N38" s="2">
        <f>SUMIFS('BA History'!E:E,'BA History'!B:B,A38)-M38</f>
        <v>70</v>
      </c>
      <c r="O38" s="75">
        <f>LOOKUP(2, 1/('BA History'!$B:$B=A38), 'BA History'!$AI:$AI)</f>
        <v>0.46515151515151515</v>
      </c>
      <c r="P38" s="34">
        <f>SUMIFS('BA History'!H:H,'BA History'!B:B,A38)</f>
        <v>269</v>
      </c>
      <c r="Q38" s="2">
        <f>SUMIFS('BA History'!G:G,'BA History'!B:B,A38)-P38</f>
        <v>292</v>
      </c>
      <c r="R38" s="89">
        <f>LOOKUP(2, 1/('BA History'!$B:$B=A38), 'BA History'!$AJ:$AJ)</f>
        <v>0.48757575757575755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6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1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6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9</v>
      </c>
      <c r="AL38" s="2">
        <f>COUNTIFS('BA History'!$B:$B,$A$38,'BA History'!AD:AD, 1)</f>
        <v>4</v>
      </c>
      <c r="AM38" s="2">
        <f>COUNTIFS('BA History'!$B:$B,$A$38,'BA History'!AE:AE, 1)</f>
        <v>4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1336</v>
      </c>
      <c r="G39" s="66">
        <f>AVERAGEIFS('BA History'!C:C,'BA History'!B:B,A39)</f>
        <v>24.74074074074074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24</v>
      </c>
      <c r="K39" s="2">
        <f>COUNTIFS('BA History'!B:B,A39,'BA History'!D:D, 0)</f>
        <v>30</v>
      </c>
      <c r="L39" s="75">
        <f>LOOKUP(2, 1/('BA History'!$B:$B=A39), 'BA History'!$AK:$AK)</f>
        <v>0.44444444444444442</v>
      </c>
      <c r="M39" s="34">
        <f>SUMIFS('BA History'!F:F,'BA History'!B:B,A39)</f>
        <v>105</v>
      </c>
      <c r="N39" s="2">
        <f>SUMIFS('BA History'!E:E,'BA History'!B:B,A39)-M39</f>
        <v>109</v>
      </c>
      <c r="O39" s="75">
        <f>LOOKUP(2, 1/('BA History'!$B:$B=A39), 'BA History'!$AI:$AI)</f>
        <v>0.49685185185185171</v>
      </c>
      <c r="P39" s="34">
        <f>SUMIFS('BA History'!H:H,'BA History'!B:B,A39)</f>
        <v>464</v>
      </c>
      <c r="Q39" s="2">
        <f>SUMIFS('BA History'!G:G,'BA History'!B:B,A39)-P39</f>
        <v>434</v>
      </c>
      <c r="R39" s="89">
        <f>LOOKUP(2, 1/('BA History'!$B:$B=A39), 'BA History'!$AJ:$AJ)</f>
        <v>0.5251851851851852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8</v>
      </c>
      <c r="V39" s="2">
        <f>COUNTIFS('BA History'!$B:$B,$A$39,'BA History'!N:N, 1)</f>
        <v>10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2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4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6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18</v>
      </c>
      <c r="AL39" s="2">
        <f>COUNTIFS('BA History'!$B:$B,$A$39,'BA History'!AD:AD, 1)</f>
        <v>5</v>
      </c>
      <c r="AM39" s="2">
        <f>COUNTIFS('BA History'!$B:$B,$A$39,'BA History'!AE:AE, 1)</f>
        <v>9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1670</v>
      </c>
      <c r="G40" s="66">
        <f>AVERAGEIFS('BA History'!C:C,'BA History'!B:B,A40)</f>
        <v>23.52112676056338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40</v>
      </c>
      <c r="K40" s="2">
        <f>COUNTIFS('BA History'!B:B,A40,'BA History'!D:D, 0)</f>
        <v>31</v>
      </c>
      <c r="L40" s="75">
        <f>LOOKUP(2, 1/('BA History'!$B:$B=A40), 'BA History'!$AK:$AK)</f>
        <v>0.56338028169014087</v>
      </c>
      <c r="M40" s="34">
        <f>SUMIFS('BA History'!F:F,'BA History'!B:B,A40)</f>
        <v>154</v>
      </c>
      <c r="N40" s="2">
        <f>SUMIFS('BA History'!E:E,'BA History'!B:B,A40)-M40</f>
        <v>133</v>
      </c>
      <c r="O40" s="75">
        <f>LOOKUP(2, 1/('BA History'!$B:$B=A40), 'BA History'!$AI:$AI)</f>
        <v>0.5376056338028169</v>
      </c>
      <c r="P40" s="34">
        <f>SUMIFS('BA History'!H:H,'BA History'!B:B,A40)</f>
        <v>613</v>
      </c>
      <c r="Q40" s="2">
        <f>SUMIFS('BA History'!G:G,'BA History'!B:B,A40)-P40</f>
        <v>581</v>
      </c>
      <c r="R40" s="89">
        <f>LOOKUP(2, 1/('BA History'!$B:$B=A40), 'BA History'!$AJ:$AJ)</f>
        <v>0.51394366197183106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12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14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10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781</v>
      </c>
      <c r="G41" s="66">
        <f>AVERAGEIFS('BA History'!C:C,'BA History'!B:B,A41)</f>
        <v>19.524999999999999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16</v>
      </c>
      <c r="L41" s="75">
        <f>LOOKUP(2, 1/('BA History'!$B:$B=A41), 'BA History'!$AK:$AK)</f>
        <v>0.6</v>
      </c>
      <c r="M41" s="34">
        <f>SUMIFS('BA History'!F:F,'BA History'!B:B,A41)</f>
        <v>87</v>
      </c>
      <c r="N41" s="2">
        <f>SUMIFS('BA History'!E:E,'BA History'!B:B,A41)-M41</f>
        <v>73</v>
      </c>
      <c r="O41" s="75">
        <f>LOOKUP(2, 1/('BA History'!$B:$B=A41), 'BA History'!$AI:$AI)</f>
        <v>0.5442499999999999</v>
      </c>
      <c r="P41" s="34">
        <f>SUMIFS('BA History'!H:H,'BA History'!B:B,A41)</f>
        <v>350</v>
      </c>
      <c r="Q41" s="2">
        <f>SUMIFS('BA History'!G:G,'BA History'!B:B,A41)-P41</f>
        <v>326</v>
      </c>
      <c r="R41" s="89">
        <f>LOOKUP(2, 1/('BA History'!$B:$B=A41), 'BA History'!$AJ:$AJ)</f>
        <v>0.52175000000000016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563</v>
      </c>
      <c r="G44" s="66">
        <f>AVERAGEIFS('BA History'!C:C,'BA History'!B:B,A44)</f>
        <v>18.766666666666666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18</v>
      </c>
      <c r="K44" s="2">
        <f>COUNTIFS('BA History'!B:B,A44,'BA History'!D:D, 0)</f>
        <v>12</v>
      </c>
      <c r="L44" s="75">
        <f>LOOKUP(2, 1/('BA History'!$B:$B=A44), 'BA History'!$AK:$AK)</f>
        <v>0.6</v>
      </c>
      <c r="M44" s="34">
        <f>SUMIFS('BA History'!F:F,'BA History'!B:B,A44)</f>
        <v>61</v>
      </c>
      <c r="N44" s="2">
        <f>SUMIFS('BA History'!E:E,'BA History'!B:B,A44)-M44</f>
        <v>59</v>
      </c>
      <c r="O44" s="75">
        <f>LOOKUP(2, 1/('BA History'!$B:$B=A44), 'BA History'!$AI:$AI)</f>
        <v>0.49</v>
      </c>
      <c r="P44" s="34">
        <f>SUMIFS('BA History'!H:H,'BA History'!B:B,A44)</f>
        <v>257</v>
      </c>
      <c r="Q44" s="2">
        <f>SUMIFS('BA History'!G:G,'BA History'!B:B,A44)-P44</f>
        <v>255</v>
      </c>
      <c r="R44" s="89">
        <f>LOOKUP(2, 1/('BA History'!$B:$B=A44), 'BA History'!$AJ:$AJ)</f>
        <v>0.49866666666666676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7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4</v>
      </c>
      <c r="AH44" s="2">
        <f>COUNTIFS('BA History'!$B:$B,$A$44,'BA History'!Z:Z, 1)</f>
        <v>5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11</v>
      </c>
      <c r="AL44" s="2">
        <f>COUNTIFS('BA History'!$B:$B,$A$44,'BA History'!AD:AD, 1)</f>
        <v>3</v>
      </c>
      <c r="AM44" s="2">
        <f>COUNTIFS('BA History'!$B:$B,$A$44,'BA History'!AE:AE, 1)</f>
        <v>6</v>
      </c>
      <c r="AN44" s="2">
        <f>COUNTIFS('BA History'!$B:$B,$A$44,'BA History'!AF:AF, 1)</f>
        <v>1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1329</v>
      </c>
      <c r="G46" s="66">
        <f>AVERAGEIFS('BA History'!C:C,'BA History'!B:B,A46)</f>
        <v>18.458333333333332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42</v>
      </c>
      <c r="L46" s="75">
        <f>LOOKUP(2, 1/('BA History'!$B:$B=A46), 'BA History'!$AK:$AK)</f>
        <v>0.41666666666666669</v>
      </c>
      <c r="M46" s="34">
        <f>SUMIFS('BA History'!F:F,'BA History'!B:B,A46)</f>
        <v>140</v>
      </c>
      <c r="N46" s="2">
        <f>SUMIFS('BA History'!E:E,'BA History'!B:B,A46)-M46</f>
        <v>156</v>
      </c>
      <c r="O46" s="75">
        <f>LOOKUP(2, 1/('BA History'!$B:$B=A46), 'BA History'!$AI:$AI)</f>
        <v>0.47499999999999987</v>
      </c>
      <c r="P46" s="34">
        <f>SUMIFS('BA History'!H:H,'BA History'!B:B,A46)</f>
        <v>591</v>
      </c>
      <c r="Q46" s="2">
        <f>SUMIFS('BA History'!G:G,'BA History'!B:B,A46)-P46</f>
        <v>631</v>
      </c>
      <c r="R46" s="89">
        <f>LOOKUP(2, 1/('BA History'!$B:$B=A46), 'BA History'!$AJ:$AJ)</f>
        <v>0.48041666666666683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19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651</v>
      </c>
      <c r="G48" s="66">
        <f>AVERAGEIFS('BA History'!C:C,'BA History'!B:B,A48)</f>
        <v>15.13953488372093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25</v>
      </c>
      <c r="K48" s="2">
        <f>COUNTIFS('BA History'!B:B,A48,'BA History'!D:D, 0)</f>
        <v>18</v>
      </c>
      <c r="L48" s="75">
        <f>LOOKUP(2, 1/('BA History'!$B:$B=A48), 'BA History'!$AK:$AK)</f>
        <v>0.58139534883720934</v>
      </c>
      <c r="M48" s="34">
        <f>SUMIFS('BA History'!F:F,'BA History'!B:B,A48)</f>
        <v>98</v>
      </c>
      <c r="N48" s="2">
        <f>SUMIFS('BA History'!E:E,'BA History'!B:B,A48)-M48</f>
        <v>79</v>
      </c>
      <c r="O48" s="75">
        <f>LOOKUP(2, 1/('BA History'!$B:$B=A48), 'BA History'!$AI:$AI)</f>
        <v>0.5744186046511629</v>
      </c>
      <c r="P48" s="34">
        <f>SUMIFS('BA History'!H:H,'BA History'!B:B,A48)</f>
        <v>388</v>
      </c>
      <c r="Q48" s="2">
        <f>SUMIFS('BA History'!G:G,'BA History'!B:B,A48)-P48</f>
        <v>351</v>
      </c>
      <c r="R48" s="89">
        <f>LOOKUP(2, 1/('BA History'!$B:$B=A48), 'BA History'!$AJ:$AJ)</f>
        <v>0.53674418604651164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7</v>
      </c>
      <c r="V48" s="2">
        <f>COUNTIFS('BA History'!$B:$B,$A$48,'BA History'!N:N, 1)</f>
        <v>8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8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8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1953</v>
      </c>
      <c r="G53" s="66">
        <f>AVERAGEIFS('BA History'!C:C,'BA History'!B:B,A53)</f>
        <v>23.53012048192771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53</v>
      </c>
      <c r="K53" s="2">
        <f>COUNTIFS('BA History'!B:B,A53,'BA History'!D:D, 0)</f>
        <v>30</v>
      </c>
      <c r="L53" s="75">
        <f>LOOKUP(2, 1/('BA History'!$B:$B=A53), 'BA History'!$AK:$AK)</f>
        <v>0.63855421686746983</v>
      </c>
      <c r="M53" s="34">
        <f>SUMIFS('BA History'!F:F,'BA History'!B:B,A53)</f>
        <v>188</v>
      </c>
      <c r="N53" s="2">
        <f>SUMIFS('BA History'!E:E,'BA History'!B:B,A53)-M53</f>
        <v>146</v>
      </c>
      <c r="O53" s="75">
        <f>LOOKUP(2, 1/('BA History'!$B:$B=A53), 'BA History'!$AI:$AI)</f>
        <v>0.5660240963855423</v>
      </c>
      <c r="P53" s="34">
        <f>SUMIFS('BA History'!H:H,'BA History'!B:B,A53)</f>
        <v>744</v>
      </c>
      <c r="Q53" s="2">
        <f>SUMIFS('BA History'!G:G,'BA History'!B:B,A53)-P53</f>
        <v>654</v>
      </c>
      <c r="R53" s="89">
        <f>LOOKUP(2, 1/('BA History'!$B:$B=A53), 'BA History'!$AJ:$AJ)</f>
        <v>0.53325301204819264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6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24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24</v>
      </c>
      <c r="AL53" s="2">
        <f>COUNTIFS('BA History'!$B:$B,$A$53,'BA History'!AD:AD, 1)</f>
        <v>9</v>
      </c>
      <c r="AM53" s="2">
        <f>COUNTIFS('BA History'!$B:$B,$A$53,'BA History'!AE:AE, 1)</f>
        <v>12</v>
      </c>
      <c r="AN53" s="2">
        <f>COUNTIFS('BA History'!$B:$B,$A$53,'BA History'!AF:AF, 1)</f>
        <v>2</v>
      </c>
      <c r="AO53" s="2">
        <f>COUNTIFS('BA History'!$B:$B,$A$53,'BA History'!AG:AG, 1)</f>
        <v>15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225</v>
      </c>
      <c r="G54" s="66">
        <f>AVERAGEIFS('BA History'!C:C,'BA History'!B:B,A54)</f>
        <v>18.75</v>
      </c>
      <c r="H54" s="66">
        <f t="array" ref="H54">MEDIAN(IF('BA History'!B:B=A54, 'BA History'!C:C))</f>
        <v>19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4</v>
      </c>
      <c r="L54" s="75">
        <f>LOOKUP(2, 1/('BA History'!$B:$B=A54), 'BA History'!$AK:$AK)</f>
        <v>0.66666666666666663</v>
      </c>
      <c r="M54" s="34">
        <f>SUMIFS('BA History'!F:F,'BA History'!B:B,A54)</f>
        <v>27</v>
      </c>
      <c r="N54" s="2">
        <f>SUMIFS('BA History'!E:E,'BA History'!B:B,A54)-M54</f>
        <v>16</v>
      </c>
      <c r="O54" s="75">
        <f>LOOKUP(2, 1/('BA History'!$B:$B=A54), 'BA History'!$AI:$AI)</f>
        <v>0.65416666666666667</v>
      </c>
      <c r="P54" s="34">
        <f>SUMIFS('BA History'!H:H,'BA History'!B:B,A54)</f>
        <v>103</v>
      </c>
      <c r="Q54" s="2">
        <f>SUMIFS('BA History'!G:G,'BA History'!B:B,A54)-P54</f>
        <v>83</v>
      </c>
      <c r="R54" s="89">
        <f>LOOKUP(2, 1/('BA History'!$B:$B=A54), 'BA History'!$AJ:$AJ)</f>
        <v>0.57083333333333319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909</v>
      </c>
      <c r="G56" s="66">
        <f>AVERAGEIFS('BA History'!C:C,'BA History'!B:B,A56)</f>
        <v>18.551020408163264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27</v>
      </c>
      <c r="K56" s="2">
        <f>COUNTIFS('BA History'!B:B,A56,'BA History'!D:D, 0)</f>
        <v>22</v>
      </c>
      <c r="L56" s="75">
        <f>LOOKUP(2, 1/('BA History'!$B:$B=A56), 'BA History'!$AK:$AK)</f>
        <v>0.55102040816326525</v>
      </c>
      <c r="M56" s="34">
        <f>SUMIFS('BA History'!F:F,'BA History'!B:B,A56)</f>
        <v>108</v>
      </c>
      <c r="N56" s="2">
        <f>SUMIFS('BA History'!E:E,'BA History'!B:B,A56)-M56</f>
        <v>90</v>
      </c>
      <c r="O56" s="75">
        <f>LOOKUP(2, 1/('BA History'!$B:$B=A56), 'BA History'!$AI:$AI)</f>
        <v>0.55816326530612237</v>
      </c>
      <c r="P56" s="34">
        <f>SUMIFS('BA History'!H:H,'BA History'!B:B,A56)</f>
        <v>424</v>
      </c>
      <c r="Q56" s="2">
        <f>SUMIFS('BA History'!G:G,'BA History'!B:B,A56)-P56</f>
        <v>397</v>
      </c>
      <c r="R56" s="89">
        <f>LOOKUP(2, 1/('BA History'!$B:$B=A56), 'BA History'!$AJ:$AJ)</f>
        <v>0.52428571428571435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10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10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3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392</v>
      </c>
      <c r="G57" s="66">
        <f>AVERAGEIFS('BA History'!C:C,'BA History'!B:B,A57)</f>
        <v>16.333333333333332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11</v>
      </c>
      <c r="L57" s="75">
        <f>LOOKUP(2, 1/('BA History'!$B:$B=A57), 'BA History'!$AK:$AK)</f>
        <v>0.54166666666666663</v>
      </c>
      <c r="M57" s="34">
        <f>SUMIFS('BA History'!F:F,'BA History'!B:B,A57)</f>
        <v>50</v>
      </c>
      <c r="N57" s="2">
        <f>SUMIFS('BA History'!E:E,'BA History'!B:B,A57)-M57</f>
        <v>49</v>
      </c>
      <c r="O57" s="75">
        <f>LOOKUP(2, 1/('BA History'!$B:$B=A57), 'BA History'!$AI:$AI)</f>
        <v>0.50916666666666666</v>
      </c>
      <c r="P57" s="34">
        <f>SUMIFS('BA History'!H:H,'BA History'!B:B,A57)</f>
        <v>209</v>
      </c>
      <c r="Q57" s="2">
        <f>SUMIFS('BA History'!G:G,'BA History'!B:B,A57)-P57</f>
        <v>201</v>
      </c>
      <c r="R57" s="89">
        <f>LOOKUP(2, 1/('BA History'!$B:$B=A57), 'BA History'!$AJ:$AJ)</f>
        <v>0.50791666666666668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1110</v>
      </c>
      <c r="G59" s="66">
        <f>AVERAGEIFS('BA History'!C:C,'BA History'!B:B,A59)</f>
        <v>24.666666666666668</v>
      </c>
      <c r="H59" s="66">
        <f t="array" ref="H59">MEDIAN(IF('BA History'!B:B=A59, 'BA History'!C:C))</f>
        <v>27</v>
      </c>
      <c r="I59" s="35">
        <f t="array" ref="I59">MAX(IF('BA History'!B:B=A59, 'BA History'!C:C))</f>
        <v>43</v>
      </c>
      <c r="J59" s="34">
        <f>COUNTIFS('BA History'!B:B,A59,'BA History'!D:D, 1)</f>
        <v>19</v>
      </c>
      <c r="K59" s="2">
        <f>COUNTIFS('BA History'!B:B,A59,'BA History'!D:D, 0)</f>
        <v>26</v>
      </c>
      <c r="L59" s="75">
        <f>LOOKUP(2, 1/('BA History'!$B:$B=A59), 'BA History'!$AK:$AK)</f>
        <v>0.42222222222222222</v>
      </c>
      <c r="M59" s="34">
        <f>SUMIFS('BA History'!F:F,'BA History'!B:B,A59)</f>
        <v>86</v>
      </c>
      <c r="N59" s="2">
        <f>SUMIFS('BA History'!E:E,'BA History'!B:B,A59)-M59</f>
        <v>100</v>
      </c>
      <c r="O59" s="75">
        <f>LOOKUP(2, 1/('BA History'!$B:$B=A59), 'BA History'!$AI:$AI)</f>
        <v>0.46111111111111119</v>
      </c>
      <c r="P59" s="34">
        <f>SUMIFS('BA History'!H:H,'BA History'!B:B,A59)</f>
        <v>370</v>
      </c>
      <c r="Q59" s="2">
        <f>SUMIFS('BA History'!G:G,'BA History'!B:B,A59)-P59</f>
        <v>404</v>
      </c>
      <c r="R59" s="89">
        <f>LOOKUP(2, 1/('BA History'!$B:$B=A59), 'BA History'!$AJ:$AJ)</f>
        <v>0.47377777777777763</v>
      </c>
      <c r="S59" s="2">
        <f>COUNTIFS('BA History'!$B:$B,$A$59,'BA History'!K:K, 1)</f>
        <v>5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5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7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883</v>
      </c>
      <c r="G60" s="66">
        <f>AVERAGEIFS('BA History'!C:C,'BA History'!B:B,A60)</f>
        <v>16.351851851851851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24</v>
      </c>
      <c r="L60" s="75">
        <f>LOOKUP(2, 1/('BA History'!$B:$B=A60), 'BA History'!$AK:$AK)</f>
        <v>0.55555555555555558</v>
      </c>
      <c r="M60" s="34">
        <f>SUMIFS('BA History'!F:F,'BA History'!B:B,A60)</f>
        <v>112</v>
      </c>
      <c r="N60" s="2">
        <f>SUMIFS('BA History'!E:E,'BA History'!B:B,A60)-M60</f>
        <v>106</v>
      </c>
      <c r="O60" s="75">
        <f>LOOKUP(2, 1/('BA History'!$B:$B=A60), 'BA History'!$AI:$AI)</f>
        <v>0.50740740740740753</v>
      </c>
      <c r="P60" s="34">
        <f>SUMIFS('BA History'!H:H,'BA History'!B:B,A60)</f>
        <v>466</v>
      </c>
      <c r="Q60" s="2">
        <f>SUMIFS('BA History'!G:G,'BA History'!B:B,A60)-P60</f>
        <v>440</v>
      </c>
      <c r="R60" s="89">
        <f>LOOKUP(2, 1/('BA History'!$B:$B=A60), 'BA History'!$AJ:$AJ)</f>
        <v>0.51111111111111107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318"/>
  <sheetViews>
    <sheetView workbookViewId="0">
      <pane xSplit="2" ySplit="1" topLeftCell="M1288" activePane="bottomRight" state="frozen"/>
      <selection pane="topRight" activeCell="C1" sqref="C1"/>
      <selection pane="bottomLeft" activeCell="A2" sqref="A2"/>
      <selection pane="bottomRight" activeCell="A1307" sqref="A1307:AG131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F24" sqref="AF2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152</v>
      </c>
      <c r="G2" s="66">
        <f>AVERAGEIFS('BA History S2'!C:C,'BA History S2'!B:B,A2)</f>
        <v>12.666666666666666</v>
      </c>
      <c r="H2" s="35">
        <f t="array" ref="H2">MAX(IF('BA History S2'!B:B=A2, 'BA History S2'!C:C))</f>
        <v>22</v>
      </c>
      <c r="I2" s="34">
        <f>COUNTIFS('BA History S2'!B:B,A2,'BA History S2'!D:D, 1)</f>
        <v>6</v>
      </c>
      <c r="J2" s="2">
        <f>COUNTIFS('BA History S2'!B:B,A2,'BA History S2'!D:D, 0)</f>
        <v>6</v>
      </c>
      <c r="K2" s="75">
        <f>LOOKUP(2, 1/('BA History S2'!$B:$B=A2), 'BA History S2'!$AK:$AK)</f>
        <v>0.5</v>
      </c>
      <c r="L2" s="34">
        <f>SUMIFS('BA History S2'!F:F,'BA History S2'!B:B,A2)</f>
        <v>26</v>
      </c>
      <c r="M2" s="2">
        <f>SUMIFS('BA History S2'!E:E,'BA History S2'!B:B,A2)-L2</f>
        <v>23</v>
      </c>
      <c r="N2" s="75">
        <f>LOOKUP(2, 1/('BA History S2'!$B:$B=A2), 'BA History S2'!$AI:$AI)</f>
        <v>0.54583333333333339</v>
      </c>
      <c r="O2" s="34">
        <f>SUMIFS('BA History S2'!H:H,'BA History S2'!B:B,A2)</f>
        <v>105</v>
      </c>
      <c r="P2" s="2">
        <f>SUMIFS('BA History S2'!G:G,'BA History S2'!B:B,A2)-O2</f>
        <v>101</v>
      </c>
      <c r="Q2" s="89">
        <f>LOOKUP(2, 1/('BA History S2'!$B:$B=A2), 'BA History S2'!$AJ:$AJ)</f>
        <v>0.52083333333333326</v>
      </c>
      <c r="R2" s="2">
        <f>COUNTIFS('BA History S2'!$B:$B,$A$2,'BA History S2'!K:K, 1)</f>
        <v>1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4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77</v>
      </c>
      <c r="G3" s="66">
        <f>AVERAGEIFS('BA History S2'!C:C,'BA History S2'!B:B,A3)</f>
        <v>19.25</v>
      </c>
      <c r="H3" s="35">
        <f t="array" ref="H3">MAX(IF('BA History S2'!B:B=A3, 'BA History S2'!C:C))</f>
        <v>27</v>
      </c>
      <c r="I3" s="34">
        <f>COUNTIFS('BA History S2'!B:B,A3,'BA History S2'!D:D, 1)</f>
        <v>4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12</v>
      </c>
      <c r="M3" s="2">
        <f>SUMIFS('BA History S2'!E:E,'BA History S2'!B:B,A3)-L3</f>
        <v>3</v>
      </c>
      <c r="N3" s="75">
        <f>LOOKUP(2, 1/('BA History S2'!$B:$B=A3), 'BA History S2'!$AI:$AI)</f>
        <v>0.8125</v>
      </c>
      <c r="O3" s="34">
        <f>SUMIFS('BA History S2'!H:H,'BA History S2'!B:B,A3)</f>
        <v>40</v>
      </c>
      <c r="P3" s="2">
        <f>SUMIFS('BA History S2'!G:G,'BA History S2'!B:B,A3)-O3</f>
        <v>26</v>
      </c>
      <c r="Q3" s="89">
        <f>LOOKUP(2, 1/('BA History S2'!$B:$B=A3), 'BA History S2'!$AJ:$AJ)</f>
        <v>0.61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1</v>
      </c>
      <c r="AM3" s="2">
        <f>COUNTIFS('BA History S2'!$B:$B,$A$3,'BA History S2'!AF:AF, 1)</f>
        <v>0</v>
      </c>
      <c r="AN3" s="2">
        <f>COUNTIFS('BA History S2'!$B:$B,$A$3,'BA History S2'!AG:AG, 1)</f>
        <v>2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371</v>
      </c>
      <c r="G4" s="66">
        <f>AVERAGEIFS('BA History S2'!C:C,'BA History S2'!B:B,A4)</f>
        <v>17.666666666666668</v>
      </c>
      <c r="H4" s="35">
        <f t="array" ref="H4">MAX(IF('BA History S2'!B:B=A4, 'BA History S2'!C:C))</f>
        <v>44</v>
      </c>
      <c r="I4" s="34">
        <f>COUNTIFS('BA History S2'!B:B,A4,'BA History S2'!D:D, 1)</f>
        <v>10</v>
      </c>
      <c r="J4" s="2">
        <f>COUNTIFS('BA History S2'!B:B,A4,'BA History S2'!D:D, 0)</f>
        <v>11</v>
      </c>
      <c r="K4" s="75">
        <f>LOOKUP(2, 1/('BA History S2'!$B:$B=A4), 'BA History S2'!$AK:$AK)</f>
        <v>0.47619047619047616</v>
      </c>
      <c r="L4" s="34">
        <f>SUMIFS('BA History S2'!F:F,'BA History S2'!B:B,A4)</f>
        <v>43</v>
      </c>
      <c r="M4" s="2">
        <f>SUMIFS('BA History S2'!E:E,'BA History S2'!B:B,A4)-L4</f>
        <v>46</v>
      </c>
      <c r="N4" s="75">
        <f>LOOKUP(2, 1/('BA History S2'!$B:$B=A4), 'BA History S2'!$AI:$AI)</f>
        <v>0.47619047619047616</v>
      </c>
      <c r="O4" s="34">
        <f>SUMIFS('BA History S2'!H:H,'BA History S2'!B:B,A4)</f>
        <v>187</v>
      </c>
      <c r="P4" s="2">
        <f>SUMIFS('BA History S2'!G:G,'BA History S2'!B:B,A4)-O4</f>
        <v>201</v>
      </c>
      <c r="Q4" s="89">
        <f>LOOKUP(2, 1/('BA History S2'!$B:$B=A4), 'BA History S2'!$AJ:$AJ)</f>
        <v>0.47809523809523807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5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3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6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4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7.7777777777777777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7</v>
      </c>
      <c r="K5" s="75">
        <f>LOOKUP(2, 1/('BA History S2'!$B:$B=A5), 'BA History S2'!$AK:$AK)</f>
        <v>0.22222222222222221</v>
      </c>
      <c r="L5" s="34">
        <f>SUMIFS('BA History S2'!F:F,'BA History S2'!B:B,A5)</f>
        <v>13</v>
      </c>
      <c r="M5" s="2">
        <f>SUMIFS('BA History S2'!E:E,'BA History S2'!B:B,A5)-L5</f>
        <v>23</v>
      </c>
      <c r="N5" s="75">
        <f>LOOKUP(2, 1/('BA History S2'!$B:$B=A5), 'BA History S2'!$AI:$AI)</f>
        <v>0.35</v>
      </c>
      <c r="O5" s="34">
        <f>SUMIFS('BA History S2'!H:H,'BA History S2'!B:B,A5)</f>
        <v>64</v>
      </c>
      <c r="P5" s="2">
        <f>SUMIFS('BA History S2'!G:G,'BA History S2'!B:B,A5)-O5</f>
        <v>84</v>
      </c>
      <c r="Q5" s="89">
        <f>LOOKUP(2, 1/('BA History S2'!$B:$B=A5), 'BA History S2'!$AJ:$AJ)</f>
        <v>0.44111111111111112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2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512</v>
      </c>
      <c r="G6" s="66">
        <f>AVERAGEIFS('BA History S2'!C:C,'BA History S2'!B:B,A6)</f>
        <v>17.066666666666666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16</v>
      </c>
      <c r="K6" s="75">
        <f>LOOKUP(2, 1/('BA History S2'!$B:$B=A6), 'BA History S2'!$AK:$AK)</f>
        <v>0.46666666666666667</v>
      </c>
      <c r="L6" s="34">
        <f>SUMIFS('BA History S2'!F:F,'BA History S2'!B:B,A6)</f>
        <v>58</v>
      </c>
      <c r="M6" s="2">
        <f>SUMIFS('BA History S2'!E:E,'BA History S2'!B:B,A6)-L6</f>
        <v>63</v>
      </c>
      <c r="N6" s="75">
        <f>LOOKUP(2, 1/('BA History S2'!$B:$B=A6), 'BA History S2'!$AI:$AI)</f>
        <v>0.47833333333333333</v>
      </c>
      <c r="O6" s="34">
        <f>SUMIFS('BA History S2'!H:H,'BA History S2'!B:B,A6)</f>
        <v>244</v>
      </c>
      <c r="P6" s="2">
        <f>SUMIFS('BA History S2'!G:G,'BA History S2'!B:B,A6)-O6</f>
        <v>263</v>
      </c>
      <c r="Q6" s="89">
        <f>LOOKUP(2, 1/('BA History S2'!$B:$B=A6), 'BA History S2'!$AJ:$AJ)</f>
        <v>0.47400000000000009</v>
      </c>
      <c r="R6" s="2">
        <f>COUNTIFS('BA History S2'!$B:$B,$A$6,'BA History S2'!K:K, 1)</f>
        <v>6</v>
      </c>
      <c r="S6" s="2">
        <f>COUNTIFS('BA History S2'!$B:$B,$A$6,'BA History S2'!L:L, 1)</f>
        <v>2</v>
      </c>
      <c r="T6" s="2">
        <f>COUNTIFS('BA History S2'!$B:$B,$A$6,'BA History S2'!M:M, 1)</f>
        <v>5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5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247</v>
      </c>
      <c r="G7" s="66">
        <f>AVERAGEIFS('BA History S2'!C:C,'BA History S2'!B:B,A7)</f>
        <v>19</v>
      </c>
      <c r="H7" s="35">
        <f t="array" ref="H7">MAX(IF('BA History S2'!B:B=A7, 'BA History S2'!C:C))</f>
        <v>30</v>
      </c>
      <c r="I7" s="34">
        <f>COUNTIFS('BA History S2'!B:B,A7,'BA History S2'!D:D, 1)</f>
        <v>6</v>
      </c>
      <c r="J7" s="2">
        <f>COUNTIFS('BA History S2'!B:B,A7,'BA History S2'!D:D, 0)</f>
        <v>7</v>
      </c>
      <c r="K7" s="75">
        <f>LOOKUP(2, 1/('BA History S2'!$B:$B=A7), 'BA History S2'!$AK:$AK)</f>
        <v>0.46153846153846156</v>
      </c>
      <c r="L7" s="34">
        <f>SUMIFS('BA History S2'!F:F,'BA History S2'!B:B,A7)</f>
        <v>28</v>
      </c>
      <c r="M7" s="2">
        <f>SUMIFS('BA History S2'!E:E,'BA History S2'!B:B,A7)-L7</f>
        <v>27</v>
      </c>
      <c r="N7" s="75">
        <f>LOOKUP(2, 1/('BA History S2'!$B:$B=A7), 'BA History S2'!$AI:$AI)</f>
        <v>0.51538461538461533</v>
      </c>
      <c r="O7" s="34">
        <f>SUMIFS('BA History S2'!H:H,'BA History S2'!B:B,A7)</f>
        <v>115</v>
      </c>
      <c r="P7" s="2">
        <f>SUMIFS('BA History S2'!G:G,'BA History S2'!B:B,A7)-O7</f>
        <v>114</v>
      </c>
      <c r="Q7" s="89">
        <f>LOOKUP(2, 1/('BA History S2'!$B:$B=A7), 'BA History S2'!$AJ:$AJ)</f>
        <v>0.51076923076923075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4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1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3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29</v>
      </c>
      <c r="G9" s="66">
        <f>AVERAGEIFS('BA History S2'!C:C,'BA History S2'!B:B,A9)</f>
        <v>29</v>
      </c>
      <c r="H9" s="35">
        <f t="array" ref="H9">MAX(IF('BA History S2'!B:B=A9, 'BA History S2'!C:C))</f>
        <v>29</v>
      </c>
      <c r="I9" s="34">
        <f>COUNTIFS('BA History S2'!B:B,A9,'BA History S2'!D:D, 1)</f>
        <v>0</v>
      </c>
      <c r="J9" s="2">
        <f>COUNTIFS('BA History S2'!B:B,A9,'BA History S2'!D:D, 0)</f>
        <v>1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3</v>
      </c>
      <c r="N9" s="75">
        <f>LOOKUP(2, 1/('BA History S2'!$B:$B=A9), 'BA History S2'!$AI:$AI)</f>
        <v>0.4</v>
      </c>
      <c r="O9" s="34">
        <f>SUMIFS('BA History S2'!H:H,'BA History S2'!B:B,A9)</f>
        <v>10</v>
      </c>
      <c r="P9" s="2">
        <f>SUMIFS('BA History S2'!G:G,'BA History S2'!B:B,A9)-O9</f>
        <v>11</v>
      </c>
      <c r="Q9" s="89">
        <f>LOOKUP(2, 1/('BA History S2'!$B:$B=A9), 'BA History S2'!$AJ:$AJ)</f>
        <v>0.48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141</v>
      </c>
      <c r="G10" s="66">
        <f>AVERAGEIFS('BA History S2'!C:C,'BA History S2'!B:B,A10)</f>
        <v>12.818181818181818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3</v>
      </c>
      <c r="K10" s="75">
        <f>LOOKUP(2, 1/('BA History S2'!$B:$B=A10), 'BA History S2'!$AK:$AK)</f>
        <v>0.72727272727272729</v>
      </c>
      <c r="L10" s="34">
        <f>SUMIFS('BA History S2'!F:F,'BA History S2'!B:B,A10)</f>
        <v>27</v>
      </c>
      <c r="M10" s="2">
        <f>SUMIFS('BA History S2'!E:E,'BA History S2'!B:B,A10)-L10</f>
        <v>21</v>
      </c>
      <c r="N10" s="75">
        <f>LOOKUP(2, 1/('BA History S2'!$B:$B=A10), 'BA History S2'!$AI:$AI)</f>
        <v>0.55909090909090908</v>
      </c>
      <c r="O10" s="34">
        <f>SUMIFS('BA History S2'!H:H,'BA History S2'!B:B,A10)</f>
        <v>108</v>
      </c>
      <c r="P10" s="2">
        <f>SUMIFS('BA History S2'!G:G,'BA History S2'!B:B,A10)-O10</f>
        <v>100</v>
      </c>
      <c r="Q10" s="89">
        <f>LOOKUP(2, 1/('BA History S2'!$B:$B=A10), 'BA History S2'!$AJ:$AJ)</f>
        <v>0.52272727272727271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2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1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134</v>
      </c>
      <c r="G11" s="66">
        <f>AVERAGEIFS('BA History S2'!C:C,'BA History S2'!B:B,A11)</f>
        <v>13.4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6</v>
      </c>
      <c r="K11" s="75">
        <f>LOOKUP(2, 1/('BA History S2'!$B:$B=A11), 'BA History S2'!$AK:$AK)</f>
        <v>0.4</v>
      </c>
      <c r="L11" s="34">
        <f>SUMIFS('BA History S2'!F:F,'BA History S2'!B:B,A11)</f>
        <v>17</v>
      </c>
      <c r="M11" s="2">
        <f>SUMIFS('BA History S2'!E:E,'BA History S2'!B:B,A11)-L11</f>
        <v>25</v>
      </c>
      <c r="N11" s="75">
        <f>LOOKUP(2, 1/('BA History S2'!$B:$B=A11), 'BA History S2'!$AI:$AI)</f>
        <v>0.37</v>
      </c>
      <c r="O11" s="34">
        <f>SUMIFS('BA History S2'!H:H,'BA History S2'!B:B,A11)</f>
        <v>85</v>
      </c>
      <c r="P11" s="2">
        <f>SUMIFS('BA History S2'!G:G,'BA History S2'!B:B,A11)-O11</f>
        <v>96</v>
      </c>
      <c r="Q11" s="89">
        <f>LOOKUP(2, 1/('BA History S2'!$B:$B=A11), 'BA History S2'!$AJ:$AJ)</f>
        <v>0.44600000000000001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40</v>
      </c>
      <c r="G12" s="66">
        <f>AVERAGEIFS('BA History S2'!C:C,'BA History S2'!B:B,A12)</f>
        <v>13.333333333333334</v>
      </c>
      <c r="H12" s="35">
        <f t="array" ref="H12">MAX(IF('BA History S2'!B:B=A12, 'BA History S2'!C:C))</f>
        <v>19</v>
      </c>
      <c r="I12" s="34">
        <f>COUNTIFS('BA History S2'!B:B,A12,'BA History S2'!D:D, 1)</f>
        <v>1</v>
      </c>
      <c r="J12" s="2">
        <f>COUNTIFS('BA History S2'!B:B,A12,'BA History S2'!D:D, 0)</f>
        <v>2</v>
      </c>
      <c r="K12" s="75">
        <f>LOOKUP(2, 1/('BA History S2'!$B:$B=A12), 'BA History S2'!$AK:$AK)</f>
        <v>0.33333333333333331</v>
      </c>
      <c r="L12" s="34">
        <f>SUMIFS('BA History S2'!F:F,'BA History S2'!B:B,A12)</f>
        <v>7</v>
      </c>
      <c r="M12" s="2">
        <f>SUMIFS('BA History S2'!E:E,'BA History S2'!B:B,A12)-L12</f>
        <v>6</v>
      </c>
      <c r="N12" s="75">
        <f>LOOKUP(2, 1/('BA History S2'!$B:$B=A12), 'BA History S2'!$AI:$AI)</f>
        <v>0.6</v>
      </c>
      <c r="O12" s="34">
        <f>SUMIFS('BA History S2'!H:H,'BA History S2'!B:B,A12)</f>
        <v>31</v>
      </c>
      <c r="P12" s="2">
        <f>SUMIFS('BA History S2'!G:G,'BA History S2'!B:B,A12)-O12</f>
        <v>29</v>
      </c>
      <c r="Q12" s="89">
        <f>LOOKUP(2, 1/('BA History S2'!$B:$B=A12), 'BA History S2'!$AJ:$AJ)</f>
        <v>0.53333333333333333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1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196</v>
      </c>
      <c r="G13" s="66">
        <f>AVERAGEIFS('BA History S2'!C:C,'BA History S2'!B:B,A13)</f>
        <v>15.076923076923077</v>
      </c>
      <c r="H13" s="35">
        <f t="array" ref="H13">MAX(IF('BA History S2'!B:B=A13, 'BA History S2'!C:C))</f>
        <v>37</v>
      </c>
      <c r="I13" s="34">
        <f>COUNTIFS('BA History S2'!B:B,A13,'BA History S2'!D:D, 1)</f>
        <v>4</v>
      </c>
      <c r="J13" s="2">
        <f>COUNTIFS('BA History S2'!B:B,A13,'BA History S2'!D:D, 0)</f>
        <v>9</v>
      </c>
      <c r="K13" s="75">
        <f>LOOKUP(2, 1/('BA History S2'!$B:$B=A13), 'BA History S2'!$AK:$AK)</f>
        <v>0.30769230769230771</v>
      </c>
      <c r="L13" s="34">
        <f>SUMIFS('BA History S2'!F:F,'BA History S2'!B:B,A13)</f>
        <v>23</v>
      </c>
      <c r="M13" s="2">
        <f>SUMIFS('BA History S2'!E:E,'BA History S2'!B:B,A13)-L13</f>
        <v>33</v>
      </c>
      <c r="N13" s="75">
        <f>LOOKUP(2, 1/('BA History S2'!$B:$B=A13), 'BA History S2'!$AI:$AI)</f>
        <v>0.38846153846153847</v>
      </c>
      <c r="O13" s="34">
        <f>SUMIFS('BA History S2'!H:H,'BA History S2'!B:B,A13)</f>
        <v>113</v>
      </c>
      <c r="P13" s="2">
        <f>SUMIFS('BA History S2'!G:G,'BA History S2'!B:B,A13)-O13</f>
        <v>126</v>
      </c>
      <c r="Q13" s="89">
        <f>LOOKUP(2, 1/('BA History S2'!$B:$B=A13), 'BA History S2'!$AJ:$AJ)</f>
        <v>0.46461538461538454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1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2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1</v>
      </c>
      <c r="AL13" s="2">
        <f>COUNTIFS('BA History S2'!$B:$B,$A$13,'BA History S2'!AE:AE, 1)</f>
        <v>1</v>
      </c>
      <c r="AM13" s="2">
        <f>COUNTIFS('BA History S2'!$B:$B,$A$13,'BA History S2'!AF:AF, 1)</f>
        <v>0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465</v>
      </c>
      <c r="G16" s="66">
        <f>AVERAGEIFS('BA History S2'!C:C,'BA History S2'!B:B,A16)</f>
        <v>16.607142857142858</v>
      </c>
      <c r="H16" s="35">
        <f t="array" ref="H16">MAX(IF('BA History S2'!B:B=A16, 'BA History S2'!C:C))</f>
        <v>31</v>
      </c>
      <c r="I16" s="34">
        <f>COUNTIFS('BA History S2'!B:B,A16,'BA History S2'!D:D, 1)</f>
        <v>15</v>
      </c>
      <c r="J16" s="2">
        <f>COUNTIFS('BA History S2'!B:B,A16,'BA History S2'!D:D, 0)</f>
        <v>13</v>
      </c>
      <c r="K16" s="75">
        <f>LOOKUP(2, 1/('BA History S2'!$B:$B=A16), 'BA History S2'!$AK:$AK)</f>
        <v>0.5357142857142857</v>
      </c>
      <c r="L16" s="34">
        <f>SUMIFS('BA History S2'!F:F,'BA History S2'!B:B,A16)</f>
        <v>59</v>
      </c>
      <c r="M16" s="2">
        <f>SUMIFS('BA History S2'!E:E,'BA History S2'!B:B,A16)-L16</f>
        <v>52</v>
      </c>
      <c r="N16" s="75">
        <f>LOOKUP(2, 1/('BA History S2'!$B:$B=A16), 'BA History S2'!$AI:$AI)</f>
        <v>0.5446428571428571</v>
      </c>
      <c r="O16" s="34">
        <f>SUMIFS('BA History S2'!H:H,'BA History S2'!B:B,A16)</f>
        <v>241</v>
      </c>
      <c r="P16" s="2">
        <f>SUMIFS('BA History S2'!G:G,'BA History S2'!B:B,A16)-O16</f>
        <v>228</v>
      </c>
      <c r="Q16" s="89">
        <f>LOOKUP(2, 1/('BA History S2'!$B:$B=A16), 'BA History S2'!$AJ:$AJ)</f>
        <v>0.52464285714285719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5</v>
      </c>
      <c r="AM16" s="2">
        <f>COUNTIFS('BA History S2'!$B:$B,$A$16,'BA History S2'!AF:AF, 1)</f>
        <v>0</v>
      </c>
      <c r="AN16" s="2">
        <f>COUNTIFS('BA History S2'!$B:$B,$A$16,'BA History S2'!AG:AG, 1)</f>
        <v>9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538</v>
      </c>
      <c r="G18" s="66">
        <f>AVERAGEIFS('BA History S2'!C:C,'BA History S2'!B:B,A18)</f>
        <v>26.9</v>
      </c>
      <c r="H18" s="35">
        <f t="array" ref="H18">MAX(IF('BA History S2'!B:B=A18, 'BA History S2'!C:C))</f>
        <v>49</v>
      </c>
      <c r="I18" s="34">
        <f>COUNTIFS('BA History S2'!B:B,A18,'BA History S2'!D:D, 1)</f>
        <v>11</v>
      </c>
      <c r="J18" s="2">
        <f>COUNTIFS('BA History S2'!B:B,A18,'BA History S2'!D:D, 0)</f>
        <v>9</v>
      </c>
      <c r="K18" s="75">
        <f>LOOKUP(2, 1/('BA History S2'!$B:$B=A18), 'BA History S2'!$AK:$AK)</f>
        <v>0.55000000000000004</v>
      </c>
      <c r="L18" s="34">
        <f>SUMIFS('BA History S2'!F:F,'BA History S2'!B:B,A18)</f>
        <v>43</v>
      </c>
      <c r="M18" s="2">
        <f>SUMIFS('BA History S2'!E:E,'BA History S2'!B:B,A18)-L18</f>
        <v>36</v>
      </c>
      <c r="N18" s="75">
        <f>LOOKUP(2, 1/('BA History S2'!$B:$B=A18), 'BA History S2'!$AI:$AI)</f>
        <v>0.5575</v>
      </c>
      <c r="O18" s="34">
        <f>SUMIFS('BA History S2'!H:H,'BA History S2'!B:B,A18)</f>
        <v>173</v>
      </c>
      <c r="P18" s="2">
        <f>SUMIFS('BA History S2'!G:G,'BA History S2'!B:B,A18)-O18</f>
        <v>155</v>
      </c>
      <c r="Q18" s="89">
        <f>LOOKUP(2, 1/('BA History S2'!$B:$B=A18), 'BA History S2'!$AJ:$AJ)</f>
        <v>0.54449999999999998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4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ht="15.75" x14ac:dyDescent="0.25">
      <c r="A19" s="2" t="s">
        <v>150</v>
      </c>
      <c r="B19" s="95" t="s">
        <v>79</v>
      </c>
      <c r="C19" s="95">
        <v>2</v>
      </c>
      <c r="D19" s="95"/>
      <c r="E19" s="95"/>
      <c r="F19" s="34">
        <f>SUMIFS('BA History S2'!C:C,'BA History S2'!B:B,A19)</f>
        <v>510</v>
      </c>
      <c r="G19" s="66">
        <f>AVERAGEIFS('BA History S2'!C:C,'BA History S2'!B:B,A19)</f>
        <v>20.399999999999999</v>
      </c>
      <c r="H19" s="35">
        <f t="array" ref="H19">MAX(IF('BA History S2'!B:B=A19, 'BA History S2'!C:C))</f>
        <v>33</v>
      </c>
      <c r="I19" s="34">
        <f>COUNTIFS('BA History S2'!B:B,A19,'BA History S2'!D:D, 1)</f>
        <v>16</v>
      </c>
      <c r="J19" s="2">
        <f>COUNTIFS('BA History S2'!B:B,A19,'BA History S2'!D:D, 0)</f>
        <v>9</v>
      </c>
      <c r="K19" s="75">
        <f>LOOKUP(2, 1/('BA History S2'!$B:$B=A19), 'BA History S2'!$AK:$AK)</f>
        <v>0.64</v>
      </c>
      <c r="L19" s="34">
        <f>SUMIFS('BA History S2'!F:F,'BA History S2'!B:B,A19)</f>
        <v>57</v>
      </c>
      <c r="M19" s="2">
        <f>SUMIFS('BA History S2'!E:E,'BA History S2'!B:B,A19)-L19</f>
        <v>42</v>
      </c>
      <c r="N19" s="75">
        <f>LOOKUP(2, 1/('BA History S2'!$B:$B=A19), 'BA History S2'!$AI:$AI)</f>
        <v>0.58399999999999996</v>
      </c>
      <c r="O19" s="34">
        <f>SUMIFS('BA History S2'!H:H,'BA History S2'!B:B,A19)</f>
        <v>219</v>
      </c>
      <c r="P19" s="2">
        <f>SUMIFS('BA History S2'!G:G,'BA History S2'!B:B,A19)-O19</f>
        <v>186</v>
      </c>
      <c r="Q19" s="89">
        <f>LOOKUP(2, 1/('BA History S2'!$B:$B=A19), 'BA History S2'!$AJ:$AJ)</f>
        <v>0.55679999999999996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5</v>
      </c>
      <c r="U19" s="2">
        <f>COUNTIFS('BA History S2'!$B:$B,$A$19,'BA History S2'!N:N, 1)</f>
        <v>8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2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3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7</v>
      </c>
      <c r="AK19" s="2">
        <f>COUNTIFS('BA History S2'!$B:$B,$A$19,'BA History S2'!AD:AD, 1)</f>
        <v>2</v>
      </c>
      <c r="AL19" s="2">
        <f>COUNTIFS('BA History S2'!$B:$B,$A$19,'BA History S2'!AE:AE, 1)</f>
        <v>4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231</v>
      </c>
      <c r="G22" s="66">
        <f>AVERAGEIFS('BA History S2'!C:C,'BA History S2'!B:B,A22)</f>
        <v>14.4375</v>
      </c>
      <c r="H22" s="35">
        <f t="array" ref="H22">MAX(IF('BA History S2'!B:B=A22, 'BA History S2'!C:C))</f>
        <v>27</v>
      </c>
      <c r="I22" s="34">
        <f>COUNTIFS('BA History S2'!B:B,A22,'BA History S2'!D:D, 1)</f>
        <v>4</v>
      </c>
      <c r="J22" s="2">
        <f>COUNTIFS('BA History S2'!B:B,A22,'BA History S2'!D:D, 0)</f>
        <v>12</v>
      </c>
      <c r="K22" s="75">
        <f>LOOKUP(2, 1/('BA History S2'!$B:$B=A22), 'BA History S2'!$AK:$AK)</f>
        <v>0.25</v>
      </c>
      <c r="L22" s="34">
        <f>SUMIFS('BA History S2'!F:F,'BA History S2'!B:B,A22)</f>
        <v>26</v>
      </c>
      <c r="M22" s="2">
        <f>SUMIFS('BA History S2'!E:E,'BA History S2'!B:B,A22)-L22</f>
        <v>37</v>
      </c>
      <c r="N22" s="75">
        <f>LOOKUP(2, 1/('BA History S2'!$B:$B=A22), 'BA History S2'!$AI:$AI)</f>
        <v>0.42812499999999998</v>
      </c>
      <c r="O22" s="34">
        <f>SUMIFS('BA History S2'!H:H,'BA History S2'!B:B,A22)</f>
        <v>123</v>
      </c>
      <c r="P22" s="2">
        <f>SUMIFS('BA History S2'!G:G,'BA History S2'!B:B,A22)-O22</f>
        <v>143</v>
      </c>
      <c r="Q22" s="89">
        <f>LOOKUP(2, 1/('BA History S2'!$B:$B=A22), 'BA History S2'!$AJ:$AJ)</f>
        <v>0.46499999999999997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4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4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8</v>
      </c>
      <c r="G23" s="66">
        <f>AVERAGEIFS('BA History S2'!C:C,'BA History S2'!B:B,A23)</f>
        <v>8</v>
      </c>
      <c r="H23" s="35">
        <f t="array" ref="H23">MAX(IF('BA History S2'!B:B=A23, 'BA History S2'!C:C))</f>
        <v>8</v>
      </c>
      <c r="I23" s="34">
        <f>COUNTIFS('BA History S2'!B:B,A23,'BA History S2'!D:D, 1)</f>
        <v>1</v>
      </c>
      <c r="J23" s="2">
        <f>COUNTIFS('BA History S2'!B:B,A23,'BA History S2'!D:D, 0)</f>
        <v>0</v>
      </c>
      <c r="K23" s="75">
        <f>LOOKUP(2, 1/('BA History S2'!$B:$B=A23), 'BA History S2'!$AK:$AK)</f>
        <v>1</v>
      </c>
      <c r="L23" s="34">
        <f>SUMIFS('BA History S2'!F:F,'BA History S2'!B:B,A23)</f>
        <v>3</v>
      </c>
      <c r="M23" s="2">
        <f>SUMIFS('BA History S2'!E:E,'BA History S2'!B:B,A23)-L23</f>
        <v>1</v>
      </c>
      <c r="N23" s="75">
        <f>LOOKUP(2, 1/('BA History S2'!$B:$B=A23), 'BA History S2'!$AI:$AI)</f>
        <v>0.75</v>
      </c>
      <c r="O23" s="34">
        <f>SUMIFS('BA History S2'!H:H,'BA History S2'!B:B,A23)</f>
        <v>10</v>
      </c>
      <c r="P23" s="2">
        <f>SUMIFS('BA History S2'!G:G,'BA History S2'!B:B,A23)-O23</f>
        <v>7</v>
      </c>
      <c r="Q23" s="89">
        <f>LOOKUP(2, 1/('BA History S2'!$B:$B=A23), 'BA History S2'!$AJ:$AJ)</f>
        <v>0.59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88</v>
      </c>
      <c r="G24" s="66">
        <f>AVERAGEIFS('BA History S2'!C:C,'BA History S2'!B:B,A24)</f>
        <v>8.8000000000000007</v>
      </c>
      <c r="H24" s="35">
        <f t="array" ref="H24">MAX(IF('BA History S2'!B:B=A24, 'BA History S2'!C:C))</f>
        <v>18</v>
      </c>
      <c r="I24" s="34">
        <f>COUNTIFS('BA History S2'!B:B,A24,'BA History S2'!D:D, 1)</f>
        <v>3</v>
      </c>
      <c r="J24" s="2">
        <f>COUNTIFS('BA History S2'!B:B,A24,'BA History S2'!D:D, 0)</f>
        <v>7</v>
      </c>
      <c r="K24" s="75">
        <f>LOOKUP(2, 1/('BA History S2'!$B:$B=A24), 'BA History S2'!$AK:$AK)</f>
        <v>0.3</v>
      </c>
      <c r="L24" s="34">
        <f>SUMIFS('BA History S2'!F:F,'BA History S2'!B:B,A24)</f>
        <v>16</v>
      </c>
      <c r="M24" s="2">
        <f>SUMIFS('BA History S2'!E:E,'BA History S2'!B:B,A24)-L24</f>
        <v>27</v>
      </c>
      <c r="N24" s="75">
        <f>LOOKUP(2, 1/('BA History S2'!$B:$B=A24), 'BA History S2'!$AI:$AI)</f>
        <v>0.33500000000000002</v>
      </c>
      <c r="O24" s="34">
        <f>SUMIFS('BA History S2'!H:H,'BA History S2'!B:B,A24)</f>
        <v>80</v>
      </c>
      <c r="P24" s="2">
        <f>SUMIFS('BA History S2'!G:G,'BA History S2'!B:B,A24)-O24</f>
        <v>103</v>
      </c>
      <c r="Q24" s="89">
        <f>LOOKUP(2, 1/('BA History S2'!$B:$B=A24), 'BA History S2'!$AJ:$AJ)</f>
        <v>0.42099999999999999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1</v>
      </c>
      <c r="AM24" s="2">
        <f>COUNTIFS('BA History S2'!$B:$B,$A$24,'BA History S2'!AF:AF, 1)</f>
        <v>0</v>
      </c>
      <c r="AN24" s="2">
        <f>COUNTIFS('BA History S2'!$B:$B,$A$24,'BA History S2'!AG:AG, 1)</f>
        <v>1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23</v>
      </c>
      <c r="G25" s="66">
        <f>AVERAGEIFS('BA History S2'!C:C,'BA History S2'!B:B,A25)</f>
        <v>23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1</v>
      </c>
      <c r="K25" s="75">
        <f>LOOKUP(2, 1/('BA History S2'!$B:$B=A25), 'BA History S2'!$AK:$AK)</f>
        <v>0</v>
      </c>
      <c r="L25" s="34">
        <f>SUMIFS('BA History S2'!F:F,'BA History S2'!B:B,A25)</f>
        <v>2</v>
      </c>
      <c r="M25" s="2">
        <f>SUMIFS('BA History S2'!E:E,'BA History S2'!B:B,A25)-L25</f>
        <v>3</v>
      </c>
      <c r="N25" s="75">
        <f>LOOKUP(2, 1/('BA History S2'!$B:$B=A25), 'BA History S2'!$AI:$AI)</f>
        <v>0.4</v>
      </c>
      <c r="O25" s="34">
        <f>SUMIFS('BA History S2'!H:H,'BA History S2'!B:B,A25)</f>
        <v>11</v>
      </c>
      <c r="P25" s="2">
        <f>SUMIFS('BA History S2'!G:G,'BA History S2'!B:B,A25)-O25</f>
        <v>11</v>
      </c>
      <c r="Q25" s="89">
        <f>LOOKUP(2, 1/('BA History S2'!$B:$B=A25), 'BA History S2'!$AJ:$AJ)</f>
        <v>0.5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37</v>
      </c>
      <c r="G26" s="66">
        <f>AVERAGEIFS('BA History S2'!C:C,'BA History S2'!B:B,A26)</f>
        <v>18.5</v>
      </c>
      <c r="H26" s="35">
        <f t="array" ref="H26">MAX(IF('BA History S2'!B:B=A26, 'BA History S2'!C:C))</f>
        <v>26</v>
      </c>
      <c r="I26" s="34">
        <f>COUNTIFS('BA History S2'!B:B,A26,'BA History S2'!D:D, 1)</f>
        <v>0</v>
      </c>
      <c r="J26" s="2">
        <f>COUNTIFS('BA History S2'!B:B,A26,'BA History S2'!D:D, 0)</f>
        <v>2</v>
      </c>
      <c r="K26" s="75">
        <f>LOOKUP(2, 1/('BA History S2'!$B:$B=A26), 'BA History S2'!$AK:$AK)</f>
        <v>0</v>
      </c>
      <c r="L26" s="34">
        <f>SUMIFS('BA History S2'!F:F,'BA History S2'!B:B,A26)</f>
        <v>2</v>
      </c>
      <c r="M26" s="2">
        <f>SUMIFS('BA History S2'!E:E,'BA History S2'!B:B,A26)-L26</f>
        <v>6</v>
      </c>
      <c r="N26" s="75">
        <f>LOOKUP(2, 1/('BA History S2'!$B:$B=A26), 'BA History S2'!$AI:$AI)</f>
        <v>0.2</v>
      </c>
      <c r="O26" s="34">
        <f>SUMIFS('BA History S2'!H:H,'BA History S2'!B:B,A26)</f>
        <v>16</v>
      </c>
      <c r="P26" s="2">
        <f>SUMIFS('BA History S2'!G:G,'BA History S2'!B:B,A26)-O26</f>
        <v>21</v>
      </c>
      <c r="Q26" s="89">
        <f>LOOKUP(2, 1/('BA History S2'!$B:$B=A26), 'BA History S2'!$AJ:$AJ)</f>
        <v>0.40500000000000003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186</v>
      </c>
      <c r="G27" s="66">
        <f>AVERAGEIFS('BA History S2'!C:C,'BA History S2'!B:B,A27)</f>
        <v>10.941176470588236</v>
      </c>
      <c r="H27" s="35">
        <f t="array" ref="H27">MAX(IF('BA History S2'!B:B=A27, 'BA History S2'!C:C))</f>
        <v>29</v>
      </c>
      <c r="I27" s="34">
        <f>COUNTIFS('BA History S2'!B:B,A27,'BA History S2'!D:D, 1)</f>
        <v>9</v>
      </c>
      <c r="J27" s="2">
        <f>COUNTIFS('BA History S2'!B:B,A27,'BA History S2'!D:D, 0)</f>
        <v>8</v>
      </c>
      <c r="K27" s="75">
        <f>LOOKUP(2, 1/('BA History S2'!$B:$B=A27), 'BA History S2'!$AK:$AK)</f>
        <v>0.52941176470588236</v>
      </c>
      <c r="L27" s="34">
        <f>SUMIFS('BA History S2'!F:F,'BA History S2'!B:B,A27)</f>
        <v>35</v>
      </c>
      <c r="M27" s="2">
        <f>SUMIFS('BA History S2'!E:E,'BA History S2'!B:B,A27)-L27</f>
        <v>35</v>
      </c>
      <c r="N27" s="75">
        <f>LOOKUP(2, 1/('BA History S2'!$B:$B=A27), 'BA History S2'!$AI:$AI)</f>
        <v>0.49117647058823527</v>
      </c>
      <c r="O27" s="34">
        <f>SUMIFS('BA History S2'!H:H,'BA History S2'!B:B,A27)</f>
        <v>146</v>
      </c>
      <c r="P27" s="2">
        <f>SUMIFS('BA History S2'!G:G,'BA History S2'!B:B,A27)-O27</f>
        <v>153</v>
      </c>
      <c r="Q27" s="89">
        <f>LOOKUP(2, 1/('BA History S2'!$B:$B=A27), 'BA History S2'!$AJ:$AJ)</f>
        <v>0.48882352941176466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4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4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/>
      <c r="D28" s="2"/>
      <c r="E28" s="2"/>
      <c r="F28" s="34">
        <f>SUMIFS('BA History S2'!C:C,'BA History S2'!B:B,A28)</f>
        <v>401</v>
      </c>
      <c r="G28" s="66">
        <f>AVERAGEIFS('BA History S2'!C:C,'BA History S2'!B:B,A28)</f>
        <v>18.227272727272727</v>
      </c>
      <c r="H28" s="35">
        <f t="array" ref="H28">MAX(IF('BA History S2'!B:B=A28, 'BA History S2'!C:C))</f>
        <v>38</v>
      </c>
      <c r="I28" s="34">
        <f>COUNTIFS('BA History S2'!B:B,A28,'BA History S2'!D:D, 1)</f>
        <v>9</v>
      </c>
      <c r="J28" s="2">
        <f>COUNTIFS('BA History S2'!B:B,A28,'BA History S2'!D:D, 0)</f>
        <v>13</v>
      </c>
      <c r="K28" s="75">
        <f>LOOKUP(2, 1/('BA History S2'!$B:$B=A28), 'BA History S2'!$AK:$AK)</f>
        <v>0.40909090909090912</v>
      </c>
      <c r="L28" s="34">
        <f>SUMIFS('BA History S2'!F:F,'BA History S2'!B:B,A28)</f>
        <v>39</v>
      </c>
      <c r="M28" s="2">
        <f>SUMIFS('BA History S2'!E:E,'BA History S2'!B:B,A28)-L28</f>
        <v>47</v>
      </c>
      <c r="N28" s="75">
        <f>LOOKUP(2, 1/('BA History S2'!$B:$B=A28), 'BA History S2'!$AI:$AI)</f>
        <v>0.45</v>
      </c>
      <c r="O28" s="34">
        <f>SUMIFS('BA History S2'!H:H,'BA History S2'!B:B,A28)</f>
        <v>180</v>
      </c>
      <c r="P28" s="2">
        <f>SUMIFS('BA History S2'!G:G,'BA History S2'!B:B,A28)-O28</f>
        <v>196</v>
      </c>
      <c r="Q28" s="89">
        <f>LOOKUP(2, 1/('BA History S2'!$B:$B=A28), 'BA History S2'!$AJ:$AJ)</f>
        <v>0.47363636363636363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3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7</v>
      </c>
      <c r="AK28" s="2">
        <f>COUNTIFS('BA History S2'!$B:$B,$A$28,'BA History S2'!AD:AD, 1)</f>
        <v>3</v>
      </c>
      <c r="AL28" s="2">
        <f>COUNTIFS('BA History S2'!$B:$B,$A$28,'BA History S2'!AE:AE, 1)</f>
        <v>2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606</v>
      </c>
      <c r="G29" s="66">
        <f>AVERAGEIFS('BA History S2'!C:C,'BA History S2'!B:B,A29)</f>
        <v>25.25</v>
      </c>
      <c r="H29" s="35">
        <f t="array" ref="H29">MAX(IF('BA History S2'!B:B=A29, 'BA History S2'!C:C))</f>
        <v>50</v>
      </c>
      <c r="I29" s="34">
        <f>COUNTIFS('BA History S2'!B:B,A29,'BA History S2'!D:D, 1)</f>
        <v>7</v>
      </c>
      <c r="J29" s="2">
        <f>COUNTIFS('BA History S2'!B:B,A29,'BA History S2'!D:D, 0)</f>
        <v>17</v>
      </c>
      <c r="K29" s="75">
        <f>LOOKUP(2, 1/('BA History S2'!$B:$B=A29), 'BA History S2'!$AK:$AK)</f>
        <v>0.29166666666666669</v>
      </c>
      <c r="L29" s="34">
        <f>SUMIFS('BA History S2'!F:F,'BA History S2'!B:B,A29)</f>
        <v>41</v>
      </c>
      <c r="M29" s="2">
        <f>SUMIFS('BA History S2'!E:E,'BA History S2'!B:B,A29)-L29</f>
        <v>57</v>
      </c>
      <c r="N29" s="75">
        <f>LOOKUP(2, 1/('BA History S2'!$B:$B=A29), 'BA History S2'!$AI:$AI)</f>
        <v>0.41666666666666669</v>
      </c>
      <c r="O29" s="34">
        <f>SUMIFS('BA History S2'!H:H,'BA History S2'!B:B,A29)</f>
        <v>207</v>
      </c>
      <c r="P29" s="2">
        <f>SUMIFS('BA History S2'!G:G,'BA History S2'!B:B,A29)-O29</f>
        <v>213</v>
      </c>
      <c r="Q29" s="89">
        <f>LOOKUP(2, 1/('BA History S2'!$B:$B=A29), 'BA History S2'!$AJ:$AJ)</f>
        <v>0.49083333333333329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3</v>
      </c>
      <c r="U29" s="2">
        <f>COUNTIFS('BA History S2'!$B:$B,$A$29,'BA History S2'!N:N, 1)</f>
        <v>3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2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2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7</v>
      </c>
      <c r="AK29" s="2">
        <f>COUNTIFS('BA History S2'!$B:$B,$A$29,'BA History S2'!AD:AD, 1)</f>
        <v>2</v>
      </c>
      <c r="AL29" s="2">
        <f>COUNTIFS('BA History S2'!$B:$B,$A$29,'BA History S2'!AE:AE, 1)</f>
        <v>5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537</v>
      </c>
      <c r="G30" s="66">
        <f>AVERAGEIFS('BA History S2'!C:C,'BA History S2'!B:B,A30)</f>
        <v>22.375</v>
      </c>
      <c r="H30" s="35">
        <f t="array" ref="H30">MAX(IF('BA History S2'!B:B=A30, 'BA History S2'!C:C))</f>
        <v>47</v>
      </c>
      <c r="I30" s="34">
        <f>COUNTIFS('BA History S2'!B:B,A30,'BA History S2'!D:D, 1)</f>
        <v>14</v>
      </c>
      <c r="J30" s="2">
        <f>COUNTIFS('BA History S2'!B:B,A30,'BA History S2'!D:D, 0)</f>
        <v>10</v>
      </c>
      <c r="K30" s="75">
        <f>LOOKUP(2, 1/('BA History S2'!$B:$B=A30), 'BA History S2'!$AK:$AK)</f>
        <v>0.58333333333333337</v>
      </c>
      <c r="L30" s="34">
        <f>SUMIFS('BA History S2'!F:F,'BA History S2'!B:B,A30)</f>
        <v>52</v>
      </c>
      <c r="M30" s="2">
        <f>SUMIFS('BA History S2'!E:E,'BA History S2'!B:B,A30)-L30</f>
        <v>43</v>
      </c>
      <c r="N30" s="75">
        <f>LOOKUP(2, 1/('BA History S2'!$B:$B=A30), 'BA History S2'!$AI:$AI)</f>
        <v>0.54791666666666672</v>
      </c>
      <c r="O30" s="34">
        <f>SUMIFS('BA History S2'!H:H,'BA History S2'!B:B,A30)</f>
        <v>206</v>
      </c>
      <c r="P30" s="2">
        <f>SUMIFS('BA History S2'!G:G,'BA History S2'!B:B,A30)-O30</f>
        <v>190</v>
      </c>
      <c r="Q30" s="89">
        <f>LOOKUP(2, 1/('BA History S2'!$B:$B=A30), 'BA History S2'!$AJ:$AJ)</f>
        <v>0.51999999999999991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2</v>
      </c>
      <c r="AL30" s="2">
        <f>COUNTIFS('BA History S2'!$B:$B,$A$30,'BA History S2'!AE:AE, 1)</f>
        <v>3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444</v>
      </c>
      <c r="G31" s="66">
        <f>AVERAGEIFS('BA History S2'!C:C,'BA History S2'!B:B,A31)</f>
        <v>18.5</v>
      </c>
      <c r="H31" s="35">
        <f t="array" ref="H31">MAX(IF('BA History S2'!B:B=A31, 'BA History S2'!C:C))</f>
        <v>37</v>
      </c>
      <c r="I31" s="34">
        <f>COUNTIFS('BA History S2'!B:B,A31,'BA History S2'!D:D, 1)</f>
        <v>11</v>
      </c>
      <c r="J31" s="2">
        <f>COUNTIFS('BA History S2'!B:B,A31,'BA History S2'!D:D, 0)</f>
        <v>13</v>
      </c>
      <c r="K31" s="75">
        <f>LOOKUP(2, 1/('BA History S2'!$B:$B=A31), 'BA History S2'!$AK:$AK)</f>
        <v>0.45833333333333331</v>
      </c>
      <c r="L31" s="34">
        <f>SUMIFS('BA History S2'!F:F,'BA History S2'!B:B,A31)</f>
        <v>47</v>
      </c>
      <c r="M31" s="2">
        <f>SUMIFS('BA History S2'!E:E,'BA History S2'!B:B,A31)-L31</f>
        <v>52</v>
      </c>
      <c r="N31" s="75">
        <f>LOOKUP(2, 1/('BA History S2'!$B:$B=A31), 'BA History S2'!$AI:$AI)</f>
        <v>0.4645833333333334</v>
      </c>
      <c r="O31" s="34">
        <f>SUMIFS('BA History S2'!H:H,'BA History S2'!B:B,A31)</f>
        <v>201</v>
      </c>
      <c r="P31" s="2">
        <f>SUMIFS('BA History S2'!G:G,'BA History S2'!B:B,A31)-O31</f>
        <v>213</v>
      </c>
      <c r="Q31" s="89">
        <f>LOOKUP(2, 1/('BA History S2'!$B:$B=A31), 'BA History S2'!$AJ:$AJ)</f>
        <v>0.48333333333333339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6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8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481</v>
      </c>
      <c r="G33" s="66">
        <f>AVERAGEIFS('BA History S2'!C:C,'BA History S2'!B:B,A33)</f>
        <v>20.041666666666668</v>
      </c>
      <c r="H33" s="35">
        <f t="array" ref="H33">MAX(IF('BA History S2'!B:B=A33, 'BA History S2'!C:C))</f>
        <v>43</v>
      </c>
      <c r="I33" s="34">
        <f>COUNTIFS('BA History S2'!B:B,A33,'BA History S2'!D:D, 1)</f>
        <v>15</v>
      </c>
      <c r="J33" s="2">
        <f>COUNTIFS('BA History S2'!B:B,A33,'BA History S2'!D:D, 0)</f>
        <v>9</v>
      </c>
      <c r="K33" s="75">
        <f>LOOKUP(2, 1/('BA History S2'!$B:$B=A33), 'BA History S2'!$AK:$AK)</f>
        <v>0.625</v>
      </c>
      <c r="L33" s="34">
        <f>SUMIFS('BA History S2'!F:F,'BA History S2'!B:B,A33)</f>
        <v>51</v>
      </c>
      <c r="M33" s="2">
        <f>SUMIFS('BA History S2'!E:E,'BA History S2'!B:B,A33)-L33</f>
        <v>47</v>
      </c>
      <c r="N33" s="75">
        <f>LOOKUP(2, 1/('BA History S2'!$B:$B=A33), 'BA History S2'!$AI:$AI)</f>
        <v>0.50416666666666665</v>
      </c>
      <c r="O33" s="34">
        <f>SUMIFS('BA History S2'!H:H,'BA History S2'!B:B,A33)</f>
        <v>212</v>
      </c>
      <c r="P33" s="2">
        <f>SUMIFS('BA History S2'!G:G,'BA History S2'!B:B,A33)-O33</f>
        <v>209</v>
      </c>
      <c r="Q33" s="89">
        <f>LOOKUP(2, 1/('BA History S2'!$B:$B=A33), 'BA History S2'!$AJ:$AJ)</f>
        <v>0.49791666666666679</v>
      </c>
      <c r="R33" s="2">
        <f>COUNTIFS('BA History S2'!$B:$B,$A$33,'BA History S2'!K:K, 1)</f>
        <v>4</v>
      </c>
      <c r="S33" s="2">
        <f>COUNTIFS('BA History S2'!$B:$B,$A$33,'BA History S2'!L:L, 1)</f>
        <v>1</v>
      </c>
      <c r="T33" s="2">
        <f>COUNTIFS('BA History S2'!$B:$B,$A$33,'BA History S2'!M:M, 1)</f>
        <v>2</v>
      </c>
      <c r="U33" s="2">
        <f>COUNTIFS('BA History S2'!$B:$B,$A$33,'BA History S2'!N:N, 1)</f>
        <v>6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4</v>
      </c>
      <c r="AG33" s="2">
        <f>COUNTIFS('BA History S2'!$B:$B,$A$33,'BA History S2'!Z:Z, 1)</f>
        <v>5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9</v>
      </c>
      <c r="AK33" s="2">
        <f>COUNTIFS('BA History S2'!$B:$B,$A$33,'BA History S2'!AD:AD, 1)</f>
        <v>3</v>
      </c>
      <c r="AL33" s="2">
        <f>COUNTIFS('BA History S2'!$B:$B,$A$33,'BA History S2'!AE:AE, 1)</f>
        <v>5</v>
      </c>
      <c r="AM33" s="2">
        <f>COUNTIFS('BA History S2'!$B:$B,$A$33,'BA History S2'!AF:AF, 1)</f>
        <v>1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515</v>
      </c>
      <c r="G34" s="66">
        <f>AVERAGEIFS('BA History S2'!C:C,'BA History S2'!B:B,A34)</f>
        <v>19.074074074074073</v>
      </c>
      <c r="H34" s="35">
        <f t="array" ref="H34">MAX(IF('BA History S2'!B:B=A34, 'BA History S2'!C:C))</f>
        <v>37</v>
      </c>
      <c r="I34" s="34">
        <f>COUNTIFS('BA History S2'!B:B,A34,'BA History S2'!D:D, 1)</f>
        <v>11</v>
      </c>
      <c r="J34" s="2">
        <f>COUNTIFS('BA History S2'!B:B,A34,'BA History S2'!D:D, 0)</f>
        <v>16</v>
      </c>
      <c r="K34" s="75">
        <f>LOOKUP(2, 1/('BA History S2'!$B:$B=A34), 'BA History S2'!$AK:$AK)</f>
        <v>0.40740740740740738</v>
      </c>
      <c r="L34" s="34">
        <f>SUMIFS('BA History S2'!F:F,'BA History S2'!B:B,A34)</f>
        <v>51</v>
      </c>
      <c r="M34" s="2">
        <f>SUMIFS('BA History S2'!E:E,'BA History S2'!B:B,A34)-L34</f>
        <v>60</v>
      </c>
      <c r="N34" s="75">
        <f>LOOKUP(2, 1/('BA History S2'!$B:$B=A34), 'BA History S2'!$AI:$AI)</f>
        <v>0.45185185185185189</v>
      </c>
      <c r="O34" s="34">
        <f>SUMIFS('BA History S2'!H:H,'BA History S2'!B:B,A34)</f>
        <v>224</v>
      </c>
      <c r="P34" s="2">
        <f>SUMIFS('BA History S2'!G:G,'BA History S2'!B:B,A34)-O34</f>
        <v>240</v>
      </c>
      <c r="Q34" s="89">
        <f>LOOKUP(2, 1/('BA History S2'!$B:$B=A34), 'BA History S2'!$AJ:$AJ)</f>
        <v>0.47703703703703698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5</v>
      </c>
      <c r="U34" s="2">
        <f>COUNTIFS('BA History S2'!$B:$B,$A$34,'BA History S2'!N:N, 1)</f>
        <v>5</v>
      </c>
      <c r="V34" s="2">
        <f>COUNTIFS('BA History S2'!$B:$B,$A$34,'BA History S2'!O:O, 1)</f>
        <v>1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0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3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7</v>
      </c>
      <c r="AM34" s="2">
        <f>COUNTIFS('BA History S2'!$B:$B,$A$34,'BA History S2'!AF:AF, 1)</f>
        <v>0</v>
      </c>
      <c r="AN34" s="2">
        <f>COUNTIFS('BA History S2'!$B:$B,$A$34,'BA History S2'!AG:AG, 1)</f>
        <v>5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/>
      <c r="D36" s="2"/>
      <c r="E36" s="2"/>
      <c r="F36" s="34">
        <f>SUMIFS('BA History S2'!C:C,'BA History S2'!B:B,A36)</f>
        <v>457</v>
      </c>
      <c r="G36" s="66">
        <f>AVERAGEIFS('BA History S2'!C:C,'BA History S2'!B:B,A36)</f>
        <v>17.576923076923077</v>
      </c>
      <c r="H36" s="35">
        <f t="array" ref="H36">MAX(IF('BA History S2'!B:B=A36, 'BA History S2'!C:C))</f>
        <v>28</v>
      </c>
      <c r="I36" s="34">
        <f>COUNTIFS('BA History S2'!B:B,A36,'BA History S2'!D:D, 1)</f>
        <v>15</v>
      </c>
      <c r="J36" s="2">
        <f>COUNTIFS('BA History S2'!B:B,A36,'BA History S2'!D:D, 0)</f>
        <v>11</v>
      </c>
      <c r="K36" s="75">
        <f>LOOKUP(2, 1/('BA History S2'!$B:$B=A36), 'BA History S2'!$AK:$AK)</f>
        <v>0.57692307692307687</v>
      </c>
      <c r="L36" s="34">
        <f>SUMIFS('BA History S2'!F:F,'BA History S2'!B:B,A36)</f>
        <v>61</v>
      </c>
      <c r="M36" s="2">
        <f>SUMIFS('BA History S2'!E:E,'BA History S2'!B:B,A36)-L36</f>
        <v>50</v>
      </c>
      <c r="N36" s="75">
        <f>LOOKUP(2, 1/('BA History S2'!$B:$B=A36), 'BA History S2'!$AI:$AI)</f>
        <v>0.56730769230769229</v>
      </c>
      <c r="O36" s="34">
        <f>SUMIFS('BA History S2'!H:H,'BA History S2'!B:B,A36)</f>
        <v>250</v>
      </c>
      <c r="P36" s="2">
        <f>SUMIFS('BA History S2'!G:G,'BA History S2'!B:B,A36)-O36</f>
        <v>222</v>
      </c>
      <c r="Q36" s="89">
        <f>LOOKUP(2, 1/('BA History S2'!$B:$B=A36), 'BA History S2'!$AJ:$AJ)</f>
        <v>0.53846153846153844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4</v>
      </c>
      <c r="U36" s="2">
        <f>COUNTIFS('BA History S2'!$B:$B,$A$36,'BA History S2'!N:N, 1)</f>
        <v>4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1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3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6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334</v>
      </c>
      <c r="G37" s="66">
        <f>AVERAGEIFS('BA History S2'!C:C,'BA History S2'!B:B,A37)</f>
        <v>18.555555555555557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6</v>
      </c>
      <c r="K37" s="75">
        <f>LOOKUP(2, 1/('BA History S2'!$B:$B=A37), 'BA History S2'!$AK:$AK)</f>
        <v>0.66666666666666663</v>
      </c>
      <c r="L37" s="34">
        <f>SUMIFS('BA History S2'!F:F,'BA History S2'!B:B,A37)</f>
        <v>41</v>
      </c>
      <c r="M37" s="2">
        <f>SUMIFS('BA History S2'!E:E,'BA History S2'!B:B,A37)-L37</f>
        <v>29</v>
      </c>
      <c r="N37" s="75">
        <f>LOOKUP(2, 1/('BA History S2'!$B:$B=A37), 'BA History S2'!$AI:$AI)</f>
        <v>0.59444444444444444</v>
      </c>
      <c r="O37" s="34">
        <f>SUMIFS('BA History S2'!H:H,'BA History S2'!B:B,A37)</f>
        <v>154</v>
      </c>
      <c r="P37" s="2">
        <f>SUMIFS('BA History S2'!G:G,'BA History S2'!B:B,A37)-O37</f>
        <v>137</v>
      </c>
      <c r="Q37" s="89">
        <f>LOOKUP(2, 1/('BA History S2'!$B:$B=A37), 'BA History S2'!$AJ:$AJ)</f>
        <v>0.52555555555555555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929</v>
      </c>
      <c r="G38" s="66">
        <f>AVERAGEIFS('BA History S2'!C:C,'BA History S2'!B:B,A38)</f>
        <v>25.108108108108109</v>
      </c>
      <c r="H38" s="35">
        <f t="array" ref="H38">MAX(IF('BA History S2'!B:B=A38, 'BA History S2'!C:C))</f>
        <v>42</v>
      </c>
      <c r="I38" s="34">
        <f>COUNTIFS('BA History S2'!B:B,A38,'BA History S2'!D:D, 1)</f>
        <v>24</v>
      </c>
      <c r="J38" s="2">
        <f>COUNTIFS('BA History S2'!B:B,A38,'BA History S2'!D:D, 0)</f>
        <v>13</v>
      </c>
      <c r="K38" s="75">
        <f>LOOKUP(2, 1/('BA History S2'!$B:$B=A38), 'BA History S2'!$AK:$AK)</f>
        <v>0.64864864864864868</v>
      </c>
      <c r="L38" s="34">
        <f>SUMIFS('BA History S2'!F:F,'BA History S2'!B:B,A38)</f>
        <v>86</v>
      </c>
      <c r="M38" s="2">
        <f>SUMIFS('BA History S2'!E:E,'BA History S2'!B:B,A38)-L38</f>
        <v>63</v>
      </c>
      <c r="N38" s="75">
        <f>LOOKUP(2, 1/('BA History S2'!$B:$B=A38), 'BA History S2'!$AI:$AI)</f>
        <v>0.58918918918918917</v>
      </c>
      <c r="O38" s="34">
        <f>SUMIFS('BA History S2'!H:H,'BA History S2'!B:B,A38)</f>
        <v>335</v>
      </c>
      <c r="P38" s="2">
        <f>SUMIFS('BA History S2'!G:G,'BA History S2'!B:B,A38)-O38</f>
        <v>294</v>
      </c>
      <c r="Q38" s="89">
        <f>LOOKUP(2, 1/('BA History S2'!$B:$B=A38), 'BA History S2'!$AJ:$AJ)</f>
        <v>0.5354054054054056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3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3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10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13</v>
      </c>
      <c r="AK38" s="2">
        <f>COUNTIFS('BA History S2'!$B:$B,$A$38,'BA History S2'!AD:AD, 1)</f>
        <v>5</v>
      </c>
      <c r="AL38" s="2">
        <f>COUNTIFS('BA History S2'!$B:$B,$A$38,'BA History S2'!AE:AE, 1)</f>
        <v>4</v>
      </c>
      <c r="AM38" s="2">
        <f>COUNTIFS('BA History S2'!$B:$B,$A$38,'BA History S2'!AF:AF, 1)</f>
        <v>1</v>
      </c>
      <c r="AN38" s="2">
        <f>COUNTIFS('BA History S2'!$B:$B,$A$38,'BA History S2'!AG:AG, 1)</f>
        <v>9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96</v>
      </c>
      <c r="G39" s="66">
        <f>AVERAGEIFS('BA History S2'!C:C,'BA History S2'!B:B,A39)</f>
        <v>19.2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3</v>
      </c>
      <c r="K39" s="75">
        <f>LOOKUP(2, 1/('BA History S2'!$B:$B=A39), 'BA History S2'!$AK:$AK)</f>
        <v>0.4</v>
      </c>
      <c r="L39" s="34">
        <f>SUMIFS('BA History S2'!F:F,'BA History S2'!B:B,A39)</f>
        <v>8</v>
      </c>
      <c r="M39" s="2">
        <f>SUMIFS('BA History S2'!E:E,'BA History S2'!B:B,A39)-L39</f>
        <v>9</v>
      </c>
      <c r="N39" s="75">
        <f>LOOKUP(2, 1/('BA History S2'!$B:$B=A39), 'BA History S2'!$AI:$AI)</f>
        <v>0.5</v>
      </c>
      <c r="O39" s="34">
        <f>SUMIFS('BA History S2'!H:H,'BA History S2'!B:B,A39)</f>
        <v>37</v>
      </c>
      <c r="P39" s="2">
        <f>SUMIFS('BA History S2'!G:G,'BA History S2'!B:B,A39)-O39</f>
        <v>39</v>
      </c>
      <c r="Q39" s="89">
        <f>LOOKUP(2, 1/('BA History S2'!$B:$B=A39), 'BA History S2'!$AJ:$AJ)</f>
        <v>0.502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1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1</v>
      </c>
      <c r="D41" s="2">
        <v>2</v>
      </c>
      <c r="E41" s="2"/>
      <c r="F41" s="34">
        <f>SUMIFS('BA History S2'!C:C,'BA History S2'!B:B,A41)</f>
        <v>548</v>
      </c>
      <c r="G41" s="66">
        <f>AVERAGEIFS('BA History S2'!C:C,'BA History S2'!B:B,A41)</f>
        <v>20.296296296296298</v>
      </c>
      <c r="H41" s="35">
        <f t="array" ref="H41">MAX(IF('BA History S2'!B:B=A41, 'BA History S2'!C:C))</f>
        <v>36</v>
      </c>
      <c r="I41" s="34">
        <f>COUNTIFS('BA History S2'!B:B,A41,'BA History S2'!D:D, 1)</f>
        <v>16</v>
      </c>
      <c r="J41" s="2">
        <f>COUNTIFS('BA History S2'!B:B,A41,'BA History S2'!D:D, 0)</f>
        <v>11</v>
      </c>
      <c r="K41" s="75">
        <f>LOOKUP(2, 1/('BA History S2'!$B:$B=A41), 'BA History S2'!$AK:$AK)</f>
        <v>0.59259259259259256</v>
      </c>
      <c r="L41" s="34">
        <f>SUMIFS('BA History S2'!F:F,'BA History S2'!B:B,A41)</f>
        <v>63</v>
      </c>
      <c r="M41" s="2">
        <f>SUMIFS('BA History S2'!E:E,'BA History S2'!B:B,A41)-L41</f>
        <v>49</v>
      </c>
      <c r="N41" s="75">
        <f>LOOKUP(2, 1/('BA History S2'!$B:$B=A41), 'BA History S2'!$AI:$AI)</f>
        <v>0.57962962962962961</v>
      </c>
      <c r="O41" s="34">
        <f>SUMIFS('BA History S2'!H:H,'BA History S2'!B:B,A41)</f>
        <v>251</v>
      </c>
      <c r="P41" s="2">
        <f>SUMIFS('BA History S2'!G:G,'BA History S2'!B:B,A41)-O41</f>
        <v>227</v>
      </c>
      <c r="Q41" s="89">
        <f>LOOKUP(2, 1/('BA History S2'!$B:$B=A41), 'BA History S2'!$AJ:$AJ)</f>
        <v>0.54518518518518522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5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1</v>
      </c>
      <c r="Y41" s="2">
        <f>COUNTIFS('BA History S2'!$B:$B,$A$41,'BA History S2'!R:R, 1)</f>
        <v>1</v>
      </c>
      <c r="Z41" s="2">
        <f>COUNTIFS('BA History S2'!$B:$B,$A$41,'BA History S2'!S:S, 1)</f>
        <v>1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4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1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106</v>
      </c>
      <c r="G42" s="66">
        <f>AVERAGEIFS('BA History S2'!C:C,'BA History S2'!B:B,A42)</f>
        <v>13.25</v>
      </c>
      <c r="H42" s="35">
        <f t="array" ref="H42">MAX(IF('BA History S2'!B:B=A42, 'BA History S2'!C:C))</f>
        <v>21</v>
      </c>
      <c r="I42" s="34">
        <f>COUNTIFS('BA History S2'!B:B,A42,'BA History S2'!D:D, 1)</f>
        <v>5</v>
      </c>
      <c r="J42" s="2">
        <f>COUNTIFS('BA History S2'!B:B,A42,'BA History S2'!D:D, 0)</f>
        <v>3</v>
      </c>
      <c r="K42" s="75">
        <f>LOOKUP(2, 1/('BA History S2'!$B:$B=A42), 'BA History S2'!$AK:$AK)</f>
        <v>0.625</v>
      </c>
      <c r="L42" s="34">
        <f>SUMIFS('BA History S2'!F:F,'BA History S2'!B:B,A42)</f>
        <v>17</v>
      </c>
      <c r="M42" s="2">
        <f>SUMIFS('BA History S2'!E:E,'BA History S2'!B:B,A42)-L42</f>
        <v>15</v>
      </c>
      <c r="N42" s="75">
        <f>LOOKUP(2, 1/('BA History S2'!$B:$B=A42), 'BA History S2'!$AI:$AI)</f>
        <v>0.52500000000000002</v>
      </c>
      <c r="O42" s="34">
        <f>SUMIFS('BA History S2'!H:H,'BA History S2'!B:B,A42)</f>
        <v>67</v>
      </c>
      <c r="P42" s="2">
        <f>SUMIFS('BA History S2'!G:G,'BA History S2'!B:B,A42)-O42</f>
        <v>67</v>
      </c>
      <c r="Q42" s="89">
        <f>LOOKUP(2, 1/('BA History S2'!$B:$B=A42), 'BA History S2'!$AJ:$AJ)</f>
        <v>0.47624999999999995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2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0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563</v>
      </c>
      <c r="G44" s="66">
        <f>AVERAGEIFS('BA History S2'!C:C,'BA History S2'!B:B,A44)</f>
        <v>25.59090909090909</v>
      </c>
      <c r="H44" s="35">
        <f t="array" ref="H44">MAX(IF('BA History S2'!B:B=A44, 'BA History S2'!C:C))</f>
        <v>43</v>
      </c>
      <c r="I44" s="34">
        <f>COUNTIFS('BA History S2'!B:B,A44,'BA History S2'!D:D, 1)</f>
        <v>14</v>
      </c>
      <c r="J44" s="2">
        <f>COUNTIFS('BA History S2'!B:B,A44,'BA History S2'!D:D, 0)</f>
        <v>8</v>
      </c>
      <c r="K44" s="75">
        <f>LOOKUP(2, 1/('BA History S2'!$B:$B=A44), 'BA History S2'!$AK:$AK)</f>
        <v>0.63636363636363635</v>
      </c>
      <c r="L44" s="34">
        <f>SUMIFS('BA History S2'!F:F,'BA History S2'!B:B,A44)</f>
        <v>50</v>
      </c>
      <c r="M44" s="2">
        <f>SUMIFS('BA History S2'!E:E,'BA History S2'!B:B,A44)-L44</f>
        <v>42</v>
      </c>
      <c r="N44" s="75">
        <f>LOOKUP(2, 1/('BA History S2'!$B:$B=A44), 'BA History S2'!$AI:$AI)</f>
        <v>0.54545454545454541</v>
      </c>
      <c r="O44" s="34">
        <f>SUMIFS('BA History S2'!H:H,'BA History S2'!B:B,A44)</f>
        <v>202</v>
      </c>
      <c r="P44" s="2">
        <f>SUMIFS('BA History S2'!G:G,'BA History S2'!B:B,A44)-O44</f>
        <v>190</v>
      </c>
      <c r="Q44" s="89">
        <f>LOOKUP(2, 1/('BA History S2'!$B:$B=A44), 'BA History S2'!$AJ:$AJ)</f>
        <v>0.51590909090909087</v>
      </c>
      <c r="R44" s="2">
        <f>COUNTIFS('BA History S2'!$B:$B,$A$44,'BA History S2'!K:K, 1)</f>
        <v>4</v>
      </c>
      <c r="S44" s="2">
        <f>COUNTIFS('BA History S2'!$B:$B,$A$44,'BA History S2'!L:L, 1)</f>
        <v>4</v>
      </c>
      <c r="T44" s="2">
        <f>COUNTIFS('BA History S2'!$B:$B,$A$44,'BA History S2'!M:M, 1)</f>
        <v>5</v>
      </c>
      <c r="U44" s="2">
        <f>COUNTIFS('BA History S2'!$B:$B,$A$44,'BA History S2'!N:N, 1)</f>
        <v>4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0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1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3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4</v>
      </c>
      <c r="AL44" s="2">
        <f>COUNTIFS('BA History S2'!$B:$B,$A$44,'BA History S2'!AE:AE, 1)</f>
        <v>2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424</v>
      </c>
      <c r="G45" s="66">
        <f>AVERAGEIFS('BA History S2'!C:C,'BA History S2'!B:B,A45)</f>
        <v>15.703703703703704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13</v>
      </c>
      <c r="K45" s="75">
        <f>LOOKUP(2, 1/('BA History S2'!$B:$B=A45), 'BA History S2'!$AK:$AK)</f>
        <v>0.51851851851851849</v>
      </c>
      <c r="L45" s="34">
        <f>SUMIFS('BA History S2'!F:F,'BA History S2'!B:B,A45)</f>
        <v>51</v>
      </c>
      <c r="M45" s="2">
        <f>SUMIFS('BA History S2'!E:E,'BA History S2'!B:B,A45)-L45</f>
        <v>56</v>
      </c>
      <c r="N45" s="75">
        <f>LOOKUP(2, 1/('BA History S2'!$B:$B=A45), 'BA History S2'!$AI:$AI)</f>
        <v>0.4592592592592592</v>
      </c>
      <c r="O45" s="34">
        <f>SUMIFS('BA History S2'!H:H,'BA History S2'!B:B,A45)</f>
        <v>218</v>
      </c>
      <c r="P45" s="2">
        <f>SUMIFS('BA History S2'!G:G,'BA History S2'!B:B,A45)-O45</f>
        <v>227</v>
      </c>
      <c r="Q45" s="89">
        <f>LOOKUP(2, 1/('BA History S2'!$B:$B=A45), 'BA History S2'!$AJ:$AJ)</f>
        <v>0.48148148148148145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8</v>
      </c>
      <c r="U45" s="2">
        <f>COUNTIFS('BA History S2'!$B:$B,$A$45,'BA History S2'!N:N, 1)</f>
        <v>3</v>
      </c>
      <c r="V45" s="2">
        <f>COUNTIFS('BA History S2'!$B:$B,$A$45,'BA History S2'!O:O, 1)</f>
        <v>2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614"/>
  <sheetViews>
    <sheetView workbookViewId="0">
      <pane xSplit="2" ySplit="1" topLeftCell="M594" activePane="bottomRight" state="frozen"/>
      <selection pane="topRight" activeCell="C1" sqref="C1"/>
      <selection pane="bottomLeft" activeCell="A2" sqref="A2"/>
      <selection pane="bottomRight" activeCell="AC619" sqref="AC61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tabSelected="1" workbookViewId="0">
      <selection activeCell="A21" sqref="A21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17</v>
      </c>
      <c r="C10" s="1" t="s">
        <v>235</v>
      </c>
      <c r="D10" s="1">
        <f t="shared" si="0"/>
        <v>1</v>
      </c>
      <c r="E10" s="100">
        <f t="shared" si="1"/>
        <v>17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14.5</v>
      </c>
      <c r="C20" s="1" t="s">
        <v>235</v>
      </c>
      <c r="D20" s="1">
        <f t="shared" si="0"/>
        <v>1</v>
      </c>
      <c r="E20" s="100">
        <f t="shared" si="1"/>
        <v>14.5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17.5</v>
      </c>
      <c r="C27" s="1" t="s">
        <v>234</v>
      </c>
      <c r="D27" s="1">
        <f t="shared" si="0"/>
        <v>0.5</v>
      </c>
      <c r="E27" s="100">
        <f t="shared" si="1"/>
        <v>15.3125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18</v>
      </c>
      <c r="C29" s="1" t="s">
        <v>233</v>
      </c>
      <c r="D29" s="1">
        <f t="shared" si="0"/>
        <v>0.25</v>
      </c>
      <c r="E29" s="100">
        <f t="shared" si="1"/>
        <v>14.625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</v>
      </c>
      <c r="C35" s="1" t="s">
        <v>233</v>
      </c>
      <c r="D35" s="1">
        <f t="shared" si="2"/>
        <v>0.25</v>
      </c>
      <c r="E35" s="100">
        <f t="shared" si="1"/>
        <v>10.5625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10</v>
      </c>
      <c r="C50" s="1" t="s">
        <v>233</v>
      </c>
      <c r="D50" s="1">
        <f t="shared" si="2"/>
        <v>0.25</v>
      </c>
      <c r="E50" s="100">
        <f t="shared" si="1"/>
        <v>8.125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2026-05-30T14:06:06Z</dcterms:modified>
</cp:coreProperties>
</file>