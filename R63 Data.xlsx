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9AADAB32-3429-43E1-AF48-A8F3DA48817E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History'!$A$1:$AJ$889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2'!$A$1:$AG$41</definedName>
    <definedName name="_xlnm._FilterDatabase" localSheetId="4" hidden="1">'Old Bow'!$A$1:$AD$37</definedName>
    <definedName name="_xlnm._FilterDatabase" localSheetId="0" hidden="1">'Old Bow v2'!$A$1:$AG$50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86" i="17" l="1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R28" i="13"/>
  <c r="F28" i="13"/>
  <c r="G28" i="13"/>
  <c r="H28" i="13" a="1"/>
  <c r="H28" i="13" s="1"/>
  <c r="I28" i="13"/>
  <c r="J28" i="13"/>
  <c r="K28" i="13"/>
  <c r="L28" i="13"/>
  <c r="M28" i="13" s="1"/>
  <c r="N28" i="13"/>
  <c r="O28" i="13"/>
  <c r="P28" i="13" s="1"/>
  <c r="Q28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R29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R34" i="13"/>
  <c r="F34" i="13"/>
  <c r="G34" i="13"/>
  <c r="H34" i="13" a="1"/>
  <c r="H34" i="13" s="1"/>
  <c r="I34" i="13"/>
  <c r="J34" i="13"/>
  <c r="K34" i="13"/>
  <c r="L34" i="13"/>
  <c r="M34" i="13" s="1"/>
  <c r="N34" i="13"/>
  <c r="O34" i="13"/>
  <c r="P34" i="13" s="1"/>
  <c r="Q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K42" i="11"/>
  <c r="L42" i="11"/>
  <c r="M42" i="11" s="1"/>
  <c r="N42" i="11"/>
  <c r="O42" i="11"/>
  <c r="P42" i="11" s="1"/>
  <c r="Q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R40" i="13"/>
  <c r="F40" i="13"/>
  <c r="G40" i="13"/>
  <c r="H40" i="13" a="1"/>
  <c r="H40" i="13" s="1"/>
  <c r="I40" i="13"/>
  <c r="J40" i="13"/>
  <c r="K40" i="13"/>
  <c r="L40" i="13"/>
  <c r="M40" i="13" s="1"/>
  <c r="N40" i="13"/>
  <c r="O40" i="13"/>
  <c r="P40" i="13" s="1"/>
  <c r="Q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F29" i="13"/>
  <c r="G29" i="13"/>
  <c r="H29" i="13" a="1"/>
  <c r="H29" i="13" s="1"/>
  <c r="I29" i="13"/>
  <c r="J29" i="13"/>
  <c r="K29" i="13"/>
  <c r="L29" i="13"/>
  <c r="M29" i="13" s="1"/>
  <c r="N29" i="13"/>
  <c r="O29" i="13"/>
  <c r="P29" i="13" s="1"/>
  <c r="Q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R42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R4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L31" i="13"/>
  <c r="M31" i="13" s="1"/>
  <c r="O31" i="13"/>
  <c r="P31" i="13" s="1"/>
  <c r="R31" i="13"/>
  <c r="S31" i="13"/>
  <c r="T31" i="13"/>
  <c r="U31" i="13"/>
  <c r="V31" i="13"/>
  <c r="W31" i="13"/>
  <c r="X31" i="13"/>
  <c r="Y31" i="13"/>
  <c r="Z31" i="13"/>
  <c r="AA31" i="13"/>
  <c r="AB31" i="13"/>
  <c r="AC31" i="13"/>
  <c r="F32" i="13"/>
  <c r="G32" i="13"/>
  <c r="H32" i="13" a="1"/>
  <c r="H32" i="13" s="1"/>
  <c r="I32" i="13"/>
  <c r="J32" i="13"/>
  <c r="L32" i="13"/>
  <c r="M32" i="13" s="1"/>
  <c r="O32" i="13"/>
  <c r="P32" i="13" s="1"/>
  <c r="R32" i="13"/>
  <c r="S32" i="13"/>
  <c r="T32" i="13"/>
  <c r="U32" i="13"/>
  <c r="V32" i="13"/>
  <c r="W32" i="13"/>
  <c r="X32" i="13"/>
  <c r="Y32" i="13"/>
  <c r="Z32" i="13"/>
  <c r="AA32" i="13"/>
  <c r="AB32" i="13"/>
  <c r="AC32" i="13"/>
  <c r="F33" i="13"/>
  <c r="G33" i="13"/>
  <c r="H33" i="13" a="1"/>
  <c r="H33" i="13" s="1"/>
  <c r="I33" i="13"/>
  <c r="J33" i="13"/>
  <c r="K33" i="13"/>
  <c r="L33" i="13"/>
  <c r="M33" i="13" s="1"/>
  <c r="N33" i="13"/>
  <c r="O33" i="13"/>
  <c r="P33" i="13" s="1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42" i="13"/>
  <c r="G42" i="13"/>
  <c r="H42" i="13" a="1"/>
  <c r="H42" i="13" s="1"/>
  <c r="I42" i="13"/>
  <c r="J42" i="13"/>
  <c r="K42" i="13"/>
  <c r="L42" i="13"/>
  <c r="M42" i="13" s="1"/>
  <c r="N42" i="13"/>
  <c r="O42" i="13"/>
  <c r="P42" i="13" s="1"/>
  <c r="Q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31" i="13" s="1"/>
  <c r="AC53" i="15"/>
  <c r="Q31" i="13" s="1"/>
  <c r="AD53" i="15"/>
  <c r="K31" i="13" s="1"/>
  <c r="AA54" i="15"/>
  <c r="AB54" i="15"/>
  <c r="N32" i="13" s="1"/>
  <c r="AC54" i="15"/>
  <c r="Q32" i="13" s="1"/>
  <c r="AD54" i="15"/>
  <c r="K32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30" i="13"/>
  <c r="AE30" i="13"/>
  <c r="AF30" i="13"/>
  <c r="AG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30" i="13" s="1"/>
  <c r="AC31" i="15"/>
  <c r="Q30" i="13" s="1"/>
  <c r="AD31" i="15"/>
  <c r="K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31" i="13"/>
  <c r="AE31" i="13"/>
  <c r="AF31" i="13"/>
  <c r="AG31" i="13"/>
  <c r="AD32" i="13"/>
  <c r="AE32" i="13"/>
  <c r="AF32" i="13"/>
  <c r="AG32" i="13"/>
  <c r="AD33" i="13"/>
  <c r="AE33" i="13"/>
  <c r="AF33" i="13"/>
  <c r="AG33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R39" i="13"/>
  <c r="R38" i="13"/>
  <c r="R37" i="13"/>
  <c r="R36" i="13"/>
  <c r="R35" i="13"/>
  <c r="R8" i="13"/>
  <c r="R6" i="13"/>
  <c r="R5" i="13"/>
  <c r="R4" i="13"/>
  <c r="Q8" i="13"/>
  <c r="Q35" i="13"/>
  <c r="Q37" i="13"/>
  <c r="Q38" i="13"/>
  <c r="O4" i="13"/>
  <c r="P4" i="13" s="1"/>
  <c r="O5" i="13"/>
  <c r="P5" i="13" s="1"/>
  <c r="O6" i="13"/>
  <c r="P6" i="13" s="1"/>
  <c r="O8" i="13"/>
  <c r="P8" i="13" s="1"/>
  <c r="O35" i="13"/>
  <c r="P35" i="13" s="1"/>
  <c r="O36" i="13"/>
  <c r="P36" i="13" s="1"/>
  <c r="O37" i="13"/>
  <c r="P37" i="13" s="1"/>
  <c r="O38" i="13"/>
  <c r="P38" i="13" s="1"/>
  <c r="O39" i="13"/>
  <c r="P39" i="13" s="1"/>
  <c r="O41" i="13"/>
  <c r="P41" i="13" s="1"/>
  <c r="L4" i="13"/>
  <c r="M4" i="13" s="1"/>
  <c r="L5" i="13"/>
  <c r="M5" i="13" s="1"/>
  <c r="L6" i="13"/>
  <c r="M6" i="13" s="1"/>
  <c r="L8" i="13"/>
  <c r="M8" i="13" s="1"/>
  <c r="L35" i="13"/>
  <c r="M35" i="13" s="1"/>
  <c r="L36" i="13"/>
  <c r="M36" i="13" s="1"/>
  <c r="L37" i="13"/>
  <c r="M37" i="13" s="1"/>
  <c r="L38" i="13"/>
  <c r="M38" i="13" s="1"/>
  <c r="L39" i="13"/>
  <c r="M39" i="13" s="1"/>
  <c r="L41" i="13"/>
  <c r="M41" i="13" s="1"/>
  <c r="K41" i="13"/>
  <c r="J4" i="13"/>
  <c r="J5" i="13"/>
  <c r="J6" i="13"/>
  <c r="J8" i="13"/>
  <c r="J35" i="13"/>
  <c r="J36" i="13"/>
  <c r="J37" i="13"/>
  <c r="J38" i="13"/>
  <c r="J39" i="13"/>
  <c r="J41" i="13"/>
  <c r="I4" i="13"/>
  <c r="I5" i="13"/>
  <c r="I6" i="13"/>
  <c r="I8" i="13"/>
  <c r="I35" i="13"/>
  <c r="I36" i="13"/>
  <c r="I37" i="13"/>
  <c r="I38" i="13"/>
  <c r="I39" i="13"/>
  <c r="I41" i="13"/>
  <c r="H4" i="13" a="1"/>
  <c r="H4" i="13" s="1"/>
  <c r="H5" i="13" a="1"/>
  <c r="H5" i="13" s="1"/>
  <c r="H6" i="13" a="1"/>
  <c r="H6" i="13" s="1"/>
  <c r="H8" i="13" a="1"/>
  <c r="H8" i="13" s="1"/>
  <c r="H35" i="13" a="1"/>
  <c r="H35" i="13" s="1"/>
  <c r="H36" i="13" a="1"/>
  <c r="H36" i="13" s="1"/>
  <c r="H37" i="13" a="1"/>
  <c r="H37" i="13" s="1"/>
  <c r="H38" i="13" a="1"/>
  <c r="H38" i="13" s="1"/>
  <c r="H39" i="13" a="1"/>
  <c r="H39" i="13" s="1"/>
  <c r="H41" i="13" a="1"/>
  <c r="H41" i="13" s="1"/>
  <c r="G4" i="13"/>
  <c r="G5" i="13"/>
  <c r="G6" i="13"/>
  <c r="G8" i="13"/>
  <c r="G35" i="13"/>
  <c r="G36" i="13"/>
  <c r="G37" i="13"/>
  <c r="G38" i="13"/>
  <c r="G39" i="13"/>
  <c r="G41" i="13"/>
  <c r="F4" i="13"/>
  <c r="F5" i="13"/>
  <c r="F6" i="13"/>
  <c r="F8" i="13"/>
  <c r="F35" i="13"/>
  <c r="F36" i="13"/>
  <c r="F37" i="13"/>
  <c r="F38" i="13"/>
  <c r="F39" i="13"/>
  <c r="F41" i="13"/>
  <c r="Q5" i="13"/>
  <c r="N38" i="13"/>
  <c r="K38" i="13"/>
  <c r="N37" i="13"/>
  <c r="K37" i="13"/>
  <c r="N6" i="13"/>
  <c r="Q6" i="13"/>
  <c r="K6" i="13"/>
  <c r="N39" i="13"/>
  <c r="Q39" i="13"/>
  <c r="K39" i="13"/>
  <c r="N36" i="13"/>
  <c r="Q36" i="13"/>
  <c r="K36" i="13"/>
  <c r="N8" i="13"/>
  <c r="N41" i="13"/>
  <c r="Q41" i="13"/>
  <c r="N4" i="13"/>
  <c r="Q4" i="13"/>
  <c r="K4" i="13"/>
  <c r="N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3" i="11" s="1"/>
  <c r="AC480" i="10"/>
  <c r="Q43" i="11" s="1"/>
  <c r="AD480" i="10"/>
  <c r="K43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R43" i="11"/>
  <c r="F43" i="11"/>
  <c r="G43" i="11"/>
  <c r="H43" i="11" a="1"/>
  <c r="H43" i="11" s="1"/>
  <c r="I43" i="11"/>
  <c r="J43" i="11"/>
  <c r="L43" i="11"/>
  <c r="M43" i="11" s="1"/>
  <c r="O43" i="11"/>
  <c r="P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50" i="11" s="1"/>
  <c r="AC474" i="10"/>
  <c r="Q50" i="11" s="1"/>
  <c r="AD474" i="10"/>
  <c r="K50" i="11" s="1"/>
  <c r="AA451" i="10"/>
  <c r="AB451" i="10"/>
  <c r="N47" i="11" s="1"/>
  <c r="AC451" i="10"/>
  <c r="Q47" i="11" s="1"/>
  <c r="AD451" i="10"/>
  <c r="K47" i="11" s="1"/>
  <c r="AA452" i="10"/>
  <c r="AB452" i="10"/>
  <c r="N18" i="11" s="1"/>
  <c r="AC452" i="10"/>
  <c r="Q18" i="11" s="1"/>
  <c r="AD452" i="10"/>
  <c r="K18" i="11" s="1"/>
  <c r="AA453" i="10"/>
  <c r="AB453" i="10"/>
  <c r="N44" i="11" s="1"/>
  <c r="AC453" i="10"/>
  <c r="Q44" i="11" s="1"/>
  <c r="AD453" i="10"/>
  <c r="K44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9" i="11" s="1"/>
  <c r="AC457" i="10"/>
  <c r="Q49" i="11" s="1"/>
  <c r="AD457" i="10"/>
  <c r="K49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8" i="11"/>
  <c r="G48" i="11"/>
  <c r="H48" i="11" a="1"/>
  <c r="H48" i="11" s="1"/>
  <c r="I48" i="11"/>
  <c r="J48" i="11"/>
  <c r="L48" i="11"/>
  <c r="M48" i="11" s="1"/>
  <c r="O48" i="11"/>
  <c r="P48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5" i="11" s="1"/>
  <c r="AC436" i="10"/>
  <c r="Q45" i="11" s="1"/>
  <c r="AD436" i="10"/>
  <c r="K45" i="11" s="1"/>
  <c r="AA437" i="10"/>
  <c r="AB437" i="10"/>
  <c r="AC437" i="10"/>
  <c r="AD437" i="10"/>
  <c r="AA438" i="10"/>
  <c r="AB438" i="10"/>
  <c r="N48" i="11" s="1"/>
  <c r="AC438" i="10"/>
  <c r="Q48" i="11" s="1"/>
  <c r="AD438" i="10"/>
  <c r="K48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R46" i="11"/>
  <c r="F46" i="11"/>
  <c r="G46" i="11"/>
  <c r="H46" i="11" a="1"/>
  <c r="H46" i="11" s="1"/>
  <c r="I46" i="11"/>
  <c r="J46" i="11"/>
  <c r="L46" i="11"/>
  <c r="M46" i="11" s="1"/>
  <c r="O46" i="11"/>
  <c r="P46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6" i="11" s="1"/>
  <c r="AC396" i="10"/>
  <c r="Q46" i="11" s="1"/>
  <c r="AD396" i="10"/>
  <c r="K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4" i="11"/>
  <c r="AA45" i="11"/>
  <c r="AA47" i="11"/>
  <c r="AA48" i="11"/>
  <c r="AA49" i="11"/>
  <c r="AA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50" i="11"/>
  <c r="T50" i="11"/>
  <c r="U50" i="11"/>
  <c r="V50" i="11"/>
  <c r="W50" i="11"/>
  <c r="X50" i="11"/>
  <c r="Y50" i="11"/>
  <c r="Z50" i="11"/>
  <c r="AB50" i="11"/>
  <c r="AC50" i="11"/>
  <c r="AD50" i="11"/>
  <c r="AE50" i="11"/>
  <c r="AF50" i="11"/>
  <c r="AG50" i="11"/>
  <c r="R50" i="11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S45" i="11"/>
  <c r="T45" i="11"/>
  <c r="U45" i="11"/>
  <c r="V45" i="11"/>
  <c r="W45" i="11"/>
  <c r="X45" i="11"/>
  <c r="Y45" i="11"/>
  <c r="Z45" i="11"/>
  <c r="AB45" i="11"/>
  <c r="AC45" i="11"/>
  <c r="AD45" i="11"/>
  <c r="AE45" i="11"/>
  <c r="AF45" i="11"/>
  <c r="AG45" i="11"/>
  <c r="R45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4" i="11"/>
  <c r="M44" i="11" s="1"/>
  <c r="L45" i="11"/>
  <c r="M45" i="11" s="1"/>
  <c r="L47" i="11"/>
  <c r="M47" i="11" s="1"/>
  <c r="L49" i="11"/>
  <c r="M49" i="11" s="1"/>
  <c r="L50" i="11"/>
  <c r="M50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4" i="11"/>
  <c r="I45" i="11"/>
  <c r="I47" i="11"/>
  <c r="I49" i="11"/>
  <c r="I50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4" i="11"/>
  <c r="P44" i="11" s="1"/>
  <c r="O45" i="11"/>
  <c r="P45" i="11" s="1"/>
  <c r="O47" i="11"/>
  <c r="P47" i="11" s="1"/>
  <c r="O49" i="11"/>
  <c r="P49" i="11" s="1"/>
  <c r="O50" i="11"/>
  <c r="P50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4" i="11" a="1"/>
  <c r="H44" i="11" s="1"/>
  <c r="H45" i="11" a="1"/>
  <c r="H45" i="11" s="1"/>
  <c r="H47" i="11" a="1"/>
  <c r="H47" i="11" s="1"/>
  <c r="H49" i="11" a="1"/>
  <c r="H49" i="11" s="1"/>
  <c r="H50" i="11" a="1"/>
  <c r="H50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4" i="11"/>
  <c r="F45" i="11"/>
  <c r="F47" i="11"/>
  <c r="F49" i="11"/>
  <c r="F50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5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<sst xmlns="http://schemas.openxmlformats.org/spreadsheetml/2006/main" count="3593" uniqueCount="171">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</sst>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145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154</v>
      </c>
      <c r="B2" s="3" t="s">
        <v>79</v>
      </c>
      <c r="C2" s="3" t="s">
        <v>79</v>
      </c>
      <c r="D2" s="3"/>
      <c r="E2" s="3"/>
      <c r="F2" s="34">
        <f>SUMIFS('OB History'!C:C,'OB History'!B:B,A2)</f>
        <v>81</v>
      </c>
      <c r="G2" s="4">
        <f>AVERAGEIFS('OB History'!C:C,'OB History'!B:B,A2)</f>
        <v>10.125</v>
      </c>
      <c r="H2" s="35">
        <f t="array" ref="H2">MAX(IF('OB History'!B:B=A2, 'OB History'!C:C))</f>
        <v>22</v>
      </c>
      <c r="I2" s="34">
        <f>COUNTIFS('OB History'!B:B,A2,'OB History'!D:D, 1)</f>
        <v>6</v>
      </c>
      <c r="J2" s="2">
        <f>COUNTIFS('OB History'!B:B,A2,'OB History'!D:D, 0)</f>
        <v>2</v>
      </c>
      <c r="K2" s="88">
        <f>LOOKUP(2, 1/('OB History'!$B:$B=A2), 'OB History'!$AD:$AD)</f>
        <v>0.75</v>
      </c>
      <c r="L2" s="34">
        <f>SUMIFS('OB History'!F:F,'OB History'!B:B,A2)</f>
        <v>19</v>
      </c>
      <c r="M2" s="2">
        <f>SUMIFS('OB History'!E:E,'OB History'!B:B,A2)-L2</f>
        <v>12</v>
      </c>
      <c r="N2" s="88">
        <f>LOOKUP(2, 1/('OB History'!$B:$B=A2), 'OB History'!$AB:$AB)</f>
        <v>0.61875000000000002</v>
      </c>
      <c r="O2" s="34">
        <f>SUMIFS('OB History'!H:H,'OB History'!B:B,A2)</f>
        <v>69</v>
      </c>
      <c r="P2" s="2">
        <f>SUMIFS('OB History'!G:G,'OB History'!B:B,A2)-O2</f>
        <v>57</v>
      </c>
      <c r="Q2" s="88">
        <f>LOOKUP(2, 1/('OB History'!$B:$B=A2), 'OB History'!$AC:$AC)</f>
        <v>0.56374999999999997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1</v>
      </c>
      <c r="AD2" s="2">
        <f>COUNTIFS('OB History'!$B:$B,$A$2,'OB History'!W:W, 1)</f>
        <v>2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2</v>
      </c>
    </row>
    <row r="3" spans="1:33" x14ac:dyDescent="0.25">
      <c r="A3" s="2" t="s">
        <v>140</v>
      </c>
      <c r="B3" s="2" t="s">
        <v>79</v>
      </c>
      <c r="C3" s="2" t="s">
        <v>79</v>
      </c>
      <c r="D3" s="3"/>
      <c r="E3" s="3"/>
      <c r="F3" s="34">
        <f>SUMIFS('OB History'!C:C,'OB History'!B:B,A3)</f>
        <v>68</v>
      </c>
      <c r="G3" s="4">
        <f>AVERAGEIFS('OB History'!C:C,'OB History'!B:B,A3)</f>
        <v>8.5</v>
      </c>
      <c r="H3" s="35">
        <f t="array" ref="H3">MAX(IF('OB History'!B:B=A3, 'OB History'!C:C))</f>
        <v>19</v>
      </c>
      <c r="I3" s="34">
        <f>COUNTIFS('OB History'!B:B,A3,'OB History'!D:D, 1)</f>
        <v>6</v>
      </c>
      <c r="J3" s="2">
        <f>COUNTIFS('OB History'!B:B,A3,'OB History'!D:D, 0)</f>
        <v>2</v>
      </c>
      <c r="K3" s="88">
        <f>LOOKUP(2, 1/('OB History'!$B:$B=A3), 'OB History'!$AD:$AD)</f>
        <v>0.75</v>
      </c>
      <c r="L3" s="34">
        <f>SUMIFS('OB History'!F:F,'OB History'!B:B,A3)</f>
        <v>18</v>
      </c>
      <c r="M3" s="2">
        <f>SUMIFS('OB History'!E:E,'OB History'!B:B,A3)-L3</f>
        <v>13</v>
      </c>
      <c r="N3" s="88">
        <f>LOOKUP(2, 1/('OB History'!$B:$B=A3), 'OB History'!$AB:$AB)</f>
        <v>0.56874999999999998</v>
      </c>
      <c r="O3" s="34">
        <f>SUMIFS('OB History'!H:H,'OB History'!B:B,A3)</f>
        <v>70</v>
      </c>
      <c r="P3" s="2">
        <f>SUMIFS('OB History'!G:G,'OB History'!B:B,A3)-O3</f>
        <v>62</v>
      </c>
      <c r="Q3" s="88">
        <f>LOOKUP(2, 1/('OB History'!$B:$B=A3), 'OB History'!$AC:$AC)</f>
        <v>0.52499999999999991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3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1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1</v>
      </c>
      <c r="AE3" s="2">
        <f>COUNTIFS('OB History'!$B:$B,$A$3,'OB History'!X:X, 1)</f>
        <v>3</v>
      </c>
      <c r="AF3" s="2">
        <f>COUNTIFS('OB History'!$B:$B,$A$3,'OB History'!Y:Y, 1)</f>
        <v>2</v>
      </c>
      <c r="AG3" s="2">
        <f>COUNTIFS('OB History'!$B:$B,$A$3,'OB History'!Z:Z, 1)</f>
        <v>1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463</v>
      </c>
      <c r="G4" s="4">
        <f>AVERAGEIFS('OB History'!C:C,'OB History'!B:B,A4)</f>
        <v>19.291666666666668</v>
      </c>
      <c r="H4" s="35">
        <f t="array" ref="H4">MAX(IF('OB History'!B:B=A4, 'OB History'!C:C))</f>
        <v>36</v>
      </c>
      <c r="I4" s="34">
        <f>COUNTIFS('OB History'!B:B,A4,'OB History'!D:D, 1)</f>
        <v>11</v>
      </c>
      <c r="J4" s="2">
        <f>COUNTIFS('OB History'!B:B,A4,'OB History'!D:D, 0)</f>
        <v>13</v>
      </c>
      <c r="K4" s="88">
        <f>LOOKUP(2, 1/('OB History'!$B:$B=A4), 'OB History'!$AD:$AD)</f>
        <v>0.45833333333333331</v>
      </c>
      <c r="L4" s="34">
        <f>SUMIFS('OB History'!F:F,'OB History'!B:B,A4)</f>
        <v>43</v>
      </c>
      <c r="M4" s="2">
        <f>SUMIFS('OB History'!E:E,'OB History'!B:B,A4)-L4</f>
        <v>53</v>
      </c>
      <c r="N4" s="88">
        <f>LOOKUP(2, 1/('OB History'!$B:$B=A4), 'OB History'!$AB:$AB)</f>
        <v>0.42916666666666664</v>
      </c>
      <c r="O4" s="34">
        <f>SUMIFS('OB History'!H:H,'OB History'!B:B,A4)</f>
        <v>186</v>
      </c>
      <c r="P4" s="2">
        <f>SUMIFS('OB History'!G:G,'OB History'!B:B,A4)-O4</f>
        <v>207</v>
      </c>
      <c r="Q4" s="88">
        <f>LOOKUP(2, 1/('OB History'!$B:$B=A4), 'OB History'!$AC:$AC)</f>
        <v>0.46124999999999994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8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8</v>
      </c>
      <c r="AF4" s="2">
        <f>COUNTIFS('OB History'!$B:$B,$A$4,'OB History'!Y:Y, 1)</f>
        <v>3</v>
      </c>
      <c r="AG4" s="2">
        <f>COUNTIFS('OB History'!$B:$B,$A$4,'OB History'!Z:Z, 1)</f>
        <v>10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281</v>
      </c>
      <c r="G6" s="4">
        <f>AVERAGEIFS('OB History'!C:C,'OB History'!B:B,A6)</f>
        <v>11.24</v>
      </c>
      <c r="H6" s="35">
        <f t="array" ref="H6">MAX(IF('OB History'!B:B=A6, 'OB History'!C:C))</f>
        <v>21</v>
      </c>
      <c r="I6" s="34">
        <f>COUNTIFS('OB History'!B:B,A6,'OB History'!D:D, 1)</f>
        <v>13</v>
      </c>
      <c r="J6" s="2">
        <f>COUNTIFS('OB History'!B:B,A6,'OB History'!D:D, 0)</f>
        <v>12</v>
      </c>
      <c r="K6" s="88">
        <f>LOOKUP(2, 1/('OB History'!$B:$B=A6), 'OB History'!$AD:$AD)</f>
        <v>0.52</v>
      </c>
      <c r="L6" s="34">
        <f>SUMIFS('OB History'!F:F,'OB History'!B:B,A6)</f>
        <v>46</v>
      </c>
      <c r="M6" s="2">
        <f>SUMIFS('OB History'!E:E,'OB History'!B:B,A6)-L6</f>
        <v>53</v>
      </c>
      <c r="N6" s="88">
        <f>LOOKUP(2, 1/('OB History'!$B:$B=A6), 'OB History'!$AB:$AB)</f>
        <v>0.44</v>
      </c>
      <c r="O6" s="34">
        <f>SUMIFS('OB History'!H:H,'OB History'!B:B,'Old Bow v2'!A6)</f>
        <v>193</v>
      </c>
      <c r="P6" s="2">
        <f>SUMIFS('OB History'!G:G,'OB History'!B:B,'Old Bow v2'!A6)-O6</f>
        <v>212</v>
      </c>
      <c r="Q6" s="88">
        <f>LOOKUP(2, 1/('OB History'!$B:$B=A6), 'OB History'!$AC:$AC)</f>
        <v>0.46640000000000009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6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8</v>
      </c>
      <c r="AF6" s="2">
        <f>COUNTIFS('OB History'!$B:$B,$A$6,'OB History'!Y:Y, 1)</f>
        <v>3</v>
      </c>
      <c r="AG6" s="2">
        <f>COUNTIFS('OB History'!$B:$B,$A$6,'OB History'!Z:Z, 1)</f>
        <v>7</v>
      </c>
    </row>
    <row r="7" spans="1:33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4">
        <f>SUMIFS('OB History'!C:C,'OB History'!B:B,A7)</f>
        <v>376</v>
      </c>
      <c r="G7" s="4">
        <f>AVERAGEIFS('OB History'!C:C,'OB History'!B:B,A7)</f>
        <v>11.75</v>
      </c>
      <c r="H7" s="35">
        <f t="array" ref="H7">MAX(IF('OB History'!B:B=A7, 'OB History'!C:C))</f>
        <v>26</v>
      </c>
      <c r="I7" s="34">
        <f>COUNTIFS('OB History'!B:B,A7,'OB History'!D:D, 1)</f>
        <v>13</v>
      </c>
      <c r="J7" s="2">
        <f>COUNTIFS('OB History'!B:B,A7,'OB History'!D:D, 0)</f>
        <v>19</v>
      </c>
      <c r="K7" s="88">
        <f>LOOKUP(2, 1/('OB History'!$B:$B=A7), 'OB History'!$AD:$AD)</f>
        <v>0.40625</v>
      </c>
      <c r="L7" s="34">
        <f>SUMIFS('OB History'!F:F,'OB History'!B:B,A7)</f>
        <v>58</v>
      </c>
      <c r="M7" s="2">
        <f>SUMIFS('OB History'!E:E,'OB History'!B:B,A7)-L7</f>
        <v>74</v>
      </c>
      <c r="N7" s="88">
        <f>LOOKUP(2, 1/('OB History'!$B:$B=A7), 'OB History'!$AB:$AB)</f>
        <v>0.421875</v>
      </c>
      <c r="O7" s="34">
        <f>SUMIFS('OB History'!H:H,'OB History'!B:B,'Old Bow v2'!A7)</f>
        <v>256</v>
      </c>
      <c r="P7" s="2">
        <f>SUMIFS('OB History'!G:G,'OB History'!B:B,'Old Bow v2'!A7)-O7</f>
        <v>288</v>
      </c>
      <c r="Q7" s="88">
        <f>LOOKUP(2, 1/('OB History'!$B:$B=A7), 'OB History'!$AC:$AC)</f>
        <v>0.45656250000000004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1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12</v>
      </c>
      <c r="AF7" s="2">
        <f>COUNTIFS('OB History'!$B:$B,$A$7,'OB History'!Y:Y, 1)</f>
        <v>2</v>
      </c>
      <c r="AG7" s="2">
        <f>COUNTIFS('OB History'!$B:$B,$A$7,'OB History'!Z:Z, 1)</f>
        <v>12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374</v>
      </c>
      <c r="G9" s="4">
        <f>AVERAGEIFS('OB History'!C:C,'OB History'!B:B,A9)</f>
        <v>16.260869565217391</v>
      </c>
      <c r="H9" s="35">
        <f t="array" ref="H9">MAX(IF('OB History'!B:B=A9, 'OB History'!C:C))</f>
        <v>31</v>
      </c>
      <c r="I9" s="34">
        <f>COUNTIFS('OB History'!B:B,A9,'OB History'!D:D, 1)</f>
        <v>14</v>
      </c>
      <c r="J9" s="2">
        <f>COUNTIFS('OB History'!B:B,A9,'OB History'!D:D, 0)</f>
        <v>9</v>
      </c>
      <c r="K9" s="88">
        <f>LOOKUP(2, 1/('OB History'!$B:$B=A9), 'OB History'!$AD:$AD)</f>
        <v>0.60869565217391308</v>
      </c>
      <c r="L9" s="34">
        <f>SUMIFS('OB History'!F:F,'OB History'!B:B,A9)</f>
        <v>54</v>
      </c>
      <c r="M9" s="2">
        <f>SUMIFS('OB History'!E:E,'OB History'!B:B,A9)-L9</f>
        <v>40</v>
      </c>
      <c r="N9" s="88">
        <f>LOOKUP(2, 1/('OB History'!$B:$B=A9), 'OB History'!$AB:$AB)</f>
        <v>0.59782608695652173</v>
      </c>
      <c r="O9" s="34">
        <f>SUMIFS('OB History'!H:H,'OB History'!B:B,'Old Bow v2'!A9)</f>
        <v>206</v>
      </c>
      <c r="P9" s="2">
        <f>SUMIFS('OB History'!G:G,'OB History'!B:B,'Old Bow v2'!A9)-O9</f>
        <v>184</v>
      </c>
      <c r="Q9" s="88">
        <f>LOOKUP(2, 1/('OB History'!$B:$B=A9), 'OB History'!$AC:$AC)</f>
        <v>0.54217391304347817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5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4</v>
      </c>
      <c r="AE9" s="2">
        <f>COUNTIFS('OB History'!$B:$B,$A$9,'OB History'!X:X, 1)</f>
        <v>8</v>
      </c>
      <c r="AF9" s="2">
        <f>COUNTIFS('OB History'!$B:$B,$A$9,'OB History'!Y:Y, 1)</f>
        <v>5</v>
      </c>
      <c r="AG9" s="2">
        <f>COUNTIFS('OB History'!$B:$B,$A$9,'OB History'!Z:Z, 1)</f>
        <v>8</v>
      </c>
    </row>
    <row r="10" spans="1:33" x14ac:dyDescent="0.25">
      <c r="A10" s="2" t="s">
        <v>146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108</v>
      </c>
      <c r="G10" s="4">
        <f>AVERAGEIFS('OB History'!C:C,'OB History'!B:B,A10)</f>
        <v>12</v>
      </c>
      <c r="H10" s="35">
        <f t="array" ref="H10">MAX(IF('OB History'!B:B=A10, 'OB History'!C:C))</f>
        <v>21</v>
      </c>
      <c r="I10" s="34">
        <f>COUNTIFS('OB History'!B:B,A10,'OB History'!D:D, 1)</f>
        <v>3</v>
      </c>
      <c r="J10" s="2">
        <f>COUNTIFS('OB History'!B:B,A10,'OB History'!D:D, 0)</f>
        <v>6</v>
      </c>
      <c r="K10" s="88">
        <f>LOOKUP(2, 1/('OB History'!$B:$B=A10), 'OB History'!$AD:$AD)</f>
        <v>0.33333333333333331</v>
      </c>
      <c r="L10" s="34">
        <f>SUMIFS('OB History'!F:F,'OB History'!B:B,A10)</f>
        <v>17</v>
      </c>
      <c r="M10" s="2">
        <f>SUMIFS('OB History'!E:E,'OB History'!B:B,A10)-L10</f>
        <v>22</v>
      </c>
      <c r="N10" s="88">
        <f>LOOKUP(2, 1/('OB History'!$B:$B=A10), 'OB History'!$AB:$AB)</f>
        <v>0.43333333333333335</v>
      </c>
      <c r="O10" s="34">
        <f>SUMIFS('OB History'!H:H,'OB History'!B:B,'Old Bow v2'!A10)</f>
        <v>77</v>
      </c>
      <c r="P10" s="2">
        <f>SUMIFS('OB History'!G:G,'OB History'!B:B,'Old Bow v2'!A10)-O10</f>
        <v>85</v>
      </c>
      <c r="Q10" s="88">
        <f>LOOKUP(2, 1/('OB History'!$B:$B=A10), 'OB History'!$AC:$AC)</f>
        <v>0.47444444444444439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1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1</v>
      </c>
      <c r="AE10" s="2">
        <f>COUNTIFS('OB History'!$B:$B,$A$10,'OB History'!X:X, 1)</f>
        <v>5</v>
      </c>
      <c r="AF10" s="2">
        <f>COUNTIFS('OB History'!$B:$B,$A$10,'OB History'!Y:Y, 1)</f>
        <v>2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385</v>
      </c>
      <c r="G12" s="4">
        <f>AVERAGEIFS('OB History'!C:C,'OB History'!B:B,A12)</f>
        <v>12.419354838709678</v>
      </c>
      <c r="H12" s="35">
        <f t="array" ref="H12">MAX(IF('OB History'!B:B=A12, 'OB History'!C:C))</f>
        <v>24</v>
      </c>
      <c r="I12" s="34">
        <f>COUNTIFS('OB History'!B:B,A12,'OB History'!D:D, 1)</f>
        <v>22</v>
      </c>
      <c r="J12" s="2">
        <f>COUNTIFS('OB History'!B:B,A12,'OB History'!D:D, 0)</f>
        <v>9</v>
      </c>
      <c r="K12" s="88">
        <f>LOOKUP(2, 1/('OB History'!$B:$B=A12), 'OB History'!$AD:$AD)</f>
        <v>0.70967741935483875</v>
      </c>
      <c r="L12" s="34">
        <f>SUMIFS('OB History'!F:F,'OB History'!B:B,A12)</f>
        <v>78</v>
      </c>
      <c r="M12" s="2">
        <f>SUMIFS('OB History'!E:E,'OB History'!B:B,A12)-L12</f>
        <v>49</v>
      </c>
      <c r="N12" s="88">
        <f>LOOKUP(2, 1/('OB History'!$B:$B=A12), 'OB History'!$AB:$AB)</f>
        <v>0.63548387096774195</v>
      </c>
      <c r="O12" s="34">
        <f>SUMIFS('OB History'!H:H,'OB History'!B:B,'Old Bow v2'!A12)</f>
        <v>291</v>
      </c>
      <c r="P12" s="2">
        <f>SUMIFS('OB History'!G:G,'OB History'!B:B,'Old Bow v2'!A12)-O12</f>
        <v>234</v>
      </c>
      <c r="Q12" s="88">
        <f>LOOKUP(2, 1/('OB History'!$B:$B=A12), 'OB History'!$AC:$AC)</f>
        <v>0.56290322580645147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12</v>
      </c>
      <c r="X12" s="2">
        <f>COUNTIFS('OB History'!$B:$B,$A$12,'OB History'!Q:Q, 1)</f>
        <v>5</v>
      </c>
      <c r="Y12" s="2">
        <f>COUNTIFS('OB History'!$B:$B,$A$12,'OB History'!R:R, 1)</f>
        <v>4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6</v>
      </c>
      <c r="AE12" s="2">
        <f>COUNTIFS('OB History'!$B:$B,$A$12,'OB History'!X:X, 1)</f>
        <v>8</v>
      </c>
      <c r="AF12" s="2">
        <f>COUNTIFS('OB History'!$B:$B,$A$12,'OB History'!Y:Y, 1)</f>
        <v>4</v>
      </c>
      <c r="AG12" s="2">
        <f>COUNTIFS('OB History'!$B:$B,$A$12,'OB History'!Z:Z, 1)</f>
        <v>8</v>
      </c>
    </row>
    <row r="13" spans="1:33" x14ac:dyDescent="0.25">
      <c r="A13" s="2" t="s">
        <v>152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67</v>
      </c>
      <c r="G17" s="4">
        <f>AVERAGEIFS('OB History'!C:C,'OB History'!B:B,A17)</f>
        <v>16.75</v>
      </c>
      <c r="H17" s="35">
        <f t="array" ref="H17">MAX(IF('OB History'!B:B=A17, 'OB History'!C:C))</f>
        <v>28</v>
      </c>
      <c r="I17" s="34">
        <f>COUNTIFS('OB History'!B:B,A17,'OB History'!D:D, 1)</f>
        <v>4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12</v>
      </c>
      <c r="M17" s="2">
        <f>SUMIFS('OB History'!E:E,'OB History'!B:B,A17)-L17</f>
        <v>4</v>
      </c>
      <c r="N17" s="88">
        <f>LOOKUP(2, 1/('OB History'!$B:$B=A17), 'OB History'!$AB:$AB)</f>
        <v>0.8</v>
      </c>
      <c r="O17" s="34">
        <f>SUMIFS('OB History'!H:H,'OB History'!B:B,'Old Bow v2'!A17)</f>
        <v>41</v>
      </c>
      <c r="P17" s="2">
        <f>SUMIFS('OB History'!G:G,'OB History'!B:B,'Old Bow v2'!A17)-O17</f>
        <v>26</v>
      </c>
      <c r="Q17" s="88">
        <f>LOOKUP(2, 1/('OB History'!$B:$B=A17), 'OB History'!$AC:$AC)</f>
        <v>0.63249999999999995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1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1</v>
      </c>
      <c r="AE17" s="2">
        <f>COUNTIFS('OB History'!$B:$B,$A$17,'OB History'!X:X, 1)</f>
        <v>3</v>
      </c>
      <c r="AF17" s="2">
        <f>COUNTIFS('OB History'!$B:$B,$A$17,'OB History'!Y:Y, 1)</f>
        <v>2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309</v>
      </c>
      <c r="G18" s="4">
        <f>AVERAGEIFS('OB History'!C:C,'OB History'!B:B,A18)</f>
        <v>23.76923076923077</v>
      </c>
      <c r="H18" s="35">
        <f t="array" ref="H18">MAX(IF('OB History'!B:B=A18, 'OB History'!C:C))</f>
        <v>37</v>
      </c>
      <c r="I18" s="34">
        <f>COUNTIFS('OB History'!B:B,A18,'OB History'!D:D, 1)</f>
        <v>8</v>
      </c>
      <c r="J18" s="2">
        <f>COUNTIFS('OB History'!B:B,A18,'OB History'!D:D, 0)</f>
        <v>5</v>
      </c>
      <c r="K18" s="88">
        <f>LOOKUP(2, 1/('OB History'!$B:$B=A18), 'OB History'!$AD:$AD)</f>
        <v>0.61538461538461542</v>
      </c>
      <c r="L18" s="34">
        <f>SUMIFS('OB History'!F:F,'OB History'!B:B,A18)</f>
        <v>30</v>
      </c>
      <c r="M18" s="2">
        <f>SUMIFS('OB History'!E:E,'OB History'!B:B,A18)-L18</f>
        <v>26</v>
      </c>
      <c r="N18" s="88">
        <f>LOOKUP(2, 1/('OB History'!$B:$B=A18), 'OB History'!$AB:$AB)</f>
        <v>0.5346153846153846</v>
      </c>
      <c r="O18" s="34">
        <f>SUMIFS('OB History'!H:H,'OB History'!B:B,'Old Bow v2'!A18)</f>
        <v>116</v>
      </c>
      <c r="P18" s="2">
        <f>SUMIFS('OB History'!G:G,'OB History'!B:B,'Old Bow v2'!A18)-O18</f>
        <v>117</v>
      </c>
      <c r="Q18" s="88">
        <f>LOOKUP(2, 1/('OB History'!$B:$B=A18), 'OB History'!$AC:$AC)</f>
        <v>0.49230769230769234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2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4</v>
      </c>
      <c r="AE18" s="2">
        <f>COUNTIFS('OB History'!$B:$B,$A$18,'OB History'!X:X, 1)</f>
        <v>4</v>
      </c>
      <c r="AF18" s="2">
        <f>COUNTIFS('OB History'!$B:$B,$A$18,'OB History'!Y:Y, 1)</f>
        <v>4</v>
      </c>
      <c r="AG18" s="2">
        <f>COUNTIFS('OB History'!$B:$B,$A$18,'OB History'!Z:Z, 1)</f>
        <v>5</v>
      </c>
    </row>
    <row r="19" spans="1:33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4">
        <f>SUMIFS('OB History'!C:C,'OB History'!B:B,A19)</f>
        <v>109</v>
      </c>
      <c r="G19" s="4">
        <f>AVERAGEIFS('OB History'!C:C,'OB History'!B:B,A19)</f>
        <v>18.166666666666668</v>
      </c>
      <c r="H19" s="35">
        <f t="array" ref="H19">MAX(IF('OB History'!B:B=A19, 'OB History'!C:C))</f>
        <v>26</v>
      </c>
      <c r="I19" s="34">
        <f>COUNTIFS('OB History'!B:B,A19,'OB History'!D:D, 1)</f>
        <v>5</v>
      </c>
      <c r="J19" s="2">
        <f>COUNTIFS('OB History'!B:B,A19,'OB History'!D:D, 0)</f>
        <v>1</v>
      </c>
      <c r="K19" s="88">
        <f>LOOKUP(2, 1/('OB History'!$B:$B=A19), 'OB History'!$AD:$AD)</f>
        <v>0.83333333333333337</v>
      </c>
      <c r="L19" s="34">
        <f>SUMIFS('OB History'!F:F,'OB History'!B:B,A19)</f>
        <v>17</v>
      </c>
      <c r="M19" s="2">
        <f>SUMIFS('OB History'!E:E,'OB History'!B:B,A19)-L19</f>
        <v>8</v>
      </c>
      <c r="N19" s="88">
        <f>LOOKUP(2, 1/('OB History'!$B:$B=A19), 'OB History'!$AB:$AB)</f>
        <v>0.70833333333333337</v>
      </c>
      <c r="O19" s="34">
        <f>SUMIFS('OB History'!H:H,'OB History'!B:B,'Old Bow v2'!A19)</f>
        <v>62</v>
      </c>
      <c r="P19" s="2">
        <f>SUMIFS('OB History'!G:G,'OB History'!B:B,'Old Bow v2'!A19)-O19</f>
        <v>37</v>
      </c>
      <c r="Q19" s="88">
        <f>LOOKUP(2, 1/('OB History'!$B:$B=A19), 'OB History'!$AC:$AC)</f>
        <v>0.64333333333333331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2</v>
      </c>
      <c r="X19" s="2">
        <f>COUNTIFS('OB History'!$B:$B,$A$19,'OB History'!Q:Q, 1)</f>
        <v>1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3</v>
      </c>
      <c r="AE19" s="2">
        <f>COUNTIFS('OB History'!$B:$B,$A$19,'OB History'!X:X, 1)</f>
        <v>2</v>
      </c>
      <c r="AF19" s="2">
        <f>COUNTIFS('OB History'!$B:$B,$A$19,'OB History'!Y:Y, 1)</f>
        <v>4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4">
        <f>SUMIFS('OB History'!C:C,'OB History'!B:B,A20)</f>
        <v>440</v>
      </c>
      <c r="G20" s="4">
        <f>AVERAGEIFS('OB History'!C:C,'OB History'!B:B,A20)</f>
        <v>11.282051282051283</v>
      </c>
      <c r="H20" s="35">
        <f t="array" ref="H20">MAX(IF('OB History'!B:B=A20, 'OB History'!C:C))</f>
        <v>41</v>
      </c>
      <c r="I20" s="34">
        <f>COUNTIFS('OB History'!B:B,A20,'OB History'!D:D, 1)</f>
        <v>17</v>
      </c>
      <c r="J20" s="2">
        <f>COUNTIFS('OB History'!B:B,A20,'OB History'!D:D, 0)</f>
        <v>22</v>
      </c>
      <c r="K20" s="88">
        <f>LOOKUP(2, 1/('OB History'!$B:$B=A20), 'OB History'!$AD:$AD)</f>
        <v>0.4358974358974359</v>
      </c>
      <c r="L20" s="34">
        <f>SUMIFS('OB History'!F:F,'OB History'!B:B,A20)</f>
        <v>74</v>
      </c>
      <c r="M20" s="2">
        <f>SUMIFS('OB History'!E:E,'OB History'!B:B,A20)-L20</f>
        <v>82</v>
      </c>
      <c r="N20" s="88">
        <f>LOOKUP(2, 1/('OB History'!$B:$B=A20), 'OB History'!$AB:$AB)</f>
        <v>0.46794871794871795</v>
      </c>
      <c r="O20" s="34">
        <f>SUMIFS('OB History'!H:H,'OB History'!B:B,'Old Bow v2'!A20)</f>
        <v>320</v>
      </c>
      <c r="P20" s="2">
        <f>SUMIFS('OB History'!G:G,'OB History'!B:B,'Old Bow v2'!A20)-O20</f>
        <v>326</v>
      </c>
      <c r="Q20" s="88">
        <f>LOOKUP(2, 1/('OB History'!$B:$B=A20), 'OB History'!$AC:$AC)</f>
        <v>0.4984615384615384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7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3</v>
      </c>
      <c r="AD20" s="2">
        <f>COUNTIFS('OB History'!$B:$B,$A$20,'OB History'!W:W, 1)</f>
        <v>10</v>
      </c>
      <c r="AE20" s="2">
        <f>COUNTIFS('OB History'!$B:$B,$A$20,'OB History'!X:X, 1)</f>
        <v>13</v>
      </c>
      <c r="AF20" s="2">
        <f>COUNTIFS('OB History'!$B:$B,$A$20,'OB History'!Y:Y, 1)</f>
        <v>7</v>
      </c>
      <c r="AG20" s="2">
        <f>COUNTIFS('OB History'!$B:$B,$A$20,'OB History'!Z:Z, 1)</f>
        <v>10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139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147</v>
      </c>
      <c r="G22" s="4">
        <f>AVERAGEIFS('OB History'!C:C,'OB History'!B:B,A22)</f>
        <v>10.5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5</v>
      </c>
      <c r="K22" s="88">
        <f>LOOKUP(2, 1/('OB History'!$B:$B=A22), 'OB History'!$AD:$AD)</f>
        <v>0.6428571428571429</v>
      </c>
      <c r="L22" s="34">
        <f>SUMIFS('OB History'!F:F,'OB History'!B:B,A22)</f>
        <v>34</v>
      </c>
      <c r="M22" s="2">
        <f>SUMIFS('OB History'!E:E,'OB History'!B:B,A22)-L22</f>
        <v>27</v>
      </c>
      <c r="N22" s="88">
        <f>LOOKUP(2, 1/('OB History'!$B:$B=A22), 'OB History'!$AB:$AB)</f>
        <v>0.56785714285714284</v>
      </c>
      <c r="O22" s="34">
        <f>SUMIFS('OB History'!H:H,'OB History'!B:B,'Old Bow v2'!A22)</f>
        <v>128</v>
      </c>
      <c r="P22" s="2">
        <f>SUMIFS('OB History'!G:G,'OB History'!B:B,'Old Bow v2'!A22)-O22</f>
        <v>116</v>
      </c>
      <c r="Q22" s="88">
        <f>LOOKUP(2, 1/('OB History'!$B:$B=A22), 'OB History'!$AC:$AC)</f>
        <v>0.53214285714285703</v>
      </c>
      <c r="R22" s="2">
        <f>COUNTIFS('OB History'!$B:$B,$A$22,'OB History'!K:K, 1)</f>
        <v>1</v>
      </c>
      <c r="S22" s="2">
        <f>COUNTIFS('OB History'!$B:$B,$A$22,'OB History'!L:L, 1)</f>
        <v>4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426</v>
      </c>
      <c r="G26" s="4">
        <f>AVERAGEIFS('OB History'!C:C,'OB History'!B:B,A26)</f>
        <v>13.741935483870968</v>
      </c>
      <c r="H26" s="35">
        <f t="array" ref="H26">MAX(IF('OB History'!B:B=A26, 'OB History'!C:C))</f>
        <v>28</v>
      </c>
      <c r="I26" s="34">
        <f>COUNTIFS('OB History'!B:B,A26,'OB History'!D:D, 1)</f>
        <v>13</v>
      </c>
      <c r="J26" s="2">
        <f>COUNTIFS('OB History'!B:B,A26,'OB History'!D:D, 0)</f>
        <v>18</v>
      </c>
      <c r="K26" s="88">
        <f>LOOKUP(2, 1/('OB History'!$B:$B=A26), 'OB History'!$AD:$AD)</f>
        <v>0.41935483870967744</v>
      </c>
      <c r="L26" s="34">
        <f>SUMIFS('OB History'!F:F,'OB History'!B:B,A26)</f>
        <v>64</v>
      </c>
      <c r="M26" s="2">
        <f>SUMIFS('OB History'!E:E,'OB History'!B:B,A26)-L26</f>
        <v>67</v>
      </c>
      <c r="N26" s="88">
        <f>LOOKUP(2, 1/('OB History'!$B:$B=A26), 'OB History'!$AB:$AB)</f>
        <v>0.49354838709677423</v>
      </c>
      <c r="O26" s="34">
        <f>SUMIFS('OB History'!H:H,'OB History'!B:B,'Old Bow v2'!A26)</f>
        <v>277</v>
      </c>
      <c r="P26" s="2">
        <f>SUMIFS('OB History'!G:G,'OB History'!B:B,'Old Bow v2'!A26)-O26</f>
        <v>274</v>
      </c>
      <c r="Q26" s="88">
        <f>LOOKUP(2, 1/('OB History'!$B:$B=A26), 'OB History'!$AC:$AC)</f>
        <v>0.50290322580645175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3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8</v>
      </c>
      <c r="AF26" s="2">
        <f>COUNTIFS('OB History'!$B:$B,$A$26,'OB History'!Y:Y, 1)</f>
        <v>4</v>
      </c>
      <c r="AG26" s="2">
        <f>COUNTIFS('OB History'!$B:$B,$A$26,'OB History'!Z:Z, 1)</f>
        <v>7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161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4">
        <f>SUMIFS('OB History'!C:C,'OB History'!B:B,A29)</f>
        <v>307</v>
      </c>
      <c r="G29" s="4">
        <f>AVERAGEIFS('OB History'!C:C,'OB History'!B:B,A29)</f>
        <v>13.347826086956522</v>
      </c>
      <c r="H29" s="35">
        <f t="array" ref="H29">MAX(IF('OB History'!B:B=A29, 'OB History'!C:C))</f>
        <v>23</v>
      </c>
      <c r="I29" s="34">
        <f>COUNTIFS('OB History'!B:B,A29,'OB History'!D:D, 1)</f>
        <v>13</v>
      </c>
      <c r="J29" s="2">
        <f>COUNTIFS('OB History'!B:B,A29,'OB History'!D:D, 0)</f>
        <v>10</v>
      </c>
      <c r="K29" s="88">
        <f>LOOKUP(2, 1/('OB History'!$B:$B=A29), 'OB History'!$AD:$AD)</f>
        <v>0.56521739130434778</v>
      </c>
      <c r="L29" s="34">
        <f>SUMIFS('OB History'!F:F,'OB History'!B:B,A29)</f>
        <v>51</v>
      </c>
      <c r="M29" s="2">
        <f>SUMIFS('OB History'!E:E,'OB History'!B:B,A29)-L29</f>
        <v>42</v>
      </c>
      <c r="N29" s="88">
        <f>LOOKUP(2, 1/('OB History'!$B:$B=A29), 'OB History'!$AB:$AB)</f>
        <v>0.57391304347826089</v>
      </c>
      <c r="O29" s="34">
        <f>SUMIFS('OB History'!H:H,'OB History'!B:B,'Old Bow v2'!A29)</f>
        <v>194</v>
      </c>
      <c r="P29" s="2">
        <f>SUMIFS('OB History'!G:G,'OB History'!B:B,'Old Bow v2'!A29)-O29</f>
        <v>184</v>
      </c>
      <c r="Q29" s="88">
        <f>LOOKUP(2, 1/('OB History'!$B:$B=A29), 'OB History'!$AC:$AC)</f>
        <v>0.52434782608695663</v>
      </c>
      <c r="R29" s="2">
        <f>COUNTIFS('OB History'!$B:$B,$A$29,'OB History'!K:K, 1)</f>
        <v>2</v>
      </c>
      <c r="S29" s="2">
        <f>COUNTIFS('OB History'!$B:$B,$A$29,'OB History'!L:L, 1)</f>
        <v>5</v>
      </c>
      <c r="T29" s="2">
        <f>COUNTIFS('OB History'!$B:$B,$A$29,'OB History'!M:M, 1)</f>
        <v>1</v>
      </c>
      <c r="U29" s="2">
        <f>COUNTIFS('OB History'!$B:$B,$A$29,'OB History'!N:N, 1)</f>
        <v>5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2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1</v>
      </c>
      <c r="AD29" s="2">
        <f>COUNTIFS('OB History'!$B:$B,$A$29,'OB History'!W:W, 1)</f>
        <v>3</v>
      </c>
      <c r="AE29" s="2">
        <f>COUNTIFS('OB History'!$B:$B,$A$29,'OB History'!X:X, 1)</f>
        <v>11</v>
      </c>
      <c r="AF29" s="2">
        <f>COUNTIFS('OB History'!$B:$B,$A$29,'OB History'!Y:Y, 1)</f>
        <v>8</v>
      </c>
      <c r="AG29" s="2">
        <f>COUNTIFS('OB History'!$B:$B,$A$29,'OB History'!Z:Z, 1)</f>
        <v>6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819</v>
      </c>
      <c r="G30" s="4">
        <f>AVERAGEIFS('OB History'!C:C,'OB History'!B:B,A30)</f>
        <v>24.088235294117649</v>
      </c>
      <c r="H30" s="35">
        <f t="array" ref="H30">MAX(IF('OB History'!B:B=A30, 'OB History'!C:C))</f>
        <v>55</v>
      </c>
      <c r="I30" s="34">
        <f>COUNTIFS('OB History'!B:B,A30,'OB History'!D:D, 1)</f>
        <v>13</v>
      </c>
      <c r="J30" s="2">
        <f>COUNTIFS('OB History'!B:B,A30,'OB History'!D:D, 0)</f>
        <v>21</v>
      </c>
      <c r="K30" s="88">
        <f>LOOKUP(2, 1/('OB History'!$B:$B=A30), 'OB History'!$AD:$AD)</f>
        <v>0.38235294117647056</v>
      </c>
      <c r="L30" s="34">
        <f>SUMIFS('OB History'!F:F,'OB History'!B:B,A30)</f>
        <v>65</v>
      </c>
      <c r="M30" s="2">
        <f>SUMIFS('OB History'!E:E,'OB History'!B:B,A30)-L30</f>
        <v>75</v>
      </c>
      <c r="N30" s="88">
        <f>LOOKUP(2, 1/('OB History'!$B:$B=A30), 'OB History'!$AB:$AB)</f>
        <v>0.47352941176470592</v>
      </c>
      <c r="O30" s="34">
        <f>SUMIFS('OB History'!H:H,'OB History'!B:B,'Old Bow v2'!A30)</f>
        <v>283</v>
      </c>
      <c r="P30" s="2">
        <f>SUMIFS('OB History'!G:G,'OB History'!B:B,'Old Bow v2'!A30)-O30</f>
        <v>300</v>
      </c>
      <c r="Q30" s="88">
        <f>LOOKUP(2, 1/('OB History'!$B:$B=A30), 'OB History'!$AC:$AC)</f>
        <v>0.49147058823529416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4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6</v>
      </c>
      <c r="AE30" s="2">
        <f>COUNTIFS('OB History'!$B:$B,$A$30,'OB History'!X:X, 1)</f>
        <v>16</v>
      </c>
      <c r="AF30" s="2">
        <f>COUNTIFS('OB History'!$B:$B,$A$30,'OB History'!Y:Y, 1)</f>
        <v>7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161</v>
      </c>
      <c r="D32" s="3">
        <v>4</v>
      </c>
      <c r="E32" s="3">
        <v>1</v>
      </c>
      <c r="F32" s="34">
        <f>SUMIFS('OB History'!C:C,'OB History'!B:B,A32)</f>
        <v>1358</v>
      </c>
      <c r="G32" s="4">
        <f>AVERAGEIFS('OB History'!C:C,'OB History'!B:B,A32)</f>
        <v>26.115384615384617</v>
      </c>
      <c r="H32" s="35">
        <f t="array" ref="H32">MAX(IF('OB History'!B:B=A32, 'OB History'!C:C))</f>
        <v>57</v>
      </c>
      <c r="I32" s="34">
        <f>COUNTIFS('OB History'!B:B,A32,'OB History'!D:D, 1)</f>
        <v>34</v>
      </c>
      <c r="J32" s="2">
        <f>COUNTIFS('OB History'!B:B,A32,'OB History'!D:D, 0)</f>
        <v>18</v>
      </c>
      <c r="K32" s="88">
        <f>LOOKUP(2, 1/('OB History'!$B:$B=A32), 'OB History'!$AD:$AD)</f>
        <v>0.65384615384615385</v>
      </c>
      <c r="L32" s="34">
        <f>SUMIFS('OB History'!F:F,'OB History'!B:B,A32)</f>
        <v>122</v>
      </c>
      <c r="M32" s="2">
        <f>SUMIFS('OB History'!E:E,'OB History'!B:B,A32)-L32</f>
        <v>89</v>
      </c>
      <c r="N32" s="88">
        <f>LOOKUP(2, 1/('OB History'!$B:$B=A32), 'OB History'!$AB:$AB)</f>
        <v>0.58557692307692311</v>
      </c>
      <c r="O32" s="34">
        <f>SUMIFS('OB History'!H:H,'OB History'!B:B,'Old Bow v2'!A32)</f>
        <v>472</v>
      </c>
      <c r="P32" s="2">
        <f>SUMIFS('OB History'!G:G,'OB History'!B:B,'Old Bow v2'!A32)-O32</f>
        <v>389</v>
      </c>
      <c r="Q32" s="88">
        <f>LOOKUP(2, 1/('OB History'!$B:$B=A32), 'OB History'!$AC:$AC)</f>
        <v>0.55153846153846142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12</v>
      </c>
      <c r="V32" s="2">
        <f>COUNTIFS('OB History'!$B:$B,$A$32,'OB History'!O:O, 1)</f>
        <v>3</v>
      </c>
      <c r="W32" s="2">
        <f>COUNTIFS('OB History'!$B:$B,$A$32,'OB History'!P:P, 1)</f>
        <v>16</v>
      </c>
      <c r="X32" s="2">
        <f>COUNTIFS('OB History'!$B:$B,$A$32,'OB History'!Q:Q, 1)</f>
        <v>5</v>
      </c>
      <c r="Y32" s="2">
        <f>COUNTIFS('OB History'!$B:$B,$A$32,'OB History'!R:R, 1)</f>
        <v>4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5</v>
      </c>
      <c r="AD32" s="2">
        <f>COUNTIFS('OB History'!$B:$B,$A$32,'OB History'!W:W, 1)</f>
        <v>11</v>
      </c>
      <c r="AE32" s="2">
        <f>COUNTIFS('OB History'!$B:$B,$A$32,'OB History'!X:X, 1)</f>
        <v>13</v>
      </c>
      <c r="AF32" s="2">
        <f>COUNTIFS('OB History'!$B:$B,$A$32,'OB History'!Y:Y, 1)</f>
        <v>11</v>
      </c>
      <c r="AG32" s="2">
        <f>COUNTIFS('OB History'!$B:$B,$A$32,'OB History'!Z:Z, 1)</f>
        <v>15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372</v>
      </c>
      <c r="G33" s="4">
        <f>AVERAGEIFS('OB History'!C:C,'OB History'!B:B,A33)</f>
        <v>26.571428571428573</v>
      </c>
      <c r="H33" s="35">
        <f t="array" ref="H33">MAX(IF('OB History'!B:B=A33, 'OB History'!C:C))</f>
        <v>42</v>
      </c>
      <c r="I33" s="34">
        <f>COUNTIFS('OB History'!B:B,A33,'OB History'!D:D, 1)</f>
        <v>8</v>
      </c>
      <c r="J33" s="2">
        <f>COUNTIFS('OB History'!B:B,A33,'OB History'!D:D, 0)</f>
        <v>6</v>
      </c>
      <c r="K33" s="88">
        <f>LOOKUP(2, 1/('OB History'!$B:$B=A33), 'OB History'!$AD:$AD)</f>
        <v>0.5714285714285714</v>
      </c>
      <c r="L33" s="34">
        <f>SUMIFS('OB History'!F:F,'OB History'!B:B,A33)</f>
        <v>33</v>
      </c>
      <c r="M33" s="2">
        <f>SUMIFS('OB History'!E:E,'OB History'!B:B,A33)-L33</f>
        <v>26</v>
      </c>
      <c r="N33" s="88">
        <f>LOOKUP(2, 1/('OB History'!$B:$B=A33), 'OB History'!$AB:$AB)</f>
        <v>0.57500000000000007</v>
      </c>
      <c r="O33" s="34">
        <f>SUMIFS('OB History'!H:H,'OB History'!B:B,'Old Bow v2'!A33)</f>
        <v>133</v>
      </c>
      <c r="P33" s="2">
        <f>SUMIFS('OB History'!G:G,'OB History'!B:B,'Old Bow v2'!A33)-O33</f>
        <v>113</v>
      </c>
      <c r="Q33" s="88">
        <f>LOOKUP(2, 1/('OB History'!$B:$B=A33), 'OB History'!$AC:$AC)</f>
        <v>0.54999999999999993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7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2</v>
      </c>
      <c r="AF33" s="2">
        <f>COUNTIFS('OB History'!$B:$B,$A$33,'OB History'!Y:Y, 1)</f>
        <v>4</v>
      </c>
      <c r="AG33" s="2">
        <f>COUNTIFS('OB History'!$B:$B,$A$33,'OB History'!Z:Z, 1)</f>
        <v>5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266</v>
      </c>
      <c r="G35" s="4">
        <f>AVERAGEIFS('OB History'!C:C,'OB History'!B:B,A35)</f>
        <v>22.166666666666668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7</v>
      </c>
      <c r="K35" s="88">
        <f>LOOKUP(2, 1/('OB History'!$B:$B=A35), 'OB History'!$AD:$AD)</f>
        <v>0.41666666666666669</v>
      </c>
      <c r="L35" s="34">
        <f>SUMIFS('OB History'!F:F,'OB History'!B:B,A35)</f>
        <v>22</v>
      </c>
      <c r="M35" s="2">
        <f>SUMIFS('OB History'!E:E,'OB History'!B:B,A35)-L35</f>
        <v>29</v>
      </c>
      <c r="N35" s="88">
        <f>LOOKUP(2, 1/('OB History'!$B:$B=A35), 'OB History'!$AB:$AB)</f>
        <v>0.41249999999999992</v>
      </c>
      <c r="O35" s="34">
        <f>SUMIFS('OB History'!H:H,'OB History'!B:B,'Old Bow v2'!A35)</f>
        <v>101</v>
      </c>
      <c r="P35" s="2">
        <f>SUMIFS('OB History'!G:G,'OB History'!B:B,'Old Bow v2'!A35)-O35</f>
        <v>115</v>
      </c>
      <c r="Q35" s="88">
        <f>LOOKUP(2, 1/('OB History'!$B:$B=A35), 'OB History'!$AC:$AC)</f>
        <v>0.45333333333333331</v>
      </c>
      <c r="R35" s="2">
        <f>COUNTIFS('OB History'!$B:$B,$A$35,'OB History'!K:K, 1)</f>
        <v>1</v>
      </c>
      <c r="S35" s="2">
        <f>COUNTIFS('OB History'!$B:$B,$A$35,'OB History'!L:L, 1)</f>
        <v>2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60</v>
      </c>
      <c r="G36" s="4">
        <f>AVERAGEIFS('OB History'!C:C,'OB History'!B:B,A36)</f>
        <v>6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6</v>
      </c>
      <c r="K36" s="88">
        <f>LOOKUP(2, 1/('OB History'!$B:$B=A36), 'OB History'!$AD:$AD)</f>
        <v>0.4</v>
      </c>
      <c r="L36" s="34">
        <f>SUMIFS('OB History'!F:F,'OB History'!B:B,A36)</f>
        <v>15</v>
      </c>
      <c r="M36" s="2">
        <f>SUMIFS('OB History'!E:E,'OB History'!B:B,A36)-L36</f>
        <v>23</v>
      </c>
      <c r="N36" s="88">
        <f>LOOKUP(2, 1/('OB History'!$B:$B=A36), 'OB History'!$AB:$AB)</f>
        <v>0.37</v>
      </c>
      <c r="O36" s="34">
        <f>SUMIFS('OB History'!H:H,'OB History'!B:B,'Old Bow v2'!A36)</f>
        <v>66</v>
      </c>
      <c r="P36" s="2">
        <f>SUMIFS('OB History'!G:G,'OB History'!B:B,'Old Bow v2'!A36)-O36</f>
        <v>86</v>
      </c>
      <c r="Q36" s="88">
        <f>LOOKUP(2, 1/('OB History'!$B:$B=A36), 'OB History'!$AC:$AC)</f>
        <v>0.43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141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149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147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121</v>
      </c>
      <c r="G40" s="4">
        <f>AVERAGEIFS('OB History'!C:C,'OB History'!B:B,A40)</f>
        <v>15.125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7</v>
      </c>
      <c r="K40" s="88">
        <f>LOOKUP(2, 1/('OB History'!$B:$B=A40), 'OB History'!$AD:$AD)</f>
        <v>0.125</v>
      </c>
      <c r="L40" s="34">
        <f>SUMIFS('OB History'!F:F,'OB History'!B:B,A40)</f>
        <v>9</v>
      </c>
      <c r="M40" s="2">
        <f>SUMIFS('OB History'!E:E,'OB History'!B:B,A40)-L40</f>
        <v>21</v>
      </c>
      <c r="N40" s="88">
        <f>LOOKUP(2, 1/('OB History'!$B:$B=A40), 'OB History'!$AB:$AB)</f>
        <v>0.27500000000000002</v>
      </c>
      <c r="O40" s="34">
        <f>SUMIFS('OB History'!H:H,'OB History'!B:B,'Old Bow v2'!A40)</f>
        <v>49</v>
      </c>
      <c r="P40" s="2">
        <f>SUMIFS('OB History'!G:G,'OB History'!B:B,'Old Bow v2'!A40)-O40</f>
        <v>71</v>
      </c>
      <c r="Q40" s="88">
        <f>LOOKUP(2, 1/('OB History'!$B:$B=A40), 'OB History'!$AC:$AC)</f>
        <v>0.39500000000000002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4">
        <f>SUMIFS('OB History'!C:C,'OB History'!B:B,A41)</f>
        <v>1166</v>
      </c>
      <c r="G41" s="4">
        <f>AVERAGEIFS('OB History'!C:C,'OB History'!B:B,A41)</f>
        <v>25.347826086956523</v>
      </c>
      <c r="H41" s="35">
        <f t="array" ref="H41">MAX(IF('OB History'!B:B=A41, 'OB History'!C:C))</f>
        <v>49</v>
      </c>
      <c r="I41" s="34">
        <f>COUNTIFS('OB History'!B:B,A41,'OB History'!D:D, 1)</f>
        <v>20</v>
      </c>
      <c r="J41" s="2">
        <f>COUNTIFS('OB History'!B:B,A41,'OB History'!D:D, 0)</f>
        <v>26</v>
      </c>
      <c r="K41" s="88">
        <f>LOOKUP(2, 1/('OB History'!$B:$B=A41), 'OB History'!$AD:$AD)</f>
        <v>0.43478260869565216</v>
      </c>
      <c r="L41" s="34">
        <f>SUMIFS('OB History'!F:F,'OB History'!B:B,A41)</f>
        <v>93</v>
      </c>
      <c r="M41" s="2">
        <f>SUMIFS('OB History'!E:E,'OB History'!B:B,A41)-L41</f>
        <v>95</v>
      </c>
      <c r="N41" s="88">
        <f>LOOKUP(2, 1/('OB History'!$B:$B=A41), 'OB History'!$AB:$AB)</f>
        <v>0.50869565217391322</v>
      </c>
      <c r="O41" s="34">
        <f>SUMIFS('OB History'!H:H,'OB History'!B:B,'Old Bow v2'!A41)</f>
        <v>387</v>
      </c>
      <c r="P41" s="2">
        <f>SUMIFS('OB History'!G:G,'OB History'!B:B,'Old Bow v2'!A41)-O41</f>
        <v>384</v>
      </c>
      <c r="Q41" s="88">
        <f>LOOKUP(2, 1/('OB History'!$B:$B=A41), 'OB History'!$AC:$AC)</f>
        <v>0.51260869565217382</v>
      </c>
      <c r="R41" s="2">
        <f>COUNTIFS('OB History'!$B:$B,$A$41,'OB History'!K:K, 1)</f>
        <v>6</v>
      </c>
      <c r="S41" s="2">
        <f>COUNTIFS('OB History'!$B:$B,$A$41,'OB History'!L:L, 1)</f>
        <v>6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3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3</v>
      </c>
      <c r="AD41" s="2">
        <f>COUNTIFS('OB History'!$B:$B,$A$41,'OB History'!W:W, 1)</f>
        <v>7</v>
      </c>
      <c r="AE41" s="2">
        <f>COUNTIFS('OB History'!$B:$B,$A$41,'OB History'!X:X, 1)</f>
        <v>17</v>
      </c>
      <c r="AF41" s="2">
        <f>COUNTIFS('OB History'!$B:$B,$A$41,'OB History'!Y:Y, 1)</f>
        <v>8</v>
      </c>
      <c r="AG41" s="2">
        <f>COUNTIFS('OB History'!$B:$B,$A$41,'OB History'!Z:Z, 1)</f>
        <v>14</v>
      </c>
    </row>
    <row r="42" spans="1:33" x14ac:dyDescent="0.25">
      <c r="A42" s="2" t="s">
        <v>169</v>
      </c>
      <c r="B42" s="2" t="s">
        <v>79</v>
      </c>
      <c r="C42" s="2" t="s">
        <v>79</v>
      </c>
      <c r="D42" s="3"/>
      <c r="E42" s="3"/>
      <c r="F42" s="34">
        <f>SUMIFS('OB History'!C:C,'OB History'!B:B,A42)</f>
        <v>29</v>
      </c>
      <c r="G42" s="4">
        <f>AVERAGEIFS('OB History'!C:C,'OB History'!B:B,A42)</f>
        <v>14.5</v>
      </c>
      <c r="H42" s="35">
        <f t="array" ref="H42">MAX(IF('OB History'!B:B=A42, 'OB History'!C:C))</f>
        <v>18</v>
      </c>
      <c r="I42" s="34">
        <f>COUNTIFS('OB History'!B:B,A42,'OB History'!D:D, 1)</f>
        <v>0</v>
      </c>
      <c r="J42" s="2">
        <f>COUNTIFS('OB History'!B:B,A42,'OB History'!D:D, 0)</f>
        <v>2</v>
      </c>
      <c r="K42" s="88">
        <f>LOOKUP(2, 1/('OB History'!$B:$B=A42), 'OB History'!$AD:$AD)</f>
        <v>0</v>
      </c>
      <c r="L42" s="34">
        <f>SUMIFS('OB History'!F:F,'OB History'!B:B,A42)</f>
        <v>0</v>
      </c>
      <c r="M42" s="2">
        <f>SUMIFS('OB History'!E:E,'OB History'!B:B,A42)-L42</f>
        <v>6</v>
      </c>
      <c r="N42" s="88">
        <f>LOOKUP(2, 1/('OB History'!$B:$B=A42), 'OB History'!$AB:$AB)</f>
        <v>0</v>
      </c>
      <c r="O42" s="34">
        <f>SUMIFS('OB History'!H:H,'OB History'!B:B,'Old Bow v2'!A42)</f>
        <v>7</v>
      </c>
      <c r="P42" s="2">
        <f>SUMIFS('OB History'!G:G,'OB History'!B:B,'Old Bow v2'!A42)-O42</f>
        <v>18</v>
      </c>
      <c r="Q42" s="88">
        <f>LOOKUP(2, 1/('OB History'!$B:$B=A42), 'OB History'!$AC:$AC)</f>
        <v>0.28000000000000003</v>
      </c>
      <c r="R42" s="2">
        <f>COUNTIFS('OB History'!$B:$B,$A$42,'OB History'!K:K, 1)</f>
        <v>0</v>
      </c>
      <c r="S42" s="2">
        <f>COUNTIFS('OB History'!$B:$B,$A$42,'OB History'!L:L, 1)</f>
        <v>0</v>
      </c>
      <c r="T42" s="2">
        <f>COUNTIFS('OB History'!$B:$B,$A$42,'OB History'!M:M, 1)</f>
        <v>0</v>
      </c>
      <c r="U42" s="2">
        <f>COUNTIFS('OB History'!$B:$B,$A$42,'OB History'!N:N, 1)</f>
        <v>0</v>
      </c>
      <c r="V42" s="2">
        <f>COUNTIFS('OB History'!$B:$B,$A$42,'OB History'!O:O, 1)</f>
        <v>0</v>
      </c>
      <c r="W42" s="2">
        <f>COUNTIFS('OB History'!$B:$B,$A$42,'OB History'!P:P, 1)</f>
        <v>0</v>
      </c>
      <c r="X42" s="2">
        <f>COUNTIFS('OB History'!$B:$B,$A$42,'OB History'!Q:Q, 1)</f>
        <v>0</v>
      </c>
      <c r="Y42" s="2">
        <f>COUNTIFS('OB History'!$B:$B,$A$42,'OB History'!R:R, 1)</f>
        <v>0</v>
      </c>
      <c r="Z42" s="2">
        <f>COUNTIFS('OB History'!$B:$B,$A$42,'OB History'!S:S, 1)</f>
        <v>0</v>
      </c>
      <c r="AA42" s="2">
        <f>COUNTIFS('OB History'!$B:$B,$A$42,'OB History'!T:T, 1)</f>
        <v>0</v>
      </c>
      <c r="AB42" s="2">
        <f>COUNTIFS('OB History'!$B:$B,$A$42,'OB History'!U:U, 1)</f>
        <v>0</v>
      </c>
      <c r="AC42" s="2">
        <f>COUNTIFS('OB History'!$B:$B,$A$42,'OB History'!V:V, 1)</f>
        <v>0</v>
      </c>
      <c r="AD42" s="2">
        <f>COUNTIFS('OB History'!$B:$B,$A$42,'OB History'!W:W, 1)</f>
        <v>0</v>
      </c>
      <c r="AE42" s="2">
        <f>COUNTIFS('OB History'!$B:$B,$A$42,'OB History'!X:X, 1)</f>
        <v>0</v>
      </c>
      <c r="AF42" s="2">
        <f>COUNTIFS('OB History'!$B:$B,$A$42,'OB History'!Y:Y, 1)</f>
        <v>0</v>
      </c>
      <c r="AG42" s="2">
        <f>COUNTIFS('OB History'!$B:$B,$A$42,'OB History'!Z:Z, 1)</f>
        <v>0</v>
      </c>
    </row>
    <row r="43" spans="1:33" x14ac:dyDescent="0.25">
      <c r="A43" s="2" t="s">
        <v>155</v>
      </c>
      <c r="B43" s="2" t="s">
        <v>79</v>
      </c>
      <c r="C43" s="2" t="s">
        <v>79</v>
      </c>
      <c r="D43" s="3">
        <v>2</v>
      </c>
      <c r="E43" s="3">
        <v>1</v>
      </c>
      <c r="F43" s="34">
        <f>SUMIFS('OB History'!C:C,'OB History'!B:B,A43)</f>
        <v>220</v>
      </c>
      <c r="G43" s="4">
        <f>AVERAGEIFS('OB History'!C:C,'OB History'!B:B,A43)</f>
        <v>14.666666666666666</v>
      </c>
      <c r="H43" s="35">
        <f t="array" ref="H43">MAX(IF('OB History'!B:B=A43, 'OB History'!C:C))</f>
        <v>28</v>
      </c>
      <c r="I43" s="34">
        <f>COUNTIFS('OB History'!B:B,A43,'OB History'!D:D, 1)</f>
        <v>3</v>
      </c>
      <c r="J43" s="2">
        <f>COUNTIFS('OB History'!B:B,A43,'OB History'!D:D, 0)</f>
        <v>12</v>
      </c>
      <c r="K43" s="88">
        <f>LOOKUP(2, 1/('OB History'!$B:$B=A43), 'OB History'!$AD:$AD)</f>
        <v>0.2</v>
      </c>
      <c r="L43" s="34">
        <f>SUMIFS('OB History'!F:F,'OB History'!B:B,A43)</f>
        <v>23</v>
      </c>
      <c r="M43" s="2">
        <f>SUMIFS('OB History'!E:E,'OB History'!B:B,A43)-L43</f>
        <v>41</v>
      </c>
      <c r="N43" s="88">
        <f>LOOKUP(2, 1/('OB History'!$B:$B=A43), 'OB History'!$AB:$AB)</f>
        <v>0.33666666666666667</v>
      </c>
      <c r="O43" s="34">
        <f>SUMIFS('OB History'!H:H,'OB History'!B:B,'Old Bow v2'!A43)</f>
        <v>115</v>
      </c>
      <c r="P43" s="2">
        <f>SUMIFS('OB History'!G:G,'OB History'!B:B,'Old Bow v2'!A43)-O43</f>
        <v>144</v>
      </c>
      <c r="Q43" s="88">
        <f>LOOKUP(2, 1/('OB History'!$B:$B=A43), 'OB History'!$AC:$AC)</f>
        <v>0.42599999999999999</v>
      </c>
      <c r="R43" s="2">
        <f>COUNTIFS('OB History'!$B:$B,$A$43,'OB History'!K:K, 1)</f>
        <v>2</v>
      </c>
      <c r="S43" s="2">
        <f>COUNTIFS('OB History'!$B:$B,$A$43,'OB History'!L:L, 1)</f>
        <v>1</v>
      </c>
      <c r="T43" s="2">
        <f>COUNTIFS('OB History'!$B:$B,$A$43,'OB History'!M:M, 1)</f>
        <v>2</v>
      </c>
      <c r="U43" s="2">
        <f>COUNTIFS('OB History'!$B:$B,$A$43,'OB History'!N:N, 1)</f>
        <v>2</v>
      </c>
      <c r="V43" s="2">
        <f>COUNTIFS('OB History'!$B:$B,$A$43,'OB History'!O:O, 1)</f>
        <v>0</v>
      </c>
      <c r="W43" s="2">
        <f>COUNTIFS('OB History'!$B:$B,$A$43,'OB History'!P:P, 1)</f>
        <v>4</v>
      </c>
      <c r="X43" s="2">
        <f>COUNTIFS('OB History'!$B:$B,$A$43,'OB History'!Q:Q, 1)</f>
        <v>1</v>
      </c>
      <c r="Y43" s="2">
        <f>COUNTIFS('OB History'!$B:$B,$A$43,'OB History'!R:R, 1)</f>
        <v>0</v>
      </c>
      <c r="Z43" s="2">
        <f>COUNTIFS('OB History'!$B:$B,$A$43,'OB History'!S:S, 1)</f>
        <v>1</v>
      </c>
      <c r="AA43" s="2">
        <f>COUNTIFS('OB History'!$B:$B,$A$43,'OB History'!T:T, 1)</f>
        <v>1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1</v>
      </c>
      <c r="AE43" s="2">
        <f>COUNTIFS('OB History'!$B:$B,$A$43,'OB History'!X:X, 1)</f>
        <v>3</v>
      </c>
      <c r="AF43" s="2">
        <f>COUNTIFS('OB History'!$B:$B,$A$43,'OB History'!Y:Y, 1)</f>
        <v>3</v>
      </c>
      <c r="AG43" s="2">
        <f>COUNTIFS('OB History'!$B:$B,$A$43,'OB History'!Z:Z, 1)</f>
        <v>1</v>
      </c>
    </row>
    <row r="44" spans="1:33" x14ac:dyDescent="0.25">
      <c r="A44" s="2" t="s">
        <v>6</v>
      </c>
      <c r="B44" s="2" t="s">
        <v>60</v>
      </c>
      <c r="C44" s="2" t="s">
        <v>79</v>
      </c>
      <c r="D44" s="3"/>
      <c r="E44" s="3"/>
      <c r="F44" s="34">
        <f>SUMIFS('OB History'!C:C,'OB History'!B:B,A44)</f>
        <v>545</v>
      </c>
      <c r="G44" s="4">
        <f>AVERAGEIFS('OB History'!C:C,'OB History'!B:B,A44)</f>
        <v>22.708333333333332</v>
      </c>
      <c r="H44" s="35">
        <f t="array" ref="H44">MAX(IF('OB History'!B:B=A44, 'OB History'!C:C))</f>
        <v>43</v>
      </c>
      <c r="I44" s="34">
        <f>COUNTIFS('OB History'!B:B,A44,'OB History'!D:D, 1)</f>
        <v>17</v>
      </c>
      <c r="J44" s="2">
        <f>COUNTIFS('OB History'!B:B,A44,'OB History'!D:D, 0)</f>
        <v>7</v>
      </c>
      <c r="K44" s="88">
        <f>LOOKUP(2, 1/('OB History'!$B:$B=A44), 'OB History'!$AD:$AD)</f>
        <v>0.70833333333333337</v>
      </c>
      <c r="L44" s="34">
        <f>SUMIFS('OB History'!F:F,'OB History'!B:B,A44)</f>
        <v>59</v>
      </c>
      <c r="M44" s="2">
        <f>SUMIFS('OB History'!E:E,'OB History'!B:B,A44)-L44</f>
        <v>38</v>
      </c>
      <c r="N44" s="88">
        <f>LOOKUP(2, 1/('OB History'!$B:$B=A44), 'OB History'!$AB:$AB)</f>
        <v>0.62708333333333333</v>
      </c>
      <c r="O44" s="34">
        <f>SUMIFS('OB History'!H:H,'OB History'!B:B,'Old Bow v2'!A44)</f>
        <v>227</v>
      </c>
      <c r="P44" s="2">
        <f>SUMIFS('OB History'!G:G,'OB History'!B:B,'Old Bow v2'!A44)-O44</f>
        <v>185</v>
      </c>
      <c r="Q44" s="88">
        <f>LOOKUP(2, 1/('OB History'!$B:$B=A44), 'OB History'!$AC:$AC)</f>
        <v>0.56125000000000003</v>
      </c>
      <c r="R44" s="2">
        <f>COUNTIFS('OB History'!$B:$B,$A$44,'OB History'!K:K, 1)</f>
        <v>2</v>
      </c>
      <c r="S44" s="2">
        <f>COUNTIFS('OB History'!$B:$B,$A$44,'OB History'!L:L, 1)</f>
        <v>5</v>
      </c>
      <c r="T44" s="2">
        <f>COUNTIFS('OB History'!$B:$B,$A$44,'OB History'!M:M, 1)</f>
        <v>6</v>
      </c>
      <c r="U44" s="2">
        <f>COUNTIFS('OB History'!$B:$B,$A$44,'OB History'!N:N, 1)</f>
        <v>3</v>
      </c>
      <c r="V44" s="2">
        <f>COUNTIFS('OB History'!$B:$B,$A$44,'OB History'!O:O, 1)</f>
        <v>1</v>
      </c>
      <c r="W44" s="2">
        <f>COUNTIFS('OB History'!$B:$B,$A$44,'OB History'!P:P, 1)</f>
        <v>7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1</v>
      </c>
      <c r="AA44" s="2">
        <f>COUNTIFS('OB History'!$B:$B,$A$44,'OB History'!T:T, 1)</f>
        <v>2</v>
      </c>
      <c r="AB44" s="2">
        <f>COUNTIFS('OB History'!$B:$B,$A$44,'OB History'!U:U, 1)</f>
        <v>0</v>
      </c>
      <c r="AC44" s="2">
        <f>COUNTIFS('OB History'!$B:$B,$A$44,'OB History'!V:V, 1)</f>
        <v>1</v>
      </c>
      <c r="AD44" s="2">
        <f>COUNTIFS('OB History'!$B:$B,$A$44,'OB History'!W:W, 1)</f>
        <v>7</v>
      </c>
      <c r="AE44" s="2">
        <f>COUNTIFS('OB History'!$B:$B,$A$44,'OB History'!X:X, 1)</f>
        <v>7</v>
      </c>
      <c r="AF44" s="2">
        <f>COUNTIFS('OB History'!$B:$B,$A$44,'OB History'!Y:Y, 1)</f>
        <v>4</v>
      </c>
      <c r="AG44" s="2">
        <f>COUNTIFS('OB History'!$B:$B,$A$44,'OB History'!Z:Z, 1)</f>
        <v>8</v>
      </c>
    </row>
    <row r="45" spans="1:33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4">
        <f>SUMIFS('OB History'!C:C,'OB History'!B:B,A45)</f>
        <v>617</v>
      </c>
      <c r="G45" s="4">
        <f>AVERAGEIFS('OB History'!C:C,'OB History'!B:B,A45)</f>
        <v>24.68</v>
      </c>
      <c r="H45" s="35">
        <f t="array" ref="H45">MAX(IF('OB History'!B:B=A45, 'OB History'!C:C))</f>
        <v>41</v>
      </c>
      <c r="I45" s="34">
        <f>COUNTIFS('OB History'!B:B,A45,'OB History'!D:D, 1)</f>
        <v>11</v>
      </c>
      <c r="J45" s="2">
        <f>COUNTIFS('OB History'!B:B,A45,'OB History'!D:D, 0)</f>
        <v>14</v>
      </c>
      <c r="K45" s="88">
        <f>LOOKUP(2, 1/('OB History'!$B:$B=A45), 'OB History'!$AD:$AD)</f>
        <v>0.44</v>
      </c>
      <c r="L45" s="34">
        <f>SUMIFS('OB History'!F:F,'OB History'!B:B,A45)</f>
        <v>48</v>
      </c>
      <c r="M45" s="2">
        <f>SUMIFS('OB History'!E:E,'OB History'!B:B,A45)-L45</f>
        <v>54</v>
      </c>
      <c r="N45" s="88">
        <f>LOOKUP(2, 1/('OB History'!$B:$B=A45), 'OB History'!$AB:$AB)</f>
        <v>0.46200000000000002</v>
      </c>
      <c r="O45" s="34">
        <f>SUMIFS('OB History'!H:H,'OB History'!B:B,'Old Bow v2'!A45)</f>
        <v>206</v>
      </c>
      <c r="P45" s="2">
        <f>SUMIFS('OB History'!G:G,'OB History'!B:B,'Old Bow v2'!A45)-O45</f>
        <v>217</v>
      </c>
      <c r="Q45" s="88">
        <f>LOOKUP(2, 1/('OB History'!$B:$B=A45), 'OB History'!$AC:$AC)</f>
        <v>0.48400000000000004</v>
      </c>
      <c r="R45" s="2">
        <f>COUNTIFS('OB History'!$B:$B,$A$45,'OB History'!K:K, 1)</f>
        <v>2</v>
      </c>
      <c r="S45" s="2">
        <f>COUNTIFS('OB History'!$B:$B,$A$45,'OB History'!L:L, 1)</f>
        <v>2</v>
      </c>
      <c r="T45" s="2">
        <f>COUNTIFS('OB History'!$B:$B,$A$45,'OB History'!M:M, 1)</f>
        <v>1</v>
      </c>
      <c r="U45" s="2">
        <f>COUNTIFS('OB History'!$B:$B,$A$45,'OB History'!N:N, 1)</f>
        <v>9</v>
      </c>
      <c r="V45" s="2">
        <f>COUNTIFS('OB History'!$B:$B,$A$45,'OB History'!O:O, 1)</f>
        <v>1</v>
      </c>
      <c r="W45" s="2">
        <f>COUNTIFS('OB History'!$B:$B,$A$45,'OB History'!P:P, 1)</f>
        <v>6</v>
      </c>
      <c r="X45" s="2">
        <f>COUNTIFS('OB History'!$B:$B,$A$45,'OB History'!Q:Q, 1)</f>
        <v>3</v>
      </c>
      <c r="Y45" s="2">
        <f>COUNTIFS('OB History'!$B:$B,$A$45,'OB History'!R:R, 1)</f>
        <v>2</v>
      </c>
      <c r="Z45" s="2">
        <f>COUNTIFS('OB History'!$B:$B,$A$45,'OB History'!S:S, 1)</f>
        <v>0</v>
      </c>
      <c r="AA45" s="2">
        <f>COUNTIFS('OB History'!$B:$B,$A$45,'OB History'!T:T, 1)</f>
        <v>1</v>
      </c>
      <c r="AB45" s="2">
        <f>COUNTIFS('OB History'!$B:$B,$A$45,'OB History'!U:U, 1)</f>
        <v>1</v>
      </c>
      <c r="AC45" s="2">
        <f>COUNTIFS('OB History'!$B:$B,$A$45,'OB History'!V:V, 1)</f>
        <v>0</v>
      </c>
      <c r="AD45" s="2">
        <f>COUNTIFS('OB History'!$B:$B,$A$45,'OB History'!W:W, 1)</f>
        <v>5</v>
      </c>
      <c r="AE45" s="2">
        <f>COUNTIFS('OB History'!$B:$B,$A$45,'OB History'!X:X, 1)</f>
        <v>7</v>
      </c>
      <c r="AF45" s="2">
        <f>COUNTIFS('OB History'!$B:$B,$A$45,'OB History'!Y:Y, 1)</f>
        <v>2</v>
      </c>
      <c r="AG45" s="2">
        <f>COUNTIFS('OB History'!$B:$B,$A$45,'OB History'!Z:Z, 1)</f>
        <v>6</v>
      </c>
    </row>
    <row r="46" spans="1:33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4">
        <f>SUMIFS('OB History'!C:C,'OB History'!B:B,A46)</f>
        <v>143</v>
      </c>
      <c r="G46" s="4">
        <f>AVERAGEIFS('OB History'!C:C,'OB History'!B:B,A46)</f>
        <v>15.888888888888889</v>
      </c>
      <c r="H46" s="35">
        <f t="array" ref="H46">MAX(IF('OB History'!B:B=A46, 'OB History'!C:C))</f>
        <v>26</v>
      </c>
      <c r="I46" s="34">
        <f>COUNTIFS('OB History'!B:B,A46,'OB History'!D:D, 1)</f>
        <v>7</v>
      </c>
      <c r="J46" s="2">
        <f>COUNTIFS('OB History'!B:B,A46,'OB History'!D:D, 0)</f>
        <v>2</v>
      </c>
      <c r="K46" s="88">
        <f>LOOKUP(2, 1/('OB History'!$B:$B=A46), 'OB History'!$AD:$AD)</f>
        <v>0.77777777777777779</v>
      </c>
      <c r="L46" s="34">
        <f>SUMIFS('OB History'!F:F,'OB History'!B:B,A46)</f>
        <v>21</v>
      </c>
      <c r="M46" s="2">
        <f>SUMIFS('OB History'!E:E,'OB History'!B:B,A46)-L46</f>
        <v>12</v>
      </c>
      <c r="N46" s="88">
        <f>LOOKUP(2, 1/('OB History'!$B:$B=A46), 'OB History'!$AB:$AB)</f>
        <v>0.6333333333333333</v>
      </c>
      <c r="O46" s="34">
        <f>SUMIFS('OB History'!H:H,'OB History'!B:B,'Old Bow v2'!A46)</f>
        <v>75</v>
      </c>
      <c r="P46" s="2">
        <f>SUMIFS('OB History'!G:G,'OB History'!B:B,'Old Bow v2'!A46)-O46</f>
        <v>60</v>
      </c>
      <c r="Q46" s="88">
        <f>LOOKUP(2, 1/('OB History'!$B:$B=A46), 'OB History'!$AC:$AC)</f>
        <v>0.5444444444444444</v>
      </c>
      <c r="R46" s="2">
        <f>COUNTIFS('OB History'!$B:$B,$A$46,'OB History'!K:K, 1)</f>
        <v>0</v>
      </c>
      <c r="S46" s="2">
        <f>COUNTIFS('OB History'!$B:$B,$A$46,'OB History'!L:L, 1)</f>
        <v>3</v>
      </c>
      <c r="T46" s="2">
        <f>COUNTIFS('OB History'!$B:$B,$A$46,'OB History'!M:M, 1)</f>
        <v>1</v>
      </c>
      <c r="U46" s="2">
        <f>COUNTIFS('OB History'!$B:$B,$A$46,'OB History'!N:N, 1)</f>
        <v>1</v>
      </c>
      <c r="V46" s="2">
        <f>COUNTIFS('OB History'!$B:$B,$A$46,'OB History'!O:O, 1)</f>
        <v>0</v>
      </c>
      <c r="W46" s="2">
        <f>COUNTIFS('OB History'!$B:$B,$A$46,'OB History'!P:P, 1)</f>
        <v>1</v>
      </c>
      <c r="X46" s="2">
        <f>COUNTIFS('OB History'!$B:$B,$A$46,'OB History'!Q:Q, 1)</f>
        <v>2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1</v>
      </c>
      <c r="AD46" s="2">
        <f>COUNTIFS('OB History'!$B:$B,$A$46,'OB History'!W:W, 1)</f>
        <v>2</v>
      </c>
      <c r="AE46" s="2">
        <f>COUNTIFS('OB History'!$B:$B,$A$46,'OB History'!X:X, 1)</f>
        <v>4</v>
      </c>
      <c r="AF46" s="2">
        <f>COUNTIFS('OB History'!$B:$B,$A$46,'OB History'!Y:Y, 1)</f>
        <v>2</v>
      </c>
      <c r="AG46" s="2">
        <f>COUNTIFS('OB History'!$B:$B,$A$46,'OB History'!Z:Z, 1)</f>
        <v>3</v>
      </c>
    </row>
    <row r="47" spans="1:33" x14ac:dyDescent="0.25">
      <c r="A47" s="2" t="s">
        <v>14</v>
      </c>
      <c r="B47" s="6" t="s">
        <v>124</v>
      </c>
      <c r="C47" s="1" t="s">
        <v>162</v>
      </c>
      <c r="D47" s="3">
        <v>4</v>
      </c>
      <c r="E47" s="3">
        <v>1</v>
      </c>
      <c r="F47" s="34">
        <f>SUMIFS('OB History'!C:C,'OB History'!B:B,A47)</f>
        <v>917</v>
      </c>
      <c r="G47" s="4">
        <f>AVERAGEIFS('OB History'!C:C,'OB History'!B:B,A47)</f>
        <v>24.131578947368421</v>
      </c>
      <c r="H47" s="35">
        <f t="array" ref="H47">MAX(IF('OB History'!B:B=A47, 'OB History'!C:C))</f>
        <v>56</v>
      </c>
      <c r="I47" s="34">
        <f>COUNTIFS('OB History'!B:B,A47,'OB History'!D:D, 1)</f>
        <v>18</v>
      </c>
      <c r="J47" s="2">
        <f>COUNTIFS('OB History'!B:B,A47,'OB History'!D:D, 0)</f>
        <v>20</v>
      </c>
      <c r="K47" s="88">
        <f>LOOKUP(2, 1/('OB History'!$B:$B=A47), 'OB History'!$AD:$AD)</f>
        <v>0.47368421052631576</v>
      </c>
      <c r="L47" s="34">
        <f>SUMIFS('OB History'!F:F,'OB History'!B:B,A47)</f>
        <v>73</v>
      </c>
      <c r="M47" s="2">
        <f>SUMIFS('OB History'!E:E,'OB History'!B:B,A47)-L47</f>
        <v>80</v>
      </c>
      <c r="N47" s="88">
        <f>LOOKUP(2, 1/('OB History'!$B:$B=A47), 'OB History'!$AB:$AB)</f>
        <v>0.47763157894736841</v>
      </c>
      <c r="O47" s="34">
        <f>SUMIFS('OB History'!H:H,'OB History'!B:B,'Old Bow v2'!A47)</f>
        <v>306</v>
      </c>
      <c r="P47" s="2">
        <f>SUMIFS('OB History'!G:G,'OB History'!B:B,'Old Bow v2'!A47)-O47</f>
        <v>327</v>
      </c>
      <c r="Q47" s="88">
        <f>LOOKUP(2, 1/('OB History'!$B:$B=A47), 'OB History'!$AC:$AC)</f>
        <v>0.48894736842105269</v>
      </c>
      <c r="R47" s="2">
        <f>COUNTIFS('OB History'!$B:$B,$A$47,'OB History'!K:K, 1)</f>
        <v>3</v>
      </c>
      <c r="S47" s="2">
        <f>COUNTIFS('OB History'!$B:$B,$A$47,'OB History'!L:L, 1)</f>
        <v>9</v>
      </c>
      <c r="T47" s="2">
        <f>COUNTIFS('OB History'!$B:$B,$A$47,'OB History'!M:M, 1)</f>
        <v>3</v>
      </c>
      <c r="U47" s="2">
        <f>COUNTIFS('OB History'!$B:$B,$A$47,'OB History'!N:N, 1)</f>
        <v>8</v>
      </c>
      <c r="V47" s="2">
        <f>COUNTIFS('OB History'!$B:$B,$A$47,'OB History'!O:O, 1)</f>
        <v>2</v>
      </c>
      <c r="W47" s="2">
        <f>COUNTIFS('OB History'!$B:$B,$A$47,'OB History'!P:P, 1)</f>
        <v>6</v>
      </c>
      <c r="X47" s="2">
        <f>COUNTIFS('OB History'!$B:$B,$A$47,'OB History'!Q:Q, 1)</f>
        <v>1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3</v>
      </c>
      <c r="AD47" s="2">
        <f>COUNTIFS('OB History'!$B:$B,$A$47,'OB History'!W:W, 1)</f>
        <v>7</v>
      </c>
      <c r="AE47" s="2">
        <f>COUNTIFS('OB History'!$B:$B,$A$47,'OB History'!X:X, 1)</f>
        <v>19</v>
      </c>
      <c r="AF47" s="2">
        <f>COUNTIFS('OB History'!$B:$B,$A$47,'OB History'!Y:Y, 1)</f>
        <v>3</v>
      </c>
      <c r="AG47" s="2">
        <f>COUNTIFS('OB History'!$B:$B,$A$47,'OB History'!Z:Z, 1)</f>
        <v>8</v>
      </c>
    </row>
    <row r="48" spans="1:33" x14ac:dyDescent="0.25">
      <c r="A48" s="2" t="s">
        <v>70</v>
      </c>
      <c r="B48" s="6" t="s">
        <v>79</v>
      </c>
      <c r="C48" s="6" t="s">
        <v>79</v>
      </c>
      <c r="D48" s="3"/>
      <c r="E48" s="3"/>
      <c r="F48" s="34">
        <f>SUMIFS('OB History'!C:C,'OB History'!B:B,A48)</f>
        <v>53</v>
      </c>
      <c r="G48" s="4">
        <f>AVERAGEIFS('OB History'!C:C,'OB History'!B:B,A48)</f>
        <v>17.666666666666668</v>
      </c>
      <c r="H48" s="35">
        <f t="array" ref="H48">MAX(IF('OB History'!B:B=A48, 'OB History'!C:C))</f>
        <v>25</v>
      </c>
      <c r="I48" s="34">
        <f>COUNTIFS('OB History'!B:B,A48,'OB History'!D:D, 1)</f>
        <v>2</v>
      </c>
      <c r="J48" s="2">
        <f>COUNTIFS('OB History'!B:B,A48,'OB History'!D:D, 0)</f>
        <v>1</v>
      </c>
      <c r="K48" s="88">
        <f>LOOKUP(2, 1/('OB History'!$B:$B=A48), 'OB History'!$AD:$AD)</f>
        <v>0.66666666666666663</v>
      </c>
      <c r="L48" s="34">
        <f>SUMIFS('OB History'!F:F,'OB History'!B:B,A48)</f>
        <v>8</v>
      </c>
      <c r="M48" s="2">
        <f>SUMIFS('OB History'!E:E,'OB History'!B:B,A48)-L48</f>
        <v>5</v>
      </c>
      <c r="N48" s="88">
        <f>LOOKUP(2, 1/('OB History'!$B:$B=A48), 'OB History'!$AB:$AB)</f>
        <v>0.66666666666666663</v>
      </c>
      <c r="O48" s="34">
        <f>SUMIFS('OB History'!H:H,'OB History'!B:B,'Old Bow v2'!A48)</f>
        <v>29</v>
      </c>
      <c r="P48" s="2">
        <f>SUMIFS('OB History'!G:G,'OB History'!B:B,'Old Bow v2'!A48)-O48</f>
        <v>24</v>
      </c>
      <c r="Q48" s="88">
        <f>LOOKUP(2, 1/('OB History'!$B:$B=A48), 'OB History'!$AC:$AC)</f>
        <v>0.56000000000000005</v>
      </c>
      <c r="R48" s="2">
        <f>COUNTIFS('OB History'!$B:$B,$A$48,'OB History'!K:K, 1)</f>
        <v>0</v>
      </c>
      <c r="S48" s="2">
        <f>COUNTIFS('OB History'!$B:$B,$A$48,'OB History'!L:L, 1)</f>
        <v>0</v>
      </c>
      <c r="T48" s="2">
        <f>COUNTIFS('OB History'!$B:$B,$A$48,'OB History'!M:M, 1)</f>
        <v>0</v>
      </c>
      <c r="U48" s="2">
        <f>COUNTIFS('OB History'!$B:$B,$A$48,'OB History'!N:N, 1)</f>
        <v>2</v>
      </c>
      <c r="V48" s="2">
        <f>COUNTIFS('OB History'!$B:$B,$A$48,'OB History'!O:O, 1)</f>
        <v>0</v>
      </c>
      <c r="W48" s="2">
        <f>COUNTIFS('OB History'!$B:$B,$A$48,'OB History'!P:P, 1)</f>
        <v>0</v>
      </c>
      <c r="X48" s="2">
        <f>COUNTIFS('OB History'!$B:$B,$A$48,'OB History'!Q:Q, 1)</f>
        <v>0</v>
      </c>
      <c r="Y48" s="2">
        <f>COUNTIFS('OB History'!$B:$B,$A$48,'OB History'!R:R, 1)</f>
        <v>2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1</v>
      </c>
      <c r="AD48" s="2">
        <f>COUNTIFS('OB History'!$B:$B,$A$48,'OB History'!W:W, 1)</f>
        <v>0</v>
      </c>
      <c r="AE48" s="2">
        <f>COUNTIFS('OB History'!$B:$B,$A$48,'OB History'!X:X, 1)</f>
        <v>2</v>
      </c>
      <c r="AF48" s="2">
        <f>COUNTIFS('OB History'!$B:$B,$A$48,'OB History'!Y:Y, 1)</f>
        <v>0</v>
      </c>
      <c r="AG48" s="2">
        <f>COUNTIFS('OB History'!$B:$B,$A$48,'OB History'!Z:Z, 1)</f>
        <v>1</v>
      </c>
    </row>
    <row r="49" spans="1:33" x14ac:dyDescent="0.25">
      <c r="A49" s="2" t="s">
        <v>4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174</v>
      </c>
      <c r="G49" s="4">
        <f>AVERAGEIFS('OB History'!C:C,'OB History'!B:B,A49)</f>
        <v>19.333333333333332</v>
      </c>
      <c r="H49" s="35">
        <f t="array" ref="H49">MAX(IF('OB History'!B:B=A49, 'OB History'!C:C))</f>
        <v>31</v>
      </c>
      <c r="I49" s="34">
        <f>COUNTIFS('OB History'!B:B,A49,'OB History'!D:D, 1)</f>
        <v>4</v>
      </c>
      <c r="J49" s="2">
        <f>COUNTIFS('OB History'!B:B,A49,'OB History'!D:D, 0)</f>
        <v>5</v>
      </c>
      <c r="K49" s="88">
        <f>LOOKUP(2, 1/('OB History'!$B:$B=A49), 'OB History'!$AD:$AD)</f>
        <v>0.44444444444444442</v>
      </c>
      <c r="L49" s="34">
        <f>SUMIFS('OB History'!F:F,'OB History'!B:B,A49)</f>
        <v>15</v>
      </c>
      <c r="M49" s="2">
        <f>SUMIFS('OB History'!E:E,'OB History'!B:B,A49)-L49</f>
        <v>20</v>
      </c>
      <c r="N49" s="88">
        <f>LOOKUP(2, 1/('OB History'!$B:$B=A49), 'OB History'!$AB:$AB)</f>
        <v>0.4</v>
      </c>
      <c r="O49" s="34">
        <f>SUMIFS('OB History'!H:H,'OB History'!B:B,'Old Bow v2'!A49)</f>
        <v>67</v>
      </c>
      <c r="P49" s="2">
        <f>SUMIFS('OB History'!G:G,'OB History'!B:B,'Old Bow v2'!A49)-O49</f>
        <v>77</v>
      </c>
      <c r="Q49" s="88">
        <f>LOOKUP(2, 1/('OB History'!$B:$B=A49), 'OB History'!$AC:$AC)</f>
        <v>0.44444444444444442</v>
      </c>
      <c r="R49" s="2">
        <f>COUNTIFS('OB History'!$B:$B,$A$49,'OB History'!K:K, 1)</f>
        <v>0</v>
      </c>
      <c r="S49" s="2">
        <f>COUNTIFS('OB History'!$B:$B,$A$49,'OB History'!L:L, 1)</f>
        <v>4</v>
      </c>
      <c r="T49" s="2">
        <f>COUNTIFS('OB History'!$B:$B,$A$49,'OB History'!M:M, 1)</f>
        <v>3</v>
      </c>
      <c r="U49" s="2">
        <f>COUNTIFS('OB History'!$B:$B,$A$49,'OB History'!N:N, 1)</f>
        <v>0</v>
      </c>
      <c r="V49" s="2">
        <f>COUNTIFS('OB History'!$B:$B,$A$49,'OB History'!O:O, 1)</f>
        <v>1</v>
      </c>
      <c r="W49" s="2">
        <f>COUNTIFS('OB History'!$B:$B,$A$49,'OB History'!P:P, 1)</f>
        <v>2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0</v>
      </c>
      <c r="AC49" s="2">
        <f>COUNTIFS('OB History'!$B:$B,$A$49,'OB History'!V:V, 1)</f>
        <v>0</v>
      </c>
      <c r="AD49" s="2">
        <f>COUNTIFS('OB History'!$B:$B,$A$49,'OB History'!W:W, 1)</f>
        <v>0</v>
      </c>
      <c r="AE49" s="2">
        <f>COUNTIFS('OB History'!$B:$B,$A$49,'OB History'!X:X, 1)</f>
        <v>1</v>
      </c>
      <c r="AF49" s="2">
        <f>COUNTIFS('OB History'!$B:$B,$A$49,'OB History'!Y:Y, 1)</f>
        <v>2</v>
      </c>
      <c r="AG49" s="2">
        <f>COUNTIFS('OB History'!$B:$B,$A$49,'OB History'!Z:Z, 1)</f>
        <v>1</v>
      </c>
    </row>
    <row r="50" spans="1:33" x14ac:dyDescent="0.25">
      <c r="A50" s="2" t="s">
        <v>55</v>
      </c>
      <c r="B50" s="2" t="s">
        <v>79</v>
      </c>
      <c r="C50" s="2" t="s">
        <v>79</v>
      </c>
      <c r="D50" s="3"/>
      <c r="E50" s="3"/>
      <c r="F50" s="34">
        <f>SUMIFS('OB History'!C:C,'OB History'!B:B,A50)</f>
        <v>139</v>
      </c>
      <c r="G50" s="4">
        <f>AVERAGEIFS('OB History'!C:C,'OB History'!B:B,A50)</f>
        <v>9.9285714285714288</v>
      </c>
      <c r="H50" s="35">
        <f t="array" ref="H50">MAX(IF('OB History'!B:B=A50, 'OB History'!C:C))</f>
        <v>20</v>
      </c>
      <c r="I50" s="34">
        <f>COUNTIFS('OB History'!B:B,A50,'OB History'!D:D, 1)</f>
        <v>8</v>
      </c>
      <c r="J50" s="2">
        <f>COUNTIFS('OB History'!B:B,A50,'OB History'!D:D, 0)</f>
        <v>6</v>
      </c>
      <c r="K50" s="88">
        <f>LOOKUP(2, 1/('OB History'!$B:$B=A50), 'OB History'!$AD:$AD)</f>
        <v>0.5714285714285714</v>
      </c>
      <c r="L50" s="34">
        <f>SUMIFS('OB History'!F:F,'OB History'!B:B,A50)</f>
        <v>32</v>
      </c>
      <c r="M50" s="2">
        <f>SUMIFS('OB History'!E:E,'OB History'!B:B,A50)-L50</f>
        <v>26</v>
      </c>
      <c r="N50" s="88">
        <f>LOOKUP(2, 1/('OB History'!$B:$B=A50), 'OB History'!$AB:$AB)</f>
        <v>0.5714285714285714</v>
      </c>
      <c r="O50" s="34">
        <f>SUMIFS('OB History'!H:H,'OB History'!B:B,'Old Bow v2'!A50)</f>
        <v>126</v>
      </c>
      <c r="P50" s="2">
        <f>SUMIFS('OB History'!G:G,'OB History'!B:B,'Old Bow v2'!A50)-O50</f>
        <v>108</v>
      </c>
      <c r="Q50" s="88">
        <f>LOOKUP(2, 1/('OB History'!$B:$B=A50), 'OB History'!$AC:$AC)</f>
        <v>0.54357142857142871</v>
      </c>
      <c r="R50" s="2">
        <f>COUNTIFS('OB History'!$B:$B,$A$50,'OB History'!K:K, 1)</f>
        <v>3</v>
      </c>
      <c r="S50" s="2">
        <f>COUNTIFS('OB History'!$B:$B,$A$50,'OB History'!L:L, 1)</f>
        <v>1</v>
      </c>
      <c r="T50" s="2">
        <f>COUNTIFS('OB History'!$B:$B,$A$50,'OB History'!M:M, 1)</f>
        <v>1</v>
      </c>
      <c r="U50" s="2">
        <f>COUNTIFS('OB History'!$B:$B,$A$50,'OB History'!N:N, 1)</f>
        <v>6</v>
      </c>
      <c r="V50" s="2">
        <f>COUNTIFS('OB History'!$B:$B,$A$50,'OB History'!O:O, 1)</f>
        <v>1</v>
      </c>
      <c r="W50" s="2">
        <f>COUNTIFS('OB History'!$B:$B,$A$50,'OB History'!P:P, 1)</f>
        <v>1</v>
      </c>
      <c r="X50" s="2">
        <f>COUNTIFS('OB History'!$B:$B,$A$50,'OB History'!Q:Q, 1)</f>
        <v>1</v>
      </c>
      <c r="Y50" s="2">
        <f>COUNTIFS('OB History'!$B:$B,$A$50,'OB History'!R:R, 1)</f>
        <v>0</v>
      </c>
      <c r="Z50" s="2">
        <f>COUNTIFS('OB History'!$B:$B,$A$50,'OB History'!S:S, 1)</f>
        <v>0</v>
      </c>
      <c r="AA50" s="2">
        <f>COUNTIFS('OB History'!$B:$B,$A$50,'OB History'!T:T, 1)</f>
        <v>0</v>
      </c>
      <c r="AB50" s="2">
        <f>COUNTIFS('OB History'!$B:$B,$A$50,'OB History'!U:U, 1)</f>
        <v>1</v>
      </c>
      <c r="AC50" s="2">
        <f>COUNTIFS('OB History'!$B:$B,$A$50,'OB History'!V:V, 1)</f>
        <v>0</v>
      </c>
      <c r="AD50" s="2">
        <f>COUNTIFS('OB History'!$B:$B,$A$50,'OB History'!W:W, 1)</f>
        <v>3</v>
      </c>
      <c r="AE50" s="2">
        <f>COUNTIFS('OB History'!$B:$B,$A$50,'OB History'!X:X, 1)</f>
        <v>8</v>
      </c>
      <c r="AF50" s="2">
        <f>COUNTIFS('OB History'!$B:$B,$A$50,'OB History'!Y:Y, 1)</f>
        <v>3</v>
      </c>
      <c r="AG50" s="2">
        <f>COUNTIFS('OB History'!$B:$B,$A$50,'OB History'!Z:Z, 1)</f>
        <v>3</v>
      </c>
    </row>
  </sheetData>
  <autoFilter ref="A1:AG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54"/>
  <sheetViews>
    <sheetView workbookViewId="0">
      <pane ySplit="1" topLeftCell="A709" activePane="bottomLeft" state="frozen"/>
      <selection pane="bottomLeft" activeCell="A743" sqref="A743:Z75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157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11.216216216216216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169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11.184210526315789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11.282051282051283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169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12</v>
      </c>
      <c r="AB752" s="86">
        <f>AVERAGEIFS($I$2:I752, $B$2:B752, B752)</f>
        <v>0.43333333333333335</v>
      </c>
      <c r="AC752" s="86">
        <f>AVERAGEIFS($J$2:J752, $B$2:B752, B752)</f>
        <v>0.47444444444444439</v>
      </c>
      <c r="AD752" s="86">
        <f>AVERAGEIFS($D$2:D752, $B$2:B752, B752)</f>
        <v>0.33333333333333331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145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154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52</v>
      </c>
      <c r="G2" s="4">
        <f>AVERAGEIFS('OB History S2'!C:C,'OB History S2'!B:B,A2)</f>
        <v>8.6666666666666661</v>
      </c>
      <c r="H2" s="35">
        <f t="array" ref="H2">MAX(IF('OB History S2'!B:B=A2, 'OB History S2'!C:C))</f>
        <v>11</v>
      </c>
      <c r="I2" s="34">
        <f>COUNTIFS('OB History S2'!B:B,A2,'OB History S2'!D:D, 1)</f>
        <v>5</v>
      </c>
      <c r="J2" s="2">
        <f>COUNTIFS('OB History S2'!B:B,A2,'OB History S2'!D:D, 0)</f>
        <v>1</v>
      </c>
      <c r="K2" s="88">
        <f>LOOKUP(2, 1/('OB History S2'!$B:$B=A2), 'OB History S2'!$AD:$AD)</f>
        <v>0.83333333333333337</v>
      </c>
      <c r="L2" s="34">
        <f>SUMIFS('OB History S2'!F:F,'OB History S2'!B:B,A2)</f>
        <v>15</v>
      </c>
      <c r="M2" s="2">
        <f>SUMIFS('OB History S2'!E:E,'OB History S2'!B:B,A2)-L2</f>
        <v>7</v>
      </c>
      <c r="N2" s="88">
        <f>LOOKUP(2, 1/('OB History S2'!$B:$B=A2), 'OB History S2'!$AB:$AB)</f>
        <v>0.68333333333333324</v>
      </c>
      <c r="O2" s="34">
        <f>SUMIFS('OB History S2'!H:H,'OB History S2'!B:B,A2)</f>
        <v>53</v>
      </c>
      <c r="P2" s="2">
        <f>SUMIFS('OB History S2'!G:G,'OB History S2'!B:B,A2)-O2</f>
        <v>35</v>
      </c>
      <c r="Q2" s="88">
        <f>LOOKUP(2, 1/('OB History S2'!$B:$B=A2), 'OB History S2'!$AC:$AC)</f>
        <v>0.6133333333333334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1</v>
      </c>
      <c r="AD2" s="2">
        <f>COUNTIFS('OB History S2'!$B:$B,$A$2,'OB History S2'!W:W, 1)</f>
        <v>2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2</v>
      </c>
    </row>
    <row r="3" spans="1:33" x14ac:dyDescent="0.25">
      <c r="A3" s="2" t="s">
        <v>140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28</v>
      </c>
      <c r="G3" s="4">
        <f>AVERAGEIFS('OB History S2'!C:C,'OB History S2'!B:B,A3)</f>
        <v>5.6</v>
      </c>
      <c r="H3" s="35">
        <f t="array" ref="H3">MAX(IF('OB History S2'!B:B=A3, 'OB History S2'!C:C))</f>
        <v>14</v>
      </c>
      <c r="I3" s="34">
        <f>COUNTIFS('OB History S2'!B:B,A3,'OB History S2'!D:D, 1)</f>
        <v>3</v>
      </c>
      <c r="J3" s="2">
        <f>COUNTIFS('OB History S2'!B:B,A3,'OB History S2'!D:D, 0)</f>
        <v>2</v>
      </c>
      <c r="K3" s="88">
        <f>LOOKUP(2, 1/('OB History S2'!$B:$B=A3), 'OB History S2'!$AD:$AD)</f>
        <v>0.6</v>
      </c>
      <c r="L3" s="34">
        <f>SUMIFS('OB History S2'!F:F,'OB History S2'!B:B,A3)</f>
        <v>9</v>
      </c>
      <c r="M3" s="2">
        <f>SUMIFS('OB History S2'!E:E,'OB History S2'!B:B,A3)-L3</f>
        <v>8</v>
      </c>
      <c r="N3" s="88">
        <f>LOOKUP(2, 1/('OB History S2'!$B:$B=A3), 'OB History S2'!$AB:$AB)</f>
        <v>0.52</v>
      </c>
      <c r="O3" s="34">
        <f>SUMIFS('OB History S2'!H:H,'OB History S2'!B:B,A3)</f>
        <v>37</v>
      </c>
      <c r="P3" s="2">
        <f>SUMIFS('OB History S2'!G:G,'OB History S2'!B:B,A3)-O3</f>
        <v>36</v>
      </c>
      <c r="Q3" s="88">
        <f>LOOKUP(2, 1/('OB History S2'!$B:$B=A3), 'OB History S2'!$AC:$AC)</f>
        <v>0.5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1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1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1</v>
      </c>
      <c r="AE3" s="2">
        <f>COUNTIFS('OB History S2'!$B:$B,$A$3,'OB History S2'!X:X, 1)</f>
        <v>1</v>
      </c>
      <c r="AF3" s="2">
        <f>COUNTIFS('OB History S2'!$B:$B,$A$3,'OB History S2'!Y:Y, 1)</f>
        <v>1</v>
      </c>
      <c r="AG3" s="2">
        <f>COUNTIFS('OB History S2'!$B:$B,$A$3,'OB History S2'!Z:Z, 1)</f>
        <v>1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157</v>
      </c>
      <c r="G4" s="4">
        <f>AVERAGEIFS('OB History S2'!C:C,'OB History S2'!B:B,A4)</f>
        <v>19.625</v>
      </c>
      <c r="H4" s="35">
        <f t="array" ref="H4">MAX(IF('OB History S2'!B:B=A4, 'OB History S2'!C:C))</f>
        <v>36</v>
      </c>
      <c r="I4" s="34">
        <f>COUNTIFS('OB History S2'!B:B,A4,'OB History S2'!D:D, 1)</f>
        <v>5</v>
      </c>
      <c r="J4" s="2">
        <f>COUNTIFS('OB History S2'!B:B,A4,'OB History S2'!D:D, 0)</f>
        <v>3</v>
      </c>
      <c r="K4" s="88">
        <f>LOOKUP(2, 1/('OB History S2'!$B:$B=A4), 'OB History S2'!$AD:$AD)</f>
        <v>0.625</v>
      </c>
      <c r="L4" s="34">
        <f>SUMIFS('OB History S2'!F:F,'OB History S2'!B:B,A4)</f>
        <v>15</v>
      </c>
      <c r="M4" s="2">
        <f>SUMIFS('OB History S2'!E:E,'OB History S2'!B:B,A4)-L4</f>
        <v>16</v>
      </c>
      <c r="N4" s="88">
        <f>LOOKUP(2, 1/('OB History S2'!$B:$B=A4), 'OB History S2'!$AB:$AB)</f>
        <v>0.44375000000000003</v>
      </c>
      <c r="O4" s="34">
        <f>SUMIFS('OB History S2'!H:H,'OB History S2'!B:B,A4)</f>
        <v>65</v>
      </c>
      <c r="P4" s="2">
        <f>SUMIFS('OB History S2'!G:G,'OB History S2'!B:B,A4)-O4</f>
        <v>67</v>
      </c>
      <c r="Q4" s="88">
        <f>LOOKUP(2, 1/('OB History S2'!$B:$B=A4), 'OB History S2'!$AC:$AC)</f>
        <v>0.47749999999999998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3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2</v>
      </c>
      <c r="AF4" s="2">
        <f>COUNTIFS('OB History S2'!$B:$B,$A$4,'OB History S2'!Y:Y, 1)</f>
        <v>2</v>
      </c>
      <c r="AG4" s="2">
        <f>COUNTIFS('OB History S2'!$B:$B,$A$4,'OB History S2'!Z:Z, 1)</f>
        <v>3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136</v>
      </c>
      <c r="G6" s="4">
        <f>AVERAGEIFS('OB History S2'!C:C,'OB History S2'!B:B,A6)</f>
        <v>11.333333333333334</v>
      </c>
      <c r="H6" s="35">
        <f t="array" ref="H6">MAX(IF('OB History S2'!B:B=A6, 'OB History S2'!C:C))</f>
        <v>20</v>
      </c>
      <c r="I6" s="34">
        <f>COUNTIFS('OB History S2'!B:B,A6,'OB History S2'!D:D, 1)</f>
        <v>4</v>
      </c>
      <c r="J6" s="2">
        <f>COUNTIFS('OB History S2'!B:B,A6,'OB History S2'!D:D, 0)</f>
        <v>8</v>
      </c>
      <c r="K6" s="88">
        <f>LOOKUP(2, 1/('OB History S2'!$B:$B=A6), 'OB History S2'!$AD:$AD)</f>
        <v>0.33333333333333331</v>
      </c>
      <c r="L6" s="34">
        <f>SUMIFS('OB History S2'!F:F,'OB History S2'!B:B,A6)</f>
        <v>17</v>
      </c>
      <c r="M6" s="2">
        <f>SUMIFS('OB History S2'!E:E,'OB History S2'!B:B,A6)-L6</f>
        <v>29</v>
      </c>
      <c r="N6" s="88">
        <f>LOOKUP(2, 1/('OB History S2'!$B:$B=A6), 'OB History S2'!$AB:$AB)</f>
        <v>0.34166666666666662</v>
      </c>
      <c r="O6" s="34">
        <f>SUMIFS('OB History S2'!H:H,'OB History S2'!B:B,A6)</f>
        <v>76</v>
      </c>
      <c r="P6" s="2">
        <f>SUMIFS('OB History S2'!G:G,'OB History S2'!B:B,A6)-O6</f>
        <v>110</v>
      </c>
      <c r="Q6" s="88">
        <f>LOOKUP(2, 1/('OB History S2'!$B:$B=A6), 'OB History S2'!$AC:$AC)</f>
        <v>0.39166666666666661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2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4</v>
      </c>
      <c r="AF6" s="2">
        <f>COUNTIFS('OB History S2'!$B:$B,$A$6,'OB History S2'!Y:Y, 1)</f>
        <v>2</v>
      </c>
      <c r="AG6" s="2">
        <f>COUNTIFS('OB History S2'!$B:$B,$A$6,'OB History S2'!Z:Z, 1)</f>
        <v>3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34">
        <f>SUMIFS('OB History S2'!C:C,'OB History S2'!B:B,A7)</f>
        <v>53</v>
      </c>
      <c r="G7" s="4">
        <f>AVERAGEIFS('OB History S2'!C:C,'OB History S2'!B:B,A7)</f>
        <v>10.6</v>
      </c>
      <c r="H7" s="35">
        <f t="array" ref="H7">MAX(IF('OB History S2'!B:B=A7, 'OB History S2'!C:C))</f>
        <v>17</v>
      </c>
      <c r="I7" s="34">
        <f>COUNTIFS('OB History S2'!B:B,A7,'OB History S2'!D:D, 1)</f>
        <v>3</v>
      </c>
      <c r="J7" s="2">
        <f>COUNTIFS('OB History S2'!B:B,A7,'OB History S2'!D:D, 0)</f>
        <v>2</v>
      </c>
      <c r="K7" s="88">
        <f>LOOKUP(2, 1/('OB History S2'!$B:$B=A7), 'OB History S2'!$AD:$AD)</f>
        <v>0.6</v>
      </c>
      <c r="L7" s="34">
        <f>SUMIFS('OB History S2'!F:F,'OB History S2'!B:B,A7)</f>
        <v>12</v>
      </c>
      <c r="M7" s="2">
        <f>SUMIFS('OB History S2'!E:E,'OB History S2'!B:B,A7)-L7</f>
        <v>8</v>
      </c>
      <c r="N7" s="88">
        <f>LOOKUP(2, 1/('OB History S2'!$B:$B=A7), 'OB History S2'!$AB:$AB)</f>
        <v>0.63</v>
      </c>
      <c r="O7" s="34">
        <f>SUMIFS('OB History S2'!H:H,'OB History S2'!B:B,A7)</f>
        <v>45</v>
      </c>
      <c r="P7" s="2">
        <f>SUMIFS('OB History S2'!G:G,'OB History S2'!B:B,A7)-O7</f>
        <v>38</v>
      </c>
      <c r="Q7" s="88">
        <f>LOOKUP(2, 1/('OB History S2'!$B:$B=A7), 'OB History S2'!$AC:$AC)</f>
        <v>0.54600000000000004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1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1</v>
      </c>
      <c r="AF7" s="2">
        <f>COUNTIFS('OB History S2'!$B:$B,$A$7,'OB History S2'!Y:Y, 1)</f>
        <v>2</v>
      </c>
      <c r="AG7" s="2">
        <f>COUNTIFS('OB History S2'!$B:$B,$A$7,'OB History S2'!Z:Z, 1)</f>
        <v>3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151</v>
      </c>
      <c r="G9" s="4">
        <f>AVERAGEIFS('OB History S2'!C:C,'OB History S2'!B:B,A9)</f>
        <v>16.777777777777779</v>
      </c>
      <c r="H9" s="35">
        <f t="array" ref="H9">MAX(IF('OB History S2'!B:B=A9, 'OB History S2'!C:C))</f>
        <v>25</v>
      </c>
      <c r="I9" s="34">
        <f>COUNTIFS('OB History S2'!B:B,A9,'OB History S2'!D:D, 1)</f>
        <v>6</v>
      </c>
      <c r="J9" s="2">
        <f>COUNTIFS('OB History S2'!B:B,A9,'OB History S2'!D:D, 0)</f>
        <v>3</v>
      </c>
      <c r="K9" s="88">
        <f>LOOKUP(2, 1/('OB History S2'!$B:$B=A9), 'OB History S2'!$AD:$AD)</f>
        <v>0.66666666666666663</v>
      </c>
      <c r="L9" s="34">
        <f>SUMIFS('OB History S2'!F:F,'OB History S2'!B:B,A9)</f>
        <v>20</v>
      </c>
      <c r="M9" s="2">
        <f>SUMIFS('OB History S2'!E:E,'OB History S2'!B:B,A9)-L9</f>
        <v>16</v>
      </c>
      <c r="N9" s="88">
        <f>LOOKUP(2, 1/('OB History S2'!$B:$B=A9), 'OB History S2'!$AB:$AB)</f>
        <v>0.55000000000000004</v>
      </c>
      <c r="O9" s="34">
        <f>SUMIFS('OB History S2'!H:H,'OB History S2'!B:B,A9)</f>
        <v>75</v>
      </c>
      <c r="P9" s="2">
        <f>SUMIFS('OB History S2'!G:G,'OB History S2'!B:B,A9)-O9</f>
        <v>72</v>
      </c>
      <c r="Q9" s="88">
        <f>LOOKUP(2, 1/('OB History S2'!$B:$B=A9), 'OB History S2'!$AC:$AC)</f>
        <v>0.51555555555555566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2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1</v>
      </c>
      <c r="AE9" s="2">
        <f>COUNTIFS('OB History S2'!$B:$B,$A$9,'OB History S2'!X:X, 1)</f>
        <v>2</v>
      </c>
      <c r="AF9" s="2">
        <f>COUNTIFS('OB History S2'!$B:$B,$A$9,'OB History S2'!Y:Y, 1)</f>
        <v>2</v>
      </c>
      <c r="AG9" s="2">
        <f>COUNTIFS('OB History S2'!$B:$B,$A$9,'OB History S2'!Z:Z, 1)</f>
        <v>3</v>
      </c>
    </row>
    <row r="10" spans="1:33" x14ac:dyDescent="0.25">
      <c r="A10" s="1" t="s">
        <v>146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32</v>
      </c>
      <c r="G10" s="4">
        <f>AVERAGEIFS('OB History S2'!C:C,'OB History S2'!B:B,A10)</f>
        <v>8</v>
      </c>
      <c r="H10" s="35">
        <f t="array" ref="H10">MAX(IF('OB History S2'!B:B=A10, 'OB History S2'!C:C))</f>
        <v>12</v>
      </c>
      <c r="I10" s="34">
        <f>COUNTIFS('OB History S2'!B:B,A10,'OB History S2'!D:D, 1)</f>
        <v>1</v>
      </c>
      <c r="J10" s="2">
        <f>COUNTIFS('OB History S2'!B:B,A10,'OB History S2'!D:D, 0)</f>
        <v>3</v>
      </c>
      <c r="K10" s="88">
        <f>LOOKUP(2, 1/('OB History S2'!$B:$B=A10), 'OB History S2'!$AD:$AD)</f>
        <v>0.25</v>
      </c>
      <c r="L10" s="34">
        <f>SUMIFS('OB History S2'!F:F,'OB History S2'!B:B,A10)</f>
        <v>5</v>
      </c>
      <c r="M10" s="2">
        <f>SUMIFS('OB History S2'!E:E,'OB History S2'!B:B,A10)-L10</f>
        <v>9</v>
      </c>
      <c r="N10" s="88">
        <f>LOOKUP(2, 1/('OB History S2'!$B:$B=A10), 'OB History S2'!$AB:$AB)</f>
        <v>0.35</v>
      </c>
      <c r="O10" s="34">
        <f>SUMIFS('OB History S2'!H:H,'OB History S2'!B:B,A10)</f>
        <v>27</v>
      </c>
      <c r="P10" s="2">
        <f>SUMIFS('OB History S2'!G:G,'OB History S2'!B:B,A10)-O10</f>
        <v>33</v>
      </c>
      <c r="Q10" s="88">
        <f>LOOKUP(2, 1/('OB History S2'!$B:$B=A10), 'OB History S2'!$AC:$AC)</f>
        <v>0.44750000000000001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1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1</v>
      </c>
      <c r="AE10" s="2">
        <f>COUNTIFS('OB History S2'!$B:$B,$A$10,'OB History S2'!X:X, 1)</f>
        <v>0</v>
      </c>
      <c r="AF10" s="2">
        <f>COUNTIFS('OB History S2'!$B:$B,$A$10,'OB History S2'!Y:Y, 1)</f>
        <v>1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108</v>
      </c>
      <c r="G12" s="4">
        <f>AVERAGEIFS('OB History S2'!C:C,'OB History S2'!B:B,A12)</f>
        <v>13.5</v>
      </c>
      <c r="H12" s="35">
        <f t="array" ref="H12">MAX(IF('OB History S2'!B:B=A12, 'OB History S2'!C:C))</f>
        <v>23</v>
      </c>
      <c r="I12" s="34">
        <f>COUNTIFS('OB History S2'!B:B,A12,'OB History S2'!D:D, 1)</f>
        <v>4</v>
      </c>
      <c r="J12" s="2">
        <f>COUNTIFS('OB History S2'!B:B,A12,'OB History S2'!D:D, 0)</f>
        <v>4</v>
      </c>
      <c r="K12" s="88">
        <f>LOOKUP(2, 1/('OB History S2'!$B:$B=A12), 'OB History S2'!$AD:$AD)</f>
        <v>0.5</v>
      </c>
      <c r="L12" s="34">
        <f>SUMIFS('OB History S2'!F:F,'OB History S2'!B:B,A12)</f>
        <v>16</v>
      </c>
      <c r="M12" s="2">
        <f>SUMIFS('OB History S2'!E:E,'OB History S2'!B:B,A12)-L12</f>
        <v>16</v>
      </c>
      <c r="N12" s="88">
        <f>LOOKUP(2, 1/('OB History S2'!$B:$B=A12), 'OB History S2'!$AB:$AB)</f>
        <v>0.5</v>
      </c>
      <c r="O12" s="34">
        <f>SUMIFS('OB History S2'!H:H,'OB History S2'!B:B,A12)</f>
        <v>65</v>
      </c>
      <c r="P12" s="2">
        <f>SUMIFS('OB History S2'!G:G,'OB History S2'!B:B,A12)-O12</f>
        <v>69</v>
      </c>
      <c r="Q12" s="88">
        <f>LOOKUP(2, 1/('OB History S2'!$B:$B=A12), 'OB History S2'!$AC:$AC)</f>
        <v>0.47125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2</v>
      </c>
      <c r="X12" s="2">
        <f>COUNTIFS('OB History S2'!$B:$B,$A$12,'OB History S2'!Q:Q, 1)</f>
        <v>1</v>
      </c>
      <c r="Y12" s="2">
        <f>COUNTIFS('OB History S2'!$B:$B,$A$12,'OB History S2'!R:R, 1)</f>
        <v>2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1</v>
      </c>
      <c r="AE12" s="2">
        <f>COUNTIFS('OB History S2'!$B:$B,$A$12,'OB History S2'!X:X, 1)</f>
        <v>2</v>
      </c>
      <c r="AF12" s="2">
        <f>COUNTIFS('OB History S2'!$B:$B,$A$12,'OB History S2'!Y:Y, 1)</f>
        <v>2</v>
      </c>
      <c r="AG12" s="2">
        <f>COUNTIFS('OB History S2'!$B:$B,$A$12,'OB History S2'!Z:Z, 1)</f>
        <v>2</v>
      </c>
    </row>
    <row r="13" spans="1:33" x14ac:dyDescent="0.25">
      <c r="A13" s="1" t="s">
        <v>152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38</v>
      </c>
      <c r="G16" s="4">
        <f>AVERAGEIFS('OB History S2'!C:C,'OB History S2'!B:B,A16)</f>
        <v>19</v>
      </c>
      <c r="H16" s="35">
        <f t="array" ref="H16">MAX(IF('OB History S2'!B:B=A16, 'OB History S2'!C:C))</f>
        <v>28</v>
      </c>
      <c r="I16" s="34">
        <f>COUNTIFS('OB History S2'!B:B,A16,'OB History S2'!D:D, 1)</f>
        <v>2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6</v>
      </c>
      <c r="M16" s="2">
        <f>SUMIFS('OB History S2'!E:E,'OB History S2'!B:B,A16)-L16</f>
        <v>2</v>
      </c>
      <c r="N16" s="88">
        <f>LOOKUP(2, 1/('OB History S2'!$B:$B=A16), 'OB History S2'!$AB:$AB)</f>
        <v>0.8</v>
      </c>
      <c r="O16" s="34">
        <f>SUMIFS('OB History S2'!H:H,'OB History S2'!B:B,A16)</f>
        <v>20</v>
      </c>
      <c r="P16" s="2">
        <f>SUMIFS('OB History S2'!G:G,'OB History S2'!B:B,A16)-O16</f>
        <v>13</v>
      </c>
      <c r="Q16" s="88">
        <f>LOOKUP(2, 1/('OB History S2'!$B:$B=A16), 'OB History S2'!$AC:$AC)</f>
        <v>0.63500000000000001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1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1</v>
      </c>
      <c r="AE16" s="2">
        <f>COUNTIFS('OB History S2'!$B:$B,$A$16,'OB History S2'!X:X, 1)</f>
        <v>1</v>
      </c>
      <c r="AF16" s="2">
        <f>COUNTIFS('OB History S2'!$B:$B,$A$16,'OB History S2'!Y:Y, 1)</f>
        <v>2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63</v>
      </c>
      <c r="G17" s="4">
        <f>AVERAGEIFS('OB History S2'!C:C,'OB History S2'!B:B,A17)</f>
        <v>15.75</v>
      </c>
      <c r="H17" s="35">
        <f t="array" ref="H17">MAX(IF('OB History S2'!B:B=A17, 'OB History S2'!C:C))</f>
        <v>24</v>
      </c>
      <c r="I17" s="34">
        <f>COUNTIFS('OB History S2'!B:B,A17,'OB History S2'!D:D, 1)</f>
        <v>1</v>
      </c>
      <c r="J17" s="2">
        <f>COUNTIFS('OB History S2'!B:B,A17,'OB History S2'!D:D, 0)</f>
        <v>3</v>
      </c>
      <c r="K17" s="88">
        <f>LOOKUP(2, 1/('OB History S2'!$B:$B=A17), 'OB History S2'!$AD:$AD)</f>
        <v>0.25</v>
      </c>
      <c r="L17" s="34">
        <f>SUMIFS('OB History S2'!F:F,'OB History S2'!B:B,A17)</f>
        <v>6</v>
      </c>
      <c r="M17" s="2">
        <f>SUMIFS('OB History S2'!E:E,'OB History S2'!B:B,A17)-L17</f>
        <v>10</v>
      </c>
      <c r="N17" s="88">
        <f>LOOKUP(2, 1/('OB History S2'!$B:$B=A17), 'OB History S2'!$AB:$AB)</f>
        <v>0.35</v>
      </c>
      <c r="O17" s="34">
        <f>SUMIFS('OB History S2'!H:H,'OB History S2'!B:B,A17)</f>
        <v>24</v>
      </c>
      <c r="P17" s="2">
        <f>SUMIFS('OB History S2'!G:G,'OB History S2'!B:B,A17)-O17</f>
        <v>36</v>
      </c>
      <c r="Q17" s="88">
        <f>LOOKUP(2, 1/('OB History S2'!$B:$B=A17), 'OB History S2'!$AC:$AC)</f>
        <v>0.375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1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2</v>
      </c>
      <c r="AE17" s="2">
        <f>COUNTIFS('OB History S2'!$B:$B,$A$17,'OB History S2'!X:X, 1)</f>
        <v>0</v>
      </c>
      <c r="AF17" s="2">
        <f>COUNTIFS('OB History S2'!$B:$B,$A$17,'OB History S2'!Y:Y, 1)</f>
        <v>2</v>
      </c>
      <c r="AG17" s="2">
        <f>COUNTIFS('OB History S2'!$B:$B,$A$17,'OB History S2'!Z:Z, 1)</f>
        <v>0</v>
      </c>
    </row>
    <row r="18" spans="1:33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34">
        <f>SUMIFS('OB History S2'!C:C,'OB History S2'!B:B,A18)</f>
        <v>109</v>
      </c>
      <c r="G18" s="4">
        <f>AVERAGEIFS('OB History S2'!C:C,'OB History S2'!B:B,A18)</f>
        <v>18.166666666666668</v>
      </c>
      <c r="H18" s="35">
        <f t="array" ref="H18">MAX(IF('OB History S2'!B:B=A18, 'OB History S2'!C:C))</f>
        <v>26</v>
      </c>
      <c r="I18" s="34">
        <f>COUNTIFS('OB History S2'!B:B,A18,'OB History S2'!D:D, 1)</f>
        <v>5</v>
      </c>
      <c r="J18" s="2">
        <f>COUNTIFS('OB History S2'!B:B,A18,'OB History S2'!D:D, 0)</f>
        <v>1</v>
      </c>
      <c r="K18" s="88">
        <f>LOOKUP(2, 1/('OB History S2'!$B:$B=A18), 'OB History S2'!$AD:$AD)</f>
        <v>0.83333333333333337</v>
      </c>
      <c r="L18" s="34">
        <f>SUMIFS('OB History S2'!F:F,'OB History S2'!B:B,A18)</f>
        <v>17</v>
      </c>
      <c r="M18" s="2">
        <f>SUMIFS('OB History S2'!E:E,'OB History S2'!B:B,A18)-L18</f>
        <v>8</v>
      </c>
      <c r="N18" s="88">
        <f>LOOKUP(2, 1/('OB History S2'!$B:$B=A18), 'OB History S2'!$AB:$AB)</f>
        <v>0.70833333333333337</v>
      </c>
      <c r="O18" s="34">
        <f>SUMIFS('OB History S2'!H:H,'OB History S2'!B:B,A18)</f>
        <v>62</v>
      </c>
      <c r="P18" s="2">
        <f>SUMIFS('OB History S2'!G:G,'OB History S2'!B:B,A18)-O18</f>
        <v>37</v>
      </c>
      <c r="Q18" s="88">
        <f>LOOKUP(2, 1/('OB History S2'!$B:$B=A18), 'OB History S2'!$AC:$AC)</f>
        <v>0.64333333333333331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2</v>
      </c>
      <c r="X18" s="2">
        <f>COUNTIFS('OB History S2'!$B:$B,$A$18,'OB History S2'!Q:Q, 1)</f>
        <v>1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3</v>
      </c>
      <c r="AE18" s="2">
        <f>COUNTIFS('OB History S2'!$B:$B,$A$18,'OB History S2'!X:X, 1)</f>
        <v>2</v>
      </c>
      <c r="AF18" s="2">
        <f>COUNTIFS('OB History S2'!$B:$B,$A$18,'OB History S2'!Y:Y, 1)</f>
        <v>4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34">
        <f>SUMIFS('OB History S2'!C:C,'OB History S2'!B:B,A19)</f>
        <v>196</v>
      </c>
      <c r="G19" s="4">
        <f>AVERAGEIFS('OB History S2'!C:C,'OB History S2'!B:B,A19)</f>
        <v>14</v>
      </c>
      <c r="H19" s="35">
        <f t="array" ref="H19">MAX(IF('OB History S2'!B:B=A19, 'OB History S2'!C:C))</f>
        <v>41</v>
      </c>
      <c r="I19" s="34">
        <f>COUNTIFS('OB History S2'!B:B,A19,'OB History S2'!D:D, 1)</f>
        <v>4</v>
      </c>
      <c r="J19" s="2">
        <f>COUNTIFS('OB History S2'!B:B,A19,'OB History S2'!D:D, 0)</f>
        <v>10</v>
      </c>
      <c r="K19" s="88">
        <f>LOOKUP(2, 1/('OB History S2'!$B:$B=A19), 'OB History S2'!$AD:$AD)</f>
        <v>0.2857142857142857</v>
      </c>
      <c r="L19" s="34">
        <f>SUMIFS('OB History S2'!F:F,'OB History S2'!B:B,A19)</f>
        <v>21</v>
      </c>
      <c r="M19" s="2">
        <f>SUMIFS('OB History S2'!E:E,'OB History S2'!B:B,A19)-L19</f>
        <v>32</v>
      </c>
      <c r="N19" s="88">
        <f>LOOKUP(2, 1/('OB History S2'!$B:$B=A19), 'OB History S2'!$AB:$AB)</f>
        <v>0.38928571428571423</v>
      </c>
      <c r="O19" s="34">
        <f>SUMIFS('OB History S2'!H:H,'OB History S2'!B:B,A19)</f>
        <v>99</v>
      </c>
      <c r="P19" s="2">
        <f>SUMIFS('OB History S2'!G:G,'OB History S2'!B:B,A19)-O19</f>
        <v>115</v>
      </c>
      <c r="Q19" s="88">
        <f>LOOKUP(2, 1/('OB History S2'!$B:$B=A19), 'OB History S2'!$AC:$AC)</f>
        <v>0.46500000000000002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3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1</v>
      </c>
      <c r="AD19" s="2">
        <f>COUNTIFS('OB History S2'!$B:$B,$A$19,'OB History S2'!W:W, 1)</f>
        <v>5</v>
      </c>
      <c r="AE19" s="2">
        <f>COUNTIFS('OB History S2'!$B:$B,$A$19,'OB History S2'!X:X, 1)</f>
        <v>3</v>
      </c>
      <c r="AF19" s="2">
        <f>COUNTIFS('OB History S2'!$B:$B,$A$19,'OB History S2'!Y:Y, 1)</f>
        <v>4</v>
      </c>
      <c r="AG19" s="2">
        <f>COUNTIFS('OB History S2'!$B:$B,$A$19,'OB History S2'!Z:Z, 1)</f>
        <v>1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139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93</v>
      </c>
      <c r="G21" s="4">
        <f>AVERAGEIFS('OB History S2'!C:C,'OB History S2'!B:B,A21)</f>
        <v>10.333333333333334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3</v>
      </c>
      <c r="K21" s="88">
        <f>LOOKUP(2, 1/('OB History S2'!$B:$B=A21), 'OB History S2'!$AD:$AD)</f>
        <v>0.66666666666666663</v>
      </c>
      <c r="L21" s="34">
        <f>SUMIFS('OB History S2'!F:F,'OB History S2'!B:B,A21)</f>
        <v>21</v>
      </c>
      <c r="M21" s="2">
        <f>SUMIFS('OB History S2'!E:E,'OB History S2'!B:B,A21)-L21</f>
        <v>17</v>
      </c>
      <c r="N21" s="88">
        <f>LOOKUP(2, 1/('OB History S2'!$B:$B=A21), 'OB History S2'!$AB:$AB)</f>
        <v>0.55000000000000004</v>
      </c>
      <c r="O21" s="34">
        <f>SUMIFS('OB History S2'!H:H,'OB History S2'!B:B,A21)</f>
        <v>76</v>
      </c>
      <c r="P21" s="2">
        <f>SUMIFS('OB History S2'!G:G,'OB History S2'!B:B,A21)-O21</f>
        <v>71</v>
      </c>
      <c r="Q21" s="88">
        <f>LOOKUP(2, 1/('OB History S2'!$B:$B=A21), 'OB History S2'!$AC:$AC)</f>
        <v>0.52111111111111108</v>
      </c>
      <c r="R21" s="2">
        <f>COUNTIFS('OB History S2'!$B:$B,$A$21,'OB History S2'!K:K, 1)</f>
        <v>1</v>
      </c>
      <c r="S21" s="2">
        <f>COUNTIFS('OB History S2'!$B:$B,$A$21,'OB History S2'!L:L, 1)</f>
        <v>4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85</v>
      </c>
      <c r="G22" s="4">
        <f>AVERAGEIFS('OB History S2'!C:C,'OB History S2'!B:B,A22)</f>
        <v>12.142857142857142</v>
      </c>
      <c r="H22" s="35">
        <f t="array" ref="H22">MAX(IF('OB History S2'!B:B=A22, 'OB History S2'!C:C))</f>
        <v>28</v>
      </c>
      <c r="I22" s="34">
        <f>COUNTIFS('OB History S2'!B:B,A22,'OB History S2'!D:D, 1)</f>
        <v>3</v>
      </c>
      <c r="J22" s="2">
        <f>COUNTIFS('OB History S2'!B:B,A22,'OB History S2'!D:D, 0)</f>
        <v>4</v>
      </c>
      <c r="K22" s="88">
        <f>LOOKUP(2, 1/('OB History S2'!$B:$B=A22), 'OB History S2'!$AD:$AD)</f>
        <v>0.42857142857142855</v>
      </c>
      <c r="L22" s="34">
        <f>SUMIFS('OB History S2'!F:F,'OB History S2'!B:B,A22)</f>
        <v>14</v>
      </c>
      <c r="M22" s="2">
        <f>SUMIFS('OB History S2'!E:E,'OB History S2'!B:B,A22)-L22</f>
        <v>14</v>
      </c>
      <c r="N22" s="88">
        <f>LOOKUP(2, 1/('OB History S2'!$B:$B=A22), 'OB History S2'!$AB:$AB)</f>
        <v>0.50714285714285712</v>
      </c>
      <c r="O22" s="34">
        <f>SUMIFS('OB History S2'!H:H,'OB History S2'!B:B,A22)</f>
        <v>62</v>
      </c>
      <c r="P22" s="2">
        <f>SUMIFS('OB History S2'!G:G,'OB History S2'!B:B,A22)-O22</f>
        <v>57</v>
      </c>
      <c r="Q22" s="88">
        <f>LOOKUP(2, 1/('OB History S2'!$B:$B=A22), 'OB History S2'!$AC:$AC)</f>
        <v>0.52142857142857146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1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1</v>
      </c>
      <c r="AF22" s="2">
        <f>COUNTIFS('OB History S2'!$B:$B,$A$22,'OB History S2'!Y:Y, 1)</f>
        <v>2</v>
      </c>
      <c r="AG22" s="2">
        <f>COUNTIFS('OB History S2'!$B:$B,$A$22,'OB History S2'!Z:Z, 1)</f>
        <v>2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34">
        <f>SUMIFS('OB History S2'!C:C,'OB History S2'!B:B,A24)</f>
        <v>257</v>
      </c>
      <c r="G24" s="4">
        <f>AVERAGEIFS('OB History S2'!C:C,'OB History S2'!B:B,A24)</f>
        <v>13.526315789473685</v>
      </c>
      <c r="H24" s="35">
        <f t="array" ref="H24">MAX(IF('OB History S2'!B:B=A24, 'OB History S2'!C:C))</f>
        <v>23</v>
      </c>
      <c r="I24" s="34">
        <f>COUNTIFS('OB History S2'!B:B,A24,'OB History S2'!D:D, 1)</f>
        <v>12</v>
      </c>
      <c r="J24" s="2">
        <f>COUNTIFS('OB History S2'!B:B,A24,'OB History S2'!D:D, 0)</f>
        <v>7</v>
      </c>
      <c r="K24" s="88">
        <f>LOOKUP(2, 1/('OB History S2'!$B:$B=A24), 'OB History S2'!$AD:$AD)</f>
        <v>0.63157894736842102</v>
      </c>
      <c r="L24" s="34">
        <f>SUMIFS('OB History S2'!F:F,'OB History S2'!B:B,A24)</f>
        <v>43</v>
      </c>
      <c r="M24" s="2">
        <f>SUMIFS('OB History S2'!E:E,'OB History S2'!B:B,A24)-L24</f>
        <v>31</v>
      </c>
      <c r="N24" s="88">
        <f>LOOKUP(2, 1/('OB History S2'!$B:$B=A24), 'OB History S2'!$AB:$AB)</f>
        <v>0.60789473684210527</v>
      </c>
      <c r="O24" s="34">
        <f>SUMIFS('OB History S2'!H:H,'OB History S2'!B:B,A24)</f>
        <v>158</v>
      </c>
      <c r="P24" s="2">
        <f>SUMIFS('OB History S2'!G:G,'OB History S2'!B:B,A24)-O24</f>
        <v>140</v>
      </c>
      <c r="Q24" s="88">
        <f>LOOKUP(2, 1/('OB History S2'!$B:$B=A24), 'OB History S2'!$AC:$AC)</f>
        <v>0.54157894736842105</v>
      </c>
      <c r="R24" s="2">
        <f>COUNTIFS('OB History S2'!$B:$B,$A$24,'OB History S2'!K:K, 1)</f>
        <v>1</v>
      </c>
      <c r="S24" s="2">
        <f>COUNTIFS('OB History S2'!$B:$B,$A$24,'OB History S2'!L:L, 1)</f>
        <v>5</v>
      </c>
      <c r="T24" s="2">
        <f>COUNTIFS('OB History S2'!$B:$B,$A$24,'OB History S2'!M:M, 1)</f>
        <v>1</v>
      </c>
      <c r="U24" s="2">
        <f>COUNTIFS('OB History S2'!$B:$B,$A$24,'OB History S2'!N:N, 1)</f>
        <v>4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2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1</v>
      </c>
      <c r="AD24" s="2">
        <f>COUNTIFS('OB History S2'!$B:$B,$A$24,'OB History S2'!W:W, 1)</f>
        <v>3</v>
      </c>
      <c r="AE24" s="2">
        <f>COUNTIFS('OB History S2'!$B:$B,$A$24,'OB History S2'!X:X, 1)</f>
        <v>8</v>
      </c>
      <c r="AF24" s="2">
        <f>COUNTIFS('OB History S2'!$B:$B,$A$24,'OB History S2'!Y:Y, 1)</f>
        <v>6</v>
      </c>
      <c r="AG24" s="2">
        <f>COUNTIFS('OB History S2'!$B:$B,$A$24,'OB History S2'!Z:Z, 1)</f>
        <v>6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238</v>
      </c>
      <c r="G25" s="4">
        <f>AVERAGEIFS('OB History S2'!C:C,'OB History S2'!B:B,A25)</f>
        <v>21.636363636363637</v>
      </c>
      <c r="H25" s="35">
        <f t="array" ref="H25">MAX(IF('OB History S2'!B:B=A25, 'OB History S2'!C:C))</f>
        <v>39</v>
      </c>
      <c r="I25" s="34">
        <f>COUNTIFS('OB History S2'!B:B,A25,'OB History S2'!D:D, 1)</f>
        <v>6</v>
      </c>
      <c r="J25" s="2">
        <f>COUNTIFS('OB History S2'!B:B,A25,'OB History S2'!D:D, 0)</f>
        <v>5</v>
      </c>
      <c r="K25" s="88">
        <f>LOOKUP(2, 1/('OB History S2'!$B:$B=A25), 'OB History S2'!$AD:$AD)</f>
        <v>0.54545454545454541</v>
      </c>
      <c r="L25" s="34">
        <f>SUMIFS('OB History S2'!F:F,'OB History S2'!B:B,A25)</f>
        <v>24</v>
      </c>
      <c r="M25" s="2">
        <f>SUMIFS('OB History S2'!E:E,'OB History S2'!B:B,A25)-L25</f>
        <v>20</v>
      </c>
      <c r="N25" s="88">
        <f>LOOKUP(2, 1/('OB History S2'!$B:$B=A25), 'OB History S2'!$AB:$AB)</f>
        <v>0.55909090909090908</v>
      </c>
      <c r="O25" s="34">
        <f>SUMIFS('OB History S2'!H:H,'OB History S2'!B:B,A25)</f>
        <v>95</v>
      </c>
      <c r="P25" s="2">
        <f>SUMIFS('OB History S2'!G:G,'OB History S2'!B:B,A25)-O25</f>
        <v>86</v>
      </c>
      <c r="Q25" s="88">
        <f>LOOKUP(2, 1/('OB History S2'!$B:$B=A25), 'OB History S2'!$AC:$AC)</f>
        <v>0.53363636363636369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3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1</v>
      </c>
      <c r="AE25" s="2">
        <f>COUNTIFS('OB History S2'!$B:$B,$A$25,'OB History S2'!X:X, 1)</f>
        <v>4</v>
      </c>
      <c r="AF25" s="2">
        <f>COUNTIFS('OB History S2'!$B:$B,$A$25,'OB History S2'!Y:Y, 1)</f>
        <v>3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4</v>
      </c>
      <c r="E26" s="6">
        <v>1</v>
      </c>
      <c r="F26" s="34">
        <f>SUMIFS('OB History S2'!C:C,'OB History S2'!B:B,A26)</f>
        <v>440</v>
      </c>
      <c r="G26" s="4">
        <f>AVERAGEIFS('OB History S2'!C:C,'OB History S2'!B:B,A26)</f>
        <v>23.157894736842106</v>
      </c>
      <c r="H26" s="35">
        <f t="array" ref="H26">MAX(IF('OB History S2'!B:B=A26, 'OB History S2'!C:C))</f>
        <v>36</v>
      </c>
      <c r="I26" s="34">
        <f>COUNTIFS('OB History S2'!B:B,A26,'OB History S2'!D:D, 1)</f>
        <v>14</v>
      </c>
      <c r="J26" s="2">
        <f>COUNTIFS('OB History S2'!B:B,A26,'OB History S2'!D:D, 0)</f>
        <v>5</v>
      </c>
      <c r="K26" s="88">
        <f>LOOKUP(2, 1/('OB History S2'!$B:$B=A26), 'OB History S2'!$AD:$AD)</f>
        <v>0.73684210526315785</v>
      </c>
      <c r="L26" s="34">
        <f>SUMIFS('OB History S2'!F:F,'OB History S2'!B:B,A26)</f>
        <v>48</v>
      </c>
      <c r="M26" s="2">
        <f>SUMIFS('OB History S2'!E:E,'OB History S2'!B:B,A26)-L26</f>
        <v>26</v>
      </c>
      <c r="N26" s="88">
        <f>LOOKUP(2, 1/('OB History S2'!$B:$B=A26), 'OB History S2'!$AB:$AB)</f>
        <v>0.6763157894736842</v>
      </c>
      <c r="O26" s="34">
        <f>SUMIFS('OB History S2'!H:H,'OB History S2'!B:B,A26)</f>
        <v>176</v>
      </c>
      <c r="P26" s="2">
        <f>SUMIFS('OB History S2'!G:G,'OB History S2'!B:B,A26)-O26</f>
        <v>122</v>
      </c>
      <c r="Q26" s="88">
        <f>LOOKUP(2, 1/('OB History S2'!$B:$B=A26), 'OB History S2'!$AC:$AC)</f>
        <v>0.6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3</v>
      </c>
      <c r="V26" s="2">
        <f>COUNTIFS('OB History S2'!$B:$B,$A$26,'OB History S2'!O:O, 1)</f>
        <v>0</v>
      </c>
      <c r="W26" s="2">
        <f>COUNTIFS('OB History S2'!$B:$B,$A$26,'OB History S2'!P:P, 1)</f>
        <v>4</v>
      </c>
      <c r="X26" s="2">
        <f>COUNTIFS('OB History S2'!$B:$B,$A$26,'OB History S2'!Q:Q, 1)</f>
        <v>1</v>
      </c>
      <c r="Y26" s="2">
        <f>COUNTIFS('OB History S2'!$B:$B,$A$26,'OB History S2'!R:R, 1)</f>
        <v>3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1</v>
      </c>
      <c r="AD26" s="2">
        <f>COUNTIFS('OB History S2'!$B:$B,$A$26,'OB History S2'!W:W, 1)</f>
        <v>4</v>
      </c>
      <c r="AE26" s="2">
        <f>COUNTIFS('OB History S2'!$B:$B,$A$26,'OB History S2'!X:X, 1)</f>
        <v>5</v>
      </c>
      <c r="AF26" s="2">
        <f>COUNTIFS('OB History S2'!$B:$B,$A$26,'OB History S2'!Y:Y, 1)</f>
        <v>9</v>
      </c>
      <c r="AG26" s="2">
        <f>COUNTIFS('OB History S2'!$B:$B,$A$26,'OB History S2'!Z:Z, 1)</f>
        <v>6</v>
      </c>
    </row>
    <row r="27" spans="1:33" x14ac:dyDescent="0.25">
      <c r="A27" s="2" t="s">
        <v>2</v>
      </c>
      <c r="B27" s="6" t="s">
        <v>60</v>
      </c>
      <c r="C27" s="6" t="s">
        <v>79</v>
      </c>
      <c r="D27" s="3"/>
      <c r="E27" s="6"/>
      <c r="F27" s="34">
        <f>SUMIFS('OB History S2'!C:C,'OB History S2'!B:B,A27)</f>
        <v>18</v>
      </c>
      <c r="G27" s="4">
        <f>AVERAGEIFS('OB History S2'!C:C,'OB History S2'!B:B,A27)</f>
        <v>18</v>
      </c>
      <c r="H27" s="35">
        <f t="array" ref="H27">MAX(IF('OB History S2'!B:B=A27, 'OB History S2'!C:C))</f>
        <v>18</v>
      </c>
      <c r="I27" s="34">
        <f>COUNTIFS('OB History S2'!B:B,A27,'OB History S2'!D:D, 1)</f>
        <v>1</v>
      </c>
      <c r="J27" s="2">
        <f>COUNTIFS('OB History S2'!B:B,A27,'OB History S2'!D:D, 0)</f>
        <v>0</v>
      </c>
      <c r="K27" s="88">
        <f>LOOKUP(2, 1/('OB History S2'!$B:$B=A27), 'OB History S2'!$AD:$AD)</f>
        <v>1</v>
      </c>
      <c r="L27" s="34">
        <f>SUMIFS('OB History S2'!F:F,'OB History S2'!B:B,A27)</f>
        <v>3</v>
      </c>
      <c r="M27" s="2">
        <f>SUMIFS('OB History S2'!E:E,'OB History S2'!B:B,A27)-L27</f>
        <v>0</v>
      </c>
      <c r="N27" s="88">
        <f>LOOKUP(2, 1/('OB History S2'!$B:$B=A27), 'OB History S2'!$AB:$AB)</f>
        <v>1</v>
      </c>
      <c r="O27" s="34">
        <f>SUMIFS('OB History S2'!H:H,'OB History S2'!B:B,A27)</f>
        <v>9</v>
      </c>
      <c r="P27" s="2">
        <f>SUMIFS('OB History S2'!G:G,'OB History S2'!B:B,A27)-O27</f>
        <v>4</v>
      </c>
      <c r="Q27" s="88">
        <f>LOOKUP(2, 1/('OB History S2'!$B:$B=A27), 'OB History S2'!$AC:$AC)</f>
        <v>0.69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0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1</v>
      </c>
      <c r="AF27" s="2">
        <f>COUNTIFS('OB History S2'!$B:$B,$A$27,'OB History S2'!Y:Y, 1)</f>
        <v>0</v>
      </c>
      <c r="AG27" s="2">
        <f>COUNTIFS('OB History S2'!$B:$B,$A$27,'OB History S2'!Z:Z, 1)</f>
        <v>1</v>
      </c>
    </row>
    <row r="28" spans="1:33" x14ac:dyDescent="0.25">
      <c r="A28" s="2" t="s">
        <v>5</v>
      </c>
      <c r="B28" s="6" t="s">
        <v>60</v>
      </c>
      <c r="C28" s="6" t="s">
        <v>79</v>
      </c>
      <c r="D28" s="3"/>
      <c r="E28" s="6"/>
      <c r="F28" s="34">
        <f>SUMIFS('OB History S2'!C:C,'OB History S2'!B:B,A28)</f>
        <v>30</v>
      </c>
      <c r="G28" s="4">
        <f>AVERAGEIFS('OB History S2'!C:C,'OB History S2'!B:B,A28)</f>
        <v>15</v>
      </c>
      <c r="H28" s="35">
        <f t="array" ref="H28">MAX(IF('OB History S2'!B:B=A28, 'OB History S2'!C:C))</f>
        <v>18</v>
      </c>
      <c r="I28" s="34">
        <f>COUNTIFS('OB History S2'!B:B,A28,'OB History S2'!D:D, 1)</f>
        <v>0</v>
      </c>
      <c r="J28" s="2">
        <f>COUNTIFS('OB History S2'!B:B,A28,'OB History S2'!D:D, 0)</f>
        <v>2</v>
      </c>
      <c r="K28" s="88">
        <f>LOOKUP(2, 1/('OB History S2'!$B:$B=A28), 'OB History S2'!$AD:$AD)</f>
        <v>0</v>
      </c>
      <c r="L28" s="34">
        <f>SUMIFS('OB History S2'!F:F,'OB History S2'!B:B,A28)</f>
        <v>1</v>
      </c>
      <c r="M28" s="2">
        <f>SUMIFS('OB History S2'!E:E,'OB History S2'!B:B,A28)-L28</f>
        <v>6</v>
      </c>
      <c r="N28" s="88">
        <f>LOOKUP(2, 1/('OB History S2'!$B:$B=A28), 'OB History S2'!$AB:$AB)</f>
        <v>0.125</v>
      </c>
      <c r="O28" s="34">
        <f>SUMIFS('OB History S2'!H:H,'OB History S2'!B:B,A28)</f>
        <v>10</v>
      </c>
      <c r="P28" s="2">
        <f>SUMIFS('OB History S2'!G:G,'OB History S2'!B:B,A28)-O28</f>
        <v>20</v>
      </c>
      <c r="Q28" s="88">
        <f>LOOKUP(2, 1/('OB History S2'!$B:$B=A28), 'OB History S2'!$AC:$AC)</f>
        <v>0.32</v>
      </c>
      <c r="R28" s="2">
        <f>COUNTIFS('OB History S2'!$B:$B,$A$28,'OB History S2'!K:K, 1)</f>
        <v>0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0</v>
      </c>
      <c r="X28" s="2">
        <f>COUNTIFS('OB History S2'!$B:$B,$A$28,'OB History S2'!Q:Q, 1)</f>
        <v>0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0</v>
      </c>
      <c r="AE28" s="2">
        <f>COUNTIFS('OB History S2'!$B:$B,$A$28,'OB History S2'!X:X, 1)</f>
        <v>0</v>
      </c>
      <c r="AF28" s="2">
        <f>COUNTIFS('OB History S2'!$B:$B,$A$28,'OB History S2'!Y:Y, 1)</f>
        <v>0</v>
      </c>
      <c r="AG28" s="2">
        <f>COUNTIFS('OB History S2'!$B:$B,$A$28,'OB History S2'!Z:Z, 1)</f>
        <v>0</v>
      </c>
    </row>
    <row r="29" spans="1:33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34">
        <f>SUMIFS('OB History S2'!C:C,'OB History S2'!B:B,A29)</f>
        <v>36</v>
      </c>
      <c r="G29" s="4">
        <f>AVERAGEIFS('OB History S2'!C:C,'OB History S2'!B:B,A29)</f>
        <v>9</v>
      </c>
      <c r="H29" s="35">
        <f t="array" ref="H29">MAX(IF('OB History S2'!B:B=A29, 'OB History S2'!C:C))</f>
        <v>13</v>
      </c>
      <c r="I29" s="34">
        <f>COUNTIFS('OB History S2'!B:B,A29,'OB History S2'!D:D, 1)</f>
        <v>2</v>
      </c>
      <c r="J29" s="2">
        <f>COUNTIFS('OB History S2'!B:B,A29,'OB History S2'!D:D, 0)</f>
        <v>2</v>
      </c>
      <c r="K29" s="88">
        <f>LOOKUP(2, 1/('OB History S2'!$B:$B=A29), 'OB History S2'!$AD:$AD)</f>
        <v>0.5</v>
      </c>
      <c r="L29" s="34">
        <f>SUMIFS('OB History S2'!F:F,'OB History S2'!B:B,A29)</f>
        <v>7</v>
      </c>
      <c r="M29" s="2">
        <f>SUMIFS('OB History S2'!E:E,'OB History S2'!B:B,A29)-L29</f>
        <v>10</v>
      </c>
      <c r="N29" s="88">
        <f>LOOKUP(2, 1/('OB History S2'!$B:$B=A29), 'OB History S2'!$AB:$AB)</f>
        <v>0.36249999999999999</v>
      </c>
      <c r="O29" s="34">
        <f>SUMIFS('OB History S2'!H:H,'OB History S2'!B:B,A29)</f>
        <v>31</v>
      </c>
      <c r="P29" s="2">
        <f>SUMIFS('OB History S2'!G:G,'OB History S2'!B:B,A29)-O29</f>
        <v>36</v>
      </c>
      <c r="Q29" s="88">
        <f>LOOKUP(2, 1/('OB History S2'!$B:$B=A29), 'OB History S2'!$AC:$AC)</f>
        <v>0.45</v>
      </c>
      <c r="R29" s="2">
        <f>COUNTIFS('OB History S2'!$B:$B,$A$29,'OB History S2'!K:K, 1)</f>
        <v>0</v>
      </c>
      <c r="S29" s="2">
        <f>COUNTIFS('OB History S2'!$B:$B,$A$29,'OB History S2'!L:L, 1)</f>
        <v>0</v>
      </c>
      <c r="T29" s="2">
        <f>COUNTIFS('OB History S2'!$B:$B,$A$29,'OB History S2'!M:M, 1)</f>
        <v>0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0</v>
      </c>
      <c r="X29" s="2">
        <f>COUNTIFS('OB History S2'!$B:$B,$A$29,'OB History S2'!Q:Q, 1)</f>
        <v>0</v>
      </c>
      <c r="Y29" s="2">
        <f>COUNTIFS('OB History S2'!$B:$B,$A$29,'OB History S2'!R:R, 1)</f>
        <v>1</v>
      </c>
      <c r="Z29" s="2">
        <f>COUNTIFS('OB History S2'!$B:$B,$A$29,'OB History S2'!S:S, 1)</f>
        <v>0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0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1</v>
      </c>
    </row>
    <row r="30" spans="1:33" x14ac:dyDescent="0.25">
      <c r="A30" s="2" t="s">
        <v>141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51</v>
      </c>
      <c r="G30" s="4">
        <f>AVERAGEIFS('OB History S2'!C:C,'OB History S2'!B:B,A30)</f>
        <v>17</v>
      </c>
      <c r="H30" s="35">
        <f t="array" ref="H30">MAX(IF('OB History S2'!B:B=A30, 'OB History S2'!C:C))</f>
        <v>20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7</v>
      </c>
      <c r="M30" s="2">
        <f>SUMIFS('OB History S2'!E:E,'OB History S2'!B:B,A30)-L30</f>
        <v>6</v>
      </c>
      <c r="N30" s="88">
        <f>LOOKUP(2, 1/('OB History S2'!$B:$B=A30), 'OB History S2'!$AB:$AB)</f>
        <v>0.6</v>
      </c>
      <c r="O30" s="34">
        <f>SUMIFS('OB History S2'!H:H,'OB History S2'!B:B,A30)</f>
        <v>27</v>
      </c>
      <c r="P30" s="2">
        <f>SUMIFS('OB History S2'!G:G,'OB History S2'!B:B,A30)-O30</f>
        <v>28</v>
      </c>
      <c r="Q30" s="88">
        <f>LOOKUP(2, 1/('OB History S2'!$B:$B=A30), 'OB History S2'!$AC:$AC)</f>
        <v>0.51666666666666661</v>
      </c>
      <c r="R30" s="2">
        <f>COUNTIFS('OB History S2'!$B:$B,$A$30,'OB History S2'!K:K, 1)</f>
        <v>1</v>
      </c>
      <c r="S30" s="2">
        <f>COUNTIFS('OB History S2'!$B:$B,$A$30,'OB History S2'!L:L, 1)</f>
        <v>1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1</v>
      </c>
      <c r="X30" s="2">
        <f>COUNTIFS('OB History S2'!$B:$B,$A$30,'OB History S2'!Q:Q, 1)</f>
        <v>1</v>
      </c>
      <c r="Y30" s="2">
        <f>COUNTIFS('OB History S2'!$B:$B,$A$30,'OB History S2'!R:R, 1)</f>
        <v>0</v>
      </c>
      <c r="Z30" s="2">
        <f>COUNTIFS('OB History S2'!$B:$B,$A$30,'OB History S2'!S:S, 1)</f>
        <v>0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1</v>
      </c>
      <c r="AE30" s="2">
        <f>COUNTIFS('OB History S2'!$B:$B,$A$30,'OB History S2'!X:X, 1)</f>
        <v>1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40</v>
      </c>
      <c r="B31" s="2" t="s">
        <v>79</v>
      </c>
      <c r="C31" s="2" t="s">
        <v>79</v>
      </c>
      <c r="D31" s="3"/>
      <c r="E31" s="2"/>
      <c r="F31" s="34">
        <f>SUMIFS('OB History S2'!C:C,'OB History S2'!B:B,A31)</f>
        <v>130</v>
      </c>
      <c r="G31" s="4">
        <f>AVERAGEIFS('OB History S2'!C:C,'OB History S2'!B:B,A31)</f>
        <v>16.25</v>
      </c>
      <c r="H31" s="35">
        <f t="array" ref="H31">MAX(IF('OB History S2'!B:B=A31, 'OB History S2'!C:C))</f>
        <v>25</v>
      </c>
      <c r="I31" s="34">
        <f>COUNTIFS('OB History S2'!B:B,A31,'OB History S2'!D:D, 1)</f>
        <v>3</v>
      </c>
      <c r="J31" s="2">
        <f>COUNTIFS('OB History S2'!B:B,A31,'OB History S2'!D:D, 0)</f>
        <v>5</v>
      </c>
      <c r="K31" s="88">
        <f>LOOKUP(2, 1/('OB History S2'!$B:$B=A31), 'OB History S2'!$AD:$AD)</f>
        <v>0.375</v>
      </c>
      <c r="L31" s="34">
        <f>SUMIFS('OB History S2'!F:F,'OB History S2'!B:B,A31)</f>
        <v>16</v>
      </c>
      <c r="M31" s="2">
        <f>SUMIFS('OB History S2'!E:E,'OB History S2'!B:B,A31)-L31</f>
        <v>17</v>
      </c>
      <c r="N31" s="88">
        <f>LOOKUP(2, 1/('OB History S2'!$B:$B=A31), 'OB History S2'!$AB:$AB)</f>
        <v>0.50624999999999998</v>
      </c>
      <c r="O31" s="34">
        <f>SUMIFS('OB History S2'!H:H,'OB History S2'!B:B,A31)</f>
        <v>61</v>
      </c>
      <c r="P31" s="2">
        <f>SUMIFS('OB History S2'!G:G,'OB History S2'!B:B,A31)-O31</f>
        <v>70</v>
      </c>
      <c r="Q31" s="88">
        <f>LOOKUP(2, 1/('OB History S2'!$B:$B=A31), 'OB History S2'!$AC:$AC)</f>
        <v>0.46625</v>
      </c>
      <c r="R31" s="2">
        <f>COUNTIFS('OB History S2'!$B:$B,$A$31,'OB History S2'!K:K, 1)</f>
        <v>1</v>
      </c>
      <c r="S31" s="2">
        <f>COUNTIFS('OB History S2'!$B:$B,$A$31,'OB History S2'!L:L, 1)</f>
        <v>2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1</v>
      </c>
      <c r="X31" s="2">
        <f>COUNTIFS('OB History S2'!$B:$B,$A$31,'OB History S2'!Q:Q, 1)</f>
        <v>2</v>
      </c>
      <c r="Y31" s="2">
        <f>COUNTIFS('OB History S2'!$B:$B,$A$31,'OB History S2'!R:R, 1)</f>
        <v>0</v>
      </c>
      <c r="Z31" s="2">
        <f>COUNTIFS('OB History S2'!$B:$B,$A$31,'OB History S2'!S:S, 1)</f>
        <v>1</v>
      </c>
      <c r="AA31" s="2">
        <f>COUNTIFS('OB History S2'!$B:$B,$A$31,'OB History S2'!T:T, 1)</f>
        <v>0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1</v>
      </c>
      <c r="AE31" s="2">
        <f>COUNTIFS('OB History S2'!$B:$B,$A$31,'OB History S2'!X:X, 1)</f>
        <v>2</v>
      </c>
      <c r="AF31" s="2">
        <f>COUNTIFS('OB History S2'!$B:$B,$A$31,'OB History S2'!Y:Y, 1)</f>
        <v>2</v>
      </c>
      <c r="AG31" s="2">
        <f>COUNTIFS('OB History S2'!$B:$B,$A$31,'OB History S2'!Z:Z, 1)</f>
        <v>2</v>
      </c>
    </row>
    <row r="32" spans="1:33" x14ac:dyDescent="0.25">
      <c r="A32" s="2" t="s">
        <v>147</v>
      </c>
      <c r="B32" s="2" t="s">
        <v>79</v>
      </c>
      <c r="C32" s="2" t="s">
        <v>79</v>
      </c>
      <c r="D32" s="3"/>
      <c r="E32" s="2"/>
      <c r="F32" s="34">
        <f>SUMIFS('OB History S2'!C:C,'OB History S2'!B:B,A32)</f>
        <v>60</v>
      </c>
      <c r="G32" s="4">
        <f>AVERAGEIFS('OB History S2'!C:C,'OB History S2'!B:B,A32)</f>
        <v>12</v>
      </c>
      <c r="H32" s="35">
        <f t="array" ref="H32">MAX(IF('OB History S2'!B:B=A32, 'OB History S2'!C:C))</f>
        <v>17</v>
      </c>
      <c r="I32" s="34">
        <f>COUNTIFS('OB History S2'!B:B,A32,'OB History S2'!D:D, 1)</f>
        <v>1</v>
      </c>
      <c r="J32" s="2">
        <f>COUNTIFS('OB History S2'!B:B,A32,'OB History S2'!D:D, 0)</f>
        <v>4</v>
      </c>
      <c r="K32" s="88">
        <f>LOOKUP(2, 1/('OB History S2'!$B:$B=A32), 'OB History S2'!$AD:$AD)</f>
        <v>0.2</v>
      </c>
      <c r="L32" s="34">
        <f>SUMIFS('OB History S2'!F:F,'OB History S2'!B:B,A32)</f>
        <v>3</v>
      </c>
      <c r="M32" s="2">
        <f>SUMIFS('OB History S2'!E:E,'OB History S2'!B:B,A32)-L32</f>
        <v>12</v>
      </c>
      <c r="N32" s="88">
        <f>LOOKUP(2, 1/('OB History S2'!$B:$B=A32), 'OB History S2'!$AB:$AB)</f>
        <v>0.2</v>
      </c>
      <c r="O32" s="34">
        <f>SUMIFS('OB History S2'!H:H,'OB History S2'!B:B,A32)</f>
        <v>22</v>
      </c>
      <c r="P32" s="2">
        <f>SUMIFS('OB History S2'!G:G,'OB History S2'!B:B,A32)-O32</f>
        <v>39</v>
      </c>
      <c r="Q32" s="88">
        <f>LOOKUP(2, 1/('OB History S2'!$B:$B=A32), 'OB History S2'!$AC:$AC)</f>
        <v>0.36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0</v>
      </c>
      <c r="U32" s="2">
        <f>COUNTIFS('OB History S2'!$B:$B,$A$32,'OB History S2'!N:N, 1)</f>
        <v>0</v>
      </c>
      <c r="V32" s="2">
        <f>COUNTIFS('OB History S2'!$B:$B,$A$32,'OB History S2'!O:O, 1)</f>
        <v>0</v>
      </c>
      <c r="W32" s="2">
        <f>COUNTIFS('OB History S2'!$B:$B,$A$32,'OB History S2'!P:P, 1)</f>
        <v>0</v>
      </c>
      <c r="X32" s="2">
        <f>COUNTIFS('OB History S2'!$B:$B,$A$32,'OB History S2'!Q:Q, 1)</f>
        <v>0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0</v>
      </c>
      <c r="AB32" s="2">
        <f>COUNTIFS('OB History S2'!$B:$B,$A$32,'OB History S2'!U:U, 1)</f>
        <v>0</v>
      </c>
      <c r="AC32" s="2">
        <f>COUNTIFS('OB History S2'!$B:$B,$A$32,'OB History S2'!V:V, 1)</f>
        <v>0</v>
      </c>
      <c r="AD32" s="2">
        <f>COUNTIFS('OB History S2'!$B:$B,$A$32,'OB History S2'!W:W, 1)</f>
        <v>0</v>
      </c>
      <c r="AE32" s="2">
        <f>COUNTIFS('OB History S2'!$B:$B,$A$32,'OB History S2'!X:X, 1)</f>
        <v>0</v>
      </c>
      <c r="AF32" s="2">
        <f>COUNTIFS('OB History S2'!$B:$B,$A$32,'OB History S2'!Y:Y, 1)</f>
        <v>0</v>
      </c>
      <c r="AG32" s="2">
        <f>COUNTIFS('OB History S2'!$B:$B,$A$32,'OB History S2'!Z:Z, 1)</f>
        <v>1</v>
      </c>
    </row>
    <row r="33" spans="1:33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34">
        <f>SUMIFS('OB History S2'!C:C,'OB History S2'!B:B,A33)</f>
        <v>334</v>
      </c>
      <c r="G33" s="4">
        <f>AVERAGEIFS('OB History S2'!C:C,'OB History S2'!B:B,A33)</f>
        <v>22.266666666666666</v>
      </c>
      <c r="H33" s="35">
        <f t="array" ref="H33">MAX(IF('OB History S2'!B:B=A33, 'OB History S2'!C:C))</f>
        <v>43</v>
      </c>
      <c r="I33" s="34">
        <f>COUNTIFS('OB History S2'!B:B,A33,'OB History S2'!D:D, 1)</f>
        <v>8</v>
      </c>
      <c r="J33" s="2">
        <f>COUNTIFS('OB History S2'!B:B,A33,'OB History S2'!D:D, 0)</f>
        <v>7</v>
      </c>
      <c r="K33" s="88">
        <f>LOOKUP(2, 1/('OB History S2'!$B:$B=A33), 'OB History S2'!$AD:$AD)</f>
        <v>0.53333333333333333</v>
      </c>
      <c r="L33" s="34">
        <f>SUMIFS('OB History S2'!F:F,'OB History S2'!B:B,A33)</f>
        <v>29</v>
      </c>
      <c r="M33" s="2">
        <f>SUMIFS('OB History S2'!E:E,'OB History S2'!B:B,A33)-L33</f>
        <v>29</v>
      </c>
      <c r="N33" s="88">
        <f>LOOKUP(2, 1/('OB History S2'!$B:$B=A33), 'OB History S2'!$AB:$AB)</f>
        <v>0.5033333333333333</v>
      </c>
      <c r="O33" s="34">
        <f>SUMIFS('OB History S2'!H:H,'OB History S2'!B:B,A33)</f>
        <v>115</v>
      </c>
      <c r="P33" s="2">
        <f>SUMIFS('OB History S2'!G:G,'OB History S2'!B:B,A33)-O33</f>
        <v>116</v>
      </c>
      <c r="Q33" s="88">
        <f>LOOKUP(2, 1/('OB History S2'!$B:$B=A33), 'OB History S2'!$AC:$AC)</f>
        <v>0.50333333333333319</v>
      </c>
      <c r="R33" s="2">
        <f>COUNTIFS('OB History S2'!$B:$B,$A$33,'OB History S2'!K:K, 1)</f>
        <v>0</v>
      </c>
      <c r="S33" s="2">
        <f>COUNTIFS('OB History S2'!$B:$B,$A$33,'OB History S2'!L:L, 1)</f>
        <v>4</v>
      </c>
      <c r="T33" s="2">
        <f>COUNTIFS('OB History S2'!$B:$B,$A$33,'OB History S2'!M:M, 1)</f>
        <v>1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2</v>
      </c>
      <c r="Y33" s="2">
        <f>COUNTIFS('OB History S2'!$B:$B,$A$33,'OB History S2'!R:R, 1)</f>
        <v>3</v>
      </c>
      <c r="Z33" s="2">
        <f>COUNTIFS('OB History S2'!$B:$B,$A$33,'OB History S2'!S:S, 1)</f>
        <v>0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1</v>
      </c>
      <c r="AD33" s="2">
        <f>COUNTIFS('OB History S2'!$B:$B,$A$33,'OB History S2'!W:W, 1)</f>
        <v>1</v>
      </c>
      <c r="AE33" s="2">
        <f>COUNTIFS('OB History S2'!$B:$B,$A$33,'OB History S2'!X:X, 1)</f>
        <v>8</v>
      </c>
      <c r="AF33" s="2">
        <f>COUNTIFS('OB History S2'!$B:$B,$A$33,'OB History S2'!Y:Y, 1)</f>
        <v>3</v>
      </c>
      <c r="AG33" s="2">
        <f>COUNTIFS('OB History S2'!$B:$B,$A$33,'OB History S2'!Z:Z, 1)</f>
        <v>4</v>
      </c>
    </row>
    <row r="34" spans="1:33" x14ac:dyDescent="0.25">
      <c r="A34" s="2" t="s">
        <v>169</v>
      </c>
      <c r="B34" s="2" t="s">
        <v>79</v>
      </c>
      <c r="C34" s="2" t="s">
        <v>79</v>
      </c>
      <c r="D34" s="3">
        <v>1</v>
      </c>
      <c r="E34" s="2"/>
      <c r="F34" s="34">
        <f>SUMIFS('OB History S2'!C:C,'OB History S2'!B:B,A34)</f>
        <v>29</v>
      </c>
      <c r="G34" s="4">
        <f>AVERAGEIFS('OB History S2'!C:C,'OB History S2'!B:B,A34)</f>
        <v>14.5</v>
      </c>
      <c r="H34" s="35">
        <f t="array" ref="H34">MAX(IF('OB History S2'!B:B=A34, 'OB History S2'!C:C))</f>
        <v>18</v>
      </c>
      <c r="I34" s="34">
        <f>COUNTIFS('OB History S2'!B:B,A34,'OB History S2'!D:D, 1)</f>
        <v>0</v>
      </c>
      <c r="J34" s="2">
        <f>COUNTIFS('OB History S2'!B:B,A34,'OB History S2'!D:D, 0)</f>
        <v>2</v>
      </c>
      <c r="K34" s="88">
        <f>LOOKUP(2, 1/('OB History S2'!$B:$B=A34), 'OB History S2'!$AD:$AD)</f>
        <v>0</v>
      </c>
      <c r="L34" s="34">
        <f>SUMIFS('OB History S2'!F:F,'OB History S2'!B:B,A34)</f>
        <v>0</v>
      </c>
      <c r="M34" s="2">
        <f>SUMIFS('OB History S2'!E:E,'OB History S2'!B:B,A34)-L34</f>
        <v>6</v>
      </c>
      <c r="N34" s="88">
        <f>LOOKUP(2, 1/('OB History S2'!$B:$B=A34), 'OB History S2'!$AB:$AB)</f>
        <v>0</v>
      </c>
      <c r="O34" s="34">
        <f>SUMIFS('OB History S2'!H:H,'OB History S2'!B:B,A34)</f>
        <v>7</v>
      </c>
      <c r="P34" s="2">
        <f>SUMIFS('OB History S2'!G:G,'OB History S2'!B:B,A34)-O34</f>
        <v>18</v>
      </c>
      <c r="Q34" s="88">
        <f>LOOKUP(2, 1/('OB History S2'!$B:$B=A34), 'OB History S2'!$AC:$AC)</f>
        <v>0.28000000000000003</v>
      </c>
      <c r="R34" s="2">
        <f>COUNTIFS('OB History S2'!$B:$B,$A$34,'OB History S2'!K:K, 1)</f>
        <v>0</v>
      </c>
      <c r="S34" s="2">
        <f>COUNTIFS('OB History S2'!$B:$B,$A$34,'OB History S2'!L:L, 1)</f>
        <v>0</v>
      </c>
      <c r="T34" s="2">
        <f>COUNTIFS('OB History S2'!$B:$B,$A$34,'OB History S2'!M:M, 1)</f>
        <v>0</v>
      </c>
      <c r="U34" s="2">
        <f>COUNTIFS('OB History S2'!$B:$B,$A$34,'OB History S2'!N:N, 1)</f>
        <v>0</v>
      </c>
      <c r="V34" s="2">
        <f>COUNTIFS('OB History S2'!$B:$B,$A$34,'OB History S2'!O:O, 1)</f>
        <v>0</v>
      </c>
      <c r="W34" s="2">
        <f>COUNTIFS('OB History S2'!$B:$B,$A$34,'OB History S2'!P:P, 1)</f>
        <v>0</v>
      </c>
      <c r="X34" s="2">
        <f>COUNTIFS('OB History S2'!$B:$B,$A$34,'OB History S2'!Q:Q, 1)</f>
        <v>0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0</v>
      </c>
      <c r="AC34" s="2">
        <f>COUNTIFS('OB History S2'!$B:$B,$A$34,'OB History S2'!V:V, 1)</f>
        <v>0</v>
      </c>
      <c r="AD34" s="2">
        <f>COUNTIFS('OB History S2'!$B:$B,$A$34,'OB History S2'!W:W, 1)</f>
        <v>0</v>
      </c>
      <c r="AE34" s="2">
        <f>COUNTIFS('OB History S2'!$B:$B,$A$34,'OB History S2'!X:X, 1)</f>
        <v>0</v>
      </c>
      <c r="AF34" s="2">
        <f>COUNTIFS('OB History S2'!$B:$B,$A$34,'OB History S2'!Y:Y, 1)</f>
        <v>0</v>
      </c>
      <c r="AG34" s="2">
        <f>COUNTIFS('OB History S2'!$B:$B,$A$34,'OB History S2'!Z:Z, 1)</f>
        <v>0</v>
      </c>
    </row>
    <row r="35" spans="1:33" x14ac:dyDescent="0.25">
      <c r="A35" s="2" t="s">
        <v>155</v>
      </c>
      <c r="B35" s="2" t="s">
        <v>79</v>
      </c>
      <c r="C35" s="2" t="s">
        <v>79</v>
      </c>
      <c r="D35" s="3">
        <v>2</v>
      </c>
      <c r="E35" s="3">
        <v>1</v>
      </c>
      <c r="F35" s="34">
        <f>SUMIFS('OB History S2'!C:C,'OB History S2'!B:B,A35)</f>
        <v>205</v>
      </c>
      <c r="G35" s="4">
        <f>AVERAGEIFS('OB History S2'!C:C,'OB History S2'!B:B,A35)</f>
        <v>15.76923076923077</v>
      </c>
      <c r="H35" s="35">
        <f t="array" ref="H35">MAX(IF('OB History S2'!B:B=A35, 'OB History S2'!C:C))</f>
        <v>28</v>
      </c>
      <c r="I35" s="34">
        <f>COUNTIFS('OB History S2'!B:B,A35,'OB History S2'!D:D, 1)</f>
        <v>2</v>
      </c>
      <c r="J35" s="2">
        <f>COUNTIFS('OB History S2'!B:B,A35,'OB History S2'!D:D, 0)</f>
        <v>11</v>
      </c>
      <c r="K35" s="88">
        <f>LOOKUP(2, 1/('OB History S2'!$B:$B=A35), 'OB History S2'!$AD:$AD)</f>
        <v>0.15384615384615385</v>
      </c>
      <c r="L35" s="34">
        <f>SUMIFS('OB History S2'!F:F,'OB History S2'!B:B,A35)</f>
        <v>18</v>
      </c>
      <c r="M35" s="2">
        <f>SUMIFS('OB History S2'!E:E,'OB History S2'!B:B,A35)-L35</f>
        <v>37</v>
      </c>
      <c r="N35" s="88">
        <f>LOOKUP(2, 1/('OB History S2'!$B:$B=A35), 'OB History S2'!$AB:$AB)</f>
        <v>0.3</v>
      </c>
      <c r="O35" s="34">
        <f>SUMIFS('OB History S2'!H:H,'OB History S2'!B:B,A35)</f>
        <v>93</v>
      </c>
      <c r="P35" s="2">
        <f>SUMIFS('OB History S2'!G:G,'OB History S2'!B:B,A35)-O35</f>
        <v>128</v>
      </c>
      <c r="Q35" s="88">
        <f>LOOKUP(2, 1/('OB History S2'!$B:$B=A35), 'OB History S2'!$AC:$AC)</f>
        <v>0.40153846153846151</v>
      </c>
      <c r="R35" s="2">
        <f>COUNTIFS('OB History S2'!$B:$B,$A$35,'OB History S2'!K:K, 1)</f>
        <v>1</v>
      </c>
      <c r="S35" s="2">
        <f>COUNTIFS('OB History S2'!$B:$B,$A$35,'OB History S2'!L:L, 1)</f>
        <v>0</v>
      </c>
      <c r="T35" s="2">
        <f>COUNTIFS('OB History S2'!$B:$B,$A$35,'OB History S2'!M:M, 1)</f>
        <v>2</v>
      </c>
      <c r="U35" s="2">
        <f>COUNTIFS('OB History S2'!$B:$B,$A$35,'OB History S2'!N:N, 1)</f>
        <v>1</v>
      </c>
      <c r="V35" s="2">
        <f>COUNTIFS('OB History S2'!$B:$B,$A$35,'OB History S2'!O:O, 1)</f>
        <v>0</v>
      </c>
      <c r="W35" s="2">
        <f>COUNTIFS('OB History S2'!$B:$B,$A$35,'OB History S2'!P:P, 1)</f>
        <v>2</v>
      </c>
      <c r="X35" s="2">
        <f>COUNTIFS('OB History S2'!$B:$B,$A$35,'OB History S2'!Q:Q, 1)</f>
        <v>1</v>
      </c>
      <c r="Y35" s="2">
        <f>COUNTIFS('OB History S2'!$B:$B,$A$35,'OB History S2'!R:R, 1)</f>
        <v>0</v>
      </c>
      <c r="Z35" s="2">
        <f>COUNTIFS('OB History S2'!$B:$B,$A$35,'OB History S2'!S:S, 1)</f>
        <v>1</v>
      </c>
      <c r="AA35" s="2">
        <f>COUNTIFS('OB History S2'!$B:$B,$A$35,'OB History S2'!T:T, 1)</f>
        <v>1</v>
      </c>
      <c r="AB35" s="2">
        <f>COUNTIFS('OB History S2'!$B:$B,$A$35,'OB History S2'!U:U, 1)</f>
        <v>0</v>
      </c>
      <c r="AC35" s="2">
        <f>COUNTIFS('OB History S2'!$B:$B,$A$35,'OB History S2'!V:V, 1)</f>
        <v>1</v>
      </c>
      <c r="AD35" s="2">
        <f>COUNTIFS('OB History S2'!$B:$B,$A$35,'OB History S2'!W:W, 1)</f>
        <v>1</v>
      </c>
      <c r="AE35" s="2">
        <f>COUNTIFS('OB History S2'!$B:$B,$A$35,'OB History S2'!X:X, 1)</f>
        <v>3</v>
      </c>
      <c r="AF35" s="2">
        <f>COUNTIFS('OB History S2'!$B:$B,$A$35,'OB History S2'!Y:Y, 1)</f>
        <v>3</v>
      </c>
      <c r="AG35" s="2">
        <f>COUNTIFS('OB History S2'!$B:$B,$A$35,'OB History S2'!Z:Z, 1)</f>
        <v>1</v>
      </c>
    </row>
    <row r="36" spans="1:33" x14ac:dyDescent="0.25">
      <c r="A36" s="2" t="s">
        <v>6</v>
      </c>
      <c r="B36" s="2" t="s">
        <v>60</v>
      </c>
      <c r="C36" s="2" t="s">
        <v>79</v>
      </c>
      <c r="D36" s="3"/>
      <c r="E36" s="2"/>
      <c r="F36" s="34">
        <f>SUMIFS('OB History S2'!C:C,'OB History S2'!B:B,A36)</f>
        <v>133</v>
      </c>
      <c r="G36" s="4">
        <f>AVERAGEIFS('OB History S2'!C:C,'OB History S2'!B:B,A36)</f>
        <v>22.166666666666668</v>
      </c>
      <c r="H36" s="35">
        <f t="array" ref="H36">MAX(IF('OB History S2'!B:B=A36, 'OB History S2'!C:C))</f>
        <v>42</v>
      </c>
      <c r="I36" s="34">
        <f>COUNTIFS('OB History S2'!B:B,A36,'OB History S2'!D:D, 1)</f>
        <v>3</v>
      </c>
      <c r="J36" s="2">
        <f>COUNTIFS('OB History S2'!B:B,A36,'OB History S2'!D:D, 0)</f>
        <v>3</v>
      </c>
      <c r="K36" s="88">
        <f>LOOKUP(2, 1/('OB History S2'!$B:$B=A36), 'OB History S2'!$AD:$AD)</f>
        <v>0.5</v>
      </c>
      <c r="L36" s="34">
        <f>SUMIFS('OB History S2'!F:F,'OB History S2'!B:B,A36)</f>
        <v>13</v>
      </c>
      <c r="M36" s="2">
        <f>SUMIFS('OB History S2'!E:E,'OB History S2'!B:B,A36)-L36</f>
        <v>11</v>
      </c>
      <c r="N36" s="88">
        <f>LOOKUP(2, 1/('OB History S2'!$B:$B=A36), 'OB History S2'!$AB:$AB)</f>
        <v>0.56666666666666665</v>
      </c>
      <c r="O36" s="34">
        <f>SUMIFS('OB History S2'!H:H,'OB History S2'!B:B,A36)</f>
        <v>57</v>
      </c>
      <c r="P36" s="2">
        <f>SUMIFS('OB History S2'!G:G,'OB History S2'!B:B,A36)-O36</f>
        <v>46</v>
      </c>
      <c r="Q36" s="88">
        <f>LOOKUP(2, 1/('OB History S2'!$B:$B=A36), 'OB History S2'!$AC:$AC)</f>
        <v>0.56833333333333325</v>
      </c>
      <c r="R36" s="2">
        <f>COUNTIFS('OB History S2'!$B:$B,$A$36,'OB History S2'!K:K, 1)</f>
        <v>1</v>
      </c>
      <c r="S36" s="2">
        <f>COUNTIFS('OB History S2'!$B:$B,$A$36,'OB History S2'!L:L, 1)</f>
        <v>0</v>
      </c>
      <c r="T36" s="2">
        <f>COUNTIFS('OB History S2'!$B:$B,$A$36,'OB History S2'!M:M, 1)</f>
        <v>3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0</v>
      </c>
      <c r="X36" s="2">
        <f>COUNTIFS('OB History S2'!$B:$B,$A$36,'OB History S2'!Q:Q, 1)</f>
        <v>2</v>
      </c>
      <c r="Y36" s="2">
        <f>COUNTIFS('OB History S2'!$B:$B,$A$36,'OB History S2'!R:R, 1)</f>
        <v>0</v>
      </c>
      <c r="Z36" s="2">
        <f>COUNTIFS('OB History S2'!$B:$B,$A$36,'OB History S2'!S:S, 1)</f>
        <v>1</v>
      </c>
      <c r="AA36" s="2">
        <f>COUNTIFS('OB History S2'!$B:$B,$A$36,'OB History S2'!T:T, 1)</f>
        <v>1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0</v>
      </c>
      <c r="AF36" s="2">
        <f>COUNTIFS('OB History S2'!$B:$B,$A$36,'OB History S2'!Y:Y, 1)</f>
        <v>2</v>
      </c>
      <c r="AG36" s="2">
        <f>COUNTIFS('OB History S2'!$B:$B,$A$36,'OB History S2'!Z:Z, 1)</f>
        <v>1</v>
      </c>
    </row>
    <row r="37" spans="1:33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34">
        <f>SUMIFS('OB History S2'!C:C,'OB History S2'!B:B,A37)</f>
        <v>203</v>
      </c>
      <c r="G37" s="4">
        <f>AVERAGEIFS('OB History S2'!C:C,'OB History S2'!B:B,A37)</f>
        <v>22.555555555555557</v>
      </c>
      <c r="H37" s="35">
        <f t="array" ref="H37">MAX(IF('OB History S2'!B:B=A37, 'OB History S2'!C:C))</f>
        <v>36</v>
      </c>
      <c r="I37" s="34">
        <f>COUNTIFS('OB History S2'!B:B,A37,'OB History S2'!D:D, 1)</f>
        <v>5</v>
      </c>
      <c r="J37" s="2">
        <f>COUNTIFS('OB History S2'!B:B,A37,'OB History S2'!D:D, 0)</f>
        <v>4</v>
      </c>
      <c r="K37" s="88">
        <f>LOOKUP(2, 1/('OB History S2'!$B:$B=A37), 'OB History S2'!$AD:$AD)</f>
        <v>0.55555555555555558</v>
      </c>
      <c r="L37" s="34">
        <f>SUMIFS('OB History S2'!F:F,'OB History S2'!B:B,A37)</f>
        <v>18</v>
      </c>
      <c r="M37" s="2">
        <f>SUMIFS('OB History S2'!E:E,'OB History S2'!B:B,A37)-L37</f>
        <v>16</v>
      </c>
      <c r="N37" s="88">
        <f>LOOKUP(2, 1/('OB History S2'!$B:$B=A37), 'OB History S2'!$AB:$AB)</f>
        <v>0.52777777777777779</v>
      </c>
      <c r="O37" s="34">
        <f>SUMIFS('OB History S2'!H:H,'OB History S2'!B:B,A37)</f>
        <v>73</v>
      </c>
      <c r="P37" s="2">
        <f>SUMIFS('OB History S2'!G:G,'OB History S2'!B:B,A37)-O37</f>
        <v>66</v>
      </c>
      <c r="Q37" s="88">
        <f>LOOKUP(2, 1/('OB History S2'!$B:$B=A37), 'OB History S2'!$AC:$AC)</f>
        <v>0.53333333333333333</v>
      </c>
      <c r="R37" s="2">
        <f>COUNTIFS('OB History S2'!$B:$B,$A$37,'OB History S2'!K:K, 1)</f>
        <v>0</v>
      </c>
      <c r="S37" s="2">
        <f>COUNTIFS('OB History S2'!$B:$B,$A$37,'OB History S2'!L:L, 1)</f>
        <v>2</v>
      </c>
      <c r="T37" s="2">
        <f>COUNTIFS('OB History S2'!$B:$B,$A$37,'OB History S2'!M:M, 1)</f>
        <v>1</v>
      </c>
      <c r="U37" s="2">
        <f>COUNTIFS('OB History S2'!$B:$B,$A$37,'OB History S2'!N:N, 1)</f>
        <v>3</v>
      </c>
      <c r="V37" s="2">
        <f>COUNTIFS('OB History S2'!$B:$B,$A$37,'OB History S2'!O:O, 1)</f>
        <v>0</v>
      </c>
      <c r="W37" s="2">
        <f>COUNTIFS('OB History S2'!$B:$B,$A$37,'OB History S2'!P:P, 1)</f>
        <v>2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1</v>
      </c>
      <c r="AC37" s="2">
        <f>COUNTIFS('OB History S2'!$B:$B,$A$37,'OB History S2'!V:V, 1)</f>
        <v>0</v>
      </c>
      <c r="AD37" s="2">
        <f>COUNTIFS('OB History S2'!$B:$B,$A$37,'OB History S2'!W:W, 1)</f>
        <v>1</v>
      </c>
      <c r="AE37" s="2">
        <f>COUNTIFS('OB History S2'!$B:$B,$A$37,'OB History S2'!X:X, 1)</f>
        <v>3</v>
      </c>
      <c r="AF37" s="2">
        <f>COUNTIFS('OB History S2'!$B:$B,$A$37,'OB History S2'!Y:Y, 1)</f>
        <v>2</v>
      </c>
      <c r="AG37" s="2">
        <f>COUNTIFS('OB History S2'!$B:$B,$A$37,'OB History S2'!Z:Z, 1)</f>
        <v>2</v>
      </c>
    </row>
    <row r="38" spans="1:33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34">
        <f>SUMIFS('OB History S2'!C:C,'OB History S2'!B:B,A38)</f>
        <v>135</v>
      </c>
      <c r="G38" s="4">
        <f>AVERAGEIFS('OB History S2'!C:C,'OB History S2'!B:B,A38)</f>
        <v>16.875</v>
      </c>
      <c r="H38" s="35">
        <f t="array" ref="H38">MAX(IF('OB History S2'!B:B=A38, 'OB History S2'!C:C))</f>
        <v>26</v>
      </c>
      <c r="I38" s="34">
        <f>COUNTIFS('OB History S2'!B:B,A38,'OB History S2'!D:D, 1)</f>
        <v>6</v>
      </c>
      <c r="J38" s="2">
        <f>COUNTIFS('OB History S2'!B:B,A38,'OB History S2'!D:D, 0)</f>
        <v>2</v>
      </c>
      <c r="K38" s="88">
        <f>LOOKUP(2, 1/('OB History S2'!$B:$B=A38), 'OB History S2'!$AD:$AD)</f>
        <v>0.75</v>
      </c>
      <c r="L38" s="34">
        <f>SUMIFS('OB History S2'!F:F,'OB History S2'!B:B,A38)</f>
        <v>18</v>
      </c>
      <c r="M38" s="2">
        <f>SUMIFS('OB History S2'!E:E,'OB History S2'!B:B,A38)-L38</f>
        <v>10</v>
      </c>
      <c r="N38" s="88">
        <f>LOOKUP(2, 1/('OB History S2'!$B:$B=A38), 'OB History S2'!$AB:$AB)</f>
        <v>0.63749999999999996</v>
      </c>
      <c r="O38" s="34">
        <f>SUMIFS('OB History S2'!H:H,'OB History S2'!B:B,A38)</f>
        <v>63</v>
      </c>
      <c r="P38" s="2">
        <f>SUMIFS('OB History S2'!G:G,'OB History S2'!B:B,A38)-O38</f>
        <v>51</v>
      </c>
      <c r="Q38" s="88">
        <f>LOOKUP(2, 1/('OB History S2'!$B:$B=A38), 'OB History S2'!$AC:$AC)</f>
        <v>0.54125000000000001</v>
      </c>
      <c r="R38" s="2">
        <f>COUNTIFS('OB History S2'!$B:$B,$A$38,'OB History S2'!K:K, 1)</f>
        <v>0</v>
      </c>
      <c r="S38" s="2">
        <f>COUNTIFS('OB History S2'!$B:$B,$A$38,'OB History S2'!L:L, 1)</f>
        <v>3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1</v>
      </c>
      <c r="X38" s="2">
        <f>COUNTIFS('OB History S2'!$B:$B,$A$38,'OB History S2'!Q:Q, 1)</f>
        <v>2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0</v>
      </c>
      <c r="AC38" s="2">
        <f>COUNTIFS('OB History S2'!$B:$B,$A$38,'OB History S2'!V:V, 1)</f>
        <v>1</v>
      </c>
      <c r="AD38" s="2">
        <f>COUNTIFS('OB History S2'!$B:$B,$A$38,'OB History S2'!W:W, 1)</f>
        <v>2</v>
      </c>
      <c r="AE38" s="2">
        <f>COUNTIFS('OB History S2'!$B:$B,$A$38,'OB History S2'!X:X, 1)</f>
        <v>3</v>
      </c>
      <c r="AF38" s="2">
        <f>COUNTIFS('OB History S2'!$B:$B,$A$38,'OB History S2'!Y:Y, 1)</f>
        <v>2</v>
      </c>
      <c r="AG38" s="2">
        <f>COUNTIFS('OB History S2'!$B:$B,$A$38,'OB History S2'!Z:Z, 1)</f>
        <v>3</v>
      </c>
    </row>
    <row r="39" spans="1:33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34">
        <f>SUMIFS('OB History S2'!C:C,'OB History S2'!B:B,A39)</f>
        <v>220</v>
      </c>
      <c r="G39" s="4">
        <f>AVERAGEIFS('OB History S2'!C:C,'OB History S2'!B:B,A39)</f>
        <v>20</v>
      </c>
      <c r="H39" s="35">
        <f t="array" ref="H39">MAX(IF('OB History S2'!B:B=A39, 'OB History S2'!C:C))</f>
        <v>37</v>
      </c>
      <c r="I39" s="34">
        <f>COUNTIFS('OB History S2'!B:B,A39,'OB History S2'!D:D, 1)</f>
        <v>2</v>
      </c>
      <c r="J39" s="2">
        <f>COUNTIFS('OB History S2'!B:B,A39,'OB History S2'!D:D, 0)</f>
        <v>9</v>
      </c>
      <c r="K39" s="88">
        <f>LOOKUP(2, 1/('OB History S2'!$B:$B=A39), 'OB History S2'!$AD:$AD)</f>
        <v>0.18181818181818182</v>
      </c>
      <c r="L39" s="34">
        <f>SUMIFS('OB History S2'!F:F,'OB History S2'!B:B,A39)</f>
        <v>13</v>
      </c>
      <c r="M39" s="2">
        <f>SUMIFS('OB History S2'!E:E,'OB History S2'!B:B,A39)-L39</f>
        <v>28</v>
      </c>
      <c r="N39" s="88">
        <f>LOOKUP(2, 1/('OB History S2'!$B:$B=A39), 'OB History S2'!$AB:$AB)</f>
        <v>0.3</v>
      </c>
      <c r="O39" s="34">
        <f>SUMIFS('OB History S2'!H:H,'OB History S2'!B:B,A39)</f>
        <v>66</v>
      </c>
      <c r="P39" s="2">
        <f>SUMIFS('OB History S2'!G:G,'OB History S2'!B:B,A39)-O39</f>
        <v>98</v>
      </c>
      <c r="Q39" s="88">
        <f>LOOKUP(2, 1/('OB History S2'!$B:$B=A39), 'OB History S2'!$AC:$AC)</f>
        <v>0.41090909090909089</v>
      </c>
      <c r="R39" s="2">
        <f>COUNTIFS('OB History S2'!$B:$B,$A$39,'OB History S2'!K:K, 1)</f>
        <v>0</v>
      </c>
      <c r="S39" s="2">
        <f>COUNTIFS('OB History S2'!$B:$B,$A$39,'OB History S2'!L:L, 1)</f>
        <v>3</v>
      </c>
      <c r="T39" s="2">
        <f>COUNTIFS('OB History S2'!$B:$B,$A$39,'OB History S2'!M:M, 1)</f>
        <v>0</v>
      </c>
      <c r="U39" s="2">
        <f>COUNTIFS('OB History S2'!$B:$B,$A$39,'OB History S2'!N:N, 1)</f>
        <v>1</v>
      </c>
      <c r="V39" s="2">
        <f>COUNTIFS('OB History S2'!$B:$B,$A$39,'OB History S2'!O:O, 1)</f>
        <v>0</v>
      </c>
      <c r="W39" s="2">
        <f>COUNTIFS('OB History S2'!$B:$B,$A$39,'OB History S2'!P:P, 1)</f>
        <v>1</v>
      </c>
      <c r="X39" s="2">
        <f>COUNTIFS('OB History S2'!$B:$B,$A$39,'OB History S2'!Q:Q, 1)</f>
        <v>1</v>
      </c>
      <c r="Y39" s="2">
        <f>COUNTIFS('OB History S2'!$B:$B,$A$39,'OB History S2'!R:R, 1)</f>
        <v>0</v>
      </c>
      <c r="Z39" s="2">
        <f>COUNTIFS('OB History S2'!$B:$B,$A$39,'OB History S2'!S:S, 1)</f>
        <v>0</v>
      </c>
      <c r="AA39" s="2">
        <f>COUNTIFS('OB History S2'!$B:$B,$A$39,'OB History S2'!T:T, 1)</f>
        <v>0</v>
      </c>
      <c r="AB39" s="2">
        <f>COUNTIFS('OB History S2'!$B:$B,$A$39,'OB History S2'!U:U, 1)</f>
        <v>0</v>
      </c>
      <c r="AC39" s="2">
        <f>COUNTIFS('OB History S2'!$B:$B,$A$39,'OB History S2'!V:V, 1)</f>
        <v>0</v>
      </c>
      <c r="AD39" s="2">
        <f>COUNTIFS('OB History S2'!$B:$B,$A$39,'OB History S2'!W:W, 1)</f>
        <v>1</v>
      </c>
      <c r="AE39" s="2">
        <f>COUNTIFS('OB History S2'!$B:$B,$A$39,'OB History S2'!X:X, 1)</f>
        <v>5</v>
      </c>
      <c r="AF39" s="2">
        <f>COUNTIFS('OB History S2'!$B:$B,$A$39,'OB History S2'!Y:Y, 1)</f>
        <v>1</v>
      </c>
      <c r="AG39" s="2">
        <f>COUNTIFS('OB History S2'!$B:$B,$A$39,'OB History S2'!Z:Z, 1)</f>
        <v>0</v>
      </c>
    </row>
    <row r="40" spans="1:33" x14ac:dyDescent="0.25">
      <c r="A40" s="2" t="s">
        <v>70</v>
      </c>
      <c r="B40" s="6" t="s">
        <v>79</v>
      </c>
      <c r="C40" s="6" t="s">
        <v>79</v>
      </c>
      <c r="D40" s="3"/>
      <c r="E40" s="6"/>
      <c r="F40" s="34">
        <f>SUMIFS('OB History S2'!C:C,'OB History S2'!B:B,A40)</f>
        <v>7</v>
      </c>
      <c r="G40" s="4">
        <f>AVERAGEIFS('OB History S2'!C:C,'OB History S2'!B:B,A40)</f>
        <v>7</v>
      </c>
      <c r="H40" s="35">
        <f t="array" ref="H40">MAX(IF('OB History S2'!B:B=A40, 'OB History S2'!C:C))</f>
        <v>7</v>
      </c>
      <c r="I40" s="34">
        <f>COUNTIFS('OB History S2'!B:B,A40,'OB History S2'!D:D, 1)</f>
        <v>1</v>
      </c>
      <c r="J40" s="2">
        <f>COUNTIFS('OB History S2'!B:B,A40,'OB History S2'!D:D, 0)</f>
        <v>0</v>
      </c>
      <c r="K40" s="88">
        <f>LOOKUP(2, 1/('OB History S2'!$B:$B=A40), 'OB History S2'!$AD:$AD)</f>
        <v>1</v>
      </c>
      <c r="L40" s="34">
        <f>SUMIFS('OB History S2'!F:F,'OB History S2'!B:B,A40)</f>
        <v>3</v>
      </c>
      <c r="M40" s="2">
        <f>SUMIFS('OB History S2'!E:E,'OB History S2'!B:B,A40)-L40</f>
        <v>0</v>
      </c>
      <c r="N40" s="88">
        <f>LOOKUP(2, 1/('OB History S2'!$B:$B=A40), 'OB History S2'!$AB:$AB)</f>
        <v>1</v>
      </c>
      <c r="O40" s="34">
        <f>SUMIFS('OB History S2'!H:H,'OB History S2'!B:B,A40)</f>
        <v>9</v>
      </c>
      <c r="P40" s="2">
        <f>SUMIFS('OB History S2'!G:G,'OB History S2'!B:B,A40)-O40</f>
        <v>5</v>
      </c>
      <c r="Q40" s="88">
        <f>LOOKUP(2, 1/('OB History S2'!$B:$B=A40), 'OB History S2'!$AC:$AC)</f>
        <v>0.64</v>
      </c>
      <c r="R40" s="2">
        <f>COUNTIFS('OB History S2'!$B:$B,$A$40,'OB History S2'!K:K, 1)</f>
        <v>0</v>
      </c>
      <c r="S40" s="2">
        <f>COUNTIFS('OB History S2'!$B:$B,$A$40,'OB History S2'!L:L, 1)</f>
        <v>0</v>
      </c>
      <c r="T40" s="2">
        <f>COUNTIFS('OB History S2'!$B:$B,$A$40,'OB History S2'!M:M, 1)</f>
        <v>0</v>
      </c>
      <c r="U40" s="2">
        <f>COUNTIFS('OB History S2'!$B:$B,$A$40,'OB History S2'!N:N, 1)</f>
        <v>0</v>
      </c>
      <c r="V40" s="2">
        <f>COUNTIFS('OB History S2'!$B:$B,$A$40,'OB History S2'!O:O, 1)</f>
        <v>0</v>
      </c>
      <c r="W40" s="2">
        <f>COUNTIFS('OB History S2'!$B:$B,$A$40,'OB History S2'!P:P, 1)</f>
        <v>0</v>
      </c>
      <c r="X40" s="2">
        <f>COUNTIFS('OB History S2'!$B:$B,$A$40,'OB History S2'!Q:Q, 1)</f>
        <v>0</v>
      </c>
      <c r="Y40" s="2">
        <f>COUNTIFS('OB History S2'!$B:$B,$A$40,'OB History S2'!R:R, 1)</f>
        <v>1</v>
      </c>
      <c r="Z40" s="2">
        <f>COUNTIFS('OB History S2'!$B:$B,$A$40,'OB History S2'!S:S, 1)</f>
        <v>0</v>
      </c>
      <c r="AA40" s="2">
        <f>COUNTIFS('OB History S2'!$B:$B,$A$40,'OB History S2'!T:T, 1)</f>
        <v>0</v>
      </c>
      <c r="AB40" s="2">
        <f>COUNTIFS('OB History S2'!$B:$B,$A$40,'OB History S2'!U:U, 1)</f>
        <v>0</v>
      </c>
      <c r="AC40" s="2">
        <f>COUNTIFS('OB History S2'!$B:$B,$A$40,'OB History S2'!V:V, 1)</f>
        <v>0</v>
      </c>
      <c r="AD40" s="2">
        <f>COUNTIFS('OB History S2'!$B:$B,$A$40,'OB History S2'!W:W, 1)</f>
        <v>0</v>
      </c>
      <c r="AE40" s="2">
        <f>COUNTIFS('OB History S2'!$B:$B,$A$40,'OB History S2'!X:X, 1)</f>
        <v>1</v>
      </c>
      <c r="AF40" s="2">
        <f>COUNTIFS('OB History S2'!$B:$B,$A$40,'OB History S2'!Y:Y, 1)</f>
        <v>0</v>
      </c>
      <c r="AG40" s="2">
        <f>COUNTIFS('OB History S2'!$B:$B,$A$40,'OB History S2'!Z:Z, 1)</f>
        <v>1</v>
      </c>
    </row>
    <row r="41" spans="1:33" x14ac:dyDescent="0.25">
      <c r="A41" s="2" t="s">
        <v>4</v>
      </c>
      <c r="B41" s="2" t="s">
        <v>79</v>
      </c>
      <c r="C41" s="2" t="s">
        <v>79</v>
      </c>
      <c r="D41" s="3"/>
      <c r="E41" s="2"/>
      <c r="F41" s="34">
        <f>SUMIFS('OB History S2'!C:C,'OB History S2'!B:B,A41)</f>
        <v>104</v>
      </c>
      <c r="G41" s="4">
        <f>AVERAGEIFS('OB History S2'!C:C,'OB History S2'!B:B,A41)</f>
        <v>20.8</v>
      </c>
      <c r="H41" s="35">
        <f t="array" ref="H41">MAX(IF('OB History S2'!B:B=A41, 'OB History S2'!C:C))</f>
        <v>31</v>
      </c>
      <c r="I41" s="34">
        <f>COUNTIFS('OB History S2'!B:B,A41,'OB History S2'!D:D, 1)</f>
        <v>1</v>
      </c>
      <c r="J41" s="2">
        <f>COUNTIFS('OB History S2'!B:B,A41,'OB History S2'!D:D, 0)</f>
        <v>4</v>
      </c>
      <c r="K41" s="88">
        <f>LOOKUP(2, 1/('OB History S2'!$B:$B=A41), 'OB History S2'!$AD:$AD)</f>
        <v>0.2</v>
      </c>
      <c r="L41" s="34">
        <f>SUMIFS('OB History S2'!F:F,'OB History S2'!B:B,A41)</f>
        <v>6</v>
      </c>
      <c r="M41" s="2">
        <f>SUMIFS('OB History S2'!E:E,'OB History S2'!B:B,A41)-L41</f>
        <v>14</v>
      </c>
      <c r="N41" s="88">
        <f>LOOKUP(2, 1/('OB History S2'!$B:$B=A41), 'OB History S2'!$AB:$AB)</f>
        <v>0.25</v>
      </c>
      <c r="O41" s="34">
        <f>SUMIFS('OB History S2'!H:H,'OB History S2'!B:B,A41)</f>
        <v>34</v>
      </c>
      <c r="P41" s="2">
        <f>SUMIFS('OB History S2'!G:G,'OB History S2'!B:B,A41)-O41</f>
        <v>50</v>
      </c>
      <c r="Q41" s="88">
        <f>LOOKUP(2, 1/('OB History S2'!$B:$B=A41), 'OB History S2'!$AC:$AC)</f>
        <v>0.36799999999999999</v>
      </c>
      <c r="R41" s="2">
        <f>COUNTIFS('OB History S2'!$B:$B,$A$41,'OB History S2'!K:K, 1)</f>
        <v>0</v>
      </c>
      <c r="S41" s="2">
        <f>COUNTIFS('OB History S2'!$B:$B,$A$41,'OB History S2'!L:L, 1)</f>
        <v>2</v>
      </c>
      <c r="T41" s="2">
        <f>COUNTIFS('OB History S2'!$B:$B,$A$41,'OB History S2'!M:M, 1)</f>
        <v>1</v>
      </c>
      <c r="U41" s="2">
        <f>COUNTIFS('OB History S2'!$B:$B,$A$41,'OB History S2'!N:N, 1)</f>
        <v>0</v>
      </c>
      <c r="V41" s="2">
        <f>COUNTIFS('OB History S2'!$B:$B,$A$41,'OB History S2'!O:O, 1)</f>
        <v>0</v>
      </c>
      <c r="W41" s="2">
        <f>COUNTIFS('OB History S2'!$B:$B,$A$41,'OB History S2'!P:P, 1)</f>
        <v>0</v>
      </c>
      <c r="X41" s="2">
        <f>COUNTIFS('OB History S2'!$B:$B,$A$41,'OB History S2'!Q:Q, 1)</f>
        <v>1</v>
      </c>
      <c r="Y41" s="2">
        <f>COUNTIFS('OB History S2'!$B:$B,$A$41,'OB History S2'!R:R, 1)</f>
        <v>0</v>
      </c>
      <c r="Z41" s="2">
        <f>COUNTIFS('OB History S2'!$B:$B,$A$41,'OB History S2'!S:S, 1)</f>
        <v>0</v>
      </c>
      <c r="AA41" s="2">
        <f>COUNTIFS('OB History S2'!$B:$B,$A$41,'OB History S2'!T:T, 1)</f>
        <v>0</v>
      </c>
      <c r="AB41" s="2">
        <f>COUNTIFS('OB History S2'!$B:$B,$A$41,'OB History S2'!U:U, 1)</f>
        <v>0</v>
      </c>
      <c r="AC41" s="2">
        <f>COUNTIFS('OB History S2'!$B:$B,$A$41,'OB History S2'!V:V, 1)</f>
        <v>0</v>
      </c>
      <c r="AD41" s="2">
        <f>COUNTIFS('OB History S2'!$B:$B,$A$41,'OB History S2'!W:W, 1)</f>
        <v>0</v>
      </c>
      <c r="AE41" s="2">
        <f>COUNTIFS('OB History S2'!$B:$B,$A$41,'OB History S2'!X:X, 1)</f>
        <v>1</v>
      </c>
      <c r="AF41" s="2">
        <f>COUNTIFS('OB History S2'!$B:$B,$A$41,'OB History S2'!Y:Y, 1)</f>
        <v>1</v>
      </c>
      <c r="AG41" s="2">
        <f>COUNTIFS('OB History S2'!$B:$B,$A$41,'OB History S2'!Z:Z, 1)</f>
        <v>0</v>
      </c>
    </row>
    <row r="42" spans="1:33" x14ac:dyDescent="0.25">
      <c r="A42" s="2" t="s">
        <v>55</v>
      </c>
      <c r="B42" s="2" t="s">
        <v>79</v>
      </c>
      <c r="C42" s="2" t="s">
        <v>79</v>
      </c>
      <c r="D42" s="2"/>
      <c r="E42" s="2"/>
      <c r="F42" s="34">
        <f>SUMIFS('OB History S2'!C:C,'OB History S2'!B:B,A42)</f>
        <v>48</v>
      </c>
      <c r="G42" s="4">
        <f>AVERAGEIFS('OB History S2'!C:C,'OB History S2'!B:B,A42)</f>
        <v>9.6</v>
      </c>
      <c r="H42" s="35">
        <f t="array" ref="H42">MAX(IF('OB History S2'!B:B=A42, 'OB History S2'!C:C))</f>
        <v>20</v>
      </c>
      <c r="I42" s="34">
        <f>COUNTIFS('OB History S2'!B:B,A42,'OB History S2'!D:D, 1)</f>
        <v>3</v>
      </c>
      <c r="J42" s="2">
        <f>COUNTIFS('OB History S2'!B:B,A42,'OB History S2'!D:D, 0)</f>
        <v>2</v>
      </c>
      <c r="K42" s="88">
        <f>LOOKUP(2, 1/('OB History S2'!$B:$B=A42), 'OB History S2'!$AD:$AD)</f>
        <v>0.6</v>
      </c>
      <c r="L42" s="34">
        <f>SUMIFS('OB History S2'!F:F,'OB History S2'!B:B,A42)</f>
        <v>12</v>
      </c>
      <c r="M42" s="2">
        <f>SUMIFS('OB History S2'!E:E,'OB History S2'!B:B,A42)-L42</f>
        <v>7</v>
      </c>
      <c r="N42" s="88">
        <f>LOOKUP(2, 1/('OB History S2'!$B:$B=A42), 'OB History S2'!$AB:$AB)</f>
        <v>0.67999999999999994</v>
      </c>
      <c r="O42" s="34">
        <f>SUMIFS('OB History S2'!H:H,'OB History S2'!B:B,A42)</f>
        <v>46</v>
      </c>
      <c r="P42" s="2">
        <f>SUMIFS('OB History S2'!G:G,'OB History S2'!B:B,A42)-O42</f>
        <v>30</v>
      </c>
      <c r="Q42" s="88">
        <f>LOOKUP(2, 1/('OB History S2'!$B:$B=A42), 'OB History S2'!$AC:$AC)</f>
        <v>0.62399999999999989</v>
      </c>
      <c r="R42" s="2">
        <f>COUNTIFS('OB History S2'!$B:$B,$A$42,'OB History S2'!K:K, 1)</f>
        <v>1</v>
      </c>
      <c r="S42" s="2">
        <f>COUNTIFS('OB History S2'!$B:$B,$A$42,'OB History S2'!L:L, 1)</f>
        <v>1</v>
      </c>
      <c r="T42" s="2">
        <f>COUNTIFS('OB History S2'!$B:$B,$A$42,'OB History S2'!M:M, 1)</f>
        <v>0</v>
      </c>
      <c r="U42" s="2">
        <f>COUNTIFS('OB History S2'!$B:$B,$A$42,'OB History S2'!N:N, 1)</f>
        <v>2</v>
      </c>
      <c r="V42" s="2">
        <f>COUNTIFS('OB History S2'!$B:$B,$A$42,'OB History S2'!O:O, 1)</f>
        <v>0</v>
      </c>
      <c r="W42" s="2">
        <f>COUNTIFS('OB History S2'!$B:$B,$A$42,'OB History S2'!P:P, 1)</f>
        <v>0</v>
      </c>
      <c r="X42" s="2">
        <f>COUNTIFS('OB History S2'!$B:$B,$A$42,'OB History S2'!Q:Q, 1)</f>
        <v>0</v>
      </c>
      <c r="Y42" s="2">
        <f>COUNTIFS('OB History S2'!$B:$B,$A$42,'OB History S2'!R:R, 1)</f>
        <v>0</v>
      </c>
      <c r="Z42" s="2">
        <f>COUNTIFS('OB History S2'!$B:$B,$A$42,'OB History S2'!S:S, 1)</f>
        <v>0</v>
      </c>
      <c r="AA42" s="2">
        <f>COUNTIFS('OB History S2'!$B:$B,$A$42,'OB History S2'!T:T, 1)</f>
        <v>0</v>
      </c>
      <c r="AB42" s="2">
        <f>COUNTIFS('OB History S2'!$B:$B,$A$42,'OB History S2'!U:U, 1)</f>
        <v>1</v>
      </c>
      <c r="AC42" s="2">
        <f>COUNTIFS('OB History S2'!$B:$B,$A$42,'OB History S2'!V:V, 1)</f>
        <v>0</v>
      </c>
      <c r="AD42" s="2">
        <f>COUNTIFS('OB History S2'!$B:$B,$A$42,'OB History S2'!W:W, 1)</f>
        <v>0</v>
      </c>
      <c r="AE42" s="2">
        <f>COUNTIFS('OB History S2'!$B:$B,$A$42,'OB History S2'!X:X, 1)</f>
        <v>4</v>
      </c>
      <c r="AF42" s="2">
        <f>COUNTIFS('OB History S2'!$B:$B,$A$42,'OB History S2'!Y:Y, 1)</f>
        <v>2</v>
      </c>
      <c r="AG42" s="2">
        <f>COUNTIFS('OB History S2'!$B:$B,$A$42,'OB History S2'!Z:Z, 1)</f>
        <v>1</v>
      </c>
    </row>
  </sheetData>
  <autoFilter ref="A1:AG41" xr:uid="{EEC03B8F-669F-4FC0-BA62-50F3D395660C}">
    <sortState xmlns:xlrd2="http://schemas.microsoft.com/office/spreadsheetml/2017/richdata2" ref="A2:AG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221" activePane="bottomLeft" state="frozen"/>
      <selection pane="bottomLeft" activeCell="AA267" sqref="AA26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14.25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169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13.923076923076923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14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169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170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160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160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160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163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160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160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167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160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160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857" activePane="bottomRight" state="frozen"/>
      <selection pane="topRight" activeCell="C1" sqref="C1"/>
      <selection pane="bottomLeft" activeCell="A2" sqref="A2"/>
      <selection pane="bottomRight" activeCell="J874" sqref="J87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170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170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170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889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170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160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160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163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160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160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160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160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170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170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146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156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158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160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159</v>
      </c>
      <c r="C21" s="2" t="s">
        <v>161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161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159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147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159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162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160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2026-04-19T15:26:02Z</dcterms:modified>
</cp:coreProperties>
</file>