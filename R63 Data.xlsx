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tt\Downloads\excel-filter-site\"/>
    </mc:Choice>
  </mc:AlternateContent>
  <xr:revisionPtr revIDLastSave="0" documentId="13_ncr:1_{D4BC7945-0411-4DD4-95CF-9F4A49B27287}" xr6:coauthVersionLast="47" xr6:coauthVersionMax="47" xr10:uidLastSave="{00000000-0000-0000-0000-000000000000}"/>
  <bookViews>
    <workbookView xWindow="-120" yWindow="-120" windowWidth="38640" windowHeight="21120" activeTab="2" xr2:uid="{B81E1BB1-8459-4D85-A2AA-65951E65A37B}"/>
  </bookViews>
  <sheets>
    <sheet name="Old Bow v2" sheetId="11" r:id="rId1"/>
    <sheet name="OB History" sheetId="10" r:id="rId2"/>
    <sheet name="OB Season 2" sheetId="13" r:id="rId3"/>
    <sheet name="OB History S2" sheetId="15" r:id="rId4"/>
    <sheet name="Old Bow" sheetId="1" state="hidden" r:id="rId5"/>
    <sheet name="Old Bow comments" sheetId="7" state="hidden" r:id="rId6"/>
    <sheet name="Match Analyzer Old Bow" sheetId="4" state="hidden" r:id="rId7"/>
    <sheet name="BA v2" sheetId="12" r:id="rId8"/>
    <sheet name="BA" sheetId="3" state="hidden" r:id="rId9"/>
    <sheet name="BA History" sheetId="9" r:id="rId10"/>
    <sheet name="BA S2" sheetId="16" r:id="rId11"/>
    <sheet name="BA History S2" sheetId="17" r:id="rId12"/>
    <sheet name="Tourney History" sheetId="18" r:id="rId13"/>
    <sheet name="Tourney Stats" sheetId="19" r:id="rId14"/>
    <sheet name="BA comments" sheetId="6" state="hidden" r:id="rId15"/>
    <sheet name="Match Analyzer BA" sheetId="8" state="hidden" r:id="rId16"/>
  </sheets>
  <definedNames>
    <definedName name="_xlnm._FilterDatabase" localSheetId="8" hidden="1">BA!$A$1:$AH$47</definedName>
    <definedName name="_xlnm._FilterDatabase" localSheetId="9" hidden="1">'BA History'!$A$1:$AJ$750</definedName>
    <definedName name="_xlnm._FilterDatabase" localSheetId="11" hidden="1">'BA History S2'!$A$1:$AJ$1</definedName>
    <definedName name="_xlnm._FilterDatabase" localSheetId="10" hidden="1">'BA S2'!$A$1:$AJ$24</definedName>
    <definedName name="_xlnm._FilterDatabase" localSheetId="7" hidden="1">'BA v2'!$A$1:$AJ$55</definedName>
    <definedName name="_xlnm._FilterDatabase" localSheetId="1" hidden="1">'OB History'!$A$1:$AD$574</definedName>
    <definedName name="_xlnm._FilterDatabase" localSheetId="3" hidden="1">'OB History S2'!$A$1:$AD$478</definedName>
    <definedName name="_xlnm._FilterDatabase" localSheetId="2" hidden="1">'OB Season 2'!$A$1:$AE$35</definedName>
    <definedName name="_xlnm._FilterDatabase" localSheetId="4" hidden="1">'Old Bow'!$A$1:$AD$37</definedName>
    <definedName name="_xlnm._FilterDatabase" localSheetId="0" hidden="1">'Old Bow v2'!$A$1:$AE$49</definedName>
    <definedName name="_xlnm._FilterDatabase" localSheetId="12" hidden="1">'Tourney History'!$A$1:$AD$159</definedName>
    <definedName name="_xlnm._FilterDatabase" localSheetId="13" hidden="1">'Tourney Stats'!$A$1:$AE$36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3" i="18" l="1"/>
  <c r="AB3" i="18"/>
  <c r="AC3" i="18"/>
  <c r="AD3" i="18"/>
  <c r="AA4" i="18"/>
  <c r="AB4" i="18"/>
  <c r="AC4" i="18"/>
  <c r="AD4" i="18"/>
  <c r="AA5" i="18"/>
  <c r="AB5" i="18"/>
  <c r="AC5" i="18"/>
  <c r="AD5" i="18"/>
  <c r="AA6" i="18"/>
  <c r="AB6" i="18"/>
  <c r="AC6" i="18"/>
  <c r="AD6" i="18"/>
  <c r="AA7" i="18"/>
  <c r="AB7" i="18"/>
  <c r="AC7" i="18"/>
  <c r="AD7" i="18"/>
  <c r="AA8" i="18"/>
  <c r="AB8" i="18"/>
  <c r="AC8" i="18"/>
  <c r="AD8" i="18"/>
  <c r="AA9" i="18"/>
  <c r="AB9" i="18"/>
  <c r="AC9" i="18"/>
  <c r="AD9" i="18"/>
  <c r="AA10" i="18"/>
  <c r="AB10" i="18"/>
  <c r="AC10" i="18"/>
  <c r="AD10" i="18"/>
  <c r="AA11" i="18"/>
  <c r="AB11" i="18"/>
  <c r="AC11" i="18"/>
  <c r="AD11" i="18"/>
  <c r="AA12" i="18"/>
  <c r="AB12" i="18"/>
  <c r="AC12" i="18"/>
  <c r="AD12" i="18"/>
  <c r="AA13" i="18"/>
  <c r="AB13" i="18"/>
  <c r="AC13" i="18"/>
  <c r="AD13" i="18"/>
  <c r="AA14" i="18"/>
  <c r="AB14" i="18"/>
  <c r="AC14" i="18"/>
  <c r="AD14" i="18"/>
  <c r="AA15" i="18"/>
  <c r="AB15" i="18"/>
  <c r="AC15" i="18"/>
  <c r="AD15" i="18"/>
  <c r="AA16" i="18"/>
  <c r="AB16" i="18"/>
  <c r="AC16" i="18"/>
  <c r="AD16" i="18"/>
  <c r="AA17" i="18"/>
  <c r="AB17" i="18"/>
  <c r="AC17" i="18"/>
  <c r="AD17" i="18"/>
  <c r="AA18" i="18"/>
  <c r="AB18" i="18"/>
  <c r="AC18" i="18"/>
  <c r="AD18" i="18"/>
  <c r="AA19" i="18"/>
  <c r="AB19" i="18"/>
  <c r="AC19" i="18"/>
  <c r="AD19" i="18"/>
  <c r="AA20" i="18"/>
  <c r="AB20" i="18"/>
  <c r="AC20" i="18"/>
  <c r="AD20" i="18"/>
  <c r="AA21" i="18"/>
  <c r="AB21" i="18"/>
  <c r="AC21" i="18"/>
  <c r="AD21" i="18"/>
  <c r="AA22" i="18"/>
  <c r="AB22" i="18"/>
  <c r="AC22" i="18"/>
  <c r="AD22" i="18"/>
  <c r="AA23" i="18"/>
  <c r="AB23" i="18"/>
  <c r="AC23" i="18"/>
  <c r="AD23" i="18"/>
  <c r="AA24" i="18"/>
  <c r="AB24" i="18"/>
  <c r="AC24" i="18"/>
  <c r="AD24" i="18"/>
  <c r="AA25" i="18"/>
  <c r="AB25" i="18"/>
  <c r="AC25" i="18"/>
  <c r="AD25" i="18"/>
  <c r="AA26" i="18"/>
  <c r="AB26" i="18"/>
  <c r="AC26" i="18"/>
  <c r="AD26" i="18"/>
  <c r="AA27" i="18"/>
  <c r="AB27" i="18"/>
  <c r="AC27" i="18"/>
  <c r="AD27" i="18"/>
  <c r="AA28" i="18"/>
  <c r="AB28" i="18"/>
  <c r="AC28" i="18"/>
  <c r="AD28" i="18"/>
  <c r="AA29" i="18"/>
  <c r="AB29" i="18"/>
  <c r="AC29" i="18"/>
  <c r="AD29" i="18"/>
  <c r="AA30" i="18"/>
  <c r="AB30" i="18"/>
  <c r="AC30" i="18"/>
  <c r="AD30" i="18"/>
  <c r="AA31" i="18"/>
  <c r="AB31" i="18"/>
  <c r="AC31" i="18"/>
  <c r="AD31" i="18"/>
  <c r="AA32" i="18"/>
  <c r="AB32" i="18"/>
  <c r="AC32" i="18"/>
  <c r="AD32" i="18"/>
  <c r="AA33" i="18"/>
  <c r="AB33" i="18"/>
  <c r="AC33" i="18"/>
  <c r="AD33" i="18"/>
  <c r="AA34" i="18"/>
  <c r="AB34" i="18"/>
  <c r="AC34" i="18"/>
  <c r="AD34" i="18"/>
  <c r="AA35" i="18"/>
  <c r="AB35" i="18"/>
  <c r="AC35" i="18"/>
  <c r="AD35" i="18"/>
  <c r="AA36" i="18"/>
  <c r="AB36" i="18"/>
  <c r="AC36" i="18"/>
  <c r="AD36" i="18"/>
  <c r="AA37" i="18"/>
  <c r="AB37" i="18"/>
  <c r="AC37" i="18"/>
  <c r="AD37" i="18"/>
  <c r="AA38" i="18"/>
  <c r="AB38" i="18"/>
  <c r="AC38" i="18"/>
  <c r="AD38" i="18"/>
  <c r="AA39" i="18"/>
  <c r="AB39" i="18"/>
  <c r="AC39" i="18"/>
  <c r="AD39" i="18"/>
  <c r="AA40" i="18"/>
  <c r="AB40" i="18"/>
  <c r="AC40" i="18"/>
  <c r="AD40" i="18"/>
  <c r="AA41" i="18"/>
  <c r="AB41" i="18"/>
  <c r="AC41" i="18"/>
  <c r="AD41" i="18"/>
  <c r="AA42" i="18"/>
  <c r="AB42" i="18"/>
  <c r="AC42" i="18"/>
  <c r="AD42" i="18"/>
  <c r="AA43" i="18"/>
  <c r="AB43" i="18"/>
  <c r="AC43" i="18"/>
  <c r="AD43" i="18"/>
  <c r="AA44" i="18"/>
  <c r="AB44" i="18"/>
  <c r="AC44" i="18"/>
  <c r="AD44" i="18"/>
  <c r="AA45" i="18"/>
  <c r="AB45" i="18"/>
  <c r="AC45" i="18"/>
  <c r="AD45" i="18"/>
  <c r="AA46" i="18"/>
  <c r="AB46" i="18"/>
  <c r="AC46" i="18"/>
  <c r="AD46" i="18"/>
  <c r="AA47" i="18"/>
  <c r="AB47" i="18"/>
  <c r="AC47" i="18"/>
  <c r="AD47" i="18"/>
  <c r="AA48" i="18"/>
  <c r="AB48" i="18"/>
  <c r="AC48" i="18"/>
  <c r="AD48" i="18"/>
  <c r="AA49" i="18"/>
  <c r="AB49" i="18"/>
  <c r="AC49" i="18"/>
  <c r="AD49" i="18"/>
  <c r="AA50" i="18"/>
  <c r="AB50" i="18"/>
  <c r="AC50" i="18"/>
  <c r="AD50" i="18"/>
  <c r="AA51" i="18"/>
  <c r="AB51" i="18"/>
  <c r="AC51" i="18"/>
  <c r="AD51" i="18"/>
  <c r="AA52" i="18"/>
  <c r="AB52" i="18"/>
  <c r="AC52" i="18"/>
  <c r="AD52" i="18"/>
  <c r="AA53" i="18"/>
  <c r="AB53" i="18"/>
  <c r="AC53" i="18"/>
  <c r="AD53" i="18"/>
  <c r="AA54" i="18"/>
  <c r="AB54" i="18"/>
  <c r="AC54" i="18"/>
  <c r="AD54" i="18"/>
  <c r="AA55" i="18"/>
  <c r="AB55" i="18"/>
  <c r="AC55" i="18"/>
  <c r="AD55" i="18"/>
  <c r="AA56" i="18"/>
  <c r="AB56" i="18"/>
  <c r="AC56" i="18"/>
  <c r="AD56" i="18"/>
  <c r="AA57" i="18"/>
  <c r="AB57" i="18"/>
  <c r="AC57" i="18"/>
  <c r="AD57" i="18"/>
  <c r="AA58" i="18"/>
  <c r="AB58" i="18"/>
  <c r="AC58" i="18"/>
  <c r="AD58" i="18"/>
  <c r="AA59" i="18"/>
  <c r="AB59" i="18"/>
  <c r="AC59" i="18"/>
  <c r="AD59" i="18"/>
  <c r="AA60" i="18"/>
  <c r="AB60" i="18"/>
  <c r="AC60" i="18"/>
  <c r="AD60" i="18"/>
  <c r="AA61" i="18"/>
  <c r="AB61" i="18"/>
  <c r="AC61" i="18"/>
  <c r="AD61" i="18"/>
  <c r="AA62" i="18"/>
  <c r="AB62" i="18"/>
  <c r="AC62" i="18"/>
  <c r="AD62" i="18"/>
  <c r="AA63" i="18"/>
  <c r="AB63" i="18"/>
  <c r="AC63" i="18"/>
  <c r="AD63" i="18"/>
  <c r="AA64" i="18"/>
  <c r="AB64" i="18"/>
  <c r="AC64" i="18"/>
  <c r="AD64" i="18"/>
  <c r="AA65" i="18"/>
  <c r="AB65" i="18"/>
  <c r="AC65" i="18"/>
  <c r="AD65" i="18"/>
  <c r="AA66" i="18"/>
  <c r="AB66" i="18"/>
  <c r="AC66" i="18"/>
  <c r="AD66" i="18"/>
  <c r="AA67" i="18"/>
  <c r="AB67" i="18"/>
  <c r="AC67" i="18"/>
  <c r="AD67" i="18"/>
  <c r="AA68" i="18"/>
  <c r="AB68" i="18"/>
  <c r="AC68" i="18"/>
  <c r="AD68" i="18"/>
  <c r="AA69" i="18"/>
  <c r="AB69" i="18"/>
  <c r="AC69" i="18"/>
  <c r="AD69" i="18"/>
  <c r="AA70" i="18"/>
  <c r="AB70" i="18"/>
  <c r="AC70" i="18"/>
  <c r="AD70" i="18"/>
  <c r="AA71" i="18"/>
  <c r="AB71" i="18"/>
  <c r="AC71" i="18"/>
  <c r="AD71" i="18"/>
  <c r="AA72" i="18"/>
  <c r="AB72" i="18"/>
  <c r="AC72" i="18"/>
  <c r="AD72" i="18"/>
  <c r="AA73" i="18"/>
  <c r="AB73" i="18"/>
  <c r="AC73" i="18"/>
  <c r="AD73" i="18"/>
  <c r="AA74" i="18"/>
  <c r="AB74" i="18"/>
  <c r="AC74" i="18"/>
  <c r="AD74" i="18"/>
  <c r="AA75" i="18"/>
  <c r="AB75" i="18"/>
  <c r="AC75" i="18"/>
  <c r="AD75" i="18"/>
  <c r="AA76" i="18"/>
  <c r="AB76" i="18"/>
  <c r="AC76" i="18"/>
  <c r="AD76" i="18"/>
  <c r="AA77" i="18"/>
  <c r="AB77" i="18"/>
  <c r="AC77" i="18"/>
  <c r="AD77" i="18"/>
  <c r="AA78" i="18"/>
  <c r="AB78" i="18"/>
  <c r="AC78" i="18"/>
  <c r="AD78" i="18"/>
  <c r="AA79" i="18"/>
  <c r="AB79" i="18"/>
  <c r="AC79" i="18"/>
  <c r="AD79" i="18"/>
  <c r="AA80" i="18"/>
  <c r="AB80" i="18"/>
  <c r="AC80" i="18"/>
  <c r="AD80" i="18"/>
  <c r="AA81" i="18"/>
  <c r="AB81" i="18"/>
  <c r="AC81" i="18"/>
  <c r="AD81" i="18"/>
  <c r="AA82" i="18"/>
  <c r="AB82" i="18"/>
  <c r="AC82" i="18"/>
  <c r="AD82" i="18"/>
  <c r="AA83" i="18"/>
  <c r="AB83" i="18"/>
  <c r="AC83" i="18"/>
  <c r="AD83" i="18"/>
  <c r="AA84" i="18"/>
  <c r="AB84" i="18"/>
  <c r="AC84" i="18"/>
  <c r="AD84" i="18"/>
  <c r="AA85" i="18"/>
  <c r="AB85" i="18"/>
  <c r="AC85" i="18"/>
  <c r="AD85" i="18"/>
  <c r="AA86" i="18"/>
  <c r="AB86" i="18"/>
  <c r="AC86" i="18"/>
  <c r="AD86" i="18"/>
  <c r="AA87" i="18"/>
  <c r="AB87" i="18"/>
  <c r="AC87" i="18"/>
  <c r="AD87" i="18"/>
  <c r="AA88" i="18"/>
  <c r="AB88" i="18"/>
  <c r="AC88" i="18"/>
  <c r="AD88" i="18"/>
  <c r="AA89" i="18"/>
  <c r="AB89" i="18"/>
  <c r="AC89" i="18"/>
  <c r="AD89" i="18"/>
  <c r="AA90" i="18"/>
  <c r="AB90" i="18"/>
  <c r="AC90" i="18"/>
  <c r="AD90" i="18"/>
  <c r="AA91" i="18"/>
  <c r="AB91" i="18"/>
  <c r="AC91" i="18"/>
  <c r="AD91" i="18"/>
  <c r="AA92" i="18"/>
  <c r="AB92" i="18"/>
  <c r="AC92" i="18"/>
  <c r="AD92" i="18"/>
  <c r="AA93" i="18"/>
  <c r="AB93" i="18"/>
  <c r="AC93" i="18"/>
  <c r="AD93" i="18"/>
  <c r="AA94" i="18"/>
  <c r="AB94" i="18"/>
  <c r="AC94" i="18"/>
  <c r="AD94" i="18"/>
  <c r="AA95" i="18"/>
  <c r="AB95" i="18"/>
  <c r="AC95" i="18"/>
  <c r="AD95" i="18"/>
  <c r="AA96" i="18"/>
  <c r="AB96" i="18"/>
  <c r="AC96" i="18"/>
  <c r="AD96" i="18"/>
  <c r="AA97" i="18"/>
  <c r="AB97" i="18"/>
  <c r="AC97" i="18"/>
  <c r="AD97" i="18"/>
  <c r="AA98" i="18"/>
  <c r="AB98" i="18"/>
  <c r="AC98" i="18"/>
  <c r="AD98" i="18"/>
  <c r="AA99" i="18"/>
  <c r="AB99" i="18"/>
  <c r="AC99" i="18"/>
  <c r="AD99" i="18"/>
  <c r="AA100" i="18"/>
  <c r="AB100" i="18"/>
  <c r="AC100" i="18"/>
  <c r="AD100" i="18"/>
  <c r="AA101" i="18"/>
  <c r="AB101" i="18"/>
  <c r="AC101" i="18"/>
  <c r="AD101" i="18"/>
  <c r="AA102" i="18"/>
  <c r="AB102" i="18"/>
  <c r="AC102" i="18"/>
  <c r="AD102" i="18"/>
  <c r="AA103" i="18"/>
  <c r="AB103" i="18"/>
  <c r="AC103" i="18"/>
  <c r="AD103" i="18"/>
  <c r="AA104" i="18"/>
  <c r="AB104" i="18"/>
  <c r="AC104" i="18"/>
  <c r="AD104" i="18"/>
  <c r="AA105" i="18"/>
  <c r="AB105" i="18"/>
  <c r="AC105" i="18"/>
  <c r="AD105" i="18"/>
  <c r="AA106" i="18"/>
  <c r="AB106" i="18"/>
  <c r="AC106" i="18"/>
  <c r="AD106" i="18"/>
  <c r="AA107" i="18"/>
  <c r="AB107" i="18"/>
  <c r="AC107" i="18"/>
  <c r="AD107" i="18"/>
  <c r="AA108" i="18"/>
  <c r="AB108" i="18"/>
  <c r="AC108" i="18"/>
  <c r="AD108" i="18"/>
  <c r="AA109" i="18"/>
  <c r="AB109" i="18"/>
  <c r="AC109" i="18"/>
  <c r="AD109" i="18"/>
  <c r="AA110" i="18"/>
  <c r="AB110" i="18"/>
  <c r="AC110" i="18"/>
  <c r="AD110" i="18"/>
  <c r="AA111" i="18"/>
  <c r="AB111" i="18"/>
  <c r="AC111" i="18"/>
  <c r="AD111" i="18"/>
  <c r="AA112" i="18"/>
  <c r="AB112" i="18"/>
  <c r="AC112" i="18"/>
  <c r="AD112" i="18"/>
  <c r="AA113" i="18"/>
  <c r="AB113" i="18"/>
  <c r="AC113" i="18"/>
  <c r="AD113" i="18"/>
  <c r="AA114" i="18"/>
  <c r="AB114" i="18"/>
  <c r="AC114" i="18"/>
  <c r="AD114" i="18"/>
  <c r="AA115" i="18"/>
  <c r="AB115" i="18"/>
  <c r="AC115" i="18"/>
  <c r="AD115" i="18"/>
  <c r="AA116" i="18"/>
  <c r="AB116" i="18"/>
  <c r="AC116" i="18"/>
  <c r="AD116" i="18"/>
  <c r="AA117" i="18"/>
  <c r="AB117" i="18"/>
  <c r="AC117" i="18"/>
  <c r="AD117" i="18"/>
  <c r="AA118" i="18"/>
  <c r="AB118" i="18"/>
  <c r="AC118" i="18"/>
  <c r="AD118" i="18"/>
  <c r="AA119" i="18"/>
  <c r="AB119" i="18"/>
  <c r="AC119" i="18"/>
  <c r="AD119" i="18"/>
  <c r="AA120" i="18"/>
  <c r="AB120" i="18"/>
  <c r="AC120" i="18"/>
  <c r="AD120" i="18"/>
  <c r="AA121" i="18"/>
  <c r="AB121" i="18"/>
  <c r="AC121" i="18"/>
  <c r="AD121" i="18"/>
  <c r="AA122" i="18"/>
  <c r="AB122" i="18"/>
  <c r="AC122" i="18"/>
  <c r="AD122" i="18"/>
  <c r="AA123" i="18"/>
  <c r="AB123" i="18"/>
  <c r="AC123" i="18"/>
  <c r="AD123" i="18"/>
  <c r="AA124" i="18"/>
  <c r="AB124" i="18"/>
  <c r="AC124" i="18"/>
  <c r="AD124" i="18"/>
  <c r="AA125" i="18"/>
  <c r="AB125" i="18"/>
  <c r="AC125" i="18"/>
  <c r="AD125" i="18"/>
  <c r="AA126" i="18"/>
  <c r="AB126" i="18"/>
  <c r="AC126" i="18"/>
  <c r="AD126" i="18"/>
  <c r="AA127" i="18"/>
  <c r="AB127" i="18"/>
  <c r="AC127" i="18"/>
  <c r="AD127" i="18"/>
  <c r="AA128" i="18"/>
  <c r="AB128" i="18"/>
  <c r="AC128" i="18"/>
  <c r="AD128" i="18"/>
  <c r="AA129" i="18"/>
  <c r="AB129" i="18"/>
  <c r="AC129" i="18"/>
  <c r="AD129" i="18"/>
  <c r="AA130" i="18"/>
  <c r="AB130" i="18"/>
  <c r="AC130" i="18"/>
  <c r="AD130" i="18"/>
  <c r="AA131" i="18"/>
  <c r="AB131" i="18"/>
  <c r="AC131" i="18"/>
  <c r="AD131" i="18"/>
  <c r="AA132" i="18"/>
  <c r="AB132" i="18"/>
  <c r="AC132" i="18"/>
  <c r="AD132" i="18"/>
  <c r="AA133" i="18"/>
  <c r="AB133" i="18"/>
  <c r="AC133" i="18"/>
  <c r="AD133" i="18"/>
  <c r="AA134" i="18"/>
  <c r="AB134" i="18"/>
  <c r="AC134" i="18"/>
  <c r="AD134" i="18"/>
  <c r="AA135" i="18"/>
  <c r="AB135" i="18"/>
  <c r="AC135" i="18"/>
  <c r="AD135" i="18"/>
  <c r="AA136" i="18"/>
  <c r="AB136" i="18"/>
  <c r="AC136" i="18"/>
  <c r="AD136" i="18"/>
  <c r="AA137" i="18"/>
  <c r="AB137" i="18"/>
  <c r="AC137" i="18"/>
  <c r="AD137" i="18"/>
  <c r="AA138" i="18"/>
  <c r="AB138" i="18"/>
  <c r="AC138" i="18"/>
  <c r="AD138" i="18"/>
  <c r="AA139" i="18"/>
  <c r="AB139" i="18"/>
  <c r="AC139" i="18"/>
  <c r="AD139" i="18"/>
  <c r="AA140" i="18"/>
  <c r="AB140" i="18"/>
  <c r="AC140" i="18"/>
  <c r="AD140" i="18"/>
  <c r="AA141" i="18"/>
  <c r="AB141" i="18"/>
  <c r="AC141" i="18"/>
  <c r="AD141" i="18"/>
  <c r="AA142" i="18"/>
  <c r="AB142" i="18"/>
  <c r="AC142" i="18"/>
  <c r="AD142" i="18"/>
  <c r="AA143" i="18"/>
  <c r="AB143" i="18"/>
  <c r="AC143" i="18"/>
  <c r="AD143" i="18"/>
  <c r="AA144" i="18"/>
  <c r="AB144" i="18"/>
  <c r="AC144" i="18"/>
  <c r="AD144" i="18"/>
  <c r="AA145" i="18"/>
  <c r="AB145" i="18"/>
  <c r="AC145" i="18"/>
  <c r="AD145" i="18"/>
  <c r="AA146" i="18"/>
  <c r="AB146" i="18"/>
  <c r="AC146" i="18"/>
  <c r="AD146" i="18"/>
  <c r="AA147" i="18"/>
  <c r="AB147" i="18"/>
  <c r="AC147" i="18"/>
  <c r="AD147" i="18"/>
  <c r="AA148" i="18"/>
  <c r="AB148" i="18"/>
  <c r="AC148" i="18"/>
  <c r="AD148" i="18"/>
  <c r="AA149" i="18"/>
  <c r="AB149" i="18"/>
  <c r="AC149" i="18"/>
  <c r="AD149" i="18"/>
  <c r="AA150" i="18"/>
  <c r="AB150" i="18"/>
  <c r="AC150" i="18"/>
  <c r="AD150" i="18"/>
  <c r="AA151" i="18"/>
  <c r="AB151" i="18"/>
  <c r="AC151" i="18"/>
  <c r="AD151" i="18"/>
  <c r="AA152" i="18"/>
  <c r="AB152" i="18"/>
  <c r="AC152" i="18"/>
  <c r="AD152" i="18"/>
  <c r="AA153" i="18"/>
  <c r="AB153" i="18"/>
  <c r="AC153" i="18"/>
  <c r="AD153" i="18"/>
  <c r="AA154" i="18"/>
  <c r="AB154" i="18"/>
  <c r="AC154" i="18"/>
  <c r="AD154" i="18"/>
  <c r="AA155" i="18"/>
  <c r="AB155" i="18"/>
  <c r="AC155" i="18"/>
  <c r="AD155" i="18"/>
  <c r="AA156" i="18"/>
  <c r="AB156" i="18"/>
  <c r="AC156" i="18"/>
  <c r="AD156" i="18"/>
  <c r="AA157" i="18"/>
  <c r="AB157" i="18"/>
  <c r="AC157" i="18"/>
  <c r="AD157" i="18"/>
  <c r="AA158" i="18"/>
  <c r="AB158" i="18"/>
  <c r="AC158" i="18"/>
  <c r="AD158" i="18"/>
  <c r="AA159" i="18"/>
  <c r="AB159" i="18"/>
  <c r="AC159" i="18"/>
  <c r="AD159" i="18"/>
  <c r="Q34" i="19"/>
  <c r="R34" i="19"/>
  <c r="S34" i="19"/>
  <c r="T34" i="19"/>
  <c r="U34" i="19"/>
  <c r="V34" i="19"/>
  <c r="W34" i="19"/>
  <c r="X34" i="19"/>
  <c r="Y34" i="19"/>
  <c r="Z34" i="19"/>
  <c r="AA34" i="19"/>
  <c r="AB34" i="19"/>
  <c r="AC34" i="19"/>
  <c r="AD34" i="19"/>
  <c r="AE34" i="19"/>
  <c r="P34" i="19"/>
  <c r="Q27" i="19"/>
  <c r="R27" i="19"/>
  <c r="S27" i="19"/>
  <c r="T27" i="19"/>
  <c r="U27" i="19"/>
  <c r="V27" i="19"/>
  <c r="W27" i="19"/>
  <c r="X27" i="19"/>
  <c r="Y27" i="19"/>
  <c r="Z27" i="19"/>
  <c r="AA27" i="19"/>
  <c r="AB27" i="19"/>
  <c r="AC27" i="19"/>
  <c r="AD27" i="19"/>
  <c r="AE27" i="19"/>
  <c r="P27" i="19"/>
  <c r="Q26" i="19"/>
  <c r="R26" i="19"/>
  <c r="S26" i="19"/>
  <c r="T26" i="19"/>
  <c r="U26" i="19"/>
  <c r="V26" i="19"/>
  <c r="W26" i="19"/>
  <c r="X26" i="19"/>
  <c r="Y26" i="19"/>
  <c r="Z26" i="19"/>
  <c r="AA26" i="19"/>
  <c r="AB26" i="19"/>
  <c r="AC26" i="19"/>
  <c r="AD26" i="19"/>
  <c r="AE26" i="19"/>
  <c r="P26" i="19"/>
  <c r="Q25" i="19"/>
  <c r="R25" i="19"/>
  <c r="S25" i="19"/>
  <c r="T25" i="19"/>
  <c r="U25" i="19"/>
  <c r="V25" i="19"/>
  <c r="W25" i="19"/>
  <c r="X25" i="19"/>
  <c r="Y25" i="19"/>
  <c r="Z25" i="19"/>
  <c r="AA25" i="19"/>
  <c r="AB25" i="19"/>
  <c r="AC25" i="19"/>
  <c r="AD25" i="19"/>
  <c r="AE25" i="19"/>
  <c r="P25" i="19"/>
  <c r="Q24" i="19"/>
  <c r="R24" i="19"/>
  <c r="S24" i="19"/>
  <c r="T24" i="19"/>
  <c r="U24" i="19"/>
  <c r="V24" i="19"/>
  <c r="W24" i="19"/>
  <c r="X24" i="19"/>
  <c r="Y24" i="19"/>
  <c r="Z24" i="19"/>
  <c r="AA24" i="19"/>
  <c r="AB24" i="19"/>
  <c r="AC24" i="19"/>
  <c r="AD24" i="19"/>
  <c r="AE24" i="19"/>
  <c r="P24" i="19"/>
  <c r="Q21" i="19"/>
  <c r="R21" i="19"/>
  <c r="S21" i="19"/>
  <c r="T21" i="19"/>
  <c r="U21" i="19"/>
  <c r="V21" i="19"/>
  <c r="W21" i="19"/>
  <c r="X21" i="19"/>
  <c r="Y21" i="19"/>
  <c r="Z21" i="19"/>
  <c r="AA21" i="19"/>
  <c r="AB21" i="19"/>
  <c r="AC21" i="19"/>
  <c r="AD21" i="19"/>
  <c r="AE21" i="19"/>
  <c r="P21" i="19"/>
  <c r="Q18" i="19"/>
  <c r="R18" i="19"/>
  <c r="S18" i="19"/>
  <c r="T18" i="19"/>
  <c r="U18" i="19"/>
  <c r="V18" i="19"/>
  <c r="W18" i="19"/>
  <c r="X18" i="19"/>
  <c r="Y18" i="19"/>
  <c r="Z18" i="19"/>
  <c r="AA18" i="19"/>
  <c r="AB18" i="19"/>
  <c r="AC18" i="19"/>
  <c r="AD18" i="19"/>
  <c r="AE18" i="19"/>
  <c r="P18" i="19"/>
  <c r="Q17" i="19"/>
  <c r="R17" i="19"/>
  <c r="S17" i="19"/>
  <c r="T17" i="19"/>
  <c r="U17" i="19"/>
  <c r="V17" i="19"/>
  <c r="W17" i="19"/>
  <c r="X17" i="19"/>
  <c r="Y17" i="19"/>
  <c r="Z17" i="19"/>
  <c r="AA17" i="19"/>
  <c r="AB17" i="19"/>
  <c r="AC17" i="19"/>
  <c r="AD17" i="19"/>
  <c r="AE17" i="19"/>
  <c r="P17" i="19"/>
  <c r="Q16" i="19"/>
  <c r="R16" i="19"/>
  <c r="S16" i="19"/>
  <c r="T16" i="19"/>
  <c r="U16" i="19"/>
  <c r="V16" i="19"/>
  <c r="W16" i="19"/>
  <c r="X16" i="19"/>
  <c r="Y16" i="19"/>
  <c r="Z16" i="19"/>
  <c r="AA16" i="19"/>
  <c r="AB16" i="19"/>
  <c r="AC16" i="19"/>
  <c r="AD16" i="19"/>
  <c r="AE16" i="19"/>
  <c r="P16" i="19"/>
  <c r="Q15" i="19"/>
  <c r="R15" i="19"/>
  <c r="S15" i="19"/>
  <c r="T15" i="19"/>
  <c r="U15" i="19"/>
  <c r="V15" i="19"/>
  <c r="W15" i="19"/>
  <c r="X15" i="19"/>
  <c r="Y15" i="19"/>
  <c r="Z15" i="19"/>
  <c r="AA15" i="19"/>
  <c r="AB15" i="19"/>
  <c r="AC15" i="19"/>
  <c r="AD15" i="19"/>
  <c r="AE15" i="19"/>
  <c r="P15" i="19"/>
  <c r="P14" i="19"/>
  <c r="Q11" i="19"/>
  <c r="R11" i="19"/>
  <c r="S11" i="19"/>
  <c r="T11" i="19"/>
  <c r="U11" i="19"/>
  <c r="V11" i="19"/>
  <c r="W11" i="19"/>
  <c r="X11" i="19"/>
  <c r="Y11" i="19"/>
  <c r="Z11" i="19"/>
  <c r="AA11" i="19"/>
  <c r="AB11" i="19"/>
  <c r="AC11" i="19"/>
  <c r="AD11" i="19"/>
  <c r="AE11" i="19"/>
  <c r="P11" i="19"/>
  <c r="D3" i="19"/>
  <c r="D2" i="19"/>
  <c r="E3" i="19"/>
  <c r="F3" i="19" a="1"/>
  <c r="F3" i="19" s="1"/>
  <c r="G3" i="19"/>
  <c r="H3" i="19"/>
  <c r="J3" i="19"/>
  <c r="K3" i="19" s="1"/>
  <c r="M3" i="19"/>
  <c r="N3" i="19" s="1"/>
  <c r="D4" i="19"/>
  <c r="E4" i="19"/>
  <c r="F4" i="19" a="1"/>
  <c r="F4" i="19" s="1"/>
  <c r="G4" i="19"/>
  <c r="H4" i="19"/>
  <c r="I4" i="19"/>
  <c r="J4" i="19"/>
  <c r="K4" i="19" s="1"/>
  <c r="L4" i="19"/>
  <c r="M4" i="19"/>
  <c r="N4" i="19" s="1"/>
  <c r="O4" i="19"/>
  <c r="D5" i="19"/>
  <c r="E5" i="19"/>
  <c r="F5" i="19" a="1"/>
  <c r="F5" i="19" s="1"/>
  <c r="G5" i="19"/>
  <c r="H5" i="19"/>
  <c r="I5" i="19"/>
  <c r="J5" i="19"/>
  <c r="K5" i="19" s="1"/>
  <c r="L5" i="19"/>
  <c r="M5" i="19"/>
  <c r="N5" i="19" s="1"/>
  <c r="O5" i="19"/>
  <c r="D6" i="19"/>
  <c r="E6" i="19"/>
  <c r="F6" i="19" a="1"/>
  <c r="F6" i="19" s="1"/>
  <c r="G6" i="19"/>
  <c r="H6" i="19"/>
  <c r="J6" i="19"/>
  <c r="K6" i="19" s="1"/>
  <c r="M6" i="19"/>
  <c r="N6" i="19"/>
  <c r="D7" i="19"/>
  <c r="E7" i="19"/>
  <c r="F7" i="19" a="1"/>
  <c r="F7" i="19" s="1"/>
  <c r="G7" i="19"/>
  <c r="H7" i="19"/>
  <c r="J7" i="19"/>
  <c r="K7" i="19" s="1"/>
  <c r="M7" i="19"/>
  <c r="N7" i="19" s="1"/>
  <c r="D8" i="19"/>
  <c r="E8" i="19"/>
  <c r="F8" i="19" a="1"/>
  <c r="F8" i="19" s="1"/>
  <c r="G8" i="19"/>
  <c r="H8" i="19"/>
  <c r="I8" i="19"/>
  <c r="J8" i="19"/>
  <c r="K8" i="19" s="1"/>
  <c r="L8" i="19"/>
  <c r="M8" i="19"/>
  <c r="N8" i="19" s="1"/>
  <c r="O8" i="19"/>
  <c r="D9" i="19"/>
  <c r="E9" i="19"/>
  <c r="F9" i="19" a="1"/>
  <c r="F9" i="19" s="1"/>
  <c r="G9" i="19"/>
  <c r="H9" i="19"/>
  <c r="I9" i="19"/>
  <c r="J9" i="19"/>
  <c r="K9" i="19" s="1"/>
  <c r="L9" i="19"/>
  <c r="M9" i="19"/>
  <c r="N9" i="19" s="1"/>
  <c r="O9" i="19"/>
  <c r="D10" i="19"/>
  <c r="E10" i="19"/>
  <c r="F10" i="19" a="1"/>
  <c r="F10" i="19" s="1"/>
  <c r="G10" i="19"/>
  <c r="H10" i="19"/>
  <c r="J10" i="19"/>
  <c r="K10" i="19" s="1"/>
  <c r="M10" i="19"/>
  <c r="N10" i="19" s="1"/>
  <c r="D11" i="19"/>
  <c r="E11" i="19"/>
  <c r="F11" i="19" a="1"/>
  <c r="F11" i="19" s="1"/>
  <c r="G11" i="19"/>
  <c r="H11" i="19"/>
  <c r="J11" i="19"/>
  <c r="K11" i="19" s="1"/>
  <c r="M11" i="19"/>
  <c r="N11" i="19" s="1"/>
  <c r="D12" i="19"/>
  <c r="E12" i="19"/>
  <c r="F12" i="19" a="1"/>
  <c r="F12" i="19" s="1"/>
  <c r="G12" i="19"/>
  <c r="H12" i="19"/>
  <c r="J12" i="19"/>
  <c r="K12" i="19"/>
  <c r="M12" i="19"/>
  <c r="N12" i="19" s="1"/>
  <c r="D13" i="19"/>
  <c r="E13" i="19"/>
  <c r="F13" i="19" a="1"/>
  <c r="F13" i="19" s="1"/>
  <c r="G13" i="19"/>
  <c r="H13" i="19"/>
  <c r="I13" i="19"/>
  <c r="J13" i="19"/>
  <c r="K13" i="19" s="1"/>
  <c r="L13" i="19"/>
  <c r="M13" i="19"/>
  <c r="N13" i="19" s="1"/>
  <c r="O13" i="19"/>
  <c r="D14" i="19"/>
  <c r="E14" i="19"/>
  <c r="F14" i="19" a="1"/>
  <c r="F14" i="19" s="1"/>
  <c r="G14" i="19"/>
  <c r="H14" i="19"/>
  <c r="I14" i="19"/>
  <c r="J14" i="19"/>
  <c r="K14" i="19" s="1"/>
  <c r="L14" i="19"/>
  <c r="M14" i="19"/>
  <c r="N14" i="19" s="1"/>
  <c r="O14" i="19"/>
  <c r="D15" i="19"/>
  <c r="E15" i="19"/>
  <c r="F15" i="19" a="1"/>
  <c r="F15" i="19" s="1"/>
  <c r="G15" i="19"/>
  <c r="H15" i="19"/>
  <c r="J15" i="19"/>
  <c r="K15" i="19" s="1"/>
  <c r="M15" i="19"/>
  <c r="N15" i="19" s="1"/>
  <c r="D16" i="19"/>
  <c r="E16" i="19"/>
  <c r="F16" i="19" a="1"/>
  <c r="F16" i="19" s="1"/>
  <c r="G16" i="19"/>
  <c r="H16" i="19"/>
  <c r="I16" i="19"/>
  <c r="J16" i="19"/>
  <c r="K16" i="19" s="1"/>
  <c r="L16" i="19"/>
  <c r="M16" i="19"/>
  <c r="N16" i="19" s="1"/>
  <c r="O16" i="19"/>
  <c r="D17" i="19"/>
  <c r="E17" i="19"/>
  <c r="F17" i="19" a="1"/>
  <c r="F17" i="19" s="1"/>
  <c r="G17" i="19"/>
  <c r="H17" i="19"/>
  <c r="J17" i="19"/>
  <c r="K17" i="19" s="1"/>
  <c r="M17" i="19"/>
  <c r="N17" i="19"/>
  <c r="D18" i="19"/>
  <c r="E18" i="19"/>
  <c r="F18" i="19" a="1"/>
  <c r="F18" i="19" s="1"/>
  <c r="G18" i="19"/>
  <c r="H18" i="19"/>
  <c r="J18" i="19"/>
  <c r="K18" i="19"/>
  <c r="M18" i="19"/>
  <c r="N18" i="19"/>
  <c r="D19" i="19"/>
  <c r="E19" i="19"/>
  <c r="F19" i="19" a="1"/>
  <c r="F19" i="19" s="1"/>
  <c r="G19" i="19"/>
  <c r="H19" i="19"/>
  <c r="I19" i="19"/>
  <c r="J19" i="19"/>
  <c r="K19" i="19" s="1"/>
  <c r="L19" i="19"/>
  <c r="M19" i="19"/>
  <c r="N19" i="19" s="1"/>
  <c r="O19" i="19"/>
  <c r="D20" i="19"/>
  <c r="E20" i="19"/>
  <c r="F20" i="19" a="1"/>
  <c r="F20" i="19" s="1"/>
  <c r="G20" i="19"/>
  <c r="H20" i="19"/>
  <c r="I20" i="19"/>
  <c r="J20" i="19"/>
  <c r="K20" i="19" s="1"/>
  <c r="L20" i="19"/>
  <c r="M20" i="19"/>
  <c r="N20" i="19" s="1"/>
  <c r="O20" i="19"/>
  <c r="D21" i="19"/>
  <c r="E21" i="19"/>
  <c r="F21" i="19" a="1"/>
  <c r="F21" i="19" s="1"/>
  <c r="G21" i="19"/>
  <c r="H21" i="19"/>
  <c r="J21" i="19"/>
  <c r="K21" i="19" s="1"/>
  <c r="M21" i="19"/>
  <c r="N21" i="19" s="1"/>
  <c r="D22" i="19"/>
  <c r="E22" i="19"/>
  <c r="F22" i="19" a="1"/>
  <c r="F22" i="19" s="1"/>
  <c r="G22" i="19"/>
  <c r="H22" i="19"/>
  <c r="J22" i="19"/>
  <c r="K22" i="19"/>
  <c r="M22" i="19"/>
  <c r="N22" i="19" s="1"/>
  <c r="D23" i="19"/>
  <c r="E23" i="19"/>
  <c r="F23" i="19" a="1"/>
  <c r="F23" i="19" s="1"/>
  <c r="G23" i="19"/>
  <c r="H23" i="19"/>
  <c r="I23" i="19"/>
  <c r="J23" i="19"/>
  <c r="K23" i="19" s="1"/>
  <c r="L23" i="19"/>
  <c r="M23" i="19"/>
  <c r="N23" i="19" s="1"/>
  <c r="O23" i="19"/>
  <c r="D24" i="19"/>
  <c r="E24" i="19"/>
  <c r="F24" i="19" a="1"/>
  <c r="F24" i="19" s="1"/>
  <c r="G24" i="19"/>
  <c r="H24" i="19"/>
  <c r="J24" i="19"/>
  <c r="K24" i="19"/>
  <c r="M24" i="19"/>
  <c r="N24" i="19" s="1"/>
  <c r="D25" i="19"/>
  <c r="E25" i="19"/>
  <c r="F25" i="19" a="1"/>
  <c r="F25" i="19" s="1"/>
  <c r="G25" i="19"/>
  <c r="H25" i="19"/>
  <c r="J25" i="19"/>
  <c r="K25" i="19" s="1"/>
  <c r="M25" i="19"/>
  <c r="N25" i="19" s="1"/>
  <c r="D26" i="19"/>
  <c r="E26" i="19"/>
  <c r="F26" i="19" a="1"/>
  <c r="F26" i="19" s="1"/>
  <c r="G26" i="19"/>
  <c r="H26" i="19"/>
  <c r="J26" i="19"/>
  <c r="K26" i="19"/>
  <c r="M26" i="19"/>
  <c r="N26" i="19" s="1"/>
  <c r="D27" i="19"/>
  <c r="E27" i="19"/>
  <c r="F27" i="19" a="1"/>
  <c r="F27" i="19" s="1"/>
  <c r="G27" i="19"/>
  <c r="H27" i="19"/>
  <c r="J27" i="19"/>
  <c r="K27" i="19" s="1"/>
  <c r="M27" i="19"/>
  <c r="N27" i="19" s="1"/>
  <c r="O27" i="19"/>
  <c r="D28" i="19"/>
  <c r="E28" i="19"/>
  <c r="F28" i="19" a="1"/>
  <c r="F28" i="19" s="1"/>
  <c r="G28" i="19"/>
  <c r="H28" i="19"/>
  <c r="J28" i="19"/>
  <c r="K28" i="19"/>
  <c r="M28" i="19"/>
  <c r="N28" i="19"/>
  <c r="D29" i="19"/>
  <c r="E29" i="19"/>
  <c r="F29" i="19" a="1"/>
  <c r="F29" i="19" s="1"/>
  <c r="G29" i="19"/>
  <c r="H29" i="19"/>
  <c r="J29" i="19"/>
  <c r="K29" i="19" s="1"/>
  <c r="M29" i="19"/>
  <c r="N29" i="19" s="1"/>
  <c r="D30" i="19"/>
  <c r="E30" i="19"/>
  <c r="F30" i="19" a="1"/>
  <c r="F30" i="19" s="1"/>
  <c r="G30" i="19"/>
  <c r="H30" i="19"/>
  <c r="J30" i="19"/>
  <c r="K30" i="19"/>
  <c r="M30" i="19"/>
  <c r="N30" i="19"/>
  <c r="D31" i="19"/>
  <c r="E31" i="19"/>
  <c r="F31" i="19" a="1"/>
  <c r="F31" i="19" s="1"/>
  <c r="G31" i="19"/>
  <c r="H31" i="19"/>
  <c r="I31" i="19"/>
  <c r="J31" i="19"/>
  <c r="K31" i="19" s="1"/>
  <c r="L31" i="19"/>
  <c r="M31" i="19"/>
  <c r="N31" i="19" s="1"/>
  <c r="O31" i="19"/>
  <c r="D32" i="19"/>
  <c r="E32" i="19"/>
  <c r="F32" i="19" a="1"/>
  <c r="F32" i="19" s="1"/>
  <c r="G32" i="19"/>
  <c r="H32" i="19"/>
  <c r="J32" i="19"/>
  <c r="K32" i="19" s="1"/>
  <c r="L32" i="19"/>
  <c r="M32" i="19"/>
  <c r="N32" i="19" s="1"/>
  <c r="D33" i="19"/>
  <c r="E33" i="19"/>
  <c r="F33" i="19" a="1"/>
  <c r="F33" i="19" s="1"/>
  <c r="G33" i="19"/>
  <c r="H33" i="19"/>
  <c r="I33" i="19"/>
  <c r="J33" i="19"/>
  <c r="K33" i="19"/>
  <c r="L33" i="19"/>
  <c r="M33" i="19"/>
  <c r="N33" i="19"/>
  <c r="O33" i="19"/>
  <c r="D34" i="19"/>
  <c r="E34" i="19"/>
  <c r="F34" i="19" a="1"/>
  <c r="F34" i="19" s="1"/>
  <c r="G34" i="19"/>
  <c r="H34" i="19"/>
  <c r="J34" i="19"/>
  <c r="K34" i="19" s="1"/>
  <c r="L34" i="19"/>
  <c r="M34" i="19"/>
  <c r="N34" i="19" s="1"/>
  <c r="D35" i="19"/>
  <c r="E35" i="19"/>
  <c r="F35" i="19" a="1"/>
  <c r="F35" i="19" s="1"/>
  <c r="G35" i="19"/>
  <c r="H35" i="19"/>
  <c r="I35" i="19"/>
  <c r="J35" i="19"/>
  <c r="K35" i="19" s="1"/>
  <c r="L35" i="19"/>
  <c r="M35" i="19"/>
  <c r="N35" i="19" s="1"/>
  <c r="O35" i="19"/>
  <c r="D36" i="19"/>
  <c r="E36" i="19"/>
  <c r="F36" i="19" a="1"/>
  <c r="F36" i="19" s="1"/>
  <c r="G36" i="19"/>
  <c r="H36" i="19"/>
  <c r="I36" i="19"/>
  <c r="J36" i="19"/>
  <c r="K36" i="19" s="1"/>
  <c r="L36" i="19"/>
  <c r="M36" i="19"/>
  <c r="N36" i="19" s="1"/>
  <c r="O36" i="19"/>
  <c r="AE36" i="19"/>
  <c r="AD36" i="19"/>
  <c r="AC36" i="19"/>
  <c r="AB36" i="19"/>
  <c r="AA36" i="19"/>
  <c r="Z36" i="19"/>
  <c r="Y36" i="19"/>
  <c r="X36" i="19"/>
  <c r="W36" i="19"/>
  <c r="V36" i="19"/>
  <c r="U36" i="19"/>
  <c r="T36" i="19"/>
  <c r="S36" i="19"/>
  <c r="R36" i="19"/>
  <c r="Q36" i="19"/>
  <c r="P36" i="19"/>
  <c r="AE35" i="19"/>
  <c r="AD35" i="19"/>
  <c r="AC35" i="19"/>
  <c r="AB35" i="19"/>
  <c r="AA35" i="19"/>
  <c r="Z35" i="19"/>
  <c r="Y35" i="19"/>
  <c r="X35" i="19"/>
  <c r="W35" i="19"/>
  <c r="V35" i="19"/>
  <c r="U35" i="19"/>
  <c r="T35" i="19"/>
  <c r="S35" i="19"/>
  <c r="R35" i="19"/>
  <c r="Q35" i="19"/>
  <c r="P35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P33" i="19"/>
  <c r="AE32" i="19"/>
  <c r="AD32" i="19"/>
  <c r="AC32" i="19"/>
  <c r="AB32" i="19"/>
  <c r="AA32" i="19"/>
  <c r="Z32" i="19"/>
  <c r="Y32" i="19"/>
  <c r="X32" i="19"/>
  <c r="W32" i="19"/>
  <c r="V32" i="19"/>
  <c r="U32" i="19"/>
  <c r="T32" i="19"/>
  <c r="S32" i="19"/>
  <c r="R32" i="19"/>
  <c r="Q32" i="19"/>
  <c r="P32" i="19"/>
  <c r="AE31" i="19"/>
  <c r="AD31" i="19"/>
  <c r="AC31" i="19"/>
  <c r="AB31" i="19"/>
  <c r="AA31" i="19"/>
  <c r="Z31" i="19"/>
  <c r="Y31" i="19"/>
  <c r="X31" i="19"/>
  <c r="W31" i="19"/>
  <c r="V31" i="19"/>
  <c r="U31" i="19"/>
  <c r="T31" i="19"/>
  <c r="S31" i="19"/>
  <c r="R31" i="19"/>
  <c r="Q31" i="19"/>
  <c r="P31" i="19"/>
  <c r="AE30" i="19"/>
  <c r="AD30" i="19"/>
  <c r="AC30" i="19"/>
  <c r="AB30" i="19"/>
  <c r="AA30" i="19"/>
  <c r="Z30" i="19"/>
  <c r="Y30" i="19"/>
  <c r="X30" i="19"/>
  <c r="W30" i="19"/>
  <c r="V30" i="19"/>
  <c r="U30" i="19"/>
  <c r="T30" i="19"/>
  <c r="S30" i="19"/>
  <c r="R30" i="19"/>
  <c r="Q30" i="19"/>
  <c r="P30" i="19"/>
  <c r="AE29" i="19"/>
  <c r="AD29" i="19"/>
  <c r="AC29" i="19"/>
  <c r="AB29" i="19"/>
  <c r="AA29" i="19"/>
  <c r="Z29" i="19"/>
  <c r="Y29" i="19"/>
  <c r="X29" i="19"/>
  <c r="W29" i="19"/>
  <c r="V29" i="19"/>
  <c r="U29" i="19"/>
  <c r="T29" i="19"/>
  <c r="S29" i="19"/>
  <c r="R29" i="19"/>
  <c r="Q29" i="19"/>
  <c r="P29" i="19"/>
  <c r="AE28" i="19"/>
  <c r="AD28" i="19"/>
  <c r="AC28" i="19"/>
  <c r="AB28" i="19"/>
  <c r="AA28" i="19"/>
  <c r="Z28" i="19"/>
  <c r="Y28" i="19"/>
  <c r="X28" i="19"/>
  <c r="W28" i="19"/>
  <c r="V28" i="19"/>
  <c r="U28" i="19"/>
  <c r="T28" i="19"/>
  <c r="S28" i="19"/>
  <c r="R28" i="19"/>
  <c r="Q28" i="19"/>
  <c r="P28" i="19"/>
  <c r="AE23" i="19"/>
  <c r="AD23" i="19"/>
  <c r="AC23" i="19"/>
  <c r="AB23" i="19"/>
  <c r="AA23" i="19"/>
  <c r="Z23" i="19"/>
  <c r="Y23" i="19"/>
  <c r="X23" i="19"/>
  <c r="W23" i="19"/>
  <c r="V23" i="19"/>
  <c r="U23" i="19"/>
  <c r="T23" i="19"/>
  <c r="S23" i="19"/>
  <c r="R23" i="19"/>
  <c r="Q23" i="19"/>
  <c r="P23" i="19"/>
  <c r="AE22" i="19"/>
  <c r="AD22" i="19"/>
  <c r="AC22" i="19"/>
  <c r="AB22" i="19"/>
  <c r="AA22" i="19"/>
  <c r="Z22" i="19"/>
  <c r="Y22" i="19"/>
  <c r="X22" i="19"/>
  <c r="W22" i="19"/>
  <c r="V22" i="19"/>
  <c r="U22" i="19"/>
  <c r="T22" i="19"/>
  <c r="S22" i="19"/>
  <c r="R22" i="19"/>
  <c r="Q22" i="19"/>
  <c r="P22" i="19"/>
  <c r="AE20" i="19"/>
  <c r="AD20" i="19"/>
  <c r="AC20" i="19"/>
  <c r="AB20" i="19"/>
  <c r="AA20" i="19"/>
  <c r="Z20" i="19"/>
  <c r="Y20" i="19"/>
  <c r="X20" i="19"/>
  <c r="W20" i="19"/>
  <c r="V20" i="19"/>
  <c r="U20" i="19"/>
  <c r="T20" i="19"/>
  <c r="S20" i="19"/>
  <c r="R20" i="19"/>
  <c r="Q20" i="19"/>
  <c r="P20" i="19"/>
  <c r="AE19" i="19"/>
  <c r="AD19" i="19"/>
  <c r="AC19" i="19"/>
  <c r="AB19" i="19"/>
  <c r="AA19" i="19"/>
  <c r="Z19" i="19"/>
  <c r="Y19" i="19"/>
  <c r="X19" i="19"/>
  <c r="W19" i="19"/>
  <c r="V19" i="19"/>
  <c r="U19" i="19"/>
  <c r="T19" i="19"/>
  <c r="S19" i="19"/>
  <c r="R19" i="19"/>
  <c r="Q19" i="19"/>
  <c r="P19" i="19"/>
  <c r="AE14" i="19"/>
  <c r="AD14" i="19"/>
  <c r="AC14" i="19"/>
  <c r="AB14" i="19"/>
  <c r="AA14" i="19"/>
  <c r="Z14" i="19"/>
  <c r="Y14" i="19"/>
  <c r="X14" i="19"/>
  <c r="W14" i="19"/>
  <c r="V14" i="19"/>
  <c r="U14" i="19"/>
  <c r="T14" i="19"/>
  <c r="S14" i="19"/>
  <c r="R14" i="19"/>
  <c r="Q14" i="19"/>
  <c r="AE13" i="19"/>
  <c r="AD13" i="19"/>
  <c r="AC13" i="19"/>
  <c r="AB13" i="19"/>
  <c r="AA13" i="19"/>
  <c r="Z13" i="19"/>
  <c r="Y13" i="19"/>
  <c r="X13" i="19"/>
  <c r="W13" i="19"/>
  <c r="V13" i="19"/>
  <c r="U13" i="19"/>
  <c r="T13" i="19"/>
  <c r="S13" i="19"/>
  <c r="R13" i="19"/>
  <c r="Q13" i="19"/>
  <c r="P13" i="19"/>
  <c r="AE12" i="19"/>
  <c r="AD12" i="19"/>
  <c r="AC12" i="19"/>
  <c r="AB12" i="19"/>
  <c r="AA12" i="19"/>
  <c r="Z12" i="19"/>
  <c r="Y12" i="19"/>
  <c r="X12" i="19"/>
  <c r="W12" i="19"/>
  <c r="V12" i="19"/>
  <c r="U12" i="19"/>
  <c r="T12" i="19"/>
  <c r="S12" i="19"/>
  <c r="R12" i="19"/>
  <c r="Q12" i="19"/>
  <c r="P12" i="19"/>
  <c r="AE10" i="19"/>
  <c r="AD10" i="19"/>
  <c r="AC10" i="19"/>
  <c r="AB10" i="19"/>
  <c r="AA10" i="19"/>
  <c r="Z10" i="19"/>
  <c r="Y10" i="19"/>
  <c r="X10" i="19"/>
  <c r="W10" i="19"/>
  <c r="V10" i="19"/>
  <c r="U10" i="19"/>
  <c r="T10" i="19"/>
  <c r="S10" i="19"/>
  <c r="R10" i="19"/>
  <c r="Q10" i="19"/>
  <c r="P10" i="19"/>
  <c r="AE9" i="19"/>
  <c r="AD9" i="19"/>
  <c r="AC9" i="19"/>
  <c r="AB9" i="19"/>
  <c r="AA9" i="19"/>
  <c r="Z9" i="19"/>
  <c r="Y9" i="19"/>
  <c r="X9" i="19"/>
  <c r="W9" i="19"/>
  <c r="V9" i="19"/>
  <c r="U9" i="19"/>
  <c r="T9" i="19"/>
  <c r="S9" i="19"/>
  <c r="R9" i="19"/>
  <c r="Q9" i="19"/>
  <c r="P9" i="19"/>
  <c r="AE8" i="19"/>
  <c r="AD8" i="19"/>
  <c r="AC8" i="19"/>
  <c r="AB8" i="19"/>
  <c r="AA8" i="19"/>
  <c r="Z8" i="19"/>
  <c r="Y8" i="19"/>
  <c r="X8" i="19"/>
  <c r="W8" i="19"/>
  <c r="V8" i="19"/>
  <c r="U8" i="19"/>
  <c r="T8" i="19"/>
  <c r="S8" i="19"/>
  <c r="R8" i="19"/>
  <c r="Q8" i="19"/>
  <c r="P8" i="19"/>
  <c r="AE7" i="19"/>
  <c r="AD7" i="19"/>
  <c r="AC7" i="19"/>
  <c r="AB7" i="19"/>
  <c r="AA7" i="19"/>
  <c r="Z7" i="19"/>
  <c r="Y7" i="19"/>
  <c r="X7" i="19"/>
  <c r="W7" i="19"/>
  <c r="V7" i="19"/>
  <c r="U7" i="19"/>
  <c r="T7" i="19"/>
  <c r="S7" i="19"/>
  <c r="R7" i="19"/>
  <c r="Q7" i="19"/>
  <c r="P7" i="19"/>
  <c r="AE6" i="19"/>
  <c r="AD6" i="19"/>
  <c r="AC6" i="19"/>
  <c r="AB6" i="19"/>
  <c r="AA6" i="19"/>
  <c r="Z6" i="19"/>
  <c r="Y6" i="19"/>
  <c r="X6" i="19"/>
  <c r="W6" i="19"/>
  <c r="V6" i="19"/>
  <c r="U6" i="19"/>
  <c r="T6" i="19"/>
  <c r="S6" i="19"/>
  <c r="R6" i="19"/>
  <c r="Q6" i="19"/>
  <c r="P6" i="19"/>
  <c r="AE5" i="19"/>
  <c r="AD5" i="19"/>
  <c r="AC5" i="19"/>
  <c r="AB5" i="19"/>
  <c r="AA5" i="19"/>
  <c r="Z5" i="19"/>
  <c r="Y5" i="19"/>
  <c r="X5" i="19"/>
  <c r="W5" i="19"/>
  <c r="V5" i="19"/>
  <c r="U5" i="19"/>
  <c r="T5" i="19"/>
  <c r="S5" i="19"/>
  <c r="R5" i="19"/>
  <c r="Q5" i="19"/>
  <c r="P5" i="19"/>
  <c r="AE4" i="19"/>
  <c r="AD4" i="19"/>
  <c r="AC4" i="19"/>
  <c r="AB4" i="19"/>
  <c r="AA4" i="19"/>
  <c r="Z4" i="19"/>
  <c r="Y4" i="19"/>
  <c r="X4" i="19"/>
  <c r="W4" i="19"/>
  <c r="V4" i="19"/>
  <c r="U4" i="19"/>
  <c r="T4" i="19"/>
  <c r="S4" i="19"/>
  <c r="R4" i="19"/>
  <c r="Q4" i="19"/>
  <c r="P4" i="19"/>
  <c r="AE3" i="19"/>
  <c r="AD3" i="19"/>
  <c r="AC3" i="19"/>
  <c r="AB3" i="19"/>
  <c r="AA3" i="19"/>
  <c r="Z3" i="19"/>
  <c r="Y3" i="19"/>
  <c r="X3" i="19"/>
  <c r="W3" i="19"/>
  <c r="V3" i="19"/>
  <c r="U3" i="19"/>
  <c r="T3" i="19"/>
  <c r="S3" i="19"/>
  <c r="R3" i="19"/>
  <c r="Q3" i="19"/>
  <c r="P3" i="19"/>
  <c r="AE2" i="19"/>
  <c r="AD2" i="19"/>
  <c r="AC2" i="19"/>
  <c r="AB2" i="19"/>
  <c r="AA2" i="19"/>
  <c r="Z2" i="19"/>
  <c r="Y2" i="19"/>
  <c r="X2" i="19"/>
  <c r="W2" i="19"/>
  <c r="V2" i="19"/>
  <c r="U2" i="19"/>
  <c r="T2" i="19"/>
  <c r="S2" i="19"/>
  <c r="R2" i="19"/>
  <c r="Q2" i="19"/>
  <c r="P2" i="19"/>
  <c r="O2" i="19"/>
  <c r="M2" i="19"/>
  <c r="N2" i="19" s="1"/>
  <c r="L2" i="19"/>
  <c r="J2" i="19"/>
  <c r="K2" i="19" s="1"/>
  <c r="I2" i="19"/>
  <c r="H2" i="19"/>
  <c r="G2" i="19"/>
  <c r="F2" i="19" a="1"/>
  <c r="F2" i="19" s="1"/>
  <c r="E2" i="19"/>
  <c r="L24" i="19"/>
  <c r="O24" i="19"/>
  <c r="I24" i="19"/>
  <c r="O32" i="19"/>
  <c r="I32" i="19"/>
  <c r="L6" i="19"/>
  <c r="O6" i="19"/>
  <c r="I6" i="19"/>
  <c r="O34" i="19"/>
  <c r="I34" i="19"/>
  <c r="L3" i="19"/>
  <c r="O3" i="19"/>
  <c r="I3" i="19"/>
  <c r="L15" i="19"/>
  <c r="O15" i="19"/>
  <c r="I15" i="19"/>
  <c r="L18" i="19"/>
  <c r="O18" i="19"/>
  <c r="I18" i="19"/>
  <c r="L27" i="19"/>
  <c r="I27" i="19"/>
  <c r="L28" i="19"/>
  <c r="O28" i="19"/>
  <c r="I28" i="19"/>
  <c r="L30" i="19"/>
  <c r="O30" i="19"/>
  <c r="I30" i="19"/>
  <c r="L29" i="19"/>
  <c r="O29" i="19"/>
  <c r="I29" i="19"/>
  <c r="L10" i="19"/>
  <c r="O10" i="19"/>
  <c r="I10" i="19"/>
  <c r="L7" i="19"/>
  <c r="O7" i="19"/>
  <c r="I7" i="19"/>
  <c r="L22" i="19"/>
  <c r="O22" i="19"/>
  <c r="I22" i="19"/>
  <c r="L21" i="19"/>
  <c r="O21" i="19"/>
  <c r="I21" i="19"/>
  <c r="L26" i="19"/>
  <c r="O26" i="19"/>
  <c r="I26" i="19"/>
  <c r="L17" i="19"/>
  <c r="O17" i="19"/>
  <c r="I17" i="19"/>
  <c r="L12" i="19"/>
  <c r="O12" i="19"/>
  <c r="I12" i="19"/>
  <c r="L11" i="19"/>
  <c r="O11" i="19"/>
  <c r="I11" i="19"/>
  <c r="L25" i="19"/>
  <c r="O25" i="19"/>
  <c r="I25" i="19"/>
  <c r="AA2" i="18"/>
  <c r="AB2" i="18"/>
  <c r="AC2" i="18"/>
  <c r="AD2" i="18"/>
  <c r="AG35" i="17"/>
  <c r="AH35" i="17"/>
  <c r="AI35" i="17"/>
  <c r="AJ35" i="17"/>
  <c r="AG36" i="17"/>
  <c r="AH36" i="17"/>
  <c r="AI36" i="17"/>
  <c r="AJ36" i="17"/>
  <c r="AG37" i="17"/>
  <c r="AH37" i="17"/>
  <c r="AI37" i="17"/>
  <c r="AJ37" i="17"/>
  <c r="AG38" i="17"/>
  <c r="AH38" i="17"/>
  <c r="AI38" i="17"/>
  <c r="AJ38" i="17"/>
  <c r="AG39" i="17"/>
  <c r="AH39" i="17"/>
  <c r="AI39" i="17"/>
  <c r="AJ39" i="17"/>
  <c r="AG40" i="17"/>
  <c r="AH40" i="17"/>
  <c r="AI40" i="17"/>
  <c r="AJ40" i="17"/>
  <c r="AG41" i="17"/>
  <c r="AH41" i="17"/>
  <c r="AI41" i="17"/>
  <c r="AJ41" i="17"/>
  <c r="AG42" i="17"/>
  <c r="AH42" i="17"/>
  <c r="AI42" i="17"/>
  <c r="AJ42" i="17"/>
  <c r="AG43" i="17"/>
  <c r="AH43" i="17"/>
  <c r="AI43" i="17"/>
  <c r="AJ43" i="17"/>
  <c r="AG44" i="17"/>
  <c r="AH44" i="17"/>
  <c r="AI44" i="17"/>
  <c r="AJ44" i="17"/>
  <c r="AG45" i="17"/>
  <c r="AH45" i="17"/>
  <c r="AI45" i="17"/>
  <c r="AJ45" i="17"/>
  <c r="AG46" i="17"/>
  <c r="AH46" i="17"/>
  <c r="AI46" i="17"/>
  <c r="AJ46" i="17"/>
  <c r="AG739" i="9"/>
  <c r="AH739" i="9"/>
  <c r="AI739" i="9"/>
  <c r="AJ739" i="9"/>
  <c r="AG740" i="9"/>
  <c r="AH740" i="9"/>
  <c r="AI740" i="9"/>
  <c r="AJ740" i="9"/>
  <c r="AG741" i="9"/>
  <c r="AH741" i="9"/>
  <c r="AI741" i="9"/>
  <c r="AJ741" i="9"/>
  <c r="AG742" i="9"/>
  <c r="AH742" i="9"/>
  <c r="AI742" i="9"/>
  <c r="AJ742" i="9"/>
  <c r="AG743" i="9"/>
  <c r="AH743" i="9"/>
  <c r="AI743" i="9"/>
  <c r="AJ743" i="9"/>
  <c r="AG744" i="9"/>
  <c r="AH744" i="9"/>
  <c r="AI744" i="9"/>
  <c r="AJ744" i="9"/>
  <c r="AG745" i="9"/>
  <c r="AH745" i="9"/>
  <c r="AI745" i="9"/>
  <c r="AJ745" i="9"/>
  <c r="AG746" i="9"/>
  <c r="AH746" i="9"/>
  <c r="AI746" i="9"/>
  <c r="AJ746" i="9"/>
  <c r="AG747" i="9"/>
  <c r="AH747" i="9"/>
  <c r="AI747" i="9"/>
  <c r="AJ747" i="9"/>
  <c r="AG748" i="9"/>
  <c r="AH748" i="9"/>
  <c r="AI748" i="9"/>
  <c r="AJ748" i="9"/>
  <c r="AG749" i="9"/>
  <c r="AH749" i="9"/>
  <c r="AI749" i="9"/>
  <c r="AJ749" i="9"/>
  <c r="AG750" i="9"/>
  <c r="AH750" i="9"/>
  <c r="AI750" i="9"/>
  <c r="AJ750" i="9"/>
  <c r="AA74" i="15"/>
  <c r="AB74" i="15"/>
  <c r="AC74" i="15"/>
  <c r="AD74" i="15"/>
  <c r="AA75" i="15"/>
  <c r="AB75" i="15"/>
  <c r="AC75" i="15"/>
  <c r="AD75" i="15"/>
  <c r="AA76" i="15"/>
  <c r="AB76" i="15"/>
  <c r="AC76" i="15"/>
  <c r="AD76" i="15"/>
  <c r="AA77" i="15"/>
  <c r="AB77" i="15"/>
  <c r="AC77" i="15"/>
  <c r="AD77" i="15"/>
  <c r="AA78" i="15"/>
  <c r="AB78" i="15"/>
  <c r="AC78" i="15"/>
  <c r="AD78" i="15"/>
  <c r="AA79" i="15"/>
  <c r="AB79" i="15"/>
  <c r="AC79" i="15"/>
  <c r="AD79" i="15"/>
  <c r="AA80" i="15"/>
  <c r="AB80" i="15"/>
  <c r="AC80" i="15"/>
  <c r="AD80" i="15"/>
  <c r="AA81" i="15"/>
  <c r="AB81" i="15"/>
  <c r="AC81" i="15"/>
  <c r="AD81" i="15"/>
  <c r="AA82" i="15"/>
  <c r="AB82" i="15"/>
  <c r="AC82" i="15"/>
  <c r="AD82" i="15"/>
  <c r="AA83" i="15"/>
  <c r="AB83" i="15"/>
  <c r="AC83" i="15"/>
  <c r="AD83" i="15"/>
  <c r="AA84" i="15"/>
  <c r="AB84" i="15"/>
  <c r="AC84" i="15"/>
  <c r="AD84" i="15"/>
  <c r="AA85" i="15"/>
  <c r="AB85" i="15"/>
  <c r="AC85" i="15"/>
  <c r="AD85" i="15"/>
  <c r="AA86" i="15"/>
  <c r="AB86" i="15"/>
  <c r="AC86" i="15"/>
  <c r="AD86" i="15"/>
  <c r="AA87" i="15"/>
  <c r="AB87" i="15"/>
  <c r="AC87" i="15"/>
  <c r="AD87" i="15"/>
  <c r="AA88" i="15"/>
  <c r="AB88" i="15"/>
  <c r="AC88" i="15"/>
  <c r="AD88" i="15"/>
  <c r="AA89" i="15"/>
  <c r="AB89" i="15"/>
  <c r="AC89" i="15"/>
  <c r="AD89" i="15"/>
  <c r="AA559" i="10"/>
  <c r="AB559" i="10"/>
  <c r="AC559" i="10"/>
  <c r="AD559" i="10"/>
  <c r="AA560" i="10"/>
  <c r="AB560" i="10"/>
  <c r="AC560" i="10"/>
  <c r="AD560" i="10"/>
  <c r="AA561" i="10"/>
  <c r="AB561" i="10"/>
  <c r="AC561" i="10"/>
  <c r="AD561" i="10"/>
  <c r="AA562" i="10"/>
  <c r="AB562" i="10"/>
  <c r="AC562" i="10"/>
  <c r="AD562" i="10"/>
  <c r="AA563" i="10"/>
  <c r="AB563" i="10"/>
  <c r="AC563" i="10"/>
  <c r="AD563" i="10"/>
  <c r="AA564" i="10"/>
  <c r="AB564" i="10"/>
  <c r="AC564" i="10"/>
  <c r="AD564" i="10"/>
  <c r="AA565" i="10"/>
  <c r="AB565" i="10"/>
  <c r="AC565" i="10"/>
  <c r="AD565" i="10"/>
  <c r="AA566" i="10"/>
  <c r="AB566" i="10"/>
  <c r="AC566" i="10"/>
  <c r="AD566" i="10"/>
  <c r="AA567" i="10"/>
  <c r="AB567" i="10"/>
  <c r="AC567" i="10"/>
  <c r="AD567" i="10"/>
  <c r="AA568" i="10"/>
  <c r="AB568" i="10"/>
  <c r="AC568" i="10"/>
  <c r="AD568" i="10"/>
  <c r="AA569" i="10"/>
  <c r="AB569" i="10"/>
  <c r="AC569" i="10"/>
  <c r="AD569" i="10"/>
  <c r="AA570" i="10"/>
  <c r="AB570" i="10"/>
  <c r="AC570" i="10"/>
  <c r="AD570" i="10"/>
  <c r="AA571" i="10"/>
  <c r="AB571" i="10"/>
  <c r="AC571" i="10"/>
  <c r="AD571" i="10"/>
  <c r="AA572" i="10"/>
  <c r="AB572" i="10"/>
  <c r="AC572" i="10"/>
  <c r="AD572" i="10"/>
  <c r="AA573" i="10"/>
  <c r="AB573" i="10"/>
  <c r="AC573" i="10"/>
  <c r="AD573" i="10"/>
  <c r="AA574" i="10"/>
  <c r="AB574" i="10"/>
  <c r="AC574" i="10"/>
  <c r="AD574" i="10"/>
  <c r="P2" i="11"/>
  <c r="P2" i="13"/>
  <c r="Q36" i="13"/>
  <c r="R36" i="13"/>
  <c r="S36" i="13"/>
  <c r="T36" i="13"/>
  <c r="U36" i="13"/>
  <c r="V36" i="13"/>
  <c r="W36" i="13"/>
  <c r="X36" i="13"/>
  <c r="Y36" i="13"/>
  <c r="Z36" i="13"/>
  <c r="AA36" i="13"/>
  <c r="AB36" i="13"/>
  <c r="AC36" i="13"/>
  <c r="AD36" i="13"/>
  <c r="AE36" i="13"/>
  <c r="P36" i="13"/>
  <c r="Q35" i="13"/>
  <c r="R35" i="13"/>
  <c r="S35" i="13"/>
  <c r="T35" i="13"/>
  <c r="U35" i="13"/>
  <c r="V35" i="13"/>
  <c r="W35" i="13"/>
  <c r="X35" i="13"/>
  <c r="Y35" i="13"/>
  <c r="Z35" i="13"/>
  <c r="AA35" i="13"/>
  <c r="AB35" i="13"/>
  <c r="AC35" i="13"/>
  <c r="AD35" i="13"/>
  <c r="AE35" i="13"/>
  <c r="P35" i="13"/>
  <c r="Q11" i="13"/>
  <c r="R11" i="13"/>
  <c r="S11" i="13"/>
  <c r="T11" i="13"/>
  <c r="U11" i="13"/>
  <c r="V11" i="13"/>
  <c r="W11" i="13"/>
  <c r="X11" i="13"/>
  <c r="Y11" i="13"/>
  <c r="Z11" i="13"/>
  <c r="AA11" i="13"/>
  <c r="AB11" i="13"/>
  <c r="AC11" i="13"/>
  <c r="AD11" i="13"/>
  <c r="AE11" i="13"/>
  <c r="P11" i="13"/>
  <c r="D11" i="13"/>
  <c r="E11" i="13"/>
  <c r="F11" i="13" a="1"/>
  <c r="F11" i="13" s="1"/>
  <c r="G11" i="13"/>
  <c r="H11" i="13"/>
  <c r="I11" i="13"/>
  <c r="J11" i="13"/>
  <c r="K11" i="13" s="1"/>
  <c r="L11" i="13"/>
  <c r="M11" i="13"/>
  <c r="N11" i="13" s="1"/>
  <c r="O11" i="13"/>
  <c r="Q19" i="11"/>
  <c r="R19" i="11"/>
  <c r="S19" i="11"/>
  <c r="T19" i="11"/>
  <c r="U19" i="11"/>
  <c r="V19" i="11"/>
  <c r="W19" i="11"/>
  <c r="X19" i="11"/>
  <c r="Y19" i="11"/>
  <c r="Z19" i="11"/>
  <c r="AA19" i="11"/>
  <c r="AB19" i="11"/>
  <c r="AC19" i="11"/>
  <c r="AD19" i="11"/>
  <c r="AE19" i="11"/>
  <c r="P19" i="11"/>
  <c r="D19" i="11"/>
  <c r="E19" i="11"/>
  <c r="F19" i="11" a="1"/>
  <c r="F19" i="11" s="1"/>
  <c r="G19" i="11"/>
  <c r="H19" i="11"/>
  <c r="I19" i="11"/>
  <c r="J19" i="11"/>
  <c r="K19" i="11" s="1"/>
  <c r="L19" i="11"/>
  <c r="M19" i="11"/>
  <c r="N19" i="11" s="1"/>
  <c r="O19" i="11"/>
  <c r="Q20" i="13"/>
  <c r="R20" i="13"/>
  <c r="S20" i="13"/>
  <c r="T20" i="13"/>
  <c r="U20" i="13"/>
  <c r="V20" i="13"/>
  <c r="W20" i="13"/>
  <c r="X20" i="13"/>
  <c r="Y20" i="13"/>
  <c r="Z20" i="13"/>
  <c r="AA20" i="13"/>
  <c r="AB20" i="13"/>
  <c r="AC20" i="13"/>
  <c r="AD20" i="13"/>
  <c r="AE20" i="13"/>
  <c r="P20" i="13"/>
  <c r="D20" i="13"/>
  <c r="E20" i="13"/>
  <c r="F20" i="13" a="1"/>
  <c r="F20" i="13" s="1"/>
  <c r="G20" i="13"/>
  <c r="H20" i="13"/>
  <c r="I20" i="13"/>
  <c r="J20" i="13"/>
  <c r="K20" i="13" s="1"/>
  <c r="L20" i="13"/>
  <c r="M20" i="13"/>
  <c r="N20" i="13" s="1"/>
  <c r="O20" i="13"/>
  <c r="Q7" i="13"/>
  <c r="R7" i="13"/>
  <c r="S7" i="13"/>
  <c r="T7" i="13"/>
  <c r="U7" i="13"/>
  <c r="V7" i="13"/>
  <c r="W7" i="13"/>
  <c r="X7" i="13"/>
  <c r="Y7" i="13"/>
  <c r="Z7" i="13"/>
  <c r="AA7" i="13"/>
  <c r="AB7" i="13"/>
  <c r="AC7" i="13"/>
  <c r="AD7" i="13"/>
  <c r="AE7" i="13"/>
  <c r="P7" i="13"/>
  <c r="D7" i="13"/>
  <c r="E7" i="13"/>
  <c r="F7" i="13" a="1"/>
  <c r="F7" i="13" s="1"/>
  <c r="G7" i="13"/>
  <c r="H7" i="13"/>
  <c r="J7" i="13"/>
  <c r="K7" i="13" s="1"/>
  <c r="M7" i="13"/>
  <c r="N7" i="13" s="1"/>
  <c r="Q12" i="13"/>
  <c r="R12" i="13"/>
  <c r="S12" i="13"/>
  <c r="T12" i="13"/>
  <c r="U12" i="13"/>
  <c r="V12" i="13"/>
  <c r="W12" i="13"/>
  <c r="X12" i="13"/>
  <c r="Y12" i="13"/>
  <c r="Z12" i="13"/>
  <c r="AA12" i="13"/>
  <c r="AB12" i="13"/>
  <c r="AC12" i="13"/>
  <c r="AD12" i="13"/>
  <c r="AE12" i="13"/>
  <c r="P12" i="13"/>
  <c r="D12" i="13"/>
  <c r="E12" i="13"/>
  <c r="F12" i="13" a="1"/>
  <c r="F12" i="13" s="1"/>
  <c r="G12" i="13"/>
  <c r="H12" i="13"/>
  <c r="I12" i="13"/>
  <c r="J12" i="13"/>
  <c r="K12" i="13" s="1"/>
  <c r="L12" i="13"/>
  <c r="M12" i="13"/>
  <c r="N12" i="13" s="1"/>
  <c r="O12" i="13"/>
  <c r="D13" i="13"/>
  <c r="E13" i="13"/>
  <c r="F13" i="13" a="1"/>
  <c r="F13" i="13" s="1"/>
  <c r="G13" i="13"/>
  <c r="H13" i="13"/>
  <c r="J13" i="13"/>
  <c r="K13" i="13"/>
  <c r="M13" i="13"/>
  <c r="N13" i="13" s="1"/>
  <c r="P13" i="13"/>
  <c r="Q13" i="13"/>
  <c r="R13" i="13"/>
  <c r="S13" i="13"/>
  <c r="T13" i="13"/>
  <c r="U13" i="13"/>
  <c r="V13" i="13"/>
  <c r="W13" i="13"/>
  <c r="X13" i="13"/>
  <c r="Y13" i="13"/>
  <c r="Z13" i="13"/>
  <c r="AA13" i="13"/>
  <c r="D14" i="13"/>
  <c r="E14" i="13"/>
  <c r="F14" i="13" a="1"/>
  <c r="F14" i="13" s="1"/>
  <c r="G14" i="13"/>
  <c r="H14" i="13"/>
  <c r="I14" i="13"/>
  <c r="J14" i="13"/>
  <c r="K14" i="13" s="1"/>
  <c r="L14" i="13"/>
  <c r="M14" i="13"/>
  <c r="N14" i="13" s="1"/>
  <c r="O14" i="13"/>
  <c r="P14" i="13"/>
  <c r="Q14" i="13"/>
  <c r="R14" i="13"/>
  <c r="S14" i="13"/>
  <c r="T14" i="13"/>
  <c r="U14" i="13"/>
  <c r="V14" i="13"/>
  <c r="W14" i="13"/>
  <c r="X14" i="13"/>
  <c r="Y14" i="13"/>
  <c r="Z14" i="13"/>
  <c r="AA14" i="13"/>
  <c r="D15" i="13"/>
  <c r="E15" i="13"/>
  <c r="F15" i="13" a="1"/>
  <c r="F15" i="13" s="1"/>
  <c r="G15" i="13"/>
  <c r="H15" i="13"/>
  <c r="J15" i="13"/>
  <c r="K15" i="13" s="1"/>
  <c r="M15" i="13"/>
  <c r="N15" i="13" s="1"/>
  <c r="P15" i="13"/>
  <c r="Q15" i="13"/>
  <c r="R15" i="13"/>
  <c r="S15" i="13"/>
  <c r="T15" i="13"/>
  <c r="U15" i="13"/>
  <c r="V15" i="13"/>
  <c r="W15" i="13"/>
  <c r="X15" i="13"/>
  <c r="Y15" i="13"/>
  <c r="Z15" i="13"/>
  <c r="AA15" i="13"/>
  <c r="D16" i="13"/>
  <c r="E16" i="13"/>
  <c r="F16" i="13" a="1"/>
  <c r="F16" i="13" s="1"/>
  <c r="G16" i="13"/>
  <c r="H16" i="13"/>
  <c r="J16" i="13"/>
  <c r="K16" i="13" s="1"/>
  <c r="M16" i="13"/>
  <c r="N16" i="13" s="1"/>
  <c r="P16" i="13"/>
  <c r="Q16" i="13"/>
  <c r="R16" i="13"/>
  <c r="S16" i="13"/>
  <c r="T16" i="13"/>
  <c r="U16" i="13"/>
  <c r="V16" i="13"/>
  <c r="W16" i="13"/>
  <c r="X16" i="13"/>
  <c r="Y16" i="13"/>
  <c r="Z16" i="13"/>
  <c r="AA16" i="13"/>
  <c r="D17" i="13"/>
  <c r="E17" i="13"/>
  <c r="F17" i="13" a="1"/>
  <c r="F17" i="13" s="1"/>
  <c r="G17" i="13"/>
  <c r="H17" i="13"/>
  <c r="I17" i="13"/>
  <c r="J17" i="13"/>
  <c r="K17" i="13" s="1"/>
  <c r="L17" i="13"/>
  <c r="M17" i="13"/>
  <c r="N17" i="13" s="1"/>
  <c r="O17" i="13"/>
  <c r="P17" i="13"/>
  <c r="Q17" i="13"/>
  <c r="R17" i="13"/>
  <c r="S17" i="13"/>
  <c r="T17" i="13"/>
  <c r="U17" i="13"/>
  <c r="V17" i="13"/>
  <c r="W17" i="13"/>
  <c r="X17" i="13"/>
  <c r="Y17" i="13"/>
  <c r="Z17" i="13"/>
  <c r="AA17" i="13"/>
  <c r="D18" i="13"/>
  <c r="E18" i="13"/>
  <c r="F18" i="13" a="1"/>
  <c r="F18" i="13" s="1"/>
  <c r="G18" i="13"/>
  <c r="H18" i="13"/>
  <c r="I18" i="13"/>
  <c r="J18" i="13"/>
  <c r="K18" i="13" s="1"/>
  <c r="L18" i="13"/>
  <c r="M18" i="13"/>
  <c r="N18" i="13" s="1"/>
  <c r="O18" i="13"/>
  <c r="P18" i="13"/>
  <c r="Q18" i="13"/>
  <c r="R18" i="13"/>
  <c r="S18" i="13"/>
  <c r="T18" i="13"/>
  <c r="U18" i="13"/>
  <c r="V18" i="13"/>
  <c r="W18" i="13"/>
  <c r="X18" i="13"/>
  <c r="Y18" i="13"/>
  <c r="Z18" i="13"/>
  <c r="AA18" i="13"/>
  <c r="D19" i="13"/>
  <c r="E19" i="13"/>
  <c r="F19" i="13" a="1"/>
  <c r="F19" i="13"/>
  <c r="G19" i="13"/>
  <c r="H19" i="13"/>
  <c r="J19" i="13"/>
  <c r="K19" i="13" s="1"/>
  <c r="M19" i="13"/>
  <c r="N19" i="13" s="1"/>
  <c r="P19" i="13"/>
  <c r="Q19" i="13"/>
  <c r="R19" i="13"/>
  <c r="S19" i="13"/>
  <c r="T19" i="13"/>
  <c r="U19" i="13"/>
  <c r="V19" i="13"/>
  <c r="W19" i="13"/>
  <c r="X19" i="13"/>
  <c r="Y19" i="13"/>
  <c r="Z19" i="13"/>
  <c r="AA19" i="13"/>
  <c r="D21" i="13"/>
  <c r="E21" i="13"/>
  <c r="F21" i="13" a="1"/>
  <c r="F21" i="13" s="1"/>
  <c r="G21" i="13"/>
  <c r="H21" i="13"/>
  <c r="J21" i="13"/>
  <c r="K21" i="13" s="1"/>
  <c r="M21" i="13"/>
  <c r="N21" i="13" s="1"/>
  <c r="P21" i="13"/>
  <c r="Q21" i="13"/>
  <c r="R21" i="13"/>
  <c r="S21" i="13"/>
  <c r="T21" i="13"/>
  <c r="U21" i="13"/>
  <c r="V21" i="13"/>
  <c r="W21" i="13"/>
  <c r="X21" i="13"/>
  <c r="Y21" i="13"/>
  <c r="Z21" i="13"/>
  <c r="AA21" i="13"/>
  <c r="D22" i="13"/>
  <c r="E22" i="13"/>
  <c r="F22" i="13" a="1"/>
  <c r="F22" i="13" s="1"/>
  <c r="G22" i="13"/>
  <c r="H22" i="13"/>
  <c r="J22" i="13"/>
  <c r="K22" i="13" s="1"/>
  <c r="M22" i="13"/>
  <c r="N22" i="13" s="1"/>
  <c r="P22" i="13"/>
  <c r="Q22" i="13"/>
  <c r="R22" i="13"/>
  <c r="S22" i="13"/>
  <c r="T22" i="13"/>
  <c r="U22" i="13"/>
  <c r="V22" i="13"/>
  <c r="W22" i="13"/>
  <c r="X22" i="13"/>
  <c r="Y22" i="13"/>
  <c r="Z22" i="13"/>
  <c r="AA22" i="13"/>
  <c r="D23" i="13"/>
  <c r="E23" i="13"/>
  <c r="F23" i="13" a="1"/>
  <c r="F23" i="13" s="1"/>
  <c r="G23" i="13"/>
  <c r="H23" i="13"/>
  <c r="I23" i="13"/>
  <c r="J23" i="13"/>
  <c r="K23" i="13" s="1"/>
  <c r="L23" i="13"/>
  <c r="M23" i="13"/>
  <c r="N23" i="13" s="1"/>
  <c r="O23" i="13"/>
  <c r="P23" i="13"/>
  <c r="Q23" i="13"/>
  <c r="R23" i="13"/>
  <c r="S23" i="13"/>
  <c r="T23" i="13"/>
  <c r="U23" i="13"/>
  <c r="V23" i="13"/>
  <c r="W23" i="13"/>
  <c r="X23" i="13"/>
  <c r="Y23" i="13"/>
  <c r="Z23" i="13"/>
  <c r="AA23" i="13"/>
  <c r="D24" i="13"/>
  <c r="E24" i="13"/>
  <c r="F24" i="13" a="1"/>
  <c r="F24" i="13" s="1"/>
  <c r="G24" i="13"/>
  <c r="H24" i="13"/>
  <c r="I24" i="13"/>
  <c r="J24" i="13"/>
  <c r="K24" i="13" s="1"/>
  <c r="L24" i="13"/>
  <c r="M24" i="13"/>
  <c r="N24" i="13" s="1"/>
  <c r="O24" i="13"/>
  <c r="P24" i="13"/>
  <c r="Q24" i="13"/>
  <c r="R24" i="13"/>
  <c r="S24" i="13"/>
  <c r="T24" i="13"/>
  <c r="U24" i="13"/>
  <c r="V24" i="13"/>
  <c r="W24" i="13"/>
  <c r="X24" i="13"/>
  <c r="Y24" i="13"/>
  <c r="Z24" i="13"/>
  <c r="AA24" i="13"/>
  <c r="D25" i="13"/>
  <c r="E25" i="13"/>
  <c r="F25" i="13" a="1"/>
  <c r="F25" i="13" s="1"/>
  <c r="G25" i="13"/>
  <c r="H25" i="13"/>
  <c r="I25" i="13"/>
  <c r="J25" i="13"/>
  <c r="K25" i="13" s="1"/>
  <c r="L25" i="13"/>
  <c r="M25" i="13"/>
  <c r="N25" i="13"/>
  <c r="O25" i="13"/>
  <c r="P25" i="13"/>
  <c r="Q25" i="13"/>
  <c r="R25" i="13"/>
  <c r="S25" i="13"/>
  <c r="T25" i="13"/>
  <c r="U25" i="13"/>
  <c r="V25" i="13"/>
  <c r="W25" i="13"/>
  <c r="X25" i="13"/>
  <c r="Y25" i="13"/>
  <c r="Z25" i="13"/>
  <c r="AA25" i="13"/>
  <c r="D26" i="13"/>
  <c r="E26" i="13"/>
  <c r="F26" i="13" a="1"/>
  <c r="F26" i="13" s="1"/>
  <c r="G26" i="13"/>
  <c r="H26" i="13"/>
  <c r="J26" i="13"/>
  <c r="K26" i="13" s="1"/>
  <c r="M26" i="13"/>
  <c r="N26" i="13" s="1"/>
  <c r="O26" i="13"/>
  <c r="P26" i="13"/>
  <c r="Q26" i="13"/>
  <c r="R26" i="13"/>
  <c r="S26" i="13"/>
  <c r="T26" i="13"/>
  <c r="U26" i="13"/>
  <c r="V26" i="13"/>
  <c r="W26" i="13"/>
  <c r="X26" i="13"/>
  <c r="Y26" i="13"/>
  <c r="Z26" i="13"/>
  <c r="AA26" i="13"/>
  <c r="D27" i="13"/>
  <c r="E27" i="13"/>
  <c r="F27" i="13" a="1"/>
  <c r="F27" i="13" s="1"/>
  <c r="G27" i="13"/>
  <c r="H27" i="13"/>
  <c r="J27" i="13"/>
  <c r="K27" i="13" s="1"/>
  <c r="M27" i="13"/>
  <c r="N27" i="13" s="1"/>
  <c r="P27" i="13"/>
  <c r="Q27" i="13"/>
  <c r="R27" i="13"/>
  <c r="S27" i="13"/>
  <c r="T27" i="13"/>
  <c r="U27" i="13"/>
  <c r="V27" i="13"/>
  <c r="W27" i="13"/>
  <c r="X27" i="13"/>
  <c r="Y27" i="13"/>
  <c r="Z27" i="13"/>
  <c r="AA27" i="13"/>
  <c r="D28" i="13"/>
  <c r="E28" i="13"/>
  <c r="F28" i="13" a="1"/>
  <c r="F28" i="13" s="1"/>
  <c r="G28" i="13"/>
  <c r="H28" i="13"/>
  <c r="J28" i="13"/>
  <c r="K28" i="13" s="1"/>
  <c r="L28" i="13"/>
  <c r="M28" i="13"/>
  <c r="N28" i="13" s="1"/>
  <c r="P28" i="13"/>
  <c r="Q28" i="13"/>
  <c r="R28" i="13"/>
  <c r="S28" i="13"/>
  <c r="T28" i="13"/>
  <c r="U28" i="13"/>
  <c r="V28" i="13"/>
  <c r="W28" i="13"/>
  <c r="X28" i="13"/>
  <c r="Y28" i="13"/>
  <c r="Z28" i="13"/>
  <c r="AA28" i="13"/>
  <c r="D29" i="13"/>
  <c r="E29" i="13"/>
  <c r="F29" i="13" a="1"/>
  <c r="F29" i="13" s="1"/>
  <c r="G29" i="13"/>
  <c r="H29" i="13"/>
  <c r="I29" i="13"/>
  <c r="J29" i="13"/>
  <c r="K29" i="13" s="1"/>
  <c r="L29" i="13"/>
  <c r="M29" i="13"/>
  <c r="N29" i="13" s="1"/>
  <c r="O29" i="13"/>
  <c r="P29" i="13"/>
  <c r="Q29" i="13"/>
  <c r="R29" i="13"/>
  <c r="S29" i="13"/>
  <c r="T29" i="13"/>
  <c r="U29" i="13"/>
  <c r="V29" i="13"/>
  <c r="W29" i="13"/>
  <c r="X29" i="13"/>
  <c r="Y29" i="13"/>
  <c r="Z29" i="13"/>
  <c r="AA29" i="13"/>
  <c r="Q9" i="13"/>
  <c r="R9" i="13"/>
  <c r="S9" i="13"/>
  <c r="T9" i="13"/>
  <c r="U9" i="13"/>
  <c r="V9" i="13"/>
  <c r="W9" i="13"/>
  <c r="X9" i="13"/>
  <c r="Y9" i="13"/>
  <c r="Z9" i="13"/>
  <c r="AA9" i="13"/>
  <c r="AB9" i="13"/>
  <c r="AC9" i="13"/>
  <c r="AD9" i="13"/>
  <c r="AE9" i="13"/>
  <c r="P9" i="13"/>
  <c r="D9" i="13"/>
  <c r="E9" i="13"/>
  <c r="F9" i="13" a="1"/>
  <c r="F9" i="13" s="1"/>
  <c r="G9" i="13"/>
  <c r="H9" i="13"/>
  <c r="I9" i="13"/>
  <c r="J9" i="13"/>
  <c r="K9" i="13" s="1"/>
  <c r="L9" i="13"/>
  <c r="M9" i="13"/>
  <c r="N9" i="13" s="1"/>
  <c r="O9" i="13"/>
  <c r="AB17" i="13"/>
  <c r="AC17" i="13"/>
  <c r="AD17" i="13"/>
  <c r="AE17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D2" i="13"/>
  <c r="E2" i="13"/>
  <c r="F2" i="13" a="1"/>
  <c r="F2" i="13" s="1"/>
  <c r="G2" i="13"/>
  <c r="H2" i="13"/>
  <c r="I2" i="13"/>
  <c r="J2" i="13"/>
  <c r="K2" i="13" s="1"/>
  <c r="L2" i="13"/>
  <c r="M2" i="13"/>
  <c r="N2" i="13" s="1"/>
  <c r="O2" i="13"/>
  <c r="AA58" i="15"/>
  <c r="AB58" i="15"/>
  <c r="AC58" i="15"/>
  <c r="AD58" i="15"/>
  <c r="AA59" i="15"/>
  <c r="AB59" i="15"/>
  <c r="AC59" i="15"/>
  <c r="AD59" i="15"/>
  <c r="AA60" i="15"/>
  <c r="AB60" i="15"/>
  <c r="AC60" i="15"/>
  <c r="AD60" i="15"/>
  <c r="AA61" i="15"/>
  <c r="AB61" i="15"/>
  <c r="AC61" i="15"/>
  <c r="AD61" i="15"/>
  <c r="AA62" i="15"/>
  <c r="AB62" i="15"/>
  <c r="AC62" i="15"/>
  <c r="AD62" i="15"/>
  <c r="AA63" i="15"/>
  <c r="AB63" i="15"/>
  <c r="AC63" i="15"/>
  <c r="AD63" i="15"/>
  <c r="AA64" i="15"/>
  <c r="AB64" i="15"/>
  <c r="AC64" i="15"/>
  <c r="AD64" i="15"/>
  <c r="AA65" i="15"/>
  <c r="AB65" i="15"/>
  <c r="AC65" i="15"/>
  <c r="AD65" i="15"/>
  <c r="AA66" i="15"/>
  <c r="AB66" i="15"/>
  <c r="AC66" i="15"/>
  <c r="AD66" i="15"/>
  <c r="AA67" i="15"/>
  <c r="AB67" i="15"/>
  <c r="AC67" i="15"/>
  <c r="AD67" i="15"/>
  <c r="AA68" i="15"/>
  <c r="AB68" i="15"/>
  <c r="AC68" i="15"/>
  <c r="AD68" i="15"/>
  <c r="AA69" i="15"/>
  <c r="AB69" i="15"/>
  <c r="AC69" i="15"/>
  <c r="AD69" i="15"/>
  <c r="AA70" i="15"/>
  <c r="AB70" i="15"/>
  <c r="AC70" i="15"/>
  <c r="AD70" i="15"/>
  <c r="AA71" i="15"/>
  <c r="AB71" i="15"/>
  <c r="L7" i="13" s="1"/>
  <c r="AC71" i="15"/>
  <c r="O7" i="13" s="1"/>
  <c r="AD71" i="15"/>
  <c r="I7" i="13" s="1"/>
  <c r="AA72" i="15"/>
  <c r="AB72" i="15"/>
  <c r="AC72" i="15"/>
  <c r="AD72" i="15"/>
  <c r="AA73" i="15"/>
  <c r="AB73" i="15"/>
  <c r="AC73" i="15"/>
  <c r="AD73" i="15"/>
  <c r="AA543" i="10"/>
  <c r="AB543" i="10"/>
  <c r="AC543" i="10"/>
  <c r="AD543" i="10"/>
  <c r="AA544" i="10"/>
  <c r="AB544" i="10"/>
  <c r="AC544" i="10"/>
  <c r="AD544" i="10"/>
  <c r="AA545" i="10"/>
  <c r="AB545" i="10"/>
  <c r="AC545" i="10"/>
  <c r="AD545" i="10"/>
  <c r="AA546" i="10"/>
  <c r="AB546" i="10"/>
  <c r="AC546" i="10"/>
  <c r="AD546" i="10"/>
  <c r="AA547" i="10"/>
  <c r="AB547" i="10"/>
  <c r="AC547" i="10"/>
  <c r="AD547" i="10"/>
  <c r="AA548" i="10"/>
  <c r="AB548" i="10"/>
  <c r="AC548" i="10"/>
  <c r="AD548" i="10"/>
  <c r="AA549" i="10"/>
  <c r="AB549" i="10"/>
  <c r="AC549" i="10"/>
  <c r="AD549" i="10"/>
  <c r="AA550" i="10"/>
  <c r="AB550" i="10"/>
  <c r="AC550" i="10"/>
  <c r="AD550" i="10"/>
  <c r="AA551" i="10"/>
  <c r="AB551" i="10"/>
  <c r="AC551" i="10"/>
  <c r="AD551" i="10"/>
  <c r="AA552" i="10"/>
  <c r="AB552" i="10"/>
  <c r="AC552" i="10"/>
  <c r="AD552" i="10"/>
  <c r="AA553" i="10"/>
  <c r="AB553" i="10"/>
  <c r="AC553" i="10"/>
  <c r="AD553" i="10"/>
  <c r="AA554" i="10"/>
  <c r="AB554" i="10"/>
  <c r="AC554" i="10"/>
  <c r="AD554" i="10"/>
  <c r="AA555" i="10"/>
  <c r="AB555" i="10"/>
  <c r="AC555" i="10"/>
  <c r="AD555" i="10"/>
  <c r="AA556" i="10"/>
  <c r="AB556" i="10"/>
  <c r="AC556" i="10"/>
  <c r="AD556" i="10"/>
  <c r="AA557" i="10"/>
  <c r="AB557" i="10"/>
  <c r="AC557" i="10"/>
  <c r="AD557" i="10"/>
  <c r="AA558" i="10"/>
  <c r="AB558" i="10"/>
  <c r="AC558" i="10"/>
  <c r="AD558" i="10"/>
  <c r="Q3" i="13"/>
  <c r="R3" i="13"/>
  <c r="S3" i="13"/>
  <c r="T3" i="13"/>
  <c r="U3" i="13"/>
  <c r="V3" i="13"/>
  <c r="W3" i="13"/>
  <c r="X3" i="13"/>
  <c r="Y3" i="13"/>
  <c r="Z3" i="13"/>
  <c r="AA3" i="13"/>
  <c r="AB3" i="13"/>
  <c r="AC3" i="13"/>
  <c r="AD3" i="13"/>
  <c r="AE3" i="13"/>
  <c r="P3" i="13"/>
  <c r="D3" i="13"/>
  <c r="E3" i="13"/>
  <c r="F3" i="13" a="1"/>
  <c r="F3" i="13" s="1"/>
  <c r="G3" i="13"/>
  <c r="H3" i="13"/>
  <c r="J3" i="13"/>
  <c r="K3" i="13" s="1"/>
  <c r="M3" i="13"/>
  <c r="N3" i="13" s="1"/>
  <c r="O3" i="13"/>
  <c r="AB19" i="13"/>
  <c r="AC19" i="13"/>
  <c r="AD19" i="13"/>
  <c r="AE19" i="13"/>
  <c r="D36" i="13"/>
  <c r="E36" i="13"/>
  <c r="F36" i="13" a="1"/>
  <c r="F36" i="13" s="1"/>
  <c r="G36" i="13"/>
  <c r="H36" i="13"/>
  <c r="I36" i="13"/>
  <c r="J36" i="13"/>
  <c r="K36" i="13" s="1"/>
  <c r="L36" i="13"/>
  <c r="M36" i="13"/>
  <c r="N36" i="13" s="1"/>
  <c r="O36" i="13"/>
  <c r="AA42" i="15"/>
  <c r="AB42" i="15"/>
  <c r="AC42" i="15"/>
  <c r="AD42" i="15"/>
  <c r="AA43" i="15"/>
  <c r="AB43" i="15"/>
  <c r="AC43" i="15"/>
  <c r="AD43" i="15"/>
  <c r="AA44" i="15"/>
  <c r="AB44" i="15"/>
  <c r="AC44" i="15"/>
  <c r="AD44" i="15"/>
  <c r="AA45" i="15"/>
  <c r="AB45" i="15"/>
  <c r="AC45" i="15"/>
  <c r="AD45" i="15"/>
  <c r="AA46" i="15"/>
  <c r="AB46" i="15"/>
  <c r="AC46" i="15"/>
  <c r="AD46" i="15"/>
  <c r="AA47" i="15"/>
  <c r="AB47" i="15"/>
  <c r="AC47" i="15"/>
  <c r="AD47" i="15"/>
  <c r="AA48" i="15"/>
  <c r="AB48" i="15"/>
  <c r="AC48" i="15"/>
  <c r="AD48" i="15"/>
  <c r="AA49" i="15"/>
  <c r="AB49" i="15"/>
  <c r="AC49" i="15"/>
  <c r="AD49" i="15"/>
  <c r="AA50" i="15"/>
  <c r="AB50" i="15"/>
  <c r="AC50" i="15"/>
  <c r="AD50" i="15"/>
  <c r="AA51" i="15"/>
  <c r="AB51" i="15"/>
  <c r="AC51" i="15"/>
  <c r="AD51" i="15"/>
  <c r="AA52" i="15"/>
  <c r="AB52" i="15"/>
  <c r="L19" i="13" s="1"/>
  <c r="AC52" i="15"/>
  <c r="O19" i="13" s="1"/>
  <c r="AD52" i="15"/>
  <c r="I19" i="13" s="1"/>
  <c r="AA53" i="15"/>
  <c r="AB53" i="15"/>
  <c r="L27" i="13" s="1"/>
  <c r="AC53" i="15"/>
  <c r="O27" i="13" s="1"/>
  <c r="AD53" i="15"/>
  <c r="I27" i="13" s="1"/>
  <c r="AA54" i="15"/>
  <c r="AB54" i="15"/>
  <c r="AC54" i="15"/>
  <c r="O28" i="13" s="1"/>
  <c r="AD54" i="15"/>
  <c r="I28" i="13" s="1"/>
  <c r="AA55" i="15"/>
  <c r="AB55" i="15"/>
  <c r="AC55" i="15"/>
  <c r="AD55" i="15"/>
  <c r="I8" i="13" s="1"/>
  <c r="AA56" i="15"/>
  <c r="AB56" i="15"/>
  <c r="AC56" i="15"/>
  <c r="AD56" i="15"/>
  <c r="AA57" i="15"/>
  <c r="AB57" i="15"/>
  <c r="L3" i="13" s="1"/>
  <c r="AC57" i="15"/>
  <c r="AD57" i="15"/>
  <c r="I3" i="13" s="1"/>
  <c r="AA512" i="10"/>
  <c r="AB512" i="10"/>
  <c r="AC512" i="10"/>
  <c r="AD512" i="10"/>
  <c r="AA513" i="10"/>
  <c r="AB513" i="10"/>
  <c r="AC513" i="10"/>
  <c r="AD513" i="10"/>
  <c r="AA514" i="10"/>
  <c r="AB514" i="10"/>
  <c r="AC514" i="10"/>
  <c r="AD514" i="10"/>
  <c r="AA515" i="10"/>
  <c r="AB515" i="10"/>
  <c r="AC515" i="10"/>
  <c r="AD515" i="10"/>
  <c r="AA516" i="10"/>
  <c r="AB516" i="10"/>
  <c r="AC516" i="10"/>
  <c r="AD516" i="10"/>
  <c r="AA517" i="10"/>
  <c r="AB517" i="10"/>
  <c r="AC517" i="10"/>
  <c r="AD517" i="10"/>
  <c r="AA518" i="10"/>
  <c r="AB518" i="10"/>
  <c r="AC518" i="10"/>
  <c r="AD518" i="10"/>
  <c r="AA519" i="10"/>
  <c r="AB519" i="10"/>
  <c r="AC519" i="10"/>
  <c r="AD519" i="10"/>
  <c r="AA520" i="10"/>
  <c r="AB520" i="10"/>
  <c r="AC520" i="10"/>
  <c r="AD520" i="10"/>
  <c r="AA521" i="10"/>
  <c r="AB521" i="10"/>
  <c r="AC521" i="10"/>
  <c r="AD521" i="10"/>
  <c r="AA522" i="10"/>
  <c r="AB522" i="10"/>
  <c r="AC522" i="10"/>
  <c r="AD522" i="10"/>
  <c r="AA523" i="10"/>
  <c r="AB523" i="10"/>
  <c r="AC523" i="10"/>
  <c r="AD523" i="10"/>
  <c r="AA524" i="10"/>
  <c r="AB524" i="10"/>
  <c r="AC524" i="10"/>
  <c r="AD524" i="10"/>
  <c r="AA525" i="10"/>
  <c r="AB525" i="10"/>
  <c r="AC525" i="10"/>
  <c r="AD525" i="10"/>
  <c r="AA526" i="10"/>
  <c r="AB526" i="10"/>
  <c r="AC526" i="10"/>
  <c r="AD526" i="10"/>
  <c r="AA527" i="10"/>
  <c r="AB527" i="10"/>
  <c r="AC527" i="10"/>
  <c r="AD527" i="10"/>
  <c r="Q13" i="11"/>
  <c r="R13" i="11"/>
  <c r="S13" i="11"/>
  <c r="T13" i="11"/>
  <c r="U13" i="11"/>
  <c r="V13" i="11"/>
  <c r="W13" i="11"/>
  <c r="X13" i="11"/>
  <c r="Y13" i="11"/>
  <c r="Z13" i="11"/>
  <c r="AA13" i="11"/>
  <c r="AB13" i="11"/>
  <c r="AC13" i="11"/>
  <c r="AD13" i="11"/>
  <c r="AE13" i="11"/>
  <c r="P13" i="11"/>
  <c r="D13" i="11"/>
  <c r="E13" i="11"/>
  <c r="F13" i="11" a="1"/>
  <c r="F13" i="11" s="1"/>
  <c r="G13" i="11"/>
  <c r="H13" i="11"/>
  <c r="J13" i="11"/>
  <c r="K13" i="11" s="1"/>
  <c r="M13" i="11"/>
  <c r="N13" i="11" s="1"/>
  <c r="O13" i="11"/>
  <c r="Q37" i="11"/>
  <c r="R37" i="11"/>
  <c r="S37" i="11"/>
  <c r="T37" i="11"/>
  <c r="U37" i="11"/>
  <c r="V37" i="11"/>
  <c r="W37" i="11"/>
  <c r="X37" i="11"/>
  <c r="Y37" i="11"/>
  <c r="Z37" i="11"/>
  <c r="AA37" i="11"/>
  <c r="AB37" i="11"/>
  <c r="AC37" i="11"/>
  <c r="AD37" i="11"/>
  <c r="AE37" i="11"/>
  <c r="P37" i="11"/>
  <c r="D37" i="11"/>
  <c r="E37" i="11"/>
  <c r="F37" i="11" a="1"/>
  <c r="F37" i="11" s="1"/>
  <c r="G37" i="11"/>
  <c r="H37" i="11"/>
  <c r="I37" i="11"/>
  <c r="J37" i="11"/>
  <c r="K37" i="11" s="1"/>
  <c r="L37" i="11"/>
  <c r="M37" i="11"/>
  <c r="N37" i="11" s="1"/>
  <c r="O37" i="11"/>
  <c r="AB13" i="13"/>
  <c r="AC13" i="13"/>
  <c r="AD13" i="13"/>
  <c r="AE13" i="13"/>
  <c r="Q10" i="13"/>
  <c r="R10" i="13"/>
  <c r="S10" i="13"/>
  <c r="T10" i="13"/>
  <c r="U10" i="13"/>
  <c r="V10" i="13"/>
  <c r="W10" i="13"/>
  <c r="X10" i="13"/>
  <c r="Y10" i="13"/>
  <c r="Z10" i="13"/>
  <c r="AA10" i="13"/>
  <c r="AB10" i="13"/>
  <c r="AC10" i="13"/>
  <c r="AD10" i="13"/>
  <c r="AE10" i="13"/>
  <c r="P10" i="13"/>
  <c r="D10" i="13"/>
  <c r="E10" i="13"/>
  <c r="F10" i="13" a="1"/>
  <c r="F10" i="13" s="1"/>
  <c r="G10" i="13"/>
  <c r="H10" i="13"/>
  <c r="J10" i="13"/>
  <c r="K10" i="13" s="1"/>
  <c r="M10" i="13"/>
  <c r="N10" i="13" s="1"/>
  <c r="AB26" i="13"/>
  <c r="AC26" i="13"/>
  <c r="AD26" i="13"/>
  <c r="AE26" i="13"/>
  <c r="AG726" i="9"/>
  <c r="AH726" i="9"/>
  <c r="AI726" i="9"/>
  <c r="AJ726" i="9"/>
  <c r="AG727" i="9"/>
  <c r="AH727" i="9"/>
  <c r="AI727" i="9"/>
  <c r="AJ727" i="9"/>
  <c r="AG728" i="9"/>
  <c r="AH728" i="9"/>
  <c r="AI728" i="9"/>
  <c r="AJ728" i="9"/>
  <c r="AG729" i="9"/>
  <c r="AH729" i="9"/>
  <c r="AI729" i="9"/>
  <c r="AJ729" i="9"/>
  <c r="AG730" i="9"/>
  <c r="AH730" i="9"/>
  <c r="AI730" i="9"/>
  <c r="AJ730" i="9"/>
  <c r="AG731" i="9"/>
  <c r="AH731" i="9"/>
  <c r="AI731" i="9"/>
  <c r="AJ731" i="9"/>
  <c r="AG732" i="9"/>
  <c r="AH732" i="9"/>
  <c r="AI732" i="9"/>
  <c r="AJ732" i="9"/>
  <c r="AG733" i="9"/>
  <c r="AH733" i="9"/>
  <c r="AI733" i="9"/>
  <c r="AJ733" i="9"/>
  <c r="AG734" i="9"/>
  <c r="AH734" i="9"/>
  <c r="AI734" i="9"/>
  <c r="AJ734" i="9"/>
  <c r="AG735" i="9"/>
  <c r="AH735" i="9"/>
  <c r="AI735" i="9"/>
  <c r="AJ735" i="9"/>
  <c r="AG736" i="9"/>
  <c r="AH736" i="9"/>
  <c r="AI736" i="9"/>
  <c r="AJ736" i="9"/>
  <c r="AG737" i="9"/>
  <c r="AH737" i="9"/>
  <c r="AI737" i="9"/>
  <c r="AJ737" i="9"/>
  <c r="AG738" i="9"/>
  <c r="AH738" i="9"/>
  <c r="AI738" i="9"/>
  <c r="AJ738" i="9"/>
  <c r="AG22" i="17"/>
  <c r="AH22" i="17"/>
  <c r="AI22" i="17"/>
  <c r="AJ22" i="17"/>
  <c r="AG23" i="17"/>
  <c r="AH23" i="17"/>
  <c r="AI23" i="17"/>
  <c r="AJ23" i="17"/>
  <c r="AG24" i="17"/>
  <c r="AH24" i="17"/>
  <c r="AI24" i="17"/>
  <c r="AJ24" i="17"/>
  <c r="AG25" i="17"/>
  <c r="AH25" i="17"/>
  <c r="AI25" i="17"/>
  <c r="AJ25" i="17"/>
  <c r="AG26" i="17"/>
  <c r="AH26" i="17"/>
  <c r="AI26" i="17"/>
  <c r="AJ26" i="17"/>
  <c r="AG27" i="17"/>
  <c r="AH27" i="17"/>
  <c r="AI27" i="17"/>
  <c r="AJ27" i="17"/>
  <c r="AG28" i="17"/>
  <c r="AH28" i="17"/>
  <c r="AI28" i="17"/>
  <c r="AJ28" i="17"/>
  <c r="AG29" i="17"/>
  <c r="AH29" i="17"/>
  <c r="AI29" i="17"/>
  <c r="AJ29" i="17"/>
  <c r="AG30" i="17"/>
  <c r="AH30" i="17"/>
  <c r="AI30" i="17"/>
  <c r="AJ30" i="17"/>
  <c r="AG31" i="17"/>
  <c r="AH31" i="17"/>
  <c r="AI31" i="17"/>
  <c r="AJ31" i="17"/>
  <c r="AG32" i="17"/>
  <c r="AH32" i="17"/>
  <c r="AI32" i="17"/>
  <c r="AJ32" i="17"/>
  <c r="AG33" i="17"/>
  <c r="AH33" i="17"/>
  <c r="AI33" i="17"/>
  <c r="AJ33" i="17"/>
  <c r="AG34" i="17"/>
  <c r="AH34" i="17"/>
  <c r="AI34" i="17"/>
  <c r="AJ34" i="17"/>
  <c r="AG12" i="17"/>
  <c r="AH12" i="17"/>
  <c r="AI12" i="17"/>
  <c r="AJ12" i="17"/>
  <c r="AG13" i="17"/>
  <c r="AH13" i="17"/>
  <c r="AI13" i="17"/>
  <c r="AJ13" i="17"/>
  <c r="AG14" i="17"/>
  <c r="AH14" i="17"/>
  <c r="AI14" i="17"/>
  <c r="AJ14" i="17"/>
  <c r="AG15" i="17"/>
  <c r="AH15" i="17"/>
  <c r="AI15" i="17"/>
  <c r="AJ15" i="17"/>
  <c r="AG16" i="17"/>
  <c r="AH16" i="17"/>
  <c r="AI16" i="17"/>
  <c r="AJ16" i="17"/>
  <c r="AG17" i="17"/>
  <c r="AH17" i="17"/>
  <c r="AI17" i="17"/>
  <c r="AJ17" i="17"/>
  <c r="AG18" i="17"/>
  <c r="AH18" i="17"/>
  <c r="AI18" i="17"/>
  <c r="AJ18" i="17"/>
  <c r="AG19" i="17"/>
  <c r="AH19" i="17"/>
  <c r="AI19" i="17"/>
  <c r="AJ19" i="17"/>
  <c r="AG20" i="17"/>
  <c r="AH20" i="17"/>
  <c r="AI20" i="17"/>
  <c r="AJ20" i="17"/>
  <c r="AG21" i="17"/>
  <c r="AH21" i="17"/>
  <c r="AI21" i="17"/>
  <c r="AJ21" i="17"/>
  <c r="AG716" i="9"/>
  <c r="AH716" i="9"/>
  <c r="AI716" i="9"/>
  <c r="AJ716" i="9"/>
  <c r="AG717" i="9"/>
  <c r="AH717" i="9"/>
  <c r="AI717" i="9"/>
  <c r="AJ717" i="9"/>
  <c r="AG718" i="9"/>
  <c r="AH718" i="9"/>
  <c r="AI718" i="9"/>
  <c r="AJ718" i="9"/>
  <c r="AG719" i="9"/>
  <c r="AH719" i="9"/>
  <c r="AI719" i="9"/>
  <c r="AJ719" i="9"/>
  <c r="AG720" i="9"/>
  <c r="AH720" i="9"/>
  <c r="AI720" i="9"/>
  <c r="AJ720" i="9"/>
  <c r="AG721" i="9"/>
  <c r="AH721" i="9"/>
  <c r="AI721" i="9"/>
  <c r="AJ721" i="9"/>
  <c r="AG722" i="9"/>
  <c r="AH722" i="9"/>
  <c r="AI722" i="9"/>
  <c r="AJ722" i="9"/>
  <c r="AG723" i="9"/>
  <c r="AH723" i="9"/>
  <c r="AI723" i="9"/>
  <c r="AJ723" i="9"/>
  <c r="AG724" i="9"/>
  <c r="AH724" i="9"/>
  <c r="AI724" i="9"/>
  <c r="AJ724" i="9"/>
  <c r="AG725" i="9"/>
  <c r="AH725" i="9"/>
  <c r="AI725" i="9"/>
  <c r="AJ725" i="9"/>
  <c r="AG2" i="17"/>
  <c r="AH2" i="17"/>
  <c r="AI2" i="17"/>
  <c r="AJ2" i="17"/>
  <c r="AG3" i="17"/>
  <c r="AH3" i="17"/>
  <c r="AI3" i="17"/>
  <c r="AJ3" i="17"/>
  <c r="AG4" i="17"/>
  <c r="AH4" i="17"/>
  <c r="AI4" i="17"/>
  <c r="AJ4" i="17"/>
  <c r="AG5" i="17"/>
  <c r="AH5" i="17"/>
  <c r="AI5" i="17"/>
  <c r="AJ5" i="17"/>
  <c r="AG6" i="17"/>
  <c r="AH6" i="17"/>
  <c r="AI6" i="17"/>
  <c r="AJ6" i="17"/>
  <c r="AG7" i="17"/>
  <c r="AH7" i="17"/>
  <c r="AI7" i="17"/>
  <c r="AJ7" i="17"/>
  <c r="AG8" i="17"/>
  <c r="AH8" i="17"/>
  <c r="AI8" i="17"/>
  <c r="AJ8" i="17"/>
  <c r="AG9" i="17"/>
  <c r="AH9" i="17"/>
  <c r="AI9" i="17"/>
  <c r="AJ9" i="17"/>
  <c r="AG10" i="17"/>
  <c r="AH10" i="17"/>
  <c r="AI10" i="17"/>
  <c r="AJ10" i="17"/>
  <c r="AG11" i="17"/>
  <c r="AH11" i="17"/>
  <c r="AI11" i="17"/>
  <c r="AJ11" i="17"/>
  <c r="AG706" i="9"/>
  <c r="AH706" i="9"/>
  <c r="AI706" i="9"/>
  <c r="AJ706" i="9"/>
  <c r="AG707" i="9"/>
  <c r="AH707" i="9"/>
  <c r="AI707" i="9"/>
  <c r="AJ707" i="9"/>
  <c r="AG708" i="9"/>
  <c r="AH708" i="9"/>
  <c r="AI708" i="9"/>
  <c r="AJ708" i="9"/>
  <c r="AG709" i="9"/>
  <c r="AH709" i="9"/>
  <c r="AI709" i="9"/>
  <c r="AJ709" i="9"/>
  <c r="AG710" i="9"/>
  <c r="AH710" i="9"/>
  <c r="AI710" i="9"/>
  <c r="AJ710" i="9"/>
  <c r="AG711" i="9"/>
  <c r="AH711" i="9"/>
  <c r="AI711" i="9"/>
  <c r="AJ711" i="9"/>
  <c r="AG712" i="9"/>
  <c r="AH712" i="9"/>
  <c r="AI712" i="9"/>
  <c r="AJ712" i="9"/>
  <c r="AG713" i="9"/>
  <c r="AH713" i="9"/>
  <c r="AI713" i="9"/>
  <c r="AJ713" i="9"/>
  <c r="AG714" i="9"/>
  <c r="AH714" i="9"/>
  <c r="AI714" i="9"/>
  <c r="AJ714" i="9"/>
  <c r="AG715" i="9"/>
  <c r="AH715" i="9"/>
  <c r="AI715" i="9"/>
  <c r="AJ715" i="9"/>
  <c r="AA27" i="15"/>
  <c r="AB27" i="15"/>
  <c r="AC27" i="15"/>
  <c r="AD27" i="15"/>
  <c r="AA28" i="15"/>
  <c r="AB28" i="15"/>
  <c r="AC28" i="15"/>
  <c r="AD28" i="15"/>
  <c r="AA29" i="15"/>
  <c r="AB29" i="15"/>
  <c r="AC29" i="15"/>
  <c r="AD29" i="15"/>
  <c r="AA30" i="15"/>
  <c r="AB30" i="15"/>
  <c r="AC30" i="15"/>
  <c r="AD30" i="15"/>
  <c r="AA31" i="15"/>
  <c r="AB31" i="15"/>
  <c r="L26" i="13" s="1"/>
  <c r="AC31" i="15"/>
  <c r="AD31" i="15"/>
  <c r="I26" i="13" s="1"/>
  <c r="AA32" i="15"/>
  <c r="AB32" i="15"/>
  <c r="AC32" i="15"/>
  <c r="AD32" i="15"/>
  <c r="AA33" i="15"/>
  <c r="AB33" i="15"/>
  <c r="AC33" i="15"/>
  <c r="AD33" i="15"/>
  <c r="AA34" i="15"/>
  <c r="AB34" i="15"/>
  <c r="AC34" i="15"/>
  <c r="AD34" i="15"/>
  <c r="AA35" i="15"/>
  <c r="AB35" i="15"/>
  <c r="AC35" i="15"/>
  <c r="AD35" i="15"/>
  <c r="AA36" i="15"/>
  <c r="AB36" i="15"/>
  <c r="AC36" i="15"/>
  <c r="AD36" i="15"/>
  <c r="AA37" i="15"/>
  <c r="AB37" i="15"/>
  <c r="L21" i="13" s="1"/>
  <c r="AC37" i="15"/>
  <c r="O21" i="13" s="1"/>
  <c r="AD37" i="15"/>
  <c r="I21" i="13" s="1"/>
  <c r="AA38" i="15"/>
  <c r="AB38" i="15"/>
  <c r="AC38" i="15"/>
  <c r="AD38" i="15"/>
  <c r="AA39" i="15"/>
  <c r="AB39" i="15"/>
  <c r="AC39" i="15"/>
  <c r="AD39" i="15"/>
  <c r="AA40" i="15"/>
  <c r="AB40" i="15"/>
  <c r="L10" i="13" s="1"/>
  <c r="AC40" i="15"/>
  <c r="O10" i="13" s="1"/>
  <c r="AD40" i="15"/>
  <c r="I10" i="13" s="1"/>
  <c r="AA41" i="15"/>
  <c r="AB41" i="15"/>
  <c r="AC41" i="15"/>
  <c r="AD41" i="15"/>
  <c r="AA528" i="10"/>
  <c r="AB528" i="10"/>
  <c r="AC528" i="10"/>
  <c r="AD528" i="10"/>
  <c r="AA529" i="10"/>
  <c r="AB529" i="10"/>
  <c r="AC529" i="10"/>
  <c r="AD529" i="10"/>
  <c r="AA530" i="10"/>
  <c r="AB530" i="10"/>
  <c r="AC530" i="10"/>
  <c r="AD530" i="10"/>
  <c r="AA531" i="10"/>
  <c r="AB531" i="10"/>
  <c r="AC531" i="10"/>
  <c r="AD531" i="10"/>
  <c r="AA532" i="10"/>
  <c r="AB532" i="10"/>
  <c r="AC532" i="10"/>
  <c r="AD532" i="10"/>
  <c r="AA533" i="10"/>
  <c r="AB533" i="10"/>
  <c r="AC533" i="10"/>
  <c r="AD533" i="10"/>
  <c r="AA534" i="10"/>
  <c r="AB534" i="10"/>
  <c r="AC534" i="10"/>
  <c r="AD534" i="10"/>
  <c r="AA535" i="10"/>
  <c r="AB535" i="10"/>
  <c r="AC535" i="10"/>
  <c r="AD535" i="10"/>
  <c r="AA536" i="10"/>
  <c r="AB536" i="10"/>
  <c r="AC536" i="10"/>
  <c r="AD536" i="10"/>
  <c r="AA537" i="10"/>
  <c r="AB537" i="10"/>
  <c r="AC537" i="10"/>
  <c r="AD537" i="10"/>
  <c r="AA538" i="10"/>
  <c r="AB538" i="10"/>
  <c r="AC538" i="10"/>
  <c r="AD538" i="10"/>
  <c r="AA539" i="10"/>
  <c r="AB539" i="10"/>
  <c r="AC539" i="10"/>
  <c r="AD539" i="10"/>
  <c r="AA540" i="10"/>
  <c r="AB540" i="10"/>
  <c r="AC540" i="10"/>
  <c r="AD540" i="10"/>
  <c r="AA541" i="10"/>
  <c r="AB541" i="10"/>
  <c r="AC541" i="10"/>
  <c r="AD541" i="10"/>
  <c r="AA542" i="10"/>
  <c r="AB542" i="10"/>
  <c r="AC542" i="10"/>
  <c r="AD542" i="10"/>
  <c r="AA14" i="15"/>
  <c r="AB14" i="15"/>
  <c r="AC14" i="15"/>
  <c r="AD14" i="15"/>
  <c r="AA15" i="15"/>
  <c r="AB15" i="15"/>
  <c r="AC15" i="15"/>
  <c r="AD15" i="15"/>
  <c r="AA16" i="15"/>
  <c r="AB16" i="15"/>
  <c r="AC16" i="15"/>
  <c r="AD16" i="15"/>
  <c r="AA17" i="15"/>
  <c r="AB17" i="15"/>
  <c r="AC17" i="15"/>
  <c r="AD17" i="15"/>
  <c r="I30" i="13" s="1"/>
  <c r="AA18" i="15"/>
  <c r="AB18" i="15"/>
  <c r="AC18" i="15"/>
  <c r="AD18" i="15"/>
  <c r="AA19" i="15"/>
  <c r="AB19" i="15"/>
  <c r="AC19" i="15"/>
  <c r="AD19" i="15"/>
  <c r="AA20" i="15"/>
  <c r="AB20" i="15"/>
  <c r="AC20" i="15"/>
  <c r="AD20" i="15"/>
  <c r="AA21" i="15"/>
  <c r="AB21" i="15"/>
  <c r="AC21" i="15"/>
  <c r="AD21" i="15"/>
  <c r="AA22" i="15"/>
  <c r="AB22" i="15"/>
  <c r="AC22" i="15"/>
  <c r="AD22" i="15"/>
  <c r="AA23" i="15"/>
  <c r="AB23" i="15"/>
  <c r="L15" i="13" s="1"/>
  <c r="AC23" i="15"/>
  <c r="O15" i="13" s="1"/>
  <c r="AD23" i="15"/>
  <c r="I15" i="13" s="1"/>
  <c r="AA24" i="15"/>
  <c r="AB24" i="15"/>
  <c r="AC24" i="15"/>
  <c r="AD24" i="15"/>
  <c r="AA25" i="15"/>
  <c r="AB25" i="15"/>
  <c r="L13" i="13" s="1"/>
  <c r="AC25" i="15"/>
  <c r="O13" i="13" s="1"/>
  <c r="AD25" i="15"/>
  <c r="I13" i="13" s="1"/>
  <c r="AA26" i="15"/>
  <c r="AB26" i="15"/>
  <c r="AC26" i="15"/>
  <c r="AD26" i="15"/>
  <c r="AA499" i="10"/>
  <c r="AB499" i="10"/>
  <c r="AC499" i="10"/>
  <c r="AD499" i="10"/>
  <c r="AA500" i="10"/>
  <c r="AB500" i="10"/>
  <c r="AC500" i="10"/>
  <c r="AD500" i="10"/>
  <c r="AA501" i="10"/>
  <c r="AB501" i="10"/>
  <c r="AC501" i="10"/>
  <c r="AD501" i="10"/>
  <c r="AA502" i="10"/>
  <c r="AB502" i="10"/>
  <c r="AC502" i="10"/>
  <c r="AD502" i="10"/>
  <c r="AA503" i="10"/>
  <c r="AB503" i="10"/>
  <c r="AC503" i="10"/>
  <c r="AD503" i="10"/>
  <c r="AA504" i="10"/>
  <c r="AB504" i="10"/>
  <c r="AC504" i="10"/>
  <c r="AD504" i="10"/>
  <c r="AA505" i="10"/>
  <c r="AB505" i="10"/>
  <c r="AC505" i="10"/>
  <c r="AD505" i="10"/>
  <c r="AA506" i="10"/>
  <c r="AB506" i="10"/>
  <c r="AC506" i="10"/>
  <c r="AD506" i="10"/>
  <c r="AA507" i="10"/>
  <c r="AB507" i="10"/>
  <c r="AC507" i="10"/>
  <c r="AD507" i="10"/>
  <c r="AA508" i="10"/>
  <c r="AB508" i="10"/>
  <c r="AC508" i="10"/>
  <c r="AD508" i="10"/>
  <c r="AA509" i="10"/>
  <c r="AB509" i="10"/>
  <c r="AC509" i="10"/>
  <c r="AD509" i="10"/>
  <c r="AA510" i="10"/>
  <c r="AB510" i="10"/>
  <c r="L13" i="11" s="1"/>
  <c r="AC510" i="10"/>
  <c r="AD510" i="10"/>
  <c r="I13" i="11" s="1"/>
  <c r="AA511" i="10"/>
  <c r="AB511" i="10"/>
  <c r="AC511" i="10"/>
  <c r="AD511" i="10"/>
  <c r="AA2" i="15"/>
  <c r="AB2" i="15"/>
  <c r="AC2" i="15"/>
  <c r="AD2" i="15"/>
  <c r="AA3" i="15"/>
  <c r="AB3" i="15"/>
  <c r="AC3" i="15"/>
  <c r="AD3" i="15"/>
  <c r="AA4" i="15"/>
  <c r="AB4" i="15"/>
  <c r="AC4" i="15"/>
  <c r="AD4" i="15"/>
  <c r="AA5" i="15"/>
  <c r="AB5" i="15"/>
  <c r="AC5" i="15"/>
  <c r="AD5" i="15"/>
  <c r="AA6" i="15"/>
  <c r="AB6" i="15"/>
  <c r="L16" i="13" s="1"/>
  <c r="AC6" i="15"/>
  <c r="O16" i="13" s="1"/>
  <c r="AD6" i="15"/>
  <c r="I16" i="13" s="1"/>
  <c r="AA7" i="15"/>
  <c r="AB7" i="15"/>
  <c r="L5" i="13" s="1"/>
  <c r="AC7" i="15"/>
  <c r="AD7" i="15"/>
  <c r="I5" i="13" s="1"/>
  <c r="AA8" i="15"/>
  <c r="AB8" i="15"/>
  <c r="AC8" i="15"/>
  <c r="AD8" i="15"/>
  <c r="AA9" i="15"/>
  <c r="AB9" i="15"/>
  <c r="AC9" i="15"/>
  <c r="AD9" i="15"/>
  <c r="AA10" i="15"/>
  <c r="AB10" i="15"/>
  <c r="AC10" i="15"/>
  <c r="AD10" i="15"/>
  <c r="AA11" i="15"/>
  <c r="AB11" i="15"/>
  <c r="L22" i="13" s="1"/>
  <c r="AC11" i="15"/>
  <c r="O22" i="13" s="1"/>
  <c r="AD11" i="15"/>
  <c r="I22" i="13" s="1"/>
  <c r="AA12" i="15"/>
  <c r="AB12" i="15"/>
  <c r="AC12" i="15"/>
  <c r="AD12" i="15"/>
  <c r="AA13" i="15"/>
  <c r="AB13" i="15"/>
  <c r="AC13" i="15"/>
  <c r="AD13" i="15"/>
  <c r="AA487" i="10"/>
  <c r="AB487" i="10"/>
  <c r="AC487" i="10"/>
  <c r="AD487" i="10"/>
  <c r="AA488" i="10"/>
  <c r="AB488" i="10"/>
  <c r="AC488" i="10"/>
  <c r="AD488" i="10"/>
  <c r="AA489" i="10"/>
  <c r="AB489" i="10"/>
  <c r="AC489" i="10"/>
  <c r="AD489" i="10"/>
  <c r="AA490" i="10"/>
  <c r="AB490" i="10"/>
  <c r="AC490" i="10"/>
  <c r="AD490" i="10"/>
  <c r="AA491" i="10"/>
  <c r="AB491" i="10"/>
  <c r="AC491" i="10"/>
  <c r="AD491" i="10"/>
  <c r="AA492" i="10"/>
  <c r="AB492" i="10"/>
  <c r="AC492" i="10"/>
  <c r="AD492" i="10"/>
  <c r="AA493" i="10"/>
  <c r="AB493" i="10"/>
  <c r="AC493" i="10"/>
  <c r="AD493" i="10"/>
  <c r="AA494" i="10"/>
  <c r="AB494" i="10"/>
  <c r="AC494" i="10"/>
  <c r="AD494" i="10"/>
  <c r="AA495" i="10"/>
  <c r="AB495" i="10"/>
  <c r="AC495" i="10"/>
  <c r="AD495" i="10"/>
  <c r="AA496" i="10"/>
  <c r="AB496" i="10"/>
  <c r="AC496" i="10"/>
  <c r="AD496" i="10"/>
  <c r="AA497" i="10"/>
  <c r="AB497" i="10"/>
  <c r="AC497" i="10"/>
  <c r="AD497" i="10"/>
  <c r="AA498" i="10"/>
  <c r="AB498" i="10"/>
  <c r="AC498" i="10"/>
  <c r="AD498" i="10"/>
  <c r="P2" i="16"/>
  <c r="Q2" i="16"/>
  <c r="R2" i="16"/>
  <c r="S2" i="16"/>
  <c r="T2" i="16"/>
  <c r="U2" i="16"/>
  <c r="V2" i="16"/>
  <c r="W2" i="16"/>
  <c r="X2" i="16"/>
  <c r="Y2" i="16"/>
  <c r="Z2" i="16"/>
  <c r="AA2" i="16"/>
  <c r="AB2" i="16"/>
  <c r="AC2" i="16"/>
  <c r="AD2" i="16"/>
  <c r="AE2" i="16"/>
  <c r="AF2" i="16"/>
  <c r="AG2" i="16"/>
  <c r="AH2" i="16"/>
  <c r="AI2" i="16"/>
  <c r="AJ2" i="16"/>
  <c r="P3" i="16"/>
  <c r="Q3" i="16"/>
  <c r="R3" i="16"/>
  <c r="S3" i="16"/>
  <c r="T3" i="16"/>
  <c r="U3" i="16"/>
  <c r="V3" i="16"/>
  <c r="W3" i="16"/>
  <c r="X3" i="16"/>
  <c r="Y3" i="16"/>
  <c r="Z3" i="16"/>
  <c r="AA3" i="16"/>
  <c r="AB3" i="16"/>
  <c r="AC3" i="16"/>
  <c r="AD3" i="16"/>
  <c r="AE3" i="16"/>
  <c r="AF3" i="16"/>
  <c r="AG3" i="16"/>
  <c r="AH3" i="16"/>
  <c r="AI3" i="16"/>
  <c r="AJ3" i="16"/>
  <c r="P4" i="16"/>
  <c r="Q4" i="16"/>
  <c r="R4" i="16"/>
  <c r="S4" i="16"/>
  <c r="T4" i="16"/>
  <c r="U4" i="16"/>
  <c r="V4" i="16"/>
  <c r="W4" i="16"/>
  <c r="X4" i="16"/>
  <c r="Y4" i="16"/>
  <c r="Z4" i="16"/>
  <c r="AA4" i="16"/>
  <c r="AB4" i="16"/>
  <c r="AC4" i="16"/>
  <c r="AD4" i="16"/>
  <c r="AE4" i="16"/>
  <c r="AF4" i="16"/>
  <c r="AG4" i="16"/>
  <c r="AH4" i="16"/>
  <c r="AI4" i="16"/>
  <c r="AJ4" i="16"/>
  <c r="P5" i="16"/>
  <c r="Q5" i="16"/>
  <c r="R5" i="16"/>
  <c r="S5" i="16"/>
  <c r="T5" i="16"/>
  <c r="U5" i="16"/>
  <c r="V5" i="16"/>
  <c r="W5" i="16"/>
  <c r="X5" i="16"/>
  <c r="Y5" i="16"/>
  <c r="Z5" i="16"/>
  <c r="AA5" i="16"/>
  <c r="AB5" i="16"/>
  <c r="AC5" i="16"/>
  <c r="AD5" i="16"/>
  <c r="AE5" i="16"/>
  <c r="AF5" i="16"/>
  <c r="AG5" i="16"/>
  <c r="AH5" i="16"/>
  <c r="AI5" i="16"/>
  <c r="AJ5" i="16"/>
  <c r="P6" i="16"/>
  <c r="Q6" i="16"/>
  <c r="R6" i="16"/>
  <c r="S6" i="16"/>
  <c r="T6" i="16"/>
  <c r="U6" i="16"/>
  <c r="V6" i="16"/>
  <c r="W6" i="16"/>
  <c r="X6" i="16"/>
  <c r="Y6" i="16"/>
  <c r="Z6" i="16"/>
  <c r="AA6" i="16"/>
  <c r="AB6" i="16"/>
  <c r="AC6" i="16"/>
  <c r="AD6" i="16"/>
  <c r="AE6" i="16"/>
  <c r="AF6" i="16"/>
  <c r="AG6" i="16"/>
  <c r="AH6" i="16"/>
  <c r="AI6" i="16"/>
  <c r="AJ6" i="16"/>
  <c r="P7" i="16"/>
  <c r="Q7" i="16"/>
  <c r="R7" i="16"/>
  <c r="S7" i="16"/>
  <c r="T7" i="16"/>
  <c r="U7" i="16"/>
  <c r="V7" i="16"/>
  <c r="W7" i="16"/>
  <c r="X7" i="16"/>
  <c r="Y7" i="16"/>
  <c r="Z7" i="16"/>
  <c r="AA7" i="16"/>
  <c r="AB7" i="16"/>
  <c r="AC7" i="16"/>
  <c r="AD7" i="16"/>
  <c r="AE7" i="16"/>
  <c r="AF7" i="16"/>
  <c r="AG7" i="16"/>
  <c r="AH7" i="16"/>
  <c r="AI7" i="16"/>
  <c r="AJ7" i="16"/>
  <c r="P8" i="16"/>
  <c r="Q8" i="16"/>
  <c r="R8" i="16"/>
  <c r="S8" i="16"/>
  <c r="T8" i="16"/>
  <c r="U8" i="16"/>
  <c r="V8" i="16"/>
  <c r="W8" i="16"/>
  <c r="X8" i="16"/>
  <c r="Y8" i="16"/>
  <c r="Z8" i="16"/>
  <c r="AA8" i="16"/>
  <c r="AB8" i="16"/>
  <c r="AC8" i="16"/>
  <c r="AD8" i="16"/>
  <c r="AE8" i="16"/>
  <c r="AF8" i="16"/>
  <c r="AG8" i="16"/>
  <c r="AH8" i="16"/>
  <c r="AI8" i="16"/>
  <c r="AJ8" i="16"/>
  <c r="P9" i="16"/>
  <c r="Q9" i="16"/>
  <c r="R9" i="16"/>
  <c r="S9" i="16"/>
  <c r="T9" i="16"/>
  <c r="U9" i="16"/>
  <c r="V9" i="16"/>
  <c r="W9" i="16"/>
  <c r="X9" i="16"/>
  <c r="Y9" i="16"/>
  <c r="Z9" i="16"/>
  <c r="AA9" i="16"/>
  <c r="AB9" i="16"/>
  <c r="AC9" i="16"/>
  <c r="AD9" i="16"/>
  <c r="AE9" i="16"/>
  <c r="AF9" i="16"/>
  <c r="AG9" i="16"/>
  <c r="AH9" i="16"/>
  <c r="AI9" i="16"/>
  <c r="AJ9" i="16"/>
  <c r="P10" i="16"/>
  <c r="Q10" i="16"/>
  <c r="R10" i="16"/>
  <c r="S10" i="16"/>
  <c r="T10" i="16"/>
  <c r="U10" i="16"/>
  <c r="V10" i="16"/>
  <c r="W10" i="16"/>
  <c r="X10" i="16"/>
  <c r="Y10" i="16"/>
  <c r="Z10" i="16"/>
  <c r="AA10" i="16"/>
  <c r="AB10" i="16"/>
  <c r="AC10" i="16"/>
  <c r="AD10" i="16"/>
  <c r="AE10" i="16"/>
  <c r="AF10" i="16"/>
  <c r="AG10" i="16"/>
  <c r="AH10" i="16"/>
  <c r="AI10" i="16"/>
  <c r="AJ10" i="16"/>
  <c r="P11" i="16"/>
  <c r="Q11" i="16"/>
  <c r="R11" i="16"/>
  <c r="S11" i="16"/>
  <c r="T11" i="16"/>
  <c r="U11" i="16"/>
  <c r="V11" i="16"/>
  <c r="W11" i="16"/>
  <c r="X11" i="16"/>
  <c r="Y11" i="16"/>
  <c r="Z11" i="16"/>
  <c r="AA11" i="16"/>
  <c r="AB11" i="16"/>
  <c r="AC11" i="16"/>
  <c r="AD11" i="16"/>
  <c r="AE11" i="16"/>
  <c r="AF11" i="16"/>
  <c r="AG11" i="16"/>
  <c r="AH11" i="16"/>
  <c r="AI11" i="16"/>
  <c r="AJ11" i="16"/>
  <c r="P12" i="16"/>
  <c r="Q12" i="16"/>
  <c r="R12" i="16"/>
  <c r="S12" i="16"/>
  <c r="T12" i="16"/>
  <c r="U12" i="16"/>
  <c r="V12" i="16"/>
  <c r="W12" i="16"/>
  <c r="X12" i="16"/>
  <c r="Y12" i="16"/>
  <c r="Z12" i="16"/>
  <c r="AA12" i="16"/>
  <c r="AB12" i="16"/>
  <c r="AC12" i="16"/>
  <c r="AD12" i="16"/>
  <c r="AE12" i="16"/>
  <c r="AF12" i="16"/>
  <c r="AG12" i="16"/>
  <c r="AH12" i="16"/>
  <c r="AI12" i="16"/>
  <c r="AJ12" i="16"/>
  <c r="P13" i="16"/>
  <c r="Q13" i="16"/>
  <c r="R13" i="16"/>
  <c r="S13" i="16"/>
  <c r="T13" i="16"/>
  <c r="U13" i="16"/>
  <c r="V13" i="16"/>
  <c r="W13" i="16"/>
  <c r="X13" i="16"/>
  <c r="Y13" i="16"/>
  <c r="Z13" i="16"/>
  <c r="AA13" i="16"/>
  <c r="AB13" i="16"/>
  <c r="AC13" i="16"/>
  <c r="AD13" i="16"/>
  <c r="AE13" i="16"/>
  <c r="AF13" i="16"/>
  <c r="AG13" i="16"/>
  <c r="AH13" i="16"/>
  <c r="AI13" i="16"/>
  <c r="AJ13" i="16"/>
  <c r="P14" i="16"/>
  <c r="Q14" i="16"/>
  <c r="R14" i="16"/>
  <c r="S14" i="16"/>
  <c r="T14" i="16"/>
  <c r="U14" i="16"/>
  <c r="V14" i="16"/>
  <c r="W14" i="16"/>
  <c r="X14" i="16"/>
  <c r="Y14" i="16"/>
  <c r="Z14" i="16"/>
  <c r="AA14" i="16"/>
  <c r="AB14" i="16"/>
  <c r="AC14" i="16"/>
  <c r="AD14" i="16"/>
  <c r="AE14" i="16"/>
  <c r="AF14" i="16"/>
  <c r="AG14" i="16"/>
  <c r="AH14" i="16"/>
  <c r="AI14" i="16"/>
  <c r="AJ14" i="16"/>
  <c r="P15" i="16"/>
  <c r="Q15" i="16"/>
  <c r="R15" i="16"/>
  <c r="S15" i="16"/>
  <c r="T15" i="16"/>
  <c r="U15" i="16"/>
  <c r="V15" i="16"/>
  <c r="W15" i="16"/>
  <c r="X15" i="16"/>
  <c r="Y15" i="16"/>
  <c r="Z15" i="16"/>
  <c r="AA15" i="16"/>
  <c r="AB15" i="16"/>
  <c r="AC15" i="16"/>
  <c r="AD15" i="16"/>
  <c r="AE15" i="16"/>
  <c r="AF15" i="16"/>
  <c r="AG15" i="16"/>
  <c r="AH15" i="16"/>
  <c r="AI15" i="16"/>
  <c r="AJ15" i="16"/>
  <c r="P16" i="16"/>
  <c r="Q16" i="16"/>
  <c r="R16" i="16"/>
  <c r="S16" i="16"/>
  <c r="T16" i="16"/>
  <c r="U16" i="16"/>
  <c r="V16" i="16"/>
  <c r="W16" i="16"/>
  <c r="X16" i="16"/>
  <c r="Y16" i="16"/>
  <c r="Z16" i="16"/>
  <c r="AA16" i="16"/>
  <c r="AB16" i="16"/>
  <c r="AC16" i="16"/>
  <c r="AD16" i="16"/>
  <c r="AE16" i="16"/>
  <c r="AF16" i="16"/>
  <c r="AG16" i="16"/>
  <c r="AH16" i="16"/>
  <c r="AI16" i="16"/>
  <c r="AJ16" i="16"/>
  <c r="P17" i="16"/>
  <c r="Q17" i="16"/>
  <c r="R17" i="16"/>
  <c r="S17" i="16"/>
  <c r="T17" i="16"/>
  <c r="U17" i="16"/>
  <c r="V17" i="16"/>
  <c r="W17" i="16"/>
  <c r="X17" i="16"/>
  <c r="Y17" i="16"/>
  <c r="Z17" i="16"/>
  <c r="AA17" i="16"/>
  <c r="AB17" i="16"/>
  <c r="AC17" i="16"/>
  <c r="AD17" i="16"/>
  <c r="AE17" i="16"/>
  <c r="AF17" i="16"/>
  <c r="AG17" i="16"/>
  <c r="AH17" i="16"/>
  <c r="AI17" i="16"/>
  <c r="AJ17" i="16"/>
  <c r="P18" i="16"/>
  <c r="Q18" i="16"/>
  <c r="R18" i="16"/>
  <c r="S18" i="16"/>
  <c r="T18" i="16"/>
  <c r="U18" i="16"/>
  <c r="V18" i="16"/>
  <c r="W18" i="16"/>
  <c r="X18" i="16"/>
  <c r="Y18" i="16"/>
  <c r="Z18" i="16"/>
  <c r="AA18" i="16"/>
  <c r="AB18" i="16"/>
  <c r="AC18" i="16"/>
  <c r="AD18" i="16"/>
  <c r="AE18" i="16"/>
  <c r="AF18" i="16"/>
  <c r="AG18" i="16"/>
  <c r="AH18" i="16"/>
  <c r="AI18" i="16"/>
  <c r="AJ18" i="16"/>
  <c r="P19" i="16"/>
  <c r="Q19" i="16"/>
  <c r="R19" i="16"/>
  <c r="S19" i="16"/>
  <c r="T19" i="16"/>
  <c r="U19" i="16"/>
  <c r="V19" i="16"/>
  <c r="W19" i="16"/>
  <c r="X19" i="16"/>
  <c r="Y19" i="16"/>
  <c r="Z19" i="16"/>
  <c r="AA19" i="16"/>
  <c r="AB19" i="16"/>
  <c r="AC19" i="16"/>
  <c r="AD19" i="16"/>
  <c r="AE19" i="16"/>
  <c r="AF19" i="16"/>
  <c r="AG19" i="16"/>
  <c r="AH19" i="16"/>
  <c r="AI19" i="16"/>
  <c r="AJ19" i="16"/>
  <c r="P20" i="16"/>
  <c r="Q20" i="16"/>
  <c r="R20" i="16"/>
  <c r="S20" i="16"/>
  <c r="T20" i="16"/>
  <c r="U20" i="16"/>
  <c r="V20" i="16"/>
  <c r="W20" i="16"/>
  <c r="X20" i="16"/>
  <c r="Y20" i="16"/>
  <c r="Z20" i="16"/>
  <c r="AA20" i="16"/>
  <c r="AB20" i="16"/>
  <c r="AC20" i="16"/>
  <c r="AD20" i="16"/>
  <c r="AE20" i="16"/>
  <c r="AF20" i="16"/>
  <c r="AG20" i="16"/>
  <c r="AH20" i="16"/>
  <c r="AI20" i="16"/>
  <c r="AJ20" i="16"/>
  <c r="P21" i="16"/>
  <c r="Q21" i="16"/>
  <c r="R21" i="16"/>
  <c r="S21" i="16"/>
  <c r="T21" i="16"/>
  <c r="U21" i="16"/>
  <c r="V21" i="16"/>
  <c r="W21" i="16"/>
  <c r="X21" i="16"/>
  <c r="Y21" i="16"/>
  <c r="Z21" i="16"/>
  <c r="AA21" i="16"/>
  <c r="AB21" i="16"/>
  <c r="AC21" i="16"/>
  <c r="AD21" i="16"/>
  <c r="AE21" i="16"/>
  <c r="AF21" i="16"/>
  <c r="AG21" i="16"/>
  <c r="AH21" i="16"/>
  <c r="AI21" i="16"/>
  <c r="AJ21" i="16"/>
  <c r="P22" i="16"/>
  <c r="Q22" i="16"/>
  <c r="R22" i="16"/>
  <c r="S22" i="16"/>
  <c r="T22" i="16"/>
  <c r="U22" i="16"/>
  <c r="V22" i="16"/>
  <c r="W22" i="16"/>
  <c r="X22" i="16"/>
  <c r="Y22" i="16"/>
  <c r="Z22" i="16"/>
  <c r="AA22" i="16"/>
  <c r="AB22" i="16"/>
  <c r="AC22" i="16"/>
  <c r="AD22" i="16"/>
  <c r="AE22" i="16"/>
  <c r="AF22" i="16"/>
  <c r="AG22" i="16"/>
  <c r="AH22" i="16"/>
  <c r="AI22" i="16"/>
  <c r="AJ22" i="16"/>
  <c r="P23" i="16"/>
  <c r="Q23" i="16"/>
  <c r="R23" i="16"/>
  <c r="S23" i="16"/>
  <c r="T23" i="16"/>
  <c r="U23" i="16"/>
  <c r="V23" i="16"/>
  <c r="W23" i="16"/>
  <c r="X23" i="16"/>
  <c r="Y23" i="16"/>
  <c r="Z23" i="16"/>
  <c r="AA23" i="16"/>
  <c r="AB23" i="16"/>
  <c r="AC23" i="16"/>
  <c r="AD23" i="16"/>
  <c r="AE23" i="16"/>
  <c r="AF23" i="16"/>
  <c r="AG23" i="16"/>
  <c r="AH23" i="16"/>
  <c r="AI23" i="16"/>
  <c r="AJ23" i="16"/>
  <c r="P24" i="16"/>
  <c r="Q24" i="16"/>
  <c r="R24" i="16"/>
  <c r="S24" i="16"/>
  <c r="T24" i="16"/>
  <c r="U24" i="16"/>
  <c r="V24" i="16"/>
  <c r="W24" i="16"/>
  <c r="X24" i="16"/>
  <c r="Y24" i="16"/>
  <c r="Z24" i="16"/>
  <c r="AA24" i="16"/>
  <c r="AB24" i="16"/>
  <c r="AC24" i="16"/>
  <c r="AD24" i="16"/>
  <c r="AE24" i="16"/>
  <c r="AF24" i="16"/>
  <c r="AG24" i="16"/>
  <c r="AH24" i="16"/>
  <c r="AI24" i="16"/>
  <c r="AJ24" i="16"/>
  <c r="O24" i="16"/>
  <c r="O23" i="16"/>
  <c r="O22" i="16"/>
  <c r="O21" i="16"/>
  <c r="O20" i="16"/>
  <c r="O19" i="16"/>
  <c r="O18" i="16"/>
  <c r="O17" i="16"/>
  <c r="O16" i="16"/>
  <c r="O15" i="16"/>
  <c r="O14" i="16"/>
  <c r="O13" i="16"/>
  <c r="O12" i="16"/>
  <c r="O11" i="16"/>
  <c r="O10" i="16"/>
  <c r="O9" i="16"/>
  <c r="O8" i="16"/>
  <c r="O7" i="16"/>
  <c r="O6" i="16"/>
  <c r="O5" i="16"/>
  <c r="O4" i="16"/>
  <c r="O3" i="16"/>
  <c r="O2" i="16"/>
  <c r="N3" i="16"/>
  <c r="N4" i="16"/>
  <c r="N5" i="16"/>
  <c r="N6" i="16"/>
  <c r="N8" i="16"/>
  <c r="N9" i="16"/>
  <c r="N10" i="16"/>
  <c r="N11" i="16"/>
  <c r="N12" i="16"/>
  <c r="N13" i="16"/>
  <c r="N14" i="16"/>
  <c r="N15" i="16"/>
  <c r="N16" i="16"/>
  <c r="N17" i="16"/>
  <c r="N18" i="16"/>
  <c r="N19" i="16"/>
  <c r="N20" i="16"/>
  <c r="N21" i="16"/>
  <c r="N22" i="16"/>
  <c r="N23" i="16"/>
  <c r="N24" i="16"/>
  <c r="N2" i="16"/>
  <c r="L3" i="16"/>
  <c r="M3" i="16" s="1"/>
  <c r="L4" i="16"/>
  <c r="M4" i="16" s="1"/>
  <c r="L5" i="16"/>
  <c r="M5" i="16" s="1"/>
  <c r="L6" i="16"/>
  <c r="M6" i="16" s="1"/>
  <c r="L7" i="16"/>
  <c r="M7" i="16" s="1"/>
  <c r="L8" i="16"/>
  <c r="M8" i="16" s="1"/>
  <c r="L9" i="16"/>
  <c r="M9" i="16" s="1"/>
  <c r="L10" i="16"/>
  <c r="M10" i="16" s="1"/>
  <c r="L11" i="16"/>
  <c r="M11" i="16" s="1"/>
  <c r="L12" i="16"/>
  <c r="M12" i="16" s="1"/>
  <c r="L13" i="16"/>
  <c r="M13" i="16" s="1"/>
  <c r="L14" i="16"/>
  <c r="M14" i="16" s="1"/>
  <c r="L15" i="16"/>
  <c r="M15" i="16" s="1"/>
  <c r="L16" i="16"/>
  <c r="M16" i="16" s="1"/>
  <c r="L17" i="16"/>
  <c r="M17" i="16" s="1"/>
  <c r="L18" i="16"/>
  <c r="M18" i="16" s="1"/>
  <c r="L19" i="16"/>
  <c r="M19" i="16" s="1"/>
  <c r="L20" i="16"/>
  <c r="M20" i="16" s="1"/>
  <c r="L21" i="16"/>
  <c r="M21" i="16" s="1"/>
  <c r="L22" i="16"/>
  <c r="M22" i="16" s="1"/>
  <c r="L23" i="16"/>
  <c r="M23" i="16" s="1"/>
  <c r="L24" i="16"/>
  <c r="M24" i="16" s="1"/>
  <c r="L2" i="16"/>
  <c r="M2" i="16" s="1"/>
  <c r="K3" i="16"/>
  <c r="K4" i="16"/>
  <c r="K5" i="16"/>
  <c r="K6" i="16"/>
  <c r="K8" i="16"/>
  <c r="K9" i="16"/>
  <c r="K10" i="16"/>
  <c r="K11" i="16"/>
  <c r="K12" i="16"/>
  <c r="K13" i="16"/>
  <c r="K14" i="16"/>
  <c r="K15" i="16"/>
  <c r="K16" i="16"/>
  <c r="K17" i="16"/>
  <c r="K18" i="16"/>
  <c r="K19" i="16"/>
  <c r="K20" i="16"/>
  <c r="K21" i="16"/>
  <c r="K22" i="16"/>
  <c r="K23" i="16"/>
  <c r="K24" i="16"/>
  <c r="K2" i="16"/>
  <c r="I3" i="16"/>
  <c r="J3" i="16" s="1"/>
  <c r="I4" i="16"/>
  <c r="J4" i="16" s="1"/>
  <c r="I5" i="16"/>
  <c r="J5" i="16" s="1"/>
  <c r="I6" i="16"/>
  <c r="J6" i="16" s="1"/>
  <c r="I7" i="16"/>
  <c r="J7" i="16" s="1"/>
  <c r="I8" i="16"/>
  <c r="J8" i="16" s="1"/>
  <c r="I9" i="16"/>
  <c r="J9" i="16" s="1"/>
  <c r="I10" i="16"/>
  <c r="J10" i="16" s="1"/>
  <c r="I11" i="16"/>
  <c r="J11" i="16" s="1"/>
  <c r="I12" i="16"/>
  <c r="J12" i="16" s="1"/>
  <c r="I13" i="16"/>
  <c r="J13" i="16" s="1"/>
  <c r="I14" i="16"/>
  <c r="J14" i="16" s="1"/>
  <c r="I15" i="16"/>
  <c r="J15" i="16" s="1"/>
  <c r="I16" i="16"/>
  <c r="J16" i="16" s="1"/>
  <c r="I17" i="16"/>
  <c r="J17" i="16" s="1"/>
  <c r="I18" i="16"/>
  <c r="J18" i="16" s="1"/>
  <c r="I19" i="16"/>
  <c r="J19" i="16" s="1"/>
  <c r="I20" i="16"/>
  <c r="J20" i="16" s="1"/>
  <c r="I21" i="16"/>
  <c r="J21" i="16" s="1"/>
  <c r="I22" i="16"/>
  <c r="J22" i="16" s="1"/>
  <c r="I23" i="16"/>
  <c r="J23" i="16" s="1"/>
  <c r="I24" i="16"/>
  <c r="J24" i="16" s="1"/>
  <c r="I2" i="16"/>
  <c r="J2" i="16" s="1"/>
  <c r="H3" i="16"/>
  <c r="H4" i="16"/>
  <c r="H5" i="16"/>
  <c r="H6" i="16"/>
  <c r="H8" i="16"/>
  <c r="H9" i="16"/>
  <c r="H10" i="16"/>
  <c r="H11" i="16"/>
  <c r="H12" i="16"/>
  <c r="H13" i="16"/>
  <c r="H14" i="16"/>
  <c r="H15" i="16"/>
  <c r="H16" i="16"/>
  <c r="H17" i="16"/>
  <c r="H18" i="16"/>
  <c r="H19" i="16"/>
  <c r="H20" i="16"/>
  <c r="H21" i="16"/>
  <c r="H22" i="16"/>
  <c r="H23" i="16"/>
  <c r="H24" i="16"/>
  <c r="H2" i="16"/>
  <c r="G3" i="16"/>
  <c r="G4" i="16"/>
  <c r="G5" i="16"/>
  <c r="G6" i="16"/>
  <c r="G7" i="16"/>
  <c r="G8" i="16"/>
  <c r="G9" i="16"/>
  <c r="G10" i="16"/>
  <c r="G11" i="16"/>
  <c r="G12" i="16"/>
  <c r="G13" i="16"/>
  <c r="G14" i="16"/>
  <c r="G15" i="16"/>
  <c r="G16" i="16"/>
  <c r="G17" i="16"/>
  <c r="G18" i="16"/>
  <c r="G19" i="16"/>
  <c r="G20" i="16"/>
  <c r="G21" i="16"/>
  <c r="G22" i="16"/>
  <c r="G23" i="16"/>
  <c r="G24" i="16"/>
  <c r="G2" i="16"/>
  <c r="F3" i="16"/>
  <c r="F4" i="16"/>
  <c r="F5" i="16"/>
  <c r="F6" i="16"/>
  <c r="F7" i="16"/>
  <c r="F8" i="16"/>
  <c r="F9" i="16"/>
  <c r="F10" i="16"/>
  <c r="F11" i="16"/>
  <c r="F12" i="16"/>
  <c r="F13" i="16"/>
  <c r="F14" i="16"/>
  <c r="F15" i="16"/>
  <c r="F16" i="16"/>
  <c r="F17" i="16"/>
  <c r="F18" i="16"/>
  <c r="F19" i="16"/>
  <c r="F20" i="16"/>
  <c r="F21" i="16"/>
  <c r="F22" i="16"/>
  <c r="F23" i="16"/>
  <c r="F24" i="16"/>
  <c r="F2" i="16"/>
  <c r="E3" i="16" a="1"/>
  <c r="E3" i="16" s="1"/>
  <c r="E4" i="16" a="1"/>
  <c r="E4" i="16" s="1"/>
  <c r="E5" i="16" a="1"/>
  <c r="E5" i="16" s="1"/>
  <c r="E6" i="16" a="1"/>
  <c r="E6" i="16" s="1"/>
  <c r="E7" i="16" a="1"/>
  <c r="E7" i="16" s="1"/>
  <c r="E8" i="16" a="1"/>
  <c r="E8" i="16" s="1"/>
  <c r="E9" i="16" a="1"/>
  <c r="E9" i="16" s="1"/>
  <c r="E10" i="16" a="1"/>
  <c r="E10" i="16" s="1"/>
  <c r="E11" i="16" a="1"/>
  <c r="E11" i="16" s="1"/>
  <c r="E12" i="16" a="1"/>
  <c r="E12" i="16" s="1"/>
  <c r="E13" i="16" a="1"/>
  <c r="E13" i="16" s="1"/>
  <c r="E14" i="16" a="1"/>
  <c r="E14" i="16" s="1"/>
  <c r="E15" i="16" a="1"/>
  <c r="E15" i="16" s="1"/>
  <c r="E16" i="16" a="1"/>
  <c r="E16" i="16" s="1"/>
  <c r="E17" i="16" a="1"/>
  <c r="E17" i="16" s="1"/>
  <c r="E18" i="16" a="1"/>
  <c r="E18" i="16" s="1"/>
  <c r="E19" i="16" a="1"/>
  <c r="E19" i="16" s="1"/>
  <c r="E20" i="16" a="1"/>
  <c r="E20" i="16" s="1"/>
  <c r="E21" i="16" a="1"/>
  <c r="E21" i="16" s="1"/>
  <c r="E22" i="16" a="1"/>
  <c r="E22" i="16" s="1"/>
  <c r="E23" i="16" a="1"/>
  <c r="E23" i="16" s="1"/>
  <c r="E24" i="16" a="1"/>
  <c r="E24" i="16" s="1"/>
  <c r="E2" i="16" a="1"/>
  <c r="E2" i="16" s="1"/>
  <c r="D3" i="16"/>
  <c r="D4" i="16"/>
  <c r="D5" i="16"/>
  <c r="D6" i="16"/>
  <c r="D7" i="16"/>
  <c r="D8" i="16"/>
  <c r="D9" i="16"/>
  <c r="D10" i="16"/>
  <c r="D11" i="16"/>
  <c r="D12" i="16"/>
  <c r="D13" i="16"/>
  <c r="D14" i="16"/>
  <c r="D15" i="16"/>
  <c r="D16" i="16"/>
  <c r="D17" i="16"/>
  <c r="D18" i="16"/>
  <c r="D19" i="16"/>
  <c r="D20" i="16"/>
  <c r="D21" i="16"/>
  <c r="D22" i="16"/>
  <c r="D23" i="16"/>
  <c r="D24" i="16"/>
  <c r="D2" i="16"/>
  <c r="C3" i="16"/>
  <c r="C4" i="16"/>
  <c r="C5" i="16"/>
  <c r="C6" i="16"/>
  <c r="C7" i="16"/>
  <c r="C8" i="16"/>
  <c r="C9" i="16"/>
  <c r="C10" i="16"/>
  <c r="C11" i="16"/>
  <c r="C12" i="16"/>
  <c r="C13" i="16"/>
  <c r="C14" i="16"/>
  <c r="C15" i="16"/>
  <c r="C16" i="16"/>
  <c r="C17" i="16"/>
  <c r="C18" i="16"/>
  <c r="C19" i="16"/>
  <c r="C20" i="16"/>
  <c r="C21" i="16"/>
  <c r="C22" i="16"/>
  <c r="C23" i="16"/>
  <c r="C24" i="16"/>
  <c r="C2" i="16"/>
  <c r="H7" i="16"/>
  <c r="N7" i="16"/>
  <c r="K7" i="16"/>
  <c r="Q4" i="13"/>
  <c r="R4" i="13"/>
  <c r="S4" i="13"/>
  <c r="T4" i="13"/>
  <c r="U4" i="13"/>
  <c r="V4" i="13"/>
  <c r="W4" i="13"/>
  <c r="X4" i="13"/>
  <c r="Y4" i="13"/>
  <c r="Z4" i="13"/>
  <c r="AA4" i="13"/>
  <c r="AB4" i="13"/>
  <c r="AC4" i="13"/>
  <c r="AD4" i="13"/>
  <c r="AE4" i="13"/>
  <c r="Q5" i="13"/>
  <c r="R5" i="13"/>
  <c r="S5" i="13"/>
  <c r="T5" i="13"/>
  <c r="U5" i="13"/>
  <c r="V5" i="13"/>
  <c r="W5" i="13"/>
  <c r="X5" i="13"/>
  <c r="Y5" i="13"/>
  <c r="Z5" i="13"/>
  <c r="AA5" i="13"/>
  <c r="AB5" i="13"/>
  <c r="AC5" i="13"/>
  <c r="AD5" i="13"/>
  <c r="AE5" i="13"/>
  <c r="Q6" i="13"/>
  <c r="R6" i="13"/>
  <c r="S6" i="13"/>
  <c r="T6" i="13"/>
  <c r="U6" i="13"/>
  <c r="V6" i="13"/>
  <c r="W6" i="13"/>
  <c r="X6" i="13"/>
  <c r="Y6" i="13"/>
  <c r="Z6" i="13"/>
  <c r="AA6" i="13"/>
  <c r="AB6" i="13"/>
  <c r="AC6" i="13"/>
  <c r="AD6" i="13"/>
  <c r="AE6" i="13"/>
  <c r="Q8" i="13"/>
  <c r="R8" i="13"/>
  <c r="S8" i="13"/>
  <c r="T8" i="13"/>
  <c r="U8" i="13"/>
  <c r="V8" i="13"/>
  <c r="W8" i="13"/>
  <c r="X8" i="13"/>
  <c r="Y8" i="13"/>
  <c r="Z8" i="13"/>
  <c r="AA8" i="13"/>
  <c r="AB8" i="13"/>
  <c r="AC8" i="13"/>
  <c r="AD8" i="13"/>
  <c r="AE8" i="13"/>
  <c r="AB14" i="13"/>
  <c r="AC14" i="13"/>
  <c r="AD14" i="13"/>
  <c r="AE14" i="13"/>
  <c r="AB15" i="13"/>
  <c r="AC15" i="13"/>
  <c r="AD15" i="13"/>
  <c r="AE15" i="13"/>
  <c r="AB16" i="13"/>
  <c r="AC16" i="13"/>
  <c r="AD16" i="13"/>
  <c r="AE16" i="13"/>
  <c r="AB18" i="13"/>
  <c r="AC18" i="13"/>
  <c r="AD18" i="13"/>
  <c r="AE18" i="13"/>
  <c r="AB21" i="13"/>
  <c r="AC21" i="13"/>
  <c r="AD21" i="13"/>
  <c r="AE21" i="13"/>
  <c r="AB22" i="13"/>
  <c r="AC22" i="13"/>
  <c r="AD22" i="13"/>
  <c r="AE22" i="13"/>
  <c r="AB23" i="13"/>
  <c r="AC23" i="13"/>
  <c r="AD23" i="13"/>
  <c r="AE23" i="13"/>
  <c r="AB24" i="13"/>
  <c r="AC24" i="13"/>
  <c r="AD24" i="13"/>
  <c r="AE24" i="13"/>
  <c r="AB25" i="13"/>
  <c r="AC25" i="13"/>
  <c r="AD25" i="13"/>
  <c r="AE25" i="13"/>
  <c r="AB27" i="13"/>
  <c r="AC27" i="13"/>
  <c r="AD27" i="13"/>
  <c r="AE27" i="13"/>
  <c r="AB28" i="13"/>
  <c r="AC28" i="13"/>
  <c r="AD28" i="13"/>
  <c r="AE28" i="13"/>
  <c r="AB29" i="13"/>
  <c r="AC29" i="13"/>
  <c r="AD29" i="13"/>
  <c r="AE29" i="13"/>
  <c r="Q30" i="13"/>
  <c r="R30" i="13"/>
  <c r="S30" i="13"/>
  <c r="T30" i="13"/>
  <c r="U30" i="13"/>
  <c r="V30" i="13"/>
  <c r="W30" i="13"/>
  <c r="X30" i="13"/>
  <c r="Y30" i="13"/>
  <c r="Z30" i="13"/>
  <c r="AA30" i="13"/>
  <c r="AB30" i="13"/>
  <c r="AC30" i="13"/>
  <c r="AD30" i="13"/>
  <c r="AE30" i="13"/>
  <c r="Q31" i="13"/>
  <c r="R31" i="13"/>
  <c r="S31" i="13"/>
  <c r="T31" i="13"/>
  <c r="U31" i="13"/>
  <c r="V31" i="13"/>
  <c r="W31" i="13"/>
  <c r="X31" i="13"/>
  <c r="Y31" i="13"/>
  <c r="Z31" i="13"/>
  <c r="AA31" i="13"/>
  <c r="AB31" i="13"/>
  <c r="AC31" i="13"/>
  <c r="AD31" i="13"/>
  <c r="AE31" i="13"/>
  <c r="Q32" i="13"/>
  <c r="R32" i="13"/>
  <c r="S32" i="13"/>
  <c r="T32" i="13"/>
  <c r="U32" i="13"/>
  <c r="V32" i="13"/>
  <c r="W32" i="13"/>
  <c r="X32" i="13"/>
  <c r="Y32" i="13"/>
  <c r="Z32" i="13"/>
  <c r="AA32" i="13"/>
  <c r="AB32" i="13"/>
  <c r="AC32" i="13"/>
  <c r="AD32" i="13"/>
  <c r="AE32" i="13"/>
  <c r="Q33" i="13"/>
  <c r="R33" i="13"/>
  <c r="S33" i="13"/>
  <c r="T33" i="13"/>
  <c r="U33" i="13"/>
  <c r="V33" i="13"/>
  <c r="W33" i="13"/>
  <c r="X33" i="13"/>
  <c r="Y33" i="13"/>
  <c r="Z33" i="13"/>
  <c r="AA33" i="13"/>
  <c r="AB33" i="13"/>
  <c r="AC33" i="13"/>
  <c r="AD33" i="13"/>
  <c r="AE33" i="13"/>
  <c r="Q34" i="13"/>
  <c r="R34" i="13"/>
  <c r="S34" i="13"/>
  <c r="T34" i="13"/>
  <c r="U34" i="13"/>
  <c r="V34" i="13"/>
  <c r="W34" i="13"/>
  <c r="X34" i="13"/>
  <c r="Y34" i="13"/>
  <c r="Z34" i="13"/>
  <c r="AA34" i="13"/>
  <c r="AB34" i="13"/>
  <c r="AC34" i="13"/>
  <c r="AD34" i="13"/>
  <c r="AE34" i="13"/>
  <c r="P34" i="13"/>
  <c r="P33" i="13"/>
  <c r="P32" i="13"/>
  <c r="P31" i="13"/>
  <c r="P30" i="13"/>
  <c r="P8" i="13"/>
  <c r="P6" i="13"/>
  <c r="P5" i="13"/>
  <c r="P4" i="13"/>
  <c r="O8" i="13"/>
  <c r="O30" i="13"/>
  <c r="O32" i="13"/>
  <c r="O33" i="13"/>
  <c r="M4" i="13"/>
  <c r="N4" i="13" s="1"/>
  <c r="M5" i="13"/>
  <c r="N5" i="13" s="1"/>
  <c r="M6" i="13"/>
  <c r="N6" i="13" s="1"/>
  <c r="M8" i="13"/>
  <c r="N8" i="13" s="1"/>
  <c r="M30" i="13"/>
  <c r="N30" i="13" s="1"/>
  <c r="M31" i="13"/>
  <c r="N31" i="13" s="1"/>
  <c r="M32" i="13"/>
  <c r="N32" i="13" s="1"/>
  <c r="M33" i="13"/>
  <c r="N33" i="13" s="1"/>
  <c r="M34" i="13"/>
  <c r="N34" i="13" s="1"/>
  <c r="M35" i="13"/>
  <c r="N35" i="13" s="1"/>
  <c r="J4" i="13"/>
  <c r="K4" i="13" s="1"/>
  <c r="J5" i="13"/>
  <c r="K5" i="13" s="1"/>
  <c r="J6" i="13"/>
  <c r="K6" i="13" s="1"/>
  <c r="J8" i="13"/>
  <c r="K8" i="13" s="1"/>
  <c r="J30" i="13"/>
  <c r="K30" i="13" s="1"/>
  <c r="J31" i="13"/>
  <c r="K31" i="13" s="1"/>
  <c r="J32" i="13"/>
  <c r="K32" i="13" s="1"/>
  <c r="J33" i="13"/>
  <c r="K33" i="13" s="1"/>
  <c r="J34" i="13"/>
  <c r="K34" i="13" s="1"/>
  <c r="J35" i="13"/>
  <c r="K35" i="13" s="1"/>
  <c r="I35" i="13"/>
  <c r="H4" i="13"/>
  <c r="H5" i="13"/>
  <c r="H6" i="13"/>
  <c r="H8" i="13"/>
  <c r="H30" i="13"/>
  <c r="H31" i="13"/>
  <c r="H32" i="13"/>
  <c r="H33" i="13"/>
  <c r="H34" i="13"/>
  <c r="H35" i="13"/>
  <c r="G4" i="13"/>
  <c r="G5" i="13"/>
  <c r="G6" i="13"/>
  <c r="G8" i="13"/>
  <c r="G30" i="13"/>
  <c r="G31" i="13"/>
  <c r="G32" i="13"/>
  <c r="G33" i="13"/>
  <c r="G34" i="13"/>
  <c r="G35" i="13"/>
  <c r="F4" i="13" a="1"/>
  <c r="F4" i="13" s="1"/>
  <c r="F5" i="13" a="1"/>
  <c r="F5" i="13" s="1"/>
  <c r="F6" i="13" a="1"/>
  <c r="F6" i="13" s="1"/>
  <c r="F8" i="13" a="1"/>
  <c r="F8" i="13" s="1"/>
  <c r="F30" i="13" a="1"/>
  <c r="F30" i="13" s="1"/>
  <c r="F31" i="13" a="1"/>
  <c r="F31" i="13" s="1"/>
  <c r="F32" i="13" a="1"/>
  <c r="F32" i="13" s="1"/>
  <c r="F33" i="13" a="1"/>
  <c r="F33" i="13" s="1"/>
  <c r="F34" i="13" a="1"/>
  <c r="F34" i="13" s="1"/>
  <c r="F35" i="13" a="1"/>
  <c r="F35" i="13" s="1"/>
  <c r="E4" i="13"/>
  <c r="E5" i="13"/>
  <c r="E6" i="13"/>
  <c r="E8" i="13"/>
  <c r="E30" i="13"/>
  <c r="E31" i="13"/>
  <c r="E32" i="13"/>
  <c r="E33" i="13"/>
  <c r="E34" i="13"/>
  <c r="E35" i="13"/>
  <c r="D4" i="13"/>
  <c r="D5" i="13"/>
  <c r="D6" i="13"/>
  <c r="D8" i="13"/>
  <c r="D30" i="13"/>
  <c r="D31" i="13"/>
  <c r="D32" i="13"/>
  <c r="D33" i="13"/>
  <c r="D34" i="13"/>
  <c r="D35" i="13"/>
  <c r="O5" i="13"/>
  <c r="L33" i="13"/>
  <c r="I33" i="13"/>
  <c r="L32" i="13"/>
  <c r="I32" i="13"/>
  <c r="L6" i="13"/>
  <c r="O6" i="13"/>
  <c r="I6" i="13"/>
  <c r="L34" i="13"/>
  <c r="O34" i="13"/>
  <c r="I34" i="13"/>
  <c r="L31" i="13"/>
  <c r="O31" i="13"/>
  <c r="I31" i="13"/>
  <c r="L8" i="13"/>
  <c r="L35" i="13"/>
  <c r="O35" i="13"/>
  <c r="L4" i="13"/>
  <c r="O4" i="13"/>
  <c r="I4" i="13"/>
  <c r="L30" i="13"/>
  <c r="AG690" i="9"/>
  <c r="AH690" i="9"/>
  <c r="AI690" i="9"/>
  <c r="AJ690" i="9"/>
  <c r="AG691" i="9"/>
  <c r="AH691" i="9"/>
  <c r="AI691" i="9"/>
  <c r="AJ691" i="9"/>
  <c r="AG692" i="9"/>
  <c r="AH692" i="9"/>
  <c r="AI692" i="9"/>
  <c r="AJ692" i="9"/>
  <c r="AG693" i="9"/>
  <c r="AH693" i="9"/>
  <c r="AI693" i="9"/>
  <c r="AJ693" i="9"/>
  <c r="AG694" i="9"/>
  <c r="AH694" i="9"/>
  <c r="AI694" i="9"/>
  <c r="AJ694" i="9"/>
  <c r="AG695" i="9"/>
  <c r="AH695" i="9"/>
  <c r="AI695" i="9"/>
  <c r="AJ695" i="9"/>
  <c r="AG696" i="9"/>
  <c r="AH696" i="9"/>
  <c r="AI696" i="9"/>
  <c r="AJ696" i="9"/>
  <c r="AG697" i="9"/>
  <c r="AH697" i="9"/>
  <c r="AI697" i="9"/>
  <c r="AJ697" i="9"/>
  <c r="AG698" i="9"/>
  <c r="AH698" i="9"/>
  <c r="AI698" i="9"/>
  <c r="AJ698" i="9"/>
  <c r="AG699" i="9"/>
  <c r="AH699" i="9"/>
  <c r="AI699" i="9"/>
  <c r="AJ699" i="9"/>
  <c r="AG700" i="9"/>
  <c r="AH700" i="9"/>
  <c r="AI700" i="9"/>
  <c r="AJ700" i="9"/>
  <c r="AG701" i="9"/>
  <c r="AH701" i="9"/>
  <c r="AI701" i="9"/>
  <c r="AJ701" i="9"/>
  <c r="AG702" i="9"/>
  <c r="AH702" i="9"/>
  <c r="AI702" i="9"/>
  <c r="AJ702" i="9"/>
  <c r="AG703" i="9"/>
  <c r="AH703" i="9"/>
  <c r="AI703" i="9"/>
  <c r="AJ703" i="9"/>
  <c r="AG704" i="9"/>
  <c r="AH704" i="9"/>
  <c r="AI704" i="9"/>
  <c r="AJ704" i="9"/>
  <c r="AG705" i="9"/>
  <c r="AH705" i="9"/>
  <c r="AI705" i="9"/>
  <c r="AJ705" i="9"/>
  <c r="N7" i="12"/>
  <c r="N9" i="12"/>
  <c r="N18" i="12"/>
  <c r="N20" i="12"/>
  <c r="N22" i="12"/>
  <c r="N35" i="12"/>
  <c r="N36" i="12"/>
  <c r="N40" i="12"/>
  <c r="N41" i="12"/>
  <c r="N42" i="12"/>
  <c r="N43" i="12"/>
  <c r="N47" i="12"/>
  <c r="N49" i="12"/>
  <c r="N50" i="12"/>
  <c r="N52" i="12"/>
  <c r="N53" i="12"/>
  <c r="K7" i="12"/>
  <c r="K9" i="12"/>
  <c r="K18" i="12"/>
  <c r="K20" i="12"/>
  <c r="K22" i="12"/>
  <c r="K35" i="12"/>
  <c r="K36" i="12"/>
  <c r="K40" i="12"/>
  <c r="K41" i="12"/>
  <c r="K42" i="12"/>
  <c r="K43" i="12"/>
  <c r="K47" i="12"/>
  <c r="K49" i="12"/>
  <c r="K50" i="12"/>
  <c r="K52" i="12"/>
  <c r="K53" i="12"/>
  <c r="H7" i="12"/>
  <c r="H9" i="12"/>
  <c r="H18" i="12"/>
  <c r="H20" i="12"/>
  <c r="H22" i="12"/>
  <c r="H35" i="12"/>
  <c r="H36" i="12"/>
  <c r="H40" i="12"/>
  <c r="H41" i="12"/>
  <c r="H42" i="12"/>
  <c r="H43" i="12"/>
  <c r="H44" i="12"/>
  <c r="H45" i="12"/>
  <c r="H47" i="12"/>
  <c r="H49" i="12"/>
  <c r="H50" i="12"/>
  <c r="H52" i="12"/>
  <c r="H53" i="12"/>
  <c r="H3" i="12"/>
  <c r="AJ2" i="9"/>
  <c r="AH11" i="9"/>
  <c r="AG3" i="9"/>
  <c r="AH3" i="9"/>
  <c r="AI3" i="9"/>
  <c r="AJ3" i="9"/>
  <c r="AG4" i="9"/>
  <c r="AH4" i="9"/>
  <c r="AI4" i="9"/>
  <c r="AJ4" i="9"/>
  <c r="AG5" i="9"/>
  <c r="AH5" i="9"/>
  <c r="AI5" i="9"/>
  <c r="AJ5" i="9"/>
  <c r="AG6" i="9"/>
  <c r="AH6" i="9"/>
  <c r="AI6" i="9"/>
  <c r="AJ6" i="9"/>
  <c r="AG7" i="9"/>
  <c r="AH7" i="9"/>
  <c r="AI7" i="9"/>
  <c r="AJ7" i="9"/>
  <c r="AG8" i="9"/>
  <c r="AH8" i="9"/>
  <c r="AI8" i="9"/>
  <c r="AJ8" i="9"/>
  <c r="AG9" i="9"/>
  <c r="AH9" i="9"/>
  <c r="AI9" i="9"/>
  <c r="AJ9" i="9"/>
  <c r="AG10" i="9"/>
  <c r="AH10" i="9"/>
  <c r="AI10" i="9"/>
  <c r="AJ10" i="9"/>
  <c r="AG11" i="9"/>
  <c r="AI11" i="9"/>
  <c r="AJ11" i="9"/>
  <c r="AG12" i="9"/>
  <c r="AH12" i="9"/>
  <c r="AI12" i="9"/>
  <c r="AJ12" i="9"/>
  <c r="AG13" i="9"/>
  <c r="AH13" i="9"/>
  <c r="AI13" i="9"/>
  <c r="AJ13" i="9"/>
  <c r="AG14" i="9"/>
  <c r="AH14" i="9"/>
  <c r="AI14" i="9"/>
  <c r="AJ14" i="9"/>
  <c r="AG15" i="9"/>
  <c r="AH15" i="9"/>
  <c r="AI15" i="9"/>
  <c r="AJ15" i="9"/>
  <c r="AG16" i="9"/>
  <c r="AH16" i="9"/>
  <c r="AI16" i="9"/>
  <c r="AJ16" i="9"/>
  <c r="AG17" i="9"/>
  <c r="AH17" i="9"/>
  <c r="AI17" i="9"/>
  <c r="AJ17" i="9"/>
  <c r="AG18" i="9"/>
  <c r="AH18" i="9"/>
  <c r="AI18" i="9"/>
  <c r="AJ18" i="9"/>
  <c r="AG19" i="9"/>
  <c r="AH19" i="9"/>
  <c r="AI19" i="9"/>
  <c r="AJ19" i="9"/>
  <c r="AG20" i="9"/>
  <c r="AH20" i="9"/>
  <c r="AI20" i="9"/>
  <c r="AJ20" i="9"/>
  <c r="AG21" i="9"/>
  <c r="AH21" i="9"/>
  <c r="AI21" i="9"/>
  <c r="AJ21" i="9"/>
  <c r="AG22" i="9"/>
  <c r="AH22" i="9"/>
  <c r="AI22" i="9"/>
  <c r="AJ22" i="9"/>
  <c r="AG23" i="9"/>
  <c r="AH23" i="9"/>
  <c r="AI23" i="9"/>
  <c r="AJ23" i="9"/>
  <c r="AG24" i="9"/>
  <c r="AH24" i="9"/>
  <c r="AI24" i="9"/>
  <c r="AJ24" i="9"/>
  <c r="AG25" i="9"/>
  <c r="AH25" i="9"/>
  <c r="AI25" i="9"/>
  <c r="AJ25" i="9"/>
  <c r="AG26" i="9"/>
  <c r="AH26" i="9"/>
  <c r="AI26" i="9"/>
  <c r="AJ26" i="9"/>
  <c r="AG27" i="9"/>
  <c r="AH27" i="9"/>
  <c r="AI27" i="9"/>
  <c r="AJ27" i="9"/>
  <c r="AG28" i="9"/>
  <c r="AH28" i="9"/>
  <c r="AI28" i="9"/>
  <c r="AJ28" i="9"/>
  <c r="AG29" i="9"/>
  <c r="AH29" i="9"/>
  <c r="AI29" i="9"/>
  <c r="AJ29" i="9"/>
  <c r="AG30" i="9"/>
  <c r="AH30" i="9"/>
  <c r="AI30" i="9"/>
  <c r="AJ30" i="9"/>
  <c r="AG31" i="9"/>
  <c r="AH31" i="9"/>
  <c r="AI31" i="9"/>
  <c r="AJ31" i="9"/>
  <c r="AG32" i="9"/>
  <c r="AH32" i="9"/>
  <c r="AI32" i="9"/>
  <c r="AJ32" i="9"/>
  <c r="AG33" i="9"/>
  <c r="AH33" i="9"/>
  <c r="AI33" i="9"/>
  <c r="AJ33" i="9"/>
  <c r="AG34" i="9"/>
  <c r="AH34" i="9"/>
  <c r="AI34" i="9"/>
  <c r="AJ34" i="9"/>
  <c r="AG35" i="9"/>
  <c r="AH35" i="9"/>
  <c r="AI35" i="9"/>
  <c r="AJ35" i="9"/>
  <c r="AG36" i="9"/>
  <c r="AH36" i="9"/>
  <c r="AI36" i="9"/>
  <c r="AJ36" i="9"/>
  <c r="AG37" i="9"/>
  <c r="AH37" i="9"/>
  <c r="AI37" i="9"/>
  <c r="AJ37" i="9"/>
  <c r="AG38" i="9"/>
  <c r="AH38" i="9"/>
  <c r="AI38" i="9"/>
  <c r="AJ38" i="9"/>
  <c r="AG39" i="9"/>
  <c r="AH39" i="9"/>
  <c r="K14" i="12" s="1"/>
  <c r="AI39" i="9"/>
  <c r="N14" i="12" s="1"/>
  <c r="AJ39" i="9"/>
  <c r="H14" i="12" s="1"/>
  <c r="AG40" i="9"/>
  <c r="AH40" i="9"/>
  <c r="AI40" i="9"/>
  <c r="AJ40" i="9"/>
  <c r="AG41" i="9"/>
  <c r="AH41" i="9"/>
  <c r="AI41" i="9"/>
  <c r="AJ41" i="9"/>
  <c r="AG42" i="9"/>
  <c r="AH42" i="9"/>
  <c r="AI42" i="9"/>
  <c r="AJ42" i="9"/>
  <c r="AG43" i="9"/>
  <c r="AH43" i="9"/>
  <c r="AI43" i="9"/>
  <c r="AJ43" i="9"/>
  <c r="AG44" i="9"/>
  <c r="AH44" i="9"/>
  <c r="AI44" i="9"/>
  <c r="AJ44" i="9"/>
  <c r="AG45" i="9"/>
  <c r="AH45" i="9"/>
  <c r="AI45" i="9"/>
  <c r="AJ45" i="9"/>
  <c r="AG46" i="9"/>
  <c r="AH46" i="9"/>
  <c r="AI46" i="9"/>
  <c r="AJ46" i="9"/>
  <c r="AG47" i="9"/>
  <c r="AH47" i="9"/>
  <c r="AI47" i="9"/>
  <c r="AJ47" i="9"/>
  <c r="AG48" i="9"/>
  <c r="AH48" i="9"/>
  <c r="AI48" i="9"/>
  <c r="AJ48" i="9"/>
  <c r="AG49" i="9"/>
  <c r="AH49" i="9"/>
  <c r="AI49" i="9"/>
  <c r="AJ49" i="9"/>
  <c r="AG50" i="9"/>
  <c r="AH50" i="9"/>
  <c r="AI50" i="9"/>
  <c r="AJ50" i="9"/>
  <c r="AG51" i="9"/>
  <c r="AH51" i="9"/>
  <c r="K16" i="12" s="1"/>
  <c r="AI51" i="9"/>
  <c r="N16" i="12" s="1"/>
  <c r="AJ51" i="9"/>
  <c r="H16" i="12" s="1"/>
  <c r="AG52" i="9"/>
  <c r="AH52" i="9"/>
  <c r="K55" i="12" s="1"/>
  <c r="AI52" i="9"/>
  <c r="N55" i="12" s="1"/>
  <c r="AJ52" i="9"/>
  <c r="H55" i="12" s="1"/>
  <c r="AG53" i="9"/>
  <c r="AH53" i="9"/>
  <c r="AI53" i="9"/>
  <c r="AJ53" i="9"/>
  <c r="AG54" i="9"/>
  <c r="AH54" i="9"/>
  <c r="AI54" i="9"/>
  <c r="AJ54" i="9"/>
  <c r="AG55" i="9"/>
  <c r="AH55" i="9"/>
  <c r="AI55" i="9"/>
  <c r="AJ55" i="9"/>
  <c r="AG56" i="9"/>
  <c r="AH56" i="9"/>
  <c r="AI56" i="9"/>
  <c r="AJ56" i="9"/>
  <c r="AG57" i="9"/>
  <c r="AH57" i="9"/>
  <c r="AI57" i="9"/>
  <c r="AJ57" i="9"/>
  <c r="AG58" i="9"/>
  <c r="AH58" i="9"/>
  <c r="K33" i="12" s="1"/>
  <c r="AI58" i="9"/>
  <c r="N33" i="12" s="1"/>
  <c r="AJ58" i="9"/>
  <c r="H33" i="12" s="1"/>
  <c r="AG59" i="9"/>
  <c r="AH59" i="9"/>
  <c r="AI59" i="9"/>
  <c r="AJ59" i="9"/>
  <c r="AG60" i="9"/>
  <c r="AH60" i="9"/>
  <c r="AI60" i="9"/>
  <c r="AJ60" i="9"/>
  <c r="AG61" i="9"/>
  <c r="AH61" i="9"/>
  <c r="AI61" i="9"/>
  <c r="AJ61" i="9"/>
  <c r="AG62" i="9"/>
  <c r="AH62" i="9"/>
  <c r="AI62" i="9"/>
  <c r="AJ62" i="9"/>
  <c r="AG63" i="9"/>
  <c r="AH63" i="9"/>
  <c r="AI63" i="9"/>
  <c r="AJ63" i="9"/>
  <c r="AG64" i="9"/>
  <c r="AH64" i="9"/>
  <c r="AI64" i="9"/>
  <c r="AJ64" i="9"/>
  <c r="AG65" i="9"/>
  <c r="AH65" i="9"/>
  <c r="AI65" i="9"/>
  <c r="AJ65" i="9"/>
  <c r="AG66" i="9"/>
  <c r="AH66" i="9"/>
  <c r="AI66" i="9"/>
  <c r="AJ66" i="9"/>
  <c r="AG67" i="9"/>
  <c r="AH67" i="9"/>
  <c r="AI67" i="9"/>
  <c r="AJ67" i="9"/>
  <c r="AG68" i="9"/>
  <c r="AH68" i="9"/>
  <c r="AI68" i="9"/>
  <c r="AJ68" i="9"/>
  <c r="AG69" i="9"/>
  <c r="AH69" i="9"/>
  <c r="AI69" i="9"/>
  <c r="AJ69" i="9"/>
  <c r="AG70" i="9"/>
  <c r="AH70" i="9"/>
  <c r="AI70" i="9"/>
  <c r="AJ70" i="9"/>
  <c r="AG71" i="9"/>
  <c r="AH71" i="9"/>
  <c r="AI71" i="9"/>
  <c r="AJ71" i="9"/>
  <c r="AG72" i="9"/>
  <c r="AH72" i="9"/>
  <c r="AI72" i="9"/>
  <c r="AJ72" i="9"/>
  <c r="AG73" i="9"/>
  <c r="AH73" i="9"/>
  <c r="AI73" i="9"/>
  <c r="AJ73" i="9"/>
  <c r="AG74" i="9"/>
  <c r="AH74" i="9"/>
  <c r="AI74" i="9"/>
  <c r="AJ74" i="9"/>
  <c r="AG75" i="9"/>
  <c r="AH75" i="9"/>
  <c r="AI75" i="9"/>
  <c r="AJ75" i="9"/>
  <c r="AG76" i="9"/>
  <c r="AH76" i="9"/>
  <c r="AI76" i="9"/>
  <c r="AJ76" i="9"/>
  <c r="AG77" i="9"/>
  <c r="AH77" i="9"/>
  <c r="AI77" i="9"/>
  <c r="AJ77" i="9"/>
  <c r="AG78" i="9"/>
  <c r="AH78" i="9"/>
  <c r="AI78" i="9"/>
  <c r="AJ78" i="9"/>
  <c r="AG79" i="9"/>
  <c r="AH79" i="9"/>
  <c r="AI79" i="9"/>
  <c r="AJ79" i="9"/>
  <c r="AG80" i="9"/>
  <c r="AH80" i="9"/>
  <c r="AI80" i="9"/>
  <c r="AJ80" i="9"/>
  <c r="AG81" i="9"/>
  <c r="AH81" i="9"/>
  <c r="K28" i="12" s="1"/>
  <c r="AI81" i="9"/>
  <c r="N28" i="12" s="1"/>
  <c r="AJ81" i="9"/>
  <c r="H28" i="12" s="1"/>
  <c r="AG82" i="9"/>
  <c r="AH82" i="9"/>
  <c r="AI82" i="9"/>
  <c r="AJ82" i="9"/>
  <c r="AG83" i="9"/>
  <c r="AH83" i="9"/>
  <c r="AI83" i="9"/>
  <c r="AJ83" i="9"/>
  <c r="AG84" i="9"/>
  <c r="AH84" i="9"/>
  <c r="AI84" i="9"/>
  <c r="AJ84" i="9"/>
  <c r="AG85" i="9"/>
  <c r="AH85" i="9"/>
  <c r="AI85" i="9"/>
  <c r="AJ85" i="9"/>
  <c r="AG86" i="9"/>
  <c r="AH86" i="9"/>
  <c r="AI86" i="9"/>
  <c r="AJ86" i="9"/>
  <c r="AG87" i="9"/>
  <c r="AH87" i="9"/>
  <c r="AI87" i="9"/>
  <c r="AJ87" i="9"/>
  <c r="AG88" i="9"/>
  <c r="AH88" i="9"/>
  <c r="AI88" i="9"/>
  <c r="AJ88" i="9"/>
  <c r="AG89" i="9"/>
  <c r="AH89" i="9"/>
  <c r="AI89" i="9"/>
  <c r="AJ89" i="9"/>
  <c r="AG90" i="9"/>
  <c r="AH90" i="9"/>
  <c r="AI90" i="9"/>
  <c r="AJ90" i="9"/>
  <c r="AG91" i="9"/>
  <c r="AH91" i="9"/>
  <c r="AI91" i="9"/>
  <c r="AJ91" i="9"/>
  <c r="AG92" i="9"/>
  <c r="AH92" i="9"/>
  <c r="AI92" i="9"/>
  <c r="AJ92" i="9"/>
  <c r="AG93" i="9"/>
  <c r="AH93" i="9"/>
  <c r="AI93" i="9"/>
  <c r="AJ93" i="9"/>
  <c r="AG94" i="9"/>
  <c r="AH94" i="9"/>
  <c r="AI94" i="9"/>
  <c r="AJ94" i="9"/>
  <c r="AG95" i="9"/>
  <c r="AH95" i="9"/>
  <c r="AI95" i="9"/>
  <c r="AJ95" i="9"/>
  <c r="AG96" i="9"/>
  <c r="AH96" i="9"/>
  <c r="AI96" i="9"/>
  <c r="AJ96" i="9"/>
  <c r="AG97" i="9"/>
  <c r="AH97" i="9"/>
  <c r="AI97" i="9"/>
  <c r="AJ97" i="9"/>
  <c r="AG98" i="9"/>
  <c r="AH98" i="9"/>
  <c r="AI98" i="9"/>
  <c r="AJ98" i="9"/>
  <c r="AG99" i="9"/>
  <c r="AH99" i="9"/>
  <c r="AI99" i="9"/>
  <c r="AJ99" i="9"/>
  <c r="AG100" i="9"/>
  <c r="AH100" i="9"/>
  <c r="AI100" i="9"/>
  <c r="AJ100" i="9"/>
  <c r="AG101" i="9"/>
  <c r="AH101" i="9"/>
  <c r="AI101" i="9"/>
  <c r="AJ101" i="9"/>
  <c r="AG102" i="9"/>
  <c r="AH102" i="9"/>
  <c r="K54" i="12" s="1"/>
  <c r="AI102" i="9"/>
  <c r="N54" i="12" s="1"/>
  <c r="AJ102" i="9"/>
  <c r="H54" i="12" s="1"/>
  <c r="AG103" i="9"/>
  <c r="AH103" i="9"/>
  <c r="AI103" i="9"/>
  <c r="AJ103" i="9"/>
  <c r="AG104" i="9"/>
  <c r="AH104" i="9"/>
  <c r="AI104" i="9"/>
  <c r="AJ104" i="9"/>
  <c r="AG105" i="9"/>
  <c r="AH105" i="9"/>
  <c r="AI105" i="9"/>
  <c r="AJ105" i="9"/>
  <c r="AG106" i="9"/>
  <c r="AH106" i="9"/>
  <c r="AI106" i="9"/>
  <c r="AJ106" i="9"/>
  <c r="AG107" i="9"/>
  <c r="AH107" i="9"/>
  <c r="AI107" i="9"/>
  <c r="AJ107" i="9"/>
  <c r="AG108" i="9"/>
  <c r="AH108" i="9"/>
  <c r="AI108" i="9"/>
  <c r="AJ108" i="9"/>
  <c r="AG109" i="9"/>
  <c r="AH109" i="9"/>
  <c r="AI109" i="9"/>
  <c r="AJ109" i="9"/>
  <c r="AG110" i="9"/>
  <c r="AH110" i="9"/>
  <c r="AI110" i="9"/>
  <c r="AJ110" i="9"/>
  <c r="AG111" i="9"/>
  <c r="AH111" i="9"/>
  <c r="AI111" i="9"/>
  <c r="AJ111" i="9"/>
  <c r="AG112" i="9"/>
  <c r="AH112" i="9"/>
  <c r="AI112" i="9"/>
  <c r="AJ112" i="9"/>
  <c r="AG113" i="9"/>
  <c r="AH113" i="9"/>
  <c r="AI113" i="9"/>
  <c r="AJ113" i="9"/>
  <c r="AG114" i="9"/>
  <c r="AH114" i="9"/>
  <c r="AI114" i="9"/>
  <c r="AJ114" i="9"/>
  <c r="AG115" i="9"/>
  <c r="AH115" i="9"/>
  <c r="AI115" i="9"/>
  <c r="AJ115" i="9"/>
  <c r="AG116" i="9"/>
  <c r="AH116" i="9"/>
  <c r="AI116" i="9"/>
  <c r="AJ116" i="9"/>
  <c r="AG117" i="9"/>
  <c r="AH117" i="9"/>
  <c r="AI117" i="9"/>
  <c r="AJ117" i="9"/>
  <c r="AG118" i="9"/>
  <c r="AH118" i="9"/>
  <c r="AI118" i="9"/>
  <c r="AJ118" i="9"/>
  <c r="AG119" i="9"/>
  <c r="AH119" i="9"/>
  <c r="AI119" i="9"/>
  <c r="AJ119" i="9"/>
  <c r="AG120" i="9"/>
  <c r="AH120" i="9"/>
  <c r="AI120" i="9"/>
  <c r="AJ120" i="9"/>
  <c r="AG121" i="9"/>
  <c r="AH121" i="9"/>
  <c r="AI121" i="9"/>
  <c r="AJ121" i="9"/>
  <c r="AG122" i="9"/>
  <c r="AH122" i="9"/>
  <c r="AI122" i="9"/>
  <c r="AJ122" i="9"/>
  <c r="AG123" i="9"/>
  <c r="AH123" i="9"/>
  <c r="AI123" i="9"/>
  <c r="AJ123" i="9"/>
  <c r="AG124" i="9"/>
  <c r="AH124" i="9"/>
  <c r="AI124" i="9"/>
  <c r="AJ124" i="9"/>
  <c r="AG125" i="9"/>
  <c r="AH125" i="9"/>
  <c r="AI125" i="9"/>
  <c r="AJ125" i="9"/>
  <c r="AG126" i="9"/>
  <c r="AH126" i="9"/>
  <c r="AI126" i="9"/>
  <c r="AJ126" i="9"/>
  <c r="AG127" i="9"/>
  <c r="AH127" i="9"/>
  <c r="AI127" i="9"/>
  <c r="AJ127" i="9"/>
  <c r="AG128" i="9"/>
  <c r="AH128" i="9"/>
  <c r="AI128" i="9"/>
  <c r="AJ128" i="9"/>
  <c r="AG129" i="9"/>
  <c r="AH129" i="9"/>
  <c r="AI129" i="9"/>
  <c r="AJ129" i="9"/>
  <c r="AG130" i="9"/>
  <c r="AH130" i="9"/>
  <c r="AI130" i="9"/>
  <c r="AJ130" i="9"/>
  <c r="AG131" i="9"/>
  <c r="AH131" i="9"/>
  <c r="AI131" i="9"/>
  <c r="AJ131" i="9"/>
  <c r="AG132" i="9"/>
  <c r="AH132" i="9"/>
  <c r="AI132" i="9"/>
  <c r="AJ132" i="9"/>
  <c r="AG133" i="9"/>
  <c r="AH133" i="9"/>
  <c r="AI133" i="9"/>
  <c r="AJ133" i="9"/>
  <c r="AG134" i="9"/>
  <c r="AH134" i="9"/>
  <c r="AI134" i="9"/>
  <c r="AJ134" i="9"/>
  <c r="AG135" i="9"/>
  <c r="AH135" i="9"/>
  <c r="AI135" i="9"/>
  <c r="AJ135" i="9"/>
  <c r="AG136" i="9"/>
  <c r="AH136" i="9"/>
  <c r="AI136" i="9"/>
  <c r="AJ136" i="9"/>
  <c r="AG137" i="9"/>
  <c r="AH137" i="9"/>
  <c r="AI137" i="9"/>
  <c r="AJ137" i="9"/>
  <c r="AG138" i="9"/>
  <c r="AH138" i="9"/>
  <c r="AI138" i="9"/>
  <c r="AJ138" i="9"/>
  <c r="AG139" i="9"/>
  <c r="AH139" i="9"/>
  <c r="AI139" i="9"/>
  <c r="AJ139" i="9"/>
  <c r="AG140" i="9"/>
  <c r="AH140" i="9"/>
  <c r="AI140" i="9"/>
  <c r="AJ140" i="9"/>
  <c r="AG141" i="9"/>
  <c r="AH141" i="9"/>
  <c r="AI141" i="9"/>
  <c r="AJ141" i="9"/>
  <c r="AG142" i="9"/>
  <c r="AH142" i="9"/>
  <c r="AI142" i="9"/>
  <c r="AJ142" i="9"/>
  <c r="AG143" i="9"/>
  <c r="AH143" i="9"/>
  <c r="AI143" i="9"/>
  <c r="AJ143" i="9"/>
  <c r="AG144" i="9"/>
  <c r="AH144" i="9"/>
  <c r="AI144" i="9"/>
  <c r="AJ144" i="9"/>
  <c r="AG145" i="9"/>
  <c r="AH145" i="9"/>
  <c r="AI145" i="9"/>
  <c r="AJ145" i="9"/>
  <c r="AG146" i="9"/>
  <c r="AH146" i="9"/>
  <c r="AI146" i="9"/>
  <c r="AJ146" i="9"/>
  <c r="AG147" i="9"/>
  <c r="AH147" i="9"/>
  <c r="AI147" i="9"/>
  <c r="AJ147" i="9"/>
  <c r="AG148" i="9"/>
  <c r="AH148" i="9"/>
  <c r="AI148" i="9"/>
  <c r="AJ148" i="9"/>
  <c r="AG149" i="9"/>
  <c r="AH149" i="9"/>
  <c r="AI149" i="9"/>
  <c r="AJ149" i="9"/>
  <c r="AG150" i="9"/>
  <c r="AH150" i="9"/>
  <c r="AI150" i="9"/>
  <c r="AJ150" i="9"/>
  <c r="AG151" i="9"/>
  <c r="AH151" i="9"/>
  <c r="AI151" i="9"/>
  <c r="AJ151" i="9"/>
  <c r="AG152" i="9"/>
  <c r="AH152" i="9"/>
  <c r="AI152" i="9"/>
  <c r="AJ152" i="9"/>
  <c r="AG153" i="9"/>
  <c r="AH153" i="9"/>
  <c r="AI153" i="9"/>
  <c r="AJ153" i="9"/>
  <c r="AG154" i="9"/>
  <c r="AH154" i="9"/>
  <c r="AI154" i="9"/>
  <c r="AJ154" i="9"/>
  <c r="AG155" i="9"/>
  <c r="AH155" i="9"/>
  <c r="AI155" i="9"/>
  <c r="AJ155" i="9"/>
  <c r="AG156" i="9"/>
  <c r="AH156" i="9"/>
  <c r="AI156" i="9"/>
  <c r="AJ156" i="9"/>
  <c r="AG157" i="9"/>
  <c r="AH157" i="9"/>
  <c r="AI157" i="9"/>
  <c r="AJ157" i="9"/>
  <c r="AG158" i="9"/>
  <c r="AH158" i="9"/>
  <c r="AI158" i="9"/>
  <c r="AJ158" i="9"/>
  <c r="AG159" i="9"/>
  <c r="AH159" i="9"/>
  <c r="AI159" i="9"/>
  <c r="AJ159" i="9"/>
  <c r="AG160" i="9"/>
  <c r="AH160" i="9"/>
  <c r="AI160" i="9"/>
  <c r="AJ160" i="9"/>
  <c r="AG161" i="9"/>
  <c r="AH161" i="9"/>
  <c r="AI161" i="9"/>
  <c r="AJ161" i="9"/>
  <c r="AG162" i="9"/>
  <c r="AH162" i="9"/>
  <c r="AI162" i="9"/>
  <c r="AJ162" i="9"/>
  <c r="AG163" i="9"/>
  <c r="AH163" i="9"/>
  <c r="AI163" i="9"/>
  <c r="AJ163" i="9"/>
  <c r="AG164" i="9"/>
  <c r="AH164" i="9"/>
  <c r="AI164" i="9"/>
  <c r="AJ164" i="9"/>
  <c r="AG165" i="9"/>
  <c r="AH165" i="9"/>
  <c r="AI165" i="9"/>
  <c r="AJ165" i="9"/>
  <c r="AG166" i="9"/>
  <c r="AH166" i="9"/>
  <c r="AI166" i="9"/>
  <c r="AJ166" i="9"/>
  <c r="AG167" i="9"/>
  <c r="AH167" i="9"/>
  <c r="AI167" i="9"/>
  <c r="AJ167" i="9"/>
  <c r="AG168" i="9"/>
  <c r="AH168" i="9"/>
  <c r="AI168" i="9"/>
  <c r="AJ168" i="9"/>
  <c r="AG169" i="9"/>
  <c r="AH169" i="9"/>
  <c r="AI169" i="9"/>
  <c r="AJ169" i="9"/>
  <c r="AG170" i="9"/>
  <c r="AH170" i="9"/>
  <c r="AI170" i="9"/>
  <c r="AJ170" i="9"/>
  <c r="AG171" i="9"/>
  <c r="AH171" i="9"/>
  <c r="AI171" i="9"/>
  <c r="AJ171" i="9"/>
  <c r="AG172" i="9"/>
  <c r="AH172" i="9"/>
  <c r="AI172" i="9"/>
  <c r="AJ172" i="9"/>
  <c r="AG173" i="9"/>
  <c r="AH173" i="9"/>
  <c r="AI173" i="9"/>
  <c r="AJ173" i="9"/>
  <c r="AG174" i="9"/>
  <c r="AH174" i="9"/>
  <c r="AI174" i="9"/>
  <c r="AJ174" i="9"/>
  <c r="AG175" i="9"/>
  <c r="AH175" i="9"/>
  <c r="AI175" i="9"/>
  <c r="AJ175" i="9"/>
  <c r="AG176" i="9"/>
  <c r="AH176" i="9"/>
  <c r="AI176" i="9"/>
  <c r="AJ176" i="9"/>
  <c r="AG177" i="9"/>
  <c r="AH177" i="9"/>
  <c r="AI177" i="9"/>
  <c r="AJ177" i="9"/>
  <c r="AG178" i="9"/>
  <c r="AH178" i="9"/>
  <c r="AI178" i="9"/>
  <c r="AJ178" i="9"/>
  <c r="AG179" i="9"/>
  <c r="AH179" i="9"/>
  <c r="AI179" i="9"/>
  <c r="AJ179" i="9"/>
  <c r="AG180" i="9"/>
  <c r="AH180" i="9"/>
  <c r="AI180" i="9"/>
  <c r="AJ180" i="9"/>
  <c r="AG181" i="9"/>
  <c r="AH181" i="9"/>
  <c r="AI181" i="9"/>
  <c r="AJ181" i="9"/>
  <c r="AG182" i="9"/>
  <c r="AH182" i="9"/>
  <c r="AI182" i="9"/>
  <c r="AJ182" i="9"/>
  <c r="AG183" i="9"/>
  <c r="AH183" i="9"/>
  <c r="K44" i="12" s="1"/>
  <c r="AI183" i="9"/>
  <c r="N44" i="12" s="1"/>
  <c r="AJ183" i="9"/>
  <c r="AG184" i="9"/>
  <c r="AH184" i="9"/>
  <c r="AI184" i="9"/>
  <c r="AJ184" i="9"/>
  <c r="AG185" i="9"/>
  <c r="AH185" i="9"/>
  <c r="AI185" i="9"/>
  <c r="AJ185" i="9"/>
  <c r="AG186" i="9"/>
  <c r="AH186" i="9"/>
  <c r="AI186" i="9"/>
  <c r="AJ186" i="9"/>
  <c r="AG187" i="9"/>
  <c r="AH187" i="9"/>
  <c r="AI187" i="9"/>
  <c r="AJ187" i="9"/>
  <c r="AG188" i="9"/>
  <c r="AH188" i="9"/>
  <c r="AI188" i="9"/>
  <c r="AJ188" i="9"/>
  <c r="AG189" i="9"/>
  <c r="AH189" i="9"/>
  <c r="AI189" i="9"/>
  <c r="AJ189" i="9"/>
  <c r="AG190" i="9"/>
  <c r="AH190" i="9"/>
  <c r="AI190" i="9"/>
  <c r="AJ190" i="9"/>
  <c r="AG191" i="9"/>
  <c r="AH191" i="9"/>
  <c r="AI191" i="9"/>
  <c r="AJ191" i="9"/>
  <c r="AG192" i="9"/>
  <c r="AH192" i="9"/>
  <c r="AI192" i="9"/>
  <c r="AJ192" i="9"/>
  <c r="AG193" i="9"/>
  <c r="AH193" i="9"/>
  <c r="AI193" i="9"/>
  <c r="AJ193" i="9"/>
  <c r="AG194" i="9"/>
  <c r="AH194" i="9"/>
  <c r="AI194" i="9"/>
  <c r="AJ194" i="9"/>
  <c r="AG195" i="9"/>
  <c r="AH195" i="9"/>
  <c r="AI195" i="9"/>
  <c r="AJ195" i="9"/>
  <c r="AG196" i="9"/>
  <c r="AH196" i="9"/>
  <c r="AI196" i="9"/>
  <c r="AJ196" i="9"/>
  <c r="AG197" i="9"/>
  <c r="AH197" i="9"/>
  <c r="AI197" i="9"/>
  <c r="AJ197" i="9"/>
  <c r="AG198" i="9"/>
  <c r="AH198" i="9"/>
  <c r="AI198" i="9"/>
  <c r="AJ198" i="9"/>
  <c r="AG199" i="9"/>
  <c r="AH199" i="9"/>
  <c r="AI199" i="9"/>
  <c r="AJ199" i="9"/>
  <c r="AG200" i="9"/>
  <c r="AH200" i="9"/>
  <c r="AI200" i="9"/>
  <c r="AJ200" i="9"/>
  <c r="AG201" i="9"/>
  <c r="AH201" i="9"/>
  <c r="AI201" i="9"/>
  <c r="AJ201" i="9"/>
  <c r="AG202" i="9"/>
  <c r="AH202" i="9"/>
  <c r="AI202" i="9"/>
  <c r="AJ202" i="9"/>
  <c r="AG203" i="9"/>
  <c r="AH203" i="9"/>
  <c r="AI203" i="9"/>
  <c r="AJ203" i="9"/>
  <c r="AG204" i="9"/>
  <c r="AH204" i="9"/>
  <c r="AI204" i="9"/>
  <c r="AJ204" i="9"/>
  <c r="AG205" i="9"/>
  <c r="AH205" i="9"/>
  <c r="AI205" i="9"/>
  <c r="AJ205" i="9"/>
  <c r="AG206" i="9"/>
  <c r="AH206" i="9"/>
  <c r="AI206" i="9"/>
  <c r="AJ206" i="9"/>
  <c r="AG207" i="9"/>
  <c r="AH207" i="9"/>
  <c r="AI207" i="9"/>
  <c r="AJ207" i="9"/>
  <c r="AG208" i="9"/>
  <c r="AH208" i="9"/>
  <c r="AI208" i="9"/>
  <c r="AJ208" i="9"/>
  <c r="AG209" i="9"/>
  <c r="AH209" i="9"/>
  <c r="AI209" i="9"/>
  <c r="AJ209" i="9"/>
  <c r="AG210" i="9"/>
  <c r="AH210" i="9"/>
  <c r="AI210" i="9"/>
  <c r="AJ210" i="9"/>
  <c r="AG211" i="9"/>
  <c r="AH211" i="9"/>
  <c r="AI211" i="9"/>
  <c r="AJ211" i="9"/>
  <c r="AG212" i="9"/>
  <c r="AH212" i="9"/>
  <c r="AI212" i="9"/>
  <c r="AJ212" i="9"/>
  <c r="AG213" i="9"/>
  <c r="AH213" i="9"/>
  <c r="AI213" i="9"/>
  <c r="AJ213" i="9"/>
  <c r="AG214" i="9"/>
  <c r="AH214" i="9"/>
  <c r="AI214" i="9"/>
  <c r="AJ214" i="9"/>
  <c r="AG215" i="9"/>
  <c r="AH215" i="9"/>
  <c r="AI215" i="9"/>
  <c r="AJ215" i="9"/>
  <c r="AG216" i="9"/>
  <c r="AH216" i="9"/>
  <c r="AI216" i="9"/>
  <c r="AJ216" i="9"/>
  <c r="AG217" i="9"/>
  <c r="AH217" i="9"/>
  <c r="AI217" i="9"/>
  <c r="AJ217" i="9"/>
  <c r="AG218" i="9"/>
  <c r="AH218" i="9"/>
  <c r="AI218" i="9"/>
  <c r="AJ218" i="9"/>
  <c r="AG219" i="9"/>
  <c r="AH219" i="9"/>
  <c r="AI219" i="9"/>
  <c r="AJ219" i="9"/>
  <c r="AG220" i="9"/>
  <c r="AH220" i="9"/>
  <c r="AI220" i="9"/>
  <c r="AJ220" i="9"/>
  <c r="AG221" i="9"/>
  <c r="AH221" i="9"/>
  <c r="AI221" i="9"/>
  <c r="AJ221" i="9"/>
  <c r="AG222" i="9"/>
  <c r="AH222" i="9"/>
  <c r="AI222" i="9"/>
  <c r="AJ222" i="9"/>
  <c r="AG223" i="9"/>
  <c r="AH223" i="9"/>
  <c r="AI223" i="9"/>
  <c r="AJ223" i="9"/>
  <c r="AG224" i="9"/>
  <c r="AH224" i="9"/>
  <c r="AI224" i="9"/>
  <c r="AJ224" i="9"/>
  <c r="AG225" i="9"/>
  <c r="AH225" i="9"/>
  <c r="AI225" i="9"/>
  <c r="AJ225" i="9"/>
  <c r="AG226" i="9"/>
  <c r="AH226" i="9"/>
  <c r="AI226" i="9"/>
  <c r="AJ226" i="9"/>
  <c r="AG227" i="9"/>
  <c r="AH227" i="9"/>
  <c r="AI227" i="9"/>
  <c r="AJ227" i="9"/>
  <c r="AG228" i="9"/>
  <c r="AH228" i="9"/>
  <c r="AI228" i="9"/>
  <c r="AJ228" i="9"/>
  <c r="AG229" i="9"/>
  <c r="AH229" i="9"/>
  <c r="AI229" i="9"/>
  <c r="AJ229" i="9"/>
  <c r="AG230" i="9"/>
  <c r="AH230" i="9"/>
  <c r="AI230" i="9"/>
  <c r="AJ230" i="9"/>
  <c r="AG231" i="9"/>
  <c r="AH231" i="9"/>
  <c r="AI231" i="9"/>
  <c r="AJ231" i="9"/>
  <c r="AG232" i="9"/>
  <c r="AH232" i="9"/>
  <c r="AI232" i="9"/>
  <c r="AJ232" i="9"/>
  <c r="AG233" i="9"/>
  <c r="AH233" i="9"/>
  <c r="AI233" i="9"/>
  <c r="AJ233" i="9"/>
  <c r="AG234" i="9"/>
  <c r="AH234" i="9"/>
  <c r="AI234" i="9"/>
  <c r="AJ234" i="9"/>
  <c r="AG235" i="9"/>
  <c r="AH235" i="9"/>
  <c r="AI235" i="9"/>
  <c r="AJ235" i="9"/>
  <c r="AG236" i="9"/>
  <c r="AH236" i="9"/>
  <c r="AI236" i="9"/>
  <c r="AJ236" i="9"/>
  <c r="AG237" i="9"/>
  <c r="AH237" i="9"/>
  <c r="AI237" i="9"/>
  <c r="AJ237" i="9"/>
  <c r="AG238" i="9"/>
  <c r="AH238" i="9"/>
  <c r="AI238" i="9"/>
  <c r="AJ238" i="9"/>
  <c r="AG239" i="9"/>
  <c r="AH239" i="9"/>
  <c r="AI239" i="9"/>
  <c r="AJ239" i="9"/>
  <c r="AG240" i="9"/>
  <c r="AH240" i="9"/>
  <c r="AI240" i="9"/>
  <c r="AJ240" i="9"/>
  <c r="AG241" i="9"/>
  <c r="AH241" i="9"/>
  <c r="AI241" i="9"/>
  <c r="AJ241" i="9"/>
  <c r="AG242" i="9"/>
  <c r="AH242" i="9"/>
  <c r="AI242" i="9"/>
  <c r="AJ242" i="9"/>
  <c r="AG243" i="9"/>
  <c r="AH243" i="9"/>
  <c r="AI243" i="9"/>
  <c r="AJ243" i="9"/>
  <c r="AG244" i="9"/>
  <c r="AH244" i="9"/>
  <c r="AI244" i="9"/>
  <c r="AJ244" i="9"/>
  <c r="AG245" i="9"/>
  <c r="AH245" i="9"/>
  <c r="AI245" i="9"/>
  <c r="AJ245" i="9"/>
  <c r="AG246" i="9"/>
  <c r="AH246" i="9"/>
  <c r="AI246" i="9"/>
  <c r="AJ246" i="9"/>
  <c r="AG247" i="9"/>
  <c r="AH247" i="9"/>
  <c r="AI247" i="9"/>
  <c r="AJ247" i="9"/>
  <c r="AG248" i="9"/>
  <c r="AH248" i="9"/>
  <c r="AI248" i="9"/>
  <c r="AJ248" i="9"/>
  <c r="AG249" i="9"/>
  <c r="AH249" i="9"/>
  <c r="AI249" i="9"/>
  <c r="AJ249" i="9"/>
  <c r="AG250" i="9"/>
  <c r="AH250" i="9"/>
  <c r="AI250" i="9"/>
  <c r="AJ250" i="9"/>
  <c r="AG251" i="9"/>
  <c r="AH251" i="9"/>
  <c r="AI251" i="9"/>
  <c r="AJ251" i="9"/>
  <c r="AG252" i="9"/>
  <c r="AH252" i="9"/>
  <c r="AI252" i="9"/>
  <c r="AJ252" i="9"/>
  <c r="AG253" i="9"/>
  <c r="AH253" i="9"/>
  <c r="K6" i="12" s="1"/>
  <c r="AI253" i="9"/>
  <c r="N6" i="12" s="1"/>
  <c r="AJ253" i="9"/>
  <c r="H6" i="12" s="1"/>
  <c r="AG254" i="9"/>
  <c r="AH254" i="9"/>
  <c r="AI254" i="9"/>
  <c r="AJ254" i="9"/>
  <c r="AG255" i="9"/>
  <c r="AH255" i="9"/>
  <c r="AI255" i="9"/>
  <c r="AJ255" i="9"/>
  <c r="AG256" i="9"/>
  <c r="AH256" i="9"/>
  <c r="AI256" i="9"/>
  <c r="AJ256" i="9"/>
  <c r="AG257" i="9"/>
  <c r="AH257" i="9"/>
  <c r="AI257" i="9"/>
  <c r="AJ257" i="9"/>
  <c r="AG258" i="9"/>
  <c r="AH258" i="9"/>
  <c r="AI258" i="9"/>
  <c r="AJ258" i="9"/>
  <c r="AG259" i="9"/>
  <c r="AH259" i="9"/>
  <c r="K8" i="12" s="1"/>
  <c r="AI259" i="9"/>
  <c r="N8" i="12" s="1"/>
  <c r="AJ259" i="9"/>
  <c r="H8" i="12" s="1"/>
  <c r="AG260" i="9"/>
  <c r="AH260" i="9"/>
  <c r="AI260" i="9"/>
  <c r="AJ260" i="9"/>
  <c r="AG261" i="9"/>
  <c r="AH261" i="9"/>
  <c r="AI261" i="9"/>
  <c r="AJ261" i="9"/>
  <c r="AG262" i="9"/>
  <c r="AH262" i="9"/>
  <c r="AI262" i="9"/>
  <c r="AJ262" i="9"/>
  <c r="AG263" i="9"/>
  <c r="AH263" i="9"/>
  <c r="AI263" i="9"/>
  <c r="AJ263" i="9"/>
  <c r="AG264" i="9"/>
  <c r="AH264" i="9"/>
  <c r="AI264" i="9"/>
  <c r="AJ264" i="9"/>
  <c r="AG265" i="9"/>
  <c r="AH265" i="9"/>
  <c r="AI265" i="9"/>
  <c r="AJ265" i="9"/>
  <c r="AG266" i="9"/>
  <c r="AH266" i="9"/>
  <c r="K30" i="12" s="1"/>
  <c r="AI266" i="9"/>
  <c r="N30" i="12" s="1"/>
  <c r="AJ266" i="9"/>
  <c r="H30" i="12" s="1"/>
  <c r="AG267" i="9"/>
  <c r="AH267" i="9"/>
  <c r="AI267" i="9"/>
  <c r="AJ267" i="9"/>
  <c r="AG268" i="9"/>
  <c r="AH268" i="9"/>
  <c r="AI268" i="9"/>
  <c r="AJ268" i="9"/>
  <c r="AG269" i="9"/>
  <c r="AH269" i="9"/>
  <c r="AI269" i="9"/>
  <c r="AJ269" i="9"/>
  <c r="AG270" i="9"/>
  <c r="AH270" i="9"/>
  <c r="AI270" i="9"/>
  <c r="AJ270" i="9"/>
  <c r="AG271" i="9"/>
  <c r="AH271" i="9"/>
  <c r="AI271" i="9"/>
  <c r="AJ271" i="9"/>
  <c r="AG272" i="9"/>
  <c r="AH272" i="9"/>
  <c r="AI272" i="9"/>
  <c r="AJ272" i="9"/>
  <c r="AG273" i="9"/>
  <c r="AH273" i="9"/>
  <c r="AI273" i="9"/>
  <c r="AJ273" i="9"/>
  <c r="AG274" i="9"/>
  <c r="AH274" i="9"/>
  <c r="AI274" i="9"/>
  <c r="AJ274" i="9"/>
  <c r="AG275" i="9"/>
  <c r="AH275" i="9"/>
  <c r="AI275" i="9"/>
  <c r="AJ275" i="9"/>
  <c r="AG276" i="9"/>
  <c r="AH276" i="9"/>
  <c r="AI276" i="9"/>
  <c r="AJ276" i="9"/>
  <c r="AG277" i="9"/>
  <c r="AH277" i="9"/>
  <c r="AI277" i="9"/>
  <c r="AJ277" i="9"/>
  <c r="AG278" i="9"/>
  <c r="AH278" i="9"/>
  <c r="AI278" i="9"/>
  <c r="AJ278" i="9"/>
  <c r="AG279" i="9"/>
  <c r="AH279" i="9"/>
  <c r="AI279" i="9"/>
  <c r="AJ279" i="9"/>
  <c r="AG280" i="9"/>
  <c r="AH280" i="9"/>
  <c r="AI280" i="9"/>
  <c r="AJ280" i="9"/>
  <c r="AG281" i="9"/>
  <c r="AH281" i="9"/>
  <c r="AI281" i="9"/>
  <c r="AJ281" i="9"/>
  <c r="AG282" i="9"/>
  <c r="AH282" i="9"/>
  <c r="AI282" i="9"/>
  <c r="AJ282" i="9"/>
  <c r="AG283" i="9"/>
  <c r="AH283" i="9"/>
  <c r="AI283" i="9"/>
  <c r="AJ283" i="9"/>
  <c r="AG284" i="9"/>
  <c r="AH284" i="9"/>
  <c r="AI284" i="9"/>
  <c r="AJ284" i="9"/>
  <c r="AG285" i="9"/>
  <c r="AH285" i="9"/>
  <c r="AI285" i="9"/>
  <c r="AJ285" i="9"/>
  <c r="AG286" i="9"/>
  <c r="AH286" i="9"/>
  <c r="AI286" i="9"/>
  <c r="AJ286" i="9"/>
  <c r="AG287" i="9"/>
  <c r="AH287" i="9"/>
  <c r="AI287" i="9"/>
  <c r="AJ287" i="9"/>
  <c r="AG288" i="9"/>
  <c r="AH288" i="9"/>
  <c r="AI288" i="9"/>
  <c r="AJ288" i="9"/>
  <c r="AG289" i="9"/>
  <c r="AH289" i="9"/>
  <c r="AI289" i="9"/>
  <c r="AJ289" i="9"/>
  <c r="AG290" i="9"/>
  <c r="AH290" i="9"/>
  <c r="AI290" i="9"/>
  <c r="AJ290" i="9"/>
  <c r="AG291" i="9"/>
  <c r="AH291" i="9"/>
  <c r="AI291" i="9"/>
  <c r="AJ291" i="9"/>
  <c r="AG292" i="9"/>
  <c r="AH292" i="9"/>
  <c r="AI292" i="9"/>
  <c r="AJ292" i="9"/>
  <c r="AG293" i="9"/>
  <c r="AH293" i="9"/>
  <c r="AI293" i="9"/>
  <c r="AJ293" i="9"/>
  <c r="AG294" i="9"/>
  <c r="AH294" i="9"/>
  <c r="AI294" i="9"/>
  <c r="AJ294" i="9"/>
  <c r="AG295" i="9"/>
  <c r="AH295" i="9"/>
  <c r="AI295" i="9"/>
  <c r="AJ295" i="9"/>
  <c r="AG296" i="9"/>
  <c r="AH296" i="9"/>
  <c r="AI296" i="9"/>
  <c r="AJ296" i="9"/>
  <c r="AG297" i="9"/>
  <c r="AH297" i="9"/>
  <c r="AI297" i="9"/>
  <c r="AJ297" i="9"/>
  <c r="AG298" i="9"/>
  <c r="AH298" i="9"/>
  <c r="AI298" i="9"/>
  <c r="AJ298" i="9"/>
  <c r="AG299" i="9"/>
  <c r="AH299" i="9"/>
  <c r="AI299" i="9"/>
  <c r="AJ299" i="9"/>
  <c r="AG300" i="9"/>
  <c r="AH300" i="9"/>
  <c r="AI300" i="9"/>
  <c r="AJ300" i="9"/>
  <c r="AG301" i="9"/>
  <c r="AH301" i="9"/>
  <c r="AI301" i="9"/>
  <c r="AJ301" i="9"/>
  <c r="AG302" i="9"/>
  <c r="AH302" i="9"/>
  <c r="AI302" i="9"/>
  <c r="AJ302" i="9"/>
  <c r="AG303" i="9"/>
  <c r="AH303" i="9"/>
  <c r="AI303" i="9"/>
  <c r="AJ303" i="9"/>
  <c r="AG304" i="9"/>
  <c r="AH304" i="9"/>
  <c r="AI304" i="9"/>
  <c r="AJ304" i="9"/>
  <c r="AG305" i="9"/>
  <c r="AH305" i="9"/>
  <c r="AI305" i="9"/>
  <c r="AJ305" i="9"/>
  <c r="AG306" i="9"/>
  <c r="AH306" i="9"/>
  <c r="AI306" i="9"/>
  <c r="AJ306" i="9"/>
  <c r="AG307" i="9"/>
  <c r="AH307" i="9"/>
  <c r="AI307" i="9"/>
  <c r="AJ307" i="9"/>
  <c r="AG308" i="9"/>
  <c r="AH308" i="9"/>
  <c r="AI308" i="9"/>
  <c r="AJ308" i="9"/>
  <c r="AG309" i="9"/>
  <c r="AH309" i="9"/>
  <c r="AI309" i="9"/>
  <c r="AJ309" i="9"/>
  <c r="AG310" i="9"/>
  <c r="AH310" i="9"/>
  <c r="AI310" i="9"/>
  <c r="AJ310" i="9"/>
  <c r="AG311" i="9"/>
  <c r="AH311" i="9"/>
  <c r="AI311" i="9"/>
  <c r="AJ311" i="9"/>
  <c r="AG312" i="9"/>
  <c r="AH312" i="9"/>
  <c r="AI312" i="9"/>
  <c r="AJ312" i="9"/>
  <c r="AG313" i="9"/>
  <c r="AH313" i="9"/>
  <c r="AI313" i="9"/>
  <c r="AJ313" i="9"/>
  <c r="AG314" i="9"/>
  <c r="AH314" i="9"/>
  <c r="AI314" i="9"/>
  <c r="AJ314" i="9"/>
  <c r="AG315" i="9"/>
  <c r="AH315" i="9"/>
  <c r="AI315" i="9"/>
  <c r="AJ315" i="9"/>
  <c r="AG316" i="9"/>
  <c r="AH316" i="9"/>
  <c r="AI316" i="9"/>
  <c r="AJ316" i="9"/>
  <c r="AG317" i="9"/>
  <c r="AH317" i="9"/>
  <c r="AI317" i="9"/>
  <c r="AJ317" i="9"/>
  <c r="AG318" i="9"/>
  <c r="AH318" i="9"/>
  <c r="AI318" i="9"/>
  <c r="AJ318" i="9"/>
  <c r="AG319" i="9"/>
  <c r="AH319" i="9"/>
  <c r="AI319" i="9"/>
  <c r="AJ319" i="9"/>
  <c r="AG320" i="9"/>
  <c r="AH320" i="9"/>
  <c r="AI320" i="9"/>
  <c r="AJ320" i="9"/>
  <c r="AG321" i="9"/>
  <c r="AH321" i="9"/>
  <c r="AI321" i="9"/>
  <c r="AJ321" i="9"/>
  <c r="AG322" i="9"/>
  <c r="AH322" i="9"/>
  <c r="AI322" i="9"/>
  <c r="AJ322" i="9"/>
  <c r="AG323" i="9"/>
  <c r="AH323" i="9"/>
  <c r="AI323" i="9"/>
  <c r="AJ323" i="9"/>
  <c r="AG324" i="9"/>
  <c r="AH324" i="9"/>
  <c r="AI324" i="9"/>
  <c r="AJ324" i="9"/>
  <c r="AG325" i="9"/>
  <c r="AH325" i="9"/>
  <c r="K31" i="12" s="1"/>
  <c r="AI325" i="9"/>
  <c r="N31" i="12" s="1"/>
  <c r="AJ325" i="9"/>
  <c r="H31" i="12" s="1"/>
  <c r="AG326" i="9"/>
  <c r="AH326" i="9"/>
  <c r="AI326" i="9"/>
  <c r="AJ326" i="9"/>
  <c r="AG327" i="9"/>
  <c r="AH327" i="9"/>
  <c r="AI327" i="9"/>
  <c r="AJ327" i="9"/>
  <c r="AG328" i="9"/>
  <c r="AH328" i="9"/>
  <c r="AI328" i="9"/>
  <c r="AJ328" i="9"/>
  <c r="AG329" i="9"/>
  <c r="AH329" i="9"/>
  <c r="AI329" i="9"/>
  <c r="AJ329" i="9"/>
  <c r="AG330" i="9"/>
  <c r="AH330" i="9"/>
  <c r="AI330" i="9"/>
  <c r="AJ330" i="9"/>
  <c r="AG331" i="9"/>
  <c r="AH331" i="9"/>
  <c r="AI331" i="9"/>
  <c r="AJ331" i="9"/>
  <c r="AG332" i="9"/>
  <c r="AH332" i="9"/>
  <c r="AI332" i="9"/>
  <c r="AJ332" i="9"/>
  <c r="AG333" i="9"/>
  <c r="AH333" i="9"/>
  <c r="AI333" i="9"/>
  <c r="AJ333" i="9"/>
  <c r="AG334" i="9"/>
  <c r="AH334" i="9"/>
  <c r="AI334" i="9"/>
  <c r="AJ334" i="9"/>
  <c r="AG335" i="9"/>
  <c r="AH335" i="9"/>
  <c r="AI335" i="9"/>
  <c r="AJ335" i="9"/>
  <c r="AG336" i="9"/>
  <c r="AH336" i="9"/>
  <c r="AI336" i="9"/>
  <c r="AJ336" i="9"/>
  <c r="AG337" i="9"/>
  <c r="AH337" i="9"/>
  <c r="AI337" i="9"/>
  <c r="AJ337" i="9"/>
  <c r="AG338" i="9"/>
  <c r="AH338" i="9"/>
  <c r="AI338" i="9"/>
  <c r="AJ338" i="9"/>
  <c r="AG339" i="9"/>
  <c r="AH339" i="9"/>
  <c r="AI339" i="9"/>
  <c r="AJ339" i="9"/>
  <c r="AG340" i="9"/>
  <c r="AH340" i="9"/>
  <c r="AI340" i="9"/>
  <c r="AJ340" i="9"/>
  <c r="AG341" i="9"/>
  <c r="AH341" i="9"/>
  <c r="AI341" i="9"/>
  <c r="AJ341" i="9"/>
  <c r="AG342" i="9"/>
  <c r="AH342" i="9"/>
  <c r="AI342" i="9"/>
  <c r="AJ342" i="9"/>
  <c r="AG343" i="9"/>
  <c r="AH343" i="9"/>
  <c r="AI343" i="9"/>
  <c r="AJ343" i="9"/>
  <c r="AG344" i="9"/>
  <c r="AH344" i="9"/>
  <c r="AI344" i="9"/>
  <c r="AJ344" i="9"/>
  <c r="AG345" i="9"/>
  <c r="AH345" i="9"/>
  <c r="AI345" i="9"/>
  <c r="AJ345" i="9"/>
  <c r="AG346" i="9"/>
  <c r="AH346" i="9"/>
  <c r="AI346" i="9"/>
  <c r="AJ346" i="9"/>
  <c r="AG347" i="9"/>
  <c r="AH347" i="9"/>
  <c r="AI347" i="9"/>
  <c r="AJ347" i="9"/>
  <c r="AG348" i="9"/>
  <c r="AH348" i="9"/>
  <c r="AI348" i="9"/>
  <c r="AJ348" i="9"/>
  <c r="AG349" i="9"/>
  <c r="AH349" i="9"/>
  <c r="AI349" i="9"/>
  <c r="AJ349" i="9"/>
  <c r="AG350" i="9"/>
  <c r="AH350" i="9"/>
  <c r="AI350" i="9"/>
  <c r="AJ350" i="9"/>
  <c r="AG351" i="9"/>
  <c r="AH351" i="9"/>
  <c r="AI351" i="9"/>
  <c r="AJ351" i="9"/>
  <c r="AG352" i="9"/>
  <c r="AH352" i="9"/>
  <c r="AI352" i="9"/>
  <c r="AJ352" i="9"/>
  <c r="AG353" i="9"/>
  <c r="AH353" i="9"/>
  <c r="AI353" i="9"/>
  <c r="AJ353" i="9"/>
  <c r="AG354" i="9"/>
  <c r="AH354" i="9"/>
  <c r="AI354" i="9"/>
  <c r="AJ354" i="9"/>
  <c r="AG355" i="9"/>
  <c r="AH355" i="9"/>
  <c r="AI355" i="9"/>
  <c r="AJ355" i="9"/>
  <c r="AG356" i="9"/>
  <c r="AH356" i="9"/>
  <c r="AI356" i="9"/>
  <c r="AJ356" i="9"/>
  <c r="AG357" i="9"/>
  <c r="AH357" i="9"/>
  <c r="AI357" i="9"/>
  <c r="AJ357" i="9"/>
  <c r="AG358" i="9"/>
  <c r="AH358" i="9"/>
  <c r="AI358" i="9"/>
  <c r="AJ358" i="9"/>
  <c r="AG359" i="9"/>
  <c r="AH359" i="9"/>
  <c r="AI359" i="9"/>
  <c r="AJ359" i="9"/>
  <c r="AG360" i="9"/>
  <c r="AH360" i="9"/>
  <c r="AI360" i="9"/>
  <c r="AJ360" i="9"/>
  <c r="AG361" i="9"/>
  <c r="AH361" i="9"/>
  <c r="AI361" i="9"/>
  <c r="AJ361" i="9"/>
  <c r="AG362" i="9"/>
  <c r="AH362" i="9"/>
  <c r="AI362" i="9"/>
  <c r="AJ362" i="9"/>
  <c r="AG363" i="9"/>
  <c r="AH363" i="9"/>
  <c r="AI363" i="9"/>
  <c r="AJ363" i="9"/>
  <c r="AG364" i="9"/>
  <c r="AH364" i="9"/>
  <c r="K11" i="12" s="1"/>
  <c r="AI364" i="9"/>
  <c r="N11" i="12" s="1"/>
  <c r="AJ364" i="9"/>
  <c r="H11" i="12" s="1"/>
  <c r="AG365" i="9"/>
  <c r="AH365" i="9"/>
  <c r="AI365" i="9"/>
  <c r="AJ365" i="9"/>
  <c r="AG366" i="9"/>
  <c r="AH366" i="9"/>
  <c r="AI366" i="9"/>
  <c r="AJ366" i="9"/>
  <c r="AG367" i="9"/>
  <c r="AH367" i="9"/>
  <c r="AI367" i="9"/>
  <c r="AJ367" i="9"/>
  <c r="AG368" i="9"/>
  <c r="AH368" i="9"/>
  <c r="AI368" i="9"/>
  <c r="AJ368" i="9"/>
  <c r="AG369" i="9"/>
  <c r="AH369" i="9"/>
  <c r="AI369" i="9"/>
  <c r="AJ369" i="9"/>
  <c r="AG370" i="9"/>
  <c r="AH370" i="9"/>
  <c r="AI370" i="9"/>
  <c r="AJ370" i="9"/>
  <c r="AG371" i="9"/>
  <c r="AH371" i="9"/>
  <c r="AI371" i="9"/>
  <c r="AJ371" i="9"/>
  <c r="AG372" i="9"/>
  <c r="AH372" i="9"/>
  <c r="AI372" i="9"/>
  <c r="AJ372" i="9"/>
  <c r="AG373" i="9"/>
  <c r="AH373" i="9"/>
  <c r="AI373" i="9"/>
  <c r="AJ373" i="9"/>
  <c r="AG374" i="9"/>
  <c r="AH374" i="9"/>
  <c r="AI374" i="9"/>
  <c r="AJ374" i="9"/>
  <c r="AG375" i="9"/>
  <c r="AH375" i="9"/>
  <c r="AI375" i="9"/>
  <c r="AJ375" i="9"/>
  <c r="AG376" i="9"/>
  <c r="AH376" i="9"/>
  <c r="AI376" i="9"/>
  <c r="AJ376" i="9"/>
  <c r="AG377" i="9"/>
  <c r="AH377" i="9"/>
  <c r="AI377" i="9"/>
  <c r="AJ377" i="9"/>
  <c r="AG378" i="9"/>
  <c r="AH378" i="9"/>
  <c r="AI378" i="9"/>
  <c r="AJ378" i="9"/>
  <c r="AG379" i="9"/>
  <c r="AH379" i="9"/>
  <c r="AI379" i="9"/>
  <c r="AJ379" i="9"/>
  <c r="AG380" i="9"/>
  <c r="AH380" i="9"/>
  <c r="AI380" i="9"/>
  <c r="AJ380" i="9"/>
  <c r="AG381" i="9"/>
  <c r="AH381" i="9"/>
  <c r="K21" i="12" s="1"/>
  <c r="AI381" i="9"/>
  <c r="N21" i="12" s="1"/>
  <c r="AJ381" i="9"/>
  <c r="H21" i="12" s="1"/>
  <c r="AG382" i="9"/>
  <c r="AH382" i="9"/>
  <c r="AI382" i="9"/>
  <c r="AJ382" i="9"/>
  <c r="AG383" i="9"/>
  <c r="AH383" i="9"/>
  <c r="AI383" i="9"/>
  <c r="AJ383" i="9"/>
  <c r="AG384" i="9"/>
  <c r="AH384" i="9"/>
  <c r="AI384" i="9"/>
  <c r="AJ384" i="9"/>
  <c r="AG385" i="9"/>
  <c r="AH385" i="9"/>
  <c r="AI385" i="9"/>
  <c r="AJ385" i="9"/>
  <c r="AG386" i="9"/>
  <c r="AH386" i="9"/>
  <c r="AI386" i="9"/>
  <c r="AJ386" i="9"/>
  <c r="AG387" i="9"/>
  <c r="AH387" i="9"/>
  <c r="AI387" i="9"/>
  <c r="AJ387" i="9"/>
  <c r="AG388" i="9"/>
  <c r="AH388" i="9"/>
  <c r="AI388" i="9"/>
  <c r="AJ388" i="9"/>
  <c r="AG389" i="9"/>
  <c r="AH389" i="9"/>
  <c r="AI389" i="9"/>
  <c r="AJ389" i="9"/>
  <c r="AG390" i="9"/>
  <c r="AH390" i="9"/>
  <c r="AI390" i="9"/>
  <c r="AJ390" i="9"/>
  <c r="AG391" i="9"/>
  <c r="AH391" i="9"/>
  <c r="AI391" i="9"/>
  <c r="AJ391" i="9"/>
  <c r="AG392" i="9"/>
  <c r="AH392" i="9"/>
  <c r="AI392" i="9"/>
  <c r="AJ392" i="9"/>
  <c r="AG393" i="9"/>
  <c r="AH393" i="9"/>
  <c r="AI393" i="9"/>
  <c r="AJ393" i="9"/>
  <c r="AG394" i="9"/>
  <c r="AH394" i="9"/>
  <c r="AI394" i="9"/>
  <c r="AJ394" i="9"/>
  <c r="AG395" i="9"/>
  <c r="AH395" i="9"/>
  <c r="AI395" i="9"/>
  <c r="AJ395" i="9"/>
  <c r="AG396" i="9"/>
  <c r="AH396" i="9"/>
  <c r="AI396" i="9"/>
  <c r="AJ396" i="9"/>
  <c r="AG397" i="9"/>
  <c r="AH397" i="9"/>
  <c r="AI397" i="9"/>
  <c r="AJ397" i="9"/>
  <c r="AG398" i="9"/>
  <c r="AH398" i="9"/>
  <c r="AI398" i="9"/>
  <c r="AJ398" i="9"/>
  <c r="AG399" i="9"/>
  <c r="AH399" i="9"/>
  <c r="AI399" i="9"/>
  <c r="AJ399" i="9"/>
  <c r="AG400" i="9"/>
  <c r="AH400" i="9"/>
  <c r="AI400" i="9"/>
  <c r="AJ400" i="9"/>
  <c r="AG401" i="9"/>
  <c r="AH401" i="9"/>
  <c r="AI401" i="9"/>
  <c r="AJ401" i="9"/>
  <c r="AG402" i="9"/>
  <c r="AH402" i="9"/>
  <c r="AI402" i="9"/>
  <c r="AJ402" i="9"/>
  <c r="AG403" i="9"/>
  <c r="AH403" i="9"/>
  <c r="AI403" i="9"/>
  <c r="AJ403" i="9"/>
  <c r="AG404" i="9"/>
  <c r="AH404" i="9"/>
  <c r="AI404" i="9"/>
  <c r="AJ404" i="9"/>
  <c r="AG405" i="9"/>
  <c r="AH405" i="9"/>
  <c r="AI405" i="9"/>
  <c r="AJ405" i="9"/>
  <c r="AG406" i="9"/>
  <c r="AH406" i="9"/>
  <c r="AI406" i="9"/>
  <c r="AJ406" i="9"/>
  <c r="AG407" i="9"/>
  <c r="AH407" i="9"/>
  <c r="AI407" i="9"/>
  <c r="AJ407" i="9"/>
  <c r="AG408" i="9"/>
  <c r="AH408" i="9"/>
  <c r="AI408" i="9"/>
  <c r="AJ408" i="9"/>
  <c r="AG409" i="9"/>
  <c r="AH409" i="9"/>
  <c r="AI409" i="9"/>
  <c r="AJ409" i="9"/>
  <c r="AG410" i="9"/>
  <c r="AH410" i="9"/>
  <c r="AI410" i="9"/>
  <c r="AJ410" i="9"/>
  <c r="AG411" i="9"/>
  <c r="AH411" i="9"/>
  <c r="AI411" i="9"/>
  <c r="AJ411" i="9"/>
  <c r="AG412" i="9"/>
  <c r="AH412" i="9"/>
  <c r="AI412" i="9"/>
  <c r="AJ412" i="9"/>
  <c r="AG413" i="9"/>
  <c r="AH413" i="9"/>
  <c r="AI413" i="9"/>
  <c r="AJ413" i="9"/>
  <c r="AG414" i="9"/>
  <c r="AH414" i="9"/>
  <c r="AI414" i="9"/>
  <c r="AJ414" i="9"/>
  <c r="AG415" i="9"/>
  <c r="AH415" i="9"/>
  <c r="AI415" i="9"/>
  <c r="AJ415" i="9"/>
  <c r="AG416" i="9"/>
  <c r="AH416" i="9"/>
  <c r="AI416" i="9"/>
  <c r="AJ416" i="9"/>
  <c r="AG417" i="9"/>
  <c r="AH417" i="9"/>
  <c r="AI417" i="9"/>
  <c r="AJ417" i="9"/>
  <c r="AG418" i="9"/>
  <c r="AH418" i="9"/>
  <c r="AI418" i="9"/>
  <c r="AJ418" i="9"/>
  <c r="AG419" i="9"/>
  <c r="AH419" i="9"/>
  <c r="AI419" i="9"/>
  <c r="AJ419" i="9"/>
  <c r="AG420" i="9"/>
  <c r="AH420" i="9"/>
  <c r="AI420" i="9"/>
  <c r="AJ420" i="9"/>
  <c r="AG421" i="9"/>
  <c r="AH421" i="9"/>
  <c r="AI421" i="9"/>
  <c r="AJ421" i="9"/>
  <c r="AG422" i="9"/>
  <c r="AH422" i="9"/>
  <c r="AI422" i="9"/>
  <c r="AJ422" i="9"/>
  <c r="AG423" i="9"/>
  <c r="AH423" i="9"/>
  <c r="AI423" i="9"/>
  <c r="AJ423" i="9"/>
  <c r="AG424" i="9"/>
  <c r="AH424" i="9"/>
  <c r="AI424" i="9"/>
  <c r="AJ424" i="9"/>
  <c r="AG425" i="9"/>
  <c r="AH425" i="9"/>
  <c r="AI425" i="9"/>
  <c r="AJ425" i="9"/>
  <c r="AG426" i="9"/>
  <c r="AH426" i="9"/>
  <c r="AI426" i="9"/>
  <c r="AJ426" i="9"/>
  <c r="AG427" i="9"/>
  <c r="AH427" i="9"/>
  <c r="AI427" i="9"/>
  <c r="AJ427" i="9"/>
  <c r="AG428" i="9"/>
  <c r="AH428" i="9"/>
  <c r="AI428" i="9"/>
  <c r="AJ428" i="9"/>
  <c r="AG429" i="9"/>
  <c r="AH429" i="9"/>
  <c r="AI429" i="9"/>
  <c r="AJ429" i="9"/>
  <c r="AG430" i="9"/>
  <c r="AH430" i="9"/>
  <c r="AI430" i="9"/>
  <c r="AJ430" i="9"/>
  <c r="AG431" i="9"/>
  <c r="AH431" i="9"/>
  <c r="AI431" i="9"/>
  <c r="AJ431" i="9"/>
  <c r="AG432" i="9"/>
  <c r="AH432" i="9"/>
  <c r="AI432" i="9"/>
  <c r="AJ432" i="9"/>
  <c r="AG433" i="9"/>
  <c r="AH433" i="9"/>
  <c r="AI433" i="9"/>
  <c r="AJ433" i="9"/>
  <c r="AG434" i="9"/>
  <c r="AH434" i="9"/>
  <c r="AI434" i="9"/>
  <c r="AJ434" i="9"/>
  <c r="AG435" i="9"/>
  <c r="AH435" i="9"/>
  <c r="AI435" i="9"/>
  <c r="AJ435" i="9"/>
  <c r="AG436" i="9"/>
  <c r="AH436" i="9"/>
  <c r="K46" i="12" s="1"/>
  <c r="AI436" i="9"/>
  <c r="N46" i="12" s="1"/>
  <c r="AJ436" i="9"/>
  <c r="H46" i="12" s="1"/>
  <c r="AG437" i="9"/>
  <c r="AH437" i="9"/>
  <c r="AI437" i="9"/>
  <c r="AJ437" i="9"/>
  <c r="AG438" i="9"/>
  <c r="AH438" i="9"/>
  <c r="AI438" i="9"/>
  <c r="AJ438" i="9"/>
  <c r="AG439" i="9"/>
  <c r="AH439" i="9"/>
  <c r="AI439" i="9"/>
  <c r="AJ439" i="9"/>
  <c r="AG440" i="9"/>
  <c r="AH440" i="9"/>
  <c r="AI440" i="9"/>
  <c r="AJ440" i="9"/>
  <c r="AG441" i="9"/>
  <c r="AH441" i="9"/>
  <c r="AI441" i="9"/>
  <c r="AJ441" i="9"/>
  <c r="AG442" i="9"/>
  <c r="AH442" i="9"/>
  <c r="AI442" i="9"/>
  <c r="AJ442" i="9"/>
  <c r="AG443" i="9"/>
  <c r="AH443" i="9"/>
  <c r="AI443" i="9"/>
  <c r="AJ443" i="9"/>
  <c r="AG444" i="9"/>
  <c r="AH444" i="9"/>
  <c r="AI444" i="9"/>
  <c r="AJ444" i="9"/>
  <c r="AG445" i="9"/>
  <c r="AH445" i="9"/>
  <c r="AI445" i="9"/>
  <c r="AJ445" i="9"/>
  <c r="AG446" i="9"/>
  <c r="AH446" i="9"/>
  <c r="AI446" i="9"/>
  <c r="AJ446" i="9"/>
  <c r="AG447" i="9"/>
  <c r="AH447" i="9"/>
  <c r="AI447" i="9"/>
  <c r="AJ447" i="9"/>
  <c r="AG448" i="9"/>
  <c r="AH448" i="9"/>
  <c r="AI448" i="9"/>
  <c r="AJ448" i="9"/>
  <c r="AG449" i="9"/>
  <c r="AH449" i="9"/>
  <c r="AI449" i="9"/>
  <c r="AJ449" i="9"/>
  <c r="AG450" i="9"/>
  <c r="AH450" i="9"/>
  <c r="AI450" i="9"/>
  <c r="AJ450" i="9"/>
  <c r="AG451" i="9"/>
  <c r="AH451" i="9"/>
  <c r="AI451" i="9"/>
  <c r="AJ451" i="9"/>
  <c r="AG452" i="9"/>
  <c r="AH452" i="9"/>
  <c r="AI452" i="9"/>
  <c r="AJ452" i="9"/>
  <c r="AG453" i="9"/>
  <c r="AH453" i="9"/>
  <c r="AI453" i="9"/>
  <c r="AJ453" i="9"/>
  <c r="AG454" i="9"/>
  <c r="AH454" i="9"/>
  <c r="AI454" i="9"/>
  <c r="AJ454" i="9"/>
  <c r="AG455" i="9"/>
  <c r="AH455" i="9"/>
  <c r="AI455" i="9"/>
  <c r="AJ455" i="9"/>
  <c r="AG456" i="9"/>
  <c r="AH456" i="9"/>
  <c r="AI456" i="9"/>
  <c r="AJ456" i="9"/>
  <c r="AG457" i="9"/>
  <c r="AH457" i="9"/>
  <c r="AI457" i="9"/>
  <c r="AJ457" i="9"/>
  <c r="AG458" i="9"/>
  <c r="AH458" i="9"/>
  <c r="AI458" i="9"/>
  <c r="AJ458" i="9"/>
  <c r="AG459" i="9"/>
  <c r="AH459" i="9"/>
  <c r="AI459" i="9"/>
  <c r="AJ459" i="9"/>
  <c r="AG460" i="9"/>
  <c r="AH460" i="9"/>
  <c r="AI460" i="9"/>
  <c r="AJ460" i="9"/>
  <c r="AG461" i="9"/>
  <c r="AH461" i="9"/>
  <c r="AI461" i="9"/>
  <c r="AJ461" i="9"/>
  <c r="AG462" i="9"/>
  <c r="AH462" i="9"/>
  <c r="AI462" i="9"/>
  <c r="AJ462" i="9"/>
  <c r="AG463" i="9"/>
  <c r="AH463" i="9"/>
  <c r="AI463" i="9"/>
  <c r="AJ463" i="9"/>
  <c r="AG464" i="9"/>
  <c r="AH464" i="9"/>
  <c r="AI464" i="9"/>
  <c r="AJ464" i="9"/>
  <c r="AG465" i="9"/>
  <c r="AH465" i="9"/>
  <c r="AI465" i="9"/>
  <c r="AJ465" i="9"/>
  <c r="AG466" i="9"/>
  <c r="AH466" i="9"/>
  <c r="AI466" i="9"/>
  <c r="AJ466" i="9"/>
  <c r="AG467" i="9"/>
  <c r="AH467" i="9"/>
  <c r="K32" i="12" s="1"/>
  <c r="AI467" i="9"/>
  <c r="N32" i="12" s="1"/>
  <c r="AJ467" i="9"/>
  <c r="H32" i="12" s="1"/>
  <c r="AG468" i="9"/>
  <c r="AH468" i="9"/>
  <c r="AI468" i="9"/>
  <c r="AJ468" i="9"/>
  <c r="AG469" i="9"/>
  <c r="AH469" i="9"/>
  <c r="AI469" i="9"/>
  <c r="AJ469" i="9"/>
  <c r="AG470" i="9"/>
  <c r="AH470" i="9"/>
  <c r="AI470" i="9"/>
  <c r="AJ470" i="9"/>
  <c r="AG471" i="9"/>
  <c r="AH471" i="9"/>
  <c r="AI471" i="9"/>
  <c r="AJ471" i="9"/>
  <c r="AG472" i="9"/>
  <c r="AH472" i="9"/>
  <c r="AI472" i="9"/>
  <c r="AJ472" i="9"/>
  <c r="AG473" i="9"/>
  <c r="AH473" i="9"/>
  <c r="AI473" i="9"/>
  <c r="AJ473" i="9"/>
  <c r="AG474" i="9"/>
  <c r="AH474" i="9"/>
  <c r="AI474" i="9"/>
  <c r="AJ474" i="9"/>
  <c r="AG475" i="9"/>
  <c r="AH475" i="9"/>
  <c r="AI475" i="9"/>
  <c r="AJ475" i="9"/>
  <c r="AG476" i="9"/>
  <c r="AH476" i="9"/>
  <c r="K45" i="12" s="1"/>
  <c r="AI476" i="9"/>
  <c r="N45" i="12" s="1"/>
  <c r="AJ476" i="9"/>
  <c r="AG477" i="9"/>
  <c r="AH477" i="9"/>
  <c r="AI477" i="9"/>
  <c r="AJ477" i="9"/>
  <c r="AG478" i="9"/>
  <c r="AH478" i="9"/>
  <c r="AI478" i="9"/>
  <c r="AJ478" i="9"/>
  <c r="AG479" i="9"/>
  <c r="AH479" i="9"/>
  <c r="AI479" i="9"/>
  <c r="AJ479" i="9"/>
  <c r="AG480" i="9"/>
  <c r="AH480" i="9"/>
  <c r="AI480" i="9"/>
  <c r="AJ480" i="9"/>
  <c r="AG481" i="9"/>
  <c r="AH481" i="9"/>
  <c r="K4" i="12" s="1"/>
  <c r="AI481" i="9"/>
  <c r="N4" i="12" s="1"/>
  <c r="AJ481" i="9"/>
  <c r="H4" i="12" s="1"/>
  <c r="AG482" i="9"/>
  <c r="AH482" i="9"/>
  <c r="AI482" i="9"/>
  <c r="AJ482" i="9"/>
  <c r="AG483" i="9"/>
  <c r="AH483" i="9"/>
  <c r="AI483" i="9"/>
  <c r="AJ483" i="9"/>
  <c r="AG484" i="9"/>
  <c r="AH484" i="9"/>
  <c r="AI484" i="9"/>
  <c r="AJ484" i="9"/>
  <c r="AG485" i="9"/>
  <c r="AH485" i="9"/>
  <c r="AI485" i="9"/>
  <c r="AJ485" i="9"/>
  <c r="AG486" i="9"/>
  <c r="AH486" i="9"/>
  <c r="AI486" i="9"/>
  <c r="AJ486" i="9"/>
  <c r="AG487" i="9"/>
  <c r="AH487" i="9"/>
  <c r="AI487" i="9"/>
  <c r="AJ487" i="9"/>
  <c r="AG488" i="9"/>
  <c r="AH488" i="9"/>
  <c r="AI488" i="9"/>
  <c r="AJ488" i="9"/>
  <c r="AG489" i="9"/>
  <c r="AH489" i="9"/>
  <c r="AI489" i="9"/>
  <c r="AJ489" i="9"/>
  <c r="AG490" i="9"/>
  <c r="AH490" i="9"/>
  <c r="AI490" i="9"/>
  <c r="AJ490" i="9"/>
  <c r="AG491" i="9"/>
  <c r="AH491" i="9"/>
  <c r="AI491" i="9"/>
  <c r="AJ491" i="9"/>
  <c r="AG492" i="9"/>
  <c r="AH492" i="9"/>
  <c r="AI492" i="9"/>
  <c r="AJ492" i="9"/>
  <c r="AG493" i="9"/>
  <c r="AH493" i="9"/>
  <c r="AI493" i="9"/>
  <c r="AJ493" i="9"/>
  <c r="AG494" i="9"/>
  <c r="AH494" i="9"/>
  <c r="AI494" i="9"/>
  <c r="AJ494" i="9"/>
  <c r="AG495" i="9"/>
  <c r="AH495" i="9"/>
  <c r="AI495" i="9"/>
  <c r="AJ495" i="9"/>
  <c r="AG496" i="9"/>
  <c r="AH496" i="9"/>
  <c r="AI496" i="9"/>
  <c r="AJ496" i="9"/>
  <c r="AG497" i="9"/>
  <c r="AH497" i="9"/>
  <c r="K27" i="12" s="1"/>
  <c r="AI497" i="9"/>
  <c r="N27" i="12" s="1"/>
  <c r="AJ497" i="9"/>
  <c r="H27" i="12" s="1"/>
  <c r="AG498" i="9"/>
  <c r="AH498" i="9"/>
  <c r="AI498" i="9"/>
  <c r="AJ498" i="9"/>
  <c r="AG499" i="9"/>
  <c r="AH499" i="9"/>
  <c r="AI499" i="9"/>
  <c r="AJ499" i="9"/>
  <c r="AG500" i="9"/>
  <c r="AH500" i="9"/>
  <c r="AI500" i="9"/>
  <c r="AJ500" i="9"/>
  <c r="AG501" i="9"/>
  <c r="AH501" i="9"/>
  <c r="AI501" i="9"/>
  <c r="AJ501" i="9"/>
  <c r="AG502" i="9"/>
  <c r="AH502" i="9"/>
  <c r="K3" i="12" s="1"/>
  <c r="AI502" i="9"/>
  <c r="N3" i="12" s="1"/>
  <c r="AJ502" i="9"/>
  <c r="AG503" i="9"/>
  <c r="AH503" i="9"/>
  <c r="AI503" i="9"/>
  <c r="AJ503" i="9"/>
  <c r="AG504" i="9"/>
  <c r="AH504" i="9"/>
  <c r="AI504" i="9"/>
  <c r="AJ504" i="9"/>
  <c r="AG505" i="9"/>
  <c r="AH505" i="9"/>
  <c r="AI505" i="9"/>
  <c r="AJ505" i="9"/>
  <c r="AG506" i="9"/>
  <c r="AH506" i="9"/>
  <c r="AI506" i="9"/>
  <c r="AJ506" i="9"/>
  <c r="AG507" i="9"/>
  <c r="AH507" i="9"/>
  <c r="AI507" i="9"/>
  <c r="AJ507" i="9"/>
  <c r="AG508" i="9"/>
  <c r="AH508" i="9"/>
  <c r="AI508" i="9"/>
  <c r="AJ508" i="9"/>
  <c r="AG509" i="9"/>
  <c r="AH509" i="9"/>
  <c r="AI509" i="9"/>
  <c r="AJ509" i="9"/>
  <c r="AG510" i="9"/>
  <c r="AH510" i="9"/>
  <c r="AI510" i="9"/>
  <c r="AJ510" i="9"/>
  <c r="AG511" i="9"/>
  <c r="AH511" i="9"/>
  <c r="AI511" i="9"/>
  <c r="AJ511" i="9"/>
  <c r="AG512" i="9"/>
  <c r="AH512" i="9"/>
  <c r="AI512" i="9"/>
  <c r="AJ512" i="9"/>
  <c r="AG513" i="9"/>
  <c r="AH513" i="9"/>
  <c r="AI513" i="9"/>
  <c r="AJ513" i="9"/>
  <c r="AG514" i="9"/>
  <c r="AH514" i="9"/>
  <c r="AI514" i="9"/>
  <c r="AJ514" i="9"/>
  <c r="AG515" i="9"/>
  <c r="AH515" i="9"/>
  <c r="K10" i="12" s="1"/>
  <c r="AI515" i="9"/>
  <c r="N10" i="12" s="1"/>
  <c r="AJ515" i="9"/>
  <c r="H10" i="12" s="1"/>
  <c r="AG516" i="9"/>
  <c r="AH516" i="9"/>
  <c r="K17" i="12" s="1"/>
  <c r="AI516" i="9"/>
  <c r="N17" i="12" s="1"/>
  <c r="AJ516" i="9"/>
  <c r="H17" i="12" s="1"/>
  <c r="AG517" i="9"/>
  <c r="AH517" i="9"/>
  <c r="AI517" i="9"/>
  <c r="AJ517" i="9"/>
  <c r="AG518" i="9"/>
  <c r="AH518" i="9"/>
  <c r="AI518" i="9"/>
  <c r="AJ518" i="9"/>
  <c r="AG519" i="9"/>
  <c r="AH519" i="9"/>
  <c r="AI519" i="9"/>
  <c r="AJ519" i="9"/>
  <c r="AG520" i="9"/>
  <c r="AH520" i="9"/>
  <c r="AI520" i="9"/>
  <c r="AJ520" i="9"/>
  <c r="AG521" i="9"/>
  <c r="AH521" i="9"/>
  <c r="AI521" i="9"/>
  <c r="AJ521" i="9"/>
  <c r="AG522" i="9"/>
  <c r="AH522" i="9"/>
  <c r="AI522" i="9"/>
  <c r="AJ522" i="9"/>
  <c r="AG523" i="9"/>
  <c r="AH523" i="9"/>
  <c r="AI523" i="9"/>
  <c r="AJ523" i="9"/>
  <c r="AG524" i="9"/>
  <c r="AH524" i="9"/>
  <c r="AI524" i="9"/>
  <c r="AJ524" i="9"/>
  <c r="AG525" i="9"/>
  <c r="AH525" i="9"/>
  <c r="AI525" i="9"/>
  <c r="AJ525" i="9"/>
  <c r="AG526" i="9"/>
  <c r="AH526" i="9"/>
  <c r="AI526" i="9"/>
  <c r="AJ526" i="9"/>
  <c r="AG527" i="9"/>
  <c r="AH527" i="9"/>
  <c r="K38" i="12" s="1"/>
  <c r="AI527" i="9"/>
  <c r="N38" i="12" s="1"/>
  <c r="AJ527" i="9"/>
  <c r="H38" i="12" s="1"/>
  <c r="AG528" i="9"/>
  <c r="AH528" i="9"/>
  <c r="AI528" i="9"/>
  <c r="AJ528" i="9"/>
  <c r="AG529" i="9"/>
  <c r="AH529" i="9"/>
  <c r="AI529" i="9"/>
  <c r="AJ529" i="9"/>
  <c r="AG530" i="9"/>
  <c r="AH530" i="9"/>
  <c r="AI530" i="9"/>
  <c r="AJ530" i="9"/>
  <c r="AG531" i="9"/>
  <c r="AH531" i="9"/>
  <c r="AI531" i="9"/>
  <c r="AJ531" i="9"/>
  <c r="AG532" i="9"/>
  <c r="AH532" i="9"/>
  <c r="AI532" i="9"/>
  <c r="AJ532" i="9"/>
  <c r="AG533" i="9"/>
  <c r="AH533" i="9"/>
  <c r="AI533" i="9"/>
  <c r="AJ533" i="9"/>
  <c r="AG534" i="9"/>
  <c r="AH534" i="9"/>
  <c r="AI534" i="9"/>
  <c r="AJ534" i="9"/>
  <c r="AG535" i="9"/>
  <c r="AH535" i="9"/>
  <c r="AI535" i="9"/>
  <c r="AJ535" i="9"/>
  <c r="AG536" i="9"/>
  <c r="AH536" i="9"/>
  <c r="AI536" i="9"/>
  <c r="AJ536" i="9"/>
  <c r="AG537" i="9"/>
  <c r="AH537" i="9"/>
  <c r="AI537" i="9"/>
  <c r="AJ537" i="9"/>
  <c r="AG538" i="9"/>
  <c r="AH538" i="9"/>
  <c r="AI538" i="9"/>
  <c r="AJ538" i="9"/>
  <c r="AG539" i="9"/>
  <c r="AH539" i="9"/>
  <c r="AI539" i="9"/>
  <c r="AJ539" i="9"/>
  <c r="AG540" i="9"/>
  <c r="AH540" i="9"/>
  <c r="AI540" i="9"/>
  <c r="AJ540" i="9"/>
  <c r="AG541" i="9"/>
  <c r="AH541" i="9"/>
  <c r="AI541" i="9"/>
  <c r="AJ541" i="9"/>
  <c r="AG542" i="9"/>
  <c r="AH542" i="9"/>
  <c r="AI542" i="9"/>
  <c r="AJ542" i="9"/>
  <c r="AG543" i="9"/>
  <c r="AH543" i="9"/>
  <c r="AI543" i="9"/>
  <c r="AJ543" i="9"/>
  <c r="AG544" i="9"/>
  <c r="AH544" i="9"/>
  <c r="AI544" i="9"/>
  <c r="AJ544" i="9"/>
  <c r="AG545" i="9"/>
  <c r="AH545" i="9"/>
  <c r="AI545" i="9"/>
  <c r="AJ545" i="9"/>
  <c r="AG546" i="9"/>
  <c r="AH546" i="9"/>
  <c r="AI546" i="9"/>
  <c r="AJ546" i="9"/>
  <c r="AG547" i="9"/>
  <c r="AH547" i="9"/>
  <c r="AI547" i="9"/>
  <c r="AJ547" i="9"/>
  <c r="AG548" i="9"/>
  <c r="AH548" i="9"/>
  <c r="AI548" i="9"/>
  <c r="AJ548" i="9"/>
  <c r="AG549" i="9"/>
  <c r="AH549" i="9"/>
  <c r="AI549" i="9"/>
  <c r="AJ549" i="9"/>
  <c r="AG550" i="9"/>
  <c r="AH550" i="9"/>
  <c r="AI550" i="9"/>
  <c r="AJ550" i="9"/>
  <c r="AG551" i="9"/>
  <c r="AH551" i="9"/>
  <c r="AI551" i="9"/>
  <c r="AJ551" i="9"/>
  <c r="AG552" i="9"/>
  <c r="AH552" i="9"/>
  <c r="AI552" i="9"/>
  <c r="AJ552" i="9"/>
  <c r="AG553" i="9"/>
  <c r="AH553" i="9"/>
  <c r="AI553" i="9"/>
  <c r="AJ553" i="9"/>
  <c r="AG554" i="9"/>
  <c r="AH554" i="9"/>
  <c r="AI554" i="9"/>
  <c r="AJ554" i="9"/>
  <c r="AG555" i="9"/>
  <c r="AH555" i="9"/>
  <c r="AI555" i="9"/>
  <c r="AJ555" i="9"/>
  <c r="AG556" i="9"/>
  <c r="AH556" i="9"/>
  <c r="AI556" i="9"/>
  <c r="AJ556" i="9"/>
  <c r="AG557" i="9"/>
  <c r="AH557" i="9"/>
  <c r="AI557" i="9"/>
  <c r="AJ557" i="9"/>
  <c r="AG558" i="9"/>
  <c r="AH558" i="9"/>
  <c r="AI558" i="9"/>
  <c r="AJ558" i="9"/>
  <c r="AG559" i="9"/>
  <c r="AH559" i="9"/>
  <c r="AI559" i="9"/>
  <c r="AJ559" i="9"/>
  <c r="AG560" i="9"/>
  <c r="AH560" i="9"/>
  <c r="AI560" i="9"/>
  <c r="AJ560" i="9"/>
  <c r="AG561" i="9"/>
  <c r="AH561" i="9"/>
  <c r="AI561" i="9"/>
  <c r="AJ561" i="9"/>
  <c r="AG562" i="9"/>
  <c r="AH562" i="9"/>
  <c r="AI562" i="9"/>
  <c r="AJ562" i="9"/>
  <c r="AG563" i="9"/>
  <c r="AH563" i="9"/>
  <c r="AI563" i="9"/>
  <c r="AJ563" i="9"/>
  <c r="AG564" i="9"/>
  <c r="AH564" i="9"/>
  <c r="K51" i="12" s="1"/>
  <c r="AI564" i="9"/>
  <c r="N51" i="12" s="1"/>
  <c r="AJ564" i="9"/>
  <c r="H51" i="12" s="1"/>
  <c r="AG565" i="9"/>
  <c r="AH565" i="9"/>
  <c r="K12" i="12" s="1"/>
  <c r="AI565" i="9"/>
  <c r="N12" i="12" s="1"/>
  <c r="AJ565" i="9"/>
  <c r="H12" i="12" s="1"/>
  <c r="AG566" i="9"/>
  <c r="AH566" i="9"/>
  <c r="AI566" i="9"/>
  <c r="AJ566" i="9"/>
  <c r="AG567" i="9"/>
  <c r="AH567" i="9"/>
  <c r="AI567" i="9"/>
  <c r="AJ567" i="9"/>
  <c r="AG568" i="9"/>
  <c r="AH568" i="9"/>
  <c r="AI568" i="9"/>
  <c r="AJ568" i="9"/>
  <c r="AG569" i="9"/>
  <c r="AH569" i="9"/>
  <c r="AI569" i="9"/>
  <c r="AJ569" i="9"/>
  <c r="AG570" i="9"/>
  <c r="AH570" i="9"/>
  <c r="AI570" i="9"/>
  <c r="AJ570" i="9"/>
  <c r="AG571" i="9"/>
  <c r="AH571" i="9"/>
  <c r="K23" i="12" s="1"/>
  <c r="AI571" i="9"/>
  <c r="N23" i="12" s="1"/>
  <c r="AJ571" i="9"/>
  <c r="H23" i="12" s="1"/>
  <c r="AG572" i="9"/>
  <c r="AH572" i="9"/>
  <c r="AI572" i="9"/>
  <c r="AJ572" i="9"/>
  <c r="AG573" i="9"/>
  <c r="AH573" i="9"/>
  <c r="AI573" i="9"/>
  <c r="AJ573" i="9"/>
  <c r="AG574" i="9"/>
  <c r="AH574" i="9"/>
  <c r="AI574" i="9"/>
  <c r="AJ574" i="9"/>
  <c r="AG575" i="9"/>
  <c r="AH575" i="9"/>
  <c r="K15" i="12" s="1"/>
  <c r="AI575" i="9"/>
  <c r="N15" i="12" s="1"/>
  <c r="AJ575" i="9"/>
  <c r="H15" i="12" s="1"/>
  <c r="AG576" i="9"/>
  <c r="AH576" i="9"/>
  <c r="AI576" i="9"/>
  <c r="AJ576" i="9"/>
  <c r="AG577" i="9"/>
  <c r="AH577" i="9"/>
  <c r="AI577" i="9"/>
  <c r="AJ577" i="9"/>
  <c r="AG578" i="9"/>
  <c r="AH578" i="9"/>
  <c r="AI578" i="9"/>
  <c r="AJ578" i="9"/>
  <c r="AG579" i="9"/>
  <c r="AH579" i="9"/>
  <c r="AI579" i="9"/>
  <c r="AJ579" i="9"/>
  <c r="AG580" i="9"/>
  <c r="AH580" i="9"/>
  <c r="AI580" i="9"/>
  <c r="AJ580" i="9"/>
  <c r="AG581" i="9"/>
  <c r="AH581" i="9"/>
  <c r="AI581" i="9"/>
  <c r="AJ581" i="9"/>
  <c r="AG582" i="9"/>
  <c r="AH582" i="9"/>
  <c r="AI582" i="9"/>
  <c r="AJ582" i="9"/>
  <c r="AG583" i="9"/>
  <c r="AH583" i="9"/>
  <c r="AI583" i="9"/>
  <c r="AJ583" i="9"/>
  <c r="AG584" i="9"/>
  <c r="AH584" i="9"/>
  <c r="AI584" i="9"/>
  <c r="AJ584" i="9"/>
  <c r="AG585" i="9"/>
  <c r="AH585" i="9"/>
  <c r="AI585" i="9"/>
  <c r="AJ585" i="9"/>
  <c r="AG586" i="9"/>
  <c r="AH586" i="9"/>
  <c r="AI586" i="9"/>
  <c r="AJ586" i="9"/>
  <c r="AG587" i="9"/>
  <c r="AH587" i="9"/>
  <c r="AI587" i="9"/>
  <c r="AJ587" i="9"/>
  <c r="AG588" i="9"/>
  <c r="AH588" i="9"/>
  <c r="AI588" i="9"/>
  <c r="AJ588" i="9"/>
  <c r="AG589" i="9"/>
  <c r="AH589" i="9"/>
  <c r="AI589" i="9"/>
  <c r="AJ589" i="9"/>
  <c r="AG590" i="9"/>
  <c r="AH590" i="9"/>
  <c r="AI590" i="9"/>
  <c r="AJ590" i="9"/>
  <c r="AG591" i="9"/>
  <c r="AH591" i="9"/>
  <c r="AI591" i="9"/>
  <c r="AJ591" i="9"/>
  <c r="AG592" i="9"/>
  <c r="AH592" i="9"/>
  <c r="AI592" i="9"/>
  <c r="AJ592" i="9"/>
  <c r="AG593" i="9"/>
  <c r="AH593" i="9"/>
  <c r="K13" i="12" s="1"/>
  <c r="AI593" i="9"/>
  <c r="N13" i="12" s="1"/>
  <c r="AJ593" i="9"/>
  <c r="H13" i="12" s="1"/>
  <c r="AG594" i="9"/>
  <c r="AH594" i="9"/>
  <c r="K37" i="12" s="1"/>
  <c r="AI594" i="9"/>
  <c r="N37" i="12" s="1"/>
  <c r="AJ594" i="9"/>
  <c r="H37" i="12" s="1"/>
  <c r="AG595" i="9"/>
  <c r="AH595" i="9"/>
  <c r="AI595" i="9"/>
  <c r="AJ595" i="9"/>
  <c r="AG596" i="9"/>
  <c r="AH596" i="9"/>
  <c r="AI596" i="9"/>
  <c r="AJ596" i="9"/>
  <c r="AG597" i="9"/>
  <c r="AH597" i="9"/>
  <c r="AI597" i="9"/>
  <c r="AJ597" i="9"/>
  <c r="AG598" i="9"/>
  <c r="AH598" i="9"/>
  <c r="AI598" i="9"/>
  <c r="AJ598" i="9"/>
  <c r="AG599" i="9"/>
  <c r="AH599" i="9"/>
  <c r="AI599" i="9"/>
  <c r="AJ599" i="9"/>
  <c r="AG600" i="9"/>
  <c r="AH600" i="9"/>
  <c r="AI600" i="9"/>
  <c r="AJ600" i="9"/>
  <c r="AG601" i="9"/>
  <c r="AH601" i="9"/>
  <c r="AI601" i="9"/>
  <c r="AJ601" i="9"/>
  <c r="AG602" i="9"/>
  <c r="AH602" i="9"/>
  <c r="AI602" i="9"/>
  <c r="AJ602" i="9"/>
  <c r="AG603" i="9"/>
  <c r="AH603" i="9"/>
  <c r="AI603" i="9"/>
  <c r="AJ603" i="9"/>
  <c r="AG604" i="9"/>
  <c r="AH604" i="9"/>
  <c r="AI604" i="9"/>
  <c r="AJ604" i="9"/>
  <c r="AG605" i="9"/>
  <c r="AH605" i="9"/>
  <c r="AI605" i="9"/>
  <c r="AJ605" i="9"/>
  <c r="AG606" i="9"/>
  <c r="AH606" i="9"/>
  <c r="AI606" i="9"/>
  <c r="AJ606" i="9"/>
  <c r="AG607" i="9"/>
  <c r="AH607" i="9"/>
  <c r="AI607" i="9"/>
  <c r="AJ607" i="9"/>
  <c r="AG608" i="9"/>
  <c r="AH608" i="9"/>
  <c r="AI608" i="9"/>
  <c r="AJ608" i="9"/>
  <c r="AG609" i="9"/>
  <c r="AH609" i="9"/>
  <c r="AI609" i="9"/>
  <c r="AJ609" i="9"/>
  <c r="AG610" i="9"/>
  <c r="AH610" i="9"/>
  <c r="AI610" i="9"/>
  <c r="AJ610" i="9"/>
  <c r="AG611" i="9"/>
  <c r="AH611" i="9"/>
  <c r="AI611" i="9"/>
  <c r="AJ611" i="9"/>
  <c r="AG612" i="9"/>
  <c r="AH612" i="9"/>
  <c r="AI612" i="9"/>
  <c r="AJ612" i="9"/>
  <c r="AG613" i="9"/>
  <c r="AH613" i="9"/>
  <c r="AI613" i="9"/>
  <c r="AJ613" i="9"/>
  <c r="AG614" i="9"/>
  <c r="AH614" i="9"/>
  <c r="AI614" i="9"/>
  <c r="AJ614" i="9"/>
  <c r="AG615" i="9"/>
  <c r="AH615" i="9"/>
  <c r="AI615" i="9"/>
  <c r="AJ615" i="9"/>
  <c r="AG616" i="9"/>
  <c r="AH616" i="9"/>
  <c r="AI616" i="9"/>
  <c r="AJ616" i="9"/>
  <c r="AG617" i="9"/>
  <c r="AH617" i="9"/>
  <c r="AI617" i="9"/>
  <c r="AJ617" i="9"/>
  <c r="AG618" i="9"/>
  <c r="AH618" i="9"/>
  <c r="AI618" i="9"/>
  <c r="AJ618" i="9"/>
  <c r="AG619" i="9"/>
  <c r="AH619" i="9"/>
  <c r="AI619" i="9"/>
  <c r="AJ619" i="9"/>
  <c r="AG620" i="9"/>
  <c r="AH620" i="9"/>
  <c r="AI620" i="9"/>
  <c r="AJ620" i="9"/>
  <c r="AG621" i="9"/>
  <c r="AH621" i="9"/>
  <c r="K19" i="12" s="1"/>
  <c r="AI621" i="9"/>
  <c r="N19" i="12" s="1"/>
  <c r="AJ621" i="9"/>
  <c r="H19" i="12" s="1"/>
  <c r="AG622" i="9"/>
  <c r="AH622" i="9"/>
  <c r="AI622" i="9"/>
  <c r="AJ622" i="9"/>
  <c r="AG623" i="9"/>
  <c r="AH623" i="9"/>
  <c r="AI623" i="9"/>
  <c r="AJ623" i="9"/>
  <c r="AG624" i="9"/>
  <c r="AH624" i="9"/>
  <c r="AI624" i="9"/>
  <c r="AJ624" i="9"/>
  <c r="AG625" i="9"/>
  <c r="AH625" i="9"/>
  <c r="AI625" i="9"/>
  <c r="AJ625" i="9"/>
  <c r="AG626" i="9"/>
  <c r="AH626" i="9"/>
  <c r="AI626" i="9"/>
  <c r="AJ626" i="9"/>
  <c r="AG627" i="9"/>
  <c r="AH627" i="9"/>
  <c r="AI627" i="9"/>
  <c r="AJ627" i="9"/>
  <c r="AG628" i="9"/>
  <c r="AH628" i="9"/>
  <c r="AI628" i="9"/>
  <c r="AJ628" i="9"/>
  <c r="AG629" i="9"/>
  <c r="AH629" i="9"/>
  <c r="AI629" i="9"/>
  <c r="AJ629" i="9"/>
  <c r="AG630" i="9"/>
  <c r="AH630" i="9"/>
  <c r="AI630" i="9"/>
  <c r="AJ630" i="9"/>
  <c r="AG631" i="9"/>
  <c r="AH631" i="9"/>
  <c r="AI631" i="9"/>
  <c r="AJ631" i="9"/>
  <c r="AG632" i="9"/>
  <c r="AH632" i="9"/>
  <c r="AI632" i="9"/>
  <c r="AJ632" i="9"/>
  <c r="AG633" i="9"/>
  <c r="AH633" i="9"/>
  <c r="AI633" i="9"/>
  <c r="AJ633" i="9"/>
  <c r="AG634" i="9"/>
  <c r="AH634" i="9"/>
  <c r="AI634" i="9"/>
  <c r="AJ634" i="9"/>
  <c r="AG635" i="9"/>
  <c r="AH635" i="9"/>
  <c r="AI635" i="9"/>
  <c r="AJ635" i="9"/>
  <c r="AG636" i="9"/>
  <c r="AH636" i="9"/>
  <c r="AI636" i="9"/>
  <c r="AJ636" i="9"/>
  <c r="AG637" i="9"/>
  <c r="AH637" i="9"/>
  <c r="AI637" i="9"/>
  <c r="AJ637" i="9"/>
  <c r="AG638" i="9"/>
  <c r="AH638" i="9"/>
  <c r="AI638" i="9"/>
  <c r="AJ638" i="9"/>
  <c r="AG639" i="9"/>
  <c r="AH639" i="9"/>
  <c r="AI639" i="9"/>
  <c r="AJ639" i="9"/>
  <c r="AG640" i="9"/>
  <c r="AH640" i="9"/>
  <c r="AI640" i="9"/>
  <c r="AJ640" i="9"/>
  <c r="AG641" i="9"/>
  <c r="AH641" i="9"/>
  <c r="AI641" i="9"/>
  <c r="AJ641" i="9"/>
  <c r="AG642" i="9"/>
  <c r="AH642" i="9"/>
  <c r="AI642" i="9"/>
  <c r="AJ642" i="9"/>
  <c r="AG643" i="9"/>
  <c r="AH643" i="9"/>
  <c r="AI643" i="9"/>
  <c r="AJ643" i="9"/>
  <c r="AG644" i="9"/>
  <c r="AH644" i="9"/>
  <c r="AI644" i="9"/>
  <c r="AJ644" i="9"/>
  <c r="AG645" i="9"/>
  <c r="AH645" i="9"/>
  <c r="AI645" i="9"/>
  <c r="AJ645" i="9"/>
  <c r="AG646" i="9"/>
  <c r="AH646" i="9"/>
  <c r="AI646" i="9"/>
  <c r="AJ646" i="9"/>
  <c r="AG647" i="9"/>
  <c r="AH647" i="9"/>
  <c r="AI647" i="9"/>
  <c r="AJ647" i="9"/>
  <c r="AG648" i="9"/>
  <c r="AH648" i="9"/>
  <c r="K26" i="12" s="1"/>
  <c r="AI648" i="9"/>
  <c r="N26" i="12" s="1"/>
  <c r="AJ648" i="9"/>
  <c r="H26" i="12" s="1"/>
  <c r="AG649" i="9"/>
  <c r="AH649" i="9"/>
  <c r="AI649" i="9"/>
  <c r="AJ649" i="9"/>
  <c r="AG650" i="9"/>
  <c r="AH650" i="9"/>
  <c r="AI650" i="9"/>
  <c r="AJ650" i="9"/>
  <c r="AG651" i="9"/>
  <c r="AH651" i="9"/>
  <c r="AI651" i="9"/>
  <c r="AJ651" i="9"/>
  <c r="AG652" i="9"/>
  <c r="AH652" i="9"/>
  <c r="K24" i="12" s="1"/>
  <c r="AI652" i="9"/>
  <c r="N24" i="12" s="1"/>
  <c r="AJ652" i="9"/>
  <c r="H24" i="12" s="1"/>
  <c r="AG653" i="9"/>
  <c r="AH653" i="9"/>
  <c r="AI653" i="9"/>
  <c r="AJ653" i="9"/>
  <c r="AG654" i="9"/>
  <c r="AH654" i="9"/>
  <c r="K29" i="12" s="1"/>
  <c r="AI654" i="9"/>
  <c r="N29" i="12" s="1"/>
  <c r="AJ654" i="9"/>
  <c r="H29" i="12" s="1"/>
  <c r="AG655" i="9"/>
  <c r="AH655" i="9"/>
  <c r="AI655" i="9"/>
  <c r="AJ655" i="9"/>
  <c r="AG656" i="9"/>
  <c r="AH656" i="9"/>
  <c r="AI656" i="9"/>
  <c r="AJ656" i="9"/>
  <c r="AG657" i="9"/>
  <c r="AH657" i="9"/>
  <c r="AI657" i="9"/>
  <c r="AJ657" i="9"/>
  <c r="AG658" i="9"/>
  <c r="AH658" i="9"/>
  <c r="AI658" i="9"/>
  <c r="AJ658" i="9"/>
  <c r="AG659" i="9"/>
  <c r="AH659" i="9"/>
  <c r="AI659" i="9"/>
  <c r="AJ659" i="9"/>
  <c r="AG660" i="9"/>
  <c r="AH660" i="9"/>
  <c r="AI660" i="9"/>
  <c r="AJ660" i="9"/>
  <c r="AG661" i="9"/>
  <c r="AH661" i="9"/>
  <c r="AI661" i="9"/>
  <c r="AJ661" i="9"/>
  <c r="AG662" i="9"/>
  <c r="AH662" i="9"/>
  <c r="AI662" i="9"/>
  <c r="AJ662" i="9"/>
  <c r="AG663" i="9"/>
  <c r="AH663" i="9"/>
  <c r="AI663" i="9"/>
  <c r="AJ663" i="9"/>
  <c r="AG664" i="9"/>
  <c r="AH664" i="9"/>
  <c r="AI664" i="9"/>
  <c r="AJ664" i="9"/>
  <c r="AG665" i="9"/>
  <c r="AH665" i="9"/>
  <c r="AI665" i="9"/>
  <c r="AJ665" i="9"/>
  <c r="AG666" i="9"/>
  <c r="AH666" i="9"/>
  <c r="AI666" i="9"/>
  <c r="AJ666" i="9"/>
  <c r="AG667" i="9"/>
  <c r="AH667" i="9"/>
  <c r="AI667" i="9"/>
  <c r="AJ667" i="9"/>
  <c r="AG668" i="9"/>
  <c r="AH668" i="9"/>
  <c r="K25" i="12" s="1"/>
  <c r="AI668" i="9"/>
  <c r="N25" i="12" s="1"/>
  <c r="AJ668" i="9"/>
  <c r="H25" i="12" s="1"/>
  <c r="AG669" i="9"/>
  <c r="AH669" i="9"/>
  <c r="AI669" i="9"/>
  <c r="AJ669" i="9"/>
  <c r="AG670" i="9"/>
  <c r="AH670" i="9"/>
  <c r="AI670" i="9"/>
  <c r="AJ670" i="9"/>
  <c r="AG671" i="9"/>
  <c r="AH671" i="9"/>
  <c r="AI671" i="9"/>
  <c r="AJ671" i="9"/>
  <c r="AG672" i="9"/>
  <c r="AH672" i="9"/>
  <c r="AI672" i="9"/>
  <c r="AJ672" i="9"/>
  <c r="AG673" i="9"/>
  <c r="AH673" i="9"/>
  <c r="AI673" i="9"/>
  <c r="AJ673" i="9"/>
  <c r="AG674" i="9"/>
  <c r="AH674" i="9"/>
  <c r="AI674" i="9"/>
  <c r="AJ674" i="9"/>
  <c r="AG675" i="9"/>
  <c r="AH675" i="9"/>
  <c r="AI675" i="9"/>
  <c r="AJ675" i="9"/>
  <c r="AG676" i="9"/>
  <c r="AH676" i="9"/>
  <c r="AI676" i="9"/>
  <c r="AJ676" i="9"/>
  <c r="AG677" i="9"/>
  <c r="AH677" i="9"/>
  <c r="AI677" i="9"/>
  <c r="AJ677" i="9"/>
  <c r="AG678" i="9"/>
  <c r="AH678" i="9"/>
  <c r="K48" i="12" s="1"/>
  <c r="AI678" i="9"/>
  <c r="N48" i="12" s="1"/>
  <c r="AJ678" i="9"/>
  <c r="H48" i="12" s="1"/>
  <c r="AG679" i="9"/>
  <c r="AH679" i="9"/>
  <c r="AI679" i="9"/>
  <c r="AJ679" i="9"/>
  <c r="AG680" i="9"/>
  <c r="AH680" i="9"/>
  <c r="AI680" i="9"/>
  <c r="AJ680" i="9"/>
  <c r="AG681" i="9"/>
  <c r="AH681" i="9"/>
  <c r="AI681" i="9"/>
  <c r="AJ681" i="9"/>
  <c r="AG682" i="9"/>
  <c r="AH682" i="9"/>
  <c r="AI682" i="9"/>
  <c r="AJ682" i="9"/>
  <c r="AG683" i="9"/>
  <c r="AH683" i="9"/>
  <c r="K2" i="12" s="1"/>
  <c r="AI683" i="9"/>
  <c r="N2" i="12" s="1"/>
  <c r="AJ683" i="9"/>
  <c r="H2" i="12" s="1"/>
  <c r="AG684" i="9"/>
  <c r="AH684" i="9"/>
  <c r="AI684" i="9"/>
  <c r="AJ684" i="9"/>
  <c r="AG685" i="9"/>
  <c r="AH685" i="9"/>
  <c r="AI685" i="9"/>
  <c r="AJ685" i="9"/>
  <c r="AG686" i="9"/>
  <c r="AH686" i="9"/>
  <c r="K5" i="12" s="1"/>
  <c r="AI686" i="9"/>
  <c r="N5" i="12" s="1"/>
  <c r="AJ686" i="9"/>
  <c r="H5" i="12" s="1"/>
  <c r="AG687" i="9"/>
  <c r="AH687" i="9"/>
  <c r="AI687" i="9"/>
  <c r="AJ687" i="9"/>
  <c r="AG688" i="9"/>
  <c r="AH688" i="9"/>
  <c r="K39" i="12" s="1"/>
  <c r="AI688" i="9"/>
  <c r="N39" i="12" s="1"/>
  <c r="AJ688" i="9"/>
  <c r="H39" i="12" s="1"/>
  <c r="AG689" i="9"/>
  <c r="AH689" i="9"/>
  <c r="K34" i="12" s="1"/>
  <c r="AI689" i="9"/>
  <c r="N34" i="12" s="1"/>
  <c r="AJ689" i="9"/>
  <c r="H34" i="12" s="1"/>
  <c r="AI2" i="9"/>
  <c r="AH2" i="9"/>
  <c r="AA475" i="10"/>
  <c r="AB475" i="10"/>
  <c r="L32" i="11" s="1"/>
  <c r="AC475" i="10"/>
  <c r="O32" i="11" s="1"/>
  <c r="AD475" i="10"/>
  <c r="I32" i="11" s="1"/>
  <c r="AA476" i="10"/>
  <c r="AB476" i="10"/>
  <c r="L3" i="11" s="1"/>
  <c r="AC476" i="10"/>
  <c r="O3" i="11" s="1"/>
  <c r="AD476" i="10"/>
  <c r="I3" i="11" s="1"/>
  <c r="AA477" i="10"/>
  <c r="AB477" i="10"/>
  <c r="L26" i="11" s="1"/>
  <c r="AC477" i="10"/>
  <c r="AD477" i="10"/>
  <c r="I26" i="11" s="1"/>
  <c r="AA478" i="10"/>
  <c r="AB478" i="10"/>
  <c r="L12" i="11" s="1"/>
  <c r="AC478" i="10"/>
  <c r="O12" i="11" s="1"/>
  <c r="AD478" i="10"/>
  <c r="I12" i="11" s="1"/>
  <c r="AA479" i="10"/>
  <c r="AB479" i="10"/>
  <c r="L20" i="11" s="1"/>
  <c r="AC479" i="10"/>
  <c r="O20" i="11" s="1"/>
  <c r="AD479" i="10"/>
  <c r="I20" i="11" s="1"/>
  <c r="AA480" i="10"/>
  <c r="AB480" i="10"/>
  <c r="L42" i="11" s="1"/>
  <c r="AC480" i="10"/>
  <c r="O42" i="11" s="1"/>
  <c r="AD480" i="10"/>
  <c r="I42" i="11" s="1"/>
  <c r="AA481" i="10"/>
  <c r="AB481" i="10"/>
  <c r="L30" i="11" s="1"/>
  <c r="AC481" i="10"/>
  <c r="AD481" i="10"/>
  <c r="I30" i="11" s="1"/>
  <c r="AA482" i="10"/>
  <c r="AB482" i="10"/>
  <c r="L41" i="11" s="1"/>
  <c r="AC482" i="10"/>
  <c r="O41" i="11" s="1"/>
  <c r="AD482" i="10"/>
  <c r="I41" i="11" s="1"/>
  <c r="AA483" i="10"/>
  <c r="AB483" i="10"/>
  <c r="L9" i="11" s="1"/>
  <c r="AC483" i="10"/>
  <c r="O9" i="11" s="1"/>
  <c r="AD483" i="10"/>
  <c r="I9" i="11" s="1"/>
  <c r="AA484" i="10"/>
  <c r="AB484" i="10"/>
  <c r="L10" i="11" s="1"/>
  <c r="AC484" i="10"/>
  <c r="O10" i="11" s="1"/>
  <c r="AD484" i="10"/>
  <c r="I10" i="11" s="1"/>
  <c r="AA485" i="10"/>
  <c r="AB485" i="10"/>
  <c r="L29" i="11" s="1"/>
  <c r="AC485" i="10"/>
  <c r="AD485" i="10"/>
  <c r="I29" i="11" s="1"/>
  <c r="AA486" i="10"/>
  <c r="AB486" i="10"/>
  <c r="L2" i="11" s="1"/>
  <c r="AC486" i="10"/>
  <c r="O2" i="11" s="1"/>
  <c r="AD486" i="10"/>
  <c r="I2" i="11" s="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D2" i="11"/>
  <c r="E2" i="11"/>
  <c r="F2" i="11" a="1"/>
  <c r="F2" i="11" s="1"/>
  <c r="G2" i="11"/>
  <c r="H2" i="11"/>
  <c r="J2" i="11"/>
  <c r="K2" i="11" s="1"/>
  <c r="M2" i="11"/>
  <c r="N2" i="11" s="1"/>
  <c r="Q42" i="11"/>
  <c r="R42" i="11"/>
  <c r="S42" i="11"/>
  <c r="T42" i="11"/>
  <c r="U42" i="11"/>
  <c r="V42" i="11"/>
  <c r="W42" i="11"/>
  <c r="X42" i="11"/>
  <c r="Y42" i="11"/>
  <c r="Z42" i="11"/>
  <c r="AA42" i="11"/>
  <c r="AB42" i="11"/>
  <c r="AC42" i="11"/>
  <c r="AD42" i="11"/>
  <c r="AE42" i="11"/>
  <c r="P42" i="11"/>
  <c r="D42" i="11"/>
  <c r="E42" i="11"/>
  <c r="F42" i="11" a="1"/>
  <c r="F42" i="11" s="1"/>
  <c r="G42" i="11"/>
  <c r="H42" i="11"/>
  <c r="J42" i="11"/>
  <c r="K42" i="11" s="1"/>
  <c r="M42" i="11"/>
  <c r="N42" i="11" s="1"/>
  <c r="AA463" i="10"/>
  <c r="AB463" i="10"/>
  <c r="AC463" i="10"/>
  <c r="AD463" i="10"/>
  <c r="AA464" i="10"/>
  <c r="AB464" i="10"/>
  <c r="AC464" i="10"/>
  <c r="AD464" i="10"/>
  <c r="AA465" i="10"/>
  <c r="AB465" i="10"/>
  <c r="AC465" i="10"/>
  <c r="AD465" i="10"/>
  <c r="AA466" i="10"/>
  <c r="AB466" i="10"/>
  <c r="AC466" i="10"/>
  <c r="AD466" i="10"/>
  <c r="AA467" i="10"/>
  <c r="AB467" i="10"/>
  <c r="AC467" i="10"/>
  <c r="AD467" i="10"/>
  <c r="AA468" i="10"/>
  <c r="AB468" i="10"/>
  <c r="AC468" i="10"/>
  <c r="AD468" i="10"/>
  <c r="AA469" i="10"/>
  <c r="AB469" i="10"/>
  <c r="AC469" i="10"/>
  <c r="AD469" i="10"/>
  <c r="AA470" i="10"/>
  <c r="AB470" i="10"/>
  <c r="AC470" i="10"/>
  <c r="AD470" i="10"/>
  <c r="I40" i="11" s="1"/>
  <c r="AA471" i="10"/>
  <c r="AB471" i="10"/>
  <c r="L15" i="11" s="1"/>
  <c r="AC471" i="10"/>
  <c r="O15" i="11" s="1"/>
  <c r="AD471" i="10"/>
  <c r="I15" i="11" s="1"/>
  <c r="AA472" i="10"/>
  <c r="AB472" i="10"/>
  <c r="AC472" i="10"/>
  <c r="AD472" i="10"/>
  <c r="AA473" i="10"/>
  <c r="AB473" i="10"/>
  <c r="AC473" i="10"/>
  <c r="AD473" i="10"/>
  <c r="AA474" i="10"/>
  <c r="AB474" i="10"/>
  <c r="L49" i="11" s="1"/>
  <c r="AC474" i="10"/>
  <c r="O49" i="11" s="1"/>
  <c r="AD474" i="10"/>
  <c r="I49" i="11" s="1"/>
  <c r="AA451" i="10"/>
  <c r="AB451" i="10"/>
  <c r="L46" i="11" s="1"/>
  <c r="AC451" i="10"/>
  <c r="O46" i="11" s="1"/>
  <c r="AD451" i="10"/>
  <c r="I46" i="11" s="1"/>
  <c r="AA452" i="10"/>
  <c r="AB452" i="10"/>
  <c r="L18" i="11" s="1"/>
  <c r="AC452" i="10"/>
  <c r="O18" i="11" s="1"/>
  <c r="AD452" i="10"/>
  <c r="I18" i="11" s="1"/>
  <c r="AA453" i="10"/>
  <c r="AB453" i="10"/>
  <c r="L43" i="11" s="1"/>
  <c r="AC453" i="10"/>
  <c r="O43" i="11" s="1"/>
  <c r="AD453" i="10"/>
  <c r="I43" i="11" s="1"/>
  <c r="AA454" i="10"/>
  <c r="AB454" i="10"/>
  <c r="AC454" i="10"/>
  <c r="AD454" i="10"/>
  <c r="AA455" i="10"/>
  <c r="AB455" i="10"/>
  <c r="AC455" i="10"/>
  <c r="AD455" i="10"/>
  <c r="AA456" i="10"/>
  <c r="AB456" i="10"/>
  <c r="L8" i="11" s="1"/>
  <c r="AC456" i="10"/>
  <c r="O8" i="11" s="1"/>
  <c r="AD456" i="10"/>
  <c r="I8" i="11" s="1"/>
  <c r="AA457" i="10"/>
  <c r="AB457" i="10"/>
  <c r="L48" i="11" s="1"/>
  <c r="AC457" i="10"/>
  <c r="O48" i="11" s="1"/>
  <c r="AD457" i="10"/>
  <c r="I48" i="11" s="1"/>
  <c r="AA458" i="10"/>
  <c r="AB458" i="10"/>
  <c r="L4" i="11" s="1"/>
  <c r="AC458" i="10"/>
  <c r="O4" i="11" s="1"/>
  <c r="AD458" i="10"/>
  <c r="I4" i="11" s="1"/>
  <c r="AA459" i="10"/>
  <c r="AB459" i="10"/>
  <c r="AC459" i="10"/>
  <c r="AD459" i="10"/>
  <c r="AA460" i="10"/>
  <c r="AB460" i="10"/>
  <c r="L7" i="11" s="1"/>
  <c r="AC460" i="10"/>
  <c r="O7" i="11" s="1"/>
  <c r="AD460" i="10"/>
  <c r="I7" i="11" s="1"/>
  <c r="AA461" i="10"/>
  <c r="AB461" i="10"/>
  <c r="L11" i="11" s="1"/>
  <c r="AC461" i="10"/>
  <c r="O11" i="11" s="1"/>
  <c r="AD461" i="10"/>
  <c r="I11" i="11" s="1"/>
  <c r="AA462" i="10"/>
  <c r="AB462" i="10"/>
  <c r="L27" i="11" s="1"/>
  <c r="AC462" i="10"/>
  <c r="O27" i="11" s="1"/>
  <c r="AD462" i="10"/>
  <c r="I27" i="11" s="1"/>
  <c r="P40" i="12"/>
  <c r="Q40" i="12"/>
  <c r="R40" i="12"/>
  <c r="S40" i="12"/>
  <c r="T40" i="12"/>
  <c r="U40" i="12"/>
  <c r="V40" i="12"/>
  <c r="W40" i="12"/>
  <c r="X40" i="12"/>
  <c r="Y40" i="12"/>
  <c r="Z40" i="12"/>
  <c r="AA40" i="12"/>
  <c r="AB40" i="12"/>
  <c r="AC40" i="12"/>
  <c r="AD40" i="12"/>
  <c r="AE40" i="12"/>
  <c r="AF40" i="12"/>
  <c r="AG40" i="12"/>
  <c r="AH40" i="12"/>
  <c r="AI40" i="12"/>
  <c r="AJ40" i="12"/>
  <c r="O40" i="12"/>
  <c r="C40" i="12"/>
  <c r="D40" i="12"/>
  <c r="E40" i="12" a="1"/>
  <c r="E40" i="12" s="1"/>
  <c r="F40" i="12"/>
  <c r="G40" i="12"/>
  <c r="I40" i="12"/>
  <c r="J40" i="12" s="1"/>
  <c r="L40" i="12"/>
  <c r="M40" i="12" s="1"/>
  <c r="AA441" i="10"/>
  <c r="AB441" i="10"/>
  <c r="AC441" i="10"/>
  <c r="AD441" i="10"/>
  <c r="AA442" i="10"/>
  <c r="AB442" i="10"/>
  <c r="L6" i="11" s="1"/>
  <c r="AC442" i="10"/>
  <c r="O6" i="11" s="1"/>
  <c r="AD442" i="10"/>
  <c r="I6" i="11" s="1"/>
  <c r="AA443" i="10"/>
  <c r="AB443" i="10"/>
  <c r="AC443" i="10"/>
  <c r="AD443" i="10"/>
  <c r="AA444" i="10"/>
  <c r="AB444" i="10"/>
  <c r="AC444" i="10"/>
  <c r="AD444" i="10"/>
  <c r="AA445" i="10"/>
  <c r="AB445" i="10"/>
  <c r="L23" i="11" s="1"/>
  <c r="AC445" i="10"/>
  <c r="O23" i="11" s="1"/>
  <c r="AD445" i="10"/>
  <c r="I23" i="11" s="1"/>
  <c r="AA446" i="10"/>
  <c r="AB446" i="10"/>
  <c r="AC446" i="10"/>
  <c r="AD446" i="10"/>
  <c r="AA447" i="10"/>
  <c r="AB447" i="10"/>
  <c r="L14" i="11" s="1"/>
  <c r="AC447" i="10"/>
  <c r="O14" i="11" s="1"/>
  <c r="AD447" i="10"/>
  <c r="I14" i="11" s="1"/>
  <c r="AA448" i="10"/>
  <c r="AB448" i="10"/>
  <c r="AC448" i="10"/>
  <c r="AD448" i="10"/>
  <c r="AA449" i="10"/>
  <c r="AB449" i="10"/>
  <c r="AC449" i="10"/>
  <c r="AD449" i="10"/>
  <c r="AA450" i="10"/>
  <c r="AB450" i="10"/>
  <c r="L22" i="11" s="1"/>
  <c r="AC450" i="10"/>
  <c r="O22" i="11" s="1"/>
  <c r="AD450" i="10"/>
  <c r="I22" i="11" s="1"/>
  <c r="D47" i="11"/>
  <c r="E47" i="11"/>
  <c r="F47" i="11" a="1"/>
  <c r="F47" i="11" s="1"/>
  <c r="G47" i="11"/>
  <c r="H47" i="11"/>
  <c r="J47" i="11"/>
  <c r="K47" i="11" s="1"/>
  <c r="M47" i="11"/>
  <c r="N47" i="11" s="1"/>
  <c r="D38" i="11"/>
  <c r="E38" i="11"/>
  <c r="F38" i="11" a="1"/>
  <c r="F38" i="11" s="1"/>
  <c r="G38" i="11"/>
  <c r="H38" i="11"/>
  <c r="J38" i="11"/>
  <c r="K38" i="11" s="1"/>
  <c r="M38" i="11"/>
  <c r="N38" i="11" s="1"/>
  <c r="Q7" i="11"/>
  <c r="R7" i="11"/>
  <c r="S7" i="11"/>
  <c r="T7" i="11"/>
  <c r="U7" i="11"/>
  <c r="V7" i="11"/>
  <c r="W7" i="11"/>
  <c r="X7" i="11"/>
  <c r="Y7" i="11"/>
  <c r="Z7" i="11"/>
  <c r="AA7" i="11"/>
  <c r="AB7" i="11"/>
  <c r="AC7" i="11"/>
  <c r="AD7" i="11"/>
  <c r="AE7" i="11"/>
  <c r="Q38" i="11"/>
  <c r="R38" i="11"/>
  <c r="S38" i="11"/>
  <c r="T38" i="11"/>
  <c r="U38" i="11"/>
  <c r="V38" i="11"/>
  <c r="W38" i="11"/>
  <c r="X38" i="11"/>
  <c r="Y38" i="11"/>
  <c r="Z38" i="11"/>
  <c r="AA38" i="11"/>
  <c r="AB38" i="11"/>
  <c r="AC38" i="11"/>
  <c r="AD38" i="11"/>
  <c r="AE38" i="11"/>
  <c r="P38" i="11"/>
  <c r="P23" i="12"/>
  <c r="Q23" i="12"/>
  <c r="R23" i="12"/>
  <c r="S23" i="12"/>
  <c r="T23" i="12"/>
  <c r="U23" i="12"/>
  <c r="V23" i="12"/>
  <c r="W23" i="12"/>
  <c r="X23" i="12"/>
  <c r="Y23" i="12"/>
  <c r="Z23" i="12"/>
  <c r="AA23" i="12"/>
  <c r="AB23" i="12"/>
  <c r="AC23" i="12"/>
  <c r="AD23" i="12"/>
  <c r="AE23" i="12"/>
  <c r="AF23" i="12"/>
  <c r="AG23" i="12"/>
  <c r="AH23" i="12"/>
  <c r="AI23" i="12"/>
  <c r="AJ23" i="12"/>
  <c r="O23" i="12"/>
  <c r="C23" i="12"/>
  <c r="D23" i="12"/>
  <c r="E23" i="12" a="1"/>
  <c r="E23" i="12" s="1"/>
  <c r="F23" i="12"/>
  <c r="G23" i="12"/>
  <c r="I23" i="12"/>
  <c r="J23" i="12" s="1"/>
  <c r="L23" i="12"/>
  <c r="M23" i="12" s="1"/>
  <c r="L2" i="12"/>
  <c r="O7" i="12"/>
  <c r="O6" i="12"/>
  <c r="P55" i="12"/>
  <c r="Q55" i="12"/>
  <c r="R55" i="12"/>
  <c r="S55" i="12"/>
  <c r="T55" i="12"/>
  <c r="U55" i="12"/>
  <c r="V55" i="12"/>
  <c r="W55" i="12"/>
  <c r="X55" i="12"/>
  <c r="Y55" i="12"/>
  <c r="Z55" i="12"/>
  <c r="AA55" i="12"/>
  <c r="AB55" i="12"/>
  <c r="AC55" i="12"/>
  <c r="AD55" i="12"/>
  <c r="AE55" i="12"/>
  <c r="AF55" i="12"/>
  <c r="AG55" i="12"/>
  <c r="AH55" i="12"/>
  <c r="AI55" i="12"/>
  <c r="AJ55" i="12"/>
  <c r="O55" i="12"/>
  <c r="P54" i="12"/>
  <c r="Q54" i="12"/>
  <c r="R54" i="12"/>
  <c r="S54" i="12"/>
  <c r="T54" i="12"/>
  <c r="U54" i="12"/>
  <c r="V54" i="12"/>
  <c r="W54" i="12"/>
  <c r="X54" i="12"/>
  <c r="Y54" i="12"/>
  <c r="Z54" i="12"/>
  <c r="AA54" i="12"/>
  <c r="AB54" i="12"/>
  <c r="AC54" i="12"/>
  <c r="AD54" i="12"/>
  <c r="AE54" i="12"/>
  <c r="AF54" i="12"/>
  <c r="AG54" i="12"/>
  <c r="AH54" i="12"/>
  <c r="AI54" i="12"/>
  <c r="AJ54" i="12"/>
  <c r="O54" i="12"/>
  <c r="P53" i="12"/>
  <c r="Q53" i="12"/>
  <c r="R53" i="12"/>
  <c r="S53" i="12"/>
  <c r="T53" i="12"/>
  <c r="U53" i="12"/>
  <c r="V53" i="12"/>
  <c r="W53" i="12"/>
  <c r="X53" i="12"/>
  <c r="Y53" i="12"/>
  <c r="Z53" i="12"/>
  <c r="AA53" i="12"/>
  <c r="AB53" i="12"/>
  <c r="AC53" i="12"/>
  <c r="AD53" i="12"/>
  <c r="AE53" i="12"/>
  <c r="AF53" i="12"/>
  <c r="AG53" i="12"/>
  <c r="AH53" i="12"/>
  <c r="AI53" i="12"/>
  <c r="AJ53" i="12"/>
  <c r="O53" i="12"/>
  <c r="P52" i="12"/>
  <c r="Q52" i="12"/>
  <c r="R52" i="12"/>
  <c r="S52" i="12"/>
  <c r="T52" i="12"/>
  <c r="U52" i="12"/>
  <c r="V52" i="12"/>
  <c r="W52" i="12"/>
  <c r="X52" i="12"/>
  <c r="Y52" i="12"/>
  <c r="Z52" i="12"/>
  <c r="AA52" i="12"/>
  <c r="AB52" i="12"/>
  <c r="AC52" i="12"/>
  <c r="AD52" i="12"/>
  <c r="AE52" i="12"/>
  <c r="AF52" i="12"/>
  <c r="AG52" i="12"/>
  <c r="AH52" i="12"/>
  <c r="AI52" i="12"/>
  <c r="AJ52" i="12"/>
  <c r="O52" i="12"/>
  <c r="P51" i="12"/>
  <c r="Q51" i="12"/>
  <c r="R51" i="12"/>
  <c r="S51" i="12"/>
  <c r="T51" i="12"/>
  <c r="U51" i="12"/>
  <c r="V51" i="12"/>
  <c r="W51" i="12"/>
  <c r="X51" i="12"/>
  <c r="Y51" i="12"/>
  <c r="Z51" i="12"/>
  <c r="AA51" i="12"/>
  <c r="AB51" i="12"/>
  <c r="AC51" i="12"/>
  <c r="AD51" i="12"/>
  <c r="AE51" i="12"/>
  <c r="AF51" i="12"/>
  <c r="AG51" i="12"/>
  <c r="AH51" i="12"/>
  <c r="AI51" i="12"/>
  <c r="AJ51" i="12"/>
  <c r="O51" i="12"/>
  <c r="P50" i="12"/>
  <c r="Q50" i="12"/>
  <c r="R50" i="12"/>
  <c r="S50" i="12"/>
  <c r="T50" i="12"/>
  <c r="U50" i="12"/>
  <c r="V50" i="12"/>
  <c r="W50" i="12"/>
  <c r="X50" i="12"/>
  <c r="Y50" i="12"/>
  <c r="Z50" i="12"/>
  <c r="AA50" i="12"/>
  <c r="AB50" i="12"/>
  <c r="AC50" i="12"/>
  <c r="AD50" i="12"/>
  <c r="AE50" i="12"/>
  <c r="AF50" i="12"/>
  <c r="AG50" i="12"/>
  <c r="AH50" i="12"/>
  <c r="AI50" i="12"/>
  <c r="AJ50" i="12"/>
  <c r="O50" i="12"/>
  <c r="P49" i="12"/>
  <c r="Q49" i="12"/>
  <c r="R49" i="12"/>
  <c r="S49" i="12"/>
  <c r="T49" i="12"/>
  <c r="U49" i="12"/>
  <c r="V49" i="12"/>
  <c r="W49" i="12"/>
  <c r="X49" i="12"/>
  <c r="Y49" i="12"/>
  <c r="Z49" i="12"/>
  <c r="AA49" i="12"/>
  <c r="AB49" i="12"/>
  <c r="AC49" i="12"/>
  <c r="AD49" i="12"/>
  <c r="AE49" i="12"/>
  <c r="AF49" i="12"/>
  <c r="AG49" i="12"/>
  <c r="AH49" i="12"/>
  <c r="AI49" i="12"/>
  <c r="AJ49" i="12"/>
  <c r="O49" i="12"/>
  <c r="P48" i="12"/>
  <c r="Q48" i="12"/>
  <c r="R48" i="12"/>
  <c r="S48" i="12"/>
  <c r="T48" i="12"/>
  <c r="U48" i="12"/>
  <c r="V48" i="12"/>
  <c r="W48" i="12"/>
  <c r="X48" i="12"/>
  <c r="Y48" i="12"/>
  <c r="Z48" i="12"/>
  <c r="AA48" i="12"/>
  <c r="AB48" i="12"/>
  <c r="AC48" i="12"/>
  <c r="AD48" i="12"/>
  <c r="AE48" i="12"/>
  <c r="AF48" i="12"/>
  <c r="AG48" i="12"/>
  <c r="AH48" i="12"/>
  <c r="AI48" i="12"/>
  <c r="AJ48" i="12"/>
  <c r="O48" i="12"/>
  <c r="P47" i="12"/>
  <c r="Q47" i="12"/>
  <c r="R47" i="12"/>
  <c r="S47" i="12"/>
  <c r="T47" i="12"/>
  <c r="U47" i="12"/>
  <c r="V47" i="12"/>
  <c r="W47" i="12"/>
  <c r="X47" i="12"/>
  <c r="Y47" i="12"/>
  <c r="Z47" i="12"/>
  <c r="AA47" i="12"/>
  <c r="AB47" i="12"/>
  <c r="AC47" i="12"/>
  <c r="AD47" i="12"/>
  <c r="AE47" i="12"/>
  <c r="AF47" i="12"/>
  <c r="AG47" i="12"/>
  <c r="AH47" i="12"/>
  <c r="AI47" i="12"/>
  <c r="AJ47" i="12"/>
  <c r="O47" i="12"/>
  <c r="P46" i="12"/>
  <c r="Q46" i="12"/>
  <c r="R46" i="12"/>
  <c r="S46" i="12"/>
  <c r="T46" i="12"/>
  <c r="U46" i="12"/>
  <c r="V46" i="12"/>
  <c r="W46" i="12"/>
  <c r="X46" i="12"/>
  <c r="Y46" i="12"/>
  <c r="Z46" i="12"/>
  <c r="AA46" i="12"/>
  <c r="AB46" i="12"/>
  <c r="AC46" i="12"/>
  <c r="AD46" i="12"/>
  <c r="AE46" i="12"/>
  <c r="AF46" i="12"/>
  <c r="AG46" i="12"/>
  <c r="AH46" i="12"/>
  <c r="AI46" i="12"/>
  <c r="AJ46" i="12"/>
  <c r="O46" i="12"/>
  <c r="P45" i="12"/>
  <c r="Q45" i="12"/>
  <c r="R45" i="12"/>
  <c r="S45" i="12"/>
  <c r="T45" i="12"/>
  <c r="U45" i="12"/>
  <c r="V45" i="12"/>
  <c r="W45" i="12"/>
  <c r="X45" i="12"/>
  <c r="Y45" i="12"/>
  <c r="Z45" i="12"/>
  <c r="AA45" i="12"/>
  <c r="AB45" i="12"/>
  <c r="AC45" i="12"/>
  <c r="AD45" i="12"/>
  <c r="AE45" i="12"/>
  <c r="AF45" i="12"/>
  <c r="AG45" i="12"/>
  <c r="AH45" i="12"/>
  <c r="AI45" i="12"/>
  <c r="AJ45" i="12"/>
  <c r="O45" i="12"/>
  <c r="P44" i="12"/>
  <c r="Q44" i="12"/>
  <c r="R44" i="12"/>
  <c r="S44" i="12"/>
  <c r="T44" i="12"/>
  <c r="U44" i="12"/>
  <c r="V44" i="12"/>
  <c r="W44" i="12"/>
  <c r="X44" i="12"/>
  <c r="Y44" i="12"/>
  <c r="Z44" i="12"/>
  <c r="AA44" i="12"/>
  <c r="AB44" i="12"/>
  <c r="AC44" i="12"/>
  <c r="AD44" i="12"/>
  <c r="AE44" i="12"/>
  <c r="AF44" i="12"/>
  <c r="AG44" i="12"/>
  <c r="AH44" i="12"/>
  <c r="AI44" i="12"/>
  <c r="AJ44" i="12"/>
  <c r="O44" i="12"/>
  <c r="P43" i="12"/>
  <c r="Q43" i="12"/>
  <c r="R43" i="12"/>
  <c r="S43" i="12"/>
  <c r="T43" i="12"/>
  <c r="U43" i="12"/>
  <c r="V43" i="12"/>
  <c r="W43" i="12"/>
  <c r="X43" i="12"/>
  <c r="Y43" i="12"/>
  <c r="Z43" i="12"/>
  <c r="AA43" i="12"/>
  <c r="AB43" i="12"/>
  <c r="AC43" i="12"/>
  <c r="AD43" i="12"/>
  <c r="AE43" i="12"/>
  <c r="AF43" i="12"/>
  <c r="AG43" i="12"/>
  <c r="AH43" i="12"/>
  <c r="AI43" i="12"/>
  <c r="AJ43" i="12"/>
  <c r="O43" i="12"/>
  <c r="P42" i="12"/>
  <c r="Q42" i="12"/>
  <c r="R42" i="12"/>
  <c r="S42" i="12"/>
  <c r="T42" i="12"/>
  <c r="U42" i="12"/>
  <c r="V42" i="12"/>
  <c r="W42" i="12"/>
  <c r="X42" i="12"/>
  <c r="Y42" i="12"/>
  <c r="Z42" i="12"/>
  <c r="AA42" i="12"/>
  <c r="AB42" i="12"/>
  <c r="AC42" i="12"/>
  <c r="AD42" i="12"/>
  <c r="AE42" i="12"/>
  <c r="AF42" i="12"/>
  <c r="AG42" i="12"/>
  <c r="AH42" i="12"/>
  <c r="AI42" i="12"/>
  <c r="AJ42" i="12"/>
  <c r="O42" i="12"/>
  <c r="P41" i="12"/>
  <c r="Q41" i="12"/>
  <c r="R41" i="12"/>
  <c r="S41" i="12"/>
  <c r="T41" i="12"/>
  <c r="U41" i="12"/>
  <c r="V41" i="12"/>
  <c r="W41" i="12"/>
  <c r="X41" i="12"/>
  <c r="Y41" i="12"/>
  <c r="Z41" i="12"/>
  <c r="AA41" i="12"/>
  <c r="AB41" i="12"/>
  <c r="AC41" i="12"/>
  <c r="AD41" i="12"/>
  <c r="AE41" i="12"/>
  <c r="AF41" i="12"/>
  <c r="AG41" i="12"/>
  <c r="AH41" i="12"/>
  <c r="AI41" i="12"/>
  <c r="AJ41" i="12"/>
  <c r="O41" i="12"/>
  <c r="P39" i="12"/>
  <c r="Q39" i="12"/>
  <c r="R39" i="12"/>
  <c r="S39" i="12"/>
  <c r="T39" i="12"/>
  <c r="U39" i="12"/>
  <c r="V39" i="12"/>
  <c r="W39" i="12"/>
  <c r="X39" i="12"/>
  <c r="Y39" i="12"/>
  <c r="Z39" i="12"/>
  <c r="AA39" i="12"/>
  <c r="AB39" i="12"/>
  <c r="AC39" i="12"/>
  <c r="AD39" i="12"/>
  <c r="AE39" i="12"/>
  <c r="AF39" i="12"/>
  <c r="AG39" i="12"/>
  <c r="AH39" i="12"/>
  <c r="AI39" i="12"/>
  <c r="AJ39" i="12"/>
  <c r="O39" i="12"/>
  <c r="P38" i="12"/>
  <c r="Q38" i="12"/>
  <c r="R38" i="12"/>
  <c r="S38" i="12"/>
  <c r="T38" i="12"/>
  <c r="U38" i="12"/>
  <c r="V38" i="12"/>
  <c r="W38" i="12"/>
  <c r="X38" i="12"/>
  <c r="Y38" i="12"/>
  <c r="Z38" i="12"/>
  <c r="AA38" i="12"/>
  <c r="AB38" i="12"/>
  <c r="AC38" i="12"/>
  <c r="AD38" i="12"/>
  <c r="AE38" i="12"/>
  <c r="AF38" i="12"/>
  <c r="AG38" i="12"/>
  <c r="AH38" i="12"/>
  <c r="AI38" i="12"/>
  <c r="AJ38" i="12"/>
  <c r="O38" i="12"/>
  <c r="P37" i="12"/>
  <c r="Q37" i="12"/>
  <c r="R37" i="12"/>
  <c r="S37" i="12"/>
  <c r="T37" i="12"/>
  <c r="U37" i="12"/>
  <c r="V37" i="12"/>
  <c r="W37" i="12"/>
  <c r="X37" i="12"/>
  <c r="Y37" i="12"/>
  <c r="Z37" i="12"/>
  <c r="AA37" i="12"/>
  <c r="AB37" i="12"/>
  <c r="AC37" i="12"/>
  <c r="AD37" i="12"/>
  <c r="AE37" i="12"/>
  <c r="AF37" i="12"/>
  <c r="AG37" i="12"/>
  <c r="AH37" i="12"/>
  <c r="AI37" i="12"/>
  <c r="AJ37" i="12"/>
  <c r="O37" i="12"/>
  <c r="P36" i="12"/>
  <c r="Q36" i="12"/>
  <c r="R36" i="12"/>
  <c r="S36" i="12"/>
  <c r="T36" i="12"/>
  <c r="U36" i="12"/>
  <c r="V36" i="12"/>
  <c r="W36" i="12"/>
  <c r="X36" i="12"/>
  <c r="Y36" i="12"/>
  <c r="Z36" i="12"/>
  <c r="AA36" i="12"/>
  <c r="AB36" i="12"/>
  <c r="AC36" i="12"/>
  <c r="AD36" i="12"/>
  <c r="AE36" i="12"/>
  <c r="AF36" i="12"/>
  <c r="AG36" i="12"/>
  <c r="AH36" i="12"/>
  <c r="AI36" i="12"/>
  <c r="AJ36" i="12"/>
  <c r="O36" i="12"/>
  <c r="P35" i="12"/>
  <c r="Q35" i="12"/>
  <c r="R35" i="12"/>
  <c r="S35" i="12"/>
  <c r="T35" i="12"/>
  <c r="U35" i="12"/>
  <c r="V35" i="12"/>
  <c r="W35" i="12"/>
  <c r="X35" i="12"/>
  <c r="Y35" i="12"/>
  <c r="Z35" i="12"/>
  <c r="AA35" i="12"/>
  <c r="AB35" i="12"/>
  <c r="AC35" i="12"/>
  <c r="AD35" i="12"/>
  <c r="AE35" i="12"/>
  <c r="AF35" i="12"/>
  <c r="AG35" i="12"/>
  <c r="AH35" i="12"/>
  <c r="AI35" i="12"/>
  <c r="AJ35" i="12"/>
  <c r="O35" i="12"/>
  <c r="P34" i="12"/>
  <c r="Q34" i="12"/>
  <c r="R34" i="12"/>
  <c r="S34" i="12"/>
  <c r="T34" i="12"/>
  <c r="U34" i="12"/>
  <c r="V34" i="12"/>
  <c r="W34" i="12"/>
  <c r="X34" i="12"/>
  <c r="Y34" i="12"/>
  <c r="Z34" i="12"/>
  <c r="AA34" i="12"/>
  <c r="AB34" i="12"/>
  <c r="AC34" i="12"/>
  <c r="AD34" i="12"/>
  <c r="AE34" i="12"/>
  <c r="AF34" i="12"/>
  <c r="AG34" i="12"/>
  <c r="AH34" i="12"/>
  <c r="AI34" i="12"/>
  <c r="AJ34" i="12"/>
  <c r="O34" i="12"/>
  <c r="P33" i="12"/>
  <c r="Q33" i="12"/>
  <c r="R33" i="12"/>
  <c r="S33" i="12"/>
  <c r="T33" i="12"/>
  <c r="U33" i="12"/>
  <c r="V33" i="12"/>
  <c r="W33" i="12"/>
  <c r="X33" i="12"/>
  <c r="Y33" i="12"/>
  <c r="Z33" i="12"/>
  <c r="AA33" i="12"/>
  <c r="AB33" i="12"/>
  <c r="AC33" i="12"/>
  <c r="AD33" i="12"/>
  <c r="AE33" i="12"/>
  <c r="AF33" i="12"/>
  <c r="AG33" i="12"/>
  <c r="AH33" i="12"/>
  <c r="AI33" i="12"/>
  <c r="AJ33" i="12"/>
  <c r="O33" i="12"/>
  <c r="P32" i="12"/>
  <c r="Q32" i="12"/>
  <c r="R32" i="12"/>
  <c r="S32" i="12"/>
  <c r="T32" i="12"/>
  <c r="U32" i="12"/>
  <c r="V32" i="12"/>
  <c r="W32" i="12"/>
  <c r="X32" i="12"/>
  <c r="Y32" i="12"/>
  <c r="Z32" i="12"/>
  <c r="AA32" i="12"/>
  <c r="AB32" i="12"/>
  <c r="AC32" i="12"/>
  <c r="AD32" i="12"/>
  <c r="AE32" i="12"/>
  <c r="AF32" i="12"/>
  <c r="AG32" i="12"/>
  <c r="AH32" i="12"/>
  <c r="AI32" i="12"/>
  <c r="AJ32" i="12"/>
  <c r="O32" i="12"/>
  <c r="P31" i="12"/>
  <c r="Q31" i="12"/>
  <c r="R31" i="12"/>
  <c r="S31" i="12"/>
  <c r="T31" i="12"/>
  <c r="U31" i="12"/>
  <c r="V31" i="12"/>
  <c r="W31" i="12"/>
  <c r="X31" i="12"/>
  <c r="Y31" i="12"/>
  <c r="Z31" i="12"/>
  <c r="AA31" i="12"/>
  <c r="AB31" i="12"/>
  <c r="AC31" i="12"/>
  <c r="AD31" i="12"/>
  <c r="AE31" i="12"/>
  <c r="AF31" i="12"/>
  <c r="AG31" i="12"/>
  <c r="AH31" i="12"/>
  <c r="AI31" i="12"/>
  <c r="AJ31" i="12"/>
  <c r="O31" i="12"/>
  <c r="P30" i="12"/>
  <c r="Q30" i="12"/>
  <c r="R30" i="12"/>
  <c r="S30" i="12"/>
  <c r="T30" i="12"/>
  <c r="U30" i="12"/>
  <c r="V30" i="12"/>
  <c r="W30" i="12"/>
  <c r="X30" i="12"/>
  <c r="Y30" i="12"/>
  <c r="Z30" i="12"/>
  <c r="AA30" i="12"/>
  <c r="AB30" i="12"/>
  <c r="AC30" i="12"/>
  <c r="AD30" i="12"/>
  <c r="AE30" i="12"/>
  <c r="AF30" i="12"/>
  <c r="AG30" i="12"/>
  <c r="AH30" i="12"/>
  <c r="AI30" i="12"/>
  <c r="AJ30" i="12"/>
  <c r="O30" i="12"/>
  <c r="P29" i="12"/>
  <c r="Q29" i="12"/>
  <c r="R29" i="12"/>
  <c r="S29" i="12"/>
  <c r="T29" i="12"/>
  <c r="U29" i="12"/>
  <c r="V29" i="12"/>
  <c r="W29" i="12"/>
  <c r="X29" i="12"/>
  <c r="Y29" i="12"/>
  <c r="Z29" i="12"/>
  <c r="AA29" i="12"/>
  <c r="AB29" i="12"/>
  <c r="AC29" i="12"/>
  <c r="AD29" i="12"/>
  <c r="AE29" i="12"/>
  <c r="AF29" i="12"/>
  <c r="AG29" i="12"/>
  <c r="AH29" i="12"/>
  <c r="AI29" i="12"/>
  <c r="AJ29" i="12"/>
  <c r="O29" i="12"/>
  <c r="P28" i="12"/>
  <c r="Q28" i="12"/>
  <c r="R28" i="12"/>
  <c r="S28" i="12"/>
  <c r="T28" i="12"/>
  <c r="U28" i="12"/>
  <c r="V28" i="12"/>
  <c r="W28" i="12"/>
  <c r="X28" i="12"/>
  <c r="Y28" i="12"/>
  <c r="Z28" i="12"/>
  <c r="AA28" i="12"/>
  <c r="AB28" i="12"/>
  <c r="AC28" i="12"/>
  <c r="AD28" i="12"/>
  <c r="AE28" i="12"/>
  <c r="AF28" i="12"/>
  <c r="AG28" i="12"/>
  <c r="AH28" i="12"/>
  <c r="AI28" i="12"/>
  <c r="AJ28" i="12"/>
  <c r="O28" i="12"/>
  <c r="P27" i="12"/>
  <c r="Q27" i="12"/>
  <c r="R27" i="12"/>
  <c r="S27" i="12"/>
  <c r="T27" i="12"/>
  <c r="U27" i="12"/>
  <c r="V27" i="12"/>
  <c r="W27" i="12"/>
  <c r="X27" i="12"/>
  <c r="Y27" i="12"/>
  <c r="Z27" i="12"/>
  <c r="AA27" i="12"/>
  <c r="AB27" i="12"/>
  <c r="AC27" i="12"/>
  <c r="AD27" i="12"/>
  <c r="AE27" i="12"/>
  <c r="AF27" i="12"/>
  <c r="AG27" i="12"/>
  <c r="AH27" i="12"/>
  <c r="AI27" i="12"/>
  <c r="AJ27" i="12"/>
  <c r="O27" i="12"/>
  <c r="P26" i="12"/>
  <c r="Q26" i="12"/>
  <c r="R26" i="12"/>
  <c r="S26" i="12"/>
  <c r="T26" i="12"/>
  <c r="U26" i="12"/>
  <c r="V26" i="12"/>
  <c r="W26" i="12"/>
  <c r="X26" i="12"/>
  <c r="Y26" i="12"/>
  <c r="Z26" i="12"/>
  <c r="AA26" i="12"/>
  <c r="AB26" i="12"/>
  <c r="AC26" i="12"/>
  <c r="AD26" i="12"/>
  <c r="AE26" i="12"/>
  <c r="AF26" i="12"/>
  <c r="AG26" i="12"/>
  <c r="AH26" i="12"/>
  <c r="AI26" i="12"/>
  <c r="AJ26" i="12"/>
  <c r="O26" i="12"/>
  <c r="P25" i="12"/>
  <c r="Q25" i="12"/>
  <c r="R25" i="12"/>
  <c r="S25" i="12"/>
  <c r="T25" i="12"/>
  <c r="U25" i="12"/>
  <c r="V25" i="12"/>
  <c r="W25" i="12"/>
  <c r="X25" i="12"/>
  <c r="Y25" i="12"/>
  <c r="Z25" i="12"/>
  <c r="AA25" i="12"/>
  <c r="AB25" i="12"/>
  <c r="AC25" i="12"/>
  <c r="AD25" i="12"/>
  <c r="AE25" i="12"/>
  <c r="AF25" i="12"/>
  <c r="AG25" i="12"/>
  <c r="AH25" i="12"/>
  <c r="AI25" i="12"/>
  <c r="AJ25" i="12"/>
  <c r="O25" i="12"/>
  <c r="P24" i="12"/>
  <c r="Q24" i="12"/>
  <c r="R24" i="12"/>
  <c r="S24" i="12"/>
  <c r="T24" i="12"/>
  <c r="U24" i="12"/>
  <c r="V24" i="12"/>
  <c r="W24" i="12"/>
  <c r="X24" i="12"/>
  <c r="Y24" i="12"/>
  <c r="Z24" i="12"/>
  <c r="AA24" i="12"/>
  <c r="AB24" i="12"/>
  <c r="AC24" i="12"/>
  <c r="AD24" i="12"/>
  <c r="AE24" i="12"/>
  <c r="AF24" i="12"/>
  <c r="AG24" i="12"/>
  <c r="AH24" i="12"/>
  <c r="AI24" i="12"/>
  <c r="AJ24" i="12"/>
  <c r="O24" i="12"/>
  <c r="P22" i="12"/>
  <c r="Q22" i="12"/>
  <c r="R22" i="12"/>
  <c r="S22" i="12"/>
  <c r="T22" i="12"/>
  <c r="U22" i="12"/>
  <c r="V22" i="12"/>
  <c r="W22" i="12"/>
  <c r="X22" i="12"/>
  <c r="Y22" i="12"/>
  <c r="Z22" i="12"/>
  <c r="AA22" i="12"/>
  <c r="AB22" i="12"/>
  <c r="AC22" i="12"/>
  <c r="AD22" i="12"/>
  <c r="AE22" i="12"/>
  <c r="AF22" i="12"/>
  <c r="AG22" i="12"/>
  <c r="AH22" i="12"/>
  <c r="AI22" i="12"/>
  <c r="AJ22" i="12"/>
  <c r="O22" i="12"/>
  <c r="P21" i="12"/>
  <c r="Q21" i="12"/>
  <c r="R21" i="12"/>
  <c r="S21" i="12"/>
  <c r="T21" i="12"/>
  <c r="U21" i="12"/>
  <c r="V21" i="12"/>
  <c r="W21" i="12"/>
  <c r="X21" i="12"/>
  <c r="Y21" i="12"/>
  <c r="Z21" i="12"/>
  <c r="AA21" i="12"/>
  <c r="AB21" i="12"/>
  <c r="AC21" i="12"/>
  <c r="AD21" i="12"/>
  <c r="AE21" i="12"/>
  <c r="AF21" i="12"/>
  <c r="AG21" i="12"/>
  <c r="AH21" i="12"/>
  <c r="AI21" i="12"/>
  <c r="AJ21" i="12"/>
  <c r="O21" i="12"/>
  <c r="P20" i="12"/>
  <c r="Q20" i="12"/>
  <c r="R20" i="12"/>
  <c r="S20" i="12"/>
  <c r="T20" i="12"/>
  <c r="U20" i="12"/>
  <c r="V20" i="12"/>
  <c r="W20" i="12"/>
  <c r="X20" i="12"/>
  <c r="Y20" i="12"/>
  <c r="Z20" i="12"/>
  <c r="AA20" i="12"/>
  <c r="AB20" i="12"/>
  <c r="AC20" i="12"/>
  <c r="AD20" i="12"/>
  <c r="AE20" i="12"/>
  <c r="AF20" i="12"/>
  <c r="AG20" i="12"/>
  <c r="AH20" i="12"/>
  <c r="AI20" i="12"/>
  <c r="AJ20" i="12"/>
  <c r="O20" i="12"/>
  <c r="P19" i="12"/>
  <c r="Q19" i="12"/>
  <c r="R19" i="12"/>
  <c r="S19" i="12"/>
  <c r="T19" i="12"/>
  <c r="U19" i="12"/>
  <c r="V19" i="12"/>
  <c r="W19" i="12"/>
  <c r="X19" i="12"/>
  <c r="Y19" i="12"/>
  <c r="Z19" i="12"/>
  <c r="AA19" i="12"/>
  <c r="AB19" i="12"/>
  <c r="AC19" i="12"/>
  <c r="AD19" i="12"/>
  <c r="AE19" i="12"/>
  <c r="AF19" i="12"/>
  <c r="AG19" i="12"/>
  <c r="AH19" i="12"/>
  <c r="AI19" i="12"/>
  <c r="AJ19" i="12"/>
  <c r="O19" i="12"/>
  <c r="P18" i="12"/>
  <c r="Q18" i="12"/>
  <c r="R18" i="12"/>
  <c r="S18" i="12"/>
  <c r="T18" i="12"/>
  <c r="U18" i="12"/>
  <c r="V18" i="12"/>
  <c r="W18" i="12"/>
  <c r="X18" i="12"/>
  <c r="Y18" i="12"/>
  <c r="Z18" i="12"/>
  <c r="AA18" i="12"/>
  <c r="AB18" i="12"/>
  <c r="AC18" i="12"/>
  <c r="AD18" i="12"/>
  <c r="AE18" i="12"/>
  <c r="AF18" i="12"/>
  <c r="AG18" i="12"/>
  <c r="AH18" i="12"/>
  <c r="AI18" i="12"/>
  <c r="AJ18" i="12"/>
  <c r="O18" i="12"/>
  <c r="P17" i="12"/>
  <c r="Q17" i="12"/>
  <c r="R17" i="12"/>
  <c r="S17" i="12"/>
  <c r="T17" i="12"/>
  <c r="U17" i="12"/>
  <c r="V17" i="12"/>
  <c r="W17" i="12"/>
  <c r="X17" i="12"/>
  <c r="Y17" i="12"/>
  <c r="Z17" i="12"/>
  <c r="AA17" i="12"/>
  <c r="AB17" i="12"/>
  <c r="AC17" i="12"/>
  <c r="AD17" i="12"/>
  <c r="AE17" i="12"/>
  <c r="AF17" i="12"/>
  <c r="AG17" i="12"/>
  <c r="AH17" i="12"/>
  <c r="AI17" i="12"/>
  <c r="AJ17" i="12"/>
  <c r="O17" i="12"/>
  <c r="P16" i="12"/>
  <c r="Q16" i="12"/>
  <c r="R16" i="12"/>
  <c r="S16" i="12"/>
  <c r="T16" i="12"/>
  <c r="U16" i="12"/>
  <c r="V16" i="12"/>
  <c r="W16" i="12"/>
  <c r="X16" i="12"/>
  <c r="Y16" i="12"/>
  <c r="Z16" i="12"/>
  <c r="AA16" i="12"/>
  <c r="AB16" i="12"/>
  <c r="AC16" i="12"/>
  <c r="AD16" i="12"/>
  <c r="AE16" i="12"/>
  <c r="AF16" i="12"/>
  <c r="AG16" i="12"/>
  <c r="AH16" i="12"/>
  <c r="AI16" i="12"/>
  <c r="O16" i="12"/>
  <c r="P15" i="12"/>
  <c r="Q15" i="12"/>
  <c r="R15" i="12"/>
  <c r="S15" i="12"/>
  <c r="T15" i="12"/>
  <c r="U15" i="12"/>
  <c r="V15" i="12"/>
  <c r="W15" i="12"/>
  <c r="X15" i="12"/>
  <c r="Y15" i="12"/>
  <c r="Z15" i="12"/>
  <c r="AA15" i="12"/>
  <c r="AB15" i="12"/>
  <c r="AC15" i="12"/>
  <c r="AD15" i="12"/>
  <c r="AE15" i="12"/>
  <c r="AF15" i="12"/>
  <c r="AG15" i="12"/>
  <c r="AH15" i="12"/>
  <c r="AI15" i="12"/>
  <c r="AJ15" i="12"/>
  <c r="O15" i="12"/>
  <c r="P14" i="12"/>
  <c r="Q14" i="12"/>
  <c r="R14" i="12"/>
  <c r="S14" i="12"/>
  <c r="T14" i="12"/>
  <c r="U14" i="12"/>
  <c r="V14" i="12"/>
  <c r="W14" i="12"/>
  <c r="X14" i="12"/>
  <c r="Y14" i="12"/>
  <c r="Z14" i="12"/>
  <c r="AA14" i="12"/>
  <c r="AB14" i="12"/>
  <c r="AC14" i="12"/>
  <c r="AD14" i="12"/>
  <c r="AE14" i="12"/>
  <c r="AF14" i="12"/>
  <c r="AG14" i="12"/>
  <c r="AH14" i="12"/>
  <c r="AI14" i="12"/>
  <c r="AJ14" i="12"/>
  <c r="O14" i="12"/>
  <c r="P13" i="12"/>
  <c r="Q13" i="12"/>
  <c r="R13" i="12"/>
  <c r="S13" i="12"/>
  <c r="T13" i="12"/>
  <c r="U13" i="12"/>
  <c r="V13" i="12"/>
  <c r="W13" i="12"/>
  <c r="X13" i="12"/>
  <c r="Y13" i="12"/>
  <c r="Z13" i="12"/>
  <c r="AA13" i="12"/>
  <c r="AB13" i="12"/>
  <c r="AC13" i="12"/>
  <c r="AD13" i="12"/>
  <c r="AE13" i="12"/>
  <c r="AF13" i="12"/>
  <c r="AG13" i="12"/>
  <c r="AH13" i="12"/>
  <c r="AI13" i="12"/>
  <c r="AJ13" i="12"/>
  <c r="O13" i="12"/>
  <c r="P12" i="12"/>
  <c r="Q12" i="12"/>
  <c r="R12" i="12"/>
  <c r="S12" i="12"/>
  <c r="T12" i="12"/>
  <c r="U12" i="12"/>
  <c r="V12" i="12"/>
  <c r="W12" i="12"/>
  <c r="X12" i="12"/>
  <c r="Y12" i="12"/>
  <c r="Z12" i="12"/>
  <c r="AA12" i="12"/>
  <c r="AB12" i="12"/>
  <c r="AC12" i="12"/>
  <c r="AD12" i="12"/>
  <c r="AE12" i="12"/>
  <c r="AF12" i="12"/>
  <c r="AG12" i="12"/>
  <c r="AH12" i="12"/>
  <c r="AI12" i="12"/>
  <c r="AJ12" i="12"/>
  <c r="O12" i="12"/>
  <c r="P11" i="12"/>
  <c r="Q11" i="12"/>
  <c r="R11" i="12"/>
  <c r="S11" i="12"/>
  <c r="T11" i="12"/>
  <c r="U11" i="12"/>
  <c r="V11" i="12"/>
  <c r="W11" i="12"/>
  <c r="X11" i="12"/>
  <c r="Y11" i="12"/>
  <c r="Z11" i="12"/>
  <c r="AA11" i="12"/>
  <c r="AB11" i="12"/>
  <c r="AC11" i="12"/>
  <c r="AD11" i="12"/>
  <c r="AE11" i="12"/>
  <c r="AF11" i="12"/>
  <c r="AG11" i="12"/>
  <c r="AH11" i="12"/>
  <c r="AI11" i="12"/>
  <c r="AJ11" i="12"/>
  <c r="O11" i="12"/>
  <c r="P10" i="12"/>
  <c r="Q10" i="12"/>
  <c r="R10" i="12"/>
  <c r="S10" i="12"/>
  <c r="T10" i="12"/>
  <c r="U10" i="12"/>
  <c r="V10" i="12"/>
  <c r="W10" i="12"/>
  <c r="X10" i="12"/>
  <c r="Y10" i="12"/>
  <c r="Z10" i="12"/>
  <c r="AA10" i="12"/>
  <c r="AB10" i="12"/>
  <c r="AC10" i="12"/>
  <c r="AD10" i="12"/>
  <c r="AE10" i="12"/>
  <c r="AF10" i="12"/>
  <c r="AG10" i="12"/>
  <c r="AH10" i="12"/>
  <c r="AI10" i="12"/>
  <c r="AJ10" i="12"/>
  <c r="O10" i="12"/>
  <c r="P9" i="12"/>
  <c r="Q9" i="12"/>
  <c r="R9" i="12"/>
  <c r="S9" i="12"/>
  <c r="T9" i="12"/>
  <c r="U9" i="12"/>
  <c r="V9" i="12"/>
  <c r="W9" i="12"/>
  <c r="X9" i="12"/>
  <c r="Y9" i="12"/>
  <c r="Z9" i="12"/>
  <c r="AA9" i="12"/>
  <c r="AB9" i="12"/>
  <c r="AC9" i="12"/>
  <c r="AD9" i="12"/>
  <c r="AE9" i="12"/>
  <c r="AF9" i="12"/>
  <c r="AG9" i="12"/>
  <c r="AH9" i="12"/>
  <c r="AI9" i="12"/>
  <c r="AJ9" i="12"/>
  <c r="O9" i="12"/>
  <c r="P8" i="12"/>
  <c r="Q8" i="12"/>
  <c r="R8" i="12"/>
  <c r="S8" i="12"/>
  <c r="T8" i="12"/>
  <c r="U8" i="12"/>
  <c r="V8" i="12"/>
  <c r="W8" i="12"/>
  <c r="X8" i="12"/>
  <c r="Y8" i="12"/>
  <c r="Z8" i="12"/>
  <c r="AA8" i="12"/>
  <c r="AB8" i="12"/>
  <c r="AC8" i="12"/>
  <c r="AD8" i="12"/>
  <c r="AE8" i="12"/>
  <c r="AF8" i="12"/>
  <c r="AG8" i="12"/>
  <c r="AH8" i="12"/>
  <c r="AI8" i="12"/>
  <c r="AJ8" i="12"/>
  <c r="O8" i="12"/>
  <c r="C15" i="12"/>
  <c r="D15" i="12"/>
  <c r="E15" i="12" a="1"/>
  <c r="E15" i="12" s="1"/>
  <c r="F15" i="12"/>
  <c r="G15" i="12"/>
  <c r="I15" i="12"/>
  <c r="J15" i="12" s="1"/>
  <c r="L15" i="12"/>
  <c r="M15" i="12" s="1"/>
  <c r="AA415" i="10"/>
  <c r="AB415" i="10"/>
  <c r="L39" i="11" s="1"/>
  <c r="AC415" i="10"/>
  <c r="O39" i="11" s="1"/>
  <c r="AD415" i="10"/>
  <c r="I39" i="11" s="1"/>
  <c r="AA416" i="10"/>
  <c r="AB416" i="10"/>
  <c r="AC416" i="10"/>
  <c r="AD416" i="10"/>
  <c r="AA417" i="10"/>
  <c r="AB417" i="10"/>
  <c r="AC417" i="10"/>
  <c r="AD417" i="10"/>
  <c r="AA418" i="10"/>
  <c r="AB418" i="10"/>
  <c r="AC418" i="10"/>
  <c r="AD418" i="10"/>
  <c r="AA419" i="10"/>
  <c r="AB419" i="10"/>
  <c r="AC419" i="10"/>
  <c r="AD419" i="10"/>
  <c r="AA420" i="10"/>
  <c r="AB420" i="10"/>
  <c r="AC420" i="10"/>
  <c r="AD420" i="10"/>
  <c r="AA421" i="10"/>
  <c r="AB421" i="10"/>
  <c r="AC421" i="10"/>
  <c r="AD421" i="10"/>
  <c r="AA422" i="10"/>
  <c r="AB422" i="10"/>
  <c r="AC422" i="10"/>
  <c r="AD422" i="10"/>
  <c r="AA423" i="10"/>
  <c r="AB423" i="10"/>
  <c r="AC423" i="10"/>
  <c r="AD423" i="10"/>
  <c r="AA424" i="10"/>
  <c r="AB424" i="10"/>
  <c r="AC424" i="10"/>
  <c r="AD424" i="10"/>
  <c r="AA425" i="10"/>
  <c r="AB425" i="10"/>
  <c r="AC425" i="10"/>
  <c r="AD425" i="10"/>
  <c r="AA426" i="10"/>
  <c r="AB426" i="10"/>
  <c r="AC426" i="10"/>
  <c r="AD426" i="10"/>
  <c r="AA427" i="10"/>
  <c r="AB427" i="10"/>
  <c r="AC427" i="10"/>
  <c r="AD427" i="10"/>
  <c r="AA428" i="10"/>
  <c r="AB428" i="10"/>
  <c r="AC428" i="10"/>
  <c r="AD428" i="10"/>
  <c r="AA429" i="10"/>
  <c r="AB429" i="10"/>
  <c r="AC429" i="10"/>
  <c r="AD429" i="10"/>
  <c r="AA430" i="10"/>
  <c r="AB430" i="10"/>
  <c r="AC430" i="10"/>
  <c r="AD430" i="10"/>
  <c r="AA431" i="10"/>
  <c r="AB431" i="10"/>
  <c r="AC431" i="10"/>
  <c r="AD431" i="10"/>
  <c r="AA432" i="10"/>
  <c r="AB432" i="10"/>
  <c r="AC432" i="10"/>
  <c r="AD432" i="10"/>
  <c r="AA433" i="10"/>
  <c r="AB433" i="10"/>
  <c r="AC433" i="10"/>
  <c r="AD433" i="10"/>
  <c r="AA434" i="10"/>
  <c r="AB434" i="10"/>
  <c r="AC434" i="10"/>
  <c r="AD434" i="10"/>
  <c r="AA435" i="10"/>
  <c r="AB435" i="10"/>
  <c r="L33" i="11" s="1"/>
  <c r="AC435" i="10"/>
  <c r="O33" i="11" s="1"/>
  <c r="AD435" i="10"/>
  <c r="I33" i="11" s="1"/>
  <c r="AA436" i="10"/>
  <c r="AB436" i="10"/>
  <c r="L44" i="11" s="1"/>
  <c r="AC436" i="10"/>
  <c r="O44" i="11" s="1"/>
  <c r="AD436" i="10"/>
  <c r="I44" i="11" s="1"/>
  <c r="AA437" i="10"/>
  <c r="AB437" i="10"/>
  <c r="AC437" i="10"/>
  <c r="AD437" i="10"/>
  <c r="AA438" i="10"/>
  <c r="AB438" i="10"/>
  <c r="L47" i="11" s="1"/>
  <c r="AC438" i="10"/>
  <c r="O47" i="11" s="1"/>
  <c r="AD438" i="10"/>
  <c r="I47" i="11" s="1"/>
  <c r="AA439" i="10"/>
  <c r="AB439" i="10"/>
  <c r="AC439" i="10"/>
  <c r="AD439" i="10"/>
  <c r="AA440" i="10"/>
  <c r="AB440" i="10"/>
  <c r="AC440" i="10"/>
  <c r="AD440" i="10"/>
  <c r="P36" i="11"/>
  <c r="C24" i="12"/>
  <c r="D24" i="12"/>
  <c r="E24" i="12" a="1"/>
  <c r="E24" i="12" s="1"/>
  <c r="F24" i="12"/>
  <c r="G24" i="12"/>
  <c r="I24" i="12"/>
  <c r="J24" i="12" s="1"/>
  <c r="L24" i="12"/>
  <c r="M24" i="12" s="1"/>
  <c r="Q40" i="11"/>
  <c r="R40" i="11"/>
  <c r="S40" i="11"/>
  <c r="T40" i="11"/>
  <c r="U40" i="11"/>
  <c r="V40" i="11"/>
  <c r="W40" i="11"/>
  <c r="X40" i="11"/>
  <c r="Y40" i="11"/>
  <c r="Z40" i="11"/>
  <c r="AA40" i="11"/>
  <c r="AB40" i="11"/>
  <c r="AC40" i="11"/>
  <c r="AD40" i="11"/>
  <c r="AE40" i="11"/>
  <c r="P40" i="11"/>
  <c r="D40" i="11"/>
  <c r="E40" i="11"/>
  <c r="F40" i="11" a="1"/>
  <c r="F40" i="11" s="1"/>
  <c r="G40" i="11"/>
  <c r="H40" i="11"/>
  <c r="J40" i="11"/>
  <c r="K40" i="11" s="1"/>
  <c r="M40" i="11"/>
  <c r="N40" i="11" s="1"/>
  <c r="Q29" i="11"/>
  <c r="R29" i="11"/>
  <c r="S29" i="11"/>
  <c r="T29" i="11"/>
  <c r="U29" i="11"/>
  <c r="V29" i="11"/>
  <c r="W29" i="11"/>
  <c r="X29" i="11"/>
  <c r="Y29" i="11"/>
  <c r="Z29" i="11"/>
  <c r="AA29" i="11"/>
  <c r="AB29" i="11"/>
  <c r="AC29" i="11"/>
  <c r="AD29" i="11"/>
  <c r="AE29" i="11"/>
  <c r="P29" i="11"/>
  <c r="D29" i="11"/>
  <c r="E29" i="11"/>
  <c r="F29" i="11" a="1"/>
  <c r="F29" i="11" s="1"/>
  <c r="G29" i="11"/>
  <c r="H29" i="11"/>
  <c r="J29" i="11"/>
  <c r="K29" i="11" s="1"/>
  <c r="M29" i="11"/>
  <c r="N29" i="11" s="1"/>
  <c r="AA405" i="10"/>
  <c r="AB405" i="10"/>
  <c r="AC405" i="10"/>
  <c r="AD405" i="10"/>
  <c r="AA406" i="10"/>
  <c r="AB406" i="10"/>
  <c r="AC406" i="10"/>
  <c r="AD406" i="10"/>
  <c r="AA407" i="10"/>
  <c r="AB407" i="10"/>
  <c r="AC407" i="10"/>
  <c r="AD407" i="10"/>
  <c r="AA408" i="10"/>
  <c r="AB408" i="10"/>
  <c r="AC408" i="10"/>
  <c r="AD408" i="10"/>
  <c r="AA409" i="10"/>
  <c r="AB409" i="10"/>
  <c r="AC409" i="10"/>
  <c r="AD409" i="10"/>
  <c r="AA410" i="10"/>
  <c r="AB410" i="10"/>
  <c r="AC410" i="10"/>
  <c r="AD410" i="10"/>
  <c r="AA411" i="10"/>
  <c r="AB411" i="10"/>
  <c r="AC411" i="10"/>
  <c r="AD411" i="10"/>
  <c r="AA412" i="10"/>
  <c r="AB412" i="10"/>
  <c r="AC412" i="10"/>
  <c r="AD412" i="10"/>
  <c r="AA413" i="10"/>
  <c r="AB413" i="10"/>
  <c r="AC413" i="10"/>
  <c r="AD413" i="10"/>
  <c r="AA414" i="10"/>
  <c r="AB414" i="10"/>
  <c r="L38" i="11" s="1"/>
  <c r="AC414" i="10"/>
  <c r="O38" i="11" s="1"/>
  <c r="AD414" i="10"/>
  <c r="I38" i="11" s="1"/>
  <c r="Q45" i="11"/>
  <c r="R45" i="11"/>
  <c r="S45" i="11"/>
  <c r="T45" i="11"/>
  <c r="U45" i="11"/>
  <c r="V45" i="11"/>
  <c r="W45" i="11"/>
  <c r="X45" i="11"/>
  <c r="Y45" i="11"/>
  <c r="Z45" i="11"/>
  <c r="AA45" i="11"/>
  <c r="AB45" i="11"/>
  <c r="AC45" i="11"/>
  <c r="AD45" i="11"/>
  <c r="AE45" i="11"/>
  <c r="P45" i="11"/>
  <c r="D45" i="11"/>
  <c r="E45" i="11"/>
  <c r="F45" i="11" a="1"/>
  <c r="F45" i="11" s="1"/>
  <c r="G45" i="11"/>
  <c r="H45" i="11"/>
  <c r="J45" i="11"/>
  <c r="K45" i="11" s="1"/>
  <c r="M45" i="11"/>
  <c r="N45" i="11" s="1"/>
  <c r="AA390" i="10"/>
  <c r="AB390" i="10"/>
  <c r="AC390" i="10"/>
  <c r="AD390" i="10"/>
  <c r="AA391" i="10"/>
  <c r="AB391" i="10"/>
  <c r="AC391" i="10"/>
  <c r="AD391" i="10"/>
  <c r="AA392" i="10"/>
  <c r="AB392" i="10"/>
  <c r="L35" i="11" s="1"/>
  <c r="AC392" i="10"/>
  <c r="O35" i="11" s="1"/>
  <c r="AD392" i="10"/>
  <c r="I35" i="11" s="1"/>
  <c r="AA393" i="10"/>
  <c r="AB393" i="10"/>
  <c r="L17" i="11" s="1"/>
  <c r="AC393" i="10"/>
  <c r="O17" i="11" s="1"/>
  <c r="AD393" i="10"/>
  <c r="I17" i="11" s="1"/>
  <c r="AA394" i="10"/>
  <c r="AB394" i="10"/>
  <c r="AC394" i="10"/>
  <c r="AD394" i="10"/>
  <c r="AA395" i="10"/>
  <c r="AB395" i="10"/>
  <c r="AC395" i="10"/>
  <c r="AD395" i="10"/>
  <c r="AA396" i="10"/>
  <c r="AB396" i="10"/>
  <c r="L45" i="11" s="1"/>
  <c r="AC396" i="10"/>
  <c r="O45" i="11" s="1"/>
  <c r="AD396" i="10"/>
  <c r="I45" i="11" s="1"/>
  <c r="AA397" i="10"/>
  <c r="AB397" i="10"/>
  <c r="AC397" i="10"/>
  <c r="AD397" i="10"/>
  <c r="AA398" i="10"/>
  <c r="AB398" i="10"/>
  <c r="AC398" i="10"/>
  <c r="AD398" i="10"/>
  <c r="AA399" i="10"/>
  <c r="AB399" i="10"/>
  <c r="AC399" i="10"/>
  <c r="AD399" i="10"/>
  <c r="AA400" i="10"/>
  <c r="AB400" i="10"/>
  <c r="AC400" i="10"/>
  <c r="AD400" i="10"/>
  <c r="AA401" i="10"/>
  <c r="AB401" i="10"/>
  <c r="AC401" i="10"/>
  <c r="AD401" i="10"/>
  <c r="AA402" i="10"/>
  <c r="AB402" i="10"/>
  <c r="AC402" i="10"/>
  <c r="AD402" i="10"/>
  <c r="AA403" i="10"/>
  <c r="AB403" i="10"/>
  <c r="AC403" i="10"/>
  <c r="AD403" i="10"/>
  <c r="AA404" i="10"/>
  <c r="AB404" i="10"/>
  <c r="AC404" i="10"/>
  <c r="AD404" i="10"/>
  <c r="Q10" i="11"/>
  <c r="R10" i="11"/>
  <c r="S10" i="11"/>
  <c r="T10" i="11"/>
  <c r="U10" i="11"/>
  <c r="V10" i="11"/>
  <c r="W10" i="11"/>
  <c r="X10" i="11"/>
  <c r="Y10" i="11"/>
  <c r="Z10" i="11"/>
  <c r="AA10" i="11"/>
  <c r="AB10" i="11"/>
  <c r="AC10" i="11"/>
  <c r="AD10" i="11"/>
  <c r="AE10" i="11"/>
  <c r="P10" i="11"/>
  <c r="D10" i="11"/>
  <c r="E10" i="11"/>
  <c r="F10" i="11" a="1"/>
  <c r="F10" i="11" s="1"/>
  <c r="G10" i="11"/>
  <c r="H10" i="11"/>
  <c r="J10" i="11"/>
  <c r="K10" i="11" s="1"/>
  <c r="M10" i="11"/>
  <c r="N10" i="11" s="1"/>
  <c r="C12" i="12"/>
  <c r="D12" i="12"/>
  <c r="E12" i="12" a="1"/>
  <c r="E12" i="12" s="1"/>
  <c r="F12" i="12"/>
  <c r="G12" i="12"/>
  <c r="I12" i="12"/>
  <c r="J12" i="12" s="1"/>
  <c r="L12" i="12"/>
  <c r="M12" i="12" s="1"/>
  <c r="AA378" i="10"/>
  <c r="AB378" i="10"/>
  <c r="AC378" i="10"/>
  <c r="AD378" i="10"/>
  <c r="AA379" i="10"/>
  <c r="AB379" i="10"/>
  <c r="AC379" i="10"/>
  <c r="AD379" i="10"/>
  <c r="AA380" i="10"/>
  <c r="AB380" i="10"/>
  <c r="AC380" i="10"/>
  <c r="AD380" i="10"/>
  <c r="AA381" i="10"/>
  <c r="AB381" i="10"/>
  <c r="AC381" i="10"/>
  <c r="AD381" i="10"/>
  <c r="AA382" i="10"/>
  <c r="AB382" i="10"/>
  <c r="AC382" i="10"/>
  <c r="AD382" i="10"/>
  <c r="AA383" i="10"/>
  <c r="AB383" i="10"/>
  <c r="AC383" i="10"/>
  <c r="AD383" i="10"/>
  <c r="AA384" i="10"/>
  <c r="AB384" i="10"/>
  <c r="AC384" i="10"/>
  <c r="AD384" i="10"/>
  <c r="AA385" i="10"/>
  <c r="AB385" i="10"/>
  <c r="AC385" i="10"/>
  <c r="AD385" i="10"/>
  <c r="AA386" i="10"/>
  <c r="AB386" i="10"/>
  <c r="AC386" i="10"/>
  <c r="AD386" i="10"/>
  <c r="AA387" i="10"/>
  <c r="AB387" i="10"/>
  <c r="AC387" i="10"/>
  <c r="AD387" i="10"/>
  <c r="AA388" i="10"/>
  <c r="AB388" i="10"/>
  <c r="AC388" i="10"/>
  <c r="AD388" i="10"/>
  <c r="AA389" i="10"/>
  <c r="AB389" i="10"/>
  <c r="AC389" i="10"/>
  <c r="AD389" i="10"/>
  <c r="Y3" i="11"/>
  <c r="Y4" i="11"/>
  <c r="Y5" i="11"/>
  <c r="Y6" i="11"/>
  <c r="Y8" i="11"/>
  <c r="Y9" i="11"/>
  <c r="Y11" i="11"/>
  <c r="Y12" i="11"/>
  <c r="Y14" i="11"/>
  <c r="Y15" i="11"/>
  <c r="Y16" i="11"/>
  <c r="Y17" i="11"/>
  <c r="Y18" i="11"/>
  <c r="Y20" i="11"/>
  <c r="Y21" i="11"/>
  <c r="Y22" i="11"/>
  <c r="Y23" i="11"/>
  <c r="Y24" i="11"/>
  <c r="Y25" i="11"/>
  <c r="Y26" i="11"/>
  <c r="Y27" i="11"/>
  <c r="Y28" i="11"/>
  <c r="Y30" i="11"/>
  <c r="Y31" i="11"/>
  <c r="Y32" i="11"/>
  <c r="Y33" i="11"/>
  <c r="Y34" i="11"/>
  <c r="Y35" i="11"/>
  <c r="Y36" i="11"/>
  <c r="Y39" i="11"/>
  <c r="Y41" i="11"/>
  <c r="Y43" i="11"/>
  <c r="Y44" i="11"/>
  <c r="Y46" i="11"/>
  <c r="Y47" i="11"/>
  <c r="Y48" i="11"/>
  <c r="Y49" i="11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AG2" i="12"/>
  <c r="AH2" i="12"/>
  <c r="AI2" i="12"/>
  <c r="AJ2" i="12"/>
  <c r="O2" i="12"/>
  <c r="C2" i="12"/>
  <c r="D2" i="12"/>
  <c r="E2" i="12" a="1"/>
  <c r="E2" i="12" s="1"/>
  <c r="F2" i="12"/>
  <c r="G2" i="12"/>
  <c r="I2" i="12"/>
  <c r="J2" i="12" s="1"/>
  <c r="W7" i="12"/>
  <c r="W6" i="12"/>
  <c r="W5" i="12"/>
  <c r="W4" i="12"/>
  <c r="W3" i="12"/>
  <c r="I45" i="12"/>
  <c r="J45" i="12" s="1"/>
  <c r="L45" i="12"/>
  <c r="M45" i="12" s="1"/>
  <c r="F45" i="12"/>
  <c r="G45" i="12"/>
  <c r="C45" i="12"/>
  <c r="D45" i="12"/>
  <c r="E45" i="12" a="1"/>
  <c r="E45" i="12" s="1"/>
  <c r="AA377" i="10"/>
  <c r="AB377" i="10"/>
  <c r="AC377" i="10"/>
  <c r="AD377" i="10"/>
  <c r="AA361" i="10"/>
  <c r="AB361" i="10"/>
  <c r="L36" i="11" s="1"/>
  <c r="AC361" i="10"/>
  <c r="O36" i="11" s="1"/>
  <c r="AD361" i="10"/>
  <c r="I36" i="11" s="1"/>
  <c r="AA362" i="10"/>
  <c r="AB362" i="10"/>
  <c r="AC362" i="10"/>
  <c r="AD362" i="10"/>
  <c r="AA363" i="10"/>
  <c r="AB363" i="10"/>
  <c r="AC363" i="10"/>
  <c r="AD363" i="10"/>
  <c r="AA364" i="10"/>
  <c r="AB364" i="10"/>
  <c r="AC364" i="10"/>
  <c r="AD364" i="10"/>
  <c r="AA365" i="10"/>
  <c r="AB365" i="10"/>
  <c r="AC365" i="10"/>
  <c r="AD365" i="10"/>
  <c r="AA366" i="10"/>
  <c r="AB366" i="10"/>
  <c r="AC366" i="10"/>
  <c r="AD366" i="10"/>
  <c r="AA367" i="10"/>
  <c r="AB367" i="10"/>
  <c r="AC367" i="10"/>
  <c r="AD367" i="10"/>
  <c r="AA368" i="10"/>
  <c r="AB368" i="10"/>
  <c r="AC368" i="10"/>
  <c r="AD368" i="10"/>
  <c r="AA369" i="10"/>
  <c r="AB369" i="10"/>
  <c r="AC369" i="10"/>
  <c r="AD369" i="10"/>
  <c r="AA370" i="10"/>
  <c r="AB370" i="10"/>
  <c r="AC370" i="10"/>
  <c r="AD370" i="10"/>
  <c r="AA371" i="10"/>
  <c r="AB371" i="10"/>
  <c r="AC371" i="10"/>
  <c r="AD371" i="10"/>
  <c r="AA372" i="10"/>
  <c r="AB372" i="10"/>
  <c r="AC372" i="10"/>
  <c r="AD372" i="10"/>
  <c r="AA373" i="10"/>
  <c r="AB373" i="10"/>
  <c r="AC373" i="10"/>
  <c r="AD373" i="10"/>
  <c r="AA374" i="10"/>
  <c r="AB374" i="10"/>
  <c r="AC374" i="10"/>
  <c r="AD374" i="10"/>
  <c r="AA375" i="10"/>
  <c r="AB375" i="10"/>
  <c r="AC375" i="10"/>
  <c r="AD375" i="10"/>
  <c r="AA376" i="10"/>
  <c r="AB376" i="10"/>
  <c r="AC376" i="10"/>
  <c r="AD376" i="10"/>
  <c r="Q47" i="11"/>
  <c r="R47" i="11"/>
  <c r="S47" i="11"/>
  <c r="T47" i="11"/>
  <c r="U47" i="11"/>
  <c r="V47" i="11"/>
  <c r="W47" i="11"/>
  <c r="X47" i="11"/>
  <c r="Z47" i="11"/>
  <c r="AA47" i="11"/>
  <c r="AB47" i="11"/>
  <c r="AC47" i="11"/>
  <c r="AD47" i="11"/>
  <c r="AE47" i="11"/>
  <c r="P47" i="11"/>
  <c r="C32" i="12"/>
  <c r="D32" i="12"/>
  <c r="E32" i="12" a="1"/>
  <c r="E32" i="12" s="1"/>
  <c r="F32" i="12"/>
  <c r="G32" i="12"/>
  <c r="I32" i="12"/>
  <c r="L32" i="12"/>
  <c r="M32" i="12" s="1"/>
  <c r="C33" i="12"/>
  <c r="D33" i="12"/>
  <c r="E33" i="12" a="1"/>
  <c r="E33" i="12" s="1"/>
  <c r="F33" i="12"/>
  <c r="G33" i="12"/>
  <c r="I33" i="12"/>
  <c r="J33" i="12" s="1"/>
  <c r="L33" i="12"/>
  <c r="M33" i="12" s="1"/>
  <c r="L40" i="11" l="1"/>
  <c r="O40" i="11"/>
  <c r="O29" i="11"/>
  <c r="O30" i="11"/>
  <c r="O26" i="11"/>
  <c r="M2" i="12"/>
  <c r="J32" i="12"/>
  <c r="I21" i="12"/>
  <c r="J21" i="12" s="1"/>
  <c r="L21" i="12"/>
  <c r="M21" i="12" s="1"/>
  <c r="F21" i="12"/>
  <c r="G21" i="12"/>
  <c r="C21" i="12"/>
  <c r="D21" i="12"/>
  <c r="E21" i="12" a="1"/>
  <c r="E21" i="12" s="1"/>
  <c r="F39" i="12"/>
  <c r="G39" i="12"/>
  <c r="I39" i="12"/>
  <c r="J39" i="12" s="1"/>
  <c r="L39" i="12"/>
  <c r="M39" i="12" s="1"/>
  <c r="C39" i="12"/>
  <c r="D39" i="12"/>
  <c r="E39" i="12" a="1"/>
  <c r="E39" i="12" s="1"/>
  <c r="Q3" i="11"/>
  <c r="R3" i="11"/>
  <c r="S3" i="11"/>
  <c r="T3" i="11"/>
  <c r="U3" i="11"/>
  <c r="V3" i="11"/>
  <c r="W3" i="11"/>
  <c r="X3" i="11"/>
  <c r="Z3" i="11"/>
  <c r="AA3" i="11"/>
  <c r="AB3" i="11"/>
  <c r="AC3" i="11"/>
  <c r="AD3" i="11"/>
  <c r="AE3" i="11"/>
  <c r="P3" i="11"/>
  <c r="M3" i="11"/>
  <c r="N3" i="11" s="1"/>
  <c r="J3" i="11"/>
  <c r="K3" i="11" s="1"/>
  <c r="H3" i="11"/>
  <c r="G3" i="11"/>
  <c r="F3" i="11" a="1"/>
  <c r="F3" i="11" s="1"/>
  <c r="E3" i="11"/>
  <c r="D3" i="11"/>
  <c r="AA347" i="10"/>
  <c r="AB347" i="10"/>
  <c r="AC347" i="10"/>
  <c r="AD347" i="10"/>
  <c r="AA348" i="10"/>
  <c r="AB348" i="10"/>
  <c r="AC348" i="10"/>
  <c r="AD348" i="10"/>
  <c r="AA349" i="10"/>
  <c r="AB349" i="10"/>
  <c r="AC349" i="10"/>
  <c r="AD349" i="10"/>
  <c r="AA350" i="10"/>
  <c r="AB350" i="10"/>
  <c r="AC350" i="10"/>
  <c r="AD350" i="10"/>
  <c r="AA351" i="10"/>
  <c r="AB351" i="10"/>
  <c r="AC351" i="10"/>
  <c r="AD351" i="10"/>
  <c r="AA352" i="10"/>
  <c r="AB352" i="10"/>
  <c r="AC352" i="10"/>
  <c r="AD352" i="10"/>
  <c r="AA353" i="10"/>
  <c r="AB353" i="10"/>
  <c r="AC353" i="10"/>
  <c r="AD353" i="10"/>
  <c r="AA354" i="10"/>
  <c r="AB354" i="10"/>
  <c r="AC354" i="10"/>
  <c r="AD354" i="10"/>
  <c r="AA355" i="10"/>
  <c r="AB355" i="10"/>
  <c r="AC355" i="10"/>
  <c r="AD355" i="10"/>
  <c r="AA356" i="10"/>
  <c r="AB356" i="10"/>
  <c r="AC356" i="10"/>
  <c r="AD356" i="10"/>
  <c r="AA357" i="10"/>
  <c r="AB357" i="10"/>
  <c r="AC357" i="10"/>
  <c r="AD357" i="10"/>
  <c r="AA358" i="10"/>
  <c r="AB358" i="10"/>
  <c r="AC358" i="10"/>
  <c r="AD358" i="10"/>
  <c r="AA359" i="10"/>
  <c r="AB359" i="10"/>
  <c r="AC359" i="10"/>
  <c r="AD359" i="10"/>
  <c r="AA360" i="10"/>
  <c r="AB360" i="10"/>
  <c r="AC360" i="10"/>
  <c r="AD360" i="10"/>
  <c r="Q22" i="11"/>
  <c r="R22" i="11"/>
  <c r="S22" i="11"/>
  <c r="T22" i="11"/>
  <c r="U22" i="11"/>
  <c r="V22" i="11"/>
  <c r="W22" i="11"/>
  <c r="X22" i="11"/>
  <c r="Z22" i="11"/>
  <c r="AA22" i="11"/>
  <c r="AB22" i="11"/>
  <c r="AC22" i="11"/>
  <c r="AD22" i="11"/>
  <c r="AE22" i="11"/>
  <c r="P22" i="11"/>
  <c r="M22" i="11"/>
  <c r="N22" i="11" s="1"/>
  <c r="J22" i="11"/>
  <c r="H22" i="11"/>
  <c r="G22" i="11"/>
  <c r="E22" i="11"/>
  <c r="D22" i="11"/>
  <c r="F22" i="11" a="1"/>
  <c r="F22" i="11" s="1"/>
  <c r="AA331" i="10"/>
  <c r="AB331" i="10"/>
  <c r="AC331" i="10"/>
  <c r="AD331" i="10"/>
  <c r="AA332" i="10"/>
  <c r="AB332" i="10"/>
  <c r="AC332" i="10"/>
  <c r="AD332" i="10"/>
  <c r="AA333" i="10"/>
  <c r="AB333" i="10"/>
  <c r="AC333" i="10"/>
  <c r="AD333" i="10"/>
  <c r="AA334" i="10"/>
  <c r="AB334" i="10"/>
  <c r="AC334" i="10"/>
  <c r="AD334" i="10"/>
  <c r="AA335" i="10"/>
  <c r="AB335" i="10"/>
  <c r="AC335" i="10"/>
  <c r="AD335" i="10"/>
  <c r="AA336" i="10"/>
  <c r="AB336" i="10"/>
  <c r="AC336" i="10"/>
  <c r="AD336" i="10"/>
  <c r="AA337" i="10"/>
  <c r="AB337" i="10"/>
  <c r="AC337" i="10"/>
  <c r="AD337" i="10"/>
  <c r="AA338" i="10"/>
  <c r="AB338" i="10"/>
  <c r="AC338" i="10"/>
  <c r="AD338" i="10"/>
  <c r="AA339" i="10"/>
  <c r="AB339" i="10"/>
  <c r="AC339" i="10"/>
  <c r="AD339" i="10"/>
  <c r="AA340" i="10"/>
  <c r="AB340" i="10"/>
  <c r="AC340" i="10"/>
  <c r="AD340" i="10"/>
  <c r="AA341" i="10"/>
  <c r="AB341" i="10"/>
  <c r="AC341" i="10"/>
  <c r="AD341" i="10"/>
  <c r="AA342" i="10"/>
  <c r="AB342" i="10"/>
  <c r="AC342" i="10"/>
  <c r="AD342" i="10"/>
  <c r="AA343" i="10"/>
  <c r="AB343" i="10"/>
  <c r="AC343" i="10"/>
  <c r="AD343" i="10"/>
  <c r="AA344" i="10"/>
  <c r="AB344" i="10"/>
  <c r="AC344" i="10"/>
  <c r="AD344" i="10"/>
  <c r="AA345" i="10"/>
  <c r="AB345" i="10"/>
  <c r="AC345" i="10"/>
  <c r="AD345" i="10"/>
  <c r="AA346" i="10"/>
  <c r="AB346" i="10"/>
  <c r="AC346" i="10"/>
  <c r="AD346" i="10"/>
  <c r="AJ16" i="12"/>
  <c r="P7" i="12"/>
  <c r="Q7" i="12"/>
  <c r="R7" i="12"/>
  <c r="S7" i="12"/>
  <c r="T7" i="12"/>
  <c r="U7" i="12"/>
  <c r="V7" i="12"/>
  <c r="X7" i="12"/>
  <c r="Y7" i="12"/>
  <c r="Z7" i="12"/>
  <c r="AA7" i="12"/>
  <c r="AB7" i="12"/>
  <c r="AC7" i="12"/>
  <c r="AD7" i="12"/>
  <c r="AE7" i="12"/>
  <c r="AF7" i="12"/>
  <c r="AG7" i="12"/>
  <c r="AH7" i="12"/>
  <c r="AI7" i="12"/>
  <c r="AJ7" i="12"/>
  <c r="P6" i="12"/>
  <c r="Q6" i="12"/>
  <c r="R6" i="12"/>
  <c r="S6" i="12"/>
  <c r="T6" i="12"/>
  <c r="U6" i="12"/>
  <c r="V6" i="12"/>
  <c r="X6" i="12"/>
  <c r="Y6" i="12"/>
  <c r="Z6" i="12"/>
  <c r="AA6" i="12"/>
  <c r="AB6" i="12"/>
  <c r="AC6" i="12"/>
  <c r="AD6" i="12"/>
  <c r="AE6" i="12"/>
  <c r="AF6" i="12"/>
  <c r="AG6" i="12"/>
  <c r="AH6" i="12"/>
  <c r="AI6" i="12"/>
  <c r="AJ6" i="12"/>
  <c r="P5" i="12"/>
  <c r="Q5" i="12"/>
  <c r="R5" i="12"/>
  <c r="S5" i="12"/>
  <c r="T5" i="12"/>
  <c r="U5" i="12"/>
  <c r="V5" i="12"/>
  <c r="X5" i="12"/>
  <c r="Y5" i="12"/>
  <c r="Z5" i="12"/>
  <c r="AA5" i="12"/>
  <c r="AB5" i="12"/>
  <c r="AC5" i="12"/>
  <c r="AD5" i="12"/>
  <c r="AE5" i="12"/>
  <c r="AF5" i="12"/>
  <c r="AG5" i="12"/>
  <c r="AH5" i="12"/>
  <c r="AI5" i="12"/>
  <c r="AJ5" i="12"/>
  <c r="P4" i="12"/>
  <c r="Q4" i="12"/>
  <c r="R4" i="12"/>
  <c r="S4" i="12"/>
  <c r="T4" i="12"/>
  <c r="U4" i="12"/>
  <c r="V4" i="12"/>
  <c r="X4" i="12"/>
  <c r="Y4" i="12"/>
  <c r="Z4" i="12"/>
  <c r="AA4" i="12"/>
  <c r="AB4" i="12"/>
  <c r="AC4" i="12"/>
  <c r="AD4" i="12"/>
  <c r="AE4" i="12"/>
  <c r="AF4" i="12"/>
  <c r="AG4" i="12"/>
  <c r="AH4" i="12"/>
  <c r="AI4" i="12"/>
  <c r="AJ4" i="12"/>
  <c r="O5" i="12"/>
  <c r="O4" i="12"/>
  <c r="P3" i="12"/>
  <c r="Q3" i="12"/>
  <c r="R3" i="12"/>
  <c r="S3" i="12"/>
  <c r="T3" i="12"/>
  <c r="U3" i="12"/>
  <c r="V3" i="12"/>
  <c r="X3" i="12"/>
  <c r="Y3" i="12"/>
  <c r="Z3" i="12"/>
  <c r="AA3" i="12"/>
  <c r="AB3" i="12"/>
  <c r="AC3" i="12"/>
  <c r="AD3" i="12"/>
  <c r="AE3" i="12"/>
  <c r="AF3" i="12"/>
  <c r="AG3" i="12"/>
  <c r="AH3" i="12"/>
  <c r="AI3" i="12"/>
  <c r="AJ3" i="12"/>
  <c r="O3" i="12"/>
  <c r="L4" i="12"/>
  <c r="M4" i="12" s="1"/>
  <c r="L5" i="12"/>
  <c r="M5" i="12" s="1"/>
  <c r="L6" i="12"/>
  <c r="M6" i="12" s="1"/>
  <c r="L7" i="12"/>
  <c r="M7" i="12" s="1"/>
  <c r="L8" i="12"/>
  <c r="M8" i="12" s="1"/>
  <c r="L9" i="12"/>
  <c r="M9" i="12" s="1"/>
  <c r="L10" i="12"/>
  <c r="M10" i="12" s="1"/>
  <c r="L11" i="12"/>
  <c r="M11" i="12" s="1"/>
  <c r="L13" i="12"/>
  <c r="M13" i="12" s="1"/>
  <c r="L42" i="12"/>
  <c r="M42" i="12" s="1"/>
  <c r="L14" i="12"/>
  <c r="M14" i="12" s="1"/>
  <c r="L16" i="12"/>
  <c r="M16" i="12" s="1"/>
  <c r="L17" i="12"/>
  <c r="M17" i="12" s="1"/>
  <c r="L18" i="12"/>
  <c r="M18" i="12" s="1"/>
  <c r="L19" i="12"/>
  <c r="M19" i="12" s="1"/>
  <c r="L20" i="12"/>
  <c r="M20" i="12" s="1"/>
  <c r="L22" i="12"/>
  <c r="M22" i="12" s="1"/>
  <c r="L25" i="12"/>
  <c r="M25" i="12" s="1"/>
  <c r="L26" i="12"/>
  <c r="M26" i="12" s="1"/>
  <c r="L27" i="12"/>
  <c r="M27" i="12" s="1"/>
  <c r="L28" i="12"/>
  <c r="M28" i="12" s="1"/>
  <c r="L29" i="12"/>
  <c r="M29" i="12" s="1"/>
  <c r="L30" i="12"/>
  <c r="M30" i="12" s="1"/>
  <c r="L31" i="12"/>
  <c r="M31" i="12" s="1"/>
  <c r="L34" i="12"/>
  <c r="M34" i="12" s="1"/>
  <c r="L35" i="12"/>
  <c r="M35" i="12" s="1"/>
  <c r="L36" i="12"/>
  <c r="M36" i="12" s="1"/>
  <c r="L37" i="12"/>
  <c r="M37" i="12" s="1"/>
  <c r="L38" i="12"/>
  <c r="M38" i="12" s="1"/>
  <c r="L41" i="12"/>
  <c r="M41" i="12" s="1"/>
  <c r="L43" i="12"/>
  <c r="M43" i="12" s="1"/>
  <c r="L44" i="12"/>
  <c r="M44" i="12" s="1"/>
  <c r="L46" i="12"/>
  <c r="M46" i="12" s="1"/>
  <c r="L47" i="12"/>
  <c r="M47" i="12" s="1"/>
  <c r="L48" i="12"/>
  <c r="M48" i="12" s="1"/>
  <c r="L49" i="12"/>
  <c r="M49" i="12" s="1"/>
  <c r="L50" i="12"/>
  <c r="M50" i="12" s="1"/>
  <c r="L51" i="12"/>
  <c r="M51" i="12" s="1"/>
  <c r="L52" i="12"/>
  <c r="M52" i="12" s="1"/>
  <c r="L53" i="12"/>
  <c r="M53" i="12" s="1"/>
  <c r="L54" i="12"/>
  <c r="M54" i="12" s="1"/>
  <c r="L55" i="12"/>
  <c r="L3" i="12"/>
  <c r="M3" i="12" s="1"/>
  <c r="I4" i="12"/>
  <c r="J4" i="12" s="1"/>
  <c r="I5" i="12"/>
  <c r="J5" i="12" s="1"/>
  <c r="I6" i="12"/>
  <c r="J6" i="12" s="1"/>
  <c r="I7" i="12"/>
  <c r="J7" i="12" s="1"/>
  <c r="I8" i="12"/>
  <c r="J8" i="12" s="1"/>
  <c r="I9" i="12"/>
  <c r="J9" i="12" s="1"/>
  <c r="I10" i="12"/>
  <c r="J10" i="12" s="1"/>
  <c r="I11" i="12"/>
  <c r="J11" i="12" s="1"/>
  <c r="I13" i="12"/>
  <c r="J13" i="12" s="1"/>
  <c r="I42" i="12"/>
  <c r="I14" i="12"/>
  <c r="J14" i="12" s="1"/>
  <c r="I16" i="12"/>
  <c r="J16" i="12" s="1"/>
  <c r="I17" i="12"/>
  <c r="J17" i="12" s="1"/>
  <c r="I18" i="12"/>
  <c r="J18" i="12" s="1"/>
  <c r="I19" i="12"/>
  <c r="J19" i="12" s="1"/>
  <c r="I20" i="12"/>
  <c r="J20" i="12" s="1"/>
  <c r="I22" i="12"/>
  <c r="J22" i="12" s="1"/>
  <c r="I25" i="12"/>
  <c r="J25" i="12" s="1"/>
  <c r="I26" i="12"/>
  <c r="J26" i="12" s="1"/>
  <c r="I27" i="12"/>
  <c r="J27" i="12" s="1"/>
  <c r="I28" i="12"/>
  <c r="J28" i="12" s="1"/>
  <c r="I29" i="12"/>
  <c r="J29" i="12" s="1"/>
  <c r="I30" i="12"/>
  <c r="J30" i="12" s="1"/>
  <c r="I31" i="12"/>
  <c r="J31" i="12" s="1"/>
  <c r="I34" i="12"/>
  <c r="J34" i="12" s="1"/>
  <c r="I35" i="12"/>
  <c r="J35" i="12" s="1"/>
  <c r="I36" i="12"/>
  <c r="J36" i="12" s="1"/>
  <c r="I37" i="12"/>
  <c r="J37" i="12" s="1"/>
  <c r="I38" i="12"/>
  <c r="J38" i="12" s="1"/>
  <c r="I41" i="12"/>
  <c r="J41" i="12" s="1"/>
  <c r="I43" i="12"/>
  <c r="J43" i="12" s="1"/>
  <c r="I44" i="12"/>
  <c r="J44" i="12" s="1"/>
  <c r="I46" i="12"/>
  <c r="J46" i="12" s="1"/>
  <c r="I47" i="12"/>
  <c r="J47" i="12" s="1"/>
  <c r="I48" i="12"/>
  <c r="J48" i="12" s="1"/>
  <c r="I49" i="12"/>
  <c r="J49" i="12" s="1"/>
  <c r="I50" i="12"/>
  <c r="J50" i="12" s="1"/>
  <c r="I51" i="12"/>
  <c r="J51" i="12" s="1"/>
  <c r="I52" i="12"/>
  <c r="J52" i="12" s="1"/>
  <c r="I53" i="12"/>
  <c r="J53" i="12" s="1"/>
  <c r="I54" i="12"/>
  <c r="J54" i="12" s="1"/>
  <c r="I55" i="12"/>
  <c r="J55" i="12" s="1"/>
  <c r="I3" i="12"/>
  <c r="J3" i="12" s="1"/>
  <c r="G4" i="12"/>
  <c r="G5" i="12"/>
  <c r="G6" i="12"/>
  <c r="G7" i="12"/>
  <c r="G8" i="12"/>
  <c r="G9" i="12"/>
  <c r="G10" i="12"/>
  <c r="G11" i="12"/>
  <c r="G13" i="12"/>
  <c r="G42" i="12"/>
  <c r="G14" i="12"/>
  <c r="G16" i="12"/>
  <c r="G17" i="12"/>
  <c r="G18" i="12"/>
  <c r="G19" i="12"/>
  <c r="G20" i="12"/>
  <c r="G22" i="12"/>
  <c r="G25" i="12"/>
  <c r="G26" i="12"/>
  <c r="G27" i="12"/>
  <c r="G28" i="12"/>
  <c r="G29" i="12"/>
  <c r="G30" i="12"/>
  <c r="G31" i="12"/>
  <c r="G34" i="12"/>
  <c r="G35" i="12"/>
  <c r="G36" i="12"/>
  <c r="G37" i="12"/>
  <c r="G38" i="12"/>
  <c r="G41" i="12"/>
  <c r="G43" i="12"/>
  <c r="G44" i="12"/>
  <c r="G46" i="12"/>
  <c r="G47" i="12"/>
  <c r="G48" i="12"/>
  <c r="G49" i="12"/>
  <c r="G50" i="12"/>
  <c r="G51" i="12"/>
  <c r="G52" i="12"/>
  <c r="G53" i="12"/>
  <c r="G54" i="12"/>
  <c r="G55" i="12"/>
  <c r="G3" i="12"/>
  <c r="F42" i="12"/>
  <c r="F14" i="12"/>
  <c r="F16" i="12"/>
  <c r="F17" i="12"/>
  <c r="F18" i="12"/>
  <c r="F19" i="12"/>
  <c r="F20" i="12"/>
  <c r="F22" i="12"/>
  <c r="F25" i="12"/>
  <c r="F26" i="12"/>
  <c r="F27" i="12"/>
  <c r="F28" i="12"/>
  <c r="F29" i="12"/>
  <c r="F30" i="12"/>
  <c r="F31" i="12"/>
  <c r="F34" i="12"/>
  <c r="F35" i="12"/>
  <c r="F36" i="12"/>
  <c r="F37" i="12"/>
  <c r="F38" i="12"/>
  <c r="F41" i="12"/>
  <c r="F43" i="12"/>
  <c r="F44" i="12"/>
  <c r="F46" i="12"/>
  <c r="F47" i="12"/>
  <c r="F48" i="12"/>
  <c r="F49" i="12"/>
  <c r="F50" i="12"/>
  <c r="F51" i="12"/>
  <c r="F52" i="12"/>
  <c r="F53" i="12"/>
  <c r="F54" i="12"/>
  <c r="F55" i="12"/>
  <c r="F4" i="12"/>
  <c r="F5" i="12"/>
  <c r="F6" i="12"/>
  <c r="F7" i="12"/>
  <c r="F8" i="12"/>
  <c r="F9" i="12"/>
  <c r="F10" i="12"/>
  <c r="F11" i="12"/>
  <c r="F13" i="12"/>
  <c r="F3" i="12"/>
  <c r="E4" i="12" a="1"/>
  <c r="E4" i="12" s="1"/>
  <c r="E5" i="12" a="1"/>
  <c r="E5" i="12" s="1"/>
  <c r="E6" i="12" a="1"/>
  <c r="E6" i="12" s="1"/>
  <c r="E7" i="12" a="1"/>
  <c r="E7" i="12" s="1"/>
  <c r="E8" i="12" a="1"/>
  <c r="E8" i="12" s="1"/>
  <c r="E9" i="12" a="1"/>
  <c r="E9" i="12" s="1"/>
  <c r="E10" i="12" a="1"/>
  <c r="E10" i="12" s="1"/>
  <c r="E11" i="12" a="1"/>
  <c r="E11" i="12" s="1"/>
  <c r="E13" i="12" a="1"/>
  <c r="E13" i="12" s="1"/>
  <c r="E42" i="12" a="1"/>
  <c r="E42" i="12" s="1"/>
  <c r="E14" i="12" a="1"/>
  <c r="E14" i="12" s="1"/>
  <c r="E16" i="12" a="1"/>
  <c r="E16" i="12" s="1"/>
  <c r="E17" i="12" a="1"/>
  <c r="E17" i="12" s="1"/>
  <c r="E18" i="12" a="1"/>
  <c r="E18" i="12" s="1"/>
  <c r="E19" i="12" a="1"/>
  <c r="E19" i="12" s="1"/>
  <c r="E20" i="12" a="1"/>
  <c r="E20" i="12" s="1"/>
  <c r="E22" i="12" a="1"/>
  <c r="E22" i="12" s="1"/>
  <c r="E25" i="12" a="1"/>
  <c r="E25" i="12" s="1"/>
  <c r="E26" i="12" a="1"/>
  <c r="E26" i="12" s="1"/>
  <c r="E27" i="12" a="1"/>
  <c r="E27" i="12" s="1"/>
  <c r="E28" i="12" a="1"/>
  <c r="E28" i="12" s="1"/>
  <c r="E29" i="12" a="1"/>
  <c r="E29" i="12" s="1"/>
  <c r="E30" i="12" a="1"/>
  <c r="E30" i="12" s="1"/>
  <c r="E31" i="12" a="1"/>
  <c r="E31" i="12" s="1"/>
  <c r="E34" i="12" a="1"/>
  <c r="E34" i="12" s="1"/>
  <c r="E35" i="12" a="1"/>
  <c r="E35" i="12" s="1"/>
  <c r="E36" i="12" a="1"/>
  <c r="E36" i="12" s="1"/>
  <c r="E37" i="12" a="1"/>
  <c r="E37" i="12" s="1"/>
  <c r="E38" i="12" a="1"/>
  <c r="E38" i="12" s="1"/>
  <c r="E41" i="12" a="1"/>
  <c r="E41" i="12" s="1"/>
  <c r="E43" i="12" a="1"/>
  <c r="E43" i="12" s="1"/>
  <c r="E44" i="12" a="1"/>
  <c r="E44" i="12" s="1"/>
  <c r="E46" i="12" a="1"/>
  <c r="E46" i="12" s="1"/>
  <c r="E47" i="12" a="1"/>
  <c r="E47" i="12" s="1"/>
  <c r="E48" i="12" a="1"/>
  <c r="E48" i="12" s="1"/>
  <c r="E49" i="12" a="1"/>
  <c r="E49" i="12" s="1"/>
  <c r="E50" i="12" a="1"/>
  <c r="E50" i="12" s="1"/>
  <c r="E51" i="12" a="1"/>
  <c r="E51" i="12" s="1"/>
  <c r="E52" i="12" a="1"/>
  <c r="E52" i="12" s="1"/>
  <c r="E53" i="12" a="1"/>
  <c r="E53" i="12" s="1"/>
  <c r="E54" i="12" a="1"/>
  <c r="E54" i="12" s="1"/>
  <c r="E55" i="12" a="1"/>
  <c r="E55" i="12" s="1"/>
  <c r="E3" i="12" a="1"/>
  <c r="E3" i="12" s="1"/>
  <c r="D42" i="12"/>
  <c r="D14" i="12"/>
  <c r="D16" i="12"/>
  <c r="D17" i="12"/>
  <c r="D18" i="12"/>
  <c r="D19" i="12"/>
  <c r="D20" i="12"/>
  <c r="D22" i="12"/>
  <c r="D25" i="12"/>
  <c r="D26" i="12"/>
  <c r="D27" i="12"/>
  <c r="D28" i="12"/>
  <c r="D29" i="12"/>
  <c r="D30" i="12"/>
  <c r="D31" i="12"/>
  <c r="D34" i="12"/>
  <c r="D35" i="12"/>
  <c r="D36" i="12"/>
  <c r="D37" i="12"/>
  <c r="D38" i="12"/>
  <c r="D41" i="12"/>
  <c r="D43" i="12"/>
  <c r="D44" i="12"/>
  <c r="D46" i="12"/>
  <c r="D47" i="12"/>
  <c r="D48" i="12"/>
  <c r="D49" i="12"/>
  <c r="D50" i="12"/>
  <c r="D51" i="12"/>
  <c r="D52" i="12"/>
  <c r="D53" i="12"/>
  <c r="D54" i="12"/>
  <c r="D55" i="12"/>
  <c r="D4" i="12"/>
  <c r="D5" i="12"/>
  <c r="D6" i="12"/>
  <c r="D7" i="12"/>
  <c r="D8" i="12"/>
  <c r="D9" i="12"/>
  <c r="D10" i="12"/>
  <c r="D11" i="12"/>
  <c r="D13" i="12"/>
  <c r="D3" i="12"/>
  <c r="C4" i="12"/>
  <c r="C5" i="12"/>
  <c r="C6" i="12"/>
  <c r="C7" i="12"/>
  <c r="C8" i="12"/>
  <c r="C9" i="12"/>
  <c r="C10" i="12"/>
  <c r="C11" i="12"/>
  <c r="C13" i="12"/>
  <c r="C42" i="12"/>
  <c r="C14" i="12"/>
  <c r="C16" i="12"/>
  <c r="C17" i="12"/>
  <c r="C18" i="12"/>
  <c r="C19" i="12"/>
  <c r="C20" i="12"/>
  <c r="C22" i="12"/>
  <c r="C25" i="12"/>
  <c r="C26" i="12"/>
  <c r="C27" i="12"/>
  <c r="C28" i="12"/>
  <c r="C29" i="12"/>
  <c r="C30" i="12"/>
  <c r="C31" i="12"/>
  <c r="C34" i="12"/>
  <c r="C35" i="12"/>
  <c r="C36" i="12"/>
  <c r="C37" i="12"/>
  <c r="C38" i="12"/>
  <c r="C41" i="12"/>
  <c r="C43" i="12"/>
  <c r="C44" i="12"/>
  <c r="C46" i="12"/>
  <c r="C47" i="12"/>
  <c r="C48" i="12"/>
  <c r="C49" i="12"/>
  <c r="C50" i="12"/>
  <c r="C51" i="12"/>
  <c r="C52" i="12"/>
  <c r="C53" i="12"/>
  <c r="C54" i="12"/>
  <c r="C55" i="12"/>
  <c r="C3" i="12"/>
  <c r="AG2" i="9"/>
  <c r="AA321" i="10"/>
  <c r="AB321" i="10"/>
  <c r="AC321" i="10"/>
  <c r="AD321" i="10"/>
  <c r="AA322" i="10"/>
  <c r="AB322" i="10"/>
  <c r="AC322" i="10"/>
  <c r="AD322" i="10"/>
  <c r="AA323" i="10"/>
  <c r="AB323" i="10"/>
  <c r="AC323" i="10"/>
  <c r="AD323" i="10"/>
  <c r="AA324" i="10"/>
  <c r="AB324" i="10"/>
  <c r="AC324" i="10"/>
  <c r="AD324" i="10"/>
  <c r="AA325" i="10"/>
  <c r="AB325" i="10"/>
  <c r="AC325" i="10"/>
  <c r="AD325" i="10"/>
  <c r="AA326" i="10"/>
  <c r="AB326" i="10"/>
  <c r="AC326" i="10"/>
  <c r="AD326" i="10"/>
  <c r="AA327" i="10"/>
  <c r="AB327" i="10"/>
  <c r="AC327" i="10"/>
  <c r="AD327" i="10"/>
  <c r="AA328" i="10"/>
  <c r="AB328" i="10"/>
  <c r="AC328" i="10"/>
  <c r="AD328" i="10"/>
  <c r="AA329" i="10"/>
  <c r="AB329" i="10"/>
  <c r="AC329" i="10"/>
  <c r="AD329" i="10"/>
  <c r="AA330" i="10"/>
  <c r="AB330" i="10"/>
  <c r="AC330" i="10"/>
  <c r="AD330" i="10"/>
  <c r="AA309" i="10"/>
  <c r="AB309" i="10"/>
  <c r="AC309" i="10"/>
  <c r="AD309" i="10"/>
  <c r="AA310" i="10"/>
  <c r="AB310" i="10"/>
  <c r="AC310" i="10"/>
  <c r="AD310" i="10"/>
  <c r="AA311" i="10"/>
  <c r="AB311" i="10"/>
  <c r="AC311" i="10"/>
  <c r="AD311" i="10"/>
  <c r="AA312" i="10"/>
  <c r="AB312" i="10"/>
  <c r="AC312" i="10"/>
  <c r="AD312" i="10"/>
  <c r="AA313" i="10"/>
  <c r="AB313" i="10"/>
  <c r="AC313" i="10"/>
  <c r="AD313" i="10"/>
  <c r="AA314" i="10"/>
  <c r="AB314" i="10"/>
  <c r="AC314" i="10"/>
  <c r="AD314" i="10"/>
  <c r="AA315" i="10"/>
  <c r="AB315" i="10"/>
  <c r="AC315" i="10"/>
  <c r="AD315" i="10"/>
  <c r="AA316" i="10"/>
  <c r="AB316" i="10"/>
  <c r="AC316" i="10"/>
  <c r="AD316" i="10"/>
  <c r="AA317" i="10"/>
  <c r="AB317" i="10"/>
  <c r="AC317" i="10"/>
  <c r="AD317" i="10"/>
  <c r="AA318" i="10"/>
  <c r="AB318" i="10"/>
  <c r="AC318" i="10"/>
  <c r="AD318" i="10"/>
  <c r="AA319" i="10"/>
  <c r="AB319" i="10"/>
  <c r="AC319" i="10"/>
  <c r="AD319" i="10"/>
  <c r="AA320" i="10"/>
  <c r="AB320" i="10"/>
  <c r="AC320" i="10"/>
  <c r="AD320" i="10"/>
  <c r="AA297" i="10"/>
  <c r="AB297" i="10"/>
  <c r="AC297" i="10"/>
  <c r="AD297" i="10"/>
  <c r="AA298" i="10"/>
  <c r="AB298" i="10"/>
  <c r="AC298" i="10"/>
  <c r="AD298" i="10"/>
  <c r="AA299" i="10"/>
  <c r="AB299" i="10"/>
  <c r="AC299" i="10"/>
  <c r="AD299" i="10"/>
  <c r="AA300" i="10"/>
  <c r="AB300" i="10"/>
  <c r="AC300" i="10"/>
  <c r="AD300" i="10"/>
  <c r="AA301" i="10"/>
  <c r="AB301" i="10"/>
  <c r="AC301" i="10"/>
  <c r="AD301" i="10"/>
  <c r="AA302" i="10"/>
  <c r="AB302" i="10"/>
  <c r="AC302" i="10"/>
  <c r="AD302" i="10"/>
  <c r="AA303" i="10"/>
  <c r="AB303" i="10"/>
  <c r="AC303" i="10"/>
  <c r="AD303" i="10"/>
  <c r="AA304" i="10"/>
  <c r="AB304" i="10"/>
  <c r="AC304" i="10"/>
  <c r="AD304" i="10"/>
  <c r="AA305" i="10"/>
  <c r="AB305" i="10"/>
  <c r="AC305" i="10"/>
  <c r="AD305" i="10"/>
  <c r="AA306" i="10"/>
  <c r="AB306" i="10"/>
  <c r="AC306" i="10"/>
  <c r="AD306" i="10"/>
  <c r="AA307" i="10"/>
  <c r="AB307" i="10"/>
  <c r="AC307" i="10"/>
  <c r="AD307" i="10"/>
  <c r="AA308" i="10"/>
  <c r="AB308" i="10"/>
  <c r="AC308" i="10"/>
  <c r="AD308" i="10"/>
  <c r="AA285" i="10"/>
  <c r="AB285" i="10"/>
  <c r="AC285" i="10"/>
  <c r="AD285" i="10"/>
  <c r="AA286" i="10"/>
  <c r="AB286" i="10"/>
  <c r="AC286" i="10"/>
  <c r="AD286" i="10"/>
  <c r="AA287" i="10"/>
  <c r="AB287" i="10"/>
  <c r="AC287" i="10"/>
  <c r="AD287" i="10"/>
  <c r="AA288" i="10"/>
  <c r="AB288" i="10"/>
  <c r="AC288" i="10"/>
  <c r="AD288" i="10"/>
  <c r="AA289" i="10"/>
  <c r="AB289" i="10"/>
  <c r="AC289" i="10"/>
  <c r="AD289" i="10"/>
  <c r="AA290" i="10"/>
  <c r="AB290" i="10"/>
  <c r="AC290" i="10"/>
  <c r="AD290" i="10"/>
  <c r="AA291" i="10"/>
  <c r="AB291" i="10"/>
  <c r="AC291" i="10"/>
  <c r="AD291" i="10"/>
  <c r="AA292" i="10"/>
  <c r="AB292" i="10"/>
  <c r="AC292" i="10"/>
  <c r="AD292" i="10"/>
  <c r="AA293" i="10"/>
  <c r="AB293" i="10"/>
  <c r="AC293" i="10"/>
  <c r="AD293" i="10"/>
  <c r="AA294" i="10"/>
  <c r="AB294" i="10"/>
  <c r="AC294" i="10"/>
  <c r="AD294" i="10"/>
  <c r="AA295" i="10"/>
  <c r="AB295" i="10"/>
  <c r="AC295" i="10"/>
  <c r="AD295" i="10"/>
  <c r="AA296" i="10"/>
  <c r="AB296" i="10"/>
  <c r="AC296" i="10"/>
  <c r="AD296" i="10"/>
  <c r="AA271" i="10"/>
  <c r="AB271" i="10"/>
  <c r="AC271" i="10"/>
  <c r="AD271" i="10"/>
  <c r="AA272" i="10"/>
  <c r="AB272" i="10"/>
  <c r="AC272" i="10"/>
  <c r="AD272" i="10"/>
  <c r="AA273" i="10"/>
  <c r="AB273" i="10"/>
  <c r="AC273" i="10"/>
  <c r="AD273" i="10"/>
  <c r="AA274" i="10"/>
  <c r="AB274" i="10"/>
  <c r="AC274" i="10"/>
  <c r="AD274" i="10"/>
  <c r="AA275" i="10"/>
  <c r="AB275" i="10"/>
  <c r="AC275" i="10"/>
  <c r="AD275" i="10"/>
  <c r="AA276" i="10"/>
  <c r="AB276" i="10"/>
  <c r="AC276" i="10"/>
  <c r="AD276" i="10"/>
  <c r="AA277" i="10"/>
  <c r="AB277" i="10"/>
  <c r="AC277" i="10"/>
  <c r="AD277" i="10"/>
  <c r="AA278" i="10"/>
  <c r="AB278" i="10"/>
  <c r="AC278" i="10"/>
  <c r="AD278" i="10"/>
  <c r="AA279" i="10"/>
  <c r="AB279" i="10"/>
  <c r="AC279" i="10"/>
  <c r="AD279" i="10"/>
  <c r="AA280" i="10"/>
  <c r="AB280" i="10"/>
  <c r="AC280" i="10"/>
  <c r="AD280" i="10"/>
  <c r="AA281" i="10"/>
  <c r="AB281" i="10"/>
  <c r="AC281" i="10"/>
  <c r="AD281" i="10"/>
  <c r="AA282" i="10"/>
  <c r="AB282" i="10"/>
  <c r="AC282" i="10"/>
  <c r="AD282" i="10"/>
  <c r="AA283" i="10"/>
  <c r="AB283" i="10"/>
  <c r="AC283" i="10"/>
  <c r="AD283" i="10"/>
  <c r="AA284" i="10"/>
  <c r="AB284" i="10"/>
  <c r="AC284" i="10"/>
  <c r="AD284" i="10"/>
  <c r="AA261" i="10"/>
  <c r="AB261" i="10"/>
  <c r="AC261" i="10"/>
  <c r="AD261" i="10"/>
  <c r="AA262" i="10"/>
  <c r="AB262" i="10"/>
  <c r="AC262" i="10"/>
  <c r="AD262" i="10"/>
  <c r="AA263" i="10"/>
  <c r="AB263" i="10"/>
  <c r="AC263" i="10"/>
  <c r="AD263" i="10"/>
  <c r="AA264" i="10"/>
  <c r="AB264" i="10"/>
  <c r="AC264" i="10"/>
  <c r="AD264" i="10"/>
  <c r="AA265" i="10"/>
  <c r="AB265" i="10"/>
  <c r="AC265" i="10"/>
  <c r="AD265" i="10"/>
  <c r="AA266" i="10"/>
  <c r="AB266" i="10"/>
  <c r="AC266" i="10"/>
  <c r="AD266" i="10"/>
  <c r="AA267" i="10"/>
  <c r="AB267" i="10"/>
  <c r="AC267" i="10"/>
  <c r="AD267" i="10"/>
  <c r="AA268" i="10"/>
  <c r="AB268" i="10"/>
  <c r="AC268" i="10"/>
  <c r="AD268" i="10"/>
  <c r="AA269" i="10"/>
  <c r="AB269" i="10"/>
  <c r="AC269" i="10"/>
  <c r="AD269" i="10"/>
  <c r="AA270" i="10"/>
  <c r="AB270" i="10"/>
  <c r="AC270" i="10"/>
  <c r="AD270" i="10"/>
  <c r="AA249" i="10"/>
  <c r="AB249" i="10"/>
  <c r="AC249" i="10"/>
  <c r="AD249" i="10"/>
  <c r="AA250" i="10"/>
  <c r="AB250" i="10"/>
  <c r="AC250" i="10"/>
  <c r="AD250" i="10"/>
  <c r="AA251" i="10"/>
  <c r="AB251" i="10"/>
  <c r="AC251" i="10"/>
  <c r="AD251" i="10"/>
  <c r="AA252" i="10"/>
  <c r="AB252" i="10"/>
  <c r="AC252" i="10"/>
  <c r="AD252" i="10"/>
  <c r="AA253" i="10"/>
  <c r="AB253" i="10"/>
  <c r="AC253" i="10"/>
  <c r="AD253" i="10"/>
  <c r="AA254" i="10"/>
  <c r="AB254" i="10"/>
  <c r="AC254" i="10"/>
  <c r="AD254" i="10"/>
  <c r="AA255" i="10"/>
  <c r="AB255" i="10"/>
  <c r="AC255" i="10"/>
  <c r="AD255" i="10"/>
  <c r="AA256" i="10"/>
  <c r="AB256" i="10"/>
  <c r="AC256" i="10"/>
  <c r="AD256" i="10"/>
  <c r="AA257" i="10"/>
  <c r="AB257" i="10"/>
  <c r="AC257" i="10"/>
  <c r="AD257" i="10"/>
  <c r="AA258" i="10"/>
  <c r="AB258" i="10"/>
  <c r="AC258" i="10"/>
  <c r="AD258" i="10"/>
  <c r="AA259" i="10"/>
  <c r="AB259" i="10"/>
  <c r="AC259" i="10"/>
  <c r="AD259" i="10"/>
  <c r="AA260" i="10"/>
  <c r="AB260" i="10"/>
  <c r="AC260" i="10"/>
  <c r="AD260" i="10"/>
  <c r="AA239" i="10"/>
  <c r="AB239" i="10"/>
  <c r="AC239" i="10"/>
  <c r="AD239" i="10"/>
  <c r="AA240" i="10"/>
  <c r="AB240" i="10"/>
  <c r="AC240" i="10"/>
  <c r="AD240" i="10"/>
  <c r="AA241" i="10"/>
  <c r="AB241" i="10"/>
  <c r="AC241" i="10"/>
  <c r="AD241" i="10"/>
  <c r="AA242" i="10"/>
  <c r="AB242" i="10"/>
  <c r="AC242" i="10"/>
  <c r="AD242" i="10"/>
  <c r="AA243" i="10"/>
  <c r="AB243" i="10"/>
  <c r="AC243" i="10"/>
  <c r="AD243" i="10"/>
  <c r="AA244" i="10"/>
  <c r="AB244" i="10"/>
  <c r="AC244" i="10"/>
  <c r="AD244" i="10"/>
  <c r="AA245" i="10"/>
  <c r="AB245" i="10"/>
  <c r="AC245" i="10"/>
  <c r="AD245" i="10"/>
  <c r="AA246" i="10"/>
  <c r="AB246" i="10"/>
  <c r="AC246" i="10"/>
  <c r="AD246" i="10"/>
  <c r="AA247" i="10"/>
  <c r="AB247" i="10"/>
  <c r="AC247" i="10"/>
  <c r="AD247" i="10"/>
  <c r="AA248" i="10"/>
  <c r="AB248" i="10"/>
  <c r="AC248" i="10"/>
  <c r="AD248" i="10"/>
  <c r="AA227" i="10"/>
  <c r="AB227" i="10"/>
  <c r="AC227" i="10"/>
  <c r="AD227" i="10"/>
  <c r="AA228" i="10"/>
  <c r="AB228" i="10"/>
  <c r="AC228" i="10"/>
  <c r="AD228" i="10"/>
  <c r="AA229" i="10"/>
  <c r="AB229" i="10"/>
  <c r="AC229" i="10"/>
  <c r="AD229" i="10"/>
  <c r="AA230" i="10"/>
  <c r="AB230" i="10"/>
  <c r="AC230" i="10"/>
  <c r="AD230" i="10"/>
  <c r="AA231" i="10"/>
  <c r="AB231" i="10"/>
  <c r="AC231" i="10"/>
  <c r="AD231" i="10"/>
  <c r="AA232" i="10"/>
  <c r="AB232" i="10"/>
  <c r="AC232" i="10"/>
  <c r="AD232" i="10"/>
  <c r="AA233" i="10"/>
  <c r="AB233" i="10"/>
  <c r="AC233" i="10"/>
  <c r="AD233" i="10"/>
  <c r="AA234" i="10"/>
  <c r="AB234" i="10"/>
  <c r="AC234" i="10"/>
  <c r="AD234" i="10"/>
  <c r="AA235" i="10"/>
  <c r="AB235" i="10"/>
  <c r="AC235" i="10"/>
  <c r="AD235" i="10"/>
  <c r="AA236" i="10"/>
  <c r="AB236" i="10"/>
  <c r="AC236" i="10"/>
  <c r="AD236" i="10"/>
  <c r="AA237" i="10"/>
  <c r="AB237" i="10"/>
  <c r="AC237" i="10"/>
  <c r="AD237" i="10"/>
  <c r="AA238" i="10"/>
  <c r="AB238" i="10"/>
  <c r="AC238" i="10"/>
  <c r="AD238" i="10"/>
  <c r="AA215" i="10"/>
  <c r="AB215" i="10"/>
  <c r="AC215" i="10"/>
  <c r="AD215" i="10"/>
  <c r="AA216" i="10"/>
  <c r="AB216" i="10"/>
  <c r="AC216" i="10"/>
  <c r="AD216" i="10"/>
  <c r="AA217" i="10"/>
  <c r="AB217" i="10"/>
  <c r="AC217" i="10"/>
  <c r="AD217" i="10"/>
  <c r="AA218" i="10"/>
  <c r="AB218" i="10"/>
  <c r="AC218" i="10"/>
  <c r="AD218" i="10"/>
  <c r="AA219" i="10"/>
  <c r="AB219" i="10"/>
  <c r="AC219" i="10"/>
  <c r="AD219" i="10"/>
  <c r="AA220" i="10"/>
  <c r="AB220" i="10"/>
  <c r="AC220" i="10"/>
  <c r="AD220" i="10"/>
  <c r="AA221" i="10"/>
  <c r="AB221" i="10"/>
  <c r="AC221" i="10"/>
  <c r="AD221" i="10"/>
  <c r="AA222" i="10"/>
  <c r="AB222" i="10"/>
  <c r="AC222" i="10"/>
  <c r="AD222" i="10"/>
  <c r="AA223" i="10"/>
  <c r="AB223" i="10"/>
  <c r="AC223" i="10"/>
  <c r="AD223" i="10"/>
  <c r="AA224" i="10"/>
  <c r="AB224" i="10"/>
  <c r="AC224" i="10"/>
  <c r="AD224" i="10"/>
  <c r="AA225" i="10"/>
  <c r="AB225" i="10"/>
  <c r="AC225" i="10"/>
  <c r="AD225" i="10"/>
  <c r="AA226" i="10"/>
  <c r="AB226" i="10"/>
  <c r="AC226" i="10"/>
  <c r="AD226" i="10"/>
  <c r="AA203" i="10"/>
  <c r="AB203" i="10"/>
  <c r="AC203" i="10"/>
  <c r="AD203" i="10"/>
  <c r="AA204" i="10"/>
  <c r="AB204" i="10"/>
  <c r="AC204" i="10"/>
  <c r="AD204" i="10"/>
  <c r="AA205" i="10"/>
  <c r="AB205" i="10"/>
  <c r="AC205" i="10"/>
  <c r="AD205" i="10"/>
  <c r="AA206" i="10"/>
  <c r="AB206" i="10"/>
  <c r="AC206" i="10"/>
  <c r="AD206" i="10"/>
  <c r="AA207" i="10"/>
  <c r="AB207" i="10"/>
  <c r="AC207" i="10"/>
  <c r="AD207" i="10"/>
  <c r="AA208" i="10"/>
  <c r="AB208" i="10"/>
  <c r="AC208" i="10"/>
  <c r="AD208" i="10"/>
  <c r="AA209" i="10"/>
  <c r="AB209" i="10"/>
  <c r="AC209" i="10"/>
  <c r="AD209" i="10"/>
  <c r="AA210" i="10"/>
  <c r="AB210" i="10"/>
  <c r="AC210" i="10"/>
  <c r="AD210" i="10"/>
  <c r="AA211" i="10"/>
  <c r="AB211" i="10"/>
  <c r="AC211" i="10"/>
  <c r="AD211" i="10"/>
  <c r="AA212" i="10"/>
  <c r="AB212" i="10"/>
  <c r="AC212" i="10"/>
  <c r="AD212" i="10"/>
  <c r="AA213" i="10"/>
  <c r="AB213" i="10"/>
  <c r="AC213" i="10"/>
  <c r="AD213" i="10"/>
  <c r="AA214" i="10"/>
  <c r="AB214" i="10"/>
  <c r="AC214" i="10"/>
  <c r="AD214" i="10"/>
  <c r="AA191" i="10"/>
  <c r="AB191" i="10"/>
  <c r="AC191" i="10"/>
  <c r="AD191" i="10"/>
  <c r="AA192" i="10"/>
  <c r="AB192" i="10"/>
  <c r="AC192" i="10"/>
  <c r="AD192" i="10"/>
  <c r="AA193" i="10"/>
  <c r="AB193" i="10"/>
  <c r="AC193" i="10"/>
  <c r="AD193" i="10"/>
  <c r="AA194" i="10"/>
  <c r="AB194" i="10"/>
  <c r="AC194" i="10"/>
  <c r="AD194" i="10"/>
  <c r="AA195" i="10"/>
  <c r="AB195" i="10"/>
  <c r="AC195" i="10"/>
  <c r="AD195" i="10"/>
  <c r="AA196" i="10"/>
  <c r="AB196" i="10"/>
  <c r="AC196" i="10"/>
  <c r="AD196" i="10"/>
  <c r="AA197" i="10"/>
  <c r="AB197" i="10"/>
  <c r="AC197" i="10"/>
  <c r="AD197" i="10"/>
  <c r="AA198" i="10"/>
  <c r="AB198" i="10"/>
  <c r="AC198" i="10"/>
  <c r="AD198" i="10"/>
  <c r="AA199" i="10"/>
  <c r="AB199" i="10"/>
  <c r="AC199" i="10"/>
  <c r="AD199" i="10"/>
  <c r="AA200" i="10"/>
  <c r="AB200" i="10"/>
  <c r="AC200" i="10"/>
  <c r="AD200" i="10"/>
  <c r="AA201" i="10"/>
  <c r="AB201" i="10"/>
  <c r="AC201" i="10"/>
  <c r="AD201" i="10"/>
  <c r="AA202" i="10"/>
  <c r="AB202" i="10"/>
  <c r="AC202" i="10"/>
  <c r="AD202" i="10"/>
  <c r="AA179" i="10"/>
  <c r="AB179" i="10"/>
  <c r="AC179" i="10"/>
  <c r="AD179" i="10"/>
  <c r="AA180" i="10"/>
  <c r="AB180" i="10"/>
  <c r="AC180" i="10"/>
  <c r="AD180" i="10"/>
  <c r="AA181" i="10"/>
  <c r="AB181" i="10"/>
  <c r="AC181" i="10"/>
  <c r="AD181" i="10"/>
  <c r="AA182" i="10"/>
  <c r="AB182" i="10"/>
  <c r="AC182" i="10"/>
  <c r="AD182" i="10"/>
  <c r="AA183" i="10"/>
  <c r="AB183" i="10"/>
  <c r="AC183" i="10"/>
  <c r="AD183" i="10"/>
  <c r="AA184" i="10"/>
  <c r="AB184" i="10"/>
  <c r="AC184" i="10"/>
  <c r="AD184" i="10"/>
  <c r="AA185" i="10"/>
  <c r="AB185" i="10"/>
  <c r="AC185" i="10"/>
  <c r="AD185" i="10"/>
  <c r="AA186" i="10"/>
  <c r="AB186" i="10"/>
  <c r="AC186" i="10"/>
  <c r="AD186" i="10"/>
  <c r="AA187" i="10"/>
  <c r="AB187" i="10"/>
  <c r="AC187" i="10"/>
  <c r="AD187" i="10"/>
  <c r="AA188" i="10"/>
  <c r="AB188" i="10"/>
  <c r="AC188" i="10"/>
  <c r="AD188" i="10"/>
  <c r="AA189" i="10"/>
  <c r="AB189" i="10"/>
  <c r="AC189" i="10"/>
  <c r="AD189" i="10"/>
  <c r="AA190" i="10"/>
  <c r="AB190" i="10"/>
  <c r="AC190" i="10"/>
  <c r="AD190" i="10"/>
  <c r="AA167" i="10"/>
  <c r="AB167" i="10"/>
  <c r="AC167" i="10"/>
  <c r="AD167" i="10"/>
  <c r="AA168" i="10"/>
  <c r="AB168" i="10"/>
  <c r="AC168" i="10"/>
  <c r="AD168" i="10"/>
  <c r="AA169" i="10"/>
  <c r="AB169" i="10"/>
  <c r="AC169" i="10"/>
  <c r="AD169" i="10"/>
  <c r="AA170" i="10"/>
  <c r="AB170" i="10"/>
  <c r="AC170" i="10"/>
  <c r="AD170" i="10"/>
  <c r="AA171" i="10"/>
  <c r="AB171" i="10"/>
  <c r="AC171" i="10"/>
  <c r="AD171" i="10"/>
  <c r="AA172" i="10"/>
  <c r="AB172" i="10"/>
  <c r="AC172" i="10"/>
  <c r="AD172" i="10"/>
  <c r="AA173" i="10"/>
  <c r="AB173" i="10"/>
  <c r="AC173" i="10"/>
  <c r="AD173" i="10"/>
  <c r="AA174" i="10"/>
  <c r="AB174" i="10"/>
  <c r="AC174" i="10"/>
  <c r="AD174" i="10"/>
  <c r="AA175" i="10"/>
  <c r="AB175" i="10"/>
  <c r="AC175" i="10"/>
  <c r="AD175" i="10"/>
  <c r="AA176" i="10"/>
  <c r="AB176" i="10"/>
  <c r="AC176" i="10"/>
  <c r="AD176" i="10"/>
  <c r="AA177" i="10"/>
  <c r="AB177" i="10"/>
  <c r="AC177" i="10"/>
  <c r="AD177" i="10"/>
  <c r="AA178" i="10"/>
  <c r="AB178" i="10"/>
  <c r="AC178" i="10"/>
  <c r="AD178" i="10"/>
  <c r="AA155" i="10"/>
  <c r="AB155" i="10"/>
  <c r="AC155" i="10"/>
  <c r="AD155" i="10"/>
  <c r="AA156" i="10"/>
  <c r="AB156" i="10"/>
  <c r="AC156" i="10"/>
  <c r="AD156" i="10"/>
  <c r="AA157" i="10"/>
  <c r="AB157" i="10"/>
  <c r="AC157" i="10"/>
  <c r="AD157" i="10"/>
  <c r="AA158" i="10"/>
  <c r="AB158" i="10"/>
  <c r="AC158" i="10"/>
  <c r="AD158" i="10"/>
  <c r="AA159" i="10"/>
  <c r="AB159" i="10"/>
  <c r="AC159" i="10"/>
  <c r="AD159" i="10"/>
  <c r="AA160" i="10"/>
  <c r="AB160" i="10"/>
  <c r="AC160" i="10"/>
  <c r="AD160" i="10"/>
  <c r="AA161" i="10"/>
  <c r="AB161" i="10"/>
  <c r="AC161" i="10"/>
  <c r="AD161" i="10"/>
  <c r="AA162" i="10"/>
  <c r="AB162" i="10"/>
  <c r="AC162" i="10"/>
  <c r="AD162" i="10"/>
  <c r="AA163" i="10"/>
  <c r="AB163" i="10"/>
  <c r="AC163" i="10"/>
  <c r="AD163" i="10"/>
  <c r="AA164" i="10"/>
  <c r="AB164" i="10"/>
  <c r="AC164" i="10"/>
  <c r="AD164" i="10"/>
  <c r="AA165" i="10"/>
  <c r="AB165" i="10"/>
  <c r="AC165" i="10"/>
  <c r="AD165" i="10"/>
  <c r="AA166" i="10"/>
  <c r="AB166" i="10"/>
  <c r="AC166" i="10"/>
  <c r="AD166" i="10"/>
  <c r="AA141" i="10"/>
  <c r="AB141" i="10"/>
  <c r="AC141" i="10"/>
  <c r="AD141" i="10"/>
  <c r="AA142" i="10"/>
  <c r="AB142" i="10"/>
  <c r="AC142" i="10"/>
  <c r="AD142" i="10"/>
  <c r="AA143" i="10"/>
  <c r="AB143" i="10"/>
  <c r="AC143" i="10"/>
  <c r="AD143" i="10"/>
  <c r="AA144" i="10"/>
  <c r="AB144" i="10"/>
  <c r="AC144" i="10"/>
  <c r="AD144" i="10"/>
  <c r="AA145" i="10"/>
  <c r="AB145" i="10"/>
  <c r="AC145" i="10"/>
  <c r="AD145" i="10"/>
  <c r="AA146" i="10"/>
  <c r="AB146" i="10"/>
  <c r="AC146" i="10"/>
  <c r="AD146" i="10"/>
  <c r="AA147" i="10"/>
  <c r="AB147" i="10"/>
  <c r="AC147" i="10"/>
  <c r="AD147" i="10"/>
  <c r="AA148" i="10"/>
  <c r="AB148" i="10"/>
  <c r="AC148" i="10"/>
  <c r="AD148" i="10"/>
  <c r="AA149" i="10"/>
  <c r="AB149" i="10"/>
  <c r="AC149" i="10"/>
  <c r="AD149" i="10"/>
  <c r="AA150" i="10"/>
  <c r="AB150" i="10"/>
  <c r="AC150" i="10"/>
  <c r="AD150" i="10"/>
  <c r="AA151" i="10"/>
  <c r="AB151" i="10"/>
  <c r="AC151" i="10"/>
  <c r="AD151" i="10"/>
  <c r="AA152" i="10"/>
  <c r="AB152" i="10"/>
  <c r="AC152" i="10"/>
  <c r="AD152" i="10"/>
  <c r="AA153" i="10"/>
  <c r="AB153" i="10"/>
  <c r="AC153" i="10"/>
  <c r="AD153" i="10"/>
  <c r="AA154" i="10"/>
  <c r="AB154" i="10"/>
  <c r="AC154" i="10"/>
  <c r="AD154" i="10"/>
  <c r="AA129" i="10"/>
  <c r="AB129" i="10"/>
  <c r="AC129" i="10"/>
  <c r="AD129" i="10"/>
  <c r="AA130" i="10"/>
  <c r="AB130" i="10"/>
  <c r="AC130" i="10"/>
  <c r="AD130" i="10"/>
  <c r="AA131" i="10"/>
  <c r="AB131" i="10"/>
  <c r="AC131" i="10"/>
  <c r="AD131" i="10"/>
  <c r="AA132" i="10"/>
  <c r="AB132" i="10"/>
  <c r="AC132" i="10"/>
  <c r="AD132" i="10"/>
  <c r="AA133" i="10"/>
  <c r="AB133" i="10"/>
  <c r="AC133" i="10"/>
  <c r="AD133" i="10"/>
  <c r="AA134" i="10"/>
  <c r="AB134" i="10"/>
  <c r="AC134" i="10"/>
  <c r="AD134" i="10"/>
  <c r="AA135" i="10"/>
  <c r="AB135" i="10"/>
  <c r="AC135" i="10"/>
  <c r="AD135" i="10"/>
  <c r="AA136" i="10"/>
  <c r="AB136" i="10"/>
  <c r="AC136" i="10"/>
  <c r="AD136" i="10"/>
  <c r="AA137" i="10"/>
  <c r="AB137" i="10"/>
  <c r="AC137" i="10"/>
  <c r="AD137" i="10"/>
  <c r="AA138" i="10"/>
  <c r="AB138" i="10"/>
  <c r="AC138" i="10"/>
  <c r="AD138" i="10"/>
  <c r="AA139" i="10"/>
  <c r="AB139" i="10"/>
  <c r="AC139" i="10"/>
  <c r="AD139" i="10"/>
  <c r="AA140" i="10"/>
  <c r="AB140" i="10"/>
  <c r="AC140" i="10"/>
  <c r="AD140" i="10"/>
  <c r="AA113" i="10"/>
  <c r="AB113" i="10"/>
  <c r="AC113" i="10"/>
  <c r="AD113" i="10"/>
  <c r="AA114" i="10"/>
  <c r="AB114" i="10"/>
  <c r="AC114" i="10"/>
  <c r="AD114" i="10"/>
  <c r="AA115" i="10"/>
  <c r="AB115" i="10"/>
  <c r="AC115" i="10"/>
  <c r="AD115" i="10"/>
  <c r="AA116" i="10"/>
  <c r="AB116" i="10"/>
  <c r="AC116" i="10"/>
  <c r="AD116" i="10"/>
  <c r="AA117" i="10"/>
  <c r="AB117" i="10"/>
  <c r="AC117" i="10"/>
  <c r="AD117" i="10"/>
  <c r="AA118" i="10"/>
  <c r="AB118" i="10"/>
  <c r="AC118" i="10"/>
  <c r="AD118" i="10"/>
  <c r="AA119" i="10"/>
  <c r="AB119" i="10"/>
  <c r="AC119" i="10"/>
  <c r="AD119" i="10"/>
  <c r="AA120" i="10"/>
  <c r="AB120" i="10"/>
  <c r="AC120" i="10"/>
  <c r="AD120" i="10"/>
  <c r="AA121" i="10"/>
  <c r="AB121" i="10"/>
  <c r="AC121" i="10"/>
  <c r="AD121" i="10"/>
  <c r="AA122" i="10"/>
  <c r="AB122" i="10"/>
  <c r="AC122" i="10"/>
  <c r="AD122" i="10"/>
  <c r="AA123" i="10"/>
  <c r="AB123" i="10"/>
  <c r="AC123" i="10"/>
  <c r="AD123" i="10"/>
  <c r="AA124" i="10"/>
  <c r="AB124" i="10"/>
  <c r="AC124" i="10"/>
  <c r="AD124" i="10"/>
  <c r="AA125" i="10"/>
  <c r="AB125" i="10"/>
  <c r="AC125" i="10"/>
  <c r="AD125" i="10"/>
  <c r="AA126" i="10"/>
  <c r="AB126" i="10"/>
  <c r="AC126" i="10"/>
  <c r="AD126" i="10"/>
  <c r="AA127" i="10"/>
  <c r="AB127" i="10"/>
  <c r="AC127" i="10"/>
  <c r="AD127" i="10"/>
  <c r="AA128" i="10"/>
  <c r="AB128" i="10"/>
  <c r="AC128" i="10"/>
  <c r="AD128" i="10"/>
  <c r="Q49" i="11"/>
  <c r="R49" i="11"/>
  <c r="S49" i="11"/>
  <c r="T49" i="11"/>
  <c r="U49" i="11"/>
  <c r="V49" i="11"/>
  <c r="W49" i="11"/>
  <c r="X49" i="11"/>
  <c r="Z49" i="11"/>
  <c r="AA49" i="11"/>
  <c r="AB49" i="11"/>
  <c r="AC49" i="11"/>
  <c r="AD49" i="11"/>
  <c r="AE49" i="11"/>
  <c r="P49" i="11"/>
  <c r="Q48" i="11"/>
  <c r="R48" i="11"/>
  <c r="S48" i="11"/>
  <c r="T48" i="11"/>
  <c r="U48" i="11"/>
  <c r="V48" i="11"/>
  <c r="W48" i="11"/>
  <c r="X48" i="11"/>
  <c r="Z48" i="11"/>
  <c r="AA48" i="11"/>
  <c r="AB48" i="11"/>
  <c r="AC48" i="11"/>
  <c r="AD48" i="11"/>
  <c r="AE48" i="11"/>
  <c r="P48" i="11"/>
  <c r="Q46" i="11"/>
  <c r="R46" i="11"/>
  <c r="S46" i="11"/>
  <c r="T46" i="11"/>
  <c r="U46" i="11"/>
  <c r="V46" i="11"/>
  <c r="W46" i="11"/>
  <c r="X46" i="11"/>
  <c r="Z46" i="11"/>
  <c r="AA46" i="11"/>
  <c r="AB46" i="11"/>
  <c r="AC46" i="11"/>
  <c r="AD46" i="11"/>
  <c r="AE46" i="11"/>
  <c r="P46" i="11"/>
  <c r="Q44" i="11"/>
  <c r="R44" i="11"/>
  <c r="S44" i="11"/>
  <c r="T44" i="11"/>
  <c r="U44" i="11"/>
  <c r="V44" i="11"/>
  <c r="W44" i="11"/>
  <c r="X44" i="11"/>
  <c r="Z44" i="11"/>
  <c r="AA44" i="11"/>
  <c r="AB44" i="11"/>
  <c r="AC44" i="11"/>
  <c r="AD44" i="11"/>
  <c r="AE44" i="11"/>
  <c r="P44" i="11"/>
  <c r="Q43" i="11"/>
  <c r="R43" i="11"/>
  <c r="S43" i="11"/>
  <c r="T43" i="11"/>
  <c r="U43" i="11"/>
  <c r="V43" i="11"/>
  <c r="W43" i="11"/>
  <c r="X43" i="11"/>
  <c r="Z43" i="11"/>
  <c r="AA43" i="11"/>
  <c r="AB43" i="11"/>
  <c r="AC43" i="11"/>
  <c r="AD43" i="11"/>
  <c r="AE43" i="11"/>
  <c r="P43" i="11"/>
  <c r="Q41" i="11"/>
  <c r="R41" i="11"/>
  <c r="S41" i="11"/>
  <c r="T41" i="11"/>
  <c r="U41" i="11"/>
  <c r="V41" i="11"/>
  <c r="W41" i="11"/>
  <c r="X41" i="11"/>
  <c r="Z41" i="11"/>
  <c r="AA41" i="11"/>
  <c r="AB41" i="11"/>
  <c r="AC41" i="11"/>
  <c r="AD41" i="11"/>
  <c r="AE41" i="11"/>
  <c r="P41" i="11"/>
  <c r="Q39" i="11"/>
  <c r="R39" i="11"/>
  <c r="S39" i="11"/>
  <c r="T39" i="11"/>
  <c r="U39" i="11"/>
  <c r="V39" i="11"/>
  <c r="W39" i="11"/>
  <c r="X39" i="11"/>
  <c r="Z39" i="11"/>
  <c r="AA39" i="11"/>
  <c r="AB39" i="11"/>
  <c r="AC39" i="11"/>
  <c r="AD39" i="11"/>
  <c r="AE39" i="11"/>
  <c r="P39" i="11"/>
  <c r="Q36" i="11"/>
  <c r="R36" i="11"/>
  <c r="S36" i="11"/>
  <c r="T36" i="11"/>
  <c r="U36" i="11"/>
  <c r="V36" i="11"/>
  <c r="W36" i="11"/>
  <c r="X36" i="11"/>
  <c r="Z36" i="11"/>
  <c r="AA36" i="11"/>
  <c r="AB36" i="11"/>
  <c r="AC36" i="11"/>
  <c r="AD36" i="11"/>
  <c r="AE36" i="11"/>
  <c r="Q35" i="11"/>
  <c r="R35" i="11"/>
  <c r="S35" i="11"/>
  <c r="T35" i="11"/>
  <c r="U35" i="11"/>
  <c r="V35" i="11"/>
  <c r="W35" i="11"/>
  <c r="X35" i="11"/>
  <c r="Z35" i="11"/>
  <c r="AA35" i="11"/>
  <c r="AB35" i="11"/>
  <c r="AC35" i="11"/>
  <c r="AD35" i="11"/>
  <c r="AE35" i="11"/>
  <c r="P35" i="11"/>
  <c r="Q34" i="11"/>
  <c r="R34" i="11"/>
  <c r="S34" i="11"/>
  <c r="T34" i="11"/>
  <c r="U34" i="11"/>
  <c r="V34" i="11"/>
  <c r="W34" i="11"/>
  <c r="X34" i="11"/>
  <c r="Z34" i="11"/>
  <c r="AA34" i="11"/>
  <c r="AB34" i="11"/>
  <c r="AC34" i="11"/>
  <c r="AD34" i="11"/>
  <c r="AE34" i="11"/>
  <c r="P34" i="11"/>
  <c r="Q33" i="11"/>
  <c r="R33" i="11"/>
  <c r="S33" i="11"/>
  <c r="T33" i="11"/>
  <c r="U33" i="11"/>
  <c r="V33" i="11"/>
  <c r="W33" i="11"/>
  <c r="X33" i="11"/>
  <c r="Z33" i="11"/>
  <c r="AA33" i="11"/>
  <c r="AB33" i="11"/>
  <c r="AC33" i="11"/>
  <c r="AD33" i="11"/>
  <c r="AE33" i="11"/>
  <c r="P33" i="11"/>
  <c r="Q32" i="11"/>
  <c r="R32" i="11"/>
  <c r="S32" i="11"/>
  <c r="T32" i="11"/>
  <c r="U32" i="11"/>
  <c r="V32" i="11"/>
  <c r="W32" i="11"/>
  <c r="X32" i="11"/>
  <c r="Z32" i="11"/>
  <c r="AA32" i="11"/>
  <c r="AB32" i="11"/>
  <c r="AC32" i="11"/>
  <c r="AD32" i="11"/>
  <c r="AE32" i="11"/>
  <c r="P32" i="11"/>
  <c r="Q31" i="11"/>
  <c r="R31" i="11"/>
  <c r="S31" i="11"/>
  <c r="T31" i="11"/>
  <c r="U31" i="11"/>
  <c r="V31" i="11"/>
  <c r="W31" i="11"/>
  <c r="X31" i="11"/>
  <c r="Z31" i="11"/>
  <c r="AA31" i="11"/>
  <c r="AB31" i="11"/>
  <c r="AC31" i="11"/>
  <c r="AD31" i="11"/>
  <c r="AE31" i="11"/>
  <c r="P31" i="11"/>
  <c r="Q30" i="11"/>
  <c r="R30" i="11"/>
  <c r="S30" i="11"/>
  <c r="T30" i="11"/>
  <c r="U30" i="11"/>
  <c r="V30" i="11"/>
  <c r="W30" i="11"/>
  <c r="X30" i="11"/>
  <c r="Z30" i="11"/>
  <c r="AA30" i="11"/>
  <c r="AB30" i="11"/>
  <c r="AC30" i="11"/>
  <c r="AD30" i="11"/>
  <c r="AE30" i="11"/>
  <c r="P30" i="11"/>
  <c r="Q28" i="11"/>
  <c r="R28" i="11"/>
  <c r="S28" i="11"/>
  <c r="T28" i="11"/>
  <c r="U28" i="11"/>
  <c r="V28" i="11"/>
  <c r="W28" i="11"/>
  <c r="X28" i="11"/>
  <c r="Z28" i="11"/>
  <c r="AA28" i="11"/>
  <c r="AB28" i="11"/>
  <c r="AC28" i="11"/>
  <c r="AD28" i="11"/>
  <c r="AE28" i="11"/>
  <c r="P28" i="11"/>
  <c r="Q27" i="11"/>
  <c r="R27" i="11"/>
  <c r="S27" i="11"/>
  <c r="T27" i="11"/>
  <c r="U27" i="11"/>
  <c r="V27" i="11"/>
  <c r="W27" i="11"/>
  <c r="X27" i="11"/>
  <c r="Z27" i="11"/>
  <c r="AA27" i="11"/>
  <c r="AB27" i="11"/>
  <c r="AC27" i="11"/>
  <c r="AD27" i="11"/>
  <c r="AE27" i="11"/>
  <c r="P27" i="11"/>
  <c r="Q26" i="11"/>
  <c r="R26" i="11"/>
  <c r="S26" i="11"/>
  <c r="T26" i="11"/>
  <c r="U26" i="11"/>
  <c r="V26" i="11"/>
  <c r="W26" i="11"/>
  <c r="X26" i="11"/>
  <c r="Z26" i="11"/>
  <c r="AA26" i="11"/>
  <c r="AB26" i="11"/>
  <c r="AC26" i="11"/>
  <c r="AD26" i="11"/>
  <c r="AE26" i="11"/>
  <c r="P26" i="11"/>
  <c r="Q25" i="11"/>
  <c r="R25" i="11"/>
  <c r="S25" i="11"/>
  <c r="T25" i="11"/>
  <c r="U25" i="11"/>
  <c r="V25" i="11"/>
  <c r="W25" i="11"/>
  <c r="X25" i="11"/>
  <c r="Z25" i="11"/>
  <c r="AA25" i="11"/>
  <c r="AB25" i="11"/>
  <c r="AC25" i="11"/>
  <c r="AD25" i="11"/>
  <c r="AE25" i="11"/>
  <c r="P25" i="11"/>
  <c r="Q24" i="11"/>
  <c r="R24" i="11"/>
  <c r="S24" i="11"/>
  <c r="T24" i="11"/>
  <c r="U24" i="11"/>
  <c r="V24" i="11"/>
  <c r="W24" i="11"/>
  <c r="X24" i="11"/>
  <c r="Z24" i="11"/>
  <c r="AA24" i="11"/>
  <c r="AB24" i="11"/>
  <c r="AC24" i="11"/>
  <c r="AD24" i="11"/>
  <c r="AE24" i="11"/>
  <c r="P24" i="11"/>
  <c r="Q23" i="11"/>
  <c r="R23" i="11"/>
  <c r="S23" i="11"/>
  <c r="T23" i="11"/>
  <c r="U23" i="11"/>
  <c r="V23" i="11"/>
  <c r="W23" i="11"/>
  <c r="X23" i="11"/>
  <c r="Z23" i="11"/>
  <c r="AA23" i="11"/>
  <c r="AB23" i="11"/>
  <c r="AC23" i="11"/>
  <c r="AD23" i="11"/>
  <c r="AE23" i="11"/>
  <c r="P23" i="11"/>
  <c r="Q21" i="11"/>
  <c r="R21" i="11"/>
  <c r="S21" i="11"/>
  <c r="T21" i="11"/>
  <c r="U21" i="11"/>
  <c r="V21" i="11"/>
  <c r="W21" i="11"/>
  <c r="X21" i="11"/>
  <c r="Z21" i="11"/>
  <c r="AA21" i="11"/>
  <c r="AB21" i="11"/>
  <c r="AC21" i="11"/>
  <c r="AD21" i="11"/>
  <c r="AE21" i="11"/>
  <c r="P21" i="11"/>
  <c r="Q20" i="11"/>
  <c r="R20" i="11"/>
  <c r="S20" i="11"/>
  <c r="T20" i="11"/>
  <c r="U20" i="11"/>
  <c r="V20" i="11"/>
  <c r="W20" i="11"/>
  <c r="X20" i="11"/>
  <c r="Z20" i="11"/>
  <c r="AA20" i="11"/>
  <c r="AB20" i="11"/>
  <c r="AC20" i="11"/>
  <c r="AD20" i="11"/>
  <c r="AE20" i="11"/>
  <c r="P20" i="11"/>
  <c r="Q18" i="11"/>
  <c r="R18" i="11"/>
  <c r="S18" i="11"/>
  <c r="T18" i="11"/>
  <c r="U18" i="11"/>
  <c r="V18" i="11"/>
  <c r="W18" i="11"/>
  <c r="X18" i="11"/>
  <c r="Z18" i="11"/>
  <c r="AA18" i="11"/>
  <c r="AB18" i="11"/>
  <c r="AC18" i="11"/>
  <c r="AD18" i="11"/>
  <c r="AE18" i="11"/>
  <c r="P18" i="11"/>
  <c r="Q17" i="11"/>
  <c r="R17" i="11"/>
  <c r="S17" i="11"/>
  <c r="T17" i="11"/>
  <c r="U17" i="11"/>
  <c r="V17" i="11"/>
  <c r="W17" i="11"/>
  <c r="X17" i="11"/>
  <c r="Z17" i="11"/>
  <c r="AA17" i="11"/>
  <c r="AB17" i="11"/>
  <c r="AC17" i="11"/>
  <c r="AD17" i="11"/>
  <c r="AE17" i="11"/>
  <c r="P17" i="11"/>
  <c r="Q16" i="11"/>
  <c r="R16" i="11"/>
  <c r="S16" i="11"/>
  <c r="T16" i="11"/>
  <c r="U16" i="11"/>
  <c r="V16" i="11"/>
  <c r="W16" i="11"/>
  <c r="X16" i="11"/>
  <c r="Z16" i="11"/>
  <c r="AA16" i="11"/>
  <c r="AB16" i="11"/>
  <c r="AC16" i="11"/>
  <c r="AD16" i="11"/>
  <c r="AE16" i="11"/>
  <c r="P16" i="11"/>
  <c r="Q15" i="11"/>
  <c r="R15" i="11"/>
  <c r="S15" i="11"/>
  <c r="T15" i="11"/>
  <c r="U15" i="11"/>
  <c r="V15" i="11"/>
  <c r="W15" i="11"/>
  <c r="X15" i="11"/>
  <c r="Z15" i="11"/>
  <c r="AA15" i="11"/>
  <c r="AB15" i="11"/>
  <c r="AC15" i="11"/>
  <c r="AD15" i="11"/>
  <c r="AE15" i="11"/>
  <c r="P15" i="11"/>
  <c r="Q12" i="11"/>
  <c r="R12" i="11"/>
  <c r="S12" i="11"/>
  <c r="T12" i="11"/>
  <c r="U12" i="11"/>
  <c r="V12" i="11"/>
  <c r="W12" i="11"/>
  <c r="X12" i="11"/>
  <c r="Z12" i="11"/>
  <c r="AA12" i="11"/>
  <c r="AB12" i="11"/>
  <c r="AC12" i="11"/>
  <c r="AD12" i="11"/>
  <c r="AE12" i="11"/>
  <c r="P12" i="11"/>
  <c r="Q11" i="11"/>
  <c r="R11" i="11"/>
  <c r="S11" i="11"/>
  <c r="T11" i="11"/>
  <c r="U11" i="11"/>
  <c r="V11" i="11"/>
  <c r="W11" i="11"/>
  <c r="X11" i="11"/>
  <c r="Z11" i="11"/>
  <c r="AA11" i="11"/>
  <c r="AB11" i="11"/>
  <c r="AC11" i="11"/>
  <c r="AD11" i="11"/>
  <c r="AE11" i="11"/>
  <c r="P11" i="11"/>
  <c r="Q9" i="11"/>
  <c r="R9" i="11"/>
  <c r="S9" i="11"/>
  <c r="T9" i="11"/>
  <c r="U9" i="11"/>
  <c r="V9" i="11"/>
  <c r="W9" i="11"/>
  <c r="X9" i="11"/>
  <c r="Z9" i="11"/>
  <c r="AA9" i="11"/>
  <c r="AB9" i="11"/>
  <c r="AC9" i="11"/>
  <c r="AD9" i="11"/>
  <c r="AE9" i="11"/>
  <c r="P9" i="11"/>
  <c r="Q8" i="11"/>
  <c r="R8" i="11"/>
  <c r="S8" i="11"/>
  <c r="T8" i="11"/>
  <c r="U8" i="11"/>
  <c r="V8" i="11"/>
  <c r="W8" i="11"/>
  <c r="X8" i="11"/>
  <c r="Z8" i="11"/>
  <c r="AA8" i="11"/>
  <c r="AB8" i="11"/>
  <c r="AC8" i="11"/>
  <c r="AD8" i="11"/>
  <c r="AE8" i="11"/>
  <c r="P8" i="11"/>
  <c r="P7" i="11"/>
  <c r="Q6" i="11"/>
  <c r="R6" i="11"/>
  <c r="S6" i="11"/>
  <c r="T6" i="11"/>
  <c r="U6" i="11"/>
  <c r="V6" i="11"/>
  <c r="W6" i="11"/>
  <c r="X6" i="11"/>
  <c r="Z6" i="11"/>
  <c r="AA6" i="11"/>
  <c r="AB6" i="11"/>
  <c r="AC6" i="11"/>
  <c r="AD6" i="11"/>
  <c r="AE6" i="11"/>
  <c r="P6" i="11"/>
  <c r="Q5" i="11"/>
  <c r="R5" i="11"/>
  <c r="S5" i="11"/>
  <c r="T5" i="11"/>
  <c r="U5" i="11"/>
  <c r="V5" i="11"/>
  <c r="W5" i="11"/>
  <c r="X5" i="11"/>
  <c r="Z5" i="11"/>
  <c r="AA5" i="11"/>
  <c r="AB5" i="11"/>
  <c r="AC5" i="11"/>
  <c r="AD5" i="11"/>
  <c r="AE5" i="11"/>
  <c r="P5" i="11"/>
  <c r="Q4" i="11"/>
  <c r="R4" i="11"/>
  <c r="S4" i="11"/>
  <c r="T4" i="11"/>
  <c r="U4" i="11"/>
  <c r="V4" i="11"/>
  <c r="W4" i="11"/>
  <c r="X4" i="11"/>
  <c r="Z4" i="11"/>
  <c r="AA4" i="11"/>
  <c r="AB4" i="11"/>
  <c r="AC4" i="11"/>
  <c r="AD4" i="11"/>
  <c r="AE4" i="11"/>
  <c r="P4" i="11"/>
  <c r="Q14" i="11"/>
  <c r="R14" i="11"/>
  <c r="S14" i="11"/>
  <c r="T14" i="11"/>
  <c r="U14" i="11"/>
  <c r="V14" i="11"/>
  <c r="W14" i="11"/>
  <c r="X14" i="11"/>
  <c r="Z14" i="11"/>
  <c r="AA14" i="11"/>
  <c r="AB14" i="11"/>
  <c r="AC14" i="11"/>
  <c r="AD14" i="11"/>
  <c r="AE14" i="11"/>
  <c r="P14" i="11"/>
  <c r="M4" i="11"/>
  <c r="N4" i="11" s="1"/>
  <c r="J5" i="11"/>
  <c r="K5" i="11" s="1"/>
  <c r="J6" i="11"/>
  <c r="K6" i="11" s="1"/>
  <c r="J7" i="11"/>
  <c r="K7" i="11" s="1"/>
  <c r="J8" i="11"/>
  <c r="K8" i="11" s="1"/>
  <c r="J9" i="11"/>
  <c r="K9" i="11" s="1"/>
  <c r="J11" i="11"/>
  <c r="K11" i="11" s="1"/>
  <c r="J12" i="11"/>
  <c r="K12" i="11" s="1"/>
  <c r="J14" i="11"/>
  <c r="K14" i="11" s="1"/>
  <c r="J15" i="11"/>
  <c r="K15" i="11" s="1"/>
  <c r="J16" i="11"/>
  <c r="K16" i="11" s="1"/>
  <c r="J17" i="11"/>
  <c r="K17" i="11" s="1"/>
  <c r="J18" i="11"/>
  <c r="K18" i="11" s="1"/>
  <c r="J20" i="11"/>
  <c r="K20" i="11" s="1"/>
  <c r="J21" i="11"/>
  <c r="K21" i="11" s="1"/>
  <c r="J23" i="11"/>
  <c r="K23" i="11" s="1"/>
  <c r="J24" i="11"/>
  <c r="K24" i="11" s="1"/>
  <c r="J25" i="11"/>
  <c r="K25" i="11" s="1"/>
  <c r="J26" i="11"/>
  <c r="K26" i="11" s="1"/>
  <c r="J27" i="11"/>
  <c r="K27" i="11" s="1"/>
  <c r="J28" i="11"/>
  <c r="K28" i="11" s="1"/>
  <c r="J30" i="11"/>
  <c r="K30" i="11" s="1"/>
  <c r="J31" i="11"/>
  <c r="K31" i="11" s="1"/>
  <c r="J32" i="11"/>
  <c r="K32" i="11" s="1"/>
  <c r="J33" i="11"/>
  <c r="K33" i="11" s="1"/>
  <c r="J34" i="11"/>
  <c r="K34" i="11" s="1"/>
  <c r="J35" i="11"/>
  <c r="K35" i="11" s="1"/>
  <c r="J36" i="11"/>
  <c r="K36" i="11" s="1"/>
  <c r="J39" i="11"/>
  <c r="K39" i="11" s="1"/>
  <c r="J41" i="11"/>
  <c r="K41" i="11" s="1"/>
  <c r="J43" i="11"/>
  <c r="K43" i="11" s="1"/>
  <c r="J44" i="11"/>
  <c r="K44" i="11" s="1"/>
  <c r="J46" i="11"/>
  <c r="K46" i="11" s="1"/>
  <c r="J48" i="11"/>
  <c r="K48" i="11" s="1"/>
  <c r="J49" i="11"/>
  <c r="K49" i="11" s="1"/>
  <c r="J4" i="11"/>
  <c r="K4" i="11" s="1"/>
  <c r="H5" i="11"/>
  <c r="H6" i="11"/>
  <c r="H7" i="11"/>
  <c r="H8" i="11"/>
  <c r="H9" i="11"/>
  <c r="H11" i="11"/>
  <c r="H12" i="11"/>
  <c r="H14" i="11"/>
  <c r="H15" i="11"/>
  <c r="H16" i="11"/>
  <c r="H17" i="11"/>
  <c r="H18" i="11"/>
  <c r="H20" i="11"/>
  <c r="H21" i="11"/>
  <c r="H23" i="11"/>
  <c r="H24" i="11"/>
  <c r="H25" i="11"/>
  <c r="H26" i="11"/>
  <c r="H27" i="11"/>
  <c r="H28" i="11"/>
  <c r="H30" i="11"/>
  <c r="H31" i="11"/>
  <c r="H32" i="11"/>
  <c r="H33" i="11"/>
  <c r="H34" i="11"/>
  <c r="H35" i="11"/>
  <c r="H36" i="11"/>
  <c r="H39" i="11"/>
  <c r="H41" i="11"/>
  <c r="H43" i="11"/>
  <c r="H44" i="11"/>
  <c r="H46" i="11"/>
  <c r="H48" i="11"/>
  <c r="H49" i="11"/>
  <c r="H4" i="11"/>
  <c r="G5" i="11"/>
  <c r="G6" i="11"/>
  <c r="G7" i="11"/>
  <c r="G8" i="11"/>
  <c r="G9" i="11"/>
  <c r="G11" i="11"/>
  <c r="G12" i="11"/>
  <c r="G14" i="11"/>
  <c r="G15" i="11"/>
  <c r="G16" i="11"/>
  <c r="G17" i="11"/>
  <c r="G18" i="11"/>
  <c r="G20" i="11"/>
  <c r="G21" i="11"/>
  <c r="G23" i="11"/>
  <c r="G24" i="11"/>
  <c r="G25" i="11"/>
  <c r="G26" i="11"/>
  <c r="G27" i="11"/>
  <c r="G28" i="11"/>
  <c r="G30" i="11"/>
  <c r="G31" i="11"/>
  <c r="G32" i="11"/>
  <c r="G33" i="11"/>
  <c r="G34" i="11"/>
  <c r="G35" i="11"/>
  <c r="G36" i="11"/>
  <c r="G39" i="11"/>
  <c r="G41" i="11"/>
  <c r="G43" i="11"/>
  <c r="G44" i="11"/>
  <c r="G46" i="11"/>
  <c r="G48" i="11"/>
  <c r="G49" i="11"/>
  <c r="G4" i="11"/>
  <c r="M5" i="11"/>
  <c r="N5" i="11" s="1"/>
  <c r="M6" i="11"/>
  <c r="N6" i="11" s="1"/>
  <c r="M7" i="11"/>
  <c r="N7" i="11" s="1"/>
  <c r="M8" i="11"/>
  <c r="N8" i="11" s="1"/>
  <c r="M9" i="11"/>
  <c r="N9" i="11" s="1"/>
  <c r="M12" i="11"/>
  <c r="N12" i="11" s="1"/>
  <c r="M14" i="11"/>
  <c r="N14" i="11" s="1"/>
  <c r="M15" i="11"/>
  <c r="N15" i="11" s="1"/>
  <c r="M16" i="11"/>
  <c r="N16" i="11" s="1"/>
  <c r="M17" i="11"/>
  <c r="N17" i="11" s="1"/>
  <c r="M18" i="11"/>
  <c r="N18" i="11" s="1"/>
  <c r="M20" i="11"/>
  <c r="N20" i="11" s="1"/>
  <c r="M21" i="11"/>
  <c r="N21" i="11" s="1"/>
  <c r="M23" i="11"/>
  <c r="N23" i="11" s="1"/>
  <c r="M24" i="11"/>
  <c r="N24" i="11" s="1"/>
  <c r="M25" i="11"/>
  <c r="N25" i="11" s="1"/>
  <c r="M26" i="11"/>
  <c r="N26" i="11" s="1"/>
  <c r="M27" i="11"/>
  <c r="M28" i="11"/>
  <c r="N28" i="11" s="1"/>
  <c r="M30" i="11"/>
  <c r="N30" i="11" s="1"/>
  <c r="M31" i="11"/>
  <c r="N31" i="11" s="1"/>
  <c r="M32" i="11"/>
  <c r="N32" i="11" s="1"/>
  <c r="M33" i="11"/>
  <c r="N33" i="11" s="1"/>
  <c r="M34" i="11"/>
  <c r="N34" i="11" s="1"/>
  <c r="M35" i="11"/>
  <c r="N35" i="11" s="1"/>
  <c r="M36" i="11"/>
  <c r="N36" i="11" s="1"/>
  <c r="M39" i="11"/>
  <c r="N39" i="11" s="1"/>
  <c r="M41" i="11"/>
  <c r="N41" i="11" s="1"/>
  <c r="M43" i="11"/>
  <c r="N43" i="11" s="1"/>
  <c r="M44" i="11"/>
  <c r="N44" i="11" s="1"/>
  <c r="M46" i="11"/>
  <c r="N46" i="11" s="1"/>
  <c r="M48" i="11"/>
  <c r="N48" i="11" s="1"/>
  <c r="M49" i="11"/>
  <c r="N49" i="11" s="1"/>
  <c r="F12" i="11" a="1"/>
  <c r="F12" i="11" s="1"/>
  <c r="F14" i="11" a="1"/>
  <c r="F14" i="11" s="1"/>
  <c r="F15" i="11" a="1"/>
  <c r="F15" i="11" s="1"/>
  <c r="F16" i="11" a="1"/>
  <c r="F16" i="11" s="1"/>
  <c r="F17" i="11" a="1"/>
  <c r="F17" i="11" s="1"/>
  <c r="F18" i="11" a="1"/>
  <c r="F18" i="11" s="1"/>
  <c r="F20" i="11" a="1"/>
  <c r="F20" i="11" s="1"/>
  <c r="F21" i="11" a="1"/>
  <c r="F21" i="11" s="1"/>
  <c r="F23" i="11" a="1"/>
  <c r="F23" i="11" s="1"/>
  <c r="F24" i="11" a="1"/>
  <c r="F24" i="11" s="1"/>
  <c r="F25" i="11" a="1"/>
  <c r="F25" i="11" s="1"/>
  <c r="F26" i="11" a="1"/>
  <c r="F26" i="11" s="1"/>
  <c r="F27" i="11" a="1"/>
  <c r="F27" i="11" s="1"/>
  <c r="F28" i="11" a="1"/>
  <c r="F28" i="11" s="1"/>
  <c r="F30" i="11" a="1"/>
  <c r="F30" i="11" s="1"/>
  <c r="F31" i="11" a="1"/>
  <c r="F31" i="11" s="1"/>
  <c r="F32" i="11" a="1"/>
  <c r="F32" i="11" s="1"/>
  <c r="F33" i="11" a="1"/>
  <c r="F33" i="11" s="1"/>
  <c r="F34" i="11" a="1"/>
  <c r="F34" i="11" s="1"/>
  <c r="F35" i="11" a="1"/>
  <c r="F35" i="11" s="1"/>
  <c r="F36" i="11" a="1"/>
  <c r="F36" i="11" s="1"/>
  <c r="F39" i="11" a="1"/>
  <c r="F39" i="11" s="1"/>
  <c r="F41" i="11" a="1"/>
  <c r="F41" i="11" s="1"/>
  <c r="F43" i="11" a="1"/>
  <c r="F43" i="11" s="1"/>
  <c r="F44" i="11" a="1"/>
  <c r="F44" i="11" s="1"/>
  <c r="F46" i="11" a="1"/>
  <c r="F46" i="11" s="1"/>
  <c r="F48" i="11" a="1"/>
  <c r="F48" i="11" s="1"/>
  <c r="F49" i="11" a="1"/>
  <c r="F49" i="11" s="1"/>
  <c r="F4" i="11" a="1"/>
  <c r="F4" i="11" s="1"/>
  <c r="F5" i="11" a="1"/>
  <c r="F5" i="11" s="1"/>
  <c r="F6" i="11" a="1"/>
  <c r="F6" i="11" s="1"/>
  <c r="F7" i="11" a="1"/>
  <c r="F7" i="11" s="1"/>
  <c r="F8" i="11" a="1"/>
  <c r="F8" i="11" s="1"/>
  <c r="F9" i="11" a="1"/>
  <c r="F9" i="11" s="1"/>
  <c r="F11" i="11" a="1"/>
  <c r="F11" i="11" s="1"/>
  <c r="E4" i="11"/>
  <c r="E5" i="11"/>
  <c r="E6" i="11"/>
  <c r="E7" i="11"/>
  <c r="E8" i="11"/>
  <c r="E9" i="11"/>
  <c r="E12" i="11"/>
  <c r="E14" i="11"/>
  <c r="E15" i="11"/>
  <c r="E16" i="11"/>
  <c r="E17" i="11"/>
  <c r="E18" i="11"/>
  <c r="E20" i="11"/>
  <c r="E21" i="11"/>
  <c r="E23" i="11"/>
  <c r="E24" i="11"/>
  <c r="E25" i="11"/>
  <c r="E26" i="11"/>
  <c r="E27" i="11"/>
  <c r="E28" i="11"/>
  <c r="E30" i="11"/>
  <c r="E31" i="11"/>
  <c r="E32" i="11"/>
  <c r="E33" i="11"/>
  <c r="E34" i="11"/>
  <c r="E35" i="11"/>
  <c r="E36" i="11"/>
  <c r="E39" i="11"/>
  <c r="E41" i="11"/>
  <c r="E43" i="11"/>
  <c r="E44" i="11"/>
  <c r="E46" i="11"/>
  <c r="E48" i="11"/>
  <c r="E49" i="11"/>
  <c r="D11" i="11"/>
  <c r="D12" i="11"/>
  <c r="D14" i="11"/>
  <c r="D15" i="11"/>
  <c r="D16" i="11"/>
  <c r="D17" i="11"/>
  <c r="D18" i="11"/>
  <c r="D20" i="11"/>
  <c r="D21" i="11"/>
  <c r="D23" i="11"/>
  <c r="D24" i="11"/>
  <c r="D25" i="11"/>
  <c r="D26" i="11"/>
  <c r="D27" i="11"/>
  <c r="D28" i="11"/>
  <c r="D30" i="11"/>
  <c r="D31" i="11"/>
  <c r="D32" i="11"/>
  <c r="D33" i="11"/>
  <c r="D34" i="11"/>
  <c r="D35" i="11"/>
  <c r="D36" i="11"/>
  <c r="D39" i="11"/>
  <c r="D41" i="11"/>
  <c r="D43" i="11"/>
  <c r="D44" i="11"/>
  <c r="D46" i="11"/>
  <c r="D48" i="11"/>
  <c r="D49" i="11"/>
  <c r="D4" i="11"/>
  <c r="D5" i="11"/>
  <c r="D6" i="11"/>
  <c r="D7" i="11"/>
  <c r="D8" i="11"/>
  <c r="D9" i="11"/>
  <c r="AA101" i="10"/>
  <c r="AB101" i="10"/>
  <c r="AC101" i="10"/>
  <c r="AD101" i="10"/>
  <c r="AA102" i="10"/>
  <c r="AB102" i="10"/>
  <c r="AC102" i="10"/>
  <c r="AD102" i="10"/>
  <c r="AA103" i="10"/>
  <c r="AB103" i="10"/>
  <c r="AC103" i="10"/>
  <c r="AD103" i="10"/>
  <c r="AA104" i="10"/>
  <c r="AB104" i="10"/>
  <c r="AC104" i="10"/>
  <c r="AD104" i="10"/>
  <c r="AA105" i="10"/>
  <c r="AB105" i="10"/>
  <c r="AC105" i="10"/>
  <c r="AD105" i="10"/>
  <c r="AA106" i="10"/>
  <c r="AB106" i="10"/>
  <c r="AC106" i="10"/>
  <c r="AD106" i="10"/>
  <c r="AA107" i="10"/>
  <c r="AB107" i="10"/>
  <c r="AC107" i="10"/>
  <c r="AD107" i="10"/>
  <c r="AA108" i="10"/>
  <c r="AB108" i="10"/>
  <c r="AC108" i="10"/>
  <c r="AD108" i="10"/>
  <c r="AA109" i="10"/>
  <c r="AB109" i="10"/>
  <c r="AC109" i="10"/>
  <c r="AD109" i="10"/>
  <c r="AA110" i="10"/>
  <c r="AB110" i="10"/>
  <c r="AC110" i="10"/>
  <c r="AD110" i="10"/>
  <c r="AA111" i="10"/>
  <c r="AB111" i="10"/>
  <c r="AC111" i="10"/>
  <c r="AD111" i="10"/>
  <c r="AA112" i="10"/>
  <c r="AB112" i="10"/>
  <c r="AC112" i="10"/>
  <c r="AD112" i="10"/>
  <c r="AA89" i="10"/>
  <c r="AB89" i="10"/>
  <c r="AC89" i="10"/>
  <c r="AD89" i="10"/>
  <c r="AA90" i="10"/>
  <c r="AB90" i="10"/>
  <c r="AC90" i="10"/>
  <c r="AD90" i="10"/>
  <c r="AA91" i="10"/>
  <c r="AB91" i="10"/>
  <c r="AC91" i="10"/>
  <c r="AD91" i="10"/>
  <c r="AA92" i="10"/>
  <c r="AB92" i="10"/>
  <c r="AC92" i="10"/>
  <c r="AD92" i="10"/>
  <c r="AA93" i="10"/>
  <c r="AB93" i="10"/>
  <c r="AC93" i="10"/>
  <c r="AD93" i="10"/>
  <c r="AA94" i="10"/>
  <c r="AB94" i="10"/>
  <c r="AC94" i="10"/>
  <c r="AD94" i="10"/>
  <c r="AA95" i="10"/>
  <c r="AB95" i="10"/>
  <c r="AC95" i="10"/>
  <c r="AD95" i="10"/>
  <c r="AA96" i="10"/>
  <c r="AB96" i="10"/>
  <c r="AC96" i="10"/>
  <c r="AD96" i="10"/>
  <c r="AA97" i="10"/>
  <c r="AB97" i="10"/>
  <c r="AC97" i="10"/>
  <c r="AD97" i="10"/>
  <c r="AA98" i="10"/>
  <c r="AB98" i="10"/>
  <c r="AC98" i="10"/>
  <c r="AD98" i="10"/>
  <c r="AA99" i="10"/>
  <c r="AB99" i="10"/>
  <c r="AC99" i="10"/>
  <c r="AD99" i="10"/>
  <c r="AA100" i="10"/>
  <c r="AB100" i="10"/>
  <c r="AC100" i="10"/>
  <c r="AD100" i="10"/>
  <c r="AA77" i="10"/>
  <c r="AB77" i="10"/>
  <c r="AC77" i="10"/>
  <c r="AD77" i="10"/>
  <c r="AA78" i="10"/>
  <c r="AB78" i="10"/>
  <c r="AC78" i="10"/>
  <c r="AD78" i="10"/>
  <c r="AA79" i="10"/>
  <c r="AB79" i="10"/>
  <c r="AC79" i="10"/>
  <c r="AD79" i="10"/>
  <c r="AA80" i="10"/>
  <c r="AB80" i="10"/>
  <c r="AC80" i="10"/>
  <c r="AD80" i="10"/>
  <c r="AA81" i="10"/>
  <c r="AB81" i="10"/>
  <c r="AC81" i="10"/>
  <c r="AD81" i="10"/>
  <c r="AA82" i="10"/>
  <c r="AB82" i="10"/>
  <c r="AC82" i="10"/>
  <c r="AD82" i="10"/>
  <c r="AA83" i="10"/>
  <c r="AB83" i="10"/>
  <c r="AC83" i="10"/>
  <c r="AD83" i="10"/>
  <c r="AA84" i="10"/>
  <c r="AB84" i="10"/>
  <c r="AC84" i="10"/>
  <c r="AD84" i="10"/>
  <c r="AA85" i="10"/>
  <c r="AB85" i="10"/>
  <c r="AC85" i="10"/>
  <c r="AD85" i="10"/>
  <c r="AA86" i="10"/>
  <c r="AB86" i="10"/>
  <c r="AC86" i="10"/>
  <c r="AD86" i="10"/>
  <c r="AA87" i="10"/>
  <c r="AB87" i="10"/>
  <c r="AC87" i="10"/>
  <c r="AD87" i="10"/>
  <c r="AA88" i="10"/>
  <c r="AB88" i="10"/>
  <c r="AC88" i="10"/>
  <c r="AD88" i="10"/>
  <c r="AA65" i="10"/>
  <c r="AB65" i="10"/>
  <c r="AC65" i="10"/>
  <c r="AD65" i="10"/>
  <c r="AA66" i="10"/>
  <c r="AB66" i="10"/>
  <c r="AC66" i="10"/>
  <c r="AD66" i="10"/>
  <c r="AA67" i="10"/>
  <c r="AB67" i="10"/>
  <c r="AC67" i="10"/>
  <c r="AD67" i="10"/>
  <c r="AA68" i="10"/>
  <c r="AB68" i="10"/>
  <c r="AC68" i="10"/>
  <c r="AD68" i="10"/>
  <c r="AA69" i="10"/>
  <c r="AB69" i="10"/>
  <c r="AC69" i="10"/>
  <c r="AD69" i="10"/>
  <c r="AA70" i="10"/>
  <c r="AB70" i="10"/>
  <c r="AC70" i="10"/>
  <c r="AD70" i="10"/>
  <c r="AA71" i="10"/>
  <c r="AB71" i="10"/>
  <c r="AC71" i="10"/>
  <c r="AD71" i="10"/>
  <c r="AA72" i="10"/>
  <c r="AB72" i="10"/>
  <c r="AC72" i="10"/>
  <c r="AD72" i="10"/>
  <c r="AA73" i="10"/>
  <c r="AB73" i="10"/>
  <c r="AC73" i="10"/>
  <c r="AD73" i="10"/>
  <c r="AA74" i="10"/>
  <c r="AB74" i="10"/>
  <c r="AC74" i="10"/>
  <c r="AD74" i="10"/>
  <c r="AA75" i="10"/>
  <c r="AB75" i="10"/>
  <c r="AC75" i="10"/>
  <c r="AD75" i="10"/>
  <c r="AA76" i="10"/>
  <c r="AB76" i="10"/>
  <c r="AC76" i="10"/>
  <c r="AD76" i="10"/>
  <c r="M11" i="11"/>
  <c r="N11" i="11" s="1"/>
  <c r="E11" i="11"/>
  <c r="AA9" i="10"/>
  <c r="AA53" i="10"/>
  <c r="AB53" i="10"/>
  <c r="AC53" i="10"/>
  <c r="AD53" i="10"/>
  <c r="AA54" i="10"/>
  <c r="AB54" i="10"/>
  <c r="AC54" i="10"/>
  <c r="AD54" i="10"/>
  <c r="AA55" i="10"/>
  <c r="AB55" i="10"/>
  <c r="AC55" i="10"/>
  <c r="AD55" i="10"/>
  <c r="AA56" i="10"/>
  <c r="AB56" i="10"/>
  <c r="AC56" i="10"/>
  <c r="AD56" i="10"/>
  <c r="AA57" i="10"/>
  <c r="AB57" i="10"/>
  <c r="AC57" i="10"/>
  <c r="AD57" i="10"/>
  <c r="AA58" i="10"/>
  <c r="AB58" i="10"/>
  <c r="AC58" i="10"/>
  <c r="AD58" i="10"/>
  <c r="AA59" i="10"/>
  <c r="AB59" i="10"/>
  <c r="AC59" i="10"/>
  <c r="AD59" i="10"/>
  <c r="AA60" i="10"/>
  <c r="AB60" i="10"/>
  <c r="AC60" i="10"/>
  <c r="AD60" i="10"/>
  <c r="AA61" i="10"/>
  <c r="AB61" i="10"/>
  <c r="AC61" i="10"/>
  <c r="AD61" i="10"/>
  <c r="AA62" i="10"/>
  <c r="AB62" i="10"/>
  <c r="AC62" i="10"/>
  <c r="AD62" i="10"/>
  <c r="AA63" i="10"/>
  <c r="AB63" i="10"/>
  <c r="AC63" i="10"/>
  <c r="AD63" i="10"/>
  <c r="AA64" i="10"/>
  <c r="AB64" i="10"/>
  <c r="AC64" i="10"/>
  <c r="AD64" i="10"/>
  <c r="AA43" i="10"/>
  <c r="AB43" i="10"/>
  <c r="AC43" i="10"/>
  <c r="AD43" i="10"/>
  <c r="AA44" i="10"/>
  <c r="AB44" i="10"/>
  <c r="AC44" i="10"/>
  <c r="AD44" i="10"/>
  <c r="AA45" i="10"/>
  <c r="AB45" i="10"/>
  <c r="AC45" i="10"/>
  <c r="AD45" i="10"/>
  <c r="AA46" i="10"/>
  <c r="AB46" i="10"/>
  <c r="AC46" i="10"/>
  <c r="AD46" i="10"/>
  <c r="AA47" i="10"/>
  <c r="AB47" i="10"/>
  <c r="AC47" i="10"/>
  <c r="AD47" i="10"/>
  <c r="AA48" i="10"/>
  <c r="AB48" i="10"/>
  <c r="AC48" i="10"/>
  <c r="AD48" i="10"/>
  <c r="AA49" i="10"/>
  <c r="AB49" i="10"/>
  <c r="AC49" i="10"/>
  <c r="AD49" i="10"/>
  <c r="AA50" i="10"/>
  <c r="AB50" i="10"/>
  <c r="AC50" i="10"/>
  <c r="AD50" i="10"/>
  <c r="AA51" i="10"/>
  <c r="AB51" i="10"/>
  <c r="AC51" i="10"/>
  <c r="AD51" i="10"/>
  <c r="AA52" i="10"/>
  <c r="AB52" i="10"/>
  <c r="AC52" i="10"/>
  <c r="AD52" i="10"/>
  <c r="AA27" i="10"/>
  <c r="AB27" i="10"/>
  <c r="AC27" i="10"/>
  <c r="AD27" i="10"/>
  <c r="AA28" i="10"/>
  <c r="AB28" i="10"/>
  <c r="AC28" i="10"/>
  <c r="AD28" i="10"/>
  <c r="AA29" i="10"/>
  <c r="AB29" i="10"/>
  <c r="AC29" i="10"/>
  <c r="AD29" i="10"/>
  <c r="AA30" i="10"/>
  <c r="AB30" i="10"/>
  <c r="AC30" i="10"/>
  <c r="AD30" i="10"/>
  <c r="AA31" i="10"/>
  <c r="AB31" i="10"/>
  <c r="AC31" i="10"/>
  <c r="AD31" i="10"/>
  <c r="AA32" i="10"/>
  <c r="AB32" i="10"/>
  <c r="AC32" i="10"/>
  <c r="AD32" i="10"/>
  <c r="AA33" i="10"/>
  <c r="AB33" i="10"/>
  <c r="AC33" i="10"/>
  <c r="AD33" i="10"/>
  <c r="AA34" i="10"/>
  <c r="AD34" i="10"/>
  <c r="AA35" i="10"/>
  <c r="AB35" i="10"/>
  <c r="AC35" i="10"/>
  <c r="AD35" i="10"/>
  <c r="AA36" i="10"/>
  <c r="AB36" i="10"/>
  <c r="AC36" i="10"/>
  <c r="AD36" i="10"/>
  <c r="AA37" i="10"/>
  <c r="AD37" i="10"/>
  <c r="AA38" i="10"/>
  <c r="AB38" i="10"/>
  <c r="AC38" i="10"/>
  <c r="AD38" i="10"/>
  <c r="AA39" i="10"/>
  <c r="AB39" i="10"/>
  <c r="AC39" i="10"/>
  <c r="AD39" i="10"/>
  <c r="AA40" i="10"/>
  <c r="AB40" i="10"/>
  <c r="AC40" i="10"/>
  <c r="AD40" i="10"/>
  <c r="AA41" i="10"/>
  <c r="AB41" i="10"/>
  <c r="AC41" i="10"/>
  <c r="AD41" i="10"/>
  <c r="AA42" i="10"/>
  <c r="AB42" i="10"/>
  <c r="AC42" i="10"/>
  <c r="AD42" i="10"/>
  <c r="AA17" i="10"/>
  <c r="AB17" i="10"/>
  <c r="AC17" i="10"/>
  <c r="AD17" i="10"/>
  <c r="AA18" i="10"/>
  <c r="AB18" i="10"/>
  <c r="AC18" i="10"/>
  <c r="AD18" i="10"/>
  <c r="AA19" i="10"/>
  <c r="AB19" i="10"/>
  <c r="AC19" i="10"/>
  <c r="AD19" i="10"/>
  <c r="AA20" i="10"/>
  <c r="AB20" i="10"/>
  <c r="AC20" i="10"/>
  <c r="AD20" i="10"/>
  <c r="AA21" i="10"/>
  <c r="AB21" i="10"/>
  <c r="AC21" i="10"/>
  <c r="AD21" i="10"/>
  <c r="AA22" i="10"/>
  <c r="AB22" i="10"/>
  <c r="AC22" i="10"/>
  <c r="AD22" i="10"/>
  <c r="AA23" i="10"/>
  <c r="AB23" i="10"/>
  <c r="AC23" i="10"/>
  <c r="AD23" i="10"/>
  <c r="AA24" i="10"/>
  <c r="AD24" i="10"/>
  <c r="AA25" i="10"/>
  <c r="AB25" i="10"/>
  <c r="AC25" i="10"/>
  <c r="AD25" i="10"/>
  <c r="AA26" i="10"/>
  <c r="AB26" i="10"/>
  <c r="AC26" i="10"/>
  <c r="AD26" i="10"/>
  <c r="AC2" i="10"/>
  <c r="AC3" i="10"/>
  <c r="AC4" i="10"/>
  <c r="AC5" i="10"/>
  <c r="AC6" i="10"/>
  <c r="AC7" i="10"/>
  <c r="AC8" i="10"/>
  <c r="AC9" i="10"/>
  <c r="AC10" i="10"/>
  <c r="AC11" i="10"/>
  <c r="AC12" i="10"/>
  <c r="AC13" i="10"/>
  <c r="AC14" i="10"/>
  <c r="AC15" i="10"/>
  <c r="AC16" i="10"/>
  <c r="AA2" i="10"/>
  <c r="AA3" i="10"/>
  <c r="AA4" i="10"/>
  <c r="AA5" i="10"/>
  <c r="AA6" i="10"/>
  <c r="AA7" i="10"/>
  <c r="AA8" i="10"/>
  <c r="AA10" i="10"/>
  <c r="AA11" i="10"/>
  <c r="AA12" i="10"/>
  <c r="AA13" i="10"/>
  <c r="AA14" i="10"/>
  <c r="AA15" i="10"/>
  <c r="AA16" i="10"/>
  <c r="AB2" i="10"/>
  <c r="AB3" i="10"/>
  <c r="AB4" i="10"/>
  <c r="AB5" i="10"/>
  <c r="AB6" i="10"/>
  <c r="AB7" i="10"/>
  <c r="AB8" i="10"/>
  <c r="AB9" i="10"/>
  <c r="AB10" i="10"/>
  <c r="AB11" i="10"/>
  <c r="AB12" i="10"/>
  <c r="AB13" i="10"/>
  <c r="AB14" i="10"/>
  <c r="AB15" i="10"/>
  <c r="AB16" i="10"/>
  <c r="AD2" i="10"/>
  <c r="AD3" i="10"/>
  <c r="AD4" i="10"/>
  <c r="AD5" i="10"/>
  <c r="AD6" i="10"/>
  <c r="AD7" i="10"/>
  <c r="AD8" i="10"/>
  <c r="AD9" i="10"/>
  <c r="AD10" i="10"/>
  <c r="AD11" i="10"/>
  <c r="AD12" i="10"/>
  <c r="AD13" i="10"/>
  <c r="AD14" i="10"/>
  <c r="AD15" i="10"/>
  <c r="AD16" i="10"/>
  <c r="M28" i="3"/>
  <c r="J28" i="3"/>
  <c r="C28" i="3"/>
  <c r="G28" i="3"/>
  <c r="AH24" i="8"/>
  <c r="AG24" i="8"/>
  <c r="AF24" i="8"/>
  <c r="AE24" i="8"/>
  <c r="AD24" i="8"/>
  <c r="AC24" i="8"/>
  <c r="AB24" i="8"/>
  <c r="AA24" i="8"/>
  <c r="Z24" i="8"/>
  <c r="Y24" i="8"/>
  <c r="X24" i="8"/>
  <c r="W24" i="8"/>
  <c r="V24" i="8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AH23" i="8"/>
  <c r="AG23" i="8"/>
  <c r="AF23" i="8"/>
  <c r="AE23" i="8"/>
  <c r="AD23" i="8"/>
  <c r="AC23" i="8"/>
  <c r="AB23" i="8"/>
  <c r="AA23" i="8"/>
  <c r="Z23" i="8"/>
  <c r="Y23" i="8"/>
  <c r="X23" i="8"/>
  <c r="W23" i="8"/>
  <c r="V23" i="8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AH22" i="8"/>
  <c r="AG22" i="8"/>
  <c r="AF22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M22" i="8"/>
  <c r="L22" i="8"/>
  <c r="J22" i="8"/>
  <c r="I22" i="8"/>
  <c r="G22" i="8"/>
  <c r="F22" i="8"/>
  <c r="E22" i="8"/>
  <c r="C22" i="8"/>
  <c r="AH21" i="8"/>
  <c r="AG21" i="8"/>
  <c r="AF21" i="8"/>
  <c r="AE21" i="8"/>
  <c r="AD21" i="8"/>
  <c r="AC21" i="8"/>
  <c r="AB21" i="8"/>
  <c r="AA21" i="8"/>
  <c r="Z21" i="8"/>
  <c r="Y21" i="8"/>
  <c r="X21" i="8"/>
  <c r="W21" i="8"/>
  <c r="V21" i="8"/>
  <c r="U21" i="8"/>
  <c r="T21" i="8"/>
  <c r="S21" i="8"/>
  <c r="R21" i="8"/>
  <c r="Q21" i="8"/>
  <c r="P21" i="8"/>
  <c r="O21" i="8"/>
  <c r="M21" i="8"/>
  <c r="L21" i="8"/>
  <c r="J21" i="8"/>
  <c r="I21" i="8"/>
  <c r="G21" i="8"/>
  <c r="F21" i="8"/>
  <c r="E21" i="8"/>
  <c r="C21" i="8"/>
  <c r="AH20" i="8"/>
  <c r="AG20" i="8"/>
  <c r="AF20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M20" i="8"/>
  <c r="L20" i="8"/>
  <c r="J20" i="8"/>
  <c r="I20" i="8"/>
  <c r="G20" i="8"/>
  <c r="F20" i="8"/>
  <c r="E20" i="8"/>
  <c r="C20" i="8"/>
  <c r="AH19" i="8"/>
  <c r="AG19" i="8"/>
  <c r="AF19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M19" i="8"/>
  <c r="L19" i="8"/>
  <c r="J19" i="8"/>
  <c r="I19" i="8"/>
  <c r="G19" i="8"/>
  <c r="F19" i="8"/>
  <c r="E19" i="8"/>
  <c r="C19" i="8"/>
  <c r="AH18" i="8"/>
  <c r="AG18" i="8"/>
  <c r="AF18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M18" i="8"/>
  <c r="L18" i="8"/>
  <c r="J18" i="8"/>
  <c r="I18" i="8"/>
  <c r="G18" i="8"/>
  <c r="F18" i="8"/>
  <c r="E18" i="8"/>
  <c r="C18" i="8"/>
  <c r="AH17" i="8"/>
  <c r="AG17" i="8"/>
  <c r="AF17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M17" i="8"/>
  <c r="L17" i="8"/>
  <c r="J17" i="8"/>
  <c r="I17" i="8"/>
  <c r="G17" i="8"/>
  <c r="F17" i="8"/>
  <c r="E17" i="8"/>
  <c r="C17" i="8"/>
  <c r="AH10" i="8"/>
  <c r="AG10" i="8"/>
  <c r="AF10" i="8"/>
  <c r="AE10" i="8"/>
  <c r="AD10" i="8"/>
  <c r="AC10" i="8"/>
  <c r="AB10" i="8"/>
  <c r="AA10" i="8"/>
  <c r="Z10" i="8"/>
  <c r="Y10" i="8"/>
  <c r="X10" i="8"/>
  <c r="W10" i="8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AH9" i="8"/>
  <c r="AG9" i="8"/>
  <c r="AF9" i="8"/>
  <c r="AE9" i="8"/>
  <c r="AD9" i="8"/>
  <c r="AC9" i="8"/>
  <c r="AB9" i="8"/>
  <c r="AA9" i="8"/>
  <c r="Z9" i="8"/>
  <c r="Y9" i="8"/>
  <c r="X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AH8" i="8"/>
  <c r="AG8" i="8"/>
  <c r="AF8" i="8"/>
  <c r="AE8" i="8"/>
  <c r="AD8" i="8"/>
  <c r="AC8" i="8"/>
  <c r="AB8" i="8"/>
  <c r="AA8" i="8"/>
  <c r="Z8" i="8"/>
  <c r="Y8" i="8"/>
  <c r="X8" i="8"/>
  <c r="W8" i="8"/>
  <c r="V8" i="8"/>
  <c r="U8" i="8"/>
  <c r="T8" i="8"/>
  <c r="S8" i="8"/>
  <c r="R8" i="8"/>
  <c r="Q8" i="8"/>
  <c r="P8" i="8"/>
  <c r="O8" i="8"/>
  <c r="M8" i="8"/>
  <c r="L8" i="8"/>
  <c r="J8" i="8"/>
  <c r="I8" i="8"/>
  <c r="G8" i="8"/>
  <c r="F8" i="8"/>
  <c r="E8" i="8"/>
  <c r="C8" i="8"/>
  <c r="AH7" i="8"/>
  <c r="AG7" i="8"/>
  <c r="AF7" i="8"/>
  <c r="AE7" i="8"/>
  <c r="AD7" i="8"/>
  <c r="AC7" i="8"/>
  <c r="AB7" i="8"/>
  <c r="AA7" i="8"/>
  <c r="Z7" i="8"/>
  <c r="Y7" i="8"/>
  <c r="X7" i="8"/>
  <c r="W7" i="8"/>
  <c r="V7" i="8"/>
  <c r="U7" i="8"/>
  <c r="T7" i="8"/>
  <c r="S7" i="8"/>
  <c r="R7" i="8"/>
  <c r="Q7" i="8"/>
  <c r="P7" i="8"/>
  <c r="O7" i="8"/>
  <c r="M7" i="8"/>
  <c r="L7" i="8"/>
  <c r="J7" i="8"/>
  <c r="I7" i="8"/>
  <c r="G7" i="8"/>
  <c r="F7" i="8"/>
  <c r="E7" i="8"/>
  <c r="C7" i="8"/>
  <c r="AH6" i="8"/>
  <c r="AG6" i="8"/>
  <c r="AF6" i="8"/>
  <c r="AE6" i="8"/>
  <c r="AD6" i="8"/>
  <c r="AC6" i="8"/>
  <c r="AB6" i="8"/>
  <c r="AA6" i="8"/>
  <c r="Z6" i="8"/>
  <c r="Y6" i="8"/>
  <c r="X6" i="8"/>
  <c r="W6" i="8"/>
  <c r="V6" i="8"/>
  <c r="U6" i="8"/>
  <c r="T6" i="8"/>
  <c r="S6" i="8"/>
  <c r="R6" i="8"/>
  <c r="Q6" i="8"/>
  <c r="P6" i="8"/>
  <c r="O6" i="8"/>
  <c r="M6" i="8"/>
  <c r="L6" i="8"/>
  <c r="J6" i="8"/>
  <c r="I6" i="8"/>
  <c r="G6" i="8"/>
  <c r="F6" i="8"/>
  <c r="E6" i="8"/>
  <c r="C6" i="8"/>
  <c r="AH5" i="8"/>
  <c r="AG5" i="8"/>
  <c r="AF5" i="8"/>
  <c r="AE5" i="8"/>
  <c r="AD5" i="8"/>
  <c r="AC5" i="8"/>
  <c r="AB5" i="8"/>
  <c r="AA5" i="8"/>
  <c r="Z5" i="8"/>
  <c r="Y5" i="8"/>
  <c r="X5" i="8"/>
  <c r="W5" i="8"/>
  <c r="V5" i="8"/>
  <c r="U5" i="8"/>
  <c r="T5" i="8"/>
  <c r="S5" i="8"/>
  <c r="R5" i="8"/>
  <c r="Q5" i="8"/>
  <c r="P5" i="8"/>
  <c r="O5" i="8"/>
  <c r="M5" i="8"/>
  <c r="L5" i="8"/>
  <c r="J5" i="8"/>
  <c r="I5" i="8"/>
  <c r="G5" i="8"/>
  <c r="F5" i="8"/>
  <c r="E5" i="8"/>
  <c r="C5" i="8"/>
  <c r="AH4" i="8"/>
  <c r="AG4" i="8"/>
  <c r="AF4" i="8"/>
  <c r="AE4" i="8"/>
  <c r="AD4" i="8"/>
  <c r="AC4" i="8"/>
  <c r="AB4" i="8"/>
  <c r="AA4" i="8"/>
  <c r="Z4" i="8"/>
  <c r="Y4" i="8"/>
  <c r="X4" i="8"/>
  <c r="W4" i="8"/>
  <c r="V4" i="8"/>
  <c r="U4" i="8"/>
  <c r="T4" i="8"/>
  <c r="S4" i="8"/>
  <c r="R4" i="8"/>
  <c r="Q4" i="8"/>
  <c r="P4" i="8"/>
  <c r="O4" i="8"/>
  <c r="M4" i="8"/>
  <c r="L4" i="8"/>
  <c r="J4" i="8"/>
  <c r="I4" i="8"/>
  <c r="G4" i="8"/>
  <c r="F4" i="8"/>
  <c r="E4" i="8"/>
  <c r="C4" i="8"/>
  <c r="AH3" i="8"/>
  <c r="AG3" i="8"/>
  <c r="AF3" i="8"/>
  <c r="AE3" i="8"/>
  <c r="AD3" i="8"/>
  <c r="AC3" i="8"/>
  <c r="AB3" i="8"/>
  <c r="AA3" i="8"/>
  <c r="Z3" i="8"/>
  <c r="Y3" i="8"/>
  <c r="X3" i="8"/>
  <c r="W3" i="8"/>
  <c r="V3" i="8"/>
  <c r="U3" i="8"/>
  <c r="T3" i="8"/>
  <c r="S3" i="8"/>
  <c r="R3" i="8"/>
  <c r="Q3" i="8"/>
  <c r="P3" i="8"/>
  <c r="O3" i="8"/>
  <c r="M3" i="8"/>
  <c r="L3" i="8"/>
  <c r="J3" i="8"/>
  <c r="I3" i="8"/>
  <c r="G3" i="8"/>
  <c r="F3" i="8"/>
  <c r="E3" i="8"/>
  <c r="C3" i="8"/>
  <c r="M38" i="3"/>
  <c r="J38" i="3"/>
  <c r="G38" i="3"/>
  <c r="C38" i="3"/>
  <c r="M3" i="3"/>
  <c r="M15" i="3"/>
  <c r="M6" i="3"/>
  <c r="N17" i="8" s="1"/>
  <c r="M5" i="3"/>
  <c r="M10" i="3"/>
  <c r="J6" i="3"/>
  <c r="K17" i="8" s="1"/>
  <c r="J5" i="3"/>
  <c r="J10" i="3"/>
  <c r="C6" i="3"/>
  <c r="D5" i="8" s="1"/>
  <c r="C5" i="3"/>
  <c r="C10" i="3"/>
  <c r="G6" i="3"/>
  <c r="H17" i="8" s="1"/>
  <c r="G5" i="3"/>
  <c r="G10" i="3"/>
  <c r="M41" i="3"/>
  <c r="M12" i="3"/>
  <c r="J23" i="3"/>
  <c r="J41" i="3"/>
  <c r="J12" i="3"/>
  <c r="C41" i="3"/>
  <c r="C12" i="3"/>
  <c r="G41" i="3"/>
  <c r="G12" i="3"/>
  <c r="M45" i="3"/>
  <c r="J45" i="3"/>
  <c r="C45" i="3"/>
  <c r="G45" i="3"/>
  <c r="M37" i="3"/>
  <c r="J37" i="3"/>
  <c r="C37" i="3"/>
  <c r="G37" i="3"/>
  <c r="J3" i="3"/>
  <c r="C3" i="3"/>
  <c r="G3" i="3"/>
  <c r="M20" i="3"/>
  <c r="J20" i="3"/>
  <c r="G20" i="3"/>
  <c r="C20" i="3"/>
  <c r="M9" i="3"/>
  <c r="N7" i="8" s="1"/>
  <c r="J9" i="3"/>
  <c r="K7" i="8" s="1"/>
  <c r="G9" i="3"/>
  <c r="H7" i="8" s="1"/>
  <c r="C9" i="3"/>
  <c r="D7" i="8" s="1"/>
  <c r="M44" i="3"/>
  <c r="J44" i="3"/>
  <c r="C44" i="3"/>
  <c r="G44" i="3"/>
  <c r="M35" i="3"/>
  <c r="M8" i="3"/>
  <c r="N18" i="8" s="1"/>
  <c r="J8" i="3"/>
  <c r="K18" i="8" s="1"/>
  <c r="J35" i="3"/>
  <c r="G8" i="3"/>
  <c r="H18" i="8" s="1"/>
  <c r="G27" i="3"/>
  <c r="H21" i="8" s="1"/>
  <c r="G33" i="3"/>
  <c r="G32" i="3"/>
  <c r="G35" i="3"/>
  <c r="C35" i="3"/>
  <c r="C33" i="3"/>
  <c r="C32" i="3"/>
  <c r="C27" i="3"/>
  <c r="D21" i="8" s="1"/>
  <c r="C8" i="3"/>
  <c r="D18" i="8" s="1"/>
  <c r="M46" i="3"/>
  <c r="J46" i="3"/>
  <c r="G46" i="3"/>
  <c r="C46" i="3"/>
  <c r="C42" i="3"/>
  <c r="D22" i="8" s="1"/>
  <c r="M19" i="3"/>
  <c r="N19" i="8" s="1"/>
  <c r="J19" i="3"/>
  <c r="K19" i="8" s="1"/>
  <c r="G19" i="3"/>
  <c r="H19" i="8" s="1"/>
  <c r="C19" i="3"/>
  <c r="D19" i="8" s="1"/>
  <c r="M25" i="3"/>
  <c r="M34" i="3"/>
  <c r="M33" i="3"/>
  <c r="M32" i="3"/>
  <c r="M36" i="3"/>
  <c r="J25" i="3"/>
  <c r="J34" i="3"/>
  <c r="J33" i="3"/>
  <c r="J32" i="3"/>
  <c r="J36" i="3"/>
  <c r="G25" i="3"/>
  <c r="G34" i="3"/>
  <c r="G36" i="3"/>
  <c r="C34" i="3"/>
  <c r="C25" i="3"/>
  <c r="M2" i="3"/>
  <c r="N4" i="8" s="1"/>
  <c r="M24" i="3"/>
  <c r="M29" i="3"/>
  <c r="J2" i="3"/>
  <c r="K4" i="8" s="1"/>
  <c r="J24" i="3"/>
  <c r="J29" i="3"/>
  <c r="G2" i="3"/>
  <c r="H3" i="8" s="1"/>
  <c r="G24" i="3"/>
  <c r="G29" i="3"/>
  <c r="C2" i="3"/>
  <c r="D4" i="8" s="1"/>
  <c r="C29" i="3"/>
  <c r="M47" i="3"/>
  <c r="M39" i="3"/>
  <c r="M16" i="3"/>
  <c r="J47" i="3"/>
  <c r="J39" i="3"/>
  <c r="J16" i="3"/>
  <c r="G47" i="3"/>
  <c r="G39" i="3"/>
  <c r="G16" i="3"/>
  <c r="C47" i="3"/>
  <c r="C39" i="3"/>
  <c r="C36" i="3"/>
  <c r="C16" i="3"/>
  <c r="M40" i="3"/>
  <c r="J40" i="3"/>
  <c r="C40" i="3"/>
  <c r="G40" i="3"/>
  <c r="C3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C24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C23" i="4"/>
  <c r="E22" i="4"/>
  <c r="F22" i="4"/>
  <c r="G22" i="4"/>
  <c r="I22" i="4"/>
  <c r="J22" i="4"/>
  <c r="L22" i="4"/>
  <c r="M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C22" i="4"/>
  <c r="E21" i="4"/>
  <c r="F21" i="4"/>
  <c r="G21" i="4"/>
  <c r="I21" i="4"/>
  <c r="J21" i="4"/>
  <c r="L21" i="4"/>
  <c r="M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C21" i="4"/>
  <c r="E20" i="4"/>
  <c r="F20" i="4"/>
  <c r="G20" i="4"/>
  <c r="I20" i="4"/>
  <c r="J20" i="4"/>
  <c r="L20" i="4"/>
  <c r="M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C20" i="4"/>
  <c r="E19" i="4"/>
  <c r="F19" i="4"/>
  <c r="G19" i="4"/>
  <c r="I19" i="4"/>
  <c r="J19" i="4"/>
  <c r="L19" i="4"/>
  <c r="M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C19" i="4"/>
  <c r="E18" i="4"/>
  <c r="F18" i="4"/>
  <c r="G18" i="4"/>
  <c r="I18" i="4"/>
  <c r="J18" i="4"/>
  <c r="L18" i="4"/>
  <c r="M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C18" i="4"/>
  <c r="E17" i="4"/>
  <c r="F17" i="4"/>
  <c r="G17" i="4"/>
  <c r="I17" i="4"/>
  <c r="J17" i="4"/>
  <c r="L17" i="4"/>
  <c r="M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C17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E8" i="4"/>
  <c r="F8" i="4"/>
  <c r="G8" i="4"/>
  <c r="I8" i="4"/>
  <c r="J8" i="4"/>
  <c r="L8" i="4"/>
  <c r="M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E7" i="4"/>
  <c r="F7" i="4"/>
  <c r="G7" i="4"/>
  <c r="I7" i="4"/>
  <c r="J7" i="4"/>
  <c r="L7" i="4"/>
  <c r="M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E6" i="4"/>
  <c r="F6" i="4"/>
  <c r="G6" i="4"/>
  <c r="I6" i="4"/>
  <c r="J6" i="4"/>
  <c r="L6" i="4"/>
  <c r="M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E5" i="4"/>
  <c r="F5" i="4"/>
  <c r="G5" i="4"/>
  <c r="I5" i="4"/>
  <c r="J5" i="4"/>
  <c r="L5" i="4"/>
  <c r="M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C10" i="4"/>
  <c r="C9" i="4"/>
  <c r="C8" i="4"/>
  <c r="C7" i="4"/>
  <c r="C6" i="4"/>
  <c r="C5" i="4"/>
  <c r="E4" i="4"/>
  <c r="F4" i="4"/>
  <c r="G4" i="4"/>
  <c r="I4" i="4"/>
  <c r="J4" i="4"/>
  <c r="L4" i="4"/>
  <c r="M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C4" i="4"/>
  <c r="E3" i="4"/>
  <c r="F3" i="4"/>
  <c r="G3" i="4"/>
  <c r="I3" i="4"/>
  <c r="J3" i="4"/>
  <c r="L3" i="4"/>
  <c r="M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J15" i="3"/>
  <c r="G15" i="3"/>
  <c r="C15" i="3"/>
  <c r="M27" i="3"/>
  <c r="N21" i="8" s="1"/>
  <c r="M17" i="3"/>
  <c r="J27" i="3"/>
  <c r="K21" i="8" s="1"/>
  <c r="J17" i="3"/>
  <c r="G17" i="3"/>
  <c r="C17" i="3"/>
  <c r="M43" i="3"/>
  <c r="M31" i="3"/>
  <c r="M30" i="3"/>
  <c r="M21" i="3"/>
  <c r="M18" i="3"/>
  <c r="M7" i="3"/>
  <c r="N20" i="8" s="1"/>
  <c r="M4" i="3"/>
  <c r="J43" i="3"/>
  <c r="J42" i="3"/>
  <c r="K22" i="8" s="1"/>
  <c r="J31" i="3"/>
  <c r="J30" i="3"/>
  <c r="J21" i="3"/>
  <c r="J18" i="3"/>
  <c r="J7" i="3"/>
  <c r="K20" i="8" s="1"/>
  <c r="J4" i="3"/>
  <c r="G43" i="3"/>
  <c r="G42" i="3"/>
  <c r="H22" i="8" s="1"/>
  <c r="G31" i="3"/>
  <c r="G30" i="3"/>
  <c r="G21" i="3"/>
  <c r="G18" i="3"/>
  <c r="G7" i="3"/>
  <c r="H6" i="8" s="1"/>
  <c r="C43" i="3"/>
  <c r="C31" i="3"/>
  <c r="C30" i="3"/>
  <c r="C21" i="3"/>
  <c r="G4" i="3"/>
  <c r="C4" i="3"/>
  <c r="M26" i="3"/>
  <c r="M22" i="3"/>
  <c r="M11" i="3"/>
  <c r="N8" i="8" s="1"/>
  <c r="J26" i="3"/>
  <c r="J22" i="3"/>
  <c r="J11" i="3"/>
  <c r="K8" i="8" s="1"/>
  <c r="G26" i="3"/>
  <c r="G22" i="3"/>
  <c r="G11" i="3"/>
  <c r="H8" i="8" s="1"/>
  <c r="C26" i="3"/>
  <c r="C24" i="3"/>
  <c r="C22" i="3"/>
  <c r="C11" i="3"/>
  <c r="D8" i="8" s="1"/>
  <c r="M42" i="3"/>
  <c r="N22" i="8" s="1"/>
  <c r="M23" i="3"/>
  <c r="G23" i="3"/>
  <c r="C23" i="3"/>
  <c r="C18" i="3"/>
  <c r="C7" i="3"/>
  <c r="D20" i="8" s="1"/>
  <c r="O37" i="1"/>
  <c r="L37" i="1"/>
  <c r="E37" i="1"/>
  <c r="I37" i="1"/>
  <c r="O28" i="1"/>
  <c r="L28" i="1"/>
  <c r="E28" i="1"/>
  <c r="I28" i="1"/>
  <c r="O19" i="1"/>
  <c r="O13" i="1"/>
  <c r="L19" i="1"/>
  <c r="L13" i="1"/>
  <c r="I19" i="1"/>
  <c r="I13" i="1"/>
  <c r="E19" i="1"/>
  <c r="E13" i="1"/>
  <c r="O20" i="1"/>
  <c r="L20" i="1"/>
  <c r="I20" i="1"/>
  <c r="E20" i="1"/>
  <c r="O12" i="1"/>
  <c r="L12" i="1"/>
  <c r="I12" i="1"/>
  <c r="E12" i="1"/>
  <c r="O22" i="1"/>
  <c r="L22" i="1"/>
  <c r="I22" i="1"/>
  <c r="E22" i="1"/>
  <c r="O11" i="1"/>
  <c r="O14" i="1"/>
  <c r="O25" i="1"/>
  <c r="L14" i="1"/>
  <c r="L11" i="1"/>
  <c r="L25" i="1"/>
  <c r="I11" i="1"/>
  <c r="I14" i="1"/>
  <c r="I25" i="1"/>
  <c r="E11" i="1"/>
  <c r="E14" i="1"/>
  <c r="E25" i="1"/>
  <c r="O6" i="1"/>
  <c r="L6" i="1"/>
  <c r="I6" i="1"/>
  <c r="H18" i="4" s="1"/>
  <c r="E6" i="1"/>
  <c r="O31" i="1"/>
  <c r="L31" i="1"/>
  <c r="E31" i="1"/>
  <c r="I31" i="1"/>
  <c r="O30" i="1"/>
  <c r="L30" i="1"/>
  <c r="I30" i="1"/>
  <c r="E30" i="1"/>
  <c r="O2" i="1"/>
  <c r="L2" i="1"/>
  <c r="I2" i="1"/>
  <c r="E2" i="1"/>
  <c r="E33" i="1"/>
  <c r="E17" i="1"/>
  <c r="E26" i="1"/>
  <c r="E35" i="1"/>
  <c r="E24" i="1"/>
  <c r="E32" i="1"/>
  <c r="E34" i="1"/>
  <c r="E5" i="1"/>
  <c r="E21" i="1"/>
  <c r="E7" i="1"/>
  <c r="E9" i="1"/>
  <c r="E8" i="1"/>
  <c r="E18" i="1"/>
  <c r="E16" i="1"/>
  <c r="E3" i="1"/>
  <c r="E4" i="1"/>
  <c r="E36" i="1"/>
  <c r="E29" i="1"/>
  <c r="E27" i="1"/>
  <c r="E23" i="1"/>
  <c r="E15" i="1"/>
  <c r="O4" i="1"/>
  <c r="L4" i="1"/>
  <c r="I4" i="1"/>
  <c r="O3" i="1"/>
  <c r="L3" i="1"/>
  <c r="I3" i="1"/>
  <c r="O16" i="1"/>
  <c r="O18" i="1"/>
  <c r="O8" i="1"/>
  <c r="L16" i="1"/>
  <c r="L18" i="1"/>
  <c r="L8" i="1"/>
  <c r="L32" i="1"/>
  <c r="I16" i="1"/>
  <c r="I18" i="1"/>
  <c r="I8" i="1"/>
  <c r="I32" i="1"/>
  <c r="O21" i="1"/>
  <c r="O7" i="1"/>
  <c r="O9" i="1"/>
  <c r="L7" i="1"/>
  <c r="L9" i="1"/>
  <c r="I7" i="1"/>
  <c r="I9" i="1"/>
  <c r="O27" i="1"/>
  <c r="O23" i="1"/>
  <c r="O36" i="1"/>
  <c r="O29" i="1"/>
  <c r="O33" i="1"/>
  <c r="O17" i="1"/>
  <c r="O26" i="1"/>
  <c r="O35" i="1"/>
  <c r="O24" i="1"/>
  <c r="O32" i="1"/>
  <c r="O34" i="1"/>
  <c r="O5" i="1"/>
  <c r="N6" i="4" s="1"/>
  <c r="O15" i="1"/>
  <c r="L27" i="1"/>
  <c r="L23" i="1"/>
  <c r="L36" i="1"/>
  <c r="L29" i="1"/>
  <c r="L33" i="1"/>
  <c r="L17" i="1"/>
  <c r="L26" i="1"/>
  <c r="L35" i="1"/>
  <c r="L24" i="1"/>
  <c r="L34" i="1"/>
  <c r="L5" i="1"/>
  <c r="L21" i="1"/>
  <c r="L15" i="1"/>
  <c r="I27" i="1"/>
  <c r="I23" i="1"/>
  <c r="I36" i="1"/>
  <c r="I29" i="1"/>
  <c r="I33" i="1"/>
  <c r="I17" i="1"/>
  <c r="I26" i="1"/>
  <c r="I35" i="1"/>
  <c r="I24" i="1"/>
  <c r="I34" i="1"/>
  <c r="I5" i="1"/>
  <c r="I21" i="1"/>
  <c r="I15" i="1"/>
  <c r="I34" i="11" l="1"/>
  <c r="O34" i="11"/>
  <c r="L34" i="11"/>
  <c r="I16" i="11"/>
  <c r="O16" i="11"/>
  <c r="L16" i="11"/>
  <c r="I24" i="11"/>
  <c r="O24" i="11"/>
  <c r="L24" i="11"/>
  <c r="I31" i="11"/>
  <c r="O31" i="11"/>
  <c r="L31" i="11"/>
  <c r="I28" i="11"/>
  <c r="O28" i="11"/>
  <c r="L28" i="11"/>
  <c r="I21" i="11"/>
  <c r="O21" i="11"/>
  <c r="L21" i="11"/>
  <c r="I5" i="11"/>
  <c r="O5" i="11"/>
  <c r="L5" i="11"/>
  <c r="I25" i="11"/>
  <c r="O25" i="11"/>
  <c r="L25" i="11"/>
  <c r="K22" i="11"/>
  <c r="J42" i="12"/>
  <c r="N27" i="11"/>
  <c r="AC34" i="10"/>
  <c r="AB34" i="10"/>
  <c r="AC37" i="10"/>
  <c r="AB37" i="10"/>
  <c r="AC24" i="10"/>
  <c r="AB24" i="10"/>
  <c r="D21" i="4"/>
  <c r="H21" i="4"/>
  <c r="H20" i="4"/>
  <c r="N8" i="4"/>
  <c r="AH25" i="8"/>
  <c r="R25" i="8"/>
  <c r="U11" i="8"/>
  <c r="X11" i="8"/>
  <c r="AA11" i="8"/>
  <c r="H5" i="8"/>
  <c r="W11" i="8"/>
  <c r="T11" i="8"/>
  <c r="D8" i="4"/>
  <c r="K18" i="4"/>
  <c r="K17" i="4"/>
  <c r="S25" i="8"/>
  <c r="U25" i="8"/>
  <c r="N21" i="4"/>
  <c r="D3" i="4"/>
  <c r="H4" i="4"/>
  <c r="W25" i="8"/>
  <c r="H22" i="4"/>
  <c r="K21" i="4"/>
  <c r="N17" i="4"/>
  <c r="N4" i="4"/>
  <c r="K4" i="4"/>
  <c r="K7" i="4"/>
  <c r="D7" i="4"/>
  <c r="O25" i="8"/>
  <c r="AE25" i="8"/>
  <c r="K5" i="4"/>
  <c r="N5" i="4"/>
  <c r="K6" i="4"/>
  <c r="N22" i="4"/>
  <c r="H8" i="4"/>
  <c r="X25" i="8"/>
  <c r="D22" i="4"/>
  <c r="D18" i="4"/>
  <c r="K22" i="4"/>
  <c r="K8" i="4"/>
  <c r="D5" i="4"/>
  <c r="D4" i="4"/>
  <c r="H7" i="4"/>
  <c r="H17" i="4"/>
  <c r="AA25" i="8"/>
  <c r="AB25" i="8"/>
  <c r="N7" i="4"/>
  <c r="H5" i="4"/>
  <c r="D20" i="4"/>
  <c r="AD25" i="8"/>
  <c r="S11" i="8"/>
  <c r="V11" i="8"/>
  <c r="H4" i="8"/>
  <c r="Y11" i="8"/>
  <c r="Z25" i="8"/>
  <c r="AC11" i="8"/>
  <c r="AD11" i="8"/>
  <c r="D6" i="8"/>
  <c r="AC25" i="8"/>
  <c r="P11" i="8"/>
  <c r="AF11" i="8"/>
  <c r="Q11" i="8"/>
  <c r="AG11" i="8"/>
  <c r="R11" i="8"/>
  <c r="AH11" i="8"/>
  <c r="Q25" i="8"/>
  <c r="K25" i="8"/>
  <c r="N25" i="8"/>
  <c r="AF25" i="8"/>
  <c r="D17" i="8"/>
  <c r="D25" i="8" s="1"/>
  <c r="T25" i="8"/>
  <c r="K3" i="8"/>
  <c r="K5" i="8"/>
  <c r="K6" i="8"/>
  <c r="V25" i="8"/>
  <c r="N3" i="8"/>
  <c r="N5" i="8"/>
  <c r="N6" i="8"/>
  <c r="H20" i="8"/>
  <c r="H25" i="8" s="1"/>
  <c r="AE11" i="8"/>
  <c r="Z11" i="8"/>
  <c r="Y25" i="8"/>
  <c r="O11" i="8"/>
  <c r="D3" i="8"/>
  <c r="AB11" i="8"/>
  <c r="P25" i="8"/>
  <c r="AG25" i="8"/>
  <c r="D6" i="4"/>
  <c r="N19" i="4"/>
  <c r="H6" i="4"/>
  <c r="N3" i="4"/>
  <c r="H3" i="4"/>
  <c r="D17" i="4"/>
  <c r="N20" i="4"/>
  <c r="N18" i="4"/>
  <c r="K20" i="4"/>
  <c r="K3" i="4"/>
  <c r="X11" i="4"/>
  <c r="W11" i="4"/>
  <c r="S11" i="4"/>
  <c r="U11" i="4"/>
  <c r="T11" i="4"/>
  <c r="V11" i="4"/>
  <c r="R11" i="4"/>
  <c r="AC11" i="4"/>
  <c r="AB11" i="4"/>
  <c r="AA11" i="4"/>
  <c r="P11" i="4"/>
  <c r="Z11" i="4"/>
  <c r="Y11" i="4"/>
  <c r="T25" i="4"/>
  <c r="Q11" i="4"/>
  <c r="K19" i="4"/>
  <c r="H19" i="4"/>
  <c r="D19" i="4"/>
  <c r="Y25" i="4"/>
  <c r="U25" i="4"/>
  <c r="O11" i="4"/>
  <c r="AB25" i="4"/>
  <c r="X25" i="4"/>
  <c r="V25" i="4"/>
  <c r="W25" i="4"/>
  <c r="AC25" i="4"/>
  <c r="O25" i="4"/>
  <c r="AA25" i="4"/>
  <c r="Z25" i="4"/>
  <c r="P25" i="4"/>
  <c r="S25" i="4"/>
  <c r="R25" i="4"/>
  <c r="Q25" i="4"/>
  <c r="C36" i="8" l="1"/>
  <c r="H11" i="8"/>
  <c r="C31" i="8" s="1"/>
  <c r="D31" i="8" s="1"/>
  <c r="D34" i="8"/>
  <c r="N11" i="4"/>
  <c r="D11" i="4"/>
  <c r="H25" i="4"/>
  <c r="K25" i="4"/>
  <c r="K11" i="4"/>
  <c r="H11" i="4"/>
  <c r="C34" i="8"/>
  <c r="D35" i="8"/>
  <c r="D36" i="8"/>
  <c r="C35" i="8"/>
  <c r="K11" i="8"/>
  <c r="C32" i="8" s="1"/>
  <c r="D32" i="8" s="1"/>
  <c r="D11" i="8"/>
  <c r="C30" i="8" s="1"/>
  <c r="D30" i="8" s="1"/>
  <c r="N11" i="8"/>
  <c r="C33" i="8" s="1"/>
  <c r="D33" i="8" s="1"/>
  <c r="N25" i="4"/>
  <c r="D25" i="4"/>
  <c r="D36" i="4"/>
  <c r="D35" i="4"/>
  <c r="D34" i="4"/>
  <c r="C36" i="4"/>
  <c r="C35" i="4"/>
  <c r="C34" i="4"/>
  <c r="C32" i="4" l="1"/>
  <c r="D32" i="4" s="1"/>
  <c r="C33" i="4"/>
  <c r="D33" i="4" s="1"/>
  <c r="C30" i="4"/>
  <c r="D30" i="4" s="1"/>
  <c r="C31" i="4"/>
  <c r="D31" i="4" s="1"/>
</calcChain>
</file>

<file path=xl/sharedStrings.xml><?xml version="1.0" encoding="utf-8"?>
<sst xmlns="http://schemas.openxmlformats.org/spreadsheetml/2006/main" count="2874" uniqueCount="161">
  <si>
    <t>Player</t>
  </si>
  <si>
    <t>Hopes</t>
  </si>
  <si>
    <t>Perception</t>
  </si>
  <si>
    <t>Merk N U</t>
  </si>
  <si>
    <t>Wankr</t>
  </si>
  <si>
    <t>Poland</t>
  </si>
  <si>
    <t>Tailgunner</t>
  </si>
  <si>
    <t>Kills</t>
  </si>
  <si>
    <t>Wins</t>
  </si>
  <si>
    <t>Scharins</t>
  </si>
  <si>
    <t>Carnival</t>
  </si>
  <si>
    <t>Trainyard</t>
  </si>
  <si>
    <t>Airport 2</t>
  </si>
  <si>
    <t>Pancake</t>
  </si>
  <si>
    <t>Velocity</t>
  </si>
  <si>
    <t>Motion</t>
  </si>
  <si>
    <t>Maps</t>
  </si>
  <si>
    <t>Rooks</t>
  </si>
  <si>
    <t>Tony</t>
  </si>
  <si>
    <t>Carnage</t>
  </si>
  <si>
    <t>Mamba</t>
  </si>
  <si>
    <t>Losses</t>
  </si>
  <si>
    <t>Matches</t>
  </si>
  <si>
    <t>Rounds</t>
  </si>
  <si>
    <t>%</t>
  </si>
  <si>
    <t>Crusha</t>
  </si>
  <si>
    <t>Engineer</t>
  </si>
  <si>
    <t>Driver</t>
  </si>
  <si>
    <t>Kyle</t>
  </si>
  <si>
    <t>Itch</t>
  </si>
  <si>
    <t>Training</t>
  </si>
  <si>
    <t>Meat Factory</t>
  </si>
  <si>
    <t>Garage</t>
  </si>
  <si>
    <t>Close Quarters</t>
  </si>
  <si>
    <t>Budden</t>
  </si>
  <si>
    <t>Cajun</t>
  </si>
  <si>
    <t>Avg. Kills</t>
  </si>
  <si>
    <t>AJ</t>
  </si>
  <si>
    <t>Predator</t>
  </si>
  <si>
    <t>Warehouse</t>
  </si>
  <si>
    <t>Reality</t>
  </si>
  <si>
    <t>Airport 1</t>
  </si>
  <si>
    <t>Choi</t>
  </si>
  <si>
    <t>NinjaX</t>
  </si>
  <si>
    <t>Frag N Clear</t>
  </si>
  <si>
    <t>FlyinRyan</t>
  </si>
  <si>
    <t>Juvey</t>
  </si>
  <si>
    <t>MeatMan</t>
  </si>
  <si>
    <t>CSL</t>
  </si>
  <si>
    <t>Highest Single Game Kills</t>
  </si>
  <si>
    <t>Focus</t>
  </si>
  <si>
    <t>Lethal</t>
  </si>
  <si>
    <t>Fox</t>
  </si>
  <si>
    <t>Legend</t>
  </si>
  <si>
    <t>Phenom</t>
  </si>
  <si>
    <t>Wizzo</t>
  </si>
  <si>
    <t>Presidio</t>
  </si>
  <si>
    <t>Peaks</t>
  </si>
  <si>
    <t>Old City</t>
  </si>
  <si>
    <t>Trophies</t>
  </si>
  <si>
    <t>🏆</t>
  </si>
  <si>
    <t>MVPs</t>
  </si>
  <si>
    <t>Kesba</t>
  </si>
  <si>
    <t>Café</t>
  </si>
  <si>
    <t>Map Wins</t>
  </si>
  <si>
    <t>Import / Export</t>
  </si>
  <si>
    <t>Rocket Facility</t>
  </si>
  <si>
    <t>Old Ruins</t>
  </si>
  <si>
    <t>Subway</t>
  </si>
  <si>
    <t>Back Alleys</t>
  </si>
  <si>
    <t>Vengeful</t>
  </si>
  <si>
    <t>Broken</t>
  </si>
  <si>
    <t>Streets of Milan</t>
  </si>
  <si>
    <t>Military Base</t>
  </si>
  <si>
    <t>Erock</t>
  </si>
  <si>
    <t>GREEN TEAM</t>
  </si>
  <si>
    <t>🏆🏆*</t>
  </si>
  <si>
    <t>RED TEAM</t>
  </si>
  <si>
    <t>Empty</t>
  </si>
  <si>
    <t>-</t>
  </si>
  <si>
    <t>empty</t>
  </si>
  <si>
    <t>Green Team</t>
  </si>
  <si>
    <t>Red Team</t>
  </si>
  <si>
    <t>Match Win %</t>
  </si>
  <si>
    <t>Map Win %</t>
  </si>
  <si>
    <t>Round Win %</t>
  </si>
  <si>
    <t>Best Map 1</t>
  </si>
  <si>
    <t>Best Map 2</t>
  </si>
  <si>
    <t>Best Map 3</t>
  </si>
  <si>
    <t>Fallen</t>
  </si>
  <si>
    <t>Ortega</t>
  </si>
  <si>
    <t>Nuclear Reactor</t>
  </si>
  <si>
    <t>Office Complex</t>
  </si>
  <si>
    <t>Agora</t>
  </si>
  <si>
    <t>Weakness</t>
  </si>
  <si>
    <t>Observatory</t>
  </si>
  <si>
    <t>Village</t>
  </si>
  <si>
    <t>Match Wins</t>
  </si>
  <si>
    <t>Match Losses</t>
  </si>
  <si>
    <t>Round Wins</t>
  </si>
  <si>
    <t>Round Losses</t>
  </si>
  <si>
    <t>Map Losses</t>
  </si>
  <si>
    <t>Frag</t>
  </si>
  <si>
    <t>AttackRuby</t>
  </si>
  <si>
    <t>Pumping Station</t>
  </si>
  <si>
    <t>RuhnR</t>
  </si>
  <si>
    <t>Harbor Warehouse</t>
  </si>
  <si>
    <t>Wartz</t>
  </si>
  <si>
    <t>DropShot</t>
  </si>
  <si>
    <t>*2/5/26 exhibition match not included, match not finished</t>
  </si>
  <si>
    <t>*1/30/26 exhibition match 2 not included, match not finished</t>
  </si>
  <si>
    <t>*2/22/26 match not included, Tony fell asleep</t>
  </si>
  <si>
    <t>Ferry Boat</t>
  </si>
  <si>
    <t>Undisputed</t>
  </si>
  <si>
    <t>Bullets</t>
  </si>
  <si>
    <t>DevilDuck</t>
  </si>
  <si>
    <t>Castle</t>
  </si>
  <si>
    <t>*2/28/26 match did not have kills for both teams</t>
  </si>
  <si>
    <t>Sureshol</t>
  </si>
  <si>
    <t>*2/19 match not added due to incomplete data</t>
  </si>
  <si>
    <t>*1/31 match not added due to incomplete data</t>
  </si>
  <si>
    <t>Map %</t>
  </si>
  <si>
    <t>Round %</t>
  </si>
  <si>
    <t>Match %</t>
  </si>
  <si>
    <t>🏆🏆</t>
  </si>
  <si>
    <t>Includes match data from 1/1/26 thru 3/1/26</t>
  </si>
  <si>
    <t>Date</t>
  </si>
  <si>
    <t>Match Result</t>
  </si>
  <si>
    <t>Maps Played</t>
  </si>
  <si>
    <t>Maps Won</t>
  </si>
  <si>
    <t>Rds Played</t>
  </si>
  <si>
    <t>Rds Won</t>
  </si>
  <si>
    <t>Running Avg. Maps</t>
  </si>
  <si>
    <t>R Avg Rounds</t>
  </si>
  <si>
    <t>Overall Avg Kills</t>
  </si>
  <si>
    <t>Winter Lodge</t>
  </si>
  <si>
    <t>Running Avg. Matches</t>
  </si>
  <si>
    <t>Meatman</t>
  </si>
  <si>
    <t>Entomb</t>
  </si>
  <si>
    <t>Hobbs</t>
  </si>
  <si>
    <t>Krazy Gunner</t>
  </si>
  <si>
    <t>Agile</t>
  </si>
  <si>
    <t>Quickness</t>
  </si>
  <si>
    <t>Ominous</t>
  </si>
  <si>
    <t>Slippery</t>
  </si>
  <si>
    <t>Hotel</t>
  </si>
  <si>
    <t>Parkade</t>
  </si>
  <si>
    <t>Dreamz</t>
  </si>
  <si>
    <t>Rogue</t>
  </si>
  <si>
    <t>Money</t>
  </si>
  <si>
    <t>RayZ</t>
  </si>
  <si>
    <t>Infusion</t>
  </si>
  <si>
    <t>Hustle</t>
  </si>
  <si>
    <t>EtchV</t>
  </si>
  <si>
    <t>Rage</t>
  </si>
  <si>
    <t>AftaShock</t>
  </si>
  <si>
    <t>Tag</t>
  </si>
  <si>
    <t>🏆🏆🏆</t>
  </si>
  <si>
    <t>Undisupted</t>
  </si>
  <si>
    <t>Dreams</t>
  </si>
  <si>
    <t>HOpes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</si>
</sst>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rgb="FF001D35"/>
      <name val="Arial"/>
      <family val="2"/>
    </font>
    <font>
      <b/>
      <sz val="16"/>
      <color theme="0"/>
      <name val="Calibri"/>
      <family val="2"/>
      <scheme val="minor"/>
    </font>
    <font>
      <sz val="11"/>
      <color rgb="FF000000"/>
      <name val="Calibri"/>
      <family val="2"/>
    </font>
    <font>
      <b/>
      <sz val="12"/>
      <color rgb="FF001D35"/>
      <name val="Arial"/>
      <family val="2"/>
    </font>
    <font>
      <b/>
      <sz val="13"/>
      <color rgb="FF000000"/>
      <name val="Calibri"/>
      <family val="2"/>
    </font>
    <font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2" fillId="0" borderId="0" xfId="0" applyFont="1"/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 wrapText="1"/>
    </xf>
    <xf numFmtId="0" fontId="2" fillId="5" borderId="6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 wrapText="1"/>
    </xf>
    <xf numFmtId="2" fontId="0" fillId="5" borderId="0" xfId="0" applyNumberForma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9" fontId="0" fillId="5" borderId="8" xfId="1" applyFont="1" applyFill="1" applyBorder="1" applyAlignment="1">
      <alignment horizontal="center" vertical="center"/>
    </xf>
    <xf numFmtId="2" fontId="0" fillId="5" borderId="5" xfId="0" applyNumberFormat="1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9" fontId="0" fillId="5" borderId="6" xfId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7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0" fontId="0" fillId="0" borderId="4" xfId="0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9" fontId="0" fillId="0" borderId="8" xfId="1" applyFont="1" applyBorder="1" applyAlignment="1">
      <alignment horizontal="center" vertical="center"/>
    </xf>
    <xf numFmtId="9" fontId="0" fillId="0" borderId="8" xfId="1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9" fontId="0" fillId="0" borderId="6" xfId="1" applyFont="1" applyBorder="1" applyAlignment="1">
      <alignment horizontal="center"/>
    </xf>
    <xf numFmtId="0" fontId="2" fillId="5" borderId="14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 wrapText="1"/>
    </xf>
    <xf numFmtId="0" fontId="2" fillId="5" borderId="12" xfId="0" applyFont="1" applyFill="1" applyBorder="1" applyAlignment="1">
      <alignment horizontal="center" vertical="center" wrapText="1"/>
    </xf>
    <xf numFmtId="0" fontId="2" fillId="5" borderId="13" xfId="0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5" borderId="2" xfId="0" applyFill="1" applyBorder="1"/>
    <xf numFmtId="0" fontId="0" fillId="5" borderId="3" xfId="0" applyFill="1" applyBorder="1"/>
    <xf numFmtId="0" fontId="0" fillId="5" borderId="5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1" fontId="0" fillId="5" borderId="0" xfId="0" applyNumberFormat="1" applyFill="1" applyAlignment="1">
      <alignment horizontal="center" vertical="center"/>
    </xf>
    <xf numFmtId="1" fontId="0" fillId="5" borderId="5" xfId="0" applyNumberForma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1" fontId="0" fillId="0" borderId="0" xfId="0" applyNumberFormat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2" fontId="0" fillId="5" borderId="8" xfId="1" applyNumberFormat="1" applyFont="1" applyFill="1" applyBorder="1" applyAlignment="1">
      <alignment horizontal="center" vertical="center"/>
    </xf>
    <xf numFmtId="2" fontId="0" fillId="5" borderId="6" xfId="1" applyNumberFormat="1" applyFont="1" applyFill="1" applyBorder="1" applyAlignment="1">
      <alignment horizontal="center" vertical="center"/>
    </xf>
    <xf numFmtId="2" fontId="0" fillId="0" borderId="8" xfId="1" applyNumberFormat="1" applyFont="1" applyBorder="1" applyAlignment="1">
      <alignment horizontal="center" vertical="center"/>
    </xf>
    <xf numFmtId="2" fontId="0" fillId="0" borderId="6" xfId="1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16" fontId="0" fillId="0" borderId="0" xfId="0" applyNumberFormat="1"/>
    <xf numFmtId="0" fontId="8" fillId="0" borderId="0" xfId="0" applyFont="1"/>
    <xf numFmtId="0" fontId="9" fillId="0" borderId="0" xfId="0" applyFont="1" applyAlignment="1">
      <alignment wrapText="1"/>
    </xf>
    <xf numFmtId="0" fontId="2" fillId="5" borderId="0" xfId="0" applyFont="1" applyFill="1" applyAlignment="1">
      <alignment horizontal="center" vertical="center" wrapText="1"/>
    </xf>
    <xf numFmtId="164" fontId="9" fillId="0" borderId="0" xfId="0" applyNumberFormat="1" applyFont="1"/>
    <xf numFmtId="2" fontId="0" fillId="0" borderId="0" xfId="0" applyNumberFormat="1"/>
    <xf numFmtId="2" fontId="9" fillId="0" borderId="0" xfId="0" applyNumberFormat="1" applyFont="1" applyAlignment="1">
      <alignment wrapText="1"/>
    </xf>
    <xf numFmtId="9" fontId="0" fillId="0" borderId="8" xfId="1" applyFont="1" applyFill="1" applyBorder="1" applyAlignment="1">
      <alignment horizontal="center" vertical="center"/>
    </xf>
    <xf numFmtId="2" fontId="0" fillId="0" borderId="0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0" fillId="0" borderId="0" xfId="0" applyFont="1" applyAlignment="1">
      <alignment wrapText="1"/>
    </xf>
    <xf numFmtId="0" fontId="4" fillId="0" borderId="0" xfId="0" applyFont="1" applyAlignment="1">
      <alignment horizontal="center"/>
    </xf>
    <xf numFmtId="0" fontId="6" fillId="0" borderId="0" xfId="0" applyFont="1"/>
    <xf numFmtId="0" fontId="0" fillId="0" borderId="0" xfId="0"/>
    <xf numFmtId="0" fontId="5" fillId="4" borderId="0" xfId="0" applyFont="1" applyFill="1" applyAlignment="1">
      <alignment horizontal="center" vertical="center" textRotation="90"/>
    </xf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 textRotation="90"/>
    </xf>
    <xf numFmtId="1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2405B-8FFD-4E0F-BC56-B4D0A9588F9C}">
  <dimension ref="A1:AE4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33" sqref="B33:B35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1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146</v>
      </c>
      <c r="Z1" s="32" t="s">
        <v>57</v>
      </c>
      <c r="AA1" s="32" t="s">
        <v>56</v>
      </c>
      <c r="AB1" s="32" t="s">
        <v>9</v>
      </c>
      <c r="AC1" s="32" t="s">
        <v>30</v>
      </c>
      <c r="AD1" s="32" t="s">
        <v>11</v>
      </c>
      <c r="AE1" s="46" t="s">
        <v>39</v>
      </c>
    </row>
    <row r="2" spans="1:31" x14ac:dyDescent="0.25">
      <c r="A2" s="2" t="s">
        <v>155</v>
      </c>
      <c r="B2" s="3" t="s">
        <v>79</v>
      </c>
      <c r="C2" s="3" t="s">
        <v>79</v>
      </c>
      <c r="D2" s="34">
        <f>SUMIFS('OB History'!C:C,'OB History'!B:B,A2)</f>
        <v>45</v>
      </c>
      <c r="E2" s="4">
        <f>AVERAGEIFS('OB History'!C:C,'OB History'!B:B,A2)</f>
        <v>11.25</v>
      </c>
      <c r="F2" s="35">
        <f t="array" ref="F2">MAX(IF('OB History'!B:B=A2, 'OB History'!C:C))</f>
        <v>22</v>
      </c>
      <c r="G2" s="34">
        <f>COUNTIFS('OB History'!B:B,A2,'OB History'!D:D, 1)</f>
        <v>3</v>
      </c>
      <c r="H2" s="2">
        <f>COUNTIFS('OB History'!B:B,A2,'OB History'!D:D, 0)</f>
        <v>1</v>
      </c>
      <c r="I2" s="88">
        <f>LOOKUP(2, 1/('OB History'!$B:$B=A2), 'OB History'!$AD:$AD)</f>
        <v>0.75</v>
      </c>
      <c r="J2" s="34">
        <f>SUMIFS('OB History'!F:F,'OB History'!B:B,A2)</f>
        <v>10</v>
      </c>
      <c r="K2" s="2">
        <f>SUMIFS('OB History'!E:E,'OB History'!B:B,A2)-J2</f>
        <v>7</v>
      </c>
      <c r="L2" s="88">
        <f>LOOKUP(2, 1/('OB History'!$B:$B=A2), 'OB History'!$AB:$AB)</f>
        <v>0.58750000000000002</v>
      </c>
      <c r="M2" s="34">
        <f>SUMIFS('OB History'!H:H,'OB History'!B:B,A2)</f>
        <v>36</v>
      </c>
      <c r="N2" s="2">
        <f>SUMIFS('OB History'!G:G,'OB History'!B:B,A2)-M2</f>
        <v>31</v>
      </c>
      <c r="O2" s="88">
        <f>LOOKUP(2, 1/('OB History'!$B:$B=A2), 'OB History'!$AC:$AC)</f>
        <v>0.55000000000000004</v>
      </c>
      <c r="P2" s="2">
        <f>COUNTIFS('OB History'!$B:$B,$A$2,'OB History'!K:K, 1)</f>
        <v>0</v>
      </c>
      <c r="Q2" s="2">
        <f>COUNTIFS('OB History'!$B:$B,$A$2,'OB History'!L:L, 1)</f>
        <v>0</v>
      </c>
      <c r="R2" s="2">
        <f>COUNTIFS('OB History'!$B:$B,$A$2,'OB History'!M:M, 1)</f>
        <v>0</v>
      </c>
      <c r="S2" s="2">
        <f>COUNTIFS('OB History'!$B:$B,$A$2,'OB History'!N:N, 1)</f>
        <v>2</v>
      </c>
      <c r="T2" s="2">
        <f>COUNTIFS('OB History'!$B:$B,$A$2,'OB History'!O:O, 1)</f>
        <v>0</v>
      </c>
      <c r="U2" s="2">
        <f>COUNTIFS('OB History'!$B:$B,$A$2,'OB History'!P:P, 1)</f>
        <v>1</v>
      </c>
      <c r="V2" s="2">
        <f>COUNTIFS('OB History'!$B:$B,$A$2,'OB History'!Q:Q, 1)</f>
        <v>0</v>
      </c>
      <c r="W2" s="2">
        <f>COUNTIFS('OB History'!$B:$B,$A$2,'OB History'!R:R, 1)</f>
        <v>0</v>
      </c>
      <c r="X2" s="2">
        <f>COUNTIFS('OB History'!$B:$B,$A$2,'OB History'!S:S, 1)</f>
        <v>0</v>
      </c>
      <c r="Y2" s="2">
        <f>COUNTIFS('OB History'!$B:$B,$A$2,'OB History'!T:T, 1)</f>
        <v>0</v>
      </c>
      <c r="Z2" s="2">
        <f>COUNTIFS('OB History'!$B:$B,$A$2,'OB History'!U:U, 1)</f>
        <v>1</v>
      </c>
      <c r="AA2" s="2">
        <f>COUNTIFS('OB History'!$B:$B,$A$2,'OB History'!V:V, 1)</f>
        <v>0</v>
      </c>
      <c r="AB2" s="2">
        <f>COUNTIFS('OB History'!$B:$B,$A$2,'OB History'!W:W, 1)</f>
        <v>1</v>
      </c>
      <c r="AC2" s="2">
        <f>COUNTIFS('OB History'!$B:$B,$A$2,'OB History'!X:X, 1)</f>
        <v>3</v>
      </c>
      <c r="AD2" s="2">
        <f>COUNTIFS('OB History'!$B:$B,$A$2,'OB History'!Y:Y, 1)</f>
        <v>2</v>
      </c>
      <c r="AE2" s="2">
        <f>COUNTIFS('OB History'!$B:$B,$A$2,'OB History'!Z:Z, 1)</f>
        <v>0</v>
      </c>
    </row>
    <row r="3" spans="1:31" x14ac:dyDescent="0.25">
      <c r="A3" s="2" t="s">
        <v>141</v>
      </c>
      <c r="B3" s="2" t="s">
        <v>79</v>
      </c>
      <c r="C3" s="2" t="s">
        <v>79</v>
      </c>
      <c r="D3" s="34">
        <f>SUMIFS('OB History'!C:C,'OB History'!B:B,A3)</f>
        <v>42</v>
      </c>
      <c r="E3" s="4">
        <f>AVERAGEIFS('OB History'!C:C,'OB History'!B:B,A3)</f>
        <v>10.5</v>
      </c>
      <c r="F3" s="35">
        <f t="array" ref="F3">MAX(IF('OB History'!B:B=A3, 'OB History'!C:C))</f>
        <v>19</v>
      </c>
      <c r="G3" s="34">
        <f>COUNTIFS('OB History'!B:B,A3,'OB History'!D:D, 1)</f>
        <v>3</v>
      </c>
      <c r="H3" s="2">
        <f>COUNTIFS('OB History'!B:B,A3,'OB History'!D:D, 0)</f>
        <v>1</v>
      </c>
      <c r="I3" s="88">
        <f>LOOKUP(2, 1/('OB History'!$B:$B=A3), 'OB History'!$AD:$AD)</f>
        <v>0.75</v>
      </c>
      <c r="J3" s="34">
        <f>SUMIFS('OB History'!F:F,'OB History'!B:B,A3)</f>
        <v>9</v>
      </c>
      <c r="K3" s="2">
        <f>SUMIFS('OB History'!E:E,'OB History'!B:B,A3)-J3</f>
        <v>8</v>
      </c>
      <c r="L3" s="88">
        <f>LOOKUP(2, 1/('OB History'!$B:$B=A3), 'OB History'!$AB:$AB)</f>
        <v>0.48749999999999999</v>
      </c>
      <c r="M3" s="34">
        <f>SUMIFS('OB History'!H:H,'OB History'!B:B,A3)</f>
        <v>35</v>
      </c>
      <c r="N3" s="2">
        <f>SUMIFS('OB History'!G:G,'OB History'!B:B,A3)-M3</f>
        <v>35</v>
      </c>
      <c r="O3" s="88">
        <f>LOOKUP(2, 1/('OB History'!$B:$B=A3), 'OB History'!$AC:$AC)</f>
        <v>0.46999999999999992</v>
      </c>
      <c r="P3" s="2">
        <f>COUNTIFS('OB History'!$B:$B,$A$3,'OB History'!K:K, 1)</f>
        <v>0</v>
      </c>
      <c r="Q3" s="2">
        <f>COUNTIFS('OB History'!$B:$B,$A$3,'OB History'!L:L, 1)</f>
        <v>1</v>
      </c>
      <c r="R3" s="2">
        <f>COUNTIFS('OB History'!$B:$B,$A$3,'OB History'!M:M, 1)</f>
        <v>0</v>
      </c>
      <c r="S3" s="2">
        <f>COUNTIFS('OB History'!$B:$B,$A$3,'OB History'!N:N, 1)</f>
        <v>2</v>
      </c>
      <c r="T3" s="2">
        <f>COUNTIFS('OB History'!$B:$B,$A$3,'OB History'!O:O, 1)</f>
        <v>0</v>
      </c>
      <c r="U3" s="2">
        <f>COUNTIFS('OB History'!$B:$B,$A$3,'OB History'!P:P, 1)</f>
        <v>2</v>
      </c>
      <c r="V3" s="2">
        <f>COUNTIFS('OB History'!$B:$B,$A$3,'OB History'!Q:Q, 1)</f>
        <v>0</v>
      </c>
      <c r="W3" s="2">
        <f>COUNTIFS('OB History'!$B:$B,$A$3,'OB History'!R:R, 1)</f>
        <v>0</v>
      </c>
      <c r="X3" s="2">
        <f>COUNTIFS('OB History'!$B:$B,$A$3,'OB History'!S:S, 1)</f>
        <v>0</v>
      </c>
      <c r="Y3" s="2">
        <f>COUNTIFS('OB History'!$B:$B,$A$3,'OB History'!T:T, 1)</f>
        <v>0</v>
      </c>
      <c r="Z3" s="2">
        <f>COUNTIFS('OB History'!$B:$B,$A$3,'OB History'!U:U, 1)</f>
        <v>0</v>
      </c>
      <c r="AA3" s="2">
        <f>COUNTIFS('OB History'!$B:$B,$A$3,'OB History'!V:V, 1)</f>
        <v>1</v>
      </c>
      <c r="AB3" s="2">
        <f>COUNTIFS('OB History'!$B:$B,$A$3,'OB History'!W:W, 1)</f>
        <v>0</v>
      </c>
      <c r="AC3" s="2">
        <f>COUNTIFS('OB History'!$B:$B,$A$3,'OB History'!X:X, 1)</f>
        <v>2</v>
      </c>
      <c r="AD3" s="2">
        <f>COUNTIFS('OB History'!$B:$B,$A$3,'OB History'!Y:Y, 1)</f>
        <v>1</v>
      </c>
      <c r="AE3" s="2">
        <f>COUNTIFS('OB History'!$B:$B,$A$3,'OB History'!Z:Z, 1)</f>
        <v>0</v>
      </c>
    </row>
    <row r="4" spans="1:31" x14ac:dyDescent="0.25">
      <c r="A4" s="2" t="s">
        <v>37</v>
      </c>
      <c r="B4" s="2" t="s">
        <v>79</v>
      </c>
      <c r="C4" s="2" t="s">
        <v>79</v>
      </c>
      <c r="D4" s="34">
        <f>SUMIFS('OB History'!C:C,'OB History'!B:B,A4)</f>
        <v>342</v>
      </c>
      <c r="E4" s="4">
        <f>AVERAGEIFS('OB History'!C:C,'OB History'!B:B,A4)</f>
        <v>20.117647058823529</v>
      </c>
      <c r="F4" s="35">
        <f t="array" ref="F4">MAX(IF('OB History'!B:B=A4, 'OB History'!C:C))</f>
        <v>36</v>
      </c>
      <c r="G4" s="34">
        <f>COUNTIFS('OB History'!B:B,A4,'OB History'!D:D, 1)</f>
        <v>7</v>
      </c>
      <c r="H4" s="2">
        <f>COUNTIFS('OB History'!B:B,A4,'OB History'!D:D, 0)</f>
        <v>10</v>
      </c>
      <c r="I4" s="88">
        <f>LOOKUP(2, 1/('OB History'!$B:$B=A4), 'OB History'!$AD:$AD)</f>
        <v>0.41176470588235292</v>
      </c>
      <c r="J4" s="34">
        <f>SUMIFS('OB History'!F:F,'OB History'!B:B,A4)</f>
        <v>31</v>
      </c>
      <c r="K4" s="2">
        <f>SUMIFS('OB History'!E:E,'OB History'!B:B,A4)-J4</f>
        <v>39</v>
      </c>
      <c r="L4" s="88">
        <f>LOOKUP(2, 1/('OB History'!$B:$B=A4), 'OB History'!$AB:$AB)</f>
        <v>0.43235294117647055</v>
      </c>
      <c r="M4" s="34">
        <f>SUMIFS('OB History'!H:H,'OB History'!B:B,A4)</f>
        <v>134</v>
      </c>
      <c r="N4" s="2">
        <f>SUMIFS('OB History'!G:G,'OB History'!B:B,A4)-M4</f>
        <v>148</v>
      </c>
      <c r="O4" s="88">
        <f>LOOKUP(2, 1/('OB History'!$B:$B=A4), 'OB History'!$AC:$AC)</f>
        <v>0.46294117647058813</v>
      </c>
      <c r="P4" s="2">
        <f>COUNTIFS('OB History'!$B:$B,$A$4,'OB History'!K:K, 1)</f>
        <v>3</v>
      </c>
      <c r="Q4" s="2">
        <f>COUNTIFS('OB History'!$B:$B,$A$4,'OB History'!L:L, 1)</f>
        <v>0</v>
      </c>
      <c r="R4" s="2">
        <f>COUNTIFS('OB History'!$B:$B,$A$4,'OB History'!M:M, 1)</f>
        <v>1</v>
      </c>
      <c r="S4" s="2">
        <f>COUNTIFS('OB History'!$B:$B,$A$4,'OB History'!N:N, 1)</f>
        <v>5</v>
      </c>
      <c r="T4" s="2">
        <f>COUNTIFS('OB History'!$B:$B,$A$4,'OB History'!O:O, 1)</f>
        <v>1</v>
      </c>
      <c r="U4" s="2">
        <f>COUNTIFS('OB History'!$B:$B,$A$4,'OB History'!P:P, 1)</f>
        <v>4</v>
      </c>
      <c r="V4" s="2">
        <f>COUNTIFS('OB History'!$B:$B,$A$4,'OB History'!Q:Q, 1)</f>
        <v>0</v>
      </c>
      <c r="W4" s="2">
        <f>COUNTIFS('OB History'!$B:$B,$A$4,'OB History'!R:R, 1)</f>
        <v>0</v>
      </c>
      <c r="X4" s="2">
        <f>COUNTIFS('OB History'!$B:$B,$A$4,'OB History'!S:S, 1)</f>
        <v>0</v>
      </c>
      <c r="Y4" s="2">
        <f>COUNTIFS('OB History'!$B:$B,$A$4,'OB History'!T:T, 1)</f>
        <v>1</v>
      </c>
      <c r="Z4" s="2">
        <f>COUNTIFS('OB History'!$B:$B,$A$4,'OB History'!U:U, 1)</f>
        <v>0</v>
      </c>
      <c r="AA4" s="2">
        <f>COUNTIFS('OB History'!$B:$B,$A$4,'OB History'!V:V, 1)</f>
        <v>0</v>
      </c>
      <c r="AB4" s="2">
        <f>COUNTIFS('OB History'!$B:$B,$A$4,'OB History'!W:W, 1)</f>
        <v>1</v>
      </c>
      <c r="AC4" s="2">
        <f>COUNTIFS('OB History'!$B:$B,$A$4,'OB History'!X:X, 1)</f>
        <v>6</v>
      </c>
      <c r="AD4" s="2">
        <f>COUNTIFS('OB History'!$B:$B,$A$4,'OB History'!Y:Y, 1)</f>
        <v>2</v>
      </c>
      <c r="AE4" s="2">
        <f>COUNTIFS('OB History'!$B:$B,$A$4,'OB History'!Z:Z, 1)</f>
        <v>7</v>
      </c>
    </row>
    <row r="5" spans="1:31" x14ac:dyDescent="0.25">
      <c r="A5" s="2" t="s">
        <v>34</v>
      </c>
      <c r="B5" s="2" t="s">
        <v>79</v>
      </c>
      <c r="C5" s="2" t="s">
        <v>79</v>
      </c>
      <c r="D5" s="34">
        <f>SUMIFS('OB History'!C:C,'OB History'!B:B,A5)</f>
        <v>40</v>
      </c>
      <c r="E5" s="4">
        <f>AVERAGEIFS('OB History'!C:C,'OB History'!B:B,A5)</f>
        <v>10</v>
      </c>
      <c r="F5" s="35">
        <f t="array" ref="F5">MAX(IF('OB History'!B:B=A5, 'OB History'!C:C))</f>
        <v>18</v>
      </c>
      <c r="G5" s="34">
        <f>COUNTIFS('OB History'!B:B,A5,'OB History'!D:D, 1)</f>
        <v>4</v>
      </c>
      <c r="H5" s="2">
        <f>COUNTIFS('OB History'!B:B,A5,'OB History'!D:D, 0)</f>
        <v>0</v>
      </c>
      <c r="I5" s="88">
        <f>LOOKUP(2, 1/('OB History'!$B:$B=A5), 'OB History'!$AD:$AD)</f>
        <v>1</v>
      </c>
      <c r="J5" s="34">
        <f>SUMIFS('OB History'!F:F,'OB History'!B:B,A5)</f>
        <v>12</v>
      </c>
      <c r="K5" s="2">
        <f>SUMIFS('OB History'!E:E,'OB History'!B:B,A5)-J5</f>
        <v>3</v>
      </c>
      <c r="L5" s="88">
        <f>LOOKUP(2, 1/('OB History'!$B:$B=A5), 'OB History'!$AB:$AB)</f>
        <v>0.83750000000000002</v>
      </c>
      <c r="M5" s="34">
        <f>SUMIFS('OB History'!H:H,'OB History'!B:B,'Old Bow v2'!A5)</f>
        <v>39</v>
      </c>
      <c r="N5" s="2">
        <f>SUMIFS('OB History'!G:G,'OB History'!B:B,'Old Bow v2'!A5)-M5</f>
        <v>20</v>
      </c>
      <c r="O5" s="88">
        <f>LOOKUP(2, 1/('OB History'!$B:$B=A5), 'OB History'!$AC:$AC)</f>
        <v>0.69</v>
      </c>
      <c r="P5" s="2">
        <f>COUNTIFS('OB History'!$B:$B,$A$5,'OB History'!K:K, 1)</f>
        <v>0</v>
      </c>
      <c r="Q5" s="2">
        <f>COUNTIFS('OB History'!$B:$B,$A$5,'OB History'!L:L, 1)</f>
        <v>3</v>
      </c>
      <c r="R5" s="2">
        <f>COUNTIFS('OB History'!$B:$B,$A$5,'OB History'!M:M, 1)</f>
        <v>0</v>
      </c>
      <c r="S5" s="2">
        <f>COUNTIFS('OB History'!$B:$B,$A$5,'OB History'!N:N, 1)</f>
        <v>2</v>
      </c>
      <c r="T5" s="2">
        <f>COUNTIFS('OB History'!$B:$B,$A$5,'OB History'!O:O, 1)</f>
        <v>0</v>
      </c>
      <c r="U5" s="2">
        <f>COUNTIFS('OB History'!$B:$B,$A$5,'OB History'!P:P, 1)</f>
        <v>1</v>
      </c>
      <c r="V5" s="2">
        <f>COUNTIFS('OB History'!$B:$B,$A$5,'OB History'!Q:Q, 1)</f>
        <v>0</v>
      </c>
      <c r="W5" s="2">
        <f>COUNTIFS('OB History'!$B:$B,$A$5,'OB History'!R:R, 1)</f>
        <v>0</v>
      </c>
      <c r="X5" s="2">
        <f>COUNTIFS('OB History'!$B:$B,$A$5,'OB History'!S:S, 1)</f>
        <v>0</v>
      </c>
      <c r="Y5" s="2">
        <f>COUNTIFS('OB History'!$B:$B,$A$5,'OB History'!T:T, 1)</f>
        <v>0</v>
      </c>
      <c r="Z5" s="2">
        <f>COUNTIFS('OB History'!$B:$B,$A$5,'OB History'!U:U, 1)</f>
        <v>0</v>
      </c>
      <c r="AA5" s="2">
        <f>COUNTIFS('OB History'!$B:$B,$A$5,'OB History'!V:V, 1)</f>
        <v>0</v>
      </c>
      <c r="AB5" s="2">
        <f>COUNTIFS('OB History'!$B:$B,$A$5,'OB History'!W:W, 1)</f>
        <v>1</v>
      </c>
      <c r="AC5" s="2">
        <f>COUNTIFS('OB History'!$B:$B,$A$5,'OB History'!X:X, 1)</f>
        <v>3</v>
      </c>
      <c r="AD5" s="2">
        <f>COUNTIFS('OB History'!$B:$B,$A$5,'OB History'!Y:Y, 1)</f>
        <v>2</v>
      </c>
      <c r="AE5" s="2">
        <f>COUNTIFS('OB History'!$B:$B,$A$5,'OB History'!Z:Z, 1)</f>
        <v>0</v>
      </c>
    </row>
    <row r="6" spans="1:31" ht="15.75" x14ac:dyDescent="0.25">
      <c r="A6" s="2" t="s">
        <v>35</v>
      </c>
      <c r="B6" s="80" t="s">
        <v>60</v>
      </c>
      <c r="C6" s="2" t="s">
        <v>79</v>
      </c>
      <c r="D6" s="34">
        <f>SUMIFS('OB History'!C:C,'OB History'!B:B,A6)</f>
        <v>200</v>
      </c>
      <c r="E6" s="4">
        <f>AVERAGEIFS('OB History'!C:C,'OB History'!B:B,A6)</f>
        <v>11.764705882352942</v>
      </c>
      <c r="F6" s="35">
        <f t="array" ref="F6">MAX(IF('OB History'!B:B=A6, 'OB History'!C:C))</f>
        <v>21</v>
      </c>
      <c r="G6" s="34">
        <f>COUNTIFS('OB History'!B:B,A6,'OB History'!D:D, 1)</f>
        <v>10</v>
      </c>
      <c r="H6" s="2">
        <f>COUNTIFS('OB History'!B:B,A6,'OB History'!D:D, 0)</f>
        <v>7</v>
      </c>
      <c r="I6" s="88">
        <f>LOOKUP(2, 1/('OB History'!$B:$B=A6), 'OB History'!$AD:$AD)</f>
        <v>0.58823529411764708</v>
      </c>
      <c r="J6" s="34">
        <f>SUMIFS('OB History'!F:F,'OB History'!B:B,A6)</f>
        <v>35</v>
      </c>
      <c r="K6" s="2">
        <f>SUMIFS('OB History'!E:E,'OB History'!B:B,A6)-J6</f>
        <v>34</v>
      </c>
      <c r="L6" s="88">
        <f>LOOKUP(2, 1/('OB History'!$B:$B=A6), 'OB History'!$AB:$AB)</f>
        <v>0.4882352941176471</v>
      </c>
      <c r="M6" s="34">
        <f>SUMIFS('OB History'!H:H,'OB History'!B:B,'Old Bow v2'!A6)</f>
        <v>142</v>
      </c>
      <c r="N6" s="2">
        <f>SUMIFS('OB History'!G:G,'OB History'!B:B,'Old Bow v2'!A6)-M6</f>
        <v>138</v>
      </c>
      <c r="O6" s="88">
        <f>LOOKUP(2, 1/('OB History'!$B:$B=A6), 'OB History'!$AC:$AC)</f>
        <v>0.501764705882353</v>
      </c>
      <c r="P6" s="2">
        <f>COUNTIFS('OB History'!$B:$B,$A$6,'OB History'!K:K, 1)</f>
        <v>3</v>
      </c>
      <c r="Q6" s="2">
        <f>COUNTIFS('OB History'!$B:$B,$A$6,'OB History'!L:L, 1)</f>
        <v>3</v>
      </c>
      <c r="R6" s="2">
        <f>COUNTIFS('OB History'!$B:$B,$A$6,'OB History'!M:M, 1)</f>
        <v>1</v>
      </c>
      <c r="S6" s="2">
        <f>COUNTIFS('OB History'!$B:$B,$A$6,'OB History'!N:N, 1)</f>
        <v>4</v>
      </c>
      <c r="T6" s="2">
        <f>COUNTIFS('OB History'!$B:$B,$A$6,'OB History'!O:O, 1)</f>
        <v>0</v>
      </c>
      <c r="U6" s="2">
        <f>COUNTIFS('OB History'!$B:$B,$A$6,'OB History'!P:P, 1)</f>
        <v>6</v>
      </c>
      <c r="V6" s="2">
        <f>COUNTIFS('OB History'!$B:$B,$A$6,'OB History'!Q:Q, 1)</f>
        <v>0</v>
      </c>
      <c r="W6" s="2">
        <f>COUNTIFS('OB History'!$B:$B,$A$6,'OB History'!R:R, 1)</f>
        <v>1</v>
      </c>
      <c r="X6" s="2">
        <f>COUNTIFS('OB History'!$B:$B,$A$6,'OB History'!S:S, 1)</f>
        <v>0</v>
      </c>
      <c r="Y6" s="2">
        <f>COUNTIFS('OB History'!$B:$B,$A$6,'OB History'!T:T, 1)</f>
        <v>0</v>
      </c>
      <c r="Z6" s="2">
        <f>COUNTIFS('OB History'!$B:$B,$A$6,'OB History'!U:U, 1)</f>
        <v>0</v>
      </c>
      <c r="AA6" s="2">
        <f>COUNTIFS('OB History'!$B:$B,$A$6,'OB History'!V:V, 1)</f>
        <v>0</v>
      </c>
      <c r="AB6" s="2">
        <f>COUNTIFS('OB History'!$B:$B,$A$6,'OB History'!W:W, 1)</f>
        <v>6</v>
      </c>
      <c r="AC6" s="2">
        <f>COUNTIFS('OB History'!$B:$B,$A$6,'OB History'!X:X, 1)</f>
        <v>4</v>
      </c>
      <c r="AD6" s="2">
        <f>COUNTIFS('OB History'!$B:$B,$A$6,'OB History'!Y:Y, 1)</f>
        <v>2</v>
      </c>
      <c r="AE6" s="2">
        <f>COUNTIFS('OB History'!$B:$B,$A$6,'OB History'!Z:Z, 1)</f>
        <v>5</v>
      </c>
    </row>
    <row r="7" spans="1:31" x14ac:dyDescent="0.25">
      <c r="A7" s="2" t="s">
        <v>19</v>
      </c>
      <c r="B7" s="2" t="s">
        <v>79</v>
      </c>
      <c r="C7" s="2" t="s">
        <v>79</v>
      </c>
      <c r="D7" s="34">
        <f>SUMIFS('OB History'!C:C,'OB History'!B:B,A7)</f>
        <v>333</v>
      </c>
      <c r="E7" s="4">
        <f>AVERAGEIFS('OB History'!C:C,'OB History'!B:B,A7)</f>
        <v>11.892857142857142</v>
      </c>
      <c r="F7" s="35">
        <f t="array" ref="F7">MAX(IF('OB History'!B:B=A7, 'OB History'!C:C))</f>
        <v>26</v>
      </c>
      <c r="G7" s="34">
        <f>COUNTIFS('OB History'!B:B,A7,'OB History'!D:D, 1)</f>
        <v>10</v>
      </c>
      <c r="H7" s="2">
        <f>COUNTIFS('OB History'!B:B,A7,'OB History'!D:D, 0)</f>
        <v>18</v>
      </c>
      <c r="I7" s="88">
        <f>LOOKUP(2, 1/('OB History'!$B:$B=A7), 'OB History'!$AD:$AD)</f>
        <v>0.35714285714285715</v>
      </c>
      <c r="J7" s="34">
        <f>SUMIFS('OB History'!F:F,'OB History'!B:B,A7)</f>
        <v>47</v>
      </c>
      <c r="K7" s="2">
        <f>SUMIFS('OB History'!E:E,'OB History'!B:B,A7)-J7</f>
        <v>69</v>
      </c>
      <c r="L7" s="88">
        <f>LOOKUP(2, 1/('OB History'!$B:$B=A7), 'OB History'!$AB:$AB)</f>
        <v>0.37857142857142856</v>
      </c>
      <c r="M7" s="34">
        <f>SUMIFS('OB History'!H:H,'OB History'!B:B,'Old Bow v2'!A7)</f>
        <v>215</v>
      </c>
      <c r="N7" s="2">
        <f>SUMIFS('OB History'!G:G,'OB History'!B:B,'Old Bow v2'!A7)-M7</f>
        <v>261</v>
      </c>
      <c r="O7" s="88">
        <f>LOOKUP(2, 1/('OB History'!$B:$B=A7), 'OB History'!$AC:$AC)</f>
        <v>0.43392857142857144</v>
      </c>
      <c r="P7" s="2">
        <f>COUNTIFS('OB History'!$B:$B,$A$7,'OB History'!K:K, 1)</f>
        <v>3</v>
      </c>
      <c r="Q7" s="2">
        <f>COUNTIFS('OB History'!$B:$B,$A$7,'OB History'!L:L, 1)</f>
        <v>1</v>
      </c>
      <c r="R7" s="2">
        <f>COUNTIFS('OB History'!$B:$B,$A$7,'OB History'!M:M, 1)</f>
        <v>1</v>
      </c>
      <c r="S7" s="2">
        <f>COUNTIFS('OB History'!$B:$B,$A$7,'OB History'!N:N, 1)</f>
        <v>5</v>
      </c>
      <c r="T7" s="2">
        <f>COUNTIFS('OB History'!$B:$B,$A$7,'OB History'!O:O, 1)</f>
        <v>1</v>
      </c>
      <c r="U7" s="2">
        <f>COUNTIFS('OB History'!$B:$B,$A$7,'OB History'!P:P, 1)</f>
        <v>7</v>
      </c>
      <c r="V7" s="2">
        <f>COUNTIFS('OB History'!$B:$B,$A$7,'OB History'!Q:Q, 1)</f>
        <v>1</v>
      </c>
      <c r="W7" s="2">
        <f>COUNTIFS('OB History'!$B:$B,$A$7,'OB History'!R:R, 1)</f>
        <v>0</v>
      </c>
      <c r="X7" s="2">
        <f>COUNTIFS('OB History'!$B:$B,$A$7,'OB History'!S:S, 1)</f>
        <v>1</v>
      </c>
      <c r="Y7" s="2">
        <f>COUNTIFS('OB History'!$B:$B,$A$7,'OB History'!T:T, 1)</f>
        <v>0</v>
      </c>
      <c r="Z7" s="2">
        <f>COUNTIFS('OB History'!$B:$B,$A$7,'OB History'!U:U, 1)</f>
        <v>1</v>
      </c>
      <c r="AA7" s="2">
        <f>COUNTIFS('OB History'!$B:$B,$A$7,'OB History'!V:V, 1)</f>
        <v>1</v>
      </c>
      <c r="AB7" s="2">
        <f>COUNTIFS('OB History'!$B:$B,$A$7,'OB History'!W:W, 1)</f>
        <v>4</v>
      </c>
      <c r="AC7" s="2">
        <f>COUNTIFS('OB History'!$B:$B,$A$7,'OB History'!X:X, 1)</f>
        <v>11</v>
      </c>
      <c r="AD7" s="2">
        <f>COUNTIFS('OB History'!$B:$B,$A$7,'OB History'!Y:Y, 1)</f>
        <v>0</v>
      </c>
      <c r="AE7" s="2">
        <f>COUNTIFS('OB History'!$B:$B,$A$7,'OB History'!Z:Z, 1)</f>
        <v>10</v>
      </c>
    </row>
    <row r="8" spans="1:31" x14ac:dyDescent="0.25">
      <c r="A8" s="1" t="s">
        <v>42</v>
      </c>
      <c r="B8" s="6" t="s">
        <v>60</v>
      </c>
      <c r="C8" s="2" t="s">
        <v>79</v>
      </c>
      <c r="D8" s="34">
        <f>SUMIFS('OB History'!C:C,'OB History'!B:B,A8)</f>
        <v>74</v>
      </c>
      <c r="E8" s="4">
        <f>AVERAGEIFS('OB History'!C:C,'OB History'!B:B,A8)</f>
        <v>10.571428571428571</v>
      </c>
      <c r="F8" s="35">
        <f t="array" ref="F8">MAX(IF('OB History'!B:B=A8, 'OB History'!C:C))</f>
        <v>29</v>
      </c>
      <c r="G8" s="34">
        <f>COUNTIFS('OB History'!B:B,A8,'OB History'!D:D, 1)</f>
        <v>2</v>
      </c>
      <c r="H8" s="2">
        <f>COUNTIFS('OB History'!B:B,A8,'OB History'!D:D, 0)</f>
        <v>5</v>
      </c>
      <c r="I8" s="88">
        <f>LOOKUP(2, 1/('OB History'!$B:$B=A8), 'OB History'!$AD:$AD)</f>
        <v>0.2857142857142857</v>
      </c>
      <c r="J8" s="34">
        <f>SUMIFS('OB History'!F:F,'OB History'!B:B,A8)</f>
        <v>10</v>
      </c>
      <c r="K8" s="2">
        <f>SUMIFS('OB History'!E:E,'OB History'!B:B,A8)-J8</f>
        <v>17</v>
      </c>
      <c r="L8" s="88">
        <f>LOOKUP(2, 1/('OB History'!$B:$B=A8), 'OB History'!$AB:$AB)</f>
        <v>0.34285714285714286</v>
      </c>
      <c r="M8" s="34">
        <f>SUMIFS('OB History'!H:H,'OB History'!B:B,'Old Bow v2'!A8)</f>
        <v>45</v>
      </c>
      <c r="N8" s="2">
        <f>SUMIFS('OB History'!G:G,'OB History'!B:B,'Old Bow v2'!A8)-M8</f>
        <v>62</v>
      </c>
      <c r="O8" s="88">
        <f>LOOKUP(2, 1/('OB History'!$B:$B=A8), 'OB History'!$AC:$AC)</f>
        <v>0.40857142857142864</v>
      </c>
      <c r="P8" s="2">
        <f>COUNTIFS('OB History'!$B:$B,$A$8,'OB History'!K:K, 1)</f>
        <v>1</v>
      </c>
      <c r="Q8" s="2">
        <f>COUNTIFS('OB History'!$B:$B,$A$8,'OB History'!L:L, 1)</f>
        <v>2</v>
      </c>
      <c r="R8" s="2">
        <f>COUNTIFS('OB History'!$B:$B,$A$8,'OB History'!M:M, 1)</f>
        <v>1</v>
      </c>
      <c r="S8" s="2">
        <f>COUNTIFS('OB History'!$B:$B,$A$8,'OB History'!N:N, 1)</f>
        <v>0</v>
      </c>
      <c r="T8" s="2">
        <f>COUNTIFS('OB History'!$B:$B,$A$8,'OB History'!O:O, 1)</f>
        <v>1</v>
      </c>
      <c r="U8" s="2">
        <f>COUNTIFS('OB History'!$B:$B,$A$8,'OB History'!P:P, 1)</f>
        <v>0</v>
      </c>
      <c r="V8" s="2">
        <f>COUNTIFS('OB History'!$B:$B,$A$8,'OB History'!Q:Q, 1)</f>
        <v>0</v>
      </c>
      <c r="W8" s="2">
        <f>COUNTIFS('OB History'!$B:$B,$A$8,'OB History'!R:R, 1)</f>
        <v>0</v>
      </c>
      <c r="X8" s="2">
        <f>COUNTIFS('OB History'!$B:$B,$A$8,'OB History'!S:S, 1)</f>
        <v>0</v>
      </c>
      <c r="Y8" s="2">
        <f>COUNTIFS('OB History'!$B:$B,$A$8,'OB History'!T:T, 1)</f>
        <v>0</v>
      </c>
      <c r="Z8" s="2">
        <f>COUNTIFS('OB History'!$B:$B,$A$8,'OB History'!U:U, 1)</f>
        <v>0</v>
      </c>
      <c r="AA8" s="2">
        <f>COUNTIFS('OB History'!$B:$B,$A$8,'OB History'!V:V, 1)</f>
        <v>1</v>
      </c>
      <c r="AB8" s="2">
        <f>COUNTIFS('OB History'!$B:$B,$A$8,'OB History'!W:W, 1)</f>
        <v>2</v>
      </c>
      <c r="AC8" s="2">
        <f>COUNTIFS('OB History'!$B:$B,$A$8,'OB History'!X:X, 1)</f>
        <v>0</v>
      </c>
      <c r="AD8" s="2">
        <f>COUNTIFS('OB History'!$B:$B,$A$8,'OB History'!Y:Y, 1)</f>
        <v>1</v>
      </c>
      <c r="AE8" s="2">
        <f>COUNTIFS('OB History'!$B:$B,$A$8,'OB History'!Z:Z, 1)</f>
        <v>1</v>
      </c>
    </row>
    <row r="9" spans="1:31" x14ac:dyDescent="0.25">
      <c r="A9" s="2" t="s">
        <v>25</v>
      </c>
      <c r="B9" s="2" t="s">
        <v>79</v>
      </c>
      <c r="C9" s="2" t="s">
        <v>79</v>
      </c>
      <c r="D9" s="34">
        <f>SUMIFS('OB History'!C:C,'OB History'!B:B,A9)</f>
        <v>260</v>
      </c>
      <c r="E9" s="4">
        <f>AVERAGEIFS('OB History'!C:C,'OB History'!B:B,A9)</f>
        <v>16.25</v>
      </c>
      <c r="F9" s="35">
        <f t="array" ref="F9">MAX(IF('OB History'!B:B=A9, 'OB History'!C:C))</f>
        <v>31</v>
      </c>
      <c r="G9" s="34">
        <f>COUNTIFS('OB History'!B:B,A9,'OB History'!D:D, 1)</f>
        <v>8</v>
      </c>
      <c r="H9" s="2">
        <f>COUNTIFS('OB History'!B:B,A9,'OB History'!D:D, 0)</f>
        <v>8</v>
      </c>
      <c r="I9" s="88">
        <f>LOOKUP(2, 1/('OB History'!$B:$B=A9), 'OB History'!$AD:$AD)</f>
        <v>0.5</v>
      </c>
      <c r="J9" s="34">
        <f>SUMIFS('OB History'!F:F,'OB History'!B:B,A9)</f>
        <v>36</v>
      </c>
      <c r="K9" s="2">
        <f>SUMIFS('OB History'!E:E,'OB History'!B:B,A9)-J9</f>
        <v>30</v>
      </c>
      <c r="L9" s="88">
        <f>LOOKUP(2, 1/('OB History'!$B:$B=A9), 'OB History'!$AB:$AB)</f>
        <v>0.58125000000000004</v>
      </c>
      <c r="M9" s="34">
        <f>SUMIFS('OB History'!H:H,'OB History'!B:B,'Old Bow v2'!A9)</f>
        <v>140</v>
      </c>
      <c r="N9" s="2">
        <f>SUMIFS('OB History'!G:G,'OB History'!B:B,'Old Bow v2'!A9)-M9</f>
        <v>132</v>
      </c>
      <c r="O9" s="88">
        <f>LOOKUP(2, 1/('OB History'!$B:$B=A9), 'OB History'!$AC:$AC)</f>
        <v>0.52874999999999994</v>
      </c>
      <c r="P9" s="2">
        <f>COUNTIFS('OB History'!$B:$B,$A$9,'OB History'!K:K, 1)</f>
        <v>2</v>
      </c>
      <c r="Q9" s="2">
        <f>COUNTIFS('OB History'!$B:$B,$A$9,'OB History'!L:L, 1)</f>
        <v>0</v>
      </c>
      <c r="R9" s="2">
        <f>COUNTIFS('OB History'!$B:$B,$A$9,'OB History'!M:M, 1)</f>
        <v>0</v>
      </c>
      <c r="S9" s="2">
        <f>COUNTIFS('OB History'!$B:$B,$A$9,'OB History'!N:N, 1)</f>
        <v>5</v>
      </c>
      <c r="T9" s="2">
        <f>COUNTIFS('OB History'!$B:$B,$A$9,'OB History'!O:O, 1)</f>
        <v>0</v>
      </c>
      <c r="U9" s="2">
        <f>COUNTIFS('OB History'!$B:$B,$A$9,'OB History'!P:P, 1)</f>
        <v>3</v>
      </c>
      <c r="V9" s="2">
        <f>COUNTIFS('OB History'!$B:$B,$A$9,'OB History'!Q:Q, 1)</f>
        <v>3</v>
      </c>
      <c r="W9" s="2">
        <f>COUNTIFS('OB History'!$B:$B,$A$9,'OB History'!R:R, 1)</f>
        <v>2</v>
      </c>
      <c r="X9" s="2">
        <f>COUNTIFS('OB History'!$B:$B,$A$9,'OB History'!S:S, 1)</f>
        <v>0</v>
      </c>
      <c r="Y9" s="2">
        <f>COUNTIFS('OB History'!$B:$B,$A$9,'OB History'!T:T, 1)</f>
        <v>1</v>
      </c>
      <c r="Z9" s="2">
        <f>COUNTIFS('OB History'!$B:$B,$A$9,'OB History'!U:U, 1)</f>
        <v>0</v>
      </c>
      <c r="AA9" s="2">
        <f>COUNTIFS('OB History'!$B:$B,$A$9,'OB History'!V:V, 1)</f>
        <v>1</v>
      </c>
      <c r="AB9" s="2">
        <f>COUNTIFS('OB History'!$B:$B,$A$9,'OB History'!W:W, 1)</f>
        <v>3</v>
      </c>
      <c r="AC9" s="2">
        <f>COUNTIFS('OB History'!$B:$B,$A$9,'OB History'!X:X, 1)</f>
        <v>7</v>
      </c>
      <c r="AD9" s="2">
        <f>COUNTIFS('OB History'!$B:$B,$A$9,'OB History'!Y:Y, 1)</f>
        <v>3</v>
      </c>
      <c r="AE9" s="2">
        <f>COUNTIFS('OB History'!$B:$B,$A$9,'OB History'!Z:Z, 1)</f>
        <v>6</v>
      </c>
    </row>
    <row r="10" spans="1:31" x14ac:dyDescent="0.25">
      <c r="A10" s="2" t="s">
        <v>147</v>
      </c>
      <c r="B10" s="2" t="s">
        <v>79</v>
      </c>
      <c r="C10" s="2" t="s">
        <v>79</v>
      </c>
      <c r="D10" s="34">
        <f>SUMIFS('OB History'!C:C,'OB History'!B:B,A10)</f>
        <v>82</v>
      </c>
      <c r="E10" s="4">
        <f>AVERAGEIFS('OB History'!C:C,'OB History'!B:B,A10)</f>
        <v>13.666666666666666</v>
      </c>
      <c r="F10" s="35">
        <f t="array" ref="F10">MAX(IF('OB History'!B:B=A10, 'OB History'!C:C))</f>
        <v>21</v>
      </c>
      <c r="G10" s="34">
        <f>COUNTIFS('OB History'!B:B,A10,'OB History'!D:D, 1)</f>
        <v>2</v>
      </c>
      <c r="H10" s="2">
        <f>COUNTIFS('OB History'!B:B,A10,'OB History'!D:D, 0)</f>
        <v>4</v>
      </c>
      <c r="I10" s="88">
        <f>LOOKUP(2, 1/('OB History'!$B:$B=A10), 'OB History'!$AD:$AD)</f>
        <v>0.33333333333333331</v>
      </c>
      <c r="J10" s="34">
        <f>SUMIFS('OB History'!F:F,'OB History'!B:B,A10)</f>
        <v>12</v>
      </c>
      <c r="K10" s="2">
        <f>SUMIFS('OB History'!E:E,'OB History'!B:B,A10)-J10</f>
        <v>16</v>
      </c>
      <c r="L10" s="88">
        <f>LOOKUP(2, 1/('OB History'!$B:$B=A10), 'OB History'!$AB:$AB)</f>
        <v>0.41666666666666669</v>
      </c>
      <c r="M10" s="34">
        <f>SUMIFS('OB History'!H:H,'OB History'!B:B,'Old Bow v2'!A10)</f>
        <v>54</v>
      </c>
      <c r="N10" s="2">
        <f>SUMIFS('OB History'!G:G,'OB History'!B:B,'Old Bow v2'!A10)-M10</f>
        <v>61</v>
      </c>
      <c r="O10" s="88">
        <f>LOOKUP(2, 1/('OB History'!$B:$B=A10), 'OB History'!$AC:$AC)</f>
        <v>0.46500000000000002</v>
      </c>
      <c r="P10" s="2">
        <f>COUNTIFS('OB History'!$B:$B,$A$10,'OB History'!K:K, 1)</f>
        <v>1</v>
      </c>
      <c r="Q10" s="2">
        <f>COUNTIFS('OB History'!$B:$B,$A$10,'OB History'!L:L, 1)</f>
        <v>0</v>
      </c>
      <c r="R10" s="2">
        <f>COUNTIFS('OB History'!$B:$B,$A$10,'OB History'!M:M, 1)</f>
        <v>1</v>
      </c>
      <c r="S10" s="2">
        <f>COUNTIFS('OB History'!$B:$B,$A$10,'OB History'!N:N, 1)</f>
        <v>1</v>
      </c>
      <c r="T10" s="2">
        <f>COUNTIFS('OB History'!$B:$B,$A$10,'OB History'!O:O, 1)</f>
        <v>0</v>
      </c>
      <c r="U10" s="2">
        <f>COUNTIFS('OB History'!$B:$B,$A$10,'OB History'!P:P, 1)</f>
        <v>1</v>
      </c>
      <c r="V10" s="2">
        <f>COUNTIFS('OB History'!$B:$B,$A$10,'OB History'!Q:Q, 1)</f>
        <v>0</v>
      </c>
      <c r="W10" s="2">
        <f>COUNTIFS('OB History'!$B:$B,$A$10,'OB History'!R:R, 1)</f>
        <v>1</v>
      </c>
      <c r="X10" s="2">
        <f>COUNTIFS('OB History'!$B:$B,$A$10,'OB History'!S:S, 1)</f>
        <v>0</v>
      </c>
      <c r="Y10" s="2">
        <f>COUNTIFS('OB History'!$B:$B,$A$10,'OB History'!T:T, 1)</f>
        <v>0</v>
      </c>
      <c r="Z10" s="2">
        <f>COUNTIFS('OB History'!$B:$B,$A$10,'OB History'!U:U, 1)</f>
        <v>0</v>
      </c>
      <c r="AA10" s="2">
        <f>COUNTIFS('OB History'!$B:$B,$A$10,'OB History'!V:V, 1)</f>
        <v>1</v>
      </c>
      <c r="AB10" s="2">
        <f>COUNTIFS('OB History'!$B:$B,$A$10,'OB History'!W:W, 1)</f>
        <v>0</v>
      </c>
      <c r="AC10" s="2">
        <f>COUNTIFS('OB History'!$B:$B,$A$10,'OB History'!X:X, 1)</f>
        <v>5</v>
      </c>
      <c r="AD10" s="2">
        <f>COUNTIFS('OB History'!$B:$B,$A$10,'OB History'!Y:Y, 1)</f>
        <v>1</v>
      </c>
      <c r="AE10" s="2">
        <f>COUNTIFS('OB History'!$B:$B,$A$10,'OB History'!Z:Z, 1)</f>
        <v>0</v>
      </c>
    </row>
    <row r="11" spans="1:31" x14ac:dyDescent="0.25">
      <c r="A11" s="2" t="s">
        <v>27</v>
      </c>
      <c r="B11" s="6" t="s">
        <v>76</v>
      </c>
      <c r="C11" s="6" t="s">
        <v>79</v>
      </c>
      <c r="D11" s="34">
        <f>SUMIFS('OB History'!C:C,'OB History'!B:B,A11)</f>
        <v>260</v>
      </c>
      <c r="E11" s="4">
        <f>AVERAGEIFS('OB History'!C:C,'OB History'!B:B,A11)</f>
        <v>13.684210526315789</v>
      </c>
      <c r="F11" s="35">
        <f t="array" ref="F11">MAX(IF('OB History'!B:B=A11, 'OB History'!C:C))</f>
        <v>29</v>
      </c>
      <c r="G11" s="34">
        <f>COUNTIFS('OB History'!B:B,A11,'OB History'!D:D, 1)</f>
        <v>10</v>
      </c>
      <c r="H11" s="2">
        <f>COUNTIFS('OB History'!B:B,A11,'OB History'!D:D, 0)</f>
        <v>9</v>
      </c>
      <c r="I11" s="88">
        <f>LOOKUP(2, 1/('OB History'!$B:$B=A11), 'OB History'!$AD:$AD)</f>
        <v>0.52631578947368418</v>
      </c>
      <c r="J11" s="34">
        <f>SUMIFS('OB History'!F:F,'OB History'!B:B,A11)</f>
        <v>38</v>
      </c>
      <c r="K11" s="2">
        <f>SUMIFS('OB History'!E:E,'OB History'!B:B,A11)-J11</f>
        <v>39</v>
      </c>
      <c r="L11" s="88">
        <f>LOOKUP(2, 1/('OB History'!$B:$B=A11), 'OB History'!$AB:$AB)</f>
        <v>0.48421052631578942</v>
      </c>
      <c r="M11" s="34">
        <f>SUMIFS('OB History'!H:H,'OB History'!B:B,'Old Bow v2'!A11)</f>
        <v>157</v>
      </c>
      <c r="N11" s="2">
        <f>SUMIFS('OB History'!G:G,'OB History'!B:B,'Old Bow v2'!A11)-M11</f>
        <v>160</v>
      </c>
      <c r="O11" s="88">
        <f>LOOKUP(2, 1/('OB History'!$B:$B=A11), 'OB History'!$AC:$AC)</f>
        <v>0.49368421052631584</v>
      </c>
      <c r="P11" s="2">
        <f>COUNTIFS('OB History'!$B:$B,$A$11,'OB History'!K:K, 1)</f>
        <v>0</v>
      </c>
      <c r="Q11" s="2">
        <f>COUNTIFS('OB History'!$B:$B,$A$11,'OB History'!L:L, 1)</f>
        <v>1</v>
      </c>
      <c r="R11" s="2">
        <f>COUNTIFS('OB History'!$B:$B,$A$11,'OB History'!M:M, 1)</f>
        <v>2</v>
      </c>
      <c r="S11" s="2">
        <f>COUNTIFS('OB History'!$B:$B,$A$11,'OB History'!N:N, 1)</f>
        <v>3</v>
      </c>
      <c r="T11" s="2">
        <f>COUNTIFS('OB History'!$B:$B,$A$11,'OB History'!O:O, 1)</f>
        <v>3</v>
      </c>
      <c r="U11" s="2">
        <f>COUNTIFS('OB History'!$B:$B,$A$11,'OB History'!P:P, 1)</f>
        <v>6</v>
      </c>
      <c r="V11" s="2">
        <f>COUNTIFS('OB History'!$B:$B,$A$11,'OB History'!Q:Q, 1)</f>
        <v>1</v>
      </c>
      <c r="W11" s="2">
        <f>COUNTIFS('OB History'!$B:$B,$A$11,'OB History'!R:R, 1)</f>
        <v>0</v>
      </c>
      <c r="X11" s="2">
        <f>COUNTIFS('OB History'!$B:$B,$A$11,'OB History'!S:S, 1)</f>
        <v>0</v>
      </c>
      <c r="Y11" s="2">
        <f>COUNTIFS('OB History'!$B:$B,$A$11,'OB History'!T:T, 1)</f>
        <v>0</v>
      </c>
      <c r="Z11" s="2">
        <f>COUNTIFS('OB History'!$B:$B,$A$11,'OB History'!U:U, 1)</f>
        <v>1</v>
      </c>
      <c r="AA11" s="2">
        <f>COUNTIFS('OB History'!$B:$B,$A$11,'OB History'!V:V, 1)</f>
        <v>1</v>
      </c>
      <c r="AB11" s="2">
        <f>COUNTIFS('OB History'!$B:$B,$A$11,'OB History'!W:W, 1)</f>
        <v>5</v>
      </c>
      <c r="AC11" s="2">
        <f>COUNTIFS('OB History'!$B:$B,$A$11,'OB History'!X:X, 1)</f>
        <v>7</v>
      </c>
      <c r="AD11" s="2">
        <f>COUNTIFS('OB History'!$B:$B,$A$11,'OB History'!Y:Y, 1)</f>
        <v>3</v>
      </c>
      <c r="AE11" s="2">
        <f>COUNTIFS('OB History'!$B:$B,$A$11,'OB History'!Z:Z, 1)</f>
        <v>5</v>
      </c>
    </row>
    <row r="12" spans="1:31" x14ac:dyDescent="0.25">
      <c r="A12" s="2" t="s">
        <v>26</v>
      </c>
      <c r="B12" s="6" t="s">
        <v>124</v>
      </c>
      <c r="C12" s="6" t="s">
        <v>79</v>
      </c>
      <c r="D12" s="34">
        <f>SUMIFS('OB History'!C:C,'OB History'!B:B,A12)</f>
        <v>291</v>
      </c>
      <c r="E12" s="4">
        <f>AVERAGEIFS('OB History'!C:C,'OB History'!B:B,A12)</f>
        <v>11.64</v>
      </c>
      <c r="F12" s="35">
        <f t="array" ref="F12">MAX(IF('OB History'!B:B=A12, 'OB History'!C:C))</f>
        <v>24</v>
      </c>
      <c r="G12" s="34">
        <f>COUNTIFS('OB History'!B:B,A12,'OB History'!D:D, 1)</f>
        <v>18</v>
      </c>
      <c r="H12" s="2">
        <f>COUNTIFS('OB History'!B:B,A12,'OB History'!D:D, 0)</f>
        <v>7</v>
      </c>
      <c r="I12" s="88">
        <f>LOOKUP(2, 1/('OB History'!$B:$B=A12), 'OB History'!$AD:$AD)</f>
        <v>0.72</v>
      </c>
      <c r="J12" s="34">
        <f>SUMIFS('OB History'!F:F,'OB History'!B:B,A12)</f>
        <v>64</v>
      </c>
      <c r="K12" s="2">
        <f>SUMIFS('OB History'!E:E,'OB History'!B:B,A12)-J12</f>
        <v>39</v>
      </c>
      <c r="L12" s="88">
        <f>LOOKUP(2, 1/('OB History'!$B:$B=A12), 'OB History'!$AB:$AB)</f>
        <v>0.64800000000000002</v>
      </c>
      <c r="M12" s="34">
        <f>SUMIFS('OB History'!H:H,'OB History'!B:B,'Old Bow v2'!A12)</f>
        <v>235</v>
      </c>
      <c r="N12" s="2">
        <f>SUMIFS('OB History'!G:G,'OB History'!B:B,'Old Bow v2'!A12)-M12</f>
        <v>185</v>
      </c>
      <c r="O12" s="88">
        <f>LOOKUP(2, 1/('OB History'!$B:$B=A12), 'OB History'!$AC:$AC)</f>
        <v>0.57239999999999991</v>
      </c>
      <c r="P12" s="2">
        <f>COUNTIFS('OB History'!$B:$B,$A$12,'OB History'!K:K, 1)</f>
        <v>1</v>
      </c>
      <c r="Q12" s="2">
        <f>COUNTIFS('OB History'!$B:$B,$A$12,'OB History'!L:L, 1)</f>
        <v>5</v>
      </c>
      <c r="R12" s="2">
        <f>COUNTIFS('OB History'!$B:$B,$A$12,'OB History'!M:M, 1)</f>
        <v>3</v>
      </c>
      <c r="S12" s="2">
        <f>COUNTIFS('OB History'!$B:$B,$A$12,'OB History'!N:N, 1)</f>
        <v>9</v>
      </c>
      <c r="T12" s="2">
        <f>COUNTIFS('OB History'!$B:$B,$A$12,'OB History'!O:O, 1)</f>
        <v>4</v>
      </c>
      <c r="U12" s="2">
        <f>COUNTIFS('OB History'!$B:$B,$A$12,'OB History'!P:P, 1)</f>
        <v>10</v>
      </c>
      <c r="V12" s="2">
        <f>COUNTIFS('OB History'!$B:$B,$A$12,'OB History'!Q:Q, 1)</f>
        <v>4</v>
      </c>
      <c r="W12" s="2">
        <f>COUNTIFS('OB History'!$B:$B,$A$12,'OB History'!R:R, 1)</f>
        <v>2</v>
      </c>
      <c r="X12" s="2">
        <f>COUNTIFS('OB History'!$B:$B,$A$12,'OB History'!S:S, 1)</f>
        <v>1</v>
      </c>
      <c r="Y12" s="2">
        <f>COUNTIFS('OB History'!$B:$B,$A$12,'OB History'!T:T, 1)</f>
        <v>1</v>
      </c>
      <c r="Z12" s="2">
        <f>COUNTIFS('OB History'!$B:$B,$A$12,'OB History'!U:U, 1)</f>
        <v>1</v>
      </c>
      <c r="AA12" s="2">
        <f>COUNTIFS('OB History'!$B:$B,$A$12,'OB History'!V:V, 1)</f>
        <v>2</v>
      </c>
      <c r="AB12" s="2">
        <f>COUNTIFS('OB History'!$B:$B,$A$12,'OB History'!W:W, 1)</f>
        <v>5</v>
      </c>
      <c r="AC12" s="2">
        <f>COUNTIFS('OB History'!$B:$B,$A$12,'OB History'!X:X, 1)</f>
        <v>7</v>
      </c>
      <c r="AD12" s="2">
        <f>COUNTIFS('OB History'!$B:$B,$A$12,'OB History'!Y:Y, 1)</f>
        <v>2</v>
      </c>
      <c r="AE12" s="2">
        <f>COUNTIFS('OB History'!$B:$B,$A$12,'OB History'!Z:Z, 1)</f>
        <v>7</v>
      </c>
    </row>
    <row r="13" spans="1:31" x14ac:dyDescent="0.25">
      <c r="A13" s="2" t="s">
        <v>153</v>
      </c>
      <c r="B13" s="6" t="s">
        <v>79</v>
      </c>
      <c r="C13" s="6" t="s">
        <v>79</v>
      </c>
      <c r="D13" s="34">
        <f>SUMIFS('OB History'!C:C,'OB History'!B:B,A13)</f>
        <v>19</v>
      </c>
      <c r="E13" s="4">
        <f>AVERAGEIFS('OB History'!C:C,'OB History'!B:B,A13)</f>
        <v>19</v>
      </c>
      <c r="F13" s="35">
        <f t="array" ref="F13">MAX(IF('OB History'!B:B=A13, 'OB History'!C:C))</f>
        <v>19</v>
      </c>
      <c r="G13" s="34">
        <f>COUNTIFS('OB History'!B:B,A13,'OB History'!D:D, 1)</f>
        <v>0</v>
      </c>
      <c r="H13" s="2">
        <f>COUNTIFS('OB History'!B:B,A13,'OB History'!D:D, 0)</f>
        <v>1</v>
      </c>
      <c r="I13" s="88">
        <f>LOOKUP(2, 1/('OB History'!$B:$B=A13), 'OB History'!$AD:$AD)</f>
        <v>0</v>
      </c>
      <c r="J13" s="34">
        <f>SUMIFS('OB History'!F:F,'OB History'!B:B,A13)</f>
        <v>2</v>
      </c>
      <c r="K13" s="2">
        <f>SUMIFS('OB History'!E:E,'OB History'!B:B,A13)-J13</f>
        <v>3</v>
      </c>
      <c r="L13" s="88">
        <f>LOOKUP(2, 1/('OB History'!$B:$B=A13), 'OB History'!$AB:$AB)</f>
        <v>0.4</v>
      </c>
      <c r="M13" s="34">
        <f>SUMIFS('OB History'!H:H,'OB History'!B:B,'Old Bow v2'!A13)</f>
        <v>8</v>
      </c>
      <c r="N13" s="2">
        <f>SUMIFS('OB History'!G:G,'OB History'!B:B,'Old Bow v2'!A13)-M13</f>
        <v>13</v>
      </c>
      <c r="O13" s="88">
        <f>LOOKUP(2, 1/('OB History'!$B:$B=A13), 'OB History'!$AC:$AC)</f>
        <v>0.38</v>
      </c>
      <c r="P13" s="2">
        <f>COUNTIFS('OB History'!$B:$B,$A$13,'OB History'!K:K, 1)</f>
        <v>0</v>
      </c>
      <c r="Q13" s="2">
        <f>COUNTIFS('OB History'!$B:$B,$A$13,'OB History'!L:L, 1)</f>
        <v>0</v>
      </c>
      <c r="R13" s="2">
        <f>COUNTIFS('OB History'!$B:$B,$A$13,'OB History'!M:M, 1)</f>
        <v>0</v>
      </c>
      <c r="S13" s="2">
        <f>COUNTIFS('OB History'!$B:$B,$A$13,'OB History'!N:N, 1)</f>
        <v>0</v>
      </c>
      <c r="T13" s="2">
        <f>COUNTIFS('OB History'!$B:$B,$A$13,'OB History'!O:O, 1)</f>
        <v>0</v>
      </c>
      <c r="U13" s="2">
        <f>COUNTIFS('OB History'!$B:$B,$A$13,'OB History'!P:P, 1)</f>
        <v>1</v>
      </c>
      <c r="V13" s="2">
        <f>COUNTIFS('OB History'!$B:$B,$A$13,'OB History'!Q:Q, 1)</f>
        <v>0</v>
      </c>
      <c r="W13" s="2">
        <f>COUNTIFS('OB History'!$B:$B,$A$13,'OB History'!R:R, 1)</f>
        <v>0</v>
      </c>
      <c r="X13" s="2">
        <f>COUNTIFS('OB History'!$B:$B,$A$13,'OB History'!S:S, 1)</f>
        <v>0</v>
      </c>
      <c r="Y13" s="2">
        <f>COUNTIFS('OB History'!$B:$B,$A$13,'OB History'!T:T, 1)</f>
        <v>0</v>
      </c>
      <c r="Z13" s="2">
        <f>COUNTIFS('OB History'!$B:$B,$A$13,'OB History'!U:U, 1)</f>
        <v>0</v>
      </c>
      <c r="AA13" s="2">
        <f>COUNTIFS('OB History'!$B:$B,$A$13,'OB History'!V:V, 1)</f>
        <v>0</v>
      </c>
      <c r="AB13" s="2">
        <f>COUNTIFS('OB History'!$B:$B,$A$13,'OB History'!W:W, 1)</f>
        <v>0</v>
      </c>
      <c r="AC13" s="2">
        <f>COUNTIFS('OB History'!$B:$B,$A$13,'OB History'!X:X, 1)</f>
        <v>1</v>
      </c>
      <c r="AD13" s="2">
        <f>COUNTIFS('OB History'!$B:$B,$A$13,'OB History'!Y:Y, 1)</f>
        <v>0</v>
      </c>
      <c r="AE13" s="2">
        <f>COUNTIFS('OB History'!$B:$B,$A$13,'OB History'!Z:Z, 1)</f>
        <v>0</v>
      </c>
    </row>
    <row r="14" spans="1:31" ht="15.75" x14ac:dyDescent="0.25">
      <c r="A14" s="1" t="s">
        <v>45</v>
      </c>
      <c r="B14" s="80" t="s">
        <v>60</v>
      </c>
      <c r="C14" s="2" t="s">
        <v>79</v>
      </c>
      <c r="D14" s="34">
        <f>SUMIFS('OB History'!C:C,'OB History'!B:B,A14)</f>
        <v>223</v>
      </c>
      <c r="E14" s="4">
        <f>AVERAGEIFS('OB History'!C:C,'OB History'!B:B,A14)</f>
        <v>12.388888888888889</v>
      </c>
      <c r="F14" s="35">
        <f t="array" ref="F14">MAX(IF('OB History'!B:B=A14, 'OB History'!C:C))</f>
        <v>19</v>
      </c>
      <c r="G14" s="34">
        <f>COUNTIFS('OB History'!B:B,A14,'OB History'!D:D, 1)</f>
        <v>6</v>
      </c>
      <c r="H14" s="2">
        <f>COUNTIFS('OB History'!B:B,A14,'OB History'!D:D, 0)</f>
        <v>12</v>
      </c>
      <c r="I14" s="88">
        <f>LOOKUP(2, 1/('OB History'!$B:$B=A14), 'OB History'!$AD:$AD)</f>
        <v>0.33333333333333331</v>
      </c>
      <c r="J14" s="34">
        <f>SUMIFS('OB History'!F:F,'OB History'!B:B,A14)</f>
        <v>33</v>
      </c>
      <c r="K14" s="2">
        <f>SUMIFS('OB History'!E:E,'OB History'!B:B,A14)-J14</f>
        <v>43</v>
      </c>
      <c r="L14" s="88">
        <f>LOOKUP(2, 1/('OB History'!$B:$B=A14), 'OB History'!$AB:$AB)</f>
        <v>0.42777777777777781</v>
      </c>
      <c r="M14" s="34">
        <f>SUMIFS('OB History'!H:H,'OB History'!B:B,'Old Bow v2'!A14)</f>
        <v>146</v>
      </c>
      <c r="N14" s="2">
        <f>SUMIFS('OB History'!G:G,'OB History'!B:B,'Old Bow v2'!A14)-M14</f>
        <v>163</v>
      </c>
      <c r="O14" s="88">
        <f>LOOKUP(2, 1/('OB History'!$B:$B=A14), 'OB History'!$AC:$AC)</f>
        <v>0.46833333333333332</v>
      </c>
      <c r="P14" s="2">
        <f>COUNTIFS('OB History'!$B:$B,$A$14,'OB History'!K:K, 1)</f>
        <v>0</v>
      </c>
      <c r="Q14" s="2">
        <f>COUNTIFS('OB History'!$B:$B,$A$14,'OB History'!L:L, 1)</f>
        <v>2</v>
      </c>
      <c r="R14" s="2">
        <f>COUNTIFS('OB History'!$B:$B,$A$14,'OB History'!M:M, 1)</f>
        <v>1</v>
      </c>
      <c r="S14" s="2">
        <f>COUNTIFS('OB History'!$B:$B,$A$14,'OB History'!N:N, 1)</f>
        <v>6</v>
      </c>
      <c r="T14" s="2">
        <f>COUNTIFS('OB History'!$B:$B,$A$14,'OB History'!O:O, 1)</f>
        <v>0</v>
      </c>
      <c r="U14" s="2">
        <f>COUNTIFS('OB History'!$B:$B,$A$14,'OB History'!P:P, 1)</f>
        <v>4</v>
      </c>
      <c r="V14" s="2">
        <f>COUNTIFS('OB History'!$B:$B,$A$14,'OB History'!Q:Q, 1)</f>
        <v>0</v>
      </c>
      <c r="W14" s="2">
        <f>COUNTIFS('OB History'!$B:$B,$A$14,'OB History'!R:R, 1)</f>
        <v>0</v>
      </c>
      <c r="X14" s="2">
        <f>COUNTIFS('OB History'!$B:$B,$A$14,'OB History'!S:S, 1)</f>
        <v>0</v>
      </c>
      <c r="Y14" s="2">
        <f>COUNTIFS('OB History'!$B:$B,$A$14,'OB History'!T:T, 1)</f>
        <v>1</v>
      </c>
      <c r="Z14" s="2">
        <f>COUNTIFS('OB History'!$B:$B,$A$14,'OB History'!U:U, 1)</f>
        <v>0</v>
      </c>
      <c r="AA14" s="2">
        <f>COUNTIFS('OB History'!$B:$B,$A$14,'OB History'!V:V, 1)</f>
        <v>0</v>
      </c>
      <c r="AB14" s="2">
        <f>COUNTIFS('OB History'!$B:$B,$A$14,'OB History'!W:W, 1)</f>
        <v>2</v>
      </c>
      <c r="AC14" s="2">
        <f>COUNTIFS('OB History'!$B:$B,$A$14,'OB History'!X:X, 1)</f>
        <v>7</v>
      </c>
      <c r="AD14" s="2">
        <f>COUNTIFS('OB History'!$B:$B,$A$14,'OB History'!Y:Y, 1)</f>
        <v>4</v>
      </c>
      <c r="AE14" s="2">
        <f>COUNTIFS('OB History'!$B:$B,$A$14,'OB History'!Z:Z, 1)</f>
        <v>6</v>
      </c>
    </row>
    <row r="15" spans="1:31" x14ac:dyDescent="0.25">
      <c r="A15" s="2" t="s">
        <v>50</v>
      </c>
      <c r="B15" s="2" t="s">
        <v>79</v>
      </c>
      <c r="C15" s="2" t="s">
        <v>79</v>
      </c>
      <c r="D15" s="34">
        <f>SUMIFS('OB History'!C:C,'OB History'!B:B,A15)</f>
        <v>43</v>
      </c>
      <c r="E15" s="4">
        <f>AVERAGEIFS('OB History'!C:C,'OB History'!B:B,A15)</f>
        <v>14.333333333333334</v>
      </c>
      <c r="F15" s="35">
        <f t="array" ref="F15">MAX(IF('OB History'!B:B=A15, 'OB History'!C:C))</f>
        <v>17</v>
      </c>
      <c r="G15" s="34">
        <f>COUNTIFS('OB History'!B:B,A15,'OB History'!D:D, 1)</f>
        <v>0</v>
      </c>
      <c r="H15" s="2">
        <f>COUNTIFS('OB History'!B:B,A15,'OB History'!D:D, 0)</f>
        <v>3</v>
      </c>
      <c r="I15" s="88">
        <f>LOOKUP(2, 1/('OB History'!$B:$B=A15), 'OB History'!$AD:$AD)</f>
        <v>0</v>
      </c>
      <c r="J15" s="34">
        <f>SUMIFS('OB History'!F:F,'OB History'!B:B,A15)</f>
        <v>4</v>
      </c>
      <c r="K15" s="2">
        <f>SUMIFS('OB History'!E:E,'OB History'!B:B,A15)-J15</f>
        <v>9</v>
      </c>
      <c r="L15" s="88">
        <f>LOOKUP(2, 1/('OB History'!$B:$B=A15), 'OB History'!$AB:$AB)</f>
        <v>0.3</v>
      </c>
      <c r="M15" s="34">
        <f>SUMIFS('OB History'!H:H,'OB History'!B:B,'Old Bow v2'!A15)</f>
        <v>24</v>
      </c>
      <c r="N15" s="2">
        <f>SUMIFS('OB History'!G:G,'OB History'!B:B,'Old Bow v2'!A15)-M15</f>
        <v>32</v>
      </c>
      <c r="O15" s="88">
        <f>LOOKUP(2, 1/('OB History'!$B:$B=A15), 'OB History'!$AC:$AC)</f>
        <v>0.41666666666666669</v>
      </c>
      <c r="P15" s="2">
        <f>COUNTIFS('OB History'!$B:$B,$A$15,'OB History'!K:K, 1)</f>
        <v>1</v>
      </c>
      <c r="Q15" s="2">
        <f>COUNTIFS('OB History'!$B:$B,$A$15,'OB History'!L:L, 1)</f>
        <v>0</v>
      </c>
      <c r="R15" s="2">
        <f>COUNTIFS('OB History'!$B:$B,$A$15,'OB History'!M:M, 1)</f>
        <v>0</v>
      </c>
      <c r="S15" s="2">
        <f>COUNTIFS('OB History'!$B:$B,$A$15,'OB History'!N:N, 1)</f>
        <v>0</v>
      </c>
      <c r="T15" s="2">
        <f>COUNTIFS('OB History'!$B:$B,$A$15,'OB History'!O:O, 1)</f>
        <v>0</v>
      </c>
      <c r="U15" s="2">
        <f>COUNTIFS('OB History'!$B:$B,$A$15,'OB History'!P:P, 1)</f>
        <v>2</v>
      </c>
      <c r="V15" s="2">
        <f>COUNTIFS('OB History'!$B:$B,$A$15,'OB History'!Q:Q, 1)</f>
        <v>0</v>
      </c>
      <c r="W15" s="2">
        <f>COUNTIFS('OB History'!$B:$B,$A$15,'OB History'!R:R, 1)</f>
        <v>0</v>
      </c>
      <c r="X15" s="2">
        <f>COUNTIFS('OB History'!$B:$B,$A$15,'OB History'!S:S, 1)</f>
        <v>0</v>
      </c>
      <c r="Y15" s="2">
        <f>COUNTIFS('OB History'!$B:$B,$A$15,'OB History'!T:T, 1)</f>
        <v>0</v>
      </c>
      <c r="Z15" s="2">
        <f>COUNTIFS('OB History'!$B:$B,$A$15,'OB History'!U:U, 1)</f>
        <v>0</v>
      </c>
      <c r="AA15" s="2">
        <f>COUNTIFS('OB History'!$B:$B,$A$15,'OB History'!V:V, 1)</f>
        <v>0</v>
      </c>
      <c r="AB15" s="2">
        <f>COUNTIFS('OB History'!$B:$B,$A$15,'OB History'!W:W, 1)</f>
        <v>1</v>
      </c>
      <c r="AC15" s="2">
        <f>COUNTIFS('OB History'!$B:$B,$A$15,'OB History'!X:X, 1)</f>
        <v>0</v>
      </c>
      <c r="AD15" s="2">
        <f>COUNTIFS('OB History'!$B:$B,$A$15,'OB History'!Y:Y, 1)</f>
        <v>0</v>
      </c>
      <c r="AE15" s="2">
        <f>COUNTIFS('OB History'!$B:$B,$A$15,'OB History'!Z:Z, 1)</f>
        <v>0</v>
      </c>
    </row>
    <row r="16" spans="1:31" x14ac:dyDescent="0.25">
      <c r="A16" s="2" t="s">
        <v>52</v>
      </c>
      <c r="B16" s="2" t="s">
        <v>79</v>
      </c>
      <c r="C16" s="2" t="s">
        <v>79</v>
      </c>
      <c r="D16" s="34">
        <f>SUMIFS('OB History'!C:C,'OB History'!B:B,A16)</f>
        <v>39</v>
      </c>
      <c r="E16" s="4">
        <f>AVERAGEIFS('OB History'!C:C,'OB History'!B:B,A16)</f>
        <v>19.5</v>
      </c>
      <c r="F16" s="35">
        <f t="array" ref="F16">MAX(IF('OB History'!B:B=A16, 'OB History'!C:C))</f>
        <v>34</v>
      </c>
      <c r="G16" s="34">
        <f>COUNTIFS('OB History'!B:B,A16,'OB History'!D:D, 1)</f>
        <v>0</v>
      </c>
      <c r="H16" s="2">
        <f>COUNTIFS('OB History'!B:B,A16,'OB History'!D:D, 0)</f>
        <v>2</v>
      </c>
      <c r="I16" s="88">
        <f>LOOKUP(2, 1/('OB History'!$B:$B=A16), 'OB History'!$AD:$AD)</f>
        <v>0</v>
      </c>
      <c r="J16" s="34">
        <f>SUMIFS('OB History'!F:F,'OB History'!B:B,A16)</f>
        <v>2</v>
      </c>
      <c r="K16" s="2">
        <f>SUMIFS('OB History'!E:E,'OB History'!B:B,A16)-J16</f>
        <v>6</v>
      </c>
      <c r="L16" s="88">
        <f>LOOKUP(2, 1/('OB History'!$B:$B=A16), 'OB History'!$AB:$AB)</f>
        <v>0.2</v>
      </c>
      <c r="M16" s="34">
        <f>SUMIFS('OB History'!H:H,'OB History'!B:B,'Old Bow v2'!A16)</f>
        <v>12</v>
      </c>
      <c r="N16" s="2">
        <f>SUMIFS('OB History'!G:G,'OB History'!B:B,'Old Bow v2'!A16)-M16</f>
        <v>22</v>
      </c>
      <c r="O16" s="88">
        <f>LOOKUP(2, 1/('OB History'!$B:$B=A16), 'OB History'!$AC:$AC)</f>
        <v>0.34499999999999997</v>
      </c>
      <c r="P16" s="2">
        <f>COUNTIFS('OB History'!$B:$B,$A$16,'OB History'!K:K, 1)</f>
        <v>0</v>
      </c>
      <c r="Q16" s="2">
        <f>COUNTIFS('OB History'!$B:$B,$A$16,'OB History'!L:L, 1)</f>
        <v>0</v>
      </c>
      <c r="R16" s="2">
        <f>COUNTIFS('OB History'!$B:$B,$A$16,'OB History'!M:M, 1)</f>
        <v>0</v>
      </c>
      <c r="S16" s="2">
        <f>COUNTIFS('OB History'!$B:$B,$A$16,'OB History'!N:N, 1)</f>
        <v>0</v>
      </c>
      <c r="T16" s="2">
        <f>COUNTIFS('OB History'!$B:$B,$A$16,'OB History'!O:O, 1)</f>
        <v>0</v>
      </c>
      <c r="U16" s="2">
        <f>COUNTIFS('OB History'!$B:$B,$A$16,'OB History'!P:P, 1)</f>
        <v>1</v>
      </c>
      <c r="V16" s="2">
        <f>COUNTIFS('OB History'!$B:$B,$A$16,'OB History'!Q:Q, 1)</f>
        <v>0</v>
      </c>
      <c r="W16" s="2">
        <f>COUNTIFS('OB History'!$B:$B,$A$16,'OB History'!R:R, 1)</f>
        <v>0</v>
      </c>
      <c r="X16" s="2">
        <f>COUNTIFS('OB History'!$B:$B,$A$16,'OB History'!S:S, 1)</f>
        <v>0</v>
      </c>
      <c r="Y16" s="2">
        <f>COUNTIFS('OB History'!$B:$B,$A$16,'OB History'!T:T, 1)</f>
        <v>0</v>
      </c>
      <c r="Z16" s="2">
        <f>COUNTIFS('OB History'!$B:$B,$A$16,'OB History'!U:U, 1)</f>
        <v>0</v>
      </c>
      <c r="AA16" s="2">
        <f>COUNTIFS('OB History'!$B:$B,$A$16,'OB History'!V:V, 1)</f>
        <v>0</v>
      </c>
      <c r="AB16" s="2">
        <f>COUNTIFS('OB History'!$B:$B,$A$16,'OB History'!W:W, 1)</f>
        <v>0</v>
      </c>
      <c r="AC16" s="2">
        <f>COUNTIFS('OB History'!$B:$B,$A$16,'OB History'!X:X, 1)</f>
        <v>1</v>
      </c>
      <c r="AD16" s="2">
        <f>COUNTIFS('OB History'!$B:$B,$A$16,'OB History'!Y:Y, 1)</f>
        <v>0</v>
      </c>
      <c r="AE16" s="2">
        <f>COUNTIFS('OB History'!$B:$B,$A$16,'OB History'!Z:Z, 1)</f>
        <v>0</v>
      </c>
    </row>
    <row r="17" spans="1:31" x14ac:dyDescent="0.25">
      <c r="A17" s="1" t="s">
        <v>44</v>
      </c>
      <c r="B17" s="2" t="s">
        <v>79</v>
      </c>
      <c r="C17" s="2" t="s">
        <v>79</v>
      </c>
      <c r="D17" s="34">
        <f>SUMIFS('OB History'!C:C,'OB History'!B:B,A17)</f>
        <v>57</v>
      </c>
      <c r="E17" s="4">
        <f>AVERAGEIFS('OB History'!C:C,'OB History'!B:B,A17)</f>
        <v>19</v>
      </c>
      <c r="F17" s="35">
        <f t="array" ref="F17">MAX(IF('OB History'!B:B=A17, 'OB History'!C:C))</f>
        <v>28</v>
      </c>
      <c r="G17" s="34">
        <f>COUNTIFS('OB History'!B:B,A17,'OB History'!D:D, 1)</f>
        <v>3</v>
      </c>
      <c r="H17" s="2">
        <f>COUNTIFS('OB History'!B:B,A17,'OB History'!D:D, 0)</f>
        <v>0</v>
      </c>
      <c r="I17" s="88">
        <f>LOOKUP(2, 1/('OB History'!$B:$B=A17), 'OB History'!$AD:$AD)</f>
        <v>1</v>
      </c>
      <c r="J17" s="34">
        <f>SUMIFS('OB History'!F:F,'OB History'!B:B,A17)</f>
        <v>9</v>
      </c>
      <c r="K17" s="2">
        <f>SUMIFS('OB History'!E:E,'OB History'!B:B,A17)-J17</f>
        <v>4</v>
      </c>
      <c r="L17" s="88">
        <f>LOOKUP(2, 1/('OB History'!$B:$B=A17), 'OB History'!$AB:$AB)</f>
        <v>0.73333333333333339</v>
      </c>
      <c r="M17" s="34">
        <f>SUMIFS('OB History'!H:H,'OB History'!B:B,'Old Bow v2'!A17)</f>
        <v>32</v>
      </c>
      <c r="N17" s="2">
        <f>SUMIFS('OB History'!G:G,'OB History'!B:B,'Old Bow v2'!A17)-M17</f>
        <v>23</v>
      </c>
      <c r="O17" s="88">
        <f>LOOKUP(2, 1/('OB History'!$B:$B=A17), 'OB History'!$AC:$AC)</f>
        <v>0.59333333333333327</v>
      </c>
      <c r="P17" s="2">
        <f>COUNTIFS('OB History'!$B:$B,$A$17,'OB History'!K:K, 1)</f>
        <v>0</v>
      </c>
      <c r="Q17" s="2">
        <f>COUNTIFS('OB History'!$B:$B,$A$17,'OB History'!L:L, 1)</f>
        <v>1</v>
      </c>
      <c r="R17" s="2">
        <f>COUNTIFS('OB History'!$B:$B,$A$17,'OB History'!M:M, 1)</f>
        <v>1</v>
      </c>
      <c r="S17" s="2">
        <f>COUNTIFS('OB History'!$B:$B,$A$17,'OB History'!N:N, 1)</f>
        <v>0</v>
      </c>
      <c r="T17" s="2">
        <f>COUNTIFS('OB History'!$B:$B,$A$17,'OB History'!O:O, 1)</f>
        <v>0</v>
      </c>
      <c r="U17" s="2">
        <f>COUNTIFS('OB History'!$B:$B,$A$17,'OB History'!P:P, 1)</f>
        <v>1</v>
      </c>
      <c r="V17" s="2">
        <f>COUNTIFS('OB History'!$B:$B,$A$17,'OB History'!Q:Q, 1)</f>
        <v>0</v>
      </c>
      <c r="W17" s="2">
        <f>COUNTIFS('OB History'!$B:$B,$A$17,'OB History'!R:R, 1)</f>
        <v>1</v>
      </c>
      <c r="X17" s="2">
        <f>COUNTIFS('OB History'!$B:$B,$A$17,'OB History'!S:S, 1)</f>
        <v>0</v>
      </c>
      <c r="Y17" s="2">
        <f>COUNTIFS('OB History'!$B:$B,$A$17,'OB History'!T:T, 1)</f>
        <v>0</v>
      </c>
      <c r="Z17" s="2">
        <f>COUNTIFS('OB History'!$B:$B,$A$17,'OB History'!U:U, 1)</f>
        <v>0</v>
      </c>
      <c r="AA17" s="2">
        <f>COUNTIFS('OB History'!$B:$B,$A$17,'OB History'!V:V, 1)</f>
        <v>0</v>
      </c>
      <c r="AB17" s="2">
        <f>COUNTIFS('OB History'!$B:$B,$A$17,'OB History'!W:W, 1)</f>
        <v>0</v>
      </c>
      <c r="AC17" s="2">
        <f>COUNTIFS('OB History'!$B:$B,$A$17,'OB History'!X:X, 1)</f>
        <v>3</v>
      </c>
      <c r="AD17" s="2">
        <f>COUNTIFS('OB History'!$B:$B,$A$17,'OB History'!Y:Y, 1)</f>
        <v>1</v>
      </c>
      <c r="AE17" s="2">
        <f>COUNTIFS('OB History'!$B:$B,$A$17,'OB History'!Z:Z, 1)</f>
        <v>1</v>
      </c>
    </row>
    <row r="18" spans="1:31" x14ac:dyDescent="0.25">
      <c r="A18" s="2" t="s">
        <v>1</v>
      </c>
      <c r="B18" s="6" t="s">
        <v>124</v>
      </c>
      <c r="C18" s="2" t="s">
        <v>79</v>
      </c>
      <c r="D18" s="34">
        <f>SUMIFS('OB History'!C:C,'OB History'!B:B,A18)</f>
        <v>260</v>
      </c>
      <c r="E18" s="4">
        <f>AVERAGEIFS('OB History'!C:C,'OB History'!B:B,A18)</f>
        <v>26</v>
      </c>
      <c r="F18" s="35">
        <f t="array" ref="F18">MAX(IF('OB History'!B:B=A18, 'OB History'!C:C))</f>
        <v>37</v>
      </c>
      <c r="G18" s="34">
        <f>COUNTIFS('OB History'!B:B,A18,'OB History'!D:D, 1)</f>
        <v>7</v>
      </c>
      <c r="H18" s="2">
        <f>COUNTIFS('OB History'!B:B,A18,'OB History'!D:D, 0)</f>
        <v>3</v>
      </c>
      <c r="I18" s="88">
        <f>LOOKUP(2, 1/('OB History'!$B:$B=A18), 'OB History'!$AD:$AD)</f>
        <v>0.7</v>
      </c>
      <c r="J18" s="34">
        <f>SUMIFS('OB History'!F:F,'OB History'!B:B,A18)</f>
        <v>24</v>
      </c>
      <c r="K18" s="2">
        <f>SUMIFS('OB History'!E:E,'OB History'!B:B,A18)-J18</f>
        <v>19</v>
      </c>
      <c r="L18" s="88">
        <f>LOOKUP(2, 1/('OB History'!$B:$B=A18), 'OB History'!$AB:$AB)</f>
        <v>0.55499999999999994</v>
      </c>
      <c r="M18" s="34">
        <f>SUMIFS('OB History'!H:H,'OB History'!B:B,'Old Bow v2'!A18)</f>
        <v>94</v>
      </c>
      <c r="N18" s="2">
        <f>SUMIFS('OB History'!G:G,'OB History'!B:B,'Old Bow v2'!A18)-M18</f>
        <v>90</v>
      </c>
      <c r="O18" s="88">
        <f>LOOKUP(2, 1/('OB History'!$B:$B=A18), 'OB History'!$AC:$AC)</f>
        <v>0.50800000000000001</v>
      </c>
      <c r="P18" s="2">
        <f>COUNTIFS('OB History'!$B:$B,$A$18,'OB History'!K:K, 1)</f>
        <v>0</v>
      </c>
      <c r="Q18" s="2">
        <f>COUNTIFS('OB History'!$B:$B,$A$18,'OB History'!L:L, 1)</f>
        <v>3</v>
      </c>
      <c r="R18" s="2">
        <f>COUNTIFS('OB History'!$B:$B,$A$18,'OB History'!M:M, 1)</f>
        <v>4</v>
      </c>
      <c r="S18" s="2">
        <f>COUNTIFS('OB History'!$B:$B,$A$18,'OB History'!N:N, 1)</f>
        <v>0</v>
      </c>
      <c r="T18" s="2">
        <f>COUNTIFS('OB History'!$B:$B,$A$18,'OB History'!O:O, 1)</f>
        <v>2</v>
      </c>
      <c r="U18" s="2">
        <f>COUNTIFS('OB History'!$B:$B,$A$18,'OB History'!P:P, 1)</f>
        <v>1</v>
      </c>
      <c r="V18" s="2">
        <f>COUNTIFS('OB History'!$B:$B,$A$18,'OB History'!Q:Q, 1)</f>
        <v>0</v>
      </c>
      <c r="W18" s="2">
        <f>COUNTIFS('OB History'!$B:$B,$A$18,'OB History'!R:R, 1)</f>
        <v>1</v>
      </c>
      <c r="X18" s="2">
        <f>COUNTIFS('OB History'!$B:$B,$A$18,'OB History'!S:S, 1)</f>
        <v>0</v>
      </c>
      <c r="Y18" s="2">
        <f>COUNTIFS('OB History'!$B:$B,$A$18,'OB History'!T:T, 1)</f>
        <v>0</v>
      </c>
      <c r="Z18" s="2">
        <f>COUNTIFS('OB History'!$B:$B,$A$18,'OB History'!U:U, 1)</f>
        <v>0</v>
      </c>
      <c r="AA18" s="2">
        <f>COUNTIFS('OB History'!$B:$B,$A$18,'OB History'!V:V, 1)</f>
        <v>0</v>
      </c>
      <c r="AB18" s="2">
        <f>COUNTIFS('OB History'!$B:$B,$A$18,'OB History'!W:W, 1)</f>
        <v>2</v>
      </c>
      <c r="AC18" s="2">
        <f>COUNTIFS('OB History'!$B:$B,$A$18,'OB History'!X:X, 1)</f>
        <v>4</v>
      </c>
      <c r="AD18" s="2">
        <f>COUNTIFS('OB History'!$B:$B,$A$18,'OB History'!Y:Y, 1)</f>
        <v>2</v>
      </c>
      <c r="AE18" s="2">
        <f>COUNTIFS('OB History'!$B:$B,$A$18,'OB History'!Z:Z, 1)</f>
        <v>5</v>
      </c>
    </row>
    <row r="19" spans="1:31" x14ac:dyDescent="0.25">
      <c r="A19" s="2" t="s">
        <v>151</v>
      </c>
      <c r="B19" s="6" t="s">
        <v>79</v>
      </c>
      <c r="C19" s="2" t="s">
        <v>79</v>
      </c>
      <c r="D19" s="34">
        <f>SUMIFS('OB History'!C:C,'OB History'!B:B,A19)</f>
        <v>23</v>
      </c>
      <c r="E19" s="4">
        <f>AVERAGEIFS('OB History'!C:C,'OB History'!B:B,A19)</f>
        <v>11.5</v>
      </c>
      <c r="F19" s="35">
        <f t="array" ref="F19">MAX(IF('OB History'!B:B=A19, 'OB History'!C:C))</f>
        <v>14</v>
      </c>
      <c r="G19" s="34">
        <f>COUNTIFS('OB History'!B:B,A19,'OB History'!D:D, 1)</f>
        <v>2</v>
      </c>
      <c r="H19" s="2">
        <f>COUNTIFS('OB History'!B:B,A19,'OB History'!D:D, 0)</f>
        <v>0</v>
      </c>
      <c r="I19" s="88">
        <f>LOOKUP(2, 1/('OB History'!$B:$B=A19), 'OB History'!$AD:$AD)</f>
        <v>1</v>
      </c>
      <c r="J19" s="34">
        <f>SUMIFS('OB History'!F:F,'OB History'!B:B,A19)</f>
        <v>6</v>
      </c>
      <c r="K19" s="2">
        <f>SUMIFS('OB History'!E:E,'OB History'!B:B,A19)-J19</f>
        <v>2</v>
      </c>
      <c r="L19" s="88">
        <f>LOOKUP(2, 1/('OB History'!$B:$B=A19), 'OB History'!$AB:$AB)</f>
        <v>0.75</v>
      </c>
      <c r="M19" s="34">
        <f>SUMIFS('OB History'!H:H,'OB History'!B:B,'Old Bow v2'!A19)</f>
        <v>20</v>
      </c>
      <c r="N19" s="2">
        <f>SUMIFS('OB History'!G:G,'OB History'!B:B,'Old Bow v2'!A19)-M19</f>
        <v>9</v>
      </c>
      <c r="O19" s="88">
        <f>LOOKUP(2, 1/('OB History'!$B:$B=A19), 'OB History'!$AC:$AC)</f>
        <v>0.68500000000000005</v>
      </c>
      <c r="P19" s="2">
        <f>COUNTIFS('OB History'!$B:$B,$A$19,'OB History'!K:K, 1)</f>
        <v>0</v>
      </c>
      <c r="Q19" s="2">
        <f>COUNTIFS('OB History'!$B:$B,$A$19,'OB History'!L:L, 1)</f>
        <v>0</v>
      </c>
      <c r="R19" s="2">
        <f>COUNTIFS('OB History'!$B:$B,$A$19,'OB History'!M:M, 1)</f>
        <v>0</v>
      </c>
      <c r="S19" s="2">
        <f>COUNTIFS('OB History'!$B:$B,$A$19,'OB History'!N:N, 1)</f>
        <v>1</v>
      </c>
      <c r="T19" s="2">
        <f>COUNTIFS('OB History'!$B:$B,$A$19,'OB History'!O:O, 1)</f>
        <v>0</v>
      </c>
      <c r="U19" s="2">
        <f>COUNTIFS('OB History'!$B:$B,$A$19,'OB History'!P:P, 1)</f>
        <v>1</v>
      </c>
      <c r="V19" s="2">
        <f>COUNTIFS('OB History'!$B:$B,$A$19,'OB History'!Q:Q, 1)</f>
        <v>0</v>
      </c>
      <c r="W19" s="2">
        <f>COUNTIFS('OB History'!$B:$B,$A$19,'OB History'!R:R, 1)</f>
        <v>0</v>
      </c>
      <c r="X19" s="2">
        <f>COUNTIFS('OB History'!$B:$B,$A$19,'OB History'!S:S, 1)</f>
        <v>0</v>
      </c>
      <c r="Y19" s="2">
        <f>COUNTIFS('OB History'!$B:$B,$A$19,'OB History'!T:T, 1)</f>
        <v>0</v>
      </c>
      <c r="Z19" s="2">
        <f>COUNTIFS('OB History'!$B:$B,$A$19,'OB History'!U:U, 1)</f>
        <v>1</v>
      </c>
      <c r="AA19" s="2">
        <f>COUNTIFS('OB History'!$B:$B,$A$19,'OB History'!V:V, 1)</f>
        <v>0</v>
      </c>
      <c r="AB19" s="2">
        <f>COUNTIFS('OB History'!$B:$B,$A$19,'OB History'!W:W, 1)</f>
        <v>1</v>
      </c>
      <c r="AC19" s="2">
        <f>COUNTIFS('OB History'!$B:$B,$A$19,'OB History'!X:X, 1)</f>
        <v>1</v>
      </c>
      <c r="AD19" s="2">
        <f>COUNTIFS('OB History'!$B:$B,$A$19,'OB History'!Y:Y, 1)</f>
        <v>1</v>
      </c>
      <c r="AE19" s="2">
        <f>COUNTIFS('OB History'!$B:$B,$A$19,'OB History'!Z:Z, 1)</f>
        <v>0</v>
      </c>
    </row>
    <row r="20" spans="1:31" x14ac:dyDescent="0.25">
      <c r="A20" s="2" t="s">
        <v>29</v>
      </c>
      <c r="B20" s="6" t="s">
        <v>157</v>
      </c>
      <c r="C20" s="2" t="s">
        <v>79</v>
      </c>
      <c r="D20" s="34">
        <f>SUMIFS('OB History'!C:C,'OB History'!B:B,A20)</f>
        <v>302</v>
      </c>
      <c r="E20" s="4">
        <f>AVERAGEIFS('OB History'!C:C,'OB History'!B:B,A20)</f>
        <v>10.413793103448276</v>
      </c>
      <c r="F20" s="35">
        <f t="array" ref="F20">MAX(IF('OB History'!B:B=A20, 'OB History'!C:C))</f>
        <v>21</v>
      </c>
      <c r="G20" s="34">
        <f>COUNTIFS('OB History'!B:B,A20,'OB History'!D:D, 1)</f>
        <v>15</v>
      </c>
      <c r="H20" s="2">
        <f>COUNTIFS('OB History'!B:B,A20,'OB History'!D:D, 0)</f>
        <v>14</v>
      </c>
      <c r="I20" s="88">
        <f>LOOKUP(2, 1/('OB History'!$B:$B=A20), 'OB History'!$AD:$AD)</f>
        <v>0.51724137931034486</v>
      </c>
      <c r="J20" s="34">
        <f>SUMIFS('OB History'!F:F,'OB History'!B:B,A20)</f>
        <v>61</v>
      </c>
      <c r="K20" s="2">
        <f>SUMIFS('OB History'!E:E,'OB History'!B:B,A20)-J20</f>
        <v>57</v>
      </c>
      <c r="L20" s="88">
        <f>LOOKUP(2, 1/('OB History'!$B:$B=A20), 'OB History'!$AB:$AB)</f>
        <v>0.51551724137931043</v>
      </c>
      <c r="M20" s="34">
        <f>SUMIFS('OB History'!H:H,'OB History'!B:B,'Old Bow v2'!A20)</f>
        <v>253</v>
      </c>
      <c r="N20" s="2">
        <f>SUMIFS('OB History'!G:G,'OB History'!B:B,'Old Bow v2'!A20)-M20</f>
        <v>238</v>
      </c>
      <c r="O20" s="88">
        <f>LOOKUP(2, 1/('OB History'!$B:$B=A20), 'OB History'!$AC:$AC)</f>
        <v>0.52344827586206899</v>
      </c>
      <c r="P20" s="2">
        <f>COUNTIFS('OB History'!$B:$B,$A$20,'OB History'!K:K, 1)</f>
        <v>3</v>
      </c>
      <c r="Q20" s="2">
        <f>COUNTIFS('OB History'!$B:$B,$A$20,'OB History'!L:L, 1)</f>
        <v>6</v>
      </c>
      <c r="R20" s="2">
        <f>COUNTIFS('OB History'!$B:$B,$A$20,'OB History'!M:M, 1)</f>
        <v>2</v>
      </c>
      <c r="S20" s="2">
        <f>COUNTIFS('OB History'!$B:$B,$A$20,'OB History'!N:N, 1)</f>
        <v>8</v>
      </c>
      <c r="T20" s="2">
        <f>COUNTIFS('OB History'!$B:$B,$A$20,'OB History'!O:O, 1)</f>
        <v>2</v>
      </c>
      <c r="U20" s="2">
        <f>COUNTIFS('OB History'!$B:$B,$A$20,'OB History'!P:P, 1)</f>
        <v>5</v>
      </c>
      <c r="V20" s="2">
        <f>COUNTIFS('OB History'!$B:$B,$A$20,'OB History'!Q:Q, 1)</f>
        <v>1</v>
      </c>
      <c r="W20" s="2">
        <f>COUNTIFS('OB History'!$B:$B,$A$20,'OB History'!R:R, 1)</f>
        <v>0</v>
      </c>
      <c r="X20" s="2">
        <f>COUNTIFS('OB History'!$B:$B,$A$20,'OB History'!S:S, 1)</f>
        <v>0</v>
      </c>
      <c r="Y20" s="2">
        <f>COUNTIFS('OB History'!$B:$B,$A$20,'OB History'!T:T, 1)</f>
        <v>0</v>
      </c>
      <c r="Z20" s="2">
        <f>COUNTIFS('OB History'!$B:$B,$A$20,'OB History'!U:U, 1)</f>
        <v>0</v>
      </c>
      <c r="AA20" s="2">
        <f>COUNTIFS('OB History'!$B:$B,$A$20,'OB History'!V:V, 1)</f>
        <v>2</v>
      </c>
      <c r="AB20" s="2">
        <f>COUNTIFS('OB History'!$B:$B,$A$20,'OB History'!W:W, 1)</f>
        <v>7</v>
      </c>
      <c r="AC20" s="2">
        <f>COUNTIFS('OB History'!$B:$B,$A$20,'OB History'!X:X, 1)</f>
        <v>11</v>
      </c>
      <c r="AD20" s="2">
        <f>COUNTIFS('OB History'!$B:$B,$A$20,'OB History'!Y:Y, 1)</f>
        <v>5</v>
      </c>
      <c r="AE20" s="2">
        <f>COUNTIFS('OB History'!$B:$B,$A$20,'OB History'!Z:Z, 1)</f>
        <v>9</v>
      </c>
    </row>
    <row r="21" spans="1:31" x14ac:dyDescent="0.25">
      <c r="A21" s="2" t="s">
        <v>46</v>
      </c>
      <c r="B21" s="2" t="s">
        <v>79</v>
      </c>
      <c r="C21" s="2" t="s">
        <v>79</v>
      </c>
      <c r="D21" s="34">
        <f>SUMIFS('OB History'!C:C,'OB History'!B:B,A21)</f>
        <v>183</v>
      </c>
      <c r="E21" s="4">
        <f>AVERAGEIFS('OB History'!C:C,'OB History'!B:B,A21)</f>
        <v>20.333333333333332</v>
      </c>
      <c r="F21" s="35">
        <f t="array" ref="F21">MAX(IF('OB History'!B:B=A21, 'OB History'!C:C))</f>
        <v>36</v>
      </c>
      <c r="G21" s="34">
        <f>COUNTIFS('OB History'!B:B,A21,'OB History'!D:D, 1)</f>
        <v>4</v>
      </c>
      <c r="H21" s="2">
        <f>COUNTIFS('OB History'!B:B,A21,'OB History'!D:D, 0)</f>
        <v>5</v>
      </c>
      <c r="I21" s="88">
        <f>LOOKUP(2, 1/('OB History'!$B:$B=A21), 'OB History'!$AD:$AD)</f>
        <v>0.44444444444444442</v>
      </c>
      <c r="J21" s="34">
        <f>SUMIFS('OB History'!F:F,'OB History'!B:B,A21)</f>
        <v>16</v>
      </c>
      <c r="K21" s="2">
        <f>SUMIFS('OB History'!E:E,'OB History'!B:B,A21)-J21</f>
        <v>20</v>
      </c>
      <c r="L21" s="88">
        <f>LOOKUP(2, 1/('OB History'!$B:$B=A21), 'OB History'!$AB:$AB)</f>
        <v>0.41666666666666669</v>
      </c>
      <c r="M21" s="34">
        <f>SUMIFS('OB History'!H:H,'OB History'!B:B,'Old Bow v2'!A21)</f>
        <v>70</v>
      </c>
      <c r="N21" s="2">
        <f>SUMIFS('OB History'!G:G,'OB History'!B:B,'Old Bow v2'!A21)-M21</f>
        <v>83</v>
      </c>
      <c r="O21" s="88">
        <f>LOOKUP(2, 1/('OB History'!$B:$B=A21), 'OB History'!$AC:$AC)</f>
        <v>0.44999999999999996</v>
      </c>
      <c r="P21" s="2">
        <f>COUNTIFS('OB History'!$B:$B,$A$21,'OB History'!K:K, 1)</f>
        <v>0</v>
      </c>
      <c r="Q21" s="2">
        <f>COUNTIFS('OB History'!$B:$B,$A$21,'OB History'!L:L, 1)</f>
        <v>1</v>
      </c>
      <c r="R21" s="2">
        <f>COUNTIFS('OB History'!$B:$B,$A$21,'OB History'!M:M, 1)</f>
        <v>1</v>
      </c>
      <c r="S21" s="2">
        <f>COUNTIFS('OB History'!$B:$B,$A$21,'OB History'!N:N, 1)</f>
        <v>1</v>
      </c>
      <c r="T21" s="2">
        <f>COUNTIFS('OB History'!$B:$B,$A$21,'OB History'!O:O, 1)</f>
        <v>0</v>
      </c>
      <c r="U21" s="2">
        <f>COUNTIFS('OB History'!$B:$B,$A$21,'OB History'!P:P, 1)</f>
        <v>5</v>
      </c>
      <c r="V21" s="2">
        <f>COUNTIFS('OB History'!$B:$B,$A$21,'OB History'!Q:Q, 1)</f>
        <v>0</v>
      </c>
      <c r="W21" s="2">
        <f>COUNTIFS('OB History'!$B:$B,$A$21,'OB History'!R:R, 1)</f>
        <v>1</v>
      </c>
      <c r="X21" s="2">
        <f>COUNTIFS('OB History'!$B:$B,$A$21,'OB History'!S:S, 1)</f>
        <v>0</v>
      </c>
      <c r="Y21" s="2">
        <f>COUNTIFS('OB History'!$B:$B,$A$21,'OB History'!T:T, 1)</f>
        <v>0</v>
      </c>
      <c r="Z21" s="2">
        <f>COUNTIFS('OB History'!$B:$B,$A$21,'OB History'!U:U, 1)</f>
        <v>0</v>
      </c>
      <c r="AA21" s="2">
        <f>COUNTIFS('OB History'!$B:$B,$A$21,'OB History'!V:V, 1)</f>
        <v>0</v>
      </c>
      <c r="AB21" s="2">
        <f>COUNTIFS('OB History'!$B:$B,$A$21,'OB History'!W:W, 1)</f>
        <v>1</v>
      </c>
      <c r="AC21" s="2">
        <f>COUNTIFS('OB History'!$B:$B,$A$21,'OB History'!X:X, 1)</f>
        <v>3</v>
      </c>
      <c r="AD21" s="2">
        <f>COUNTIFS('OB History'!$B:$B,$A$21,'OB History'!Y:Y, 1)</f>
        <v>1</v>
      </c>
      <c r="AE21" s="2">
        <f>COUNTIFS('OB History'!$B:$B,$A$21,'OB History'!Z:Z, 1)</f>
        <v>2</v>
      </c>
    </row>
    <row r="22" spans="1:31" x14ac:dyDescent="0.25">
      <c r="A22" s="2" t="s">
        <v>140</v>
      </c>
      <c r="B22" s="2" t="s">
        <v>79</v>
      </c>
      <c r="C22" s="2" t="s">
        <v>79</v>
      </c>
      <c r="D22" s="34">
        <f>SUMIFS('OB History'!C:C,'OB History'!B:B,A22)</f>
        <v>69</v>
      </c>
      <c r="E22" s="4">
        <f>AVERAGEIFS('OB History'!C:C,'OB History'!B:B,A22)</f>
        <v>9.8571428571428577</v>
      </c>
      <c r="F22" s="35">
        <f t="array" ref="F22">MAX(IF('OB History'!B:B=A22, 'OB History'!C:C))</f>
        <v>13</v>
      </c>
      <c r="G22" s="34">
        <f>COUNTIFS('OB History'!B:B,A22,'OB History'!D:D, 1)</f>
        <v>3</v>
      </c>
      <c r="H22" s="2">
        <f>COUNTIFS('OB History'!B:B,A22,'OB History'!D:D, 0)</f>
        <v>4</v>
      </c>
      <c r="I22" s="88">
        <f>LOOKUP(2, 1/('OB History'!$B:$B=A22), 'OB History'!$AD:$AD)</f>
        <v>0.42857142857142855</v>
      </c>
      <c r="J22" s="34">
        <f>SUMIFS('OB History'!F:F,'OB History'!B:B,A22)</f>
        <v>15</v>
      </c>
      <c r="K22" s="2">
        <f>SUMIFS('OB History'!E:E,'OB History'!B:B,A22)-J22</f>
        <v>16</v>
      </c>
      <c r="L22" s="88">
        <f>LOOKUP(2, 1/('OB History'!$B:$B=A22), 'OB History'!$AB:$AB)</f>
        <v>0.5</v>
      </c>
      <c r="M22" s="34">
        <f>SUMIFS('OB History'!H:H,'OB History'!B:B,'Old Bow v2'!A22)</f>
        <v>61</v>
      </c>
      <c r="N22" s="2">
        <f>SUMIFS('OB History'!G:G,'OB History'!B:B,'Old Bow v2'!A22)-M22</f>
        <v>65</v>
      </c>
      <c r="O22" s="88">
        <f>LOOKUP(2, 1/('OB History'!$B:$B=A22), 'OB History'!$AC:$AC)</f>
        <v>0.48428571428571426</v>
      </c>
      <c r="P22" s="2">
        <f>COUNTIFS('OB History'!$B:$B,$A$22,'OB History'!K:K, 1)</f>
        <v>0</v>
      </c>
      <c r="Q22" s="2">
        <f>COUNTIFS('OB History'!$B:$B,$A$22,'OB History'!L:L, 1)</f>
        <v>0</v>
      </c>
      <c r="R22" s="2">
        <f>COUNTIFS('OB History'!$B:$B,$A$22,'OB History'!M:M, 1)</f>
        <v>1</v>
      </c>
      <c r="S22" s="2">
        <f>COUNTIFS('OB History'!$B:$B,$A$22,'OB History'!N:N, 1)</f>
        <v>1</v>
      </c>
      <c r="T22" s="2">
        <f>COUNTIFS('OB History'!$B:$B,$A$22,'OB History'!O:O, 1)</f>
        <v>0</v>
      </c>
      <c r="U22" s="2">
        <f>COUNTIFS('OB History'!$B:$B,$A$22,'OB History'!P:P, 1)</f>
        <v>1</v>
      </c>
      <c r="V22" s="2">
        <f>COUNTIFS('OB History'!$B:$B,$A$22,'OB History'!Q:Q, 1)</f>
        <v>0</v>
      </c>
      <c r="W22" s="2">
        <f>COUNTIFS('OB History'!$B:$B,$A$22,'OB History'!R:R, 1)</f>
        <v>1</v>
      </c>
      <c r="X22" s="2">
        <f>COUNTIFS('OB History'!$B:$B,$A$22,'OB History'!S:S, 1)</f>
        <v>0</v>
      </c>
      <c r="Y22" s="2">
        <f>COUNTIFS('OB History'!$B:$B,$A$22,'OB History'!T:T, 1)</f>
        <v>0</v>
      </c>
      <c r="Z22" s="2">
        <f>COUNTIFS('OB History'!$B:$B,$A$22,'OB History'!U:U, 1)</f>
        <v>0</v>
      </c>
      <c r="AA22" s="2">
        <f>COUNTIFS('OB History'!$B:$B,$A$22,'OB History'!V:V, 1)</f>
        <v>2</v>
      </c>
      <c r="AB22" s="2">
        <f>COUNTIFS('OB History'!$B:$B,$A$22,'OB History'!W:W, 1)</f>
        <v>0</v>
      </c>
      <c r="AC22" s="2">
        <f>COUNTIFS('OB History'!$B:$B,$A$22,'OB History'!X:X, 1)</f>
        <v>5</v>
      </c>
      <c r="AD22" s="2">
        <f>COUNTIFS('OB History'!$B:$B,$A$22,'OB History'!Y:Y, 1)</f>
        <v>2</v>
      </c>
      <c r="AE22" s="2">
        <f>COUNTIFS('OB History'!$B:$B,$A$22,'OB History'!Z:Z, 1)</f>
        <v>2</v>
      </c>
    </row>
    <row r="23" spans="1:31" x14ac:dyDescent="0.25">
      <c r="A23" s="2" t="s">
        <v>28</v>
      </c>
      <c r="B23" s="6" t="s">
        <v>60</v>
      </c>
      <c r="C23" s="2" t="s">
        <v>79</v>
      </c>
      <c r="D23" s="34">
        <f>SUMIFS('OB History'!C:C,'OB History'!B:B,A23)</f>
        <v>261</v>
      </c>
      <c r="E23" s="4">
        <f>AVERAGEIFS('OB History'!C:C,'OB History'!B:B,A23)</f>
        <v>13.736842105263158</v>
      </c>
      <c r="F23" s="35">
        <f t="array" ref="F23">MAX(IF('OB History'!B:B=A23, 'OB History'!C:C))</f>
        <v>27</v>
      </c>
      <c r="G23" s="34">
        <f>COUNTIFS('OB History'!B:B,A23,'OB History'!D:D, 1)</f>
        <v>7</v>
      </c>
      <c r="H23" s="2">
        <f>COUNTIFS('OB History'!B:B,A23,'OB History'!D:D, 0)</f>
        <v>12</v>
      </c>
      <c r="I23" s="88">
        <f>LOOKUP(2, 1/('OB History'!$B:$B=A23), 'OB History'!$AD:$AD)</f>
        <v>0.36842105263157893</v>
      </c>
      <c r="J23" s="34">
        <f>SUMIFS('OB History'!F:F,'OB History'!B:B,A23)</f>
        <v>33</v>
      </c>
      <c r="K23" s="2">
        <f>SUMIFS('OB History'!E:E,'OB History'!B:B,A23)-J23</f>
        <v>47</v>
      </c>
      <c r="L23" s="88">
        <f>LOOKUP(2, 1/('OB History'!$B:$B=A23), 'OB History'!$AB:$AB)</f>
        <v>0.38157894736842107</v>
      </c>
      <c r="M23" s="34">
        <f>SUMIFS('OB History'!H:H,'OB History'!B:B,'Old Bow v2'!A23)</f>
        <v>155</v>
      </c>
      <c r="N23" s="2">
        <f>SUMIFS('OB History'!G:G,'OB History'!B:B,'Old Bow v2'!A23)-M23</f>
        <v>181</v>
      </c>
      <c r="O23" s="88">
        <f>LOOKUP(2, 1/('OB History'!$B:$B=A23), 'OB History'!$AC:$AC)</f>
        <v>0.44473684210526321</v>
      </c>
      <c r="P23" s="2">
        <f>COUNTIFS('OB History'!$B:$B,$A$23,'OB History'!K:K, 1)</f>
        <v>4</v>
      </c>
      <c r="Q23" s="2">
        <f>COUNTIFS('OB History'!$B:$B,$A$23,'OB History'!L:L, 1)</f>
        <v>1</v>
      </c>
      <c r="R23" s="2">
        <f>COUNTIFS('OB History'!$B:$B,$A$23,'OB History'!M:M, 1)</f>
        <v>1</v>
      </c>
      <c r="S23" s="2">
        <f>COUNTIFS('OB History'!$B:$B,$A$23,'OB History'!N:N, 1)</f>
        <v>2</v>
      </c>
      <c r="T23" s="2">
        <f>COUNTIFS('OB History'!$B:$B,$A$23,'OB History'!O:O, 1)</f>
        <v>1</v>
      </c>
      <c r="U23" s="2">
        <f>COUNTIFS('OB History'!$B:$B,$A$23,'OB History'!P:P, 1)</f>
        <v>4</v>
      </c>
      <c r="V23" s="2">
        <f>COUNTIFS('OB History'!$B:$B,$A$23,'OB History'!Q:Q, 1)</f>
        <v>1</v>
      </c>
      <c r="W23" s="2">
        <f>COUNTIFS('OB History'!$B:$B,$A$23,'OB History'!R:R, 1)</f>
        <v>1</v>
      </c>
      <c r="X23" s="2">
        <f>COUNTIFS('OB History'!$B:$B,$A$23,'OB History'!S:S, 1)</f>
        <v>1</v>
      </c>
      <c r="Y23" s="2">
        <f>COUNTIFS('OB History'!$B:$B,$A$23,'OB History'!T:T, 1)</f>
        <v>0</v>
      </c>
      <c r="Z23" s="2">
        <f>COUNTIFS('OB History'!$B:$B,$A$23,'OB History'!U:U, 1)</f>
        <v>1</v>
      </c>
      <c r="AA23" s="2">
        <f>COUNTIFS('OB History'!$B:$B,$A$23,'OB History'!V:V, 1)</f>
        <v>1</v>
      </c>
      <c r="AB23" s="2">
        <f>COUNTIFS('OB History'!$B:$B,$A$23,'OB History'!W:W, 1)</f>
        <v>1</v>
      </c>
      <c r="AC23" s="2">
        <f>COUNTIFS('OB History'!$B:$B,$A$23,'OB History'!X:X, 1)</f>
        <v>4</v>
      </c>
      <c r="AD23" s="2">
        <f>COUNTIFS('OB History'!$B:$B,$A$23,'OB History'!Y:Y, 1)</f>
        <v>2</v>
      </c>
      <c r="AE23" s="2">
        <f>COUNTIFS('OB History'!$B:$B,$A$23,'OB History'!Z:Z, 1)</f>
        <v>8</v>
      </c>
    </row>
    <row r="24" spans="1:31" x14ac:dyDescent="0.25">
      <c r="A24" s="2" t="s">
        <v>53</v>
      </c>
      <c r="B24" s="6" t="s">
        <v>60</v>
      </c>
      <c r="C24" s="6" t="s">
        <v>79</v>
      </c>
      <c r="D24" s="34">
        <f>SUMIFS('OB History'!C:C,'OB History'!B:B,A24)</f>
        <v>43</v>
      </c>
      <c r="E24" s="4">
        <f>AVERAGEIFS('OB History'!C:C,'OB History'!B:B,A24)</f>
        <v>14.333333333333334</v>
      </c>
      <c r="F24" s="35">
        <f t="array" ref="F24">MAX(IF('OB History'!B:B=A24, 'OB History'!C:C))</f>
        <v>25</v>
      </c>
      <c r="G24" s="34">
        <f>COUNTIFS('OB History'!B:B,A24,'OB History'!D:D, 1)</f>
        <v>2</v>
      </c>
      <c r="H24" s="2">
        <f>COUNTIFS('OB History'!B:B,A24,'OB History'!D:D, 0)</f>
        <v>1</v>
      </c>
      <c r="I24" s="88">
        <f>LOOKUP(2, 1/('OB History'!$B:$B=A24), 'OB History'!$AD:$AD)</f>
        <v>0.66666666666666663</v>
      </c>
      <c r="J24" s="34">
        <f>SUMIFS('OB History'!F:F,'OB History'!B:B,A24)</f>
        <v>6</v>
      </c>
      <c r="K24" s="2">
        <f>SUMIFS('OB History'!E:E,'OB History'!B:B,A24)-J24</f>
        <v>7</v>
      </c>
      <c r="L24" s="88">
        <f>LOOKUP(2, 1/('OB History'!$B:$B=A24), 'OB History'!$AB:$AB)</f>
        <v>0.39999999999999997</v>
      </c>
      <c r="M24" s="34">
        <f>SUMIFS('OB History'!H:H,'OB History'!B:B,'Old Bow v2'!A24)</f>
        <v>27</v>
      </c>
      <c r="N24" s="2">
        <f>SUMIFS('OB History'!G:G,'OB History'!B:B,'Old Bow v2'!A24)-M24</f>
        <v>26</v>
      </c>
      <c r="O24" s="88">
        <f>LOOKUP(2, 1/('OB History'!$B:$B=A24), 'OB History'!$AC:$AC)</f>
        <v>0.48666666666666664</v>
      </c>
      <c r="P24" s="2">
        <f>COUNTIFS('OB History'!$B:$B,$A$24,'OB History'!K:K, 1)</f>
        <v>0</v>
      </c>
      <c r="Q24" s="2">
        <f>COUNTIFS('OB History'!$B:$B,$A$24,'OB History'!L:L, 1)</f>
        <v>0</v>
      </c>
      <c r="R24" s="2">
        <f>COUNTIFS('OB History'!$B:$B,$A$24,'OB History'!M:M, 1)</f>
        <v>0</v>
      </c>
      <c r="S24" s="2">
        <f>COUNTIFS('OB History'!$B:$B,$A$24,'OB History'!N:N, 1)</f>
        <v>1</v>
      </c>
      <c r="T24" s="2">
        <f>COUNTIFS('OB History'!$B:$B,$A$24,'OB History'!O:O, 1)</f>
        <v>2</v>
      </c>
      <c r="U24" s="2">
        <f>COUNTIFS('OB History'!$B:$B,$A$24,'OB History'!P:P, 1)</f>
        <v>1</v>
      </c>
      <c r="V24" s="2">
        <f>COUNTIFS('OB History'!$B:$B,$A$24,'OB History'!Q:Q, 1)</f>
        <v>2</v>
      </c>
      <c r="W24" s="2">
        <f>COUNTIFS('OB History'!$B:$B,$A$24,'OB History'!R:R, 1)</f>
        <v>0</v>
      </c>
      <c r="X24" s="2">
        <f>COUNTIFS('OB History'!$B:$B,$A$24,'OB History'!S:S, 1)</f>
        <v>0</v>
      </c>
      <c r="Y24" s="2">
        <f>COUNTIFS('OB History'!$B:$B,$A$24,'OB History'!T:T, 1)</f>
        <v>0</v>
      </c>
      <c r="Z24" s="2">
        <f>COUNTIFS('OB History'!$B:$B,$A$24,'OB History'!U:U, 1)</f>
        <v>0</v>
      </c>
      <c r="AA24" s="2">
        <f>COUNTIFS('OB History'!$B:$B,$A$24,'OB History'!V:V, 1)</f>
        <v>0</v>
      </c>
      <c r="AB24" s="2">
        <f>COUNTIFS('OB History'!$B:$B,$A$24,'OB History'!W:W, 1)</f>
        <v>0</v>
      </c>
      <c r="AC24" s="2">
        <f>COUNTIFS('OB History'!$B:$B,$A$24,'OB History'!X:X, 1)</f>
        <v>0</v>
      </c>
      <c r="AD24" s="2">
        <f>COUNTIFS('OB History'!$B:$B,$A$24,'OB History'!Y:Y, 1)</f>
        <v>0</v>
      </c>
      <c r="AE24" s="2">
        <f>COUNTIFS('OB History'!$B:$B,$A$24,'OB History'!Z:Z, 1)</f>
        <v>0</v>
      </c>
    </row>
    <row r="25" spans="1:31" x14ac:dyDescent="0.25">
      <c r="A25" s="2" t="s">
        <v>51</v>
      </c>
      <c r="B25" s="2" t="s">
        <v>79</v>
      </c>
      <c r="C25" s="2" t="s">
        <v>79</v>
      </c>
      <c r="D25" s="34">
        <f>SUMIFS('OB History'!C:C,'OB History'!B:B,A25)</f>
        <v>180</v>
      </c>
      <c r="E25" s="4">
        <f>AVERAGEIFS('OB History'!C:C,'OB History'!B:B,A25)</f>
        <v>13.846153846153847</v>
      </c>
      <c r="F25" s="35">
        <f t="array" ref="F25">MAX(IF('OB History'!B:B=A25, 'OB History'!C:C))</f>
        <v>22</v>
      </c>
      <c r="G25" s="34">
        <f>COUNTIFS('OB History'!B:B,A25,'OB History'!D:D, 1)</f>
        <v>7</v>
      </c>
      <c r="H25" s="2">
        <f>COUNTIFS('OB History'!B:B,A25,'OB History'!D:D, 0)</f>
        <v>6</v>
      </c>
      <c r="I25" s="88">
        <f>LOOKUP(2, 1/('OB History'!$B:$B=A25), 'OB History'!$AD:$AD)</f>
        <v>0.53846153846153844</v>
      </c>
      <c r="J25" s="34">
        <f>SUMIFS('OB History'!F:F,'OB History'!B:B,A25)</f>
        <v>29</v>
      </c>
      <c r="K25" s="2">
        <f>SUMIFS('OB History'!E:E,'OB History'!B:B,A25)-J25</f>
        <v>26</v>
      </c>
      <c r="L25" s="88">
        <f>LOOKUP(2, 1/('OB History'!$B:$B=A25), 'OB History'!$AB:$AB)</f>
        <v>0.53846153846153855</v>
      </c>
      <c r="M25" s="34">
        <f>SUMIFS('OB History'!H:H,'OB History'!B:B,'Old Bow v2'!A25)</f>
        <v>111</v>
      </c>
      <c r="N25" s="2">
        <f>SUMIFS('OB History'!G:G,'OB History'!B:B,'Old Bow v2'!A25)-M25</f>
        <v>111</v>
      </c>
      <c r="O25" s="88">
        <f>LOOKUP(2, 1/('OB History'!$B:$B=A25), 'OB History'!$AC:$AC)</f>
        <v>0.50461538461538469</v>
      </c>
      <c r="P25" s="2">
        <f>COUNTIFS('OB History'!$B:$B,$A$25,'OB History'!K:K, 1)</f>
        <v>4</v>
      </c>
      <c r="Q25" s="2">
        <f>COUNTIFS('OB History'!$B:$B,$A$25,'OB History'!L:L, 1)</f>
        <v>1</v>
      </c>
      <c r="R25" s="2">
        <f>COUNTIFS('OB History'!$B:$B,$A$25,'OB History'!M:M, 1)</f>
        <v>0</v>
      </c>
      <c r="S25" s="2">
        <f>COUNTIFS('OB History'!$B:$B,$A$25,'OB History'!N:N, 1)</f>
        <v>3</v>
      </c>
      <c r="T25" s="2">
        <f>COUNTIFS('OB History'!$B:$B,$A$25,'OB History'!O:O, 1)</f>
        <v>0</v>
      </c>
      <c r="U25" s="2">
        <f>COUNTIFS('OB History'!$B:$B,$A$25,'OB History'!P:P, 1)</f>
        <v>3</v>
      </c>
      <c r="V25" s="2">
        <f>COUNTIFS('OB History'!$B:$B,$A$25,'OB History'!Q:Q, 1)</f>
        <v>0</v>
      </c>
      <c r="W25" s="2">
        <f>COUNTIFS('OB History'!$B:$B,$A$25,'OB History'!R:R, 1)</f>
        <v>1</v>
      </c>
      <c r="X25" s="2">
        <f>COUNTIFS('OB History'!$B:$B,$A$25,'OB History'!S:S, 1)</f>
        <v>0</v>
      </c>
      <c r="Y25" s="2">
        <f>COUNTIFS('OB History'!$B:$B,$A$25,'OB History'!T:T, 1)</f>
        <v>0</v>
      </c>
      <c r="Z25" s="2">
        <f>COUNTIFS('OB History'!$B:$B,$A$25,'OB History'!U:U, 1)</f>
        <v>0</v>
      </c>
      <c r="AA25" s="2">
        <f>COUNTIFS('OB History'!$B:$B,$A$25,'OB History'!V:V, 1)</f>
        <v>2</v>
      </c>
      <c r="AB25" s="2">
        <f>COUNTIFS('OB History'!$B:$B,$A$25,'OB History'!W:W, 1)</f>
        <v>5</v>
      </c>
      <c r="AC25" s="2">
        <f>COUNTIFS('OB History'!$B:$B,$A$25,'OB History'!X:X, 1)</f>
        <v>4</v>
      </c>
      <c r="AD25" s="2">
        <f>COUNTIFS('OB History'!$B:$B,$A$25,'OB History'!Y:Y, 1)</f>
        <v>3</v>
      </c>
      <c r="AE25" s="2">
        <f>COUNTIFS('OB History'!$B:$B,$A$25,'OB History'!Z:Z, 1)</f>
        <v>3</v>
      </c>
    </row>
    <row r="26" spans="1:31" ht="15.75" x14ac:dyDescent="0.25">
      <c r="A26" s="2" t="s">
        <v>20</v>
      </c>
      <c r="B26" s="80" t="s">
        <v>60</v>
      </c>
      <c r="C26" s="2" t="s">
        <v>79</v>
      </c>
      <c r="D26" s="34">
        <f>SUMIFS('OB History'!C:C,'OB History'!B:B,A26)</f>
        <v>351</v>
      </c>
      <c r="E26" s="4">
        <f>AVERAGEIFS('OB History'!C:C,'OB History'!B:B,A26)</f>
        <v>14.04</v>
      </c>
      <c r="F26" s="35">
        <f t="array" ref="F26">MAX(IF('OB History'!B:B=A26, 'OB History'!C:C))</f>
        <v>28</v>
      </c>
      <c r="G26" s="34">
        <f>COUNTIFS('OB History'!B:B,A26,'OB History'!D:D, 1)</f>
        <v>10</v>
      </c>
      <c r="H26" s="2">
        <f>COUNTIFS('OB History'!B:B,A26,'OB History'!D:D, 0)</f>
        <v>15</v>
      </c>
      <c r="I26" s="88">
        <f>LOOKUP(2, 1/('OB History'!$B:$B=A26), 'OB History'!$AD:$AD)</f>
        <v>0.4</v>
      </c>
      <c r="J26" s="34">
        <f>SUMIFS('OB History'!F:F,'OB History'!B:B,A26)</f>
        <v>50</v>
      </c>
      <c r="K26" s="2">
        <f>SUMIFS('OB History'!E:E,'OB History'!B:B,A26)-J26</f>
        <v>56</v>
      </c>
      <c r="L26" s="88">
        <f>LOOKUP(2, 1/('OB History'!$B:$B=A26), 'OB History'!$AB:$AB)</f>
        <v>0.47</v>
      </c>
      <c r="M26" s="34">
        <f>SUMIFS('OB History'!H:H,'OB History'!B:B,'Old Bow v2'!A26)</f>
        <v>219</v>
      </c>
      <c r="N26" s="2">
        <f>SUMIFS('OB History'!G:G,'OB History'!B:B,'Old Bow v2'!A26)-M26</f>
        <v>226</v>
      </c>
      <c r="O26" s="88">
        <f>LOOKUP(2, 1/('OB History'!$B:$B=A26), 'OB History'!$AC:$AC)</f>
        <v>0.49000000000000005</v>
      </c>
      <c r="P26" s="2">
        <f>COUNTIFS('OB History'!$B:$B,$A$26,'OB History'!K:K, 1)</f>
        <v>1</v>
      </c>
      <c r="Q26" s="2">
        <f>COUNTIFS('OB History'!$B:$B,$A$26,'OB History'!L:L, 1)</f>
        <v>4</v>
      </c>
      <c r="R26" s="2">
        <f>COUNTIFS('OB History'!$B:$B,$A$26,'OB History'!M:M, 1)</f>
        <v>0</v>
      </c>
      <c r="S26" s="2">
        <f>COUNTIFS('OB History'!$B:$B,$A$26,'OB History'!N:N, 1)</f>
        <v>12</v>
      </c>
      <c r="T26" s="2">
        <f>COUNTIFS('OB History'!$B:$B,$A$26,'OB History'!O:O, 1)</f>
        <v>0</v>
      </c>
      <c r="U26" s="2">
        <f>COUNTIFS('OB History'!$B:$B,$A$26,'OB History'!P:P, 1)</f>
        <v>4</v>
      </c>
      <c r="V26" s="2">
        <f>COUNTIFS('OB History'!$B:$B,$A$26,'OB History'!Q:Q, 1)</f>
        <v>2</v>
      </c>
      <c r="W26" s="2">
        <f>COUNTIFS('OB History'!$B:$B,$A$26,'OB History'!R:R, 1)</f>
        <v>2</v>
      </c>
      <c r="X26" s="2">
        <f>COUNTIFS('OB History'!$B:$B,$A$26,'OB History'!S:S, 1)</f>
        <v>0</v>
      </c>
      <c r="Y26" s="2">
        <f>COUNTIFS('OB History'!$B:$B,$A$26,'OB History'!T:T, 1)</f>
        <v>1</v>
      </c>
      <c r="Z26" s="2">
        <f>COUNTIFS('OB History'!$B:$B,$A$26,'OB History'!U:U, 1)</f>
        <v>0</v>
      </c>
      <c r="AA26" s="2">
        <f>COUNTIFS('OB History'!$B:$B,$A$26,'OB History'!V:V, 1)</f>
        <v>2</v>
      </c>
      <c r="AB26" s="2">
        <f>COUNTIFS('OB History'!$B:$B,$A$26,'OB History'!W:W, 1)</f>
        <v>8</v>
      </c>
      <c r="AC26" s="2">
        <f>COUNTIFS('OB History'!$B:$B,$A$26,'OB History'!X:X, 1)</f>
        <v>7</v>
      </c>
      <c r="AD26" s="2">
        <f>COUNTIFS('OB History'!$B:$B,$A$26,'OB History'!Y:Y, 1)</f>
        <v>2</v>
      </c>
      <c r="AE26" s="2">
        <f>COUNTIFS('OB History'!$B:$B,$A$26,'OB History'!Z:Z, 1)</f>
        <v>5</v>
      </c>
    </row>
    <row r="27" spans="1:31" x14ac:dyDescent="0.25">
      <c r="A27" s="1" t="s">
        <v>47</v>
      </c>
      <c r="B27" s="2" t="s">
        <v>79</v>
      </c>
      <c r="C27" s="2" t="s">
        <v>79</v>
      </c>
      <c r="D27" s="34">
        <f>SUMIFS('OB History'!C:C,'OB History'!B:B,A27)</f>
        <v>78</v>
      </c>
      <c r="E27" s="4">
        <f>AVERAGEIFS('OB History'!C:C,'OB History'!B:B,A27)</f>
        <v>7.8</v>
      </c>
      <c r="F27" s="35">
        <f t="array" ref="F27">MAX(IF('OB History'!B:B=A27, 'OB History'!C:C))</f>
        <v>14</v>
      </c>
      <c r="G27" s="34">
        <f>COUNTIFS('OB History'!B:B,A27,'OB History'!D:D, 1)</f>
        <v>5</v>
      </c>
      <c r="H27" s="2">
        <f>COUNTIFS('OB History'!B:B,A27,'OB History'!D:D, 0)</f>
        <v>5</v>
      </c>
      <c r="I27" s="88">
        <f>LOOKUP(2, 1/('OB History'!$B:$B=A27), 'OB History'!$AD:$AD)</f>
        <v>0.5</v>
      </c>
      <c r="J27" s="34">
        <f>SUMIFS('OB History'!F:F,'OB History'!B:B,A27)</f>
        <v>22</v>
      </c>
      <c r="K27" s="2">
        <f>SUMIFS('OB History'!E:E,'OB History'!B:B,A27)-J27</f>
        <v>22</v>
      </c>
      <c r="L27" s="88">
        <f>LOOKUP(2, 1/('OB History'!$B:$B=A27), 'OB History'!$AB:$AB)</f>
        <v>0.5</v>
      </c>
      <c r="M27" s="34">
        <f>SUMIFS('OB History'!H:H,'OB History'!B:B,'Old Bow v2'!A27)</f>
        <v>93</v>
      </c>
      <c r="N27" s="2">
        <f>SUMIFS('OB History'!G:G,'OB History'!B:B,'Old Bow v2'!A27)-M27</f>
        <v>94</v>
      </c>
      <c r="O27" s="88">
        <f>LOOKUP(2, 1/('OB History'!$B:$B=A27), 'OB History'!$AC:$AC)</f>
        <v>0.49299999999999999</v>
      </c>
      <c r="P27" s="2">
        <f>COUNTIFS('OB History'!$B:$B,$A$27,'OB History'!K:K, 1)</f>
        <v>1</v>
      </c>
      <c r="Q27" s="2">
        <f>COUNTIFS('OB History'!$B:$B,$A$27,'OB History'!L:L, 1)</f>
        <v>1</v>
      </c>
      <c r="R27" s="2">
        <f>COUNTIFS('OB History'!$B:$B,$A$27,'OB History'!M:M, 1)</f>
        <v>1</v>
      </c>
      <c r="S27" s="2">
        <f>COUNTIFS('OB History'!$B:$B,$A$27,'OB History'!N:N, 1)</f>
        <v>4</v>
      </c>
      <c r="T27" s="2">
        <f>COUNTIFS('OB History'!$B:$B,$A$27,'OB History'!O:O, 1)</f>
        <v>1</v>
      </c>
      <c r="U27" s="2">
        <f>COUNTIFS('OB History'!$B:$B,$A$27,'OB History'!P:P, 1)</f>
        <v>2</v>
      </c>
      <c r="V27" s="2">
        <f>COUNTIFS('OB History'!$B:$B,$A$27,'OB History'!Q:Q, 1)</f>
        <v>0</v>
      </c>
      <c r="W27" s="2">
        <f>COUNTIFS('OB History'!$B:$B,$A$27,'OB History'!R:R, 1)</f>
        <v>0</v>
      </c>
      <c r="X27" s="2">
        <f>COUNTIFS('OB History'!$B:$B,$A$27,'OB History'!S:S, 1)</f>
        <v>0</v>
      </c>
      <c r="Y27" s="2">
        <f>COUNTIFS('OB History'!$B:$B,$A$27,'OB History'!T:T, 1)</f>
        <v>0</v>
      </c>
      <c r="Z27" s="2">
        <f>COUNTIFS('OB History'!$B:$B,$A$27,'OB History'!U:U, 1)</f>
        <v>0</v>
      </c>
      <c r="AA27" s="2">
        <f>COUNTIFS('OB History'!$B:$B,$A$27,'OB History'!V:V, 1)</f>
        <v>1</v>
      </c>
      <c r="AB27" s="2">
        <f>COUNTIFS('OB History'!$B:$B,$A$27,'OB History'!W:W, 1)</f>
        <v>4</v>
      </c>
      <c r="AC27" s="2">
        <f>COUNTIFS('OB History'!$B:$B,$A$27,'OB History'!X:X, 1)</f>
        <v>2</v>
      </c>
      <c r="AD27" s="2">
        <f>COUNTIFS('OB History'!$B:$B,$A$27,'OB History'!Y:Y, 1)</f>
        <v>0</v>
      </c>
      <c r="AE27" s="2">
        <f>COUNTIFS('OB History'!$B:$B,$A$27,'OB History'!Z:Z, 1)</f>
        <v>5</v>
      </c>
    </row>
    <row r="28" spans="1:31" x14ac:dyDescent="0.25">
      <c r="A28" s="2" t="s">
        <v>3</v>
      </c>
      <c r="B28" s="6" t="s">
        <v>60</v>
      </c>
      <c r="C28" s="6" t="s">
        <v>60</v>
      </c>
      <c r="D28" s="34">
        <f>SUMIFS('OB History'!C:C,'OB History'!B:B,A28)</f>
        <v>230</v>
      </c>
      <c r="E28" s="4">
        <f>AVERAGEIFS('OB History'!C:C,'OB History'!B:B,A28)</f>
        <v>23</v>
      </c>
      <c r="F28" s="35">
        <f t="array" ref="F28">MAX(IF('OB History'!B:B=A28, 'OB History'!C:C))</f>
        <v>44</v>
      </c>
      <c r="G28" s="34">
        <f>COUNTIFS('OB History'!B:B,A28,'OB History'!D:D, 1)</f>
        <v>6</v>
      </c>
      <c r="H28" s="2">
        <f>COUNTIFS('OB History'!B:B,A28,'OB History'!D:D, 0)</f>
        <v>4</v>
      </c>
      <c r="I28" s="88">
        <f>LOOKUP(2, 1/('OB History'!$B:$B=A28), 'OB History'!$AD:$AD)</f>
        <v>0.6</v>
      </c>
      <c r="J28" s="34">
        <f>SUMIFS('OB History'!F:F,'OB History'!B:B,A28)</f>
        <v>22</v>
      </c>
      <c r="K28" s="2">
        <f>SUMIFS('OB History'!E:E,'OB History'!B:B,A28)-J28</f>
        <v>21</v>
      </c>
      <c r="L28" s="88">
        <f>LOOKUP(2, 1/('OB History'!$B:$B=A28), 'OB History'!$AB:$AB)</f>
        <v>0.495</v>
      </c>
      <c r="M28" s="34">
        <f>SUMIFS('OB History'!H:H,'OB History'!B:B,'Old Bow v2'!A28)</f>
        <v>87</v>
      </c>
      <c r="N28" s="2">
        <f>SUMIFS('OB History'!G:G,'OB History'!B:B,'Old Bow v2'!A28)-M28</f>
        <v>88</v>
      </c>
      <c r="O28" s="88">
        <f>LOOKUP(2, 1/('OB History'!$B:$B=A28), 'OB History'!$AC:$AC)</f>
        <v>0.48999999999999994</v>
      </c>
      <c r="P28" s="2">
        <f>COUNTIFS('OB History'!$B:$B,$A$28,'OB History'!K:K, 1)</f>
        <v>2</v>
      </c>
      <c r="Q28" s="2">
        <f>COUNTIFS('OB History'!$B:$B,$A$28,'OB History'!L:L, 1)</f>
        <v>3</v>
      </c>
      <c r="R28" s="2">
        <f>COUNTIFS('OB History'!$B:$B,$A$28,'OB History'!M:M, 1)</f>
        <v>1</v>
      </c>
      <c r="S28" s="2">
        <f>COUNTIFS('OB History'!$B:$B,$A$28,'OB History'!N:N, 1)</f>
        <v>1</v>
      </c>
      <c r="T28" s="2">
        <f>COUNTIFS('OB History'!$B:$B,$A$28,'OB History'!O:O, 1)</f>
        <v>2</v>
      </c>
      <c r="U28" s="2">
        <f>COUNTIFS('OB History'!$B:$B,$A$28,'OB History'!P:P, 1)</f>
        <v>2</v>
      </c>
      <c r="V28" s="2">
        <f>COUNTIFS('OB History'!$B:$B,$A$28,'OB History'!Q:Q, 1)</f>
        <v>3</v>
      </c>
      <c r="W28" s="2">
        <f>COUNTIFS('OB History'!$B:$B,$A$28,'OB History'!R:R, 1)</f>
        <v>0</v>
      </c>
      <c r="X28" s="2">
        <f>COUNTIFS('OB History'!$B:$B,$A$28,'OB History'!S:S, 1)</f>
        <v>0</v>
      </c>
      <c r="Y28" s="2">
        <f>COUNTIFS('OB History'!$B:$B,$A$28,'OB History'!T:T, 1)</f>
        <v>0</v>
      </c>
      <c r="Z28" s="2">
        <f>COUNTIFS('OB History'!$B:$B,$A$28,'OB History'!U:U, 1)</f>
        <v>0</v>
      </c>
      <c r="AA28" s="2">
        <f>COUNTIFS('OB History'!$B:$B,$A$28,'OB History'!V:V, 1)</f>
        <v>1</v>
      </c>
      <c r="AB28" s="2">
        <f>COUNTIFS('OB History'!$B:$B,$A$28,'OB History'!W:W, 1)</f>
        <v>1</v>
      </c>
      <c r="AC28" s="2">
        <f>COUNTIFS('OB History'!$B:$B,$A$28,'OB History'!X:X, 1)</f>
        <v>3</v>
      </c>
      <c r="AD28" s="2">
        <f>COUNTIFS('OB History'!$B:$B,$A$28,'OB History'!Y:Y, 1)</f>
        <v>2</v>
      </c>
      <c r="AE28" s="2">
        <f>COUNTIFS('OB History'!$B:$B,$A$28,'OB History'!Z:Z, 1)</f>
        <v>1</v>
      </c>
    </row>
    <row r="29" spans="1:31" x14ac:dyDescent="0.25">
      <c r="A29" s="2" t="s">
        <v>149</v>
      </c>
      <c r="B29" s="6" t="s">
        <v>79</v>
      </c>
      <c r="C29" s="6" t="s">
        <v>79</v>
      </c>
      <c r="D29" s="34">
        <f>SUMIFS('OB History'!C:C,'OB History'!B:B,A29)</f>
        <v>139</v>
      </c>
      <c r="E29" s="4">
        <f>AVERAGEIFS('OB History'!C:C,'OB History'!B:B,A29)</f>
        <v>13.9</v>
      </c>
      <c r="F29" s="35">
        <f t="array" ref="F29">MAX(IF('OB History'!B:B=A29, 'OB History'!C:C))</f>
        <v>23</v>
      </c>
      <c r="G29" s="34">
        <f>COUNTIFS('OB History'!B:B,A29,'OB History'!D:D, 1)</f>
        <v>7</v>
      </c>
      <c r="H29" s="2">
        <f>COUNTIFS('OB History'!B:B,A29,'OB History'!D:D, 0)</f>
        <v>3</v>
      </c>
      <c r="I29" s="88">
        <f>LOOKUP(2, 1/('OB History'!$B:$B=A29), 'OB History'!$AD:$AD)</f>
        <v>0.7</v>
      </c>
      <c r="J29" s="34">
        <f>SUMIFS('OB History'!F:F,'OB History'!B:B,A29)</f>
        <v>26</v>
      </c>
      <c r="K29" s="2">
        <f>SUMIFS('OB History'!E:E,'OB History'!B:B,A29)-J29</f>
        <v>17</v>
      </c>
      <c r="L29" s="88">
        <f>LOOKUP(2, 1/('OB History'!$B:$B=A29), 'OB History'!$AB:$AB)</f>
        <v>0.63500000000000001</v>
      </c>
      <c r="M29" s="34">
        <f>SUMIFS('OB History'!H:H,'OB History'!B:B,'Old Bow v2'!A29)</f>
        <v>98</v>
      </c>
      <c r="N29" s="2">
        <f>SUMIFS('OB History'!G:G,'OB History'!B:B,'Old Bow v2'!A29)-M29</f>
        <v>77</v>
      </c>
      <c r="O29" s="88">
        <f>LOOKUP(2, 1/('OB History'!$B:$B=A29), 'OB History'!$AC:$AC)</f>
        <v>0.57899999999999996</v>
      </c>
      <c r="P29" s="2">
        <f>COUNTIFS('OB History'!$B:$B,$A$29,'OB History'!K:K, 1)</f>
        <v>1</v>
      </c>
      <c r="Q29" s="2">
        <f>COUNTIFS('OB History'!$B:$B,$A$29,'OB History'!L:L, 1)</f>
        <v>3</v>
      </c>
      <c r="R29" s="2">
        <f>COUNTIFS('OB History'!$B:$B,$A$29,'OB History'!M:M, 1)</f>
        <v>1</v>
      </c>
      <c r="S29" s="2">
        <f>COUNTIFS('OB History'!$B:$B,$A$29,'OB History'!N:N, 1)</f>
        <v>2</v>
      </c>
      <c r="T29" s="2">
        <f>COUNTIFS('OB History'!$B:$B,$A$29,'OB History'!O:O, 1)</f>
        <v>0</v>
      </c>
      <c r="U29" s="2">
        <f>COUNTIFS('OB History'!$B:$B,$A$29,'OB History'!P:P, 1)</f>
        <v>2</v>
      </c>
      <c r="V29" s="2">
        <f>COUNTIFS('OB History'!$B:$B,$A$29,'OB History'!Q:Q, 1)</f>
        <v>0</v>
      </c>
      <c r="W29" s="2">
        <f>COUNTIFS('OB History'!$B:$B,$A$29,'OB History'!R:R, 1)</f>
        <v>0</v>
      </c>
      <c r="X29" s="2">
        <f>COUNTIFS('OB History'!$B:$B,$A$29,'OB History'!S:S, 1)</f>
        <v>0</v>
      </c>
      <c r="Y29" s="2">
        <f>COUNTIFS('OB History'!$B:$B,$A$29,'OB History'!T:T, 1)</f>
        <v>1</v>
      </c>
      <c r="Z29" s="2">
        <f>COUNTIFS('OB History'!$B:$B,$A$29,'OB History'!U:U, 1)</f>
        <v>1</v>
      </c>
      <c r="AA29" s="2">
        <f>COUNTIFS('OB History'!$B:$B,$A$29,'OB History'!V:V, 1)</f>
        <v>0</v>
      </c>
      <c r="AB29" s="2">
        <f>COUNTIFS('OB History'!$B:$B,$A$29,'OB History'!W:W, 1)</f>
        <v>1</v>
      </c>
      <c r="AC29" s="2">
        <f>COUNTIFS('OB History'!$B:$B,$A$29,'OB History'!X:X, 1)</f>
        <v>6</v>
      </c>
      <c r="AD29" s="2">
        <f>COUNTIFS('OB History'!$B:$B,$A$29,'OB History'!Y:Y, 1)</f>
        <v>6</v>
      </c>
      <c r="AE29" s="2">
        <f>COUNTIFS('OB History'!$B:$B,$A$29,'OB History'!Z:Z, 1)</f>
        <v>1</v>
      </c>
    </row>
    <row r="30" spans="1:31" x14ac:dyDescent="0.25">
      <c r="A30" s="2" t="s">
        <v>15</v>
      </c>
      <c r="B30" s="2" t="s">
        <v>79</v>
      </c>
      <c r="C30" s="2" t="s">
        <v>79</v>
      </c>
      <c r="D30" s="34">
        <f>SUMIFS('OB History'!C:C,'OB History'!B:B,A30)</f>
        <v>689</v>
      </c>
      <c r="E30" s="4">
        <f>AVERAGEIFS('OB History'!C:C,'OB History'!B:B,A30)</f>
        <v>25.518518518518519</v>
      </c>
      <c r="F30" s="35">
        <f t="array" ref="F30">MAX(IF('OB History'!B:B=A30, 'OB History'!C:C))</f>
        <v>55</v>
      </c>
      <c r="G30" s="34">
        <f>COUNTIFS('OB History'!B:B,A30,'OB History'!D:D, 1)</f>
        <v>9</v>
      </c>
      <c r="H30" s="2">
        <f>COUNTIFS('OB History'!B:B,A30,'OB History'!D:D, 0)</f>
        <v>18</v>
      </c>
      <c r="I30" s="88">
        <f>LOOKUP(2, 1/('OB History'!$B:$B=A30), 'OB History'!$AD:$AD)</f>
        <v>0.33333333333333331</v>
      </c>
      <c r="J30" s="34">
        <f>SUMIFS('OB History'!F:F,'OB History'!B:B,A30)</f>
        <v>50</v>
      </c>
      <c r="K30" s="2">
        <f>SUMIFS('OB History'!E:E,'OB History'!B:B,A30)-J30</f>
        <v>62</v>
      </c>
      <c r="L30" s="88">
        <f>LOOKUP(2, 1/('OB History'!$B:$B=A30), 'OB History'!$AB:$AB)</f>
        <v>0.45740740740740737</v>
      </c>
      <c r="M30" s="34">
        <f>SUMIFS('OB History'!H:H,'OB History'!B:B,'Old Bow v2'!A30)</f>
        <v>221</v>
      </c>
      <c r="N30" s="2">
        <f>SUMIFS('OB History'!G:G,'OB History'!B:B,'Old Bow v2'!A30)-M30</f>
        <v>244</v>
      </c>
      <c r="O30" s="88">
        <f>LOOKUP(2, 1/('OB History'!$B:$B=A30), 'OB History'!$AC:$AC)</f>
        <v>0.48148148148148157</v>
      </c>
      <c r="P30" s="2">
        <f>COUNTIFS('OB History'!$B:$B,$A$30,'OB History'!K:K, 1)</f>
        <v>2</v>
      </c>
      <c r="Q30" s="2">
        <f>COUNTIFS('OB History'!$B:$B,$A$30,'OB History'!L:L, 1)</f>
        <v>1</v>
      </c>
      <c r="R30" s="2">
        <f>COUNTIFS('OB History'!$B:$B,$A$30,'OB History'!M:M, 1)</f>
        <v>0</v>
      </c>
      <c r="S30" s="2">
        <f>COUNTIFS('OB History'!$B:$B,$A$30,'OB History'!N:N, 1)</f>
        <v>7</v>
      </c>
      <c r="T30" s="2">
        <f>COUNTIFS('OB History'!$B:$B,$A$30,'OB History'!O:O, 1)</f>
        <v>0</v>
      </c>
      <c r="U30" s="2">
        <f>COUNTIFS('OB History'!$B:$B,$A$30,'OB History'!P:P, 1)</f>
        <v>5</v>
      </c>
      <c r="V30" s="2">
        <f>COUNTIFS('OB History'!$B:$B,$A$30,'OB History'!Q:Q, 1)</f>
        <v>1</v>
      </c>
      <c r="W30" s="2">
        <f>COUNTIFS('OB History'!$B:$B,$A$30,'OB History'!R:R, 1)</f>
        <v>0</v>
      </c>
      <c r="X30" s="2">
        <f>COUNTIFS('OB History'!$B:$B,$A$30,'OB History'!S:S, 1)</f>
        <v>0</v>
      </c>
      <c r="Y30" s="2">
        <f>COUNTIFS('OB History'!$B:$B,$A$30,'OB History'!T:T, 1)</f>
        <v>0</v>
      </c>
      <c r="Z30" s="2">
        <f>COUNTIFS('OB History'!$B:$B,$A$30,'OB History'!U:U, 1)</f>
        <v>1</v>
      </c>
      <c r="AA30" s="2">
        <f>COUNTIFS('OB History'!$B:$B,$A$30,'OB History'!V:V, 1)</f>
        <v>0</v>
      </c>
      <c r="AB30" s="2">
        <f>COUNTIFS('OB History'!$B:$B,$A$30,'OB History'!W:W, 1)</f>
        <v>5</v>
      </c>
      <c r="AC30" s="2">
        <f>COUNTIFS('OB History'!$B:$B,$A$30,'OB History'!X:X, 1)</f>
        <v>15</v>
      </c>
      <c r="AD30" s="2">
        <f>COUNTIFS('OB History'!$B:$B,$A$30,'OB History'!Y:Y, 1)</f>
        <v>4</v>
      </c>
      <c r="AE30" s="2">
        <f>COUNTIFS('OB History'!$B:$B,$A$30,'OB History'!Z:Z, 1)</f>
        <v>8</v>
      </c>
    </row>
    <row r="31" spans="1:31" x14ac:dyDescent="0.25">
      <c r="A31" s="1" t="s">
        <v>43</v>
      </c>
      <c r="B31" s="2" t="s">
        <v>79</v>
      </c>
      <c r="C31" s="2" t="s">
        <v>79</v>
      </c>
      <c r="D31" s="34">
        <f>SUMIFS('OB History'!C:C,'OB History'!B:B,A31)</f>
        <v>4</v>
      </c>
      <c r="E31" s="4">
        <f>AVERAGEIFS('OB History'!C:C,'OB History'!B:B,A31)</f>
        <v>4</v>
      </c>
      <c r="F31" s="35">
        <f t="array" ref="F31">MAX(IF('OB History'!B:B=A31, 'OB History'!C:C))</f>
        <v>4</v>
      </c>
      <c r="G31" s="34">
        <f>COUNTIFS('OB History'!B:B,A31,'OB History'!D:D, 1)</f>
        <v>1</v>
      </c>
      <c r="H31" s="2">
        <f>COUNTIFS('OB History'!B:B,A31,'OB History'!D:D, 0)</f>
        <v>0</v>
      </c>
      <c r="I31" s="88">
        <f>LOOKUP(2, 1/('OB History'!$B:$B=A31), 'OB History'!$AD:$AD)</f>
        <v>1</v>
      </c>
      <c r="J31" s="34">
        <f>SUMIFS('OB History'!F:F,'OB History'!B:B,A31)</f>
        <v>3</v>
      </c>
      <c r="K31" s="2">
        <f>SUMIFS('OB History'!E:E,'OB History'!B:B,A31)-J31</f>
        <v>0</v>
      </c>
      <c r="L31" s="88">
        <f>LOOKUP(2, 1/('OB History'!$B:$B=A31), 'OB History'!$AB:$AB)</f>
        <v>1</v>
      </c>
      <c r="M31" s="34">
        <f>SUMIFS('OB History'!H:H,'OB History'!B:B,'Old Bow v2'!A31)</f>
        <v>9</v>
      </c>
      <c r="N31" s="2">
        <f>SUMIFS('OB History'!G:G,'OB History'!B:B,'Old Bow v2'!A31)-M31</f>
        <v>4</v>
      </c>
      <c r="O31" s="88">
        <f>LOOKUP(2, 1/('OB History'!$B:$B=A31), 'OB History'!$AC:$AC)</f>
        <v>0.69</v>
      </c>
      <c r="P31" s="2">
        <f>COUNTIFS('OB History'!$B:$B,$A$31,'OB History'!K:K, 1)</f>
        <v>0</v>
      </c>
      <c r="Q31" s="2">
        <f>COUNTIFS('OB History'!$B:$B,$A$31,'OB History'!L:L, 1)</f>
        <v>0</v>
      </c>
      <c r="R31" s="2">
        <f>COUNTIFS('OB History'!$B:$B,$A$31,'OB History'!M:M, 1)</f>
        <v>0</v>
      </c>
      <c r="S31" s="2">
        <f>COUNTIFS('OB History'!$B:$B,$A$31,'OB History'!N:N, 1)</f>
        <v>0</v>
      </c>
      <c r="T31" s="2">
        <f>COUNTIFS('OB History'!$B:$B,$A$31,'OB History'!O:O, 1)</f>
        <v>0</v>
      </c>
      <c r="U31" s="2">
        <f>COUNTIFS('OB History'!$B:$B,$A$31,'OB History'!P:P, 1)</f>
        <v>1</v>
      </c>
      <c r="V31" s="2">
        <f>COUNTIFS('OB History'!$B:$B,$A$31,'OB History'!Q:Q, 1)</f>
        <v>0</v>
      </c>
      <c r="W31" s="2">
        <f>COUNTIFS('OB History'!$B:$B,$A$31,'OB History'!R:R, 1)</f>
        <v>0</v>
      </c>
      <c r="X31" s="2">
        <f>COUNTIFS('OB History'!$B:$B,$A$31,'OB History'!S:S, 1)</f>
        <v>0</v>
      </c>
      <c r="Y31" s="2">
        <f>COUNTIFS('OB History'!$B:$B,$A$31,'OB History'!T:T, 1)</f>
        <v>0</v>
      </c>
      <c r="Z31" s="2">
        <f>COUNTIFS('OB History'!$B:$B,$A$31,'OB History'!U:U, 1)</f>
        <v>0</v>
      </c>
      <c r="AA31" s="2">
        <f>COUNTIFS('OB History'!$B:$B,$A$31,'OB History'!V:V, 1)</f>
        <v>0</v>
      </c>
      <c r="AB31" s="2">
        <f>COUNTIFS('OB History'!$B:$B,$A$31,'OB History'!W:W, 1)</f>
        <v>0</v>
      </c>
      <c r="AC31" s="2">
        <f>COUNTIFS('OB History'!$B:$B,$A$31,'OB History'!X:X, 1)</f>
        <v>1</v>
      </c>
      <c r="AD31" s="2">
        <f>COUNTIFS('OB History'!$B:$B,$A$31,'OB History'!Y:Y, 1)</f>
        <v>0</v>
      </c>
      <c r="AE31" s="2">
        <f>COUNTIFS('OB History'!$B:$B,$A$31,'OB History'!Z:Z, 1)</f>
        <v>1</v>
      </c>
    </row>
    <row r="32" spans="1:31" x14ac:dyDescent="0.25">
      <c r="A32" s="2" t="s">
        <v>13</v>
      </c>
      <c r="B32" s="6" t="s">
        <v>124</v>
      </c>
      <c r="C32" s="6" t="s">
        <v>60</v>
      </c>
      <c r="D32" s="34">
        <f>SUMIFS('OB History'!C:C,'OB History'!B:B,A32)</f>
        <v>1069</v>
      </c>
      <c r="E32" s="4">
        <f>AVERAGEIFS('OB History'!C:C,'OB History'!B:B,A32)</f>
        <v>27.410256410256409</v>
      </c>
      <c r="F32" s="35">
        <f t="array" ref="F32">MAX(IF('OB History'!B:B=A32, 'OB History'!C:C))</f>
        <v>57</v>
      </c>
      <c r="G32" s="34">
        <f>COUNTIFS('OB History'!B:B,A32,'OB History'!D:D, 1)</f>
        <v>25</v>
      </c>
      <c r="H32" s="2">
        <f>COUNTIFS('OB History'!B:B,A32,'OB History'!D:D, 0)</f>
        <v>14</v>
      </c>
      <c r="I32" s="88">
        <f>LOOKUP(2, 1/('OB History'!$B:$B=A32), 'OB History'!$AD:$AD)</f>
        <v>0.64102564102564108</v>
      </c>
      <c r="J32" s="34">
        <f>SUMIFS('OB History'!F:F,'OB History'!B:B,A32)</f>
        <v>91</v>
      </c>
      <c r="K32" s="2">
        <f>SUMIFS('OB History'!E:E,'OB History'!B:B,A32)-J32</f>
        <v>70</v>
      </c>
      <c r="L32" s="88">
        <f>LOOKUP(2, 1/('OB History'!$B:$B=A32), 'OB History'!$AB:$AB)</f>
        <v>0.56666666666666665</v>
      </c>
      <c r="M32" s="34">
        <f>SUMIFS('OB History'!H:H,'OB History'!B:B,'Old Bow v2'!A32)</f>
        <v>357</v>
      </c>
      <c r="N32" s="2">
        <f>SUMIFS('OB History'!G:G,'OB History'!B:B,'Old Bow v2'!A32)-M32</f>
        <v>301</v>
      </c>
      <c r="O32" s="88">
        <f>LOOKUP(2, 1/('OB History'!$B:$B=A32), 'OB History'!$AC:$AC)</f>
        <v>0.54512820512820503</v>
      </c>
      <c r="P32" s="2">
        <f>COUNTIFS('OB History'!$B:$B,$A$32,'OB History'!K:K, 1)</f>
        <v>4</v>
      </c>
      <c r="Q32" s="2">
        <f>COUNTIFS('OB History'!$B:$B,$A$32,'OB History'!L:L, 1)</f>
        <v>9</v>
      </c>
      <c r="R32" s="2">
        <f>COUNTIFS('OB History'!$B:$B,$A$32,'OB History'!M:M, 1)</f>
        <v>3</v>
      </c>
      <c r="S32" s="2">
        <f>COUNTIFS('OB History'!$B:$B,$A$32,'OB History'!N:N, 1)</f>
        <v>10</v>
      </c>
      <c r="T32" s="2">
        <f>COUNTIFS('OB History'!$B:$B,$A$32,'OB History'!O:O, 1)</f>
        <v>3</v>
      </c>
      <c r="U32" s="2">
        <f>COUNTIFS('OB History'!$B:$B,$A$32,'OB History'!P:P, 1)</f>
        <v>13</v>
      </c>
      <c r="V32" s="2">
        <f>COUNTIFS('OB History'!$B:$B,$A$32,'OB History'!Q:Q, 1)</f>
        <v>4</v>
      </c>
      <c r="W32" s="2">
        <f>COUNTIFS('OB History'!$B:$B,$A$32,'OB History'!R:R, 1)</f>
        <v>1</v>
      </c>
      <c r="X32" s="2">
        <f>COUNTIFS('OB History'!$B:$B,$A$32,'OB History'!S:S, 1)</f>
        <v>1</v>
      </c>
      <c r="Y32" s="2">
        <f>COUNTIFS('OB History'!$B:$B,$A$32,'OB History'!T:T, 1)</f>
        <v>2</v>
      </c>
      <c r="Z32" s="2">
        <f>COUNTIFS('OB History'!$B:$B,$A$32,'OB History'!U:U, 1)</f>
        <v>2</v>
      </c>
      <c r="AA32" s="2">
        <f>COUNTIFS('OB History'!$B:$B,$A$32,'OB History'!V:V, 1)</f>
        <v>4</v>
      </c>
      <c r="AB32" s="2">
        <f>COUNTIFS('OB History'!$B:$B,$A$32,'OB History'!W:W, 1)</f>
        <v>9</v>
      </c>
      <c r="AC32" s="2">
        <f>COUNTIFS('OB History'!$B:$B,$A$32,'OB History'!X:X, 1)</f>
        <v>10</v>
      </c>
      <c r="AD32" s="2">
        <f>COUNTIFS('OB History'!$B:$B,$A$32,'OB History'!Y:Y, 1)</f>
        <v>5</v>
      </c>
      <c r="AE32" s="2">
        <f>COUNTIFS('OB History'!$B:$B,$A$32,'OB History'!Z:Z, 1)</f>
        <v>10</v>
      </c>
    </row>
    <row r="33" spans="1:31" x14ac:dyDescent="0.25">
      <c r="A33" s="2" t="s">
        <v>2</v>
      </c>
      <c r="B33" s="6" t="s">
        <v>60</v>
      </c>
      <c r="C33" s="2" t="s">
        <v>79</v>
      </c>
      <c r="D33" s="34">
        <f>SUMIFS('OB History'!C:C,'OB History'!B:B,A33)</f>
        <v>354</v>
      </c>
      <c r="E33" s="4">
        <f>AVERAGEIFS('OB History'!C:C,'OB History'!B:B,A33)</f>
        <v>27.23076923076923</v>
      </c>
      <c r="F33" s="35">
        <f t="array" ref="F33">MAX(IF('OB History'!B:B=A33, 'OB History'!C:C))</f>
        <v>42</v>
      </c>
      <c r="G33" s="34">
        <f>COUNTIFS('OB History'!B:B,A33,'OB History'!D:D, 1)</f>
        <v>7</v>
      </c>
      <c r="H33" s="2">
        <f>COUNTIFS('OB History'!B:B,A33,'OB History'!D:D, 0)</f>
        <v>6</v>
      </c>
      <c r="I33" s="88">
        <f>LOOKUP(2, 1/('OB History'!$B:$B=A33), 'OB History'!$AD:$AD)</f>
        <v>0.53846153846153844</v>
      </c>
      <c r="J33" s="34">
        <f>SUMIFS('OB History'!F:F,'OB History'!B:B,A33)</f>
        <v>30</v>
      </c>
      <c r="K33" s="2">
        <f>SUMIFS('OB History'!E:E,'OB History'!B:B,A33)-J33</f>
        <v>26</v>
      </c>
      <c r="L33" s="88">
        <f>LOOKUP(2, 1/('OB History'!$B:$B=A33), 'OB History'!$AB:$AB)</f>
        <v>0.54230769230769227</v>
      </c>
      <c r="M33" s="34">
        <f>SUMIFS('OB History'!H:H,'OB History'!B:B,'Old Bow v2'!A33)</f>
        <v>124</v>
      </c>
      <c r="N33" s="2">
        <f>SUMIFS('OB History'!G:G,'OB History'!B:B,'Old Bow v2'!A33)-M33</f>
        <v>109</v>
      </c>
      <c r="O33" s="88">
        <f>LOOKUP(2, 1/('OB History'!$B:$B=A33), 'OB History'!$AC:$AC)</f>
        <v>0.53923076923076918</v>
      </c>
      <c r="P33" s="2">
        <f>COUNTIFS('OB History'!$B:$B,$A$33,'OB History'!K:K, 1)</f>
        <v>2</v>
      </c>
      <c r="Q33" s="2">
        <f>COUNTIFS('OB History'!$B:$B,$A$33,'OB History'!L:L, 1)</f>
        <v>2</v>
      </c>
      <c r="R33" s="2">
        <f>COUNTIFS('OB History'!$B:$B,$A$33,'OB History'!M:M, 1)</f>
        <v>2</v>
      </c>
      <c r="S33" s="2">
        <f>COUNTIFS('OB History'!$B:$B,$A$33,'OB History'!N:N, 1)</f>
        <v>6</v>
      </c>
      <c r="T33" s="2">
        <f>COUNTIFS('OB History'!$B:$B,$A$33,'OB History'!O:O, 1)</f>
        <v>0</v>
      </c>
      <c r="U33" s="2">
        <f>COUNTIFS('OB History'!$B:$B,$A$33,'OB History'!P:P, 1)</f>
        <v>3</v>
      </c>
      <c r="V33" s="2">
        <f>COUNTIFS('OB History'!$B:$B,$A$33,'OB History'!Q:Q, 1)</f>
        <v>0</v>
      </c>
      <c r="W33" s="2">
        <f>COUNTIFS('OB History'!$B:$B,$A$33,'OB History'!R:R, 1)</f>
        <v>1</v>
      </c>
      <c r="X33" s="2">
        <f>COUNTIFS('OB History'!$B:$B,$A$33,'OB History'!S:S, 1)</f>
        <v>0</v>
      </c>
      <c r="Y33" s="2">
        <f>COUNTIFS('OB History'!$B:$B,$A$33,'OB History'!T:T, 1)</f>
        <v>0</v>
      </c>
      <c r="Z33" s="2">
        <f>COUNTIFS('OB History'!$B:$B,$A$33,'OB History'!U:U, 1)</f>
        <v>0</v>
      </c>
      <c r="AA33" s="2">
        <f>COUNTIFS('OB History'!$B:$B,$A$33,'OB History'!V:V, 1)</f>
        <v>0</v>
      </c>
      <c r="AB33" s="2">
        <f>COUNTIFS('OB History'!$B:$B,$A$33,'OB History'!W:W, 1)</f>
        <v>5</v>
      </c>
      <c r="AC33" s="2">
        <f>COUNTIFS('OB History'!$B:$B,$A$33,'OB History'!X:X, 1)</f>
        <v>1</v>
      </c>
      <c r="AD33" s="2">
        <f>COUNTIFS('OB History'!$B:$B,$A$33,'OB History'!Y:Y, 1)</f>
        <v>4</v>
      </c>
      <c r="AE33" s="2">
        <f>COUNTIFS('OB History'!$B:$B,$A$33,'OB History'!Z:Z, 1)</f>
        <v>4</v>
      </c>
    </row>
    <row r="34" spans="1:31" x14ac:dyDescent="0.25">
      <c r="A34" s="2" t="s">
        <v>54</v>
      </c>
      <c r="B34" s="6" t="s">
        <v>60</v>
      </c>
      <c r="C34" s="6" t="s">
        <v>79</v>
      </c>
      <c r="D34" s="34">
        <f>SUMIFS('OB History'!C:C,'OB History'!B:B,A34)</f>
        <v>65</v>
      </c>
      <c r="E34" s="4">
        <f>AVERAGEIFS('OB History'!C:C,'OB History'!B:B,A34)</f>
        <v>21.666666666666668</v>
      </c>
      <c r="F34" s="35">
        <f t="array" ref="F34">MAX(IF('OB History'!B:B=A34, 'OB History'!C:C))</f>
        <v>29</v>
      </c>
      <c r="G34" s="34">
        <f>COUNTIFS('OB History'!B:B,A34,'OB History'!D:D, 1)</f>
        <v>3</v>
      </c>
      <c r="H34" s="2">
        <f>COUNTIFS('OB History'!B:B,A34,'OB History'!D:D, 0)</f>
        <v>0</v>
      </c>
      <c r="I34" s="88">
        <f>LOOKUP(2, 1/('OB History'!$B:$B=A34), 'OB History'!$AD:$AD)</f>
        <v>1</v>
      </c>
      <c r="J34" s="34">
        <f>SUMIFS('OB History'!F:F,'OB History'!B:B,A34)</f>
        <v>9</v>
      </c>
      <c r="K34" s="2">
        <f>SUMIFS('OB History'!E:E,'OB History'!B:B,A34)-J34</f>
        <v>6</v>
      </c>
      <c r="L34" s="88">
        <f>LOOKUP(2, 1/('OB History'!$B:$B=A34), 'OB History'!$AB:$AB)</f>
        <v>0.6</v>
      </c>
      <c r="M34" s="34">
        <f>SUMIFS('OB History'!H:H,'OB History'!B:B,'Old Bow v2'!A34)</f>
        <v>36</v>
      </c>
      <c r="N34" s="2">
        <f>SUMIFS('OB History'!G:G,'OB History'!B:B,'Old Bow v2'!A34)-M34</f>
        <v>26</v>
      </c>
      <c r="O34" s="88">
        <f>LOOKUP(2, 1/('OB History'!$B:$B=A34), 'OB History'!$AC:$AC)</f>
        <v>0.57999999999999996</v>
      </c>
      <c r="P34" s="2">
        <f>COUNTIFS('OB History'!$B:$B,$A$34,'OB History'!K:K, 1)</f>
        <v>0</v>
      </c>
      <c r="Q34" s="2">
        <f>COUNTIFS('OB History'!$B:$B,$A$34,'OB History'!L:L, 1)</f>
        <v>1</v>
      </c>
      <c r="R34" s="2">
        <f>COUNTIFS('OB History'!$B:$B,$A$34,'OB History'!M:M, 1)</f>
        <v>0</v>
      </c>
      <c r="S34" s="2">
        <f>COUNTIFS('OB History'!$B:$B,$A$34,'OB History'!N:N, 1)</f>
        <v>1</v>
      </c>
      <c r="T34" s="2">
        <f>COUNTIFS('OB History'!$B:$B,$A$34,'OB History'!O:O, 1)</f>
        <v>2</v>
      </c>
      <c r="U34" s="2">
        <f>COUNTIFS('OB History'!$B:$B,$A$34,'OB History'!P:P, 1)</f>
        <v>1</v>
      </c>
      <c r="V34" s="2">
        <f>COUNTIFS('OB History'!$B:$B,$A$34,'OB History'!Q:Q, 1)</f>
        <v>2</v>
      </c>
      <c r="W34" s="2">
        <f>COUNTIFS('OB History'!$B:$B,$A$34,'OB History'!R:R, 1)</f>
        <v>0</v>
      </c>
      <c r="X34" s="2">
        <f>COUNTIFS('OB History'!$B:$B,$A$34,'OB History'!S:S, 1)</f>
        <v>0</v>
      </c>
      <c r="Y34" s="2">
        <f>COUNTIFS('OB History'!$B:$B,$A$34,'OB History'!T:T, 1)</f>
        <v>0</v>
      </c>
      <c r="Z34" s="2">
        <f>COUNTIFS('OB History'!$B:$B,$A$34,'OB History'!U:U, 1)</f>
        <v>0</v>
      </c>
      <c r="AA34" s="2">
        <f>COUNTIFS('OB History'!$B:$B,$A$34,'OB History'!V:V, 1)</f>
        <v>1</v>
      </c>
      <c r="AB34" s="2">
        <f>COUNTIFS('OB History'!$B:$B,$A$34,'OB History'!W:W, 1)</f>
        <v>1</v>
      </c>
      <c r="AC34" s="2">
        <f>COUNTIFS('OB History'!$B:$B,$A$34,'OB History'!X:X, 1)</f>
        <v>0</v>
      </c>
      <c r="AD34" s="2">
        <f>COUNTIFS('OB History'!$B:$B,$A$34,'OB History'!Y:Y, 1)</f>
        <v>0</v>
      </c>
      <c r="AE34" s="2">
        <f>COUNTIFS('OB History'!$B:$B,$A$34,'OB History'!Z:Z, 1)</f>
        <v>0</v>
      </c>
    </row>
    <row r="35" spans="1:31" x14ac:dyDescent="0.25">
      <c r="A35" s="2" t="s">
        <v>5</v>
      </c>
      <c r="B35" s="6" t="s">
        <v>60</v>
      </c>
      <c r="C35" s="2" t="s">
        <v>79</v>
      </c>
      <c r="D35" s="34">
        <f>SUMIFS('OB History'!C:C,'OB History'!B:B,A35)</f>
        <v>236</v>
      </c>
      <c r="E35" s="4">
        <f>AVERAGEIFS('OB History'!C:C,'OB History'!B:B,A35)</f>
        <v>23.6</v>
      </c>
      <c r="F35" s="35">
        <f t="array" ref="F35">MAX(IF('OB History'!B:B=A35, 'OB History'!C:C))</f>
        <v>36</v>
      </c>
      <c r="G35" s="34">
        <f>COUNTIFS('OB History'!B:B,A35,'OB History'!D:D, 1)</f>
        <v>5</v>
      </c>
      <c r="H35" s="2">
        <f>COUNTIFS('OB History'!B:B,A35,'OB History'!D:D, 0)</f>
        <v>5</v>
      </c>
      <c r="I35" s="88">
        <f>LOOKUP(2, 1/('OB History'!$B:$B=A35), 'OB History'!$AD:$AD)</f>
        <v>0.5</v>
      </c>
      <c r="J35" s="34">
        <f>SUMIFS('OB History'!F:F,'OB History'!B:B,A35)</f>
        <v>21</v>
      </c>
      <c r="K35" s="2">
        <f>SUMIFS('OB History'!E:E,'OB History'!B:B,A35)-J35</f>
        <v>23</v>
      </c>
      <c r="L35" s="88">
        <f>LOOKUP(2, 1/('OB History'!$B:$B=A35), 'OB History'!$AB:$AB)</f>
        <v>0.46999999999999992</v>
      </c>
      <c r="M35" s="34">
        <f>SUMIFS('OB History'!H:H,'OB History'!B:B,'Old Bow v2'!A35)</f>
        <v>91</v>
      </c>
      <c r="N35" s="2">
        <f>SUMIFS('OB History'!G:G,'OB History'!B:B,'Old Bow v2'!A35)-M35</f>
        <v>95</v>
      </c>
      <c r="O35" s="88">
        <f>LOOKUP(2, 1/('OB History'!$B:$B=A35), 'OB History'!$AC:$AC)</f>
        <v>0.48</v>
      </c>
      <c r="P35" s="2">
        <f>COUNTIFS('OB History'!$B:$B,$A$35,'OB History'!K:K, 1)</f>
        <v>1</v>
      </c>
      <c r="Q35" s="2">
        <f>COUNTIFS('OB History'!$B:$B,$A$35,'OB History'!L:L, 1)</f>
        <v>1</v>
      </c>
      <c r="R35" s="2">
        <f>COUNTIFS('OB History'!$B:$B,$A$35,'OB History'!M:M, 1)</f>
        <v>3</v>
      </c>
      <c r="S35" s="2">
        <f>COUNTIFS('OB History'!$B:$B,$A$35,'OB History'!N:N, 1)</f>
        <v>2</v>
      </c>
      <c r="T35" s="2">
        <f>COUNTIFS('OB History'!$B:$B,$A$35,'OB History'!O:O, 1)</f>
        <v>1</v>
      </c>
      <c r="U35" s="2">
        <f>COUNTIFS('OB History'!$B:$B,$A$35,'OB History'!P:P, 1)</f>
        <v>1</v>
      </c>
      <c r="V35" s="2">
        <f>COUNTIFS('OB History'!$B:$B,$A$35,'OB History'!Q:Q, 1)</f>
        <v>0</v>
      </c>
      <c r="W35" s="2">
        <f>COUNTIFS('OB History'!$B:$B,$A$35,'OB History'!R:R, 1)</f>
        <v>1</v>
      </c>
      <c r="X35" s="2">
        <f>COUNTIFS('OB History'!$B:$B,$A$35,'OB History'!S:S, 1)</f>
        <v>0</v>
      </c>
      <c r="Y35" s="2">
        <f>COUNTIFS('OB History'!$B:$B,$A$35,'OB History'!T:T, 1)</f>
        <v>0</v>
      </c>
      <c r="Z35" s="2">
        <f>COUNTIFS('OB History'!$B:$B,$A$35,'OB History'!U:U, 1)</f>
        <v>0</v>
      </c>
      <c r="AA35" s="2">
        <f>COUNTIFS('OB History'!$B:$B,$A$35,'OB History'!V:V, 1)</f>
        <v>0</v>
      </c>
      <c r="AB35" s="2">
        <f>COUNTIFS('OB History'!$B:$B,$A$35,'OB History'!W:W, 1)</f>
        <v>1</v>
      </c>
      <c r="AC35" s="2">
        <f>COUNTIFS('OB History'!$B:$B,$A$35,'OB History'!X:X, 1)</f>
        <v>5</v>
      </c>
      <c r="AD35" s="2">
        <f>COUNTIFS('OB History'!$B:$B,$A$35,'OB History'!Y:Y, 1)</f>
        <v>3</v>
      </c>
      <c r="AE35" s="2">
        <f>COUNTIFS('OB History'!$B:$B,$A$35,'OB History'!Z:Z, 1)</f>
        <v>2</v>
      </c>
    </row>
    <row r="36" spans="1:31" x14ac:dyDescent="0.25">
      <c r="A36" s="2" t="s">
        <v>38</v>
      </c>
      <c r="B36" s="2" t="s">
        <v>79</v>
      </c>
      <c r="C36" s="2" t="s">
        <v>79</v>
      </c>
      <c r="D36" s="34">
        <f>SUMIFS('OB History'!C:C,'OB History'!B:B,A36)</f>
        <v>24</v>
      </c>
      <c r="E36" s="4">
        <f>AVERAGEIFS('OB History'!C:C,'OB History'!B:B,A36)</f>
        <v>4</v>
      </c>
      <c r="F36" s="35">
        <f t="array" ref="F36">MAX(IF('OB History'!B:B=A36, 'OB History'!C:C))</f>
        <v>7</v>
      </c>
      <c r="G36" s="34">
        <f>COUNTIFS('OB History'!B:B,A36,'OB History'!D:D, 1)</f>
        <v>2</v>
      </c>
      <c r="H36" s="2">
        <f>COUNTIFS('OB History'!B:B,A36,'OB History'!D:D, 0)</f>
        <v>4</v>
      </c>
      <c r="I36" s="88">
        <f>LOOKUP(2, 1/('OB History'!$B:$B=A36), 'OB History'!$AD:$AD)</f>
        <v>0.33333333333333331</v>
      </c>
      <c r="J36" s="34">
        <f>SUMIFS('OB History'!F:F,'OB History'!B:B,A36)</f>
        <v>8</v>
      </c>
      <c r="K36" s="2">
        <f>SUMIFS('OB History'!E:E,'OB History'!B:B,A36)-J36</f>
        <v>13</v>
      </c>
      <c r="L36" s="88">
        <f>LOOKUP(2, 1/('OB History'!$B:$B=A36), 'OB History'!$AB:$AB)</f>
        <v>0.375</v>
      </c>
      <c r="M36" s="34">
        <f>SUMIFS('OB History'!H:H,'OB History'!B:B,'Old Bow v2'!A36)</f>
        <v>35</v>
      </c>
      <c r="N36" s="2">
        <f>SUMIFS('OB History'!G:G,'OB History'!B:B,'Old Bow v2'!A36)-M36</f>
        <v>50</v>
      </c>
      <c r="O36" s="88">
        <f>LOOKUP(2, 1/('OB History'!$B:$B=A36), 'OB History'!$AC:$AC)</f>
        <v>0.41666666666666669</v>
      </c>
      <c r="P36" s="2">
        <f>COUNTIFS('OB History'!$B:$B,$A$36,'OB History'!K:K, 1)</f>
        <v>1</v>
      </c>
      <c r="Q36" s="2">
        <f>COUNTIFS('OB History'!$B:$B,$A$36,'OB History'!L:L, 1)</f>
        <v>1</v>
      </c>
      <c r="R36" s="2">
        <f>COUNTIFS('OB History'!$B:$B,$A$36,'OB History'!M:M, 1)</f>
        <v>1</v>
      </c>
      <c r="S36" s="2">
        <f>COUNTIFS('OB History'!$B:$B,$A$36,'OB History'!N:N, 1)</f>
        <v>1</v>
      </c>
      <c r="T36" s="2">
        <f>COUNTIFS('OB History'!$B:$B,$A$36,'OB History'!O:O, 1)</f>
        <v>0</v>
      </c>
      <c r="U36" s="2">
        <f>COUNTIFS('OB History'!$B:$B,$A$36,'OB History'!P:P, 1)</f>
        <v>2</v>
      </c>
      <c r="V36" s="2">
        <f>COUNTIFS('OB History'!$B:$B,$A$36,'OB History'!Q:Q, 1)</f>
        <v>0</v>
      </c>
      <c r="W36" s="2">
        <f>COUNTIFS('OB History'!$B:$B,$A$36,'OB History'!R:R, 1)</f>
        <v>1</v>
      </c>
      <c r="X36" s="2">
        <f>COUNTIFS('OB History'!$B:$B,$A$36,'OB History'!S:S, 1)</f>
        <v>0</v>
      </c>
      <c r="Y36" s="2">
        <f>COUNTIFS('OB History'!$B:$B,$A$36,'OB History'!T:T, 1)</f>
        <v>0</v>
      </c>
      <c r="Z36" s="2">
        <f>COUNTIFS('OB History'!$B:$B,$A$36,'OB History'!U:U, 1)</f>
        <v>0</v>
      </c>
      <c r="AA36" s="2">
        <f>COUNTIFS('OB History'!$B:$B,$A$36,'OB History'!V:V, 1)</f>
        <v>0</v>
      </c>
      <c r="AB36" s="2">
        <f>COUNTIFS('OB History'!$B:$B,$A$36,'OB History'!W:W, 1)</f>
        <v>1</v>
      </c>
      <c r="AC36" s="2">
        <f>COUNTIFS('OB History'!$B:$B,$A$36,'OB History'!X:X, 1)</f>
        <v>0</v>
      </c>
      <c r="AD36" s="2">
        <f>COUNTIFS('OB History'!$B:$B,$A$36,'OB History'!Y:Y, 1)</f>
        <v>0</v>
      </c>
      <c r="AE36" s="2">
        <f>COUNTIFS('OB History'!$B:$B,$A$36,'OB History'!Z:Z, 1)</f>
        <v>0</v>
      </c>
    </row>
    <row r="37" spans="1:31" x14ac:dyDescent="0.25">
      <c r="A37" s="2" t="s">
        <v>142</v>
      </c>
      <c r="B37" s="2" t="s">
        <v>79</v>
      </c>
      <c r="C37" s="2" t="s">
        <v>79</v>
      </c>
      <c r="D37" s="34">
        <f>SUMIFS('OB History'!C:C,'OB History'!B:B,A37)</f>
        <v>51</v>
      </c>
      <c r="E37" s="4">
        <f>AVERAGEIFS('OB History'!C:C,'OB History'!B:B,A37)</f>
        <v>17</v>
      </c>
      <c r="F37" s="35">
        <f t="array" ref="F37">MAX(IF('OB History'!B:B=A37, 'OB History'!C:C))</f>
        <v>20</v>
      </c>
      <c r="G37" s="34">
        <f>COUNTIFS('OB History'!B:B,A37,'OB History'!D:D, 1)</f>
        <v>1</v>
      </c>
      <c r="H37" s="2">
        <f>COUNTIFS('OB History'!B:B,A37,'OB History'!D:D, 0)</f>
        <v>2</v>
      </c>
      <c r="I37" s="88">
        <f>LOOKUP(2, 1/('OB History'!$B:$B=A37), 'OB History'!$AD:$AD)</f>
        <v>0.33333333333333331</v>
      </c>
      <c r="J37" s="34">
        <f>SUMIFS('OB History'!F:F,'OB History'!B:B,A37)</f>
        <v>7</v>
      </c>
      <c r="K37" s="2">
        <f>SUMIFS('OB History'!E:E,'OB History'!B:B,A37)-J37</f>
        <v>6</v>
      </c>
      <c r="L37" s="88">
        <f>LOOKUP(2, 1/('OB History'!$B:$B=A37), 'OB History'!$AB:$AB)</f>
        <v>0.6</v>
      </c>
      <c r="M37" s="34">
        <f>SUMIFS('OB History'!H:H,'OB History'!B:B,'Old Bow v2'!A37)</f>
        <v>27</v>
      </c>
      <c r="N37" s="2">
        <f>SUMIFS('OB History'!G:G,'OB History'!B:B,'Old Bow v2'!A37)-M37</f>
        <v>28</v>
      </c>
      <c r="O37" s="88">
        <f>LOOKUP(2, 1/('OB History'!$B:$B=A37), 'OB History'!$AC:$AC)</f>
        <v>0.51666666666666661</v>
      </c>
      <c r="P37" s="2">
        <f>COUNTIFS('OB History'!$B:$B,$A$37,'OB History'!K:K, 1)</f>
        <v>1</v>
      </c>
      <c r="Q37" s="2">
        <f>COUNTIFS('OB History'!$B:$B,$A$37,'OB History'!L:L, 1)</f>
        <v>1</v>
      </c>
      <c r="R37" s="2">
        <f>COUNTIFS('OB History'!$B:$B,$A$37,'OB History'!M:M, 1)</f>
        <v>0</v>
      </c>
      <c r="S37" s="2">
        <f>COUNTIFS('OB History'!$B:$B,$A$37,'OB History'!N:N, 1)</f>
        <v>0</v>
      </c>
      <c r="T37" s="2">
        <f>COUNTIFS('OB History'!$B:$B,$A$37,'OB History'!O:O, 1)</f>
        <v>0</v>
      </c>
      <c r="U37" s="2">
        <f>COUNTIFS('OB History'!$B:$B,$A$37,'OB History'!P:P, 1)</f>
        <v>1</v>
      </c>
      <c r="V37" s="2">
        <f>COUNTIFS('OB History'!$B:$B,$A$37,'OB History'!Q:Q, 1)</f>
        <v>0</v>
      </c>
      <c r="W37" s="2">
        <f>COUNTIFS('OB History'!$B:$B,$A$37,'OB History'!R:R, 1)</f>
        <v>0</v>
      </c>
      <c r="X37" s="2">
        <f>COUNTIFS('OB History'!$B:$B,$A$37,'OB History'!S:S, 1)</f>
        <v>0</v>
      </c>
      <c r="Y37" s="2">
        <f>COUNTIFS('OB History'!$B:$B,$A$37,'OB History'!T:T, 1)</f>
        <v>0</v>
      </c>
      <c r="Z37" s="2">
        <f>COUNTIFS('OB History'!$B:$B,$A$37,'OB History'!U:U, 1)</f>
        <v>0</v>
      </c>
      <c r="AA37" s="2">
        <f>COUNTIFS('OB History'!$B:$B,$A$37,'OB History'!V:V, 1)</f>
        <v>0</v>
      </c>
      <c r="AB37" s="2">
        <f>COUNTIFS('OB History'!$B:$B,$A$37,'OB History'!W:W, 1)</f>
        <v>1</v>
      </c>
      <c r="AC37" s="2">
        <f>COUNTIFS('OB History'!$B:$B,$A$37,'OB History'!X:X, 1)</f>
        <v>1</v>
      </c>
      <c r="AD37" s="2">
        <f>COUNTIFS('OB History'!$B:$B,$A$37,'OB History'!Y:Y, 1)</f>
        <v>0</v>
      </c>
      <c r="AE37" s="2">
        <f>COUNTIFS('OB History'!$B:$B,$A$37,'OB History'!Z:Z, 1)</f>
        <v>1</v>
      </c>
    </row>
    <row r="38" spans="1:31" x14ac:dyDescent="0.25">
      <c r="A38" s="2" t="s">
        <v>150</v>
      </c>
      <c r="B38" s="2" t="s">
        <v>79</v>
      </c>
      <c r="C38" s="2" t="s">
        <v>79</v>
      </c>
      <c r="D38" s="34">
        <f>SUMIFS('OB History'!C:C,'OB History'!B:B,A38)</f>
        <v>4</v>
      </c>
      <c r="E38" s="4">
        <f>AVERAGEIFS('OB History'!C:C,'OB History'!B:B,A38)</f>
        <v>4</v>
      </c>
      <c r="F38" s="35">
        <f t="array" ref="F38">MAX(IF('OB History'!B:B=A38, 'OB History'!C:C))</f>
        <v>4</v>
      </c>
      <c r="G38" s="34">
        <f>COUNTIFS('OB History'!B:B,A38,'OB History'!D:D, 1)</f>
        <v>0</v>
      </c>
      <c r="H38" s="2">
        <f>COUNTIFS('OB History'!B:B,A38,'OB History'!D:D, 0)</f>
        <v>1</v>
      </c>
      <c r="I38" s="88">
        <f>LOOKUP(2, 1/('OB History'!$B:$B=A38), 'OB History'!$AD:$AD)</f>
        <v>0</v>
      </c>
      <c r="J38" s="34">
        <f>SUMIFS('OB History'!F:F,'OB History'!B:B,A38)</f>
        <v>2</v>
      </c>
      <c r="K38" s="2">
        <f>SUMIFS('OB History'!E:E,'OB History'!B:B,A38)-J38</f>
        <v>3</v>
      </c>
      <c r="L38" s="88">
        <f>LOOKUP(2, 1/('OB History'!$B:$B=A38), 'OB History'!$AB:$AB)</f>
        <v>0.4</v>
      </c>
      <c r="M38" s="34">
        <f>SUMIFS('OB History'!H:H,'OB History'!B:B,'Old Bow v2'!A38)</f>
        <v>8</v>
      </c>
      <c r="N38" s="2">
        <f>SUMIFS('OB History'!G:G,'OB History'!B:B,'Old Bow v2'!A38)-M38</f>
        <v>10</v>
      </c>
      <c r="O38" s="88">
        <f>LOOKUP(2, 1/('OB History'!$B:$B=A38), 'OB History'!$AC:$AC)</f>
        <v>0.44</v>
      </c>
      <c r="P38" s="2">
        <f>COUNTIFS('OB History'!$B:$B,$A$38,'OB History'!K:K, 1)</f>
        <v>1</v>
      </c>
      <c r="Q38" s="2">
        <f>COUNTIFS('OB History'!$B:$B,$A$38,'OB History'!L:L, 1)</f>
        <v>0</v>
      </c>
      <c r="R38" s="2">
        <f>COUNTIFS('OB History'!$B:$B,$A$38,'OB History'!M:M, 1)</f>
        <v>0</v>
      </c>
      <c r="S38" s="2">
        <f>COUNTIFS('OB History'!$B:$B,$A$38,'OB History'!N:N, 1)</f>
        <v>0</v>
      </c>
      <c r="T38" s="2">
        <f>COUNTIFS('OB History'!$B:$B,$A$38,'OB History'!O:O, 1)</f>
        <v>0</v>
      </c>
      <c r="U38" s="2">
        <f>COUNTIFS('OB History'!$B:$B,$A$38,'OB History'!P:P, 1)</f>
        <v>1</v>
      </c>
      <c r="V38" s="2">
        <f>COUNTIFS('OB History'!$B:$B,$A$38,'OB History'!Q:Q, 1)</f>
        <v>0</v>
      </c>
      <c r="W38" s="2">
        <f>COUNTIFS('OB History'!$B:$B,$A$38,'OB History'!R:R, 1)</f>
        <v>0</v>
      </c>
      <c r="X38" s="2">
        <f>COUNTIFS('OB History'!$B:$B,$A$38,'OB History'!S:S, 1)</f>
        <v>0</v>
      </c>
      <c r="Y38" s="2">
        <f>COUNTIFS('OB History'!$B:$B,$A$38,'OB History'!T:T, 1)</f>
        <v>0</v>
      </c>
      <c r="Z38" s="2">
        <f>COUNTIFS('OB History'!$B:$B,$A$38,'OB History'!U:U, 1)</f>
        <v>0</v>
      </c>
      <c r="AA38" s="2">
        <f>COUNTIFS('OB History'!$B:$B,$A$38,'OB History'!V:V, 1)</f>
        <v>0</v>
      </c>
      <c r="AB38" s="2">
        <f>COUNTIFS('OB History'!$B:$B,$A$38,'OB History'!W:W, 1)</f>
        <v>0</v>
      </c>
      <c r="AC38" s="2">
        <f>COUNTIFS('OB History'!$B:$B,$A$38,'OB History'!X:X, 1)</f>
        <v>0</v>
      </c>
      <c r="AD38" s="2">
        <f>COUNTIFS('OB History'!$B:$B,$A$38,'OB History'!Y:Y, 1)</f>
        <v>0</v>
      </c>
      <c r="AE38" s="2">
        <f>COUNTIFS('OB History'!$B:$B,$A$38,'OB History'!Z:Z, 1)</f>
        <v>0</v>
      </c>
    </row>
    <row r="39" spans="1:31" x14ac:dyDescent="0.25">
      <c r="A39" s="2" t="s">
        <v>40</v>
      </c>
      <c r="B39" s="2" t="s">
        <v>79</v>
      </c>
      <c r="C39" s="2" t="s">
        <v>79</v>
      </c>
      <c r="D39" s="34">
        <f>SUMIFS('OB History'!C:C,'OB History'!B:B,A39)</f>
        <v>143</v>
      </c>
      <c r="E39" s="4">
        <f>AVERAGEIFS('OB History'!C:C,'OB History'!B:B,A39)</f>
        <v>17.875</v>
      </c>
      <c r="F39" s="35">
        <f t="array" ref="F39">MAX(IF('OB History'!B:B=A39, 'OB History'!C:C))</f>
        <v>28</v>
      </c>
      <c r="G39" s="34">
        <f>COUNTIFS('OB History'!B:B,A39,'OB History'!D:D, 1)</f>
        <v>2</v>
      </c>
      <c r="H39" s="2">
        <f>COUNTIFS('OB History'!B:B,A39,'OB History'!D:D, 0)</f>
        <v>6</v>
      </c>
      <c r="I39" s="88">
        <f>LOOKUP(2, 1/('OB History'!$B:$B=A39), 'OB History'!$AD:$AD)</f>
        <v>0.25</v>
      </c>
      <c r="J39" s="34">
        <f>SUMIFS('OB History'!F:F,'OB History'!B:B,A39)</f>
        <v>12</v>
      </c>
      <c r="K39" s="2">
        <f>SUMIFS('OB History'!E:E,'OB History'!B:B,A39)-J39</f>
        <v>20</v>
      </c>
      <c r="L39" s="88">
        <f>LOOKUP(2, 1/('OB History'!$B:$B=A39), 'OB History'!$AB:$AB)</f>
        <v>0.36249999999999999</v>
      </c>
      <c r="M39" s="34">
        <f>SUMIFS('OB History'!H:H,'OB History'!B:B,'Old Bow v2'!A39)</f>
        <v>53</v>
      </c>
      <c r="N39" s="2">
        <f>SUMIFS('OB History'!G:G,'OB History'!B:B,'Old Bow v2'!A39)-M39</f>
        <v>78</v>
      </c>
      <c r="O39" s="88">
        <f>LOOKUP(2, 1/('OB History'!$B:$B=A39), 'OB History'!$AC:$AC)</f>
        <v>0.38750000000000001</v>
      </c>
      <c r="P39" s="2">
        <f>COUNTIFS('OB History'!$B:$B,$A$39,'OB History'!K:K, 1)</f>
        <v>1</v>
      </c>
      <c r="Q39" s="2">
        <f>COUNTIFS('OB History'!$B:$B,$A$39,'OB History'!L:L, 1)</f>
        <v>2</v>
      </c>
      <c r="R39" s="2">
        <f>COUNTIFS('OB History'!$B:$B,$A$39,'OB History'!M:M, 1)</f>
        <v>0</v>
      </c>
      <c r="S39" s="2">
        <f>COUNTIFS('OB History'!$B:$B,$A$39,'OB History'!N:N, 1)</f>
        <v>0</v>
      </c>
      <c r="T39" s="2">
        <f>COUNTIFS('OB History'!$B:$B,$A$39,'OB History'!O:O, 1)</f>
        <v>0</v>
      </c>
      <c r="U39" s="2">
        <f>COUNTIFS('OB History'!$B:$B,$A$39,'OB History'!P:P, 1)</f>
        <v>1</v>
      </c>
      <c r="V39" s="2">
        <f>COUNTIFS('OB History'!$B:$B,$A$39,'OB History'!Q:Q, 1)</f>
        <v>0</v>
      </c>
      <c r="W39" s="2">
        <f>COUNTIFS('OB History'!$B:$B,$A$39,'OB History'!R:R, 1)</f>
        <v>0</v>
      </c>
      <c r="X39" s="2">
        <f>COUNTIFS('OB History'!$B:$B,$A$39,'OB History'!S:S, 1)</f>
        <v>0</v>
      </c>
      <c r="Y39" s="2">
        <f>COUNTIFS('OB History'!$B:$B,$A$39,'OB History'!T:T, 1)</f>
        <v>0</v>
      </c>
      <c r="Z39" s="2">
        <f>COUNTIFS('OB History'!$B:$B,$A$39,'OB History'!U:U, 1)</f>
        <v>0</v>
      </c>
      <c r="AA39" s="2">
        <f>COUNTIFS('OB History'!$B:$B,$A$39,'OB History'!V:V, 1)</f>
        <v>0</v>
      </c>
      <c r="AB39" s="2">
        <f>COUNTIFS('OB History'!$B:$B,$A$39,'OB History'!W:W, 1)</f>
        <v>0</v>
      </c>
      <c r="AC39" s="2">
        <f>COUNTIFS('OB History'!$B:$B,$A$39,'OB History'!X:X, 1)</f>
        <v>3</v>
      </c>
      <c r="AD39" s="2">
        <f>COUNTIFS('OB History'!$B:$B,$A$39,'OB History'!Y:Y, 1)</f>
        <v>2</v>
      </c>
      <c r="AE39" s="2">
        <f>COUNTIFS('OB History'!$B:$B,$A$39,'OB History'!Z:Z, 1)</f>
        <v>2</v>
      </c>
    </row>
    <row r="40" spans="1:31" x14ac:dyDescent="0.25">
      <c r="A40" s="2" t="s">
        <v>148</v>
      </c>
      <c r="B40" s="2" t="s">
        <v>79</v>
      </c>
      <c r="C40" s="2" t="s">
        <v>79</v>
      </c>
      <c r="D40" s="34">
        <f>SUMIFS('OB History'!C:C,'OB History'!B:B,A40)</f>
        <v>85</v>
      </c>
      <c r="E40" s="4">
        <f>AVERAGEIFS('OB History'!C:C,'OB History'!B:B,A40)</f>
        <v>17</v>
      </c>
      <c r="F40" s="35">
        <f t="array" ref="F40">MAX(IF('OB History'!B:B=A40, 'OB History'!C:C))</f>
        <v>24</v>
      </c>
      <c r="G40" s="34">
        <f>COUNTIFS('OB History'!B:B,A40,'OB History'!D:D, 1)</f>
        <v>0</v>
      </c>
      <c r="H40" s="2">
        <f>COUNTIFS('OB History'!B:B,A40,'OB History'!D:D, 0)</f>
        <v>5</v>
      </c>
      <c r="I40" s="88">
        <f>LOOKUP(2, 1/('OB History'!$B:$B=A40), 'OB History'!$AD:$AD)</f>
        <v>0</v>
      </c>
      <c r="J40" s="34">
        <f>SUMIFS('OB History'!F:F,'OB History'!B:B,A40)</f>
        <v>6</v>
      </c>
      <c r="K40" s="2">
        <f>SUMIFS('OB History'!E:E,'OB History'!B:B,A40)-J40</f>
        <v>15</v>
      </c>
      <c r="L40" s="88">
        <f>LOOKUP(2, 1/('OB History'!$B:$B=A40), 'OB History'!$AB:$AB)</f>
        <v>0.24000000000000005</v>
      </c>
      <c r="M40" s="34">
        <f>SUMIFS('OB History'!H:H,'OB History'!B:B,'Old Bow v2'!A40)</f>
        <v>33</v>
      </c>
      <c r="N40" s="2">
        <f>SUMIFS('OB History'!G:G,'OB History'!B:B,'Old Bow v2'!A40)-M40</f>
        <v>50</v>
      </c>
      <c r="O40" s="88">
        <f>LOOKUP(2, 1/('OB History'!$B:$B=A40), 'OB History'!$AC:$AC)</f>
        <v>0.37</v>
      </c>
      <c r="P40" s="2">
        <f>COUNTIFS('OB History'!$B:$B,$A$40,'OB History'!K:K, 1)</f>
        <v>2</v>
      </c>
      <c r="Q40" s="2">
        <f>COUNTIFS('OB History'!$B:$B,$A$40,'OB History'!L:L, 1)</f>
        <v>0</v>
      </c>
      <c r="R40" s="2">
        <f>COUNTIFS('OB History'!$B:$B,$A$40,'OB History'!M:M, 1)</f>
        <v>0</v>
      </c>
      <c r="S40" s="2">
        <f>COUNTIFS('OB History'!$B:$B,$A$40,'OB History'!N:N, 1)</f>
        <v>0</v>
      </c>
      <c r="T40" s="2">
        <f>COUNTIFS('OB History'!$B:$B,$A$40,'OB History'!O:O, 1)</f>
        <v>0</v>
      </c>
      <c r="U40" s="2">
        <f>COUNTIFS('OB History'!$B:$B,$A$40,'OB History'!P:P, 1)</f>
        <v>2</v>
      </c>
      <c r="V40" s="2">
        <f>COUNTIFS('OB History'!$B:$B,$A$40,'OB History'!Q:Q, 1)</f>
        <v>0</v>
      </c>
      <c r="W40" s="2">
        <f>COUNTIFS('OB History'!$B:$B,$A$40,'OB History'!R:R, 1)</f>
        <v>0</v>
      </c>
      <c r="X40" s="2">
        <f>COUNTIFS('OB History'!$B:$B,$A$40,'OB History'!S:S, 1)</f>
        <v>0</v>
      </c>
      <c r="Y40" s="2">
        <f>COUNTIFS('OB History'!$B:$B,$A$40,'OB History'!T:T, 1)</f>
        <v>0</v>
      </c>
      <c r="Z40" s="2">
        <f>COUNTIFS('OB History'!$B:$B,$A$40,'OB History'!U:U, 1)</f>
        <v>0</v>
      </c>
      <c r="AA40" s="2">
        <f>COUNTIFS('OB History'!$B:$B,$A$40,'OB History'!V:V, 1)</f>
        <v>0</v>
      </c>
      <c r="AB40" s="2">
        <f>COUNTIFS('OB History'!$B:$B,$A$40,'OB History'!W:W, 1)</f>
        <v>0</v>
      </c>
      <c r="AC40" s="2">
        <f>COUNTIFS('OB History'!$B:$B,$A$40,'OB History'!X:X, 1)</f>
        <v>1</v>
      </c>
      <c r="AD40" s="2">
        <f>COUNTIFS('OB History'!$B:$B,$A$40,'OB History'!Y:Y, 1)</f>
        <v>1</v>
      </c>
      <c r="AE40" s="2">
        <f>COUNTIFS('OB History'!$B:$B,$A$40,'OB History'!Z:Z, 1)</f>
        <v>0</v>
      </c>
    </row>
    <row r="41" spans="1:31" x14ac:dyDescent="0.25">
      <c r="A41" s="2" t="s">
        <v>17</v>
      </c>
      <c r="B41" s="2" t="s">
        <v>79</v>
      </c>
      <c r="C41" s="2" t="s">
        <v>79</v>
      </c>
      <c r="D41" s="34">
        <f>SUMIFS('OB History'!C:C,'OB History'!B:B,A41)</f>
        <v>918</v>
      </c>
      <c r="E41" s="4">
        <f>AVERAGEIFS('OB History'!C:C,'OB History'!B:B,A41)</f>
        <v>25.5</v>
      </c>
      <c r="F41" s="35">
        <f t="array" ref="F41">MAX(IF('OB History'!B:B=A41, 'OB History'!C:C))</f>
        <v>49</v>
      </c>
      <c r="G41" s="34">
        <f>COUNTIFS('OB History'!B:B,A41,'OB History'!D:D, 1)</f>
        <v>14</v>
      </c>
      <c r="H41" s="2">
        <f>COUNTIFS('OB History'!B:B,A41,'OB History'!D:D, 0)</f>
        <v>22</v>
      </c>
      <c r="I41" s="88">
        <f>LOOKUP(2, 1/('OB History'!$B:$B=A41), 'OB History'!$AD:$AD)</f>
        <v>0.3888888888888889</v>
      </c>
      <c r="J41" s="34">
        <f>SUMIFS('OB History'!F:F,'OB History'!B:B,A41)</f>
        <v>72</v>
      </c>
      <c r="K41" s="2">
        <f>SUMIFS('OB History'!E:E,'OB History'!B:B,A41)-J41</f>
        <v>77</v>
      </c>
      <c r="L41" s="88">
        <f>LOOKUP(2, 1/('OB History'!$B:$B=A41), 'OB History'!$AB:$AB)</f>
        <v>0.49861111111111117</v>
      </c>
      <c r="M41" s="34">
        <f>SUMIFS('OB History'!H:H,'OB History'!B:B,'Old Bow v2'!A41)</f>
        <v>307</v>
      </c>
      <c r="N41" s="2">
        <f>SUMIFS('OB History'!G:G,'OB History'!B:B,'Old Bow v2'!A41)-M41</f>
        <v>307</v>
      </c>
      <c r="O41" s="88">
        <f>LOOKUP(2, 1/('OB History'!$B:$B=A41), 'OB History'!$AC:$AC)</f>
        <v>0.51138888888888878</v>
      </c>
      <c r="P41" s="2">
        <f>COUNTIFS('OB History'!$B:$B,$A$41,'OB History'!K:K, 1)</f>
        <v>6</v>
      </c>
      <c r="Q41" s="2">
        <f>COUNTIFS('OB History'!$B:$B,$A$41,'OB History'!L:L, 1)</f>
        <v>3</v>
      </c>
      <c r="R41" s="2">
        <f>COUNTIFS('OB History'!$B:$B,$A$41,'OB History'!M:M, 1)</f>
        <v>3</v>
      </c>
      <c r="S41" s="2">
        <f>COUNTIFS('OB History'!$B:$B,$A$41,'OB History'!N:N, 1)</f>
        <v>8</v>
      </c>
      <c r="T41" s="2">
        <f>COUNTIFS('OB History'!$B:$B,$A$41,'OB History'!O:O, 1)</f>
        <v>0</v>
      </c>
      <c r="U41" s="2">
        <f>COUNTIFS('OB History'!$B:$B,$A$41,'OB History'!P:P, 1)</f>
        <v>10</v>
      </c>
      <c r="V41" s="2">
        <f>COUNTIFS('OB History'!$B:$B,$A$41,'OB History'!Q:Q, 1)</f>
        <v>2</v>
      </c>
      <c r="W41" s="2">
        <f>COUNTIFS('OB History'!$B:$B,$A$41,'OB History'!R:R, 1)</f>
        <v>0</v>
      </c>
      <c r="X41" s="2">
        <f>COUNTIFS('OB History'!$B:$B,$A$41,'OB History'!S:S, 1)</f>
        <v>1</v>
      </c>
      <c r="Y41" s="2">
        <f>COUNTIFS('OB History'!$B:$B,$A$41,'OB History'!T:T, 1)</f>
        <v>1</v>
      </c>
      <c r="Z41" s="2">
        <f>COUNTIFS('OB History'!$B:$B,$A$41,'OB History'!U:U, 1)</f>
        <v>1</v>
      </c>
      <c r="AA41" s="2">
        <f>COUNTIFS('OB History'!$B:$B,$A$41,'OB History'!V:V, 1)</f>
        <v>2</v>
      </c>
      <c r="AB41" s="2">
        <f>COUNTIFS('OB History'!$B:$B,$A$41,'OB History'!W:W, 1)</f>
        <v>6</v>
      </c>
      <c r="AC41" s="2">
        <f>COUNTIFS('OB History'!$B:$B,$A$41,'OB History'!X:X, 1)</f>
        <v>11</v>
      </c>
      <c r="AD41" s="2">
        <f>COUNTIFS('OB History'!$B:$B,$A$41,'OB History'!Y:Y, 1)</f>
        <v>7</v>
      </c>
      <c r="AE41" s="2">
        <f>COUNTIFS('OB History'!$B:$B,$A$41,'OB History'!Z:Z, 1)</f>
        <v>11</v>
      </c>
    </row>
    <row r="42" spans="1:31" x14ac:dyDescent="0.25">
      <c r="A42" s="2" t="s">
        <v>156</v>
      </c>
      <c r="B42" s="2" t="s">
        <v>79</v>
      </c>
      <c r="C42" s="2" t="s">
        <v>79</v>
      </c>
      <c r="D42" s="34">
        <f>SUMIFS('OB History'!C:C,'OB History'!B:B,A42)</f>
        <v>79</v>
      </c>
      <c r="E42" s="4">
        <f>AVERAGEIFS('OB History'!C:C,'OB History'!B:B,A42)</f>
        <v>15.8</v>
      </c>
      <c r="F42" s="35">
        <f t="array" ref="F42">MAX(IF('OB History'!B:B=A42, 'OB History'!C:C))</f>
        <v>27</v>
      </c>
      <c r="G42" s="34">
        <f>COUNTIFS('OB History'!B:B,A42,'OB History'!D:D, 1)</f>
        <v>2</v>
      </c>
      <c r="H42" s="2">
        <f>COUNTIFS('OB History'!B:B,A42,'OB History'!D:D, 0)</f>
        <v>3</v>
      </c>
      <c r="I42" s="88">
        <f>LOOKUP(2, 1/('OB History'!$B:$B=A42), 'OB History'!$AD:$AD)</f>
        <v>0.4</v>
      </c>
      <c r="J42" s="34">
        <f>SUMIFS('OB History'!F:F,'OB History'!B:B,A42)</f>
        <v>10</v>
      </c>
      <c r="K42" s="2">
        <f>SUMIFS('OB History'!E:E,'OB History'!B:B,A42)-J42</f>
        <v>12</v>
      </c>
      <c r="L42" s="88">
        <f>LOOKUP(2, 1/('OB History'!$B:$B=A42), 'OB History'!$AB:$AB)</f>
        <v>0.45</v>
      </c>
      <c r="M42" s="34">
        <f>SUMIFS('OB History'!H:H,'OB History'!B:B,'Old Bow v2'!A42)</f>
        <v>44</v>
      </c>
      <c r="N42" s="2">
        <f>SUMIFS('OB History'!G:G,'OB History'!B:B,'Old Bow v2'!A42)-M42</f>
        <v>44</v>
      </c>
      <c r="O42" s="88">
        <f>LOOKUP(2, 1/('OB History'!$B:$B=A42), 'OB History'!$AC:$AC)</f>
        <v>0.48399999999999999</v>
      </c>
      <c r="P42" s="2">
        <f>COUNTIFS('OB History'!$B:$B,$A$42,'OB History'!K:K, 1)</f>
        <v>1</v>
      </c>
      <c r="Q42" s="2">
        <f>COUNTIFS('OB History'!$B:$B,$A$42,'OB History'!L:L, 1)</f>
        <v>1</v>
      </c>
      <c r="R42" s="2">
        <f>COUNTIFS('OB History'!$B:$B,$A$42,'OB History'!M:M, 1)</f>
        <v>1</v>
      </c>
      <c r="S42" s="2">
        <f>COUNTIFS('OB History'!$B:$B,$A$42,'OB History'!N:N, 1)</f>
        <v>1</v>
      </c>
      <c r="T42" s="2">
        <f>COUNTIFS('OB History'!$B:$B,$A$42,'OB History'!O:O, 1)</f>
        <v>0</v>
      </c>
      <c r="U42" s="2">
        <f>COUNTIFS('OB History'!$B:$B,$A$42,'OB History'!P:P, 1)</f>
        <v>2</v>
      </c>
      <c r="V42" s="2">
        <f>COUNTIFS('OB History'!$B:$B,$A$42,'OB History'!Q:Q, 1)</f>
        <v>0</v>
      </c>
      <c r="W42" s="2">
        <f>COUNTIFS('OB History'!$B:$B,$A$42,'OB History'!R:R, 1)</f>
        <v>0</v>
      </c>
      <c r="X42" s="2">
        <f>COUNTIFS('OB History'!$B:$B,$A$42,'OB History'!S:S, 1)</f>
        <v>0</v>
      </c>
      <c r="Y42" s="2">
        <f>COUNTIFS('OB History'!$B:$B,$A$42,'OB History'!T:T, 1)</f>
        <v>1</v>
      </c>
      <c r="Z42" s="2">
        <f>COUNTIFS('OB History'!$B:$B,$A$42,'OB History'!U:U, 1)</f>
        <v>0</v>
      </c>
      <c r="AA42" s="2">
        <f>COUNTIFS('OB History'!$B:$B,$A$42,'OB History'!V:V, 1)</f>
        <v>0</v>
      </c>
      <c r="AB42" s="2">
        <f>COUNTIFS('OB History'!$B:$B,$A$42,'OB History'!W:W, 1)</f>
        <v>0</v>
      </c>
      <c r="AC42" s="2">
        <f>COUNTIFS('OB History'!$B:$B,$A$42,'OB History'!X:X, 1)</f>
        <v>1</v>
      </c>
      <c r="AD42" s="2">
        <f>COUNTIFS('OB History'!$B:$B,$A$42,'OB History'!Y:Y, 1)</f>
        <v>1</v>
      </c>
      <c r="AE42" s="2">
        <f>COUNTIFS('OB History'!$B:$B,$A$42,'OB History'!Z:Z, 1)</f>
        <v>1</v>
      </c>
    </row>
    <row r="43" spans="1:31" x14ac:dyDescent="0.25">
      <c r="A43" s="2" t="s">
        <v>6</v>
      </c>
      <c r="B43" s="2" t="s">
        <v>60</v>
      </c>
      <c r="C43" s="2" t="s">
        <v>79</v>
      </c>
      <c r="D43" s="34">
        <f>SUMIFS('OB History'!C:C,'OB History'!B:B,A43)</f>
        <v>464</v>
      </c>
      <c r="E43" s="4">
        <f>AVERAGEIFS('OB History'!C:C,'OB History'!B:B,A43)</f>
        <v>23.2</v>
      </c>
      <c r="F43" s="35">
        <f t="array" ref="F43">MAX(IF('OB History'!B:B=A43, 'OB History'!C:C))</f>
        <v>43</v>
      </c>
      <c r="G43" s="34">
        <f>COUNTIFS('OB History'!B:B,A43,'OB History'!D:D, 1)</f>
        <v>15</v>
      </c>
      <c r="H43" s="2">
        <f>COUNTIFS('OB History'!B:B,A43,'OB History'!D:D, 0)</f>
        <v>5</v>
      </c>
      <c r="I43" s="88">
        <f>LOOKUP(2, 1/('OB History'!$B:$B=A43), 'OB History'!$AD:$AD)</f>
        <v>0.75</v>
      </c>
      <c r="J43" s="34">
        <f>SUMIFS('OB History'!F:F,'OB History'!B:B,A43)</f>
        <v>49</v>
      </c>
      <c r="K43" s="2">
        <f>SUMIFS('OB History'!E:E,'OB History'!B:B,A43)-J43</f>
        <v>32</v>
      </c>
      <c r="L43" s="88">
        <f>LOOKUP(2, 1/('OB History'!$B:$B=A43), 'OB History'!$AB:$AB)</f>
        <v>0.61249999999999993</v>
      </c>
      <c r="M43" s="34">
        <f>SUMIFS('OB History'!H:H,'OB History'!B:B,'Old Bow v2'!A43)</f>
        <v>187</v>
      </c>
      <c r="N43" s="2">
        <f>SUMIFS('OB History'!G:G,'OB History'!B:B,'Old Bow v2'!A43)-M43</f>
        <v>156</v>
      </c>
      <c r="O43" s="88">
        <f>LOOKUP(2, 1/('OB History'!$B:$B=A43), 'OB History'!$AC:$AC)</f>
        <v>0.54949999999999999</v>
      </c>
      <c r="P43" s="2">
        <f>COUNTIFS('OB History'!$B:$B,$A$43,'OB History'!K:K, 1)</f>
        <v>1</v>
      </c>
      <c r="Q43" s="2">
        <f>COUNTIFS('OB History'!$B:$B,$A$43,'OB History'!L:L, 1)</f>
        <v>5</v>
      </c>
      <c r="R43" s="2">
        <f>COUNTIFS('OB History'!$B:$B,$A$43,'OB History'!M:M, 1)</f>
        <v>4</v>
      </c>
      <c r="S43" s="2">
        <f>COUNTIFS('OB History'!$B:$B,$A$43,'OB History'!N:N, 1)</f>
        <v>2</v>
      </c>
      <c r="T43" s="2">
        <f>COUNTIFS('OB History'!$B:$B,$A$43,'OB History'!O:O, 1)</f>
        <v>1</v>
      </c>
      <c r="U43" s="2">
        <f>COUNTIFS('OB History'!$B:$B,$A$43,'OB History'!P:P, 1)</f>
        <v>7</v>
      </c>
      <c r="V43" s="2">
        <f>COUNTIFS('OB History'!$B:$B,$A$43,'OB History'!Q:Q, 1)</f>
        <v>1</v>
      </c>
      <c r="W43" s="2">
        <f>COUNTIFS('OB History'!$B:$B,$A$43,'OB History'!R:R, 1)</f>
        <v>2</v>
      </c>
      <c r="X43" s="2">
        <f>COUNTIFS('OB History'!$B:$B,$A$43,'OB History'!S:S, 1)</f>
        <v>0</v>
      </c>
      <c r="Y43" s="2">
        <f>COUNTIFS('OB History'!$B:$B,$A$43,'OB History'!T:T, 1)</f>
        <v>2</v>
      </c>
      <c r="Z43" s="2">
        <f>COUNTIFS('OB History'!$B:$B,$A$43,'OB History'!U:U, 1)</f>
        <v>0</v>
      </c>
      <c r="AA43" s="2">
        <f>COUNTIFS('OB History'!$B:$B,$A$43,'OB History'!V:V, 1)</f>
        <v>1</v>
      </c>
      <c r="AB43" s="2">
        <f>COUNTIFS('OB History'!$B:$B,$A$43,'OB History'!W:W, 1)</f>
        <v>6</v>
      </c>
      <c r="AC43" s="2">
        <f>COUNTIFS('OB History'!$B:$B,$A$43,'OB History'!X:X, 1)</f>
        <v>7</v>
      </c>
      <c r="AD43" s="2">
        <f>COUNTIFS('OB History'!$B:$B,$A$43,'OB History'!Y:Y, 1)</f>
        <v>3</v>
      </c>
      <c r="AE43" s="2">
        <f>COUNTIFS('OB History'!$B:$B,$A$43,'OB History'!Z:Z, 1)</f>
        <v>7</v>
      </c>
    </row>
    <row r="44" spans="1:31" x14ac:dyDescent="0.25">
      <c r="A44" s="2" t="s">
        <v>18</v>
      </c>
      <c r="B44" s="2" t="s">
        <v>79</v>
      </c>
      <c r="C44" s="2" t="s">
        <v>79</v>
      </c>
      <c r="D44" s="34">
        <f>SUMIFS('OB History'!C:C,'OB History'!B:B,A44)</f>
        <v>504</v>
      </c>
      <c r="E44" s="4">
        <f>AVERAGEIFS('OB History'!C:C,'OB History'!B:B,A44)</f>
        <v>25.2</v>
      </c>
      <c r="F44" s="35">
        <f t="array" ref="F44">MAX(IF('OB History'!B:B=A44, 'OB History'!C:C))</f>
        <v>41</v>
      </c>
      <c r="G44" s="34">
        <f>COUNTIFS('OB History'!B:B,A44,'OB History'!D:D, 1)</f>
        <v>10</v>
      </c>
      <c r="H44" s="2">
        <f>COUNTIFS('OB History'!B:B,A44,'OB History'!D:D, 0)</f>
        <v>10</v>
      </c>
      <c r="I44" s="88">
        <f>LOOKUP(2, 1/('OB History'!$B:$B=A44), 'OB History'!$AD:$AD)</f>
        <v>0.5</v>
      </c>
      <c r="J44" s="34">
        <f>SUMIFS('OB History'!F:F,'OB History'!B:B,A44)</f>
        <v>42</v>
      </c>
      <c r="K44" s="2">
        <f>SUMIFS('OB History'!E:E,'OB History'!B:B,A44)-J44</f>
        <v>40</v>
      </c>
      <c r="L44" s="88">
        <f>LOOKUP(2, 1/('OB History'!$B:$B=A44), 'OB History'!$AB:$AB)</f>
        <v>0.51500000000000001</v>
      </c>
      <c r="M44" s="34">
        <f>SUMIFS('OB History'!H:H,'OB History'!B:B,'Old Bow v2'!A44)</f>
        <v>171</v>
      </c>
      <c r="N44" s="2">
        <f>SUMIFS('OB History'!G:G,'OB History'!B:B,'Old Bow v2'!A44)-M44</f>
        <v>166</v>
      </c>
      <c r="O44" s="88">
        <f>LOOKUP(2, 1/('OB History'!$B:$B=A44), 'OB History'!$AC:$AC)</f>
        <v>0.50900000000000001</v>
      </c>
      <c r="P44" s="2">
        <f>COUNTIFS('OB History'!$B:$B,$A$44,'OB History'!K:K, 1)</f>
        <v>2</v>
      </c>
      <c r="Q44" s="2">
        <f>COUNTIFS('OB History'!$B:$B,$A$44,'OB History'!L:L, 1)</f>
        <v>2</v>
      </c>
      <c r="R44" s="2">
        <f>COUNTIFS('OB History'!$B:$B,$A$44,'OB History'!M:M, 1)</f>
        <v>0</v>
      </c>
      <c r="S44" s="2">
        <f>COUNTIFS('OB History'!$B:$B,$A$44,'OB History'!N:N, 1)</f>
        <v>7</v>
      </c>
      <c r="T44" s="2">
        <f>COUNTIFS('OB History'!$B:$B,$A$44,'OB History'!O:O, 1)</f>
        <v>1</v>
      </c>
      <c r="U44" s="2">
        <f>COUNTIFS('OB History'!$B:$B,$A$44,'OB History'!P:P, 1)</f>
        <v>5</v>
      </c>
      <c r="V44" s="2">
        <f>COUNTIFS('OB History'!$B:$B,$A$44,'OB History'!Q:Q, 1)</f>
        <v>2</v>
      </c>
      <c r="W44" s="2">
        <f>COUNTIFS('OB History'!$B:$B,$A$44,'OB History'!R:R, 1)</f>
        <v>2</v>
      </c>
      <c r="X44" s="2">
        <f>COUNTIFS('OB History'!$B:$B,$A$44,'OB History'!S:S, 1)</f>
        <v>0</v>
      </c>
      <c r="Y44" s="2">
        <f>COUNTIFS('OB History'!$B:$B,$A$44,'OB History'!T:T, 1)</f>
        <v>1</v>
      </c>
      <c r="Z44" s="2">
        <f>COUNTIFS('OB History'!$B:$B,$A$44,'OB History'!U:U, 1)</f>
        <v>1</v>
      </c>
      <c r="AA44" s="2">
        <f>COUNTIFS('OB History'!$B:$B,$A$44,'OB History'!V:V, 1)</f>
        <v>0</v>
      </c>
      <c r="AB44" s="2">
        <f>COUNTIFS('OB History'!$B:$B,$A$44,'OB History'!W:W, 1)</f>
        <v>5</v>
      </c>
      <c r="AC44" s="2">
        <f>COUNTIFS('OB History'!$B:$B,$A$44,'OB History'!X:X, 1)</f>
        <v>6</v>
      </c>
      <c r="AD44" s="2">
        <f>COUNTIFS('OB History'!$B:$B,$A$44,'OB History'!Y:Y, 1)</f>
        <v>2</v>
      </c>
      <c r="AE44" s="2">
        <f>COUNTIFS('OB History'!$B:$B,$A$44,'OB History'!Z:Z, 1)</f>
        <v>5</v>
      </c>
    </row>
    <row r="45" spans="1:31" x14ac:dyDescent="0.25">
      <c r="A45" s="2" t="s">
        <v>113</v>
      </c>
      <c r="B45" s="2" t="s">
        <v>79</v>
      </c>
      <c r="C45" s="2" t="s">
        <v>79</v>
      </c>
      <c r="D45" s="34">
        <f>SUMIFS('OB History'!C:C,'OB History'!B:B,A45)</f>
        <v>41</v>
      </c>
      <c r="E45" s="4">
        <f>AVERAGEIFS('OB History'!C:C,'OB History'!B:B,A45)</f>
        <v>13.666666666666666</v>
      </c>
      <c r="F45" s="35">
        <f t="array" ref="F45">MAX(IF('OB History'!B:B=A45, 'OB History'!C:C))</f>
        <v>19</v>
      </c>
      <c r="G45" s="34">
        <f>COUNTIFS('OB History'!B:B,A45,'OB History'!D:D, 1)</f>
        <v>2</v>
      </c>
      <c r="H45" s="2">
        <f>COUNTIFS('OB History'!B:B,A45,'OB History'!D:D, 0)</f>
        <v>1</v>
      </c>
      <c r="I45" s="88">
        <f>LOOKUP(2, 1/('OB History'!$B:$B=A45), 'OB History'!$AD:$AD)</f>
        <v>0.66666666666666663</v>
      </c>
      <c r="J45" s="34">
        <f>SUMIFS('OB History'!F:F,'OB History'!B:B,A45)</f>
        <v>6</v>
      </c>
      <c r="K45" s="2">
        <f>SUMIFS('OB History'!E:E,'OB History'!B:B,A45)-J45</f>
        <v>7</v>
      </c>
      <c r="L45" s="88">
        <f>LOOKUP(2, 1/('OB History'!$B:$B=A45), 'OB History'!$AB:$AB)</f>
        <v>0.39999999999999997</v>
      </c>
      <c r="M45" s="34">
        <f>SUMIFS('OB History'!H:H,'OB History'!B:B,'Old Bow v2'!A45)</f>
        <v>25</v>
      </c>
      <c r="N45" s="2">
        <f>SUMIFS('OB History'!G:G,'OB History'!B:B,'Old Bow v2'!A45)-M45</f>
        <v>28</v>
      </c>
      <c r="O45" s="88">
        <f>LOOKUP(2, 1/('OB History'!$B:$B=A45), 'OB History'!$AC:$AC)</f>
        <v>0.42333333333333328</v>
      </c>
      <c r="P45" s="2">
        <f>COUNTIFS('OB History'!$B:$B,$A$45,'OB History'!K:K, 1)</f>
        <v>0</v>
      </c>
      <c r="Q45" s="2">
        <f>COUNTIFS('OB History'!$B:$B,$A$45,'OB History'!L:L, 1)</f>
        <v>1</v>
      </c>
      <c r="R45" s="2">
        <f>COUNTIFS('OB History'!$B:$B,$A$45,'OB History'!M:M, 1)</f>
        <v>1</v>
      </c>
      <c r="S45" s="2">
        <f>COUNTIFS('OB History'!$B:$B,$A$45,'OB History'!N:N, 1)</f>
        <v>0</v>
      </c>
      <c r="T45" s="2">
        <f>COUNTIFS('OB History'!$B:$B,$A$45,'OB History'!O:O, 1)</f>
        <v>0</v>
      </c>
      <c r="U45" s="2">
        <f>COUNTIFS('OB History'!$B:$B,$A$45,'OB History'!P:P, 1)</f>
        <v>0</v>
      </c>
      <c r="V45" s="2">
        <f>COUNTIFS('OB History'!$B:$B,$A$45,'OB History'!Q:Q, 1)</f>
        <v>0</v>
      </c>
      <c r="W45" s="2">
        <f>COUNTIFS('OB History'!$B:$B,$A$45,'OB History'!R:R, 1)</f>
        <v>1</v>
      </c>
      <c r="X45" s="2">
        <f>COUNTIFS('OB History'!$B:$B,$A$45,'OB History'!S:S, 1)</f>
        <v>0</v>
      </c>
      <c r="Y45" s="2">
        <f>COUNTIFS('OB History'!$B:$B,$A$45,'OB History'!T:T, 1)</f>
        <v>0</v>
      </c>
      <c r="Z45" s="2">
        <f>COUNTIFS('OB History'!$B:$B,$A$45,'OB History'!U:U, 1)</f>
        <v>0</v>
      </c>
      <c r="AA45" s="2">
        <f>COUNTIFS('OB History'!$B:$B,$A$45,'OB History'!V:V, 1)</f>
        <v>0</v>
      </c>
      <c r="AB45" s="2">
        <f>COUNTIFS('OB History'!$B:$B,$A$45,'OB History'!W:W, 1)</f>
        <v>0</v>
      </c>
      <c r="AC45" s="2">
        <f>COUNTIFS('OB History'!$B:$B,$A$45,'OB History'!X:X, 1)</f>
        <v>2</v>
      </c>
      <c r="AD45" s="2">
        <f>COUNTIFS('OB History'!$B:$B,$A$45,'OB History'!Y:Y, 1)</f>
        <v>1</v>
      </c>
      <c r="AE45" s="2">
        <f>COUNTIFS('OB History'!$B:$B,$A$45,'OB History'!Z:Z, 1)</f>
        <v>0</v>
      </c>
    </row>
    <row r="46" spans="1:31" x14ac:dyDescent="0.25">
      <c r="A46" s="2" t="s">
        <v>14</v>
      </c>
      <c r="B46" s="6" t="s">
        <v>124</v>
      </c>
      <c r="C46" s="6" t="s">
        <v>124</v>
      </c>
      <c r="D46" s="34">
        <f>SUMIFS('OB History'!C:C,'OB History'!B:B,A46)</f>
        <v>767</v>
      </c>
      <c r="E46" s="4">
        <f>AVERAGEIFS('OB History'!C:C,'OB History'!B:B,A46)</f>
        <v>25.566666666666666</v>
      </c>
      <c r="F46" s="35">
        <f t="array" ref="F46">MAX(IF('OB History'!B:B=A46, 'OB History'!C:C))</f>
        <v>56</v>
      </c>
      <c r="G46" s="34">
        <f>COUNTIFS('OB History'!B:B,A46,'OB History'!D:D, 1)</f>
        <v>17</v>
      </c>
      <c r="H46" s="2">
        <f>COUNTIFS('OB History'!B:B,A46,'OB History'!D:D, 0)</f>
        <v>13</v>
      </c>
      <c r="I46" s="88">
        <f>LOOKUP(2, 1/('OB History'!$B:$B=A46), 'OB History'!$AD:$AD)</f>
        <v>0.56666666666666665</v>
      </c>
      <c r="J46" s="34">
        <f>SUMIFS('OB History'!F:F,'OB History'!B:B,A46)</f>
        <v>65</v>
      </c>
      <c r="K46" s="2">
        <f>SUMIFS('OB History'!E:E,'OB History'!B:B,A46)-J46</f>
        <v>58</v>
      </c>
      <c r="L46" s="88">
        <f>LOOKUP(2, 1/('OB History'!$B:$B=A46), 'OB History'!$AB:$AB)</f>
        <v>0.54166666666666663</v>
      </c>
      <c r="M46" s="34">
        <f>SUMIFS('OB History'!H:H,'OB History'!B:B,'Old Bow v2'!A46)</f>
        <v>261</v>
      </c>
      <c r="N46" s="2">
        <f>SUMIFS('OB History'!G:G,'OB History'!B:B,'Old Bow v2'!A46)-M46</f>
        <v>253</v>
      </c>
      <c r="O46" s="88">
        <f>LOOKUP(2, 1/('OB History'!$B:$B=A46), 'OB History'!$AC:$AC)</f>
        <v>0.51900000000000002</v>
      </c>
      <c r="P46" s="2">
        <f>COUNTIFS('OB History'!$B:$B,$A$46,'OB History'!K:K, 1)</f>
        <v>3</v>
      </c>
      <c r="Q46" s="2">
        <f>COUNTIFS('OB History'!$B:$B,$A$46,'OB History'!L:L, 1)</f>
        <v>7</v>
      </c>
      <c r="R46" s="2">
        <f>COUNTIFS('OB History'!$B:$B,$A$46,'OB History'!M:M, 1)</f>
        <v>3</v>
      </c>
      <c r="S46" s="2">
        <f>COUNTIFS('OB History'!$B:$B,$A$46,'OB History'!N:N, 1)</f>
        <v>7</v>
      </c>
      <c r="T46" s="2">
        <f>COUNTIFS('OB History'!$B:$B,$A$46,'OB History'!O:O, 1)</f>
        <v>2</v>
      </c>
      <c r="U46" s="2">
        <f>COUNTIFS('OB History'!$B:$B,$A$46,'OB History'!P:P, 1)</f>
        <v>6</v>
      </c>
      <c r="V46" s="2">
        <f>COUNTIFS('OB History'!$B:$B,$A$46,'OB History'!Q:Q, 1)</f>
        <v>0</v>
      </c>
      <c r="W46" s="2">
        <f>COUNTIFS('OB History'!$B:$B,$A$46,'OB History'!R:R, 1)</f>
        <v>1</v>
      </c>
      <c r="X46" s="2">
        <f>COUNTIFS('OB History'!$B:$B,$A$46,'OB History'!S:S, 1)</f>
        <v>0</v>
      </c>
      <c r="Y46" s="2">
        <f>COUNTIFS('OB History'!$B:$B,$A$46,'OB History'!T:T, 1)</f>
        <v>0</v>
      </c>
      <c r="Z46" s="2">
        <f>COUNTIFS('OB History'!$B:$B,$A$46,'OB History'!U:U, 1)</f>
        <v>0</v>
      </c>
      <c r="AA46" s="2">
        <f>COUNTIFS('OB History'!$B:$B,$A$46,'OB History'!V:V, 1)</f>
        <v>3</v>
      </c>
      <c r="AB46" s="2">
        <f>COUNTIFS('OB History'!$B:$B,$A$46,'OB History'!W:W, 1)</f>
        <v>6</v>
      </c>
      <c r="AC46" s="2">
        <f>COUNTIFS('OB History'!$B:$B,$A$46,'OB History'!X:X, 1)</f>
        <v>16</v>
      </c>
      <c r="AD46" s="2">
        <f>COUNTIFS('OB History'!$B:$B,$A$46,'OB History'!Y:Y, 1)</f>
        <v>3</v>
      </c>
      <c r="AE46" s="2">
        <f>COUNTIFS('OB History'!$B:$B,$A$46,'OB History'!Z:Z, 1)</f>
        <v>8</v>
      </c>
    </row>
    <row r="47" spans="1:31" x14ac:dyDescent="0.25">
      <c r="A47" s="2" t="s">
        <v>70</v>
      </c>
      <c r="B47" s="6" t="s">
        <v>79</v>
      </c>
      <c r="C47" s="6" t="s">
        <v>79</v>
      </c>
      <c r="D47" s="34">
        <f>SUMIFS('OB History'!C:C,'OB History'!B:B,A47)</f>
        <v>46</v>
      </c>
      <c r="E47" s="4">
        <f>AVERAGEIFS('OB History'!C:C,'OB History'!B:B,A47)</f>
        <v>23</v>
      </c>
      <c r="F47" s="35">
        <f t="array" ref="F47">MAX(IF('OB History'!B:B=A47, 'OB History'!C:C))</f>
        <v>25</v>
      </c>
      <c r="G47" s="34">
        <f>COUNTIFS('OB History'!B:B,A47,'OB History'!D:D, 1)</f>
        <v>1</v>
      </c>
      <c r="H47" s="2">
        <f>COUNTIFS('OB History'!B:B,A47,'OB History'!D:D, 0)</f>
        <v>1</v>
      </c>
      <c r="I47" s="88">
        <f>LOOKUP(2, 1/('OB History'!$B:$B=A47), 'OB History'!$AD:$AD)</f>
        <v>0.5</v>
      </c>
      <c r="J47" s="34">
        <f>SUMIFS('OB History'!F:F,'OB History'!B:B,A47)</f>
        <v>5</v>
      </c>
      <c r="K47" s="2">
        <f>SUMIFS('OB History'!E:E,'OB History'!B:B,A47)-J47</f>
        <v>5</v>
      </c>
      <c r="L47" s="88">
        <f>LOOKUP(2, 1/('OB History'!$B:$B=A47), 'OB History'!$AB:$AB)</f>
        <v>0.5</v>
      </c>
      <c r="M47" s="34">
        <f>SUMIFS('OB History'!H:H,'OB History'!B:B,'Old Bow v2'!A47)</f>
        <v>20</v>
      </c>
      <c r="N47" s="2">
        <f>SUMIFS('OB History'!G:G,'OB History'!B:B,'Old Bow v2'!A47)-M47</f>
        <v>19</v>
      </c>
      <c r="O47" s="88">
        <f>LOOKUP(2, 1/('OB History'!$B:$B=A47), 'OB History'!$AC:$AC)</f>
        <v>0.52</v>
      </c>
      <c r="P47" s="2">
        <f>COUNTIFS('OB History'!$B:$B,$A$47,'OB History'!K:K, 1)</f>
        <v>0</v>
      </c>
      <c r="Q47" s="2">
        <f>COUNTIFS('OB History'!$B:$B,$A$47,'OB History'!L:L, 1)</f>
        <v>0</v>
      </c>
      <c r="R47" s="2">
        <f>COUNTIFS('OB History'!$B:$B,$A$47,'OB History'!M:M, 1)</f>
        <v>0</v>
      </c>
      <c r="S47" s="2">
        <f>COUNTIFS('OB History'!$B:$B,$A$47,'OB History'!N:N, 1)</f>
        <v>2</v>
      </c>
      <c r="T47" s="2">
        <f>COUNTIFS('OB History'!$B:$B,$A$47,'OB History'!O:O, 1)</f>
        <v>0</v>
      </c>
      <c r="U47" s="2">
        <f>COUNTIFS('OB History'!$B:$B,$A$47,'OB History'!P:P, 1)</f>
        <v>0</v>
      </c>
      <c r="V47" s="2">
        <f>COUNTIFS('OB History'!$B:$B,$A$47,'OB History'!Q:Q, 1)</f>
        <v>0</v>
      </c>
      <c r="W47" s="2">
        <f>COUNTIFS('OB History'!$B:$B,$A$47,'OB History'!R:R, 1)</f>
        <v>1</v>
      </c>
      <c r="X47" s="2">
        <f>COUNTIFS('OB History'!$B:$B,$A$47,'OB History'!S:S, 1)</f>
        <v>0</v>
      </c>
      <c r="Y47" s="2">
        <f>COUNTIFS('OB History'!$B:$B,$A$47,'OB History'!T:T, 1)</f>
        <v>0</v>
      </c>
      <c r="Z47" s="2">
        <f>COUNTIFS('OB History'!$B:$B,$A$47,'OB History'!U:U, 1)</f>
        <v>0</v>
      </c>
      <c r="AA47" s="2">
        <f>COUNTIFS('OB History'!$B:$B,$A$47,'OB History'!V:V, 1)</f>
        <v>1</v>
      </c>
      <c r="AB47" s="2">
        <f>COUNTIFS('OB History'!$B:$B,$A$47,'OB History'!W:W, 1)</f>
        <v>0</v>
      </c>
      <c r="AC47" s="2">
        <f>COUNTIFS('OB History'!$B:$B,$A$47,'OB History'!X:X, 1)</f>
        <v>1</v>
      </c>
      <c r="AD47" s="2">
        <f>COUNTIFS('OB History'!$B:$B,$A$47,'OB History'!Y:Y, 1)</f>
        <v>0</v>
      </c>
      <c r="AE47" s="2">
        <f>COUNTIFS('OB History'!$B:$B,$A$47,'OB History'!Z:Z, 1)</f>
        <v>0</v>
      </c>
    </row>
    <row r="48" spans="1:31" x14ac:dyDescent="0.25">
      <c r="A48" s="2" t="s">
        <v>4</v>
      </c>
      <c r="B48" s="2" t="s">
        <v>79</v>
      </c>
      <c r="C48" s="2" t="s">
        <v>79</v>
      </c>
      <c r="D48" s="34">
        <f>SUMIFS('OB History'!C:C,'OB History'!B:B,A48)</f>
        <v>118</v>
      </c>
      <c r="E48" s="4">
        <f>AVERAGEIFS('OB History'!C:C,'OB History'!B:B,A48)</f>
        <v>19.666666666666668</v>
      </c>
      <c r="F48" s="35">
        <f t="array" ref="F48">MAX(IF('OB History'!B:B=A48, 'OB History'!C:C))</f>
        <v>31</v>
      </c>
      <c r="G48" s="34">
        <f>COUNTIFS('OB History'!B:B,A48,'OB History'!D:D, 1)</f>
        <v>4</v>
      </c>
      <c r="H48" s="2">
        <f>COUNTIFS('OB History'!B:B,A48,'OB History'!D:D, 0)</f>
        <v>2</v>
      </c>
      <c r="I48" s="88">
        <f>LOOKUP(2, 1/('OB History'!$B:$B=A48), 'OB History'!$AD:$AD)</f>
        <v>0.66666666666666663</v>
      </c>
      <c r="J48" s="34">
        <f>SUMIFS('OB History'!F:F,'OB History'!B:B,A48)</f>
        <v>12</v>
      </c>
      <c r="K48" s="2">
        <f>SUMIFS('OB History'!E:E,'OB History'!B:B,A48)-J48</f>
        <v>11</v>
      </c>
      <c r="L48" s="88">
        <f>LOOKUP(2, 1/('OB History'!$B:$B=A48), 'OB History'!$AB:$AB)</f>
        <v>0.4916666666666667</v>
      </c>
      <c r="M48" s="34">
        <f>SUMIFS('OB History'!H:H,'OB History'!B:B,'Old Bow v2'!A48)</f>
        <v>46</v>
      </c>
      <c r="N48" s="2">
        <f>SUMIFS('OB History'!G:G,'OB History'!B:B,'Old Bow v2'!A48)-M48</f>
        <v>46</v>
      </c>
      <c r="O48" s="88">
        <f>LOOKUP(2, 1/('OB History'!$B:$B=A48), 'OB History'!$AC:$AC)</f>
        <v>0.47666666666666674</v>
      </c>
      <c r="P48" s="2">
        <f>COUNTIFS('OB History'!$B:$B,$A$48,'OB History'!K:K, 1)</f>
        <v>0</v>
      </c>
      <c r="Q48" s="2">
        <f>COUNTIFS('OB History'!$B:$B,$A$48,'OB History'!L:L, 1)</f>
        <v>3</v>
      </c>
      <c r="R48" s="2">
        <f>COUNTIFS('OB History'!$B:$B,$A$48,'OB History'!M:M, 1)</f>
        <v>2</v>
      </c>
      <c r="S48" s="2">
        <f>COUNTIFS('OB History'!$B:$B,$A$48,'OB History'!N:N, 1)</f>
        <v>0</v>
      </c>
      <c r="T48" s="2">
        <f>COUNTIFS('OB History'!$B:$B,$A$48,'OB History'!O:O, 1)</f>
        <v>1</v>
      </c>
      <c r="U48" s="2">
        <f>COUNTIFS('OB History'!$B:$B,$A$48,'OB History'!P:P, 1)</f>
        <v>2</v>
      </c>
      <c r="V48" s="2">
        <f>COUNTIFS('OB History'!$B:$B,$A$48,'OB History'!Q:Q, 1)</f>
        <v>0</v>
      </c>
      <c r="W48" s="2">
        <f>COUNTIFS('OB History'!$B:$B,$A$48,'OB History'!R:R, 1)</f>
        <v>0</v>
      </c>
      <c r="X48" s="2">
        <f>COUNTIFS('OB History'!$B:$B,$A$48,'OB History'!S:S, 1)</f>
        <v>0</v>
      </c>
      <c r="Y48" s="2">
        <f>COUNTIFS('OB History'!$B:$B,$A$48,'OB History'!T:T, 1)</f>
        <v>0</v>
      </c>
      <c r="Z48" s="2">
        <f>COUNTIFS('OB History'!$B:$B,$A$48,'OB History'!U:U, 1)</f>
        <v>0</v>
      </c>
      <c r="AA48" s="2">
        <f>COUNTIFS('OB History'!$B:$B,$A$48,'OB History'!V:V, 1)</f>
        <v>0</v>
      </c>
      <c r="AB48" s="2">
        <f>COUNTIFS('OB History'!$B:$B,$A$48,'OB History'!W:W, 1)</f>
        <v>0</v>
      </c>
      <c r="AC48" s="2">
        <f>COUNTIFS('OB History'!$B:$B,$A$48,'OB History'!X:X, 1)</f>
        <v>1</v>
      </c>
      <c r="AD48" s="2">
        <f>COUNTIFS('OB History'!$B:$B,$A$48,'OB History'!Y:Y, 1)</f>
        <v>2</v>
      </c>
      <c r="AE48" s="2">
        <f>COUNTIFS('OB History'!$B:$B,$A$48,'OB History'!Z:Z, 1)</f>
        <v>1</v>
      </c>
    </row>
    <row r="49" spans="1:31" x14ac:dyDescent="0.25">
      <c r="A49" s="2" t="s">
        <v>55</v>
      </c>
      <c r="B49" s="2" t="s">
        <v>79</v>
      </c>
      <c r="C49" s="2" t="s">
        <v>79</v>
      </c>
      <c r="D49" s="34">
        <f>SUMIFS('OB History'!C:C,'OB History'!B:B,A49)</f>
        <v>107</v>
      </c>
      <c r="E49" s="4">
        <f>AVERAGEIFS('OB History'!C:C,'OB History'!B:B,A49)</f>
        <v>8.9166666666666661</v>
      </c>
      <c r="F49" s="35">
        <f t="array" ref="F49">MAX(IF('OB History'!B:B=A49, 'OB History'!C:C))</f>
        <v>18</v>
      </c>
      <c r="G49" s="34">
        <f>COUNTIFS('OB History'!B:B,A49,'OB History'!D:D, 1)</f>
        <v>7</v>
      </c>
      <c r="H49" s="2">
        <f>COUNTIFS('OB History'!B:B,A49,'OB History'!D:D, 0)</f>
        <v>5</v>
      </c>
      <c r="I49" s="88">
        <f>LOOKUP(2, 1/('OB History'!$B:$B=A49), 'OB History'!$AD:$AD)</f>
        <v>0.58333333333333337</v>
      </c>
      <c r="J49" s="34">
        <f>SUMIFS('OB History'!F:F,'OB History'!B:B,A49)</f>
        <v>27</v>
      </c>
      <c r="K49" s="2">
        <f>SUMIFS('OB History'!E:E,'OB History'!B:B,A49)-J49</f>
        <v>23</v>
      </c>
      <c r="L49" s="88">
        <f>LOOKUP(2, 1/('OB History'!$B:$B=A49), 'OB History'!$AB:$AB)</f>
        <v>0.55000000000000004</v>
      </c>
      <c r="M49" s="34">
        <f>SUMIFS('OB History'!H:H,'OB History'!B:B,'Old Bow v2'!A49)</f>
        <v>105</v>
      </c>
      <c r="N49" s="2">
        <f>SUMIFS('OB History'!G:G,'OB History'!B:B,'Old Bow v2'!A49)-M49</f>
        <v>93</v>
      </c>
      <c r="O49" s="88">
        <f>LOOKUP(2, 1/('OB History'!$B:$B=A49), 'OB History'!$AC:$AC)</f>
        <v>0.53333333333333344</v>
      </c>
      <c r="P49" s="2">
        <f>COUNTIFS('OB History'!$B:$B,$A$49,'OB History'!K:K, 1)</f>
        <v>2</v>
      </c>
      <c r="Q49" s="2">
        <f>COUNTIFS('OB History'!$B:$B,$A$49,'OB History'!L:L, 1)</f>
        <v>1</v>
      </c>
      <c r="R49" s="2">
        <f>COUNTIFS('OB History'!$B:$B,$A$49,'OB History'!M:M, 1)</f>
        <v>1</v>
      </c>
      <c r="S49" s="2">
        <f>COUNTIFS('OB History'!$B:$B,$A$49,'OB History'!N:N, 1)</f>
        <v>5</v>
      </c>
      <c r="T49" s="2">
        <f>COUNTIFS('OB History'!$B:$B,$A$49,'OB History'!O:O, 1)</f>
        <v>1</v>
      </c>
      <c r="U49" s="2">
        <f>COUNTIFS('OB History'!$B:$B,$A$49,'OB History'!P:P, 1)</f>
        <v>1</v>
      </c>
      <c r="V49" s="2">
        <f>COUNTIFS('OB History'!$B:$B,$A$49,'OB History'!Q:Q, 1)</f>
        <v>1</v>
      </c>
      <c r="W49" s="2">
        <f>COUNTIFS('OB History'!$B:$B,$A$49,'OB History'!R:R, 1)</f>
        <v>0</v>
      </c>
      <c r="X49" s="2">
        <f>COUNTIFS('OB History'!$B:$B,$A$49,'OB History'!S:S, 1)</f>
        <v>0</v>
      </c>
      <c r="Y49" s="2">
        <f>COUNTIFS('OB History'!$B:$B,$A$49,'OB History'!T:T, 1)</f>
        <v>0</v>
      </c>
      <c r="Z49" s="2">
        <f>COUNTIFS('OB History'!$B:$B,$A$49,'OB History'!U:U, 1)</f>
        <v>1</v>
      </c>
      <c r="AA49" s="2">
        <f>COUNTIFS('OB History'!$B:$B,$A$49,'OB History'!V:V, 1)</f>
        <v>0</v>
      </c>
      <c r="AB49" s="2">
        <f>COUNTIFS('OB History'!$B:$B,$A$49,'OB History'!W:W, 1)</f>
        <v>3</v>
      </c>
      <c r="AC49" s="2">
        <f>COUNTIFS('OB History'!$B:$B,$A$49,'OB History'!X:X, 1)</f>
        <v>7</v>
      </c>
      <c r="AD49" s="2">
        <f>COUNTIFS('OB History'!$B:$B,$A$49,'OB History'!Y:Y, 1)</f>
        <v>2</v>
      </c>
      <c r="AE49" s="2">
        <f>COUNTIFS('OB History'!$B:$B,$A$49,'OB History'!Z:Z, 1)</f>
        <v>2</v>
      </c>
    </row>
  </sheetData>
  <autoFilter ref="A1:AE49" xr:uid="{EEC03B8F-669F-4FC0-BA62-50F3D395660C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49F3A-41D8-4DA9-BFC4-DDE1AD24595A}">
  <dimension ref="A1:AD574"/>
  <sheetViews>
    <sheetView workbookViewId="0">
      <pane ySplit="1" topLeftCell="A240" activePane="bottomLeft" state="frozen"/>
      <selection pane="bottomLeft" activeCell="A271" sqref="A271:Z284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146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46023</v>
      </c>
      <c r="B2" t="s">
        <v>17</v>
      </c>
      <c r="C2">
        <v>30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1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1</v>
      </c>
      <c r="X2">
        <v>0</v>
      </c>
      <c r="Y2">
        <v>1</v>
      </c>
      <c r="Z2">
        <v>0</v>
      </c>
      <c r="AA2" s="86">
        <f>AVERAGEIFS($C$2:C2, $B$2:B2, B2)</f>
        <v>30</v>
      </c>
      <c r="AB2" s="86">
        <f>AVERAGEIFS($I$2:I2, $B$2:B2, B2)</f>
        <v>0.75</v>
      </c>
      <c r="AC2" s="86">
        <f>AVERAGEIFS($J$2:J2, $B$2:B2, B2)</f>
        <v>0.63</v>
      </c>
      <c r="AD2" s="86">
        <f>AVERAGEIFS($D$2:D2, $B$2:B2, B2)</f>
        <v>1</v>
      </c>
    </row>
    <row r="3" spans="1:30" x14ac:dyDescent="0.25">
      <c r="A3" s="85">
        <v>46023</v>
      </c>
      <c r="B3" t="s">
        <v>2</v>
      </c>
      <c r="C3">
        <v>28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1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1</v>
      </c>
      <c r="X3">
        <v>0</v>
      </c>
      <c r="Y3">
        <v>1</v>
      </c>
      <c r="Z3">
        <v>0</v>
      </c>
      <c r="AA3" s="86">
        <f>AVERAGEIFS($C$2:C3, $B$2:B3, B3)</f>
        <v>28</v>
      </c>
      <c r="AB3" s="86">
        <f>AVERAGEIFS($I$2:I3, $B$2:B3, B3)</f>
        <v>0.75</v>
      </c>
      <c r="AC3" s="86">
        <f>AVERAGEIFS($J$2:J3, $B$2:B3, B3)</f>
        <v>0.63</v>
      </c>
      <c r="AD3" s="86">
        <f>AVERAGEIFS($D$2:D3, $B$2:B3, B3)</f>
        <v>1</v>
      </c>
    </row>
    <row r="4" spans="1:30" x14ac:dyDescent="0.25">
      <c r="A4" s="85">
        <v>46023</v>
      </c>
      <c r="B4" t="s">
        <v>3</v>
      </c>
      <c r="C4">
        <v>26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1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1</v>
      </c>
      <c r="X4">
        <v>0</v>
      </c>
      <c r="Y4">
        <v>1</v>
      </c>
      <c r="Z4">
        <v>0</v>
      </c>
      <c r="AA4" s="86">
        <f>AVERAGEIFS($C$2:C4, $B$2:B4, B4)</f>
        <v>26</v>
      </c>
      <c r="AB4" s="86">
        <f>AVERAGEIFS($I$2:I4, $B$2:B4, B4)</f>
        <v>0.75</v>
      </c>
      <c r="AC4" s="86">
        <f>AVERAGEIFS($J$2:J4, $B$2:B4, B4)</f>
        <v>0.63</v>
      </c>
      <c r="AD4" s="86">
        <f>AVERAGEIFS($D$2:D4, $B$2:B4, B4)</f>
        <v>1</v>
      </c>
    </row>
    <row r="5" spans="1:30" x14ac:dyDescent="0.25">
      <c r="A5" s="85">
        <v>46023</v>
      </c>
      <c r="B5" t="s">
        <v>14</v>
      </c>
      <c r="C5">
        <v>25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1</v>
      </c>
      <c r="X5">
        <v>0</v>
      </c>
      <c r="Y5">
        <v>1</v>
      </c>
      <c r="Z5">
        <v>0</v>
      </c>
      <c r="AA5" s="86">
        <f>AVERAGEIFS($C$2:C5, $B$2:B5, B5)</f>
        <v>25</v>
      </c>
      <c r="AB5" s="86">
        <f>AVERAGEIFS($I$2:I5, $B$2:B5, B5)</f>
        <v>0.75</v>
      </c>
      <c r="AC5" s="86">
        <f>AVERAGEIFS($J$2:J5, $B$2:B5, B5)</f>
        <v>0.63</v>
      </c>
      <c r="AD5" s="86">
        <f>AVERAGEIFS($D$2:D5, $B$2:B5, B5)</f>
        <v>1</v>
      </c>
    </row>
    <row r="6" spans="1:30" x14ac:dyDescent="0.25">
      <c r="A6" s="85">
        <v>46023</v>
      </c>
      <c r="B6" t="s">
        <v>35</v>
      </c>
      <c r="C6">
        <v>21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0</v>
      </c>
      <c r="Y6">
        <v>1</v>
      </c>
      <c r="Z6">
        <v>0</v>
      </c>
      <c r="AA6" s="86">
        <f>AVERAGEIFS($C$2:C6, $B$2:B6, B6)</f>
        <v>21</v>
      </c>
      <c r="AB6" s="86">
        <f>AVERAGEIFS($I$2:I6, $B$2:B6, B6)</f>
        <v>0.75</v>
      </c>
      <c r="AC6" s="86">
        <f>AVERAGEIFS($J$2:J6, $B$2:B6, B6)</f>
        <v>0.63</v>
      </c>
      <c r="AD6" s="86">
        <f>AVERAGEIFS($D$2:D6, $B$2:B6, B6)</f>
        <v>1</v>
      </c>
    </row>
    <row r="7" spans="1:30" x14ac:dyDescent="0.25">
      <c r="A7" s="85">
        <v>46023</v>
      </c>
      <c r="B7" t="s">
        <v>51</v>
      </c>
      <c r="C7">
        <v>14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1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</v>
      </c>
      <c r="X7">
        <v>0</v>
      </c>
      <c r="Y7">
        <v>1</v>
      </c>
      <c r="Z7">
        <v>0</v>
      </c>
      <c r="AA7" s="86">
        <f>AVERAGEIFS($C$2:C7, $B$2:B7, B7)</f>
        <v>14</v>
      </c>
      <c r="AB7" s="86">
        <f>AVERAGEIFS($I$2:I7, $B$2:B7, B7)</f>
        <v>0.75</v>
      </c>
      <c r="AC7" s="86">
        <f>AVERAGEIFS($J$2:J7, $B$2:B7, B7)</f>
        <v>0.63</v>
      </c>
      <c r="AD7" s="86">
        <f>AVERAGEIFS($D$2:D7, $B$2:B7, B7)</f>
        <v>1</v>
      </c>
    </row>
    <row r="8" spans="1:30" x14ac:dyDescent="0.25">
      <c r="A8" s="85">
        <v>46023</v>
      </c>
      <c r="B8" t="s">
        <v>29</v>
      </c>
      <c r="C8">
        <v>12</v>
      </c>
      <c r="D8">
        <v>1</v>
      </c>
      <c r="E8">
        <v>4</v>
      </c>
      <c r="F8">
        <v>3</v>
      </c>
      <c r="G8">
        <v>16</v>
      </c>
      <c r="H8">
        <v>10</v>
      </c>
      <c r="I8">
        <v>0.75</v>
      </c>
      <c r="J8">
        <v>0.63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1</v>
      </c>
      <c r="Z8">
        <v>0</v>
      </c>
      <c r="AA8" s="86">
        <f>AVERAGEIFS($C$2:C8, $B$2:B8, B8)</f>
        <v>12</v>
      </c>
      <c r="AB8" s="86">
        <f>AVERAGEIFS($I$2:I8, $B$2:B8, B8)</f>
        <v>0.75</v>
      </c>
      <c r="AC8" s="86">
        <f>AVERAGEIFS($J$2:J8, $B$2:B8, B8)</f>
        <v>0.63</v>
      </c>
      <c r="AD8" s="86">
        <f>AVERAGEIFS($D$2:D8, $B$2:B8, B8)</f>
        <v>1</v>
      </c>
    </row>
    <row r="9" spans="1:30" x14ac:dyDescent="0.25">
      <c r="A9" s="85">
        <v>46023</v>
      </c>
      <c r="B9" t="s">
        <v>55</v>
      </c>
      <c r="C9">
        <v>10</v>
      </c>
      <c r="D9">
        <v>1</v>
      </c>
      <c r="E9">
        <v>4</v>
      </c>
      <c r="F9">
        <v>3</v>
      </c>
      <c r="G9">
        <v>16</v>
      </c>
      <c r="H9">
        <v>10</v>
      </c>
      <c r="I9">
        <v>0.75</v>
      </c>
      <c r="J9">
        <v>0.63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1</v>
      </c>
      <c r="Z9">
        <v>0</v>
      </c>
      <c r="AA9" s="86">
        <f>AVERAGEIFS($C$2:C9, $B$2:B9, B9)</f>
        <v>10</v>
      </c>
      <c r="AB9" s="86">
        <f>AVERAGEIFS($I$2:I9, $B$2:B9, B9)</f>
        <v>0.75</v>
      </c>
      <c r="AC9" s="86">
        <f>AVERAGEIFS($J$2:J9, $B$2:B9, B9)</f>
        <v>0.63</v>
      </c>
      <c r="AD9" s="86">
        <f>AVERAGEIFS($D$2:D9, $B$2:B9, B9)</f>
        <v>1</v>
      </c>
    </row>
    <row r="10" spans="1:30" x14ac:dyDescent="0.25">
      <c r="A10" s="85">
        <v>46023</v>
      </c>
      <c r="B10" t="s">
        <v>15</v>
      </c>
      <c r="C10">
        <v>35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 s="86">
        <f>AVERAGEIFS($C$2:C10, $B$2:B10, B10)</f>
        <v>35</v>
      </c>
      <c r="AB10" s="86">
        <f>AVERAGEIFS($I$2:I10, $B$2:B10, B10)</f>
        <v>0.25</v>
      </c>
      <c r="AC10" s="86">
        <f>AVERAGEIFS($J$2:J10, $B$2:B10, B10)</f>
        <v>0.38</v>
      </c>
      <c r="AD10" s="86">
        <f>AVERAGEIFS($D$2:D10, $B$2:B10, B10)</f>
        <v>0</v>
      </c>
    </row>
    <row r="11" spans="1:30" x14ac:dyDescent="0.25">
      <c r="A11" s="85">
        <v>46023</v>
      </c>
      <c r="B11" t="s">
        <v>5</v>
      </c>
      <c r="C11">
        <v>23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 s="86">
        <f>AVERAGEIFS($C$2:C11, $B$2:B11, B11)</f>
        <v>23</v>
      </c>
      <c r="AB11" s="86">
        <f>AVERAGEIFS($I$2:I11, $B$2:B11, B11)</f>
        <v>0.25</v>
      </c>
      <c r="AC11" s="86">
        <f>AVERAGEIFS($J$2:J11, $B$2:B11, B11)</f>
        <v>0.38</v>
      </c>
      <c r="AD11" s="86">
        <f>AVERAGEIFS($D$2:D11, $B$2:B11, B11)</f>
        <v>0</v>
      </c>
    </row>
    <row r="12" spans="1:30" x14ac:dyDescent="0.25">
      <c r="A12" s="85">
        <v>46023</v>
      </c>
      <c r="B12" t="s">
        <v>37</v>
      </c>
      <c r="C12">
        <v>20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 s="86">
        <f>AVERAGEIFS($C$2:C12, $B$2:B12, B12)</f>
        <v>20</v>
      </c>
      <c r="AB12" s="86">
        <f>AVERAGEIFS($I$2:I12, $B$2:B12, B12)</f>
        <v>0.25</v>
      </c>
      <c r="AC12" s="86">
        <f>AVERAGEIFS($J$2:J12, $B$2:B12, B12)</f>
        <v>0.38</v>
      </c>
      <c r="AD12" s="86">
        <f>AVERAGEIFS($D$2:D12, $B$2:B12, B12)</f>
        <v>0</v>
      </c>
    </row>
    <row r="13" spans="1:30" x14ac:dyDescent="0.25">
      <c r="A13" s="85">
        <v>46023</v>
      </c>
      <c r="B13" t="s">
        <v>1</v>
      </c>
      <c r="C13">
        <v>19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 s="86">
        <f>AVERAGEIFS($C$2:C13, $B$2:B13, B13)</f>
        <v>19</v>
      </c>
      <c r="AB13" s="86">
        <f>AVERAGEIFS($I$2:I13, $B$2:B13, B13)</f>
        <v>0.25</v>
      </c>
      <c r="AC13" s="86">
        <f>AVERAGEIFS($J$2:J13, $B$2:B13, B13)</f>
        <v>0.38</v>
      </c>
      <c r="AD13" s="86">
        <f>AVERAGEIFS($D$2:D13, $B$2:B13, B13)</f>
        <v>0</v>
      </c>
    </row>
    <row r="14" spans="1:30" x14ac:dyDescent="0.25">
      <c r="A14" s="85">
        <v>46023</v>
      </c>
      <c r="B14" t="s">
        <v>13</v>
      </c>
      <c r="C14">
        <v>19</v>
      </c>
      <c r="D14">
        <v>0</v>
      </c>
      <c r="E14">
        <v>4</v>
      </c>
      <c r="F14">
        <v>1</v>
      </c>
      <c r="G14">
        <v>16</v>
      </c>
      <c r="H14">
        <v>6</v>
      </c>
      <c r="I14">
        <v>0.25</v>
      </c>
      <c r="J14">
        <v>0.38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 s="86">
        <f>AVERAGEIFS($C$2:C14, $B$2:B14, B14)</f>
        <v>19</v>
      </c>
      <c r="AB14" s="86">
        <f>AVERAGEIFS($I$2:I14, $B$2:B14, B14)</f>
        <v>0.25</v>
      </c>
      <c r="AC14" s="86">
        <f>AVERAGEIFS($J$2:J14, $B$2:B14, B14)</f>
        <v>0.38</v>
      </c>
      <c r="AD14" s="86">
        <f>AVERAGEIFS($D$2:D14, $B$2:B14, B14)</f>
        <v>0</v>
      </c>
    </row>
    <row r="15" spans="1:30" x14ac:dyDescent="0.25">
      <c r="A15" s="85">
        <v>46023</v>
      </c>
      <c r="B15" t="s">
        <v>28</v>
      </c>
      <c r="C15">
        <v>11</v>
      </c>
      <c r="D15">
        <v>0</v>
      </c>
      <c r="E15">
        <v>4</v>
      </c>
      <c r="F15">
        <v>1</v>
      </c>
      <c r="G15">
        <v>16</v>
      </c>
      <c r="H15">
        <v>6</v>
      </c>
      <c r="I15">
        <v>0.25</v>
      </c>
      <c r="J15">
        <v>0.38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 s="86">
        <f>AVERAGEIFS($C$2:C15, $B$2:B15, B15)</f>
        <v>11</v>
      </c>
      <c r="AB15" s="86">
        <f>AVERAGEIFS($I$2:I15, $B$2:B15, B15)</f>
        <v>0.25</v>
      </c>
      <c r="AC15" s="86">
        <f>AVERAGEIFS($J$2:J15, $B$2:B15, B15)</f>
        <v>0.38</v>
      </c>
      <c r="AD15" s="86">
        <f>AVERAGEIFS($D$2:D15, $B$2:B15, B15)</f>
        <v>0</v>
      </c>
    </row>
    <row r="16" spans="1:30" x14ac:dyDescent="0.25">
      <c r="A16" s="85">
        <v>46023</v>
      </c>
      <c r="B16" t="s">
        <v>19</v>
      </c>
      <c r="C16">
        <v>6</v>
      </c>
      <c r="D16">
        <v>0</v>
      </c>
      <c r="E16">
        <v>4</v>
      </c>
      <c r="F16">
        <v>1</v>
      </c>
      <c r="G16">
        <v>16</v>
      </c>
      <c r="H16">
        <v>6</v>
      </c>
      <c r="I16">
        <v>0.25</v>
      </c>
      <c r="J16">
        <v>0.38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 s="86">
        <f>AVERAGEIFS($C$2:C16, $B$2:B16, B16)</f>
        <v>6</v>
      </c>
      <c r="AB16" s="86">
        <f>AVERAGEIFS($I$2:I16, $B$2:B16, B16)</f>
        <v>0.25</v>
      </c>
      <c r="AC16" s="86">
        <f>AVERAGEIFS($J$2:J16, $B$2:B16, B16)</f>
        <v>0.38</v>
      </c>
      <c r="AD16" s="86">
        <f>AVERAGEIFS($D$2:D16, $B$2:B16, B16)</f>
        <v>0</v>
      </c>
    </row>
    <row r="17" spans="1:30" x14ac:dyDescent="0.25">
      <c r="A17" s="85">
        <v>46025</v>
      </c>
      <c r="B17" t="s">
        <v>5</v>
      </c>
      <c r="C17">
        <v>29</v>
      </c>
      <c r="D17">
        <v>1</v>
      </c>
      <c r="E17">
        <v>5</v>
      </c>
      <c r="F17">
        <v>3</v>
      </c>
      <c r="G17">
        <v>19</v>
      </c>
      <c r="H17">
        <v>10</v>
      </c>
      <c r="I17">
        <v>0.6</v>
      </c>
      <c r="J17">
        <v>0.53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26</v>
      </c>
      <c r="AB17" s="86">
        <f>AVERAGEIFS($I$2:I17, $B$2:B17, B17)</f>
        <v>0.42499999999999999</v>
      </c>
      <c r="AC17" s="86">
        <f>AVERAGEIFS($J$2:J17, $B$2:B17, B17)</f>
        <v>0.45500000000000002</v>
      </c>
      <c r="AD17" s="86">
        <f>AVERAGEIFS($D$2:D17, $B$2:B17, B17)</f>
        <v>0.5</v>
      </c>
    </row>
    <row r="18" spans="1:30" x14ac:dyDescent="0.25">
      <c r="A18" s="85">
        <v>46025</v>
      </c>
      <c r="B18" t="s">
        <v>14</v>
      </c>
      <c r="C18">
        <v>19</v>
      </c>
      <c r="D18">
        <v>1</v>
      </c>
      <c r="E18">
        <v>5</v>
      </c>
      <c r="F18">
        <v>3</v>
      </c>
      <c r="G18">
        <v>19</v>
      </c>
      <c r="H18">
        <v>10</v>
      </c>
      <c r="I18">
        <v>0.6</v>
      </c>
      <c r="J18">
        <v>0.53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22</v>
      </c>
      <c r="AB18" s="86">
        <f>AVERAGEIFS($I$2:I18, $B$2:B18, B18)</f>
        <v>0.67500000000000004</v>
      </c>
      <c r="AC18" s="86">
        <f>AVERAGEIFS($J$2:J18, $B$2:B18, B18)</f>
        <v>0.58000000000000007</v>
      </c>
      <c r="AD18" s="86">
        <f>AVERAGEIFS($D$2:D18, $B$2:B18, B18)</f>
        <v>1</v>
      </c>
    </row>
    <row r="19" spans="1:30" x14ac:dyDescent="0.25">
      <c r="A19" s="85">
        <v>46025</v>
      </c>
      <c r="B19" t="s">
        <v>51</v>
      </c>
      <c r="C19">
        <v>14</v>
      </c>
      <c r="D19">
        <v>1</v>
      </c>
      <c r="E19">
        <v>5</v>
      </c>
      <c r="F19">
        <v>3</v>
      </c>
      <c r="G19">
        <v>19</v>
      </c>
      <c r="H19">
        <v>10</v>
      </c>
      <c r="I19">
        <v>0.6</v>
      </c>
      <c r="J19">
        <v>0.53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14</v>
      </c>
      <c r="AB19" s="86">
        <f>AVERAGEIFS($I$2:I19, $B$2:B19, B19)</f>
        <v>0.67500000000000004</v>
      </c>
      <c r="AC19" s="86">
        <f>AVERAGEIFS($J$2:J19, $B$2:B19, B19)</f>
        <v>0.58000000000000007</v>
      </c>
      <c r="AD19" s="86">
        <f>AVERAGEIFS($D$2:D19, $B$2:B19, B19)</f>
        <v>1</v>
      </c>
    </row>
    <row r="20" spans="1:30" x14ac:dyDescent="0.25">
      <c r="A20" s="85">
        <v>46025</v>
      </c>
      <c r="B20" t="s">
        <v>37</v>
      </c>
      <c r="C20">
        <v>10</v>
      </c>
      <c r="D20">
        <v>1</v>
      </c>
      <c r="E20">
        <v>5</v>
      </c>
      <c r="F20">
        <v>3</v>
      </c>
      <c r="G20">
        <v>19</v>
      </c>
      <c r="H20">
        <v>10</v>
      </c>
      <c r="I20">
        <v>0.6</v>
      </c>
      <c r="J20">
        <v>0.53</v>
      </c>
      <c r="K20">
        <v>1</v>
      </c>
      <c r="L20">
        <v>0</v>
      </c>
      <c r="M20">
        <v>0</v>
      </c>
      <c r="N20">
        <v>1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0</v>
      </c>
      <c r="Z20">
        <v>0</v>
      </c>
      <c r="AA20" s="86">
        <f>AVERAGEIFS($C$2:C20, $B$2:B20, B20)</f>
        <v>15</v>
      </c>
      <c r="AB20" s="86">
        <f>AVERAGEIFS($I$2:I20, $B$2:B20, B20)</f>
        <v>0.42499999999999999</v>
      </c>
      <c r="AC20" s="86">
        <f>AVERAGEIFS($J$2:J20, $B$2:B20, B20)</f>
        <v>0.45500000000000002</v>
      </c>
      <c r="AD20" s="86">
        <f>AVERAGEIFS($D$2:D20, $B$2:B20, B20)</f>
        <v>0.5</v>
      </c>
    </row>
    <row r="21" spans="1:30" x14ac:dyDescent="0.25">
      <c r="A21" s="85">
        <v>46025</v>
      </c>
      <c r="B21" t="s">
        <v>35</v>
      </c>
      <c r="C21">
        <v>8</v>
      </c>
      <c r="D21">
        <v>1</v>
      </c>
      <c r="E21">
        <v>5</v>
      </c>
      <c r="F21">
        <v>3</v>
      </c>
      <c r="G21">
        <v>19</v>
      </c>
      <c r="H21">
        <v>10</v>
      </c>
      <c r="I21">
        <v>0.6</v>
      </c>
      <c r="J21">
        <v>0.53</v>
      </c>
      <c r="K21">
        <v>1</v>
      </c>
      <c r="L21">
        <v>0</v>
      </c>
      <c r="M21">
        <v>0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14.5</v>
      </c>
      <c r="AB21" s="86">
        <f>AVERAGEIFS($I$2:I21, $B$2:B21, B21)</f>
        <v>0.67500000000000004</v>
      </c>
      <c r="AC21" s="86">
        <f>AVERAGEIFS($J$2:J21, $B$2:B21, B21)</f>
        <v>0.58000000000000007</v>
      </c>
      <c r="AD21" s="86">
        <f>AVERAGEIFS($D$2:D21, $B$2:B21, B21)</f>
        <v>1</v>
      </c>
    </row>
    <row r="22" spans="1:30" x14ac:dyDescent="0.25">
      <c r="A22" s="85">
        <v>46025</v>
      </c>
      <c r="B22" t="s">
        <v>13</v>
      </c>
      <c r="C22">
        <v>24</v>
      </c>
      <c r="D22">
        <v>0</v>
      </c>
      <c r="E22">
        <v>5</v>
      </c>
      <c r="F22">
        <v>2</v>
      </c>
      <c r="G22">
        <v>19</v>
      </c>
      <c r="H22">
        <v>9</v>
      </c>
      <c r="I22">
        <v>0.4</v>
      </c>
      <c r="J22">
        <v>0.47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1</v>
      </c>
      <c r="T22">
        <v>0</v>
      </c>
      <c r="U22">
        <v>1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21.5</v>
      </c>
      <c r="AB22" s="86">
        <f>AVERAGEIFS($I$2:I22, $B$2:B22, B22)</f>
        <v>0.32500000000000001</v>
      </c>
      <c r="AC22" s="86">
        <f>AVERAGEIFS($J$2:J22, $B$2:B22, B22)</f>
        <v>0.42499999999999999</v>
      </c>
      <c r="AD22" s="86">
        <f>AVERAGEIFS($D$2:D22, $B$2:B22, B22)</f>
        <v>0</v>
      </c>
    </row>
    <row r="23" spans="1:30" x14ac:dyDescent="0.25">
      <c r="A23" s="85">
        <v>46025</v>
      </c>
      <c r="B23" t="s">
        <v>17</v>
      </c>
      <c r="C23">
        <v>18</v>
      </c>
      <c r="D23">
        <v>0</v>
      </c>
      <c r="E23">
        <v>5</v>
      </c>
      <c r="F23">
        <v>2</v>
      </c>
      <c r="G23">
        <v>19</v>
      </c>
      <c r="H23">
        <v>9</v>
      </c>
      <c r="I23">
        <v>0.4</v>
      </c>
      <c r="J23">
        <v>0.47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1</v>
      </c>
      <c r="T23">
        <v>0</v>
      </c>
      <c r="U23">
        <v>1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24</v>
      </c>
      <c r="AB23" s="86">
        <f>AVERAGEIFS($I$2:I23, $B$2:B23, B23)</f>
        <v>0.57499999999999996</v>
      </c>
      <c r="AC23" s="86">
        <f>AVERAGEIFS($J$2:J23, $B$2:B23, B23)</f>
        <v>0.55000000000000004</v>
      </c>
      <c r="AD23" s="86">
        <f>AVERAGEIFS($D$2:D23, $B$2:B23, B23)</f>
        <v>0.5</v>
      </c>
    </row>
    <row r="24" spans="1:30" x14ac:dyDescent="0.25">
      <c r="A24" s="85">
        <v>46025</v>
      </c>
      <c r="B24" t="s">
        <v>26</v>
      </c>
      <c r="C24">
        <v>14</v>
      </c>
      <c r="D24">
        <v>0</v>
      </c>
      <c r="E24">
        <v>5</v>
      </c>
      <c r="F24">
        <v>2</v>
      </c>
      <c r="G24">
        <v>19</v>
      </c>
      <c r="H24">
        <v>9</v>
      </c>
      <c r="I24">
        <v>0.4</v>
      </c>
      <c r="J24">
        <v>0.47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1</v>
      </c>
      <c r="T24">
        <v>0</v>
      </c>
      <c r="U24">
        <v>1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14</v>
      </c>
      <c r="AB24" s="86">
        <f>AVERAGEIFS($I$2:I24, $B$2:B24, B24)</f>
        <v>0.4</v>
      </c>
      <c r="AC24" s="86">
        <f>AVERAGEIFS($J$2:J24, $B$2:B24, B24)</f>
        <v>0.47</v>
      </c>
      <c r="AD24" s="86">
        <f>AVERAGEIFS($D$2:D24, $B$2:B24, B24)</f>
        <v>0</v>
      </c>
    </row>
    <row r="25" spans="1:30" x14ac:dyDescent="0.25">
      <c r="A25" s="85">
        <v>46025</v>
      </c>
      <c r="B25" t="s">
        <v>19</v>
      </c>
      <c r="C25">
        <v>9</v>
      </c>
      <c r="D25">
        <v>0</v>
      </c>
      <c r="E25">
        <v>5</v>
      </c>
      <c r="F25">
        <v>2</v>
      </c>
      <c r="G25">
        <v>19</v>
      </c>
      <c r="H25">
        <v>9</v>
      </c>
      <c r="I25">
        <v>0.4</v>
      </c>
      <c r="J25">
        <v>0.47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1</v>
      </c>
      <c r="T25">
        <v>0</v>
      </c>
      <c r="U25">
        <v>1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7.5</v>
      </c>
      <c r="AB25" s="86">
        <f>AVERAGEIFS($I$2:I25, $B$2:B25, B25)</f>
        <v>0.32500000000000001</v>
      </c>
      <c r="AC25" s="86">
        <f>AVERAGEIFS($J$2:J25, $B$2:B25, B25)</f>
        <v>0.42499999999999999</v>
      </c>
      <c r="AD25" s="86">
        <f>AVERAGEIFS($D$2:D25, $B$2:B25, B25)</f>
        <v>0</v>
      </c>
    </row>
    <row r="26" spans="1:30" x14ac:dyDescent="0.25">
      <c r="A26" s="85">
        <v>46025</v>
      </c>
      <c r="B26" t="s">
        <v>28</v>
      </c>
      <c r="C26">
        <v>9</v>
      </c>
      <c r="D26">
        <v>0</v>
      </c>
      <c r="E26">
        <v>5</v>
      </c>
      <c r="F26">
        <v>2</v>
      </c>
      <c r="G26">
        <v>19</v>
      </c>
      <c r="H26">
        <v>9</v>
      </c>
      <c r="I26">
        <v>0.4</v>
      </c>
      <c r="J26">
        <v>0.47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1</v>
      </c>
      <c r="T26">
        <v>0</v>
      </c>
      <c r="U26">
        <v>1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10</v>
      </c>
      <c r="AB26" s="86">
        <f>AVERAGEIFS($I$2:I26, $B$2:B26, B26)</f>
        <v>0.32500000000000001</v>
      </c>
      <c r="AC26" s="86">
        <f>AVERAGEIFS($J$2:J26, $B$2:B26, B26)</f>
        <v>0.42499999999999999</v>
      </c>
      <c r="AD26" s="86">
        <f>AVERAGEIFS($D$2:D26, $B$2:B26, B26)</f>
        <v>0</v>
      </c>
    </row>
    <row r="27" spans="1:30" x14ac:dyDescent="0.25">
      <c r="A27" s="85">
        <v>46026</v>
      </c>
      <c r="B27" t="s">
        <v>13</v>
      </c>
      <c r="C27">
        <v>32</v>
      </c>
      <c r="D27">
        <v>1</v>
      </c>
      <c r="E27">
        <v>4</v>
      </c>
      <c r="F27">
        <v>3</v>
      </c>
      <c r="G27">
        <v>16</v>
      </c>
      <c r="H27">
        <v>11</v>
      </c>
      <c r="I27">
        <v>0.75</v>
      </c>
      <c r="J27">
        <v>0.69</v>
      </c>
      <c r="K27">
        <v>1</v>
      </c>
      <c r="L27">
        <v>0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25</v>
      </c>
      <c r="AB27" s="86">
        <f>AVERAGEIFS($I$2:I27, $B$2:B27, B27)</f>
        <v>0.46666666666666662</v>
      </c>
      <c r="AC27" s="86">
        <f>AVERAGEIFS($J$2:J27, $B$2:B27, B27)</f>
        <v>0.51333333333333331</v>
      </c>
      <c r="AD27" s="86">
        <f>AVERAGEIFS($D$2:D27, $B$2:B27, B27)</f>
        <v>0.33333333333333331</v>
      </c>
    </row>
    <row r="28" spans="1:30" x14ac:dyDescent="0.25">
      <c r="A28" s="85">
        <v>46026</v>
      </c>
      <c r="B28" t="s">
        <v>17</v>
      </c>
      <c r="C28">
        <v>23</v>
      </c>
      <c r="D28">
        <v>1</v>
      </c>
      <c r="E28">
        <v>4</v>
      </c>
      <c r="F28">
        <v>3</v>
      </c>
      <c r="G28">
        <v>16</v>
      </c>
      <c r="H28">
        <v>11</v>
      </c>
      <c r="I28">
        <v>0.75</v>
      </c>
      <c r="J28">
        <v>0.69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23.666666666666668</v>
      </c>
      <c r="AB28" s="86">
        <f>AVERAGEIFS($I$2:I28, $B$2:B28, B28)</f>
        <v>0.6333333333333333</v>
      </c>
      <c r="AC28" s="86">
        <f>AVERAGEIFS($J$2:J28, $B$2:B28, B28)</f>
        <v>0.59666666666666668</v>
      </c>
      <c r="AD28" s="86">
        <f>AVERAGEIFS($D$2:D28, $B$2:B28, B28)</f>
        <v>0.66666666666666663</v>
      </c>
    </row>
    <row r="29" spans="1:30" x14ac:dyDescent="0.25">
      <c r="A29" s="85">
        <v>46026</v>
      </c>
      <c r="B29" t="s">
        <v>25</v>
      </c>
      <c r="C29">
        <v>21</v>
      </c>
      <c r="D29">
        <v>1</v>
      </c>
      <c r="E29">
        <v>4</v>
      </c>
      <c r="F29">
        <v>3</v>
      </c>
      <c r="G29">
        <v>16</v>
      </c>
      <c r="H29">
        <v>11</v>
      </c>
      <c r="I29">
        <v>0.75</v>
      </c>
      <c r="J29">
        <v>0.69</v>
      </c>
      <c r="K29">
        <v>1</v>
      </c>
      <c r="L29">
        <v>0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21</v>
      </c>
      <c r="AB29" s="86">
        <f>AVERAGEIFS($I$2:I29, $B$2:B29, B29)</f>
        <v>0.75</v>
      </c>
      <c r="AC29" s="86">
        <f>AVERAGEIFS($J$2:J29, $B$2:B29, B29)</f>
        <v>0.69</v>
      </c>
      <c r="AD29" s="86">
        <f>AVERAGEIFS($D$2:D29, $B$2:B29, B29)</f>
        <v>1</v>
      </c>
    </row>
    <row r="30" spans="1:30" x14ac:dyDescent="0.25">
      <c r="A30" s="85">
        <v>46026</v>
      </c>
      <c r="B30" t="s">
        <v>3</v>
      </c>
      <c r="C30">
        <v>20</v>
      </c>
      <c r="D30">
        <v>1</v>
      </c>
      <c r="E30">
        <v>4</v>
      </c>
      <c r="F30">
        <v>3</v>
      </c>
      <c r="G30">
        <v>16</v>
      </c>
      <c r="H30">
        <v>11</v>
      </c>
      <c r="I30">
        <v>0.75</v>
      </c>
      <c r="J30">
        <v>0.69</v>
      </c>
      <c r="K30">
        <v>1</v>
      </c>
      <c r="L30">
        <v>0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23</v>
      </c>
      <c r="AB30" s="86">
        <f>AVERAGEIFS($I$2:I30, $B$2:B30, B30)</f>
        <v>0.75</v>
      </c>
      <c r="AC30" s="86">
        <f>AVERAGEIFS($J$2:J30, $B$2:B30, B30)</f>
        <v>0.65999999999999992</v>
      </c>
      <c r="AD30" s="86">
        <f>AVERAGEIFS($D$2:D30, $B$2:B30, B30)</f>
        <v>1</v>
      </c>
    </row>
    <row r="31" spans="1:30" x14ac:dyDescent="0.25">
      <c r="A31" s="85">
        <v>46026</v>
      </c>
      <c r="B31" t="s">
        <v>28</v>
      </c>
      <c r="C31">
        <v>16</v>
      </c>
      <c r="D31">
        <v>1</v>
      </c>
      <c r="E31">
        <v>4</v>
      </c>
      <c r="F31">
        <v>3</v>
      </c>
      <c r="G31">
        <v>16</v>
      </c>
      <c r="H31">
        <v>11</v>
      </c>
      <c r="I31">
        <v>0.75</v>
      </c>
      <c r="J31">
        <v>0.69</v>
      </c>
      <c r="K31">
        <v>1</v>
      </c>
      <c r="L31">
        <v>0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12</v>
      </c>
      <c r="AB31" s="86">
        <f>AVERAGEIFS($I$2:I31, $B$2:B31, B31)</f>
        <v>0.46666666666666662</v>
      </c>
      <c r="AC31" s="86">
        <f>AVERAGEIFS($J$2:J31, $B$2:B31, B31)</f>
        <v>0.51333333333333331</v>
      </c>
      <c r="AD31" s="86">
        <f>AVERAGEIFS($D$2:D31, $B$2:B31, B31)</f>
        <v>0.33333333333333331</v>
      </c>
    </row>
    <row r="32" spans="1:30" x14ac:dyDescent="0.25">
      <c r="A32" s="85">
        <v>46026</v>
      </c>
      <c r="B32" t="s">
        <v>19</v>
      </c>
      <c r="C32">
        <v>15</v>
      </c>
      <c r="D32">
        <v>1</v>
      </c>
      <c r="E32">
        <v>4</v>
      </c>
      <c r="F32">
        <v>3</v>
      </c>
      <c r="G32">
        <v>16</v>
      </c>
      <c r="H32">
        <v>11</v>
      </c>
      <c r="I32">
        <v>0.75</v>
      </c>
      <c r="J32">
        <v>0.69</v>
      </c>
      <c r="K32">
        <v>1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10</v>
      </c>
      <c r="AB32" s="86">
        <f>AVERAGEIFS($I$2:I32, $B$2:B32, B32)</f>
        <v>0.46666666666666662</v>
      </c>
      <c r="AC32" s="86">
        <f>AVERAGEIFS($J$2:J32, $B$2:B32, B32)</f>
        <v>0.51333333333333331</v>
      </c>
      <c r="AD32" s="86">
        <f>AVERAGEIFS($D$2:D32, $B$2:B32, B32)</f>
        <v>0.33333333333333331</v>
      </c>
    </row>
    <row r="33" spans="1:30" x14ac:dyDescent="0.25">
      <c r="A33" s="85">
        <v>46026</v>
      </c>
      <c r="B33" t="s">
        <v>29</v>
      </c>
      <c r="C33">
        <v>14</v>
      </c>
      <c r="D33">
        <v>1</v>
      </c>
      <c r="E33">
        <v>4</v>
      </c>
      <c r="F33">
        <v>3</v>
      </c>
      <c r="G33">
        <v>16</v>
      </c>
      <c r="H33">
        <v>11</v>
      </c>
      <c r="I33">
        <v>0.75</v>
      </c>
      <c r="J33">
        <v>0.69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13</v>
      </c>
      <c r="AB33" s="86">
        <f>AVERAGEIFS($I$2:I33, $B$2:B33, B33)</f>
        <v>0.75</v>
      </c>
      <c r="AC33" s="86">
        <f>AVERAGEIFS($J$2:J33, $B$2:B33, B33)</f>
        <v>0.65999999999999992</v>
      </c>
      <c r="AD33" s="86">
        <f>AVERAGEIFS($D$2:D33, $B$2:B33, B33)</f>
        <v>1</v>
      </c>
    </row>
    <row r="34" spans="1:30" x14ac:dyDescent="0.25">
      <c r="A34" s="85">
        <v>46026</v>
      </c>
      <c r="B34" t="s">
        <v>26</v>
      </c>
      <c r="C34">
        <v>10</v>
      </c>
      <c r="D34">
        <v>1</v>
      </c>
      <c r="E34">
        <v>4</v>
      </c>
      <c r="F34">
        <v>3</v>
      </c>
      <c r="G34">
        <v>16</v>
      </c>
      <c r="H34">
        <v>11</v>
      </c>
      <c r="I34">
        <v>0.75</v>
      </c>
      <c r="J34">
        <v>0.69</v>
      </c>
      <c r="K34">
        <v>1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1</v>
      </c>
      <c r="AA34" s="86">
        <f>AVERAGEIFS($C$2:C34, $B$2:B34, B34)</f>
        <v>12</v>
      </c>
      <c r="AB34" s="86">
        <f>AVERAGEIFS($I$2:I34, $B$2:B34, B34)</f>
        <v>0.57499999999999996</v>
      </c>
      <c r="AC34" s="86">
        <f>AVERAGEIFS($J$2:J34, $B$2:B34, B34)</f>
        <v>0.57999999999999996</v>
      </c>
      <c r="AD34" s="86">
        <f>AVERAGEIFS($D$2:D34, $B$2:B34, B34)</f>
        <v>0.5</v>
      </c>
    </row>
    <row r="35" spans="1:30" x14ac:dyDescent="0.25">
      <c r="A35" s="85">
        <v>46026</v>
      </c>
      <c r="B35" t="s">
        <v>2</v>
      </c>
      <c r="C35">
        <v>27</v>
      </c>
      <c r="D35">
        <v>0</v>
      </c>
      <c r="E35">
        <v>4</v>
      </c>
      <c r="F35">
        <v>1</v>
      </c>
      <c r="G35">
        <v>16</v>
      </c>
      <c r="H35">
        <v>5</v>
      </c>
      <c r="I35">
        <v>0.25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1</v>
      </c>
      <c r="X35">
        <v>0</v>
      </c>
      <c r="Y35">
        <v>0</v>
      </c>
      <c r="Z35">
        <v>0</v>
      </c>
      <c r="AA35" s="86">
        <f>AVERAGEIFS($C$2:C35, $B$2:B35, B35)</f>
        <v>27.5</v>
      </c>
      <c r="AB35" s="86">
        <f>AVERAGEIFS($I$2:I35, $B$2:B35, B35)</f>
        <v>0.5</v>
      </c>
      <c r="AC35" s="86">
        <f>AVERAGEIFS($J$2:J35, $B$2:B35, B35)</f>
        <v>0.47</v>
      </c>
      <c r="AD35" s="86">
        <f>AVERAGEIFS($D$2:D35, $B$2:B35, B35)</f>
        <v>0.5</v>
      </c>
    </row>
    <row r="36" spans="1:30" x14ac:dyDescent="0.25">
      <c r="A36" s="85">
        <v>46026</v>
      </c>
      <c r="B36" t="s">
        <v>15</v>
      </c>
      <c r="C36">
        <v>24</v>
      </c>
      <c r="D36">
        <v>0</v>
      </c>
      <c r="E36">
        <v>4</v>
      </c>
      <c r="F36">
        <v>1</v>
      </c>
      <c r="G36">
        <v>16</v>
      </c>
      <c r="H36">
        <v>5</v>
      </c>
      <c r="I36">
        <v>0.25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1</v>
      </c>
      <c r="X36">
        <v>0</v>
      </c>
      <c r="Y36">
        <v>0</v>
      </c>
      <c r="Z36">
        <v>0</v>
      </c>
      <c r="AA36" s="86">
        <f>AVERAGEIFS($C$2:C36, $B$2:B36, B36)</f>
        <v>29.5</v>
      </c>
      <c r="AB36" s="86">
        <f>AVERAGEIFS($I$2:I36, $B$2:B36, B36)</f>
        <v>0.25</v>
      </c>
      <c r="AC36" s="86">
        <f>AVERAGEIFS($J$2:J36, $B$2:B36, B36)</f>
        <v>0.34499999999999997</v>
      </c>
      <c r="AD36" s="86">
        <f>AVERAGEIFS($D$2:D36, $B$2:B36, B36)</f>
        <v>0</v>
      </c>
    </row>
    <row r="37" spans="1:30" x14ac:dyDescent="0.25">
      <c r="A37" s="85">
        <v>46026</v>
      </c>
      <c r="B37" t="s">
        <v>27</v>
      </c>
      <c r="C37">
        <v>20</v>
      </c>
      <c r="D37">
        <v>0</v>
      </c>
      <c r="E37">
        <v>4</v>
      </c>
      <c r="F37">
        <v>1</v>
      </c>
      <c r="G37">
        <v>16</v>
      </c>
      <c r="H37">
        <v>5</v>
      </c>
      <c r="I37">
        <v>0.25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1</v>
      </c>
      <c r="X37">
        <v>0</v>
      </c>
      <c r="Y37">
        <v>0</v>
      </c>
      <c r="Z37">
        <v>0</v>
      </c>
      <c r="AA37" s="86">
        <f>AVERAGEIFS($C$2:C37, $B$2:B37, B37)</f>
        <v>20</v>
      </c>
      <c r="AB37" s="86">
        <f>AVERAGEIFS($I$2:I37, $B$2:B37, B37)</f>
        <v>0.25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46026</v>
      </c>
      <c r="B38" t="s">
        <v>18</v>
      </c>
      <c r="C38">
        <v>16</v>
      </c>
      <c r="D38">
        <v>0</v>
      </c>
      <c r="E38">
        <v>4</v>
      </c>
      <c r="F38">
        <v>1</v>
      </c>
      <c r="G38">
        <v>16</v>
      </c>
      <c r="H38">
        <v>5</v>
      </c>
      <c r="I38">
        <v>0.25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0</v>
      </c>
      <c r="Y38">
        <v>0</v>
      </c>
      <c r="Z38">
        <v>0</v>
      </c>
      <c r="AA38" s="86">
        <f>AVERAGEIFS($C$2:C38, $B$2:B38, B38)</f>
        <v>16</v>
      </c>
      <c r="AB38" s="86">
        <f>AVERAGEIFS($I$2:I38, $B$2:B38, B38)</f>
        <v>0.25</v>
      </c>
      <c r="AC38" s="86">
        <f>AVERAGEIFS($J$2:J38, $B$2:B38, B38)</f>
        <v>0.31</v>
      </c>
      <c r="AD38" s="86">
        <f>AVERAGEIFS($D$2:D38, $B$2:B38, B38)</f>
        <v>0</v>
      </c>
    </row>
    <row r="39" spans="1:30" x14ac:dyDescent="0.25">
      <c r="A39" s="85">
        <v>46026</v>
      </c>
      <c r="B39" t="s">
        <v>20</v>
      </c>
      <c r="C39">
        <v>15</v>
      </c>
      <c r="D39">
        <v>0</v>
      </c>
      <c r="E39">
        <v>4</v>
      </c>
      <c r="F39">
        <v>1</v>
      </c>
      <c r="G39">
        <v>16</v>
      </c>
      <c r="H39">
        <v>5</v>
      </c>
      <c r="I39">
        <v>0.25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0</v>
      </c>
      <c r="Y39">
        <v>0</v>
      </c>
      <c r="Z39">
        <v>0</v>
      </c>
      <c r="AA39" s="86">
        <f>AVERAGEIFS($C$2:C39, $B$2:B39, B39)</f>
        <v>15</v>
      </c>
      <c r="AB39" s="86">
        <f>AVERAGEIFS($I$2:I39, $B$2:B39, B39)</f>
        <v>0.25</v>
      </c>
      <c r="AC39" s="86">
        <f>AVERAGEIFS($J$2:J39, $B$2:B39, B39)</f>
        <v>0.31</v>
      </c>
      <c r="AD39" s="86">
        <f>AVERAGEIFS($D$2:D39, $B$2:B39, B39)</f>
        <v>0</v>
      </c>
    </row>
    <row r="40" spans="1:30" x14ac:dyDescent="0.25">
      <c r="A40" s="85">
        <v>46026</v>
      </c>
      <c r="B40" t="s">
        <v>50</v>
      </c>
      <c r="C40">
        <v>12</v>
      </c>
      <c r="D40">
        <v>0</v>
      </c>
      <c r="E40">
        <v>4</v>
      </c>
      <c r="F40">
        <v>1</v>
      </c>
      <c r="G40">
        <v>16</v>
      </c>
      <c r="H40">
        <v>5</v>
      </c>
      <c r="I40">
        <v>0.25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0</v>
      </c>
      <c r="Y40">
        <v>0</v>
      </c>
      <c r="Z40">
        <v>0</v>
      </c>
      <c r="AA40" s="86">
        <f>AVERAGEIFS($C$2:C40, $B$2:B40, B40)</f>
        <v>12</v>
      </c>
      <c r="AB40" s="86">
        <f>AVERAGEIFS($I$2:I40, $B$2:B40, B40)</f>
        <v>0.25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46026</v>
      </c>
      <c r="B41" t="s">
        <v>51</v>
      </c>
      <c r="C41">
        <v>12</v>
      </c>
      <c r="D41">
        <v>0</v>
      </c>
      <c r="E41">
        <v>4</v>
      </c>
      <c r="F41">
        <v>1</v>
      </c>
      <c r="G41">
        <v>16</v>
      </c>
      <c r="H41">
        <v>5</v>
      </c>
      <c r="I41">
        <v>0.25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0</v>
      </c>
      <c r="Y41">
        <v>0</v>
      </c>
      <c r="Z41">
        <v>0</v>
      </c>
      <c r="AA41" s="86">
        <f>AVERAGEIFS($C$2:C41, $B$2:B41, B41)</f>
        <v>13.333333333333334</v>
      </c>
      <c r="AB41" s="86">
        <f>AVERAGEIFS($I$2:I41, $B$2:B41, B41)</f>
        <v>0.53333333333333333</v>
      </c>
      <c r="AC41" s="86">
        <f>AVERAGEIFS($J$2:J41, $B$2:B41, B41)</f>
        <v>0.49000000000000005</v>
      </c>
      <c r="AD41" s="86">
        <f>AVERAGEIFS($D$2:D41, $B$2:B41, B41)</f>
        <v>0.66666666666666663</v>
      </c>
    </row>
    <row r="42" spans="1:30" x14ac:dyDescent="0.25">
      <c r="A42" s="85">
        <v>46026</v>
      </c>
      <c r="B42" t="s">
        <v>55</v>
      </c>
      <c r="C42">
        <v>6</v>
      </c>
      <c r="D42">
        <v>0</v>
      </c>
      <c r="E42">
        <v>4</v>
      </c>
      <c r="F42">
        <v>1</v>
      </c>
      <c r="G42">
        <v>16</v>
      </c>
      <c r="H42">
        <v>5</v>
      </c>
      <c r="I42">
        <v>0.25</v>
      </c>
      <c r="J42">
        <v>0.31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0</v>
      </c>
      <c r="Y42">
        <v>0</v>
      </c>
      <c r="Z42">
        <v>0</v>
      </c>
      <c r="AA42" s="86">
        <f>AVERAGEIFS($C$2:C42, $B$2:B42, B42)</f>
        <v>8</v>
      </c>
      <c r="AB42" s="86">
        <f>AVERAGEIFS($I$2:I42, $B$2:B42, B42)</f>
        <v>0.5</v>
      </c>
      <c r="AC42" s="86">
        <f>AVERAGEIFS($J$2:J42, $B$2:B42, B42)</f>
        <v>0.47</v>
      </c>
      <c r="AD42" s="86">
        <f>AVERAGEIFS($D$2:D42, $B$2:B42, B42)</f>
        <v>0.5</v>
      </c>
    </row>
    <row r="43" spans="1:30" x14ac:dyDescent="0.25">
      <c r="A43" s="85">
        <v>46027</v>
      </c>
      <c r="B43" t="s">
        <v>18</v>
      </c>
      <c r="C43">
        <v>24</v>
      </c>
      <c r="D43">
        <v>1</v>
      </c>
      <c r="E43">
        <v>5</v>
      </c>
      <c r="F43">
        <v>3</v>
      </c>
      <c r="G43">
        <v>21</v>
      </c>
      <c r="H43">
        <v>12</v>
      </c>
      <c r="I43">
        <v>0.6</v>
      </c>
      <c r="J43">
        <v>0.56999999999999995</v>
      </c>
      <c r="K43">
        <v>1</v>
      </c>
      <c r="L43">
        <v>0</v>
      </c>
      <c r="M43">
        <v>0</v>
      </c>
      <c r="N43">
        <v>0</v>
      </c>
      <c r="O43">
        <v>0</v>
      </c>
      <c r="P43">
        <v>1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0</v>
      </c>
      <c r="Z43">
        <v>0</v>
      </c>
      <c r="AA43" s="86">
        <f>AVERAGEIFS($C$2:C43, $B$2:B43, B43)</f>
        <v>20</v>
      </c>
      <c r="AB43" s="86">
        <f>AVERAGEIFS($I$2:I43, $B$2:B43, B43)</f>
        <v>0.42499999999999999</v>
      </c>
      <c r="AC43" s="86">
        <f>AVERAGEIFS($J$2:J43, $B$2:B43, B43)</f>
        <v>0.43999999999999995</v>
      </c>
      <c r="AD43" s="86">
        <f>AVERAGEIFS($D$2:D43, $B$2:B43, B43)</f>
        <v>0.5</v>
      </c>
    </row>
    <row r="44" spans="1:30" x14ac:dyDescent="0.25">
      <c r="A44" s="85">
        <v>46027</v>
      </c>
      <c r="B44" t="s">
        <v>17</v>
      </c>
      <c r="C44">
        <v>20</v>
      </c>
      <c r="D44">
        <v>1</v>
      </c>
      <c r="E44">
        <v>5</v>
      </c>
      <c r="F44">
        <v>3</v>
      </c>
      <c r="G44">
        <v>21</v>
      </c>
      <c r="H44">
        <v>12</v>
      </c>
      <c r="I44">
        <v>0.6</v>
      </c>
      <c r="J44">
        <v>0.56999999999999995</v>
      </c>
      <c r="K44">
        <v>1</v>
      </c>
      <c r="L44">
        <v>0</v>
      </c>
      <c r="M44">
        <v>0</v>
      </c>
      <c r="N44">
        <v>0</v>
      </c>
      <c r="O44">
        <v>0</v>
      </c>
      <c r="P44">
        <v>1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0</v>
      </c>
      <c r="Z44">
        <v>0</v>
      </c>
      <c r="AA44" s="86">
        <f>AVERAGEIFS($C$2:C44, $B$2:B44, B44)</f>
        <v>22.75</v>
      </c>
      <c r="AB44" s="86">
        <f>AVERAGEIFS($I$2:I44, $B$2:B44, B44)</f>
        <v>0.625</v>
      </c>
      <c r="AC44" s="86">
        <f>AVERAGEIFS($J$2:J44, $B$2:B44, B44)</f>
        <v>0.59</v>
      </c>
      <c r="AD44" s="86">
        <f>AVERAGEIFS($D$2:D44, $B$2:B44, B44)</f>
        <v>0.75</v>
      </c>
    </row>
    <row r="45" spans="1:30" x14ac:dyDescent="0.25">
      <c r="A45" s="85">
        <v>46027</v>
      </c>
      <c r="B45" t="s">
        <v>15</v>
      </c>
      <c r="C45">
        <v>17</v>
      </c>
      <c r="D45">
        <v>1</v>
      </c>
      <c r="E45">
        <v>5</v>
      </c>
      <c r="F45">
        <v>3</v>
      </c>
      <c r="G45">
        <v>21</v>
      </c>
      <c r="H45">
        <v>12</v>
      </c>
      <c r="I45">
        <v>0.6</v>
      </c>
      <c r="J45">
        <v>0.56999999999999995</v>
      </c>
      <c r="K45">
        <v>1</v>
      </c>
      <c r="L45">
        <v>0</v>
      </c>
      <c r="M45">
        <v>0</v>
      </c>
      <c r="N45">
        <v>0</v>
      </c>
      <c r="O45">
        <v>0</v>
      </c>
      <c r="P45">
        <v>1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0</v>
      </c>
      <c r="Z45">
        <v>0</v>
      </c>
      <c r="AA45" s="86">
        <f>AVERAGEIFS($C$2:C45, $B$2:B45, B45)</f>
        <v>25.333333333333332</v>
      </c>
      <c r="AB45" s="86">
        <f>AVERAGEIFS($I$2:I45, $B$2:B45, B45)</f>
        <v>0.3666666666666667</v>
      </c>
      <c r="AC45" s="86">
        <f>AVERAGEIFS($J$2:J45, $B$2:B45, B45)</f>
        <v>0.41999999999999993</v>
      </c>
      <c r="AD45" s="86">
        <f>AVERAGEIFS($D$2:D45, $B$2:B45, B45)</f>
        <v>0.33333333333333331</v>
      </c>
    </row>
    <row r="46" spans="1:30" x14ac:dyDescent="0.25">
      <c r="A46" s="85">
        <v>46027</v>
      </c>
      <c r="B46" t="s">
        <v>25</v>
      </c>
      <c r="C46">
        <v>12</v>
      </c>
      <c r="D46">
        <v>1</v>
      </c>
      <c r="E46">
        <v>5</v>
      </c>
      <c r="F46">
        <v>3</v>
      </c>
      <c r="G46">
        <v>21</v>
      </c>
      <c r="H46">
        <v>12</v>
      </c>
      <c r="I46">
        <v>0.6</v>
      </c>
      <c r="J46">
        <v>0.56999999999999995</v>
      </c>
      <c r="K46">
        <v>1</v>
      </c>
      <c r="L46">
        <v>0</v>
      </c>
      <c r="M46">
        <v>0</v>
      </c>
      <c r="N46">
        <v>0</v>
      </c>
      <c r="O46">
        <v>0</v>
      </c>
      <c r="P46">
        <v>1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0</v>
      </c>
      <c r="Z46">
        <v>0</v>
      </c>
      <c r="AA46" s="86">
        <f>AVERAGEIFS($C$2:C46, $B$2:B46, B46)</f>
        <v>16.5</v>
      </c>
      <c r="AB46" s="86">
        <f>AVERAGEIFS($I$2:I46, $B$2:B46, B46)</f>
        <v>0.67500000000000004</v>
      </c>
      <c r="AC46" s="86">
        <f>AVERAGEIFS($J$2:J46, $B$2:B46, B46)</f>
        <v>0.62999999999999989</v>
      </c>
      <c r="AD46" s="86">
        <f>AVERAGEIFS($D$2:D46, $B$2:B46, B46)</f>
        <v>1</v>
      </c>
    </row>
    <row r="47" spans="1:30" x14ac:dyDescent="0.25">
      <c r="A47" s="85">
        <v>46027</v>
      </c>
      <c r="B47" t="s">
        <v>19</v>
      </c>
      <c r="C47">
        <v>11</v>
      </c>
      <c r="D47">
        <v>1</v>
      </c>
      <c r="E47">
        <v>5</v>
      </c>
      <c r="F47">
        <v>3</v>
      </c>
      <c r="G47">
        <v>21</v>
      </c>
      <c r="H47">
        <v>12</v>
      </c>
      <c r="I47">
        <v>0.6</v>
      </c>
      <c r="J47">
        <v>0.56999999999999995</v>
      </c>
      <c r="K47">
        <v>1</v>
      </c>
      <c r="L47">
        <v>0</v>
      </c>
      <c r="M47">
        <v>0</v>
      </c>
      <c r="N47">
        <v>0</v>
      </c>
      <c r="O47">
        <v>0</v>
      </c>
      <c r="P47">
        <v>1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0</v>
      </c>
      <c r="Z47">
        <v>0</v>
      </c>
      <c r="AA47" s="86">
        <f>AVERAGEIFS($C$2:C47, $B$2:B47, B47)</f>
        <v>10.25</v>
      </c>
      <c r="AB47" s="86">
        <f>AVERAGEIFS($I$2:I47, $B$2:B47, B47)</f>
        <v>0.5</v>
      </c>
      <c r="AC47" s="86">
        <f>AVERAGEIFS($J$2:J47, $B$2:B47, B47)</f>
        <v>0.52749999999999997</v>
      </c>
      <c r="AD47" s="86">
        <f>AVERAGEIFS($D$2:D47, $B$2:B47, B47)</f>
        <v>0.5</v>
      </c>
    </row>
    <row r="48" spans="1:30" x14ac:dyDescent="0.25">
      <c r="A48" s="85">
        <v>46027</v>
      </c>
      <c r="B48" t="s">
        <v>13</v>
      </c>
      <c r="C48">
        <v>27</v>
      </c>
      <c r="D48">
        <v>0</v>
      </c>
      <c r="E48">
        <v>5</v>
      </c>
      <c r="F48">
        <v>2</v>
      </c>
      <c r="G48">
        <v>21</v>
      </c>
      <c r="H48">
        <v>9</v>
      </c>
      <c r="I48">
        <v>0.4</v>
      </c>
      <c r="J48">
        <v>0.43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1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25.5</v>
      </c>
      <c r="AB48" s="86">
        <f>AVERAGEIFS($I$2:I48, $B$2:B48, B48)</f>
        <v>0.44999999999999996</v>
      </c>
      <c r="AC48" s="86">
        <f>AVERAGEIFS($J$2:J48, $B$2:B48, B48)</f>
        <v>0.49249999999999999</v>
      </c>
      <c r="AD48" s="86">
        <f>AVERAGEIFS($D$2:D48, $B$2:B48, B48)</f>
        <v>0.25</v>
      </c>
    </row>
    <row r="49" spans="1:30" x14ac:dyDescent="0.25">
      <c r="A49" s="85">
        <v>46027</v>
      </c>
      <c r="B49" t="s">
        <v>14</v>
      </c>
      <c r="C49">
        <v>22</v>
      </c>
      <c r="D49">
        <v>0</v>
      </c>
      <c r="E49">
        <v>5</v>
      </c>
      <c r="F49">
        <v>2</v>
      </c>
      <c r="G49">
        <v>21</v>
      </c>
      <c r="H49">
        <v>9</v>
      </c>
      <c r="I49">
        <v>0.4</v>
      </c>
      <c r="J49">
        <v>0.43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1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22</v>
      </c>
      <c r="AB49" s="86">
        <f>AVERAGEIFS($I$2:I49, $B$2:B49, B49)</f>
        <v>0.58333333333333337</v>
      </c>
      <c r="AC49" s="86">
        <f>AVERAGEIFS($J$2:J49, $B$2:B49, B49)</f>
        <v>0.53</v>
      </c>
      <c r="AD49" s="86">
        <f>AVERAGEIFS($D$2:D49, $B$2:B49, B49)</f>
        <v>0.66666666666666663</v>
      </c>
    </row>
    <row r="50" spans="1:30" x14ac:dyDescent="0.25">
      <c r="A50" s="85">
        <v>46027</v>
      </c>
      <c r="B50" t="s">
        <v>3</v>
      </c>
      <c r="C50">
        <v>21</v>
      </c>
      <c r="D50">
        <v>0</v>
      </c>
      <c r="E50">
        <v>5</v>
      </c>
      <c r="F50">
        <v>2</v>
      </c>
      <c r="G50">
        <v>21</v>
      </c>
      <c r="H50">
        <v>9</v>
      </c>
      <c r="I50">
        <v>0.4</v>
      </c>
      <c r="J50">
        <v>0.43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1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22.333333333333332</v>
      </c>
      <c r="AB50" s="86">
        <f>AVERAGEIFS($I$2:I50, $B$2:B50, B50)</f>
        <v>0.6333333333333333</v>
      </c>
      <c r="AC50" s="86">
        <f>AVERAGEIFS($J$2:J50, $B$2:B50, B50)</f>
        <v>0.58333333333333326</v>
      </c>
      <c r="AD50" s="86">
        <f>AVERAGEIFS($D$2:D50, $B$2:B50, B50)</f>
        <v>0.66666666666666663</v>
      </c>
    </row>
    <row r="51" spans="1:30" x14ac:dyDescent="0.25">
      <c r="A51" s="85">
        <v>46027</v>
      </c>
      <c r="B51" t="s">
        <v>29</v>
      </c>
      <c r="C51">
        <v>5</v>
      </c>
      <c r="D51">
        <v>0</v>
      </c>
      <c r="E51">
        <v>5</v>
      </c>
      <c r="F51">
        <v>2</v>
      </c>
      <c r="G51">
        <v>21</v>
      </c>
      <c r="H51">
        <v>9</v>
      </c>
      <c r="I51">
        <v>0.4</v>
      </c>
      <c r="J51">
        <v>0.43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1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10.333333333333334</v>
      </c>
      <c r="AB51" s="86">
        <f>AVERAGEIFS($I$2:I51, $B$2:B51, B51)</f>
        <v>0.6333333333333333</v>
      </c>
      <c r="AC51" s="86">
        <f>AVERAGEIFS($J$2:J51, $B$2:B51, B51)</f>
        <v>0.58333333333333326</v>
      </c>
      <c r="AD51" s="86">
        <f>AVERAGEIFS($D$2:D51, $B$2:B51, B51)</f>
        <v>0.66666666666666663</v>
      </c>
    </row>
    <row r="52" spans="1:30" x14ac:dyDescent="0.25">
      <c r="A52" s="85">
        <v>46027</v>
      </c>
      <c r="B52" t="s">
        <v>20</v>
      </c>
      <c r="C52">
        <v>5</v>
      </c>
      <c r="D52">
        <v>0</v>
      </c>
      <c r="E52">
        <v>5</v>
      </c>
      <c r="F52">
        <v>2</v>
      </c>
      <c r="G52">
        <v>21</v>
      </c>
      <c r="H52">
        <v>9</v>
      </c>
      <c r="I52">
        <v>0.4</v>
      </c>
      <c r="J52">
        <v>0.43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1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10</v>
      </c>
      <c r="AB52" s="86">
        <f>AVERAGEIFS($I$2:I52, $B$2:B52, B52)</f>
        <v>0.32500000000000001</v>
      </c>
      <c r="AC52" s="86">
        <f>AVERAGEIFS($J$2:J52, $B$2:B52, B52)</f>
        <v>0.37</v>
      </c>
      <c r="AD52" s="86">
        <f>AVERAGEIFS($D$2:D52, $B$2:B52, B52)</f>
        <v>0</v>
      </c>
    </row>
    <row r="53" spans="1:30" x14ac:dyDescent="0.25">
      <c r="A53" s="85">
        <v>46029</v>
      </c>
      <c r="B53" t="s">
        <v>14</v>
      </c>
      <c r="C53">
        <v>30</v>
      </c>
      <c r="D53">
        <v>1</v>
      </c>
      <c r="E53">
        <v>5</v>
      </c>
      <c r="F53">
        <v>3</v>
      </c>
      <c r="G53">
        <v>22</v>
      </c>
      <c r="H53">
        <v>13</v>
      </c>
      <c r="I53">
        <v>0.6</v>
      </c>
      <c r="J53">
        <v>0.59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1</v>
      </c>
      <c r="X53">
        <v>0</v>
      </c>
      <c r="Y53">
        <v>0</v>
      </c>
      <c r="Z53">
        <v>0</v>
      </c>
      <c r="AA53" s="86">
        <f>AVERAGEIFS($C$2:C53, $B$2:B53, B53)</f>
        <v>24</v>
      </c>
      <c r="AB53" s="86">
        <f>AVERAGEIFS($I$2:I53, $B$2:B53, B53)</f>
        <v>0.58750000000000002</v>
      </c>
      <c r="AC53" s="86">
        <f>AVERAGEIFS($J$2:J53, $B$2:B53, B53)</f>
        <v>0.54500000000000004</v>
      </c>
      <c r="AD53" s="86">
        <f>AVERAGEIFS($D$2:D53, $B$2:B53, B53)</f>
        <v>0.75</v>
      </c>
    </row>
    <row r="54" spans="1:30" x14ac:dyDescent="0.25">
      <c r="A54" s="85">
        <v>46029</v>
      </c>
      <c r="B54" t="s">
        <v>13</v>
      </c>
      <c r="C54">
        <v>26</v>
      </c>
      <c r="D54">
        <v>1</v>
      </c>
      <c r="E54">
        <v>5</v>
      </c>
      <c r="F54">
        <v>3</v>
      </c>
      <c r="G54">
        <v>22</v>
      </c>
      <c r="H54">
        <v>13</v>
      </c>
      <c r="I54">
        <v>0.6</v>
      </c>
      <c r="J54">
        <v>0.59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1</v>
      </c>
      <c r="X54">
        <v>0</v>
      </c>
      <c r="Y54">
        <v>0</v>
      </c>
      <c r="Z54">
        <v>0</v>
      </c>
      <c r="AA54" s="86">
        <f>AVERAGEIFS($C$2:C54, $B$2:B54, B54)</f>
        <v>25.6</v>
      </c>
      <c r="AB54" s="86">
        <f>AVERAGEIFS($I$2:I54, $B$2:B54, B54)</f>
        <v>0.48</v>
      </c>
      <c r="AC54" s="86">
        <f>AVERAGEIFS($J$2:J54, $B$2:B54, B54)</f>
        <v>0.51200000000000001</v>
      </c>
      <c r="AD54" s="86">
        <f>AVERAGEIFS($D$2:D54, $B$2:B54, B54)</f>
        <v>0.4</v>
      </c>
    </row>
    <row r="55" spans="1:30" x14ac:dyDescent="0.25">
      <c r="A55" s="85">
        <v>46029</v>
      </c>
      <c r="B55" t="s">
        <v>20</v>
      </c>
      <c r="C55">
        <v>17</v>
      </c>
      <c r="D55">
        <v>1</v>
      </c>
      <c r="E55">
        <v>5</v>
      </c>
      <c r="F55">
        <v>3</v>
      </c>
      <c r="G55">
        <v>22</v>
      </c>
      <c r="H55">
        <v>13</v>
      </c>
      <c r="I55">
        <v>0.6</v>
      </c>
      <c r="J55">
        <v>0.59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1</v>
      </c>
      <c r="X55">
        <v>0</v>
      </c>
      <c r="Y55">
        <v>0</v>
      </c>
      <c r="Z55">
        <v>0</v>
      </c>
      <c r="AA55" s="86">
        <f>AVERAGEIFS($C$2:C55, $B$2:B55, B55)</f>
        <v>12.333333333333334</v>
      </c>
      <c r="AB55" s="86">
        <f>AVERAGEIFS($I$2:I55, $B$2:B55, B55)</f>
        <v>0.41666666666666669</v>
      </c>
      <c r="AC55" s="86">
        <f>AVERAGEIFS($J$2:J55, $B$2:B55, B55)</f>
        <v>0.44333333333333336</v>
      </c>
      <c r="AD55" s="86">
        <f>AVERAGEIFS($D$2:D55, $B$2:B55, B55)</f>
        <v>0.33333333333333331</v>
      </c>
    </row>
    <row r="56" spans="1:30" x14ac:dyDescent="0.25">
      <c r="A56" s="85">
        <v>46029</v>
      </c>
      <c r="B56" t="s">
        <v>51</v>
      </c>
      <c r="C56">
        <v>14</v>
      </c>
      <c r="D56">
        <v>1</v>
      </c>
      <c r="E56">
        <v>5</v>
      </c>
      <c r="F56">
        <v>3</v>
      </c>
      <c r="G56">
        <v>22</v>
      </c>
      <c r="H56">
        <v>13</v>
      </c>
      <c r="I56">
        <v>0.6</v>
      </c>
      <c r="J56">
        <v>0.59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1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0.55000000000000004</v>
      </c>
      <c r="AC56" s="86">
        <f>AVERAGEIFS($J$2:J56, $B$2:B56, B56)</f>
        <v>0.51500000000000001</v>
      </c>
      <c r="AD56" s="86">
        <f>AVERAGEIFS($D$2:D56, $B$2:B56, B56)</f>
        <v>0.75</v>
      </c>
    </row>
    <row r="57" spans="1:30" x14ac:dyDescent="0.25">
      <c r="A57" s="85">
        <v>46029</v>
      </c>
      <c r="B57" t="s">
        <v>6</v>
      </c>
      <c r="C57">
        <v>13</v>
      </c>
      <c r="D57">
        <v>1</v>
      </c>
      <c r="E57">
        <v>5</v>
      </c>
      <c r="F57">
        <v>3</v>
      </c>
      <c r="G57">
        <v>22</v>
      </c>
      <c r="H57">
        <v>13</v>
      </c>
      <c r="I57">
        <v>0.6</v>
      </c>
      <c r="J57">
        <v>0.59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1</v>
      </c>
      <c r="X57">
        <v>0</v>
      </c>
      <c r="Y57">
        <v>0</v>
      </c>
      <c r="Z57">
        <v>0</v>
      </c>
      <c r="AA57" s="86">
        <f>AVERAGEIFS($C$2:C57, $B$2:B57, B57)</f>
        <v>13</v>
      </c>
      <c r="AB57" s="86">
        <f>AVERAGEIFS($I$2:I57, $B$2:B57, B57)</f>
        <v>0.6</v>
      </c>
      <c r="AC57" s="86">
        <f>AVERAGEIFS($J$2:J57, $B$2:B57, B57)</f>
        <v>0.59</v>
      </c>
      <c r="AD57" s="86">
        <f>AVERAGEIFS($D$2:D57, $B$2:B57, B57)</f>
        <v>1</v>
      </c>
    </row>
    <row r="58" spans="1:30" x14ac:dyDescent="0.25">
      <c r="A58" s="85">
        <v>46029</v>
      </c>
      <c r="B58" t="s">
        <v>54</v>
      </c>
      <c r="C58">
        <v>12</v>
      </c>
      <c r="D58">
        <v>1</v>
      </c>
      <c r="E58">
        <v>5</v>
      </c>
      <c r="F58">
        <v>3</v>
      </c>
      <c r="G58">
        <v>22</v>
      </c>
      <c r="H58">
        <v>13</v>
      </c>
      <c r="I58">
        <v>0.6</v>
      </c>
      <c r="J58">
        <v>0.59</v>
      </c>
      <c r="K58">
        <v>0</v>
      </c>
      <c r="L58">
        <v>1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1</v>
      </c>
      <c r="X58">
        <v>0</v>
      </c>
      <c r="Y58">
        <v>0</v>
      </c>
      <c r="Z58">
        <v>0</v>
      </c>
      <c r="AA58" s="86">
        <f>AVERAGEIFS($C$2:C58, $B$2:B58, B58)</f>
        <v>12</v>
      </c>
      <c r="AB58" s="86">
        <f>AVERAGEIFS($I$2:I58, $B$2:B58, B58)</f>
        <v>0.6</v>
      </c>
      <c r="AC58" s="86">
        <f>AVERAGEIFS($J$2:J58, $B$2:B58, B58)</f>
        <v>0.59</v>
      </c>
      <c r="AD58" s="86">
        <f>AVERAGEIFS($D$2:D58, $B$2:B58, B58)</f>
        <v>1</v>
      </c>
    </row>
    <row r="59" spans="1:30" x14ac:dyDescent="0.25">
      <c r="A59" s="85">
        <v>46029</v>
      </c>
      <c r="B59" t="s">
        <v>46</v>
      </c>
      <c r="C59">
        <v>30</v>
      </c>
      <c r="D59">
        <v>0</v>
      </c>
      <c r="E59">
        <v>5</v>
      </c>
      <c r="F59">
        <v>2</v>
      </c>
      <c r="G59">
        <v>22</v>
      </c>
      <c r="H59">
        <v>9</v>
      </c>
      <c r="I59">
        <v>0.4</v>
      </c>
      <c r="J59">
        <v>0.41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30</v>
      </c>
      <c r="AB59" s="86">
        <f>AVERAGEIFS($I$2:I59, $B$2:B59, B59)</f>
        <v>0.4</v>
      </c>
      <c r="AC59" s="86">
        <f>AVERAGEIFS($J$2:J59, $B$2:B59, B59)</f>
        <v>0.41</v>
      </c>
      <c r="AD59" s="86">
        <f>AVERAGEIFS($D$2:D59, $B$2:B59, B59)</f>
        <v>0</v>
      </c>
    </row>
    <row r="60" spans="1:30" x14ac:dyDescent="0.25">
      <c r="A60" s="85">
        <v>46029</v>
      </c>
      <c r="B60" t="s">
        <v>17</v>
      </c>
      <c r="C60">
        <v>23</v>
      </c>
      <c r="D60">
        <v>0</v>
      </c>
      <c r="E60">
        <v>5</v>
      </c>
      <c r="F60">
        <v>2</v>
      </c>
      <c r="G60">
        <v>22</v>
      </c>
      <c r="H60">
        <v>9</v>
      </c>
      <c r="I60">
        <v>0.4</v>
      </c>
      <c r="J60">
        <v>0.41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22.8</v>
      </c>
      <c r="AB60" s="86">
        <f>AVERAGEIFS($I$2:I60, $B$2:B60, B60)</f>
        <v>0.57999999999999996</v>
      </c>
      <c r="AC60" s="86">
        <f>AVERAGEIFS($J$2:J60, $B$2:B60, B60)</f>
        <v>0.55400000000000005</v>
      </c>
      <c r="AD60" s="86">
        <f>AVERAGEIFS($D$2:D60, $B$2:B60, B60)</f>
        <v>0.6</v>
      </c>
    </row>
    <row r="61" spans="1:30" x14ac:dyDescent="0.25">
      <c r="A61" s="85">
        <v>46029</v>
      </c>
      <c r="B61" t="s">
        <v>15</v>
      </c>
      <c r="C61">
        <v>21</v>
      </c>
      <c r="D61">
        <v>0</v>
      </c>
      <c r="E61">
        <v>5</v>
      </c>
      <c r="F61">
        <v>2</v>
      </c>
      <c r="G61">
        <v>22</v>
      </c>
      <c r="H61">
        <v>9</v>
      </c>
      <c r="I61">
        <v>0.4</v>
      </c>
      <c r="J61">
        <v>0.41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24.25</v>
      </c>
      <c r="AB61" s="86">
        <f>AVERAGEIFS($I$2:I61, $B$2:B61, B61)</f>
        <v>0.375</v>
      </c>
      <c r="AC61" s="86">
        <f>AVERAGEIFS($J$2:J61, $B$2:B61, B61)</f>
        <v>0.41749999999999993</v>
      </c>
      <c r="AD61" s="86">
        <f>AVERAGEIFS($D$2:D61, $B$2:B61, B61)</f>
        <v>0.25</v>
      </c>
    </row>
    <row r="62" spans="1:30" x14ac:dyDescent="0.25">
      <c r="A62" s="85">
        <v>46029</v>
      </c>
      <c r="B62" t="s">
        <v>29</v>
      </c>
      <c r="C62">
        <v>12</v>
      </c>
      <c r="D62">
        <v>0</v>
      </c>
      <c r="E62">
        <v>5</v>
      </c>
      <c r="F62">
        <v>2</v>
      </c>
      <c r="G62">
        <v>22</v>
      </c>
      <c r="H62">
        <v>9</v>
      </c>
      <c r="I62">
        <v>0.4</v>
      </c>
      <c r="J62">
        <v>0.41</v>
      </c>
      <c r="K62">
        <v>0</v>
      </c>
      <c r="L62">
        <v>0</v>
      </c>
      <c r="M62">
        <v>0</v>
      </c>
      <c r="N62">
        <v>0</v>
      </c>
      <c r="O62">
        <v>0</v>
      </c>
      <c r="P62">
        <v>1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10.75</v>
      </c>
      <c r="AB62" s="86">
        <f>AVERAGEIFS($I$2:I62, $B$2:B62, B62)</f>
        <v>0.57499999999999996</v>
      </c>
      <c r="AC62" s="86">
        <f>AVERAGEIFS($J$2:J62, $B$2:B62, B62)</f>
        <v>0.53999999999999992</v>
      </c>
      <c r="AD62" s="86">
        <f>AVERAGEIFS($D$2:D62, $B$2:B62, B62)</f>
        <v>0.5</v>
      </c>
    </row>
    <row r="63" spans="1:30" x14ac:dyDescent="0.25">
      <c r="A63" s="85">
        <v>46029</v>
      </c>
      <c r="B63" t="s">
        <v>19</v>
      </c>
      <c r="C63">
        <v>8</v>
      </c>
      <c r="D63">
        <v>0</v>
      </c>
      <c r="E63">
        <v>5</v>
      </c>
      <c r="F63">
        <v>2</v>
      </c>
      <c r="G63">
        <v>22</v>
      </c>
      <c r="H63">
        <v>9</v>
      </c>
      <c r="I63">
        <v>0.4</v>
      </c>
      <c r="J63">
        <v>0.41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9.8000000000000007</v>
      </c>
      <c r="AB63" s="86">
        <f>AVERAGEIFS($I$2:I63, $B$2:B63, B63)</f>
        <v>0.48</v>
      </c>
      <c r="AC63" s="86">
        <f>AVERAGEIFS($J$2:J63, $B$2:B63, B63)</f>
        <v>0.504</v>
      </c>
      <c r="AD63" s="86">
        <f>AVERAGEIFS($D$2:D63, $B$2:B63, B63)</f>
        <v>0.4</v>
      </c>
    </row>
    <row r="64" spans="1:30" x14ac:dyDescent="0.25">
      <c r="A64" s="85">
        <v>46029</v>
      </c>
      <c r="B64" t="s">
        <v>45</v>
      </c>
      <c r="C64">
        <v>8</v>
      </c>
      <c r="D64" s="86">
        <v>0</v>
      </c>
      <c r="E64">
        <v>5</v>
      </c>
      <c r="F64">
        <v>2</v>
      </c>
      <c r="G64">
        <v>22</v>
      </c>
      <c r="H64">
        <v>9</v>
      </c>
      <c r="I64">
        <v>0.4</v>
      </c>
      <c r="J64">
        <v>0.41</v>
      </c>
      <c r="K64">
        <v>0</v>
      </c>
      <c r="L64">
        <v>0</v>
      </c>
      <c r="M64">
        <v>0</v>
      </c>
      <c r="N64">
        <v>0</v>
      </c>
      <c r="O64">
        <v>0</v>
      </c>
      <c r="P64">
        <v>1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8</v>
      </c>
      <c r="AB64" s="86">
        <f>AVERAGEIFS($I$2:I64, $B$2:B64, B64)</f>
        <v>0.4</v>
      </c>
      <c r="AC64" s="86">
        <f>AVERAGEIFS($J$2:J64, $B$2:B64, B64)</f>
        <v>0.41</v>
      </c>
      <c r="AD64" s="86">
        <f>AVERAGEIFS($D$2:D64, $B$2:B64, B64)</f>
        <v>0</v>
      </c>
    </row>
    <row r="65" spans="1:30" x14ac:dyDescent="0.25">
      <c r="A65" s="85">
        <v>46030</v>
      </c>
      <c r="B65" t="s">
        <v>13</v>
      </c>
      <c r="C65">
        <v>22</v>
      </c>
      <c r="D65">
        <v>1</v>
      </c>
      <c r="E65">
        <v>4</v>
      </c>
      <c r="F65">
        <v>3</v>
      </c>
      <c r="G65">
        <v>15</v>
      </c>
      <c r="H65">
        <v>10</v>
      </c>
      <c r="I65">
        <v>0.75</v>
      </c>
      <c r="J65">
        <v>0.67</v>
      </c>
      <c r="K65">
        <v>1</v>
      </c>
      <c r="L65">
        <v>0</v>
      </c>
      <c r="M65">
        <v>0</v>
      </c>
      <c r="N65">
        <v>0</v>
      </c>
      <c r="O65">
        <v>0</v>
      </c>
      <c r="P65">
        <v>1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 s="86">
        <f>AVERAGEIFS($C$2:C65, $B$2:B65, B65)</f>
        <v>25</v>
      </c>
      <c r="AB65" s="86">
        <f>AVERAGEIFS($I$2:I65, $B$2:B65, B65)</f>
        <v>0.52500000000000002</v>
      </c>
      <c r="AC65" s="86">
        <f>AVERAGEIFS($J$2:J65, $B$2:B65, B65)</f>
        <v>0.53833333333333333</v>
      </c>
      <c r="AD65" s="86">
        <f>AVERAGEIFS($D$2:D65, $B$2:B65, B65)</f>
        <v>0.5</v>
      </c>
    </row>
    <row r="66" spans="1:30" x14ac:dyDescent="0.25">
      <c r="A66" s="85">
        <v>46030</v>
      </c>
      <c r="B66" t="s">
        <v>28</v>
      </c>
      <c r="C66">
        <v>13</v>
      </c>
      <c r="D66">
        <v>1</v>
      </c>
      <c r="E66">
        <v>4</v>
      </c>
      <c r="F66">
        <v>3</v>
      </c>
      <c r="G66">
        <v>15</v>
      </c>
      <c r="H66">
        <v>10</v>
      </c>
      <c r="I66">
        <v>0.75</v>
      </c>
      <c r="J66">
        <v>0.67</v>
      </c>
      <c r="K66">
        <v>1</v>
      </c>
      <c r="L66">
        <v>0</v>
      </c>
      <c r="M66">
        <v>0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12.25</v>
      </c>
      <c r="AB66" s="86">
        <f>AVERAGEIFS($I$2:I66, $B$2:B66, B66)</f>
        <v>0.53749999999999998</v>
      </c>
      <c r="AC66" s="86">
        <f>AVERAGEIFS($J$2:J66, $B$2:B66, B66)</f>
        <v>0.55249999999999999</v>
      </c>
      <c r="AD66" s="86">
        <f>AVERAGEIFS($D$2:D66, $B$2:B66, B66)</f>
        <v>0.5</v>
      </c>
    </row>
    <row r="67" spans="1:30" x14ac:dyDescent="0.25">
      <c r="A67" s="85">
        <v>46030</v>
      </c>
      <c r="B67" t="s">
        <v>6</v>
      </c>
      <c r="C67">
        <v>11</v>
      </c>
      <c r="D67">
        <v>1</v>
      </c>
      <c r="E67">
        <v>4</v>
      </c>
      <c r="F67">
        <v>3</v>
      </c>
      <c r="G67">
        <v>15</v>
      </c>
      <c r="H67">
        <v>10</v>
      </c>
      <c r="I67">
        <v>0.75</v>
      </c>
      <c r="J67">
        <v>0.67</v>
      </c>
      <c r="K67">
        <v>1</v>
      </c>
      <c r="L67">
        <v>0</v>
      </c>
      <c r="M67">
        <v>0</v>
      </c>
      <c r="N67">
        <v>0</v>
      </c>
      <c r="O67">
        <v>0</v>
      </c>
      <c r="P67">
        <v>1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12</v>
      </c>
      <c r="AB67" s="86">
        <f>AVERAGEIFS($I$2:I67, $B$2:B67, B67)</f>
        <v>0.67500000000000004</v>
      </c>
      <c r="AC67" s="86">
        <f>AVERAGEIFS($J$2:J67, $B$2:B67, B67)</f>
        <v>0.63</v>
      </c>
      <c r="AD67" s="86">
        <f>AVERAGEIFS($D$2:D67, $B$2:B67, B67)</f>
        <v>1</v>
      </c>
    </row>
    <row r="68" spans="1:30" x14ac:dyDescent="0.25">
      <c r="A68" s="85">
        <v>46030</v>
      </c>
      <c r="B68" t="s">
        <v>2</v>
      </c>
      <c r="C68">
        <v>9</v>
      </c>
      <c r="D68">
        <v>1</v>
      </c>
      <c r="E68">
        <v>4</v>
      </c>
      <c r="F68">
        <v>3</v>
      </c>
      <c r="G68">
        <v>15</v>
      </c>
      <c r="H68">
        <v>10</v>
      </c>
      <c r="I68">
        <v>0.75</v>
      </c>
      <c r="J68">
        <v>0.67</v>
      </c>
      <c r="K68">
        <v>1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21.333333333333332</v>
      </c>
      <c r="AB68" s="86">
        <f>AVERAGEIFS($I$2:I68, $B$2:B68, B68)</f>
        <v>0.58333333333333337</v>
      </c>
      <c r="AC68" s="86">
        <f>AVERAGEIFS($J$2:J68, $B$2:B68, B68)</f>
        <v>0.53666666666666663</v>
      </c>
      <c r="AD68" s="86">
        <f>AVERAGEIFS($D$2:D68, $B$2:B68, B68)</f>
        <v>0.66666666666666663</v>
      </c>
    </row>
    <row r="69" spans="1:30" x14ac:dyDescent="0.25">
      <c r="A69" s="85">
        <v>46030</v>
      </c>
      <c r="B69" t="s">
        <v>17</v>
      </c>
      <c r="C69">
        <v>8</v>
      </c>
      <c r="D69">
        <v>1</v>
      </c>
      <c r="E69">
        <v>4</v>
      </c>
      <c r="F69">
        <v>3</v>
      </c>
      <c r="G69">
        <v>15</v>
      </c>
      <c r="H69">
        <v>10</v>
      </c>
      <c r="I69">
        <v>0.75</v>
      </c>
      <c r="J69">
        <v>0.67</v>
      </c>
      <c r="K69">
        <v>1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20.333333333333332</v>
      </c>
      <c r="AB69" s="86">
        <f>AVERAGEIFS($I$2:I69, $B$2:B69, B69)</f>
        <v>0.60833333333333328</v>
      </c>
      <c r="AC69" s="86">
        <f>AVERAGEIFS($J$2:J69, $B$2:B69, B69)</f>
        <v>0.57333333333333336</v>
      </c>
      <c r="AD69" s="86">
        <f>AVERAGEIFS($D$2:D69, $B$2:B69, B69)</f>
        <v>0.66666666666666663</v>
      </c>
    </row>
    <row r="70" spans="1:30" x14ac:dyDescent="0.25">
      <c r="A70" s="85">
        <v>46030</v>
      </c>
      <c r="B70" t="s">
        <v>51</v>
      </c>
      <c r="C70">
        <v>7</v>
      </c>
      <c r="D70">
        <v>1</v>
      </c>
      <c r="E70">
        <v>4</v>
      </c>
      <c r="F70">
        <v>3</v>
      </c>
      <c r="G70">
        <v>15</v>
      </c>
      <c r="H70">
        <v>10</v>
      </c>
      <c r="I70">
        <v>0.75</v>
      </c>
      <c r="J70">
        <v>0.67</v>
      </c>
      <c r="K70">
        <v>1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12.2</v>
      </c>
      <c r="AB70" s="86">
        <f>AVERAGEIFS($I$2:I70, $B$2:B70, B70)</f>
        <v>0.59000000000000008</v>
      </c>
      <c r="AC70" s="86">
        <f>AVERAGEIFS($J$2:J70, $B$2:B70, B70)</f>
        <v>0.54600000000000004</v>
      </c>
      <c r="AD70" s="86">
        <f>AVERAGEIFS($D$2:D70, $B$2:B70, B70)</f>
        <v>0.8</v>
      </c>
    </row>
    <row r="71" spans="1:30" x14ac:dyDescent="0.25">
      <c r="A71" s="85">
        <v>46030</v>
      </c>
      <c r="B71" t="s">
        <v>15</v>
      </c>
      <c r="C71">
        <v>17</v>
      </c>
      <c r="D71">
        <v>0</v>
      </c>
      <c r="E71">
        <v>4</v>
      </c>
      <c r="F71">
        <v>1</v>
      </c>
      <c r="G71">
        <v>15</v>
      </c>
      <c r="H71">
        <v>5</v>
      </c>
      <c r="I71">
        <v>0.25</v>
      </c>
      <c r="J71">
        <v>0.33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1</v>
      </c>
      <c r="Y71">
        <v>0</v>
      </c>
      <c r="Z71">
        <v>0</v>
      </c>
      <c r="AA71" s="86">
        <f>AVERAGEIFS($C$2:C71, $B$2:B71, B71)</f>
        <v>22.8</v>
      </c>
      <c r="AB71" s="86">
        <f>AVERAGEIFS($I$2:I71, $B$2:B71, B71)</f>
        <v>0.35</v>
      </c>
      <c r="AC71" s="86">
        <f>AVERAGEIFS($J$2:J71, $B$2:B71, B71)</f>
        <v>0.39999999999999997</v>
      </c>
      <c r="AD71" s="86">
        <f>AVERAGEIFS($D$2:D71, $B$2:B71, B71)</f>
        <v>0.2</v>
      </c>
    </row>
    <row r="72" spans="1:30" x14ac:dyDescent="0.25">
      <c r="A72" s="85">
        <v>46030</v>
      </c>
      <c r="B72" t="s">
        <v>14</v>
      </c>
      <c r="C72">
        <v>14</v>
      </c>
      <c r="D72">
        <v>0</v>
      </c>
      <c r="E72">
        <v>4</v>
      </c>
      <c r="F72">
        <v>1</v>
      </c>
      <c r="G72">
        <v>15</v>
      </c>
      <c r="H72">
        <v>5</v>
      </c>
      <c r="I72">
        <v>0.25</v>
      </c>
      <c r="J72">
        <v>0.33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1</v>
      </c>
      <c r="Y72">
        <v>0</v>
      </c>
      <c r="Z72">
        <v>0</v>
      </c>
      <c r="AA72" s="86">
        <f>AVERAGEIFS($C$2:C72, $B$2:B72, B72)</f>
        <v>22</v>
      </c>
      <c r="AB72" s="86">
        <f>AVERAGEIFS($I$2:I72, $B$2:B72, B72)</f>
        <v>0.52</v>
      </c>
      <c r="AC72" s="86">
        <f>AVERAGEIFS($J$2:J72, $B$2:B72, B72)</f>
        <v>0.502</v>
      </c>
      <c r="AD72" s="86">
        <f>AVERAGEIFS($D$2:D72, $B$2:B72, B72)</f>
        <v>0.6</v>
      </c>
    </row>
    <row r="73" spans="1:30" x14ac:dyDescent="0.25">
      <c r="A73" s="85">
        <v>46030</v>
      </c>
      <c r="B73" t="s">
        <v>3</v>
      </c>
      <c r="C73">
        <v>12</v>
      </c>
      <c r="D73">
        <v>0</v>
      </c>
      <c r="E73">
        <v>4</v>
      </c>
      <c r="F73">
        <v>1</v>
      </c>
      <c r="G73">
        <v>15</v>
      </c>
      <c r="H73">
        <v>5</v>
      </c>
      <c r="I73">
        <v>0.25</v>
      </c>
      <c r="J73">
        <v>0.33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1</v>
      </c>
      <c r="Y73">
        <v>0</v>
      </c>
      <c r="Z73">
        <v>0</v>
      </c>
      <c r="AA73" s="86">
        <f>AVERAGEIFS($C$2:C73, $B$2:B73, B73)</f>
        <v>19.75</v>
      </c>
      <c r="AB73" s="86">
        <f>AVERAGEIFS($I$2:I73, $B$2:B73, B73)</f>
        <v>0.53749999999999998</v>
      </c>
      <c r="AC73" s="86">
        <f>AVERAGEIFS($J$2:J73, $B$2:B73, B73)</f>
        <v>0.51999999999999991</v>
      </c>
      <c r="AD73" s="86">
        <f>AVERAGEIFS($D$2:D73, $B$2:B73, B73)</f>
        <v>0.5</v>
      </c>
    </row>
    <row r="74" spans="1:30" x14ac:dyDescent="0.25">
      <c r="A74" s="85">
        <v>46030</v>
      </c>
      <c r="B74" t="s">
        <v>19</v>
      </c>
      <c r="C74">
        <v>9</v>
      </c>
      <c r="D74">
        <v>0</v>
      </c>
      <c r="E74">
        <v>4</v>
      </c>
      <c r="F74">
        <v>1</v>
      </c>
      <c r="G74">
        <v>15</v>
      </c>
      <c r="H74">
        <v>5</v>
      </c>
      <c r="I74">
        <v>0.25</v>
      </c>
      <c r="J74">
        <v>0.33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1</v>
      </c>
      <c r="Y74">
        <v>0</v>
      </c>
      <c r="Z74">
        <v>0</v>
      </c>
      <c r="AA74" s="86">
        <f>AVERAGEIFS($C$2:C74, $B$2:B74, B74)</f>
        <v>9.6666666666666661</v>
      </c>
      <c r="AB74" s="86">
        <f>AVERAGEIFS($I$2:I74, $B$2:B74, B74)</f>
        <v>0.44166666666666665</v>
      </c>
      <c r="AC74" s="86">
        <f>AVERAGEIFS($J$2:J74, $B$2:B74, B74)</f>
        <v>0.47500000000000003</v>
      </c>
      <c r="AD74" s="86">
        <f>AVERAGEIFS($D$2:D74, $B$2:B74, B74)</f>
        <v>0.33333333333333331</v>
      </c>
    </row>
    <row r="75" spans="1:30" x14ac:dyDescent="0.25">
      <c r="A75" s="85">
        <v>46030</v>
      </c>
      <c r="B75" t="s">
        <v>20</v>
      </c>
      <c r="C75">
        <v>7</v>
      </c>
      <c r="D75">
        <v>0</v>
      </c>
      <c r="E75">
        <v>4</v>
      </c>
      <c r="F75">
        <v>1</v>
      </c>
      <c r="G75">
        <v>15</v>
      </c>
      <c r="H75">
        <v>5</v>
      </c>
      <c r="I75">
        <v>0.25</v>
      </c>
      <c r="J75">
        <v>0.33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1</v>
      </c>
      <c r="Y75">
        <v>0</v>
      </c>
      <c r="Z75">
        <v>0</v>
      </c>
      <c r="AA75" s="86">
        <f>AVERAGEIFS($C$2:C75, $B$2:B75, B75)</f>
        <v>11</v>
      </c>
      <c r="AB75" s="86">
        <f>AVERAGEIFS($I$2:I75, $B$2:B75, B75)</f>
        <v>0.375</v>
      </c>
      <c r="AC75" s="86">
        <f>AVERAGEIFS($J$2:J75, $B$2:B75, B75)</f>
        <v>0.41500000000000004</v>
      </c>
      <c r="AD75" s="86">
        <f>AVERAGEIFS($D$2:D75, $B$2:B75, B75)</f>
        <v>0.25</v>
      </c>
    </row>
    <row r="76" spans="1:30" x14ac:dyDescent="0.25">
      <c r="A76" s="85">
        <v>46030</v>
      </c>
      <c r="B76" t="s">
        <v>45</v>
      </c>
      <c r="C76">
        <v>5</v>
      </c>
      <c r="D76" s="86">
        <v>0</v>
      </c>
      <c r="E76">
        <v>4</v>
      </c>
      <c r="F76">
        <v>1</v>
      </c>
      <c r="G76">
        <v>15</v>
      </c>
      <c r="H76">
        <v>5</v>
      </c>
      <c r="I76">
        <v>0.25</v>
      </c>
      <c r="J76">
        <v>0.33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1</v>
      </c>
      <c r="Y76">
        <v>0</v>
      </c>
      <c r="Z76">
        <v>0</v>
      </c>
      <c r="AA76" s="86">
        <f>AVERAGEIFS($C$2:C76, $B$2:B76, B76)</f>
        <v>6.5</v>
      </c>
      <c r="AB76" s="86">
        <f>AVERAGEIFS($I$2:I76, $B$2:B76, B76)</f>
        <v>0.32500000000000001</v>
      </c>
      <c r="AC76" s="86">
        <f>AVERAGEIFS($J$2:J76, $B$2:B76, B76)</f>
        <v>0.37</v>
      </c>
      <c r="AD76" s="86">
        <f>AVERAGEIFS($D$2:D76, $B$2:B76, B76)</f>
        <v>0</v>
      </c>
    </row>
    <row r="77" spans="1:30" x14ac:dyDescent="0.25">
      <c r="A77" s="85">
        <v>46032</v>
      </c>
      <c r="B77" t="s">
        <v>13</v>
      </c>
      <c r="C77">
        <v>25</v>
      </c>
      <c r="D77">
        <v>1</v>
      </c>
      <c r="E77">
        <v>4</v>
      </c>
      <c r="F77">
        <v>3</v>
      </c>
      <c r="G77">
        <v>17</v>
      </c>
      <c r="H77">
        <v>9</v>
      </c>
      <c r="I77">
        <v>0.75</v>
      </c>
      <c r="J77">
        <v>0.53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1</v>
      </c>
      <c r="Y77">
        <v>0</v>
      </c>
      <c r="Z77">
        <v>1</v>
      </c>
      <c r="AA77" s="86">
        <f>AVERAGEIFS($C$2:C77, $B$2:B77, B77)</f>
        <v>25</v>
      </c>
      <c r="AB77" s="86">
        <f>AVERAGEIFS($I$2:I77, $B$2:B77, B77)</f>
        <v>0.55714285714285716</v>
      </c>
      <c r="AC77" s="86">
        <f>AVERAGEIFS($J$2:J77, $B$2:B77, B77)</f>
        <v>0.53714285714285714</v>
      </c>
      <c r="AD77" s="86">
        <f>AVERAGEIFS($D$2:D77, $B$2:B77, B77)</f>
        <v>0.5714285714285714</v>
      </c>
    </row>
    <row r="78" spans="1:30" x14ac:dyDescent="0.25">
      <c r="A78" s="85">
        <v>46032</v>
      </c>
      <c r="B78" t="s">
        <v>18</v>
      </c>
      <c r="C78">
        <v>19</v>
      </c>
      <c r="D78">
        <v>1</v>
      </c>
      <c r="E78">
        <v>4</v>
      </c>
      <c r="F78">
        <v>3</v>
      </c>
      <c r="G78">
        <v>17</v>
      </c>
      <c r="H78">
        <v>9</v>
      </c>
      <c r="I78">
        <v>0.75</v>
      </c>
      <c r="J78">
        <v>0.53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1</v>
      </c>
      <c r="Y78">
        <v>0</v>
      </c>
      <c r="Z78">
        <v>1</v>
      </c>
      <c r="AA78" s="86">
        <f>AVERAGEIFS($C$2:C78, $B$2:B78, B78)</f>
        <v>19.666666666666668</v>
      </c>
      <c r="AB78" s="86">
        <f>AVERAGEIFS($I$2:I78, $B$2:B78, B78)</f>
        <v>0.53333333333333333</v>
      </c>
      <c r="AC78" s="86">
        <f>AVERAGEIFS($J$2:J78, $B$2:B78, B78)</f>
        <v>0.47</v>
      </c>
      <c r="AD78" s="86">
        <f>AVERAGEIFS($D$2:D78, $B$2:B78, B78)</f>
        <v>0.66666666666666663</v>
      </c>
    </row>
    <row r="79" spans="1:30" x14ac:dyDescent="0.25">
      <c r="A79" s="85">
        <v>46032</v>
      </c>
      <c r="B79" t="s">
        <v>55</v>
      </c>
      <c r="C79">
        <v>13</v>
      </c>
      <c r="D79">
        <v>1</v>
      </c>
      <c r="E79">
        <v>4</v>
      </c>
      <c r="F79">
        <v>3</v>
      </c>
      <c r="G79">
        <v>17</v>
      </c>
      <c r="H79">
        <v>9</v>
      </c>
      <c r="I79">
        <v>0.75</v>
      </c>
      <c r="J79">
        <v>0.53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1</v>
      </c>
      <c r="Y79">
        <v>0</v>
      </c>
      <c r="Z79">
        <v>1</v>
      </c>
      <c r="AA79" s="86">
        <f>AVERAGEIFS($C$2:C79, $B$2:B79, B79)</f>
        <v>9.6666666666666661</v>
      </c>
      <c r="AB79" s="86">
        <f>AVERAGEIFS($I$2:I79, $B$2:B79, B79)</f>
        <v>0.58333333333333337</v>
      </c>
      <c r="AC79" s="86">
        <f>AVERAGEIFS($J$2:J79, $B$2:B79, B79)</f>
        <v>0.49</v>
      </c>
      <c r="AD79" s="86">
        <f>AVERAGEIFS($D$2:D79, $B$2:B79, B79)</f>
        <v>0.66666666666666663</v>
      </c>
    </row>
    <row r="80" spans="1:30" x14ac:dyDescent="0.25">
      <c r="A80" s="85">
        <v>46032</v>
      </c>
      <c r="B80" t="s">
        <v>14</v>
      </c>
      <c r="C80">
        <v>12</v>
      </c>
      <c r="D80">
        <v>1</v>
      </c>
      <c r="E80">
        <v>4</v>
      </c>
      <c r="F80">
        <v>3</v>
      </c>
      <c r="G80">
        <v>17</v>
      </c>
      <c r="H80">
        <v>9</v>
      </c>
      <c r="I80">
        <v>0.75</v>
      </c>
      <c r="J80">
        <v>0.53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1</v>
      </c>
      <c r="Y80">
        <v>0</v>
      </c>
      <c r="Z80">
        <v>1</v>
      </c>
      <c r="AA80" s="86">
        <f>AVERAGEIFS($C$2:C80, $B$2:B80, B80)</f>
        <v>20.333333333333332</v>
      </c>
      <c r="AB80" s="86">
        <f>AVERAGEIFS($I$2:I80, $B$2:B80, B80)</f>
        <v>0.55833333333333335</v>
      </c>
      <c r="AC80" s="86">
        <f>AVERAGEIFS($J$2:J80, $B$2:B80, B80)</f>
        <v>0.50666666666666671</v>
      </c>
      <c r="AD80" s="86">
        <f>AVERAGEIFS($D$2:D80, $B$2:B80, B80)</f>
        <v>0.66666666666666663</v>
      </c>
    </row>
    <row r="81" spans="1:30" x14ac:dyDescent="0.25">
      <c r="A81" s="85">
        <v>46032</v>
      </c>
      <c r="B81" t="s">
        <v>29</v>
      </c>
      <c r="C81">
        <v>10</v>
      </c>
      <c r="D81">
        <v>1</v>
      </c>
      <c r="E81">
        <v>4</v>
      </c>
      <c r="F81">
        <v>3</v>
      </c>
      <c r="G81">
        <v>17</v>
      </c>
      <c r="H81">
        <v>9</v>
      </c>
      <c r="I81">
        <v>0.75</v>
      </c>
      <c r="J81">
        <v>0.53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1</v>
      </c>
      <c r="Y81">
        <v>0</v>
      </c>
      <c r="Z81">
        <v>1</v>
      </c>
      <c r="AA81" s="86">
        <f>AVERAGEIFS($C$2:C81, $B$2:B81, B81)</f>
        <v>10.6</v>
      </c>
      <c r="AB81" s="86">
        <f>AVERAGEIFS($I$2:I81, $B$2:B81, B81)</f>
        <v>0.61</v>
      </c>
      <c r="AC81" s="86">
        <f>AVERAGEIFS($J$2:J81, $B$2:B81, B81)</f>
        <v>0.53799999999999992</v>
      </c>
      <c r="AD81" s="86">
        <f>AVERAGEIFS($D$2:D81, $B$2:B81, B81)</f>
        <v>0.6</v>
      </c>
    </row>
    <row r="82" spans="1:30" x14ac:dyDescent="0.25">
      <c r="A82" s="85">
        <v>46032</v>
      </c>
      <c r="B82" t="s">
        <v>26</v>
      </c>
      <c r="C82">
        <v>10</v>
      </c>
      <c r="D82">
        <v>1</v>
      </c>
      <c r="E82">
        <v>4</v>
      </c>
      <c r="F82">
        <v>3</v>
      </c>
      <c r="G82">
        <v>17</v>
      </c>
      <c r="H82">
        <v>9</v>
      </c>
      <c r="I82">
        <v>0.75</v>
      </c>
      <c r="J82">
        <v>0.53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1</v>
      </c>
      <c r="AA82" s="86">
        <f>AVERAGEIFS($C$2:C82, $B$2:B82, B82)</f>
        <v>11.333333333333334</v>
      </c>
      <c r="AB82" s="86">
        <f>AVERAGEIFS($I$2:I82, $B$2:B82, B82)</f>
        <v>0.6333333333333333</v>
      </c>
      <c r="AC82" s="86">
        <f>AVERAGEIFS($J$2:J82, $B$2:B82, B82)</f>
        <v>0.56333333333333335</v>
      </c>
      <c r="AD82" s="86">
        <f>AVERAGEIFS($D$2:D82, $B$2:B82, B82)</f>
        <v>0.66666666666666663</v>
      </c>
    </row>
    <row r="83" spans="1:30" x14ac:dyDescent="0.25">
      <c r="A83" s="85">
        <v>46032</v>
      </c>
      <c r="B83" t="s">
        <v>17</v>
      </c>
      <c r="C83">
        <v>36</v>
      </c>
      <c r="D83">
        <v>0</v>
      </c>
      <c r="E83">
        <v>4</v>
      </c>
      <c r="F83">
        <v>1</v>
      </c>
      <c r="G83">
        <v>17</v>
      </c>
      <c r="H83">
        <v>8</v>
      </c>
      <c r="I83">
        <v>0.25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1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 s="86">
        <f>AVERAGEIFS($C$2:C83, $B$2:B83, B83)</f>
        <v>22.571428571428573</v>
      </c>
      <c r="AB83" s="86">
        <f>AVERAGEIFS($I$2:I83, $B$2:B83, B83)</f>
        <v>0.55714285714285716</v>
      </c>
      <c r="AC83" s="86">
        <f>AVERAGEIFS($J$2:J83, $B$2:B83, B83)</f>
        <v>0.55857142857142861</v>
      </c>
      <c r="AD83" s="86">
        <f>AVERAGEIFS($D$2:D83, $B$2:B83, B83)</f>
        <v>0.5714285714285714</v>
      </c>
    </row>
    <row r="84" spans="1:30" x14ac:dyDescent="0.25">
      <c r="A84" s="85">
        <v>46032</v>
      </c>
      <c r="B84" t="s">
        <v>2</v>
      </c>
      <c r="C84">
        <v>18</v>
      </c>
      <c r="D84">
        <v>0</v>
      </c>
      <c r="E84">
        <v>4</v>
      </c>
      <c r="F84">
        <v>1</v>
      </c>
      <c r="G84">
        <v>17</v>
      </c>
      <c r="H84">
        <v>8</v>
      </c>
      <c r="I84">
        <v>0.25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1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 s="86">
        <f>AVERAGEIFS($C$2:C84, $B$2:B84, B84)</f>
        <v>20.5</v>
      </c>
      <c r="AB84" s="86">
        <f>AVERAGEIFS($I$2:I84, $B$2:B84, B84)</f>
        <v>0.5</v>
      </c>
      <c r="AC84" s="86">
        <f>AVERAGEIFS($J$2:J84, $B$2:B84, B84)</f>
        <v>0.52</v>
      </c>
      <c r="AD84" s="86">
        <f>AVERAGEIFS($D$2:D84, $B$2:B84, B84)</f>
        <v>0.5</v>
      </c>
    </row>
    <row r="85" spans="1:30" x14ac:dyDescent="0.25">
      <c r="A85" s="85">
        <v>46032</v>
      </c>
      <c r="B85" t="s">
        <v>51</v>
      </c>
      <c r="C85">
        <v>10</v>
      </c>
      <c r="D85">
        <v>0</v>
      </c>
      <c r="E85">
        <v>4</v>
      </c>
      <c r="F85">
        <v>1</v>
      </c>
      <c r="G85">
        <v>17</v>
      </c>
      <c r="H85">
        <v>8</v>
      </c>
      <c r="I85">
        <v>0.25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1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 s="86">
        <f>AVERAGEIFS($C$2:C85, $B$2:B85, B85)</f>
        <v>11.833333333333334</v>
      </c>
      <c r="AB85" s="86">
        <f>AVERAGEIFS($I$2:I85, $B$2:B85, B85)</f>
        <v>0.53333333333333333</v>
      </c>
      <c r="AC85" s="86">
        <f>AVERAGEIFS($J$2:J85, $B$2:B85, B85)</f>
        <v>0.53333333333333333</v>
      </c>
      <c r="AD85" s="86">
        <f>AVERAGEIFS($D$2:D85, $B$2:B85, B85)</f>
        <v>0.66666666666666663</v>
      </c>
    </row>
    <row r="86" spans="1:30" x14ac:dyDescent="0.25">
      <c r="A86" s="85">
        <v>46032</v>
      </c>
      <c r="B86" t="s">
        <v>19</v>
      </c>
      <c r="C86">
        <v>10</v>
      </c>
      <c r="D86">
        <v>0</v>
      </c>
      <c r="E86">
        <v>4</v>
      </c>
      <c r="F86">
        <v>1</v>
      </c>
      <c r="G86">
        <v>17</v>
      </c>
      <c r="H86">
        <v>8</v>
      </c>
      <c r="I86">
        <v>0.25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1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 s="86">
        <f>AVERAGEIFS($C$2:C86, $B$2:B86, B86)</f>
        <v>9.7142857142857135</v>
      </c>
      <c r="AB86" s="86">
        <f>AVERAGEIFS($I$2:I86, $B$2:B86, B86)</f>
        <v>0.41428571428571426</v>
      </c>
      <c r="AC86" s="86">
        <f>AVERAGEIFS($J$2:J86, $B$2:B86, B86)</f>
        <v>0.47428571428571431</v>
      </c>
      <c r="AD86" s="86">
        <f>AVERAGEIFS($D$2:D86, $B$2:B86, B86)</f>
        <v>0.2857142857142857</v>
      </c>
    </row>
    <row r="87" spans="1:30" x14ac:dyDescent="0.25">
      <c r="A87" s="85">
        <v>46032</v>
      </c>
      <c r="B87" t="s">
        <v>35</v>
      </c>
      <c r="C87">
        <v>5</v>
      </c>
      <c r="D87">
        <v>0</v>
      </c>
      <c r="E87">
        <v>4</v>
      </c>
      <c r="F87">
        <v>1</v>
      </c>
      <c r="G87">
        <v>17</v>
      </c>
      <c r="H87">
        <v>8</v>
      </c>
      <c r="I87">
        <v>0.25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1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 s="86">
        <f>AVERAGEIFS($C$2:C87, $B$2:B87, B87)</f>
        <v>11.333333333333334</v>
      </c>
      <c r="AB87" s="86">
        <f>AVERAGEIFS($I$2:I87, $B$2:B87, B87)</f>
        <v>0.53333333333333333</v>
      </c>
      <c r="AC87" s="86">
        <f>AVERAGEIFS($J$2:J87, $B$2:B87, B87)</f>
        <v>0.54333333333333333</v>
      </c>
      <c r="AD87" s="86">
        <f>AVERAGEIFS($D$2:D87, $B$2:B87, B87)</f>
        <v>0.66666666666666663</v>
      </c>
    </row>
    <row r="88" spans="1:30" x14ac:dyDescent="0.25">
      <c r="A88" s="85">
        <v>46032</v>
      </c>
      <c r="B88" t="s">
        <v>27</v>
      </c>
      <c r="C88">
        <v>5</v>
      </c>
      <c r="D88">
        <v>0</v>
      </c>
      <c r="E88">
        <v>4</v>
      </c>
      <c r="F88">
        <v>1</v>
      </c>
      <c r="G88">
        <v>17</v>
      </c>
      <c r="H88">
        <v>8</v>
      </c>
      <c r="I88">
        <v>0.25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 s="86">
        <f>AVERAGEIFS($C$2:C88, $B$2:B88, B88)</f>
        <v>12.5</v>
      </c>
      <c r="AB88" s="86">
        <f>AVERAGEIFS($I$2:I88, $B$2:B88, B88)</f>
        <v>0.25</v>
      </c>
      <c r="AC88" s="86">
        <f>AVERAGEIFS($J$2:J88, $B$2:B88, B88)</f>
        <v>0.39</v>
      </c>
      <c r="AD88" s="86">
        <f>AVERAGEIFS($D$2:D88, $B$2:B88, B88)</f>
        <v>0</v>
      </c>
    </row>
    <row r="89" spans="1:30" x14ac:dyDescent="0.25">
      <c r="A89" s="85">
        <v>46033</v>
      </c>
      <c r="B89" t="s">
        <v>13</v>
      </c>
      <c r="C89">
        <v>50</v>
      </c>
      <c r="D89">
        <v>1</v>
      </c>
      <c r="E89">
        <v>5</v>
      </c>
      <c r="F89">
        <v>3</v>
      </c>
      <c r="G89">
        <v>21</v>
      </c>
      <c r="H89">
        <v>12</v>
      </c>
      <c r="I89">
        <v>0.6</v>
      </c>
      <c r="J89">
        <v>0.56999999999999995</v>
      </c>
      <c r="K89">
        <v>0</v>
      </c>
      <c r="L89">
        <v>0</v>
      </c>
      <c r="M89">
        <v>0</v>
      </c>
      <c r="N89">
        <v>1</v>
      </c>
      <c r="O89">
        <v>1</v>
      </c>
      <c r="P89">
        <v>0</v>
      </c>
      <c r="Q89">
        <v>1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 s="86">
        <f>AVERAGEIFS($C$2:C89, $B$2:B89, B89)</f>
        <v>28.125</v>
      </c>
      <c r="AB89" s="86">
        <f>AVERAGEIFS($I$2:I89, $B$2:B89, B89)</f>
        <v>0.5625</v>
      </c>
      <c r="AC89" s="86">
        <f>AVERAGEIFS($J$2:J89, $B$2:B89, B89)</f>
        <v>0.54125000000000001</v>
      </c>
      <c r="AD89" s="86">
        <f>AVERAGEIFS($D$2:D89, $B$2:B89, B89)</f>
        <v>0.625</v>
      </c>
    </row>
    <row r="90" spans="1:30" x14ac:dyDescent="0.25">
      <c r="A90" s="85">
        <v>46033</v>
      </c>
      <c r="B90" t="s">
        <v>54</v>
      </c>
      <c r="C90">
        <v>29</v>
      </c>
      <c r="D90">
        <v>1</v>
      </c>
      <c r="E90">
        <v>5</v>
      </c>
      <c r="F90">
        <v>3</v>
      </c>
      <c r="G90">
        <v>21</v>
      </c>
      <c r="H90">
        <v>12</v>
      </c>
      <c r="I90">
        <v>0.6</v>
      </c>
      <c r="J90">
        <v>0.56999999999999995</v>
      </c>
      <c r="K90">
        <v>0</v>
      </c>
      <c r="L90">
        <v>0</v>
      </c>
      <c r="M90">
        <v>0</v>
      </c>
      <c r="N90">
        <v>1</v>
      </c>
      <c r="O90">
        <v>1</v>
      </c>
      <c r="P90">
        <v>0</v>
      </c>
      <c r="Q90">
        <v>1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 s="86">
        <f>AVERAGEIFS($C$2:C90, $B$2:B90, B90)</f>
        <v>20.5</v>
      </c>
      <c r="AB90" s="86">
        <f>AVERAGEIFS($I$2:I90, $B$2:B90, B90)</f>
        <v>0.6</v>
      </c>
      <c r="AC90" s="86">
        <f>AVERAGEIFS($J$2:J90, $B$2:B90, B90)</f>
        <v>0.57999999999999996</v>
      </c>
      <c r="AD90" s="86">
        <f>AVERAGEIFS($D$2:D90, $B$2:B90, B90)</f>
        <v>1</v>
      </c>
    </row>
    <row r="91" spans="1:30" x14ac:dyDescent="0.25">
      <c r="A91" s="85">
        <v>46033</v>
      </c>
      <c r="B91" t="s">
        <v>3</v>
      </c>
      <c r="C91">
        <v>26</v>
      </c>
      <c r="D91">
        <v>1</v>
      </c>
      <c r="E91">
        <v>5</v>
      </c>
      <c r="F91">
        <v>3</v>
      </c>
      <c r="G91">
        <v>21</v>
      </c>
      <c r="H91">
        <v>12</v>
      </c>
      <c r="I91">
        <v>0.6</v>
      </c>
      <c r="J91">
        <v>0.56999999999999995</v>
      </c>
      <c r="K91">
        <v>0</v>
      </c>
      <c r="L91">
        <v>0</v>
      </c>
      <c r="M91">
        <v>0</v>
      </c>
      <c r="N91">
        <v>1</v>
      </c>
      <c r="O91">
        <v>1</v>
      </c>
      <c r="P91">
        <v>0</v>
      </c>
      <c r="Q91">
        <v>1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 s="86">
        <f>AVERAGEIFS($C$2:C91, $B$2:B91, B91)</f>
        <v>21</v>
      </c>
      <c r="AB91" s="86">
        <f>AVERAGEIFS($I$2:I91, $B$2:B91, B91)</f>
        <v>0.55000000000000004</v>
      </c>
      <c r="AC91" s="86">
        <f>AVERAGEIFS($J$2:J91, $B$2:B91, B91)</f>
        <v>0.52999999999999992</v>
      </c>
      <c r="AD91" s="86">
        <f>AVERAGEIFS($D$2:D91, $B$2:B91, B91)</f>
        <v>0.6</v>
      </c>
    </row>
    <row r="92" spans="1:30" x14ac:dyDescent="0.25">
      <c r="A92" s="85">
        <v>46033</v>
      </c>
      <c r="B92" t="s">
        <v>53</v>
      </c>
      <c r="C92">
        <v>25</v>
      </c>
      <c r="D92">
        <v>1</v>
      </c>
      <c r="E92">
        <v>5</v>
      </c>
      <c r="F92">
        <v>3</v>
      </c>
      <c r="G92">
        <v>21</v>
      </c>
      <c r="H92">
        <v>12</v>
      </c>
      <c r="I92">
        <v>0.6</v>
      </c>
      <c r="J92">
        <v>0.56999999999999995</v>
      </c>
      <c r="K92">
        <v>0</v>
      </c>
      <c r="L92">
        <v>0</v>
      </c>
      <c r="M92">
        <v>0</v>
      </c>
      <c r="N92">
        <v>1</v>
      </c>
      <c r="O92">
        <v>1</v>
      </c>
      <c r="P92">
        <v>0</v>
      </c>
      <c r="Q92">
        <v>1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 s="86">
        <f>AVERAGEIFS($C$2:C92, $B$2:B92, B92)</f>
        <v>25</v>
      </c>
      <c r="AB92" s="86">
        <f>AVERAGEIFS($I$2:I92, $B$2:B92, B92)</f>
        <v>0.6</v>
      </c>
      <c r="AC92" s="86">
        <f>AVERAGEIFS($J$2:J92, $B$2:B92, B92)</f>
        <v>0.56999999999999995</v>
      </c>
      <c r="AD92" s="86">
        <f>AVERAGEIFS($D$2:D92, $B$2:B92, B92)</f>
        <v>1</v>
      </c>
    </row>
    <row r="93" spans="1:30" x14ac:dyDescent="0.25">
      <c r="A93" s="85">
        <v>46033</v>
      </c>
      <c r="B93" t="s">
        <v>55</v>
      </c>
      <c r="C93">
        <v>12</v>
      </c>
      <c r="D93">
        <v>1</v>
      </c>
      <c r="E93">
        <v>5</v>
      </c>
      <c r="F93">
        <v>3</v>
      </c>
      <c r="G93">
        <v>21</v>
      </c>
      <c r="H93">
        <v>12</v>
      </c>
      <c r="I93">
        <v>0.6</v>
      </c>
      <c r="J93">
        <v>0.56999999999999995</v>
      </c>
      <c r="K93">
        <v>0</v>
      </c>
      <c r="L93">
        <v>0</v>
      </c>
      <c r="M93">
        <v>0</v>
      </c>
      <c r="N93">
        <v>1</v>
      </c>
      <c r="O93">
        <v>1</v>
      </c>
      <c r="P93">
        <v>0</v>
      </c>
      <c r="Q93">
        <v>1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 s="86">
        <f>AVERAGEIFS($C$2:C93, $B$2:B93, B93)</f>
        <v>10.25</v>
      </c>
      <c r="AB93" s="86">
        <f>AVERAGEIFS($I$2:I93, $B$2:B93, B93)</f>
        <v>0.58750000000000002</v>
      </c>
      <c r="AC93" s="86">
        <f>AVERAGEIFS($J$2:J93, $B$2:B93, B93)</f>
        <v>0.51</v>
      </c>
      <c r="AD93" s="86">
        <f>AVERAGEIFS($D$2:D93, $B$2:B93, B93)</f>
        <v>0.75</v>
      </c>
    </row>
    <row r="94" spans="1:30" x14ac:dyDescent="0.25">
      <c r="A94" s="85">
        <v>46033</v>
      </c>
      <c r="B94" t="s">
        <v>26</v>
      </c>
      <c r="C94">
        <v>8</v>
      </c>
      <c r="D94">
        <v>1</v>
      </c>
      <c r="E94">
        <v>5</v>
      </c>
      <c r="F94">
        <v>3</v>
      </c>
      <c r="G94">
        <v>21</v>
      </c>
      <c r="H94">
        <v>12</v>
      </c>
      <c r="I94">
        <v>0.6</v>
      </c>
      <c r="J94">
        <v>0.56999999999999995</v>
      </c>
      <c r="K94">
        <v>0</v>
      </c>
      <c r="L94">
        <v>0</v>
      </c>
      <c r="M94">
        <v>0</v>
      </c>
      <c r="N94">
        <v>1</v>
      </c>
      <c r="O94">
        <v>1</v>
      </c>
      <c r="P94">
        <v>0</v>
      </c>
      <c r="Q94">
        <v>1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 s="86">
        <f>AVERAGEIFS($C$2:C94, $B$2:B94, B94)</f>
        <v>10.5</v>
      </c>
      <c r="AB94" s="86">
        <f>AVERAGEIFS($I$2:I94, $B$2:B94, B94)</f>
        <v>0.625</v>
      </c>
      <c r="AC94" s="86">
        <f>AVERAGEIFS($J$2:J94, $B$2:B94, B94)</f>
        <v>0.56499999999999995</v>
      </c>
      <c r="AD94" s="86">
        <f>AVERAGEIFS($D$2:D94, $B$2:B94, B94)</f>
        <v>0.75</v>
      </c>
    </row>
    <row r="95" spans="1:30" x14ac:dyDescent="0.25">
      <c r="A95" s="85">
        <v>46033</v>
      </c>
      <c r="B95" t="s">
        <v>17</v>
      </c>
      <c r="C95">
        <v>33</v>
      </c>
      <c r="D95">
        <v>0</v>
      </c>
      <c r="E95">
        <v>5</v>
      </c>
      <c r="F95">
        <v>2</v>
      </c>
      <c r="G95">
        <v>21</v>
      </c>
      <c r="H95">
        <v>9</v>
      </c>
      <c r="I95">
        <v>0.4</v>
      </c>
      <c r="J95">
        <v>0.43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1</v>
      </c>
      <c r="Z95">
        <v>1</v>
      </c>
      <c r="AA95" s="86">
        <f>AVERAGEIFS($C$2:C95, $B$2:B95, B95)</f>
        <v>23.875</v>
      </c>
      <c r="AB95" s="86">
        <f>AVERAGEIFS($I$2:I95, $B$2:B95, B95)</f>
        <v>0.53749999999999998</v>
      </c>
      <c r="AC95" s="86">
        <f>AVERAGEIFS($J$2:J95, $B$2:B95, B95)</f>
        <v>0.54249999999999998</v>
      </c>
      <c r="AD95" s="86">
        <f>AVERAGEIFS($D$2:D95, $B$2:B95, B95)</f>
        <v>0.5</v>
      </c>
    </row>
    <row r="96" spans="1:30" x14ac:dyDescent="0.25">
      <c r="A96" s="85">
        <v>46033</v>
      </c>
      <c r="B96" t="s">
        <v>2</v>
      </c>
      <c r="C96">
        <v>32</v>
      </c>
      <c r="D96">
        <v>0</v>
      </c>
      <c r="E96">
        <v>5</v>
      </c>
      <c r="F96">
        <v>2</v>
      </c>
      <c r="G96">
        <v>21</v>
      </c>
      <c r="H96">
        <v>9</v>
      </c>
      <c r="I96">
        <v>0.4</v>
      </c>
      <c r="J96">
        <v>0.43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1</v>
      </c>
      <c r="Z96">
        <v>1</v>
      </c>
      <c r="AA96" s="86">
        <f>AVERAGEIFS($C$2:C96, $B$2:B96, B96)</f>
        <v>22.8</v>
      </c>
      <c r="AB96" s="86">
        <f>AVERAGEIFS($I$2:I96, $B$2:B96, B96)</f>
        <v>0.48</v>
      </c>
      <c r="AC96" s="86">
        <f>AVERAGEIFS($J$2:J96, $B$2:B96, B96)</f>
        <v>0.502</v>
      </c>
      <c r="AD96" s="86">
        <f>AVERAGEIFS($D$2:D96, $B$2:B96, B96)</f>
        <v>0.4</v>
      </c>
    </row>
    <row r="97" spans="1:30" x14ac:dyDescent="0.25">
      <c r="A97" s="85">
        <v>46033</v>
      </c>
      <c r="B97" t="s">
        <v>1</v>
      </c>
      <c r="C97">
        <v>24</v>
      </c>
      <c r="D97">
        <v>0</v>
      </c>
      <c r="E97">
        <v>5</v>
      </c>
      <c r="F97">
        <v>2</v>
      </c>
      <c r="G97">
        <v>21</v>
      </c>
      <c r="H97">
        <v>9</v>
      </c>
      <c r="I97">
        <v>0.4</v>
      </c>
      <c r="J97">
        <v>0.43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1</v>
      </c>
      <c r="Z97">
        <v>1</v>
      </c>
      <c r="AA97" s="86">
        <f>AVERAGEIFS($C$2:C97, $B$2:B97, B97)</f>
        <v>21.5</v>
      </c>
      <c r="AB97" s="86">
        <f>AVERAGEIFS($I$2:I97, $B$2:B97, B97)</f>
        <v>0.32500000000000001</v>
      </c>
      <c r="AC97" s="86">
        <f>AVERAGEIFS($J$2:J97, $B$2:B97, B97)</f>
        <v>0.40500000000000003</v>
      </c>
      <c r="AD97" s="86">
        <f>AVERAGEIFS($D$2:D97, $B$2:B97, B97)</f>
        <v>0</v>
      </c>
    </row>
    <row r="98" spans="1:30" x14ac:dyDescent="0.25">
      <c r="A98" s="85">
        <v>46033</v>
      </c>
      <c r="B98" t="s">
        <v>25</v>
      </c>
      <c r="C98">
        <v>20</v>
      </c>
      <c r="D98">
        <v>0</v>
      </c>
      <c r="E98">
        <v>5</v>
      </c>
      <c r="F98">
        <v>2</v>
      </c>
      <c r="G98">
        <v>21</v>
      </c>
      <c r="H98">
        <v>9</v>
      </c>
      <c r="I98">
        <v>0.4</v>
      </c>
      <c r="J98">
        <v>0.43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1</v>
      </c>
      <c r="Z98">
        <v>1</v>
      </c>
      <c r="AA98" s="86">
        <f>AVERAGEIFS($C$2:C98, $B$2:B98, B98)</f>
        <v>17.666666666666668</v>
      </c>
      <c r="AB98" s="86">
        <f>AVERAGEIFS($I$2:I98, $B$2:B98, B98)</f>
        <v>0.58333333333333337</v>
      </c>
      <c r="AC98" s="86">
        <f>AVERAGEIFS($J$2:J98, $B$2:B98, B98)</f>
        <v>0.56333333333333324</v>
      </c>
      <c r="AD98" s="86">
        <f>AVERAGEIFS($D$2:D98, $B$2:B98, B98)</f>
        <v>0.66666666666666663</v>
      </c>
    </row>
    <row r="99" spans="1:30" x14ac:dyDescent="0.25">
      <c r="A99" s="85">
        <v>46033</v>
      </c>
      <c r="B99" t="s">
        <v>28</v>
      </c>
      <c r="C99">
        <v>17</v>
      </c>
      <c r="D99">
        <v>0</v>
      </c>
      <c r="E99">
        <v>5</v>
      </c>
      <c r="F99">
        <v>2</v>
      </c>
      <c r="G99">
        <v>21</v>
      </c>
      <c r="H99">
        <v>9</v>
      </c>
      <c r="I99">
        <v>0.4</v>
      </c>
      <c r="J99">
        <v>0.43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1</v>
      </c>
      <c r="Z99">
        <v>1</v>
      </c>
      <c r="AA99" s="86">
        <f>AVERAGEIFS($C$2:C99, $B$2:B99, B99)</f>
        <v>13.2</v>
      </c>
      <c r="AB99" s="86">
        <f>AVERAGEIFS($I$2:I99, $B$2:B99, B99)</f>
        <v>0.51</v>
      </c>
      <c r="AC99" s="86">
        <f>AVERAGEIFS($J$2:J99, $B$2:B99, B99)</f>
        <v>0.52800000000000002</v>
      </c>
      <c r="AD99" s="86">
        <f>AVERAGEIFS($D$2:D99, $B$2:B99, B99)</f>
        <v>0.4</v>
      </c>
    </row>
    <row r="100" spans="1:30" x14ac:dyDescent="0.25">
      <c r="A100" s="85">
        <v>46033</v>
      </c>
      <c r="B100" t="s">
        <v>27</v>
      </c>
      <c r="C100">
        <v>7</v>
      </c>
      <c r="D100">
        <v>0</v>
      </c>
      <c r="E100">
        <v>5</v>
      </c>
      <c r="F100">
        <v>2</v>
      </c>
      <c r="G100">
        <v>21</v>
      </c>
      <c r="H100">
        <v>9</v>
      </c>
      <c r="I100">
        <v>0.4</v>
      </c>
      <c r="J100">
        <v>0.43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1</v>
      </c>
      <c r="Z100">
        <v>1</v>
      </c>
      <c r="AA100" s="86">
        <f>AVERAGEIFS($C$2:C100, $B$2:B100, B100)</f>
        <v>10.666666666666666</v>
      </c>
      <c r="AB100" s="86">
        <f>AVERAGEIFS($I$2:I100, $B$2:B100, B100)</f>
        <v>0.3</v>
      </c>
      <c r="AC100" s="86">
        <f>AVERAGEIFS($J$2:J100, $B$2:B100, B100)</f>
        <v>0.40333333333333332</v>
      </c>
      <c r="AD100" s="86">
        <f>AVERAGEIFS($D$2:D100, $B$2:B100, B100)</f>
        <v>0</v>
      </c>
    </row>
    <row r="101" spans="1:30" x14ac:dyDescent="0.25">
      <c r="A101" s="85">
        <v>46034</v>
      </c>
      <c r="B101" t="s">
        <v>18</v>
      </c>
      <c r="C101">
        <v>24</v>
      </c>
      <c r="D101">
        <v>1</v>
      </c>
      <c r="E101">
        <v>4</v>
      </c>
      <c r="F101">
        <v>3</v>
      </c>
      <c r="G101">
        <v>15</v>
      </c>
      <c r="H101">
        <v>9</v>
      </c>
      <c r="I101">
        <v>0.75</v>
      </c>
      <c r="J101">
        <v>0.6</v>
      </c>
      <c r="K101">
        <v>1</v>
      </c>
      <c r="L101">
        <v>0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20.75</v>
      </c>
      <c r="AB101" s="86">
        <f>AVERAGEIFS($I$2:I101, $B$2:B101, B101)</f>
        <v>0.58750000000000002</v>
      </c>
      <c r="AC101" s="86">
        <f>AVERAGEIFS($J$2:J101, $B$2:B101, B101)</f>
        <v>0.50249999999999995</v>
      </c>
      <c r="AD101" s="86">
        <f>AVERAGEIFS($D$2:D101, $B$2:B101, B101)</f>
        <v>0.75</v>
      </c>
    </row>
    <row r="102" spans="1:30" x14ac:dyDescent="0.25">
      <c r="A102" s="85">
        <v>46034</v>
      </c>
      <c r="B102" t="s">
        <v>37</v>
      </c>
      <c r="C102">
        <v>21</v>
      </c>
      <c r="D102">
        <v>1</v>
      </c>
      <c r="E102">
        <v>4</v>
      </c>
      <c r="F102">
        <v>3</v>
      </c>
      <c r="G102">
        <v>15</v>
      </c>
      <c r="H102">
        <v>9</v>
      </c>
      <c r="I102">
        <v>0.75</v>
      </c>
      <c r="J102">
        <v>0.6</v>
      </c>
      <c r="K102">
        <v>1</v>
      </c>
      <c r="L102">
        <v>0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17</v>
      </c>
      <c r="AB102" s="86">
        <f>AVERAGEIFS($I$2:I102, $B$2:B102, B102)</f>
        <v>0.53333333333333333</v>
      </c>
      <c r="AC102" s="86">
        <f>AVERAGEIFS($J$2:J102, $B$2:B102, B102)</f>
        <v>0.5033333333333333</v>
      </c>
      <c r="AD102" s="86">
        <f>AVERAGEIFS($D$2:D102, $B$2:B102, B102)</f>
        <v>0.66666666666666663</v>
      </c>
    </row>
    <row r="103" spans="1:30" x14ac:dyDescent="0.25">
      <c r="A103" s="85">
        <v>46034</v>
      </c>
      <c r="B103" t="s">
        <v>15</v>
      </c>
      <c r="C103">
        <v>20</v>
      </c>
      <c r="D103">
        <v>1</v>
      </c>
      <c r="E103">
        <v>4</v>
      </c>
      <c r="F103">
        <v>3</v>
      </c>
      <c r="G103">
        <v>15</v>
      </c>
      <c r="H103">
        <v>9</v>
      </c>
      <c r="I103">
        <v>0.75</v>
      </c>
      <c r="J103">
        <v>0.6</v>
      </c>
      <c r="K103">
        <v>1</v>
      </c>
      <c r="L103">
        <v>0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22.333333333333332</v>
      </c>
      <c r="AB103" s="86">
        <f>AVERAGEIFS($I$2:I103, $B$2:B103, B103)</f>
        <v>0.41666666666666669</v>
      </c>
      <c r="AC103" s="86">
        <f>AVERAGEIFS($J$2:J103, $B$2:B103, B103)</f>
        <v>0.43333333333333329</v>
      </c>
      <c r="AD103" s="86">
        <f>AVERAGEIFS($D$2:D103, $B$2:B103, B103)</f>
        <v>0.33333333333333331</v>
      </c>
    </row>
    <row r="104" spans="1:30" x14ac:dyDescent="0.25">
      <c r="A104" s="85">
        <v>46034</v>
      </c>
      <c r="B104" t="s">
        <v>51</v>
      </c>
      <c r="C104">
        <v>18</v>
      </c>
      <c r="D104">
        <v>1</v>
      </c>
      <c r="E104">
        <v>4</v>
      </c>
      <c r="F104">
        <v>3</v>
      </c>
      <c r="G104">
        <v>15</v>
      </c>
      <c r="H104">
        <v>9</v>
      </c>
      <c r="I104">
        <v>0.75</v>
      </c>
      <c r="J104">
        <v>0.6</v>
      </c>
      <c r="K104">
        <v>1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0</v>
      </c>
      <c r="Z104">
        <v>0</v>
      </c>
      <c r="AA104" s="86">
        <f>AVERAGEIFS($C$2:C104, $B$2:B104, B104)</f>
        <v>12.714285714285714</v>
      </c>
      <c r="AB104" s="86">
        <f>AVERAGEIFS($I$2:I104, $B$2:B104, B104)</f>
        <v>0.56428571428571428</v>
      </c>
      <c r="AC104" s="86">
        <f>AVERAGEIFS($J$2:J104, $B$2:B104, B104)</f>
        <v>0.54285714285714293</v>
      </c>
      <c r="AD104" s="86">
        <f>AVERAGEIFS($D$2:D104, $B$2:B104, B104)</f>
        <v>0.7142857142857143</v>
      </c>
    </row>
    <row r="105" spans="1:30" x14ac:dyDescent="0.25">
      <c r="A105" s="85">
        <v>46034</v>
      </c>
      <c r="B105" t="s">
        <v>19</v>
      </c>
      <c r="C105">
        <v>13</v>
      </c>
      <c r="D105">
        <v>1</v>
      </c>
      <c r="E105">
        <v>4</v>
      </c>
      <c r="F105">
        <v>3</v>
      </c>
      <c r="G105">
        <v>15</v>
      </c>
      <c r="H105">
        <v>9</v>
      </c>
      <c r="I105">
        <v>0.75</v>
      </c>
      <c r="J105">
        <v>0.6</v>
      </c>
      <c r="K105">
        <v>1</v>
      </c>
      <c r="L105">
        <v>0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1</v>
      </c>
      <c r="Y105">
        <v>0</v>
      </c>
      <c r="Z105">
        <v>0</v>
      </c>
      <c r="AA105" s="86">
        <f>AVERAGEIFS($C$2:C105, $B$2:B105, B105)</f>
        <v>10.125</v>
      </c>
      <c r="AB105" s="86">
        <f>AVERAGEIFS($I$2:I105, $B$2:B105, B105)</f>
        <v>0.45624999999999999</v>
      </c>
      <c r="AC105" s="86">
        <f>AVERAGEIFS($J$2:J105, $B$2:B105, B105)</f>
        <v>0.49000000000000005</v>
      </c>
      <c r="AD105" s="86">
        <f>AVERAGEIFS($D$2:D105, $B$2:B105, B105)</f>
        <v>0.375</v>
      </c>
    </row>
    <row r="106" spans="1:30" x14ac:dyDescent="0.25">
      <c r="A106" s="85">
        <v>46034</v>
      </c>
      <c r="B106" t="s">
        <v>20</v>
      </c>
      <c r="C106">
        <v>7</v>
      </c>
      <c r="D106">
        <v>1</v>
      </c>
      <c r="E106">
        <v>4</v>
      </c>
      <c r="F106">
        <v>3</v>
      </c>
      <c r="G106">
        <v>15</v>
      </c>
      <c r="H106">
        <v>9</v>
      </c>
      <c r="I106">
        <v>0.75</v>
      </c>
      <c r="J106">
        <v>0.6</v>
      </c>
      <c r="K106">
        <v>1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10.199999999999999</v>
      </c>
      <c r="AB106" s="86">
        <f>AVERAGEIFS($I$2:I106, $B$2:B106, B106)</f>
        <v>0.45</v>
      </c>
      <c r="AC106" s="86">
        <f>AVERAGEIFS($J$2:J106, $B$2:B106, B106)</f>
        <v>0.45200000000000007</v>
      </c>
      <c r="AD106" s="86">
        <f>AVERAGEIFS($D$2:D106, $B$2:B106, B106)</f>
        <v>0.4</v>
      </c>
    </row>
    <row r="107" spans="1:30" x14ac:dyDescent="0.25">
      <c r="A107" s="85">
        <v>46034</v>
      </c>
      <c r="B107" t="s">
        <v>14</v>
      </c>
      <c r="C107">
        <v>24</v>
      </c>
      <c r="D107">
        <v>0</v>
      </c>
      <c r="E107">
        <v>4</v>
      </c>
      <c r="F107">
        <v>1</v>
      </c>
      <c r="G107">
        <v>15</v>
      </c>
      <c r="H107">
        <v>6</v>
      </c>
      <c r="I107">
        <v>0.25</v>
      </c>
      <c r="J107">
        <v>0.4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 s="86">
        <f>AVERAGEIFS($C$2:C107, $B$2:B107, B107)</f>
        <v>20.857142857142858</v>
      </c>
      <c r="AB107" s="86">
        <f>AVERAGEIFS($I$2:I107, $B$2:B107, B107)</f>
        <v>0.51428571428571435</v>
      </c>
      <c r="AC107" s="86">
        <f>AVERAGEIFS($J$2:J107, $B$2:B107, B107)</f>
        <v>0.49142857142857144</v>
      </c>
      <c r="AD107" s="86">
        <f>AVERAGEIFS($D$2:D107, $B$2:B107, B107)</f>
        <v>0.5714285714285714</v>
      </c>
    </row>
    <row r="108" spans="1:30" x14ac:dyDescent="0.25">
      <c r="A108" s="85">
        <v>46034</v>
      </c>
      <c r="B108" t="s">
        <v>5</v>
      </c>
      <c r="C108">
        <v>24</v>
      </c>
      <c r="D108">
        <v>0</v>
      </c>
      <c r="E108">
        <v>4</v>
      </c>
      <c r="F108">
        <v>1</v>
      </c>
      <c r="G108">
        <v>15</v>
      </c>
      <c r="H108">
        <v>6</v>
      </c>
      <c r="I108">
        <v>0.25</v>
      </c>
      <c r="J108">
        <v>0.4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 s="86">
        <f>AVERAGEIFS($C$2:C108, $B$2:B108, B108)</f>
        <v>25.333333333333332</v>
      </c>
      <c r="AB108" s="86">
        <f>AVERAGEIFS($I$2:I108, $B$2:B108, B108)</f>
        <v>0.3666666666666667</v>
      </c>
      <c r="AC108" s="86">
        <f>AVERAGEIFS($J$2:J108, $B$2:B108, B108)</f>
        <v>0.4366666666666667</v>
      </c>
      <c r="AD108" s="86">
        <f>AVERAGEIFS($D$2:D108, $B$2:B108, B108)</f>
        <v>0.33333333333333331</v>
      </c>
    </row>
    <row r="109" spans="1:30" x14ac:dyDescent="0.25">
      <c r="A109" s="85">
        <v>46034</v>
      </c>
      <c r="B109" t="s">
        <v>46</v>
      </c>
      <c r="C109">
        <v>16</v>
      </c>
      <c r="D109">
        <v>0</v>
      </c>
      <c r="E109">
        <v>4</v>
      </c>
      <c r="F109">
        <v>1</v>
      </c>
      <c r="G109">
        <v>15</v>
      </c>
      <c r="H109">
        <v>6</v>
      </c>
      <c r="I109">
        <v>0.25</v>
      </c>
      <c r="J109">
        <v>0.4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 s="86">
        <f>AVERAGEIFS($C$2:C109, $B$2:B109, B109)</f>
        <v>23</v>
      </c>
      <c r="AB109" s="86">
        <f>AVERAGEIFS($I$2:I109, $B$2:B109, B109)</f>
        <v>0.32500000000000001</v>
      </c>
      <c r="AC109" s="86">
        <f>AVERAGEIFS($J$2:J109, $B$2:B109, B109)</f>
        <v>0.40500000000000003</v>
      </c>
      <c r="AD109" s="86">
        <f>AVERAGEIFS($D$2:D109, $B$2:B109, B109)</f>
        <v>0</v>
      </c>
    </row>
    <row r="110" spans="1:30" x14ac:dyDescent="0.25">
      <c r="A110" s="85">
        <v>46034</v>
      </c>
      <c r="B110" t="s">
        <v>45</v>
      </c>
      <c r="C110">
        <v>14</v>
      </c>
      <c r="D110" s="86">
        <v>0</v>
      </c>
      <c r="E110">
        <v>4</v>
      </c>
      <c r="F110">
        <v>1</v>
      </c>
      <c r="G110">
        <v>15</v>
      </c>
      <c r="H110">
        <v>6</v>
      </c>
      <c r="I110">
        <v>0.25</v>
      </c>
      <c r="J110">
        <v>0.4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 s="86">
        <f>AVERAGEIFS($C$2:C110, $B$2:B110, B110)</f>
        <v>9</v>
      </c>
      <c r="AB110" s="86">
        <f>AVERAGEIFS($I$2:I110, $B$2:B110, B110)</f>
        <v>0.3</v>
      </c>
      <c r="AC110" s="86">
        <f>AVERAGEIFS($J$2:J110, $B$2:B110, B110)</f>
        <v>0.38000000000000006</v>
      </c>
      <c r="AD110" s="86">
        <f>AVERAGEIFS($D$2:D110, $B$2:B110, B110)</f>
        <v>0</v>
      </c>
    </row>
    <row r="111" spans="1:30" x14ac:dyDescent="0.25">
      <c r="A111" s="85">
        <v>46034</v>
      </c>
      <c r="B111" t="s">
        <v>29</v>
      </c>
      <c r="C111">
        <v>8</v>
      </c>
      <c r="D111">
        <v>0</v>
      </c>
      <c r="E111">
        <v>4</v>
      </c>
      <c r="F111">
        <v>1</v>
      </c>
      <c r="G111">
        <v>15</v>
      </c>
      <c r="H111">
        <v>6</v>
      </c>
      <c r="I111">
        <v>0.25</v>
      </c>
      <c r="J111">
        <v>0.4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 s="86">
        <f>AVERAGEIFS($C$2:C111, $B$2:B111, B111)</f>
        <v>10.166666666666666</v>
      </c>
      <c r="AB111" s="86">
        <f>AVERAGEIFS($I$2:I111, $B$2:B111, B111)</f>
        <v>0.54999999999999993</v>
      </c>
      <c r="AC111" s="86">
        <f>AVERAGEIFS($J$2:J111, $B$2:B111, B111)</f>
        <v>0.5149999999999999</v>
      </c>
      <c r="AD111" s="86">
        <f>AVERAGEIFS($D$2:D111, $B$2:B111, B111)</f>
        <v>0.5</v>
      </c>
    </row>
    <row r="112" spans="1:30" x14ac:dyDescent="0.25">
      <c r="A112" s="85">
        <v>46034</v>
      </c>
      <c r="B112" t="s">
        <v>35</v>
      </c>
      <c r="C112">
        <v>6</v>
      </c>
      <c r="D112">
        <v>0</v>
      </c>
      <c r="E112">
        <v>4</v>
      </c>
      <c r="F112">
        <v>1</v>
      </c>
      <c r="G112">
        <v>15</v>
      </c>
      <c r="H112">
        <v>6</v>
      </c>
      <c r="I112">
        <v>0.25</v>
      </c>
      <c r="J112">
        <v>0.4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 s="86">
        <f>AVERAGEIFS($C$2:C112, $B$2:B112, B112)</f>
        <v>10</v>
      </c>
      <c r="AB112" s="86">
        <f>AVERAGEIFS($I$2:I112, $B$2:B112, B112)</f>
        <v>0.46250000000000002</v>
      </c>
      <c r="AC112" s="86">
        <f>AVERAGEIFS($J$2:J112, $B$2:B112, B112)</f>
        <v>0.50750000000000006</v>
      </c>
      <c r="AD112" s="86">
        <f>AVERAGEIFS($D$2:D112, $B$2:B112, B112)</f>
        <v>0.5</v>
      </c>
    </row>
    <row r="113" spans="1:30" x14ac:dyDescent="0.25">
      <c r="A113" s="85">
        <v>46037</v>
      </c>
      <c r="B113" t="s">
        <v>17</v>
      </c>
      <c r="C113">
        <v>36</v>
      </c>
      <c r="D113" s="86">
        <v>1</v>
      </c>
      <c r="E113">
        <v>4</v>
      </c>
      <c r="F113">
        <v>3</v>
      </c>
      <c r="G113">
        <v>17</v>
      </c>
      <c r="H113">
        <v>10</v>
      </c>
      <c r="I113">
        <v>0.75</v>
      </c>
      <c r="J113">
        <v>0.59</v>
      </c>
      <c r="K113">
        <v>0</v>
      </c>
      <c r="L113">
        <v>0</v>
      </c>
      <c r="M113">
        <v>1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0</v>
      </c>
      <c r="AA113" s="86">
        <f>AVERAGEIFS($C$2:C113, $B$2:B113, B113)</f>
        <v>25.222222222222221</v>
      </c>
      <c r="AB113" s="86">
        <f>AVERAGEIFS($I$2:I113, $B$2:B113, B113)</f>
        <v>0.56111111111111112</v>
      </c>
      <c r="AC113" s="86">
        <f>AVERAGEIFS($J$2:J113, $B$2:B113, B113)</f>
        <v>0.5477777777777777</v>
      </c>
      <c r="AD113" s="86">
        <f>AVERAGEIFS($D$2:D113, $B$2:B113, B113)</f>
        <v>0.55555555555555558</v>
      </c>
    </row>
    <row r="114" spans="1:30" x14ac:dyDescent="0.25">
      <c r="A114" s="85">
        <v>46037</v>
      </c>
      <c r="B114" t="s">
        <v>13</v>
      </c>
      <c r="C114">
        <v>23</v>
      </c>
      <c r="D114" s="86">
        <v>1</v>
      </c>
      <c r="E114">
        <v>4</v>
      </c>
      <c r="F114">
        <v>3</v>
      </c>
      <c r="G114">
        <v>17</v>
      </c>
      <c r="H114">
        <v>10</v>
      </c>
      <c r="I114">
        <v>0.75</v>
      </c>
      <c r="J114">
        <v>0.59</v>
      </c>
      <c r="K114">
        <v>0</v>
      </c>
      <c r="L114">
        <v>0</v>
      </c>
      <c r="M114">
        <v>1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0</v>
      </c>
      <c r="AA114" s="86">
        <f>AVERAGEIFS($C$2:C114, $B$2:B114, B114)</f>
        <v>27.555555555555557</v>
      </c>
      <c r="AB114" s="86">
        <f>AVERAGEIFS($I$2:I114, $B$2:B114, B114)</f>
        <v>0.58333333333333337</v>
      </c>
      <c r="AC114" s="86">
        <f>AVERAGEIFS($J$2:J114, $B$2:B114, B114)</f>
        <v>0.54666666666666663</v>
      </c>
      <c r="AD114" s="86">
        <f>AVERAGEIFS($D$2:D114, $B$2:B114, B114)</f>
        <v>0.66666666666666663</v>
      </c>
    </row>
    <row r="115" spans="1:30" x14ac:dyDescent="0.25">
      <c r="A115" s="85">
        <v>46037</v>
      </c>
      <c r="B115" t="s">
        <v>27</v>
      </c>
      <c r="C115">
        <v>20</v>
      </c>
      <c r="D115" s="86">
        <v>1</v>
      </c>
      <c r="E115">
        <v>4</v>
      </c>
      <c r="F115">
        <v>3</v>
      </c>
      <c r="G115">
        <v>17</v>
      </c>
      <c r="H115">
        <v>10</v>
      </c>
      <c r="I115">
        <v>0.75</v>
      </c>
      <c r="J115">
        <v>0.59</v>
      </c>
      <c r="K115">
        <v>0</v>
      </c>
      <c r="L115">
        <v>0</v>
      </c>
      <c r="M115">
        <v>1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0</v>
      </c>
      <c r="AA115" s="86">
        <f>AVERAGEIFS($C$2:C115, $B$2:B115, B115)</f>
        <v>13</v>
      </c>
      <c r="AB115" s="86">
        <f>AVERAGEIFS($I$2:I115, $B$2:B115, B115)</f>
        <v>0.41249999999999998</v>
      </c>
      <c r="AC115" s="86">
        <f>AVERAGEIFS($J$2:J115, $B$2:B115, B115)</f>
        <v>0.44999999999999996</v>
      </c>
      <c r="AD115" s="86">
        <f>AVERAGEIFS($D$2:D115, $B$2:B115, B115)</f>
        <v>0.25</v>
      </c>
    </row>
    <row r="116" spans="1:30" x14ac:dyDescent="0.25">
      <c r="A116" s="85">
        <v>46037</v>
      </c>
      <c r="B116" t="s">
        <v>55</v>
      </c>
      <c r="C116">
        <v>18</v>
      </c>
      <c r="D116" s="86">
        <v>1</v>
      </c>
      <c r="E116">
        <v>4</v>
      </c>
      <c r="F116">
        <v>3</v>
      </c>
      <c r="G116">
        <v>17</v>
      </c>
      <c r="H116">
        <v>10</v>
      </c>
      <c r="I116">
        <v>0.75</v>
      </c>
      <c r="J116">
        <v>0.59</v>
      </c>
      <c r="K116">
        <v>0</v>
      </c>
      <c r="L116">
        <v>0</v>
      </c>
      <c r="M116">
        <v>1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0</v>
      </c>
      <c r="AA116" s="86">
        <f>AVERAGEIFS($C$2:C116, $B$2:B116, B116)</f>
        <v>11.8</v>
      </c>
      <c r="AB116" s="86">
        <f>AVERAGEIFS($I$2:I116, $B$2:B116, B116)</f>
        <v>0.62</v>
      </c>
      <c r="AC116" s="86">
        <f>AVERAGEIFS($J$2:J116, $B$2:B116, B116)</f>
        <v>0.52600000000000002</v>
      </c>
      <c r="AD116" s="86">
        <f>AVERAGEIFS($D$2:D116, $B$2:B116, B116)</f>
        <v>0.8</v>
      </c>
    </row>
    <row r="117" spans="1:30" x14ac:dyDescent="0.25">
      <c r="A117" s="85">
        <v>46037</v>
      </c>
      <c r="B117" t="s">
        <v>2</v>
      </c>
      <c r="C117">
        <v>17</v>
      </c>
      <c r="D117" s="86">
        <v>1</v>
      </c>
      <c r="E117">
        <v>4</v>
      </c>
      <c r="F117">
        <v>3</v>
      </c>
      <c r="G117">
        <v>17</v>
      </c>
      <c r="H117">
        <v>10</v>
      </c>
      <c r="I117">
        <v>0.75</v>
      </c>
      <c r="J117">
        <v>0.59</v>
      </c>
      <c r="K117">
        <v>0</v>
      </c>
      <c r="L117">
        <v>0</v>
      </c>
      <c r="M117">
        <v>1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0</v>
      </c>
      <c r="AA117" s="86">
        <f>AVERAGEIFS($C$2:C117, $B$2:B117, B117)</f>
        <v>21.833333333333332</v>
      </c>
      <c r="AB117" s="86">
        <f>AVERAGEIFS($I$2:I117, $B$2:B117, B117)</f>
        <v>0.52500000000000002</v>
      </c>
      <c r="AC117" s="86">
        <f>AVERAGEIFS($J$2:J117, $B$2:B117, B117)</f>
        <v>0.51666666666666672</v>
      </c>
      <c r="AD117" s="86">
        <f>AVERAGEIFS($D$2:D117, $B$2:B117, B117)</f>
        <v>0.5</v>
      </c>
    </row>
    <row r="118" spans="1:30" x14ac:dyDescent="0.25">
      <c r="A118" s="85">
        <v>46037</v>
      </c>
      <c r="B118" t="s">
        <v>26</v>
      </c>
      <c r="C118">
        <v>10</v>
      </c>
      <c r="D118" s="86">
        <v>1</v>
      </c>
      <c r="E118">
        <v>4</v>
      </c>
      <c r="F118">
        <v>3</v>
      </c>
      <c r="G118">
        <v>17</v>
      </c>
      <c r="H118">
        <v>10</v>
      </c>
      <c r="I118">
        <v>0.75</v>
      </c>
      <c r="J118">
        <v>0.59</v>
      </c>
      <c r="K118">
        <v>0</v>
      </c>
      <c r="L118">
        <v>0</v>
      </c>
      <c r="M118">
        <v>1</v>
      </c>
      <c r="N118">
        <v>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1</v>
      </c>
      <c r="X118">
        <v>0</v>
      </c>
      <c r="Y118">
        <v>0</v>
      </c>
      <c r="Z118">
        <v>0</v>
      </c>
      <c r="AA118" s="86">
        <f>AVERAGEIFS($C$2:C118, $B$2:B118, B118)</f>
        <v>10.4</v>
      </c>
      <c r="AB118" s="86">
        <f>AVERAGEIFS($I$2:I118, $B$2:B118, B118)</f>
        <v>0.65</v>
      </c>
      <c r="AC118" s="86">
        <f>AVERAGEIFS($J$2:J118, $B$2:B118, B118)</f>
        <v>0.56999999999999995</v>
      </c>
      <c r="AD118" s="86">
        <f>AVERAGEIFS($D$2:D118, $B$2:B118, B118)</f>
        <v>0.8</v>
      </c>
    </row>
    <row r="119" spans="1:30" x14ac:dyDescent="0.25">
      <c r="A119" s="85">
        <v>46037</v>
      </c>
      <c r="B119" t="s">
        <v>19</v>
      </c>
      <c r="C119">
        <v>10</v>
      </c>
      <c r="D119" s="86">
        <v>1</v>
      </c>
      <c r="E119">
        <v>4</v>
      </c>
      <c r="F119">
        <v>3</v>
      </c>
      <c r="G119">
        <v>17</v>
      </c>
      <c r="H119">
        <v>10</v>
      </c>
      <c r="I119">
        <v>0.75</v>
      </c>
      <c r="J119">
        <v>0.59</v>
      </c>
      <c r="K119">
        <v>0</v>
      </c>
      <c r="L119">
        <v>0</v>
      </c>
      <c r="M119">
        <v>1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1</v>
      </c>
      <c r="X119">
        <v>0</v>
      </c>
      <c r="Y119">
        <v>0</v>
      </c>
      <c r="Z119">
        <v>0</v>
      </c>
      <c r="AA119" s="86">
        <f>AVERAGEIFS($C$2:C119, $B$2:B119, B119)</f>
        <v>10.111111111111111</v>
      </c>
      <c r="AB119" s="86">
        <f>AVERAGEIFS($I$2:I119, $B$2:B119, B119)</f>
        <v>0.48888888888888893</v>
      </c>
      <c r="AC119" s="86">
        <f>AVERAGEIFS($J$2:J119, $B$2:B119, B119)</f>
        <v>0.50111111111111117</v>
      </c>
      <c r="AD119" s="86">
        <f>AVERAGEIFS($D$2:D119, $B$2:B119, B119)</f>
        <v>0.44444444444444442</v>
      </c>
    </row>
    <row r="120" spans="1:30" x14ac:dyDescent="0.25">
      <c r="A120" s="85">
        <v>46037</v>
      </c>
      <c r="B120" t="s">
        <v>137</v>
      </c>
      <c r="C120">
        <v>3</v>
      </c>
      <c r="D120" s="86">
        <v>1</v>
      </c>
      <c r="E120">
        <v>4</v>
      </c>
      <c r="F120">
        <v>3</v>
      </c>
      <c r="G120">
        <v>17</v>
      </c>
      <c r="H120">
        <v>10</v>
      </c>
      <c r="I120">
        <v>0.75</v>
      </c>
      <c r="J120">
        <v>0.59</v>
      </c>
      <c r="K120">
        <v>0</v>
      </c>
      <c r="L120">
        <v>0</v>
      </c>
      <c r="M120">
        <v>1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1</v>
      </c>
      <c r="X120">
        <v>0</v>
      </c>
      <c r="Y120">
        <v>0</v>
      </c>
      <c r="Z120">
        <v>0</v>
      </c>
      <c r="AA120" s="86">
        <f>AVERAGEIFS($C$2:C120, $B$2:B120, B120)</f>
        <v>3</v>
      </c>
      <c r="AB120" s="86">
        <f>AVERAGEIFS($I$2:I120, $B$2:B120, B120)</f>
        <v>0.75</v>
      </c>
      <c r="AC120" s="86">
        <f>AVERAGEIFS($J$2:J120, $B$2:B120, B120)</f>
        <v>0.59</v>
      </c>
      <c r="AD120" s="86">
        <f>AVERAGEIFS($D$2:D120, $B$2:B120, B120)</f>
        <v>1</v>
      </c>
    </row>
    <row r="121" spans="1:30" x14ac:dyDescent="0.25">
      <c r="A121" s="85">
        <v>46037</v>
      </c>
      <c r="B121" t="s">
        <v>15</v>
      </c>
      <c r="C121">
        <v>24</v>
      </c>
      <c r="D121" s="86">
        <v>0</v>
      </c>
      <c r="E121">
        <v>4</v>
      </c>
      <c r="F121">
        <v>1</v>
      </c>
      <c r="G121">
        <v>17</v>
      </c>
      <c r="H121">
        <v>7</v>
      </c>
      <c r="I121">
        <v>0.25</v>
      </c>
      <c r="J121">
        <v>0.41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1</v>
      </c>
      <c r="Z121">
        <v>0</v>
      </c>
      <c r="AA121" s="86">
        <f>AVERAGEIFS($C$2:C121, $B$2:B121, B121)</f>
        <v>22.571428571428573</v>
      </c>
      <c r="AB121" s="86">
        <f>AVERAGEIFS($I$2:I121, $B$2:B121, B121)</f>
        <v>0.39285714285714285</v>
      </c>
      <c r="AC121" s="86">
        <f>AVERAGEIFS($J$2:J121, $B$2:B121, B121)</f>
        <v>0.43</v>
      </c>
      <c r="AD121" s="86">
        <f>AVERAGEIFS($D$2:D121, $B$2:B121, B121)</f>
        <v>0.2857142857142857</v>
      </c>
    </row>
    <row r="122" spans="1:30" x14ac:dyDescent="0.25">
      <c r="A122" s="85">
        <v>46037</v>
      </c>
      <c r="B122" t="s">
        <v>5</v>
      </c>
      <c r="C122">
        <v>21</v>
      </c>
      <c r="D122" s="86">
        <v>0</v>
      </c>
      <c r="E122">
        <v>4</v>
      </c>
      <c r="F122">
        <v>1</v>
      </c>
      <c r="G122">
        <v>17</v>
      </c>
      <c r="H122">
        <v>7</v>
      </c>
      <c r="I122">
        <v>0.25</v>
      </c>
      <c r="J122">
        <v>0.41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1</v>
      </c>
      <c r="Z122">
        <v>0</v>
      </c>
      <c r="AA122" s="86">
        <f>AVERAGEIFS($C$2:C122, $B$2:B122, B122)</f>
        <v>24.25</v>
      </c>
      <c r="AB122" s="86">
        <f>AVERAGEIFS($I$2:I122, $B$2:B122, B122)</f>
        <v>0.33750000000000002</v>
      </c>
      <c r="AC122" s="86">
        <f>AVERAGEIFS($J$2:J122, $B$2:B122, B122)</f>
        <v>0.43</v>
      </c>
      <c r="AD122" s="86">
        <f>AVERAGEIFS($D$2:D122, $B$2:B122, B122)</f>
        <v>0.25</v>
      </c>
    </row>
    <row r="123" spans="1:30" x14ac:dyDescent="0.25">
      <c r="A123" s="85">
        <v>46037</v>
      </c>
      <c r="B123" t="s">
        <v>14</v>
      </c>
      <c r="C123">
        <v>17</v>
      </c>
      <c r="D123" s="86">
        <v>0</v>
      </c>
      <c r="E123">
        <v>4</v>
      </c>
      <c r="F123">
        <v>1</v>
      </c>
      <c r="G123">
        <v>17</v>
      </c>
      <c r="H123">
        <v>7</v>
      </c>
      <c r="I123">
        <v>0.25</v>
      </c>
      <c r="J123">
        <v>0.41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1</v>
      </c>
      <c r="Z123">
        <v>0</v>
      </c>
      <c r="AA123" s="86">
        <f>AVERAGEIFS($C$2:C123, $B$2:B123, B123)</f>
        <v>20.375</v>
      </c>
      <c r="AB123" s="86">
        <f>AVERAGEIFS($I$2:I123, $B$2:B123, B123)</f>
        <v>0.48125000000000001</v>
      </c>
      <c r="AC123" s="86">
        <f>AVERAGEIFS($J$2:J123, $B$2:B123, B123)</f>
        <v>0.48125000000000001</v>
      </c>
      <c r="AD123" s="86">
        <f>AVERAGEIFS($D$2:D123, $B$2:B123, B123)</f>
        <v>0.5</v>
      </c>
    </row>
    <row r="124" spans="1:30" x14ac:dyDescent="0.25">
      <c r="A124" s="85">
        <v>46037</v>
      </c>
      <c r="B124" t="s">
        <v>6</v>
      </c>
      <c r="C124">
        <v>17</v>
      </c>
      <c r="D124" s="86">
        <v>0</v>
      </c>
      <c r="E124">
        <v>4</v>
      </c>
      <c r="F124">
        <v>1</v>
      </c>
      <c r="G124">
        <v>17</v>
      </c>
      <c r="H124">
        <v>7</v>
      </c>
      <c r="I124">
        <v>0.25</v>
      </c>
      <c r="J124">
        <v>0.41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13.666666666666666</v>
      </c>
      <c r="AB124" s="86">
        <f>AVERAGEIFS($I$2:I124, $B$2:B124, B124)</f>
        <v>0.53333333333333333</v>
      </c>
      <c r="AC124" s="86">
        <f>AVERAGEIFS($J$2:J124, $B$2:B124, B124)</f>
        <v>0.55666666666666664</v>
      </c>
      <c r="AD124" s="86">
        <f>AVERAGEIFS($D$2:D124, $B$2:B124, B124)</f>
        <v>0.66666666666666663</v>
      </c>
    </row>
    <row r="125" spans="1:30" x14ac:dyDescent="0.25">
      <c r="A125" s="85">
        <v>46037</v>
      </c>
      <c r="B125" t="s">
        <v>51</v>
      </c>
      <c r="C125">
        <v>12</v>
      </c>
      <c r="D125" s="86">
        <v>0</v>
      </c>
      <c r="E125">
        <v>4</v>
      </c>
      <c r="F125">
        <v>1</v>
      </c>
      <c r="G125">
        <v>17</v>
      </c>
      <c r="H125">
        <v>7</v>
      </c>
      <c r="I125">
        <v>0.25</v>
      </c>
      <c r="J125">
        <v>0.41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12.625</v>
      </c>
      <c r="AB125" s="86">
        <f>AVERAGEIFS($I$2:I125, $B$2:B125, B125)</f>
        <v>0.52500000000000002</v>
      </c>
      <c r="AC125" s="86">
        <f>AVERAGEIFS($J$2:J125, $B$2:B125, B125)</f>
        <v>0.52625</v>
      </c>
      <c r="AD125" s="86">
        <f>AVERAGEIFS($D$2:D125, $B$2:B125, B125)</f>
        <v>0.625</v>
      </c>
    </row>
    <row r="126" spans="1:30" x14ac:dyDescent="0.25">
      <c r="A126" s="85">
        <v>46037</v>
      </c>
      <c r="B126" t="s">
        <v>45</v>
      </c>
      <c r="C126">
        <v>11</v>
      </c>
      <c r="D126" s="86">
        <v>0</v>
      </c>
      <c r="E126">
        <v>4</v>
      </c>
      <c r="F126">
        <v>1</v>
      </c>
      <c r="G126">
        <v>17</v>
      </c>
      <c r="H126">
        <v>7</v>
      </c>
      <c r="I126">
        <v>0.25</v>
      </c>
      <c r="J126">
        <v>0.41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9.5</v>
      </c>
      <c r="AB126" s="86">
        <f>AVERAGEIFS($I$2:I126, $B$2:B126, B126)</f>
        <v>0.28749999999999998</v>
      </c>
      <c r="AC126" s="86">
        <f>AVERAGEIFS($J$2:J126, $B$2:B126, B126)</f>
        <v>0.38750000000000001</v>
      </c>
      <c r="AD126" s="86">
        <f>AVERAGEIFS($D$2:D126, $B$2:B126, B126)</f>
        <v>0</v>
      </c>
    </row>
    <row r="127" spans="1:30" x14ac:dyDescent="0.25">
      <c r="A127" s="85">
        <v>46037</v>
      </c>
      <c r="B127" t="s">
        <v>28</v>
      </c>
      <c r="C127">
        <v>9</v>
      </c>
      <c r="D127" s="86">
        <v>0</v>
      </c>
      <c r="E127">
        <v>4</v>
      </c>
      <c r="F127">
        <v>1</v>
      </c>
      <c r="G127">
        <v>17</v>
      </c>
      <c r="H127">
        <v>7</v>
      </c>
      <c r="I127">
        <v>0.25</v>
      </c>
      <c r="J127">
        <v>0.41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12.5</v>
      </c>
      <c r="AB127" s="86">
        <f>AVERAGEIFS($I$2:I127, $B$2:B127, B127)</f>
        <v>0.46666666666666662</v>
      </c>
      <c r="AC127" s="86">
        <f>AVERAGEIFS($J$2:J127, $B$2:B127, B127)</f>
        <v>0.50833333333333341</v>
      </c>
      <c r="AD127" s="86">
        <f>AVERAGEIFS($D$2:D127, $B$2:B127, B127)</f>
        <v>0.33333333333333331</v>
      </c>
    </row>
    <row r="128" spans="1:30" x14ac:dyDescent="0.25">
      <c r="A128" s="85">
        <v>46037</v>
      </c>
      <c r="B128" t="s">
        <v>29</v>
      </c>
      <c r="C128">
        <v>7</v>
      </c>
      <c r="D128" s="86">
        <v>0</v>
      </c>
      <c r="E128">
        <v>4</v>
      </c>
      <c r="F128">
        <v>1</v>
      </c>
      <c r="G128">
        <v>17</v>
      </c>
      <c r="H128">
        <v>7</v>
      </c>
      <c r="I128">
        <v>0.25</v>
      </c>
      <c r="J128">
        <v>0.41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9.7142857142857135</v>
      </c>
      <c r="AB128" s="86">
        <f>AVERAGEIFS($I$2:I128, $B$2:B128, B128)</f>
        <v>0.50714285714285712</v>
      </c>
      <c r="AC128" s="86">
        <f>AVERAGEIFS($J$2:J128, $B$2:B128, B128)</f>
        <v>0.49999999999999994</v>
      </c>
      <c r="AD128" s="86">
        <f>AVERAGEIFS($D$2:D128, $B$2:B128, B128)</f>
        <v>0.42857142857142855</v>
      </c>
    </row>
    <row r="129" spans="1:30" x14ac:dyDescent="0.25">
      <c r="A129" s="85">
        <v>46040</v>
      </c>
      <c r="B129" t="s">
        <v>3</v>
      </c>
      <c r="C129">
        <v>44</v>
      </c>
      <c r="D129" s="86">
        <v>1</v>
      </c>
      <c r="E129">
        <v>5</v>
      </c>
      <c r="F129">
        <v>3</v>
      </c>
      <c r="G129">
        <v>19</v>
      </c>
      <c r="H129">
        <v>11</v>
      </c>
      <c r="I129">
        <v>0.6</v>
      </c>
      <c r="J129">
        <v>0.57999999999999996</v>
      </c>
      <c r="K129">
        <v>0</v>
      </c>
      <c r="L129">
        <v>0</v>
      </c>
      <c r="M129">
        <v>0</v>
      </c>
      <c r="N129">
        <v>0</v>
      </c>
      <c r="O129">
        <v>1</v>
      </c>
      <c r="P129">
        <v>1</v>
      </c>
      <c r="Q129">
        <v>1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 s="86">
        <f>AVERAGEIFS($C$2:C129, $B$2:B129, B129)</f>
        <v>24.833333333333332</v>
      </c>
      <c r="AB129" s="86">
        <f>AVERAGEIFS($I$2:I129, $B$2:B129, B129)</f>
        <v>0.55833333333333335</v>
      </c>
      <c r="AC129" s="86">
        <f>AVERAGEIFS($J$2:J129, $B$2:B129, B129)</f>
        <v>0.53833333333333322</v>
      </c>
      <c r="AD129" s="86">
        <f>AVERAGEIFS($D$2:D129, $B$2:B129, B129)</f>
        <v>0.66666666666666663</v>
      </c>
    </row>
    <row r="130" spans="1:30" x14ac:dyDescent="0.25">
      <c r="A130" s="85">
        <v>46040</v>
      </c>
      <c r="B130" t="s">
        <v>13</v>
      </c>
      <c r="C130">
        <v>29</v>
      </c>
      <c r="D130" s="86">
        <v>1</v>
      </c>
      <c r="E130">
        <v>5</v>
      </c>
      <c r="F130">
        <v>3</v>
      </c>
      <c r="G130">
        <v>19</v>
      </c>
      <c r="H130">
        <v>11</v>
      </c>
      <c r="I130">
        <v>0.6</v>
      </c>
      <c r="J130">
        <v>0.57999999999999996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 s="86">
        <f>AVERAGEIFS($C$2:C130, $B$2:B130, B130)</f>
        <v>27.7</v>
      </c>
      <c r="AB130" s="86">
        <f>AVERAGEIFS($I$2:I130, $B$2:B130, B130)</f>
        <v>0.58499999999999996</v>
      </c>
      <c r="AC130" s="86">
        <f>AVERAGEIFS($J$2:J130, $B$2:B130, B130)</f>
        <v>0.55000000000000004</v>
      </c>
      <c r="AD130" s="86">
        <f>AVERAGEIFS($D$2:D130, $B$2:B130, B130)</f>
        <v>0.7</v>
      </c>
    </row>
    <row r="131" spans="1:30" x14ac:dyDescent="0.25">
      <c r="A131" s="85">
        <v>46040</v>
      </c>
      <c r="B131" t="s">
        <v>54</v>
      </c>
      <c r="C131">
        <v>24</v>
      </c>
      <c r="D131" s="86">
        <v>1</v>
      </c>
      <c r="E131">
        <v>5</v>
      </c>
      <c r="F131">
        <v>3</v>
      </c>
      <c r="G131">
        <v>19</v>
      </c>
      <c r="H131">
        <v>11</v>
      </c>
      <c r="I131">
        <v>0.6</v>
      </c>
      <c r="J131">
        <v>0.57999999999999996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 s="86">
        <f>AVERAGEIFS($C$2:C131, $B$2:B131, B131)</f>
        <v>21.666666666666668</v>
      </c>
      <c r="AB131" s="86">
        <f>AVERAGEIFS($I$2:I131, $B$2:B131, B131)</f>
        <v>0.6</v>
      </c>
      <c r="AC131" s="86">
        <f>AVERAGEIFS($J$2:J131, $B$2:B131, B131)</f>
        <v>0.57999999999999996</v>
      </c>
      <c r="AD131" s="86">
        <f>AVERAGEIFS($D$2:D131, $B$2:B131, B131)</f>
        <v>1</v>
      </c>
    </row>
    <row r="132" spans="1:30" x14ac:dyDescent="0.25">
      <c r="A132" s="85">
        <v>46040</v>
      </c>
      <c r="B132" t="s">
        <v>26</v>
      </c>
      <c r="C132">
        <v>19</v>
      </c>
      <c r="D132" s="86">
        <v>1</v>
      </c>
      <c r="E132">
        <v>5</v>
      </c>
      <c r="F132">
        <v>3</v>
      </c>
      <c r="G132">
        <v>19</v>
      </c>
      <c r="H132">
        <v>11</v>
      </c>
      <c r="I132">
        <v>0.6</v>
      </c>
      <c r="J132">
        <v>0.57999999999999996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 s="86">
        <f>AVERAGEIFS($C$2:C132, $B$2:B132, B132)</f>
        <v>11.833333333333334</v>
      </c>
      <c r="AB132" s="86">
        <f>AVERAGEIFS($I$2:I132, $B$2:B132, B132)</f>
        <v>0.64166666666666672</v>
      </c>
      <c r="AC132" s="86">
        <f>AVERAGEIFS($J$2:J132, $B$2:B132, B132)</f>
        <v>0.57166666666666666</v>
      </c>
      <c r="AD132" s="86">
        <f>AVERAGEIFS($D$2:D132, $B$2:B132, B132)</f>
        <v>0.83333333333333337</v>
      </c>
    </row>
    <row r="133" spans="1:30" x14ac:dyDescent="0.25">
      <c r="A133" s="85">
        <v>46040</v>
      </c>
      <c r="B133" t="s">
        <v>27</v>
      </c>
      <c r="C133">
        <v>17</v>
      </c>
      <c r="D133" s="86">
        <v>1</v>
      </c>
      <c r="E133">
        <v>5</v>
      </c>
      <c r="F133">
        <v>3</v>
      </c>
      <c r="G133">
        <v>19</v>
      </c>
      <c r="H133">
        <v>11</v>
      </c>
      <c r="I133">
        <v>0.6</v>
      </c>
      <c r="J133">
        <v>0.57999999999999996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1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 s="86">
        <f>AVERAGEIFS($C$2:C133, $B$2:B133, B133)</f>
        <v>13.8</v>
      </c>
      <c r="AB133" s="86">
        <f>AVERAGEIFS($I$2:I133, $B$2:B133, B133)</f>
        <v>0.45</v>
      </c>
      <c r="AC133" s="86">
        <f>AVERAGEIFS($J$2:J133, $B$2:B133, B133)</f>
        <v>0.47599999999999998</v>
      </c>
      <c r="AD133" s="86">
        <f>AVERAGEIFS($D$2:D133, $B$2:B133, B133)</f>
        <v>0.4</v>
      </c>
    </row>
    <row r="134" spans="1:30" x14ac:dyDescent="0.25">
      <c r="A134" s="85">
        <v>46040</v>
      </c>
      <c r="B134" t="s">
        <v>53</v>
      </c>
      <c r="C134">
        <v>11</v>
      </c>
      <c r="D134" s="86">
        <v>1</v>
      </c>
      <c r="E134">
        <v>5</v>
      </c>
      <c r="F134">
        <v>3</v>
      </c>
      <c r="G134">
        <v>19</v>
      </c>
      <c r="H134">
        <v>11</v>
      </c>
      <c r="I134">
        <v>0.6</v>
      </c>
      <c r="J134">
        <v>0.57999999999999996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1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 s="86">
        <f>AVERAGEIFS($C$2:C134, $B$2:B134, B134)</f>
        <v>18</v>
      </c>
      <c r="AB134" s="86">
        <f>AVERAGEIFS($I$2:I134, $B$2:B134, B134)</f>
        <v>0.6</v>
      </c>
      <c r="AC134" s="86">
        <f>AVERAGEIFS($J$2:J134, $B$2:B134, B134)</f>
        <v>0.57499999999999996</v>
      </c>
      <c r="AD134" s="86">
        <f>AVERAGEIFS($D$2:D134, $B$2:B134, B134)</f>
        <v>1</v>
      </c>
    </row>
    <row r="135" spans="1:30" x14ac:dyDescent="0.25">
      <c r="A135" s="85">
        <v>46040</v>
      </c>
      <c r="B135" t="s">
        <v>18</v>
      </c>
      <c r="C135">
        <v>35</v>
      </c>
      <c r="D135" s="86">
        <v>0</v>
      </c>
      <c r="E135">
        <v>5</v>
      </c>
      <c r="F135">
        <v>2</v>
      </c>
      <c r="G135">
        <v>19</v>
      </c>
      <c r="H135">
        <v>8</v>
      </c>
      <c r="I135">
        <v>0.4</v>
      </c>
      <c r="J135">
        <v>0.42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0</v>
      </c>
      <c r="Z135">
        <v>1</v>
      </c>
      <c r="AA135" s="86">
        <f>AVERAGEIFS($C$2:C135, $B$2:B135, B135)</f>
        <v>23.6</v>
      </c>
      <c r="AB135" s="86">
        <f>AVERAGEIFS($I$2:I135, $B$2:B135, B135)</f>
        <v>0.55000000000000004</v>
      </c>
      <c r="AC135" s="86">
        <f>AVERAGEIFS($J$2:J135, $B$2:B135, B135)</f>
        <v>0.48599999999999993</v>
      </c>
      <c r="AD135" s="86">
        <f>AVERAGEIFS($D$2:D135, $B$2:B135, B135)</f>
        <v>0.6</v>
      </c>
    </row>
    <row r="136" spans="1:30" x14ac:dyDescent="0.25">
      <c r="A136" s="85">
        <v>46040</v>
      </c>
      <c r="B136" t="s">
        <v>15</v>
      </c>
      <c r="C136">
        <v>33</v>
      </c>
      <c r="D136" s="86">
        <v>0</v>
      </c>
      <c r="E136">
        <v>5</v>
      </c>
      <c r="F136">
        <v>2</v>
      </c>
      <c r="G136">
        <v>19</v>
      </c>
      <c r="H136">
        <v>8</v>
      </c>
      <c r="I136">
        <v>0.4</v>
      </c>
      <c r="J136">
        <v>0.42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1</v>
      </c>
      <c r="Y136">
        <v>0</v>
      </c>
      <c r="Z136">
        <v>1</v>
      </c>
      <c r="AA136" s="86">
        <f>AVERAGEIFS($C$2:C136, $B$2:B136, B136)</f>
        <v>23.875</v>
      </c>
      <c r="AB136" s="86">
        <f>AVERAGEIFS($I$2:I136, $B$2:B136, B136)</f>
        <v>0.39374999999999999</v>
      </c>
      <c r="AC136" s="86">
        <f>AVERAGEIFS($J$2:J136, $B$2:B136, B136)</f>
        <v>0.42874999999999996</v>
      </c>
      <c r="AD136" s="86">
        <f>AVERAGEIFS($D$2:D136, $B$2:B136, B136)</f>
        <v>0.25</v>
      </c>
    </row>
    <row r="137" spans="1:30" x14ac:dyDescent="0.25">
      <c r="A137" s="85">
        <v>46040</v>
      </c>
      <c r="B137" t="s">
        <v>51</v>
      </c>
      <c r="C137">
        <v>19</v>
      </c>
      <c r="D137" s="86">
        <v>0</v>
      </c>
      <c r="E137">
        <v>5</v>
      </c>
      <c r="F137">
        <v>2</v>
      </c>
      <c r="G137">
        <v>19</v>
      </c>
      <c r="H137">
        <v>8</v>
      </c>
      <c r="I137">
        <v>0.4</v>
      </c>
      <c r="J137">
        <v>0.42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1</v>
      </c>
      <c r="Y137">
        <v>0</v>
      </c>
      <c r="Z137">
        <v>1</v>
      </c>
      <c r="AA137" s="86">
        <f>AVERAGEIFS($C$2:C137, $B$2:B137, B137)</f>
        <v>13.333333333333334</v>
      </c>
      <c r="AB137" s="86">
        <f>AVERAGEIFS($I$2:I137, $B$2:B137, B137)</f>
        <v>0.51111111111111118</v>
      </c>
      <c r="AC137" s="86">
        <f>AVERAGEIFS($J$2:J137, $B$2:B137, B137)</f>
        <v>0.51444444444444448</v>
      </c>
      <c r="AD137" s="86">
        <f>AVERAGEIFS($D$2:D137, $B$2:B137, B137)</f>
        <v>0.55555555555555558</v>
      </c>
    </row>
    <row r="138" spans="1:30" x14ac:dyDescent="0.25">
      <c r="A138" s="85">
        <v>46040</v>
      </c>
      <c r="B138" t="s">
        <v>37</v>
      </c>
      <c r="C138">
        <v>17</v>
      </c>
      <c r="D138" s="86">
        <v>0</v>
      </c>
      <c r="E138">
        <v>5</v>
      </c>
      <c r="F138">
        <v>2</v>
      </c>
      <c r="G138">
        <v>19</v>
      </c>
      <c r="H138">
        <v>8</v>
      </c>
      <c r="I138">
        <v>0.4</v>
      </c>
      <c r="J138">
        <v>0.42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1</v>
      </c>
      <c r="Y138">
        <v>0</v>
      </c>
      <c r="Z138">
        <v>1</v>
      </c>
      <c r="AA138" s="86">
        <f>AVERAGEIFS($C$2:C138, $B$2:B138, B138)</f>
        <v>17</v>
      </c>
      <c r="AB138" s="86">
        <f>AVERAGEIFS($I$2:I138, $B$2:B138, B138)</f>
        <v>0.5</v>
      </c>
      <c r="AC138" s="86">
        <f>AVERAGEIFS($J$2:J138, $B$2:B138, B138)</f>
        <v>0.48249999999999998</v>
      </c>
      <c r="AD138" s="86">
        <f>AVERAGEIFS($D$2:D138, $B$2:B138, B138)</f>
        <v>0.5</v>
      </c>
    </row>
    <row r="139" spans="1:30" x14ac:dyDescent="0.25">
      <c r="A139" s="85">
        <v>46040</v>
      </c>
      <c r="B139" t="s">
        <v>20</v>
      </c>
      <c r="C139">
        <v>17</v>
      </c>
      <c r="D139" s="86">
        <v>0</v>
      </c>
      <c r="E139">
        <v>5</v>
      </c>
      <c r="F139">
        <v>2</v>
      </c>
      <c r="G139">
        <v>19</v>
      </c>
      <c r="H139">
        <v>8</v>
      </c>
      <c r="I139">
        <v>0.4</v>
      </c>
      <c r="J139">
        <v>0.42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0</v>
      </c>
      <c r="Z139">
        <v>1</v>
      </c>
      <c r="AA139" s="86">
        <f>AVERAGEIFS($C$2:C139, $B$2:B139, B139)</f>
        <v>11.333333333333334</v>
      </c>
      <c r="AB139" s="86">
        <f>AVERAGEIFS($I$2:I139, $B$2:B139, B139)</f>
        <v>0.44166666666666665</v>
      </c>
      <c r="AC139" s="86">
        <f>AVERAGEIFS($J$2:J139, $B$2:B139, B139)</f>
        <v>0.44666666666666671</v>
      </c>
      <c r="AD139" s="86">
        <f>AVERAGEIFS($D$2:D139, $B$2:B139, B139)</f>
        <v>0.33333333333333331</v>
      </c>
    </row>
    <row r="140" spans="1:30" x14ac:dyDescent="0.25">
      <c r="A140" s="85">
        <v>46040</v>
      </c>
      <c r="B140" t="s">
        <v>19</v>
      </c>
      <c r="C140">
        <v>16</v>
      </c>
      <c r="D140" s="86">
        <v>0</v>
      </c>
      <c r="E140">
        <v>5</v>
      </c>
      <c r="F140">
        <v>2</v>
      </c>
      <c r="G140">
        <v>19</v>
      </c>
      <c r="H140">
        <v>8</v>
      </c>
      <c r="I140">
        <v>0.4</v>
      </c>
      <c r="J140">
        <v>0.42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1</v>
      </c>
      <c r="Y140">
        <v>0</v>
      </c>
      <c r="Z140">
        <v>1</v>
      </c>
      <c r="AA140" s="86">
        <f>AVERAGEIFS($C$2:C140, $B$2:B140, B140)</f>
        <v>10.7</v>
      </c>
      <c r="AB140" s="86">
        <f>AVERAGEIFS($I$2:I140, $B$2:B140, B140)</f>
        <v>0.48000000000000009</v>
      </c>
      <c r="AC140" s="86">
        <f>AVERAGEIFS($J$2:J140, $B$2:B140, B140)</f>
        <v>0.49300000000000005</v>
      </c>
      <c r="AD140" s="86">
        <f>AVERAGEIFS($D$2:D140, $B$2:B140, B140)</f>
        <v>0.4</v>
      </c>
    </row>
    <row r="141" spans="1:30" x14ac:dyDescent="0.25">
      <c r="A141" s="85">
        <v>46044</v>
      </c>
      <c r="B141" t="s">
        <v>13</v>
      </c>
      <c r="C141">
        <v>57</v>
      </c>
      <c r="D141" s="86">
        <v>1</v>
      </c>
      <c r="E141">
        <v>5</v>
      </c>
      <c r="F141">
        <v>3</v>
      </c>
      <c r="G141">
        <v>22</v>
      </c>
      <c r="H141">
        <v>11</v>
      </c>
      <c r="I141">
        <v>0.6</v>
      </c>
      <c r="J141">
        <v>0.5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1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1</v>
      </c>
      <c r="Y141">
        <v>0</v>
      </c>
      <c r="Z141">
        <v>1</v>
      </c>
      <c r="AA141" s="86">
        <f>AVERAGEIFS($C$2:C141, $B$2:B141, B141)</f>
        <v>30.363636363636363</v>
      </c>
      <c r="AB141" s="86">
        <f>AVERAGEIFS($I$2:I141, $B$2:B141, B141)</f>
        <v>0.58636363636363631</v>
      </c>
      <c r="AC141" s="86">
        <f>AVERAGEIFS($J$2:J141, $B$2:B141, B141)</f>
        <v>0.54545454545454541</v>
      </c>
      <c r="AD141" s="86">
        <f>AVERAGEIFS($D$2:D141, $B$2:B141, B141)</f>
        <v>0.72727272727272729</v>
      </c>
    </row>
    <row r="142" spans="1:30" x14ac:dyDescent="0.25">
      <c r="A142" s="85">
        <v>46044</v>
      </c>
      <c r="B142" t="s">
        <v>6</v>
      </c>
      <c r="C142">
        <v>43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1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1</v>
      </c>
      <c r="Y142">
        <v>0</v>
      </c>
      <c r="Z142">
        <v>1</v>
      </c>
      <c r="AA142" s="86">
        <f>AVERAGEIFS($C$2:C142, $B$2:B142, B142)</f>
        <v>21</v>
      </c>
      <c r="AB142" s="86">
        <f>AVERAGEIFS($I$2:I142, $B$2:B142, B142)</f>
        <v>0.55000000000000004</v>
      </c>
      <c r="AC142" s="86">
        <f>AVERAGEIFS($J$2:J142, $B$2:B142, B142)</f>
        <v>0.54249999999999998</v>
      </c>
      <c r="AD142" s="86">
        <f>AVERAGEIFS($D$2:D142, $B$2:B142, B142)</f>
        <v>0.75</v>
      </c>
    </row>
    <row r="143" spans="1:30" x14ac:dyDescent="0.25">
      <c r="A143" s="85">
        <v>46044</v>
      </c>
      <c r="B143" t="s">
        <v>14</v>
      </c>
      <c r="C143">
        <v>41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1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0</v>
      </c>
      <c r="Z143">
        <v>1</v>
      </c>
      <c r="AA143" s="86">
        <f>AVERAGEIFS($C$2:C143, $B$2:B143, B143)</f>
        <v>22.666666666666668</v>
      </c>
      <c r="AB143" s="86">
        <f>AVERAGEIFS($I$2:I143, $B$2:B143, B143)</f>
        <v>0.49444444444444446</v>
      </c>
      <c r="AC143" s="86">
        <f>AVERAGEIFS($J$2:J143, $B$2:B143, B143)</f>
        <v>0.48333333333333328</v>
      </c>
      <c r="AD143" s="86">
        <f>AVERAGEIFS($D$2:D143, $B$2:B143, B143)</f>
        <v>0.55555555555555558</v>
      </c>
    </row>
    <row r="144" spans="1:30" x14ac:dyDescent="0.25">
      <c r="A144" s="85">
        <v>46044</v>
      </c>
      <c r="B144" t="s">
        <v>1</v>
      </c>
      <c r="C144">
        <v>37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1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1</v>
      </c>
      <c r="AA144" s="86">
        <f>AVERAGEIFS($C$2:C144, $B$2:B144, B144)</f>
        <v>26.666666666666668</v>
      </c>
      <c r="AB144" s="86">
        <f>AVERAGEIFS($I$2:I144, $B$2:B144, B144)</f>
        <v>0.41666666666666669</v>
      </c>
      <c r="AC144" s="86">
        <f>AVERAGEIFS($J$2:J144, $B$2:B144, B144)</f>
        <v>0.4366666666666667</v>
      </c>
      <c r="AD144" s="86">
        <f>AVERAGEIFS($D$2:D144, $B$2:B144, B144)</f>
        <v>0.33333333333333331</v>
      </c>
    </row>
    <row r="145" spans="1:30" x14ac:dyDescent="0.25">
      <c r="A145" s="85">
        <v>46044</v>
      </c>
      <c r="B145" t="s">
        <v>28</v>
      </c>
      <c r="C145">
        <v>20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1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1</v>
      </c>
      <c r="Y145">
        <v>0</v>
      </c>
      <c r="Z145">
        <v>1</v>
      </c>
      <c r="AA145" s="86">
        <f>AVERAGEIFS($C$2:C145, $B$2:B145, B145)</f>
        <v>13.571428571428571</v>
      </c>
      <c r="AB145" s="86">
        <f>AVERAGEIFS($I$2:I145, $B$2:B145, B145)</f>
        <v>0.48571428571428571</v>
      </c>
      <c r="AC145" s="86">
        <f>AVERAGEIFS($J$2:J145, $B$2:B145, B145)</f>
        <v>0.50714285714285723</v>
      </c>
      <c r="AD145" s="86">
        <f>AVERAGEIFS($D$2:D145, $B$2:B145, B145)</f>
        <v>0.42857142857142855</v>
      </c>
    </row>
    <row r="146" spans="1:30" x14ac:dyDescent="0.25">
      <c r="A146" s="85">
        <v>46044</v>
      </c>
      <c r="B146" t="s">
        <v>46</v>
      </c>
      <c r="C146">
        <v>20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1</v>
      </c>
      <c r="Y146">
        <v>0</v>
      </c>
      <c r="Z146">
        <v>1</v>
      </c>
      <c r="AA146" s="86">
        <f>AVERAGEIFS($C$2:C146, $B$2:B146, B146)</f>
        <v>22</v>
      </c>
      <c r="AB146" s="86">
        <f>AVERAGEIFS($I$2:I146, $B$2:B146, B146)</f>
        <v>0.41666666666666669</v>
      </c>
      <c r="AC146" s="86">
        <f>AVERAGEIFS($J$2:J146, $B$2:B146, B146)</f>
        <v>0.4366666666666667</v>
      </c>
      <c r="AD146" s="86">
        <f>AVERAGEIFS($D$2:D146, $B$2:B146, B146)</f>
        <v>0.33333333333333331</v>
      </c>
    </row>
    <row r="147" spans="1:30" x14ac:dyDescent="0.25">
      <c r="A147" s="85">
        <v>46044</v>
      </c>
      <c r="B147" t="s">
        <v>19</v>
      </c>
      <c r="C147">
        <v>14</v>
      </c>
      <c r="D147" s="86">
        <v>1</v>
      </c>
      <c r="E147">
        <v>5</v>
      </c>
      <c r="F147">
        <v>3</v>
      </c>
      <c r="G147">
        <v>22</v>
      </c>
      <c r="H147">
        <v>11</v>
      </c>
      <c r="I147">
        <v>0.6</v>
      </c>
      <c r="J147">
        <v>0.5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1</v>
      </c>
      <c r="Y147">
        <v>0</v>
      </c>
      <c r="Z147">
        <v>1</v>
      </c>
      <c r="AA147" s="86">
        <f>AVERAGEIFS($C$2:C147, $B$2:B147, B147)</f>
        <v>11</v>
      </c>
      <c r="AB147" s="86">
        <f>AVERAGEIFS($I$2:I147, $B$2:B147, B147)</f>
        <v>0.49090909090909096</v>
      </c>
      <c r="AC147" s="86">
        <f>AVERAGEIFS($J$2:J147, $B$2:B147, B147)</f>
        <v>0.49363636363636371</v>
      </c>
      <c r="AD147" s="86">
        <f>AVERAGEIFS($D$2:D147, $B$2:B147, B147)</f>
        <v>0.45454545454545453</v>
      </c>
    </row>
    <row r="148" spans="1:30" x14ac:dyDescent="0.25">
      <c r="A148" s="85">
        <v>46044</v>
      </c>
      <c r="B148" t="s">
        <v>17</v>
      </c>
      <c r="C148">
        <v>49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0</v>
      </c>
      <c r="N148">
        <v>1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1</v>
      </c>
      <c r="Z148">
        <v>0</v>
      </c>
      <c r="AA148" s="86">
        <f>AVERAGEIFS($C$2:C148, $B$2:B148, B148)</f>
        <v>27.6</v>
      </c>
      <c r="AB148" s="86">
        <f>AVERAGEIFS($I$2:I148, $B$2:B148, B148)</f>
        <v>0.54500000000000004</v>
      </c>
      <c r="AC148" s="86">
        <f>AVERAGEIFS($J$2:J148, $B$2:B148, B148)</f>
        <v>0.54299999999999993</v>
      </c>
      <c r="AD148" s="86">
        <f>AVERAGEIFS($D$2:D148, $B$2:B148, B148)</f>
        <v>0.5</v>
      </c>
    </row>
    <row r="149" spans="1:30" x14ac:dyDescent="0.25">
      <c r="A149" s="85">
        <v>46044</v>
      </c>
      <c r="B149" t="s">
        <v>2</v>
      </c>
      <c r="C149">
        <v>42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0</v>
      </c>
      <c r="AA149" s="86">
        <f>AVERAGEIFS($C$2:C149, $B$2:B149, B149)</f>
        <v>24.714285714285715</v>
      </c>
      <c r="AB149" s="86">
        <f>AVERAGEIFS($I$2:I149, $B$2:B149, B149)</f>
        <v>0.50714285714285712</v>
      </c>
      <c r="AC149" s="86">
        <f>AVERAGEIFS($J$2:J149, $B$2:B149, B149)</f>
        <v>0.51428571428571435</v>
      </c>
      <c r="AD149" s="86">
        <f>AVERAGEIFS($D$2:D149, $B$2:B149, B149)</f>
        <v>0.42857142857142855</v>
      </c>
    </row>
    <row r="150" spans="1:30" x14ac:dyDescent="0.25">
      <c r="A150" s="85">
        <v>46044</v>
      </c>
      <c r="B150" t="s">
        <v>5</v>
      </c>
      <c r="C150">
        <v>36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0</v>
      </c>
      <c r="N150">
        <v>1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0</v>
      </c>
      <c r="AA150" s="86">
        <f>AVERAGEIFS($C$2:C150, $B$2:B150, B150)</f>
        <v>26.6</v>
      </c>
      <c r="AB150" s="86">
        <f>AVERAGEIFS($I$2:I150, $B$2:B150, B150)</f>
        <v>0.35</v>
      </c>
      <c r="AC150" s="86">
        <f>AVERAGEIFS($J$2:J150, $B$2:B150, B150)</f>
        <v>0.44399999999999995</v>
      </c>
      <c r="AD150" s="86">
        <f>AVERAGEIFS($D$2:D150, $B$2:B150, B150)</f>
        <v>0.2</v>
      </c>
    </row>
    <row r="151" spans="1:30" x14ac:dyDescent="0.25">
      <c r="A151" s="85">
        <v>46044</v>
      </c>
      <c r="B151" t="s">
        <v>15</v>
      </c>
      <c r="C151">
        <v>31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0</v>
      </c>
      <c r="N151">
        <v>1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1</v>
      </c>
      <c r="Z151">
        <v>0</v>
      </c>
      <c r="AA151" s="86">
        <f>AVERAGEIFS($C$2:C151, $B$2:B151, B151)</f>
        <v>24.666666666666668</v>
      </c>
      <c r="AB151" s="86">
        <f>AVERAGEIFS($I$2:I151, $B$2:B151, B151)</f>
        <v>0.39444444444444443</v>
      </c>
      <c r="AC151" s="86">
        <f>AVERAGEIFS($J$2:J151, $B$2:B151, B151)</f>
        <v>0.43666666666666665</v>
      </c>
      <c r="AD151" s="86">
        <f>AVERAGEIFS($D$2:D151, $B$2:B151, B151)</f>
        <v>0.22222222222222221</v>
      </c>
    </row>
    <row r="152" spans="1:30" x14ac:dyDescent="0.25">
      <c r="A152" s="85">
        <v>46044</v>
      </c>
      <c r="B152" t="s">
        <v>37</v>
      </c>
      <c r="C152">
        <v>25</v>
      </c>
      <c r="D152" s="86">
        <v>0</v>
      </c>
      <c r="E152">
        <v>5</v>
      </c>
      <c r="F152">
        <v>2</v>
      </c>
      <c r="G152">
        <v>22</v>
      </c>
      <c r="H152">
        <v>11</v>
      </c>
      <c r="I152">
        <v>0.4</v>
      </c>
      <c r="J152">
        <v>0.5</v>
      </c>
      <c r="K152">
        <v>0</v>
      </c>
      <c r="L152">
        <v>0</v>
      </c>
      <c r="M152">
        <v>0</v>
      </c>
      <c r="N152">
        <v>1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0</v>
      </c>
      <c r="AA152" s="86">
        <f>AVERAGEIFS($C$2:C152, $B$2:B152, B152)</f>
        <v>18.600000000000001</v>
      </c>
      <c r="AB152" s="86">
        <f>AVERAGEIFS($I$2:I152, $B$2:B152, B152)</f>
        <v>0.48</v>
      </c>
      <c r="AC152" s="86">
        <f>AVERAGEIFS($J$2:J152, $B$2:B152, B152)</f>
        <v>0.48599999999999993</v>
      </c>
      <c r="AD152" s="86">
        <f>AVERAGEIFS($D$2:D152, $B$2:B152, B152)</f>
        <v>0.4</v>
      </c>
    </row>
    <row r="153" spans="1:30" x14ac:dyDescent="0.25">
      <c r="A153" s="85">
        <v>46044</v>
      </c>
      <c r="B153" t="s">
        <v>20</v>
      </c>
      <c r="C153">
        <v>20</v>
      </c>
      <c r="D153" s="86">
        <v>0</v>
      </c>
      <c r="E153">
        <v>5</v>
      </c>
      <c r="F153">
        <v>2</v>
      </c>
      <c r="G153">
        <v>22</v>
      </c>
      <c r="H153">
        <v>11</v>
      </c>
      <c r="I153">
        <v>0.4</v>
      </c>
      <c r="J153">
        <v>0.5</v>
      </c>
      <c r="K153">
        <v>0</v>
      </c>
      <c r="L153">
        <v>0</v>
      </c>
      <c r="M153">
        <v>0</v>
      </c>
      <c r="N153">
        <v>1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1</v>
      </c>
      <c r="Z153">
        <v>0</v>
      </c>
      <c r="AA153" s="86">
        <f>AVERAGEIFS($C$2:C153, $B$2:B153, B153)</f>
        <v>12.571428571428571</v>
      </c>
      <c r="AB153" s="86">
        <f>AVERAGEIFS($I$2:I153, $B$2:B153, B153)</f>
        <v>0.43571428571428567</v>
      </c>
      <c r="AC153" s="86">
        <f>AVERAGEIFS($J$2:J153, $B$2:B153, B153)</f>
        <v>0.45428571428571429</v>
      </c>
      <c r="AD153" s="86">
        <f>AVERAGEIFS($D$2:D153, $B$2:B153, B153)</f>
        <v>0.2857142857142857</v>
      </c>
    </row>
    <row r="154" spans="1:30" x14ac:dyDescent="0.25">
      <c r="A154" s="85">
        <v>46044</v>
      </c>
      <c r="B154" t="s">
        <v>26</v>
      </c>
      <c r="C154">
        <v>19</v>
      </c>
      <c r="D154" s="86">
        <v>0</v>
      </c>
      <c r="E154">
        <v>5</v>
      </c>
      <c r="F154">
        <v>2</v>
      </c>
      <c r="G154">
        <v>22</v>
      </c>
      <c r="H154">
        <v>11</v>
      </c>
      <c r="I154">
        <v>0.4</v>
      </c>
      <c r="J154">
        <v>0.5</v>
      </c>
      <c r="K154">
        <v>0</v>
      </c>
      <c r="L154">
        <v>0</v>
      </c>
      <c r="M154">
        <v>0</v>
      </c>
      <c r="N154">
        <v>1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1</v>
      </c>
      <c r="Z154">
        <v>0</v>
      </c>
      <c r="AA154" s="86">
        <f>AVERAGEIFS($C$2:C154, $B$2:B154, B154)</f>
        <v>12.857142857142858</v>
      </c>
      <c r="AB154" s="86">
        <f>AVERAGEIFS($I$2:I154, $B$2:B154, B154)</f>
        <v>0.6071428571428571</v>
      </c>
      <c r="AC154" s="86">
        <f>AVERAGEIFS($J$2:J154, $B$2:B154, B154)</f>
        <v>0.56142857142857139</v>
      </c>
      <c r="AD154" s="86">
        <f>AVERAGEIFS($D$2:D154, $B$2:B154, B154)</f>
        <v>0.7142857142857143</v>
      </c>
    </row>
    <row r="155" spans="1:30" x14ac:dyDescent="0.25">
      <c r="A155" s="85">
        <v>46047</v>
      </c>
      <c r="B155" t="s">
        <v>15</v>
      </c>
      <c r="C155">
        <v>24</v>
      </c>
      <c r="D155" s="86">
        <v>1</v>
      </c>
      <c r="E155">
        <v>3</v>
      </c>
      <c r="F155">
        <v>3</v>
      </c>
      <c r="G155">
        <v>13</v>
      </c>
      <c r="H155">
        <v>9</v>
      </c>
      <c r="I155">
        <v>1</v>
      </c>
      <c r="J155">
        <v>0.69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1</v>
      </c>
      <c r="X155">
        <v>1</v>
      </c>
      <c r="Y155">
        <v>0</v>
      </c>
      <c r="Z155">
        <v>1</v>
      </c>
      <c r="AA155" s="86">
        <f>AVERAGEIFS($C$2:C155, $B$2:B155, B155)</f>
        <v>24.6</v>
      </c>
      <c r="AB155" s="86">
        <f>AVERAGEIFS($I$2:I155, $B$2:B155, B155)</f>
        <v>0.45499999999999996</v>
      </c>
      <c r="AC155" s="86">
        <f>AVERAGEIFS($J$2:J155, $B$2:B155, B155)</f>
        <v>0.46199999999999991</v>
      </c>
      <c r="AD155" s="86">
        <f>AVERAGEIFS($D$2:D155, $B$2:B155, B155)</f>
        <v>0.3</v>
      </c>
    </row>
    <row r="156" spans="1:30" x14ac:dyDescent="0.25">
      <c r="A156" s="85">
        <v>46047</v>
      </c>
      <c r="B156" t="s">
        <v>17</v>
      </c>
      <c r="C156">
        <v>22</v>
      </c>
      <c r="D156" s="86">
        <v>1</v>
      </c>
      <c r="E156">
        <v>3</v>
      </c>
      <c r="F156">
        <v>3</v>
      </c>
      <c r="G156">
        <v>13</v>
      </c>
      <c r="H156">
        <v>9</v>
      </c>
      <c r="I156">
        <v>1</v>
      </c>
      <c r="J156">
        <v>0.69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1</v>
      </c>
      <c r="X156">
        <v>1</v>
      </c>
      <c r="Y156">
        <v>0</v>
      </c>
      <c r="Z156">
        <v>1</v>
      </c>
      <c r="AA156" s="86">
        <f>AVERAGEIFS($C$2:C156, $B$2:B156, B156)</f>
        <v>27.09090909090909</v>
      </c>
      <c r="AB156" s="86">
        <f>AVERAGEIFS($I$2:I156, $B$2:B156, B156)</f>
        <v>0.58636363636363642</v>
      </c>
      <c r="AC156" s="86">
        <f>AVERAGEIFS($J$2:J156, $B$2:B156, B156)</f>
        <v>0.55636363636363628</v>
      </c>
      <c r="AD156" s="86">
        <f>AVERAGEIFS($D$2:D156, $B$2:B156, B156)</f>
        <v>0.54545454545454541</v>
      </c>
    </row>
    <row r="157" spans="1:30" x14ac:dyDescent="0.25">
      <c r="A157" s="85">
        <v>46047</v>
      </c>
      <c r="B157" t="s">
        <v>6</v>
      </c>
      <c r="C157">
        <v>17</v>
      </c>
      <c r="D157" s="86">
        <v>1</v>
      </c>
      <c r="E157">
        <v>3</v>
      </c>
      <c r="F157">
        <v>3</v>
      </c>
      <c r="G157">
        <v>13</v>
      </c>
      <c r="H157">
        <v>9</v>
      </c>
      <c r="I157">
        <v>1</v>
      </c>
      <c r="J157">
        <v>0.69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1</v>
      </c>
      <c r="Y157">
        <v>0</v>
      </c>
      <c r="Z157">
        <v>1</v>
      </c>
      <c r="AA157" s="86">
        <f>AVERAGEIFS($C$2:C157, $B$2:B157, B157)</f>
        <v>20.2</v>
      </c>
      <c r="AB157" s="86">
        <f>AVERAGEIFS($I$2:I157, $B$2:B157, B157)</f>
        <v>0.64</v>
      </c>
      <c r="AC157" s="86">
        <f>AVERAGEIFS($J$2:J157, $B$2:B157, B157)</f>
        <v>0.57199999999999995</v>
      </c>
      <c r="AD157" s="86">
        <f>AVERAGEIFS($D$2:D157, $B$2:B157, B157)</f>
        <v>0.8</v>
      </c>
    </row>
    <row r="158" spans="1:30" x14ac:dyDescent="0.25">
      <c r="A158" s="85">
        <v>46047</v>
      </c>
      <c r="B158" t="s">
        <v>19</v>
      </c>
      <c r="C158">
        <v>11</v>
      </c>
      <c r="D158" s="86">
        <v>1</v>
      </c>
      <c r="E158">
        <v>3</v>
      </c>
      <c r="F158">
        <v>3</v>
      </c>
      <c r="G158">
        <v>13</v>
      </c>
      <c r="H158">
        <v>9</v>
      </c>
      <c r="I158">
        <v>1</v>
      </c>
      <c r="J158">
        <v>0.69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1</v>
      </c>
      <c r="X158">
        <v>1</v>
      </c>
      <c r="Y158">
        <v>0</v>
      </c>
      <c r="Z158">
        <v>1</v>
      </c>
      <c r="AA158" s="86">
        <f>AVERAGEIFS($C$2:C158, $B$2:B158, B158)</f>
        <v>11</v>
      </c>
      <c r="AB158" s="86">
        <f>AVERAGEIFS($I$2:I158, $B$2:B158, B158)</f>
        <v>0.53333333333333333</v>
      </c>
      <c r="AC158" s="86">
        <f>AVERAGEIFS($J$2:J158, $B$2:B158, B158)</f>
        <v>0.51000000000000012</v>
      </c>
      <c r="AD158" s="86">
        <f>AVERAGEIFS($D$2:D158, $B$2:B158, B158)</f>
        <v>0.5</v>
      </c>
    </row>
    <row r="159" spans="1:30" x14ac:dyDescent="0.25">
      <c r="A159" s="85">
        <v>46047</v>
      </c>
      <c r="B159" t="s">
        <v>51</v>
      </c>
      <c r="C159">
        <v>8</v>
      </c>
      <c r="D159" s="86">
        <v>1</v>
      </c>
      <c r="E159">
        <v>3</v>
      </c>
      <c r="F159">
        <v>3</v>
      </c>
      <c r="G159">
        <v>13</v>
      </c>
      <c r="H159">
        <v>9</v>
      </c>
      <c r="I159">
        <v>1</v>
      </c>
      <c r="J159">
        <v>0.69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1</v>
      </c>
      <c r="X159">
        <v>1</v>
      </c>
      <c r="Y159">
        <v>0</v>
      </c>
      <c r="Z159">
        <v>1</v>
      </c>
      <c r="AA159" s="86">
        <f>AVERAGEIFS($C$2:C159, $B$2:B159, B159)</f>
        <v>12.8</v>
      </c>
      <c r="AB159" s="86">
        <f>AVERAGEIFS($I$2:I159, $B$2:B159, B159)</f>
        <v>0.56000000000000005</v>
      </c>
      <c r="AC159" s="86">
        <f>AVERAGEIFS($J$2:J159, $B$2:B159, B159)</f>
        <v>0.53200000000000003</v>
      </c>
      <c r="AD159" s="86">
        <f>AVERAGEIFS($D$2:D159, $B$2:B159, B159)</f>
        <v>0.6</v>
      </c>
    </row>
    <row r="160" spans="1:30" x14ac:dyDescent="0.25">
      <c r="A160" s="85">
        <v>46047</v>
      </c>
      <c r="B160" t="s">
        <v>137</v>
      </c>
      <c r="C160">
        <v>7</v>
      </c>
      <c r="D160" s="86">
        <v>1</v>
      </c>
      <c r="E160">
        <v>3</v>
      </c>
      <c r="F160">
        <v>3</v>
      </c>
      <c r="G160">
        <v>13</v>
      </c>
      <c r="H160">
        <v>9</v>
      </c>
      <c r="I160">
        <v>1</v>
      </c>
      <c r="J160">
        <v>0.69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1</v>
      </c>
      <c r="X160">
        <v>1</v>
      </c>
      <c r="Y160">
        <v>0</v>
      </c>
      <c r="Z160">
        <v>1</v>
      </c>
      <c r="AA160" s="86">
        <f>AVERAGEIFS($C$2:C160, $B$2:B160, B160)</f>
        <v>5</v>
      </c>
      <c r="AB160" s="86">
        <f>AVERAGEIFS($I$2:I160, $B$2:B160, B160)</f>
        <v>0.875</v>
      </c>
      <c r="AC160" s="86">
        <f>AVERAGEIFS($J$2:J160, $B$2:B160, B160)</f>
        <v>0.6399999999999999</v>
      </c>
      <c r="AD160" s="86">
        <f>AVERAGEIFS($D$2:D160, $B$2:B160, B160)</f>
        <v>1</v>
      </c>
    </row>
    <row r="161" spans="1:30" x14ac:dyDescent="0.25">
      <c r="A161" s="85">
        <v>46047</v>
      </c>
      <c r="B161" t="s">
        <v>13</v>
      </c>
      <c r="C161">
        <v>26</v>
      </c>
      <c r="D161" s="86">
        <v>0</v>
      </c>
      <c r="E161">
        <v>3</v>
      </c>
      <c r="F161">
        <v>0</v>
      </c>
      <c r="G161">
        <v>13</v>
      </c>
      <c r="H161">
        <v>4</v>
      </c>
      <c r="I161">
        <v>0</v>
      </c>
      <c r="J161">
        <v>0.31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 s="86">
        <f>AVERAGEIFS($C$2:C161, $B$2:B161, B161)</f>
        <v>30</v>
      </c>
      <c r="AB161" s="86">
        <f>AVERAGEIFS($I$2:I161, $B$2:B161, B161)</f>
        <v>0.53749999999999998</v>
      </c>
      <c r="AC161" s="86">
        <f>AVERAGEIFS($J$2:J161, $B$2:B161, B161)</f>
        <v>0.52583333333333326</v>
      </c>
      <c r="AD161" s="86">
        <f>AVERAGEIFS($D$2:D161, $B$2:B161, B161)</f>
        <v>0.66666666666666663</v>
      </c>
    </row>
    <row r="162" spans="1:30" x14ac:dyDescent="0.25">
      <c r="A162" s="85">
        <v>46047</v>
      </c>
      <c r="B162" t="s">
        <v>46</v>
      </c>
      <c r="C162">
        <v>17</v>
      </c>
      <c r="D162" s="86">
        <v>0</v>
      </c>
      <c r="E162">
        <v>3</v>
      </c>
      <c r="F162">
        <v>0</v>
      </c>
      <c r="G162">
        <v>13</v>
      </c>
      <c r="H162">
        <v>4</v>
      </c>
      <c r="I162">
        <v>0</v>
      </c>
      <c r="J162">
        <v>0.31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 s="86">
        <f>AVERAGEIFS($C$2:C162, $B$2:B162, B162)</f>
        <v>20.75</v>
      </c>
      <c r="AB162" s="86">
        <f>AVERAGEIFS($I$2:I162, $B$2:B162, B162)</f>
        <v>0.3125</v>
      </c>
      <c r="AC162" s="86">
        <f>AVERAGEIFS($J$2:J162, $B$2:B162, B162)</f>
        <v>0.40500000000000003</v>
      </c>
      <c r="AD162" s="86">
        <f>AVERAGEIFS($D$2:D162, $B$2:B162, B162)</f>
        <v>0.25</v>
      </c>
    </row>
    <row r="163" spans="1:30" x14ac:dyDescent="0.25">
      <c r="A163" s="85">
        <v>46047</v>
      </c>
      <c r="B163" t="s">
        <v>45</v>
      </c>
      <c r="C163">
        <v>10</v>
      </c>
      <c r="D163" s="86">
        <v>0</v>
      </c>
      <c r="E163">
        <v>3</v>
      </c>
      <c r="F163">
        <v>0</v>
      </c>
      <c r="G163">
        <v>13</v>
      </c>
      <c r="H163">
        <v>4</v>
      </c>
      <c r="I163">
        <v>0</v>
      </c>
      <c r="J163">
        <v>0.31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 s="86">
        <f>AVERAGEIFS($C$2:C163, $B$2:B163, B163)</f>
        <v>9.6</v>
      </c>
      <c r="AB163" s="86">
        <f>AVERAGEIFS($I$2:I163, $B$2:B163, B163)</f>
        <v>0.22999999999999998</v>
      </c>
      <c r="AC163" s="86">
        <f>AVERAGEIFS($J$2:J163, $B$2:B163, B163)</f>
        <v>0.372</v>
      </c>
      <c r="AD163" s="86">
        <f>AVERAGEIFS($D$2:D163, $B$2:B163, B163)</f>
        <v>0</v>
      </c>
    </row>
    <row r="164" spans="1:30" x14ac:dyDescent="0.25">
      <c r="A164" s="85">
        <v>46047</v>
      </c>
      <c r="B164" t="s">
        <v>53</v>
      </c>
      <c r="C164">
        <v>7</v>
      </c>
      <c r="D164" s="86">
        <v>0</v>
      </c>
      <c r="E164">
        <v>3</v>
      </c>
      <c r="F164">
        <v>0</v>
      </c>
      <c r="G164">
        <v>13</v>
      </c>
      <c r="H164">
        <v>4</v>
      </c>
      <c r="I164">
        <v>0</v>
      </c>
      <c r="J164">
        <v>0.31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 s="86">
        <f>AVERAGEIFS($C$2:C164, $B$2:B164, B164)</f>
        <v>14.333333333333334</v>
      </c>
      <c r="AB164" s="86">
        <f>AVERAGEIFS($I$2:I164, $B$2:B164, B164)</f>
        <v>0.39999999999999997</v>
      </c>
      <c r="AC164" s="86">
        <f>AVERAGEIFS($J$2:J164, $B$2:B164, B164)</f>
        <v>0.48666666666666664</v>
      </c>
      <c r="AD164" s="86">
        <f>AVERAGEIFS($D$2:D164, $B$2:B164, B164)</f>
        <v>0.66666666666666663</v>
      </c>
    </row>
    <row r="165" spans="1:30" x14ac:dyDescent="0.25">
      <c r="A165" s="85">
        <v>46047</v>
      </c>
      <c r="B165" t="s">
        <v>35</v>
      </c>
      <c r="C165">
        <v>5</v>
      </c>
      <c r="D165" s="86">
        <v>0</v>
      </c>
      <c r="E165">
        <v>3</v>
      </c>
      <c r="F165">
        <v>0</v>
      </c>
      <c r="G165">
        <v>13</v>
      </c>
      <c r="H165">
        <v>4</v>
      </c>
      <c r="I165">
        <v>0</v>
      </c>
      <c r="J165">
        <v>0.31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 s="86">
        <f>AVERAGEIFS($C$2:C165, $B$2:B165, B165)</f>
        <v>9</v>
      </c>
      <c r="AB165" s="86">
        <f>AVERAGEIFS($I$2:I165, $B$2:B165, B165)</f>
        <v>0.37</v>
      </c>
      <c r="AC165" s="86">
        <f>AVERAGEIFS($J$2:J165, $B$2:B165, B165)</f>
        <v>0.46800000000000008</v>
      </c>
      <c r="AD165" s="86">
        <f>AVERAGEIFS($D$2:D165, $B$2:B165, B165)</f>
        <v>0.4</v>
      </c>
    </row>
    <row r="166" spans="1:30" x14ac:dyDescent="0.25">
      <c r="A166" s="85">
        <v>46047</v>
      </c>
      <c r="B166" t="s">
        <v>52</v>
      </c>
      <c r="C166">
        <v>5</v>
      </c>
      <c r="D166" s="86">
        <v>0</v>
      </c>
      <c r="E166">
        <v>3</v>
      </c>
      <c r="F166">
        <v>0</v>
      </c>
      <c r="G166">
        <v>13</v>
      </c>
      <c r="H166">
        <v>4</v>
      </c>
      <c r="I166">
        <v>0</v>
      </c>
      <c r="J166">
        <v>0.31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86">
        <f>AVERAGEIFS($C$2:C166, $B$2:B166, B166)</f>
        <v>5</v>
      </c>
      <c r="AB166" s="86">
        <f>AVERAGEIFS($I$2:I166, $B$2:B166, B166)</f>
        <v>0</v>
      </c>
      <c r="AC166" s="86">
        <f>AVERAGEIFS($J$2:J166, $B$2:B166, B166)</f>
        <v>0.31</v>
      </c>
      <c r="AD166" s="86">
        <f>AVERAGEIFS($D$2:D166, $B$2:B166, B166)</f>
        <v>0</v>
      </c>
    </row>
    <row r="167" spans="1:30" x14ac:dyDescent="0.25">
      <c r="A167" s="85">
        <v>46047</v>
      </c>
      <c r="B167" t="s">
        <v>14</v>
      </c>
      <c r="C167">
        <v>47</v>
      </c>
      <c r="D167" s="86">
        <v>1</v>
      </c>
      <c r="E167">
        <v>4</v>
      </c>
      <c r="F167">
        <v>3</v>
      </c>
      <c r="G167">
        <v>19</v>
      </c>
      <c r="H167">
        <v>11</v>
      </c>
      <c r="I167">
        <v>0.75</v>
      </c>
      <c r="J167">
        <v>0.57999999999999996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1</v>
      </c>
      <c r="Y167">
        <v>0</v>
      </c>
      <c r="Z167">
        <v>1</v>
      </c>
      <c r="AA167" s="86">
        <f>AVERAGEIFS($C$2:C167, $B$2:B167, B167)</f>
        <v>25.1</v>
      </c>
      <c r="AB167" s="86">
        <f>AVERAGEIFS($I$2:I167, $B$2:B167, B167)</f>
        <v>0.52</v>
      </c>
      <c r="AC167" s="86">
        <f>AVERAGEIFS($J$2:J167, $B$2:B167, B167)</f>
        <v>0.49299999999999999</v>
      </c>
      <c r="AD167" s="86">
        <f>AVERAGEIFS($D$2:D167, $B$2:B167, B167)</f>
        <v>0.6</v>
      </c>
    </row>
    <row r="168" spans="1:30" x14ac:dyDescent="0.25">
      <c r="A168" s="85">
        <v>46047</v>
      </c>
      <c r="B168" t="s">
        <v>1</v>
      </c>
      <c r="C168">
        <v>22</v>
      </c>
      <c r="D168" s="86">
        <v>1</v>
      </c>
      <c r="E168">
        <v>4</v>
      </c>
      <c r="F168">
        <v>3</v>
      </c>
      <c r="G168">
        <v>19</v>
      </c>
      <c r="H168">
        <v>11</v>
      </c>
      <c r="I168">
        <v>0.75</v>
      </c>
      <c r="J168">
        <v>0.57999999999999996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1</v>
      </c>
      <c r="Y168">
        <v>0</v>
      </c>
      <c r="Z168">
        <v>1</v>
      </c>
      <c r="AA168" s="86">
        <f>AVERAGEIFS($C$2:C168, $B$2:B168, B168)</f>
        <v>25.5</v>
      </c>
      <c r="AB168" s="86">
        <f>AVERAGEIFS($I$2:I168, $B$2:B168, B168)</f>
        <v>0.5</v>
      </c>
      <c r="AC168" s="86">
        <f>AVERAGEIFS($J$2:J168, $B$2:B168, B168)</f>
        <v>0.47250000000000003</v>
      </c>
      <c r="AD168" s="86">
        <f>AVERAGEIFS($D$2:D168, $B$2:B168, B168)</f>
        <v>0.5</v>
      </c>
    </row>
    <row r="169" spans="1:30" x14ac:dyDescent="0.25">
      <c r="A169" s="85">
        <v>46047</v>
      </c>
      <c r="B169" t="s">
        <v>5</v>
      </c>
      <c r="C169">
        <v>21</v>
      </c>
      <c r="D169" s="86">
        <v>1</v>
      </c>
      <c r="E169">
        <v>4</v>
      </c>
      <c r="F169">
        <v>3</v>
      </c>
      <c r="G169">
        <v>19</v>
      </c>
      <c r="H169">
        <v>11</v>
      </c>
      <c r="I169">
        <v>0.75</v>
      </c>
      <c r="J169">
        <v>0.57999999999999996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1</v>
      </c>
      <c r="Y169">
        <v>0</v>
      </c>
      <c r="Z169">
        <v>1</v>
      </c>
      <c r="AA169" s="86">
        <f>AVERAGEIFS($C$2:C169, $B$2:B169, B169)</f>
        <v>25.666666666666668</v>
      </c>
      <c r="AB169" s="86">
        <f>AVERAGEIFS($I$2:I169, $B$2:B169, B169)</f>
        <v>0.41666666666666669</v>
      </c>
      <c r="AC169" s="86">
        <f>AVERAGEIFS($J$2:J169, $B$2:B169, B169)</f>
        <v>0.46666666666666662</v>
      </c>
      <c r="AD169" s="86">
        <f>AVERAGEIFS($D$2:D169, $B$2:B169, B169)</f>
        <v>0.33333333333333331</v>
      </c>
    </row>
    <row r="170" spans="1:30" x14ac:dyDescent="0.25">
      <c r="A170" s="85">
        <v>46047</v>
      </c>
      <c r="B170" t="s">
        <v>28</v>
      </c>
      <c r="C170">
        <v>18</v>
      </c>
      <c r="D170" s="86">
        <v>1</v>
      </c>
      <c r="E170">
        <v>4</v>
      </c>
      <c r="F170">
        <v>3</v>
      </c>
      <c r="G170">
        <v>19</v>
      </c>
      <c r="H170">
        <v>11</v>
      </c>
      <c r="I170">
        <v>0.75</v>
      </c>
      <c r="J170">
        <v>0.57999999999999996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1</v>
      </c>
      <c r="Y170">
        <v>0</v>
      </c>
      <c r="Z170">
        <v>1</v>
      </c>
      <c r="AA170" s="86">
        <f>AVERAGEIFS($C$2:C170, $B$2:B170, B170)</f>
        <v>14.125</v>
      </c>
      <c r="AB170" s="86">
        <f>AVERAGEIFS($I$2:I170, $B$2:B170, B170)</f>
        <v>0.51875000000000004</v>
      </c>
      <c r="AC170" s="86">
        <f>AVERAGEIFS($J$2:J170, $B$2:B170, B170)</f>
        <v>0.51624999999999999</v>
      </c>
      <c r="AD170" s="86">
        <f>AVERAGEIFS($D$2:D170, $B$2:B170, B170)</f>
        <v>0.5</v>
      </c>
    </row>
    <row r="171" spans="1:30" x14ac:dyDescent="0.25">
      <c r="A171" s="85">
        <v>46047</v>
      </c>
      <c r="B171" t="s">
        <v>29</v>
      </c>
      <c r="C171">
        <v>13</v>
      </c>
      <c r="D171" s="86">
        <v>1</v>
      </c>
      <c r="E171">
        <v>4</v>
      </c>
      <c r="F171">
        <v>3</v>
      </c>
      <c r="G171">
        <v>19</v>
      </c>
      <c r="H171">
        <v>11</v>
      </c>
      <c r="I171">
        <v>0.75</v>
      </c>
      <c r="J171">
        <v>0.57999999999999996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1</v>
      </c>
      <c r="Y171">
        <v>0</v>
      </c>
      <c r="Z171">
        <v>1</v>
      </c>
      <c r="AA171" s="86">
        <f>AVERAGEIFS($C$2:C171, $B$2:B171, B171)</f>
        <v>10.125</v>
      </c>
      <c r="AB171" s="86">
        <f>AVERAGEIFS($I$2:I171, $B$2:B171, B171)</f>
        <v>0.53749999999999998</v>
      </c>
      <c r="AC171" s="86">
        <f>AVERAGEIFS($J$2:J171, $B$2:B171, B171)</f>
        <v>0.5099999999999999</v>
      </c>
      <c r="AD171" s="86">
        <f>AVERAGEIFS($D$2:D171, $B$2:B171, B171)</f>
        <v>0.5</v>
      </c>
    </row>
    <row r="172" spans="1:30" x14ac:dyDescent="0.25">
      <c r="A172" s="85">
        <v>46047</v>
      </c>
      <c r="B172" t="s">
        <v>27</v>
      </c>
      <c r="C172">
        <v>12</v>
      </c>
      <c r="D172" s="86">
        <v>1</v>
      </c>
      <c r="E172">
        <v>4</v>
      </c>
      <c r="F172">
        <v>3</v>
      </c>
      <c r="G172">
        <v>19</v>
      </c>
      <c r="H172">
        <v>11</v>
      </c>
      <c r="I172">
        <v>0.75</v>
      </c>
      <c r="J172">
        <v>0.57999999999999996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1</v>
      </c>
      <c r="Y172">
        <v>0</v>
      </c>
      <c r="Z172">
        <v>1</v>
      </c>
      <c r="AA172" s="86">
        <f>AVERAGEIFS($C$2:C172, $B$2:B172, B172)</f>
        <v>13.5</v>
      </c>
      <c r="AB172" s="86">
        <f>AVERAGEIFS($I$2:I172, $B$2:B172, B172)</f>
        <v>0.5</v>
      </c>
      <c r="AC172" s="86">
        <f>AVERAGEIFS($J$2:J172, $B$2:B172, B172)</f>
        <v>0.49333333333333335</v>
      </c>
      <c r="AD172" s="86">
        <f>AVERAGEIFS($D$2:D172, $B$2:B172, B172)</f>
        <v>0.5</v>
      </c>
    </row>
    <row r="173" spans="1:30" x14ac:dyDescent="0.25">
      <c r="A173" s="85">
        <v>46047</v>
      </c>
      <c r="B173" t="s">
        <v>18</v>
      </c>
      <c r="C173">
        <v>41</v>
      </c>
      <c r="D173" s="86">
        <v>0</v>
      </c>
      <c r="E173">
        <v>4</v>
      </c>
      <c r="F173">
        <v>1</v>
      </c>
      <c r="G173">
        <v>19</v>
      </c>
      <c r="H173">
        <v>8</v>
      </c>
      <c r="I173">
        <v>0.25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 s="86">
        <f>AVERAGEIFS($C$2:C173, $B$2:B173, B173)</f>
        <v>26.5</v>
      </c>
      <c r="AB173" s="86">
        <f>AVERAGEIFS($I$2:I173, $B$2:B173, B173)</f>
        <v>0.5</v>
      </c>
      <c r="AC173" s="86">
        <f>AVERAGEIFS($J$2:J173, $B$2:B173, B173)</f>
        <v>0.47499999999999992</v>
      </c>
      <c r="AD173" s="86">
        <f>AVERAGEIFS($D$2:D173, $B$2:B173, B173)</f>
        <v>0.5</v>
      </c>
    </row>
    <row r="174" spans="1:30" x14ac:dyDescent="0.25">
      <c r="A174" s="85">
        <v>46047</v>
      </c>
      <c r="B174" t="s">
        <v>2</v>
      </c>
      <c r="C174">
        <v>26</v>
      </c>
      <c r="D174" s="86">
        <v>0</v>
      </c>
      <c r="E174">
        <v>4</v>
      </c>
      <c r="F174">
        <v>1</v>
      </c>
      <c r="G174">
        <v>19</v>
      </c>
      <c r="H174">
        <v>8</v>
      </c>
      <c r="I174">
        <v>0.25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 s="86">
        <f>AVERAGEIFS($C$2:C174, $B$2:B174, B174)</f>
        <v>24.875</v>
      </c>
      <c r="AB174" s="86">
        <f>AVERAGEIFS($I$2:I174, $B$2:B174, B174)</f>
        <v>0.47499999999999998</v>
      </c>
      <c r="AC174" s="86">
        <f>AVERAGEIFS($J$2:J174, $B$2:B174, B174)</f>
        <v>0.50250000000000006</v>
      </c>
      <c r="AD174" s="86">
        <f>AVERAGEIFS($D$2:D174, $B$2:B174, B174)</f>
        <v>0.375</v>
      </c>
    </row>
    <row r="175" spans="1:30" x14ac:dyDescent="0.25">
      <c r="A175" s="85">
        <v>46047</v>
      </c>
      <c r="B175" t="s">
        <v>37</v>
      </c>
      <c r="C175">
        <v>25</v>
      </c>
      <c r="D175" s="86">
        <v>0</v>
      </c>
      <c r="E175">
        <v>4</v>
      </c>
      <c r="F175">
        <v>1</v>
      </c>
      <c r="G175">
        <v>19</v>
      </c>
      <c r="H175">
        <v>8</v>
      </c>
      <c r="I175">
        <v>0.25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 s="86">
        <f>AVERAGEIFS($C$2:C175, $B$2:B175, B175)</f>
        <v>19.666666666666668</v>
      </c>
      <c r="AB175" s="86">
        <f>AVERAGEIFS($I$2:I175, $B$2:B175, B175)</f>
        <v>0.44166666666666665</v>
      </c>
      <c r="AC175" s="86">
        <f>AVERAGEIFS($J$2:J175, $B$2:B175, B175)</f>
        <v>0.47499999999999992</v>
      </c>
      <c r="AD175" s="86">
        <f>AVERAGEIFS($D$2:D175, $B$2:B175, B175)</f>
        <v>0.33333333333333331</v>
      </c>
    </row>
    <row r="176" spans="1:30" x14ac:dyDescent="0.25">
      <c r="A176" s="85">
        <v>46047</v>
      </c>
      <c r="B176" t="s">
        <v>26</v>
      </c>
      <c r="C176">
        <v>16</v>
      </c>
      <c r="D176" s="86">
        <v>0</v>
      </c>
      <c r="E176">
        <v>4</v>
      </c>
      <c r="F176">
        <v>1</v>
      </c>
      <c r="G176">
        <v>19</v>
      </c>
      <c r="H176">
        <v>8</v>
      </c>
      <c r="I176">
        <v>0.25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 s="86">
        <f>AVERAGEIFS($C$2:C176, $B$2:B176, B176)</f>
        <v>13.25</v>
      </c>
      <c r="AB176" s="86">
        <f>AVERAGEIFS($I$2:I176, $B$2:B176, B176)</f>
        <v>0.5625</v>
      </c>
      <c r="AC176" s="86">
        <f>AVERAGEIFS($J$2:J176, $B$2:B176, B176)</f>
        <v>0.54374999999999996</v>
      </c>
      <c r="AD176" s="86">
        <f>AVERAGEIFS($D$2:D176, $B$2:B176, B176)</f>
        <v>0.625</v>
      </c>
    </row>
    <row r="177" spans="1:30" x14ac:dyDescent="0.25">
      <c r="A177" s="85">
        <v>46047</v>
      </c>
      <c r="B177" t="s">
        <v>20</v>
      </c>
      <c r="C177">
        <v>14</v>
      </c>
      <c r="D177" s="86">
        <v>0</v>
      </c>
      <c r="E177">
        <v>4</v>
      </c>
      <c r="F177">
        <v>1</v>
      </c>
      <c r="G177">
        <v>19</v>
      </c>
      <c r="H177">
        <v>8</v>
      </c>
      <c r="I177">
        <v>0.25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 s="86">
        <f>AVERAGEIFS($C$2:C177, $B$2:B177, B177)</f>
        <v>12.75</v>
      </c>
      <c r="AB177" s="86">
        <f>AVERAGEIFS($I$2:I177, $B$2:B177, B177)</f>
        <v>0.41249999999999998</v>
      </c>
      <c r="AC177" s="86">
        <f>AVERAGEIFS($J$2:J177, $B$2:B177, B177)</f>
        <v>0.45</v>
      </c>
      <c r="AD177" s="86">
        <f>AVERAGEIFS($D$2:D177, $B$2:B177, B177)</f>
        <v>0.25</v>
      </c>
    </row>
    <row r="178" spans="1:30" x14ac:dyDescent="0.25">
      <c r="A178" s="85">
        <v>46047</v>
      </c>
      <c r="B178" t="s">
        <v>50</v>
      </c>
      <c r="C178">
        <v>14</v>
      </c>
      <c r="D178" s="86">
        <v>0</v>
      </c>
      <c r="E178">
        <v>4</v>
      </c>
      <c r="F178">
        <v>1</v>
      </c>
      <c r="G178">
        <v>19</v>
      </c>
      <c r="H178">
        <v>8</v>
      </c>
      <c r="I178">
        <v>0.25</v>
      </c>
      <c r="J178">
        <v>0.42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1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86">
        <f>AVERAGEIFS($C$2:C178, $B$2:B178, B178)</f>
        <v>13</v>
      </c>
      <c r="AB178" s="86">
        <f>AVERAGEIFS($I$2:I178, $B$2:B178, B178)</f>
        <v>0.25</v>
      </c>
      <c r="AC178" s="86">
        <f>AVERAGEIFS($J$2:J178, $B$2:B178, B178)</f>
        <v>0.36499999999999999</v>
      </c>
      <c r="AD178" s="86">
        <f>AVERAGEIFS($D$2:D178, $B$2:B178, B178)</f>
        <v>0</v>
      </c>
    </row>
    <row r="179" spans="1:30" x14ac:dyDescent="0.25">
      <c r="A179" s="85">
        <v>46055</v>
      </c>
      <c r="B179" t="s">
        <v>14</v>
      </c>
      <c r="C179">
        <v>56</v>
      </c>
      <c r="D179" s="86">
        <v>1</v>
      </c>
      <c r="E179">
        <v>5</v>
      </c>
      <c r="F179">
        <v>3</v>
      </c>
      <c r="G179">
        <v>24</v>
      </c>
      <c r="H179">
        <v>13</v>
      </c>
      <c r="I179">
        <v>0.6</v>
      </c>
      <c r="J179">
        <v>0.54</v>
      </c>
      <c r="K179">
        <v>0</v>
      </c>
      <c r="L179">
        <v>0</v>
      </c>
      <c r="M179">
        <v>1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1</v>
      </c>
      <c r="Y179">
        <v>0</v>
      </c>
      <c r="Z179">
        <v>0</v>
      </c>
      <c r="AA179" s="86">
        <f>AVERAGEIFS($C$2:C179, $B$2:B179, B179)</f>
        <v>27.90909090909091</v>
      </c>
      <c r="AB179" s="86">
        <f>AVERAGEIFS($I$2:I179, $B$2:B179, B179)</f>
        <v>0.52727272727272723</v>
      </c>
      <c r="AC179" s="86">
        <f>AVERAGEIFS($J$2:J179, $B$2:B179, B179)</f>
        <v>0.49727272727272726</v>
      </c>
      <c r="AD179" s="86">
        <f>AVERAGEIFS($D$2:D179, $B$2:B179, B179)</f>
        <v>0.63636363636363635</v>
      </c>
    </row>
    <row r="180" spans="1:30" x14ac:dyDescent="0.25">
      <c r="A180" s="85">
        <v>46055</v>
      </c>
      <c r="B180" t="s">
        <v>1</v>
      </c>
      <c r="C180">
        <v>33</v>
      </c>
      <c r="D180" s="86">
        <v>1</v>
      </c>
      <c r="E180">
        <v>5</v>
      </c>
      <c r="F180">
        <v>3</v>
      </c>
      <c r="G180">
        <v>24</v>
      </c>
      <c r="H180">
        <v>13</v>
      </c>
      <c r="I180">
        <v>0.6</v>
      </c>
      <c r="J180">
        <v>0.54</v>
      </c>
      <c r="K180">
        <v>0</v>
      </c>
      <c r="L180">
        <v>0</v>
      </c>
      <c r="M180">
        <v>1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1</v>
      </c>
      <c r="Y180">
        <v>0</v>
      </c>
      <c r="Z180">
        <v>0</v>
      </c>
      <c r="AA180" s="86">
        <f>AVERAGEIFS($C$2:C180, $B$2:B180, B180)</f>
        <v>27</v>
      </c>
      <c r="AB180" s="86">
        <f>AVERAGEIFS($I$2:I180, $B$2:B180, B180)</f>
        <v>0.52</v>
      </c>
      <c r="AC180" s="86">
        <f>AVERAGEIFS($J$2:J180, $B$2:B180, B180)</f>
        <v>0.48600000000000004</v>
      </c>
      <c r="AD180" s="86">
        <f>AVERAGEIFS($D$2:D180, $B$2:B180, B180)</f>
        <v>0.6</v>
      </c>
    </row>
    <row r="181" spans="1:30" x14ac:dyDescent="0.25">
      <c r="A181" s="85">
        <v>46055</v>
      </c>
      <c r="B181" t="s">
        <v>5</v>
      </c>
      <c r="C181">
        <v>33</v>
      </c>
      <c r="D181" s="86">
        <v>1</v>
      </c>
      <c r="E181">
        <v>5</v>
      </c>
      <c r="F181">
        <v>3</v>
      </c>
      <c r="G181">
        <v>24</v>
      </c>
      <c r="H181">
        <v>13</v>
      </c>
      <c r="I181">
        <v>0.6</v>
      </c>
      <c r="J181">
        <v>0.54</v>
      </c>
      <c r="K181">
        <v>0</v>
      </c>
      <c r="L181">
        <v>0</v>
      </c>
      <c r="M181">
        <v>1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1</v>
      </c>
      <c r="Y181">
        <v>0</v>
      </c>
      <c r="Z181">
        <v>0</v>
      </c>
      <c r="AA181" s="86">
        <f>AVERAGEIFS($C$2:C181, $B$2:B181, B181)</f>
        <v>26.714285714285715</v>
      </c>
      <c r="AB181" s="86">
        <f>AVERAGEIFS($I$2:I181, $B$2:B181, B181)</f>
        <v>0.44285714285714289</v>
      </c>
      <c r="AC181" s="86">
        <f>AVERAGEIFS($J$2:J181, $B$2:B181, B181)</f>
        <v>0.47714285714285715</v>
      </c>
      <c r="AD181" s="86">
        <f>AVERAGEIFS($D$2:D181, $B$2:B181, B181)</f>
        <v>0.42857142857142855</v>
      </c>
    </row>
    <row r="182" spans="1:30" x14ac:dyDescent="0.25">
      <c r="A182" s="85">
        <v>46055</v>
      </c>
      <c r="B182" t="s">
        <v>27</v>
      </c>
      <c r="C182">
        <v>24</v>
      </c>
      <c r="D182" s="86">
        <v>1</v>
      </c>
      <c r="E182">
        <v>5</v>
      </c>
      <c r="F182">
        <v>3</v>
      </c>
      <c r="G182">
        <v>24</v>
      </c>
      <c r="H182">
        <v>13</v>
      </c>
      <c r="I182">
        <v>0.6</v>
      </c>
      <c r="J182">
        <v>0.54</v>
      </c>
      <c r="K182">
        <v>0</v>
      </c>
      <c r="L182">
        <v>0</v>
      </c>
      <c r="M182">
        <v>1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1</v>
      </c>
      <c r="Y182">
        <v>0</v>
      </c>
      <c r="Z182">
        <v>0</v>
      </c>
      <c r="AA182" s="86">
        <f>AVERAGEIFS($C$2:C182, $B$2:B182, B182)</f>
        <v>15</v>
      </c>
      <c r="AB182" s="86">
        <f>AVERAGEIFS($I$2:I182, $B$2:B182, B182)</f>
        <v>0.51428571428571435</v>
      </c>
      <c r="AC182" s="86">
        <f>AVERAGEIFS($J$2:J182, $B$2:B182, B182)</f>
        <v>0.5</v>
      </c>
      <c r="AD182" s="86">
        <f>AVERAGEIFS($D$2:D182, $B$2:B182, B182)</f>
        <v>0.5714285714285714</v>
      </c>
    </row>
    <row r="183" spans="1:30" x14ac:dyDescent="0.25">
      <c r="A183" s="85">
        <v>46055</v>
      </c>
      <c r="B183" t="s">
        <v>28</v>
      </c>
      <c r="C183">
        <v>23</v>
      </c>
      <c r="D183" s="86">
        <v>1</v>
      </c>
      <c r="E183">
        <v>5</v>
      </c>
      <c r="F183">
        <v>3</v>
      </c>
      <c r="G183">
        <v>24</v>
      </c>
      <c r="H183">
        <v>13</v>
      </c>
      <c r="I183">
        <v>0.6</v>
      </c>
      <c r="J183">
        <v>0.54</v>
      </c>
      <c r="K183">
        <v>0</v>
      </c>
      <c r="L183">
        <v>0</v>
      </c>
      <c r="M183">
        <v>1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 s="86">
        <f>AVERAGEIFS($C$2:C183, $B$2:B183, B183)</f>
        <v>15.111111111111111</v>
      </c>
      <c r="AB183" s="86">
        <f>AVERAGEIFS($I$2:I183, $B$2:B183, B183)</f>
        <v>0.52777777777777779</v>
      </c>
      <c r="AC183" s="86">
        <f>AVERAGEIFS($J$2:J183, $B$2:B183, B183)</f>
        <v>0.51888888888888884</v>
      </c>
      <c r="AD183" s="86">
        <f>AVERAGEIFS($D$2:D183, $B$2:B183, B183)</f>
        <v>0.55555555555555558</v>
      </c>
    </row>
    <row r="184" spans="1:30" x14ac:dyDescent="0.25">
      <c r="A184" s="85">
        <v>46055</v>
      </c>
      <c r="B184" t="s">
        <v>29</v>
      </c>
      <c r="C184">
        <v>21</v>
      </c>
      <c r="D184" s="86">
        <v>1</v>
      </c>
      <c r="E184">
        <v>5</v>
      </c>
      <c r="F184">
        <v>3</v>
      </c>
      <c r="G184">
        <v>24</v>
      </c>
      <c r="H184">
        <v>13</v>
      </c>
      <c r="I184">
        <v>0.6</v>
      </c>
      <c r="J184">
        <v>0.54</v>
      </c>
      <c r="K184">
        <v>0</v>
      </c>
      <c r="L184">
        <v>0</v>
      </c>
      <c r="M184">
        <v>1</v>
      </c>
      <c r="N184">
        <v>0</v>
      </c>
      <c r="O184">
        <v>1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1</v>
      </c>
      <c r="Y184">
        <v>0</v>
      </c>
      <c r="Z184">
        <v>0</v>
      </c>
      <c r="AA184" s="86">
        <f>AVERAGEIFS($C$2:C184, $B$2:B184, B184)</f>
        <v>11.333333333333334</v>
      </c>
      <c r="AB184" s="86">
        <f>AVERAGEIFS($I$2:I184, $B$2:B184, B184)</f>
        <v>0.5444444444444444</v>
      </c>
      <c r="AC184" s="86">
        <f>AVERAGEIFS($J$2:J184, $B$2:B184, B184)</f>
        <v>0.5133333333333332</v>
      </c>
      <c r="AD184" s="86">
        <f>AVERAGEIFS($D$2:D184, $B$2:B184, B184)</f>
        <v>0.55555555555555558</v>
      </c>
    </row>
    <row r="185" spans="1:30" x14ac:dyDescent="0.25">
      <c r="A185" s="85">
        <v>46055</v>
      </c>
      <c r="B185" t="s">
        <v>15</v>
      </c>
      <c r="C185">
        <v>55</v>
      </c>
      <c r="D185" s="86">
        <v>0</v>
      </c>
      <c r="E185">
        <v>5</v>
      </c>
      <c r="F185">
        <v>2</v>
      </c>
      <c r="G185">
        <v>24</v>
      </c>
      <c r="H185">
        <v>11</v>
      </c>
      <c r="I185">
        <v>0.4</v>
      </c>
      <c r="J185">
        <v>0.46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1</v>
      </c>
      <c r="X185">
        <v>0</v>
      </c>
      <c r="Y185">
        <v>0</v>
      </c>
      <c r="Z185">
        <v>0</v>
      </c>
      <c r="AA185" s="86">
        <f>AVERAGEIFS($C$2:C185, $B$2:B185, B185)</f>
        <v>27.363636363636363</v>
      </c>
      <c r="AB185" s="86">
        <f>AVERAGEIFS($I$2:I185, $B$2:B185, B185)</f>
        <v>0.45</v>
      </c>
      <c r="AC185" s="86">
        <f>AVERAGEIFS($J$2:J185, $B$2:B185, B185)</f>
        <v>0.46181818181818174</v>
      </c>
      <c r="AD185" s="86">
        <f>AVERAGEIFS($D$2:D185, $B$2:B185, B185)</f>
        <v>0.27272727272727271</v>
      </c>
    </row>
    <row r="186" spans="1:30" x14ac:dyDescent="0.25">
      <c r="A186" s="85">
        <v>46055</v>
      </c>
      <c r="B186" t="s">
        <v>17</v>
      </c>
      <c r="C186">
        <v>36</v>
      </c>
      <c r="D186" s="86">
        <v>0</v>
      </c>
      <c r="E186">
        <v>5</v>
      </c>
      <c r="F186">
        <v>2</v>
      </c>
      <c r="G186">
        <v>24</v>
      </c>
      <c r="H186">
        <v>11</v>
      </c>
      <c r="I186">
        <v>0.4</v>
      </c>
      <c r="J186">
        <v>0.46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1</v>
      </c>
      <c r="X186">
        <v>0</v>
      </c>
      <c r="Y186">
        <v>0</v>
      </c>
      <c r="Z186">
        <v>0</v>
      </c>
      <c r="AA186" s="86">
        <f>AVERAGEIFS($C$2:C186, $B$2:B186, B186)</f>
        <v>27.833333333333332</v>
      </c>
      <c r="AB186" s="86">
        <f>AVERAGEIFS($I$2:I186, $B$2:B186, B186)</f>
        <v>0.57083333333333341</v>
      </c>
      <c r="AC186" s="86">
        <f>AVERAGEIFS($J$2:J186, $B$2:B186, B186)</f>
        <v>0.54833333333333323</v>
      </c>
      <c r="AD186" s="86">
        <f>AVERAGEIFS($D$2:D186, $B$2:B186, B186)</f>
        <v>0.5</v>
      </c>
    </row>
    <row r="187" spans="1:30" x14ac:dyDescent="0.25">
      <c r="A187" s="85">
        <v>46055</v>
      </c>
      <c r="B187" t="s">
        <v>6</v>
      </c>
      <c r="C187">
        <v>33</v>
      </c>
      <c r="D187" s="86">
        <v>0</v>
      </c>
      <c r="E187">
        <v>5</v>
      </c>
      <c r="F187">
        <v>2</v>
      </c>
      <c r="G187">
        <v>24</v>
      </c>
      <c r="H187">
        <v>11</v>
      </c>
      <c r="I187">
        <v>0.4</v>
      </c>
      <c r="J187">
        <v>0.46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1</v>
      </c>
      <c r="X187">
        <v>0</v>
      </c>
      <c r="Y187">
        <v>0</v>
      </c>
      <c r="Z187">
        <v>0</v>
      </c>
      <c r="AA187" s="86">
        <f>AVERAGEIFS($C$2:C187, $B$2:B187, B187)</f>
        <v>22.333333333333332</v>
      </c>
      <c r="AB187" s="86">
        <f>AVERAGEIFS($I$2:I187, $B$2:B187, B187)</f>
        <v>0.6</v>
      </c>
      <c r="AC187" s="86">
        <f>AVERAGEIFS($J$2:J187, $B$2:B187, B187)</f>
        <v>0.55333333333333334</v>
      </c>
      <c r="AD187" s="86">
        <f>AVERAGEIFS($D$2:D187, $B$2:B187, B187)</f>
        <v>0.66666666666666663</v>
      </c>
    </row>
    <row r="188" spans="1:30" x14ac:dyDescent="0.25">
      <c r="A188" s="85">
        <v>46055</v>
      </c>
      <c r="B188" t="s">
        <v>20</v>
      </c>
      <c r="C188">
        <v>28</v>
      </c>
      <c r="D188" s="86">
        <v>0</v>
      </c>
      <c r="E188">
        <v>5</v>
      </c>
      <c r="F188">
        <v>2</v>
      </c>
      <c r="G188">
        <v>24</v>
      </c>
      <c r="H188">
        <v>11</v>
      </c>
      <c r="I188">
        <v>0.4</v>
      </c>
      <c r="J188">
        <v>0.46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1</v>
      </c>
      <c r="X188">
        <v>0</v>
      </c>
      <c r="Y188">
        <v>0</v>
      </c>
      <c r="Z188">
        <v>0</v>
      </c>
      <c r="AA188" s="86">
        <f>AVERAGEIFS($C$2:C188, $B$2:B188, B188)</f>
        <v>14.444444444444445</v>
      </c>
      <c r="AB188" s="86">
        <f>AVERAGEIFS($I$2:I188, $B$2:B188, B188)</f>
        <v>0.41111111111111109</v>
      </c>
      <c r="AC188" s="86">
        <f>AVERAGEIFS($J$2:J188, $B$2:B188, B188)</f>
        <v>0.45111111111111118</v>
      </c>
      <c r="AD188" s="86">
        <f>AVERAGEIFS($D$2:D188, $B$2:B188, B188)</f>
        <v>0.22222222222222221</v>
      </c>
    </row>
    <row r="189" spans="1:30" x14ac:dyDescent="0.25">
      <c r="A189" s="85">
        <v>46055</v>
      </c>
      <c r="B189" t="s">
        <v>19</v>
      </c>
      <c r="C189">
        <v>26</v>
      </c>
      <c r="D189" s="86">
        <v>0</v>
      </c>
      <c r="E189">
        <v>5</v>
      </c>
      <c r="F189">
        <v>2</v>
      </c>
      <c r="G189">
        <v>24</v>
      </c>
      <c r="H189">
        <v>11</v>
      </c>
      <c r="I189">
        <v>0.4</v>
      </c>
      <c r="J189">
        <v>0.46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1</v>
      </c>
      <c r="X189">
        <v>0</v>
      </c>
      <c r="Y189">
        <v>0</v>
      </c>
      <c r="Z189">
        <v>0</v>
      </c>
      <c r="AA189" s="86">
        <f>AVERAGEIFS($C$2:C189, $B$2:B189, B189)</f>
        <v>12.153846153846153</v>
      </c>
      <c r="AB189" s="86">
        <f>AVERAGEIFS($I$2:I189, $B$2:B189, B189)</f>
        <v>0.52307692307692311</v>
      </c>
      <c r="AC189" s="86">
        <f>AVERAGEIFS($J$2:J189, $B$2:B189, B189)</f>
        <v>0.50615384615384618</v>
      </c>
      <c r="AD189" s="86">
        <f>AVERAGEIFS($D$2:D189, $B$2:B189, B189)</f>
        <v>0.46153846153846156</v>
      </c>
    </row>
    <row r="190" spans="1:30" x14ac:dyDescent="0.25">
      <c r="A190" s="85">
        <v>46055</v>
      </c>
      <c r="B190" t="s">
        <v>137</v>
      </c>
      <c r="C190">
        <v>13</v>
      </c>
      <c r="D190" s="86">
        <v>0</v>
      </c>
      <c r="E190">
        <v>5</v>
      </c>
      <c r="F190">
        <v>2</v>
      </c>
      <c r="G190">
        <v>24</v>
      </c>
      <c r="H190">
        <v>11</v>
      </c>
      <c r="I190">
        <v>0.4</v>
      </c>
      <c r="J190">
        <v>0.46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1</v>
      </c>
      <c r="X190">
        <v>0</v>
      </c>
      <c r="Y190">
        <v>0</v>
      </c>
      <c r="Z190">
        <v>0</v>
      </c>
      <c r="AA190" s="86">
        <f>AVERAGEIFS($C$2:C190, $B$2:B190, B190)</f>
        <v>7.666666666666667</v>
      </c>
      <c r="AB190" s="86">
        <f>AVERAGEIFS($I$2:I190, $B$2:B190, B190)</f>
        <v>0.71666666666666667</v>
      </c>
      <c r="AC190" s="86">
        <f>AVERAGEIFS($J$2:J190, $B$2:B190, B190)</f>
        <v>0.57999999999999996</v>
      </c>
      <c r="AD190" s="86">
        <f>AVERAGEIFS($D$2:D190, $B$2:B190, B190)</f>
        <v>0.66666666666666663</v>
      </c>
    </row>
    <row r="191" spans="1:30" x14ac:dyDescent="0.25">
      <c r="A191" s="85">
        <v>46061</v>
      </c>
      <c r="B191" t="s">
        <v>17</v>
      </c>
      <c r="C191">
        <v>25</v>
      </c>
      <c r="D191" s="86">
        <v>1</v>
      </c>
      <c r="E191">
        <v>3</v>
      </c>
      <c r="F191">
        <v>3</v>
      </c>
      <c r="G191">
        <v>13</v>
      </c>
      <c r="H191">
        <v>9</v>
      </c>
      <c r="I191">
        <v>1</v>
      </c>
      <c r="J191">
        <v>0.69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1</v>
      </c>
      <c r="AA191" s="86">
        <f>AVERAGEIFS($C$2:C191, $B$2:B191, B191)</f>
        <v>27.615384615384617</v>
      </c>
      <c r="AB191" s="86">
        <f>AVERAGEIFS($I$2:I191, $B$2:B191, B191)</f>
        <v>0.60384615384615392</v>
      </c>
      <c r="AC191" s="86">
        <f>AVERAGEIFS($J$2:J191, $B$2:B191, B191)</f>
        <v>0.5592307692307692</v>
      </c>
      <c r="AD191" s="86">
        <f>AVERAGEIFS($D$2:D191, $B$2:B191, B191)</f>
        <v>0.53846153846153844</v>
      </c>
    </row>
    <row r="192" spans="1:30" x14ac:dyDescent="0.25">
      <c r="A192" s="85">
        <v>46061</v>
      </c>
      <c r="B192" t="s">
        <v>6</v>
      </c>
      <c r="C192">
        <v>22</v>
      </c>
      <c r="D192" s="86">
        <v>1</v>
      </c>
      <c r="E192">
        <v>3</v>
      </c>
      <c r="F192">
        <v>3</v>
      </c>
      <c r="G192">
        <v>13</v>
      </c>
      <c r="H192">
        <v>9</v>
      </c>
      <c r="I192">
        <v>1</v>
      </c>
      <c r="J192">
        <v>0.69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1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1</v>
      </c>
      <c r="AA192" s="86">
        <f>AVERAGEIFS($C$2:C192, $B$2:B192, B192)</f>
        <v>22.285714285714285</v>
      </c>
      <c r="AB192" s="86">
        <f>AVERAGEIFS($I$2:I192, $B$2:B192, B192)</f>
        <v>0.65714285714285714</v>
      </c>
      <c r="AC192" s="86">
        <f>AVERAGEIFS($J$2:J192, $B$2:B192, B192)</f>
        <v>0.57285714285714284</v>
      </c>
      <c r="AD192" s="86">
        <f>AVERAGEIFS($D$2:D192, $B$2:B192, B192)</f>
        <v>0.7142857142857143</v>
      </c>
    </row>
    <row r="193" spans="1:30" x14ac:dyDescent="0.25">
      <c r="A193" s="85">
        <v>46061</v>
      </c>
      <c r="B193" t="s">
        <v>37</v>
      </c>
      <c r="C193">
        <v>18</v>
      </c>
      <c r="D193" s="86">
        <v>1</v>
      </c>
      <c r="E193">
        <v>3</v>
      </c>
      <c r="F193">
        <v>3</v>
      </c>
      <c r="G193">
        <v>13</v>
      </c>
      <c r="H193">
        <v>9</v>
      </c>
      <c r="I193">
        <v>1</v>
      </c>
      <c r="J193">
        <v>0.69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1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1</v>
      </c>
      <c r="AA193" s="86">
        <f>AVERAGEIFS($C$2:C193, $B$2:B193, B193)</f>
        <v>19.428571428571427</v>
      </c>
      <c r="AB193" s="86">
        <f>AVERAGEIFS($I$2:I193, $B$2:B193, B193)</f>
        <v>0.52142857142857146</v>
      </c>
      <c r="AC193" s="86">
        <f>AVERAGEIFS($J$2:J193, $B$2:B193, B193)</f>
        <v>0.50571428571428567</v>
      </c>
      <c r="AD193" s="86">
        <f>AVERAGEIFS($D$2:D193, $B$2:B193, B193)</f>
        <v>0.42857142857142855</v>
      </c>
    </row>
    <row r="194" spans="1:30" x14ac:dyDescent="0.25">
      <c r="A194" s="85">
        <v>46061</v>
      </c>
      <c r="B194" t="s">
        <v>44</v>
      </c>
      <c r="C194">
        <v>12</v>
      </c>
      <c r="D194" s="86">
        <v>1</v>
      </c>
      <c r="E194">
        <v>3</v>
      </c>
      <c r="F194">
        <v>3</v>
      </c>
      <c r="G194">
        <v>13</v>
      </c>
      <c r="H194">
        <v>9</v>
      </c>
      <c r="I194">
        <v>1</v>
      </c>
      <c r="J194">
        <v>0.69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1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1</v>
      </c>
      <c r="AA194" s="86">
        <f>AVERAGEIFS($C$2:C194, $B$2:B194, B194)</f>
        <v>12</v>
      </c>
      <c r="AB194" s="86">
        <f>AVERAGEIFS($I$2:I194, $B$2:B194, B194)</f>
        <v>1</v>
      </c>
      <c r="AC194" s="86">
        <f>AVERAGEIFS($J$2:J194, $B$2:B194, B194)</f>
        <v>0.69</v>
      </c>
      <c r="AD194" s="86">
        <f>AVERAGEIFS($D$2:D194, $B$2:B194, B194)</f>
        <v>1</v>
      </c>
    </row>
    <row r="195" spans="1:30" x14ac:dyDescent="0.25">
      <c r="A195" s="85">
        <v>46061</v>
      </c>
      <c r="B195" t="s">
        <v>43</v>
      </c>
      <c r="C195">
        <v>4</v>
      </c>
      <c r="D195" s="86">
        <v>1</v>
      </c>
      <c r="E195">
        <v>3</v>
      </c>
      <c r="F195">
        <v>3</v>
      </c>
      <c r="G195">
        <v>13</v>
      </c>
      <c r="H195">
        <v>9</v>
      </c>
      <c r="I195">
        <v>1</v>
      </c>
      <c r="J195">
        <v>0.69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1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1</v>
      </c>
      <c r="AA195" s="86">
        <f>AVERAGEIFS($C$2:C195, $B$2:B195, B195)</f>
        <v>4</v>
      </c>
      <c r="AB195" s="86">
        <f>AVERAGEIFS($I$2:I195, $B$2:B195, B195)</f>
        <v>1</v>
      </c>
      <c r="AC195" s="86">
        <f>AVERAGEIFS($J$2:J195, $B$2:B195, B195)</f>
        <v>0.69</v>
      </c>
      <c r="AD195" s="86">
        <f>AVERAGEIFS($D$2:D195, $B$2:B195, B195)</f>
        <v>1</v>
      </c>
    </row>
    <row r="196" spans="1:30" x14ac:dyDescent="0.25">
      <c r="A196" s="85">
        <v>46061</v>
      </c>
      <c r="B196" t="s">
        <v>45</v>
      </c>
      <c r="C196">
        <v>2</v>
      </c>
      <c r="D196" s="86">
        <v>1</v>
      </c>
      <c r="E196">
        <v>3</v>
      </c>
      <c r="F196">
        <v>3</v>
      </c>
      <c r="G196">
        <v>13</v>
      </c>
      <c r="H196">
        <v>9</v>
      </c>
      <c r="I196">
        <v>1</v>
      </c>
      <c r="J196">
        <v>0.69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1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1</v>
      </c>
      <c r="Y196">
        <v>0</v>
      </c>
      <c r="Z196">
        <v>1</v>
      </c>
      <c r="AA196" s="86">
        <f>AVERAGEIFS($C$2:C196, $B$2:B196, B196)</f>
        <v>8.3333333333333339</v>
      </c>
      <c r="AB196" s="86">
        <f>AVERAGEIFS($I$2:I196, $B$2:B196, B196)</f>
        <v>0.35833333333333334</v>
      </c>
      <c r="AC196" s="86">
        <f>AVERAGEIFS($J$2:J196, $B$2:B196, B196)</f>
        <v>0.42499999999999999</v>
      </c>
      <c r="AD196" s="86">
        <f>AVERAGEIFS($D$2:D196, $B$2:B196, B196)</f>
        <v>0.16666666666666666</v>
      </c>
    </row>
    <row r="197" spans="1:30" x14ac:dyDescent="0.25">
      <c r="A197" s="85">
        <v>46061</v>
      </c>
      <c r="B197" t="s">
        <v>13</v>
      </c>
      <c r="C197">
        <v>29</v>
      </c>
      <c r="D197" s="86">
        <v>0</v>
      </c>
      <c r="E197">
        <v>3</v>
      </c>
      <c r="F197">
        <v>0</v>
      </c>
      <c r="G197">
        <v>13</v>
      </c>
      <c r="H197">
        <v>4</v>
      </c>
      <c r="I197">
        <v>0</v>
      </c>
      <c r="J197">
        <v>0.31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29.923076923076923</v>
      </c>
      <c r="AB197" s="86">
        <f>AVERAGEIFS($I$2:I197, $B$2:B197, B197)</f>
        <v>0.49615384615384611</v>
      </c>
      <c r="AC197" s="86">
        <f>AVERAGEIFS($J$2:J197, $B$2:B197, B197)</f>
        <v>0.50923076923076915</v>
      </c>
      <c r="AD197" s="86">
        <f>AVERAGEIFS($D$2:D197, $B$2:B197, B197)</f>
        <v>0.61538461538461542</v>
      </c>
    </row>
    <row r="198" spans="1:30" x14ac:dyDescent="0.25">
      <c r="A198" s="85">
        <v>46061</v>
      </c>
      <c r="B198" t="s">
        <v>46</v>
      </c>
      <c r="C198">
        <v>16</v>
      </c>
      <c r="D198" s="86">
        <v>0</v>
      </c>
      <c r="E198">
        <v>3</v>
      </c>
      <c r="F198">
        <v>0</v>
      </c>
      <c r="G198">
        <v>13</v>
      </c>
      <c r="H198">
        <v>4</v>
      </c>
      <c r="I198">
        <v>0</v>
      </c>
      <c r="J198">
        <v>0.31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19.8</v>
      </c>
      <c r="AB198" s="86">
        <f>AVERAGEIFS($I$2:I198, $B$2:B198, B198)</f>
        <v>0.25</v>
      </c>
      <c r="AC198" s="86">
        <f>AVERAGEIFS($J$2:J198, $B$2:B198, B198)</f>
        <v>0.38600000000000001</v>
      </c>
      <c r="AD198" s="86">
        <f>AVERAGEIFS($D$2:D198, $B$2:B198, B198)</f>
        <v>0.2</v>
      </c>
    </row>
    <row r="199" spans="1:30" x14ac:dyDescent="0.25">
      <c r="A199" s="85">
        <v>46061</v>
      </c>
      <c r="B199" t="s">
        <v>35</v>
      </c>
      <c r="C199">
        <v>11</v>
      </c>
      <c r="D199" s="86">
        <v>0</v>
      </c>
      <c r="E199">
        <v>3</v>
      </c>
      <c r="F199">
        <v>0</v>
      </c>
      <c r="G199">
        <v>13</v>
      </c>
      <c r="H199">
        <v>4</v>
      </c>
      <c r="I199">
        <v>0</v>
      </c>
      <c r="J199">
        <v>0.31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9.3333333333333339</v>
      </c>
      <c r="AB199" s="86">
        <f>AVERAGEIFS($I$2:I199, $B$2:B199, B199)</f>
        <v>0.30833333333333335</v>
      </c>
      <c r="AC199" s="86">
        <f>AVERAGEIFS($J$2:J199, $B$2:B199, B199)</f>
        <v>0.44166666666666671</v>
      </c>
      <c r="AD199" s="86">
        <f>AVERAGEIFS($D$2:D199, $B$2:B199, B199)</f>
        <v>0.33333333333333331</v>
      </c>
    </row>
    <row r="200" spans="1:30" x14ac:dyDescent="0.25">
      <c r="A200" s="85">
        <v>46061</v>
      </c>
      <c r="B200" t="s">
        <v>14</v>
      </c>
      <c r="C200">
        <v>10</v>
      </c>
      <c r="D200" s="86">
        <v>0</v>
      </c>
      <c r="E200">
        <v>3</v>
      </c>
      <c r="F200">
        <v>0</v>
      </c>
      <c r="G200">
        <v>13</v>
      </c>
      <c r="H200">
        <v>4</v>
      </c>
      <c r="I200">
        <v>0</v>
      </c>
      <c r="J200">
        <v>0.31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26.416666666666668</v>
      </c>
      <c r="AB200" s="86">
        <f>AVERAGEIFS($I$2:I200, $B$2:B200, B200)</f>
        <v>0.48333333333333334</v>
      </c>
      <c r="AC200" s="86">
        <f>AVERAGEIFS($J$2:J200, $B$2:B200, B200)</f>
        <v>0.48166666666666663</v>
      </c>
      <c r="AD200" s="86">
        <f>AVERAGEIFS($D$2:D200, $B$2:B200, B200)</f>
        <v>0.58333333333333337</v>
      </c>
    </row>
    <row r="201" spans="1:30" x14ac:dyDescent="0.25">
      <c r="A201" s="85">
        <v>46061</v>
      </c>
      <c r="B201" t="s">
        <v>29</v>
      </c>
      <c r="C201">
        <v>5</v>
      </c>
      <c r="D201" s="86">
        <v>0</v>
      </c>
      <c r="E201">
        <v>3</v>
      </c>
      <c r="F201">
        <v>0</v>
      </c>
      <c r="G201">
        <v>13</v>
      </c>
      <c r="H201">
        <v>4</v>
      </c>
      <c r="I201">
        <v>0</v>
      </c>
      <c r="J201">
        <v>0.31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10.7</v>
      </c>
      <c r="AB201" s="86">
        <f>AVERAGEIFS($I$2:I201, $B$2:B201, B201)</f>
        <v>0.48999999999999994</v>
      </c>
      <c r="AC201" s="86">
        <f>AVERAGEIFS($J$2:J201, $B$2:B201, B201)</f>
        <v>0.49299999999999988</v>
      </c>
      <c r="AD201" s="86">
        <f>AVERAGEIFS($D$2:D201, $B$2:B201, B201)</f>
        <v>0.5</v>
      </c>
    </row>
    <row r="202" spans="1:30" x14ac:dyDescent="0.25">
      <c r="A202" s="85">
        <v>46061</v>
      </c>
      <c r="B202" t="s">
        <v>19</v>
      </c>
      <c r="C202">
        <v>5</v>
      </c>
      <c r="D202" s="86">
        <v>0</v>
      </c>
      <c r="E202">
        <v>3</v>
      </c>
      <c r="F202">
        <v>0</v>
      </c>
      <c r="G202">
        <v>13</v>
      </c>
      <c r="H202">
        <v>4</v>
      </c>
      <c r="I202">
        <v>0</v>
      </c>
      <c r="J202">
        <v>0.31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 s="86">
        <f>AVERAGEIFS($C$2:C202, $B$2:B202, B202)</f>
        <v>11.642857142857142</v>
      </c>
      <c r="AB202" s="86">
        <f>AVERAGEIFS($I$2:I202, $B$2:B202, B202)</f>
        <v>0.48571428571428577</v>
      </c>
      <c r="AC202" s="86">
        <f>AVERAGEIFS($J$2:J202, $B$2:B202, B202)</f>
        <v>0.49214285714285716</v>
      </c>
      <c r="AD202" s="86">
        <f>AVERAGEIFS($D$2:D202, $B$2:B202, B202)</f>
        <v>0.42857142857142855</v>
      </c>
    </row>
    <row r="203" spans="1:30" x14ac:dyDescent="0.25">
      <c r="A203" s="85">
        <v>46066</v>
      </c>
      <c r="B203" t="s">
        <v>13</v>
      </c>
      <c r="C203">
        <v>22</v>
      </c>
      <c r="D203" s="86">
        <v>1</v>
      </c>
      <c r="E203">
        <v>3</v>
      </c>
      <c r="F203">
        <v>3</v>
      </c>
      <c r="G203">
        <v>11</v>
      </c>
      <c r="H203">
        <v>9</v>
      </c>
      <c r="I203">
        <v>1</v>
      </c>
      <c r="J203">
        <v>0.82</v>
      </c>
      <c r="K203">
        <v>0</v>
      </c>
      <c r="L203">
        <v>1</v>
      </c>
      <c r="M203">
        <v>1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 s="86">
        <f>AVERAGEIFS($C$2:C203, $B$2:B203, B203)</f>
        <v>29.357142857142858</v>
      </c>
      <c r="AB203" s="86">
        <f>AVERAGEIFS($I$2:I203, $B$2:B203, B203)</f>
        <v>0.53214285714285714</v>
      </c>
      <c r="AC203" s="86">
        <f>AVERAGEIFS($J$2:J203, $B$2:B203, B203)</f>
        <v>0.53142857142857136</v>
      </c>
      <c r="AD203" s="86">
        <f>AVERAGEIFS($D$2:D203, $B$2:B203, B203)</f>
        <v>0.6428571428571429</v>
      </c>
    </row>
    <row r="204" spans="1:30" x14ac:dyDescent="0.25">
      <c r="A204" s="85">
        <v>46066</v>
      </c>
      <c r="B204" t="s">
        <v>14</v>
      </c>
      <c r="C204">
        <v>16</v>
      </c>
      <c r="D204" s="86">
        <v>1</v>
      </c>
      <c r="E204">
        <v>3</v>
      </c>
      <c r="F204">
        <v>3</v>
      </c>
      <c r="G204">
        <v>11</v>
      </c>
      <c r="H204">
        <v>9</v>
      </c>
      <c r="I204">
        <v>1</v>
      </c>
      <c r="J204">
        <v>0.82</v>
      </c>
      <c r="K204">
        <v>0</v>
      </c>
      <c r="L204">
        <v>1</v>
      </c>
      <c r="M204">
        <v>1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 s="86">
        <f>AVERAGEIFS($C$2:C204, $B$2:B204, B204)</f>
        <v>25.615384615384617</v>
      </c>
      <c r="AB204" s="86">
        <f>AVERAGEIFS($I$2:I204, $B$2:B204, B204)</f>
        <v>0.52307692307692311</v>
      </c>
      <c r="AC204" s="86">
        <f>AVERAGEIFS($J$2:J204, $B$2:B204, B204)</f>
        <v>0.50769230769230766</v>
      </c>
      <c r="AD204" s="86">
        <f>AVERAGEIFS($D$2:D204, $B$2:B204, B204)</f>
        <v>0.61538461538461542</v>
      </c>
    </row>
    <row r="205" spans="1:30" x14ac:dyDescent="0.25">
      <c r="A205" s="85">
        <v>46066</v>
      </c>
      <c r="B205" t="s">
        <v>4</v>
      </c>
      <c r="C205">
        <v>9</v>
      </c>
      <c r="D205" s="86">
        <v>1</v>
      </c>
      <c r="E205">
        <v>3</v>
      </c>
      <c r="F205">
        <v>3</v>
      </c>
      <c r="G205">
        <v>11</v>
      </c>
      <c r="H205">
        <v>9</v>
      </c>
      <c r="I205">
        <v>1</v>
      </c>
      <c r="J205">
        <v>0.82</v>
      </c>
      <c r="K205">
        <v>0</v>
      </c>
      <c r="L205">
        <v>1</v>
      </c>
      <c r="M205">
        <v>1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 s="86">
        <f>AVERAGEIFS($C$2:C205, $B$2:B205, B205)</f>
        <v>9</v>
      </c>
      <c r="AB205" s="86">
        <f>AVERAGEIFS($I$2:I205, $B$2:B205, B205)</f>
        <v>1</v>
      </c>
      <c r="AC205" s="86">
        <f>AVERAGEIFS($J$2:J205, $B$2:B205, B205)</f>
        <v>0.82</v>
      </c>
      <c r="AD205" s="86">
        <f>AVERAGEIFS($D$2:D205, $B$2:B205, B205)</f>
        <v>1</v>
      </c>
    </row>
    <row r="206" spans="1:30" x14ac:dyDescent="0.25">
      <c r="A206" s="85">
        <v>46066</v>
      </c>
      <c r="B206" t="s">
        <v>17</v>
      </c>
      <c r="C206">
        <v>9</v>
      </c>
      <c r="D206" s="86">
        <v>1</v>
      </c>
      <c r="E206">
        <v>3</v>
      </c>
      <c r="F206">
        <v>3</v>
      </c>
      <c r="G206">
        <v>11</v>
      </c>
      <c r="H206">
        <v>9</v>
      </c>
      <c r="I206">
        <v>1</v>
      </c>
      <c r="J206">
        <v>0.82</v>
      </c>
      <c r="K206">
        <v>0</v>
      </c>
      <c r="L206">
        <v>1</v>
      </c>
      <c r="M206">
        <v>1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 s="86">
        <f>AVERAGEIFS($C$2:C206, $B$2:B206, B206)</f>
        <v>26.285714285714285</v>
      </c>
      <c r="AB206" s="86">
        <f>AVERAGEIFS($I$2:I206, $B$2:B206, B206)</f>
        <v>0.63214285714285723</v>
      </c>
      <c r="AC206" s="86">
        <f>AVERAGEIFS($J$2:J206, $B$2:B206, B206)</f>
        <v>0.57785714285714285</v>
      </c>
      <c r="AD206" s="86">
        <f>AVERAGEIFS($D$2:D206, $B$2:B206, B206)</f>
        <v>0.5714285714285714</v>
      </c>
    </row>
    <row r="207" spans="1:30" x14ac:dyDescent="0.25">
      <c r="A207" s="85">
        <v>46066</v>
      </c>
      <c r="B207" t="s">
        <v>26</v>
      </c>
      <c r="C207">
        <v>7</v>
      </c>
      <c r="D207" s="86">
        <v>1</v>
      </c>
      <c r="E207">
        <v>3</v>
      </c>
      <c r="F207">
        <v>3</v>
      </c>
      <c r="G207">
        <v>11</v>
      </c>
      <c r="H207">
        <v>9</v>
      </c>
      <c r="I207">
        <v>1</v>
      </c>
      <c r="J207">
        <v>0.82</v>
      </c>
      <c r="K207">
        <v>0</v>
      </c>
      <c r="L207">
        <v>1</v>
      </c>
      <c r="M207">
        <v>1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 s="86">
        <f>AVERAGEIFS($C$2:C207, $B$2:B207, B207)</f>
        <v>12.555555555555555</v>
      </c>
      <c r="AB207" s="86">
        <f>AVERAGEIFS($I$2:I207, $B$2:B207, B207)</f>
        <v>0.61111111111111116</v>
      </c>
      <c r="AC207" s="86">
        <f>AVERAGEIFS($J$2:J207, $B$2:B207, B207)</f>
        <v>0.57444444444444442</v>
      </c>
      <c r="AD207" s="86">
        <f>AVERAGEIFS($D$2:D207, $B$2:B207, B207)</f>
        <v>0.66666666666666663</v>
      </c>
    </row>
    <row r="208" spans="1:30" x14ac:dyDescent="0.25">
      <c r="A208" s="85">
        <v>46066</v>
      </c>
      <c r="B208" t="s">
        <v>38</v>
      </c>
      <c r="C208">
        <v>5</v>
      </c>
      <c r="D208" s="86">
        <v>1</v>
      </c>
      <c r="E208">
        <v>3</v>
      </c>
      <c r="F208">
        <v>3</v>
      </c>
      <c r="G208">
        <v>11</v>
      </c>
      <c r="H208">
        <v>9</v>
      </c>
      <c r="I208">
        <v>1</v>
      </c>
      <c r="J208">
        <v>0.82</v>
      </c>
      <c r="K208">
        <v>0</v>
      </c>
      <c r="L208">
        <v>1</v>
      </c>
      <c r="M208">
        <v>1</v>
      </c>
      <c r="N208">
        <v>0</v>
      </c>
      <c r="O208">
        <v>0</v>
      </c>
      <c r="P208">
        <v>1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 s="86">
        <f>AVERAGEIFS($C$2:C208, $B$2:B208, B208)</f>
        <v>5</v>
      </c>
      <c r="AB208" s="86">
        <f>AVERAGEIFS($I$2:I208, $B$2:B208, B208)</f>
        <v>1</v>
      </c>
      <c r="AC208" s="86">
        <f>AVERAGEIFS($J$2:J208, $B$2:B208, B208)</f>
        <v>0.82</v>
      </c>
      <c r="AD208" s="86">
        <f>AVERAGEIFS($D$2:D208, $B$2:B208, B208)</f>
        <v>1</v>
      </c>
    </row>
    <row r="209" spans="1:30" x14ac:dyDescent="0.25">
      <c r="A209" s="85">
        <v>46066</v>
      </c>
      <c r="B209" t="s">
        <v>6</v>
      </c>
      <c r="C209">
        <v>16</v>
      </c>
      <c r="D209" s="86">
        <v>0</v>
      </c>
      <c r="E209">
        <v>3</v>
      </c>
      <c r="F209">
        <v>0</v>
      </c>
      <c r="G209">
        <v>11</v>
      </c>
      <c r="H209">
        <v>2</v>
      </c>
      <c r="I209">
        <v>0</v>
      </c>
      <c r="J209">
        <v>0.18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21.5</v>
      </c>
      <c r="AB209" s="86">
        <f>AVERAGEIFS($I$2:I209, $B$2:B209, B209)</f>
        <v>0.57499999999999996</v>
      </c>
      <c r="AC209" s="86">
        <f>AVERAGEIFS($J$2:J209, $B$2:B209, B209)</f>
        <v>0.52374999999999994</v>
      </c>
      <c r="AD209" s="86">
        <f>AVERAGEIFS($D$2:D209, $B$2:B209, B209)</f>
        <v>0.625</v>
      </c>
    </row>
    <row r="210" spans="1:30" x14ac:dyDescent="0.25">
      <c r="A210" s="85">
        <v>46066</v>
      </c>
      <c r="B210" t="s">
        <v>37</v>
      </c>
      <c r="C210">
        <v>9</v>
      </c>
      <c r="D210" s="86">
        <v>0</v>
      </c>
      <c r="E210">
        <v>3</v>
      </c>
      <c r="F210">
        <v>0</v>
      </c>
      <c r="G210">
        <v>11</v>
      </c>
      <c r="H210">
        <v>2</v>
      </c>
      <c r="I210">
        <v>0</v>
      </c>
      <c r="J210">
        <v>0.18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18.125</v>
      </c>
      <c r="AB210" s="86">
        <f>AVERAGEIFS($I$2:I210, $B$2:B210, B210)</f>
        <v>0.45624999999999999</v>
      </c>
      <c r="AC210" s="86">
        <f>AVERAGEIFS($J$2:J210, $B$2:B210, B210)</f>
        <v>0.46499999999999997</v>
      </c>
      <c r="AD210" s="86">
        <f>AVERAGEIFS($D$2:D210, $B$2:B210, B210)</f>
        <v>0.375</v>
      </c>
    </row>
    <row r="211" spans="1:30" x14ac:dyDescent="0.25">
      <c r="A211" s="85">
        <v>46066</v>
      </c>
      <c r="B211" t="s">
        <v>40</v>
      </c>
      <c r="C211">
        <v>7</v>
      </c>
      <c r="D211" s="86">
        <v>0</v>
      </c>
      <c r="E211">
        <v>3</v>
      </c>
      <c r="F211">
        <v>0</v>
      </c>
      <c r="G211">
        <v>11</v>
      </c>
      <c r="H211">
        <v>2</v>
      </c>
      <c r="I211">
        <v>0</v>
      </c>
      <c r="J211">
        <v>0.18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7</v>
      </c>
      <c r="AB211" s="86">
        <f>AVERAGEIFS($I$2:I211, $B$2:B211, B211)</f>
        <v>0</v>
      </c>
      <c r="AC211" s="86">
        <f>AVERAGEIFS($J$2:J211, $B$2:B211, B211)</f>
        <v>0.18</v>
      </c>
      <c r="AD211" s="86">
        <f>AVERAGEIFS($D$2:D211, $B$2:B211, B211)</f>
        <v>0</v>
      </c>
    </row>
    <row r="212" spans="1:30" x14ac:dyDescent="0.25">
      <c r="A212" s="85">
        <v>46066</v>
      </c>
      <c r="B212" t="s">
        <v>19</v>
      </c>
      <c r="C212">
        <v>6</v>
      </c>
      <c r="D212" s="86">
        <v>0</v>
      </c>
      <c r="E212">
        <v>3</v>
      </c>
      <c r="F212">
        <v>0</v>
      </c>
      <c r="G212">
        <v>11</v>
      </c>
      <c r="H212">
        <v>2</v>
      </c>
      <c r="I212">
        <v>0</v>
      </c>
      <c r="J212">
        <v>0.18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11.266666666666667</v>
      </c>
      <c r="AB212" s="86">
        <f>AVERAGEIFS($I$2:I212, $B$2:B212, B212)</f>
        <v>0.45333333333333337</v>
      </c>
      <c r="AC212" s="86">
        <f>AVERAGEIFS($J$2:J212, $B$2:B212, B212)</f>
        <v>0.47133333333333333</v>
      </c>
      <c r="AD212" s="86">
        <f>AVERAGEIFS($D$2:D212, $B$2:B212, B212)</f>
        <v>0.4</v>
      </c>
    </row>
    <row r="213" spans="1:30" x14ac:dyDescent="0.25">
      <c r="A213" s="85">
        <v>46066</v>
      </c>
      <c r="B213" t="s">
        <v>42</v>
      </c>
      <c r="C213">
        <v>5</v>
      </c>
      <c r="D213" s="86">
        <v>0</v>
      </c>
      <c r="E213">
        <v>3</v>
      </c>
      <c r="F213">
        <v>0</v>
      </c>
      <c r="G213">
        <v>11</v>
      </c>
      <c r="H213">
        <v>2</v>
      </c>
      <c r="I213">
        <v>0</v>
      </c>
      <c r="J213">
        <v>0.18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5</v>
      </c>
      <c r="AB213" s="86">
        <f>AVERAGEIFS($I$2:I213, $B$2:B213, B213)</f>
        <v>0</v>
      </c>
      <c r="AC213" s="86">
        <f>AVERAGEIFS($J$2:J213, $B$2:B213, B213)</f>
        <v>0.18</v>
      </c>
      <c r="AD213" s="86">
        <f>AVERAGEIFS($D$2:D213, $B$2:B213, B213)</f>
        <v>0</v>
      </c>
    </row>
    <row r="214" spans="1:30" x14ac:dyDescent="0.25">
      <c r="A214" s="85">
        <v>46066</v>
      </c>
      <c r="B214" t="s">
        <v>28</v>
      </c>
      <c r="C214">
        <v>4</v>
      </c>
      <c r="D214" s="86">
        <v>0</v>
      </c>
      <c r="E214">
        <v>3</v>
      </c>
      <c r="F214">
        <v>0</v>
      </c>
      <c r="G214">
        <v>11</v>
      </c>
      <c r="H214">
        <v>2</v>
      </c>
      <c r="I214">
        <v>0</v>
      </c>
      <c r="J214">
        <v>0.18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14</v>
      </c>
      <c r="AB214" s="86">
        <f>AVERAGEIFS($I$2:I214, $B$2:B214, B214)</f>
        <v>0.47499999999999998</v>
      </c>
      <c r="AC214" s="86">
        <f>AVERAGEIFS($J$2:J214, $B$2:B214, B214)</f>
        <v>0.48499999999999999</v>
      </c>
      <c r="AD214" s="86">
        <f>AVERAGEIFS($D$2:D214, $B$2:B214, B214)</f>
        <v>0.5</v>
      </c>
    </row>
    <row r="215" spans="1:30" x14ac:dyDescent="0.25">
      <c r="A215" s="85">
        <v>46067</v>
      </c>
      <c r="B215" t="s">
        <v>6</v>
      </c>
      <c r="C215">
        <v>28</v>
      </c>
      <c r="D215" s="86">
        <v>1</v>
      </c>
      <c r="E215">
        <v>4</v>
      </c>
      <c r="F215">
        <v>3</v>
      </c>
      <c r="G215">
        <v>16</v>
      </c>
      <c r="H215">
        <v>11</v>
      </c>
      <c r="I215">
        <v>0.75</v>
      </c>
      <c r="J215">
        <v>0.69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1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1</v>
      </c>
      <c r="Y215">
        <v>0</v>
      </c>
      <c r="Z215">
        <v>1</v>
      </c>
      <c r="AA215" s="86">
        <f>AVERAGEIFS($C$2:C215, $B$2:B215, B215)</f>
        <v>22.222222222222221</v>
      </c>
      <c r="AB215" s="86">
        <f>AVERAGEIFS($I$2:I215, $B$2:B215, B215)</f>
        <v>0.59444444444444444</v>
      </c>
      <c r="AC215" s="86">
        <f>AVERAGEIFS($J$2:J215, $B$2:B215, B215)</f>
        <v>0.54222222222222216</v>
      </c>
      <c r="AD215" s="86">
        <f>AVERAGEIFS($D$2:D215, $B$2:B215, B215)</f>
        <v>0.66666666666666663</v>
      </c>
    </row>
    <row r="216" spans="1:30" x14ac:dyDescent="0.25">
      <c r="A216" s="85">
        <v>46067</v>
      </c>
      <c r="B216" t="s">
        <v>13</v>
      </c>
      <c r="C216">
        <v>20</v>
      </c>
      <c r="D216" s="86">
        <v>1</v>
      </c>
      <c r="E216">
        <v>4</v>
      </c>
      <c r="F216">
        <v>3</v>
      </c>
      <c r="G216">
        <v>16</v>
      </c>
      <c r="H216">
        <v>11</v>
      </c>
      <c r="I216">
        <v>0.75</v>
      </c>
      <c r="J216">
        <v>0.69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1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1</v>
      </c>
      <c r="Y216">
        <v>0</v>
      </c>
      <c r="Z216">
        <v>1</v>
      </c>
      <c r="AA216" s="86">
        <f>AVERAGEIFS($C$2:C216, $B$2:B216, B216)</f>
        <v>28.733333333333334</v>
      </c>
      <c r="AB216" s="86">
        <f>AVERAGEIFS($I$2:I216, $B$2:B216, B216)</f>
        <v>0.54666666666666663</v>
      </c>
      <c r="AC216" s="86">
        <f>AVERAGEIFS($J$2:J216, $B$2:B216, B216)</f>
        <v>0.54199999999999993</v>
      </c>
      <c r="AD216" s="86">
        <f>AVERAGEIFS($D$2:D216, $B$2:B216, B216)</f>
        <v>0.66666666666666663</v>
      </c>
    </row>
    <row r="217" spans="1:30" x14ac:dyDescent="0.25">
      <c r="A217" s="85">
        <v>46067</v>
      </c>
      <c r="B217" t="s">
        <v>46</v>
      </c>
      <c r="C217">
        <v>11</v>
      </c>
      <c r="D217" s="86">
        <v>1</v>
      </c>
      <c r="E217">
        <v>4</v>
      </c>
      <c r="F217">
        <v>3</v>
      </c>
      <c r="G217">
        <v>16</v>
      </c>
      <c r="H217">
        <v>11</v>
      </c>
      <c r="I217">
        <v>0.75</v>
      </c>
      <c r="J217">
        <v>0.69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1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1</v>
      </c>
      <c r="Y217">
        <v>0</v>
      </c>
      <c r="Z217">
        <v>1</v>
      </c>
      <c r="AA217" s="86">
        <f>AVERAGEIFS($C$2:C217, $B$2:B217, B217)</f>
        <v>18.333333333333332</v>
      </c>
      <c r="AB217" s="86">
        <f>AVERAGEIFS($I$2:I217, $B$2:B217, B217)</f>
        <v>0.33333333333333331</v>
      </c>
      <c r="AC217" s="86">
        <f>AVERAGEIFS($J$2:J217, $B$2:B217, B217)</f>
        <v>0.4366666666666667</v>
      </c>
      <c r="AD217" s="86">
        <f>AVERAGEIFS($D$2:D217, $B$2:B217, B217)</f>
        <v>0.33333333333333331</v>
      </c>
    </row>
    <row r="218" spans="1:30" x14ac:dyDescent="0.25">
      <c r="A218" s="85">
        <v>46067</v>
      </c>
      <c r="B218" t="s">
        <v>26</v>
      </c>
      <c r="C218">
        <v>11</v>
      </c>
      <c r="D218" s="86">
        <v>1</v>
      </c>
      <c r="E218">
        <v>4</v>
      </c>
      <c r="F218">
        <v>3</v>
      </c>
      <c r="G218">
        <v>16</v>
      </c>
      <c r="H218">
        <v>11</v>
      </c>
      <c r="I218">
        <v>0.75</v>
      </c>
      <c r="J218">
        <v>0.69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1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1</v>
      </c>
      <c r="Y218">
        <v>0</v>
      </c>
      <c r="Z218">
        <v>1</v>
      </c>
      <c r="AA218" s="86">
        <f>AVERAGEIFS($C$2:C218, $B$2:B218, B218)</f>
        <v>12.4</v>
      </c>
      <c r="AB218" s="86">
        <f>AVERAGEIFS($I$2:I218, $B$2:B218, B218)</f>
        <v>0.625</v>
      </c>
      <c r="AC218" s="86">
        <f>AVERAGEIFS($J$2:J218, $B$2:B218, B218)</f>
        <v>0.58599999999999997</v>
      </c>
      <c r="AD218" s="86">
        <f>AVERAGEIFS($D$2:D218, $B$2:B218, B218)</f>
        <v>0.7</v>
      </c>
    </row>
    <row r="219" spans="1:30" x14ac:dyDescent="0.25">
      <c r="A219" s="85">
        <v>46067</v>
      </c>
      <c r="B219" t="s">
        <v>35</v>
      </c>
      <c r="C219">
        <v>9</v>
      </c>
      <c r="D219" s="86">
        <v>1</v>
      </c>
      <c r="E219">
        <v>4</v>
      </c>
      <c r="F219">
        <v>3</v>
      </c>
      <c r="G219">
        <v>16</v>
      </c>
      <c r="H219">
        <v>11</v>
      </c>
      <c r="I219">
        <v>0.75</v>
      </c>
      <c r="J219">
        <v>0.69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1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1</v>
      </c>
      <c r="Y219">
        <v>0</v>
      </c>
      <c r="Z219">
        <v>1</v>
      </c>
      <c r="AA219" s="86">
        <f>AVERAGEIFS($C$2:C219, $B$2:B219, B219)</f>
        <v>9.2857142857142865</v>
      </c>
      <c r="AB219" s="86">
        <f>AVERAGEIFS($I$2:I219, $B$2:B219, B219)</f>
        <v>0.37142857142857144</v>
      </c>
      <c r="AC219" s="86">
        <f>AVERAGEIFS($J$2:J219, $B$2:B219, B219)</f>
        <v>0.4771428571428572</v>
      </c>
      <c r="AD219" s="86">
        <f>AVERAGEIFS($D$2:D219, $B$2:B219, B219)</f>
        <v>0.42857142857142855</v>
      </c>
    </row>
    <row r="220" spans="1:30" x14ac:dyDescent="0.25">
      <c r="A220" s="85">
        <v>46067</v>
      </c>
      <c r="B220" t="s">
        <v>29</v>
      </c>
      <c r="C220">
        <v>8</v>
      </c>
      <c r="D220" s="86">
        <v>1</v>
      </c>
      <c r="E220">
        <v>4</v>
      </c>
      <c r="F220">
        <v>3</v>
      </c>
      <c r="G220">
        <v>16</v>
      </c>
      <c r="H220">
        <v>11</v>
      </c>
      <c r="I220">
        <v>0.75</v>
      </c>
      <c r="J220">
        <v>0.69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1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1</v>
      </c>
      <c r="Y220">
        <v>0</v>
      </c>
      <c r="Z220">
        <v>1</v>
      </c>
      <c r="AA220" s="86">
        <f>AVERAGEIFS($C$2:C220, $B$2:B220, B220)</f>
        <v>10.454545454545455</v>
      </c>
      <c r="AB220" s="86">
        <f>AVERAGEIFS($I$2:I220, $B$2:B220, B220)</f>
        <v>0.51363636363636356</v>
      </c>
      <c r="AC220" s="86">
        <f>AVERAGEIFS($J$2:J220, $B$2:B220, B220)</f>
        <v>0.51090909090909087</v>
      </c>
      <c r="AD220" s="86">
        <f>AVERAGEIFS($D$2:D220, $B$2:B220, B220)</f>
        <v>0.54545454545454541</v>
      </c>
    </row>
    <row r="221" spans="1:30" x14ac:dyDescent="0.25">
      <c r="A221" s="85">
        <v>46067</v>
      </c>
      <c r="B221" t="s">
        <v>17</v>
      </c>
      <c r="C221">
        <v>22</v>
      </c>
      <c r="D221" s="86">
        <v>0</v>
      </c>
      <c r="E221">
        <v>4</v>
      </c>
      <c r="F221">
        <v>1</v>
      </c>
      <c r="G221">
        <v>16</v>
      </c>
      <c r="H221">
        <v>5</v>
      </c>
      <c r="I221">
        <v>0.25</v>
      </c>
      <c r="J221">
        <v>0.31</v>
      </c>
      <c r="K221">
        <v>1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 s="86">
        <f>AVERAGEIFS($C$2:C221, $B$2:B221, B221)</f>
        <v>26</v>
      </c>
      <c r="AB221" s="86">
        <f>AVERAGEIFS($I$2:I221, $B$2:B221, B221)</f>
        <v>0.6066666666666668</v>
      </c>
      <c r="AC221" s="86">
        <f>AVERAGEIFS($J$2:J221, $B$2:B221, B221)</f>
        <v>0.56000000000000005</v>
      </c>
      <c r="AD221" s="86">
        <f>AVERAGEIFS($D$2:D221, $B$2:B221, B221)</f>
        <v>0.53333333333333333</v>
      </c>
    </row>
    <row r="222" spans="1:30" x14ac:dyDescent="0.25">
      <c r="A222" s="85">
        <v>46067</v>
      </c>
      <c r="B222" t="s">
        <v>14</v>
      </c>
      <c r="C222">
        <v>18</v>
      </c>
      <c r="D222" s="86">
        <v>0</v>
      </c>
      <c r="E222">
        <v>4</v>
      </c>
      <c r="F222">
        <v>1</v>
      </c>
      <c r="G222">
        <v>16</v>
      </c>
      <c r="H222">
        <v>5</v>
      </c>
      <c r="I222">
        <v>0.25</v>
      </c>
      <c r="J222">
        <v>0.31</v>
      </c>
      <c r="K222">
        <v>1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 s="86">
        <f>AVERAGEIFS($C$2:C222, $B$2:B222, B222)</f>
        <v>25.071428571428573</v>
      </c>
      <c r="AB222" s="86">
        <f>AVERAGEIFS($I$2:I222, $B$2:B222, B222)</f>
        <v>0.50357142857142856</v>
      </c>
      <c r="AC222" s="86">
        <f>AVERAGEIFS($J$2:J222, $B$2:B222, B222)</f>
        <v>0.49357142857142849</v>
      </c>
      <c r="AD222" s="86">
        <f>AVERAGEIFS($D$2:D222, $B$2:B222, B222)</f>
        <v>0.5714285714285714</v>
      </c>
    </row>
    <row r="223" spans="1:30" x14ac:dyDescent="0.25">
      <c r="A223" s="85">
        <v>46067</v>
      </c>
      <c r="B223" t="s">
        <v>40</v>
      </c>
      <c r="C223">
        <v>14</v>
      </c>
      <c r="D223" s="86">
        <v>0</v>
      </c>
      <c r="E223">
        <v>4</v>
      </c>
      <c r="F223">
        <v>1</v>
      </c>
      <c r="G223">
        <v>16</v>
      </c>
      <c r="H223">
        <v>5</v>
      </c>
      <c r="I223">
        <v>0.25</v>
      </c>
      <c r="J223">
        <v>0.31</v>
      </c>
      <c r="K223">
        <v>1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10.5</v>
      </c>
      <c r="AB223" s="86">
        <f>AVERAGEIFS($I$2:I223, $B$2:B223, B223)</f>
        <v>0.125</v>
      </c>
      <c r="AC223" s="86">
        <f>AVERAGEIFS($J$2:J223, $B$2:B223, B223)</f>
        <v>0.245</v>
      </c>
      <c r="AD223" s="86">
        <f>AVERAGEIFS($D$2:D223, $B$2:B223, B223)</f>
        <v>0</v>
      </c>
    </row>
    <row r="224" spans="1:30" x14ac:dyDescent="0.25">
      <c r="A224" s="85">
        <v>46067</v>
      </c>
      <c r="B224" t="s">
        <v>37</v>
      </c>
      <c r="C224">
        <v>12</v>
      </c>
      <c r="D224" s="86">
        <v>0</v>
      </c>
      <c r="E224">
        <v>4</v>
      </c>
      <c r="F224">
        <v>1</v>
      </c>
      <c r="G224">
        <v>16</v>
      </c>
      <c r="H224">
        <v>5</v>
      </c>
      <c r="I224">
        <v>0.25</v>
      </c>
      <c r="J224">
        <v>0.31</v>
      </c>
      <c r="K224">
        <v>1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17.444444444444443</v>
      </c>
      <c r="AB224" s="86">
        <f>AVERAGEIFS($I$2:I224, $B$2:B224, B224)</f>
        <v>0.43333333333333335</v>
      </c>
      <c r="AC224" s="86">
        <f>AVERAGEIFS($J$2:J224, $B$2:B224, B224)</f>
        <v>0.44777777777777772</v>
      </c>
      <c r="AD224" s="86">
        <f>AVERAGEIFS($D$2:D224, $B$2:B224, B224)</f>
        <v>0.33333333333333331</v>
      </c>
    </row>
    <row r="225" spans="1:30" x14ac:dyDescent="0.25">
      <c r="A225" s="85">
        <v>46067</v>
      </c>
      <c r="B225" t="s">
        <v>28</v>
      </c>
      <c r="C225">
        <v>11</v>
      </c>
      <c r="D225" s="86">
        <v>0</v>
      </c>
      <c r="E225">
        <v>4</v>
      </c>
      <c r="F225">
        <v>1</v>
      </c>
      <c r="G225">
        <v>16</v>
      </c>
      <c r="H225">
        <v>5</v>
      </c>
      <c r="I225">
        <v>0.25</v>
      </c>
      <c r="J225">
        <v>0.31</v>
      </c>
      <c r="K225">
        <v>1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13.727272727272727</v>
      </c>
      <c r="AB225" s="86">
        <f>AVERAGEIFS($I$2:I225, $B$2:B225, B225)</f>
        <v>0.45454545454545453</v>
      </c>
      <c r="AC225" s="86">
        <f>AVERAGEIFS($J$2:J225, $B$2:B225, B225)</f>
        <v>0.469090909090909</v>
      </c>
      <c r="AD225" s="86">
        <f>AVERAGEIFS($D$2:D225, $B$2:B225, B225)</f>
        <v>0.45454545454545453</v>
      </c>
    </row>
    <row r="226" spans="1:30" x14ac:dyDescent="0.25">
      <c r="A226" s="85">
        <v>46067</v>
      </c>
      <c r="B226" t="s">
        <v>38</v>
      </c>
      <c r="C226">
        <v>2</v>
      </c>
      <c r="D226" s="86">
        <v>0</v>
      </c>
      <c r="E226">
        <v>4</v>
      </c>
      <c r="F226">
        <v>1</v>
      </c>
      <c r="G226">
        <v>16</v>
      </c>
      <c r="H226">
        <v>5</v>
      </c>
      <c r="I226">
        <v>0.25</v>
      </c>
      <c r="J226">
        <v>0.31</v>
      </c>
      <c r="K226">
        <v>1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3.5</v>
      </c>
      <c r="AB226" s="86">
        <f>AVERAGEIFS($I$2:I226, $B$2:B226, B226)</f>
        <v>0.625</v>
      </c>
      <c r="AC226" s="86">
        <f>AVERAGEIFS($J$2:J226, $B$2:B226, B226)</f>
        <v>0.56499999999999995</v>
      </c>
      <c r="AD226" s="86">
        <f>AVERAGEIFS($D$2:D226, $B$2:B226, B226)</f>
        <v>0.5</v>
      </c>
    </row>
    <row r="227" spans="1:30" x14ac:dyDescent="0.25">
      <c r="A227" s="85">
        <v>46068</v>
      </c>
      <c r="B227" t="s">
        <v>15</v>
      </c>
      <c r="C227">
        <v>22</v>
      </c>
      <c r="D227" s="86">
        <v>1</v>
      </c>
      <c r="E227">
        <v>3</v>
      </c>
      <c r="F227">
        <v>3</v>
      </c>
      <c r="G227">
        <v>12</v>
      </c>
      <c r="H227">
        <v>9</v>
      </c>
      <c r="I227">
        <v>1</v>
      </c>
      <c r="J227">
        <v>0.75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1</v>
      </c>
      <c r="X227">
        <v>0</v>
      </c>
      <c r="Y227">
        <v>0</v>
      </c>
      <c r="Z227">
        <v>1</v>
      </c>
      <c r="AA227" s="86">
        <f>AVERAGEIFS($C$2:C227, $B$2:B227, B227)</f>
        <v>26.916666666666668</v>
      </c>
      <c r="AB227" s="86">
        <f>AVERAGEIFS($I$2:I227, $B$2:B227, B227)</f>
        <v>0.49583333333333335</v>
      </c>
      <c r="AC227" s="86">
        <f>AVERAGEIFS($J$2:J227, $B$2:B227, B227)</f>
        <v>0.48583333333333328</v>
      </c>
      <c r="AD227" s="86">
        <f>AVERAGEIFS($D$2:D227, $B$2:B227, B227)</f>
        <v>0.33333333333333331</v>
      </c>
    </row>
    <row r="228" spans="1:30" x14ac:dyDescent="0.25">
      <c r="A228" s="85">
        <v>46068</v>
      </c>
      <c r="B228" t="s">
        <v>17</v>
      </c>
      <c r="C228">
        <v>20</v>
      </c>
      <c r="D228" s="86">
        <v>1</v>
      </c>
      <c r="E228">
        <v>3</v>
      </c>
      <c r="F228">
        <v>3</v>
      </c>
      <c r="G228">
        <v>12</v>
      </c>
      <c r="H228">
        <v>9</v>
      </c>
      <c r="I228">
        <v>1</v>
      </c>
      <c r="J228">
        <v>0.75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1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1</v>
      </c>
      <c r="X228">
        <v>0</v>
      </c>
      <c r="Y228">
        <v>0</v>
      </c>
      <c r="Z228">
        <v>1</v>
      </c>
      <c r="AA228" s="86">
        <f>AVERAGEIFS($C$2:C228, $B$2:B228, B228)</f>
        <v>25.625</v>
      </c>
      <c r="AB228" s="86">
        <f>AVERAGEIFS($I$2:I228, $B$2:B228, B228)</f>
        <v>0.63125000000000009</v>
      </c>
      <c r="AC228" s="86">
        <f>AVERAGEIFS($J$2:J228, $B$2:B228, B228)</f>
        <v>0.57187500000000002</v>
      </c>
      <c r="AD228" s="86">
        <f>AVERAGEIFS($D$2:D228, $B$2:B228, B228)</f>
        <v>0.5625</v>
      </c>
    </row>
    <row r="229" spans="1:30" x14ac:dyDescent="0.25">
      <c r="A229" s="85">
        <v>46068</v>
      </c>
      <c r="B229" t="s">
        <v>25</v>
      </c>
      <c r="C229">
        <v>17</v>
      </c>
      <c r="D229" s="86">
        <v>1</v>
      </c>
      <c r="E229">
        <v>3</v>
      </c>
      <c r="F229">
        <v>3</v>
      </c>
      <c r="G229">
        <v>12</v>
      </c>
      <c r="H229">
        <v>9</v>
      </c>
      <c r="I229">
        <v>1</v>
      </c>
      <c r="J229">
        <v>0.75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1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1</v>
      </c>
      <c r="X229">
        <v>0</v>
      </c>
      <c r="Y229">
        <v>0</v>
      </c>
      <c r="Z229">
        <v>1</v>
      </c>
      <c r="AA229" s="86">
        <f>AVERAGEIFS($C$2:C229, $B$2:B229, B229)</f>
        <v>17.5</v>
      </c>
      <c r="AB229" s="86">
        <f>AVERAGEIFS($I$2:I229, $B$2:B229, B229)</f>
        <v>0.6875</v>
      </c>
      <c r="AC229" s="86">
        <f>AVERAGEIFS($J$2:J229, $B$2:B229, B229)</f>
        <v>0.60999999999999988</v>
      </c>
      <c r="AD229" s="86">
        <f>AVERAGEIFS($D$2:D229, $B$2:B229, B229)</f>
        <v>0.75</v>
      </c>
    </row>
    <row r="230" spans="1:30" x14ac:dyDescent="0.25">
      <c r="A230" s="85">
        <v>46068</v>
      </c>
      <c r="B230" t="s">
        <v>37</v>
      </c>
      <c r="C230">
        <v>16</v>
      </c>
      <c r="D230" s="86">
        <v>1</v>
      </c>
      <c r="E230">
        <v>3</v>
      </c>
      <c r="F230">
        <v>3</v>
      </c>
      <c r="G230">
        <v>12</v>
      </c>
      <c r="H230">
        <v>9</v>
      </c>
      <c r="I230">
        <v>1</v>
      </c>
      <c r="J230">
        <v>0.75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0</v>
      </c>
      <c r="Z230">
        <v>1</v>
      </c>
      <c r="AA230" s="86">
        <f>AVERAGEIFS($C$2:C230, $B$2:B230, B230)</f>
        <v>17.3</v>
      </c>
      <c r="AB230" s="86">
        <f>AVERAGEIFS($I$2:I230, $B$2:B230, B230)</f>
        <v>0.49000000000000005</v>
      </c>
      <c r="AC230" s="86">
        <f>AVERAGEIFS($J$2:J230, $B$2:B230, B230)</f>
        <v>0.47799999999999992</v>
      </c>
      <c r="AD230" s="86">
        <f>AVERAGEIFS($D$2:D230, $B$2:B230, B230)</f>
        <v>0.4</v>
      </c>
    </row>
    <row r="231" spans="1:30" x14ac:dyDescent="0.25">
      <c r="A231" s="85">
        <v>46068</v>
      </c>
      <c r="B231" t="s">
        <v>35</v>
      </c>
      <c r="C231">
        <v>7</v>
      </c>
      <c r="D231" s="86">
        <v>1</v>
      </c>
      <c r="E231">
        <v>3</v>
      </c>
      <c r="F231">
        <v>3</v>
      </c>
      <c r="G231">
        <v>12</v>
      </c>
      <c r="H231">
        <v>9</v>
      </c>
      <c r="I231">
        <v>1</v>
      </c>
      <c r="J231">
        <v>0.75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0</v>
      </c>
      <c r="Z231">
        <v>1</v>
      </c>
      <c r="AA231" s="86">
        <f>AVERAGEIFS($C$2:C231, $B$2:B231, B231)</f>
        <v>9</v>
      </c>
      <c r="AB231" s="86">
        <f>AVERAGEIFS($I$2:I231, $B$2:B231, B231)</f>
        <v>0.45</v>
      </c>
      <c r="AC231" s="86">
        <f>AVERAGEIFS($J$2:J231, $B$2:B231, B231)</f>
        <v>0.51124999999999998</v>
      </c>
      <c r="AD231" s="86">
        <f>AVERAGEIFS($D$2:D231, $B$2:B231, B231)</f>
        <v>0.5</v>
      </c>
    </row>
    <row r="232" spans="1:30" x14ac:dyDescent="0.25">
      <c r="A232" s="85">
        <v>46068</v>
      </c>
      <c r="B232" t="s">
        <v>27</v>
      </c>
      <c r="C232">
        <v>6</v>
      </c>
      <c r="D232" s="86">
        <v>1</v>
      </c>
      <c r="E232">
        <v>3</v>
      </c>
      <c r="F232">
        <v>3</v>
      </c>
      <c r="G232">
        <v>12</v>
      </c>
      <c r="H232">
        <v>9</v>
      </c>
      <c r="I232">
        <v>1</v>
      </c>
      <c r="J232">
        <v>0.75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0</v>
      </c>
      <c r="Z232">
        <v>1</v>
      </c>
      <c r="AA232" s="86">
        <f>AVERAGEIFS($C$2:C232, $B$2:B232, B232)</f>
        <v>13.875</v>
      </c>
      <c r="AB232" s="86">
        <f>AVERAGEIFS($I$2:I232, $B$2:B232, B232)</f>
        <v>0.57499999999999996</v>
      </c>
      <c r="AC232" s="86">
        <f>AVERAGEIFS($J$2:J232, $B$2:B232, B232)</f>
        <v>0.53125</v>
      </c>
      <c r="AD232" s="86">
        <f>AVERAGEIFS($D$2:D232, $B$2:B232, B232)</f>
        <v>0.625</v>
      </c>
    </row>
    <row r="233" spans="1:30" x14ac:dyDescent="0.25">
      <c r="A233" s="85">
        <v>46068</v>
      </c>
      <c r="B233" t="s">
        <v>18</v>
      </c>
      <c r="C233">
        <v>25</v>
      </c>
      <c r="D233" s="86">
        <v>0</v>
      </c>
      <c r="E233">
        <v>3</v>
      </c>
      <c r="F233">
        <v>0</v>
      </c>
      <c r="G233">
        <v>12</v>
      </c>
      <c r="H233">
        <v>3</v>
      </c>
      <c r="I233">
        <v>0</v>
      </c>
      <c r="J233">
        <v>0.25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 s="86">
        <f>AVERAGEIFS($C$2:C233, $B$2:B233, B233)</f>
        <v>26.285714285714285</v>
      </c>
      <c r="AB233" s="86">
        <f>AVERAGEIFS($I$2:I233, $B$2:B233, B233)</f>
        <v>0.42857142857142855</v>
      </c>
      <c r="AC233" s="86">
        <f>AVERAGEIFS($J$2:J233, $B$2:B233, B233)</f>
        <v>0.44285714285714278</v>
      </c>
      <c r="AD233" s="86">
        <f>AVERAGEIFS($D$2:D233, $B$2:B233, B233)</f>
        <v>0.42857142857142855</v>
      </c>
    </row>
    <row r="234" spans="1:30" x14ac:dyDescent="0.25">
      <c r="A234" s="85">
        <v>46068</v>
      </c>
      <c r="B234" t="s">
        <v>13</v>
      </c>
      <c r="C234">
        <v>18</v>
      </c>
      <c r="D234" s="86">
        <v>0</v>
      </c>
      <c r="E234">
        <v>3</v>
      </c>
      <c r="F234">
        <v>0</v>
      </c>
      <c r="G234">
        <v>12</v>
      </c>
      <c r="H234">
        <v>3</v>
      </c>
      <c r="I234">
        <v>0</v>
      </c>
      <c r="J234">
        <v>0.25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 s="86">
        <f>AVERAGEIFS($C$2:C234, $B$2:B234, B234)</f>
        <v>28.0625</v>
      </c>
      <c r="AB234" s="86">
        <f>AVERAGEIFS($I$2:I234, $B$2:B234, B234)</f>
        <v>0.51249999999999996</v>
      </c>
      <c r="AC234" s="86">
        <f>AVERAGEIFS($J$2:J234, $B$2:B234, B234)</f>
        <v>0.52374999999999994</v>
      </c>
      <c r="AD234" s="86">
        <f>AVERAGEIFS($D$2:D234, $B$2:B234, B234)</f>
        <v>0.625</v>
      </c>
    </row>
    <row r="235" spans="1:30" x14ac:dyDescent="0.25">
      <c r="A235" s="85">
        <v>46068</v>
      </c>
      <c r="B235" t="s">
        <v>3</v>
      </c>
      <c r="C235">
        <v>15</v>
      </c>
      <c r="D235" s="86">
        <v>0</v>
      </c>
      <c r="E235">
        <v>3</v>
      </c>
      <c r="F235">
        <v>0</v>
      </c>
      <c r="G235">
        <v>12</v>
      </c>
      <c r="H235">
        <v>3</v>
      </c>
      <c r="I235">
        <v>0</v>
      </c>
      <c r="J235">
        <v>0.25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 s="86">
        <f>AVERAGEIFS($C$2:C235, $B$2:B235, B235)</f>
        <v>23.428571428571427</v>
      </c>
      <c r="AB235" s="86">
        <f>AVERAGEIFS($I$2:I235, $B$2:B235, B235)</f>
        <v>0.47857142857142859</v>
      </c>
      <c r="AC235" s="86">
        <f>AVERAGEIFS($J$2:J235, $B$2:B235, B235)</f>
        <v>0.49714285714285705</v>
      </c>
      <c r="AD235" s="86">
        <f>AVERAGEIFS($D$2:D235, $B$2:B235, B235)</f>
        <v>0.5714285714285714</v>
      </c>
    </row>
    <row r="236" spans="1:30" x14ac:dyDescent="0.25">
      <c r="A236" s="85">
        <v>46068</v>
      </c>
      <c r="B236" t="s">
        <v>19</v>
      </c>
      <c r="C236">
        <v>9</v>
      </c>
      <c r="D236" s="86">
        <v>0</v>
      </c>
      <c r="E236">
        <v>3</v>
      </c>
      <c r="F236">
        <v>0</v>
      </c>
      <c r="G236">
        <v>12</v>
      </c>
      <c r="H236">
        <v>3</v>
      </c>
      <c r="I236">
        <v>0</v>
      </c>
      <c r="J236">
        <v>0.25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11.125</v>
      </c>
      <c r="AB236" s="86">
        <f>AVERAGEIFS($I$2:I236, $B$2:B236, B236)</f>
        <v>0.42500000000000004</v>
      </c>
      <c r="AC236" s="86">
        <f>AVERAGEIFS($J$2:J236, $B$2:B236, B236)</f>
        <v>0.45750000000000002</v>
      </c>
      <c r="AD236" s="86">
        <f>AVERAGEIFS($D$2:D236, $B$2:B236, B236)</f>
        <v>0.375</v>
      </c>
    </row>
    <row r="237" spans="1:30" x14ac:dyDescent="0.25">
      <c r="A237" s="85">
        <v>46068</v>
      </c>
      <c r="B237" t="s">
        <v>20</v>
      </c>
      <c r="C237">
        <v>7</v>
      </c>
      <c r="D237" s="86">
        <v>0</v>
      </c>
      <c r="E237">
        <v>3</v>
      </c>
      <c r="F237">
        <v>0</v>
      </c>
      <c r="G237">
        <v>12</v>
      </c>
      <c r="H237">
        <v>3</v>
      </c>
      <c r="I237">
        <v>0</v>
      </c>
      <c r="J237">
        <v>0.25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13.7</v>
      </c>
      <c r="AB237" s="86">
        <f>AVERAGEIFS($I$2:I237, $B$2:B237, B237)</f>
        <v>0.37</v>
      </c>
      <c r="AC237" s="86">
        <f>AVERAGEIFS($J$2:J237, $B$2:B237, B237)</f>
        <v>0.43100000000000005</v>
      </c>
      <c r="AD237" s="86">
        <f>AVERAGEIFS($D$2:D237, $B$2:B237, B237)</f>
        <v>0.2</v>
      </c>
    </row>
    <row r="238" spans="1:30" x14ac:dyDescent="0.25">
      <c r="A238" s="85">
        <v>46068</v>
      </c>
      <c r="B238" t="s">
        <v>38</v>
      </c>
      <c r="C238">
        <v>0</v>
      </c>
      <c r="D238" s="86">
        <v>0</v>
      </c>
      <c r="E238">
        <v>3</v>
      </c>
      <c r="F238">
        <v>0</v>
      </c>
      <c r="G238">
        <v>12</v>
      </c>
      <c r="H238">
        <v>3</v>
      </c>
      <c r="I238">
        <v>0</v>
      </c>
      <c r="J238">
        <v>0.25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f>AVERAGEIFS($C$2:C238, $B$2:B238, B238)</f>
        <v>2.3333333333333335</v>
      </c>
      <c r="AB238" s="86">
        <f>AVERAGEIFS($I$2:I238, $B$2:B238, B238)</f>
        <v>0.41666666666666669</v>
      </c>
      <c r="AC238" s="86">
        <f>AVERAGEIFS($J$2:J238, $B$2:B238, B238)</f>
        <v>0.45999999999999996</v>
      </c>
      <c r="AD238" s="86">
        <f>AVERAGEIFS($D$2:D238, $B$2:B238, B238)</f>
        <v>0.33333333333333331</v>
      </c>
    </row>
    <row r="239" spans="1:30" x14ac:dyDescent="0.25">
      <c r="A239" s="85">
        <v>46069</v>
      </c>
      <c r="B239" t="s">
        <v>6</v>
      </c>
      <c r="C239">
        <v>30</v>
      </c>
      <c r="D239" s="86">
        <v>1</v>
      </c>
      <c r="E239">
        <v>5</v>
      </c>
      <c r="F239">
        <v>3</v>
      </c>
      <c r="G239">
        <v>21</v>
      </c>
      <c r="H239">
        <v>10</v>
      </c>
      <c r="I239">
        <v>0.6</v>
      </c>
      <c r="J239">
        <v>0.48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1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1</v>
      </c>
      <c r="Y239">
        <v>0</v>
      </c>
      <c r="Z239">
        <v>0</v>
      </c>
      <c r="AA239" s="86">
        <f>AVERAGEIFS($C$2:C239, $B$2:B239, B239)</f>
        <v>23</v>
      </c>
      <c r="AB239" s="86">
        <f>AVERAGEIFS($I$2:I239, $B$2:B239, B239)</f>
        <v>0.59499999999999997</v>
      </c>
      <c r="AC239" s="86">
        <f>AVERAGEIFS($J$2:J239, $B$2:B239, B239)</f>
        <v>0.53599999999999992</v>
      </c>
      <c r="AD239" s="86">
        <f>AVERAGEIFS($D$2:D239, $B$2:B239, B239)</f>
        <v>0.7</v>
      </c>
    </row>
    <row r="240" spans="1:30" x14ac:dyDescent="0.25">
      <c r="A240" s="85">
        <v>46069</v>
      </c>
      <c r="B240" t="s">
        <v>13</v>
      </c>
      <c r="C240">
        <v>27</v>
      </c>
      <c r="D240" s="86">
        <v>1</v>
      </c>
      <c r="E240">
        <v>5</v>
      </c>
      <c r="F240">
        <v>3</v>
      </c>
      <c r="G240">
        <v>21</v>
      </c>
      <c r="H240">
        <v>10</v>
      </c>
      <c r="I240">
        <v>0.6</v>
      </c>
      <c r="J240">
        <v>0.48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1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1</v>
      </c>
      <c r="Y240">
        <v>0</v>
      </c>
      <c r="Z240">
        <v>0</v>
      </c>
      <c r="AA240" s="86">
        <f>AVERAGEIFS($C$2:C240, $B$2:B240, B240)</f>
        <v>28</v>
      </c>
      <c r="AB240" s="86">
        <f>AVERAGEIFS($I$2:I240, $B$2:B240, B240)</f>
        <v>0.51764705882352935</v>
      </c>
      <c r="AC240" s="86">
        <f>AVERAGEIFS($J$2:J240, $B$2:B240, B240)</f>
        <v>0.52117647058823524</v>
      </c>
      <c r="AD240" s="86">
        <f>AVERAGEIFS($D$2:D240, $B$2:B240, B240)</f>
        <v>0.6470588235294118</v>
      </c>
    </row>
    <row r="241" spans="1:30" x14ac:dyDescent="0.25">
      <c r="A241" s="85">
        <v>46069</v>
      </c>
      <c r="B241" t="s">
        <v>3</v>
      </c>
      <c r="C241">
        <v>19</v>
      </c>
      <c r="D241" s="86">
        <v>1</v>
      </c>
      <c r="E241">
        <v>5</v>
      </c>
      <c r="F241">
        <v>3</v>
      </c>
      <c r="G241">
        <v>21</v>
      </c>
      <c r="H241">
        <v>10</v>
      </c>
      <c r="I241">
        <v>0.6</v>
      </c>
      <c r="J241">
        <v>0.48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1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1</v>
      </c>
      <c r="Y241">
        <v>0</v>
      </c>
      <c r="Z241">
        <v>0</v>
      </c>
      <c r="AA241" s="86">
        <f>AVERAGEIFS($C$2:C241, $B$2:B241, B241)</f>
        <v>22.875</v>
      </c>
      <c r="AB241" s="86">
        <f>AVERAGEIFS($I$2:I241, $B$2:B241, B241)</f>
        <v>0.49375000000000002</v>
      </c>
      <c r="AC241" s="86">
        <f>AVERAGEIFS($J$2:J241, $B$2:B241, B241)</f>
        <v>0.49499999999999994</v>
      </c>
      <c r="AD241" s="86">
        <f>AVERAGEIFS($D$2:D241, $B$2:B241, B241)</f>
        <v>0.625</v>
      </c>
    </row>
    <row r="242" spans="1:30" x14ac:dyDescent="0.25">
      <c r="A242" s="85">
        <v>46069</v>
      </c>
      <c r="B242" t="s">
        <v>27</v>
      </c>
      <c r="C242">
        <v>19</v>
      </c>
      <c r="D242" s="86">
        <v>1</v>
      </c>
      <c r="E242">
        <v>5</v>
      </c>
      <c r="F242">
        <v>3</v>
      </c>
      <c r="G242">
        <v>21</v>
      </c>
      <c r="H242">
        <v>10</v>
      </c>
      <c r="I242">
        <v>0.6</v>
      </c>
      <c r="J242">
        <v>0.48</v>
      </c>
      <c r="K242">
        <v>0</v>
      </c>
      <c r="L242">
        <v>1</v>
      </c>
      <c r="M242">
        <v>0</v>
      </c>
      <c r="N242">
        <v>0</v>
      </c>
      <c r="O242">
        <v>0</v>
      </c>
      <c r="P242">
        <v>1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0</v>
      </c>
      <c r="AA242" s="86">
        <f>AVERAGEIFS($C$2:C242, $B$2:B242, B242)</f>
        <v>14.444444444444445</v>
      </c>
      <c r="AB242" s="86">
        <f>AVERAGEIFS($I$2:I242, $B$2:B242, B242)</f>
        <v>0.57777777777777772</v>
      </c>
      <c r="AC242" s="86">
        <f>AVERAGEIFS($J$2:J242, $B$2:B242, B242)</f>
        <v>0.52555555555555555</v>
      </c>
      <c r="AD242" s="86">
        <f>AVERAGEIFS($D$2:D242, $B$2:B242, B242)</f>
        <v>0.66666666666666663</v>
      </c>
    </row>
    <row r="243" spans="1:30" x14ac:dyDescent="0.25">
      <c r="A243" s="85">
        <v>46069</v>
      </c>
      <c r="B243" t="s">
        <v>35</v>
      </c>
      <c r="C243">
        <v>13</v>
      </c>
      <c r="D243" s="86">
        <v>1</v>
      </c>
      <c r="E243">
        <v>5</v>
      </c>
      <c r="F243">
        <v>3</v>
      </c>
      <c r="G243">
        <v>21</v>
      </c>
      <c r="H243">
        <v>10</v>
      </c>
      <c r="I243">
        <v>0.6</v>
      </c>
      <c r="J243">
        <v>0.48</v>
      </c>
      <c r="K243">
        <v>0</v>
      </c>
      <c r="L243">
        <v>1</v>
      </c>
      <c r="M243">
        <v>0</v>
      </c>
      <c r="N243">
        <v>0</v>
      </c>
      <c r="O243">
        <v>0</v>
      </c>
      <c r="P243">
        <v>1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0</v>
      </c>
      <c r="AA243" s="86">
        <f>AVERAGEIFS($C$2:C243, $B$2:B243, B243)</f>
        <v>9.4444444444444446</v>
      </c>
      <c r="AB243" s="86">
        <f>AVERAGEIFS($I$2:I243, $B$2:B243, B243)</f>
        <v>0.46666666666666667</v>
      </c>
      <c r="AC243" s="86">
        <f>AVERAGEIFS($J$2:J243, $B$2:B243, B243)</f>
        <v>0.50777777777777777</v>
      </c>
      <c r="AD243" s="86">
        <f>AVERAGEIFS($D$2:D243, $B$2:B243, B243)</f>
        <v>0.55555555555555558</v>
      </c>
    </row>
    <row r="244" spans="1:30" x14ac:dyDescent="0.25">
      <c r="A244" s="85">
        <v>46069</v>
      </c>
      <c r="B244" t="s">
        <v>17</v>
      </c>
      <c r="C244">
        <v>33</v>
      </c>
      <c r="D244" s="86">
        <v>0</v>
      </c>
      <c r="E244">
        <v>5</v>
      </c>
      <c r="F244">
        <v>2</v>
      </c>
      <c r="G244">
        <v>21</v>
      </c>
      <c r="H244">
        <v>11</v>
      </c>
      <c r="I244">
        <v>0.4</v>
      </c>
      <c r="J244">
        <v>0.52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1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 s="86">
        <f>AVERAGEIFS($C$2:C244, $B$2:B244, B244)</f>
        <v>26.058823529411764</v>
      </c>
      <c r="AB244" s="86">
        <f>AVERAGEIFS($I$2:I244, $B$2:B244, B244)</f>
        <v>0.61764705882352955</v>
      </c>
      <c r="AC244" s="86">
        <f>AVERAGEIFS($J$2:J244, $B$2:B244, B244)</f>
        <v>0.56882352941176473</v>
      </c>
      <c r="AD244" s="86">
        <f>AVERAGEIFS($D$2:D244, $B$2:B244, B244)</f>
        <v>0.52941176470588236</v>
      </c>
    </row>
    <row r="245" spans="1:30" x14ac:dyDescent="0.25">
      <c r="A245" s="85">
        <v>46069</v>
      </c>
      <c r="B245" t="s">
        <v>18</v>
      </c>
      <c r="C245">
        <v>28</v>
      </c>
      <c r="D245" s="86">
        <v>0</v>
      </c>
      <c r="E245">
        <v>5</v>
      </c>
      <c r="F245">
        <v>2</v>
      </c>
      <c r="G245">
        <v>21</v>
      </c>
      <c r="H245">
        <v>11</v>
      </c>
      <c r="I245">
        <v>0.4</v>
      </c>
      <c r="J245">
        <v>0.52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1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 s="86">
        <f>AVERAGEIFS($C$2:C245, $B$2:B245, B245)</f>
        <v>26.5</v>
      </c>
      <c r="AB245" s="86">
        <f>AVERAGEIFS($I$2:I245, $B$2:B245, B245)</f>
        <v>0.42499999999999999</v>
      </c>
      <c r="AC245" s="86">
        <f>AVERAGEIFS($J$2:J245, $B$2:B245, B245)</f>
        <v>0.45249999999999996</v>
      </c>
      <c r="AD245" s="86">
        <f>AVERAGEIFS($D$2:D245, $B$2:B245, B245)</f>
        <v>0.375</v>
      </c>
    </row>
    <row r="246" spans="1:30" x14ac:dyDescent="0.25">
      <c r="A246" s="85">
        <v>46069</v>
      </c>
      <c r="B246" t="s">
        <v>15</v>
      </c>
      <c r="C246">
        <v>27</v>
      </c>
      <c r="D246" s="86">
        <v>0</v>
      </c>
      <c r="E246">
        <v>5</v>
      </c>
      <c r="F246">
        <v>2</v>
      </c>
      <c r="G246">
        <v>21</v>
      </c>
      <c r="H246">
        <v>11</v>
      </c>
      <c r="I246">
        <v>0.4</v>
      </c>
      <c r="J246">
        <v>0.52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1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 s="86">
        <f>AVERAGEIFS($C$2:C246, $B$2:B246, B246)</f>
        <v>26.923076923076923</v>
      </c>
      <c r="AB246" s="86">
        <f>AVERAGEIFS($I$2:I246, $B$2:B246, B246)</f>
        <v>0.4884615384615385</v>
      </c>
      <c r="AC246" s="86">
        <f>AVERAGEIFS($J$2:J246, $B$2:B246, B246)</f>
        <v>0.48846153846153845</v>
      </c>
      <c r="AD246" s="86">
        <f>AVERAGEIFS($D$2:D246, $B$2:B246, B246)</f>
        <v>0.30769230769230771</v>
      </c>
    </row>
    <row r="247" spans="1:30" x14ac:dyDescent="0.25">
      <c r="A247" s="85">
        <v>46069</v>
      </c>
      <c r="B247" t="s">
        <v>25</v>
      </c>
      <c r="C247">
        <v>16</v>
      </c>
      <c r="D247" s="86">
        <v>0</v>
      </c>
      <c r="E247">
        <v>5</v>
      </c>
      <c r="F247">
        <v>2</v>
      </c>
      <c r="G247">
        <v>21</v>
      </c>
      <c r="H247">
        <v>11</v>
      </c>
      <c r="I247">
        <v>0.4</v>
      </c>
      <c r="J247">
        <v>0.52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1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 s="86">
        <f>AVERAGEIFS($C$2:C247, $B$2:B247, B247)</f>
        <v>17.2</v>
      </c>
      <c r="AB247" s="86">
        <f>AVERAGEIFS($I$2:I247, $B$2:B247, B247)</f>
        <v>0.63</v>
      </c>
      <c r="AC247" s="86">
        <f>AVERAGEIFS($J$2:J247, $B$2:B247, B247)</f>
        <v>0.59199999999999986</v>
      </c>
      <c r="AD247" s="86">
        <f>AVERAGEIFS($D$2:D247, $B$2:B247, B247)</f>
        <v>0.6</v>
      </c>
    </row>
    <row r="248" spans="1:30" x14ac:dyDescent="0.25">
      <c r="A248" s="85">
        <v>46069</v>
      </c>
      <c r="B248" t="s">
        <v>20</v>
      </c>
      <c r="C248">
        <v>11</v>
      </c>
      <c r="D248" s="86">
        <v>0</v>
      </c>
      <c r="E248">
        <v>5</v>
      </c>
      <c r="F248">
        <v>2</v>
      </c>
      <c r="G248">
        <v>21</v>
      </c>
      <c r="H248">
        <v>11</v>
      </c>
      <c r="I248">
        <v>0.4</v>
      </c>
      <c r="J248">
        <v>0.52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1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 s="86">
        <f>AVERAGEIFS($C$2:C248, $B$2:B248, B248)</f>
        <v>13.454545454545455</v>
      </c>
      <c r="AB248" s="86">
        <f>AVERAGEIFS($I$2:I248, $B$2:B248, B248)</f>
        <v>0.37272727272727268</v>
      </c>
      <c r="AC248" s="86">
        <f>AVERAGEIFS($J$2:J248, $B$2:B248, B248)</f>
        <v>0.43909090909090909</v>
      </c>
      <c r="AD248" s="86">
        <f>AVERAGEIFS($D$2:D248, $B$2:B248, B248)</f>
        <v>0.18181818181818182</v>
      </c>
    </row>
    <row r="249" spans="1:30" x14ac:dyDescent="0.25">
      <c r="A249" s="85">
        <v>46070</v>
      </c>
      <c r="B249" t="s">
        <v>14</v>
      </c>
      <c r="C249">
        <v>27</v>
      </c>
      <c r="D249" s="86">
        <v>1</v>
      </c>
      <c r="E249">
        <v>3</v>
      </c>
      <c r="F249">
        <v>3</v>
      </c>
      <c r="G249">
        <v>12</v>
      </c>
      <c r="H249">
        <v>9</v>
      </c>
      <c r="I249">
        <v>1</v>
      </c>
      <c r="J249">
        <v>0.75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1</v>
      </c>
      <c r="X249">
        <v>1</v>
      </c>
      <c r="Y249">
        <v>0</v>
      </c>
      <c r="Z249">
        <v>0</v>
      </c>
      <c r="AA249" s="86">
        <f>AVERAGEIFS($C$2:C249, $B$2:B249, B249)</f>
        <v>25.2</v>
      </c>
      <c r="AB249" s="86">
        <f>AVERAGEIFS($I$2:I249, $B$2:B249, B249)</f>
        <v>0.53666666666666674</v>
      </c>
      <c r="AC249" s="86">
        <f>AVERAGEIFS($J$2:J249, $B$2:B249, B249)</f>
        <v>0.5106666666666666</v>
      </c>
      <c r="AD249" s="86">
        <f>AVERAGEIFS($D$2:D249, $B$2:B249, B249)</f>
        <v>0.6</v>
      </c>
    </row>
    <row r="250" spans="1:30" x14ac:dyDescent="0.25">
      <c r="A250" s="85">
        <v>46070</v>
      </c>
      <c r="B250" t="s">
        <v>13</v>
      </c>
      <c r="C250">
        <v>12</v>
      </c>
      <c r="D250" s="86">
        <v>1</v>
      </c>
      <c r="E250">
        <v>3</v>
      </c>
      <c r="F250">
        <v>3</v>
      </c>
      <c r="G250">
        <v>12</v>
      </c>
      <c r="H250">
        <v>9</v>
      </c>
      <c r="I250">
        <v>1</v>
      </c>
      <c r="J250">
        <v>0.75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1</v>
      </c>
      <c r="X250">
        <v>1</v>
      </c>
      <c r="Y250">
        <v>0</v>
      </c>
      <c r="Z250">
        <v>0</v>
      </c>
      <c r="AA250" s="86">
        <f>AVERAGEIFS($C$2:C250, $B$2:B250, B250)</f>
        <v>27.111111111111111</v>
      </c>
      <c r="AB250" s="86">
        <f>AVERAGEIFS($I$2:I250, $B$2:B250, B250)</f>
        <v>0.5444444444444444</v>
      </c>
      <c r="AC250" s="86">
        <f>AVERAGEIFS($J$2:J250, $B$2:B250, B250)</f>
        <v>0.53388888888888886</v>
      </c>
      <c r="AD250" s="86">
        <f>AVERAGEIFS($D$2:D250, $B$2:B250, B250)</f>
        <v>0.66666666666666663</v>
      </c>
    </row>
    <row r="251" spans="1:30" x14ac:dyDescent="0.25">
      <c r="A251" s="85">
        <v>46070</v>
      </c>
      <c r="B251" t="s">
        <v>20</v>
      </c>
      <c r="C251">
        <v>9</v>
      </c>
      <c r="D251" s="86">
        <v>1</v>
      </c>
      <c r="E251">
        <v>3</v>
      </c>
      <c r="F251">
        <v>3</v>
      </c>
      <c r="G251">
        <v>12</v>
      </c>
      <c r="H251">
        <v>9</v>
      </c>
      <c r="I251">
        <v>1</v>
      </c>
      <c r="J251">
        <v>0.75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1</v>
      </c>
      <c r="X251">
        <v>1</v>
      </c>
      <c r="Y251">
        <v>0</v>
      </c>
      <c r="Z251">
        <v>0</v>
      </c>
      <c r="AA251" s="86">
        <f>AVERAGEIFS($C$2:C251, $B$2:B251, B251)</f>
        <v>13.083333333333334</v>
      </c>
      <c r="AB251" s="86">
        <f>AVERAGEIFS($I$2:I251, $B$2:B251, B251)</f>
        <v>0.42499999999999999</v>
      </c>
      <c r="AC251" s="86">
        <f>AVERAGEIFS($J$2:J251, $B$2:B251, B251)</f>
        <v>0.46500000000000002</v>
      </c>
      <c r="AD251" s="86">
        <f>AVERAGEIFS($D$2:D251, $B$2:B251, B251)</f>
        <v>0.25</v>
      </c>
    </row>
    <row r="252" spans="1:30" x14ac:dyDescent="0.25">
      <c r="A252" s="85">
        <v>46070</v>
      </c>
      <c r="B252" t="s">
        <v>26</v>
      </c>
      <c r="C252">
        <v>7</v>
      </c>
      <c r="D252" s="86">
        <v>1</v>
      </c>
      <c r="E252">
        <v>3</v>
      </c>
      <c r="F252">
        <v>3</v>
      </c>
      <c r="G252">
        <v>12</v>
      </c>
      <c r="H252">
        <v>9</v>
      </c>
      <c r="I252">
        <v>1</v>
      </c>
      <c r="J252">
        <v>0.75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1</v>
      </c>
      <c r="X252">
        <v>1</v>
      </c>
      <c r="Y252">
        <v>0</v>
      </c>
      <c r="Z252">
        <v>0</v>
      </c>
      <c r="AA252" s="86">
        <f>AVERAGEIFS($C$2:C252, $B$2:B252, B252)</f>
        <v>11.909090909090908</v>
      </c>
      <c r="AB252" s="86">
        <f>AVERAGEIFS($I$2:I252, $B$2:B252, B252)</f>
        <v>0.65909090909090906</v>
      </c>
      <c r="AC252" s="86">
        <f>AVERAGEIFS($J$2:J252, $B$2:B252, B252)</f>
        <v>0.60090909090909084</v>
      </c>
      <c r="AD252" s="86">
        <f>AVERAGEIFS($D$2:D252, $B$2:B252, B252)</f>
        <v>0.72727272727272729</v>
      </c>
    </row>
    <row r="253" spans="1:30" x14ac:dyDescent="0.25">
      <c r="A253" s="85">
        <v>46070</v>
      </c>
      <c r="B253" t="s">
        <v>34</v>
      </c>
      <c r="C253">
        <v>5</v>
      </c>
      <c r="D253" s="86">
        <v>1</v>
      </c>
      <c r="E253">
        <v>3</v>
      </c>
      <c r="F253">
        <v>3</v>
      </c>
      <c r="G253">
        <v>12</v>
      </c>
      <c r="H253">
        <v>9</v>
      </c>
      <c r="I253">
        <v>1</v>
      </c>
      <c r="J253">
        <v>0.75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1</v>
      </c>
      <c r="X253">
        <v>1</v>
      </c>
      <c r="Y253">
        <v>0</v>
      </c>
      <c r="Z253">
        <v>0</v>
      </c>
      <c r="AA253" s="86">
        <f>AVERAGEIFS($C$2:C253, $B$2:B253, B253)</f>
        <v>5</v>
      </c>
      <c r="AB253" s="86">
        <f>AVERAGEIFS($I$2:I253, $B$2:B253, B253)</f>
        <v>1</v>
      </c>
      <c r="AC253" s="86">
        <f>AVERAGEIFS($J$2:J253, $B$2:B253, B253)</f>
        <v>0.75</v>
      </c>
      <c r="AD253" s="86">
        <f>AVERAGEIFS($D$2:D253, $B$2:B253, B253)</f>
        <v>1</v>
      </c>
    </row>
    <row r="254" spans="1:30" x14ac:dyDescent="0.25">
      <c r="A254" s="85">
        <v>46070</v>
      </c>
      <c r="B254" t="s">
        <v>25</v>
      </c>
      <c r="C254">
        <v>3</v>
      </c>
      <c r="D254" s="86">
        <v>1</v>
      </c>
      <c r="E254">
        <v>3</v>
      </c>
      <c r="F254">
        <v>3</v>
      </c>
      <c r="G254">
        <v>12</v>
      </c>
      <c r="H254">
        <v>9</v>
      </c>
      <c r="I254">
        <v>1</v>
      </c>
      <c r="J254">
        <v>0.75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1</v>
      </c>
      <c r="X254">
        <v>1</v>
      </c>
      <c r="Y254">
        <v>0</v>
      </c>
      <c r="Z254">
        <v>0</v>
      </c>
      <c r="AA254" s="86">
        <f>AVERAGEIFS($C$2:C254, $B$2:B254, B254)</f>
        <v>14.833333333333334</v>
      </c>
      <c r="AB254" s="86">
        <f>AVERAGEIFS($I$2:I254, $B$2:B254, B254)</f>
        <v>0.69166666666666676</v>
      </c>
      <c r="AC254" s="86">
        <f>AVERAGEIFS($J$2:J254, $B$2:B254, B254)</f>
        <v>0.61833333333333329</v>
      </c>
      <c r="AD254" s="86">
        <f>AVERAGEIFS($D$2:D254, $B$2:B254, B254)</f>
        <v>0.66666666666666663</v>
      </c>
    </row>
    <row r="255" spans="1:30" x14ac:dyDescent="0.25">
      <c r="A255" s="85">
        <v>46070</v>
      </c>
      <c r="B255" t="s">
        <v>15</v>
      </c>
      <c r="C255">
        <v>11</v>
      </c>
      <c r="D255" s="86">
        <v>0</v>
      </c>
      <c r="E255">
        <v>3</v>
      </c>
      <c r="F255">
        <v>0</v>
      </c>
      <c r="G255">
        <v>12</v>
      </c>
      <c r="H255">
        <v>3</v>
      </c>
      <c r="I255">
        <v>0</v>
      </c>
      <c r="J255">
        <v>0.25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86">
        <f>AVERAGEIFS($C$2:C255, $B$2:B255, B255)</f>
        <v>25.785714285714285</v>
      </c>
      <c r="AB255" s="86">
        <f>AVERAGEIFS($I$2:I255, $B$2:B255, B255)</f>
        <v>0.45357142857142863</v>
      </c>
      <c r="AC255" s="86">
        <f>AVERAGEIFS($J$2:J255, $B$2:B255, B255)</f>
        <v>0.47142857142857142</v>
      </c>
      <c r="AD255" s="86">
        <f>AVERAGEIFS($D$2:D255, $B$2:B255, B255)</f>
        <v>0.2857142857142857</v>
      </c>
    </row>
    <row r="256" spans="1:30" x14ac:dyDescent="0.25">
      <c r="A256" s="85">
        <v>46070</v>
      </c>
      <c r="B256" t="s">
        <v>17</v>
      </c>
      <c r="C256">
        <v>11</v>
      </c>
      <c r="D256" s="86">
        <v>0</v>
      </c>
      <c r="E256">
        <v>3</v>
      </c>
      <c r="F256">
        <v>0</v>
      </c>
      <c r="G256">
        <v>12</v>
      </c>
      <c r="H256">
        <v>3</v>
      </c>
      <c r="I256">
        <v>0</v>
      </c>
      <c r="J256">
        <v>0.25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86">
        <f>AVERAGEIFS($C$2:C256, $B$2:B256, B256)</f>
        <v>25.222222222222221</v>
      </c>
      <c r="AB256" s="86">
        <f>AVERAGEIFS($I$2:I256, $B$2:B256, B256)</f>
        <v>0.58333333333333348</v>
      </c>
      <c r="AC256" s="86">
        <f>AVERAGEIFS($J$2:J256, $B$2:B256, B256)</f>
        <v>0.55111111111111111</v>
      </c>
      <c r="AD256" s="86">
        <f>AVERAGEIFS($D$2:D256, $B$2:B256, B256)</f>
        <v>0.5</v>
      </c>
    </row>
    <row r="257" spans="1:30" x14ac:dyDescent="0.25">
      <c r="A257" s="85">
        <v>46070</v>
      </c>
      <c r="B257" t="s">
        <v>19</v>
      </c>
      <c r="C257">
        <v>9</v>
      </c>
      <c r="D257" s="86">
        <v>0</v>
      </c>
      <c r="E257">
        <v>3</v>
      </c>
      <c r="F257">
        <v>0</v>
      </c>
      <c r="G257">
        <v>12</v>
      </c>
      <c r="H257">
        <v>3</v>
      </c>
      <c r="I257">
        <v>0</v>
      </c>
      <c r="J257">
        <v>0.25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86">
        <f>AVERAGEIFS($C$2:C257, $B$2:B257, B257)</f>
        <v>11</v>
      </c>
      <c r="AB257" s="86">
        <f>AVERAGEIFS($I$2:I257, $B$2:B257, B257)</f>
        <v>0.4</v>
      </c>
      <c r="AC257" s="86">
        <f>AVERAGEIFS($J$2:J257, $B$2:B257, B257)</f>
        <v>0.44529411764705884</v>
      </c>
      <c r="AD257" s="86">
        <f>AVERAGEIFS($D$2:D257, $B$2:B257, B257)</f>
        <v>0.35294117647058826</v>
      </c>
    </row>
    <row r="258" spans="1:30" x14ac:dyDescent="0.25">
      <c r="A258" s="85">
        <v>46070</v>
      </c>
      <c r="B258" t="s">
        <v>29</v>
      </c>
      <c r="C258">
        <v>6</v>
      </c>
      <c r="D258" s="86">
        <v>0</v>
      </c>
      <c r="E258">
        <v>3</v>
      </c>
      <c r="F258">
        <v>0</v>
      </c>
      <c r="G258">
        <v>12</v>
      </c>
      <c r="H258">
        <v>3</v>
      </c>
      <c r="I258">
        <v>0</v>
      </c>
      <c r="J258">
        <v>0.25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 s="86">
        <f>AVERAGEIFS($C$2:C258, $B$2:B258, B258)</f>
        <v>10.083333333333334</v>
      </c>
      <c r="AB258" s="86">
        <f>AVERAGEIFS($I$2:I258, $B$2:B258, B258)</f>
        <v>0.47083333333333327</v>
      </c>
      <c r="AC258" s="86">
        <f>AVERAGEIFS($J$2:J258, $B$2:B258, B258)</f>
        <v>0.48916666666666658</v>
      </c>
      <c r="AD258" s="86">
        <f>AVERAGEIFS($D$2:D258, $B$2:B258, B258)</f>
        <v>0.5</v>
      </c>
    </row>
    <row r="259" spans="1:30" x14ac:dyDescent="0.25">
      <c r="A259" s="85">
        <v>46070</v>
      </c>
      <c r="B259" t="s">
        <v>27</v>
      </c>
      <c r="C259">
        <v>4</v>
      </c>
      <c r="D259" s="86">
        <v>0</v>
      </c>
      <c r="E259">
        <v>3</v>
      </c>
      <c r="F259">
        <v>0</v>
      </c>
      <c r="G259">
        <v>12</v>
      </c>
      <c r="H259">
        <v>3</v>
      </c>
      <c r="I259">
        <v>0</v>
      </c>
      <c r="J259">
        <v>0.25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 s="86">
        <f>AVERAGEIFS($C$2:C259, $B$2:B259, B259)</f>
        <v>13.4</v>
      </c>
      <c r="AB259" s="86">
        <f>AVERAGEIFS($I$2:I259, $B$2:B259, B259)</f>
        <v>0.51999999999999991</v>
      </c>
      <c r="AC259" s="86">
        <f>AVERAGEIFS($J$2:J259, $B$2:B259, B259)</f>
        <v>0.49800000000000005</v>
      </c>
      <c r="AD259" s="86">
        <f>AVERAGEIFS($D$2:D259, $B$2:B259, B259)</f>
        <v>0.6</v>
      </c>
    </row>
    <row r="260" spans="1:30" x14ac:dyDescent="0.25">
      <c r="A260" s="85">
        <v>46070</v>
      </c>
      <c r="B260" t="s">
        <v>28</v>
      </c>
      <c r="C260">
        <v>4</v>
      </c>
      <c r="D260" s="86">
        <v>0</v>
      </c>
      <c r="E260">
        <v>3</v>
      </c>
      <c r="F260">
        <v>0</v>
      </c>
      <c r="G260">
        <v>12</v>
      </c>
      <c r="H260">
        <v>3</v>
      </c>
      <c r="I260">
        <v>0</v>
      </c>
      <c r="J260">
        <v>0.25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 s="86">
        <f>AVERAGEIFS($C$2:C260, $B$2:B260, B260)</f>
        <v>12.916666666666666</v>
      </c>
      <c r="AB260" s="86">
        <f>AVERAGEIFS($I$2:I260, $B$2:B260, B260)</f>
        <v>0.41666666666666669</v>
      </c>
      <c r="AC260" s="86">
        <f>AVERAGEIFS($J$2:J260, $B$2:B260, B260)</f>
        <v>0.45083333333333325</v>
      </c>
      <c r="AD260" s="86">
        <f>AVERAGEIFS($D$2:D260, $B$2:B260, B260)</f>
        <v>0.41666666666666669</v>
      </c>
    </row>
    <row r="261" spans="1:30" x14ac:dyDescent="0.25">
      <c r="A261" s="85">
        <v>46071</v>
      </c>
      <c r="B261" t="s">
        <v>13</v>
      </c>
      <c r="C261">
        <v>20</v>
      </c>
      <c r="D261" s="86">
        <v>1</v>
      </c>
      <c r="E261">
        <v>3</v>
      </c>
      <c r="F261">
        <v>3</v>
      </c>
      <c r="G261">
        <v>14</v>
      </c>
      <c r="H261">
        <v>9</v>
      </c>
      <c r="I261">
        <v>1</v>
      </c>
      <c r="J261">
        <v>0.64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1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1</v>
      </c>
      <c r="Y261">
        <v>0</v>
      </c>
      <c r="Z261">
        <v>0</v>
      </c>
      <c r="AA261" s="86">
        <f>AVERAGEIFS($C$2:C261, $B$2:B261, B261)</f>
        <v>26.736842105263158</v>
      </c>
      <c r="AB261" s="86">
        <f>AVERAGEIFS($I$2:I261, $B$2:B261, B261)</f>
        <v>0.56842105263157894</v>
      </c>
      <c r="AC261" s="86">
        <f>AVERAGEIFS($J$2:J261, $B$2:B261, B261)</f>
        <v>0.53947368421052633</v>
      </c>
      <c r="AD261" s="86">
        <f>AVERAGEIFS($D$2:D261, $B$2:B261, B261)</f>
        <v>0.68421052631578949</v>
      </c>
    </row>
    <row r="262" spans="1:30" x14ac:dyDescent="0.25">
      <c r="A262" s="85">
        <v>46071</v>
      </c>
      <c r="B262" t="s">
        <v>14</v>
      </c>
      <c r="C262">
        <v>14</v>
      </c>
      <c r="D262" s="86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1</v>
      </c>
      <c r="Q262">
        <v>0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1</v>
      </c>
      <c r="Y262">
        <v>0</v>
      </c>
      <c r="Z262">
        <v>0</v>
      </c>
      <c r="AA262" s="86">
        <f>AVERAGEIFS($C$2:C262, $B$2:B262, B262)</f>
        <v>24.5</v>
      </c>
      <c r="AB262" s="86">
        <f>AVERAGEIFS($I$2:I262, $B$2:B262, B262)</f>
        <v>0.56562500000000004</v>
      </c>
      <c r="AC262" s="86">
        <f>AVERAGEIFS($J$2:J262, $B$2:B262, B262)</f>
        <v>0.51874999999999993</v>
      </c>
      <c r="AD262" s="86">
        <f>AVERAGEIFS($D$2:D262, $B$2:B262, B262)</f>
        <v>0.625</v>
      </c>
    </row>
    <row r="263" spans="1:30" x14ac:dyDescent="0.25">
      <c r="A263" s="85">
        <v>46071</v>
      </c>
      <c r="B263" t="s">
        <v>25</v>
      </c>
      <c r="C263">
        <v>12</v>
      </c>
      <c r="D263" s="86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1</v>
      </c>
      <c r="Q263">
        <v>0</v>
      </c>
      <c r="R263">
        <v>1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1</v>
      </c>
      <c r="Y263">
        <v>0</v>
      </c>
      <c r="Z263">
        <v>0</v>
      </c>
      <c r="AA263" s="86">
        <f>AVERAGEIFS($C$2:C263, $B$2:B263, B263)</f>
        <v>14.428571428571429</v>
      </c>
      <c r="AB263" s="86">
        <f>AVERAGEIFS($I$2:I263, $B$2:B263, B263)</f>
        <v>0.73571428571428577</v>
      </c>
      <c r="AC263" s="86">
        <f>AVERAGEIFS($J$2:J263, $B$2:B263, B263)</f>
        <v>0.62142857142857133</v>
      </c>
      <c r="AD263" s="86">
        <f>AVERAGEIFS($D$2:D263, $B$2:B263, B263)</f>
        <v>0.7142857142857143</v>
      </c>
    </row>
    <row r="264" spans="1:30" x14ac:dyDescent="0.25">
      <c r="A264" s="85">
        <v>46071</v>
      </c>
      <c r="B264" t="s">
        <v>20</v>
      </c>
      <c r="C264">
        <v>10</v>
      </c>
      <c r="D264" s="86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1</v>
      </c>
      <c r="Q264">
        <v>0</v>
      </c>
      <c r="R264">
        <v>1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1</v>
      </c>
      <c r="Y264">
        <v>0</v>
      </c>
      <c r="Z264">
        <v>0</v>
      </c>
      <c r="AA264" s="86">
        <f>AVERAGEIFS($C$2:C264, $B$2:B264, B264)</f>
        <v>12.846153846153847</v>
      </c>
      <c r="AB264" s="86">
        <f>AVERAGEIFS($I$2:I264, $B$2:B264, B264)</f>
        <v>0.46923076923076923</v>
      </c>
      <c r="AC264" s="86">
        <f>AVERAGEIFS($J$2:J264, $B$2:B264, B264)</f>
        <v>0.47846153846153844</v>
      </c>
      <c r="AD264" s="86">
        <f>AVERAGEIFS($D$2:D264, $B$2:B264, B264)</f>
        <v>0.30769230769230771</v>
      </c>
    </row>
    <row r="265" spans="1:30" x14ac:dyDescent="0.25">
      <c r="A265" s="85">
        <v>46071</v>
      </c>
      <c r="B265" t="s">
        <v>26</v>
      </c>
      <c r="C265">
        <v>5</v>
      </c>
      <c r="D265" s="86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1</v>
      </c>
      <c r="Q265">
        <v>0</v>
      </c>
      <c r="R265">
        <v>1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1</v>
      </c>
      <c r="Y265">
        <v>0</v>
      </c>
      <c r="Z265">
        <v>0</v>
      </c>
      <c r="AA265" s="86">
        <f>AVERAGEIFS($C$2:C265, $B$2:B265, B265)</f>
        <v>11.333333333333334</v>
      </c>
      <c r="AB265" s="86">
        <f>AVERAGEIFS($I$2:I265, $B$2:B265, B265)</f>
        <v>0.6875</v>
      </c>
      <c r="AC265" s="86">
        <f>AVERAGEIFS($J$2:J265, $B$2:B265, B265)</f>
        <v>0.60416666666666663</v>
      </c>
      <c r="AD265" s="86">
        <f>AVERAGEIFS($D$2:D265, $B$2:B265, B265)</f>
        <v>0.75</v>
      </c>
    </row>
    <row r="266" spans="1:30" x14ac:dyDescent="0.25">
      <c r="A266" s="85">
        <v>46071</v>
      </c>
      <c r="B266" t="s">
        <v>15</v>
      </c>
      <c r="C266">
        <v>18</v>
      </c>
      <c r="D266" s="86">
        <v>0</v>
      </c>
      <c r="E266">
        <v>3</v>
      </c>
      <c r="F266">
        <v>0</v>
      </c>
      <c r="G266">
        <v>14</v>
      </c>
      <c r="H266">
        <v>5</v>
      </c>
      <c r="I266">
        <v>0</v>
      </c>
      <c r="J266">
        <v>0.36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86">
        <f>AVERAGEIFS($C$2:C266, $B$2:B266, B266)</f>
        <v>25.266666666666666</v>
      </c>
      <c r="AB266" s="86">
        <f>AVERAGEIFS($I$2:I266, $B$2:B266, B266)</f>
        <v>0.42333333333333339</v>
      </c>
      <c r="AC266" s="86">
        <f>AVERAGEIFS($J$2:J266, $B$2:B266, B266)</f>
        <v>0.46400000000000002</v>
      </c>
      <c r="AD266" s="86">
        <f>AVERAGEIFS($D$2:D266, $B$2:B266, B266)</f>
        <v>0.26666666666666666</v>
      </c>
    </row>
    <row r="267" spans="1:30" x14ac:dyDescent="0.25">
      <c r="A267" s="85">
        <v>46071</v>
      </c>
      <c r="B267" t="s">
        <v>17</v>
      </c>
      <c r="C267">
        <v>11</v>
      </c>
      <c r="D267" s="86">
        <v>0</v>
      </c>
      <c r="E267">
        <v>3</v>
      </c>
      <c r="F267">
        <v>0</v>
      </c>
      <c r="G267">
        <v>14</v>
      </c>
      <c r="H267">
        <v>5</v>
      </c>
      <c r="I267">
        <v>0</v>
      </c>
      <c r="J267">
        <v>0.36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86">
        <f>AVERAGEIFS($C$2:C267, $B$2:B267, B267)</f>
        <v>24.473684210526315</v>
      </c>
      <c r="AB267" s="86">
        <f>AVERAGEIFS($I$2:I267, $B$2:B267, B267)</f>
        <v>0.55263157894736847</v>
      </c>
      <c r="AC267" s="86">
        <f>AVERAGEIFS($J$2:J267, $B$2:B267, B267)</f>
        <v>0.54105263157894734</v>
      </c>
      <c r="AD267" s="86">
        <f>AVERAGEIFS($D$2:D267, $B$2:B267, B267)</f>
        <v>0.47368421052631576</v>
      </c>
    </row>
    <row r="268" spans="1:30" x14ac:dyDescent="0.25">
      <c r="A268" s="85">
        <v>46071</v>
      </c>
      <c r="B268" t="s">
        <v>27</v>
      </c>
      <c r="C268">
        <v>9</v>
      </c>
      <c r="D268" s="86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13</v>
      </c>
      <c r="AB268" s="86">
        <f>AVERAGEIFS($I$2:I268, $B$2:B268, B268)</f>
        <v>0.47272727272727266</v>
      </c>
      <c r="AC268" s="86">
        <f>AVERAGEIFS($J$2:J268, $B$2:B268, B268)</f>
        <v>0.48545454545454553</v>
      </c>
      <c r="AD268" s="86">
        <f>AVERAGEIFS($D$2:D268, $B$2:B268, B268)</f>
        <v>0.54545454545454541</v>
      </c>
    </row>
    <row r="269" spans="1:30" x14ac:dyDescent="0.25">
      <c r="A269" s="85">
        <v>46071</v>
      </c>
      <c r="B269" t="s">
        <v>28</v>
      </c>
      <c r="C269">
        <v>5</v>
      </c>
      <c r="D269" s="86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12.307692307692308</v>
      </c>
      <c r="AB269" s="86">
        <f>AVERAGEIFS($I$2:I269, $B$2:B269, B269)</f>
        <v>0.38461538461538464</v>
      </c>
      <c r="AC269" s="86">
        <f>AVERAGEIFS($J$2:J269, $B$2:B269, B269)</f>
        <v>0.44384615384615383</v>
      </c>
      <c r="AD269" s="86">
        <f>AVERAGEIFS($D$2:D269, $B$2:B269, B269)</f>
        <v>0.38461538461538464</v>
      </c>
    </row>
    <row r="270" spans="1:30" x14ac:dyDescent="0.25">
      <c r="A270" s="85">
        <v>46071</v>
      </c>
      <c r="B270" t="s">
        <v>29</v>
      </c>
      <c r="C270">
        <v>2</v>
      </c>
      <c r="D270" s="86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 s="86">
        <f>AVERAGEIFS($C$2:C270, $B$2:B270, B270)</f>
        <v>9.4615384615384617</v>
      </c>
      <c r="AB270" s="86">
        <f>AVERAGEIFS($I$2:I270, $B$2:B270, B270)</f>
        <v>0.43461538461538457</v>
      </c>
      <c r="AC270" s="86">
        <f>AVERAGEIFS($J$2:J270, $B$2:B270, B270)</f>
        <v>0.47923076923076918</v>
      </c>
      <c r="AD270" s="86">
        <f>AVERAGEIFS($D$2:D270, $B$2:B270, B270)</f>
        <v>0.46153846153846156</v>
      </c>
    </row>
    <row r="271" spans="1:30" x14ac:dyDescent="0.25">
      <c r="A271" s="85">
        <v>46074</v>
      </c>
      <c r="B271" t="s">
        <v>1</v>
      </c>
      <c r="C271">
        <v>32</v>
      </c>
      <c r="D271" s="86">
        <v>1</v>
      </c>
      <c r="E271">
        <v>4</v>
      </c>
      <c r="F271">
        <v>3</v>
      </c>
      <c r="G271">
        <v>18</v>
      </c>
      <c r="H271">
        <v>10</v>
      </c>
      <c r="I271">
        <v>0.75</v>
      </c>
      <c r="J271">
        <v>0.56000000000000005</v>
      </c>
      <c r="K271">
        <v>0</v>
      </c>
      <c r="L271">
        <v>1</v>
      </c>
      <c r="M271">
        <v>1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 s="86">
        <f>AVERAGEIFS($C$2:C271, $B$2:B271, B271)</f>
        <v>27.833333333333332</v>
      </c>
      <c r="AB271" s="86">
        <f>AVERAGEIFS($I$2:I271, $B$2:B271, B271)</f>
        <v>0.55833333333333335</v>
      </c>
      <c r="AC271" s="86">
        <f>AVERAGEIFS($J$2:J271, $B$2:B271, B271)</f>
        <v>0.49833333333333335</v>
      </c>
      <c r="AD271" s="86">
        <f>AVERAGEIFS($D$2:D271, $B$2:B271, B271)</f>
        <v>0.66666666666666663</v>
      </c>
    </row>
    <row r="272" spans="1:30" x14ac:dyDescent="0.25">
      <c r="A272" s="85">
        <v>46074</v>
      </c>
      <c r="B272" t="s">
        <v>2</v>
      </c>
      <c r="C272">
        <v>32</v>
      </c>
      <c r="D272" s="86">
        <v>1</v>
      </c>
      <c r="E272">
        <v>4</v>
      </c>
      <c r="F272">
        <v>3</v>
      </c>
      <c r="G272">
        <v>18</v>
      </c>
      <c r="H272">
        <v>10</v>
      </c>
      <c r="I272">
        <v>0.75</v>
      </c>
      <c r="J272">
        <v>0.56000000000000005</v>
      </c>
      <c r="K272">
        <v>0</v>
      </c>
      <c r="L272">
        <v>1</v>
      </c>
      <c r="M272">
        <v>1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 s="86">
        <f>AVERAGEIFS($C$2:C272, $B$2:B272, B272)</f>
        <v>25.666666666666668</v>
      </c>
      <c r="AB272" s="86">
        <f>AVERAGEIFS($I$2:I272, $B$2:B272, B272)</f>
        <v>0.50555555555555554</v>
      </c>
      <c r="AC272" s="86">
        <f>AVERAGEIFS($J$2:J272, $B$2:B272, B272)</f>
        <v>0.50888888888888895</v>
      </c>
      <c r="AD272" s="86">
        <f>AVERAGEIFS($D$2:D272, $B$2:B272, B272)</f>
        <v>0.44444444444444442</v>
      </c>
    </row>
    <row r="273" spans="1:30" x14ac:dyDescent="0.25">
      <c r="A273" s="85">
        <v>46074</v>
      </c>
      <c r="B273" t="s">
        <v>3</v>
      </c>
      <c r="C273">
        <v>29</v>
      </c>
      <c r="D273" s="86">
        <v>1</v>
      </c>
      <c r="E273">
        <v>4</v>
      </c>
      <c r="F273">
        <v>3</v>
      </c>
      <c r="G273">
        <v>18</v>
      </c>
      <c r="H273">
        <v>10</v>
      </c>
      <c r="I273">
        <v>0.75</v>
      </c>
      <c r="J273">
        <v>0.56000000000000005</v>
      </c>
      <c r="K273">
        <v>0</v>
      </c>
      <c r="L273">
        <v>1</v>
      </c>
      <c r="M273">
        <v>1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 s="86">
        <f>AVERAGEIFS($C$2:C273, $B$2:B273, B273)</f>
        <v>23.555555555555557</v>
      </c>
      <c r="AB273" s="86">
        <f>AVERAGEIFS($I$2:I273, $B$2:B273, B273)</f>
        <v>0.52222222222222225</v>
      </c>
      <c r="AC273" s="86">
        <f>AVERAGEIFS($J$2:J273, $B$2:B273, B273)</f>
        <v>0.50222222222222213</v>
      </c>
      <c r="AD273" s="86">
        <f>AVERAGEIFS($D$2:D273, $B$2:B273, B273)</f>
        <v>0.66666666666666663</v>
      </c>
    </row>
    <row r="274" spans="1:30" x14ac:dyDescent="0.25">
      <c r="A274" s="85">
        <v>46074</v>
      </c>
      <c r="B274" t="s">
        <v>4</v>
      </c>
      <c r="C274">
        <v>24</v>
      </c>
      <c r="D274" s="86">
        <v>1</v>
      </c>
      <c r="E274">
        <v>4</v>
      </c>
      <c r="F274">
        <v>3</v>
      </c>
      <c r="G274">
        <v>18</v>
      </c>
      <c r="H274">
        <v>10</v>
      </c>
      <c r="I274">
        <v>0.75</v>
      </c>
      <c r="J274">
        <v>0.56000000000000005</v>
      </c>
      <c r="K274">
        <v>0</v>
      </c>
      <c r="L274">
        <v>1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 s="86">
        <f>AVERAGEIFS($C$2:C274, $B$2:B274, B274)</f>
        <v>16.5</v>
      </c>
      <c r="AB274" s="86">
        <f>AVERAGEIFS($I$2:I274, $B$2:B274, B274)</f>
        <v>0.875</v>
      </c>
      <c r="AC274" s="86">
        <f>AVERAGEIFS($J$2:J274, $B$2:B274, B274)</f>
        <v>0.69</v>
      </c>
      <c r="AD274" s="86">
        <f>AVERAGEIFS($D$2:D274, $B$2:B274, B274)</f>
        <v>1</v>
      </c>
    </row>
    <row r="275" spans="1:30" x14ac:dyDescent="0.25">
      <c r="A275" s="85">
        <v>46074</v>
      </c>
      <c r="B275" t="s">
        <v>5</v>
      </c>
      <c r="C275">
        <v>23</v>
      </c>
      <c r="D275" s="86">
        <v>1</v>
      </c>
      <c r="E275">
        <v>4</v>
      </c>
      <c r="F275">
        <v>3</v>
      </c>
      <c r="G275">
        <v>18</v>
      </c>
      <c r="H275">
        <v>10</v>
      </c>
      <c r="I275">
        <v>0.75</v>
      </c>
      <c r="J275">
        <v>0.56000000000000005</v>
      </c>
      <c r="K275">
        <v>0</v>
      </c>
      <c r="L275">
        <v>1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1</v>
      </c>
      <c r="Z275">
        <v>0</v>
      </c>
      <c r="AA275" s="86">
        <f>AVERAGEIFS($C$2:C275, $B$2:B275, B275)</f>
        <v>26.25</v>
      </c>
      <c r="AB275" s="86">
        <f>AVERAGEIFS($I$2:I275, $B$2:B275, B275)</f>
        <v>0.48125000000000001</v>
      </c>
      <c r="AC275" s="86">
        <f>AVERAGEIFS($J$2:J275, $B$2:B275, B275)</f>
        <v>0.48749999999999999</v>
      </c>
      <c r="AD275" s="86">
        <f>AVERAGEIFS($D$2:D275, $B$2:B275, B275)</f>
        <v>0.5</v>
      </c>
    </row>
    <row r="276" spans="1:30" x14ac:dyDescent="0.25">
      <c r="A276" s="85">
        <v>46074</v>
      </c>
      <c r="B276" t="s">
        <v>6</v>
      </c>
      <c r="C276">
        <v>19</v>
      </c>
      <c r="D276" s="86">
        <v>1</v>
      </c>
      <c r="E276">
        <v>4</v>
      </c>
      <c r="F276">
        <v>3</v>
      </c>
      <c r="G276">
        <v>18</v>
      </c>
      <c r="H276">
        <v>10</v>
      </c>
      <c r="I276">
        <v>0.75</v>
      </c>
      <c r="J276">
        <v>0.56000000000000005</v>
      </c>
      <c r="K276">
        <v>0</v>
      </c>
      <c r="L276">
        <v>1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1</v>
      </c>
      <c r="Z276">
        <v>0</v>
      </c>
      <c r="AA276" s="86">
        <f>AVERAGEIFS($C$2:C276, $B$2:B276, B276)</f>
        <v>22.636363636363637</v>
      </c>
      <c r="AB276" s="86">
        <f>AVERAGEIFS($I$2:I276, $B$2:B276, B276)</f>
        <v>0.60909090909090902</v>
      </c>
      <c r="AC276" s="86">
        <f>AVERAGEIFS($J$2:J276, $B$2:B276, B276)</f>
        <v>0.53818181818181821</v>
      </c>
      <c r="AD276" s="86">
        <f>AVERAGEIFS($D$2:D276, $B$2:B276, B276)</f>
        <v>0.72727272727272729</v>
      </c>
    </row>
    <row r="277" spans="1:30" x14ac:dyDescent="0.25">
      <c r="A277" s="85">
        <v>46074</v>
      </c>
      <c r="B277" t="s">
        <v>46</v>
      </c>
      <c r="C277">
        <v>14</v>
      </c>
      <c r="D277" s="86">
        <v>1</v>
      </c>
      <c r="E277">
        <v>4</v>
      </c>
      <c r="F277">
        <v>3</v>
      </c>
      <c r="G277">
        <v>18</v>
      </c>
      <c r="H277">
        <v>10</v>
      </c>
      <c r="I277">
        <v>0.75</v>
      </c>
      <c r="J277">
        <v>0.56000000000000005</v>
      </c>
      <c r="K277">
        <v>0</v>
      </c>
      <c r="L277">
        <v>1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1</v>
      </c>
      <c r="Z277">
        <v>0</v>
      </c>
      <c r="AA277" s="86">
        <f>AVERAGEIFS($C$2:C277, $B$2:B277, B277)</f>
        <v>17.714285714285715</v>
      </c>
      <c r="AB277" s="86">
        <f>AVERAGEIFS($I$2:I277, $B$2:B277, B277)</f>
        <v>0.39285714285714285</v>
      </c>
      <c r="AC277" s="86">
        <f>AVERAGEIFS($J$2:J277, $B$2:B277, B277)</f>
        <v>0.45428571428571429</v>
      </c>
      <c r="AD277" s="86">
        <f>AVERAGEIFS($D$2:D277, $B$2:B277, B277)</f>
        <v>0.42857142857142855</v>
      </c>
    </row>
    <row r="278" spans="1:30" x14ac:dyDescent="0.25">
      <c r="A278" s="85">
        <v>46074</v>
      </c>
      <c r="B278" t="s">
        <v>13</v>
      </c>
      <c r="C278">
        <v>35</v>
      </c>
      <c r="D278" s="86">
        <v>0</v>
      </c>
      <c r="E278">
        <v>4</v>
      </c>
      <c r="F278">
        <v>1</v>
      </c>
      <c r="G278">
        <v>18</v>
      </c>
      <c r="H278">
        <v>8</v>
      </c>
      <c r="I278">
        <v>0.25</v>
      </c>
      <c r="J278">
        <v>0.44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1</v>
      </c>
      <c r="X278">
        <v>0</v>
      </c>
      <c r="Y278">
        <v>0</v>
      </c>
      <c r="Z278">
        <v>0</v>
      </c>
      <c r="AA278" s="86">
        <f>AVERAGEIFS($C$2:C278, $B$2:B278, B278)</f>
        <v>27.15</v>
      </c>
      <c r="AB278" s="86">
        <f>AVERAGEIFS($I$2:I278, $B$2:B278, B278)</f>
        <v>0.55249999999999999</v>
      </c>
      <c r="AC278" s="86">
        <f>AVERAGEIFS($J$2:J278, $B$2:B278, B278)</f>
        <v>0.53449999999999998</v>
      </c>
      <c r="AD278" s="86">
        <f>AVERAGEIFS($D$2:D278, $B$2:B278, B278)</f>
        <v>0.65</v>
      </c>
    </row>
    <row r="279" spans="1:30" x14ac:dyDescent="0.25">
      <c r="A279" s="85">
        <v>46074</v>
      </c>
      <c r="B279" t="s">
        <v>14</v>
      </c>
      <c r="C279">
        <v>32</v>
      </c>
      <c r="D279" s="86">
        <v>0</v>
      </c>
      <c r="E279">
        <v>4</v>
      </c>
      <c r="F279">
        <v>1</v>
      </c>
      <c r="G279">
        <v>18</v>
      </c>
      <c r="H279">
        <v>8</v>
      </c>
      <c r="I279">
        <v>0.25</v>
      </c>
      <c r="J279">
        <v>0.44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1</v>
      </c>
      <c r="X279">
        <v>0</v>
      </c>
      <c r="Y279">
        <v>0</v>
      </c>
      <c r="Z279">
        <v>0</v>
      </c>
      <c r="AA279" s="86">
        <f>AVERAGEIFS($C$2:C279, $B$2:B279, B279)</f>
        <v>24.941176470588236</v>
      </c>
      <c r="AB279" s="86">
        <f>AVERAGEIFS($I$2:I279, $B$2:B279, B279)</f>
        <v>0.54705882352941182</v>
      </c>
      <c r="AC279" s="86">
        <f>AVERAGEIFS($J$2:J279, $B$2:B279, B279)</f>
        <v>0.51411764705882346</v>
      </c>
      <c r="AD279" s="86">
        <f>AVERAGEIFS($D$2:D279, $B$2:B279, B279)</f>
        <v>0.58823529411764708</v>
      </c>
    </row>
    <row r="280" spans="1:30" x14ac:dyDescent="0.25">
      <c r="A280" s="85">
        <v>46074</v>
      </c>
      <c r="B280" t="s">
        <v>15</v>
      </c>
      <c r="C280">
        <v>31</v>
      </c>
      <c r="D280" s="86">
        <v>0</v>
      </c>
      <c r="E280">
        <v>4</v>
      </c>
      <c r="F280">
        <v>1</v>
      </c>
      <c r="G280">
        <v>18</v>
      </c>
      <c r="H280">
        <v>8</v>
      </c>
      <c r="I280">
        <v>0.25</v>
      </c>
      <c r="J280">
        <v>0.44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1</v>
      </c>
      <c r="X280">
        <v>0</v>
      </c>
      <c r="Y280">
        <v>0</v>
      </c>
      <c r="Z280">
        <v>0</v>
      </c>
      <c r="AA280" s="86">
        <f>AVERAGEIFS($C$2:C280, $B$2:B280, B280)</f>
        <v>25.625</v>
      </c>
      <c r="AB280" s="86">
        <f>AVERAGEIFS($I$2:I280, $B$2:B280, B280)</f>
        <v>0.41250000000000003</v>
      </c>
      <c r="AC280" s="86">
        <f>AVERAGEIFS($J$2:J280, $B$2:B280, B280)</f>
        <v>0.46250000000000002</v>
      </c>
      <c r="AD280" s="86">
        <f>AVERAGEIFS($D$2:D280, $B$2:B280, B280)</f>
        <v>0.25</v>
      </c>
    </row>
    <row r="281" spans="1:30" x14ac:dyDescent="0.25">
      <c r="A281" s="85">
        <v>46074</v>
      </c>
      <c r="B281" t="s">
        <v>17</v>
      </c>
      <c r="C281">
        <v>27</v>
      </c>
      <c r="D281" s="86">
        <v>0</v>
      </c>
      <c r="E281">
        <v>4</v>
      </c>
      <c r="F281">
        <v>1</v>
      </c>
      <c r="G281">
        <v>18</v>
      </c>
      <c r="H281">
        <v>8</v>
      </c>
      <c r="I281">
        <v>0.25</v>
      </c>
      <c r="J281">
        <v>0.44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1</v>
      </c>
      <c r="X281">
        <v>0</v>
      </c>
      <c r="Y281">
        <v>0</v>
      </c>
      <c r="Z281">
        <v>0</v>
      </c>
      <c r="AA281" s="86">
        <f>AVERAGEIFS($C$2:C281, $B$2:B281, B281)</f>
        <v>24.6</v>
      </c>
      <c r="AB281" s="86">
        <f>AVERAGEIFS($I$2:I281, $B$2:B281, B281)</f>
        <v>0.53750000000000009</v>
      </c>
      <c r="AC281" s="86">
        <f>AVERAGEIFS($J$2:J281, $B$2:B281, B281)</f>
        <v>0.53599999999999992</v>
      </c>
      <c r="AD281" s="86">
        <f>AVERAGEIFS($D$2:D281, $B$2:B281, B281)</f>
        <v>0.45</v>
      </c>
    </row>
    <row r="282" spans="1:30" x14ac:dyDescent="0.25">
      <c r="A282" s="85">
        <v>46074</v>
      </c>
      <c r="B282" t="s">
        <v>18</v>
      </c>
      <c r="C282">
        <v>20</v>
      </c>
      <c r="D282" s="86">
        <v>0</v>
      </c>
      <c r="E282">
        <v>4</v>
      </c>
      <c r="F282">
        <v>1</v>
      </c>
      <c r="G282">
        <v>18</v>
      </c>
      <c r="H282">
        <v>8</v>
      </c>
      <c r="I282">
        <v>0.25</v>
      </c>
      <c r="J282">
        <v>0.44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1</v>
      </c>
      <c r="X282">
        <v>0</v>
      </c>
      <c r="Y282">
        <v>0</v>
      </c>
      <c r="Z282">
        <v>0</v>
      </c>
      <c r="AA282" s="86">
        <f>AVERAGEIFS($C$2:C282, $B$2:B282, B282)</f>
        <v>25.777777777777779</v>
      </c>
      <c r="AB282" s="86">
        <f>AVERAGEIFS($I$2:I282, $B$2:B282, B282)</f>
        <v>0.40555555555555556</v>
      </c>
      <c r="AC282" s="86">
        <f>AVERAGEIFS($J$2:J282, $B$2:B282, B282)</f>
        <v>0.45111111111111107</v>
      </c>
      <c r="AD282" s="86">
        <f>AVERAGEIFS($D$2:D282, $B$2:B282, B282)</f>
        <v>0.33333333333333331</v>
      </c>
    </row>
    <row r="283" spans="1:30" x14ac:dyDescent="0.25">
      <c r="A283" s="85">
        <v>46074</v>
      </c>
      <c r="B283" t="s">
        <v>19</v>
      </c>
      <c r="C283">
        <v>15</v>
      </c>
      <c r="D283" s="86">
        <v>0</v>
      </c>
      <c r="E283">
        <v>4</v>
      </c>
      <c r="F283">
        <v>1</v>
      </c>
      <c r="G283">
        <v>18</v>
      </c>
      <c r="H283">
        <v>8</v>
      </c>
      <c r="I283">
        <v>0.25</v>
      </c>
      <c r="J283">
        <v>0.44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1</v>
      </c>
      <c r="X283">
        <v>0</v>
      </c>
      <c r="Y283">
        <v>0</v>
      </c>
      <c r="Z283">
        <v>0</v>
      </c>
      <c r="AA283" s="86">
        <f>AVERAGEIFS($C$2:C283, $B$2:B283, B283)</f>
        <v>11.222222222222221</v>
      </c>
      <c r="AB283" s="86">
        <f>AVERAGEIFS($I$2:I283, $B$2:B283, B283)</f>
        <v>0.39166666666666672</v>
      </c>
      <c r="AC283" s="86">
        <f>AVERAGEIFS($J$2:J283, $B$2:B283, B283)</f>
        <v>0.44500000000000001</v>
      </c>
      <c r="AD283" s="86">
        <f>AVERAGEIFS($D$2:D283, $B$2:B283, B283)</f>
        <v>0.33333333333333331</v>
      </c>
    </row>
    <row r="284" spans="1:30" x14ac:dyDescent="0.25">
      <c r="A284" s="85">
        <v>46074</v>
      </c>
      <c r="B284" t="s">
        <v>20</v>
      </c>
      <c r="C284">
        <v>14</v>
      </c>
      <c r="D284" s="86">
        <v>0</v>
      </c>
      <c r="E284">
        <v>4</v>
      </c>
      <c r="F284">
        <v>1</v>
      </c>
      <c r="G284">
        <v>18</v>
      </c>
      <c r="H284">
        <v>8</v>
      </c>
      <c r="I284">
        <v>0.25</v>
      </c>
      <c r="J284">
        <v>0.44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1</v>
      </c>
      <c r="X284">
        <v>0</v>
      </c>
      <c r="Y284">
        <v>0</v>
      </c>
      <c r="Z284">
        <v>0</v>
      </c>
      <c r="AA284" s="86">
        <f>AVERAGEIFS($C$2:C284, $B$2:B284, B284)</f>
        <v>12.928571428571429</v>
      </c>
      <c r="AB284" s="86">
        <f>AVERAGEIFS($I$2:I284, $B$2:B284, B284)</f>
        <v>0.45357142857142857</v>
      </c>
      <c r="AC284" s="86">
        <f>AVERAGEIFS($J$2:J284, $B$2:B284, B284)</f>
        <v>0.4757142857142857</v>
      </c>
      <c r="AD284" s="86">
        <f>AVERAGEIFS($D$2:D284, $B$2:B284, B284)</f>
        <v>0.2857142857142857</v>
      </c>
    </row>
    <row r="285" spans="1:30" x14ac:dyDescent="0.25">
      <c r="A285" s="85">
        <v>46075</v>
      </c>
      <c r="B285" t="s">
        <v>18</v>
      </c>
      <c r="C285">
        <v>36</v>
      </c>
      <c r="D285" s="86">
        <v>1</v>
      </c>
      <c r="E285">
        <v>4</v>
      </c>
      <c r="F285">
        <v>3</v>
      </c>
      <c r="G285">
        <v>18</v>
      </c>
      <c r="H285">
        <v>10</v>
      </c>
      <c r="I285">
        <v>0.75</v>
      </c>
      <c r="J285">
        <v>0.56000000000000005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1</v>
      </c>
      <c r="X285">
        <v>0</v>
      </c>
      <c r="Y285">
        <v>0</v>
      </c>
      <c r="Z285">
        <v>0</v>
      </c>
      <c r="AA285" s="86">
        <f>AVERAGEIFS($C$2:C285, $B$2:B285, B285)</f>
        <v>26.8</v>
      </c>
      <c r="AB285" s="86">
        <f>AVERAGEIFS($I$2:I285, $B$2:B285, B285)</f>
        <v>0.44000000000000006</v>
      </c>
      <c r="AC285" s="86">
        <f>AVERAGEIFS($J$2:J285, $B$2:B285, B285)</f>
        <v>0.46199999999999991</v>
      </c>
      <c r="AD285" s="86">
        <f>AVERAGEIFS($D$2:D285, $B$2:B285, B285)</f>
        <v>0.4</v>
      </c>
    </row>
    <row r="286" spans="1:30" x14ac:dyDescent="0.25">
      <c r="A286" s="85">
        <v>46075</v>
      </c>
      <c r="B286" t="s">
        <v>46</v>
      </c>
      <c r="C286">
        <v>36</v>
      </c>
      <c r="D286" s="86">
        <v>1</v>
      </c>
      <c r="E286">
        <v>4</v>
      </c>
      <c r="F286">
        <v>3</v>
      </c>
      <c r="G286">
        <v>18</v>
      </c>
      <c r="H286">
        <v>10</v>
      </c>
      <c r="I286">
        <v>0.75</v>
      </c>
      <c r="J286">
        <v>0.56000000000000005</v>
      </c>
      <c r="K286">
        <v>0</v>
      </c>
      <c r="L286">
        <v>0</v>
      </c>
      <c r="M286">
        <v>0</v>
      </c>
      <c r="N286">
        <v>1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1</v>
      </c>
      <c r="X286">
        <v>0</v>
      </c>
      <c r="Y286">
        <v>0</v>
      </c>
      <c r="Z286">
        <v>0</v>
      </c>
      <c r="AA286" s="86">
        <f>AVERAGEIFS($C$2:C286, $B$2:B286, B286)</f>
        <v>20</v>
      </c>
      <c r="AB286" s="86">
        <f>AVERAGEIFS($I$2:I286, $B$2:B286, B286)</f>
        <v>0.4375</v>
      </c>
      <c r="AC286" s="86">
        <f>AVERAGEIFS($J$2:J286, $B$2:B286, B286)</f>
        <v>0.46750000000000003</v>
      </c>
      <c r="AD286" s="86">
        <f>AVERAGEIFS($D$2:D286, $B$2:B286, B286)</f>
        <v>0.5</v>
      </c>
    </row>
    <row r="287" spans="1:30" x14ac:dyDescent="0.25">
      <c r="A287" s="85">
        <v>46075</v>
      </c>
      <c r="B287" t="s">
        <v>6</v>
      </c>
      <c r="C287">
        <v>25</v>
      </c>
      <c r="D287" s="86">
        <v>1</v>
      </c>
      <c r="E287">
        <v>4</v>
      </c>
      <c r="F287">
        <v>3</v>
      </c>
      <c r="G287">
        <v>18</v>
      </c>
      <c r="H287">
        <v>10</v>
      </c>
      <c r="I287">
        <v>0.75</v>
      </c>
      <c r="J287">
        <v>0.56000000000000005</v>
      </c>
      <c r="K287">
        <v>0</v>
      </c>
      <c r="L287">
        <v>0</v>
      </c>
      <c r="M287">
        <v>0</v>
      </c>
      <c r="N287">
        <v>1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 s="86">
        <f>AVERAGEIFS($C$2:C287, $B$2:B287, B287)</f>
        <v>22.833333333333332</v>
      </c>
      <c r="AB287" s="86">
        <f>AVERAGEIFS($I$2:I287, $B$2:B287, B287)</f>
        <v>0.62083333333333324</v>
      </c>
      <c r="AC287" s="86">
        <f>AVERAGEIFS($J$2:J287, $B$2:B287, B287)</f>
        <v>0.54</v>
      </c>
      <c r="AD287" s="86">
        <f>AVERAGEIFS($D$2:D287, $B$2:B287, B287)</f>
        <v>0.75</v>
      </c>
    </row>
    <row r="288" spans="1:30" x14ac:dyDescent="0.25">
      <c r="A288" s="85">
        <v>46075</v>
      </c>
      <c r="B288" t="s">
        <v>51</v>
      </c>
      <c r="C288">
        <v>22</v>
      </c>
      <c r="D288" s="86">
        <v>1</v>
      </c>
      <c r="E288">
        <v>4</v>
      </c>
      <c r="F288">
        <v>3</v>
      </c>
      <c r="G288">
        <v>18</v>
      </c>
      <c r="H288">
        <v>10</v>
      </c>
      <c r="I288">
        <v>0.75</v>
      </c>
      <c r="J288">
        <v>0.56000000000000005</v>
      </c>
      <c r="K288">
        <v>0</v>
      </c>
      <c r="L288">
        <v>0</v>
      </c>
      <c r="M288">
        <v>0</v>
      </c>
      <c r="N288">
        <v>1</v>
      </c>
      <c r="O288">
        <v>0</v>
      </c>
      <c r="P288">
        <v>1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 s="86">
        <f>AVERAGEIFS($C$2:C288, $B$2:B288, B288)</f>
        <v>13.636363636363637</v>
      </c>
      <c r="AB288" s="86">
        <f>AVERAGEIFS($I$2:I288, $B$2:B288, B288)</f>
        <v>0.57727272727272727</v>
      </c>
      <c r="AC288" s="86">
        <f>AVERAGEIFS($J$2:J288, $B$2:B288, B288)</f>
        <v>0.53454545454545466</v>
      </c>
      <c r="AD288" s="86">
        <f>AVERAGEIFS($D$2:D288, $B$2:B288, B288)</f>
        <v>0.63636363636363635</v>
      </c>
    </row>
    <row r="289" spans="1:30" x14ac:dyDescent="0.25">
      <c r="A289" s="85">
        <v>46075</v>
      </c>
      <c r="B289" t="s">
        <v>26</v>
      </c>
      <c r="C289">
        <v>17</v>
      </c>
      <c r="D289" s="86">
        <v>1</v>
      </c>
      <c r="E289">
        <v>4</v>
      </c>
      <c r="F289">
        <v>3</v>
      </c>
      <c r="G289">
        <v>18</v>
      </c>
      <c r="H289">
        <v>10</v>
      </c>
      <c r="I289">
        <v>0.75</v>
      </c>
      <c r="J289">
        <v>0.56000000000000005</v>
      </c>
      <c r="K289">
        <v>0</v>
      </c>
      <c r="L289">
        <v>0</v>
      </c>
      <c r="M289">
        <v>0</v>
      </c>
      <c r="N289">
        <v>1</v>
      </c>
      <c r="O289">
        <v>0</v>
      </c>
      <c r="P289">
        <v>1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 s="86">
        <f>AVERAGEIFS($C$2:C289, $B$2:B289, B289)</f>
        <v>11.76923076923077</v>
      </c>
      <c r="AB289" s="86">
        <f>AVERAGEIFS($I$2:I289, $B$2:B289, B289)</f>
        <v>0.69230769230769229</v>
      </c>
      <c r="AC289" s="86">
        <f>AVERAGEIFS($J$2:J289, $B$2:B289, B289)</f>
        <v>0.60076923076923072</v>
      </c>
      <c r="AD289" s="86">
        <f>AVERAGEIFS($D$2:D289, $B$2:B289, B289)</f>
        <v>0.76923076923076927</v>
      </c>
    </row>
    <row r="290" spans="1:30" x14ac:dyDescent="0.25">
      <c r="A290" s="85">
        <v>46075</v>
      </c>
      <c r="B290" t="s">
        <v>38</v>
      </c>
      <c r="C290">
        <v>6</v>
      </c>
      <c r="D290" s="86">
        <v>1</v>
      </c>
      <c r="E290">
        <v>4</v>
      </c>
      <c r="F290">
        <v>3</v>
      </c>
      <c r="G290">
        <v>18</v>
      </c>
      <c r="H290">
        <v>10</v>
      </c>
      <c r="I290">
        <v>0.75</v>
      </c>
      <c r="J290">
        <v>0.56000000000000005</v>
      </c>
      <c r="K290">
        <v>0</v>
      </c>
      <c r="L290">
        <v>0</v>
      </c>
      <c r="M290">
        <v>0</v>
      </c>
      <c r="N290">
        <v>1</v>
      </c>
      <c r="O290">
        <v>0</v>
      </c>
      <c r="P290">
        <v>1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 s="86">
        <f>AVERAGEIFS($C$2:C290, $B$2:B290, B290)</f>
        <v>3.25</v>
      </c>
      <c r="AB290" s="86">
        <f>AVERAGEIFS($I$2:I290, $B$2:B290, B290)</f>
        <v>0.5</v>
      </c>
      <c r="AC290" s="86">
        <f>AVERAGEIFS($J$2:J290, $B$2:B290, B290)</f>
        <v>0.48499999999999999</v>
      </c>
      <c r="AD290" s="86">
        <f>AVERAGEIFS($D$2:D290, $B$2:B290, B290)</f>
        <v>0.5</v>
      </c>
    </row>
    <row r="291" spans="1:30" x14ac:dyDescent="0.25">
      <c r="A291" s="85">
        <v>46075</v>
      </c>
      <c r="B291" t="s">
        <v>17</v>
      </c>
      <c r="C291">
        <v>42</v>
      </c>
      <c r="D291" s="86">
        <v>0</v>
      </c>
      <c r="E291">
        <v>4</v>
      </c>
      <c r="F291">
        <v>1</v>
      </c>
      <c r="G291">
        <v>18</v>
      </c>
      <c r="H291">
        <v>8</v>
      </c>
      <c r="I291">
        <v>0.25</v>
      </c>
      <c r="J291">
        <v>0.44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1</v>
      </c>
      <c r="AA291" s="86">
        <f>AVERAGEIFS($C$2:C291, $B$2:B291, B291)</f>
        <v>25.428571428571427</v>
      </c>
      <c r="AB291" s="86">
        <f>AVERAGEIFS($I$2:I291, $B$2:B291, B291)</f>
        <v>0.52380952380952395</v>
      </c>
      <c r="AC291" s="86">
        <f>AVERAGEIFS($J$2:J291, $B$2:B291, B291)</f>
        <v>0.53142857142857136</v>
      </c>
      <c r="AD291" s="86">
        <f>AVERAGEIFS($D$2:D291, $B$2:B291, B291)</f>
        <v>0.42857142857142855</v>
      </c>
    </row>
    <row r="292" spans="1:30" x14ac:dyDescent="0.25">
      <c r="A292" s="85">
        <v>46075</v>
      </c>
      <c r="B292" t="s">
        <v>15</v>
      </c>
      <c r="C292">
        <v>35</v>
      </c>
      <c r="D292" s="86">
        <v>0</v>
      </c>
      <c r="E292">
        <v>4</v>
      </c>
      <c r="F292">
        <v>1</v>
      </c>
      <c r="G292">
        <v>18</v>
      </c>
      <c r="H292">
        <v>8</v>
      </c>
      <c r="I292">
        <v>0.25</v>
      </c>
      <c r="J292">
        <v>0.44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1</v>
      </c>
      <c r="AA292" s="86">
        <f>AVERAGEIFS($C$2:C292, $B$2:B292, B292)</f>
        <v>26.176470588235293</v>
      </c>
      <c r="AB292" s="86">
        <f>AVERAGEIFS($I$2:I292, $B$2:B292, B292)</f>
        <v>0.40294117647058825</v>
      </c>
      <c r="AC292" s="86">
        <f>AVERAGEIFS($J$2:J292, $B$2:B292, B292)</f>
        <v>0.46117647058823535</v>
      </c>
      <c r="AD292" s="86">
        <f>AVERAGEIFS($D$2:D292, $B$2:B292, B292)</f>
        <v>0.23529411764705882</v>
      </c>
    </row>
    <row r="293" spans="1:30" x14ac:dyDescent="0.25">
      <c r="A293" s="85">
        <v>46075</v>
      </c>
      <c r="B293" t="s">
        <v>28</v>
      </c>
      <c r="C293">
        <v>18</v>
      </c>
      <c r="D293" s="86">
        <v>0</v>
      </c>
      <c r="E293">
        <v>4</v>
      </c>
      <c r="F293">
        <v>1</v>
      </c>
      <c r="G293">
        <v>18</v>
      </c>
      <c r="H293">
        <v>8</v>
      </c>
      <c r="I293">
        <v>0.25</v>
      </c>
      <c r="J293">
        <v>0.44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 s="86">
        <f>AVERAGEIFS($C$2:C293, $B$2:B293, B293)</f>
        <v>12.714285714285714</v>
      </c>
      <c r="AB293" s="86">
        <f>AVERAGEIFS($I$2:I293, $B$2:B293, B293)</f>
        <v>0.375</v>
      </c>
      <c r="AC293" s="86">
        <f>AVERAGEIFS($J$2:J293, $B$2:B293, B293)</f>
        <v>0.44357142857142856</v>
      </c>
      <c r="AD293" s="86">
        <f>AVERAGEIFS($D$2:D293, $B$2:B293, B293)</f>
        <v>0.35714285714285715</v>
      </c>
    </row>
    <row r="294" spans="1:30" x14ac:dyDescent="0.25">
      <c r="A294" s="85">
        <v>46075</v>
      </c>
      <c r="B294" t="s">
        <v>25</v>
      </c>
      <c r="C294">
        <v>16</v>
      </c>
      <c r="D294" s="86">
        <v>0</v>
      </c>
      <c r="E294">
        <v>4</v>
      </c>
      <c r="F294">
        <v>1</v>
      </c>
      <c r="G294">
        <v>18</v>
      </c>
      <c r="H294">
        <v>8</v>
      </c>
      <c r="I294">
        <v>0.25</v>
      </c>
      <c r="J294">
        <v>0.44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 s="86">
        <f>AVERAGEIFS($C$2:C294, $B$2:B294, B294)</f>
        <v>14.625</v>
      </c>
      <c r="AB294" s="86">
        <f>AVERAGEIFS($I$2:I294, $B$2:B294, B294)</f>
        <v>0.67500000000000004</v>
      </c>
      <c r="AC294" s="86">
        <f>AVERAGEIFS($J$2:J294, $B$2:B294, B294)</f>
        <v>0.59875</v>
      </c>
      <c r="AD294" s="86">
        <f>AVERAGEIFS($D$2:D294, $B$2:B294, B294)</f>
        <v>0.625</v>
      </c>
    </row>
    <row r="295" spans="1:30" x14ac:dyDescent="0.25">
      <c r="A295" s="85">
        <v>46075</v>
      </c>
      <c r="B295" t="s">
        <v>40</v>
      </c>
      <c r="C295">
        <v>16</v>
      </c>
      <c r="D295" s="86">
        <v>0</v>
      </c>
      <c r="E295">
        <v>4</v>
      </c>
      <c r="F295">
        <v>1</v>
      </c>
      <c r="G295">
        <v>18</v>
      </c>
      <c r="H295">
        <v>8</v>
      </c>
      <c r="I295">
        <v>0.25</v>
      </c>
      <c r="J295">
        <v>0.44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 s="86">
        <f>AVERAGEIFS($C$2:C295, $B$2:B295, B295)</f>
        <v>12.333333333333334</v>
      </c>
      <c r="AB295" s="86">
        <f>AVERAGEIFS($I$2:I295, $B$2:B295, B295)</f>
        <v>0.16666666666666666</v>
      </c>
      <c r="AC295" s="86">
        <f>AVERAGEIFS($J$2:J295, $B$2:B295, B295)</f>
        <v>0.31</v>
      </c>
      <c r="AD295" s="86">
        <f>AVERAGEIFS($D$2:D295, $B$2:B295, B295)</f>
        <v>0</v>
      </c>
    </row>
    <row r="296" spans="1:30" x14ac:dyDescent="0.25">
      <c r="A296" s="85">
        <v>46075</v>
      </c>
      <c r="B296" t="s">
        <v>137</v>
      </c>
      <c r="C296">
        <v>13</v>
      </c>
      <c r="D296" s="86">
        <v>0</v>
      </c>
      <c r="E296">
        <v>4</v>
      </c>
      <c r="F296">
        <v>1</v>
      </c>
      <c r="G296">
        <v>18</v>
      </c>
      <c r="H296">
        <v>8</v>
      </c>
      <c r="I296">
        <v>0.25</v>
      </c>
      <c r="J296">
        <v>0.44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 s="86">
        <f>AVERAGEIFS($C$2:C296, $B$2:B296, B296)</f>
        <v>9</v>
      </c>
      <c r="AB296" s="86">
        <f>AVERAGEIFS($I$2:I296, $B$2:B296, B296)</f>
        <v>0.6</v>
      </c>
      <c r="AC296" s="86">
        <f>AVERAGEIFS($J$2:J296, $B$2:B296, B296)</f>
        <v>0.54499999999999993</v>
      </c>
      <c r="AD296" s="86">
        <f>AVERAGEIFS($D$2:D296, $B$2:B296, B296)</f>
        <v>0.5</v>
      </c>
    </row>
    <row r="297" spans="1:30" x14ac:dyDescent="0.25">
      <c r="A297" s="85">
        <v>46075</v>
      </c>
      <c r="B297" t="s">
        <v>13</v>
      </c>
      <c r="C297">
        <v>38</v>
      </c>
      <c r="D297" s="86">
        <v>1</v>
      </c>
      <c r="E297">
        <v>4</v>
      </c>
      <c r="F297">
        <v>3</v>
      </c>
      <c r="G297">
        <v>16</v>
      </c>
      <c r="H297">
        <v>10</v>
      </c>
      <c r="I297">
        <v>0.75</v>
      </c>
      <c r="J297">
        <v>0.63</v>
      </c>
      <c r="K297">
        <v>0</v>
      </c>
      <c r="L297">
        <v>1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1</v>
      </c>
      <c r="X297">
        <v>0</v>
      </c>
      <c r="Y297">
        <v>0</v>
      </c>
      <c r="Z297">
        <v>0</v>
      </c>
      <c r="AA297" s="86">
        <f>AVERAGEIFS($C$2:C297, $B$2:B297, B297)</f>
        <v>27.666666666666668</v>
      </c>
      <c r="AB297" s="86">
        <f>AVERAGEIFS($I$2:I297, $B$2:B297, B297)</f>
        <v>0.56190476190476191</v>
      </c>
      <c r="AC297" s="86">
        <f>AVERAGEIFS($J$2:J297, $B$2:B297, B297)</f>
        <v>0.53904761904761911</v>
      </c>
      <c r="AD297" s="86">
        <f>AVERAGEIFS($D$2:D297, $B$2:B297, B297)</f>
        <v>0.66666666666666663</v>
      </c>
    </row>
    <row r="298" spans="1:30" x14ac:dyDescent="0.25">
      <c r="A298" s="85">
        <v>46075</v>
      </c>
      <c r="B298" t="s">
        <v>2</v>
      </c>
      <c r="C298">
        <v>29</v>
      </c>
      <c r="D298" s="86">
        <v>1</v>
      </c>
      <c r="E298">
        <v>4</v>
      </c>
      <c r="F298">
        <v>3</v>
      </c>
      <c r="G298">
        <v>16</v>
      </c>
      <c r="H298">
        <v>10</v>
      </c>
      <c r="I298">
        <v>0.75</v>
      </c>
      <c r="J298">
        <v>0.63</v>
      </c>
      <c r="K298">
        <v>0</v>
      </c>
      <c r="L298">
        <v>1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1</v>
      </c>
      <c r="X298">
        <v>0</v>
      </c>
      <c r="Y298">
        <v>0</v>
      </c>
      <c r="Z298">
        <v>0</v>
      </c>
      <c r="AA298" s="86">
        <f>AVERAGEIFS($C$2:C298, $B$2:B298, B298)</f>
        <v>26</v>
      </c>
      <c r="AB298" s="86">
        <f>AVERAGEIFS($I$2:I298, $B$2:B298, B298)</f>
        <v>0.53</v>
      </c>
      <c r="AC298" s="86">
        <f>AVERAGEIFS($J$2:J298, $B$2:B298, B298)</f>
        <v>0.52100000000000002</v>
      </c>
      <c r="AD298" s="86">
        <f>AVERAGEIFS($D$2:D298, $B$2:B298, B298)</f>
        <v>0.5</v>
      </c>
    </row>
    <row r="299" spans="1:30" x14ac:dyDescent="0.25">
      <c r="A299" s="85">
        <v>46075</v>
      </c>
      <c r="B299" t="s">
        <v>45</v>
      </c>
      <c r="C299">
        <v>17</v>
      </c>
      <c r="D299" s="86">
        <v>1</v>
      </c>
      <c r="E299">
        <v>4</v>
      </c>
      <c r="F299">
        <v>3</v>
      </c>
      <c r="G299">
        <v>16</v>
      </c>
      <c r="H299">
        <v>10</v>
      </c>
      <c r="I299">
        <v>0.75</v>
      </c>
      <c r="J299">
        <v>0.63</v>
      </c>
      <c r="K299">
        <v>0</v>
      </c>
      <c r="L299">
        <v>1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1</v>
      </c>
      <c r="X299">
        <v>0</v>
      </c>
      <c r="Y299">
        <v>0</v>
      </c>
      <c r="Z299">
        <v>0</v>
      </c>
      <c r="AA299" s="86">
        <f>AVERAGEIFS($C$2:C299, $B$2:B299, B299)</f>
        <v>9.5714285714285712</v>
      </c>
      <c r="AB299" s="86">
        <f>AVERAGEIFS($I$2:I299, $B$2:B299, B299)</f>
        <v>0.41428571428571426</v>
      </c>
      <c r="AC299" s="86">
        <f>AVERAGEIFS($J$2:J299, $B$2:B299, B299)</f>
        <v>0.45428571428571424</v>
      </c>
      <c r="AD299" s="86">
        <f>AVERAGEIFS($D$2:D299, $B$2:B299, B299)</f>
        <v>0.2857142857142857</v>
      </c>
    </row>
    <row r="300" spans="1:30" x14ac:dyDescent="0.25">
      <c r="A300" s="85">
        <v>46075</v>
      </c>
      <c r="B300" t="s">
        <v>20</v>
      </c>
      <c r="C300">
        <v>15</v>
      </c>
      <c r="D300" s="86">
        <v>1</v>
      </c>
      <c r="E300">
        <v>4</v>
      </c>
      <c r="F300">
        <v>3</v>
      </c>
      <c r="G300">
        <v>16</v>
      </c>
      <c r="H300">
        <v>10</v>
      </c>
      <c r="I300">
        <v>0.75</v>
      </c>
      <c r="J300">
        <v>0.63</v>
      </c>
      <c r="K300">
        <v>0</v>
      </c>
      <c r="L300">
        <v>1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1</v>
      </c>
      <c r="X300">
        <v>0</v>
      </c>
      <c r="Y300">
        <v>0</v>
      </c>
      <c r="Z300">
        <v>0</v>
      </c>
      <c r="AA300" s="86">
        <f>AVERAGEIFS($C$2:C300, $B$2:B300, B300)</f>
        <v>13.066666666666666</v>
      </c>
      <c r="AB300" s="86">
        <f>AVERAGEIFS($I$2:I300, $B$2:B300, B300)</f>
        <v>0.47333333333333333</v>
      </c>
      <c r="AC300" s="86">
        <f>AVERAGEIFS($J$2:J300, $B$2:B300, B300)</f>
        <v>0.48599999999999999</v>
      </c>
      <c r="AD300" s="86">
        <f>AVERAGEIFS($D$2:D300, $B$2:B300, B300)</f>
        <v>0.33333333333333331</v>
      </c>
    </row>
    <row r="301" spans="1:30" x14ac:dyDescent="0.25">
      <c r="A301" s="85">
        <v>46075</v>
      </c>
      <c r="B301" t="s">
        <v>35</v>
      </c>
      <c r="C301">
        <v>13</v>
      </c>
      <c r="D301" s="86">
        <v>1</v>
      </c>
      <c r="E301">
        <v>4</v>
      </c>
      <c r="F301">
        <v>3</v>
      </c>
      <c r="G301">
        <v>16</v>
      </c>
      <c r="H301">
        <v>10</v>
      </c>
      <c r="I301">
        <v>0.75</v>
      </c>
      <c r="J301">
        <v>0.63</v>
      </c>
      <c r="K301">
        <v>0</v>
      </c>
      <c r="L301">
        <v>1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1</v>
      </c>
      <c r="X301">
        <v>0</v>
      </c>
      <c r="Y301">
        <v>0</v>
      </c>
      <c r="Z301">
        <v>0</v>
      </c>
      <c r="AA301" s="86">
        <f>AVERAGEIFS($C$2:C301, $B$2:B301, B301)</f>
        <v>9.8000000000000007</v>
      </c>
      <c r="AB301" s="86">
        <f>AVERAGEIFS($I$2:I301, $B$2:B301, B301)</f>
        <v>0.495</v>
      </c>
      <c r="AC301" s="86">
        <f>AVERAGEIFS($J$2:J301, $B$2:B301, B301)</f>
        <v>0.52</v>
      </c>
      <c r="AD301" s="86">
        <f>AVERAGEIFS($D$2:D301, $B$2:B301, B301)</f>
        <v>0.6</v>
      </c>
    </row>
    <row r="302" spans="1:30" x14ac:dyDescent="0.25">
      <c r="A302" s="85">
        <v>46075</v>
      </c>
      <c r="B302" t="s">
        <v>29</v>
      </c>
      <c r="C302">
        <v>9</v>
      </c>
      <c r="D302" s="86">
        <v>1</v>
      </c>
      <c r="E302">
        <v>4</v>
      </c>
      <c r="F302">
        <v>3</v>
      </c>
      <c r="G302">
        <v>16</v>
      </c>
      <c r="H302">
        <v>10</v>
      </c>
      <c r="I302">
        <v>0.75</v>
      </c>
      <c r="J302">
        <v>0.63</v>
      </c>
      <c r="K302">
        <v>0</v>
      </c>
      <c r="L302">
        <v>1</v>
      </c>
      <c r="M302">
        <v>0</v>
      </c>
      <c r="N302">
        <v>1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0</v>
      </c>
      <c r="Z302">
        <v>0</v>
      </c>
      <c r="AA302" s="86">
        <f>AVERAGEIFS($C$2:C302, $B$2:B302, B302)</f>
        <v>9.4285714285714288</v>
      </c>
      <c r="AB302" s="86">
        <f>AVERAGEIFS($I$2:I302, $B$2:B302, B302)</f>
        <v>0.45714285714285713</v>
      </c>
      <c r="AC302" s="86">
        <f>AVERAGEIFS($J$2:J302, $B$2:B302, B302)</f>
        <v>0.48999999999999994</v>
      </c>
      <c r="AD302" s="86">
        <f>AVERAGEIFS($D$2:D302, $B$2:B302, B302)</f>
        <v>0.5</v>
      </c>
    </row>
    <row r="303" spans="1:30" x14ac:dyDescent="0.25">
      <c r="A303" s="85">
        <v>46075</v>
      </c>
      <c r="B303" t="s">
        <v>14</v>
      </c>
      <c r="C303">
        <v>33</v>
      </c>
      <c r="D303" s="86">
        <v>0</v>
      </c>
      <c r="E303">
        <v>4</v>
      </c>
      <c r="F303">
        <v>1</v>
      </c>
      <c r="G303">
        <v>16</v>
      </c>
      <c r="H303">
        <v>6</v>
      </c>
      <c r="I303">
        <v>0.25</v>
      </c>
      <c r="J303">
        <v>0.38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1</v>
      </c>
      <c r="Y303">
        <v>0</v>
      </c>
      <c r="Z303">
        <v>0</v>
      </c>
      <c r="AA303" s="86">
        <f>AVERAGEIFS($C$2:C303, $B$2:B303, B303)</f>
        <v>25.388888888888889</v>
      </c>
      <c r="AB303" s="86">
        <f>AVERAGEIFS($I$2:I303, $B$2:B303, B303)</f>
        <v>0.53055555555555556</v>
      </c>
      <c r="AC303" s="86">
        <f>AVERAGEIFS($J$2:J303, $B$2:B303, B303)</f>
        <v>0.5066666666666666</v>
      </c>
      <c r="AD303" s="86">
        <f>AVERAGEIFS($D$2:D303, $B$2:B303, B303)</f>
        <v>0.55555555555555558</v>
      </c>
    </row>
    <row r="304" spans="1:30" x14ac:dyDescent="0.25">
      <c r="A304" s="85">
        <v>46075</v>
      </c>
      <c r="B304" t="s">
        <v>3</v>
      </c>
      <c r="C304">
        <v>18</v>
      </c>
      <c r="D304" s="86">
        <v>0</v>
      </c>
      <c r="E304">
        <v>4</v>
      </c>
      <c r="F304">
        <v>1</v>
      </c>
      <c r="G304">
        <v>16</v>
      </c>
      <c r="H304">
        <v>6</v>
      </c>
      <c r="I304">
        <v>0.25</v>
      </c>
      <c r="J304">
        <v>0.38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1</v>
      </c>
      <c r="Y304">
        <v>0</v>
      </c>
      <c r="Z304">
        <v>0</v>
      </c>
      <c r="AA304" s="86">
        <f>AVERAGEIFS($C$2:C304, $B$2:B304, B304)</f>
        <v>23</v>
      </c>
      <c r="AB304" s="86">
        <f>AVERAGEIFS($I$2:I304, $B$2:B304, B304)</f>
        <v>0.495</v>
      </c>
      <c r="AC304" s="86">
        <f>AVERAGEIFS($J$2:J304, $B$2:B304, B304)</f>
        <v>0.48999999999999994</v>
      </c>
      <c r="AD304" s="86">
        <f>AVERAGEIFS($D$2:D304, $B$2:B304, B304)</f>
        <v>0.6</v>
      </c>
    </row>
    <row r="305" spans="1:30" x14ac:dyDescent="0.25">
      <c r="A305" s="85">
        <v>46075</v>
      </c>
      <c r="B305" t="s">
        <v>27</v>
      </c>
      <c r="C305">
        <v>18</v>
      </c>
      <c r="D305" s="86">
        <v>0</v>
      </c>
      <c r="E305">
        <v>4</v>
      </c>
      <c r="F305">
        <v>1</v>
      </c>
      <c r="G305">
        <v>16</v>
      </c>
      <c r="H305">
        <v>6</v>
      </c>
      <c r="I305">
        <v>0.25</v>
      </c>
      <c r="J305">
        <v>0.38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1</v>
      </c>
      <c r="Y305">
        <v>0</v>
      </c>
      <c r="Z305">
        <v>0</v>
      </c>
      <c r="AA305" s="86">
        <f>AVERAGEIFS($C$2:C305, $B$2:B305, B305)</f>
        <v>13.416666666666666</v>
      </c>
      <c r="AB305" s="86">
        <f>AVERAGEIFS($I$2:I305, $B$2:B305, B305)</f>
        <v>0.45416666666666661</v>
      </c>
      <c r="AC305" s="86">
        <f>AVERAGEIFS($J$2:J305, $B$2:B305, B305)</f>
        <v>0.47666666666666674</v>
      </c>
      <c r="AD305" s="86">
        <f>AVERAGEIFS($D$2:D305, $B$2:B305, B305)</f>
        <v>0.5</v>
      </c>
    </row>
    <row r="306" spans="1:30" x14ac:dyDescent="0.25">
      <c r="A306" s="85">
        <v>46075</v>
      </c>
      <c r="B306" t="s">
        <v>37</v>
      </c>
      <c r="C306">
        <v>17</v>
      </c>
      <c r="D306" s="86">
        <v>0</v>
      </c>
      <c r="E306">
        <v>4</v>
      </c>
      <c r="F306">
        <v>1</v>
      </c>
      <c r="G306">
        <v>16</v>
      </c>
      <c r="H306">
        <v>6</v>
      </c>
      <c r="I306">
        <v>0.25</v>
      </c>
      <c r="J306">
        <v>0.38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1</v>
      </c>
      <c r="Y306">
        <v>0</v>
      </c>
      <c r="Z306">
        <v>0</v>
      </c>
      <c r="AA306" s="86">
        <f>AVERAGEIFS($C$2:C306, $B$2:B306, B306)</f>
        <v>17.272727272727273</v>
      </c>
      <c r="AB306" s="86">
        <f>AVERAGEIFS($I$2:I306, $B$2:B306, B306)</f>
        <v>0.4681818181818182</v>
      </c>
      <c r="AC306" s="86">
        <f>AVERAGEIFS($J$2:J306, $B$2:B306, B306)</f>
        <v>0.469090909090909</v>
      </c>
      <c r="AD306" s="86">
        <f>AVERAGEIFS($D$2:D306, $B$2:B306, B306)</f>
        <v>0.36363636363636365</v>
      </c>
    </row>
    <row r="307" spans="1:30" x14ac:dyDescent="0.25">
      <c r="A307" s="85">
        <v>46075</v>
      </c>
      <c r="B307" t="s">
        <v>19</v>
      </c>
      <c r="C307">
        <v>11</v>
      </c>
      <c r="D307" s="86">
        <v>0</v>
      </c>
      <c r="E307">
        <v>4</v>
      </c>
      <c r="F307">
        <v>1</v>
      </c>
      <c r="G307">
        <v>16</v>
      </c>
      <c r="H307">
        <v>6</v>
      </c>
      <c r="I307">
        <v>0.25</v>
      </c>
      <c r="J307">
        <v>0.38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1</v>
      </c>
      <c r="Y307">
        <v>0</v>
      </c>
      <c r="Z307">
        <v>0</v>
      </c>
      <c r="AA307" s="86">
        <f>AVERAGEIFS($C$2:C307, $B$2:B307, B307)</f>
        <v>11.210526315789474</v>
      </c>
      <c r="AB307" s="86">
        <f>AVERAGEIFS($I$2:I307, $B$2:B307, B307)</f>
        <v>0.3842105263157895</v>
      </c>
      <c r="AC307" s="86">
        <f>AVERAGEIFS($J$2:J307, $B$2:B307, B307)</f>
        <v>0.44157894736842107</v>
      </c>
      <c r="AD307" s="86">
        <f>AVERAGEIFS($D$2:D307, $B$2:B307, B307)</f>
        <v>0.31578947368421051</v>
      </c>
    </row>
    <row r="308" spans="1:30" x14ac:dyDescent="0.25">
      <c r="A308" s="85">
        <v>46075</v>
      </c>
      <c r="B308" t="s">
        <v>55</v>
      </c>
      <c r="C308">
        <v>6</v>
      </c>
      <c r="D308" s="86">
        <v>0</v>
      </c>
      <c r="E308">
        <v>4</v>
      </c>
      <c r="F308">
        <v>1</v>
      </c>
      <c r="G308">
        <v>16</v>
      </c>
      <c r="H308">
        <v>6</v>
      </c>
      <c r="I308">
        <v>0.25</v>
      </c>
      <c r="J308">
        <v>0.38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1</v>
      </c>
      <c r="Y308">
        <v>0</v>
      </c>
      <c r="Z308">
        <v>0</v>
      </c>
      <c r="AA308" s="86">
        <f>AVERAGEIFS($C$2:C308, $B$2:B308, B308)</f>
        <v>10.833333333333334</v>
      </c>
      <c r="AB308" s="86">
        <f>AVERAGEIFS($I$2:I308, $B$2:B308, B308)</f>
        <v>0.55833333333333335</v>
      </c>
      <c r="AC308" s="86">
        <f>AVERAGEIFS($J$2:J308, $B$2:B308, B308)</f>
        <v>0.50166666666666659</v>
      </c>
      <c r="AD308" s="86">
        <f>AVERAGEIFS($D$2:D308, $B$2:B308, B308)</f>
        <v>0.66666666666666663</v>
      </c>
    </row>
    <row r="309" spans="1:30" x14ac:dyDescent="0.25">
      <c r="A309" s="85">
        <v>46083</v>
      </c>
      <c r="B309" t="s">
        <v>13</v>
      </c>
      <c r="C309">
        <v>43</v>
      </c>
      <c r="D309" s="86">
        <v>1</v>
      </c>
      <c r="E309">
        <v>4</v>
      </c>
      <c r="F309">
        <v>3</v>
      </c>
      <c r="G309">
        <v>16</v>
      </c>
      <c r="H309">
        <v>11</v>
      </c>
      <c r="I309">
        <v>0.75</v>
      </c>
      <c r="J309">
        <v>0.69</v>
      </c>
      <c r="K309">
        <v>0</v>
      </c>
      <c r="L309">
        <v>0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1</v>
      </c>
      <c r="AA309" s="86">
        <f>AVERAGEIFS($C$2:C309, $B$2:B309, B309)</f>
        <v>28.363636363636363</v>
      </c>
      <c r="AB309" s="86">
        <f>AVERAGEIFS($I$2:I309, $B$2:B309, B309)</f>
        <v>0.57045454545454544</v>
      </c>
      <c r="AC309" s="86">
        <f>AVERAGEIFS($J$2:J309, $B$2:B309, B309)</f>
        <v>0.5459090909090909</v>
      </c>
      <c r="AD309" s="86">
        <f>AVERAGEIFS($D$2:D309, $B$2:B309, B309)</f>
        <v>0.68181818181818177</v>
      </c>
    </row>
    <row r="310" spans="1:30" x14ac:dyDescent="0.25">
      <c r="A310" s="85">
        <v>46083</v>
      </c>
      <c r="B310" t="s">
        <v>2</v>
      </c>
      <c r="C310">
        <v>37</v>
      </c>
      <c r="D310" s="86">
        <v>1</v>
      </c>
      <c r="E310">
        <v>4</v>
      </c>
      <c r="F310">
        <v>3</v>
      </c>
      <c r="G310">
        <v>16</v>
      </c>
      <c r="H310">
        <v>11</v>
      </c>
      <c r="I310">
        <v>0.75</v>
      </c>
      <c r="J310">
        <v>0.69</v>
      </c>
      <c r="K310">
        <v>0</v>
      </c>
      <c r="L310">
        <v>0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1</v>
      </c>
      <c r="AA310" s="86">
        <f>AVERAGEIFS($C$2:C310, $B$2:B310, B310)</f>
        <v>27</v>
      </c>
      <c r="AB310" s="86">
        <f>AVERAGEIFS($I$2:I310, $B$2:B310, B310)</f>
        <v>0.54999999999999993</v>
      </c>
      <c r="AC310" s="86">
        <f>AVERAGEIFS($J$2:J310, $B$2:B310, B310)</f>
        <v>0.53636363636363638</v>
      </c>
      <c r="AD310" s="86">
        <f>AVERAGEIFS($D$2:D310, $B$2:B310, B310)</f>
        <v>0.54545454545454541</v>
      </c>
    </row>
    <row r="311" spans="1:30" x14ac:dyDescent="0.25">
      <c r="A311" s="85">
        <v>46083</v>
      </c>
      <c r="B311" t="s">
        <v>20</v>
      </c>
      <c r="C311">
        <v>17</v>
      </c>
      <c r="D311" s="86">
        <v>1</v>
      </c>
      <c r="E311">
        <v>4</v>
      </c>
      <c r="F311">
        <v>3</v>
      </c>
      <c r="G311">
        <v>16</v>
      </c>
      <c r="H311">
        <v>11</v>
      </c>
      <c r="I311">
        <v>0.75</v>
      </c>
      <c r="J311">
        <v>0.69</v>
      </c>
      <c r="K311">
        <v>0</v>
      </c>
      <c r="L311">
        <v>0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1</v>
      </c>
      <c r="AA311" s="86">
        <f>AVERAGEIFS($C$2:C311, $B$2:B311, B311)</f>
        <v>13.3125</v>
      </c>
      <c r="AB311" s="86">
        <f>AVERAGEIFS($I$2:I311, $B$2:B311, B311)</f>
        <v>0.49062499999999998</v>
      </c>
      <c r="AC311" s="86">
        <f>AVERAGEIFS($J$2:J311, $B$2:B311, B311)</f>
        <v>0.49875000000000003</v>
      </c>
      <c r="AD311" s="86">
        <f>AVERAGEIFS($D$2:D311, $B$2:B311, B311)</f>
        <v>0.375</v>
      </c>
    </row>
    <row r="312" spans="1:30" x14ac:dyDescent="0.25">
      <c r="A312" s="85">
        <v>46083</v>
      </c>
      <c r="B312" t="s">
        <v>35</v>
      </c>
      <c r="C312">
        <v>17</v>
      </c>
      <c r="D312" s="86">
        <v>1</v>
      </c>
      <c r="E312">
        <v>4</v>
      </c>
      <c r="F312">
        <v>3</v>
      </c>
      <c r="G312">
        <v>16</v>
      </c>
      <c r="H312">
        <v>11</v>
      </c>
      <c r="I312">
        <v>0.75</v>
      </c>
      <c r="J312">
        <v>0.69</v>
      </c>
      <c r="K312">
        <v>0</v>
      </c>
      <c r="L312">
        <v>0</v>
      </c>
      <c r="M312">
        <v>0</v>
      </c>
      <c r="N312">
        <v>1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1</v>
      </c>
      <c r="X312">
        <v>0</v>
      </c>
      <c r="Y312">
        <v>0</v>
      </c>
      <c r="Z312">
        <v>1</v>
      </c>
      <c r="AA312" s="86">
        <f>AVERAGEIFS($C$2:C312, $B$2:B312, B312)</f>
        <v>10.454545454545455</v>
      </c>
      <c r="AB312" s="86">
        <f>AVERAGEIFS($I$2:I312, $B$2:B312, B312)</f>
        <v>0.51818181818181819</v>
      </c>
      <c r="AC312" s="86">
        <f>AVERAGEIFS($J$2:J312, $B$2:B312, B312)</f>
        <v>0.53545454545454552</v>
      </c>
      <c r="AD312" s="86">
        <f>AVERAGEIFS($D$2:D312, $B$2:B312, B312)</f>
        <v>0.63636363636363635</v>
      </c>
    </row>
    <row r="313" spans="1:30" x14ac:dyDescent="0.25">
      <c r="A313" s="85">
        <v>46083</v>
      </c>
      <c r="B313" t="s">
        <v>29</v>
      </c>
      <c r="C313">
        <v>14</v>
      </c>
      <c r="D313" s="86">
        <v>1</v>
      </c>
      <c r="E313">
        <v>4</v>
      </c>
      <c r="F313">
        <v>3</v>
      </c>
      <c r="G313">
        <v>16</v>
      </c>
      <c r="H313">
        <v>11</v>
      </c>
      <c r="I313">
        <v>0.75</v>
      </c>
      <c r="J313">
        <v>0.69</v>
      </c>
      <c r="K313">
        <v>0</v>
      </c>
      <c r="L313">
        <v>0</v>
      </c>
      <c r="M313">
        <v>0</v>
      </c>
      <c r="N313">
        <v>1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1</v>
      </c>
      <c r="X313">
        <v>0</v>
      </c>
      <c r="Y313">
        <v>0</v>
      </c>
      <c r="Z313">
        <v>1</v>
      </c>
      <c r="AA313" s="86">
        <f>AVERAGEIFS($C$2:C313, $B$2:B313, B313)</f>
        <v>9.7333333333333325</v>
      </c>
      <c r="AB313" s="86">
        <f>AVERAGEIFS($I$2:I313, $B$2:B313, B313)</f>
        <v>0.47666666666666663</v>
      </c>
      <c r="AC313" s="86">
        <f>AVERAGEIFS($J$2:J313, $B$2:B313, B313)</f>
        <v>0.5033333333333333</v>
      </c>
      <c r="AD313" s="86">
        <f>AVERAGEIFS($D$2:D313, $B$2:B313, B313)</f>
        <v>0.53333333333333333</v>
      </c>
    </row>
    <row r="314" spans="1:30" x14ac:dyDescent="0.25">
      <c r="A314" s="85">
        <v>46083</v>
      </c>
      <c r="B314" t="s">
        <v>45</v>
      </c>
      <c r="C314">
        <v>13</v>
      </c>
      <c r="D314" s="86">
        <v>1</v>
      </c>
      <c r="E314">
        <v>4</v>
      </c>
      <c r="F314">
        <v>3</v>
      </c>
      <c r="G314">
        <v>16</v>
      </c>
      <c r="H314">
        <v>11</v>
      </c>
      <c r="I314">
        <v>0.75</v>
      </c>
      <c r="J314">
        <v>0.69</v>
      </c>
      <c r="K314">
        <v>0</v>
      </c>
      <c r="L314">
        <v>0</v>
      </c>
      <c r="M314">
        <v>0</v>
      </c>
      <c r="N314">
        <v>1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1</v>
      </c>
      <c r="X314">
        <v>0</v>
      </c>
      <c r="Y314">
        <v>0</v>
      </c>
      <c r="Z314">
        <v>1</v>
      </c>
      <c r="AA314" s="86">
        <f>AVERAGEIFS($C$2:C314, $B$2:B314, B314)</f>
        <v>10</v>
      </c>
      <c r="AB314" s="86">
        <f>AVERAGEIFS($I$2:I314, $B$2:B314, B314)</f>
        <v>0.45624999999999999</v>
      </c>
      <c r="AC314" s="86">
        <f>AVERAGEIFS($J$2:J314, $B$2:B314, B314)</f>
        <v>0.48374999999999996</v>
      </c>
      <c r="AD314" s="86">
        <f>AVERAGEIFS($D$2:D314, $B$2:B314, B314)</f>
        <v>0.375</v>
      </c>
    </row>
    <row r="315" spans="1:30" x14ac:dyDescent="0.25">
      <c r="A315" s="85">
        <v>46083</v>
      </c>
      <c r="B315" t="s">
        <v>6</v>
      </c>
      <c r="C315">
        <v>32</v>
      </c>
      <c r="D315" s="86">
        <v>0</v>
      </c>
      <c r="E315">
        <v>4</v>
      </c>
      <c r="F315">
        <v>1</v>
      </c>
      <c r="G315">
        <v>16</v>
      </c>
      <c r="H315">
        <v>5</v>
      </c>
      <c r="I315">
        <v>0.25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1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 s="86">
        <f>AVERAGEIFS($C$2:C315, $B$2:B315, B315)</f>
        <v>23.53846153846154</v>
      </c>
      <c r="AB315" s="86">
        <f>AVERAGEIFS($I$2:I315, $B$2:B315, B315)</f>
        <v>0.5923076923076922</v>
      </c>
      <c r="AC315" s="86">
        <f>AVERAGEIFS($J$2:J315, $B$2:B315, B315)</f>
        <v>0.52230769230769236</v>
      </c>
      <c r="AD315" s="86">
        <f>AVERAGEIFS($D$2:D315, $B$2:B315, B315)</f>
        <v>0.69230769230769229</v>
      </c>
    </row>
    <row r="316" spans="1:30" x14ac:dyDescent="0.25">
      <c r="A316" s="85">
        <v>46083</v>
      </c>
      <c r="B316" t="s">
        <v>18</v>
      </c>
      <c r="C316">
        <v>25</v>
      </c>
      <c r="D316" s="86">
        <v>0</v>
      </c>
      <c r="E316">
        <v>4</v>
      </c>
      <c r="F316">
        <v>1</v>
      </c>
      <c r="G316">
        <v>16</v>
      </c>
      <c r="H316">
        <v>5</v>
      </c>
      <c r="I316">
        <v>0.25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1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 s="86">
        <f>AVERAGEIFS($C$2:C316, $B$2:B316, B316)</f>
        <v>26.636363636363637</v>
      </c>
      <c r="AB316" s="86">
        <f>AVERAGEIFS($I$2:I316, $B$2:B316, B316)</f>
        <v>0.42272727272727278</v>
      </c>
      <c r="AC316" s="86">
        <f>AVERAGEIFS($J$2:J316, $B$2:B316, B316)</f>
        <v>0.44818181818181807</v>
      </c>
      <c r="AD316" s="86">
        <f>AVERAGEIFS($D$2:D316, $B$2:B316, B316)</f>
        <v>0.36363636363636365</v>
      </c>
    </row>
    <row r="317" spans="1:30" x14ac:dyDescent="0.25">
      <c r="A317" s="85">
        <v>46083</v>
      </c>
      <c r="B317" t="s">
        <v>26</v>
      </c>
      <c r="C317">
        <v>24</v>
      </c>
      <c r="D317" s="86">
        <v>0</v>
      </c>
      <c r="E317">
        <v>4</v>
      </c>
      <c r="F317">
        <v>1</v>
      </c>
      <c r="G317">
        <v>16</v>
      </c>
      <c r="H317">
        <v>5</v>
      </c>
      <c r="I317">
        <v>0.25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1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 s="86">
        <f>AVERAGEIFS($C$2:C317, $B$2:B317, B317)</f>
        <v>12.642857142857142</v>
      </c>
      <c r="AB317" s="86">
        <f>AVERAGEIFS($I$2:I317, $B$2:B317, B317)</f>
        <v>0.6607142857142857</v>
      </c>
      <c r="AC317" s="86">
        <f>AVERAGEIFS($J$2:J317, $B$2:B317, B317)</f>
        <v>0.57999999999999996</v>
      </c>
      <c r="AD317" s="86">
        <f>AVERAGEIFS($D$2:D317, $B$2:B317, B317)</f>
        <v>0.7142857142857143</v>
      </c>
    </row>
    <row r="318" spans="1:30" x14ac:dyDescent="0.25">
      <c r="A318" s="85">
        <v>46083</v>
      </c>
      <c r="B318" t="s">
        <v>46</v>
      </c>
      <c r="C318">
        <v>23</v>
      </c>
      <c r="D318" s="86">
        <v>0</v>
      </c>
      <c r="E318">
        <v>4</v>
      </c>
      <c r="F318">
        <v>1</v>
      </c>
      <c r="G318">
        <v>16</v>
      </c>
      <c r="H318">
        <v>5</v>
      </c>
      <c r="I318">
        <v>0.25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1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 s="86">
        <f>AVERAGEIFS($C$2:C318, $B$2:B318, B318)</f>
        <v>20.333333333333332</v>
      </c>
      <c r="AB318" s="86">
        <f>AVERAGEIFS($I$2:I318, $B$2:B318, B318)</f>
        <v>0.41666666666666669</v>
      </c>
      <c r="AC318" s="86">
        <f>AVERAGEIFS($J$2:J318, $B$2:B318, B318)</f>
        <v>0.44999999999999996</v>
      </c>
      <c r="AD318" s="86">
        <f>AVERAGEIFS($D$2:D318, $B$2:B318, B318)</f>
        <v>0.44444444444444442</v>
      </c>
    </row>
    <row r="319" spans="1:30" x14ac:dyDescent="0.25">
      <c r="A319" s="85">
        <v>46083</v>
      </c>
      <c r="B319" t="s">
        <v>51</v>
      </c>
      <c r="C319">
        <v>17</v>
      </c>
      <c r="D319" s="86">
        <v>0</v>
      </c>
      <c r="E319">
        <v>4</v>
      </c>
      <c r="F319">
        <v>1</v>
      </c>
      <c r="G319">
        <v>16</v>
      </c>
      <c r="H319">
        <v>5</v>
      </c>
      <c r="I319">
        <v>0.25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1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 s="86">
        <f>AVERAGEIFS($C$2:C319, $B$2:B319, B319)</f>
        <v>13.916666666666666</v>
      </c>
      <c r="AB319" s="86">
        <f>AVERAGEIFS($I$2:I319, $B$2:B319, B319)</f>
        <v>0.55000000000000004</v>
      </c>
      <c r="AC319" s="86">
        <f>AVERAGEIFS($J$2:J319, $B$2:B319, B319)</f>
        <v>0.51583333333333337</v>
      </c>
      <c r="AD319" s="86">
        <f>AVERAGEIFS($D$2:D319, $B$2:B319, B319)</f>
        <v>0.58333333333333337</v>
      </c>
    </row>
    <row r="320" spans="1:30" x14ac:dyDescent="0.25">
      <c r="A320" s="85">
        <v>46083</v>
      </c>
      <c r="B320" t="s">
        <v>38</v>
      </c>
      <c r="C320">
        <v>4</v>
      </c>
      <c r="D320" s="86">
        <v>0</v>
      </c>
      <c r="E320">
        <v>4</v>
      </c>
      <c r="F320">
        <v>1</v>
      </c>
      <c r="G320">
        <v>16</v>
      </c>
      <c r="H320">
        <v>5</v>
      </c>
      <c r="I320">
        <v>0.25</v>
      </c>
      <c r="J320">
        <v>0.31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1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86">
        <f>AVERAGEIFS($C$2:C320, $B$2:B320, B320)</f>
        <v>3.4</v>
      </c>
      <c r="AB320" s="86">
        <f>AVERAGEIFS($I$2:I320, $B$2:B320, B320)</f>
        <v>0.45</v>
      </c>
      <c r="AC320" s="86">
        <f>AVERAGEIFS($J$2:J320, $B$2:B320, B320)</f>
        <v>0.45</v>
      </c>
      <c r="AD320" s="86">
        <f>AVERAGEIFS($D$2:D320, $B$2:B320, B320)</f>
        <v>0.4</v>
      </c>
    </row>
    <row r="321" spans="1:30" x14ac:dyDescent="0.25">
      <c r="A321" s="85">
        <v>46086</v>
      </c>
      <c r="B321" t="s">
        <v>17</v>
      </c>
      <c r="C321">
        <v>21</v>
      </c>
      <c r="D321" s="86">
        <v>1</v>
      </c>
      <c r="E321">
        <v>4</v>
      </c>
      <c r="F321">
        <v>3</v>
      </c>
      <c r="G321">
        <v>15</v>
      </c>
      <c r="H321">
        <v>10</v>
      </c>
      <c r="I321">
        <v>0.75</v>
      </c>
      <c r="J321">
        <v>0.67</v>
      </c>
      <c r="K321">
        <v>0</v>
      </c>
      <c r="L321">
        <v>1</v>
      </c>
      <c r="M321">
        <v>0</v>
      </c>
      <c r="N321">
        <v>1</v>
      </c>
      <c r="O321">
        <v>0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86">
        <f>AVERAGEIFS($C$2:C321, $B$2:B321, B321)</f>
        <v>25.227272727272727</v>
      </c>
      <c r="AB321" s="86">
        <f>AVERAGEIFS($I$2:I321, $B$2:B321, B321)</f>
        <v>0.53409090909090917</v>
      </c>
      <c r="AC321" s="86">
        <f>AVERAGEIFS($J$2:J321, $B$2:B321, B321)</f>
        <v>0.53772727272727261</v>
      </c>
      <c r="AD321" s="86">
        <f>AVERAGEIFS($D$2:D321, $B$2:B321, B321)</f>
        <v>0.45454545454545453</v>
      </c>
    </row>
    <row r="322" spans="1:30" x14ac:dyDescent="0.25">
      <c r="A322" s="85">
        <v>46086</v>
      </c>
      <c r="B322" t="s">
        <v>13</v>
      </c>
      <c r="C322">
        <v>16</v>
      </c>
      <c r="D322" s="86">
        <v>1</v>
      </c>
      <c r="E322">
        <v>4</v>
      </c>
      <c r="F322">
        <v>3</v>
      </c>
      <c r="G322">
        <v>15</v>
      </c>
      <c r="H322">
        <v>10</v>
      </c>
      <c r="I322">
        <v>0.75</v>
      </c>
      <c r="J322">
        <v>0.67</v>
      </c>
      <c r="K322">
        <v>0</v>
      </c>
      <c r="L322">
        <v>1</v>
      </c>
      <c r="M322">
        <v>0</v>
      </c>
      <c r="N322">
        <v>1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86">
        <f>AVERAGEIFS($C$2:C322, $B$2:B322, B322)</f>
        <v>27.826086956521738</v>
      </c>
      <c r="AB322" s="86">
        <f>AVERAGEIFS($I$2:I322, $B$2:B322, B322)</f>
        <v>0.57826086956521738</v>
      </c>
      <c r="AC322" s="86">
        <f>AVERAGEIFS($J$2:J322, $B$2:B322, B322)</f>
        <v>0.55130434782608695</v>
      </c>
      <c r="AD322" s="86">
        <f>AVERAGEIFS($D$2:D322, $B$2:B322, B322)</f>
        <v>0.69565217391304346</v>
      </c>
    </row>
    <row r="323" spans="1:30" x14ac:dyDescent="0.25">
      <c r="A323" s="85">
        <v>46086</v>
      </c>
      <c r="B323" t="s">
        <v>26</v>
      </c>
      <c r="C323">
        <v>11</v>
      </c>
      <c r="D323" s="86">
        <v>1</v>
      </c>
      <c r="E323">
        <v>4</v>
      </c>
      <c r="F323">
        <v>3</v>
      </c>
      <c r="G323">
        <v>15</v>
      </c>
      <c r="H323">
        <v>10</v>
      </c>
      <c r="I323">
        <v>0.75</v>
      </c>
      <c r="J323">
        <v>0.67</v>
      </c>
      <c r="K323">
        <v>0</v>
      </c>
      <c r="L323">
        <v>1</v>
      </c>
      <c r="M323">
        <v>0</v>
      </c>
      <c r="N323">
        <v>1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86">
        <f>AVERAGEIFS($C$2:C323, $B$2:B323, B323)</f>
        <v>12.533333333333333</v>
      </c>
      <c r="AB323" s="86">
        <f>AVERAGEIFS($I$2:I323, $B$2:B323, B323)</f>
        <v>0.66666666666666663</v>
      </c>
      <c r="AC323" s="86">
        <f>AVERAGEIFS($J$2:J323, $B$2:B323, B323)</f>
        <v>0.58599999999999997</v>
      </c>
      <c r="AD323" s="86">
        <f>AVERAGEIFS($D$2:D323, $B$2:B323, B323)</f>
        <v>0.73333333333333328</v>
      </c>
    </row>
    <row r="324" spans="1:30" x14ac:dyDescent="0.25">
      <c r="A324" s="85">
        <v>46086</v>
      </c>
      <c r="B324" t="s">
        <v>45</v>
      </c>
      <c r="C324">
        <v>9</v>
      </c>
      <c r="D324" s="86">
        <v>1</v>
      </c>
      <c r="E324">
        <v>4</v>
      </c>
      <c r="F324">
        <v>3</v>
      </c>
      <c r="G324">
        <v>15</v>
      </c>
      <c r="H324">
        <v>10</v>
      </c>
      <c r="I324">
        <v>0.75</v>
      </c>
      <c r="J324">
        <v>0.67</v>
      </c>
      <c r="K324">
        <v>0</v>
      </c>
      <c r="L324">
        <v>1</v>
      </c>
      <c r="M324">
        <v>0</v>
      </c>
      <c r="N324">
        <v>1</v>
      </c>
      <c r="O324">
        <v>0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86">
        <f>AVERAGEIFS($C$2:C324, $B$2:B324, B324)</f>
        <v>9.8888888888888893</v>
      </c>
      <c r="AB324" s="86">
        <f>AVERAGEIFS($I$2:I324, $B$2:B324, B324)</f>
        <v>0.48888888888888893</v>
      </c>
      <c r="AC324" s="86">
        <f>AVERAGEIFS($J$2:J324, $B$2:B324, B324)</f>
        <v>0.50444444444444447</v>
      </c>
      <c r="AD324" s="86">
        <f>AVERAGEIFS($D$2:D324, $B$2:B324, B324)</f>
        <v>0.44444444444444442</v>
      </c>
    </row>
    <row r="325" spans="1:30" x14ac:dyDescent="0.25">
      <c r="A325" s="85">
        <v>46086</v>
      </c>
      <c r="B325" t="s">
        <v>34</v>
      </c>
      <c r="C325">
        <v>6</v>
      </c>
      <c r="D325" s="86">
        <v>1</v>
      </c>
      <c r="E325">
        <v>4</v>
      </c>
      <c r="F325">
        <v>3</v>
      </c>
      <c r="G325">
        <v>15</v>
      </c>
      <c r="H325">
        <v>10</v>
      </c>
      <c r="I325">
        <v>0.75</v>
      </c>
      <c r="J325">
        <v>0.67</v>
      </c>
      <c r="K325">
        <v>0</v>
      </c>
      <c r="L325">
        <v>1</v>
      </c>
      <c r="M325">
        <v>0</v>
      </c>
      <c r="N325">
        <v>1</v>
      </c>
      <c r="O325">
        <v>0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86">
        <f>AVERAGEIFS($C$2:C325, $B$2:B325, B325)</f>
        <v>5.5</v>
      </c>
      <c r="AB325" s="86">
        <f>AVERAGEIFS($I$2:I325, $B$2:B325, B325)</f>
        <v>0.875</v>
      </c>
      <c r="AC325" s="86">
        <f>AVERAGEIFS($J$2:J325, $B$2:B325, B325)</f>
        <v>0.71</v>
      </c>
      <c r="AD325" s="86">
        <f>AVERAGEIFS($D$2:D325, $B$2:B325, B325)</f>
        <v>1</v>
      </c>
    </row>
    <row r="326" spans="1:30" x14ac:dyDescent="0.25">
      <c r="A326" s="85">
        <v>46086</v>
      </c>
      <c r="B326" t="s">
        <v>14</v>
      </c>
      <c r="C326">
        <v>21</v>
      </c>
      <c r="D326" s="86">
        <v>0</v>
      </c>
      <c r="E326">
        <v>4</v>
      </c>
      <c r="F326">
        <v>1</v>
      </c>
      <c r="G326">
        <v>15</v>
      </c>
      <c r="H326">
        <v>5</v>
      </c>
      <c r="I326">
        <v>0.25</v>
      </c>
      <c r="J326">
        <v>0.33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86">
        <f>AVERAGEIFS($C$2:C326, $B$2:B326, B326)</f>
        <v>25.157894736842106</v>
      </c>
      <c r="AB326" s="86">
        <f>AVERAGEIFS($I$2:I326, $B$2:B326, B326)</f>
        <v>0.51578947368421058</v>
      </c>
      <c r="AC326" s="86">
        <f>AVERAGEIFS($J$2:J326, $B$2:B326, B326)</f>
        <v>0.49736842105263152</v>
      </c>
      <c r="AD326" s="86">
        <f>AVERAGEIFS($D$2:D326, $B$2:B326, B326)</f>
        <v>0.52631578947368418</v>
      </c>
    </row>
    <row r="327" spans="1:30" x14ac:dyDescent="0.25">
      <c r="A327" s="85">
        <v>46086</v>
      </c>
      <c r="B327" t="s">
        <v>19</v>
      </c>
      <c r="C327">
        <v>17</v>
      </c>
      <c r="D327" s="86">
        <v>0</v>
      </c>
      <c r="E327">
        <v>4</v>
      </c>
      <c r="F327">
        <v>1</v>
      </c>
      <c r="G327">
        <v>15</v>
      </c>
      <c r="H327">
        <v>5</v>
      </c>
      <c r="I327">
        <v>0.25</v>
      </c>
      <c r="J327">
        <v>0.33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86">
        <f>AVERAGEIFS($C$2:C327, $B$2:B327, B327)</f>
        <v>11.5</v>
      </c>
      <c r="AB327" s="86">
        <f>AVERAGEIFS($I$2:I327, $B$2:B327, B327)</f>
        <v>0.37750000000000006</v>
      </c>
      <c r="AC327" s="86">
        <f>AVERAGEIFS($J$2:J327, $B$2:B327, B327)</f>
        <v>0.43600000000000005</v>
      </c>
      <c r="AD327" s="86">
        <f>AVERAGEIFS($D$2:D327, $B$2:B327, B327)</f>
        <v>0.3</v>
      </c>
    </row>
    <row r="328" spans="1:30" x14ac:dyDescent="0.25">
      <c r="A328" s="85">
        <v>46086</v>
      </c>
      <c r="B328" t="s">
        <v>5</v>
      </c>
      <c r="C328">
        <v>6</v>
      </c>
      <c r="D328" s="86">
        <v>0</v>
      </c>
      <c r="E328">
        <v>4</v>
      </c>
      <c r="F328">
        <v>1</v>
      </c>
      <c r="G328">
        <v>15</v>
      </c>
      <c r="H328">
        <v>5</v>
      </c>
      <c r="I328">
        <v>0.25</v>
      </c>
      <c r="J328">
        <v>0.33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86">
        <f>AVERAGEIFS($C$2:C328, $B$2:B328, B328)</f>
        <v>24</v>
      </c>
      <c r="AB328" s="86">
        <f>AVERAGEIFS($I$2:I328, $B$2:B328, B328)</f>
        <v>0.45555555555555549</v>
      </c>
      <c r="AC328" s="86">
        <f>AVERAGEIFS($J$2:J328, $B$2:B328, B328)</f>
        <v>0.47</v>
      </c>
      <c r="AD328" s="86">
        <f>AVERAGEIFS($D$2:D328, $B$2:B328, B328)</f>
        <v>0.44444444444444442</v>
      </c>
    </row>
    <row r="329" spans="1:30" x14ac:dyDescent="0.25">
      <c r="A329" s="85">
        <v>46086</v>
      </c>
      <c r="B329" t="s">
        <v>29</v>
      </c>
      <c r="C329">
        <v>6</v>
      </c>
      <c r="D329" s="86">
        <v>0</v>
      </c>
      <c r="E329">
        <v>4</v>
      </c>
      <c r="F329">
        <v>1</v>
      </c>
      <c r="G329">
        <v>15</v>
      </c>
      <c r="H329">
        <v>5</v>
      </c>
      <c r="I329">
        <v>0.25</v>
      </c>
      <c r="J329">
        <v>0.33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86">
        <f>AVERAGEIFS($C$2:C329, $B$2:B329, B329)</f>
        <v>9.5</v>
      </c>
      <c r="AB329" s="86">
        <f>AVERAGEIFS($I$2:I329, $B$2:B329, B329)</f>
        <v>0.46249999999999997</v>
      </c>
      <c r="AC329" s="86">
        <f>AVERAGEIFS($J$2:J329, $B$2:B329, B329)</f>
        <v>0.49249999999999994</v>
      </c>
      <c r="AD329" s="86">
        <f>AVERAGEIFS($D$2:D329, $B$2:B329, B329)</f>
        <v>0.5</v>
      </c>
    </row>
    <row r="330" spans="1:30" x14ac:dyDescent="0.25">
      <c r="A330" s="85">
        <v>46086</v>
      </c>
      <c r="B330" t="s">
        <v>55</v>
      </c>
      <c r="C330">
        <v>4</v>
      </c>
      <c r="D330" s="86">
        <v>0</v>
      </c>
      <c r="E330">
        <v>4</v>
      </c>
      <c r="F330">
        <v>1</v>
      </c>
      <c r="G330">
        <v>15</v>
      </c>
      <c r="H330">
        <v>5</v>
      </c>
      <c r="I330">
        <v>0.25</v>
      </c>
      <c r="J330">
        <v>0.33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86">
        <f>AVERAGEIFS($C$2:C330, $B$2:B330, B330)</f>
        <v>9.8571428571428577</v>
      </c>
      <c r="AB330" s="86">
        <f>AVERAGEIFS($I$2:I330, $B$2:B330, B330)</f>
        <v>0.51428571428571435</v>
      </c>
      <c r="AC330" s="86">
        <f>AVERAGEIFS($J$2:J330, $B$2:B330, B330)</f>
        <v>0.47714285714285715</v>
      </c>
      <c r="AD330" s="86">
        <f>AVERAGEIFS($D$2:D330, $B$2:B330, B330)</f>
        <v>0.5714285714285714</v>
      </c>
    </row>
    <row r="331" spans="1:30" x14ac:dyDescent="0.25">
      <c r="A331" s="85">
        <v>46089</v>
      </c>
      <c r="B331" t="s">
        <v>42</v>
      </c>
      <c r="C331">
        <v>10</v>
      </c>
      <c r="D331" s="86">
        <v>0</v>
      </c>
      <c r="E331">
        <v>5</v>
      </c>
      <c r="F331">
        <v>2</v>
      </c>
      <c r="G331">
        <v>19</v>
      </c>
      <c r="H331">
        <v>7</v>
      </c>
      <c r="I331">
        <v>0.4</v>
      </c>
      <c r="J331">
        <v>0.37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1</v>
      </c>
      <c r="Z331">
        <v>0</v>
      </c>
      <c r="AA331" s="86">
        <f>AVERAGEIFS($C$2:C331, $B$2:B331, B331)</f>
        <v>7.5</v>
      </c>
      <c r="AB331" s="86">
        <f>AVERAGEIFS($I$2:I331, $B$2:B331, B331)</f>
        <v>0.2</v>
      </c>
      <c r="AC331" s="86">
        <f>AVERAGEIFS($J$2:J331, $B$2:B331, B331)</f>
        <v>0.27500000000000002</v>
      </c>
      <c r="AD331" s="86">
        <f>AVERAGEIFS($D$2:D331, $B$2:B331, B331)</f>
        <v>0</v>
      </c>
    </row>
    <row r="332" spans="1:30" x14ac:dyDescent="0.25">
      <c r="A332" s="85">
        <v>46089</v>
      </c>
      <c r="B332" t="s">
        <v>25</v>
      </c>
      <c r="C332">
        <v>22</v>
      </c>
      <c r="D332" s="86">
        <v>0</v>
      </c>
      <c r="E332">
        <v>5</v>
      </c>
      <c r="F332">
        <v>2</v>
      </c>
      <c r="G332">
        <v>19</v>
      </c>
      <c r="H332">
        <v>7</v>
      </c>
      <c r="I332">
        <v>0.4</v>
      </c>
      <c r="J332">
        <v>0.37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1</v>
      </c>
      <c r="W332">
        <v>0</v>
      </c>
      <c r="X332">
        <v>0</v>
      </c>
      <c r="Y332">
        <v>1</v>
      </c>
      <c r="Z332">
        <v>0</v>
      </c>
      <c r="AA332" s="86">
        <f>AVERAGEIFS($C$2:C332, $B$2:B332, B332)</f>
        <v>15.444444444444445</v>
      </c>
      <c r="AB332" s="86">
        <f>AVERAGEIFS($I$2:I332, $B$2:B332, B332)</f>
        <v>0.64444444444444449</v>
      </c>
      <c r="AC332" s="86">
        <f>AVERAGEIFS($J$2:J332, $B$2:B332, B332)</f>
        <v>0.57333333333333336</v>
      </c>
      <c r="AD332" s="86">
        <f>AVERAGEIFS($D$2:D332, $B$2:B332, B332)</f>
        <v>0.55555555555555558</v>
      </c>
    </row>
    <row r="333" spans="1:30" x14ac:dyDescent="0.25">
      <c r="A333" s="85">
        <v>46089</v>
      </c>
      <c r="B333" t="s">
        <v>27</v>
      </c>
      <c r="C333">
        <v>13</v>
      </c>
      <c r="D333" s="86">
        <v>0</v>
      </c>
      <c r="E333">
        <v>5</v>
      </c>
      <c r="F333">
        <v>2</v>
      </c>
      <c r="G333">
        <v>19</v>
      </c>
      <c r="H333">
        <v>7</v>
      </c>
      <c r="I333">
        <v>0.4</v>
      </c>
      <c r="J333">
        <v>0.37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1</v>
      </c>
      <c r="W333">
        <v>0</v>
      </c>
      <c r="X333">
        <v>0</v>
      </c>
      <c r="Y333">
        <v>1</v>
      </c>
      <c r="Z333">
        <v>0</v>
      </c>
      <c r="AA333" s="86">
        <f>AVERAGEIFS($C$2:C333, $B$2:B333, B333)</f>
        <v>13.384615384615385</v>
      </c>
      <c r="AB333" s="86">
        <f>AVERAGEIFS($I$2:I333, $B$2:B333, B333)</f>
        <v>0.44999999999999996</v>
      </c>
      <c r="AC333" s="86">
        <f>AVERAGEIFS($J$2:J333, $B$2:B333, B333)</f>
        <v>0.46846153846153854</v>
      </c>
      <c r="AD333" s="86">
        <f>AVERAGEIFS($D$2:D333, $B$2:B333, B333)</f>
        <v>0.46153846153846156</v>
      </c>
    </row>
    <row r="334" spans="1:30" x14ac:dyDescent="0.25">
      <c r="A334" s="85">
        <v>46089</v>
      </c>
      <c r="B334" t="s">
        <v>140</v>
      </c>
      <c r="C334">
        <v>12</v>
      </c>
      <c r="D334" s="86">
        <v>0</v>
      </c>
      <c r="E334">
        <v>5</v>
      </c>
      <c r="F334">
        <v>2</v>
      </c>
      <c r="G334">
        <v>19</v>
      </c>
      <c r="H334">
        <v>7</v>
      </c>
      <c r="I334">
        <v>0.4</v>
      </c>
      <c r="J334">
        <v>0.37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1</v>
      </c>
      <c r="W334">
        <v>0</v>
      </c>
      <c r="X334">
        <v>0</v>
      </c>
      <c r="Y334">
        <v>1</v>
      </c>
      <c r="Z334">
        <v>0</v>
      </c>
      <c r="AA334" s="86">
        <f>AVERAGEIFS($C$2:C334, $B$2:B334, B334)</f>
        <v>12</v>
      </c>
      <c r="AB334" s="86">
        <f>AVERAGEIFS($I$2:I334, $B$2:B334, B334)</f>
        <v>0.4</v>
      </c>
      <c r="AC334" s="86">
        <f>AVERAGEIFS($J$2:J334, $B$2:B334, B334)</f>
        <v>0.37</v>
      </c>
      <c r="AD334" s="86">
        <f>AVERAGEIFS($D$2:D334, $B$2:B334, B334)</f>
        <v>0</v>
      </c>
    </row>
    <row r="335" spans="1:30" x14ac:dyDescent="0.25">
      <c r="A335" s="85">
        <v>46089</v>
      </c>
      <c r="B335" t="s">
        <v>51</v>
      </c>
      <c r="C335">
        <v>13</v>
      </c>
      <c r="D335" s="86">
        <v>0</v>
      </c>
      <c r="E335">
        <v>5</v>
      </c>
      <c r="F335">
        <v>2</v>
      </c>
      <c r="G335">
        <v>19</v>
      </c>
      <c r="H335">
        <v>7</v>
      </c>
      <c r="I335">
        <v>0.4</v>
      </c>
      <c r="J335">
        <v>0.37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1</v>
      </c>
      <c r="W335">
        <v>0</v>
      </c>
      <c r="X335">
        <v>0</v>
      </c>
      <c r="Y335">
        <v>1</v>
      </c>
      <c r="Z335">
        <v>0</v>
      </c>
      <c r="AA335" s="86">
        <f>AVERAGEIFS($C$2:C335, $B$2:B335, B335)</f>
        <v>13.846153846153847</v>
      </c>
      <c r="AB335" s="86">
        <f>AVERAGEIFS($I$2:I335, $B$2:B335, B335)</f>
        <v>0.53846153846153855</v>
      </c>
      <c r="AC335" s="86">
        <f>AVERAGEIFS($J$2:J335, $B$2:B335, B335)</f>
        <v>0.50461538461538469</v>
      </c>
      <c r="AD335" s="86">
        <f>AVERAGEIFS($D$2:D335, $B$2:B335, B335)</f>
        <v>0.53846153846153844</v>
      </c>
    </row>
    <row r="336" spans="1:30" x14ac:dyDescent="0.25">
      <c r="A336" s="85">
        <v>46089</v>
      </c>
      <c r="B336" t="s">
        <v>13</v>
      </c>
      <c r="C336">
        <v>31</v>
      </c>
      <c r="D336" s="86">
        <v>0</v>
      </c>
      <c r="E336">
        <v>5</v>
      </c>
      <c r="F336">
        <v>2</v>
      </c>
      <c r="G336">
        <v>19</v>
      </c>
      <c r="H336">
        <v>7</v>
      </c>
      <c r="I336">
        <v>0.4</v>
      </c>
      <c r="J336">
        <v>0.37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1</v>
      </c>
      <c r="W336">
        <v>0</v>
      </c>
      <c r="X336">
        <v>0</v>
      </c>
      <c r="Y336">
        <v>1</v>
      </c>
      <c r="Z336">
        <v>0</v>
      </c>
      <c r="AA336" s="86">
        <f>AVERAGEIFS($C$2:C336, $B$2:B336, B336)</f>
        <v>27.958333333333332</v>
      </c>
      <c r="AB336" s="86">
        <f>AVERAGEIFS($I$2:I336, $B$2:B336, B336)</f>
        <v>0.5708333333333333</v>
      </c>
      <c r="AC336" s="86">
        <f>AVERAGEIFS($J$2:J336, $B$2:B336, B336)</f>
        <v>0.54374999999999996</v>
      </c>
      <c r="AD336" s="86">
        <f>AVERAGEIFS($D$2:D336, $B$2:B336, B336)</f>
        <v>0.66666666666666663</v>
      </c>
    </row>
    <row r="337" spans="1:30" x14ac:dyDescent="0.25">
      <c r="A337" s="85">
        <v>46089</v>
      </c>
      <c r="B337" t="s">
        <v>17</v>
      </c>
      <c r="C337">
        <v>29</v>
      </c>
      <c r="D337" s="86">
        <v>0</v>
      </c>
      <c r="E337">
        <v>5</v>
      </c>
      <c r="F337">
        <v>2</v>
      </c>
      <c r="G337">
        <v>19</v>
      </c>
      <c r="H337">
        <v>7</v>
      </c>
      <c r="I337">
        <v>0.4</v>
      </c>
      <c r="J337">
        <v>0.37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1</v>
      </c>
      <c r="W337">
        <v>0</v>
      </c>
      <c r="X337">
        <v>0</v>
      </c>
      <c r="Y337">
        <v>1</v>
      </c>
      <c r="Z337">
        <v>0</v>
      </c>
      <c r="AA337" s="86">
        <f>AVERAGEIFS($C$2:C337, $B$2:B337, B337)</f>
        <v>25.391304347826086</v>
      </c>
      <c r="AB337" s="86">
        <f>AVERAGEIFS($I$2:I337, $B$2:B337, B337)</f>
        <v>0.52826086956521745</v>
      </c>
      <c r="AC337" s="86">
        <f>AVERAGEIFS($J$2:J337, $B$2:B337, B337)</f>
        <v>0.53043478260869559</v>
      </c>
      <c r="AD337" s="86">
        <f>AVERAGEIFS($D$2:D337, $B$2:B337, B337)</f>
        <v>0.43478260869565216</v>
      </c>
    </row>
    <row r="338" spans="1:30" x14ac:dyDescent="0.25">
      <c r="A338" s="85">
        <v>46089</v>
      </c>
      <c r="B338" t="s">
        <v>26</v>
      </c>
      <c r="C338">
        <v>12</v>
      </c>
      <c r="D338" s="86">
        <v>0</v>
      </c>
      <c r="E338">
        <v>5</v>
      </c>
      <c r="F338">
        <v>2</v>
      </c>
      <c r="G338">
        <v>19</v>
      </c>
      <c r="H338">
        <v>7</v>
      </c>
      <c r="I338">
        <v>0.4</v>
      </c>
      <c r="J338">
        <v>0.37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1</v>
      </c>
      <c r="W338">
        <v>0</v>
      </c>
      <c r="X338">
        <v>0</v>
      </c>
      <c r="Y338">
        <v>1</v>
      </c>
      <c r="Z338">
        <v>0</v>
      </c>
      <c r="AA338" s="86">
        <f>AVERAGEIFS($C$2:C338, $B$2:B338, B338)</f>
        <v>12.5</v>
      </c>
      <c r="AB338" s="86">
        <f>AVERAGEIFS($I$2:I338, $B$2:B338, B338)</f>
        <v>0.65</v>
      </c>
      <c r="AC338" s="86">
        <f>AVERAGEIFS($J$2:J338, $B$2:B338, B338)</f>
        <v>0.5724999999999999</v>
      </c>
      <c r="AD338" s="86">
        <f>AVERAGEIFS($D$2:D338, $B$2:B338, B338)</f>
        <v>0.6875</v>
      </c>
    </row>
    <row r="339" spans="1:30" x14ac:dyDescent="0.25">
      <c r="A339" s="85">
        <v>46089</v>
      </c>
      <c r="B339" t="s">
        <v>37</v>
      </c>
      <c r="C339">
        <v>30</v>
      </c>
      <c r="D339" s="86">
        <v>1</v>
      </c>
      <c r="E339">
        <v>5</v>
      </c>
      <c r="F339">
        <v>3</v>
      </c>
      <c r="G339">
        <v>19</v>
      </c>
      <c r="H339">
        <v>12</v>
      </c>
      <c r="I339">
        <v>0.6</v>
      </c>
      <c r="J339">
        <v>0.63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1</v>
      </c>
      <c r="Y339">
        <v>0</v>
      </c>
      <c r="Z339">
        <v>1</v>
      </c>
      <c r="AA339" s="86">
        <f>AVERAGEIFS($C$2:C339, $B$2:B339, B339)</f>
        <v>18.333333333333332</v>
      </c>
      <c r="AB339" s="86">
        <f>AVERAGEIFS($I$2:I339, $B$2:B339, B339)</f>
        <v>0.47916666666666669</v>
      </c>
      <c r="AC339" s="86">
        <f>AVERAGEIFS($J$2:J339, $B$2:B339, B339)</f>
        <v>0.48249999999999993</v>
      </c>
      <c r="AD339" s="86">
        <f>AVERAGEIFS($D$2:D339, $B$2:B339, B339)</f>
        <v>0.41666666666666669</v>
      </c>
    </row>
    <row r="340" spans="1:30" x14ac:dyDescent="0.25">
      <c r="A340" s="85">
        <v>46089</v>
      </c>
      <c r="B340" t="s">
        <v>19</v>
      </c>
      <c r="C340">
        <v>17</v>
      </c>
      <c r="D340" s="86">
        <v>1</v>
      </c>
      <c r="E340">
        <v>5</v>
      </c>
      <c r="F340">
        <v>3</v>
      </c>
      <c r="G340">
        <v>19</v>
      </c>
      <c r="H340">
        <v>12</v>
      </c>
      <c r="I340">
        <v>0.6</v>
      </c>
      <c r="J340">
        <v>0.63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1</v>
      </c>
      <c r="Y340">
        <v>0</v>
      </c>
      <c r="Z340">
        <v>1</v>
      </c>
      <c r="AA340" s="86">
        <f>AVERAGEIFS($C$2:C340, $B$2:B340, B340)</f>
        <v>11.761904761904763</v>
      </c>
      <c r="AB340" s="86">
        <f>AVERAGEIFS($I$2:I340, $B$2:B340, B340)</f>
        <v>0.3880952380952381</v>
      </c>
      <c r="AC340" s="86">
        <f>AVERAGEIFS($J$2:J340, $B$2:B340, B340)</f>
        <v>0.44523809523809532</v>
      </c>
      <c r="AD340" s="86">
        <f>AVERAGEIFS($D$2:D340, $B$2:B340, B340)</f>
        <v>0.33333333333333331</v>
      </c>
    </row>
    <row r="341" spans="1:30" x14ac:dyDescent="0.25">
      <c r="A341" s="85">
        <v>46089</v>
      </c>
      <c r="B341" t="s">
        <v>45</v>
      </c>
      <c r="C341">
        <v>12</v>
      </c>
      <c r="D341" s="86">
        <v>1</v>
      </c>
      <c r="E341">
        <v>5</v>
      </c>
      <c r="F341">
        <v>3</v>
      </c>
      <c r="G341">
        <v>19</v>
      </c>
      <c r="H341">
        <v>12</v>
      </c>
      <c r="I341">
        <v>0.6</v>
      </c>
      <c r="J341">
        <v>0.63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1</v>
      </c>
      <c r="Y341">
        <v>0</v>
      </c>
      <c r="Z341">
        <v>1</v>
      </c>
      <c r="AA341" s="86">
        <f>AVERAGEIFS($C$2:C341, $B$2:B341, B341)</f>
        <v>10.1</v>
      </c>
      <c r="AB341" s="86">
        <f>AVERAGEIFS($I$2:I341, $B$2:B341, B341)</f>
        <v>0.5</v>
      </c>
      <c r="AC341" s="86">
        <f>AVERAGEIFS($J$2:J341, $B$2:B341, B341)</f>
        <v>0.51700000000000002</v>
      </c>
      <c r="AD341" s="86">
        <f>AVERAGEIFS($D$2:D341, $B$2:B341, B341)</f>
        <v>0.5</v>
      </c>
    </row>
    <row r="342" spans="1:30" x14ac:dyDescent="0.25">
      <c r="A342" s="85">
        <v>46089</v>
      </c>
      <c r="B342" t="s">
        <v>20</v>
      </c>
      <c r="C342">
        <v>16</v>
      </c>
      <c r="D342" s="86">
        <v>1</v>
      </c>
      <c r="E342">
        <v>5</v>
      </c>
      <c r="F342">
        <v>3</v>
      </c>
      <c r="G342">
        <v>19</v>
      </c>
      <c r="H342">
        <v>12</v>
      </c>
      <c r="I342">
        <v>0.6</v>
      </c>
      <c r="J342">
        <v>0.63</v>
      </c>
      <c r="K342">
        <v>0</v>
      </c>
      <c r="L342">
        <v>0</v>
      </c>
      <c r="M342">
        <v>0</v>
      </c>
      <c r="N342">
        <v>1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86">
        <f>AVERAGEIFS($C$2:C342, $B$2:B342, B342)</f>
        <v>13.470588235294118</v>
      </c>
      <c r="AB342" s="86">
        <f>AVERAGEIFS($I$2:I342, $B$2:B342, B342)</f>
        <v>0.49705882352941172</v>
      </c>
      <c r="AC342" s="86">
        <f>AVERAGEIFS($J$2:J342, $B$2:B342, B342)</f>
        <v>0.50647058823529423</v>
      </c>
      <c r="AD342" s="86">
        <f>AVERAGEIFS($D$2:D342, $B$2:B342, B342)</f>
        <v>0.41176470588235292</v>
      </c>
    </row>
    <row r="343" spans="1:30" x14ac:dyDescent="0.25">
      <c r="A343" s="85">
        <v>46089</v>
      </c>
      <c r="B343" t="s">
        <v>15</v>
      </c>
      <c r="C343">
        <v>20</v>
      </c>
      <c r="D343" s="86">
        <v>1</v>
      </c>
      <c r="E343">
        <v>5</v>
      </c>
      <c r="F343">
        <v>3</v>
      </c>
      <c r="G343">
        <v>19</v>
      </c>
      <c r="H343">
        <v>12</v>
      </c>
      <c r="I343">
        <v>0.6</v>
      </c>
      <c r="J343">
        <v>0.63</v>
      </c>
      <c r="K343">
        <v>0</v>
      </c>
      <c r="L343">
        <v>0</v>
      </c>
      <c r="M343">
        <v>0</v>
      </c>
      <c r="N343">
        <v>1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86">
        <f>AVERAGEIFS($C$2:C343, $B$2:B343, B343)</f>
        <v>25.833333333333332</v>
      </c>
      <c r="AB343" s="86">
        <f>AVERAGEIFS($I$2:I343, $B$2:B343, B343)</f>
        <v>0.41388888888888892</v>
      </c>
      <c r="AC343" s="86">
        <f>AVERAGEIFS($J$2:J343, $B$2:B343, B343)</f>
        <v>0.47055555555555562</v>
      </c>
      <c r="AD343" s="86">
        <f>AVERAGEIFS($D$2:D343, $B$2:B343, B343)</f>
        <v>0.27777777777777779</v>
      </c>
    </row>
    <row r="344" spans="1:30" x14ac:dyDescent="0.25">
      <c r="A344" s="85">
        <v>46089</v>
      </c>
      <c r="B344" t="s">
        <v>2</v>
      </c>
      <c r="C344">
        <v>24</v>
      </c>
      <c r="D344" s="86">
        <v>1</v>
      </c>
      <c r="E344">
        <v>5</v>
      </c>
      <c r="F344">
        <v>3</v>
      </c>
      <c r="G344">
        <v>19</v>
      </c>
      <c r="H344">
        <v>12</v>
      </c>
      <c r="I344">
        <v>0.6</v>
      </c>
      <c r="J344">
        <v>0.63</v>
      </c>
      <c r="K344">
        <v>0</v>
      </c>
      <c r="L344">
        <v>0</v>
      </c>
      <c r="M344">
        <v>0</v>
      </c>
      <c r="N344">
        <v>1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86">
        <f>AVERAGEIFS($C$2:C344, $B$2:B344, B344)</f>
        <v>26.75</v>
      </c>
      <c r="AB344" s="86">
        <f>AVERAGEIFS($I$2:I344, $B$2:B344, B344)</f>
        <v>0.55416666666666659</v>
      </c>
      <c r="AC344" s="86">
        <f>AVERAGEIFS($J$2:J344, $B$2:B344, B344)</f>
        <v>0.54416666666666669</v>
      </c>
      <c r="AD344" s="86">
        <f>AVERAGEIFS($D$2:D344, $B$2:B344, B344)</f>
        <v>0.58333333333333337</v>
      </c>
    </row>
    <row r="345" spans="1:30" x14ac:dyDescent="0.25">
      <c r="A345" s="85">
        <v>46089</v>
      </c>
      <c r="B345" t="s">
        <v>14</v>
      </c>
      <c r="C345">
        <v>42</v>
      </c>
      <c r="D345" s="86">
        <v>1</v>
      </c>
      <c r="E345">
        <v>5</v>
      </c>
      <c r="F345">
        <v>3</v>
      </c>
      <c r="G345">
        <v>19</v>
      </c>
      <c r="H345">
        <v>12</v>
      </c>
      <c r="I345">
        <v>0.6</v>
      </c>
      <c r="J345">
        <v>0.63</v>
      </c>
      <c r="K345">
        <v>0</v>
      </c>
      <c r="L345">
        <v>0</v>
      </c>
      <c r="M345">
        <v>0</v>
      </c>
      <c r="N345">
        <v>1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86">
        <f>AVERAGEIFS($C$2:C345, $B$2:B345, B345)</f>
        <v>26</v>
      </c>
      <c r="AB345" s="86">
        <f>AVERAGEIFS($I$2:I345, $B$2:B345, B345)</f>
        <v>0.52</v>
      </c>
      <c r="AC345" s="86">
        <f>AVERAGEIFS($J$2:J345, $B$2:B345, B345)</f>
        <v>0.504</v>
      </c>
      <c r="AD345" s="86">
        <f>AVERAGEIFS($D$2:D345, $B$2:B345, B345)</f>
        <v>0.55000000000000004</v>
      </c>
    </row>
    <row r="346" spans="1:30" x14ac:dyDescent="0.25">
      <c r="A346" s="85">
        <v>46089</v>
      </c>
      <c r="B346" t="s">
        <v>55</v>
      </c>
      <c r="C346">
        <v>14</v>
      </c>
      <c r="D346" s="86">
        <v>1</v>
      </c>
      <c r="E346">
        <v>5</v>
      </c>
      <c r="F346">
        <v>3</v>
      </c>
      <c r="G346">
        <v>19</v>
      </c>
      <c r="H346">
        <v>12</v>
      </c>
      <c r="I346">
        <v>0.6</v>
      </c>
      <c r="J346">
        <v>0.63</v>
      </c>
      <c r="K346">
        <v>0</v>
      </c>
      <c r="L346">
        <v>0</v>
      </c>
      <c r="M346">
        <v>0</v>
      </c>
      <c r="N346">
        <v>1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86">
        <f>AVERAGEIFS($C$2:C346, $B$2:B346, B346)</f>
        <v>10.375</v>
      </c>
      <c r="AB346" s="86">
        <f>AVERAGEIFS($I$2:I346, $B$2:B346, B346)</f>
        <v>0.52500000000000002</v>
      </c>
      <c r="AC346" s="86">
        <f>AVERAGEIFS($J$2:J346, $B$2:B346, B346)</f>
        <v>0.49624999999999997</v>
      </c>
      <c r="AD346" s="86">
        <f>AVERAGEIFS($D$2:D346, $B$2:B346, B346)</f>
        <v>0.625</v>
      </c>
    </row>
    <row r="347" spans="1:30" x14ac:dyDescent="0.25">
      <c r="A347" s="85">
        <v>46093</v>
      </c>
      <c r="B347" t="s">
        <v>13</v>
      </c>
      <c r="C347">
        <v>38</v>
      </c>
      <c r="D347" s="86">
        <v>1</v>
      </c>
      <c r="E347">
        <v>5</v>
      </c>
      <c r="F347">
        <v>3</v>
      </c>
      <c r="G347">
        <v>21</v>
      </c>
      <c r="H347">
        <v>12</v>
      </c>
      <c r="I347">
        <v>0.6</v>
      </c>
      <c r="J347">
        <v>0.56999999999999995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1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1</v>
      </c>
      <c r="W347">
        <v>0</v>
      </c>
      <c r="X347">
        <v>1</v>
      </c>
      <c r="Y347">
        <v>0</v>
      </c>
      <c r="Z347">
        <v>0</v>
      </c>
      <c r="AA347" s="86">
        <f>AVERAGEIFS($C$2:C347, $B$2:B347, B347)</f>
        <v>28.36</v>
      </c>
      <c r="AB347" s="86">
        <f>AVERAGEIFS($I$2:I347, $B$2:B347, B347)</f>
        <v>0.57199999999999995</v>
      </c>
      <c r="AC347" s="86">
        <f>AVERAGEIFS($J$2:J347, $B$2:B347, B347)</f>
        <v>0.54479999999999995</v>
      </c>
      <c r="AD347" s="86">
        <f>AVERAGEIFS($D$2:D347, $B$2:B347, B347)</f>
        <v>0.68</v>
      </c>
    </row>
    <row r="348" spans="1:30" x14ac:dyDescent="0.25">
      <c r="A348" s="85">
        <v>46093</v>
      </c>
      <c r="B348" t="s">
        <v>28</v>
      </c>
      <c r="C348">
        <v>27</v>
      </c>
      <c r="D348" s="86">
        <v>1</v>
      </c>
      <c r="E348">
        <v>5</v>
      </c>
      <c r="F348">
        <v>3</v>
      </c>
      <c r="G348">
        <v>21</v>
      </c>
      <c r="H348">
        <v>12</v>
      </c>
      <c r="I348">
        <v>0.6</v>
      </c>
      <c r="J348">
        <v>0.56999999999999995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1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1</v>
      </c>
      <c r="W348">
        <v>0</v>
      </c>
      <c r="X348">
        <v>1</v>
      </c>
      <c r="Y348">
        <v>0</v>
      </c>
      <c r="Z348">
        <v>0</v>
      </c>
      <c r="AA348" s="86">
        <f>AVERAGEIFS($C$2:C348, $B$2:B348, B348)</f>
        <v>13.666666666666666</v>
      </c>
      <c r="AB348" s="86">
        <f>AVERAGEIFS($I$2:I348, $B$2:B348, B348)</f>
        <v>0.38999999999999996</v>
      </c>
      <c r="AC348" s="86">
        <f>AVERAGEIFS($J$2:J348, $B$2:B348, B348)</f>
        <v>0.45200000000000001</v>
      </c>
      <c r="AD348" s="86">
        <f>AVERAGEIFS($D$2:D348, $B$2:B348, B348)</f>
        <v>0.4</v>
      </c>
    </row>
    <row r="349" spans="1:30" x14ac:dyDescent="0.25">
      <c r="A349" s="85">
        <v>46093</v>
      </c>
      <c r="B349" t="s">
        <v>14</v>
      </c>
      <c r="C349">
        <v>25</v>
      </c>
      <c r="D349" s="86">
        <v>1</v>
      </c>
      <c r="E349">
        <v>5</v>
      </c>
      <c r="F349">
        <v>3</v>
      </c>
      <c r="G349">
        <v>21</v>
      </c>
      <c r="H349">
        <v>12</v>
      </c>
      <c r="I349">
        <v>0.6</v>
      </c>
      <c r="J349">
        <v>0.56999999999999995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1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1</v>
      </c>
      <c r="W349">
        <v>0</v>
      </c>
      <c r="X349">
        <v>1</v>
      </c>
      <c r="Y349">
        <v>0</v>
      </c>
      <c r="Z349">
        <v>0</v>
      </c>
      <c r="AA349" s="86">
        <f>AVERAGEIFS($C$2:C349, $B$2:B349, B349)</f>
        <v>25.952380952380953</v>
      </c>
      <c r="AB349" s="86">
        <f>AVERAGEIFS($I$2:I349, $B$2:B349, B349)</f>
        <v>0.52380952380952384</v>
      </c>
      <c r="AC349" s="86">
        <f>AVERAGEIFS($J$2:J349, $B$2:B349, B349)</f>
        <v>0.50714285714285712</v>
      </c>
      <c r="AD349" s="86">
        <f>AVERAGEIFS($D$2:D349, $B$2:B349, B349)</f>
        <v>0.5714285714285714</v>
      </c>
    </row>
    <row r="350" spans="1:30" x14ac:dyDescent="0.25">
      <c r="A350" s="85">
        <v>46093</v>
      </c>
      <c r="B350" t="s">
        <v>19</v>
      </c>
      <c r="C350">
        <v>20</v>
      </c>
      <c r="D350" s="86">
        <v>1</v>
      </c>
      <c r="E350">
        <v>5</v>
      </c>
      <c r="F350">
        <v>3</v>
      </c>
      <c r="G350">
        <v>21</v>
      </c>
      <c r="H350">
        <v>12</v>
      </c>
      <c r="I350">
        <v>0.6</v>
      </c>
      <c r="J350">
        <v>0.56999999999999995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1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1</v>
      </c>
      <c r="W350">
        <v>0</v>
      </c>
      <c r="X350">
        <v>1</v>
      </c>
      <c r="Y350">
        <v>0</v>
      </c>
      <c r="Z350">
        <v>0</v>
      </c>
      <c r="AA350" s="86">
        <f>AVERAGEIFS($C$2:C350, $B$2:B350, B350)</f>
        <v>12.136363636363637</v>
      </c>
      <c r="AB350" s="86">
        <f>AVERAGEIFS($I$2:I350, $B$2:B350, B350)</f>
        <v>0.39772727272727271</v>
      </c>
      <c r="AC350" s="86">
        <f>AVERAGEIFS($J$2:J350, $B$2:B350, B350)</f>
        <v>0.45090909090909098</v>
      </c>
      <c r="AD350" s="86">
        <f>AVERAGEIFS($D$2:D350, $B$2:B350, B350)</f>
        <v>0.36363636363636365</v>
      </c>
    </row>
    <row r="351" spans="1:30" x14ac:dyDescent="0.25">
      <c r="A351" s="85">
        <v>46093</v>
      </c>
      <c r="B351" t="s">
        <v>140</v>
      </c>
      <c r="C351">
        <v>13</v>
      </c>
      <c r="D351" s="86">
        <v>1</v>
      </c>
      <c r="E351">
        <v>5</v>
      </c>
      <c r="F351">
        <v>3</v>
      </c>
      <c r="G351">
        <v>21</v>
      </c>
      <c r="H351">
        <v>12</v>
      </c>
      <c r="I351">
        <v>0.6</v>
      </c>
      <c r="J351">
        <v>0.56999999999999995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1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1</v>
      </c>
      <c r="W351">
        <v>0</v>
      </c>
      <c r="X351">
        <v>1</v>
      </c>
      <c r="Y351">
        <v>0</v>
      </c>
      <c r="Z351">
        <v>0</v>
      </c>
      <c r="AA351" s="86">
        <f>AVERAGEIFS($C$2:C351, $B$2:B351, B351)</f>
        <v>12.5</v>
      </c>
      <c r="AB351" s="86">
        <f>AVERAGEIFS($I$2:I351, $B$2:B351, B351)</f>
        <v>0.5</v>
      </c>
      <c r="AC351" s="86">
        <f>AVERAGEIFS($J$2:J351, $B$2:B351, B351)</f>
        <v>0.47</v>
      </c>
      <c r="AD351" s="86">
        <f>AVERAGEIFS($D$2:D351, $B$2:B351, B351)</f>
        <v>0.5</v>
      </c>
    </row>
    <row r="352" spans="1:30" x14ac:dyDescent="0.25">
      <c r="A352" s="85">
        <v>46093</v>
      </c>
      <c r="B352" t="s">
        <v>26</v>
      </c>
      <c r="C352">
        <v>13</v>
      </c>
      <c r="D352" s="86">
        <v>1</v>
      </c>
      <c r="E352">
        <v>5</v>
      </c>
      <c r="F352">
        <v>3</v>
      </c>
      <c r="G352">
        <v>21</v>
      </c>
      <c r="H352">
        <v>12</v>
      </c>
      <c r="I352">
        <v>0.6</v>
      </c>
      <c r="J352">
        <v>0.56999999999999995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1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1</v>
      </c>
      <c r="W352">
        <v>0</v>
      </c>
      <c r="X352">
        <v>1</v>
      </c>
      <c r="Y352">
        <v>0</v>
      </c>
      <c r="Z352">
        <v>0</v>
      </c>
      <c r="AA352" s="86">
        <f>AVERAGEIFS($C$2:C352, $B$2:B352, B352)</f>
        <v>12.529411764705882</v>
      </c>
      <c r="AB352" s="86">
        <f>AVERAGEIFS($I$2:I352, $B$2:B352, B352)</f>
        <v>0.6470588235294118</v>
      </c>
      <c r="AC352" s="86">
        <f>AVERAGEIFS($J$2:J352, $B$2:B352, B352)</f>
        <v>0.57235294117647051</v>
      </c>
      <c r="AD352" s="86">
        <f>AVERAGEIFS($D$2:D352, $B$2:B352, B352)</f>
        <v>0.70588235294117652</v>
      </c>
    </row>
    <row r="353" spans="1:30" x14ac:dyDescent="0.25">
      <c r="A353" s="85">
        <v>46093</v>
      </c>
      <c r="B353" t="s">
        <v>141</v>
      </c>
      <c r="C353">
        <v>4</v>
      </c>
      <c r="D353" s="86">
        <v>1</v>
      </c>
      <c r="E353">
        <v>5</v>
      </c>
      <c r="F353">
        <v>3</v>
      </c>
      <c r="G353">
        <v>21</v>
      </c>
      <c r="H353">
        <v>12</v>
      </c>
      <c r="I353">
        <v>0.6</v>
      </c>
      <c r="J353">
        <v>0.56999999999999995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1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1</v>
      </c>
      <c r="W353">
        <v>0</v>
      </c>
      <c r="X353">
        <v>1</v>
      </c>
      <c r="Y353">
        <v>0</v>
      </c>
      <c r="Z353">
        <v>0</v>
      </c>
      <c r="AA353" s="86">
        <f>AVERAGEIFS($C$2:C353, $B$2:B353, B353)</f>
        <v>4</v>
      </c>
      <c r="AB353" s="86">
        <f>AVERAGEIFS($I$2:I353, $B$2:B353, B353)</f>
        <v>0.6</v>
      </c>
      <c r="AC353" s="86">
        <f>AVERAGEIFS($J$2:J353, $B$2:B353, B353)</f>
        <v>0.56999999999999995</v>
      </c>
      <c r="AD353" s="86">
        <f>AVERAGEIFS($D$2:D353, $B$2:B353, B353)</f>
        <v>1</v>
      </c>
    </row>
    <row r="354" spans="1:30" x14ac:dyDescent="0.25">
      <c r="A354" s="85">
        <v>46093</v>
      </c>
      <c r="B354" t="s">
        <v>17</v>
      </c>
      <c r="C354">
        <v>39</v>
      </c>
      <c r="D354" s="86">
        <v>0</v>
      </c>
      <c r="E354">
        <v>5</v>
      </c>
      <c r="F354">
        <v>2</v>
      </c>
      <c r="G354">
        <v>21</v>
      </c>
      <c r="H354">
        <v>9</v>
      </c>
      <c r="I354">
        <v>0.4</v>
      </c>
      <c r="J354">
        <v>0.43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 s="86">
        <f>AVERAGEIFS($C$2:C354, $B$2:B354, B354)</f>
        <v>25.958333333333332</v>
      </c>
      <c r="AB354" s="86">
        <f>AVERAGEIFS($I$2:I354, $B$2:B354, B354)</f>
        <v>0.52291666666666681</v>
      </c>
      <c r="AC354" s="86">
        <f>AVERAGEIFS($J$2:J354, $B$2:B354, B354)</f>
        <v>0.52624999999999988</v>
      </c>
      <c r="AD354" s="86">
        <f>AVERAGEIFS($D$2:D354, $B$2:B354, B354)</f>
        <v>0.41666666666666669</v>
      </c>
    </row>
    <row r="355" spans="1:30" x14ac:dyDescent="0.25">
      <c r="A355" s="85">
        <v>46093</v>
      </c>
      <c r="B355" t="s">
        <v>18</v>
      </c>
      <c r="C355">
        <v>34</v>
      </c>
      <c r="D355" s="86">
        <v>0</v>
      </c>
      <c r="E355">
        <v>5</v>
      </c>
      <c r="F355">
        <v>2</v>
      </c>
      <c r="G355">
        <v>21</v>
      </c>
      <c r="H355">
        <v>9</v>
      </c>
      <c r="I355">
        <v>0.4</v>
      </c>
      <c r="J355">
        <v>0.43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 s="86">
        <f>AVERAGEIFS($C$2:C355, $B$2:B355, B355)</f>
        <v>27.25</v>
      </c>
      <c r="AB355" s="86">
        <f>AVERAGEIFS($I$2:I355, $B$2:B355, B355)</f>
        <v>0.42083333333333339</v>
      </c>
      <c r="AC355" s="86">
        <f>AVERAGEIFS($J$2:J355, $B$2:B355, B355)</f>
        <v>0.44666666666666655</v>
      </c>
      <c r="AD355" s="86">
        <f>AVERAGEIFS($D$2:D355, $B$2:B355, B355)</f>
        <v>0.33333333333333331</v>
      </c>
    </row>
    <row r="356" spans="1:30" x14ac:dyDescent="0.25">
      <c r="A356" s="85">
        <v>46093</v>
      </c>
      <c r="B356" t="s">
        <v>37</v>
      </c>
      <c r="C356">
        <v>22</v>
      </c>
      <c r="D356" s="86">
        <v>0</v>
      </c>
      <c r="E356">
        <v>5</v>
      </c>
      <c r="F356">
        <v>2</v>
      </c>
      <c r="G356">
        <v>21</v>
      </c>
      <c r="H356">
        <v>9</v>
      </c>
      <c r="I356">
        <v>0.4</v>
      </c>
      <c r="J356">
        <v>0.43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 s="86">
        <f>AVERAGEIFS($C$2:C356, $B$2:B356, B356)</f>
        <v>18.615384615384617</v>
      </c>
      <c r="AB356" s="86">
        <f>AVERAGEIFS($I$2:I356, $B$2:B356, B356)</f>
        <v>0.47307692307692312</v>
      </c>
      <c r="AC356" s="86">
        <f>AVERAGEIFS($J$2:J356, $B$2:B356, B356)</f>
        <v>0.47846153846153838</v>
      </c>
      <c r="AD356" s="86">
        <f>AVERAGEIFS($D$2:D356, $B$2:B356, B356)</f>
        <v>0.38461538461538464</v>
      </c>
    </row>
    <row r="357" spans="1:30" x14ac:dyDescent="0.25">
      <c r="A357" s="85">
        <v>46093</v>
      </c>
      <c r="B357" t="s">
        <v>20</v>
      </c>
      <c r="C357">
        <v>17</v>
      </c>
      <c r="D357" s="86">
        <v>0</v>
      </c>
      <c r="E357">
        <v>5</v>
      </c>
      <c r="F357">
        <v>2</v>
      </c>
      <c r="G357">
        <v>21</v>
      </c>
      <c r="H357">
        <v>9</v>
      </c>
      <c r="I357">
        <v>0.4</v>
      </c>
      <c r="J357">
        <v>0.43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 s="86">
        <f>AVERAGEIFS($C$2:C357, $B$2:B357, B357)</f>
        <v>13.666666666666666</v>
      </c>
      <c r="AB357" s="86">
        <f>AVERAGEIFS($I$2:I357, $B$2:B357, B357)</f>
        <v>0.49166666666666664</v>
      </c>
      <c r="AC357" s="86">
        <f>AVERAGEIFS($J$2:J357, $B$2:B357, B357)</f>
        <v>0.50222222222222224</v>
      </c>
      <c r="AD357" s="86">
        <f>AVERAGEIFS($D$2:D357, $B$2:B357, B357)</f>
        <v>0.3888888888888889</v>
      </c>
    </row>
    <row r="358" spans="1:30" x14ac:dyDescent="0.25">
      <c r="A358" s="85">
        <v>46093</v>
      </c>
      <c r="B358" t="s">
        <v>45</v>
      </c>
      <c r="C358">
        <v>13</v>
      </c>
      <c r="D358" s="86">
        <v>0</v>
      </c>
      <c r="E358">
        <v>5</v>
      </c>
      <c r="F358">
        <v>2</v>
      </c>
      <c r="G358">
        <v>21</v>
      </c>
      <c r="H358">
        <v>9</v>
      </c>
      <c r="I358">
        <v>0.4</v>
      </c>
      <c r="J358">
        <v>0.43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 s="86">
        <f>AVERAGEIFS($C$2:C358, $B$2:B358, B358)</f>
        <v>10.363636363636363</v>
      </c>
      <c r="AB358" s="86">
        <f>AVERAGEIFS($I$2:I358, $B$2:B358, B358)</f>
        <v>0.49090909090909096</v>
      </c>
      <c r="AC358" s="86">
        <f>AVERAGEIFS($J$2:J358, $B$2:B358, B358)</f>
        <v>0.50909090909090904</v>
      </c>
      <c r="AD358" s="86">
        <f>AVERAGEIFS($D$2:D358, $B$2:B358, B358)</f>
        <v>0.45454545454545453</v>
      </c>
    </row>
    <row r="359" spans="1:30" x14ac:dyDescent="0.25">
      <c r="A359" s="85">
        <v>46093</v>
      </c>
      <c r="B359" t="s">
        <v>29</v>
      </c>
      <c r="C359">
        <v>13</v>
      </c>
      <c r="D359" s="86">
        <v>0</v>
      </c>
      <c r="E359">
        <v>5</v>
      </c>
      <c r="F359">
        <v>2</v>
      </c>
      <c r="G359">
        <v>21</v>
      </c>
      <c r="H359">
        <v>9</v>
      </c>
      <c r="I359">
        <v>0.4</v>
      </c>
      <c r="J359">
        <v>0.43</v>
      </c>
      <c r="K359">
        <v>0</v>
      </c>
      <c r="L359">
        <v>0</v>
      </c>
      <c r="M359">
        <v>0</v>
      </c>
      <c r="N359">
        <v>1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 s="86">
        <f>AVERAGEIFS($C$2:C359, $B$2:B359, B359)</f>
        <v>9.7058823529411757</v>
      </c>
      <c r="AB359" s="86">
        <f>AVERAGEIFS($I$2:I359, $B$2:B359, B359)</f>
        <v>0.45882352941176469</v>
      </c>
      <c r="AC359" s="86">
        <f>AVERAGEIFS($J$2:J359, $B$2:B359, B359)</f>
        <v>0.48882352941176466</v>
      </c>
      <c r="AD359" s="86">
        <f>AVERAGEIFS($D$2:D359, $B$2:B359, B359)</f>
        <v>0.47058823529411764</v>
      </c>
    </row>
    <row r="360" spans="1:30" x14ac:dyDescent="0.25">
      <c r="A360" s="85">
        <v>46093</v>
      </c>
      <c r="B360" t="s">
        <v>137</v>
      </c>
      <c r="C360">
        <v>2</v>
      </c>
      <c r="D360" s="86">
        <v>0</v>
      </c>
      <c r="E360">
        <v>5</v>
      </c>
      <c r="F360">
        <v>2</v>
      </c>
      <c r="G360">
        <v>21</v>
      </c>
      <c r="H360">
        <v>9</v>
      </c>
      <c r="I360">
        <v>0.4</v>
      </c>
      <c r="J360">
        <v>0.43</v>
      </c>
      <c r="K360">
        <v>0</v>
      </c>
      <c r="L360">
        <v>0</v>
      </c>
      <c r="M360">
        <v>0</v>
      </c>
      <c r="N360">
        <v>1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1</v>
      </c>
      <c r="AA360" s="86">
        <f>AVERAGEIFS($C$2:C360, $B$2:B360, B360)</f>
        <v>7.6</v>
      </c>
      <c r="AB360" s="86">
        <f>AVERAGEIFS($I$2:I360, $B$2:B360, B360)</f>
        <v>0.55999999999999994</v>
      </c>
      <c r="AC360" s="86">
        <f>AVERAGEIFS($J$2:J360, $B$2:B360, B360)</f>
        <v>0.52200000000000002</v>
      </c>
      <c r="AD360" s="86">
        <f>AVERAGEIFS($D$2:D360, $B$2:B360, B360)</f>
        <v>0.4</v>
      </c>
    </row>
    <row r="361" spans="1:30" x14ac:dyDescent="0.25">
      <c r="A361" s="85">
        <v>46096</v>
      </c>
      <c r="B361" t="s">
        <v>38</v>
      </c>
      <c r="C361">
        <v>7</v>
      </c>
      <c r="D361" s="86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 s="86">
        <f>AVERAGEIFS($C$2:C361, $B$2:B361, B361)</f>
        <v>4</v>
      </c>
      <c r="AB361" s="86">
        <f>AVERAGEIFS($I$2:I361, $B$2:B361, B361)</f>
        <v>0.375</v>
      </c>
      <c r="AC361" s="86">
        <f>AVERAGEIFS($J$2:J361, $B$2:B361, B361)</f>
        <v>0.41666666666666669</v>
      </c>
      <c r="AD361" s="86">
        <f>AVERAGEIFS($D$2:D361, $B$2:B361, B361)</f>
        <v>0.33333333333333331</v>
      </c>
    </row>
    <row r="362" spans="1:30" x14ac:dyDescent="0.25">
      <c r="A362" s="85">
        <v>46096</v>
      </c>
      <c r="B362" t="s">
        <v>13</v>
      </c>
      <c r="C362">
        <v>24</v>
      </c>
      <c r="D362" s="86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 s="86">
        <f>AVERAGEIFS($C$2:C362, $B$2:B362, B362)</f>
        <v>28.192307692307693</v>
      </c>
      <c r="AB362" s="86">
        <f>AVERAGEIFS($I$2:I362, $B$2:B362, B362)</f>
        <v>0.54999999999999993</v>
      </c>
      <c r="AC362" s="86">
        <f>AVERAGEIFS($J$2:J362, $B$2:B362, B362)</f>
        <v>0.53346153846153843</v>
      </c>
      <c r="AD362" s="86">
        <f>AVERAGEIFS($D$2:D362, $B$2:B362, B362)</f>
        <v>0.65384615384615385</v>
      </c>
    </row>
    <row r="363" spans="1:30" x14ac:dyDescent="0.25">
      <c r="A363" s="85">
        <v>46096</v>
      </c>
      <c r="B363" t="s">
        <v>18</v>
      </c>
      <c r="C363">
        <v>20</v>
      </c>
      <c r="D363" s="86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 s="86">
        <f>AVERAGEIFS($C$2:C363, $B$2:B363, B363)</f>
        <v>26.692307692307693</v>
      </c>
      <c r="AB363" s="86">
        <f>AVERAGEIFS($I$2:I363, $B$2:B363, B363)</f>
        <v>0.38846153846153852</v>
      </c>
      <c r="AC363" s="86">
        <f>AVERAGEIFS($J$2:J363, $B$2:B363, B363)</f>
        <v>0.43153846153846143</v>
      </c>
      <c r="AD363" s="86">
        <f>AVERAGEIFS($D$2:D363, $B$2:B363, B363)</f>
        <v>0.30769230769230771</v>
      </c>
    </row>
    <row r="364" spans="1:30" x14ac:dyDescent="0.25">
      <c r="A364" s="85">
        <v>46096</v>
      </c>
      <c r="B364" t="s">
        <v>20</v>
      </c>
      <c r="C364">
        <v>15</v>
      </c>
      <c r="D364" s="86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 s="86">
        <f>AVERAGEIFS($C$2:C364, $B$2:B364, B364)</f>
        <v>13.736842105263158</v>
      </c>
      <c r="AB364" s="86">
        <f>AVERAGEIFS($I$2:I364, $B$2:B364, B364)</f>
        <v>0.46578947368421053</v>
      </c>
      <c r="AC364" s="86">
        <f>AVERAGEIFS($J$2:J364, $B$2:B364, B364)</f>
        <v>0.48894736842105269</v>
      </c>
      <c r="AD364" s="86">
        <f>AVERAGEIFS($D$2:D364, $B$2:B364, B364)</f>
        <v>0.36842105263157893</v>
      </c>
    </row>
    <row r="365" spans="1:30" x14ac:dyDescent="0.25">
      <c r="A365" s="85">
        <v>46096</v>
      </c>
      <c r="B365" t="s">
        <v>19</v>
      </c>
      <c r="C365">
        <v>7</v>
      </c>
      <c r="D365" s="86">
        <v>0</v>
      </c>
      <c r="E365">
        <v>3</v>
      </c>
      <c r="F365">
        <v>0</v>
      </c>
      <c r="G365">
        <v>12</v>
      </c>
      <c r="H365">
        <v>3</v>
      </c>
      <c r="I365">
        <v>0</v>
      </c>
      <c r="J365">
        <v>0.25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 s="86">
        <f>AVERAGEIFS($C$2:C365, $B$2:B365, B365)</f>
        <v>11.913043478260869</v>
      </c>
      <c r="AB365" s="86">
        <f>AVERAGEIFS($I$2:I365, $B$2:B365, B365)</f>
        <v>0.38043478260869568</v>
      </c>
      <c r="AC365" s="86">
        <f>AVERAGEIFS($J$2:J365, $B$2:B365, B365)</f>
        <v>0.44217391304347836</v>
      </c>
      <c r="AD365" s="86">
        <f>AVERAGEIFS($D$2:D365, $B$2:B365, B365)</f>
        <v>0.34782608695652173</v>
      </c>
    </row>
    <row r="366" spans="1:30" x14ac:dyDescent="0.25">
      <c r="A366" s="85">
        <v>46096</v>
      </c>
      <c r="B366" t="s">
        <v>28</v>
      </c>
      <c r="C366">
        <v>16</v>
      </c>
      <c r="D366" s="86">
        <v>0</v>
      </c>
      <c r="E366">
        <v>3</v>
      </c>
      <c r="F366">
        <v>0</v>
      </c>
      <c r="G366">
        <v>12</v>
      </c>
      <c r="H366">
        <v>3</v>
      </c>
      <c r="I366">
        <v>0</v>
      </c>
      <c r="J366">
        <v>0.25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86">
        <f>AVERAGEIFS($C$2:C366, $B$2:B366, B366)</f>
        <v>13.8125</v>
      </c>
      <c r="AB366" s="86">
        <f>AVERAGEIFS($I$2:I366, $B$2:B366, B366)</f>
        <v>0.36562499999999998</v>
      </c>
      <c r="AC366" s="86">
        <f>AVERAGEIFS($J$2:J366, $B$2:B366, B366)</f>
        <v>0.43937500000000002</v>
      </c>
      <c r="AD366" s="86">
        <f>AVERAGEIFS($D$2:D366, $B$2:B366, B366)</f>
        <v>0.375</v>
      </c>
    </row>
    <row r="367" spans="1:30" x14ac:dyDescent="0.25">
      <c r="A367" s="85">
        <v>46096</v>
      </c>
      <c r="B367" t="s">
        <v>37</v>
      </c>
      <c r="C367">
        <v>18</v>
      </c>
      <c r="D367" s="86">
        <v>0</v>
      </c>
      <c r="E367">
        <v>3</v>
      </c>
      <c r="F367">
        <v>0</v>
      </c>
      <c r="G367">
        <v>12</v>
      </c>
      <c r="H367">
        <v>3</v>
      </c>
      <c r="I367">
        <v>0</v>
      </c>
      <c r="J367">
        <v>0.25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86">
        <f>AVERAGEIFS($C$2:C367, $B$2:B367, B367)</f>
        <v>18.571428571428573</v>
      </c>
      <c r="AB367" s="86">
        <f>AVERAGEIFS($I$2:I367, $B$2:B367, B367)</f>
        <v>0.43928571428571433</v>
      </c>
      <c r="AC367" s="86">
        <f>AVERAGEIFS($J$2:J367, $B$2:B367, B367)</f>
        <v>0.46214285714285708</v>
      </c>
      <c r="AD367" s="86">
        <f>AVERAGEIFS($D$2:D367, $B$2:B367, B367)</f>
        <v>0.35714285714285715</v>
      </c>
    </row>
    <row r="368" spans="1:30" x14ac:dyDescent="0.25">
      <c r="A368" s="85">
        <v>46096</v>
      </c>
      <c r="B368" t="s">
        <v>45</v>
      </c>
      <c r="C368">
        <v>16</v>
      </c>
      <c r="D368" s="86">
        <v>0</v>
      </c>
      <c r="E368">
        <v>3</v>
      </c>
      <c r="F368">
        <v>0</v>
      </c>
      <c r="G368">
        <v>12</v>
      </c>
      <c r="H368">
        <v>3</v>
      </c>
      <c r="I368">
        <v>0</v>
      </c>
      <c r="J368">
        <v>0.25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86">
        <f>AVERAGEIFS($C$2:C368, $B$2:B368, B368)</f>
        <v>10.833333333333334</v>
      </c>
      <c r="AB368" s="86">
        <f>AVERAGEIFS($I$2:I368, $B$2:B368, B368)</f>
        <v>0.45</v>
      </c>
      <c r="AC368" s="86">
        <f>AVERAGEIFS($J$2:J368, $B$2:B368, B368)</f>
        <v>0.48749999999999999</v>
      </c>
      <c r="AD368" s="86">
        <f>AVERAGEIFS($D$2:D368, $B$2:B368, B368)</f>
        <v>0.41666666666666669</v>
      </c>
    </row>
    <row r="369" spans="1:30" x14ac:dyDescent="0.25">
      <c r="A369" s="85">
        <v>46096</v>
      </c>
      <c r="B369" t="s">
        <v>29</v>
      </c>
      <c r="C369">
        <v>14</v>
      </c>
      <c r="D369" s="86">
        <v>1</v>
      </c>
      <c r="E369">
        <v>3</v>
      </c>
      <c r="F369">
        <v>3</v>
      </c>
      <c r="G369">
        <v>12</v>
      </c>
      <c r="H369">
        <v>9</v>
      </c>
      <c r="I369">
        <v>1</v>
      </c>
      <c r="J369">
        <v>0.75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1</v>
      </c>
      <c r="Y369">
        <v>0</v>
      </c>
      <c r="Z369">
        <v>1</v>
      </c>
      <c r="AA369" s="86">
        <f>AVERAGEIFS($C$2:C369, $B$2:B369, B369)</f>
        <v>9.9444444444444446</v>
      </c>
      <c r="AB369" s="86">
        <f>AVERAGEIFS($I$2:I369, $B$2:B369, B369)</f>
        <v>0.48888888888888893</v>
      </c>
      <c r="AC369" s="86">
        <f>AVERAGEIFS($J$2:J369, $B$2:B369, B369)</f>
        <v>0.5033333333333333</v>
      </c>
      <c r="AD369" s="86">
        <f>AVERAGEIFS($D$2:D369, $B$2:B369, B369)</f>
        <v>0.5</v>
      </c>
    </row>
    <row r="370" spans="1:30" x14ac:dyDescent="0.25">
      <c r="A370" s="85">
        <v>46096</v>
      </c>
      <c r="B370" t="s">
        <v>17</v>
      </c>
      <c r="C370">
        <v>40</v>
      </c>
      <c r="D370" s="86">
        <v>1</v>
      </c>
      <c r="E370">
        <v>3</v>
      </c>
      <c r="F370">
        <v>3</v>
      </c>
      <c r="G370">
        <v>12</v>
      </c>
      <c r="H370">
        <v>9</v>
      </c>
      <c r="I370">
        <v>1</v>
      </c>
      <c r="J370">
        <v>0.75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1</v>
      </c>
      <c r="Y370">
        <v>0</v>
      </c>
      <c r="Z370">
        <v>1</v>
      </c>
      <c r="AA370" s="86">
        <f>AVERAGEIFS($C$2:C370, $B$2:B370, B370)</f>
        <v>26.52</v>
      </c>
      <c r="AB370" s="86">
        <f>AVERAGEIFS($I$2:I370, $B$2:B370, B370)</f>
        <v>0.54200000000000015</v>
      </c>
      <c r="AC370" s="86">
        <f>AVERAGEIFS($J$2:J370, $B$2:B370, B370)</f>
        <v>0.5351999999999999</v>
      </c>
      <c r="AD370" s="86">
        <f>AVERAGEIFS($D$2:D370, $B$2:B370, B370)</f>
        <v>0.44</v>
      </c>
    </row>
    <row r="371" spans="1:30" x14ac:dyDescent="0.25">
      <c r="A371" s="85">
        <v>46096</v>
      </c>
      <c r="B371" t="s">
        <v>14</v>
      </c>
      <c r="C371">
        <v>12</v>
      </c>
      <c r="D371" s="86">
        <v>1</v>
      </c>
      <c r="E371">
        <v>3</v>
      </c>
      <c r="F371">
        <v>3</v>
      </c>
      <c r="G371">
        <v>12</v>
      </c>
      <c r="H371">
        <v>9</v>
      </c>
      <c r="I371">
        <v>1</v>
      </c>
      <c r="J371">
        <v>0.75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1</v>
      </c>
      <c r="Y371">
        <v>0</v>
      </c>
      <c r="Z371">
        <v>1</v>
      </c>
      <c r="AA371" s="86">
        <f>AVERAGEIFS($C$2:C371, $B$2:B371, B371)</f>
        <v>25.318181818181817</v>
      </c>
      <c r="AB371" s="86">
        <f>AVERAGEIFS($I$2:I371, $B$2:B371, B371)</f>
        <v>0.54545454545454541</v>
      </c>
      <c r="AC371" s="86">
        <f>AVERAGEIFS($J$2:J371, $B$2:B371, B371)</f>
        <v>0.51818181818181819</v>
      </c>
      <c r="AD371" s="86">
        <f>AVERAGEIFS($D$2:D371, $B$2:B371, B371)</f>
        <v>0.59090909090909094</v>
      </c>
    </row>
    <row r="372" spans="1:30" x14ac:dyDescent="0.25">
      <c r="A372" s="85">
        <v>46096</v>
      </c>
      <c r="B372" t="s">
        <v>6</v>
      </c>
      <c r="C372">
        <v>18</v>
      </c>
      <c r="D372" s="86">
        <v>1</v>
      </c>
      <c r="E372">
        <v>3</v>
      </c>
      <c r="F372">
        <v>3</v>
      </c>
      <c r="G372">
        <v>12</v>
      </c>
      <c r="H372">
        <v>9</v>
      </c>
      <c r="I372">
        <v>1</v>
      </c>
      <c r="J372">
        <v>0.75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1</v>
      </c>
      <c r="Y372">
        <v>0</v>
      </c>
      <c r="Z372">
        <v>1</v>
      </c>
      <c r="AA372" s="86">
        <f>AVERAGEIFS($C$2:C372, $B$2:B372, B372)</f>
        <v>23.142857142857142</v>
      </c>
      <c r="AB372" s="86">
        <f>AVERAGEIFS($I$2:I372, $B$2:B372, B372)</f>
        <v>0.62142857142857133</v>
      </c>
      <c r="AC372" s="86">
        <f>AVERAGEIFS($J$2:J372, $B$2:B372, B372)</f>
        <v>0.53857142857142859</v>
      </c>
      <c r="AD372" s="86">
        <f>AVERAGEIFS($D$2:D372, $B$2:B372, B372)</f>
        <v>0.7142857142857143</v>
      </c>
    </row>
    <row r="373" spans="1:30" x14ac:dyDescent="0.25">
      <c r="A373" s="85">
        <v>46096</v>
      </c>
      <c r="B373" t="s">
        <v>27</v>
      </c>
      <c r="C373">
        <v>17</v>
      </c>
      <c r="D373" s="86">
        <v>1</v>
      </c>
      <c r="E373">
        <v>3</v>
      </c>
      <c r="F373">
        <v>3</v>
      </c>
      <c r="G373">
        <v>12</v>
      </c>
      <c r="H373">
        <v>9</v>
      </c>
      <c r="I373">
        <v>1</v>
      </c>
      <c r="J373">
        <v>0.75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1</v>
      </c>
      <c r="Y373">
        <v>0</v>
      </c>
      <c r="Z373">
        <v>1</v>
      </c>
      <c r="AA373" s="86">
        <f>AVERAGEIFS($C$2:C373, $B$2:B373, B373)</f>
        <v>13.642857142857142</v>
      </c>
      <c r="AB373" s="86">
        <f>AVERAGEIFS($I$2:I373, $B$2:B373, B373)</f>
        <v>0.48928571428571427</v>
      </c>
      <c r="AC373" s="86">
        <f>AVERAGEIFS($J$2:J373, $B$2:B373, B373)</f>
        <v>0.4885714285714286</v>
      </c>
      <c r="AD373" s="86">
        <f>AVERAGEIFS($D$2:D373, $B$2:B373, B373)</f>
        <v>0.5</v>
      </c>
    </row>
    <row r="374" spans="1:30" x14ac:dyDescent="0.25">
      <c r="A374" s="85">
        <v>46096</v>
      </c>
      <c r="B374" t="s">
        <v>26</v>
      </c>
      <c r="C374">
        <v>13</v>
      </c>
      <c r="D374" s="86">
        <v>1</v>
      </c>
      <c r="E374">
        <v>3</v>
      </c>
      <c r="F374">
        <v>3</v>
      </c>
      <c r="G374">
        <v>12</v>
      </c>
      <c r="H374">
        <v>9</v>
      </c>
      <c r="I374">
        <v>1</v>
      </c>
      <c r="J374">
        <v>0.75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1</v>
      </c>
      <c r="Y374">
        <v>0</v>
      </c>
      <c r="Z374">
        <v>1</v>
      </c>
      <c r="AA374" s="86">
        <f>AVERAGEIFS($C$2:C374, $B$2:B374, B374)</f>
        <v>12.555555555555555</v>
      </c>
      <c r="AB374" s="86">
        <f>AVERAGEIFS($I$2:I374, $B$2:B374, B374)</f>
        <v>0.66666666666666663</v>
      </c>
      <c r="AC374" s="86">
        <f>AVERAGEIFS($J$2:J374, $B$2:B374, B374)</f>
        <v>0.5822222222222222</v>
      </c>
      <c r="AD374" s="86">
        <f>AVERAGEIFS($D$2:D374, $B$2:B374, B374)</f>
        <v>0.72222222222222221</v>
      </c>
    </row>
    <row r="375" spans="1:30" x14ac:dyDescent="0.25">
      <c r="A375" s="85">
        <v>46096</v>
      </c>
      <c r="B375" t="s">
        <v>25</v>
      </c>
      <c r="C375">
        <v>13</v>
      </c>
      <c r="D375" s="86">
        <v>1</v>
      </c>
      <c r="E375">
        <v>3</v>
      </c>
      <c r="F375">
        <v>3</v>
      </c>
      <c r="G375">
        <v>12</v>
      </c>
      <c r="H375">
        <v>9</v>
      </c>
      <c r="I375">
        <v>1</v>
      </c>
      <c r="J375">
        <v>0.75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1</v>
      </c>
      <c r="Y375">
        <v>0</v>
      </c>
      <c r="Z375">
        <v>1</v>
      </c>
      <c r="AA375" s="86">
        <f>AVERAGEIFS($C$2:C375, $B$2:B375, B375)</f>
        <v>15.2</v>
      </c>
      <c r="AB375" s="86">
        <f>AVERAGEIFS($I$2:I375, $B$2:B375, B375)</f>
        <v>0.68</v>
      </c>
      <c r="AC375" s="86">
        <f>AVERAGEIFS($J$2:J375, $B$2:B375, B375)</f>
        <v>0.59099999999999997</v>
      </c>
      <c r="AD375" s="86">
        <f>AVERAGEIFS($D$2:D375, $B$2:B375, B375)</f>
        <v>0.6</v>
      </c>
    </row>
    <row r="376" spans="1:30" x14ac:dyDescent="0.25">
      <c r="A376" s="85">
        <v>46096</v>
      </c>
      <c r="B376" t="s">
        <v>140</v>
      </c>
      <c r="C376">
        <v>8</v>
      </c>
      <c r="D376" s="86">
        <v>1</v>
      </c>
      <c r="E376">
        <v>3</v>
      </c>
      <c r="F376">
        <v>3</v>
      </c>
      <c r="G376">
        <v>12</v>
      </c>
      <c r="H376">
        <v>9</v>
      </c>
      <c r="I376">
        <v>1</v>
      </c>
      <c r="J376">
        <v>0.75</v>
      </c>
      <c r="K376">
        <v>0</v>
      </c>
      <c r="L376">
        <v>0</v>
      </c>
      <c r="M376">
        <v>0</v>
      </c>
      <c r="N376">
        <v>1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1</v>
      </c>
      <c r="Y376">
        <v>0</v>
      </c>
      <c r="Z376">
        <v>1</v>
      </c>
      <c r="AA376" s="86">
        <f>AVERAGEIFS($C$2:C376, $B$2:B376, B376)</f>
        <v>11</v>
      </c>
      <c r="AB376" s="86">
        <f>AVERAGEIFS($I$2:I376, $B$2:B376, B376)</f>
        <v>0.66666666666666663</v>
      </c>
      <c r="AC376" s="86">
        <f>AVERAGEIFS($J$2:J376, $B$2:B376, B376)</f>
        <v>0.56333333333333335</v>
      </c>
      <c r="AD376" s="86">
        <f>AVERAGEIFS($D$2:D376, $B$2:B376, B376)</f>
        <v>0.66666666666666663</v>
      </c>
    </row>
    <row r="377" spans="1:30" x14ac:dyDescent="0.25">
      <c r="A377" s="85">
        <v>46096</v>
      </c>
      <c r="B377" t="s">
        <v>15</v>
      </c>
      <c r="C377">
        <v>11</v>
      </c>
      <c r="D377" s="86">
        <v>1</v>
      </c>
      <c r="E377">
        <v>3</v>
      </c>
      <c r="F377">
        <v>3</v>
      </c>
      <c r="G377">
        <v>12</v>
      </c>
      <c r="H377">
        <v>9</v>
      </c>
      <c r="I377">
        <v>1</v>
      </c>
      <c r="J377">
        <v>0.75</v>
      </c>
      <c r="K377">
        <v>0</v>
      </c>
      <c r="L377">
        <v>0</v>
      </c>
      <c r="M377">
        <v>0</v>
      </c>
      <c r="N377">
        <v>1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1</v>
      </c>
      <c r="Y377">
        <v>0</v>
      </c>
      <c r="Z377">
        <v>1</v>
      </c>
      <c r="AA377" s="86">
        <f>AVERAGEIFS($C$2:C377, $B$2:B377, B377)</f>
        <v>25.05263157894737</v>
      </c>
      <c r="AB377" s="86">
        <f>AVERAGEIFS($I$2:I377, $B$2:B377, B377)</f>
        <v>0.4447368421052631</v>
      </c>
      <c r="AC377" s="86">
        <f>AVERAGEIFS($J$2:J377, $B$2:B377, B377)</f>
        <v>0.4852631578947369</v>
      </c>
      <c r="AD377" s="86">
        <f>AVERAGEIFS($D$2:D377, $B$2:B377, B377)</f>
        <v>0.31578947368421051</v>
      </c>
    </row>
    <row r="378" spans="1:30" x14ac:dyDescent="0.25">
      <c r="A378" s="85">
        <v>46096</v>
      </c>
      <c r="B378" t="s">
        <v>13</v>
      </c>
      <c r="C378">
        <v>25</v>
      </c>
      <c r="D378" s="86">
        <v>1</v>
      </c>
      <c r="E378">
        <v>4</v>
      </c>
      <c r="F378">
        <v>3</v>
      </c>
      <c r="G378">
        <v>18</v>
      </c>
      <c r="H378">
        <v>11</v>
      </c>
      <c r="I378">
        <v>0.75</v>
      </c>
      <c r="J378">
        <v>0.61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1</v>
      </c>
      <c r="R378">
        <v>0</v>
      </c>
      <c r="S378">
        <v>0</v>
      </c>
      <c r="T378">
        <v>1</v>
      </c>
      <c r="U378">
        <v>0</v>
      </c>
      <c r="V378">
        <v>0</v>
      </c>
      <c r="W378">
        <v>1</v>
      </c>
      <c r="X378">
        <v>0</v>
      </c>
      <c r="Y378">
        <v>0</v>
      </c>
      <c r="Z378">
        <v>0</v>
      </c>
      <c r="AA378" s="86">
        <f>AVERAGEIFS($C$2:C378, $B$2:B378, B378)</f>
        <v>28.074074074074073</v>
      </c>
      <c r="AB378" s="86">
        <f>AVERAGEIFS($I$2:I378, $B$2:B378, B378)</f>
        <v>0.55740740740740735</v>
      </c>
      <c r="AC378" s="86">
        <f>AVERAGEIFS($J$2:J378, $B$2:B378, B378)</f>
        <v>0.53629629629629627</v>
      </c>
      <c r="AD378" s="86">
        <f>AVERAGEIFS($D$2:D378, $B$2:B378, B378)</f>
        <v>0.66666666666666663</v>
      </c>
    </row>
    <row r="379" spans="1:30" x14ac:dyDescent="0.25">
      <c r="A379" s="85">
        <v>46096</v>
      </c>
      <c r="B379" t="s">
        <v>25</v>
      </c>
      <c r="C379">
        <v>16</v>
      </c>
      <c r="D379" s="86">
        <v>1</v>
      </c>
      <c r="E379">
        <v>4</v>
      </c>
      <c r="F379">
        <v>3</v>
      </c>
      <c r="G379">
        <v>18</v>
      </c>
      <c r="H379">
        <v>11</v>
      </c>
      <c r="I379">
        <v>0.75</v>
      </c>
      <c r="J379">
        <v>0.61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1</v>
      </c>
      <c r="R379">
        <v>0</v>
      </c>
      <c r="S379">
        <v>0</v>
      </c>
      <c r="T379">
        <v>1</v>
      </c>
      <c r="U379">
        <v>0</v>
      </c>
      <c r="V379">
        <v>0</v>
      </c>
      <c r="W379">
        <v>1</v>
      </c>
      <c r="X379">
        <v>0</v>
      </c>
      <c r="Y379">
        <v>0</v>
      </c>
      <c r="Z379">
        <v>0</v>
      </c>
      <c r="AA379" s="86">
        <f>AVERAGEIFS($C$2:C379, $B$2:B379, B379)</f>
        <v>15.272727272727273</v>
      </c>
      <c r="AB379" s="86">
        <f>AVERAGEIFS($I$2:I379, $B$2:B379, B379)</f>
        <v>0.6863636363636364</v>
      </c>
      <c r="AC379" s="86">
        <f>AVERAGEIFS($J$2:J379, $B$2:B379, B379)</f>
        <v>0.59272727272727277</v>
      </c>
      <c r="AD379" s="86">
        <f>AVERAGEIFS($D$2:D379, $B$2:B379, B379)</f>
        <v>0.63636363636363635</v>
      </c>
    </row>
    <row r="380" spans="1:30" x14ac:dyDescent="0.25">
      <c r="A380" s="85">
        <v>46096</v>
      </c>
      <c r="B380" t="s">
        <v>26</v>
      </c>
      <c r="C380">
        <v>9</v>
      </c>
      <c r="D380" s="86">
        <v>1</v>
      </c>
      <c r="E380">
        <v>4</v>
      </c>
      <c r="F380">
        <v>3</v>
      </c>
      <c r="G380">
        <v>18</v>
      </c>
      <c r="H380">
        <v>11</v>
      </c>
      <c r="I380">
        <v>0.75</v>
      </c>
      <c r="J380">
        <v>0.61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1</v>
      </c>
      <c r="R380">
        <v>0</v>
      </c>
      <c r="S380">
        <v>0</v>
      </c>
      <c r="T380">
        <v>1</v>
      </c>
      <c r="U380">
        <v>0</v>
      </c>
      <c r="V380">
        <v>0</v>
      </c>
      <c r="W380">
        <v>1</v>
      </c>
      <c r="X380">
        <v>0</v>
      </c>
      <c r="Y380">
        <v>0</v>
      </c>
      <c r="Z380">
        <v>0</v>
      </c>
      <c r="AA380" s="86">
        <f>AVERAGEIFS($C$2:C380, $B$2:B380, B380)</f>
        <v>12.368421052631579</v>
      </c>
      <c r="AB380" s="86">
        <f>AVERAGEIFS($I$2:I380, $B$2:B380, B380)</f>
        <v>0.67105263157894735</v>
      </c>
      <c r="AC380" s="86">
        <f>AVERAGEIFS($J$2:J380, $B$2:B380, B380)</f>
        <v>0.58368421052631569</v>
      </c>
      <c r="AD380" s="86">
        <f>AVERAGEIFS($D$2:D380, $B$2:B380, B380)</f>
        <v>0.73684210526315785</v>
      </c>
    </row>
    <row r="381" spans="1:30" x14ac:dyDescent="0.25">
      <c r="A381" s="85">
        <v>46096</v>
      </c>
      <c r="B381" t="s">
        <v>20</v>
      </c>
      <c r="C381">
        <v>13</v>
      </c>
      <c r="D381" s="86">
        <v>1</v>
      </c>
      <c r="E381">
        <v>4</v>
      </c>
      <c r="F381">
        <v>3</v>
      </c>
      <c r="G381">
        <v>18</v>
      </c>
      <c r="H381">
        <v>11</v>
      </c>
      <c r="I381">
        <v>0.75</v>
      </c>
      <c r="J381">
        <v>0.61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1</v>
      </c>
      <c r="R381">
        <v>0</v>
      </c>
      <c r="S381">
        <v>0</v>
      </c>
      <c r="T381">
        <v>1</v>
      </c>
      <c r="U381">
        <v>0</v>
      </c>
      <c r="V381">
        <v>0</v>
      </c>
      <c r="W381">
        <v>1</v>
      </c>
      <c r="X381">
        <v>0</v>
      </c>
      <c r="Y381">
        <v>0</v>
      </c>
      <c r="Z381">
        <v>0</v>
      </c>
      <c r="AA381" s="86">
        <f>AVERAGEIFS($C$2:C381, $B$2:B381, B381)</f>
        <v>13.7</v>
      </c>
      <c r="AB381" s="86">
        <f>AVERAGEIFS($I$2:I381, $B$2:B381, B381)</f>
        <v>0.48</v>
      </c>
      <c r="AC381" s="86">
        <f>AVERAGEIFS($J$2:J381, $B$2:B381, B381)</f>
        <v>0.495</v>
      </c>
      <c r="AD381" s="86">
        <f>AVERAGEIFS($D$2:D381, $B$2:B381, B381)</f>
        <v>0.4</v>
      </c>
    </row>
    <row r="382" spans="1:30" x14ac:dyDescent="0.25">
      <c r="A382" s="85">
        <v>46096</v>
      </c>
      <c r="B382" t="s">
        <v>18</v>
      </c>
      <c r="C382">
        <v>28</v>
      </c>
      <c r="D382" s="86">
        <v>1</v>
      </c>
      <c r="E382">
        <v>4</v>
      </c>
      <c r="F382">
        <v>3</v>
      </c>
      <c r="G382">
        <v>18</v>
      </c>
      <c r="H382">
        <v>11</v>
      </c>
      <c r="I382">
        <v>0.75</v>
      </c>
      <c r="J382">
        <v>0.61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0</v>
      </c>
      <c r="S382">
        <v>0</v>
      </c>
      <c r="T382">
        <v>1</v>
      </c>
      <c r="U382">
        <v>0</v>
      </c>
      <c r="V382">
        <v>0</v>
      </c>
      <c r="W382">
        <v>1</v>
      </c>
      <c r="X382">
        <v>0</v>
      </c>
      <c r="Y382">
        <v>0</v>
      </c>
      <c r="Z382">
        <v>0</v>
      </c>
      <c r="AA382" s="86">
        <f>AVERAGEIFS($C$2:C382, $B$2:B382, B382)</f>
        <v>26.785714285714285</v>
      </c>
      <c r="AB382" s="86">
        <f>AVERAGEIFS($I$2:I382, $B$2:B382, B382)</f>
        <v>0.41428571428571431</v>
      </c>
      <c r="AC382" s="86">
        <f>AVERAGEIFS($J$2:J382, $B$2:B382, B382)</f>
        <v>0.44428571428571423</v>
      </c>
      <c r="AD382" s="86">
        <f>AVERAGEIFS($D$2:D382, $B$2:B382, B382)</f>
        <v>0.35714285714285715</v>
      </c>
    </row>
    <row r="383" spans="1:30" x14ac:dyDescent="0.25">
      <c r="A383" s="85">
        <v>46096</v>
      </c>
      <c r="B383" t="s">
        <v>6</v>
      </c>
      <c r="C383">
        <v>17</v>
      </c>
      <c r="D383" s="86">
        <v>1</v>
      </c>
      <c r="E383">
        <v>4</v>
      </c>
      <c r="F383">
        <v>3</v>
      </c>
      <c r="G383">
        <v>18</v>
      </c>
      <c r="H383">
        <v>11</v>
      </c>
      <c r="I383">
        <v>0.75</v>
      </c>
      <c r="J383">
        <v>0.61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0</v>
      </c>
      <c r="S383">
        <v>0</v>
      </c>
      <c r="T383">
        <v>1</v>
      </c>
      <c r="U383">
        <v>0</v>
      </c>
      <c r="V383">
        <v>0</v>
      </c>
      <c r="W383">
        <v>1</v>
      </c>
      <c r="X383">
        <v>0</v>
      </c>
      <c r="Y383">
        <v>0</v>
      </c>
      <c r="Z383">
        <v>0</v>
      </c>
      <c r="AA383" s="86">
        <f>AVERAGEIFS($C$2:C383, $B$2:B383, B383)</f>
        <v>22.733333333333334</v>
      </c>
      <c r="AB383" s="86">
        <f>AVERAGEIFS($I$2:I383, $B$2:B383, B383)</f>
        <v>0.63</v>
      </c>
      <c r="AC383" s="86">
        <f>AVERAGEIFS($J$2:J383, $B$2:B383, B383)</f>
        <v>0.54333333333333333</v>
      </c>
      <c r="AD383" s="86">
        <f>AVERAGEIFS($D$2:D383, $B$2:B383, B383)</f>
        <v>0.73333333333333328</v>
      </c>
    </row>
    <row r="384" spans="1:30" x14ac:dyDescent="0.25">
      <c r="A384" s="85">
        <v>46096</v>
      </c>
      <c r="B384" t="s">
        <v>27</v>
      </c>
      <c r="C384">
        <v>11</v>
      </c>
      <c r="D384" s="86">
        <v>0</v>
      </c>
      <c r="E384">
        <v>4</v>
      </c>
      <c r="F384">
        <v>1</v>
      </c>
      <c r="G384">
        <v>18</v>
      </c>
      <c r="H384">
        <v>7</v>
      </c>
      <c r="I384">
        <v>0.25</v>
      </c>
      <c r="J384">
        <v>0.39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1</v>
      </c>
      <c r="Y384">
        <v>0</v>
      </c>
      <c r="Z384">
        <v>0</v>
      </c>
      <c r="AA384" s="86">
        <f>AVERAGEIFS($C$2:C384, $B$2:B384, B384)</f>
        <v>13.466666666666667</v>
      </c>
      <c r="AB384" s="86">
        <f>AVERAGEIFS($I$2:I384, $B$2:B384, B384)</f>
        <v>0.47333333333333333</v>
      </c>
      <c r="AC384" s="86">
        <f>AVERAGEIFS($J$2:J384, $B$2:B384, B384)</f>
        <v>0.48200000000000004</v>
      </c>
      <c r="AD384" s="86">
        <f>AVERAGEIFS($D$2:D384, $B$2:B384, B384)</f>
        <v>0.46666666666666667</v>
      </c>
    </row>
    <row r="385" spans="1:30" x14ac:dyDescent="0.25">
      <c r="A385" s="85">
        <v>46096</v>
      </c>
      <c r="B385" t="s">
        <v>29</v>
      </c>
      <c r="C385">
        <v>6</v>
      </c>
      <c r="D385" s="86">
        <v>0</v>
      </c>
      <c r="E385">
        <v>4</v>
      </c>
      <c r="F385">
        <v>1</v>
      </c>
      <c r="G385">
        <v>18</v>
      </c>
      <c r="H385">
        <v>7</v>
      </c>
      <c r="I385">
        <v>0.25</v>
      </c>
      <c r="J385">
        <v>0.39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1</v>
      </c>
      <c r="Y385">
        <v>0</v>
      </c>
      <c r="Z385">
        <v>0</v>
      </c>
      <c r="AA385" s="86">
        <f>AVERAGEIFS($C$2:C385, $B$2:B385, B385)</f>
        <v>9.7368421052631575</v>
      </c>
      <c r="AB385" s="86">
        <f>AVERAGEIFS($I$2:I385, $B$2:B385, B385)</f>
        <v>0.47631578947368425</v>
      </c>
      <c r="AC385" s="86">
        <f>AVERAGEIFS($J$2:J385, $B$2:B385, B385)</f>
        <v>0.49736842105263152</v>
      </c>
      <c r="AD385" s="86">
        <f>AVERAGEIFS($D$2:D385, $B$2:B385, B385)</f>
        <v>0.47368421052631576</v>
      </c>
    </row>
    <row r="386" spans="1:30" x14ac:dyDescent="0.25">
      <c r="A386" s="85">
        <v>46096</v>
      </c>
      <c r="B386" t="s">
        <v>15</v>
      </c>
      <c r="C386">
        <v>27</v>
      </c>
      <c r="D386" s="86">
        <v>0</v>
      </c>
      <c r="E386">
        <v>4</v>
      </c>
      <c r="F386">
        <v>1</v>
      </c>
      <c r="G386">
        <v>18</v>
      </c>
      <c r="H386">
        <v>7</v>
      </c>
      <c r="I386">
        <v>0.25</v>
      </c>
      <c r="J386">
        <v>0.39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1</v>
      </c>
      <c r="Y386">
        <v>0</v>
      </c>
      <c r="Z386">
        <v>0</v>
      </c>
      <c r="AA386" s="86">
        <f>AVERAGEIFS($C$2:C386, $B$2:B386, B386)</f>
        <v>25.15</v>
      </c>
      <c r="AB386" s="86">
        <f>AVERAGEIFS($I$2:I386, $B$2:B386, B386)</f>
        <v>0.43499999999999994</v>
      </c>
      <c r="AC386" s="86">
        <f>AVERAGEIFS($J$2:J386, $B$2:B386, B386)</f>
        <v>0.48050000000000004</v>
      </c>
      <c r="AD386" s="86">
        <f>AVERAGEIFS($D$2:D386, $B$2:B386, B386)</f>
        <v>0.3</v>
      </c>
    </row>
    <row r="387" spans="1:30" x14ac:dyDescent="0.25">
      <c r="A387" s="85">
        <v>46096</v>
      </c>
      <c r="B387" t="s">
        <v>17</v>
      </c>
      <c r="C387">
        <v>29</v>
      </c>
      <c r="D387" s="86">
        <v>0</v>
      </c>
      <c r="E387">
        <v>4</v>
      </c>
      <c r="F387">
        <v>1</v>
      </c>
      <c r="G387">
        <v>18</v>
      </c>
      <c r="H387">
        <v>7</v>
      </c>
      <c r="I387">
        <v>0.25</v>
      </c>
      <c r="J387">
        <v>0.39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1</v>
      </c>
      <c r="Y387">
        <v>0</v>
      </c>
      <c r="Z387">
        <v>0</v>
      </c>
      <c r="AA387" s="86">
        <f>AVERAGEIFS($C$2:C387, $B$2:B387, B387)</f>
        <v>26.615384615384617</v>
      </c>
      <c r="AB387" s="86">
        <f>AVERAGEIFS($I$2:I387, $B$2:B387, B387)</f>
        <v>0.53076923076923088</v>
      </c>
      <c r="AC387" s="86">
        <f>AVERAGEIFS($J$2:J387, $B$2:B387, B387)</f>
        <v>0.52961538461538449</v>
      </c>
      <c r="AD387" s="86">
        <f>AVERAGEIFS($D$2:D387, $B$2:B387, B387)</f>
        <v>0.42307692307692307</v>
      </c>
    </row>
    <row r="388" spans="1:30" x14ac:dyDescent="0.25">
      <c r="A388" s="85">
        <v>46096</v>
      </c>
      <c r="B388" t="s">
        <v>14</v>
      </c>
      <c r="C388">
        <v>17</v>
      </c>
      <c r="D388" s="86">
        <v>0</v>
      </c>
      <c r="E388">
        <v>4</v>
      </c>
      <c r="F388">
        <v>1</v>
      </c>
      <c r="G388">
        <v>18</v>
      </c>
      <c r="H388">
        <v>7</v>
      </c>
      <c r="I388">
        <v>0.25</v>
      </c>
      <c r="J388">
        <v>0.39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1</v>
      </c>
      <c r="Y388">
        <v>0</v>
      </c>
      <c r="Z388">
        <v>0</v>
      </c>
      <c r="AA388" s="86">
        <f>AVERAGEIFS($C$2:C388, $B$2:B388, B388)</f>
        <v>24.956521739130434</v>
      </c>
      <c r="AB388" s="86">
        <f>AVERAGEIFS($I$2:I388, $B$2:B388, B388)</f>
        <v>0.53260869565217395</v>
      </c>
      <c r="AC388" s="86">
        <f>AVERAGEIFS($J$2:J388, $B$2:B388, B388)</f>
        <v>0.51260869565217393</v>
      </c>
      <c r="AD388" s="86">
        <f>AVERAGEIFS($D$2:D388, $B$2:B388, B388)</f>
        <v>0.56521739130434778</v>
      </c>
    </row>
    <row r="389" spans="1:30" x14ac:dyDescent="0.25">
      <c r="A389" s="85">
        <v>46096</v>
      </c>
      <c r="B389" t="s">
        <v>147</v>
      </c>
      <c r="C389">
        <v>17</v>
      </c>
      <c r="D389" s="86">
        <v>0</v>
      </c>
      <c r="E389">
        <v>4</v>
      </c>
      <c r="F389">
        <v>1</v>
      </c>
      <c r="G389">
        <v>18</v>
      </c>
      <c r="H389">
        <v>7</v>
      </c>
      <c r="I389">
        <v>0.25</v>
      </c>
      <c r="J389">
        <v>0.39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1</v>
      </c>
      <c r="Y389">
        <v>0</v>
      </c>
      <c r="Z389">
        <v>0</v>
      </c>
      <c r="AA389" s="86">
        <f>AVERAGEIFS($C$2:C389, $B$2:B389, B389)</f>
        <v>17</v>
      </c>
      <c r="AB389" s="86">
        <f>AVERAGEIFS($I$2:I389, $B$2:B389, B389)</f>
        <v>0.25</v>
      </c>
      <c r="AC389" s="86">
        <f>AVERAGEIFS($J$2:J389, $B$2:B389, B389)</f>
        <v>0.39</v>
      </c>
      <c r="AD389" s="86">
        <f>AVERAGEIFS($D$2:D389, $B$2:B389, B389)</f>
        <v>0</v>
      </c>
    </row>
    <row r="390" spans="1:30" x14ac:dyDescent="0.25">
      <c r="A390" s="85">
        <v>46099</v>
      </c>
      <c r="B390" t="s">
        <v>1</v>
      </c>
      <c r="C390">
        <v>30</v>
      </c>
      <c r="D390" s="86">
        <v>1</v>
      </c>
      <c r="E390">
        <v>5</v>
      </c>
      <c r="F390">
        <v>3</v>
      </c>
      <c r="G390">
        <v>21</v>
      </c>
      <c r="H390">
        <v>12</v>
      </c>
      <c r="I390">
        <v>0.6</v>
      </c>
      <c r="J390">
        <v>0.56999999999999995</v>
      </c>
      <c r="K390">
        <v>0</v>
      </c>
      <c r="L390">
        <v>0</v>
      </c>
      <c r="M390">
        <v>1</v>
      </c>
      <c r="N390">
        <v>0</v>
      </c>
      <c r="O390">
        <v>0</v>
      </c>
      <c r="P390">
        <v>0</v>
      </c>
      <c r="Q390">
        <v>0</v>
      </c>
      <c r="R390">
        <v>1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1</v>
      </c>
      <c r="Y390">
        <v>0</v>
      </c>
      <c r="Z390">
        <v>0</v>
      </c>
      <c r="AA390" s="86">
        <f>AVERAGEIFS($C$2:C390, $B$2:B390, B390)</f>
        <v>28.142857142857142</v>
      </c>
      <c r="AB390" s="86">
        <f>AVERAGEIFS($I$2:I390, $B$2:B390, B390)</f>
        <v>0.56428571428571428</v>
      </c>
      <c r="AC390" s="86">
        <f>AVERAGEIFS($J$2:J390, $B$2:B390, B390)</f>
        <v>0.50857142857142856</v>
      </c>
      <c r="AD390" s="86">
        <f>AVERAGEIFS($D$2:D390, $B$2:B390, B390)</f>
        <v>0.7142857142857143</v>
      </c>
    </row>
    <row r="391" spans="1:30" x14ac:dyDescent="0.25">
      <c r="A391" s="85">
        <v>46099</v>
      </c>
      <c r="B391" t="s">
        <v>6</v>
      </c>
      <c r="C391">
        <v>21</v>
      </c>
      <c r="D391" s="86">
        <v>1</v>
      </c>
      <c r="E391">
        <v>5</v>
      </c>
      <c r="F391">
        <v>3</v>
      </c>
      <c r="G391">
        <v>21</v>
      </c>
      <c r="H391">
        <v>12</v>
      </c>
      <c r="I391">
        <v>0.6</v>
      </c>
      <c r="J391">
        <v>0.56999999999999995</v>
      </c>
      <c r="K391">
        <v>0</v>
      </c>
      <c r="L391">
        <v>0</v>
      </c>
      <c r="M391">
        <v>1</v>
      </c>
      <c r="N391">
        <v>0</v>
      </c>
      <c r="O391">
        <v>0</v>
      </c>
      <c r="P391">
        <v>0</v>
      </c>
      <c r="Q391">
        <v>0</v>
      </c>
      <c r="R391">
        <v>1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1</v>
      </c>
      <c r="Y391">
        <v>0</v>
      </c>
      <c r="Z391">
        <v>0</v>
      </c>
      <c r="AA391" s="86">
        <f>AVERAGEIFS($C$2:C391, $B$2:B391, B391)</f>
        <v>22.625</v>
      </c>
      <c r="AB391" s="86">
        <f>AVERAGEIFS($I$2:I391, $B$2:B391, B391)</f>
        <v>0.62812499999999993</v>
      </c>
      <c r="AC391" s="86">
        <f>AVERAGEIFS($J$2:J391, $B$2:B391, B391)</f>
        <v>0.54500000000000004</v>
      </c>
      <c r="AD391" s="86">
        <f>AVERAGEIFS($D$2:D391, $B$2:B391, B391)</f>
        <v>0.75</v>
      </c>
    </row>
    <row r="392" spans="1:30" x14ac:dyDescent="0.25">
      <c r="A392" s="85">
        <v>46099</v>
      </c>
      <c r="B392" t="s">
        <v>5</v>
      </c>
      <c r="C392">
        <v>20</v>
      </c>
      <c r="D392" s="86">
        <v>1</v>
      </c>
      <c r="E392">
        <v>5</v>
      </c>
      <c r="F392">
        <v>3</v>
      </c>
      <c r="G392">
        <v>21</v>
      </c>
      <c r="H392">
        <v>12</v>
      </c>
      <c r="I392">
        <v>0.6</v>
      </c>
      <c r="J392">
        <v>0.56999999999999995</v>
      </c>
      <c r="K392">
        <v>0</v>
      </c>
      <c r="L392">
        <v>0</v>
      </c>
      <c r="M392">
        <v>1</v>
      </c>
      <c r="N392">
        <v>0</v>
      </c>
      <c r="O392">
        <v>0</v>
      </c>
      <c r="P392">
        <v>0</v>
      </c>
      <c r="Q392">
        <v>0</v>
      </c>
      <c r="R392">
        <v>1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1</v>
      </c>
      <c r="Y392">
        <v>0</v>
      </c>
      <c r="Z392">
        <v>0</v>
      </c>
      <c r="AA392" s="86">
        <f>AVERAGEIFS($C$2:C392, $B$2:B392, B392)</f>
        <v>23.6</v>
      </c>
      <c r="AB392" s="86">
        <f>AVERAGEIFS($I$2:I392, $B$2:B392, B392)</f>
        <v>0.46999999999999992</v>
      </c>
      <c r="AC392" s="86">
        <f>AVERAGEIFS($J$2:J392, $B$2:B392, B392)</f>
        <v>0.48</v>
      </c>
      <c r="AD392" s="86">
        <f>AVERAGEIFS($D$2:D392, $B$2:B392, B392)</f>
        <v>0.5</v>
      </c>
    </row>
    <row r="393" spans="1:30" x14ac:dyDescent="0.25">
      <c r="A393" s="85">
        <v>46099</v>
      </c>
      <c r="B393" t="s">
        <v>44</v>
      </c>
      <c r="C393">
        <v>17</v>
      </c>
      <c r="D393" s="86">
        <v>1</v>
      </c>
      <c r="E393">
        <v>5</v>
      </c>
      <c r="F393">
        <v>3</v>
      </c>
      <c r="G393">
        <v>21</v>
      </c>
      <c r="H393">
        <v>12</v>
      </c>
      <c r="I393">
        <v>0.6</v>
      </c>
      <c r="J393">
        <v>0.56999999999999995</v>
      </c>
      <c r="K393">
        <v>0</v>
      </c>
      <c r="L393">
        <v>0</v>
      </c>
      <c r="M393">
        <v>1</v>
      </c>
      <c r="N393">
        <v>0</v>
      </c>
      <c r="O393">
        <v>0</v>
      </c>
      <c r="P393">
        <v>0</v>
      </c>
      <c r="Q393">
        <v>0</v>
      </c>
      <c r="R393">
        <v>1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1</v>
      </c>
      <c r="Y393">
        <v>0</v>
      </c>
      <c r="Z393">
        <v>0</v>
      </c>
      <c r="AA393" s="86">
        <f>AVERAGEIFS($C$2:C393, $B$2:B393, B393)</f>
        <v>14.5</v>
      </c>
      <c r="AB393" s="86">
        <f>AVERAGEIFS($I$2:I393, $B$2:B393, B393)</f>
        <v>0.8</v>
      </c>
      <c r="AC393" s="86">
        <f>AVERAGEIFS($J$2:J393, $B$2:B393, B393)</f>
        <v>0.62999999999999989</v>
      </c>
      <c r="AD393" s="86">
        <f>AVERAGEIFS($D$2:D393, $B$2:B393, B393)</f>
        <v>1</v>
      </c>
    </row>
    <row r="394" spans="1:30" x14ac:dyDescent="0.25">
      <c r="A394" s="85">
        <v>46099</v>
      </c>
      <c r="B394" t="s">
        <v>35</v>
      </c>
      <c r="C394">
        <v>12</v>
      </c>
      <c r="D394" s="86">
        <v>1</v>
      </c>
      <c r="E394">
        <v>5</v>
      </c>
      <c r="F394">
        <v>3</v>
      </c>
      <c r="G394">
        <v>21</v>
      </c>
      <c r="H394">
        <v>12</v>
      </c>
      <c r="I394">
        <v>0.6</v>
      </c>
      <c r="J394">
        <v>0.56999999999999995</v>
      </c>
      <c r="K394">
        <v>0</v>
      </c>
      <c r="L394">
        <v>0</v>
      </c>
      <c r="M394">
        <v>1</v>
      </c>
      <c r="N394">
        <v>0</v>
      </c>
      <c r="O394">
        <v>0</v>
      </c>
      <c r="P394">
        <v>0</v>
      </c>
      <c r="Q394">
        <v>0</v>
      </c>
      <c r="R394">
        <v>1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1</v>
      </c>
      <c r="Y394">
        <v>0</v>
      </c>
      <c r="Z394">
        <v>0</v>
      </c>
      <c r="AA394" s="86">
        <f>AVERAGEIFS($C$2:C394, $B$2:B394, B394)</f>
        <v>10.583333333333334</v>
      </c>
      <c r="AB394" s="86">
        <f>AVERAGEIFS($I$2:I394, $B$2:B394, B394)</f>
        <v>0.52500000000000002</v>
      </c>
      <c r="AC394" s="86">
        <f>AVERAGEIFS($J$2:J394, $B$2:B394, B394)</f>
        <v>0.53833333333333344</v>
      </c>
      <c r="AD394" s="86">
        <f>AVERAGEIFS($D$2:D394, $B$2:B394, B394)</f>
        <v>0.66666666666666663</v>
      </c>
    </row>
    <row r="395" spans="1:30" x14ac:dyDescent="0.25">
      <c r="A395" s="85">
        <v>46099</v>
      </c>
      <c r="B395" t="s">
        <v>140</v>
      </c>
      <c r="C395">
        <v>11</v>
      </c>
      <c r="D395" s="86">
        <v>1</v>
      </c>
      <c r="E395">
        <v>5</v>
      </c>
      <c r="F395">
        <v>3</v>
      </c>
      <c r="G395">
        <v>21</v>
      </c>
      <c r="H395">
        <v>12</v>
      </c>
      <c r="I395">
        <v>0.6</v>
      </c>
      <c r="J395">
        <v>0.56999999999999995</v>
      </c>
      <c r="K395">
        <v>0</v>
      </c>
      <c r="L395">
        <v>0</v>
      </c>
      <c r="M395">
        <v>1</v>
      </c>
      <c r="N395">
        <v>0</v>
      </c>
      <c r="O395">
        <v>0</v>
      </c>
      <c r="P395">
        <v>0</v>
      </c>
      <c r="Q395">
        <v>0</v>
      </c>
      <c r="R395">
        <v>1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1</v>
      </c>
      <c r="Y395">
        <v>0</v>
      </c>
      <c r="Z395">
        <v>0</v>
      </c>
      <c r="AA395" s="86">
        <f>AVERAGEIFS($C$2:C395, $B$2:B395, B395)</f>
        <v>11</v>
      </c>
      <c r="AB395" s="86">
        <f>AVERAGEIFS($I$2:I395, $B$2:B395, B395)</f>
        <v>0.65</v>
      </c>
      <c r="AC395" s="86">
        <f>AVERAGEIFS($J$2:J395, $B$2:B395, B395)</f>
        <v>0.56499999999999995</v>
      </c>
      <c r="AD395" s="86">
        <f>AVERAGEIFS($D$2:D395, $B$2:B395, B395)</f>
        <v>0.75</v>
      </c>
    </row>
    <row r="396" spans="1:30" x14ac:dyDescent="0.25">
      <c r="A396" s="85">
        <v>46099</v>
      </c>
      <c r="B396" t="s">
        <v>113</v>
      </c>
      <c r="C396">
        <v>8</v>
      </c>
      <c r="D396" s="86">
        <v>1</v>
      </c>
      <c r="E396">
        <v>5</v>
      </c>
      <c r="F396">
        <v>3</v>
      </c>
      <c r="G396">
        <v>21</v>
      </c>
      <c r="H396">
        <v>12</v>
      </c>
      <c r="I396">
        <v>0.6</v>
      </c>
      <c r="J396">
        <v>0.56999999999999995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1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1</v>
      </c>
      <c r="Y396">
        <v>0</v>
      </c>
      <c r="Z396">
        <v>0</v>
      </c>
      <c r="AA396" s="86">
        <f>AVERAGEIFS($C$2:C396, $B$2:B396, B396)</f>
        <v>8</v>
      </c>
      <c r="AB396" s="86">
        <f>AVERAGEIFS($I$2:I396, $B$2:B396, B396)</f>
        <v>0.6</v>
      </c>
      <c r="AC396" s="86">
        <f>AVERAGEIFS($J$2:J396, $B$2:B396, B396)</f>
        <v>0.56999999999999995</v>
      </c>
      <c r="AD396" s="86">
        <f>AVERAGEIFS($D$2:D396, $B$2:B396, B396)</f>
        <v>1</v>
      </c>
    </row>
    <row r="397" spans="1:30" x14ac:dyDescent="0.25">
      <c r="A397" s="85">
        <v>46099</v>
      </c>
      <c r="B397" t="s">
        <v>147</v>
      </c>
      <c r="C397">
        <v>7</v>
      </c>
      <c r="D397" s="86">
        <v>1</v>
      </c>
      <c r="E397">
        <v>5</v>
      </c>
      <c r="F397">
        <v>3</v>
      </c>
      <c r="G397">
        <v>21</v>
      </c>
      <c r="H397">
        <v>12</v>
      </c>
      <c r="I397">
        <v>0.6</v>
      </c>
      <c r="J397">
        <v>0.56999999999999995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1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1</v>
      </c>
      <c r="Y397">
        <v>0</v>
      </c>
      <c r="Z397">
        <v>0</v>
      </c>
      <c r="AA397" s="86">
        <f>AVERAGEIFS($C$2:C397, $B$2:B397, B397)</f>
        <v>12</v>
      </c>
      <c r="AB397" s="86">
        <f>AVERAGEIFS($I$2:I397, $B$2:B397, B397)</f>
        <v>0.42499999999999999</v>
      </c>
      <c r="AC397" s="86">
        <f>AVERAGEIFS($J$2:J397, $B$2:B397, B397)</f>
        <v>0.48</v>
      </c>
      <c r="AD397" s="86">
        <f>AVERAGEIFS($D$2:D397, $B$2:B397, B397)</f>
        <v>0.5</v>
      </c>
    </row>
    <row r="398" spans="1:30" x14ac:dyDescent="0.25">
      <c r="A398" s="85">
        <v>46099</v>
      </c>
      <c r="B398" t="s">
        <v>17</v>
      </c>
      <c r="C398">
        <v>33</v>
      </c>
      <c r="D398" s="86">
        <v>0</v>
      </c>
      <c r="E398">
        <v>5</v>
      </c>
      <c r="F398">
        <v>2</v>
      </c>
      <c r="G398">
        <v>21</v>
      </c>
      <c r="H398">
        <v>9</v>
      </c>
      <c r="I398">
        <v>0.4</v>
      </c>
      <c r="J398">
        <v>0.43</v>
      </c>
      <c r="K398">
        <v>0</v>
      </c>
      <c r="L398">
        <v>0</v>
      </c>
      <c r="M398">
        <v>0</v>
      </c>
      <c r="N398">
        <v>1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1</v>
      </c>
      <c r="AA398" s="86">
        <f>AVERAGEIFS($C$2:C398, $B$2:B398, B398)</f>
        <v>26.851851851851851</v>
      </c>
      <c r="AB398" s="86">
        <f>AVERAGEIFS($I$2:I398, $B$2:B398, B398)</f>
        <v>0.52592592592592602</v>
      </c>
      <c r="AC398" s="86">
        <f>AVERAGEIFS($J$2:J398, $B$2:B398, B398)</f>
        <v>0.5259259259259258</v>
      </c>
      <c r="AD398" s="86">
        <f>AVERAGEIFS($D$2:D398, $B$2:B398, B398)</f>
        <v>0.40740740740740738</v>
      </c>
    </row>
    <row r="399" spans="1:30" x14ac:dyDescent="0.25">
      <c r="A399" s="85">
        <v>46099</v>
      </c>
      <c r="B399" t="s">
        <v>13</v>
      </c>
      <c r="C399">
        <v>24</v>
      </c>
      <c r="D399" s="86">
        <v>0</v>
      </c>
      <c r="E399">
        <v>5</v>
      </c>
      <c r="F399">
        <v>2</v>
      </c>
      <c r="G399">
        <v>21</v>
      </c>
      <c r="H399">
        <v>9</v>
      </c>
      <c r="I399">
        <v>0.4</v>
      </c>
      <c r="J399">
        <v>0.43</v>
      </c>
      <c r="K399">
        <v>0</v>
      </c>
      <c r="L399">
        <v>0</v>
      </c>
      <c r="M399">
        <v>0</v>
      </c>
      <c r="N399">
        <v>1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1</v>
      </c>
      <c r="AA399" s="86">
        <f>AVERAGEIFS($C$2:C399, $B$2:B399, B399)</f>
        <v>27.928571428571427</v>
      </c>
      <c r="AB399" s="86">
        <f>AVERAGEIFS($I$2:I399, $B$2:B399, B399)</f>
        <v>0.55178571428571421</v>
      </c>
      <c r="AC399" s="86">
        <f>AVERAGEIFS($J$2:J399, $B$2:B399, B399)</f>
        <v>0.53249999999999997</v>
      </c>
      <c r="AD399" s="86">
        <f>AVERAGEIFS($D$2:D399, $B$2:B399, B399)</f>
        <v>0.6428571428571429</v>
      </c>
    </row>
    <row r="400" spans="1:30" x14ac:dyDescent="0.25">
      <c r="A400" s="85">
        <v>46099</v>
      </c>
      <c r="B400" t="s">
        <v>45</v>
      </c>
      <c r="C400">
        <v>17</v>
      </c>
      <c r="D400" s="86">
        <v>0</v>
      </c>
      <c r="E400">
        <v>5</v>
      </c>
      <c r="F400">
        <v>2</v>
      </c>
      <c r="G400">
        <v>21</v>
      </c>
      <c r="H400">
        <v>9</v>
      </c>
      <c r="I400">
        <v>0.4</v>
      </c>
      <c r="J400">
        <v>0.43</v>
      </c>
      <c r="K400">
        <v>0</v>
      </c>
      <c r="L400">
        <v>0</v>
      </c>
      <c r="M400">
        <v>0</v>
      </c>
      <c r="N400">
        <v>1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1</v>
      </c>
      <c r="AA400" s="86">
        <f>AVERAGEIFS($C$2:C400, $B$2:B400, B400)</f>
        <v>11.307692307692308</v>
      </c>
      <c r="AB400" s="86">
        <f>AVERAGEIFS($I$2:I400, $B$2:B400, B400)</f>
        <v>0.44615384615384623</v>
      </c>
      <c r="AC400" s="86">
        <f>AVERAGEIFS($J$2:J400, $B$2:B400, B400)</f>
        <v>0.48307692307692301</v>
      </c>
      <c r="AD400" s="86">
        <f>AVERAGEIFS($D$2:D400, $B$2:B400, B400)</f>
        <v>0.38461538461538464</v>
      </c>
    </row>
    <row r="401" spans="1:30" x14ac:dyDescent="0.25">
      <c r="A401" s="85">
        <v>46099</v>
      </c>
      <c r="B401" t="s">
        <v>14</v>
      </c>
      <c r="C401">
        <v>15</v>
      </c>
      <c r="D401" s="86">
        <v>0</v>
      </c>
      <c r="E401">
        <v>5</v>
      </c>
      <c r="F401">
        <v>2</v>
      </c>
      <c r="G401">
        <v>21</v>
      </c>
      <c r="H401">
        <v>9</v>
      </c>
      <c r="I401">
        <v>0.4</v>
      </c>
      <c r="J401">
        <v>0.43</v>
      </c>
      <c r="K401">
        <v>0</v>
      </c>
      <c r="L401">
        <v>0</v>
      </c>
      <c r="M401">
        <v>0</v>
      </c>
      <c r="N401">
        <v>1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1</v>
      </c>
      <c r="AA401" s="86">
        <f>AVERAGEIFS($C$2:C401, $B$2:B401, B401)</f>
        <v>24.541666666666668</v>
      </c>
      <c r="AB401" s="86">
        <f>AVERAGEIFS($I$2:I401, $B$2:B401, B401)</f>
        <v>0.52708333333333335</v>
      </c>
      <c r="AC401" s="86">
        <f>AVERAGEIFS($J$2:J401, $B$2:B401, B401)</f>
        <v>0.50916666666666666</v>
      </c>
      <c r="AD401" s="86">
        <f>AVERAGEIFS($D$2:D401, $B$2:B401, B401)</f>
        <v>0.54166666666666663</v>
      </c>
    </row>
    <row r="402" spans="1:30" x14ac:dyDescent="0.25">
      <c r="A402" s="85">
        <v>46099</v>
      </c>
      <c r="B402" t="s">
        <v>19</v>
      </c>
      <c r="C402">
        <v>13</v>
      </c>
      <c r="D402" s="86">
        <v>0</v>
      </c>
      <c r="E402">
        <v>5</v>
      </c>
      <c r="F402">
        <v>2</v>
      </c>
      <c r="G402">
        <v>21</v>
      </c>
      <c r="H402">
        <v>9</v>
      </c>
      <c r="I402">
        <v>0.4</v>
      </c>
      <c r="J402">
        <v>0.43</v>
      </c>
      <c r="K402">
        <v>0</v>
      </c>
      <c r="L402">
        <v>0</v>
      </c>
      <c r="M402">
        <v>0</v>
      </c>
      <c r="N402">
        <v>1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1</v>
      </c>
      <c r="AA402" s="86">
        <f>AVERAGEIFS($C$2:C402, $B$2:B402, B402)</f>
        <v>11.958333333333334</v>
      </c>
      <c r="AB402" s="86">
        <f>AVERAGEIFS($I$2:I402, $B$2:B402, B402)</f>
        <v>0.38125000000000003</v>
      </c>
      <c r="AC402" s="86">
        <f>AVERAGEIFS($J$2:J402, $B$2:B402, B402)</f>
        <v>0.44166666666666671</v>
      </c>
      <c r="AD402" s="86">
        <f>AVERAGEIFS($D$2:D402, $B$2:B402, B402)</f>
        <v>0.33333333333333331</v>
      </c>
    </row>
    <row r="403" spans="1:30" x14ac:dyDescent="0.25">
      <c r="A403" s="85">
        <v>46099</v>
      </c>
      <c r="B403" t="s">
        <v>20</v>
      </c>
      <c r="C403">
        <v>12</v>
      </c>
      <c r="D403" s="86">
        <v>0</v>
      </c>
      <c r="E403">
        <v>5</v>
      </c>
      <c r="F403">
        <v>2</v>
      </c>
      <c r="G403">
        <v>21</v>
      </c>
      <c r="H403">
        <v>9</v>
      </c>
      <c r="I403">
        <v>0.4</v>
      </c>
      <c r="J403">
        <v>0.43</v>
      </c>
      <c r="K403">
        <v>0</v>
      </c>
      <c r="L403">
        <v>0</v>
      </c>
      <c r="M403">
        <v>0</v>
      </c>
      <c r="N403">
        <v>1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1</v>
      </c>
      <c r="AA403" s="86">
        <f>AVERAGEIFS($C$2:C403, $B$2:B403, B403)</f>
        <v>13.619047619047619</v>
      </c>
      <c r="AB403" s="86">
        <f>AVERAGEIFS($I$2:I403, $B$2:B403, B403)</f>
        <v>0.47619047619047616</v>
      </c>
      <c r="AC403" s="86">
        <f>AVERAGEIFS($J$2:J403, $B$2:B403, B403)</f>
        <v>0.4919047619047619</v>
      </c>
      <c r="AD403" s="86">
        <f>AVERAGEIFS($D$2:D403, $B$2:B403, B403)</f>
        <v>0.38095238095238093</v>
      </c>
    </row>
    <row r="404" spans="1:30" x14ac:dyDescent="0.25">
      <c r="A404" s="85">
        <v>46099</v>
      </c>
      <c r="B404" t="s">
        <v>29</v>
      </c>
      <c r="C404">
        <v>7</v>
      </c>
      <c r="D404" s="86">
        <v>0</v>
      </c>
      <c r="E404">
        <v>5</v>
      </c>
      <c r="F404">
        <v>2</v>
      </c>
      <c r="G404">
        <v>21</v>
      </c>
      <c r="H404">
        <v>9</v>
      </c>
      <c r="I404">
        <v>0.4</v>
      </c>
      <c r="J404">
        <v>0.43</v>
      </c>
      <c r="K404">
        <v>0</v>
      </c>
      <c r="L404">
        <v>0</v>
      </c>
      <c r="M404">
        <v>0</v>
      </c>
      <c r="N404">
        <v>1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1</v>
      </c>
      <c r="AA404" s="86">
        <f>AVERAGEIFS($C$2:C404, $B$2:B404, B404)</f>
        <v>9.6</v>
      </c>
      <c r="AB404" s="86">
        <f>AVERAGEIFS($I$2:I404, $B$2:B404, B404)</f>
        <v>0.47250000000000003</v>
      </c>
      <c r="AC404" s="86">
        <f>AVERAGEIFS($J$2:J404, $B$2:B404, B404)</f>
        <v>0.49399999999999994</v>
      </c>
      <c r="AD404" s="86">
        <f>AVERAGEIFS($D$2:D404, $B$2:B404, B404)</f>
        <v>0.45</v>
      </c>
    </row>
    <row r="405" spans="1:30" x14ac:dyDescent="0.25">
      <c r="A405" s="85">
        <v>46101</v>
      </c>
      <c r="B405" t="s">
        <v>70</v>
      </c>
      <c r="C405">
        <v>21</v>
      </c>
      <c r="D405" s="86">
        <v>1</v>
      </c>
      <c r="E405">
        <v>5</v>
      </c>
      <c r="F405">
        <v>3</v>
      </c>
      <c r="G405">
        <v>18</v>
      </c>
      <c r="H405">
        <v>10</v>
      </c>
      <c r="I405">
        <v>0.6</v>
      </c>
      <c r="J405">
        <v>0.56000000000000005</v>
      </c>
      <c r="K405">
        <v>0</v>
      </c>
      <c r="L405">
        <v>0</v>
      </c>
      <c r="M405">
        <v>0</v>
      </c>
      <c r="N405">
        <v>1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1</v>
      </c>
      <c r="W405">
        <v>0</v>
      </c>
      <c r="X405">
        <v>1</v>
      </c>
      <c r="Y405">
        <v>0</v>
      </c>
      <c r="Z405">
        <v>0</v>
      </c>
      <c r="AA405" s="86">
        <f>AVERAGEIFS($C$2:C405, $B$2:B405, B405)</f>
        <v>21</v>
      </c>
      <c r="AB405" s="86">
        <f>AVERAGEIFS($I$2:I405, $B$2:B405, B405)</f>
        <v>0.6</v>
      </c>
      <c r="AC405" s="86">
        <f>AVERAGEIFS($J$2:J405, $B$2:B405, B405)</f>
        <v>0.56000000000000005</v>
      </c>
      <c r="AD405" s="86">
        <f>AVERAGEIFS($D$2:D405, $B$2:B405, B405)</f>
        <v>1</v>
      </c>
    </row>
    <row r="406" spans="1:30" x14ac:dyDescent="0.25">
      <c r="A406" s="85">
        <v>46101</v>
      </c>
      <c r="B406" t="s">
        <v>17</v>
      </c>
      <c r="C406">
        <v>19</v>
      </c>
      <c r="D406" s="86">
        <v>1</v>
      </c>
      <c r="E406">
        <v>5</v>
      </c>
      <c r="F406">
        <v>3</v>
      </c>
      <c r="G406">
        <v>18</v>
      </c>
      <c r="H406">
        <v>10</v>
      </c>
      <c r="I406">
        <v>0.6</v>
      </c>
      <c r="J406">
        <v>0.56000000000000005</v>
      </c>
      <c r="K406">
        <v>0</v>
      </c>
      <c r="L406">
        <v>0</v>
      </c>
      <c r="M406">
        <v>0</v>
      </c>
      <c r="N406">
        <v>1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1</v>
      </c>
      <c r="W406">
        <v>0</v>
      </c>
      <c r="X406">
        <v>1</v>
      </c>
      <c r="Y406">
        <v>0</v>
      </c>
      <c r="Z406">
        <v>0</v>
      </c>
      <c r="AA406" s="86">
        <f>AVERAGEIFS($C$2:C406, $B$2:B406, B406)</f>
        <v>26.571428571428573</v>
      </c>
      <c r="AB406" s="86">
        <f>AVERAGEIFS($I$2:I406, $B$2:B406, B406)</f>
        <v>0.52857142857142869</v>
      </c>
      <c r="AC406" s="86">
        <f>AVERAGEIFS($J$2:J406, $B$2:B406, B406)</f>
        <v>0.52714285714285702</v>
      </c>
      <c r="AD406" s="86">
        <f>AVERAGEIFS($D$2:D406, $B$2:B406, B406)</f>
        <v>0.42857142857142855</v>
      </c>
    </row>
    <row r="407" spans="1:30" x14ac:dyDescent="0.25">
      <c r="A407" s="85">
        <v>46101</v>
      </c>
      <c r="B407" t="s">
        <v>29</v>
      </c>
      <c r="C407">
        <v>14</v>
      </c>
      <c r="D407" s="86">
        <v>1</v>
      </c>
      <c r="E407">
        <v>5</v>
      </c>
      <c r="F407">
        <v>3</v>
      </c>
      <c r="G407">
        <v>18</v>
      </c>
      <c r="H407">
        <v>10</v>
      </c>
      <c r="I407">
        <v>0.6</v>
      </c>
      <c r="J407">
        <v>0.56000000000000005</v>
      </c>
      <c r="K407">
        <v>0</v>
      </c>
      <c r="L407">
        <v>0</v>
      </c>
      <c r="M407">
        <v>0</v>
      </c>
      <c r="N407">
        <v>1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1</v>
      </c>
      <c r="W407">
        <v>0</v>
      </c>
      <c r="X407">
        <v>1</v>
      </c>
      <c r="Y407">
        <v>0</v>
      </c>
      <c r="Z407">
        <v>0</v>
      </c>
      <c r="AA407" s="86">
        <f>AVERAGEIFS($C$2:C407, $B$2:B407, B407)</f>
        <v>9.8095238095238102</v>
      </c>
      <c r="AB407" s="86">
        <f>AVERAGEIFS($I$2:I407, $B$2:B407, B407)</f>
        <v>0.47857142857142859</v>
      </c>
      <c r="AC407" s="86">
        <f>AVERAGEIFS($J$2:J407, $B$2:B407, B407)</f>
        <v>0.49714285714285711</v>
      </c>
      <c r="AD407" s="86">
        <f>AVERAGEIFS($D$2:D407, $B$2:B407, B407)</f>
        <v>0.47619047619047616</v>
      </c>
    </row>
    <row r="408" spans="1:30" x14ac:dyDescent="0.25">
      <c r="A408" s="85">
        <v>46101</v>
      </c>
      <c r="B408" t="s">
        <v>147</v>
      </c>
      <c r="C408">
        <v>12</v>
      </c>
      <c r="D408" s="86">
        <v>1</v>
      </c>
      <c r="E408">
        <v>5</v>
      </c>
      <c r="F408">
        <v>3</v>
      </c>
      <c r="G408">
        <v>18</v>
      </c>
      <c r="H408">
        <v>10</v>
      </c>
      <c r="I408">
        <v>0.6</v>
      </c>
      <c r="J408">
        <v>0.56000000000000005</v>
      </c>
      <c r="K408">
        <v>0</v>
      </c>
      <c r="L408">
        <v>0</v>
      </c>
      <c r="M408">
        <v>0</v>
      </c>
      <c r="N408">
        <v>1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1</v>
      </c>
      <c r="W408">
        <v>0</v>
      </c>
      <c r="X408">
        <v>1</v>
      </c>
      <c r="Y408">
        <v>0</v>
      </c>
      <c r="Z408">
        <v>0</v>
      </c>
      <c r="AA408" s="86">
        <f>AVERAGEIFS($C$2:C408, $B$2:B408, B408)</f>
        <v>12</v>
      </c>
      <c r="AB408" s="86">
        <f>AVERAGEIFS($I$2:I408, $B$2:B408, B408)</f>
        <v>0.48333333333333334</v>
      </c>
      <c r="AC408" s="86">
        <f>AVERAGEIFS($J$2:J408, $B$2:B408, B408)</f>
        <v>0.50666666666666671</v>
      </c>
      <c r="AD408" s="86">
        <f>AVERAGEIFS($D$2:D408, $B$2:B408, B408)</f>
        <v>0.66666666666666663</v>
      </c>
    </row>
    <row r="409" spans="1:30" x14ac:dyDescent="0.25">
      <c r="A409" s="85">
        <v>46101</v>
      </c>
      <c r="B409" t="s">
        <v>137</v>
      </c>
      <c r="C409">
        <v>2</v>
      </c>
      <c r="D409" s="86">
        <v>1</v>
      </c>
      <c r="E409">
        <v>5</v>
      </c>
      <c r="F409">
        <v>3</v>
      </c>
      <c r="G409">
        <v>18</v>
      </c>
      <c r="H409">
        <v>10</v>
      </c>
      <c r="I409">
        <v>0.6</v>
      </c>
      <c r="J409">
        <v>0.56000000000000005</v>
      </c>
      <c r="K409">
        <v>0</v>
      </c>
      <c r="L409">
        <v>0</v>
      </c>
      <c r="M409">
        <v>0</v>
      </c>
      <c r="N409">
        <v>1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1</v>
      </c>
      <c r="W409">
        <v>0</v>
      </c>
      <c r="X409">
        <v>1</v>
      </c>
      <c r="Y409">
        <v>0</v>
      </c>
      <c r="Z409">
        <v>0</v>
      </c>
      <c r="AA409" s="86">
        <f>AVERAGEIFS($C$2:C409, $B$2:B409, B409)</f>
        <v>6.666666666666667</v>
      </c>
      <c r="AB409" s="86">
        <f>AVERAGEIFS($I$2:I409, $B$2:B409, B409)</f>
        <v>0.56666666666666665</v>
      </c>
      <c r="AC409" s="86">
        <f>AVERAGEIFS($J$2:J409, $B$2:B409, B409)</f>
        <v>0.52833333333333332</v>
      </c>
      <c r="AD409" s="86">
        <f>AVERAGEIFS($D$2:D409, $B$2:B409, B409)</f>
        <v>0.5</v>
      </c>
    </row>
    <row r="410" spans="1:30" x14ac:dyDescent="0.25">
      <c r="A410" s="85">
        <v>46101</v>
      </c>
      <c r="B410" t="s">
        <v>13</v>
      </c>
      <c r="C410">
        <v>26</v>
      </c>
      <c r="D410" s="86">
        <v>0</v>
      </c>
      <c r="E410">
        <v>5</v>
      </c>
      <c r="F410">
        <v>2</v>
      </c>
      <c r="G410">
        <v>18</v>
      </c>
      <c r="H410">
        <v>8</v>
      </c>
      <c r="I410">
        <v>0.4</v>
      </c>
      <c r="J410">
        <v>0.44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1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 s="86">
        <f>AVERAGEIFS($C$2:C410, $B$2:B410, B410)</f>
        <v>27.862068965517242</v>
      </c>
      <c r="AB410" s="86">
        <f>AVERAGEIFS($I$2:I410, $B$2:B410, B410)</f>
        <v>0.54655172413793107</v>
      </c>
      <c r="AC410" s="86">
        <f>AVERAGEIFS($J$2:J410, $B$2:B410, B410)</f>
        <v>0.5293103448275861</v>
      </c>
      <c r="AD410" s="86">
        <f>AVERAGEIFS($D$2:D410, $B$2:B410, B410)</f>
        <v>0.62068965517241381</v>
      </c>
    </row>
    <row r="411" spans="1:30" x14ac:dyDescent="0.25">
      <c r="A411" s="85">
        <v>46101</v>
      </c>
      <c r="B411" t="s">
        <v>148</v>
      </c>
      <c r="C411">
        <v>15</v>
      </c>
      <c r="D411" s="86">
        <v>0</v>
      </c>
      <c r="E411">
        <v>5</v>
      </c>
      <c r="F411">
        <v>2</v>
      </c>
      <c r="G411">
        <v>18</v>
      </c>
      <c r="H411">
        <v>8</v>
      </c>
      <c r="I411">
        <v>0.4</v>
      </c>
      <c r="J411">
        <v>0.44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1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 s="86">
        <f>AVERAGEIFS($C$2:C411, $B$2:B411, B411)</f>
        <v>15</v>
      </c>
      <c r="AB411" s="86">
        <f>AVERAGEIFS($I$2:I411, $B$2:B411, B411)</f>
        <v>0.4</v>
      </c>
      <c r="AC411" s="86">
        <f>AVERAGEIFS($J$2:J411, $B$2:B411, B411)</f>
        <v>0.44</v>
      </c>
      <c r="AD411" s="86">
        <f>AVERAGEIFS($D$2:D411, $B$2:B411, B411)</f>
        <v>0</v>
      </c>
    </row>
    <row r="412" spans="1:30" x14ac:dyDescent="0.25">
      <c r="A412" s="85">
        <v>46101</v>
      </c>
      <c r="B412" t="s">
        <v>28</v>
      </c>
      <c r="C412">
        <v>13</v>
      </c>
      <c r="D412" s="86">
        <v>0</v>
      </c>
      <c r="E412">
        <v>5</v>
      </c>
      <c r="F412">
        <v>2</v>
      </c>
      <c r="G412">
        <v>18</v>
      </c>
      <c r="H412">
        <v>8</v>
      </c>
      <c r="I412">
        <v>0.4</v>
      </c>
      <c r="J412">
        <v>0.44</v>
      </c>
      <c r="K412">
        <v>1</v>
      </c>
      <c r="L412">
        <v>0</v>
      </c>
      <c r="M412">
        <v>0</v>
      </c>
      <c r="N412">
        <v>0</v>
      </c>
      <c r="O412">
        <v>0</v>
      </c>
      <c r="P412">
        <v>1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86">
        <f>AVERAGEIFS($C$2:C412, $B$2:B412, B412)</f>
        <v>13.764705882352942</v>
      </c>
      <c r="AB412" s="86">
        <f>AVERAGEIFS($I$2:I412, $B$2:B412, B412)</f>
        <v>0.36764705882352944</v>
      </c>
      <c r="AC412" s="86">
        <f>AVERAGEIFS($J$2:J412, $B$2:B412, B412)</f>
        <v>0.43941176470588239</v>
      </c>
      <c r="AD412" s="86">
        <f>AVERAGEIFS($D$2:D412, $B$2:B412, B412)</f>
        <v>0.35294117647058826</v>
      </c>
    </row>
    <row r="413" spans="1:30" x14ac:dyDescent="0.25">
      <c r="A413" s="85">
        <v>46101</v>
      </c>
      <c r="B413" t="s">
        <v>149</v>
      </c>
      <c r="C413">
        <v>11</v>
      </c>
      <c r="D413" s="86">
        <v>0</v>
      </c>
      <c r="E413">
        <v>5</v>
      </c>
      <c r="F413">
        <v>2</v>
      </c>
      <c r="G413">
        <v>18</v>
      </c>
      <c r="H413">
        <v>8</v>
      </c>
      <c r="I413">
        <v>0.4</v>
      </c>
      <c r="J413">
        <v>0.44</v>
      </c>
      <c r="K413">
        <v>1</v>
      </c>
      <c r="L413">
        <v>0</v>
      </c>
      <c r="M413">
        <v>0</v>
      </c>
      <c r="N413">
        <v>0</v>
      </c>
      <c r="O413">
        <v>0</v>
      </c>
      <c r="P413">
        <v>1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86">
        <f>AVERAGEIFS($C$2:C413, $B$2:B413, B413)</f>
        <v>11</v>
      </c>
      <c r="AB413" s="86">
        <f>AVERAGEIFS($I$2:I413, $B$2:B413, B413)</f>
        <v>0.4</v>
      </c>
      <c r="AC413" s="86">
        <f>AVERAGEIFS($J$2:J413, $B$2:B413, B413)</f>
        <v>0.44</v>
      </c>
      <c r="AD413" s="86">
        <f>AVERAGEIFS($D$2:D413, $B$2:B413, B413)</f>
        <v>0</v>
      </c>
    </row>
    <row r="414" spans="1:30" x14ac:dyDescent="0.25">
      <c r="A414" s="85">
        <v>46101</v>
      </c>
      <c r="B414" t="s">
        <v>150</v>
      </c>
      <c r="C414">
        <v>4</v>
      </c>
      <c r="D414" s="86">
        <v>0</v>
      </c>
      <c r="E414">
        <v>5</v>
      </c>
      <c r="F414">
        <v>2</v>
      </c>
      <c r="G414">
        <v>18</v>
      </c>
      <c r="H414">
        <v>8</v>
      </c>
      <c r="I414">
        <v>0.4</v>
      </c>
      <c r="J414">
        <v>0.44</v>
      </c>
      <c r="K414">
        <v>1</v>
      </c>
      <c r="L414">
        <v>0</v>
      </c>
      <c r="M414">
        <v>0</v>
      </c>
      <c r="N414">
        <v>0</v>
      </c>
      <c r="O414">
        <v>0</v>
      </c>
      <c r="P414">
        <v>1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86">
        <f>AVERAGEIFS($C$2:C414, $B$2:B414, B414)</f>
        <v>4</v>
      </c>
      <c r="AB414" s="86">
        <f>AVERAGEIFS($I$2:I414, $B$2:B414, B414)</f>
        <v>0.4</v>
      </c>
      <c r="AC414" s="86">
        <f>AVERAGEIFS($J$2:J414, $B$2:B414, B414)</f>
        <v>0.44</v>
      </c>
      <c r="AD414" s="86">
        <f>AVERAGEIFS($D$2:D414, $B$2:B414, B414)</f>
        <v>0</v>
      </c>
    </row>
    <row r="415" spans="1:30" x14ac:dyDescent="0.25">
      <c r="A415" s="85">
        <v>46103</v>
      </c>
      <c r="B415" t="s">
        <v>40</v>
      </c>
      <c r="C415">
        <v>28</v>
      </c>
      <c r="D415" s="86">
        <v>0</v>
      </c>
      <c r="E415">
        <v>5</v>
      </c>
      <c r="F415">
        <v>2</v>
      </c>
      <c r="G415">
        <v>20</v>
      </c>
      <c r="H415">
        <v>8</v>
      </c>
      <c r="I415">
        <v>0.4</v>
      </c>
      <c r="J415">
        <v>0.4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1</v>
      </c>
      <c r="Y415">
        <v>1</v>
      </c>
      <c r="Z415">
        <v>0</v>
      </c>
      <c r="AA415" s="86">
        <f>AVERAGEIFS($C$2:C415, $B$2:B415, B415)</f>
        <v>16.25</v>
      </c>
      <c r="AB415" s="86">
        <f>AVERAGEIFS($I$2:I415, $B$2:B415, B415)</f>
        <v>0.22500000000000001</v>
      </c>
      <c r="AC415" s="86">
        <f>AVERAGEIFS($J$2:J415, $B$2:B415, B415)</f>
        <v>0.33250000000000002</v>
      </c>
      <c r="AD415" s="86">
        <f>AVERAGEIFS($D$2:D415, $B$2:B415, B415)</f>
        <v>0</v>
      </c>
    </row>
    <row r="416" spans="1:30" x14ac:dyDescent="0.25">
      <c r="A416" s="85">
        <v>46103</v>
      </c>
      <c r="B416" t="s">
        <v>17</v>
      </c>
      <c r="C416">
        <v>31</v>
      </c>
      <c r="D416" s="86">
        <v>0</v>
      </c>
      <c r="E416">
        <v>5</v>
      </c>
      <c r="F416">
        <v>2</v>
      </c>
      <c r="G416">
        <v>20</v>
      </c>
      <c r="H416">
        <v>8</v>
      </c>
      <c r="I416">
        <v>0.4</v>
      </c>
      <c r="J416">
        <v>0.4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1</v>
      </c>
      <c r="Y416">
        <v>1</v>
      </c>
      <c r="Z416">
        <v>0</v>
      </c>
      <c r="AA416" s="86">
        <f>AVERAGEIFS($C$2:C416, $B$2:B416, B416)</f>
        <v>26.724137931034484</v>
      </c>
      <c r="AB416" s="86">
        <f>AVERAGEIFS($I$2:I416, $B$2:B416, B416)</f>
        <v>0.52413793103448281</v>
      </c>
      <c r="AC416" s="86">
        <f>AVERAGEIFS($J$2:J416, $B$2:B416, B416)</f>
        <v>0.52275862068965506</v>
      </c>
      <c r="AD416" s="86">
        <f>AVERAGEIFS($D$2:D416, $B$2:B416, B416)</f>
        <v>0.41379310344827586</v>
      </c>
    </row>
    <row r="417" spans="1:30" x14ac:dyDescent="0.25">
      <c r="A417" s="85">
        <v>46103</v>
      </c>
      <c r="B417" t="s">
        <v>148</v>
      </c>
      <c r="C417">
        <v>22</v>
      </c>
      <c r="D417" s="86">
        <v>0</v>
      </c>
      <c r="E417">
        <v>5</v>
      </c>
      <c r="F417">
        <v>2</v>
      </c>
      <c r="G417">
        <v>20</v>
      </c>
      <c r="H417">
        <v>8</v>
      </c>
      <c r="I417">
        <v>0.4</v>
      </c>
      <c r="J417">
        <v>0.4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1</v>
      </c>
      <c r="Y417">
        <v>1</v>
      </c>
      <c r="Z417">
        <v>0</v>
      </c>
      <c r="AA417" s="86">
        <f>AVERAGEIFS($C$2:C417, $B$2:B417, B417)</f>
        <v>18.5</v>
      </c>
      <c r="AB417" s="86">
        <f>AVERAGEIFS($I$2:I417, $B$2:B417, B417)</f>
        <v>0.4</v>
      </c>
      <c r="AC417" s="86">
        <f>AVERAGEIFS($J$2:J417, $B$2:B417, B417)</f>
        <v>0.42000000000000004</v>
      </c>
      <c r="AD417" s="86">
        <f>AVERAGEIFS($D$2:D417, $B$2:B417, B417)</f>
        <v>0</v>
      </c>
    </row>
    <row r="418" spans="1:30" x14ac:dyDescent="0.25">
      <c r="A418" s="85">
        <v>46103</v>
      </c>
      <c r="B418" t="s">
        <v>45</v>
      </c>
      <c r="C418">
        <v>17</v>
      </c>
      <c r="D418" s="86">
        <v>0</v>
      </c>
      <c r="E418">
        <v>5</v>
      </c>
      <c r="F418">
        <v>2</v>
      </c>
      <c r="G418">
        <v>20</v>
      </c>
      <c r="H418">
        <v>8</v>
      </c>
      <c r="I418">
        <v>0.4</v>
      </c>
      <c r="J418">
        <v>0.4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1</v>
      </c>
      <c r="Y418">
        <v>1</v>
      </c>
      <c r="Z418">
        <v>0</v>
      </c>
      <c r="AA418" s="86">
        <f>AVERAGEIFS($C$2:C418, $B$2:B418, B418)</f>
        <v>11.714285714285714</v>
      </c>
      <c r="AB418" s="86">
        <f>AVERAGEIFS($I$2:I418, $B$2:B418, B418)</f>
        <v>0.44285714285714295</v>
      </c>
      <c r="AC418" s="86">
        <f>AVERAGEIFS($J$2:J418, $B$2:B418, B418)</f>
        <v>0.47714285714285715</v>
      </c>
      <c r="AD418" s="86">
        <f>AVERAGEIFS($D$2:D418, $B$2:B418, B418)</f>
        <v>0.35714285714285715</v>
      </c>
    </row>
    <row r="419" spans="1:30" x14ac:dyDescent="0.25">
      <c r="A419" s="85">
        <v>46103</v>
      </c>
      <c r="B419" t="s">
        <v>147</v>
      </c>
      <c r="C419">
        <v>21</v>
      </c>
      <c r="D419" s="86">
        <v>0</v>
      </c>
      <c r="E419">
        <v>5</v>
      </c>
      <c r="F419">
        <v>2</v>
      </c>
      <c r="G419">
        <v>20</v>
      </c>
      <c r="H419">
        <v>8</v>
      </c>
      <c r="I419">
        <v>0.4</v>
      </c>
      <c r="J419">
        <v>0.4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1</v>
      </c>
      <c r="Y419">
        <v>1</v>
      </c>
      <c r="Z419">
        <v>0</v>
      </c>
      <c r="AA419" s="86">
        <f>AVERAGEIFS($C$2:C419, $B$2:B419, B419)</f>
        <v>14.25</v>
      </c>
      <c r="AB419" s="86">
        <f>AVERAGEIFS($I$2:I419, $B$2:B419, B419)</f>
        <v>0.46250000000000002</v>
      </c>
      <c r="AC419" s="86">
        <f>AVERAGEIFS($J$2:J419, $B$2:B419, B419)</f>
        <v>0.48</v>
      </c>
      <c r="AD419" s="86">
        <f>AVERAGEIFS($D$2:D419, $B$2:B419, B419)</f>
        <v>0.5</v>
      </c>
    </row>
    <row r="420" spans="1:30" x14ac:dyDescent="0.25">
      <c r="A420" s="85">
        <v>46103</v>
      </c>
      <c r="B420" t="s">
        <v>15</v>
      </c>
      <c r="C420">
        <v>33</v>
      </c>
      <c r="D420" s="86">
        <v>0</v>
      </c>
      <c r="E420">
        <v>5</v>
      </c>
      <c r="F420">
        <v>2</v>
      </c>
      <c r="G420">
        <v>20</v>
      </c>
      <c r="H420">
        <v>8</v>
      </c>
      <c r="I420">
        <v>0.4</v>
      </c>
      <c r="J420">
        <v>0.4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1</v>
      </c>
      <c r="Y420">
        <v>1</v>
      </c>
      <c r="Z420">
        <v>0</v>
      </c>
      <c r="AA420" s="86">
        <f>AVERAGEIFS($C$2:C420, $B$2:B420, B420)</f>
        <v>25.523809523809526</v>
      </c>
      <c r="AB420" s="86">
        <f>AVERAGEIFS($I$2:I420, $B$2:B420, B420)</f>
        <v>0.43333333333333329</v>
      </c>
      <c r="AC420" s="86">
        <f>AVERAGEIFS($J$2:J420, $B$2:B420, B420)</f>
        <v>0.47666666666666674</v>
      </c>
      <c r="AD420" s="86">
        <f>AVERAGEIFS($D$2:D420, $B$2:B420, B420)</f>
        <v>0.2857142857142857</v>
      </c>
    </row>
    <row r="421" spans="1:30" x14ac:dyDescent="0.25">
      <c r="A421" s="85">
        <v>46103</v>
      </c>
      <c r="B421" t="s">
        <v>19</v>
      </c>
      <c r="C421">
        <v>10</v>
      </c>
      <c r="D421" s="86">
        <v>1</v>
      </c>
      <c r="E421">
        <v>5</v>
      </c>
      <c r="F421">
        <v>3</v>
      </c>
      <c r="G421">
        <v>20</v>
      </c>
      <c r="H421">
        <v>12</v>
      </c>
      <c r="I421">
        <v>0.6</v>
      </c>
      <c r="J421">
        <v>0.6</v>
      </c>
      <c r="K421">
        <v>0</v>
      </c>
      <c r="L421">
        <v>0</v>
      </c>
      <c r="M421">
        <v>0</v>
      </c>
      <c r="N421">
        <v>0</v>
      </c>
      <c r="O421">
        <v>1</v>
      </c>
      <c r="P421">
        <v>1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1</v>
      </c>
      <c r="AA421" s="86">
        <f>AVERAGEIFS($C$2:C421, $B$2:B421, B421)</f>
        <v>11.88</v>
      </c>
      <c r="AB421" s="86">
        <f>AVERAGEIFS($I$2:I421, $B$2:B421, B421)</f>
        <v>0.39</v>
      </c>
      <c r="AC421" s="86">
        <f>AVERAGEIFS($J$2:J421, $B$2:B421, B421)</f>
        <v>0.44800000000000006</v>
      </c>
      <c r="AD421" s="86">
        <f>AVERAGEIFS($D$2:D421, $B$2:B421, B421)</f>
        <v>0.36</v>
      </c>
    </row>
    <row r="422" spans="1:30" x14ac:dyDescent="0.25">
      <c r="A422" s="85">
        <v>46103</v>
      </c>
      <c r="B422" t="s">
        <v>37</v>
      </c>
      <c r="C422">
        <v>33</v>
      </c>
      <c r="D422" s="86">
        <v>1</v>
      </c>
      <c r="E422">
        <v>5</v>
      </c>
      <c r="F422">
        <v>3</v>
      </c>
      <c r="G422">
        <v>20</v>
      </c>
      <c r="H422">
        <v>12</v>
      </c>
      <c r="I422">
        <v>0.6</v>
      </c>
      <c r="J422">
        <v>0.6</v>
      </c>
      <c r="K422">
        <v>0</v>
      </c>
      <c r="L422">
        <v>0</v>
      </c>
      <c r="M422">
        <v>0</v>
      </c>
      <c r="N422">
        <v>0</v>
      </c>
      <c r="O422">
        <v>1</v>
      </c>
      <c r="P422">
        <v>1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1</v>
      </c>
      <c r="AA422" s="86">
        <f>AVERAGEIFS($C$2:C422, $B$2:B422, B422)</f>
        <v>19.533333333333335</v>
      </c>
      <c r="AB422" s="86">
        <f>AVERAGEIFS($I$2:I422, $B$2:B422, B422)</f>
        <v>0.45</v>
      </c>
      <c r="AC422" s="86">
        <f>AVERAGEIFS($J$2:J422, $B$2:B422, B422)</f>
        <v>0.47133333333333322</v>
      </c>
      <c r="AD422" s="86">
        <f>AVERAGEIFS($D$2:D422, $B$2:B422, B422)</f>
        <v>0.4</v>
      </c>
    </row>
    <row r="423" spans="1:30" x14ac:dyDescent="0.25">
      <c r="A423" s="85">
        <v>46103</v>
      </c>
      <c r="B423" t="s">
        <v>13</v>
      </c>
      <c r="C423">
        <v>35</v>
      </c>
      <c r="D423" s="86">
        <v>1</v>
      </c>
      <c r="E423">
        <v>5</v>
      </c>
      <c r="F423">
        <v>3</v>
      </c>
      <c r="G423">
        <v>20</v>
      </c>
      <c r="H423">
        <v>12</v>
      </c>
      <c r="I423">
        <v>0.6</v>
      </c>
      <c r="J423">
        <v>0.6</v>
      </c>
      <c r="K423">
        <v>0</v>
      </c>
      <c r="L423">
        <v>0</v>
      </c>
      <c r="M423">
        <v>0</v>
      </c>
      <c r="N423">
        <v>0</v>
      </c>
      <c r="O423">
        <v>1</v>
      </c>
      <c r="P423">
        <v>1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1</v>
      </c>
      <c r="AA423" s="86">
        <f>AVERAGEIFS($C$2:C423, $B$2:B423, B423)</f>
        <v>28.1</v>
      </c>
      <c r="AB423" s="86">
        <f>AVERAGEIFS($I$2:I423, $B$2:B423, B423)</f>
        <v>0.54833333333333334</v>
      </c>
      <c r="AC423" s="86">
        <f>AVERAGEIFS($J$2:J423, $B$2:B423, B423)</f>
        <v>0.53166666666666662</v>
      </c>
      <c r="AD423" s="86">
        <f>AVERAGEIFS($D$2:D423, $B$2:B423, B423)</f>
        <v>0.6333333333333333</v>
      </c>
    </row>
    <row r="424" spans="1:30" x14ac:dyDescent="0.25">
      <c r="A424" s="85">
        <v>46103</v>
      </c>
      <c r="B424" t="s">
        <v>27</v>
      </c>
      <c r="C424">
        <v>29</v>
      </c>
      <c r="D424" s="86">
        <v>1</v>
      </c>
      <c r="E424">
        <v>5</v>
      </c>
      <c r="F424">
        <v>3</v>
      </c>
      <c r="G424">
        <v>20</v>
      </c>
      <c r="H424">
        <v>12</v>
      </c>
      <c r="I424">
        <v>0.6</v>
      </c>
      <c r="J424">
        <v>0.6</v>
      </c>
      <c r="K424">
        <v>0</v>
      </c>
      <c r="L424">
        <v>0</v>
      </c>
      <c r="M424">
        <v>0</v>
      </c>
      <c r="N424">
        <v>0</v>
      </c>
      <c r="O424">
        <v>1</v>
      </c>
      <c r="P424">
        <v>1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1</v>
      </c>
      <c r="AA424" s="86">
        <f>AVERAGEIFS($C$2:C424, $B$2:B424, B424)</f>
        <v>14.4375</v>
      </c>
      <c r="AB424" s="86">
        <f>AVERAGEIFS($I$2:I424, $B$2:B424, B424)</f>
        <v>0.48124999999999996</v>
      </c>
      <c r="AC424" s="86">
        <f>AVERAGEIFS($J$2:J424, $B$2:B424, B424)</f>
        <v>0.489375</v>
      </c>
      <c r="AD424" s="86">
        <f>AVERAGEIFS($D$2:D424, $B$2:B424, B424)</f>
        <v>0.5</v>
      </c>
    </row>
    <row r="425" spans="1:30" x14ac:dyDescent="0.25">
      <c r="A425" s="85">
        <v>46103</v>
      </c>
      <c r="B425" t="s">
        <v>4</v>
      </c>
      <c r="C425">
        <v>20</v>
      </c>
      <c r="D425" s="86">
        <v>1</v>
      </c>
      <c r="E425">
        <v>5</v>
      </c>
      <c r="F425">
        <v>3</v>
      </c>
      <c r="G425">
        <v>20</v>
      </c>
      <c r="H425">
        <v>12</v>
      </c>
      <c r="I425">
        <v>0.6</v>
      </c>
      <c r="J425">
        <v>0.6</v>
      </c>
      <c r="K425">
        <v>0</v>
      </c>
      <c r="L425">
        <v>0</v>
      </c>
      <c r="M425">
        <v>0</v>
      </c>
      <c r="N425">
        <v>0</v>
      </c>
      <c r="O425">
        <v>1</v>
      </c>
      <c r="P425">
        <v>1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1</v>
      </c>
      <c r="AA425" s="86">
        <f>AVERAGEIFS($C$2:C425, $B$2:B425, B425)</f>
        <v>17.666666666666668</v>
      </c>
      <c r="AB425" s="86">
        <f>AVERAGEIFS($I$2:I425, $B$2:B425, B425)</f>
        <v>0.78333333333333333</v>
      </c>
      <c r="AC425" s="86">
        <f>AVERAGEIFS($J$2:J425, $B$2:B425, B425)</f>
        <v>0.66</v>
      </c>
      <c r="AD425" s="86">
        <f>AVERAGEIFS($D$2:D425, $B$2:B425, B425)</f>
        <v>1</v>
      </c>
    </row>
    <row r="426" spans="1:30" x14ac:dyDescent="0.25">
      <c r="A426" s="85">
        <v>46103</v>
      </c>
      <c r="B426" t="s">
        <v>137</v>
      </c>
      <c r="C426">
        <v>11</v>
      </c>
      <c r="D426" s="86">
        <v>1</v>
      </c>
      <c r="E426">
        <v>5</v>
      </c>
      <c r="F426">
        <v>3</v>
      </c>
      <c r="G426">
        <v>20</v>
      </c>
      <c r="H426">
        <v>12</v>
      </c>
      <c r="I426">
        <v>0.6</v>
      </c>
      <c r="J426">
        <v>0.6</v>
      </c>
      <c r="K426">
        <v>0</v>
      </c>
      <c r="L426">
        <v>0</v>
      </c>
      <c r="M426">
        <v>0</v>
      </c>
      <c r="N426">
        <v>0</v>
      </c>
      <c r="O426">
        <v>1</v>
      </c>
      <c r="P426">
        <v>1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1</v>
      </c>
      <c r="AA426" s="86">
        <f>AVERAGEIFS($C$2:C426, $B$2:B426, B426)</f>
        <v>7.2857142857142856</v>
      </c>
      <c r="AB426" s="86">
        <f>AVERAGEIFS($I$2:I426, $B$2:B426, B426)</f>
        <v>0.5714285714285714</v>
      </c>
      <c r="AC426" s="86">
        <f>AVERAGEIFS($J$2:J426, $B$2:B426, B426)</f>
        <v>0.53857142857142859</v>
      </c>
      <c r="AD426" s="86">
        <f>AVERAGEIFS($D$2:D426, $B$2:B426, B426)</f>
        <v>0.5714285714285714</v>
      </c>
    </row>
    <row r="427" spans="1:30" x14ac:dyDescent="0.25">
      <c r="A427" s="85">
        <v>46103</v>
      </c>
      <c r="B427" t="s">
        <v>26</v>
      </c>
      <c r="C427">
        <v>5</v>
      </c>
      <c r="D427" s="86">
        <v>1</v>
      </c>
      <c r="E427">
        <v>5</v>
      </c>
      <c r="F427">
        <v>3</v>
      </c>
      <c r="G427">
        <v>20</v>
      </c>
      <c r="H427">
        <v>12</v>
      </c>
      <c r="I427">
        <v>0.6</v>
      </c>
      <c r="J427">
        <v>0.6</v>
      </c>
      <c r="K427">
        <v>0</v>
      </c>
      <c r="L427">
        <v>0</v>
      </c>
      <c r="M427">
        <v>0</v>
      </c>
      <c r="N427">
        <v>0</v>
      </c>
      <c r="O427">
        <v>1</v>
      </c>
      <c r="P427">
        <v>1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1</v>
      </c>
      <c r="AA427" s="86">
        <f>AVERAGEIFS($C$2:C427, $B$2:B427, B427)</f>
        <v>12</v>
      </c>
      <c r="AB427" s="86">
        <f>AVERAGEIFS($I$2:I427, $B$2:B427, B427)</f>
        <v>0.66749999999999998</v>
      </c>
      <c r="AC427" s="86">
        <f>AVERAGEIFS($J$2:J427, $B$2:B427, B427)</f>
        <v>0.58449999999999991</v>
      </c>
      <c r="AD427" s="86">
        <f>AVERAGEIFS($D$2:D427, $B$2:B427, B427)</f>
        <v>0.75</v>
      </c>
    </row>
    <row r="428" spans="1:30" x14ac:dyDescent="0.25">
      <c r="A428" s="85">
        <v>46103</v>
      </c>
      <c r="B428" t="s">
        <v>18</v>
      </c>
      <c r="C428">
        <v>8</v>
      </c>
      <c r="D428" s="86">
        <v>1</v>
      </c>
      <c r="E428">
        <v>5</v>
      </c>
      <c r="F428">
        <v>3</v>
      </c>
      <c r="G428">
        <v>20</v>
      </c>
      <c r="H428">
        <v>12</v>
      </c>
      <c r="I428">
        <v>0.6</v>
      </c>
      <c r="J428">
        <v>0.6</v>
      </c>
      <c r="K428">
        <v>0</v>
      </c>
      <c r="L428">
        <v>0</v>
      </c>
      <c r="M428">
        <v>0</v>
      </c>
      <c r="N428">
        <v>0</v>
      </c>
      <c r="O428">
        <v>1</v>
      </c>
      <c r="P428">
        <v>1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1</v>
      </c>
      <c r="AA428" s="86">
        <f>AVERAGEIFS($C$2:C428, $B$2:B428, B428)</f>
        <v>25.533333333333335</v>
      </c>
      <c r="AB428" s="86">
        <f>AVERAGEIFS($I$2:I428, $B$2:B428, B428)</f>
        <v>0.42666666666666669</v>
      </c>
      <c r="AC428" s="86">
        <f>AVERAGEIFS($J$2:J428, $B$2:B428, B428)</f>
        <v>0.45466666666666655</v>
      </c>
      <c r="AD428" s="86">
        <f>AVERAGEIFS($D$2:D428, $B$2:B428, B428)</f>
        <v>0.4</v>
      </c>
    </row>
    <row r="429" spans="1:30" x14ac:dyDescent="0.25">
      <c r="A429" s="85">
        <v>46103</v>
      </c>
      <c r="B429" t="s">
        <v>14</v>
      </c>
      <c r="C429">
        <v>35</v>
      </c>
      <c r="D429" s="86">
        <v>1</v>
      </c>
      <c r="E429">
        <v>5</v>
      </c>
      <c r="F429">
        <v>3</v>
      </c>
      <c r="G429">
        <v>21</v>
      </c>
      <c r="H429">
        <v>11</v>
      </c>
      <c r="I429">
        <v>0.6</v>
      </c>
      <c r="J429">
        <v>0.52</v>
      </c>
      <c r="K429">
        <v>0</v>
      </c>
      <c r="L429">
        <v>1</v>
      </c>
      <c r="M429">
        <v>0</v>
      </c>
      <c r="N429">
        <v>0</v>
      </c>
      <c r="O429">
        <v>1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1</v>
      </c>
      <c r="X429">
        <v>0</v>
      </c>
      <c r="Y429">
        <v>0</v>
      </c>
      <c r="Z429">
        <v>0</v>
      </c>
      <c r="AA429" s="86">
        <f>AVERAGEIFS($C$2:C429, $B$2:B429, B429)</f>
        <v>24.96</v>
      </c>
      <c r="AB429" s="86">
        <f>AVERAGEIFS($I$2:I429, $B$2:B429, B429)</f>
        <v>0.53</v>
      </c>
      <c r="AC429" s="86">
        <f>AVERAGEIFS($J$2:J429, $B$2:B429, B429)</f>
        <v>0.50960000000000005</v>
      </c>
      <c r="AD429" s="86">
        <f>AVERAGEIFS($D$2:D429, $B$2:B429, B429)</f>
        <v>0.56000000000000005</v>
      </c>
    </row>
    <row r="430" spans="1:30" x14ac:dyDescent="0.25">
      <c r="A430" s="85">
        <v>46103</v>
      </c>
      <c r="B430" t="s">
        <v>6</v>
      </c>
      <c r="C430">
        <v>33</v>
      </c>
      <c r="D430" s="86">
        <v>1</v>
      </c>
      <c r="E430">
        <v>5</v>
      </c>
      <c r="F430">
        <v>3</v>
      </c>
      <c r="G430">
        <v>21</v>
      </c>
      <c r="H430">
        <v>11</v>
      </c>
      <c r="I430">
        <v>0.6</v>
      </c>
      <c r="J430">
        <v>0.52</v>
      </c>
      <c r="K430">
        <v>0</v>
      </c>
      <c r="L430">
        <v>1</v>
      </c>
      <c r="M430">
        <v>0</v>
      </c>
      <c r="N430">
        <v>0</v>
      </c>
      <c r="O430">
        <v>1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1</v>
      </c>
      <c r="X430">
        <v>0</v>
      </c>
      <c r="Y430">
        <v>0</v>
      </c>
      <c r="Z430">
        <v>0</v>
      </c>
      <c r="AA430" s="86">
        <f>AVERAGEIFS($C$2:C430, $B$2:B430, B430)</f>
        <v>23.235294117647058</v>
      </c>
      <c r="AB430" s="86">
        <f>AVERAGEIFS($I$2:I430, $B$2:B430, B430)</f>
        <v>0.626470588235294</v>
      </c>
      <c r="AC430" s="86">
        <f>AVERAGEIFS($J$2:J430, $B$2:B430, B430)</f>
        <v>0.54352941176470593</v>
      </c>
      <c r="AD430" s="86">
        <f>AVERAGEIFS($D$2:D430, $B$2:B430, B430)</f>
        <v>0.76470588235294112</v>
      </c>
    </row>
    <row r="431" spans="1:30" x14ac:dyDescent="0.25">
      <c r="A431" s="85">
        <v>46103</v>
      </c>
      <c r="B431" t="s">
        <v>1</v>
      </c>
      <c r="C431">
        <v>32</v>
      </c>
      <c r="D431" s="86">
        <v>1</v>
      </c>
      <c r="E431">
        <v>5</v>
      </c>
      <c r="F431">
        <v>3</v>
      </c>
      <c r="G431">
        <v>21</v>
      </c>
      <c r="H431">
        <v>11</v>
      </c>
      <c r="I431">
        <v>0.6</v>
      </c>
      <c r="J431">
        <v>0.52</v>
      </c>
      <c r="K431">
        <v>0</v>
      </c>
      <c r="L431">
        <v>1</v>
      </c>
      <c r="M431">
        <v>0</v>
      </c>
      <c r="N431">
        <v>0</v>
      </c>
      <c r="O431">
        <v>1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1</v>
      </c>
      <c r="X431">
        <v>0</v>
      </c>
      <c r="Y431">
        <v>0</v>
      </c>
      <c r="Z431">
        <v>0</v>
      </c>
      <c r="AA431" s="86">
        <f>AVERAGEIFS($C$2:C431, $B$2:B431, B431)</f>
        <v>28.625</v>
      </c>
      <c r="AB431" s="86">
        <f>AVERAGEIFS($I$2:I431, $B$2:B431, B431)</f>
        <v>0.56874999999999998</v>
      </c>
      <c r="AC431" s="86">
        <f>AVERAGEIFS($J$2:J431, $B$2:B431, B431)</f>
        <v>0.51</v>
      </c>
      <c r="AD431" s="86">
        <f>AVERAGEIFS($D$2:D431, $B$2:B431, B431)</f>
        <v>0.75</v>
      </c>
    </row>
    <row r="432" spans="1:30" x14ac:dyDescent="0.25">
      <c r="A432" s="85">
        <v>46103</v>
      </c>
      <c r="B432" t="s">
        <v>26</v>
      </c>
      <c r="C432">
        <v>16</v>
      </c>
      <c r="D432" s="86">
        <v>1</v>
      </c>
      <c r="E432">
        <v>5</v>
      </c>
      <c r="F432">
        <v>3</v>
      </c>
      <c r="G432">
        <v>21</v>
      </c>
      <c r="H432">
        <v>11</v>
      </c>
      <c r="I432">
        <v>0.6</v>
      </c>
      <c r="J432">
        <v>0.52</v>
      </c>
      <c r="K432">
        <v>0</v>
      </c>
      <c r="L432">
        <v>1</v>
      </c>
      <c r="M432">
        <v>0</v>
      </c>
      <c r="N432">
        <v>0</v>
      </c>
      <c r="O432">
        <v>1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1</v>
      </c>
      <c r="X432">
        <v>0</v>
      </c>
      <c r="Y432">
        <v>0</v>
      </c>
      <c r="Z432">
        <v>0</v>
      </c>
      <c r="AA432" s="86">
        <f>AVERAGEIFS($C$2:C432, $B$2:B432, B432)</f>
        <v>12.19047619047619</v>
      </c>
      <c r="AB432" s="86">
        <f>AVERAGEIFS($I$2:I432, $B$2:B432, B432)</f>
        <v>0.66428571428571426</v>
      </c>
      <c r="AC432" s="86">
        <f>AVERAGEIFS($J$2:J432, $B$2:B432, B432)</f>
        <v>0.58142857142857129</v>
      </c>
      <c r="AD432" s="86">
        <f>AVERAGEIFS($D$2:D432, $B$2:B432, B432)</f>
        <v>0.76190476190476186</v>
      </c>
    </row>
    <row r="433" spans="1:30" x14ac:dyDescent="0.25">
      <c r="A433" s="85">
        <v>46103</v>
      </c>
      <c r="B433" t="s">
        <v>42</v>
      </c>
      <c r="C433">
        <v>12</v>
      </c>
      <c r="D433" s="86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0</v>
      </c>
      <c r="L433">
        <v>1</v>
      </c>
      <c r="M433">
        <v>0</v>
      </c>
      <c r="N433">
        <v>0</v>
      </c>
      <c r="O433">
        <v>1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1</v>
      </c>
      <c r="X433">
        <v>0</v>
      </c>
      <c r="Y433">
        <v>0</v>
      </c>
      <c r="Z433">
        <v>0</v>
      </c>
      <c r="AA433" s="86">
        <f>AVERAGEIFS($C$2:C433, $B$2:B433, B433)</f>
        <v>9</v>
      </c>
      <c r="AB433" s="86">
        <f>AVERAGEIFS($I$2:I433, $B$2:B433, B433)</f>
        <v>0.33333333333333331</v>
      </c>
      <c r="AC433" s="86">
        <f>AVERAGEIFS($J$2:J433, $B$2:B433, B433)</f>
        <v>0.35666666666666669</v>
      </c>
      <c r="AD433" s="86">
        <f>AVERAGEIFS($D$2:D433, $B$2:B433, B433)</f>
        <v>0.33333333333333331</v>
      </c>
    </row>
    <row r="434" spans="1:30" x14ac:dyDescent="0.25">
      <c r="A434" s="85">
        <v>46103</v>
      </c>
      <c r="B434" t="s">
        <v>29</v>
      </c>
      <c r="C434">
        <v>12</v>
      </c>
      <c r="D434" s="86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1</v>
      </c>
      <c r="M434">
        <v>0</v>
      </c>
      <c r="N434">
        <v>0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1</v>
      </c>
      <c r="X434">
        <v>0</v>
      </c>
      <c r="Y434">
        <v>0</v>
      </c>
      <c r="Z434">
        <v>0</v>
      </c>
      <c r="AA434" s="86">
        <f>AVERAGEIFS($C$2:C434, $B$2:B434, B434)</f>
        <v>9.9090909090909083</v>
      </c>
      <c r="AB434" s="86">
        <f>AVERAGEIFS($I$2:I434, $B$2:B434, B434)</f>
        <v>0.48409090909090913</v>
      </c>
      <c r="AC434" s="86">
        <f>AVERAGEIFS($J$2:J434, $B$2:B434, B434)</f>
        <v>0.49818181818181811</v>
      </c>
      <c r="AD434" s="86">
        <f>AVERAGEIFS($D$2:D434, $B$2:B434, B434)</f>
        <v>0.5</v>
      </c>
    </row>
    <row r="435" spans="1:30" x14ac:dyDescent="0.25">
      <c r="A435" s="85">
        <v>46103</v>
      </c>
      <c r="B435" t="s">
        <v>2</v>
      </c>
      <c r="C435">
        <v>33</v>
      </c>
      <c r="D435" s="86">
        <v>0</v>
      </c>
      <c r="E435">
        <v>5</v>
      </c>
      <c r="F435">
        <v>2</v>
      </c>
      <c r="G435">
        <v>21</v>
      </c>
      <c r="H435">
        <v>10</v>
      </c>
      <c r="I435">
        <v>0.4</v>
      </c>
      <c r="J435">
        <v>0.48</v>
      </c>
      <c r="K435">
        <v>0</v>
      </c>
      <c r="L435">
        <v>0</v>
      </c>
      <c r="M435">
        <v>0</v>
      </c>
      <c r="N435">
        <v>1</v>
      </c>
      <c r="O435">
        <v>0</v>
      </c>
      <c r="P435">
        <v>0</v>
      </c>
      <c r="Q435">
        <v>0</v>
      </c>
      <c r="R435">
        <v>1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86">
        <f>AVERAGEIFS($C$2:C435, $B$2:B435, B435)</f>
        <v>27.23076923076923</v>
      </c>
      <c r="AB435" s="86">
        <f>AVERAGEIFS($I$2:I435, $B$2:B435, B435)</f>
        <v>0.54230769230769227</v>
      </c>
      <c r="AC435" s="86">
        <f>AVERAGEIFS($J$2:J435, $B$2:B435, B435)</f>
        <v>0.53923076923076918</v>
      </c>
      <c r="AD435" s="86">
        <f>AVERAGEIFS($D$2:D435, $B$2:B435, B435)</f>
        <v>0.53846153846153844</v>
      </c>
    </row>
    <row r="436" spans="1:30" x14ac:dyDescent="0.25">
      <c r="A436" s="85">
        <v>46103</v>
      </c>
      <c r="B436" t="s">
        <v>18</v>
      </c>
      <c r="C436">
        <v>31</v>
      </c>
      <c r="D436" s="86">
        <v>0</v>
      </c>
      <c r="E436">
        <v>5</v>
      </c>
      <c r="F436">
        <v>2</v>
      </c>
      <c r="G436">
        <v>21</v>
      </c>
      <c r="H436">
        <v>10</v>
      </c>
      <c r="I436">
        <v>0.4</v>
      </c>
      <c r="J436">
        <v>0.48</v>
      </c>
      <c r="K436">
        <v>0</v>
      </c>
      <c r="L436">
        <v>0</v>
      </c>
      <c r="M436">
        <v>0</v>
      </c>
      <c r="N436">
        <v>1</v>
      </c>
      <c r="O436">
        <v>0</v>
      </c>
      <c r="P436">
        <v>0</v>
      </c>
      <c r="Q436">
        <v>0</v>
      </c>
      <c r="R436">
        <v>1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86">
        <f>AVERAGEIFS($C$2:C436, $B$2:B436, B436)</f>
        <v>25.875</v>
      </c>
      <c r="AB436" s="86">
        <f>AVERAGEIFS($I$2:I436, $B$2:B436, B436)</f>
        <v>0.42500000000000004</v>
      </c>
      <c r="AC436" s="86">
        <f>AVERAGEIFS($J$2:J436, $B$2:B436, B436)</f>
        <v>0.45624999999999993</v>
      </c>
      <c r="AD436" s="86">
        <f>AVERAGEIFS($D$2:D436, $B$2:B436, B436)</f>
        <v>0.375</v>
      </c>
    </row>
    <row r="437" spans="1:30" x14ac:dyDescent="0.25">
      <c r="A437" s="85">
        <v>46103</v>
      </c>
      <c r="B437" t="s">
        <v>25</v>
      </c>
      <c r="C437">
        <v>31</v>
      </c>
      <c r="D437" s="86">
        <v>0</v>
      </c>
      <c r="E437">
        <v>5</v>
      </c>
      <c r="F437">
        <v>2</v>
      </c>
      <c r="G437">
        <v>21</v>
      </c>
      <c r="H437">
        <v>10</v>
      </c>
      <c r="I437">
        <v>0.4</v>
      </c>
      <c r="J437">
        <v>0.48</v>
      </c>
      <c r="K437">
        <v>0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1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86">
        <f>AVERAGEIFS($C$2:C437, $B$2:B437, B437)</f>
        <v>16.583333333333332</v>
      </c>
      <c r="AB437" s="86">
        <f>AVERAGEIFS($I$2:I437, $B$2:B437, B437)</f>
        <v>0.66250000000000009</v>
      </c>
      <c r="AC437" s="86">
        <f>AVERAGEIFS($J$2:J437, $B$2:B437, B437)</f>
        <v>0.58333333333333337</v>
      </c>
      <c r="AD437" s="86">
        <f>AVERAGEIFS($D$2:D437, $B$2:B437, B437)</f>
        <v>0.58333333333333337</v>
      </c>
    </row>
    <row r="438" spans="1:30" x14ac:dyDescent="0.25">
      <c r="A438" s="85">
        <v>46103</v>
      </c>
      <c r="B438" t="s">
        <v>70</v>
      </c>
      <c r="C438">
        <v>25</v>
      </c>
      <c r="D438" s="86">
        <v>0</v>
      </c>
      <c r="E438">
        <v>5</v>
      </c>
      <c r="F438">
        <v>2</v>
      </c>
      <c r="G438">
        <v>21</v>
      </c>
      <c r="H438">
        <v>10</v>
      </c>
      <c r="I438">
        <v>0.4</v>
      </c>
      <c r="J438">
        <v>0.48</v>
      </c>
      <c r="K438">
        <v>0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1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86">
        <f>AVERAGEIFS($C$2:C438, $B$2:B438, B438)</f>
        <v>23</v>
      </c>
      <c r="AB438" s="86">
        <f>AVERAGEIFS($I$2:I438, $B$2:B438, B438)</f>
        <v>0.5</v>
      </c>
      <c r="AC438" s="86">
        <f>AVERAGEIFS($J$2:J438, $B$2:B438, B438)</f>
        <v>0.52</v>
      </c>
      <c r="AD438" s="86">
        <f>AVERAGEIFS($D$2:D438, $B$2:B438, B438)</f>
        <v>0.5</v>
      </c>
    </row>
    <row r="439" spans="1:30" x14ac:dyDescent="0.25">
      <c r="A439" s="85">
        <v>46103</v>
      </c>
      <c r="B439" t="s">
        <v>20</v>
      </c>
      <c r="C439">
        <v>15</v>
      </c>
      <c r="D439" s="86">
        <v>0</v>
      </c>
      <c r="E439">
        <v>5</v>
      </c>
      <c r="F439">
        <v>2</v>
      </c>
      <c r="G439">
        <v>21</v>
      </c>
      <c r="H439">
        <v>10</v>
      </c>
      <c r="I439">
        <v>0.4</v>
      </c>
      <c r="J439">
        <v>0.48</v>
      </c>
      <c r="K439">
        <v>0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1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86">
        <f>AVERAGEIFS($C$2:C439, $B$2:B439, B439)</f>
        <v>13.681818181818182</v>
      </c>
      <c r="AB439" s="86">
        <f>AVERAGEIFS($I$2:I439, $B$2:B439, B439)</f>
        <v>0.47272727272727272</v>
      </c>
      <c r="AC439" s="86">
        <f>AVERAGEIFS($J$2:J439, $B$2:B439, B439)</f>
        <v>0.49136363636363639</v>
      </c>
      <c r="AD439" s="86">
        <f>AVERAGEIFS($D$2:D439, $B$2:B439, B439)</f>
        <v>0.36363636363636365</v>
      </c>
    </row>
    <row r="440" spans="1:30" x14ac:dyDescent="0.25">
      <c r="A440" s="85">
        <v>46103</v>
      </c>
      <c r="B440" t="s">
        <v>28</v>
      </c>
      <c r="C440">
        <v>14</v>
      </c>
      <c r="D440" s="86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1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 s="86">
        <f>AVERAGEIFS($C$2:C440, $B$2:B440, B440)</f>
        <v>13.777777777777779</v>
      </c>
      <c r="AB440" s="86">
        <f>AVERAGEIFS($I$2:I440, $B$2:B440, B440)</f>
        <v>0.36944444444444446</v>
      </c>
      <c r="AC440" s="86">
        <f>AVERAGEIFS($J$2:J440, $B$2:B440, B440)</f>
        <v>0.44166666666666671</v>
      </c>
      <c r="AD440" s="86">
        <f>AVERAGEIFS($D$2:D440, $B$2:B440, B440)</f>
        <v>0.33333333333333331</v>
      </c>
    </row>
    <row r="441" spans="1:30" x14ac:dyDescent="0.25">
      <c r="A441" s="85">
        <v>46109</v>
      </c>
      <c r="B441" t="s">
        <v>14</v>
      </c>
      <c r="C441">
        <v>39</v>
      </c>
      <c r="D441" s="86">
        <v>1</v>
      </c>
      <c r="E441">
        <v>5</v>
      </c>
      <c r="F441">
        <v>3</v>
      </c>
      <c r="G441">
        <v>24</v>
      </c>
      <c r="H441">
        <v>12</v>
      </c>
      <c r="I441">
        <v>0.6</v>
      </c>
      <c r="J441">
        <v>0.5</v>
      </c>
      <c r="K441">
        <v>0</v>
      </c>
      <c r="L441">
        <v>1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1</v>
      </c>
      <c r="AA441" s="86">
        <f>AVERAGEIFS($C$2:C441, $B$2:B441, B441)</f>
        <v>25.5</v>
      </c>
      <c r="AB441" s="86">
        <f>AVERAGEIFS($I$2:I441, $B$2:B441, B441)</f>
        <v>0.53269230769230769</v>
      </c>
      <c r="AC441" s="86">
        <f>AVERAGEIFS($J$2:J441, $B$2:B441, B441)</f>
        <v>0.50923076923076926</v>
      </c>
      <c r="AD441" s="86">
        <f>AVERAGEIFS($D$2:D441, $B$2:B441, B441)</f>
        <v>0.57692307692307687</v>
      </c>
    </row>
    <row r="442" spans="1:30" x14ac:dyDescent="0.25">
      <c r="A442" s="85">
        <v>46109</v>
      </c>
      <c r="B442" t="s">
        <v>35</v>
      </c>
      <c r="C442">
        <v>18</v>
      </c>
      <c r="D442" s="86">
        <v>1</v>
      </c>
      <c r="E442">
        <v>5</v>
      </c>
      <c r="F442">
        <v>3</v>
      </c>
      <c r="G442">
        <v>24</v>
      </c>
      <c r="H442">
        <v>12</v>
      </c>
      <c r="I442">
        <v>0.6</v>
      </c>
      <c r="J442">
        <v>0.5</v>
      </c>
      <c r="K442">
        <v>0</v>
      </c>
      <c r="L442">
        <v>1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1</v>
      </c>
      <c r="AA442" s="86">
        <f>AVERAGEIFS($C$2:C442, $B$2:B442, B442)</f>
        <v>11.153846153846153</v>
      </c>
      <c r="AB442" s="86">
        <f>AVERAGEIFS($I$2:I442, $B$2:B442, B442)</f>
        <v>0.53076923076923077</v>
      </c>
      <c r="AC442" s="86">
        <f>AVERAGEIFS($J$2:J442, $B$2:B442, B442)</f>
        <v>0.53538461538461546</v>
      </c>
      <c r="AD442" s="86">
        <f>AVERAGEIFS($D$2:D442, $B$2:B442, B442)</f>
        <v>0.69230769230769229</v>
      </c>
    </row>
    <row r="443" spans="1:30" x14ac:dyDescent="0.25">
      <c r="A443" s="85">
        <v>46109</v>
      </c>
      <c r="B443" t="s">
        <v>19</v>
      </c>
      <c r="C443">
        <v>17</v>
      </c>
      <c r="D443" s="86">
        <v>1</v>
      </c>
      <c r="E443">
        <v>5</v>
      </c>
      <c r="F443">
        <v>3</v>
      </c>
      <c r="G443">
        <v>24</v>
      </c>
      <c r="H443">
        <v>12</v>
      </c>
      <c r="I443">
        <v>0.6</v>
      </c>
      <c r="J443">
        <v>0.5</v>
      </c>
      <c r="K443">
        <v>0</v>
      </c>
      <c r="L443">
        <v>1</v>
      </c>
      <c r="M443">
        <v>0</v>
      </c>
      <c r="N443">
        <v>1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1</v>
      </c>
      <c r="AA443" s="86">
        <f>AVERAGEIFS($C$2:C443, $B$2:B443, B443)</f>
        <v>12.076923076923077</v>
      </c>
      <c r="AB443" s="86">
        <f>AVERAGEIFS($I$2:I443, $B$2:B443, B443)</f>
        <v>0.39807692307692305</v>
      </c>
      <c r="AC443" s="86">
        <f>AVERAGEIFS($J$2:J443, $B$2:B443, B443)</f>
        <v>0.45000000000000007</v>
      </c>
      <c r="AD443" s="86">
        <f>AVERAGEIFS($D$2:D443, $B$2:B443, B443)</f>
        <v>0.38461538461538464</v>
      </c>
    </row>
    <row r="444" spans="1:30" x14ac:dyDescent="0.25">
      <c r="A444" s="85">
        <v>46109</v>
      </c>
      <c r="B444" t="s">
        <v>137</v>
      </c>
      <c r="C444">
        <v>14</v>
      </c>
      <c r="D444" s="86">
        <v>1</v>
      </c>
      <c r="E444">
        <v>5</v>
      </c>
      <c r="F444">
        <v>3</v>
      </c>
      <c r="G444">
        <v>24</v>
      </c>
      <c r="H444">
        <v>12</v>
      </c>
      <c r="I444">
        <v>0.6</v>
      </c>
      <c r="J444">
        <v>0.5</v>
      </c>
      <c r="K444">
        <v>0</v>
      </c>
      <c r="L444">
        <v>1</v>
      </c>
      <c r="M444">
        <v>0</v>
      </c>
      <c r="N444">
        <v>1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1</v>
      </c>
      <c r="AA444" s="86">
        <f>AVERAGEIFS($C$2:C444, $B$2:B444, B444)</f>
        <v>8.125</v>
      </c>
      <c r="AB444" s="86">
        <f>AVERAGEIFS($I$2:I444, $B$2:B444, B444)</f>
        <v>0.57499999999999996</v>
      </c>
      <c r="AC444" s="86">
        <f>AVERAGEIFS($J$2:J444, $B$2:B444, B444)</f>
        <v>0.53374999999999995</v>
      </c>
      <c r="AD444" s="86">
        <f>AVERAGEIFS($D$2:D444, $B$2:B444, B444)</f>
        <v>0.625</v>
      </c>
    </row>
    <row r="445" spans="1:30" x14ac:dyDescent="0.25">
      <c r="A445" s="85">
        <v>46109</v>
      </c>
      <c r="B445" t="s">
        <v>28</v>
      </c>
      <c r="C445">
        <v>13</v>
      </c>
      <c r="D445" s="86">
        <v>1</v>
      </c>
      <c r="E445">
        <v>5</v>
      </c>
      <c r="F445">
        <v>3</v>
      </c>
      <c r="G445">
        <v>24</v>
      </c>
      <c r="H445">
        <v>12</v>
      </c>
      <c r="I445">
        <v>0.6</v>
      </c>
      <c r="J445">
        <v>0.5</v>
      </c>
      <c r="K445">
        <v>0</v>
      </c>
      <c r="L445">
        <v>1</v>
      </c>
      <c r="M445">
        <v>0</v>
      </c>
      <c r="N445">
        <v>1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1</v>
      </c>
      <c r="AA445" s="86">
        <f>AVERAGEIFS($C$2:C445, $B$2:B445, B445)</f>
        <v>13.736842105263158</v>
      </c>
      <c r="AB445" s="86">
        <f>AVERAGEIFS($I$2:I445, $B$2:B445, B445)</f>
        <v>0.38157894736842107</v>
      </c>
      <c r="AC445" s="86">
        <f>AVERAGEIFS($J$2:J445, $B$2:B445, B445)</f>
        <v>0.44473684210526321</v>
      </c>
      <c r="AD445" s="86">
        <f>AVERAGEIFS($D$2:D445, $B$2:B445, B445)</f>
        <v>0.36842105263157893</v>
      </c>
    </row>
    <row r="446" spans="1:30" x14ac:dyDescent="0.25">
      <c r="A446" s="85">
        <v>46109</v>
      </c>
      <c r="B446" t="s">
        <v>13</v>
      </c>
      <c r="C446">
        <v>44</v>
      </c>
      <c r="D446" s="86">
        <v>0</v>
      </c>
      <c r="E446">
        <v>5</v>
      </c>
      <c r="F446">
        <v>2</v>
      </c>
      <c r="G446">
        <v>24</v>
      </c>
      <c r="H446">
        <v>12</v>
      </c>
      <c r="I446">
        <v>0.4</v>
      </c>
      <c r="J446">
        <v>0.5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1</v>
      </c>
      <c r="Z446">
        <v>0</v>
      </c>
      <c r="AA446" s="86">
        <f>AVERAGEIFS($C$2:C446, $B$2:B446, B446)</f>
        <v>28.612903225806452</v>
      </c>
      <c r="AB446" s="86">
        <f>AVERAGEIFS($I$2:I446, $B$2:B446, B446)</f>
        <v>0.54354838709677411</v>
      </c>
      <c r="AC446" s="86">
        <f>AVERAGEIFS($J$2:J446, $B$2:B446, B446)</f>
        <v>0.53064516129032246</v>
      </c>
      <c r="AD446" s="86">
        <f>AVERAGEIFS($D$2:D446, $B$2:B446, B446)</f>
        <v>0.61290322580645162</v>
      </c>
    </row>
    <row r="447" spans="1:30" x14ac:dyDescent="0.25">
      <c r="A447" s="85">
        <v>46109</v>
      </c>
      <c r="B447" t="s">
        <v>45</v>
      </c>
      <c r="C447">
        <v>19</v>
      </c>
      <c r="D447" s="86">
        <v>0</v>
      </c>
      <c r="E447">
        <v>5</v>
      </c>
      <c r="F447">
        <v>2</v>
      </c>
      <c r="G447">
        <v>24</v>
      </c>
      <c r="H447">
        <v>12</v>
      </c>
      <c r="I447">
        <v>0.4</v>
      </c>
      <c r="J447">
        <v>0.5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1</v>
      </c>
      <c r="Z447">
        <v>0</v>
      </c>
      <c r="AA447" s="86">
        <f>AVERAGEIFS($C$2:C447, $B$2:B447, B447)</f>
        <v>12.2</v>
      </c>
      <c r="AB447" s="86">
        <f>AVERAGEIFS($I$2:I447, $B$2:B447, B447)</f>
        <v>0.44000000000000011</v>
      </c>
      <c r="AC447" s="86">
        <f>AVERAGEIFS($J$2:J447, $B$2:B447, B447)</f>
        <v>0.47866666666666663</v>
      </c>
      <c r="AD447" s="86">
        <f>AVERAGEIFS($D$2:D447, $B$2:B447, B447)</f>
        <v>0.33333333333333331</v>
      </c>
    </row>
    <row r="448" spans="1:30" x14ac:dyDescent="0.25">
      <c r="A448" s="85">
        <v>46109</v>
      </c>
      <c r="B448" t="s">
        <v>149</v>
      </c>
      <c r="C448">
        <v>11</v>
      </c>
      <c r="D448" s="86">
        <v>0</v>
      </c>
      <c r="E448">
        <v>5</v>
      </c>
      <c r="F448">
        <v>2</v>
      </c>
      <c r="G448">
        <v>24</v>
      </c>
      <c r="H448">
        <v>12</v>
      </c>
      <c r="I448">
        <v>0.4</v>
      </c>
      <c r="J448">
        <v>0.5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1</v>
      </c>
      <c r="Z448">
        <v>0</v>
      </c>
      <c r="AA448" s="86">
        <f>AVERAGEIFS($C$2:C448, $B$2:B448, B448)</f>
        <v>11</v>
      </c>
      <c r="AB448" s="86">
        <f>AVERAGEIFS($I$2:I448, $B$2:B448, B448)</f>
        <v>0.4</v>
      </c>
      <c r="AC448" s="86">
        <f>AVERAGEIFS($J$2:J448, $B$2:B448, B448)</f>
        <v>0.47</v>
      </c>
      <c r="AD448" s="86">
        <f>AVERAGEIFS($D$2:D448, $B$2:B448, B448)</f>
        <v>0</v>
      </c>
    </row>
    <row r="449" spans="1:30" x14ac:dyDescent="0.25">
      <c r="A449" s="85">
        <v>46109</v>
      </c>
      <c r="B449" t="s">
        <v>29</v>
      </c>
      <c r="C449">
        <v>10</v>
      </c>
      <c r="D449" s="86">
        <v>0</v>
      </c>
      <c r="E449">
        <v>5</v>
      </c>
      <c r="F449">
        <v>2</v>
      </c>
      <c r="G449">
        <v>24</v>
      </c>
      <c r="H449">
        <v>12</v>
      </c>
      <c r="I449">
        <v>0.4</v>
      </c>
      <c r="J449">
        <v>0.5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1</v>
      </c>
      <c r="Z449">
        <v>0</v>
      </c>
      <c r="AA449" s="86">
        <f>AVERAGEIFS($C$2:C449, $B$2:B449, B449)</f>
        <v>9.9130434782608692</v>
      </c>
      <c r="AB449" s="86">
        <f>AVERAGEIFS($I$2:I449, $B$2:B449, B449)</f>
        <v>0.48043478260869571</v>
      </c>
      <c r="AC449" s="86">
        <f>AVERAGEIFS($J$2:J449, $B$2:B449, B449)</f>
        <v>0.49826086956521737</v>
      </c>
      <c r="AD449" s="86">
        <f>AVERAGEIFS($D$2:D449, $B$2:B449, B449)</f>
        <v>0.47826086956521741</v>
      </c>
    </row>
    <row r="450" spans="1:30" x14ac:dyDescent="0.25">
      <c r="A450" s="85">
        <v>46109</v>
      </c>
      <c r="B450" t="s">
        <v>140</v>
      </c>
      <c r="C450">
        <v>10</v>
      </c>
      <c r="D450" s="86">
        <v>0</v>
      </c>
      <c r="E450">
        <v>5</v>
      </c>
      <c r="F450">
        <v>2</v>
      </c>
      <c r="G450">
        <v>24</v>
      </c>
      <c r="H450">
        <v>12</v>
      </c>
      <c r="I450">
        <v>0.4</v>
      </c>
      <c r="J450">
        <v>0.5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1</v>
      </c>
      <c r="Z450">
        <v>0</v>
      </c>
      <c r="AA450" s="86">
        <f>AVERAGEIFS($C$2:C450, $B$2:B450, B450)</f>
        <v>10.8</v>
      </c>
      <c r="AB450" s="86">
        <f>AVERAGEIFS($I$2:I450, $B$2:B450, B450)</f>
        <v>0.6</v>
      </c>
      <c r="AC450" s="86">
        <f>AVERAGEIFS($J$2:J450, $B$2:B450, B450)</f>
        <v>0.55199999999999994</v>
      </c>
      <c r="AD450" s="86">
        <f>AVERAGEIFS($D$2:D450, $B$2:B450, B450)</f>
        <v>0.6</v>
      </c>
    </row>
    <row r="451" spans="1:30" x14ac:dyDescent="0.25">
      <c r="A451" s="85">
        <v>46110</v>
      </c>
      <c r="B451" t="s">
        <v>14</v>
      </c>
      <c r="C451">
        <v>34</v>
      </c>
      <c r="D451" s="86">
        <v>1</v>
      </c>
      <c r="E451">
        <v>3</v>
      </c>
      <c r="F451">
        <v>3</v>
      </c>
      <c r="G451">
        <v>11</v>
      </c>
      <c r="H451">
        <v>9</v>
      </c>
      <c r="I451">
        <v>1</v>
      </c>
      <c r="J451">
        <v>0.82</v>
      </c>
      <c r="K451">
        <v>0</v>
      </c>
      <c r="L451">
        <v>1</v>
      </c>
      <c r="M451">
        <v>1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1</v>
      </c>
      <c r="AA451" s="86">
        <f>AVERAGEIFS($C$2:C451, $B$2:B451, B451)</f>
        <v>25.814814814814813</v>
      </c>
      <c r="AB451" s="86">
        <f>AVERAGEIFS($I$2:I451, $B$2:B451, B451)</f>
        <v>0.54999999999999993</v>
      </c>
      <c r="AC451" s="86">
        <f>AVERAGEIFS($J$2:J451, $B$2:B451, B451)</f>
        <v>0.52074074074074073</v>
      </c>
      <c r="AD451" s="86">
        <f>AVERAGEIFS($D$2:D451, $B$2:B451, B451)</f>
        <v>0.59259259259259256</v>
      </c>
    </row>
    <row r="452" spans="1:30" x14ac:dyDescent="0.25">
      <c r="A452" s="85">
        <v>46110</v>
      </c>
      <c r="B452" t="s">
        <v>1</v>
      </c>
      <c r="C452">
        <v>17</v>
      </c>
      <c r="D452" s="86">
        <v>1</v>
      </c>
      <c r="E452">
        <v>3</v>
      </c>
      <c r="F452">
        <v>3</v>
      </c>
      <c r="G452">
        <v>11</v>
      </c>
      <c r="H452">
        <v>9</v>
      </c>
      <c r="I452">
        <v>1</v>
      </c>
      <c r="J452">
        <v>0.82</v>
      </c>
      <c r="K452">
        <v>0</v>
      </c>
      <c r="L452">
        <v>1</v>
      </c>
      <c r="M452">
        <v>1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1</v>
      </c>
      <c r="AA452" s="86">
        <f>AVERAGEIFS($C$2:C452, $B$2:B452, B452)</f>
        <v>27.333333333333332</v>
      </c>
      <c r="AB452" s="86">
        <f>AVERAGEIFS($I$2:I452, $B$2:B452, B452)</f>
        <v>0.6166666666666667</v>
      </c>
      <c r="AC452" s="86">
        <f>AVERAGEIFS($J$2:J452, $B$2:B452, B452)</f>
        <v>0.54444444444444451</v>
      </c>
      <c r="AD452" s="86">
        <f>AVERAGEIFS($D$2:D452, $B$2:B452, B452)</f>
        <v>0.77777777777777779</v>
      </c>
    </row>
    <row r="453" spans="1:30" x14ac:dyDescent="0.25">
      <c r="A453" s="85">
        <v>46110</v>
      </c>
      <c r="B453" t="s">
        <v>6</v>
      </c>
      <c r="C453">
        <v>17</v>
      </c>
      <c r="D453" s="86">
        <v>1</v>
      </c>
      <c r="E453">
        <v>3</v>
      </c>
      <c r="F453">
        <v>3</v>
      </c>
      <c r="G453">
        <v>11</v>
      </c>
      <c r="H453">
        <v>9</v>
      </c>
      <c r="I453">
        <v>1</v>
      </c>
      <c r="J453">
        <v>0.82</v>
      </c>
      <c r="K453">
        <v>0</v>
      </c>
      <c r="L453">
        <v>1</v>
      </c>
      <c r="M453">
        <v>1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1</v>
      </c>
      <c r="AA453" s="86">
        <f>AVERAGEIFS($C$2:C453, $B$2:B453, B453)</f>
        <v>22.888888888888889</v>
      </c>
      <c r="AB453" s="86">
        <f>AVERAGEIFS($I$2:I453, $B$2:B453, B453)</f>
        <v>0.64722222222222214</v>
      </c>
      <c r="AC453" s="86">
        <f>AVERAGEIFS($J$2:J453, $B$2:B453, B453)</f>
        <v>0.55888888888888888</v>
      </c>
      <c r="AD453" s="86">
        <f>AVERAGEIFS($D$2:D453, $B$2:B453, B453)</f>
        <v>0.77777777777777779</v>
      </c>
    </row>
    <row r="454" spans="1:30" x14ac:dyDescent="0.25">
      <c r="A454" s="85">
        <v>46110</v>
      </c>
      <c r="B454" t="s">
        <v>26</v>
      </c>
      <c r="C454">
        <v>8</v>
      </c>
      <c r="D454" s="86">
        <v>1</v>
      </c>
      <c r="E454">
        <v>3</v>
      </c>
      <c r="F454">
        <v>3</v>
      </c>
      <c r="G454">
        <v>11</v>
      </c>
      <c r="H454">
        <v>9</v>
      </c>
      <c r="I454">
        <v>1</v>
      </c>
      <c r="J454">
        <v>0.82</v>
      </c>
      <c r="K454">
        <v>0</v>
      </c>
      <c r="L454">
        <v>1</v>
      </c>
      <c r="M454">
        <v>1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1</v>
      </c>
      <c r="AA454" s="86">
        <f>AVERAGEIFS($C$2:C454, $B$2:B454, B454)</f>
        <v>12</v>
      </c>
      <c r="AB454" s="86">
        <f>AVERAGEIFS($I$2:I454, $B$2:B454, B454)</f>
        <v>0.67954545454545456</v>
      </c>
      <c r="AC454" s="86">
        <f>AVERAGEIFS($J$2:J454, $B$2:B454, B454)</f>
        <v>0.59227272727272717</v>
      </c>
      <c r="AD454" s="86">
        <f>AVERAGEIFS($D$2:D454, $B$2:B454, B454)</f>
        <v>0.77272727272727271</v>
      </c>
    </row>
    <row r="455" spans="1:30" x14ac:dyDescent="0.25">
      <c r="A455" s="85">
        <v>46110</v>
      </c>
      <c r="B455" t="s">
        <v>29</v>
      </c>
      <c r="C455">
        <v>6</v>
      </c>
      <c r="D455" s="86">
        <v>1</v>
      </c>
      <c r="E455">
        <v>3</v>
      </c>
      <c r="F455">
        <v>3</v>
      </c>
      <c r="G455">
        <v>11</v>
      </c>
      <c r="H455">
        <v>9</v>
      </c>
      <c r="I455">
        <v>1</v>
      </c>
      <c r="J455">
        <v>0.82</v>
      </c>
      <c r="K455">
        <v>0</v>
      </c>
      <c r="L455">
        <v>1</v>
      </c>
      <c r="M455">
        <v>1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1</v>
      </c>
      <c r="AA455" s="86">
        <f>AVERAGEIFS($C$2:C455, $B$2:B455, B455)</f>
        <v>9.75</v>
      </c>
      <c r="AB455" s="86">
        <f>AVERAGEIFS($I$2:I455, $B$2:B455, B455)</f>
        <v>0.50208333333333333</v>
      </c>
      <c r="AC455" s="86">
        <f>AVERAGEIFS($J$2:J455, $B$2:B455, B455)</f>
        <v>0.5116666666666666</v>
      </c>
      <c r="AD455" s="86">
        <f>AVERAGEIFS($D$2:D455, $B$2:B455, B455)</f>
        <v>0.5</v>
      </c>
    </row>
    <row r="456" spans="1:30" x14ac:dyDescent="0.25">
      <c r="A456" s="85">
        <v>46110</v>
      </c>
      <c r="B456" t="s">
        <v>42</v>
      </c>
      <c r="C456">
        <v>6</v>
      </c>
      <c r="D456" s="86">
        <v>1</v>
      </c>
      <c r="E456">
        <v>3</v>
      </c>
      <c r="F456">
        <v>3</v>
      </c>
      <c r="G456">
        <v>11</v>
      </c>
      <c r="H456">
        <v>9</v>
      </c>
      <c r="I456">
        <v>1</v>
      </c>
      <c r="J456">
        <v>0.82</v>
      </c>
      <c r="K456">
        <v>0</v>
      </c>
      <c r="L456">
        <v>1</v>
      </c>
      <c r="M456">
        <v>1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1</v>
      </c>
      <c r="AA456" s="86">
        <f>AVERAGEIFS($C$2:C456, $B$2:B456, B456)</f>
        <v>8.25</v>
      </c>
      <c r="AB456" s="86">
        <f>AVERAGEIFS($I$2:I456, $B$2:B456, B456)</f>
        <v>0.5</v>
      </c>
      <c r="AC456" s="86">
        <f>AVERAGEIFS($J$2:J456, $B$2:B456, B456)</f>
        <v>0.47250000000000003</v>
      </c>
      <c r="AD456" s="86">
        <f>AVERAGEIFS($D$2:D456, $B$2:B456, B456)</f>
        <v>0.5</v>
      </c>
    </row>
    <row r="457" spans="1:30" x14ac:dyDescent="0.25">
      <c r="A457" s="85">
        <v>46110</v>
      </c>
      <c r="B457" t="s">
        <v>4</v>
      </c>
      <c r="C457">
        <v>17</v>
      </c>
      <c r="D457" s="86">
        <v>0</v>
      </c>
      <c r="E457">
        <v>3</v>
      </c>
      <c r="F457">
        <v>0</v>
      </c>
      <c r="G457">
        <v>11</v>
      </c>
      <c r="H457">
        <v>2</v>
      </c>
      <c r="I457">
        <v>0</v>
      </c>
      <c r="J457">
        <v>0.18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86">
        <f>AVERAGEIFS($C$2:C457, $B$2:B457, B457)</f>
        <v>17.5</v>
      </c>
      <c r="AB457" s="86">
        <f>AVERAGEIFS($I$2:I457, $B$2:B457, B457)</f>
        <v>0.58750000000000002</v>
      </c>
      <c r="AC457" s="86">
        <f>AVERAGEIFS($J$2:J457, $B$2:B457, B457)</f>
        <v>0.54</v>
      </c>
      <c r="AD457" s="86">
        <f>AVERAGEIFS($D$2:D457, $B$2:B457, B457)</f>
        <v>0.75</v>
      </c>
    </row>
    <row r="458" spans="1:30" x14ac:dyDescent="0.25">
      <c r="A458" s="85">
        <v>46110</v>
      </c>
      <c r="B458" t="s">
        <v>37</v>
      </c>
      <c r="C458">
        <v>13</v>
      </c>
      <c r="D458" s="86">
        <v>0</v>
      </c>
      <c r="E458">
        <v>3</v>
      </c>
      <c r="F458">
        <v>0</v>
      </c>
      <c r="G458">
        <v>11</v>
      </c>
      <c r="H458">
        <v>2</v>
      </c>
      <c r="I458">
        <v>0</v>
      </c>
      <c r="J458">
        <v>0.18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 s="86">
        <f>AVERAGEIFS($C$2:C458, $B$2:B458, B458)</f>
        <v>19.125</v>
      </c>
      <c r="AB458" s="86">
        <f>AVERAGEIFS($I$2:I458, $B$2:B458, B458)</f>
        <v>0.421875</v>
      </c>
      <c r="AC458" s="86">
        <f>AVERAGEIFS($J$2:J458, $B$2:B458, B458)</f>
        <v>0.45312499999999989</v>
      </c>
      <c r="AD458" s="86">
        <f>AVERAGEIFS($D$2:D458, $B$2:B458, B458)</f>
        <v>0.375</v>
      </c>
    </row>
    <row r="459" spans="1:30" x14ac:dyDescent="0.25">
      <c r="A459" s="85">
        <v>46110</v>
      </c>
      <c r="B459" t="s">
        <v>13</v>
      </c>
      <c r="C459">
        <v>11</v>
      </c>
      <c r="D459" s="86">
        <v>0</v>
      </c>
      <c r="E459">
        <v>3</v>
      </c>
      <c r="F459">
        <v>0</v>
      </c>
      <c r="G459">
        <v>11</v>
      </c>
      <c r="H459">
        <v>2</v>
      </c>
      <c r="I459">
        <v>0</v>
      </c>
      <c r="J459">
        <v>0.18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 s="86">
        <f>AVERAGEIFS($C$2:C459, $B$2:B459, B459)</f>
        <v>28.0625</v>
      </c>
      <c r="AB459" s="86">
        <f>AVERAGEIFS($I$2:I459, $B$2:B459, B459)</f>
        <v>0.52656249999999993</v>
      </c>
      <c r="AC459" s="86">
        <f>AVERAGEIFS($J$2:J459, $B$2:B459, B459)</f>
        <v>0.51968749999999986</v>
      </c>
      <c r="AD459" s="86">
        <f>AVERAGEIFS($D$2:D459, $B$2:B459, B459)</f>
        <v>0.59375</v>
      </c>
    </row>
    <row r="460" spans="1:30" x14ac:dyDescent="0.25">
      <c r="A460" s="85">
        <v>46110</v>
      </c>
      <c r="B460" t="s">
        <v>19</v>
      </c>
      <c r="C460">
        <v>9</v>
      </c>
      <c r="D460" s="86">
        <v>0</v>
      </c>
      <c r="E460">
        <v>3</v>
      </c>
      <c r="F460">
        <v>0</v>
      </c>
      <c r="G460">
        <v>11</v>
      </c>
      <c r="H460">
        <v>2</v>
      </c>
      <c r="I460">
        <v>0</v>
      </c>
      <c r="J460">
        <v>0.18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 s="86">
        <f>AVERAGEIFS($C$2:C460, $B$2:B460, B460)</f>
        <v>11.962962962962964</v>
      </c>
      <c r="AB460" s="86">
        <f>AVERAGEIFS($I$2:I460, $B$2:B460, B460)</f>
        <v>0.3833333333333333</v>
      </c>
      <c r="AC460" s="86">
        <f>AVERAGEIFS($J$2:J460, $B$2:B460, B460)</f>
        <v>0.44</v>
      </c>
      <c r="AD460" s="86">
        <f>AVERAGEIFS($D$2:D460, $B$2:B460, B460)</f>
        <v>0.37037037037037035</v>
      </c>
    </row>
    <row r="461" spans="1:30" x14ac:dyDescent="0.25">
      <c r="A461" s="85">
        <v>46110</v>
      </c>
      <c r="B461" t="s">
        <v>27</v>
      </c>
      <c r="C461">
        <v>5</v>
      </c>
      <c r="D461" s="86">
        <v>0</v>
      </c>
      <c r="E461">
        <v>3</v>
      </c>
      <c r="F461">
        <v>0</v>
      </c>
      <c r="G461">
        <v>11</v>
      </c>
      <c r="H461">
        <v>2</v>
      </c>
      <c r="I461">
        <v>0</v>
      </c>
      <c r="J461">
        <v>0.18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 s="86">
        <f>AVERAGEIFS($C$2:C461, $B$2:B461, B461)</f>
        <v>13.882352941176471</v>
      </c>
      <c r="AB461" s="86">
        <f>AVERAGEIFS($I$2:I461, $B$2:B461, B461)</f>
        <v>0.45294117647058818</v>
      </c>
      <c r="AC461" s="86">
        <f>AVERAGEIFS($J$2:J461, $B$2:B461, B461)</f>
        <v>0.47117647058823531</v>
      </c>
      <c r="AD461" s="86">
        <f>AVERAGEIFS($D$2:D461, $B$2:B461, B461)</f>
        <v>0.47058823529411764</v>
      </c>
    </row>
    <row r="462" spans="1:30" x14ac:dyDescent="0.25">
      <c r="A462" s="85">
        <v>46110</v>
      </c>
      <c r="B462" t="s">
        <v>137</v>
      </c>
      <c r="C462">
        <v>4</v>
      </c>
      <c r="D462" s="86">
        <v>0</v>
      </c>
      <c r="E462">
        <v>3</v>
      </c>
      <c r="F462">
        <v>0</v>
      </c>
      <c r="G462">
        <v>11</v>
      </c>
      <c r="H462">
        <v>2</v>
      </c>
      <c r="I462">
        <v>0</v>
      </c>
      <c r="J462">
        <v>0.18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 s="86">
        <f>AVERAGEIFS($C$2:C462, $B$2:B462, B462)</f>
        <v>7.666666666666667</v>
      </c>
      <c r="AB462" s="86">
        <f>AVERAGEIFS($I$2:I462, $B$2:B462, B462)</f>
        <v>0.51111111111111107</v>
      </c>
      <c r="AC462" s="86">
        <f>AVERAGEIFS($J$2:J462, $B$2:B462, B462)</f>
        <v>0.49444444444444435</v>
      </c>
      <c r="AD462" s="86">
        <f>AVERAGEIFS($D$2:D462, $B$2:B462, B462)</f>
        <v>0.55555555555555558</v>
      </c>
    </row>
    <row r="463" spans="1:30" x14ac:dyDescent="0.25">
      <c r="A463" s="85">
        <v>46110</v>
      </c>
      <c r="B463" t="s">
        <v>15</v>
      </c>
      <c r="C463">
        <v>24</v>
      </c>
      <c r="D463" s="86">
        <v>1</v>
      </c>
      <c r="E463">
        <v>5</v>
      </c>
      <c r="F463">
        <v>3</v>
      </c>
      <c r="G463">
        <v>21</v>
      </c>
      <c r="H463">
        <v>10</v>
      </c>
      <c r="I463">
        <v>0.6</v>
      </c>
      <c r="J463">
        <v>0.48</v>
      </c>
      <c r="K463">
        <v>0</v>
      </c>
      <c r="L463">
        <v>0</v>
      </c>
      <c r="M463">
        <v>0</v>
      </c>
      <c r="N463">
        <v>1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1</v>
      </c>
      <c r="Y463">
        <v>1</v>
      </c>
      <c r="Z463">
        <v>0</v>
      </c>
      <c r="AA463" s="86">
        <f>AVERAGEIFS($C$2:C463, $B$2:B463, B463)</f>
        <v>25.454545454545453</v>
      </c>
      <c r="AB463" s="86">
        <f>AVERAGEIFS($I$2:I463, $B$2:B463, B463)</f>
        <v>0.44090909090909086</v>
      </c>
      <c r="AC463" s="86">
        <f>AVERAGEIFS($J$2:J463, $B$2:B463, B463)</f>
        <v>0.47681818181818192</v>
      </c>
      <c r="AD463" s="86">
        <f>AVERAGEIFS($D$2:D463, $B$2:B463, B463)</f>
        <v>0.31818181818181818</v>
      </c>
    </row>
    <row r="464" spans="1:30" x14ac:dyDescent="0.25">
      <c r="A464" s="85">
        <v>46110</v>
      </c>
      <c r="B464" t="s">
        <v>20</v>
      </c>
      <c r="C464">
        <v>22</v>
      </c>
      <c r="D464" s="86">
        <v>1</v>
      </c>
      <c r="E464">
        <v>5</v>
      </c>
      <c r="F464">
        <v>3</v>
      </c>
      <c r="G464">
        <v>21</v>
      </c>
      <c r="H464">
        <v>10</v>
      </c>
      <c r="I464">
        <v>0.6</v>
      </c>
      <c r="J464">
        <v>0.48</v>
      </c>
      <c r="K464">
        <v>0</v>
      </c>
      <c r="L464">
        <v>0</v>
      </c>
      <c r="M464">
        <v>0</v>
      </c>
      <c r="N464">
        <v>1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1</v>
      </c>
      <c r="Y464">
        <v>1</v>
      </c>
      <c r="Z464">
        <v>0</v>
      </c>
      <c r="AA464" s="86">
        <f>AVERAGEIFS($C$2:C464, $B$2:B464, B464)</f>
        <v>14.043478260869565</v>
      </c>
      <c r="AB464" s="86">
        <f>AVERAGEIFS($I$2:I464, $B$2:B464, B464)</f>
        <v>0.47826086956521741</v>
      </c>
      <c r="AC464" s="86">
        <f>AVERAGEIFS($J$2:J464, $B$2:B464, B464)</f>
        <v>0.49086956521739133</v>
      </c>
      <c r="AD464" s="86">
        <f>AVERAGEIFS($D$2:D464, $B$2:B464, B464)</f>
        <v>0.39130434782608697</v>
      </c>
    </row>
    <row r="465" spans="1:30" x14ac:dyDescent="0.25">
      <c r="A465" s="85">
        <v>46110</v>
      </c>
      <c r="B465" t="s">
        <v>155</v>
      </c>
      <c r="C465">
        <v>22</v>
      </c>
      <c r="D465" s="86">
        <v>1</v>
      </c>
      <c r="E465">
        <v>5</v>
      </c>
      <c r="F465">
        <v>3</v>
      </c>
      <c r="G465">
        <v>21</v>
      </c>
      <c r="H465">
        <v>10</v>
      </c>
      <c r="I465">
        <v>0.6</v>
      </c>
      <c r="J465">
        <v>0.48</v>
      </c>
      <c r="K465">
        <v>0</v>
      </c>
      <c r="L465">
        <v>0</v>
      </c>
      <c r="M465">
        <v>0</v>
      </c>
      <c r="N465">
        <v>1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1</v>
      </c>
      <c r="Y465">
        <v>1</v>
      </c>
      <c r="Z465">
        <v>0</v>
      </c>
      <c r="AA465" s="86">
        <f>AVERAGEIFS($C$2:C465, $B$2:B465, B465)</f>
        <v>22</v>
      </c>
      <c r="AB465" s="86">
        <f>AVERAGEIFS($I$2:I465, $B$2:B465, B465)</f>
        <v>0.6</v>
      </c>
      <c r="AC465" s="86">
        <f>AVERAGEIFS($J$2:J465, $B$2:B465, B465)</f>
        <v>0.48</v>
      </c>
      <c r="AD465" s="86">
        <f>AVERAGEIFS($D$2:D465, $B$2:B465, B465)</f>
        <v>1</v>
      </c>
    </row>
    <row r="466" spans="1:30" x14ac:dyDescent="0.25">
      <c r="A466" s="85">
        <v>46110</v>
      </c>
      <c r="B466" t="s">
        <v>149</v>
      </c>
      <c r="C466">
        <v>21</v>
      </c>
      <c r="D466" s="86">
        <v>1</v>
      </c>
      <c r="E466">
        <v>5</v>
      </c>
      <c r="F466">
        <v>3</v>
      </c>
      <c r="G466">
        <v>21</v>
      </c>
      <c r="H466">
        <v>10</v>
      </c>
      <c r="I466">
        <v>0.6</v>
      </c>
      <c r="J466">
        <v>0.48</v>
      </c>
      <c r="K466">
        <v>0</v>
      </c>
      <c r="L466">
        <v>0</v>
      </c>
      <c r="M466">
        <v>0</v>
      </c>
      <c r="N466">
        <v>1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1</v>
      </c>
      <c r="Y466">
        <v>1</v>
      </c>
      <c r="Z466">
        <v>0</v>
      </c>
      <c r="AA466" s="86">
        <f>AVERAGEIFS($C$2:C466, $B$2:B466, B466)</f>
        <v>14.333333333333334</v>
      </c>
      <c r="AB466" s="86">
        <f>AVERAGEIFS($I$2:I466, $B$2:B466, B466)</f>
        <v>0.46666666666666662</v>
      </c>
      <c r="AC466" s="86">
        <f>AVERAGEIFS($J$2:J466, $B$2:B466, B466)</f>
        <v>0.47333333333333333</v>
      </c>
      <c r="AD466" s="86">
        <f>AVERAGEIFS($D$2:D466, $B$2:B466, B466)</f>
        <v>0.33333333333333331</v>
      </c>
    </row>
    <row r="467" spans="1:30" x14ac:dyDescent="0.25">
      <c r="A467" s="85">
        <v>46110</v>
      </c>
      <c r="B467" t="s">
        <v>141</v>
      </c>
      <c r="C467">
        <v>17</v>
      </c>
      <c r="D467" s="86">
        <v>1</v>
      </c>
      <c r="E467">
        <v>5</v>
      </c>
      <c r="F467">
        <v>3</v>
      </c>
      <c r="G467">
        <v>21</v>
      </c>
      <c r="H467">
        <v>10</v>
      </c>
      <c r="I467">
        <v>0.6</v>
      </c>
      <c r="J467">
        <v>0.48</v>
      </c>
      <c r="K467">
        <v>0</v>
      </c>
      <c r="L467">
        <v>0</v>
      </c>
      <c r="M467">
        <v>0</v>
      </c>
      <c r="N467">
        <v>1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1</v>
      </c>
      <c r="Y467">
        <v>1</v>
      </c>
      <c r="Z467">
        <v>0</v>
      </c>
      <c r="AA467" s="86">
        <f>AVERAGEIFS($C$2:C467, $B$2:B467, B467)</f>
        <v>10.5</v>
      </c>
      <c r="AB467" s="86">
        <f>AVERAGEIFS($I$2:I467, $B$2:B467, B467)</f>
        <v>0.6</v>
      </c>
      <c r="AC467" s="86">
        <f>AVERAGEIFS($J$2:J467, $B$2:B467, B467)</f>
        <v>0.52499999999999991</v>
      </c>
      <c r="AD467" s="86">
        <f>AVERAGEIFS($D$2:D467, $B$2:B467, B467)</f>
        <v>1</v>
      </c>
    </row>
    <row r="468" spans="1:30" x14ac:dyDescent="0.25">
      <c r="A468" s="85">
        <v>46110</v>
      </c>
      <c r="B468" t="s">
        <v>25</v>
      </c>
      <c r="C468">
        <v>13</v>
      </c>
      <c r="D468" s="86">
        <v>1</v>
      </c>
      <c r="E468">
        <v>5</v>
      </c>
      <c r="F468">
        <v>3</v>
      </c>
      <c r="G468">
        <v>21</v>
      </c>
      <c r="H468">
        <v>10</v>
      </c>
      <c r="I468">
        <v>0.6</v>
      </c>
      <c r="J468">
        <v>0.48</v>
      </c>
      <c r="K468">
        <v>0</v>
      </c>
      <c r="L468">
        <v>0</v>
      </c>
      <c r="M468">
        <v>0</v>
      </c>
      <c r="N468">
        <v>1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1</v>
      </c>
      <c r="Y468">
        <v>1</v>
      </c>
      <c r="Z468">
        <v>0</v>
      </c>
      <c r="AA468" s="86">
        <f>AVERAGEIFS($C$2:C468, $B$2:B468, B468)</f>
        <v>16.307692307692307</v>
      </c>
      <c r="AB468" s="86">
        <f>AVERAGEIFS($I$2:I468, $B$2:B468, B468)</f>
        <v>0.6576923076923078</v>
      </c>
      <c r="AC468" s="86">
        <f>AVERAGEIFS($J$2:J468, $B$2:B468, B468)</f>
        <v>0.57538461538461538</v>
      </c>
      <c r="AD468" s="86">
        <f>AVERAGEIFS($D$2:D468, $B$2:B468, B468)</f>
        <v>0.61538461538461542</v>
      </c>
    </row>
    <row r="469" spans="1:30" x14ac:dyDescent="0.25">
      <c r="A469" s="85">
        <v>46110</v>
      </c>
      <c r="B469" t="s">
        <v>17</v>
      </c>
      <c r="C469">
        <v>41</v>
      </c>
      <c r="D469" s="86">
        <v>0</v>
      </c>
      <c r="E469">
        <v>5</v>
      </c>
      <c r="F469">
        <v>2</v>
      </c>
      <c r="G469">
        <v>21</v>
      </c>
      <c r="H469">
        <v>11</v>
      </c>
      <c r="I469">
        <v>0.4</v>
      </c>
      <c r="J469">
        <v>0.52</v>
      </c>
      <c r="K469">
        <v>1</v>
      </c>
      <c r="L469">
        <v>0</v>
      </c>
      <c r="M469">
        <v>0</v>
      </c>
      <c r="N469">
        <v>0</v>
      </c>
      <c r="O469">
        <v>0</v>
      </c>
      <c r="P469">
        <v>1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86">
        <f>AVERAGEIFS($C$2:C469, $B$2:B469, B469)</f>
        <v>27.2</v>
      </c>
      <c r="AB469" s="86">
        <f>AVERAGEIFS($I$2:I469, $B$2:B469, B469)</f>
        <v>0.52000000000000013</v>
      </c>
      <c r="AC469" s="86">
        <f>AVERAGEIFS($J$2:J469, $B$2:B469, B469)</f>
        <v>0.52266666666666661</v>
      </c>
      <c r="AD469" s="86">
        <f>AVERAGEIFS($D$2:D469, $B$2:B469, B469)</f>
        <v>0.4</v>
      </c>
    </row>
    <row r="470" spans="1:30" x14ac:dyDescent="0.25">
      <c r="A470" s="85">
        <v>46110</v>
      </c>
      <c r="B470" t="s">
        <v>148</v>
      </c>
      <c r="C470">
        <v>24</v>
      </c>
      <c r="D470" s="86">
        <v>0</v>
      </c>
      <c r="E470">
        <v>5</v>
      </c>
      <c r="F470">
        <v>2</v>
      </c>
      <c r="G470">
        <v>21</v>
      </c>
      <c r="H470">
        <v>11</v>
      </c>
      <c r="I470">
        <v>0.4</v>
      </c>
      <c r="J470">
        <v>0.52</v>
      </c>
      <c r="K470">
        <v>1</v>
      </c>
      <c r="L470">
        <v>0</v>
      </c>
      <c r="M470">
        <v>0</v>
      </c>
      <c r="N470">
        <v>0</v>
      </c>
      <c r="O470">
        <v>0</v>
      </c>
      <c r="P470">
        <v>1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86">
        <f>AVERAGEIFS($C$2:C470, $B$2:B470, B470)</f>
        <v>20.333333333333332</v>
      </c>
      <c r="AB470" s="86">
        <f>AVERAGEIFS($I$2:I470, $B$2:B470, B470)</f>
        <v>0.40000000000000008</v>
      </c>
      <c r="AC470" s="86">
        <f>AVERAGEIFS($J$2:J470, $B$2:B470, B470)</f>
        <v>0.45333333333333337</v>
      </c>
      <c r="AD470" s="86">
        <f>AVERAGEIFS($D$2:D470, $B$2:B470, B470)</f>
        <v>0</v>
      </c>
    </row>
    <row r="471" spans="1:30" x14ac:dyDescent="0.25">
      <c r="A471" s="85">
        <v>46110</v>
      </c>
      <c r="B471" t="s">
        <v>50</v>
      </c>
      <c r="C471">
        <v>17</v>
      </c>
      <c r="D471" s="86">
        <v>0</v>
      </c>
      <c r="E471">
        <v>5</v>
      </c>
      <c r="F471">
        <v>2</v>
      </c>
      <c r="G471">
        <v>21</v>
      </c>
      <c r="H471">
        <v>11</v>
      </c>
      <c r="I471">
        <v>0.4</v>
      </c>
      <c r="J471">
        <v>0.52</v>
      </c>
      <c r="K471">
        <v>1</v>
      </c>
      <c r="L471">
        <v>0</v>
      </c>
      <c r="M471">
        <v>0</v>
      </c>
      <c r="N471">
        <v>0</v>
      </c>
      <c r="O471">
        <v>0</v>
      </c>
      <c r="P471">
        <v>1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86">
        <f>AVERAGEIFS($C$2:C471, $B$2:B471, B471)</f>
        <v>14.333333333333334</v>
      </c>
      <c r="AB471" s="86">
        <f>AVERAGEIFS($I$2:I471, $B$2:B471, B471)</f>
        <v>0.3</v>
      </c>
      <c r="AC471" s="86">
        <f>AVERAGEIFS($J$2:J471, $B$2:B471, B471)</f>
        <v>0.41666666666666669</v>
      </c>
      <c r="AD471" s="86">
        <f>AVERAGEIFS($D$2:D471, $B$2:B471, B471)</f>
        <v>0</v>
      </c>
    </row>
    <row r="472" spans="1:30" x14ac:dyDescent="0.25">
      <c r="A472" s="85">
        <v>46110</v>
      </c>
      <c r="B472" t="s">
        <v>147</v>
      </c>
      <c r="C472">
        <v>17</v>
      </c>
      <c r="D472" s="86">
        <v>0</v>
      </c>
      <c r="E472">
        <v>5</v>
      </c>
      <c r="F472">
        <v>2</v>
      </c>
      <c r="G472">
        <v>21</v>
      </c>
      <c r="H472">
        <v>11</v>
      </c>
      <c r="I472">
        <v>0.4</v>
      </c>
      <c r="J472">
        <v>0.52</v>
      </c>
      <c r="K472">
        <v>1</v>
      </c>
      <c r="L472">
        <v>0</v>
      </c>
      <c r="M472">
        <v>0</v>
      </c>
      <c r="N472">
        <v>0</v>
      </c>
      <c r="O472">
        <v>0</v>
      </c>
      <c r="P472">
        <v>1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86">
        <f>AVERAGEIFS($C$2:C472, $B$2:B472, B472)</f>
        <v>14.8</v>
      </c>
      <c r="AB472" s="86">
        <f>AVERAGEIFS($I$2:I472, $B$2:B472, B472)</f>
        <v>0.45</v>
      </c>
      <c r="AC472" s="86">
        <f>AVERAGEIFS($J$2:J472, $B$2:B472, B472)</f>
        <v>0.48799999999999999</v>
      </c>
      <c r="AD472" s="86">
        <f>AVERAGEIFS($D$2:D472, $B$2:B472, B472)</f>
        <v>0.4</v>
      </c>
    </row>
    <row r="473" spans="1:30" x14ac:dyDescent="0.25">
      <c r="A473" s="85">
        <v>46110</v>
      </c>
      <c r="B473" t="s">
        <v>156</v>
      </c>
      <c r="C473">
        <v>10</v>
      </c>
      <c r="D473" s="86">
        <v>0</v>
      </c>
      <c r="E473">
        <v>5</v>
      </c>
      <c r="F473">
        <v>2</v>
      </c>
      <c r="G473">
        <v>21</v>
      </c>
      <c r="H473">
        <v>11</v>
      </c>
      <c r="I473">
        <v>0.4</v>
      </c>
      <c r="J473">
        <v>0.52</v>
      </c>
      <c r="K473">
        <v>1</v>
      </c>
      <c r="L473">
        <v>0</v>
      </c>
      <c r="M473">
        <v>0</v>
      </c>
      <c r="N473">
        <v>0</v>
      </c>
      <c r="O473">
        <v>0</v>
      </c>
      <c r="P473">
        <v>1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86">
        <f>AVERAGEIFS($C$2:C473, $B$2:B473, B473)</f>
        <v>10</v>
      </c>
      <c r="AB473" s="86">
        <f>AVERAGEIFS($I$2:I473, $B$2:B473, B473)</f>
        <v>0.4</v>
      </c>
      <c r="AC473" s="86">
        <f>AVERAGEIFS($J$2:J473, $B$2:B473, B473)</f>
        <v>0.52</v>
      </c>
      <c r="AD473" s="86">
        <f>AVERAGEIFS($D$2:D473, $B$2:B473, B473)</f>
        <v>0</v>
      </c>
    </row>
    <row r="474" spans="1:30" x14ac:dyDescent="0.25">
      <c r="A474" s="85">
        <v>46110</v>
      </c>
      <c r="B474" t="s">
        <v>55</v>
      </c>
      <c r="C474">
        <v>8</v>
      </c>
      <c r="D474" s="86">
        <v>0</v>
      </c>
      <c r="E474">
        <v>5</v>
      </c>
      <c r="F474">
        <v>2</v>
      </c>
      <c r="G474">
        <v>21</v>
      </c>
      <c r="H474">
        <v>11</v>
      </c>
      <c r="I474">
        <v>0.4</v>
      </c>
      <c r="J474">
        <v>0.52</v>
      </c>
      <c r="K474">
        <v>1</v>
      </c>
      <c r="L474">
        <v>0</v>
      </c>
      <c r="M474">
        <v>0</v>
      </c>
      <c r="N474">
        <v>0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 s="86">
        <f>AVERAGEIFS($C$2:C474, $B$2:B474, B474)</f>
        <v>10.111111111111111</v>
      </c>
      <c r="AB474" s="86">
        <f>AVERAGEIFS($I$2:I474, $B$2:B474, B474)</f>
        <v>0.51111111111111118</v>
      </c>
      <c r="AC474" s="86">
        <f>AVERAGEIFS($J$2:J474, $B$2:B474, B474)</f>
        <v>0.49888888888888894</v>
      </c>
      <c r="AD474" s="86">
        <f>AVERAGEIFS($D$2:D474, $B$2:B474, B474)</f>
        <v>0.55555555555555558</v>
      </c>
    </row>
    <row r="475" spans="1:30" x14ac:dyDescent="0.25">
      <c r="A475" s="85">
        <v>46110</v>
      </c>
      <c r="B475" t="s">
        <v>13</v>
      </c>
      <c r="C475">
        <v>20</v>
      </c>
      <c r="D475" s="86">
        <v>1</v>
      </c>
      <c r="E475">
        <v>4</v>
      </c>
      <c r="F475">
        <v>3</v>
      </c>
      <c r="G475">
        <v>17</v>
      </c>
      <c r="H475">
        <v>11</v>
      </c>
      <c r="I475">
        <v>0.75</v>
      </c>
      <c r="J475">
        <v>0.65</v>
      </c>
      <c r="K475">
        <v>0</v>
      </c>
      <c r="L475">
        <v>1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 s="86">
        <f>AVERAGEIFS($C$2:C475, $B$2:B475, B475)</f>
        <v>27.818181818181817</v>
      </c>
      <c r="AB475" s="86">
        <f>AVERAGEIFS($I$2:I475, $B$2:B475, B475)</f>
        <v>0.53333333333333321</v>
      </c>
      <c r="AC475" s="86">
        <f>AVERAGEIFS($J$2:J475, $B$2:B475, B475)</f>
        <v>0.52363636363636346</v>
      </c>
      <c r="AD475" s="86">
        <f>AVERAGEIFS($D$2:D475, $B$2:B475, B475)</f>
        <v>0.60606060606060608</v>
      </c>
    </row>
    <row r="476" spans="1:30" x14ac:dyDescent="0.25">
      <c r="A476" s="85">
        <v>46110</v>
      </c>
      <c r="B476" t="s">
        <v>141</v>
      </c>
      <c r="C476">
        <v>19</v>
      </c>
      <c r="D476" s="86">
        <v>1</v>
      </c>
      <c r="E476">
        <v>4</v>
      </c>
      <c r="F476">
        <v>3</v>
      </c>
      <c r="G476">
        <v>17</v>
      </c>
      <c r="H476">
        <v>11</v>
      </c>
      <c r="I476">
        <v>0.75</v>
      </c>
      <c r="J476">
        <v>0.65</v>
      </c>
      <c r="K476">
        <v>0</v>
      </c>
      <c r="L476">
        <v>1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 s="86">
        <f>AVERAGEIFS($C$2:C476, $B$2:B476, B476)</f>
        <v>13.333333333333334</v>
      </c>
      <c r="AB476" s="86">
        <f>AVERAGEIFS($I$2:I476, $B$2:B476, B476)</f>
        <v>0.65</v>
      </c>
      <c r="AC476" s="86">
        <f>AVERAGEIFS($J$2:J476, $B$2:B476, B476)</f>
        <v>0.56666666666666654</v>
      </c>
      <c r="AD476" s="86">
        <f>AVERAGEIFS($D$2:D476, $B$2:B476, B476)</f>
        <v>1</v>
      </c>
    </row>
    <row r="477" spans="1:30" x14ac:dyDescent="0.25">
      <c r="A477" s="85">
        <v>46110</v>
      </c>
      <c r="B477" t="s">
        <v>20</v>
      </c>
      <c r="C477">
        <v>18</v>
      </c>
      <c r="D477" s="86">
        <v>1</v>
      </c>
      <c r="E477">
        <v>4</v>
      </c>
      <c r="F477">
        <v>3</v>
      </c>
      <c r="G477">
        <v>17</v>
      </c>
      <c r="H477">
        <v>11</v>
      </c>
      <c r="I477">
        <v>0.75</v>
      </c>
      <c r="J477">
        <v>0.65</v>
      </c>
      <c r="K477">
        <v>0</v>
      </c>
      <c r="L477">
        <v>1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 s="86">
        <f>AVERAGEIFS($C$2:C477, $B$2:B477, B477)</f>
        <v>14.208333333333334</v>
      </c>
      <c r="AB477" s="86">
        <f>AVERAGEIFS($I$2:I477, $B$2:B477, B477)</f>
        <v>0.48958333333333331</v>
      </c>
      <c r="AC477" s="86">
        <f>AVERAGEIFS($J$2:J477, $B$2:B477, B477)</f>
        <v>0.49750000000000005</v>
      </c>
      <c r="AD477" s="86">
        <f>AVERAGEIFS($D$2:D477, $B$2:B477, B477)</f>
        <v>0.41666666666666669</v>
      </c>
    </row>
    <row r="478" spans="1:30" x14ac:dyDescent="0.25">
      <c r="A478" s="85">
        <v>46110</v>
      </c>
      <c r="B478" t="s">
        <v>26</v>
      </c>
      <c r="C478">
        <v>13</v>
      </c>
      <c r="D478" s="86">
        <v>1</v>
      </c>
      <c r="E478">
        <v>4</v>
      </c>
      <c r="F478">
        <v>3</v>
      </c>
      <c r="G478">
        <v>17</v>
      </c>
      <c r="H478">
        <v>11</v>
      </c>
      <c r="I478">
        <v>0.75</v>
      </c>
      <c r="J478">
        <v>0.65</v>
      </c>
      <c r="K478">
        <v>0</v>
      </c>
      <c r="L478">
        <v>1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 s="86">
        <f>AVERAGEIFS($C$2:C478, $B$2:B478, B478)</f>
        <v>12.043478260869565</v>
      </c>
      <c r="AB478" s="86">
        <f>AVERAGEIFS($I$2:I478, $B$2:B478, B478)</f>
        <v>0.68260869565217386</v>
      </c>
      <c r="AC478" s="86">
        <f>AVERAGEIFS($J$2:J478, $B$2:B478, B478)</f>
        <v>0.59478260869565214</v>
      </c>
      <c r="AD478" s="86">
        <f>AVERAGEIFS($D$2:D478, $B$2:B478, B478)</f>
        <v>0.78260869565217395</v>
      </c>
    </row>
    <row r="479" spans="1:30" x14ac:dyDescent="0.25">
      <c r="A479" s="85">
        <v>46110</v>
      </c>
      <c r="B479" t="s">
        <v>29</v>
      </c>
      <c r="C479">
        <v>10</v>
      </c>
      <c r="D479" s="86">
        <v>1</v>
      </c>
      <c r="E479">
        <v>4</v>
      </c>
      <c r="F479">
        <v>3</v>
      </c>
      <c r="G479">
        <v>17</v>
      </c>
      <c r="H479">
        <v>11</v>
      </c>
      <c r="I479">
        <v>0.75</v>
      </c>
      <c r="J479">
        <v>0.65</v>
      </c>
      <c r="K479">
        <v>0</v>
      </c>
      <c r="L479">
        <v>1</v>
      </c>
      <c r="M479">
        <v>0</v>
      </c>
      <c r="N479">
        <v>1</v>
      </c>
      <c r="O479">
        <v>0</v>
      </c>
      <c r="P479">
        <v>1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86">
        <f>AVERAGEIFS($C$2:C479, $B$2:B479, B479)</f>
        <v>9.76</v>
      </c>
      <c r="AB479" s="86">
        <f>AVERAGEIFS($I$2:I479, $B$2:B479, B479)</f>
        <v>0.51200000000000001</v>
      </c>
      <c r="AC479" s="86">
        <f>AVERAGEIFS($J$2:J479, $B$2:B479, B479)</f>
        <v>0.51719999999999999</v>
      </c>
      <c r="AD479" s="86">
        <f>AVERAGEIFS($D$2:D479, $B$2:B479, B479)</f>
        <v>0.52</v>
      </c>
    </row>
    <row r="480" spans="1:30" x14ac:dyDescent="0.25">
      <c r="A480" s="85">
        <v>46110</v>
      </c>
      <c r="B480" t="s">
        <v>156</v>
      </c>
      <c r="C480">
        <v>5</v>
      </c>
      <c r="D480" s="86">
        <v>1</v>
      </c>
      <c r="E480">
        <v>4</v>
      </c>
      <c r="F480">
        <v>3</v>
      </c>
      <c r="G480">
        <v>17</v>
      </c>
      <c r="H480">
        <v>11</v>
      </c>
      <c r="I480">
        <v>0.75</v>
      </c>
      <c r="J480">
        <v>0.65</v>
      </c>
      <c r="K480">
        <v>0</v>
      </c>
      <c r="L480">
        <v>1</v>
      </c>
      <c r="M480">
        <v>0</v>
      </c>
      <c r="N480">
        <v>1</v>
      </c>
      <c r="O480">
        <v>0</v>
      </c>
      <c r="P480">
        <v>1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86">
        <f>AVERAGEIFS($C$2:C480, $B$2:B480, B480)</f>
        <v>7.5</v>
      </c>
      <c r="AB480" s="86">
        <f>AVERAGEIFS($I$2:I480, $B$2:B480, B480)</f>
        <v>0.57499999999999996</v>
      </c>
      <c r="AC480" s="86">
        <f>AVERAGEIFS($J$2:J480, $B$2:B480, B480)</f>
        <v>0.58499999999999996</v>
      </c>
      <c r="AD480" s="86">
        <f>AVERAGEIFS($D$2:D480, $B$2:B480, B480)</f>
        <v>0.5</v>
      </c>
    </row>
    <row r="481" spans="1:30" x14ac:dyDescent="0.25">
      <c r="A481" s="85">
        <v>46110</v>
      </c>
      <c r="B481" t="s">
        <v>15</v>
      </c>
      <c r="C481">
        <v>21</v>
      </c>
      <c r="D481" s="86">
        <v>0</v>
      </c>
      <c r="E481">
        <v>4</v>
      </c>
      <c r="F481">
        <v>1</v>
      </c>
      <c r="G481">
        <v>17</v>
      </c>
      <c r="H481">
        <v>6</v>
      </c>
      <c r="I481">
        <v>0.25</v>
      </c>
      <c r="J481">
        <v>0.35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1</v>
      </c>
      <c r="Y481">
        <v>0</v>
      </c>
      <c r="Z481">
        <v>0</v>
      </c>
      <c r="AA481" s="86">
        <f>AVERAGEIFS($C$2:C481, $B$2:B481, B481)</f>
        <v>25.260869565217391</v>
      </c>
      <c r="AB481" s="86">
        <f>AVERAGEIFS($I$2:I481, $B$2:B481, B481)</f>
        <v>0.43260869565217386</v>
      </c>
      <c r="AC481" s="86">
        <f>AVERAGEIFS($J$2:J481, $B$2:B481, B481)</f>
        <v>0.47130434782608704</v>
      </c>
      <c r="AD481" s="86">
        <f>AVERAGEIFS($D$2:D481, $B$2:B481, B481)</f>
        <v>0.30434782608695654</v>
      </c>
    </row>
    <row r="482" spans="1:30" x14ac:dyDescent="0.25">
      <c r="A482" s="85">
        <v>46110</v>
      </c>
      <c r="B482" t="s">
        <v>17</v>
      </c>
      <c r="C482">
        <v>16</v>
      </c>
      <c r="D482" s="86">
        <v>0</v>
      </c>
      <c r="E482">
        <v>4</v>
      </c>
      <c r="F482">
        <v>1</v>
      </c>
      <c r="G482">
        <v>17</v>
      </c>
      <c r="H482">
        <v>6</v>
      </c>
      <c r="I482">
        <v>0.25</v>
      </c>
      <c r="J482">
        <v>0.35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1</v>
      </c>
      <c r="Y482">
        <v>0</v>
      </c>
      <c r="Z482">
        <v>0</v>
      </c>
      <c r="AA482" s="86">
        <f>AVERAGEIFS($C$2:C482, $B$2:B482, B482)</f>
        <v>26.838709677419356</v>
      </c>
      <c r="AB482" s="86">
        <f>AVERAGEIFS($I$2:I482, $B$2:B482, B482)</f>
        <v>0.51129032258064522</v>
      </c>
      <c r="AC482" s="86">
        <f>AVERAGEIFS($J$2:J482, $B$2:B482, B482)</f>
        <v>0.51709677419354827</v>
      </c>
      <c r="AD482" s="86">
        <f>AVERAGEIFS($D$2:D482, $B$2:B482, B482)</f>
        <v>0.38709677419354838</v>
      </c>
    </row>
    <row r="483" spans="1:30" x14ac:dyDescent="0.25">
      <c r="A483" s="85">
        <v>46110</v>
      </c>
      <c r="B483" t="s">
        <v>25</v>
      </c>
      <c r="C483">
        <v>11</v>
      </c>
      <c r="D483" s="86">
        <v>0</v>
      </c>
      <c r="E483">
        <v>4</v>
      </c>
      <c r="F483">
        <v>1</v>
      </c>
      <c r="G483">
        <v>17</v>
      </c>
      <c r="H483">
        <v>6</v>
      </c>
      <c r="I483">
        <v>0.25</v>
      </c>
      <c r="J483">
        <v>0.35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1</v>
      </c>
      <c r="Y483">
        <v>0</v>
      </c>
      <c r="Z483">
        <v>0</v>
      </c>
      <c r="AA483" s="86">
        <f>AVERAGEIFS($C$2:C483, $B$2:B483, B483)</f>
        <v>15.928571428571429</v>
      </c>
      <c r="AB483" s="86">
        <f>AVERAGEIFS($I$2:I483, $B$2:B483, B483)</f>
        <v>0.62857142857142867</v>
      </c>
      <c r="AC483" s="86">
        <f>AVERAGEIFS($J$2:J483, $B$2:B483, B483)</f>
        <v>0.55928571428571427</v>
      </c>
      <c r="AD483" s="86">
        <f>AVERAGEIFS($D$2:D483, $B$2:B483, B483)</f>
        <v>0.5714285714285714</v>
      </c>
    </row>
    <row r="484" spans="1:30" x14ac:dyDescent="0.25">
      <c r="A484" s="85">
        <v>46110</v>
      </c>
      <c r="B484" t="s">
        <v>147</v>
      </c>
      <c r="C484">
        <v>8</v>
      </c>
      <c r="D484" s="86">
        <v>0</v>
      </c>
      <c r="E484">
        <v>4</v>
      </c>
      <c r="F484">
        <v>1</v>
      </c>
      <c r="G484">
        <v>17</v>
      </c>
      <c r="H484">
        <v>6</v>
      </c>
      <c r="I484">
        <v>0.25</v>
      </c>
      <c r="J484">
        <v>0.35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1</v>
      </c>
      <c r="Y484">
        <v>0</v>
      </c>
      <c r="Z484">
        <v>0</v>
      </c>
      <c r="AA484" s="86">
        <f>AVERAGEIFS($C$2:C484, $B$2:B484, B484)</f>
        <v>13.666666666666666</v>
      </c>
      <c r="AB484" s="86">
        <f>AVERAGEIFS($I$2:I484, $B$2:B484, B484)</f>
        <v>0.41666666666666669</v>
      </c>
      <c r="AC484" s="86">
        <f>AVERAGEIFS($J$2:J484, $B$2:B484, B484)</f>
        <v>0.46500000000000002</v>
      </c>
      <c r="AD484" s="86">
        <f>AVERAGEIFS($D$2:D484, $B$2:B484, B484)</f>
        <v>0.33333333333333331</v>
      </c>
    </row>
    <row r="485" spans="1:30" x14ac:dyDescent="0.25">
      <c r="A485" s="85">
        <v>46110</v>
      </c>
      <c r="B485" t="s">
        <v>149</v>
      </c>
      <c r="C485">
        <v>7</v>
      </c>
      <c r="D485" s="86">
        <v>0</v>
      </c>
      <c r="E485">
        <v>4</v>
      </c>
      <c r="F485">
        <v>1</v>
      </c>
      <c r="G485">
        <v>17</v>
      </c>
      <c r="H485">
        <v>6</v>
      </c>
      <c r="I485">
        <v>0.25</v>
      </c>
      <c r="J485">
        <v>0.35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1</v>
      </c>
      <c r="Y485">
        <v>0</v>
      </c>
      <c r="Z485">
        <v>0</v>
      </c>
      <c r="AA485" s="86">
        <f>AVERAGEIFS($C$2:C485, $B$2:B485, B485)</f>
        <v>12.5</v>
      </c>
      <c r="AB485" s="86">
        <f>AVERAGEIFS($I$2:I485, $B$2:B485, B485)</f>
        <v>0.41249999999999998</v>
      </c>
      <c r="AC485" s="86">
        <f>AVERAGEIFS($J$2:J485, $B$2:B485, B485)</f>
        <v>0.4425</v>
      </c>
      <c r="AD485" s="86">
        <f>AVERAGEIFS($D$2:D485, $B$2:B485, B485)</f>
        <v>0.25</v>
      </c>
    </row>
    <row r="486" spans="1:30" x14ac:dyDescent="0.25">
      <c r="A486" s="85">
        <v>46110</v>
      </c>
      <c r="B486" t="s">
        <v>155</v>
      </c>
      <c r="C486">
        <v>7</v>
      </c>
      <c r="D486" s="86">
        <v>0</v>
      </c>
      <c r="E486">
        <v>4</v>
      </c>
      <c r="F486">
        <v>1</v>
      </c>
      <c r="G486">
        <v>17</v>
      </c>
      <c r="H486">
        <v>6</v>
      </c>
      <c r="I486">
        <v>0.25</v>
      </c>
      <c r="J486">
        <v>0.35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1</v>
      </c>
      <c r="Y486">
        <v>0</v>
      </c>
      <c r="Z486">
        <v>0</v>
      </c>
      <c r="AA486" s="86">
        <f>AVERAGEIFS($C$2:C486, $B$2:B486, B486)</f>
        <v>14.5</v>
      </c>
      <c r="AB486" s="86">
        <f>AVERAGEIFS($I$2:I486, $B$2:B486, B486)</f>
        <v>0.42499999999999999</v>
      </c>
      <c r="AC486" s="86">
        <f>AVERAGEIFS($J$2:J486, $B$2:B486, B486)</f>
        <v>0.41499999999999998</v>
      </c>
      <c r="AD486" s="86">
        <f>AVERAGEIFS($D$2:D486, $B$2:B486, B486)</f>
        <v>0.5</v>
      </c>
    </row>
    <row r="487" spans="1:30" x14ac:dyDescent="0.25">
      <c r="A487" s="85">
        <v>46116</v>
      </c>
      <c r="B487" t="s">
        <v>4</v>
      </c>
      <c r="C487">
        <v>31</v>
      </c>
      <c r="D487" s="86">
        <v>1</v>
      </c>
      <c r="E487">
        <v>5</v>
      </c>
      <c r="F487">
        <v>3</v>
      </c>
      <c r="G487">
        <v>21</v>
      </c>
      <c r="H487">
        <v>11</v>
      </c>
      <c r="I487">
        <v>0.6</v>
      </c>
      <c r="J487">
        <v>0.52</v>
      </c>
      <c r="K487">
        <v>0</v>
      </c>
      <c r="L487">
        <v>1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1</v>
      </c>
      <c r="Y487">
        <v>1</v>
      </c>
      <c r="Z487">
        <v>0</v>
      </c>
      <c r="AA487" s="86">
        <f>AVERAGEIFS($C$2:C487, $B$2:B487, B487)</f>
        <v>20.2</v>
      </c>
      <c r="AB487" s="86">
        <f>AVERAGEIFS($I$2:I487, $B$2:B487, B487)</f>
        <v>0.59000000000000008</v>
      </c>
      <c r="AC487" s="86">
        <f>AVERAGEIFS($J$2:J487, $B$2:B487, B487)</f>
        <v>0.53600000000000003</v>
      </c>
      <c r="AD487" s="86">
        <f>AVERAGEIFS($D$2:D487, $B$2:B487, B487)</f>
        <v>0.8</v>
      </c>
    </row>
    <row r="488" spans="1:30" x14ac:dyDescent="0.25">
      <c r="A488" s="85">
        <v>46116</v>
      </c>
      <c r="B488" t="s">
        <v>40</v>
      </c>
      <c r="C488">
        <v>17</v>
      </c>
      <c r="D488" s="86">
        <v>1</v>
      </c>
      <c r="E488">
        <v>5</v>
      </c>
      <c r="F488">
        <v>3</v>
      </c>
      <c r="G488">
        <v>21</v>
      </c>
      <c r="H488">
        <v>11</v>
      </c>
      <c r="I488">
        <v>0.6</v>
      </c>
      <c r="J488">
        <v>0.52</v>
      </c>
      <c r="K488">
        <v>0</v>
      </c>
      <c r="L488">
        <v>1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1</v>
      </c>
      <c r="Y488">
        <v>1</v>
      </c>
      <c r="Z488">
        <v>0</v>
      </c>
      <c r="AA488" s="86">
        <f>AVERAGEIFS($C$2:C488, $B$2:B488, B488)</f>
        <v>16.399999999999999</v>
      </c>
      <c r="AB488" s="86">
        <f>AVERAGEIFS($I$2:I488, $B$2:B488, B488)</f>
        <v>0.3</v>
      </c>
      <c r="AC488" s="86">
        <f>AVERAGEIFS($J$2:J488, $B$2:B488, B488)</f>
        <v>0.37</v>
      </c>
      <c r="AD488" s="86">
        <f>AVERAGEIFS($D$2:D488, $B$2:B488, B488)</f>
        <v>0.2</v>
      </c>
    </row>
    <row r="489" spans="1:30" x14ac:dyDescent="0.25">
      <c r="A489" s="85">
        <v>46116</v>
      </c>
      <c r="B489" t="s">
        <v>113</v>
      </c>
      <c r="C489">
        <v>19</v>
      </c>
      <c r="D489" s="86">
        <v>1</v>
      </c>
      <c r="E489">
        <v>5</v>
      </c>
      <c r="F489">
        <v>3</v>
      </c>
      <c r="G489">
        <v>21</v>
      </c>
      <c r="H489">
        <v>11</v>
      </c>
      <c r="I489">
        <v>0.6</v>
      </c>
      <c r="J489">
        <v>0.52</v>
      </c>
      <c r="K489">
        <v>0</v>
      </c>
      <c r="L489">
        <v>1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1</v>
      </c>
      <c r="Y489">
        <v>1</v>
      </c>
      <c r="Z489">
        <v>0</v>
      </c>
      <c r="AA489" s="86">
        <f>AVERAGEIFS($C$2:C489, $B$2:B489, B489)</f>
        <v>13.5</v>
      </c>
      <c r="AB489" s="86">
        <f>AVERAGEIFS($I$2:I489, $B$2:B489, B489)</f>
        <v>0.6</v>
      </c>
      <c r="AC489" s="86">
        <f>AVERAGEIFS($J$2:J489, $B$2:B489, B489)</f>
        <v>0.54499999999999993</v>
      </c>
      <c r="AD489" s="86">
        <f>AVERAGEIFS($D$2:D489, $B$2:B489, B489)</f>
        <v>1</v>
      </c>
    </row>
    <row r="490" spans="1:30" x14ac:dyDescent="0.25">
      <c r="A490" s="85">
        <v>46116</v>
      </c>
      <c r="B490" t="s">
        <v>149</v>
      </c>
      <c r="C490">
        <v>23</v>
      </c>
      <c r="D490" s="86">
        <v>1</v>
      </c>
      <c r="E490">
        <v>5</v>
      </c>
      <c r="F490">
        <v>3</v>
      </c>
      <c r="G490">
        <v>21</v>
      </c>
      <c r="H490">
        <v>11</v>
      </c>
      <c r="I490">
        <v>0.6</v>
      </c>
      <c r="J490">
        <v>0.52</v>
      </c>
      <c r="K490">
        <v>0</v>
      </c>
      <c r="L490">
        <v>1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1</v>
      </c>
      <c r="Y490">
        <v>1</v>
      </c>
      <c r="Z490">
        <v>0</v>
      </c>
      <c r="AA490" s="86">
        <f>AVERAGEIFS($C$2:C490, $B$2:B490, B490)</f>
        <v>14.6</v>
      </c>
      <c r="AB490" s="86">
        <f>AVERAGEIFS($I$2:I490, $B$2:B490, B490)</f>
        <v>0.45</v>
      </c>
      <c r="AC490" s="86">
        <f>AVERAGEIFS($J$2:J490, $B$2:B490, B490)</f>
        <v>0.45800000000000002</v>
      </c>
      <c r="AD490" s="86">
        <f>AVERAGEIFS($D$2:D490, $B$2:B490, B490)</f>
        <v>0.4</v>
      </c>
    </row>
    <row r="491" spans="1:30" x14ac:dyDescent="0.25">
      <c r="A491" s="85">
        <v>46116</v>
      </c>
      <c r="B491" t="s">
        <v>44</v>
      </c>
      <c r="C491">
        <v>28</v>
      </c>
      <c r="D491" s="86">
        <v>1</v>
      </c>
      <c r="E491">
        <v>5</v>
      </c>
      <c r="F491">
        <v>3</v>
      </c>
      <c r="G491">
        <v>21</v>
      </c>
      <c r="H491">
        <v>11</v>
      </c>
      <c r="I491">
        <v>0.6</v>
      </c>
      <c r="J491">
        <v>0.52</v>
      </c>
      <c r="K491">
        <v>0</v>
      </c>
      <c r="L491">
        <v>1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1</v>
      </c>
      <c r="Y491">
        <v>1</v>
      </c>
      <c r="Z491">
        <v>0</v>
      </c>
      <c r="AA491" s="86">
        <f>AVERAGEIFS($C$2:C491, $B$2:B491, B491)</f>
        <v>19</v>
      </c>
      <c r="AB491" s="86">
        <f>AVERAGEIFS($I$2:I491, $B$2:B491, B491)</f>
        <v>0.73333333333333339</v>
      </c>
      <c r="AC491" s="86">
        <f>AVERAGEIFS($J$2:J491, $B$2:B491, B491)</f>
        <v>0.59333333333333327</v>
      </c>
      <c r="AD491" s="86">
        <f>AVERAGEIFS($D$2:D491, $B$2:B491, B491)</f>
        <v>1</v>
      </c>
    </row>
    <row r="492" spans="1:30" x14ac:dyDescent="0.25">
      <c r="A492" s="85">
        <v>46116</v>
      </c>
      <c r="B492" t="s">
        <v>34</v>
      </c>
      <c r="C492">
        <v>18</v>
      </c>
      <c r="D492" s="86">
        <v>1</v>
      </c>
      <c r="E492">
        <v>5</v>
      </c>
      <c r="F492">
        <v>3</v>
      </c>
      <c r="G492">
        <v>21</v>
      </c>
      <c r="H492">
        <v>11</v>
      </c>
      <c r="I492">
        <v>0.6</v>
      </c>
      <c r="J492">
        <v>0.52</v>
      </c>
      <c r="K492">
        <v>0</v>
      </c>
      <c r="L492">
        <v>1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1</v>
      </c>
      <c r="Y492">
        <v>1</v>
      </c>
      <c r="Z492">
        <v>0</v>
      </c>
      <c r="AA492" s="86">
        <f>AVERAGEIFS($C$2:C492, $B$2:B492, B492)</f>
        <v>9.6666666666666661</v>
      </c>
      <c r="AB492" s="86">
        <f>AVERAGEIFS($I$2:I492, $B$2:B492, B492)</f>
        <v>0.78333333333333333</v>
      </c>
      <c r="AC492" s="86">
        <f>AVERAGEIFS($J$2:J492, $B$2:B492, B492)</f>
        <v>0.64666666666666661</v>
      </c>
      <c r="AD492" s="86">
        <f>AVERAGEIFS($D$2:D492, $B$2:B492, B492)</f>
        <v>1</v>
      </c>
    </row>
    <row r="493" spans="1:30" x14ac:dyDescent="0.25">
      <c r="A493" s="85">
        <v>46116</v>
      </c>
      <c r="B493" t="s">
        <v>13</v>
      </c>
      <c r="C493">
        <v>32</v>
      </c>
      <c r="D493" s="86">
        <v>0</v>
      </c>
      <c r="E493">
        <v>5</v>
      </c>
      <c r="F493">
        <v>2</v>
      </c>
      <c r="G493">
        <v>21</v>
      </c>
      <c r="H493">
        <v>10</v>
      </c>
      <c r="I493">
        <v>0.4</v>
      </c>
      <c r="J493">
        <v>0.48</v>
      </c>
      <c r="K493">
        <v>1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1</v>
      </c>
      <c r="X493">
        <v>0</v>
      </c>
      <c r="Y493">
        <v>0</v>
      </c>
      <c r="Z493">
        <v>0</v>
      </c>
      <c r="AA493" s="86">
        <f>AVERAGEIFS($C$2:C493, $B$2:B493, B493)</f>
        <v>27.941176470588236</v>
      </c>
      <c r="AB493" s="86">
        <f>AVERAGEIFS($I$2:I493, $B$2:B493, B493)</f>
        <v>0.52941176470588225</v>
      </c>
      <c r="AC493" s="86">
        <f>AVERAGEIFS($J$2:J493, $B$2:B493, B493)</f>
        <v>0.52235294117647046</v>
      </c>
      <c r="AD493" s="86">
        <f>AVERAGEIFS($D$2:D493, $B$2:B493, B493)</f>
        <v>0.58823529411764708</v>
      </c>
    </row>
    <row r="494" spans="1:30" x14ac:dyDescent="0.25">
      <c r="A494" s="85">
        <v>46116</v>
      </c>
      <c r="B494" t="s">
        <v>29</v>
      </c>
      <c r="C494">
        <v>20</v>
      </c>
      <c r="D494" s="86">
        <v>0</v>
      </c>
      <c r="E494">
        <v>5</v>
      </c>
      <c r="F494">
        <v>2</v>
      </c>
      <c r="G494">
        <v>21</v>
      </c>
      <c r="H494">
        <v>10</v>
      </c>
      <c r="I494">
        <v>0.4</v>
      </c>
      <c r="J494">
        <v>0.48</v>
      </c>
      <c r="K494">
        <v>1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1</v>
      </c>
      <c r="X494">
        <v>0</v>
      </c>
      <c r="Y494">
        <v>0</v>
      </c>
      <c r="Z494">
        <v>0</v>
      </c>
      <c r="AA494" s="86">
        <f>AVERAGEIFS($C$2:C494, $B$2:B494, B494)</f>
        <v>10.153846153846153</v>
      </c>
      <c r="AB494" s="86">
        <f>AVERAGEIFS($I$2:I494, $B$2:B494, B494)</f>
        <v>0.50769230769230778</v>
      </c>
      <c r="AC494" s="86">
        <f>AVERAGEIFS($J$2:J494, $B$2:B494, B494)</f>
        <v>0.51576923076923076</v>
      </c>
      <c r="AD494" s="86">
        <f>AVERAGEIFS($D$2:D494, $B$2:B494, B494)</f>
        <v>0.5</v>
      </c>
    </row>
    <row r="495" spans="1:30" x14ac:dyDescent="0.25">
      <c r="A495" s="85">
        <v>46116</v>
      </c>
      <c r="B495" t="s">
        <v>142</v>
      </c>
      <c r="C495">
        <v>20</v>
      </c>
      <c r="D495" s="86">
        <v>0</v>
      </c>
      <c r="E495">
        <v>5</v>
      </c>
      <c r="F495">
        <v>2</v>
      </c>
      <c r="G495">
        <v>21</v>
      </c>
      <c r="H495">
        <v>10</v>
      </c>
      <c r="I495">
        <v>0.4</v>
      </c>
      <c r="J495">
        <v>0.48</v>
      </c>
      <c r="K495">
        <v>1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1</v>
      </c>
      <c r="X495">
        <v>0</v>
      </c>
      <c r="Y495">
        <v>0</v>
      </c>
      <c r="Z495">
        <v>0</v>
      </c>
      <c r="AA495" s="86">
        <f>AVERAGEIFS($C$2:C495, $B$2:B495, B495)</f>
        <v>20</v>
      </c>
      <c r="AB495" s="86">
        <f>AVERAGEIFS($I$2:I495, $B$2:B495, B495)</f>
        <v>0.4</v>
      </c>
      <c r="AC495" s="86">
        <f>AVERAGEIFS($J$2:J495, $B$2:B495, B495)</f>
        <v>0.48</v>
      </c>
      <c r="AD495" s="86">
        <f>AVERAGEIFS($D$2:D495, $B$2:B495, B495)</f>
        <v>0</v>
      </c>
    </row>
    <row r="496" spans="1:30" x14ac:dyDescent="0.25">
      <c r="A496" s="85">
        <v>46116</v>
      </c>
      <c r="B496" t="s">
        <v>137</v>
      </c>
      <c r="C496">
        <v>9</v>
      </c>
      <c r="D496" s="86">
        <v>0</v>
      </c>
      <c r="E496">
        <v>5</v>
      </c>
      <c r="F496">
        <v>2</v>
      </c>
      <c r="G496">
        <v>21</v>
      </c>
      <c r="H496">
        <v>10</v>
      </c>
      <c r="I496">
        <v>0.4</v>
      </c>
      <c r="J496">
        <v>0.48</v>
      </c>
      <c r="K496">
        <v>1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1</v>
      </c>
      <c r="X496">
        <v>0</v>
      </c>
      <c r="Y496">
        <v>0</v>
      </c>
      <c r="Z496">
        <v>0</v>
      </c>
      <c r="AA496" s="86">
        <f>AVERAGEIFS($C$2:C496, $B$2:B496, B496)</f>
        <v>7.8</v>
      </c>
      <c r="AB496" s="86">
        <f>AVERAGEIFS($I$2:I496, $B$2:B496, B496)</f>
        <v>0.5</v>
      </c>
      <c r="AC496" s="86">
        <f>AVERAGEIFS($J$2:J496, $B$2:B496, B496)</f>
        <v>0.49299999999999999</v>
      </c>
      <c r="AD496" s="86">
        <f>AVERAGEIFS($D$2:D496, $B$2:B496, B496)</f>
        <v>0.5</v>
      </c>
    </row>
    <row r="497" spans="1:30" x14ac:dyDescent="0.25">
      <c r="A497" s="85">
        <v>46116</v>
      </c>
      <c r="B497" t="s">
        <v>35</v>
      </c>
      <c r="C497">
        <v>20</v>
      </c>
      <c r="D497" s="86">
        <v>0</v>
      </c>
      <c r="E497">
        <v>5</v>
      </c>
      <c r="F497">
        <v>2</v>
      </c>
      <c r="G497">
        <v>21</v>
      </c>
      <c r="H497">
        <v>10</v>
      </c>
      <c r="I497">
        <v>0.4</v>
      </c>
      <c r="J497">
        <v>0.48</v>
      </c>
      <c r="K497">
        <v>1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1</v>
      </c>
      <c r="X497">
        <v>0</v>
      </c>
      <c r="Y497">
        <v>0</v>
      </c>
      <c r="Z497">
        <v>0</v>
      </c>
      <c r="AA497" s="86">
        <f>AVERAGEIFS($C$2:C497, $B$2:B497, B497)</f>
        <v>11.785714285714286</v>
      </c>
      <c r="AB497" s="86">
        <f>AVERAGEIFS($I$2:I497, $B$2:B497, B497)</f>
        <v>0.52142857142857146</v>
      </c>
      <c r="AC497" s="86">
        <f>AVERAGEIFS($J$2:J497, $B$2:B497, B497)</f>
        <v>0.53142857142857147</v>
      </c>
      <c r="AD497" s="86">
        <f>AVERAGEIFS($D$2:D497, $B$2:B497, B497)</f>
        <v>0.6428571428571429</v>
      </c>
    </row>
    <row r="498" spans="1:30" x14ac:dyDescent="0.25">
      <c r="A498" s="85">
        <v>46116</v>
      </c>
      <c r="B498" t="s">
        <v>42</v>
      </c>
      <c r="C498">
        <v>29</v>
      </c>
      <c r="D498" s="86">
        <v>0</v>
      </c>
      <c r="E498">
        <v>5</v>
      </c>
      <c r="F498">
        <v>2</v>
      </c>
      <c r="G498">
        <v>21</v>
      </c>
      <c r="H498">
        <v>10</v>
      </c>
      <c r="I498">
        <v>0.4</v>
      </c>
      <c r="J498">
        <v>0.48</v>
      </c>
      <c r="K498">
        <v>1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1</v>
      </c>
      <c r="X498">
        <v>0</v>
      </c>
      <c r="Y498">
        <v>0</v>
      </c>
      <c r="Z498">
        <v>0</v>
      </c>
      <c r="AA498" s="86">
        <f>AVERAGEIFS($C$2:C498, $B$2:B498, B498)</f>
        <v>12.4</v>
      </c>
      <c r="AB498" s="86">
        <f>AVERAGEIFS($I$2:I498, $B$2:B498, B498)</f>
        <v>0.48</v>
      </c>
      <c r="AC498" s="86">
        <f>AVERAGEIFS($J$2:J498, $B$2:B498, B498)</f>
        <v>0.47400000000000003</v>
      </c>
      <c r="AD498" s="86">
        <f>AVERAGEIFS($D$2:D498, $B$2:B498, B498)</f>
        <v>0.4</v>
      </c>
    </row>
    <row r="499" spans="1:30" x14ac:dyDescent="0.25">
      <c r="A499" s="85">
        <v>46117</v>
      </c>
      <c r="B499" t="s">
        <v>6</v>
      </c>
      <c r="C499">
        <v>42</v>
      </c>
      <c r="D499" s="86">
        <v>1</v>
      </c>
      <c r="E499">
        <v>5</v>
      </c>
      <c r="F499">
        <v>3</v>
      </c>
      <c r="G499">
        <v>21</v>
      </c>
      <c r="H499">
        <v>13</v>
      </c>
      <c r="I499">
        <v>0.6</v>
      </c>
      <c r="J499">
        <v>0.62</v>
      </c>
      <c r="K499">
        <v>0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1</v>
      </c>
      <c r="U499">
        <v>0</v>
      </c>
      <c r="V499">
        <v>0</v>
      </c>
      <c r="W499">
        <v>0</v>
      </c>
      <c r="X499">
        <v>0</v>
      </c>
      <c r="Y499">
        <v>1</v>
      </c>
      <c r="Z499">
        <v>0</v>
      </c>
      <c r="AA499" s="86">
        <f>AVERAGEIFS($C$2:C499, $B$2:B499, B499)</f>
        <v>23.894736842105264</v>
      </c>
      <c r="AB499" s="86">
        <f>AVERAGEIFS($I$2:I499, $B$2:B499, B499)</f>
        <v>0.64473684210526305</v>
      </c>
      <c r="AC499" s="86">
        <f>AVERAGEIFS($J$2:J499, $B$2:B499, B499)</f>
        <v>0.56210526315789477</v>
      </c>
      <c r="AD499" s="86">
        <f>AVERAGEIFS($D$2:D499, $B$2:B499, B499)</f>
        <v>0.78947368421052633</v>
      </c>
    </row>
    <row r="500" spans="1:30" x14ac:dyDescent="0.25">
      <c r="A500" s="85">
        <v>46117</v>
      </c>
      <c r="B500" t="s">
        <v>37</v>
      </c>
      <c r="C500">
        <v>36</v>
      </c>
      <c r="D500" s="86">
        <v>1</v>
      </c>
      <c r="E500">
        <v>5</v>
      </c>
      <c r="F500">
        <v>3</v>
      </c>
      <c r="G500">
        <v>21</v>
      </c>
      <c r="H500">
        <v>13</v>
      </c>
      <c r="I500">
        <v>0.6</v>
      </c>
      <c r="J500">
        <v>0.62</v>
      </c>
      <c r="K500">
        <v>0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1</v>
      </c>
      <c r="U500">
        <v>0</v>
      </c>
      <c r="V500">
        <v>0</v>
      </c>
      <c r="W500">
        <v>0</v>
      </c>
      <c r="X500">
        <v>0</v>
      </c>
      <c r="Y500">
        <v>1</v>
      </c>
      <c r="Z500">
        <v>0</v>
      </c>
      <c r="AA500" s="86">
        <f>AVERAGEIFS($C$2:C500, $B$2:B500, B500)</f>
        <v>20.117647058823529</v>
      </c>
      <c r="AB500" s="86">
        <f>AVERAGEIFS($I$2:I500, $B$2:B500, B500)</f>
        <v>0.43235294117647055</v>
      </c>
      <c r="AC500" s="86">
        <f>AVERAGEIFS($J$2:J500, $B$2:B500, B500)</f>
        <v>0.46294117647058813</v>
      </c>
      <c r="AD500" s="86">
        <f>AVERAGEIFS($D$2:D500, $B$2:B500, B500)</f>
        <v>0.41176470588235292</v>
      </c>
    </row>
    <row r="501" spans="1:30" x14ac:dyDescent="0.25">
      <c r="A501" s="85">
        <v>46117</v>
      </c>
      <c r="B501" t="s">
        <v>13</v>
      </c>
      <c r="C501">
        <v>35</v>
      </c>
      <c r="D501" s="86">
        <v>1</v>
      </c>
      <c r="E501">
        <v>5</v>
      </c>
      <c r="F501">
        <v>3</v>
      </c>
      <c r="G501">
        <v>21</v>
      </c>
      <c r="H501">
        <v>13</v>
      </c>
      <c r="I501">
        <v>0.6</v>
      </c>
      <c r="J501">
        <v>0.62</v>
      </c>
      <c r="K501">
        <v>0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1</v>
      </c>
      <c r="U501">
        <v>0</v>
      </c>
      <c r="V501">
        <v>0</v>
      </c>
      <c r="W501">
        <v>0</v>
      </c>
      <c r="X501">
        <v>0</v>
      </c>
      <c r="Y501">
        <v>1</v>
      </c>
      <c r="Z501">
        <v>0</v>
      </c>
      <c r="AA501" s="86">
        <f>AVERAGEIFS($C$2:C501, $B$2:B501, B501)</f>
        <v>28.142857142857142</v>
      </c>
      <c r="AB501" s="86">
        <f>AVERAGEIFS($I$2:I501, $B$2:B501, B501)</f>
        <v>0.53142857142857136</v>
      </c>
      <c r="AC501" s="86">
        <f>AVERAGEIFS($J$2:J501, $B$2:B501, B501)</f>
        <v>0.52514285714285702</v>
      </c>
      <c r="AD501" s="86">
        <f>AVERAGEIFS($D$2:D501, $B$2:B501, B501)</f>
        <v>0.6</v>
      </c>
    </row>
    <row r="502" spans="1:30" x14ac:dyDescent="0.25">
      <c r="A502" s="85">
        <v>46117</v>
      </c>
      <c r="B502" t="s">
        <v>156</v>
      </c>
      <c r="C502">
        <v>27</v>
      </c>
      <c r="D502" s="86">
        <v>1</v>
      </c>
      <c r="E502">
        <v>5</v>
      </c>
      <c r="F502">
        <v>3</v>
      </c>
      <c r="G502">
        <v>21</v>
      </c>
      <c r="H502">
        <v>13</v>
      </c>
      <c r="I502">
        <v>0.6</v>
      </c>
      <c r="J502">
        <v>0.62</v>
      </c>
      <c r="K502">
        <v>0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1</v>
      </c>
      <c r="U502">
        <v>0</v>
      </c>
      <c r="V502">
        <v>0</v>
      </c>
      <c r="W502">
        <v>0</v>
      </c>
      <c r="X502">
        <v>0</v>
      </c>
      <c r="Y502">
        <v>1</v>
      </c>
      <c r="Z502">
        <v>0</v>
      </c>
      <c r="AA502" s="86">
        <f>AVERAGEIFS($C$2:C502, $B$2:B502, B502)</f>
        <v>14</v>
      </c>
      <c r="AB502" s="86">
        <f>AVERAGEIFS($I$2:I502, $B$2:B502, B502)</f>
        <v>0.58333333333333337</v>
      </c>
      <c r="AC502" s="86">
        <f>AVERAGEIFS($J$2:J502, $B$2:B502, B502)</f>
        <v>0.59666666666666668</v>
      </c>
      <c r="AD502" s="86">
        <f>AVERAGEIFS($D$2:D502, $B$2:B502, B502)</f>
        <v>0.66666666666666663</v>
      </c>
    </row>
    <row r="503" spans="1:30" x14ac:dyDescent="0.25">
      <c r="A503" s="85">
        <v>46117</v>
      </c>
      <c r="B503" t="s">
        <v>149</v>
      </c>
      <c r="C503">
        <v>17</v>
      </c>
      <c r="D503" s="86">
        <v>1</v>
      </c>
      <c r="E503">
        <v>5</v>
      </c>
      <c r="F503">
        <v>3</v>
      </c>
      <c r="G503">
        <v>21</v>
      </c>
      <c r="H503">
        <v>13</v>
      </c>
      <c r="I503">
        <v>0.6</v>
      </c>
      <c r="J503">
        <v>0.62</v>
      </c>
      <c r="K503">
        <v>0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1</v>
      </c>
      <c r="U503">
        <v>0</v>
      </c>
      <c r="V503">
        <v>0</v>
      </c>
      <c r="W503">
        <v>0</v>
      </c>
      <c r="X503">
        <v>0</v>
      </c>
      <c r="Y503">
        <v>1</v>
      </c>
      <c r="Z503">
        <v>0</v>
      </c>
      <c r="AA503" s="86">
        <f>AVERAGEIFS($C$2:C503, $B$2:B503, B503)</f>
        <v>15</v>
      </c>
      <c r="AB503" s="86">
        <f>AVERAGEIFS($I$2:I503, $B$2:B503, B503)</f>
        <v>0.47500000000000003</v>
      </c>
      <c r="AC503" s="86">
        <f>AVERAGEIFS($J$2:J503, $B$2:B503, B503)</f>
        <v>0.48500000000000004</v>
      </c>
      <c r="AD503" s="86">
        <f>AVERAGEIFS($D$2:D503, $B$2:B503, B503)</f>
        <v>0.5</v>
      </c>
    </row>
    <row r="504" spans="1:30" x14ac:dyDescent="0.25">
      <c r="A504" s="85">
        <v>46117</v>
      </c>
      <c r="B504" t="s">
        <v>45</v>
      </c>
      <c r="C504">
        <v>13</v>
      </c>
      <c r="D504" s="86">
        <v>1</v>
      </c>
      <c r="E504">
        <v>5</v>
      </c>
      <c r="F504">
        <v>3</v>
      </c>
      <c r="G504">
        <v>21</v>
      </c>
      <c r="H504">
        <v>13</v>
      </c>
      <c r="I504">
        <v>0.6</v>
      </c>
      <c r="J504">
        <v>0.62</v>
      </c>
      <c r="K504">
        <v>0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1</v>
      </c>
      <c r="U504">
        <v>0</v>
      </c>
      <c r="V504">
        <v>0</v>
      </c>
      <c r="W504">
        <v>0</v>
      </c>
      <c r="X504">
        <v>0</v>
      </c>
      <c r="Y504">
        <v>1</v>
      </c>
      <c r="Z504">
        <v>0</v>
      </c>
      <c r="AA504" s="86">
        <f>AVERAGEIFS($C$2:C504, $B$2:B504, B504)</f>
        <v>12.25</v>
      </c>
      <c r="AB504" s="86">
        <f>AVERAGEIFS($I$2:I504, $B$2:B504, B504)</f>
        <v>0.45000000000000007</v>
      </c>
      <c r="AC504" s="86">
        <f>AVERAGEIFS($J$2:J504, $B$2:B504, B504)</f>
        <v>0.48749999999999999</v>
      </c>
      <c r="AD504" s="86">
        <f>AVERAGEIFS($D$2:D504, $B$2:B504, B504)</f>
        <v>0.375</v>
      </c>
    </row>
    <row r="505" spans="1:30" x14ac:dyDescent="0.25">
      <c r="A505" s="85">
        <v>46117</v>
      </c>
      <c r="B505" t="s">
        <v>17</v>
      </c>
      <c r="C505">
        <v>11</v>
      </c>
      <c r="D505" s="86">
        <v>1</v>
      </c>
      <c r="E505">
        <v>5</v>
      </c>
      <c r="F505">
        <v>3</v>
      </c>
      <c r="G505">
        <v>21</v>
      </c>
      <c r="H505">
        <v>13</v>
      </c>
      <c r="I505">
        <v>0.6</v>
      </c>
      <c r="J505">
        <v>0.62</v>
      </c>
      <c r="K505">
        <v>0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1</v>
      </c>
      <c r="U505">
        <v>0</v>
      </c>
      <c r="V505">
        <v>0</v>
      </c>
      <c r="W505">
        <v>0</v>
      </c>
      <c r="X505">
        <v>0</v>
      </c>
      <c r="Y505">
        <v>1</v>
      </c>
      <c r="Z505">
        <v>0</v>
      </c>
      <c r="AA505" s="86">
        <f>AVERAGEIFS($C$2:C505, $B$2:B505, B505)</f>
        <v>26.34375</v>
      </c>
      <c r="AB505" s="86">
        <f>AVERAGEIFS($I$2:I505, $B$2:B505, B505)</f>
        <v>0.51406250000000009</v>
      </c>
      <c r="AC505" s="86">
        <f>AVERAGEIFS($J$2:J505, $B$2:B505, B505)</f>
        <v>0.52031249999999996</v>
      </c>
      <c r="AD505" s="86">
        <f>AVERAGEIFS($D$2:D505, $B$2:B505, B505)</f>
        <v>0.40625</v>
      </c>
    </row>
    <row r="506" spans="1:30" x14ac:dyDescent="0.25">
      <c r="A506" s="85">
        <v>46117</v>
      </c>
      <c r="B506" t="s">
        <v>15</v>
      </c>
      <c r="C506">
        <v>39</v>
      </c>
      <c r="D506" s="86">
        <v>0</v>
      </c>
      <c r="E506">
        <v>5</v>
      </c>
      <c r="F506">
        <v>2</v>
      </c>
      <c r="G506">
        <v>21</v>
      </c>
      <c r="H506">
        <v>8</v>
      </c>
      <c r="I506">
        <v>0.4</v>
      </c>
      <c r="J506">
        <v>0.38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1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86">
        <f>AVERAGEIFS($C$2:C506, $B$2:B506, B506)</f>
        <v>25.833333333333332</v>
      </c>
      <c r="AB506" s="86">
        <f>AVERAGEIFS($I$2:I506, $B$2:B506, B506)</f>
        <v>0.43124999999999997</v>
      </c>
      <c r="AC506" s="86">
        <f>AVERAGEIFS($J$2:J506, $B$2:B506, B506)</f>
        <v>0.46750000000000008</v>
      </c>
      <c r="AD506" s="86">
        <f>AVERAGEIFS($D$2:D506, $B$2:B506, B506)</f>
        <v>0.29166666666666669</v>
      </c>
    </row>
    <row r="507" spans="1:30" x14ac:dyDescent="0.25">
      <c r="A507" s="85">
        <v>46117</v>
      </c>
      <c r="B507" t="s">
        <v>14</v>
      </c>
      <c r="C507">
        <v>37</v>
      </c>
      <c r="D507" s="86">
        <v>0</v>
      </c>
      <c r="E507">
        <v>5</v>
      </c>
      <c r="F507">
        <v>2</v>
      </c>
      <c r="G507">
        <v>21</v>
      </c>
      <c r="H507">
        <v>8</v>
      </c>
      <c r="I507">
        <v>0.4</v>
      </c>
      <c r="J507">
        <v>0.38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1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1</v>
      </c>
      <c r="Y507">
        <v>0</v>
      </c>
      <c r="Z507">
        <v>0</v>
      </c>
      <c r="AA507" s="86">
        <f>AVERAGEIFS($C$2:C507, $B$2:B507, B507)</f>
        <v>26.214285714285715</v>
      </c>
      <c r="AB507" s="86">
        <f>AVERAGEIFS($I$2:I507, $B$2:B507, B507)</f>
        <v>0.5446428571428571</v>
      </c>
      <c r="AC507" s="86">
        <f>AVERAGEIFS($J$2:J507, $B$2:B507, B507)</f>
        <v>0.51571428571428579</v>
      </c>
      <c r="AD507" s="86">
        <f>AVERAGEIFS($D$2:D507, $B$2:B507, B507)</f>
        <v>0.5714285714285714</v>
      </c>
    </row>
    <row r="508" spans="1:30" x14ac:dyDescent="0.25">
      <c r="A508" s="85">
        <v>46117</v>
      </c>
      <c r="B508" t="s">
        <v>52</v>
      </c>
      <c r="C508">
        <v>34</v>
      </c>
      <c r="D508" s="86">
        <v>0</v>
      </c>
      <c r="E508">
        <v>5</v>
      </c>
      <c r="F508">
        <v>2</v>
      </c>
      <c r="G508">
        <v>21</v>
      </c>
      <c r="H508">
        <v>8</v>
      </c>
      <c r="I508">
        <v>0.4</v>
      </c>
      <c r="J508">
        <v>0.38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1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1</v>
      </c>
      <c r="Y508">
        <v>0</v>
      </c>
      <c r="Z508">
        <v>0</v>
      </c>
      <c r="AA508" s="86">
        <f>AVERAGEIFS($C$2:C508, $B$2:B508, B508)</f>
        <v>19.5</v>
      </c>
      <c r="AB508" s="86">
        <f>AVERAGEIFS($I$2:I508, $B$2:B508, B508)</f>
        <v>0.2</v>
      </c>
      <c r="AC508" s="86">
        <f>AVERAGEIFS($J$2:J508, $B$2:B508, B508)</f>
        <v>0.34499999999999997</v>
      </c>
      <c r="AD508" s="86">
        <f>AVERAGEIFS($D$2:D508, $B$2:B508, B508)</f>
        <v>0</v>
      </c>
    </row>
    <row r="509" spans="1:30" x14ac:dyDescent="0.25">
      <c r="A509" s="85">
        <v>46117</v>
      </c>
      <c r="B509" t="s">
        <v>40</v>
      </c>
      <c r="C509">
        <v>24</v>
      </c>
      <c r="D509" s="86">
        <v>0</v>
      </c>
      <c r="E509">
        <v>5</v>
      </c>
      <c r="F509">
        <v>2</v>
      </c>
      <c r="G509">
        <v>21</v>
      </c>
      <c r="H509">
        <v>8</v>
      </c>
      <c r="I509">
        <v>0.4</v>
      </c>
      <c r="J509">
        <v>0.38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1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1</v>
      </c>
      <c r="Y509">
        <v>0</v>
      </c>
      <c r="Z509">
        <v>0</v>
      </c>
      <c r="AA509" s="86">
        <f>AVERAGEIFS($C$2:C509, $B$2:B509, B509)</f>
        <v>17.666666666666668</v>
      </c>
      <c r="AB509" s="86">
        <f>AVERAGEIFS($I$2:I509, $B$2:B509, B509)</f>
        <v>0.31666666666666665</v>
      </c>
      <c r="AC509" s="86">
        <f>AVERAGEIFS($J$2:J509, $B$2:B509, B509)</f>
        <v>0.37166666666666665</v>
      </c>
      <c r="AD509" s="86">
        <f>AVERAGEIFS($D$2:D509, $B$2:B509, B509)</f>
        <v>0.16666666666666666</v>
      </c>
    </row>
    <row r="510" spans="1:30" x14ac:dyDescent="0.25">
      <c r="A510" s="85">
        <v>46117</v>
      </c>
      <c r="B510" t="s">
        <v>153</v>
      </c>
      <c r="C510">
        <v>19</v>
      </c>
      <c r="D510" s="86">
        <v>0</v>
      </c>
      <c r="E510">
        <v>5</v>
      </c>
      <c r="F510">
        <v>2</v>
      </c>
      <c r="G510">
        <v>21</v>
      </c>
      <c r="H510">
        <v>8</v>
      </c>
      <c r="I510">
        <v>0.4</v>
      </c>
      <c r="J510">
        <v>0.38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1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1</v>
      </c>
      <c r="Y510">
        <v>0</v>
      </c>
      <c r="Z510">
        <v>0</v>
      </c>
      <c r="AA510" s="86">
        <f>AVERAGEIFS($C$2:C510, $B$2:B510, B510)</f>
        <v>19</v>
      </c>
      <c r="AB510" s="86">
        <f>AVERAGEIFS($I$2:I510, $B$2:B510, B510)</f>
        <v>0.4</v>
      </c>
      <c r="AC510" s="86">
        <f>AVERAGEIFS($J$2:J510, $B$2:B510, B510)</f>
        <v>0.38</v>
      </c>
      <c r="AD510" s="86">
        <f>AVERAGEIFS($D$2:D510, $B$2:B510, B510)</f>
        <v>0</v>
      </c>
    </row>
    <row r="511" spans="1:30" x14ac:dyDescent="0.25">
      <c r="A511" s="85">
        <v>46117</v>
      </c>
      <c r="B511" t="s">
        <v>142</v>
      </c>
      <c r="C511">
        <v>14</v>
      </c>
      <c r="D511" s="86">
        <v>0</v>
      </c>
      <c r="E511">
        <v>5</v>
      </c>
      <c r="F511">
        <v>2</v>
      </c>
      <c r="G511">
        <v>21</v>
      </c>
      <c r="H511">
        <v>8</v>
      </c>
      <c r="I511">
        <v>0.4</v>
      </c>
      <c r="J511">
        <v>0.38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1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1</v>
      </c>
      <c r="Y511">
        <v>0</v>
      </c>
      <c r="Z511">
        <v>0</v>
      </c>
      <c r="AA511" s="86">
        <f>AVERAGEIFS($C$2:C511, $B$2:B511, B511)</f>
        <v>17</v>
      </c>
      <c r="AB511" s="86">
        <f>AVERAGEIFS($I$2:I511, $B$2:B511, B511)</f>
        <v>0.4</v>
      </c>
      <c r="AC511" s="86">
        <f>AVERAGEIFS($J$2:J511, $B$2:B511, B511)</f>
        <v>0.43</v>
      </c>
      <c r="AD511" s="86">
        <f>AVERAGEIFS($D$2:D511, $B$2:B511, B511)</f>
        <v>0</v>
      </c>
    </row>
    <row r="512" spans="1:30" x14ac:dyDescent="0.25">
      <c r="A512" s="85">
        <v>46117</v>
      </c>
      <c r="B512" t="s">
        <v>17</v>
      </c>
      <c r="C512">
        <v>18</v>
      </c>
      <c r="D512" s="86">
        <v>1</v>
      </c>
      <c r="E512">
        <v>3</v>
      </c>
      <c r="F512">
        <v>3</v>
      </c>
      <c r="G512">
        <v>11</v>
      </c>
      <c r="H512">
        <v>9</v>
      </c>
      <c r="I512">
        <v>1</v>
      </c>
      <c r="J512">
        <v>0.82</v>
      </c>
      <c r="K512">
        <v>0</v>
      </c>
      <c r="L512">
        <v>1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1</v>
      </c>
      <c r="Y512">
        <v>1</v>
      </c>
      <c r="Z512">
        <v>0</v>
      </c>
      <c r="AA512" s="86">
        <f>AVERAGEIFS($C$2:C512, $B$2:B512, B512)</f>
        <v>26.09090909090909</v>
      </c>
      <c r="AB512" s="86">
        <f>AVERAGEIFS($I$2:I512, $B$2:B512, B512)</f>
        <v>0.52878787878787892</v>
      </c>
      <c r="AC512" s="86">
        <f>AVERAGEIFS($J$2:J512, $B$2:B512, B512)</f>
        <v>0.52939393939393931</v>
      </c>
      <c r="AD512" s="86">
        <f>AVERAGEIFS($D$2:D512, $B$2:B512, B512)</f>
        <v>0.42424242424242425</v>
      </c>
    </row>
    <row r="513" spans="1:30" x14ac:dyDescent="0.25">
      <c r="A513" s="85">
        <v>46117</v>
      </c>
      <c r="B513" t="s">
        <v>18</v>
      </c>
      <c r="C513">
        <v>17</v>
      </c>
      <c r="D513" s="86">
        <v>1</v>
      </c>
      <c r="E513">
        <v>3</v>
      </c>
      <c r="F513">
        <v>3</v>
      </c>
      <c r="G513">
        <v>11</v>
      </c>
      <c r="H513">
        <v>9</v>
      </c>
      <c r="I513">
        <v>1</v>
      </c>
      <c r="J513">
        <v>0.82</v>
      </c>
      <c r="K513">
        <v>0</v>
      </c>
      <c r="L513">
        <v>1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1</v>
      </c>
      <c r="Y513">
        <v>1</v>
      </c>
      <c r="Z513">
        <v>0</v>
      </c>
      <c r="AA513" s="86">
        <f>AVERAGEIFS($C$2:C513, $B$2:B513, B513)</f>
        <v>25.352941176470587</v>
      </c>
      <c r="AB513" s="86">
        <f>AVERAGEIFS($I$2:I513, $B$2:B513, B513)</f>
        <v>0.45882352941176474</v>
      </c>
      <c r="AC513" s="86">
        <f>AVERAGEIFS($J$2:J513, $B$2:B513, B513)</f>
        <v>0.47764705882352937</v>
      </c>
      <c r="AD513" s="86">
        <f>AVERAGEIFS($D$2:D513, $B$2:B513, B513)</f>
        <v>0.41176470588235292</v>
      </c>
    </row>
    <row r="514" spans="1:30" x14ac:dyDescent="0.25">
      <c r="A514" s="85">
        <v>46117</v>
      </c>
      <c r="B514" t="s">
        <v>14</v>
      </c>
      <c r="C514">
        <v>16</v>
      </c>
      <c r="D514" s="86">
        <v>1</v>
      </c>
      <c r="E514">
        <v>3</v>
      </c>
      <c r="F514">
        <v>3</v>
      </c>
      <c r="G514">
        <v>11</v>
      </c>
      <c r="H514">
        <v>9</v>
      </c>
      <c r="I514">
        <v>1</v>
      </c>
      <c r="J514">
        <v>0.82</v>
      </c>
      <c r="K514">
        <v>0</v>
      </c>
      <c r="L514">
        <v>1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1</v>
      </c>
      <c r="Y514">
        <v>1</v>
      </c>
      <c r="Z514">
        <v>0</v>
      </c>
      <c r="AA514" s="86">
        <f>AVERAGEIFS($C$2:C514, $B$2:B514, B514)</f>
        <v>25.862068965517242</v>
      </c>
      <c r="AB514" s="86">
        <f>AVERAGEIFS($I$2:I514, $B$2:B514, B514)</f>
        <v>0.56034482758620685</v>
      </c>
      <c r="AC514" s="86">
        <f>AVERAGEIFS($J$2:J514, $B$2:B514, B514)</f>
        <v>0.52620689655172415</v>
      </c>
      <c r="AD514" s="86">
        <f>AVERAGEIFS($D$2:D514, $B$2:B514, B514)</f>
        <v>0.58620689655172409</v>
      </c>
    </row>
    <row r="515" spans="1:30" x14ac:dyDescent="0.25">
      <c r="A515" s="85">
        <v>46117</v>
      </c>
      <c r="B515" t="s">
        <v>13</v>
      </c>
      <c r="C515">
        <v>15</v>
      </c>
      <c r="D515" s="86">
        <v>1</v>
      </c>
      <c r="E515">
        <v>3</v>
      </c>
      <c r="F515">
        <v>3</v>
      </c>
      <c r="G515">
        <v>11</v>
      </c>
      <c r="H515">
        <v>9</v>
      </c>
      <c r="I515">
        <v>1</v>
      </c>
      <c r="J515">
        <v>0.82</v>
      </c>
      <c r="K515">
        <v>0</v>
      </c>
      <c r="L515">
        <v>1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1</v>
      </c>
      <c r="Y515">
        <v>1</v>
      </c>
      <c r="Z515">
        <v>0</v>
      </c>
      <c r="AA515" s="86">
        <f>AVERAGEIFS($C$2:C515, $B$2:B515, B515)</f>
        <v>27.777777777777779</v>
      </c>
      <c r="AB515" s="86">
        <f>AVERAGEIFS($I$2:I515, $B$2:B515, B515)</f>
        <v>0.5444444444444444</v>
      </c>
      <c r="AC515" s="86">
        <f>AVERAGEIFS($J$2:J515, $B$2:B515, B515)</f>
        <v>0.53333333333333321</v>
      </c>
      <c r="AD515" s="86">
        <f>AVERAGEIFS($D$2:D515, $B$2:B515, B515)</f>
        <v>0.61111111111111116</v>
      </c>
    </row>
    <row r="516" spans="1:30" x14ac:dyDescent="0.25">
      <c r="A516" s="85">
        <v>46117</v>
      </c>
      <c r="B516" t="s">
        <v>29</v>
      </c>
      <c r="C516">
        <v>15</v>
      </c>
      <c r="D516" s="86">
        <v>1</v>
      </c>
      <c r="E516">
        <v>3</v>
      </c>
      <c r="F516">
        <v>3</v>
      </c>
      <c r="G516">
        <v>11</v>
      </c>
      <c r="H516">
        <v>9</v>
      </c>
      <c r="I516">
        <v>1</v>
      </c>
      <c r="J516">
        <v>0.82</v>
      </c>
      <c r="K516">
        <v>0</v>
      </c>
      <c r="L516">
        <v>1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1</v>
      </c>
      <c r="Y516">
        <v>1</v>
      </c>
      <c r="Z516">
        <v>0</v>
      </c>
      <c r="AA516" s="86">
        <f>AVERAGEIFS($C$2:C516, $B$2:B516, B516)</f>
        <v>10.333333333333334</v>
      </c>
      <c r="AB516" s="86">
        <f>AVERAGEIFS($I$2:I516, $B$2:B516, B516)</f>
        <v>0.52592592592592602</v>
      </c>
      <c r="AC516" s="86">
        <f>AVERAGEIFS($J$2:J516, $B$2:B516, B516)</f>
        <v>0.52703703703703708</v>
      </c>
      <c r="AD516" s="86">
        <f>AVERAGEIFS($D$2:D516, $B$2:B516, B516)</f>
        <v>0.51851851851851849</v>
      </c>
    </row>
    <row r="517" spans="1:30" x14ac:dyDescent="0.25">
      <c r="A517" s="85">
        <v>46117</v>
      </c>
      <c r="B517" t="s">
        <v>34</v>
      </c>
      <c r="C517">
        <v>11</v>
      </c>
      <c r="D517" s="86">
        <v>1</v>
      </c>
      <c r="E517">
        <v>3</v>
      </c>
      <c r="F517">
        <v>3</v>
      </c>
      <c r="G517">
        <v>11</v>
      </c>
      <c r="H517">
        <v>9</v>
      </c>
      <c r="I517">
        <v>1</v>
      </c>
      <c r="J517">
        <v>0.82</v>
      </c>
      <c r="K517">
        <v>0</v>
      </c>
      <c r="L517">
        <v>1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1</v>
      </c>
      <c r="Y517">
        <v>1</v>
      </c>
      <c r="Z517">
        <v>0</v>
      </c>
      <c r="AA517" s="86">
        <f>AVERAGEIFS($C$2:C517, $B$2:B517, B517)</f>
        <v>10</v>
      </c>
      <c r="AB517" s="86">
        <f>AVERAGEIFS($I$2:I517, $B$2:B517, B517)</f>
        <v>0.83750000000000002</v>
      </c>
      <c r="AC517" s="86">
        <f>AVERAGEIFS($J$2:J517, $B$2:B517, B517)</f>
        <v>0.69</v>
      </c>
      <c r="AD517" s="86">
        <f>AVERAGEIFS($D$2:D517, $B$2:B517, B517)</f>
        <v>1</v>
      </c>
    </row>
    <row r="518" spans="1:30" x14ac:dyDescent="0.25">
      <c r="A518" s="85">
        <v>46117</v>
      </c>
      <c r="B518" t="s">
        <v>149</v>
      </c>
      <c r="C518">
        <v>8</v>
      </c>
      <c r="D518" s="86">
        <v>1</v>
      </c>
      <c r="E518">
        <v>3</v>
      </c>
      <c r="F518">
        <v>3</v>
      </c>
      <c r="G518">
        <v>11</v>
      </c>
      <c r="H518">
        <v>9</v>
      </c>
      <c r="I518">
        <v>1</v>
      </c>
      <c r="J518">
        <v>0.82</v>
      </c>
      <c r="K518">
        <v>0</v>
      </c>
      <c r="L518">
        <v>1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1</v>
      </c>
      <c r="Y518">
        <v>1</v>
      </c>
      <c r="Z518">
        <v>0</v>
      </c>
      <c r="AA518" s="86">
        <f>AVERAGEIFS($C$2:C518, $B$2:B518, B518)</f>
        <v>14</v>
      </c>
      <c r="AB518" s="86">
        <f>AVERAGEIFS($I$2:I518, $B$2:B518, B518)</f>
        <v>0.55000000000000004</v>
      </c>
      <c r="AC518" s="86">
        <f>AVERAGEIFS($J$2:J518, $B$2:B518, B518)</f>
        <v>0.53285714285714281</v>
      </c>
      <c r="AD518" s="86">
        <f>AVERAGEIFS($D$2:D518, $B$2:B518, B518)</f>
        <v>0.5714285714285714</v>
      </c>
    </row>
    <row r="519" spans="1:30" x14ac:dyDescent="0.25">
      <c r="A519" s="85">
        <v>46117</v>
      </c>
      <c r="B519" t="s">
        <v>55</v>
      </c>
      <c r="C519">
        <v>4</v>
      </c>
      <c r="D519" s="86">
        <v>1</v>
      </c>
      <c r="E519">
        <v>3</v>
      </c>
      <c r="F519">
        <v>3</v>
      </c>
      <c r="G519">
        <v>11</v>
      </c>
      <c r="H519">
        <v>9</v>
      </c>
      <c r="I519">
        <v>1</v>
      </c>
      <c r="J519">
        <v>0.82</v>
      </c>
      <c r="K519">
        <v>0</v>
      </c>
      <c r="L519">
        <v>1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1</v>
      </c>
      <c r="Y519">
        <v>1</v>
      </c>
      <c r="Z519">
        <v>0</v>
      </c>
      <c r="AA519" s="86">
        <f>AVERAGEIFS($C$2:C519, $B$2:B519, B519)</f>
        <v>9.5</v>
      </c>
      <c r="AB519" s="86">
        <f>AVERAGEIFS($I$2:I519, $B$2:B519, B519)</f>
        <v>0.56000000000000005</v>
      </c>
      <c r="AC519" s="86">
        <f>AVERAGEIFS($J$2:J519, $B$2:B519, B519)</f>
        <v>0.53100000000000003</v>
      </c>
      <c r="AD519" s="86">
        <f>AVERAGEIFS($D$2:D519, $B$2:B519, B519)</f>
        <v>0.6</v>
      </c>
    </row>
    <row r="520" spans="1:30" x14ac:dyDescent="0.25">
      <c r="A520" s="85">
        <v>46117</v>
      </c>
      <c r="B520" t="s">
        <v>4</v>
      </c>
      <c r="C520">
        <v>17</v>
      </c>
      <c r="D520" s="86">
        <v>0</v>
      </c>
      <c r="E520">
        <v>3</v>
      </c>
      <c r="F520">
        <v>0</v>
      </c>
      <c r="G520">
        <v>11</v>
      </c>
      <c r="H520">
        <v>2</v>
      </c>
      <c r="I520">
        <v>0</v>
      </c>
      <c r="J520">
        <v>0.18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86">
        <f>AVERAGEIFS($C$2:C520, $B$2:B520, B520)</f>
        <v>19.666666666666668</v>
      </c>
      <c r="AB520" s="86">
        <f>AVERAGEIFS($I$2:I520, $B$2:B520, B520)</f>
        <v>0.4916666666666667</v>
      </c>
      <c r="AC520" s="86">
        <f>AVERAGEIFS($J$2:J520, $B$2:B520, B520)</f>
        <v>0.47666666666666674</v>
      </c>
      <c r="AD520" s="86">
        <f>AVERAGEIFS($D$2:D520, $B$2:B520, B520)</f>
        <v>0.66666666666666663</v>
      </c>
    </row>
    <row r="521" spans="1:30" x14ac:dyDescent="0.25">
      <c r="A521" s="85">
        <v>46117</v>
      </c>
      <c r="B521" t="s">
        <v>113</v>
      </c>
      <c r="C521">
        <v>14</v>
      </c>
      <c r="D521" s="86">
        <v>0</v>
      </c>
      <c r="E521">
        <v>3</v>
      </c>
      <c r="F521">
        <v>0</v>
      </c>
      <c r="G521">
        <v>11</v>
      </c>
      <c r="H521">
        <v>2</v>
      </c>
      <c r="I521">
        <v>0</v>
      </c>
      <c r="J521">
        <v>0.18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86">
        <f>AVERAGEIFS($C$2:C521, $B$2:B521, B521)</f>
        <v>13.666666666666666</v>
      </c>
      <c r="AB521" s="86">
        <f>AVERAGEIFS($I$2:I521, $B$2:B521, B521)</f>
        <v>0.39999999999999997</v>
      </c>
      <c r="AC521" s="86">
        <f>AVERAGEIFS($J$2:J521, $B$2:B521, B521)</f>
        <v>0.42333333333333328</v>
      </c>
      <c r="AD521" s="86">
        <f>AVERAGEIFS($D$2:D521, $B$2:B521, B521)</f>
        <v>0.66666666666666663</v>
      </c>
    </row>
    <row r="522" spans="1:30" x14ac:dyDescent="0.25">
      <c r="A522" s="85">
        <v>46117</v>
      </c>
      <c r="B522" t="s">
        <v>1</v>
      </c>
      <c r="C522">
        <v>14</v>
      </c>
      <c r="D522" s="86">
        <v>0</v>
      </c>
      <c r="E522">
        <v>3</v>
      </c>
      <c r="F522">
        <v>0</v>
      </c>
      <c r="G522">
        <v>11</v>
      </c>
      <c r="H522">
        <v>2</v>
      </c>
      <c r="I522">
        <v>0</v>
      </c>
      <c r="J522">
        <v>0.18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 s="86">
        <f>AVERAGEIFS($C$2:C522, $B$2:B522, B522)</f>
        <v>26</v>
      </c>
      <c r="AB522" s="86">
        <f>AVERAGEIFS($I$2:I522, $B$2:B522, B522)</f>
        <v>0.55499999999999994</v>
      </c>
      <c r="AC522" s="86">
        <f>AVERAGEIFS($J$2:J522, $B$2:B522, B522)</f>
        <v>0.50800000000000001</v>
      </c>
      <c r="AD522" s="86">
        <f>AVERAGEIFS($D$2:D522, $B$2:B522, B522)</f>
        <v>0.7</v>
      </c>
    </row>
    <row r="523" spans="1:30" x14ac:dyDescent="0.25">
      <c r="A523" s="85">
        <v>46117</v>
      </c>
      <c r="B523" t="s">
        <v>40</v>
      </c>
      <c r="C523">
        <v>12</v>
      </c>
      <c r="D523" s="86">
        <v>0</v>
      </c>
      <c r="E523">
        <v>3</v>
      </c>
      <c r="F523">
        <v>0</v>
      </c>
      <c r="G523">
        <v>11</v>
      </c>
      <c r="H523">
        <v>2</v>
      </c>
      <c r="I523">
        <v>0</v>
      </c>
      <c r="J523">
        <v>0.18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 s="86">
        <f>AVERAGEIFS($C$2:C523, $B$2:B523, B523)</f>
        <v>16.857142857142858</v>
      </c>
      <c r="AB523" s="86">
        <f>AVERAGEIFS($I$2:I523, $B$2:B523, B523)</f>
        <v>0.27142857142857141</v>
      </c>
      <c r="AC523" s="86">
        <f>AVERAGEIFS($J$2:J523, $B$2:B523, B523)</f>
        <v>0.34428571428571431</v>
      </c>
      <c r="AD523" s="86">
        <f>AVERAGEIFS($D$2:D523, $B$2:B523, B523)</f>
        <v>0.14285714285714285</v>
      </c>
    </row>
    <row r="524" spans="1:30" x14ac:dyDescent="0.25">
      <c r="A524" s="85">
        <v>46117</v>
      </c>
      <c r="B524" t="s">
        <v>148</v>
      </c>
      <c r="C524">
        <v>7</v>
      </c>
      <c r="D524" s="86">
        <v>0</v>
      </c>
      <c r="E524">
        <v>3</v>
      </c>
      <c r="F524">
        <v>0</v>
      </c>
      <c r="G524">
        <v>11</v>
      </c>
      <c r="H524">
        <v>2</v>
      </c>
      <c r="I524">
        <v>0</v>
      </c>
      <c r="J524">
        <v>0.18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 s="86">
        <f>AVERAGEIFS($C$2:C524, $B$2:B524, B524)</f>
        <v>17</v>
      </c>
      <c r="AB524" s="86">
        <f>AVERAGEIFS($I$2:I524, $B$2:B524, B524)</f>
        <v>0.30000000000000004</v>
      </c>
      <c r="AC524" s="86">
        <f>AVERAGEIFS($J$2:J524, $B$2:B524, B524)</f>
        <v>0.38500000000000001</v>
      </c>
      <c r="AD524" s="86">
        <f>AVERAGEIFS($D$2:D524, $B$2:B524, B524)</f>
        <v>0</v>
      </c>
    </row>
    <row r="525" spans="1:30" x14ac:dyDescent="0.25">
      <c r="A525" s="85">
        <v>46117</v>
      </c>
      <c r="B525" t="s">
        <v>42</v>
      </c>
      <c r="C525">
        <v>7</v>
      </c>
      <c r="D525" s="86">
        <v>0</v>
      </c>
      <c r="E525">
        <v>3</v>
      </c>
      <c r="F525">
        <v>0</v>
      </c>
      <c r="G525">
        <v>11</v>
      </c>
      <c r="H525">
        <v>2</v>
      </c>
      <c r="I525">
        <v>0</v>
      </c>
      <c r="J525">
        <v>0.18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 s="86">
        <f>AVERAGEIFS($C$2:C525, $B$2:B525, B525)</f>
        <v>11.5</v>
      </c>
      <c r="AB525" s="86">
        <f>AVERAGEIFS($I$2:I525, $B$2:B525, B525)</f>
        <v>0.39999999999999997</v>
      </c>
      <c r="AC525" s="86">
        <f>AVERAGEIFS($J$2:J525, $B$2:B525, B525)</f>
        <v>0.42500000000000004</v>
      </c>
      <c r="AD525" s="86">
        <f>AVERAGEIFS($D$2:D525, $B$2:B525, B525)</f>
        <v>0.33333333333333331</v>
      </c>
    </row>
    <row r="526" spans="1:30" x14ac:dyDescent="0.25">
      <c r="A526" s="85">
        <v>46117</v>
      </c>
      <c r="B526" t="s">
        <v>35</v>
      </c>
      <c r="C526">
        <v>7</v>
      </c>
      <c r="D526" s="86">
        <v>0</v>
      </c>
      <c r="E526">
        <v>3</v>
      </c>
      <c r="F526">
        <v>0</v>
      </c>
      <c r="G526">
        <v>11</v>
      </c>
      <c r="H526">
        <v>2</v>
      </c>
      <c r="I526">
        <v>0</v>
      </c>
      <c r="J526">
        <v>0.18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 s="86">
        <f>AVERAGEIFS($C$2:C526, $B$2:B526, B526)</f>
        <v>11.466666666666667</v>
      </c>
      <c r="AB526" s="86">
        <f>AVERAGEIFS($I$2:I526, $B$2:B526, B526)</f>
        <v>0.48666666666666664</v>
      </c>
      <c r="AC526" s="86">
        <f>AVERAGEIFS($J$2:J526, $B$2:B526, B526)</f>
        <v>0.50800000000000012</v>
      </c>
      <c r="AD526" s="86">
        <f>AVERAGEIFS($D$2:D526, $B$2:B526, B526)</f>
        <v>0.6</v>
      </c>
    </row>
    <row r="527" spans="1:30" x14ac:dyDescent="0.25">
      <c r="A527" s="85">
        <v>46117</v>
      </c>
      <c r="B527" t="s">
        <v>141</v>
      </c>
      <c r="C527">
        <v>2</v>
      </c>
      <c r="D527" s="86">
        <v>0</v>
      </c>
      <c r="E527">
        <v>3</v>
      </c>
      <c r="F527">
        <v>0</v>
      </c>
      <c r="G527">
        <v>11</v>
      </c>
      <c r="H527">
        <v>2</v>
      </c>
      <c r="I527">
        <v>0</v>
      </c>
      <c r="J527">
        <v>0.18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 s="86">
        <f>AVERAGEIFS($C$2:C527, $B$2:B527, B527)</f>
        <v>10.5</v>
      </c>
      <c r="AB527" s="86">
        <f>AVERAGEIFS($I$2:I527, $B$2:B527, B527)</f>
        <v>0.48749999999999999</v>
      </c>
      <c r="AC527" s="86">
        <f>AVERAGEIFS($J$2:J527, $B$2:B527, B527)</f>
        <v>0.46999999999999992</v>
      </c>
      <c r="AD527" s="86">
        <f>AVERAGEIFS($D$2:D527, $B$2:B527, B527)</f>
        <v>0.75</v>
      </c>
    </row>
    <row r="528" spans="1:30" x14ac:dyDescent="0.25">
      <c r="A528" s="85">
        <v>46117</v>
      </c>
      <c r="B528" t="s">
        <v>40</v>
      </c>
      <c r="C528">
        <v>25</v>
      </c>
      <c r="D528" s="86">
        <v>1</v>
      </c>
      <c r="E528">
        <v>3</v>
      </c>
      <c r="F528">
        <v>3</v>
      </c>
      <c r="G528">
        <v>13</v>
      </c>
      <c r="H528">
        <v>9</v>
      </c>
      <c r="I528">
        <v>1</v>
      </c>
      <c r="J528">
        <v>0.69</v>
      </c>
      <c r="K528">
        <v>0</v>
      </c>
      <c r="L528">
        <v>1</v>
      </c>
      <c r="M528">
        <v>0</v>
      </c>
      <c r="N528">
        <v>0</v>
      </c>
      <c r="O528">
        <v>0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1</v>
      </c>
      <c r="AA528" s="86">
        <f>AVERAGEIFS($C$2:C528, $B$2:B528, B528)</f>
        <v>17.875</v>
      </c>
      <c r="AB528" s="86">
        <f>AVERAGEIFS($I$2:I528, $B$2:B528, B528)</f>
        <v>0.36249999999999999</v>
      </c>
      <c r="AC528" s="86">
        <f>AVERAGEIFS($J$2:J528, $B$2:B528, B528)</f>
        <v>0.38750000000000001</v>
      </c>
      <c r="AD528" s="86">
        <f>AVERAGEIFS($D$2:D528, $B$2:B528, B528)</f>
        <v>0.25</v>
      </c>
    </row>
    <row r="529" spans="1:30" x14ac:dyDescent="0.25">
      <c r="A529" s="85">
        <v>46117</v>
      </c>
      <c r="B529" t="s">
        <v>158</v>
      </c>
      <c r="C529">
        <v>21</v>
      </c>
      <c r="D529" s="86">
        <v>1</v>
      </c>
      <c r="E529">
        <v>3</v>
      </c>
      <c r="F529">
        <v>3</v>
      </c>
      <c r="G529">
        <v>13</v>
      </c>
      <c r="H529">
        <v>9</v>
      </c>
      <c r="I529">
        <v>1</v>
      </c>
      <c r="J529">
        <v>0.69</v>
      </c>
      <c r="K529">
        <v>0</v>
      </c>
      <c r="L529">
        <v>1</v>
      </c>
      <c r="M529">
        <v>0</v>
      </c>
      <c r="N529">
        <v>0</v>
      </c>
      <c r="O529">
        <v>0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1</v>
      </c>
      <c r="AA529" s="86">
        <f>AVERAGEIFS($C$2:C529, $B$2:B529, B529)</f>
        <v>21</v>
      </c>
      <c r="AB529" s="86">
        <f>AVERAGEIFS($I$2:I529, $B$2:B529, B529)</f>
        <v>1</v>
      </c>
      <c r="AC529" s="86">
        <f>AVERAGEIFS($J$2:J529, $B$2:B529, B529)</f>
        <v>0.69</v>
      </c>
      <c r="AD529" s="86">
        <f>AVERAGEIFS($D$2:D529, $B$2:B529, B529)</f>
        <v>1</v>
      </c>
    </row>
    <row r="530" spans="1:30" x14ac:dyDescent="0.25">
      <c r="A530" s="85">
        <v>46117</v>
      </c>
      <c r="B530" t="s">
        <v>15</v>
      </c>
      <c r="C530">
        <v>18</v>
      </c>
      <c r="D530" s="86">
        <v>1</v>
      </c>
      <c r="E530">
        <v>3</v>
      </c>
      <c r="F530">
        <v>3</v>
      </c>
      <c r="G530">
        <v>13</v>
      </c>
      <c r="H530">
        <v>9</v>
      </c>
      <c r="I530">
        <v>1</v>
      </c>
      <c r="J530">
        <v>0.69</v>
      </c>
      <c r="K530">
        <v>0</v>
      </c>
      <c r="L530">
        <v>1</v>
      </c>
      <c r="M530">
        <v>0</v>
      </c>
      <c r="N530">
        <v>0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1</v>
      </c>
      <c r="AA530" s="86">
        <f>AVERAGEIFS($C$2:C530, $B$2:B530, B530)</f>
        <v>25.52</v>
      </c>
      <c r="AB530" s="86">
        <f>AVERAGEIFS($I$2:I530, $B$2:B530, B530)</f>
        <v>0.45399999999999996</v>
      </c>
      <c r="AC530" s="86">
        <f>AVERAGEIFS($J$2:J530, $B$2:B530, B530)</f>
        <v>0.4764000000000001</v>
      </c>
      <c r="AD530" s="86">
        <f>AVERAGEIFS($D$2:D530, $B$2:B530, B530)</f>
        <v>0.32</v>
      </c>
    </row>
    <row r="531" spans="1:30" x14ac:dyDescent="0.25">
      <c r="A531" s="85">
        <v>46117</v>
      </c>
      <c r="B531" t="s">
        <v>18</v>
      </c>
      <c r="C531">
        <v>17</v>
      </c>
      <c r="D531" s="86">
        <v>1</v>
      </c>
      <c r="E531">
        <v>3</v>
      </c>
      <c r="F531">
        <v>3</v>
      </c>
      <c r="G531">
        <v>13</v>
      </c>
      <c r="H531">
        <v>9</v>
      </c>
      <c r="I531">
        <v>1</v>
      </c>
      <c r="J531">
        <v>0.69</v>
      </c>
      <c r="K531">
        <v>0</v>
      </c>
      <c r="L531">
        <v>1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1</v>
      </c>
      <c r="AA531" s="86">
        <f>AVERAGEIFS($C$2:C531, $B$2:B531, B531)</f>
        <v>24.888888888888889</v>
      </c>
      <c r="AB531" s="86">
        <f>AVERAGEIFS($I$2:I531, $B$2:B531, B531)</f>
        <v>0.48888888888888893</v>
      </c>
      <c r="AC531" s="86">
        <f>AVERAGEIFS($J$2:J531, $B$2:B531, B531)</f>
        <v>0.48944444444444435</v>
      </c>
      <c r="AD531" s="86">
        <f>AVERAGEIFS($D$2:D531, $B$2:B531, B531)</f>
        <v>0.44444444444444442</v>
      </c>
    </row>
    <row r="532" spans="1:30" x14ac:dyDescent="0.25">
      <c r="A532" s="85">
        <v>46117</v>
      </c>
      <c r="B532" t="s">
        <v>142</v>
      </c>
      <c r="C532">
        <v>17</v>
      </c>
      <c r="D532" s="86">
        <v>1</v>
      </c>
      <c r="E532">
        <v>3</v>
      </c>
      <c r="F532">
        <v>3</v>
      </c>
      <c r="G532">
        <v>13</v>
      </c>
      <c r="H532">
        <v>9</v>
      </c>
      <c r="I532">
        <v>1</v>
      </c>
      <c r="J532">
        <v>0.69</v>
      </c>
      <c r="K532">
        <v>0</v>
      </c>
      <c r="L532">
        <v>1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1</v>
      </c>
      <c r="AA532" s="86">
        <f>AVERAGEIFS($C$2:C532, $B$2:B532, B532)</f>
        <v>17</v>
      </c>
      <c r="AB532" s="86">
        <f>AVERAGEIFS($I$2:I532, $B$2:B532, B532)</f>
        <v>0.6</v>
      </c>
      <c r="AC532" s="86">
        <f>AVERAGEIFS($J$2:J532, $B$2:B532, B532)</f>
        <v>0.51666666666666661</v>
      </c>
      <c r="AD532" s="86">
        <f>AVERAGEIFS($D$2:D532, $B$2:B532, B532)</f>
        <v>0.33333333333333331</v>
      </c>
    </row>
    <row r="533" spans="1:30" x14ac:dyDescent="0.25">
      <c r="A533" s="85">
        <v>46117</v>
      </c>
      <c r="B533" t="s">
        <v>149</v>
      </c>
      <c r="C533">
        <v>16</v>
      </c>
      <c r="D533" s="86">
        <v>1</v>
      </c>
      <c r="E533">
        <v>3</v>
      </c>
      <c r="F533">
        <v>3</v>
      </c>
      <c r="G533">
        <v>13</v>
      </c>
      <c r="H533">
        <v>9</v>
      </c>
      <c r="I533">
        <v>1</v>
      </c>
      <c r="J533">
        <v>0.69</v>
      </c>
      <c r="K533">
        <v>0</v>
      </c>
      <c r="L533">
        <v>1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1</v>
      </c>
      <c r="AA533" s="86">
        <f>AVERAGEIFS($C$2:C533, $B$2:B533, B533)</f>
        <v>14.25</v>
      </c>
      <c r="AB533" s="86">
        <f>AVERAGEIFS($I$2:I533, $B$2:B533, B533)</f>
        <v>0.60624999999999996</v>
      </c>
      <c r="AC533" s="86">
        <f>AVERAGEIFS($J$2:J533, $B$2:B533, B533)</f>
        <v>0.55249999999999999</v>
      </c>
      <c r="AD533" s="86">
        <f>AVERAGEIFS($D$2:D533, $B$2:B533, B533)</f>
        <v>0.625</v>
      </c>
    </row>
    <row r="534" spans="1:30" x14ac:dyDescent="0.25">
      <c r="A534" s="85">
        <v>46117</v>
      </c>
      <c r="B534" t="s">
        <v>13</v>
      </c>
      <c r="C534">
        <v>14</v>
      </c>
      <c r="D534" s="86">
        <v>1</v>
      </c>
      <c r="E534">
        <v>3</v>
      </c>
      <c r="F534">
        <v>3</v>
      </c>
      <c r="G534">
        <v>13</v>
      </c>
      <c r="H534">
        <v>9</v>
      </c>
      <c r="I534">
        <v>1</v>
      </c>
      <c r="J534">
        <v>0.69</v>
      </c>
      <c r="K534">
        <v>0</v>
      </c>
      <c r="L534">
        <v>1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1</v>
      </c>
      <c r="AA534" s="86">
        <f>AVERAGEIFS($C$2:C534, $B$2:B534, B534)</f>
        <v>27.405405405405407</v>
      </c>
      <c r="AB534" s="86">
        <f>AVERAGEIFS($I$2:I534, $B$2:B534, B534)</f>
        <v>0.55675675675675673</v>
      </c>
      <c r="AC534" s="86">
        <f>AVERAGEIFS($J$2:J534, $B$2:B534, B534)</f>
        <v>0.53756756756756752</v>
      </c>
      <c r="AD534" s="86">
        <f>AVERAGEIFS($D$2:D534, $B$2:B534, B534)</f>
        <v>0.6216216216216216</v>
      </c>
    </row>
    <row r="535" spans="1:30" x14ac:dyDescent="0.25">
      <c r="A535" s="85">
        <v>46117</v>
      </c>
      <c r="B535" t="s">
        <v>17</v>
      </c>
      <c r="C535">
        <v>20</v>
      </c>
      <c r="D535" s="86">
        <v>0</v>
      </c>
      <c r="E535">
        <v>3</v>
      </c>
      <c r="F535">
        <v>0</v>
      </c>
      <c r="G535">
        <v>13</v>
      </c>
      <c r="H535">
        <v>4</v>
      </c>
      <c r="I535">
        <v>0</v>
      </c>
      <c r="J535">
        <v>0.31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 s="86">
        <f>AVERAGEIFS($C$2:C535, $B$2:B535, B535)</f>
        <v>25.911764705882351</v>
      </c>
      <c r="AB535" s="86">
        <f>AVERAGEIFS($I$2:I535, $B$2:B535, B535)</f>
        <v>0.51323529411764712</v>
      </c>
      <c r="AC535" s="86">
        <f>AVERAGEIFS($J$2:J535, $B$2:B535, B535)</f>
        <v>0.52294117647058813</v>
      </c>
      <c r="AD535" s="86">
        <f>AVERAGEIFS($D$2:D535, $B$2:B535, B535)</f>
        <v>0.41176470588235292</v>
      </c>
    </row>
    <row r="536" spans="1:30" x14ac:dyDescent="0.25">
      <c r="A536" s="85">
        <v>46117</v>
      </c>
      <c r="B536" t="s">
        <v>14</v>
      </c>
      <c r="C536">
        <v>17</v>
      </c>
      <c r="D536" s="86">
        <v>0</v>
      </c>
      <c r="E536">
        <v>3</v>
      </c>
      <c r="F536">
        <v>0</v>
      </c>
      <c r="G536">
        <v>13</v>
      </c>
      <c r="H536">
        <v>4</v>
      </c>
      <c r="I536">
        <v>0</v>
      </c>
      <c r="J536">
        <v>0.31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 s="86">
        <f>AVERAGEIFS($C$2:C536, $B$2:B536, B536)</f>
        <v>25.566666666666666</v>
      </c>
      <c r="AB536" s="86">
        <f>AVERAGEIFS($I$2:I536, $B$2:B536, B536)</f>
        <v>0.54166666666666663</v>
      </c>
      <c r="AC536" s="86">
        <f>AVERAGEIFS($J$2:J536, $B$2:B536, B536)</f>
        <v>0.51900000000000002</v>
      </c>
      <c r="AD536" s="86">
        <f>AVERAGEIFS($D$2:D536, $B$2:B536, B536)</f>
        <v>0.56666666666666665</v>
      </c>
    </row>
    <row r="537" spans="1:30" x14ac:dyDescent="0.25">
      <c r="A537" s="85">
        <v>46117</v>
      </c>
      <c r="B537" t="s">
        <v>148</v>
      </c>
      <c r="C537">
        <v>17</v>
      </c>
      <c r="D537" s="86">
        <v>0</v>
      </c>
      <c r="E537">
        <v>3</v>
      </c>
      <c r="F537">
        <v>0</v>
      </c>
      <c r="G537">
        <v>13</v>
      </c>
      <c r="H537">
        <v>4</v>
      </c>
      <c r="I537">
        <v>0</v>
      </c>
      <c r="J537">
        <v>0.31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 s="86">
        <f>AVERAGEIFS($C$2:C537, $B$2:B537, B537)</f>
        <v>17</v>
      </c>
      <c r="AB537" s="86">
        <f>AVERAGEIFS($I$2:I537, $B$2:B537, B537)</f>
        <v>0.24000000000000005</v>
      </c>
      <c r="AC537" s="86">
        <f>AVERAGEIFS($J$2:J537, $B$2:B537, B537)</f>
        <v>0.37</v>
      </c>
      <c r="AD537" s="86">
        <f>AVERAGEIFS($D$2:D537, $B$2:B537, B537)</f>
        <v>0</v>
      </c>
    </row>
    <row r="538" spans="1:30" x14ac:dyDescent="0.25">
      <c r="A538" s="85">
        <v>46117</v>
      </c>
      <c r="B538" t="s">
        <v>20</v>
      </c>
      <c r="C538">
        <v>10</v>
      </c>
      <c r="D538" s="86">
        <v>0</v>
      </c>
      <c r="E538">
        <v>3</v>
      </c>
      <c r="F538">
        <v>0</v>
      </c>
      <c r="G538">
        <v>13</v>
      </c>
      <c r="H538">
        <v>4</v>
      </c>
      <c r="I538">
        <v>0</v>
      </c>
      <c r="J538">
        <v>0.31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 s="86">
        <f>AVERAGEIFS($C$2:C538, $B$2:B538, B538)</f>
        <v>14.04</v>
      </c>
      <c r="AB538" s="86">
        <f>AVERAGEIFS($I$2:I538, $B$2:B538, B538)</f>
        <v>0.47</v>
      </c>
      <c r="AC538" s="86">
        <f>AVERAGEIFS($J$2:J538, $B$2:B538, B538)</f>
        <v>0.49000000000000005</v>
      </c>
      <c r="AD538" s="86">
        <f>AVERAGEIFS($D$2:D538, $B$2:B538, B538)</f>
        <v>0.4</v>
      </c>
    </row>
    <row r="539" spans="1:30" x14ac:dyDescent="0.25">
      <c r="A539" s="85">
        <v>46117</v>
      </c>
      <c r="B539" t="s">
        <v>29</v>
      </c>
      <c r="C539">
        <v>10</v>
      </c>
      <c r="D539" s="86">
        <v>0</v>
      </c>
      <c r="E539">
        <v>3</v>
      </c>
      <c r="F539">
        <v>0</v>
      </c>
      <c r="G539">
        <v>13</v>
      </c>
      <c r="H539">
        <v>4</v>
      </c>
      <c r="I539">
        <v>0</v>
      </c>
      <c r="J539">
        <v>0.31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 s="86">
        <f>AVERAGEIFS($C$2:C539, $B$2:B539, B539)</f>
        <v>10.321428571428571</v>
      </c>
      <c r="AB539" s="86">
        <f>AVERAGEIFS($I$2:I539, $B$2:B539, B539)</f>
        <v>0.50714285714285723</v>
      </c>
      <c r="AC539" s="86">
        <f>AVERAGEIFS($J$2:J539, $B$2:B539, B539)</f>
        <v>0.51928571428571435</v>
      </c>
      <c r="AD539" s="86">
        <f>AVERAGEIFS($D$2:D539, $B$2:B539, B539)</f>
        <v>0.5</v>
      </c>
    </row>
    <row r="540" spans="1:30" x14ac:dyDescent="0.25">
      <c r="A540" s="85">
        <v>46117</v>
      </c>
      <c r="B540" t="s">
        <v>6</v>
      </c>
      <c r="C540">
        <v>10</v>
      </c>
      <c r="D540" s="86">
        <v>0</v>
      </c>
      <c r="E540">
        <v>3</v>
      </c>
      <c r="F540">
        <v>0</v>
      </c>
      <c r="G540">
        <v>13</v>
      </c>
      <c r="H540">
        <v>4</v>
      </c>
      <c r="I540">
        <v>0</v>
      </c>
      <c r="J540">
        <v>0.31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 s="86">
        <f>AVERAGEIFS($C$2:C540, $B$2:B540, B540)</f>
        <v>23.2</v>
      </c>
      <c r="AB540" s="86">
        <f>AVERAGEIFS($I$2:I540, $B$2:B540, B540)</f>
        <v>0.61249999999999993</v>
      </c>
      <c r="AC540" s="86">
        <f>AVERAGEIFS($J$2:J540, $B$2:B540, B540)</f>
        <v>0.54949999999999999</v>
      </c>
      <c r="AD540" s="86">
        <f>AVERAGEIFS($D$2:D540, $B$2:B540, B540)</f>
        <v>0.75</v>
      </c>
    </row>
    <row r="541" spans="1:30" x14ac:dyDescent="0.25">
      <c r="A541" s="85">
        <v>46117</v>
      </c>
      <c r="B541" t="s">
        <v>159</v>
      </c>
      <c r="C541">
        <v>6</v>
      </c>
      <c r="D541" s="86">
        <v>0</v>
      </c>
      <c r="E541">
        <v>3</v>
      </c>
      <c r="F541">
        <v>0</v>
      </c>
      <c r="G541">
        <v>13</v>
      </c>
      <c r="H541">
        <v>4</v>
      </c>
      <c r="I541">
        <v>0</v>
      </c>
      <c r="J541">
        <v>0.31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 s="86">
        <f>AVERAGEIFS($C$2:C541, $B$2:B541, B541)</f>
        <v>6</v>
      </c>
      <c r="AB541" s="86">
        <f>AVERAGEIFS($I$2:I541, $B$2:B541, B541)</f>
        <v>0</v>
      </c>
      <c r="AC541" s="86">
        <f>AVERAGEIFS($J$2:J541, $B$2:B541, B541)</f>
        <v>0.31</v>
      </c>
      <c r="AD541" s="86">
        <f>AVERAGEIFS($D$2:D541, $B$2:B541, B541)</f>
        <v>0</v>
      </c>
    </row>
    <row r="542" spans="1:30" x14ac:dyDescent="0.25">
      <c r="A542" s="85">
        <v>46117</v>
      </c>
      <c r="B542" t="s">
        <v>42</v>
      </c>
      <c r="C542">
        <v>5</v>
      </c>
      <c r="D542" s="86">
        <v>0</v>
      </c>
      <c r="E542">
        <v>3</v>
      </c>
      <c r="F542">
        <v>0</v>
      </c>
      <c r="G542">
        <v>13</v>
      </c>
      <c r="H542">
        <v>4</v>
      </c>
      <c r="I542">
        <v>0</v>
      </c>
      <c r="J542">
        <v>0.31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 s="86">
        <f>AVERAGEIFS($C$2:C542, $B$2:B542, B542)</f>
        <v>10.571428571428571</v>
      </c>
      <c r="AB542" s="86">
        <f>AVERAGEIFS($I$2:I542, $B$2:B542, B542)</f>
        <v>0.34285714285714286</v>
      </c>
      <c r="AC542" s="86">
        <f>AVERAGEIFS($J$2:J542, $B$2:B542, B542)</f>
        <v>0.40857142857142864</v>
      </c>
      <c r="AD542" s="86">
        <f>AVERAGEIFS($D$2:D542, $B$2:B542, B542)</f>
        <v>0.2857142857142857</v>
      </c>
    </row>
    <row r="543" spans="1:30" x14ac:dyDescent="0.25">
      <c r="A543" s="85">
        <v>46117</v>
      </c>
      <c r="B543" t="s">
        <v>155</v>
      </c>
      <c r="C543">
        <v>8</v>
      </c>
      <c r="D543" s="86">
        <v>1</v>
      </c>
      <c r="E543">
        <v>4</v>
      </c>
      <c r="F543">
        <v>3</v>
      </c>
      <c r="G543">
        <v>15</v>
      </c>
      <c r="H543">
        <v>11</v>
      </c>
      <c r="I543">
        <v>0.75</v>
      </c>
      <c r="J543">
        <v>0.73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1</v>
      </c>
      <c r="V543">
        <v>0</v>
      </c>
      <c r="W543">
        <v>0</v>
      </c>
      <c r="X543">
        <v>1</v>
      </c>
      <c r="Y543">
        <v>0</v>
      </c>
      <c r="Z543">
        <v>0</v>
      </c>
      <c r="AA543" s="86">
        <f>AVERAGEIFS($C$2:C543, $B$2:B543, B543)</f>
        <v>12.333333333333334</v>
      </c>
      <c r="AB543" s="86">
        <f>AVERAGEIFS($I$2:I543, $B$2:B543, B543)</f>
        <v>0.53333333333333333</v>
      </c>
      <c r="AC543" s="86">
        <f>AVERAGEIFS($J$2:J543, $B$2:B543, B543)</f>
        <v>0.52</v>
      </c>
      <c r="AD543" s="86">
        <f>AVERAGEIFS($D$2:D543, $B$2:B543, B543)</f>
        <v>0.66666666666666663</v>
      </c>
    </row>
    <row r="544" spans="1:30" x14ac:dyDescent="0.25">
      <c r="A544" s="85">
        <v>46117</v>
      </c>
      <c r="B544" t="s">
        <v>13</v>
      </c>
      <c r="C544">
        <v>24</v>
      </c>
      <c r="D544" s="86">
        <v>1</v>
      </c>
      <c r="E544">
        <v>4</v>
      </c>
      <c r="F544">
        <v>3</v>
      </c>
      <c r="G544">
        <v>15</v>
      </c>
      <c r="H544">
        <v>11</v>
      </c>
      <c r="I544">
        <v>0.75</v>
      </c>
      <c r="J544">
        <v>0.73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1</v>
      </c>
      <c r="V544">
        <v>0</v>
      </c>
      <c r="W544">
        <v>0</v>
      </c>
      <c r="X544">
        <v>1</v>
      </c>
      <c r="Y544">
        <v>0</v>
      </c>
      <c r="Z544">
        <v>0</v>
      </c>
      <c r="AA544" s="86">
        <f>AVERAGEIFS($C$2:C544, $B$2:B544, B544)</f>
        <v>27.315789473684209</v>
      </c>
      <c r="AB544" s="86">
        <f>AVERAGEIFS($I$2:I544, $B$2:B544, B544)</f>
        <v>0.56184210526315781</v>
      </c>
      <c r="AC544" s="86">
        <f>AVERAGEIFS($J$2:J544, $B$2:B544, B544)</f>
        <v>0.54263157894736835</v>
      </c>
      <c r="AD544" s="86">
        <f>AVERAGEIFS($D$2:D544, $B$2:B544, B544)</f>
        <v>0.63157894736842102</v>
      </c>
    </row>
    <row r="545" spans="1:30" x14ac:dyDescent="0.25">
      <c r="A545" s="85">
        <v>46117</v>
      </c>
      <c r="B545" t="s">
        <v>18</v>
      </c>
      <c r="C545">
        <v>28</v>
      </c>
      <c r="D545" s="86">
        <v>1</v>
      </c>
      <c r="E545">
        <v>4</v>
      </c>
      <c r="F545">
        <v>3</v>
      </c>
      <c r="G545">
        <v>15</v>
      </c>
      <c r="H545">
        <v>11</v>
      </c>
      <c r="I545">
        <v>0.75</v>
      </c>
      <c r="J545">
        <v>0.73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1</v>
      </c>
      <c r="V545">
        <v>0</v>
      </c>
      <c r="W545">
        <v>0</v>
      </c>
      <c r="X545">
        <v>1</v>
      </c>
      <c r="Y545">
        <v>0</v>
      </c>
      <c r="Z545">
        <v>0</v>
      </c>
      <c r="AA545" s="86">
        <f>AVERAGEIFS($C$2:C545, $B$2:B545, B545)</f>
        <v>25.05263157894737</v>
      </c>
      <c r="AB545" s="86">
        <f>AVERAGEIFS($I$2:I545, $B$2:B545, B545)</f>
        <v>0.50263157894736843</v>
      </c>
      <c r="AC545" s="86">
        <f>AVERAGEIFS($J$2:J545, $B$2:B545, B545)</f>
        <v>0.50210526315789472</v>
      </c>
      <c r="AD545" s="86">
        <f>AVERAGEIFS($D$2:D545, $B$2:B545, B545)</f>
        <v>0.47368421052631576</v>
      </c>
    </row>
    <row r="546" spans="1:30" x14ac:dyDescent="0.25">
      <c r="A546" s="85">
        <v>46117</v>
      </c>
      <c r="B546" t="s">
        <v>27</v>
      </c>
      <c r="C546">
        <v>14</v>
      </c>
      <c r="D546" s="86">
        <v>1</v>
      </c>
      <c r="E546">
        <v>4</v>
      </c>
      <c r="F546">
        <v>3</v>
      </c>
      <c r="G546">
        <v>15</v>
      </c>
      <c r="H546">
        <v>11</v>
      </c>
      <c r="I546">
        <v>0.75</v>
      </c>
      <c r="J546">
        <v>0.73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1</v>
      </c>
      <c r="V546">
        <v>0</v>
      </c>
      <c r="W546">
        <v>0</v>
      </c>
      <c r="X546">
        <v>1</v>
      </c>
      <c r="Y546">
        <v>0</v>
      </c>
      <c r="Z546">
        <v>0</v>
      </c>
      <c r="AA546" s="86">
        <f>AVERAGEIFS($C$2:C546, $B$2:B546, B546)</f>
        <v>13.888888888888889</v>
      </c>
      <c r="AB546" s="86">
        <f>AVERAGEIFS($I$2:I546, $B$2:B546, B546)</f>
        <v>0.46944444444444439</v>
      </c>
      <c r="AC546" s="86">
        <f>AVERAGEIFS($J$2:J546, $B$2:B546, B546)</f>
        <v>0.48555555555555557</v>
      </c>
      <c r="AD546" s="86">
        <f>AVERAGEIFS($D$2:D546, $B$2:B546, B546)</f>
        <v>0.5</v>
      </c>
    </row>
    <row r="547" spans="1:30" x14ac:dyDescent="0.25">
      <c r="A547" s="85">
        <v>46117</v>
      </c>
      <c r="B547" t="s">
        <v>15</v>
      </c>
      <c r="C547">
        <v>19</v>
      </c>
      <c r="D547" s="86">
        <v>1</v>
      </c>
      <c r="E547">
        <v>4</v>
      </c>
      <c r="F547">
        <v>3</v>
      </c>
      <c r="G547">
        <v>15</v>
      </c>
      <c r="H547">
        <v>11</v>
      </c>
      <c r="I547">
        <v>0.75</v>
      </c>
      <c r="J547">
        <v>0.73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1</v>
      </c>
      <c r="V547">
        <v>0</v>
      </c>
      <c r="W547">
        <v>0</v>
      </c>
      <c r="X547">
        <v>1</v>
      </c>
      <c r="Y547">
        <v>0</v>
      </c>
      <c r="Z547">
        <v>0</v>
      </c>
      <c r="AA547" s="86">
        <f>AVERAGEIFS($C$2:C547, $B$2:B547, B547)</f>
        <v>25.26923076923077</v>
      </c>
      <c r="AB547" s="86">
        <f>AVERAGEIFS($I$2:I547, $B$2:B547, B547)</f>
        <v>0.4653846153846154</v>
      </c>
      <c r="AC547" s="86">
        <f>AVERAGEIFS($J$2:J547, $B$2:B547, B547)</f>
        <v>0.48615384615384627</v>
      </c>
      <c r="AD547" s="86">
        <f>AVERAGEIFS($D$2:D547, $B$2:B547, B547)</f>
        <v>0.34615384615384615</v>
      </c>
    </row>
    <row r="548" spans="1:30" x14ac:dyDescent="0.25">
      <c r="A548" s="85">
        <v>46117</v>
      </c>
      <c r="B548" t="s">
        <v>151</v>
      </c>
      <c r="C548">
        <v>9</v>
      </c>
      <c r="D548" s="86">
        <v>1</v>
      </c>
      <c r="E548">
        <v>4</v>
      </c>
      <c r="F548">
        <v>3</v>
      </c>
      <c r="G548">
        <v>15</v>
      </c>
      <c r="H548">
        <v>11</v>
      </c>
      <c r="I548">
        <v>0.75</v>
      </c>
      <c r="J548">
        <v>0.73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1</v>
      </c>
      <c r="V548">
        <v>0</v>
      </c>
      <c r="W548">
        <v>0</v>
      </c>
      <c r="X548">
        <v>1</v>
      </c>
      <c r="Y548">
        <v>0</v>
      </c>
      <c r="Z548">
        <v>0</v>
      </c>
      <c r="AA548" s="86">
        <f>AVERAGEIFS($C$2:C548, $B$2:B548, B548)</f>
        <v>9</v>
      </c>
      <c r="AB548" s="86">
        <f>AVERAGEIFS($I$2:I548, $B$2:B548, B548)</f>
        <v>0.75</v>
      </c>
      <c r="AC548" s="86">
        <f>AVERAGEIFS($J$2:J548, $B$2:B548, B548)</f>
        <v>0.73</v>
      </c>
      <c r="AD548" s="86">
        <f>AVERAGEIFS($D$2:D548, $B$2:B548, B548)</f>
        <v>1</v>
      </c>
    </row>
    <row r="549" spans="1:30" x14ac:dyDescent="0.25">
      <c r="A549" s="85">
        <v>46117</v>
      </c>
      <c r="B549" t="s">
        <v>55</v>
      </c>
      <c r="C549">
        <v>5</v>
      </c>
      <c r="D549" s="86">
        <v>1</v>
      </c>
      <c r="E549">
        <v>4</v>
      </c>
      <c r="F549">
        <v>3</v>
      </c>
      <c r="G549">
        <v>15</v>
      </c>
      <c r="H549">
        <v>11</v>
      </c>
      <c r="I549">
        <v>0.75</v>
      </c>
      <c r="J549">
        <v>0.73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1</v>
      </c>
      <c r="V549">
        <v>0</v>
      </c>
      <c r="W549">
        <v>0</v>
      </c>
      <c r="X549">
        <v>1</v>
      </c>
      <c r="Y549">
        <v>0</v>
      </c>
      <c r="Z549">
        <v>0</v>
      </c>
      <c r="AA549" s="86">
        <f>AVERAGEIFS($C$2:C549, $B$2:B549, B549)</f>
        <v>9.0909090909090917</v>
      </c>
      <c r="AB549" s="86">
        <f>AVERAGEIFS($I$2:I549, $B$2:B549, B549)</f>
        <v>0.57727272727272727</v>
      </c>
      <c r="AC549" s="86">
        <f>AVERAGEIFS($J$2:J549, $B$2:B549, B549)</f>
        <v>0.54909090909090918</v>
      </c>
      <c r="AD549" s="86">
        <f>AVERAGEIFS($D$2:D549, $B$2:B549, B549)</f>
        <v>0.63636363636363635</v>
      </c>
    </row>
    <row r="550" spans="1:30" x14ac:dyDescent="0.25">
      <c r="A550" s="85">
        <v>46117</v>
      </c>
      <c r="B550" t="s">
        <v>149</v>
      </c>
      <c r="C550">
        <v>11</v>
      </c>
      <c r="D550" s="86">
        <v>1</v>
      </c>
      <c r="E550">
        <v>4</v>
      </c>
      <c r="F550">
        <v>3</v>
      </c>
      <c r="G550">
        <v>15</v>
      </c>
      <c r="H550">
        <v>11</v>
      </c>
      <c r="I550">
        <v>0.75</v>
      </c>
      <c r="J550">
        <v>0.73</v>
      </c>
      <c r="K550">
        <v>0</v>
      </c>
      <c r="L550">
        <v>0</v>
      </c>
      <c r="M550">
        <v>0</v>
      </c>
      <c r="N550">
        <v>1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1</v>
      </c>
      <c r="V550">
        <v>0</v>
      </c>
      <c r="W550">
        <v>0</v>
      </c>
      <c r="X550">
        <v>1</v>
      </c>
      <c r="Y550">
        <v>0</v>
      </c>
      <c r="Z550">
        <v>0</v>
      </c>
      <c r="AA550" s="86">
        <f>AVERAGEIFS($C$2:C550, $B$2:B550, B550)</f>
        <v>13.888888888888889</v>
      </c>
      <c r="AB550" s="86">
        <f>AVERAGEIFS($I$2:I550, $B$2:B550, B550)</f>
        <v>0.62222222222222223</v>
      </c>
      <c r="AC550" s="86">
        <f>AVERAGEIFS($J$2:J550, $B$2:B550, B550)</f>
        <v>0.5722222222222223</v>
      </c>
      <c r="AD550" s="86">
        <f>AVERAGEIFS($D$2:D550, $B$2:B550, B550)</f>
        <v>0.66666666666666663</v>
      </c>
    </row>
    <row r="551" spans="1:30" x14ac:dyDescent="0.25">
      <c r="A551" s="85">
        <v>46117</v>
      </c>
      <c r="B551" t="s">
        <v>35</v>
      </c>
      <c r="C551">
        <v>9</v>
      </c>
      <c r="D551" s="86">
        <v>0</v>
      </c>
      <c r="E551">
        <v>4</v>
      </c>
      <c r="F551">
        <v>1</v>
      </c>
      <c r="G551">
        <v>15</v>
      </c>
      <c r="H551">
        <v>4</v>
      </c>
      <c r="I551">
        <v>0.25</v>
      </c>
      <c r="J551">
        <v>0.27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1</v>
      </c>
      <c r="AA551" s="86">
        <f>AVERAGEIFS($C$2:C551, $B$2:B551, B551)</f>
        <v>11.3125</v>
      </c>
      <c r="AB551" s="86">
        <f>AVERAGEIFS($I$2:I551, $B$2:B551, B551)</f>
        <v>0.47187499999999999</v>
      </c>
      <c r="AC551" s="86">
        <f>AVERAGEIFS($J$2:J551, $B$2:B551, B551)</f>
        <v>0.49312500000000004</v>
      </c>
      <c r="AD551" s="86">
        <f>AVERAGEIFS($D$2:D551, $B$2:B551, B551)</f>
        <v>0.5625</v>
      </c>
    </row>
    <row r="552" spans="1:30" x14ac:dyDescent="0.25">
      <c r="A552" s="85">
        <v>46117</v>
      </c>
      <c r="B552" t="s">
        <v>25</v>
      </c>
      <c r="C552">
        <v>19</v>
      </c>
      <c r="D552" s="86">
        <v>0</v>
      </c>
      <c r="E552">
        <v>4</v>
      </c>
      <c r="F552">
        <v>1</v>
      </c>
      <c r="G552">
        <v>15</v>
      </c>
      <c r="H552">
        <v>4</v>
      </c>
      <c r="I552">
        <v>0.25</v>
      </c>
      <c r="J552">
        <v>0.27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1</v>
      </c>
      <c r="AA552" s="86">
        <f>AVERAGEIFS($C$2:C552, $B$2:B552, B552)</f>
        <v>16.133333333333333</v>
      </c>
      <c r="AB552" s="86">
        <f>AVERAGEIFS($I$2:I552, $B$2:B552, B552)</f>
        <v>0.60333333333333339</v>
      </c>
      <c r="AC552" s="86">
        <f>AVERAGEIFS($J$2:J552, $B$2:B552, B552)</f>
        <v>0.53999999999999992</v>
      </c>
      <c r="AD552" s="86">
        <f>AVERAGEIFS($D$2:D552, $B$2:B552, B552)</f>
        <v>0.53333333333333333</v>
      </c>
    </row>
    <row r="553" spans="1:30" x14ac:dyDescent="0.25">
      <c r="A553" s="85">
        <v>46117</v>
      </c>
      <c r="B553" t="s">
        <v>26</v>
      </c>
      <c r="C553">
        <v>6</v>
      </c>
      <c r="D553" s="86">
        <v>0</v>
      </c>
      <c r="E553">
        <v>4</v>
      </c>
      <c r="F553">
        <v>1</v>
      </c>
      <c r="G553">
        <v>15</v>
      </c>
      <c r="H553">
        <v>4</v>
      </c>
      <c r="I553">
        <v>0.25</v>
      </c>
      <c r="J553">
        <v>0.27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1</v>
      </c>
      <c r="AA553" s="86">
        <f>AVERAGEIFS($C$2:C553, $B$2:B553, B553)</f>
        <v>11.791666666666666</v>
      </c>
      <c r="AB553" s="86">
        <f>AVERAGEIFS($I$2:I553, $B$2:B553, B553)</f>
        <v>0.6645833333333333</v>
      </c>
      <c r="AC553" s="86">
        <f>AVERAGEIFS($J$2:J553, $B$2:B553, B553)</f>
        <v>0.58124999999999993</v>
      </c>
      <c r="AD553" s="86">
        <f>AVERAGEIFS($D$2:D553, $B$2:B553, B553)</f>
        <v>0.75</v>
      </c>
    </row>
    <row r="554" spans="1:30" x14ac:dyDescent="0.25">
      <c r="A554" s="85">
        <v>46117</v>
      </c>
      <c r="B554" t="s">
        <v>45</v>
      </c>
      <c r="C554">
        <v>11</v>
      </c>
      <c r="D554" s="86">
        <v>0</v>
      </c>
      <c r="E554">
        <v>4</v>
      </c>
      <c r="F554">
        <v>1</v>
      </c>
      <c r="G554">
        <v>15</v>
      </c>
      <c r="H554">
        <v>4</v>
      </c>
      <c r="I554">
        <v>0.25</v>
      </c>
      <c r="J554">
        <v>0.27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1</v>
      </c>
      <c r="AA554" s="86">
        <f>AVERAGEIFS($C$2:C554, $B$2:B554, B554)</f>
        <v>12.176470588235293</v>
      </c>
      <c r="AB554" s="86">
        <f>AVERAGEIFS($I$2:I554, $B$2:B554, B554)</f>
        <v>0.43823529411764711</v>
      </c>
      <c r="AC554" s="86">
        <f>AVERAGEIFS($J$2:J554, $B$2:B554, B554)</f>
        <v>0.4747058823529412</v>
      </c>
      <c r="AD554" s="86">
        <f>AVERAGEIFS($D$2:D554, $B$2:B554, B554)</f>
        <v>0.35294117647058826</v>
      </c>
    </row>
    <row r="555" spans="1:30" x14ac:dyDescent="0.25">
      <c r="A555" s="85">
        <v>46117</v>
      </c>
      <c r="B555" t="s">
        <v>156</v>
      </c>
      <c r="C555">
        <v>18</v>
      </c>
      <c r="D555" s="86">
        <v>0</v>
      </c>
      <c r="E555">
        <v>4</v>
      </c>
      <c r="F555">
        <v>1</v>
      </c>
      <c r="G555">
        <v>15</v>
      </c>
      <c r="H555">
        <v>4</v>
      </c>
      <c r="I555">
        <v>0.25</v>
      </c>
      <c r="J555">
        <v>0.27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1</v>
      </c>
      <c r="AA555" s="86">
        <f>AVERAGEIFS($C$2:C555, $B$2:B555, B555)</f>
        <v>15</v>
      </c>
      <c r="AB555" s="86">
        <f>AVERAGEIFS($I$2:I555, $B$2:B555, B555)</f>
        <v>0.5</v>
      </c>
      <c r="AC555" s="86">
        <f>AVERAGEIFS($J$2:J555, $B$2:B555, B555)</f>
        <v>0.51500000000000001</v>
      </c>
      <c r="AD555" s="86">
        <f>AVERAGEIFS($D$2:D555, $B$2:B555, B555)</f>
        <v>0.5</v>
      </c>
    </row>
    <row r="556" spans="1:30" x14ac:dyDescent="0.25">
      <c r="A556" s="85">
        <v>46117</v>
      </c>
      <c r="B556" t="s">
        <v>19</v>
      </c>
      <c r="C556">
        <v>10</v>
      </c>
      <c r="D556" s="86">
        <v>0</v>
      </c>
      <c r="E556">
        <v>4</v>
      </c>
      <c r="F556">
        <v>1</v>
      </c>
      <c r="G556">
        <v>15</v>
      </c>
      <c r="H556">
        <v>4</v>
      </c>
      <c r="I556">
        <v>0.25</v>
      </c>
      <c r="J556">
        <v>0.27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1</v>
      </c>
      <c r="AA556" s="86">
        <f>AVERAGEIFS($C$2:C556, $B$2:B556, B556)</f>
        <v>11.892857142857142</v>
      </c>
      <c r="AB556" s="86">
        <f>AVERAGEIFS($I$2:I556, $B$2:B556, B556)</f>
        <v>0.37857142857142856</v>
      </c>
      <c r="AC556" s="86">
        <f>AVERAGEIFS($J$2:J556, $B$2:B556, B556)</f>
        <v>0.43392857142857144</v>
      </c>
      <c r="AD556" s="86">
        <f>AVERAGEIFS($D$2:D556, $B$2:B556, B556)</f>
        <v>0.35714285714285715</v>
      </c>
    </row>
    <row r="557" spans="1:30" x14ac:dyDescent="0.25">
      <c r="A557" s="85">
        <v>46117</v>
      </c>
      <c r="B557" t="s">
        <v>140</v>
      </c>
      <c r="C557">
        <v>7</v>
      </c>
      <c r="D557" s="86">
        <v>0</v>
      </c>
      <c r="E557">
        <v>4</v>
      </c>
      <c r="F557">
        <v>1</v>
      </c>
      <c r="G557">
        <v>15</v>
      </c>
      <c r="H557">
        <v>4</v>
      </c>
      <c r="I557">
        <v>0.25</v>
      </c>
      <c r="J557">
        <v>0.27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1</v>
      </c>
      <c r="AA557" s="86">
        <f>AVERAGEIFS($C$2:C557, $B$2:B557, B557)</f>
        <v>10.166666666666666</v>
      </c>
      <c r="AB557" s="86">
        <f>AVERAGEIFS($I$2:I557, $B$2:B557, B557)</f>
        <v>0.54166666666666663</v>
      </c>
      <c r="AC557" s="86">
        <f>AVERAGEIFS($J$2:J557, $B$2:B557, B557)</f>
        <v>0.505</v>
      </c>
      <c r="AD557" s="86">
        <f>AVERAGEIFS($D$2:D557, $B$2:B557, B557)</f>
        <v>0.5</v>
      </c>
    </row>
    <row r="558" spans="1:30" x14ac:dyDescent="0.25">
      <c r="A558" s="85">
        <v>46117</v>
      </c>
      <c r="B558" t="s">
        <v>17</v>
      </c>
      <c r="C558">
        <v>10</v>
      </c>
      <c r="D558" s="86">
        <v>0</v>
      </c>
      <c r="E558">
        <v>4</v>
      </c>
      <c r="F558">
        <v>1</v>
      </c>
      <c r="G558">
        <v>15</v>
      </c>
      <c r="H558">
        <v>4</v>
      </c>
      <c r="I558">
        <v>0.25</v>
      </c>
      <c r="J558">
        <v>0.27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1</v>
      </c>
      <c r="AA558" s="86">
        <f>AVERAGEIFS($C$2:C558, $B$2:B558, B558)</f>
        <v>25.457142857142856</v>
      </c>
      <c r="AB558" s="86">
        <f>AVERAGEIFS($I$2:I558, $B$2:B558, B558)</f>
        <v>0.50571428571428578</v>
      </c>
      <c r="AC558" s="86">
        <f>AVERAGEIFS($J$2:J558, $B$2:B558, B558)</f>
        <v>0.51571428571428568</v>
      </c>
      <c r="AD558" s="86">
        <f>AVERAGEIFS($D$2:D558, $B$2:B558, B558)</f>
        <v>0.4</v>
      </c>
    </row>
    <row r="559" spans="1:30" x14ac:dyDescent="0.25">
      <c r="A559" s="85">
        <v>46118</v>
      </c>
      <c r="B559" t="s">
        <v>155</v>
      </c>
      <c r="C559">
        <v>8</v>
      </c>
      <c r="D559" s="86">
        <v>1</v>
      </c>
      <c r="E559">
        <v>4</v>
      </c>
      <c r="F559">
        <v>3</v>
      </c>
      <c r="G559">
        <v>14</v>
      </c>
      <c r="H559">
        <v>9</v>
      </c>
      <c r="I559">
        <v>0.75</v>
      </c>
      <c r="J559">
        <v>0.64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1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1</v>
      </c>
      <c r="X559">
        <v>0</v>
      </c>
      <c r="Y559">
        <v>1</v>
      </c>
      <c r="Z559">
        <v>0</v>
      </c>
      <c r="AA559" s="86">
        <f>AVERAGEIFS($C$2:C559, $B$2:B559, B559)</f>
        <v>11.25</v>
      </c>
      <c r="AB559" s="86">
        <f>AVERAGEIFS($I$2:I559, $B$2:B559, B559)</f>
        <v>0.58750000000000002</v>
      </c>
      <c r="AC559" s="86">
        <f>AVERAGEIFS($J$2:J559, $B$2:B559, B559)</f>
        <v>0.55000000000000004</v>
      </c>
      <c r="AD559" s="86">
        <f>AVERAGEIFS($D$2:D559, $B$2:B559, B559)</f>
        <v>0.75</v>
      </c>
    </row>
    <row r="560" spans="1:30" x14ac:dyDescent="0.25">
      <c r="A560" s="85">
        <v>46118</v>
      </c>
      <c r="B560" t="s">
        <v>13</v>
      </c>
      <c r="C560">
        <v>31</v>
      </c>
      <c r="D560" s="86">
        <v>1</v>
      </c>
      <c r="E560">
        <v>4</v>
      </c>
      <c r="F560">
        <v>3</v>
      </c>
      <c r="G560">
        <v>14</v>
      </c>
      <c r="H560">
        <v>9</v>
      </c>
      <c r="I560">
        <v>0.75</v>
      </c>
      <c r="J560">
        <v>0.64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1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1</v>
      </c>
      <c r="X560">
        <v>0</v>
      </c>
      <c r="Y560">
        <v>1</v>
      </c>
      <c r="Z560">
        <v>0</v>
      </c>
      <c r="AA560" s="86">
        <f>AVERAGEIFS($C$2:C560, $B$2:B560, B560)</f>
        <v>27.410256410256409</v>
      </c>
      <c r="AB560" s="86">
        <f>AVERAGEIFS($I$2:I560, $B$2:B560, B560)</f>
        <v>0.56666666666666665</v>
      </c>
      <c r="AC560" s="86">
        <f>AVERAGEIFS($J$2:J560, $B$2:B560, B560)</f>
        <v>0.54512820512820503</v>
      </c>
      <c r="AD560" s="86">
        <f>AVERAGEIFS($D$2:D560, $B$2:B560, B560)</f>
        <v>0.64102564102564108</v>
      </c>
    </row>
    <row r="561" spans="1:30" x14ac:dyDescent="0.25">
      <c r="A561" s="85">
        <v>46118</v>
      </c>
      <c r="B561" t="s">
        <v>18</v>
      </c>
      <c r="C561">
        <v>28</v>
      </c>
      <c r="D561" s="86">
        <v>1</v>
      </c>
      <c r="E561">
        <v>4</v>
      </c>
      <c r="F561">
        <v>3</v>
      </c>
      <c r="G561">
        <v>14</v>
      </c>
      <c r="H561">
        <v>9</v>
      </c>
      <c r="I561">
        <v>0.75</v>
      </c>
      <c r="J561">
        <v>0.64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1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1</v>
      </c>
      <c r="X561">
        <v>0</v>
      </c>
      <c r="Y561">
        <v>1</v>
      </c>
      <c r="Z561">
        <v>0</v>
      </c>
      <c r="AA561" s="86">
        <f>AVERAGEIFS($C$2:C561, $B$2:B561, B561)</f>
        <v>25.2</v>
      </c>
      <c r="AB561" s="86">
        <f>AVERAGEIFS($I$2:I561, $B$2:B561, B561)</f>
        <v>0.51500000000000001</v>
      </c>
      <c r="AC561" s="86">
        <f>AVERAGEIFS($J$2:J561, $B$2:B561, B561)</f>
        <v>0.50900000000000001</v>
      </c>
      <c r="AD561" s="86">
        <f>AVERAGEIFS($D$2:D561, $B$2:B561, B561)</f>
        <v>0.5</v>
      </c>
    </row>
    <row r="562" spans="1:30" x14ac:dyDescent="0.25">
      <c r="A562" s="85">
        <v>46118</v>
      </c>
      <c r="B562" t="s">
        <v>27</v>
      </c>
      <c r="C562">
        <v>10</v>
      </c>
      <c r="D562" s="86">
        <v>1</v>
      </c>
      <c r="E562">
        <v>4</v>
      </c>
      <c r="F562">
        <v>3</v>
      </c>
      <c r="G562">
        <v>14</v>
      </c>
      <c r="H562">
        <v>9</v>
      </c>
      <c r="I562">
        <v>0.75</v>
      </c>
      <c r="J562">
        <v>0.64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1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1</v>
      </c>
      <c r="X562">
        <v>0</v>
      </c>
      <c r="Y562">
        <v>1</v>
      </c>
      <c r="Z562">
        <v>0</v>
      </c>
      <c r="AA562" s="86">
        <f>AVERAGEIFS($C$2:C562, $B$2:B562, B562)</f>
        <v>13.684210526315789</v>
      </c>
      <c r="AB562" s="86">
        <f>AVERAGEIFS($I$2:I562, $B$2:B562, B562)</f>
        <v>0.48421052631578942</v>
      </c>
      <c r="AC562" s="86">
        <f>AVERAGEIFS($J$2:J562, $B$2:B562, B562)</f>
        <v>0.49368421052631584</v>
      </c>
      <c r="AD562" s="86">
        <f>AVERAGEIFS($D$2:D562, $B$2:B562, B562)</f>
        <v>0.52631578947368418</v>
      </c>
    </row>
    <row r="563" spans="1:30" x14ac:dyDescent="0.25">
      <c r="A563" s="85">
        <v>46118</v>
      </c>
      <c r="B563" t="s">
        <v>149</v>
      </c>
      <c r="C563">
        <v>14</v>
      </c>
      <c r="D563" s="86">
        <v>1</v>
      </c>
      <c r="E563">
        <v>4</v>
      </c>
      <c r="F563">
        <v>3</v>
      </c>
      <c r="G563">
        <v>14</v>
      </c>
      <c r="H563">
        <v>9</v>
      </c>
      <c r="I563">
        <v>0.75</v>
      </c>
      <c r="J563">
        <v>0.64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1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1</v>
      </c>
      <c r="X563">
        <v>0</v>
      </c>
      <c r="Y563">
        <v>1</v>
      </c>
      <c r="Z563">
        <v>0</v>
      </c>
      <c r="AA563" s="86">
        <f>AVERAGEIFS($C$2:C563, $B$2:B563, B563)</f>
        <v>13.9</v>
      </c>
      <c r="AB563" s="86">
        <f>AVERAGEIFS($I$2:I563, $B$2:B563, B563)</f>
        <v>0.63500000000000001</v>
      </c>
      <c r="AC563" s="86">
        <f>AVERAGEIFS($J$2:J563, $B$2:B563, B563)</f>
        <v>0.57899999999999996</v>
      </c>
      <c r="AD563" s="86">
        <f>AVERAGEIFS($D$2:D563, $B$2:B563, B563)</f>
        <v>0.7</v>
      </c>
    </row>
    <row r="564" spans="1:30" x14ac:dyDescent="0.25">
      <c r="A564" s="85">
        <v>46118</v>
      </c>
      <c r="B564" t="s">
        <v>35</v>
      </c>
      <c r="C564">
        <v>19</v>
      </c>
      <c r="D564" s="86">
        <v>1</v>
      </c>
      <c r="E564">
        <v>4</v>
      </c>
      <c r="F564">
        <v>3</v>
      </c>
      <c r="G564">
        <v>14</v>
      </c>
      <c r="H564">
        <v>9</v>
      </c>
      <c r="I564">
        <v>0.75</v>
      </c>
      <c r="J564">
        <v>0.64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1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1</v>
      </c>
      <c r="X564">
        <v>0</v>
      </c>
      <c r="Y564">
        <v>1</v>
      </c>
      <c r="Z564">
        <v>0</v>
      </c>
      <c r="AA564" s="86">
        <f>AVERAGEIFS($C$2:C564, $B$2:B564, B564)</f>
        <v>11.764705882352942</v>
      </c>
      <c r="AB564" s="86">
        <f>AVERAGEIFS($I$2:I564, $B$2:B564, B564)</f>
        <v>0.4882352941176471</v>
      </c>
      <c r="AC564" s="86">
        <f>AVERAGEIFS($J$2:J564, $B$2:B564, B564)</f>
        <v>0.501764705882353</v>
      </c>
      <c r="AD564" s="86">
        <f>AVERAGEIFS($D$2:D564, $B$2:B564, B564)</f>
        <v>0.58823529411764708</v>
      </c>
    </row>
    <row r="565" spans="1:30" x14ac:dyDescent="0.25">
      <c r="A565" s="85">
        <v>46118</v>
      </c>
      <c r="B565" t="s">
        <v>29</v>
      </c>
      <c r="C565">
        <v>13</v>
      </c>
      <c r="D565" s="86">
        <v>1</v>
      </c>
      <c r="E565">
        <v>4</v>
      </c>
      <c r="F565">
        <v>3</v>
      </c>
      <c r="G565">
        <v>14</v>
      </c>
      <c r="H565">
        <v>9</v>
      </c>
      <c r="I565">
        <v>0.75</v>
      </c>
      <c r="J565">
        <v>0.64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1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1</v>
      </c>
      <c r="X565">
        <v>0</v>
      </c>
      <c r="Y565">
        <v>1</v>
      </c>
      <c r="Z565">
        <v>0</v>
      </c>
      <c r="AA565" s="86">
        <f>AVERAGEIFS($C$2:C565, $B$2:B565, B565)</f>
        <v>10.413793103448276</v>
      </c>
      <c r="AB565" s="86">
        <f>AVERAGEIFS($I$2:I565, $B$2:B565, B565)</f>
        <v>0.51551724137931043</v>
      </c>
      <c r="AC565" s="86">
        <f>AVERAGEIFS($J$2:J565, $B$2:B565, B565)</f>
        <v>0.52344827586206899</v>
      </c>
      <c r="AD565" s="86">
        <f>AVERAGEIFS($D$2:D565, $B$2:B565, B565)</f>
        <v>0.51724137931034486</v>
      </c>
    </row>
    <row r="566" spans="1:30" x14ac:dyDescent="0.25">
      <c r="A566" s="85">
        <v>46118</v>
      </c>
      <c r="B566" t="s">
        <v>151</v>
      </c>
      <c r="C566">
        <v>14</v>
      </c>
      <c r="D566" s="86">
        <v>1</v>
      </c>
      <c r="E566">
        <v>4</v>
      </c>
      <c r="F566">
        <v>3</v>
      </c>
      <c r="G566">
        <v>14</v>
      </c>
      <c r="H566">
        <v>9</v>
      </c>
      <c r="I566">
        <v>0.75</v>
      </c>
      <c r="J566">
        <v>0.64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1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1</v>
      </c>
      <c r="X566">
        <v>0</v>
      </c>
      <c r="Y566">
        <v>1</v>
      </c>
      <c r="Z566">
        <v>0</v>
      </c>
      <c r="AA566" s="86">
        <f>AVERAGEIFS($C$2:C566, $B$2:B566, B566)</f>
        <v>11.5</v>
      </c>
      <c r="AB566" s="86">
        <f>AVERAGEIFS($I$2:I566, $B$2:B566, B566)</f>
        <v>0.75</v>
      </c>
      <c r="AC566" s="86">
        <f>AVERAGEIFS($J$2:J566, $B$2:B566, B566)</f>
        <v>0.68500000000000005</v>
      </c>
      <c r="AD566" s="86">
        <f>AVERAGEIFS($D$2:D566, $B$2:B566, B566)</f>
        <v>1</v>
      </c>
    </row>
    <row r="567" spans="1:30" x14ac:dyDescent="0.25">
      <c r="A567" s="85">
        <v>46118</v>
      </c>
      <c r="B567" t="s">
        <v>17</v>
      </c>
      <c r="C567">
        <v>27</v>
      </c>
      <c r="D567" s="86">
        <v>0</v>
      </c>
      <c r="E567">
        <v>4</v>
      </c>
      <c r="F567">
        <v>1</v>
      </c>
      <c r="G567">
        <v>14</v>
      </c>
      <c r="H567">
        <v>5</v>
      </c>
      <c r="I567">
        <v>0.25</v>
      </c>
      <c r="J567">
        <v>0.36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1</v>
      </c>
      <c r="Y567">
        <v>0</v>
      </c>
      <c r="Z567">
        <v>0</v>
      </c>
      <c r="AA567" s="86">
        <f>AVERAGEIFS($C$2:C567, $B$2:B567, B567)</f>
        <v>25.5</v>
      </c>
      <c r="AB567" s="86">
        <f>AVERAGEIFS($I$2:I567, $B$2:B567, B567)</f>
        <v>0.49861111111111117</v>
      </c>
      <c r="AC567" s="86">
        <f>AVERAGEIFS($J$2:J567, $B$2:B567, B567)</f>
        <v>0.51138888888888878</v>
      </c>
      <c r="AD567" s="86">
        <f>AVERAGEIFS($D$2:D567, $B$2:B567, B567)</f>
        <v>0.3888888888888889</v>
      </c>
    </row>
    <row r="568" spans="1:30" x14ac:dyDescent="0.25">
      <c r="A568" s="85">
        <v>46118</v>
      </c>
      <c r="B568" t="s">
        <v>15</v>
      </c>
      <c r="C568">
        <v>32</v>
      </c>
      <c r="D568" s="86">
        <v>0</v>
      </c>
      <c r="E568">
        <v>4</v>
      </c>
      <c r="F568">
        <v>1</v>
      </c>
      <c r="G568">
        <v>14</v>
      </c>
      <c r="H568">
        <v>5</v>
      </c>
      <c r="I568">
        <v>0.25</v>
      </c>
      <c r="J568">
        <v>0.36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1</v>
      </c>
      <c r="Y568">
        <v>0</v>
      </c>
      <c r="Z568">
        <v>0</v>
      </c>
      <c r="AA568" s="86">
        <f>AVERAGEIFS($C$2:C568, $B$2:B568, B568)</f>
        <v>25.518518518518519</v>
      </c>
      <c r="AB568" s="86">
        <f>AVERAGEIFS($I$2:I568, $B$2:B568, B568)</f>
        <v>0.45740740740740737</v>
      </c>
      <c r="AC568" s="86">
        <f>AVERAGEIFS($J$2:J568, $B$2:B568, B568)</f>
        <v>0.48148148148148157</v>
      </c>
      <c r="AD568" s="86">
        <f>AVERAGEIFS($D$2:D568, $B$2:B568, B568)</f>
        <v>0.33333333333333331</v>
      </c>
    </row>
    <row r="569" spans="1:30" x14ac:dyDescent="0.25">
      <c r="A569" s="85">
        <v>46118</v>
      </c>
      <c r="B569" t="s">
        <v>25</v>
      </c>
      <c r="C569">
        <v>18</v>
      </c>
      <c r="D569" s="86">
        <v>0</v>
      </c>
      <c r="E569">
        <v>4</v>
      </c>
      <c r="F569">
        <v>1</v>
      </c>
      <c r="G569">
        <v>14</v>
      </c>
      <c r="H569">
        <v>5</v>
      </c>
      <c r="I569">
        <v>0.25</v>
      </c>
      <c r="J569">
        <v>0.36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1</v>
      </c>
      <c r="Y569">
        <v>0</v>
      </c>
      <c r="Z569">
        <v>0</v>
      </c>
      <c r="AA569" s="86">
        <f>AVERAGEIFS($C$2:C569, $B$2:B569, B569)</f>
        <v>16.25</v>
      </c>
      <c r="AB569" s="86">
        <f>AVERAGEIFS($I$2:I569, $B$2:B569, B569)</f>
        <v>0.58125000000000004</v>
      </c>
      <c r="AC569" s="86">
        <f>AVERAGEIFS($J$2:J569, $B$2:B569, B569)</f>
        <v>0.52874999999999994</v>
      </c>
      <c r="AD569" s="86">
        <f>AVERAGEIFS($D$2:D569, $B$2:B569, B569)</f>
        <v>0.5</v>
      </c>
    </row>
    <row r="570" spans="1:30" x14ac:dyDescent="0.25">
      <c r="A570" s="85">
        <v>46118</v>
      </c>
      <c r="B570" t="s">
        <v>156</v>
      </c>
      <c r="C570">
        <v>19</v>
      </c>
      <c r="D570" s="86">
        <v>0</v>
      </c>
      <c r="E570">
        <v>4</v>
      </c>
      <c r="F570">
        <v>1</v>
      </c>
      <c r="G570">
        <v>14</v>
      </c>
      <c r="H570">
        <v>5</v>
      </c>
      <c r="I570">
        <v>0.25</v>
      </c>
      <c r="J570">
        <v>0.36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1</v>
      </c>
      <c r="Y570">
        <v>0</v>
      </c>
      <c r="Z570">
        <v>0</v>
      </c>
      <c r="AA570" s="86">
        <f>AVERAGEIFS($C$2:C570, $B$2:B570, B570)</f>
        <v>15.8</v>
      </c>
      <c r="AB570" s="86">
        <f>AVERAGEIFS($I$2:I570, $B$2:B570, B570)</f>
        <v>0.45</v>
      </c>
      <c r="AC570" s="86">
        <f>AVERAGEIFS($J$2:J570, $B$2:B570, B570)</f>
        <v>0.48399999999999999</v>
      </c>
      <c r="AD570" s="86">
        <f>AVERAGEIFS($D$2:D570, $B$2:B570, B570)</f>
        <v>0.4</v>
      </c>
    </row>
    <row r="571" spans="1:30" x14ac:dyDescent="0.25">
      <c r="A571" s="85">
        <v>46118</v>
      </c>
      <c r="B571" t="s">
        <v>45</v>
      </c>
      <c r="C571">
        <v>16</v>
      </c>
      <c r="D571" s="86">
        <v>0</v>
      </c>
      <c r="E571">
        <v>4</v>
      </c>
      <c r="F571">
        <v>1</v>
      </c>
      <c r="G571">
        <v>14</v>
      </c>
      <c r="H571">
        <v>5</v>
      </c>
      <c r="I571">
        <v>0.25</v>
      </c>
      <c r="J571">
        <v>0.36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1</v>
      </c>
      <c r="Y571">
        <v>0</v>
      </c>
      <c r="Z571">
        <v>0</v>
      </c>
      <c r="AA571" s="86">
        <f>AVERAGEIFS($C$2:C571, $B$2:B571, B571)</f>
        <v>12.388888888888889</v>
      </c>
      <c r="AB571" s="86">
        <f>AVERAGEIFS($I$2:I571, $B$2:B571, B571)</f>
        <v>0.42777777777777781</v>
      </c>
      <c r="AC571" s="86">
        <f>AVERAGEIFS($J$2:J571, $B$2:B571, B571)</f>
        <v>0.46833333333333332</v>
      </c>
      <c r="AD571" s="86">
        <f>AVERAGEIFS($D$2:D571, $B$2:B571, B571)</f>
        <v>0.33333333333333331</v>
      </c>
    </row>
    <row r="572" spans="1:30" x14ac:dyDescent="0.25">
      <c r="A572" s="85">
        <v>46118</v>
      </c>
      <c r="B572" t="s">
        <v>26</v>
      </c>
      <c r="C572">
        <v>8</v>
      </c>
      <c r="D572" s="86">
        <v>0</v>
      </c>
      <c r="E572">
        <v>4</v>
      </c>
      <c r="F572">
        <v>1</v>
      </c>
      <c r="G572">
        <v>14</v>
      </c>
      <c r="H572">
        <v>5</v>
      </c>
      <c r="I572">
        <v>0.25</v>
      </c>
      <c r="J572">
        <v>0.36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1</v>
      </c>
      <c r="Y572">
        <v>0</v>
      </c>
      <c r="Z572">
        <v>0</v>
      </c>
      <c r="AA572" s="86">
        <f>AVERAGEIFS($C$2:C572, $B$2:B572, B572)</f>
        <v>11.64</v>
      </c>
      <c r="AB572" s="86">
        <f>AVERAGEIFS($I$2:I572, $B$2:B572, B572)</f>
        <v>0.64800000000000002</v>
      </c>
      <c r="AC572" s="86">
        <f>AVERAGEIFS($J$2:J572, $B$2:B572, B572)</f>
        <v>0.57239999999999991</v>
      </c>
      <c r="AD572" s="86">
        <f>AVERAGEIFS($D$2:D572, $B$2:B572, B572)</f>
        <v>0.72</v>
      </c>
    </row>
    <row r="573" spans="1:30" x14ac:dyDescent="0.25">
      <c r="A573" s="85">
        <v>46118</v>
      </c>
      <c r="B573" t="s">
        <v>140</v>
      </c>
      <c r="C573">
        <v>8</v>
      </c>
      <c r="D573" s="86">
        <v>0</v>
      </c>
      <c r="E573">
        <v>4</v>
      </c>
      <c r="F573">
        <v>1</v>
      </c>
      <c r="G573">
        <v>14</v>
      </c>
      <c r="H573">
        <v>5</v>
      </c>
      <c r="I573">
        <v>0.25</v>
      </c>
      <c r="J573">
        <v>0.36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1</v>
      </c>
      <c r="Y573">
        <v>0</v>
      </c>
      <c r="Z573">
        <v>0</v>
      </c>
      <c r="AA573" s="86">
        <f>AVERAGEIFS($C$2:C573, $B$2:B573, B573)</f>
        <v>9.8571428571428577</v>
      </c>
      <c r="AB573" s="86">
        <f>AVERAGEIFS($I$2:I573, $B$2:B573, B573)</f>
        <v>0.5</v>
      </c>
      <c r="AC573" s="86">
        <f>AVERAGEIFS($J$2:J573, $B$2:B573, B573)</f>
        <v>0.48428571428571426</v>
      </c>
      <c r="AD573" s="86">
        <f>AVERAGEIFS($D$2:D573, $B$2:B573, B573)</f>
        <v>0.42857142857142855</v>
      </c>
    </row>
    <row r="574" spans="1:30" x14ac:dyDescent="0.25">
      <c r="A574" s="85">
        <v>46118</v>
      </c>
      <c r="B574" t="s">
        <v>55</v>
      </c>
      <c r="C574">
        <v>7</v>
      </c>
      <c r="D574" s="86">
        <v>0</v>
      </c>
      <c r="E574">
        <v>4</v>
      </c>
      <c r="F574">
        <v>1</v>
      </c>
      <c r="G574">
        <v>14</v>
      </c>
      <c r="H574">
        <v>5</v>
      </c>
      <c r="I574">
        <v>0.25</v>
      </c>
      <c r="J574">
        <v>0.36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1</v>
      </c>
      <c r="Y574">
        <v>0</v>
      </c>
      <c r="Z574">
        <v>0</v>
      </c>
      <c r="AA574" s="86">
        <f>AVERAGEIFS($C$2:C574, $B$2:B574, B574)</f>
        <v>8.9166666666666661</v>
      </c>
      <c r="AB574" s="86">
        <f>AVERAGEIFS($I$2:I574, $B$2:B574, B574)</f>
        <v>0.55000000000000004</v>
      </c>
      <c r="AC574" s="86">
        <f>AVERAGEIFS($J$2:J574, $B$2:B574, B574)</f>
        <v>0.53333333333333344</v>
      </c>
      <c r="AD574" s="86">
        <f>AVERAGEIFS($D$2:D574, $B$2:B574, B574)</f>
        <v>0.58333333333333337</v>
      </c>
    </row>
  </sheetData>
  <autoFilter ref="A1:AD574" xr:uid="{4D149F3A-41D8-4DA9-BFC4-DDE1AD24595A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64EE5-D164-41BC-AAB9-B3B061513FC6}">
  <dimension ref="A1:AE36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H42" sqref="H41:H42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1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146</v>
      </c>
      <c r="Z1" s="32" t="s">
        <v>57</v>
      </c>
      <c r="AA1" s="32" t="s">
        <v>56</v>
      </c>
      <c r="AB1" s="32" t="s">
        <v>9</v>
      </c>
      <c r="AC1" s="32" t="s">
        <v>30</v>
      </c>
      <c r="AD1" s="32" t="s">
        <v>11</v>
      </c>
      <c r="AE1" s="46" t="s">
        <v>39</v>
      </c>
    </row>
    <row r="2" spans="1:31" x14ac:dyDescent="0.25">
      <c r="A2" s="2" t="s">
        <v>155</v>
      </c>
      <c r="B2" s="3" t="s">
        <v>79</v>
      </c>
      <c r="C2" s="3" t="s">
        <v>79</v>
      </c>
      <c r="D2" s="34">
        <f>SUMIFS('OB History S2'!C:C,'OB History S2'!B:B,A2)</f>
        <v>16</v>
      </c>
      <c r="E2" s="4">
        <f>AVERAGEIFS('OB History S2'!C:C,'OB History S2'!B:B,A2)</f>
        <v>8</v>
      </c>
      <c r="F2" s="35">
        <f t="array" ref="F2">MAX(IF('OB History S2'!B:B=A2, 'OB History S2'!C:C))</f>
        <v>8</v>
      </c>
      <c r="G2" s="34">
        <f>COUNTIFS('OB History S2'!B:B,A2,'OB History S2'!D:D, 1)</f>
        <v>2</v>
      </c>
      <c r="H2" s="2">
        <f>COUNTIFS('OB History S2'!B:B,A2,'OB History S2'!D:D, 0)</f>
        <v>0</v>
      </c>
      <c r="I2" s="88">
        <f>LOOKUP(2, 1/('OB History S2'!$B:$B=A2), 'OB History S2'!$AD:$AD)</f>
        <v>1</v>
      </c>
      <c r="J2" s="34">
        <f>SUMIFS('OB History S2'!F:F,'OB History S2'!B:B,A2)</f>
        <v>6</v>
      </c>
      <c r="K2" s="2">
        <f>SUMIFS('OB History S2'!E:E,'OB History S2'!B:B,A2)-J2</f>
        <v>2</v>
      </c>
      <c r="L2" s="88">
        <f>LOOKUP(2, 1/('OB History S2'!$B:$B=A2), 'OB History S2'!$AB:$AB)</f>
        <v>0.75</v>
      </c>
      <c r="M2" s="34">
        <f>SUMIFS('OB History S2'!H:H,'OB History S2'!B:B,A2)</f>
        <v>20</v>
      </c>
      <c r="N2" s="2">
        <f>SUMIFS('OB History S2'!G:G,'OB History S2'!B:B,A2)-M2</f>
        <v>9</v>
      </c>
      <c r="O2" s="88">
        <f>LOOKUP(2, 1/('OB History S2'!$B:$B=A2), 'OB History S2'!$AC:$AC)</f>
        <v>0.68500000000000005</v>
      </c>
      <c r="P2" s="2">
        <f>COUNTIFS('OB History S2'!$B:$B,$A$2,'OB History S2'!K:K, 1)</f>
        <v>0</v>
      </c>
      <c r="Q2" s="2">
        <f>COUNTIFS('OB History S2'!$B:$B,$A$2,'OB History S2'!L:L, 1)</f>
        <v>0</v>
      </c>
      <c r="R2" s="2">
        <f>COUNTIFS('OB History S2'!$B:$B,$A$2,'OB History S2'!M:M, 1)</f>
        <v>0</v>
      </c>
      <c r="S2" s="2">
        <f>COUNTIFS('OB History S2'!$B:$B,$A$2,'OB History S2'!N:N, 1)</f>
        <v>1</v>
      </c>
      <c r="T2" s="2">
        <f>COUNTIFS('OB History S2'!$B:$B,$A$2,'OB History S2'!O:O, 1)</f>
        <v>0</v>
      </c>
      <c r="U2" s="2">
        <f>COUNTIFS('OB History S2'!$B:$B,$A$2,'OB History S2'!P:P, 1)</f>
        <v>1</v>
      </c>
      <c r="V2" s="2">
        <f>COUNTIFS('OB History S2'!$B:$B,$A$2,'OB History S2'!Q:Q, 1)</f>
        <v>0</v>
      </c>
      <c r="W2" s="2">
        <f>COUNTIFS('OB History S2'!$B:$B,$A$2,'OB History S2'!R:R, 1)</f>
        <v>0</v>
      </c>
      <c r="X2" s="2">
        <f>COUNTIFS('OB History S2'!$B:$B,$A$2,'OB History S2'!S:S, 1)</f>
        <v>0</v>
      </c>
      <c r="Y2" s="2">
        <f>COUNTIFS('OB History S2'!$B:$B,$A$2,'OB History S2'!T:T, 1)</f>
        <v>0</v>
      </c>
      <c r="Z2" s="2">
        <f>COUNTIFS('OB History S2'!$B:$B,$A$2,'OB History S2'!U:U, 1)</f>
        <v>1</v>
      </c>
      <c r="AA2" s="2">
        <f>COUNTIFS('OB History S2'!$B:$B,$A$2,'OB History S2'!V:V, 1)</f>
        <v>0</v>
      </c>
      <c r="AB2" s="2">
        <f>COUNTIFS('OB History S2'!$B:$B,$A$2,'OB History S2'!W:W, 1)</f>
        <v>1</v>
      </c>
      <c r="AC2" s="2">
        <f>COUNTIFS('OB History S2'!$B:$B,$A$2,'OB History S2'!X:X, 1)</f>
        <v>1</v>
      </c>
      <c r="AD2" s="2">
        <f>COUNTIFS('OB History S2'!$B:$B,$A$2,'OB History S2'!Y:Y, 1)</f>
        <v>1</v>
      </c>
      <c r="AE2" s="2">
        <f>COUNTIFS('OB History S2'!$B:$B,$A$2,'OB History S2'!Z:Z, 1)</f>
        <v>0</v>
      </c>
    </row>
    <row r="3" spans="1:31" x14ac:dyDescent="0.25">
      <c r="A3" s="2" t="s">
        <v>141</v>
      </c>
      <c r="B3" s="3" t="s">
        <v>79</v>
      </c>
      <c r="C3" s="3" t="s">
        <v>79</v>
      </c>
      <c r="D3" s="34">
        <f>SUMIFS('OB History S2'!C:C,'OB History S2'!B:B,A3)</f>
        <v>2</v>
      </c>
      <c r="E3" s="4">
        <f>AVERAGEIFS('OB History S2'!C:C,'OB History S2'!B:B,A3)</f>
        <v>2</v>
      </c>
      <c r="F3" s="35">
        <f t="array" ref="F3">MAX(IF('OB History S2'!B:B=A3, 'OB History S2'!C:C))</f>
        <v>2</v>
      </c>
      <c r="G3" s="34">
        <f>COUNTIFS('OB History S2'!B:B,A3,'OB History S2'!D:D, 1)</f>
        <v>0</v>
      </c>
      <c r="H3" s="2">
        <f>COUNTIFS('OB History S2'!B:B,A3,'OB History S2'!D:D, 0)</f>
        <v>1</v>
      </c>
      <c r="I3" s="88">
        <f>LOOKUP(2, 1/('OB History S2'!$B:$B=A3), 'OB History S2'!$AD:$AD)</f>
        <v>0</v>
      </c>
      <c r="J3" s="34">
        <f>SUMIFS('OB History S2'!F:F,'OB History S2'!B:B,A3)</f>
        <v>0</v>
      </c>
      <c r="K3" s="2">
        <f>SUMIFS('OB History S2'!E:E,'OB History S2'!B:B,A3)-J3</f>
        <v>3</v>
      </c>
      <c r="L3" s="88">
        <f>LOOKUP(2, 1/('OB History S2'!$B:$B=A3), 'OB History S2'!$AB:$AB)</f>
        <v>0</v>
      </c>
      <c r="M3" s="34">
        <f>SUMIFS('OB History S2'!H:H,'OB History S2'!B:B,A3)</f>
        <v>2</v>
      </c>
      <c r="N3" s="2">
        <f>SUMIFS('OB History S2'!G:G,'OB History S2'!B:B,A3)-M3</f>
        <v>9</v>
      </c>
      <c r="O3" s="88">
        <f>LOOKUP(2, 1/('OB History S2'!$B:$B=A3), 'OB History S2'!$AC:$AC)</f>
        <v>0.18</v>
      </c>
      <c r="P3" s="2">
        <f>COUNTIFS('OB History S2'!$B:$B,$A$3,'OB History S2'!K:K, 1)</f>
        <v>0</v>
      </c>
      <c r="Q3" s="2">
        <f>COUNTIFS('OB History S2'!$B:$B,$A$3,'OB History S2'!L:L, 1)</f>
        <v>0</v>
      </c>
      <c r="R3" s="2">
        <f>COUNTIFS('OB History S2'!$B:$B,$A$3,'OB History S2'!M:M, 1)</f>
        <v>0</v>
      </c>
      <c r="S3" s="2">
        <f>COUNTIFS('OB History S2'!$B:$B,$A$3,'OB History S2'!N:N, 1)</f>
        <v>0</v>
      </c>
      <c r="T3" s="2">
        <f>COUNTIFS('OB History S2'!$B:$B,$A$3,'OB History S2'!O:O, 1)</f>
        <v>0</v>
      </c>
      <c r="U3" s="2">
        <f>COUNTIFS('OB History S2'!$B:$B,$A$3,'OB History S2'!P:P, 1)</f>
        <v>0</v>
      </c>
      <c r="V3" s="2">
        <f>COUNTIFS('OB History S2'!$B:$B,$A$3,'OB History S2'!Q:Q, 1)</f>
        <v>0</v>
      </c>
      <c r="W3" s="2">
        <f>COUNTIFS('OB History S2'!$B:$B,$A$3,'OB History S2'!R:R, 1)</f>
        <v>0</v>
      </c>
      <c r="X3" s="2">
        <f>COUNTIFS('OB History S2'!$B:$B,$A$3,'OB History S2'!S:S, 1)</f>
        <v>0</v>
      </c>
      <c r="Y3" s="2">
        <f>COUNTIFS('OB History S2'!$B:$B,$A$3,'OB History S2'!T:T, 1)</f>
        <v>0</v>
      </c>
      <c r="Z3" s="2">
        <f>COUNTIFS('OB History S2'!$B:$B,$A$3,'OB History S2'!U:U, 1)</f>
        <v>0</v>
      </c>
      <c r="AA3" s="2">
        <f>COUNTIFS('OB History S2'!$B:$B,$A$3,'OB History S2'!V:V, 1)</f>
        <v>0</v>
      </c>
      <c r="AB3" s="2">
        <f>COUNTIFS('OB History S2'!$B:$B,$A$3,'OB History S2'!W:W, 1)</f>
        <v>0</v>
      </c>
      <c r="AC3" s="2">
        <f>COUNTIFS('OB History S2'!$B:$B,$A$3,'OB History S2'!X:X, 1)</f>
        <v>0</v>
      </c>
      <c r="AD3" s="2">
        <f>COUNTIFS('OB History S2'!$B:$B,$A$3,'OB History S2'!Y:Y, 1)</f>
        <v>0</v>
      </c>
      <c r="AE3" s="2">
        <f>COUNTIFS('OB History S2'!$B:$B,$A$3,'OB History S2'!Z:Z, 1)</f>
        <v>0</v>
      </c>
    </row>
    <row r="4" spans="1:31" x14ac:dyDescent="0.25">
      <c r="A4" s="2" t="s">
        <v>37</v>
      </c>
      <c r="B4" s="2" t="s">
        <v>79</v>
      </c>
      <c r="C4" s="2" t="s">
        <v>79</v>
      </c>
      <c r="D4" s="34">
        <f>SUMIFS('OB History S2'!C:C,'OB History S2'!B:B,A4)</f>
        <v>36</v>
      </c>
      <c r="E4" s="4">
        <f>AVERAGEIFS('OB History S2'!C:C,'OB History S2'!B:B,A4)</f>
        <v>36</v>
      </c>
      <c r="F4" s="35">
        <f t="array" ref="F4">MAX(IF('OB History S2'!B:B=A4, 'OB History S2'!C:C))</f>
        <v>36</v>
      </c>
      <c r="G4" s="34">
        <f>COUNTIFS('OB History S2'!B:B,A4,'OB History S2'!D:D, 1)</f>
        <v>1</v>
      </c>
      <c r="H4" s="2">
        <f>COUNTIFS('OB History S2'!B:B,A4,'OB History S2'!D:D, 0)</f>
        <v>0</v>
      </c>
      <c r="I4" s="88">
        <f>LOOKUP(2, 1/('OB History S2'!$B:$B=A4), 'OB History S2'!$AD:$AD)</f>
        <v>1</v>
      </c>
      <c r="J4" s="34">
        <f>SUMIFS('OB History S2'!F:F,'OB History S2'!B:B,A4)</f>
        <v>3</v>
      </c>
      <c r="K4" s="2">
        <f>SUMIFS('OB History S2'!E:E,'OB History S2'!B:B,A4)-J4</f>
        <v>2</v>
      </c>
      <c r="L4" s="88">
        <f>LOOKUP(2, 1/('OB History S2'!$B:$B=A4), 'OB History S2'!$AB:$AB)</f>
        <v>0.6</v>
      </c>
      <c r="M4" s="34">
        <f>SUMIFS('OB History S2'!H:H,'OB History S2'!B:B,A4)</f>
        <v>13</v>
      </c>
      <c r="N4" s="2">
        <f>SUMIFS('OB History S2'!G:G,'OB History S2'!B:B,A4)-M4</f>
        <v>8</v>
      </c>
      <c r="O4" s="88">
        <f>LOOKUP(2, 1/('OB History S2'!$B:$B=A4), 'OB History S2'!$AC:$AC)</f>
        <v>0.62</v>
      </c>
      <c r="P4" s="2">
        <f>COUNTIFS('OB History S2'!$B:$B,$A$4,'OB History S2'!K:K, 1)</f>
        <v>0</v>
      </c>
      <c r="Q4" s="2">
        <f>COUNTIFS('OB History S2'!$B:$B,$A$4,'OB History S2'!L:L, 1)</f>
        <v>0</v>
      </c>
      <c r="R4" s="2">
        <f>COUNTIFS('OB History S2'!$B:$B,$A$4,'OB History S2'!M:M, 1)</f>
        <v>1</v>
      </c>
      <c r="S4" s="2">
        <f>COUNTIFS('OB History S2'!$B:$B,$A$4,'OB History S2'!N:N, 1)</f>
        <v>0</v>
      </c>
      <c r="T4" s="2">
        <f>COUNTIFS('OB History S2'!$B:$B,$A$4,'OB History S2'!O:O, 1)</f>
        <v>0</v>
      </c>
      <c r="U4" s="2">
        <f>COUNTIFS('OB History S2'!$B:$B,$A$4,'OB History S2'!P:P, 1)</f>
        <v>0</v>
      </c>
      <c r="V4" s="2">
        <f>COUNTIFS('OB History S2'!$B:$B,$A$4,'OB History S2'!Q:Q, 1)</f>
        <v>0</v>
      </c>
      <c r="W4" s="2">
        <f>COUNTIFS('OB History S2'!$B:$B,$A$4,'OB History S2'!R:R, 1)</f>
        <v>0</v>
      </c>
      <c r="X4" s="2">
        <f>COUNTIFS('OB History S2'!$B:$B,$A$4,'OB History S2'!S:S, 1)</f>
        <v>0</v>
      </c>
      <c r="Y4" s="2">
        <f>COUNTIFS('OB History S2'!$B:$B,$A$4,'OB History S2'!T:T, 1)</f>
        <v>1</v>
      </c>
      <c r="Z4" s="2">
        <f>COUNTIFS('OB History S2'!$B:$B,$A$4,'OB History S2'!U:U, 1)</f>
        <v>0</v>
      </c>
      <c r="AA4" s="2">
        <f>COUNTIFS('OB History S2'!$B:$B,$A$4,'OB History S2'!V:V, 1)</f>
        <v>0</v>
      </c>
      <c r="AB4" s="2">
        <f>COUNTIFS('OB History S2'!$B:$B,$A$4,'OB History S2'!W:W, 1)</f>
        <v>0</v>
      </c>
      <c r="AC4" s="2">
        <f>COUNTIFS('OB History S2'!$B:$B,$A$4,'OB History S2'!X:X, 1)</f>
        <v>0</v>
      </c>
      <c r="AD4" s="2">
        <f>COUNTIFS('OB History S2'!$B:$B,$A$4,'OB History S2'!Y:Y, 1)</f>
        <v>1</v>
      </c>
      <c r="AE4" s="2">
        <f>COUNTIFS('OB History S2'!$B:$B,$A$4,'OB History S2'!Z:Z, 1)</f>
        <v>0</v>
      </c>
    </row>
    <row r="5" spans="1:31" x14ac:dyDescent="0.25">
      <c r="A5" s="2" t="s">
        <v>34</v>
      </c>
      <c r="B5" s="2" t="s">
        <v>79</v>
      </c>
      <c r="C5" s="2" t="s">
        <v>79</v>
      </c>
      <c r="D5" s="34">
        <f>SUMIFS('OB History S2'!C:C,'OB History S2'!B:B,A5)</f>
        <v>29</v>
      </c>
      <c r="E5" s="4">
        <f>AVERAGEIFS('OB History S2'!C:C,'OB History S2'!B:B,A5)</f>
        <v>14.5</v>
      </c>
      <c r="F5" s="35">
        <f t="array" ref="F5">MAX(IF('OB History S2'!B:B=A5, 'OB History S2'!C:C))</f>
        <v>18</v>
      </c>
      <c r="G5" s="34">
        <f>COUNTIFS('OB History S2'!B:B,A5,'OB History S2'!D:D, 1)</f>
        <v>2</v>
      </c>
      <c r="H5" s="2">
        <f>COUNTIFS('OB History S2'!B:B,A5,'OB History S2'!D:D, 0)</f>
        <v>0</v>
      </c>
      <c r="I5" s="88">
        <f>LOOKUP(2, 1/('OB History S2'!$B:$B=A5), 'OB History S2'!$AD:$AD)</f>
        <v>1</v>
      </c>
      <c r="J5" s="34">
        <f>SUMIFS('OB History S2'!F:F,'OB History S2'!B:B,A5)</f>
        <v>6</v>
      </c>
      <c r="K5" s="2">
        <f>SUMIFS('OB History S2'!E:E,'OB History S2'!B:B,A5)-J5</f>
        <v>2</v>
      </c>
      <c r="L5" s="88">
        <f>LOOKUP(2, 1/('OB History S2'!$B:$B=A5), 'OB History S2'!$AB:$AB)</f>
        <v>0.8</v>
      </c>
      <c r="M5" s="34">
        <f>SUMIFS('OB History S2'!H:H,'OB History S2'!B:B,A5)</f>
        <v>20</v>
      </c>
      <c r="N5" s="2">
        <f>SUMIFS('OB History S2'!G:G,'OB History S2'!B:B,A5)-M5</f>
        <v>12</v>
      </c>
      <c r="O5" s="88">
        <f>LOOKUP(2, 1/('OB History S2'!$B:$B=A5), 'OB History S2'!$AC:$AC)</f>
        <v>0.66999999999999993</v>
      </c>
      <c r="P5" s="2">
        <f>COUNTIFS('OB History S2'!$B:$B,$A$5,'OB History S2'!K:K, 1)</f>
        <v>0</v>
      </c>
      <c r="Q5" s="2">
        <f>COUNTIFS('OB History S2'!$B:$B,$A$5,'OB History S2'!L:L, 1)</f>
        <v>2</v>
      </c>
      <c r="R5" s="2">
        <f>COUNTIFS('OB History S2'!$B:$B,$A$5,'OB History S2'!M:M, 1)</f>
        <v>0</v>
      </c>
      <c r="S5" s="2">
        <f>COUNTIFS('OB History S2'!$B:$B,$A$5,'OB History S2'!N:N, 1)</f>
        <v>0</v>
      </c>
      <c r="T5" s="2">
        <f>COUNTIFS('OB History S2'!$B:$B,$A$5,'OB History S2'!O:O, 1)</f>
        <v>0</v>
      </c>
      <c r="U5" s="2">
        <f>COUNTIFS('OB History S2'!$B:$B,$A$5,'OB History S2'!P:P, 1)</f>
        <v>0</v>
      </c>
      <c r="V5" s="2">
        <f>COUNTIFS('OB History S2'!$B:$B,$A$5,'OB History S2'!Q:Q, 1)</f>
        <v>0</v>
      </c>
      <c r="W5" s="2">
        <f>COUNTIFS('OB History S2'!$B:$B,$A$5,'OB History S2'!R:R, 1)</f>
        <v>0</v>
      </c>
      <c r="X5" s="2">
        <f>COUNTIFS('OB History S2'!$B:$B,$A$5,'OB History S2'!S:S, 1)</f>
        <v>0</v>
      </c>
      <c r="Y5" s="2">
        <f>COUNTIFS('OB History S2'!$B:$B,$A$5,'OB History S2'!T:T, 1)</f>
        <v>0</v>
      </c>
      <c r="Z5" s="2">
        <f>COUNTIFS('OB History S2'!$B:$B,$A$5,'OB History S2'!U:U, 1)</f>
        <v>0</v>
      </c>
      <c r="AA5" s="2">
        <f>COUNTIFS('OB History S2'!$B:$B,$A$5,'OB History S2'!V:V, 1)</f>
        <v>0</v>
      </c>
      <c r="AB5" s="2">
        <f>COUNTIFS('OB History S2'!$B:$B,$A$5,'OB History S2'!W:W, 1)</f>
        <v>0</v>
      </c>
      <c r="AC5" s="2">
        <f>COUNTIFS('OB History S2'!$B:$B,$A$5,'OB History S2'!X:X, 1)</f>
        <v>2</v>
      </c>
      <c r="AD5" s="2">
        <f>COUNTIFS('OB History S2'!$B:$B,$A$5,'OB History S2'!Y:Y, 1)</f>
        <v>2</v>
      </c>
      <c r="AE5" s="2">
        <f>COUNTIFS('OB History S2'!$B:$B,$A$5,'OB History S2'!Z:Z, 1)</f>
        <v>0</v>
      </c>
    </row>
    <row r="6" spans="1:31" ht="15.75" x14ac:dyDescent="0.25">
      <c r="A6" s="2" t="s">
        <v>35</v>
      </c>
      <c r="B6" s="80" t="s">
        <v>60</v>
      </c>
      <c r="C6" s="2" t="s">
        <v>79</v>
      </c>
      <c r="D6" s="34">
        <f>SUMIFS('OB History S2'!C:C,'OB History S2'!B:B,A6)</f>
        <v>55</v>
      </c>
      <c r="E6" s="4">
        <f>AVERAGEIFS('OB History S2'!C:C,'OB History S2'!B:B,A6)</f>
        <v>13.75</v>
      </c>
      <c r="F6" s="35">
        <f t="array" ref="F6">MAX(IF('OB History S2'!B:B=A6, 'OB History S2'!C:C))</f>
        <v>20</v>
      </c>
      <c r="G6" s="34">
        <f>COUNTIFS('OB History S2'!B:B,A6,'OB History S2'!D:D, 1)</f>
        <v>1</v>
      </c>
      <c r="H6" s="2">
        <f>COUNTIFS('OB History S2'!B:B,A6,'OB History S2'!D:D, 0)</f>
        <v>3</v>
      </c>
      <c r="I6" s="88">
        <f>LOOKUP(2, 1/('OB History S2'!$B:$B=A6), 'OB History S2'!$AD:$AD)</f>
        <v>0.25</v>
      </c>
      <c r="J6" s="34">
        <f>SUMIFS('OB History S2'!F:F,'OB History S2'!B:B,A6)</f>
        <v>6</v>
      </c>
      <c r="K6" s="2">
        <f>SUMIFS('OB History S2'!E:E,'OB History S2'!B:B,A6)-J6</f>
        <v>10</v>
      </c>
      <c r="L6" s="88">
        <f>LOOKUP(2, 1/('OB History S2'!$B:$B=A6), 'OB History S2'!$AB:$AB)</f>
        <v>0.35</v>
      </c>
      <c r="M6" s="34">
        <f>SUMIFS('OB History S2'!H:H,'OB History S2'!B:B,A6)</f>
        <v>25</v>
      </c>
      <c r="N6" s="2">
        <f>SUMIFS('OB History S2'!G:G,'OB History S2'!B:B,A6)-M6</f>
        <v>36</v>
      </c>
      <c r="O6" s="88">
        <f>LOOKUP(2, 1/('OB History S2'!$B:$B=A6), 'OB History S2'!$AC:$AC)</f>
        <v>0.39249999999999996</v>
      </c>
      <c r="P6" s="2">
        <f>COUNTIFS('OB History S2'!$B:$B,$A$6,'OB History S2'!K:K, 1)</f>
        <v>1</v>
      </c>
      <c r="Q6" s="2">
        <f>COUNTIFS('OB History S2'!$B:$B,$A$6,'OB History S2'!L:L, 1)</f>
        <v>0</v>
      </c>
      <c r="R6" s="2">
        <f>COUNTIFS('OB History S2'!$B:$B,$A$6,'OB History S2'!M:M, 1)</f>
        <v>0</v>
      </c>
      <c r="S6" s="2">
        <f>COUNTIFS('OB History S2'!$B:$B,$A$6,'OB History S2'!N:N, 1)</f>
        <v>0</v>
      </c>
      <c r="T6" s="2">
        <f>COUNTIFS('OB History S2'!$B:$B,$A$6,'OB History S2'!O:O, 1)</f>
        <v>0</v>
      </c>
      <c r="U6" s="2">
        <f>COUNTIFS('OB History S2'!$B:$B,$A$6,'OB History S2'!P:P, 1)</f>
        <v>1</v>
      </c>
      <c r="V6" s="2">
        <f>COUNTIFS('OB History S2'!$B:$B,$A$6,'OB History S2'!Q:Q, 1)</f>
        <v>0</v>
      </c>
      <c r="W6" s="2">
        <f>COUNTIFS('OB History S2'!$B:$B,$A$6,'OB History S2'!R:R, 1)</f>
        <v>0</v>
      </c>
      <c r="X6" s="2">
        <f>COUNTIFS('OB History S2'!$B:$B,$A$6,'OB History S2'!S:S, 1)</f>
        <v>0</v>
      </c>
      <c r="Y6" s="2">
        <f>COUNTIFS('OB History S2'!$B:$B,$A$6,'OB History S2'!T:T, 1)</f>
        <v>0</v>
      </c>
      <c r="Z6" s="2">
        <f>COUNTIFS('OB History S2'!$B:$B,$A$6,'OB History S2'!U:U, 1)</f>
        <v>0</v>
      </c>
      <c r="AA6" s="2">
        <f>COUNTIFS('OB History S2'!$B:$B,$A$6,'OB History S2'!V:V, 1)</f>
        <v>0</v>
      </c>
      <c r="AB6" s="2">
        <f>COUNTIFS('OB History S2'!$B:$B,$A$6,'OB History S2'!W:W, 1)</f>
        <v>2</v>
      </c>
      <c r="AC6" s="2">
        <f>COUNTIFS('OB History S2'!$B:$B,$A$6,'OB History S2'!X:X, 1)</f>
        <v>0</v>
      </c>
      <c r="AD6" s="2">
        <f>COUNTIFS('OB History S2'!$B:$B,$A$6,'OB History S2'!Y:Y, 1)</f>
        <v>1</v>
      </c>
      <c r="AE6" s="2">
        <f>COUNTIFS('OB History S2'!$B:$B,$A$6,'OB History S2'!Z:Z, 1)</f>
        <v>1</v>
      </c>
    </row>
    <row r="7" spans="1:31" ht="15.75" x14ac:dyDescent="0.25">
      <c r="A7" s="2" t="s">
        <v>19</v>
      </c>
      <c r="B7" s="80" t="s">
        <v>79</v>
      </c>
      <c r="C7" s="2" t="s">
        <v>79</v>
      </c>
      <c r="D7" s="34">
        <f>SUMIFS('OB History S2'!C:C,'OB History S2'!B:B,A7)</f>
        <v>10</v>
      </c>
      <c r="E7" s="4">
        <f>AVERAGEIFS('OB History S2'!C:C,'OB History S2'!B:B,A7)</f>
        <v>10</v>
      </c>
      <c r="F7" s="35">
        <f t="array" ref="F7">MAX(IF('OB History S2'!B:B=A7, 'OB History S2'!C:C))</f>
        <v>10</v>
      </c>
      <c r="G7" s="34">
        <f>COUNTIFS('OB History S2'!B:B,A7,'OB History S2'!D:D, 1)</f>
        <v>0</v>
      </c>
      <c r="H7" s="2">
        <f>COUNTIFS('OB History S2'!B:B,A7,'OB History S2'!D:D, 0)</f>
        <v>1</v>
      </c>
      <c r="I7" s="88">
        <f>LOOKUP(2, 1/('OB History S2'!$B:$B=A7), 'OB History S2'!$AD:$AD)</f>
        <v>0</v>
      </c>
      <c r="J7" s="34">
        <f>SUMIFS('OB History S2'!F:F,'OB History S2'!B:B,A7)</f>
        <v>1</v>
      </c>
      <c r="K7" s="2">
        <f>SUMIFS('OB History S2'!E:E,'OB History S2'!B:B,A7)-J7</f>
        <v>3</v>
      </c>
      <c r="L7" s="88">
        <f>LOOKUP(2, 1/('OB History S2'!$B:$B=A7), 'OB History S2'!$AB:$AB)</f>
        <v>0.25</v>
      </c>
      <c r="M7" s="34">
        <f>SUMIFS('OB History S2'!H:H,'OB History S2'!B:B,A7)</f>
        <v>4</v>
      </c>
      <c r="N7" s="2">
        <f>SUMIFS('OB History S2'!G:G,'OB History S2'!B:B,A7)-M7</f>
        <v>11</v>
      </c>
      <c r="O7" s="88">
        <f>LOOKUP(2, 1/('OB History S2'!$B:$B=A7), 'OB History S2'!$AC:$AC)</f>
        <v>0.27</v>
      </c>
      <c r="P7" s="2">
        <f>COUNTIFS('OB History S2'!$B:$B,$A$7,'OB History S2'!K:K, 1)</f>
        <v>0</v>
      </c>
      <c r="Q7" s="2">
        <f>COUNTIFS('OB History S2'!$B:$B,$A$7,'OB History S2'!L:L, 1)</f>
        <v>0</v>
      </c>
      <c r="R7" s="2">
        <f>COUNTIFS('OB History S2'!$B:$B,$A$7,'OB History S2'!M:M, 1)</f>
        <v>0</v>
      </c>
      <c r="S7" s="2">
        <f>COUNTIFS('OB History S2'!$B:$B,$A$7,'OB History S2'!N:N, 1)</f>
        <v>0</v>
      </c>
      <c r="T7" s="2">
        <f>COUNTIFS('OB History S2'!$B:$B,$A$7,'OB History S2'!O:O, 1)</f>
        <v>0</v>
      </c>
      <c r="U7" s="2">
        <f>COUNTIFS('OB History S2'!$B:$B,$A$7,'OB History S2'!P:P, 1)</f>
        <v>0</v>
      </c>
      <c r="V7" s="2">
        <f>COUNTIFS('OB History S2'!$B:$B,$A$7,'OB History S2'!Q:Q, 1)</f>
        <v>0</v>
      </c>
      <c r="W7" s="2">
        <f>COUNTIFS('OB History S2'!$B:$B,$A$7,'OB History S2'!R:R, 1)</f>
        <v>0</v>
      </c>
      <c r="X7" s="2">
        <f>COUNTIFS('OB History S2'!$B:$B,$A$7,'OB History S2'!S:S, 1)</f>
        <v>0</v>
      </c>
      <c r="Y7" s="2">
        <f>COUNTIFS('OB History S2'!$B:$B,$A$7,'OB History S2'!T:T, 1)</f>
        <v>0</v>
      </c>
      <c r="Z7" s="2">
        <f>COUNTIFS('OB History S2'!$B:$B,$A$7,'OB History S2'!U:U, 1)</f>
        <v>0</v>
      </c>
      <c r="AA7" s="2">
        <f>COUNTIFS('OB History S2'!$B:$B,$A$7,'OB History S2'!V:V, 1)</f>
        <v>0</v>
      </c>
      <c r="AB7" s="2">
        <f>COUNTIFS('OB History S2'!$B:$B,$A$7,'OB History S2'!W:W, 1)</f>
        <v>0</v>
      </c>
      <c r="AC7" s="2">
        <f>COUNTIFS('OB History S2'!$B:$B,$A$7,'OB History S2'!X:X, 1)</f>
        <v>0</v>
      </c>
      <c r="AD7" s="2">
        <f>COUNTIFS('OB History S2'!$B:$B,$A$7,'OB History S2'!Y:Y, 1)</f>
        <v>0</v>
      </c>
      <c r="AE7" s="2">
        <f>COUNTIFS('OB History S2'!$B:$B,$A$7,'OB History S2'!Z:Z, 1)</f>
        <v>1</v>
      </c>
    </row>
    <row r="8" spans="1:31" x14ac:dyDescent="0.25">
      <c r="A8" s="1" t="s">
        <v>42</v>
      </c>
      <c r="B8" s="6" t="s">
        <v>60</v>
      </c>
      <c r="C8" s="2" t="s">
        <v>79</v>
      </c>
      <c r="D8" s="34">
        <f>SUMIFS('OB History S2'!C:C,'OB History S2'!B:B,A8)</f>
        <v>41</v>
      </c>
      <c r="E8" s="4">
        <f>AVERAGEIFS('OB History S2'!C:C,'OB History S2'!B:B,A8)</f>
        <v>13.666666666666666</v>
      </c>
      <c r="F8" s="35">
        <f t="array" ref="F8">MAX(IF('OB History S2'!B:B=A8, 'OB History S2'!C:C))</f>
        <v>29</v>
      </c>
      <c r="G8" s="34">
        <f>COUNTIFS('OB History S2'!B:B,A8,'OB History S2'!D:D, 1)</f>
        <v>0</v>
      </c>
      <c r="H8" s="2">
        <f>COUNTIFS('OB History S2'!B:B,A8,'OB History S2'!D:D, 0)</f>
        <v>3</v>
      </c>
      <c r="I8" s="88">
        <f>LOOKUP(2, 1/('OB History S2'!$B:$B=A8), 'OB History S2'!$AD:$AD)</f>
        <v>0</v>
      </c>
      <c r="J8" s="34">
        <f>SUMIFS('OB History S2'!F:F,'OB History S2'!B:B,A8)</f>
        <v>2</v>
      </c>
      <c r="K8" s="2">
        <f>SUMIFS('OB History S2'!E:E,'OB History S2'!B:B,A8)-J8</f>
        <v>9</v>
      </c>
      <c r="L8" s="88">
        <f>LOOKUP(2, 1/('OB History S2'!$B:$B=A8), 'OB History S2'!$AB:$AB)</f>
        <v>0.13333333333333333</v>
      </c>
      <c r="M8" s="34">
        <f>SUMIFS('OB History S2'!H:H,'OB History S2'!B:B,A8)</f>
        <v>16</v>
      </c>
      <c r="N8" s="2">
        <f>SUMIFS('OB History S2'!G:G,'OB History S2'!B:B,A8)-M8</f>
        <v>29</v>
      </c>
      <c r="O8" s="88">
        <f>LOOKUP(2, 1/('OB History S2'!$B:$B=A8), 'OB History S2'!$AC:$AC)</f>
        <v>0.32333333333333331</v>
      </c>
      <c r="P8" s="2">
        <f>COUNTIFS('OB History S2'!$B:$B,$A$8,'OB History S2'!K:K, 1)</f>
        <v>1</v>
      </c>
      <c r="Q8" s="2">
        <f>COUNTIFS('OB History S2'!$B:$B,$A$8,'OB History S2'!L:L, 1)</f>
        <v>0</v>
      </c>
      <c r="R8" s="2">
        <f>COUNTIFS('OB History S2'!$B:$B,$A$8,'OB History S2'!M:M, 1)</f>
        <v>0</v>
      </c>
      <c r="S8" s="2">
        <f>COUNTIFS('OB History S2'!$B:$B,$A$8,'OB History S2'!N:N, 1)</f>
        <v>0</v>
      </c>
      <c r="T8" s="2">
        <f>COUNTIFS('OB History S2'!$B:$B,$A$8,'OB History S2'!O:O, 1)</f>
        <v>0</v>
      </c>
      <c r="U8" s="2">
        <f>COUNTIFS('OB History S2'!$B:$B,$A$8,'OB History S2'!P:P, 1)</f>
        <v>0</v>
      </c>
      <c r="V8" s="2">
        <f>COUNTIFS('OB History S2'!$B:$B,$A$8,'OB History S2'!Q:Q, 1)</f>
        <v>0</v>
      </c>
      <c r="W8" s="2">
        <f>COUNTIFS('OB History S2'!$B:$B,$A$8,'OB History S2'!R:R, 1)</f>
        <v>0</v>
      </c>
      <c r="X8" s="2">
        <f>COUNTIFS('OB History S2'!$B:$B,$A$8,'OB History S2'!S:S, 1)</f>
        <v>0</v>
      </c>
      <c r="Y8" s="2">
        <f>COUNTIFS('OB History S2'!$B:$B,$A$8,'OB History S2'!T:T, 1)</f>
        <v>0</v>
      </c>
      <c r="Z8" s="2">
        <f>COUNTIFS('OB History S2'!$B:$B,$A$8,'OB History S2'!U:U, 1)</f>
        <v>0</v>
      </c>
      <c r="AA8" s="2">
        <f>COUNTIFS('OB History S2'!$B:$B,$A$8,'OB History S2'!V:V, 1)</f>
        <v>0</v>
      </c>
      <c r="AB8" s="2">
        <f>COUNTIFS('OB History S2'!$B:$B,$A$8,'OB History S2'!W:W, 1)</f>
        <v>1</v>
      </c>
      <c r="AC8" s="2">
        <f>COUNTIFS('OB History S2'!$B:$B,$A$8,'OB History S2'!X:X, 1)</f>
        <v>0</v>
      </c>
      <c r="AD8" s="2">
        <f>COUNTIFS('OB History S2'!$B:$B,$A$8,'OB History S2'!Y:Y, 1)</f>
        <v>0</v>
      </c>
      <c r="AE8" s="2">
        <f>COUNTIFS('OB History S2'!$B:$B,$A$8,'OB History S2'!Z:Z, 1)</f>
        <v>0</v>
      </c>
    </row>
    <row r="9" spans="1:31" x14ac:dyDescent="0.25">
      <c r="A9" s="1" t="s">
        <v>25</v>
      </c>
      <c r="B9" s="6" t="s">
        <v>79</v>
      </c>
      <c r="C9" s="2" t="s">
        <v>79</v>
      </c>
      <c r="D9" s="34">
        <f>SUMIFS('OB History S2'!C:C,'OB History S2'!B:B,A9)</f>
        <v>37</v>
      </c>
      <c r="E9" s="4">
        <f>AVERAGEIFS('OB History S2'!C:C,'OB History S2'!B:B,A9)</f>
        <v>18.5</v>
      </c>
      <c r="F9" s="35">
        <f t="array" ref="F9">MAX(IF('OB History S2'!B:B=A9, 'OB History S2'!C:C))</f>
        <v>19</v>
      </c>
      <c r="G9" s="34">
        <f>COUNTIFS('OB History S2'!B:B,A9,'OB History S2'!D:D, 1)</f>
        <v>0</v>
      </c>
      <c r="H9" s="2">
        <f>COUNTIFS('OB History S2'!B:B,A9,'OB History S2'!D:D, 0)</f>
        <v>2</v>
      </c>
      <c r="I9" s="88">
        <f>LOOKUP(2, 1/('OB History S2'!$B:$B=A9), 'OB History S2'!$AD:$AD)</f>
        <v>0</v>
      </c>
      <c r="J9" s="34">
        <f>SUMIFS('OB History S2'!F:F,'OB History S2'!B:B,A9)</f>
        <v>2</v>
      </c>
      <c r="K9" s="2">
        <f>SUMIFS('OB History S2'!E:E,'OB History S2'!B:B,A9)-J9</f>
        <v>6</v>
      </c>
      <c r="L9" s="88">
        <f>LOOKUP(2, 1/('OB History S2'!$B:$B=A9), 'OB History S2'!$AB:$AB)</f>
        <v>0.25</v>
      </c>
      <c r="M9" s="34">
        <f>SUMIFS('OB History S2'!H:H,'OB History S2'!B:B,A9)</f>
        <v>9</v>
      </c>
      <c r="N9" s="2">
        <f>SUMIFS('OB History S2'!G:G,'OB History S2'!B:B,A9)-M9</f>
        <v>20</v>
      </c>
      <c r="O9" s="88">
        <f>LOOKUP(2, 1/('OB History S2'!$B:$B=A9), 'OB History S2'!$AC:$AC)</f>
        <v>0.315</v>
      </c>
      <c r="P9" s="2">
        <f>COUNTIFS('OB History S2'!$B:$B,$A$9,'OB History S2'!K:K, 1)</f>
        <v>0</v>
      </c>
      <c r="Q9" s="2">
        <f>COUNTIFS('OB History S2'!$B:$B,$A$9,'OB History S2'!L:L, 1)</f>
        <v>0</v>
      </c>
      <c r="R9" s="2">
        <f>COUNTIFS('OB History S2'!$B:$B,$A$9,'OB History S2'!M:M, 1)</f>
        <v>0</v>
      </c>
      <c r="S9" s="2">
        <f>COUNTIFS('OB History S2'!$B:$B,$A$9,'OB History S2'!N:N, 1)</f>
        <v>0</v>
      </c>
      <c r="T9" s="2">
        <f>COUNTIFS('OB History S2'!$B:$B,$A$9,'OB History S2'!O:O, 1)</f>
        <v>0</v>
      </c>
      <c r="U9" s="2">
        <f>COUNTIFS('OB History S2'!$B:$B,$A$9,'OB History S2'!P:P, 1)</f>
        <v>0</v>
      </c>
      <c r="V9" s="2">
        <f>COUNTIFS('OB History S2'!$B:$B,$A$9,'OB History S2'!Q:Q, 1)</f>
        <v>0</v>
      </c>
      <c r="W9" s="2">
        <f>COUNTIFS('OB History S2'!$B:$B,$A$9,'OB History S2'!R:R, 1)</f>
        <v>0</v>
      </c>
      <c r="X9" s="2">
        <f>COUNTIFS('OB History S2'!$B:$B,$A$9,'OB History S2'!S:S, 1)</f>
        <v>0</v>
      </c>
      <c r="Y9" s="2">
        <f>COUNTIFS('OB History S2'!$B:$B,$A$9,'OB History S2'!T:T, 1)</f>
        <v>0</v>
      </c>
      <c r="Z9" s="2">
        <f>COUNTIFS('OB History S2'!$B:$B,$A$9,'OB History S2'!U:U, 1)</f>
        <v>0</v>
      </c>
      <c r="AA9" s="2">
        <f>COUNTIFS('OB History S2'!$B:$B,$A$9,'OB History S2'!V:V, 1)</f>
        <v>0</v>
      </c>
      <c r="AB9" s="2">
        <f>COUNTIFS('OB History S2'!$B:$B,$A$9,'OB History S2'!W:W, 1)</f>
        <v>0</v>
      </c>
      <c r="AC9" s="2">
        <f>COUNTIFS('OB History S2'!$B:$B,$A$9,'OB History S2'!X:X, 1)</f>
        <v>1</v>
      </c>
      <c r="AD9" s="2">
        <f>COUNTIFS('OB History S2'!$B:$B,$A$9,'OB History S2'!Y:Y, 1)</f>
        <v>0</v>
      </c>
      <c r="AE9" s="2">
        <f>COUNTIFS('OB History S2'!$B:$B,$A$9,'OB History S2'!Z:Z, 1)</f>
        <v>1</v>
      </c>
    </row>
    <row r="10" spans="1:31" x14ac:dyDescent="0.25">
      <c r="A10" s="1" t="s">
        <v>147</v>
      </c>
      <c r="B10" s="6" t="s">
        <v>79</v>
      </c>
      <c r="C10" s="2" t="s">
        <v>79</v>
      </c>
      <c r="D10" s="34">
        <f>SUMIFS('OB History S2'!C:C,'OB History S2'!B:B,A10)</f>
        <v>6</v>
      </c>
      <c r="E10" s="4">
        <f>AVERAGEIFS('OB History S2'!C:C,'OB History S2'!B:B,A10)</f>
        <v>6</v>
      </c>
      <c r="F10" s="35">
        <f t="array" ref="F10">MAX(IF('OB History S2'!B:B=A10, 'OB History S2'!C:C))</f>
        <v>6</v>
      </c>
      <c r="G10" s="34">
        <f>COUNTIFS('OB History S2'!B:B,A10,'OB History S2'!D:D, 1)</f>
        <v>0</v>
      </c>
      <c r="H10" s="2">
        <f>COUNTIFS('OB History S2'!B:B,A10,'OB History S2'!D:D, 0)</f>
        <v>1</v>
      </c>
      <c r="I10" s="88">
        <f>LOOKUP(2, 1/('OB History S2'!$B:$B=A10), 'OB History S2'!$AD:$AD)</f>
        <v>0</v>
      </c>
      <c r="J10" s="34">
        <f>SUMIFS('OB History S2'!F:F,'OB History S2'!B:B,A10)</f>
        <v>0</v>
      </c>
      <c r="K10" s="2">
        <f>SUMIFS('OB History S2'!E:E,'OB History S2'!B:B,A10)-J10</f>
        <v>3</v>
      </c>
      <c r="L10" s="88">
        <f>LOOKUP(2, 1/('OB History S2'!$B:$B=A10), 'OB History S2'!$AB:$AB)</f>
        <v>0</v>
      </c>
      <c r="M10" s="34">
        <f>SUMIFS('OB History S2'!H:H,'OB History S2'!B:B,A10)</f>
        <v>4</v>
      </c>
      <c r="N10" s="2">
        <f>SUMIFS('OB History S2'!G:G,'OB History S2'!B:B,A10)-M10</f>
        <v>9</v>
      </c>
      <c r="O10" s="88">
        <f>LOOKUP(2, 1/('OB History S2'!$B:$B=A10), 'OB History S2'!$AC:$AC)</f>
        <v>0.31</v>
      </c>
      <c r="P10" s="2">
        <f>COUNTIFS('OB History S2'!$B:$B,$A$10,'OB History S2'!K:K, 1)</f>
        <v>0</v>
      </c>
      <c r="Q10" s="2">
        <f>COUNTIFS('OB History S2'!$B:$B,$A$10,'OB History S2'!L:L, 1)</f>
        <v>0</v>
      </c>
      <c r="R10" s="2">
        <f>COUNTIFS('OB History S2'!$B:$B,$A$10,'OB History S2'!M:M, 1)</f>
        <v>0</v>
      </c>
      <c r="S10" s="2">
        <f>COUNTIFS('OB History S2'!$B:$B,$A$10,'OB History S2'!N:N, 1)</f>
        <v>0</v>
      </c>
      <c r="T10" s="2">
        <f>COUNTIFS('OB History S2'!$B:$B,$A$10,'OB History S2'!O:O, 1)</f>
        <v>0</v>
      </c>
      <c r="U10" s="2">
        <f>COUNTIFS('OB History S2'!$B:$B,$A$10,'OB History S2'!P:P, 1)</f>
        <v>0</v>
      </c>
      <c r="V10" s="2">
        <f>COUNTIFS('OB History S2'!$B:$B,$A$10,'OB History S2'!Q:Q, 1)</f>
        <v>0</v>
      </c>
      <c r="W10" s="2">
        <f>COUNTIFS('OB History S2'!$B:$B,$A$10,'OB History S2'!R:R, 1)</f>
        <v>0</v>
      </c>
      <c r="X10" s="2">
        <f>COUNTIFS('OB History S2'!$B:$B,$A$10,'OB History S2'!S:S, 1)</f>
        <v>0</v>
      </c>
      <c r="Y10" s="2">
        <f>COUNTIFS('OB History S2'!$B:$B,$A$10,'OB History S2'!T:T, 1)</f>
        <v>0</v>
      </c>
      <c r="Z10" s="2">
        <f>COUNTIFS('OB History S2'!$B:$B,$A$10,'OB History S2'!U:U, 1)</f>
        <v>0</v>
      </c>
      <c r="AA10" s="2">
        <f>COUNTIFS('OB History S2'!$B:$B,$A$10,'OB History S2'!V:V, 1)</f>
        <v>0</v>
      </c>
      <c r="AB10" s="2">
        <f>COUNTIFS('OB History S2'!$B:$B,$A$10,'OB History S2'!W:W, 1)</f>
        <v>0</v>
      </c>
      <c r="AC10" s="2">
        <f>COUNTIFS('OB History S2'!$B:$B,$A$10,'OB History S2'!X:X, 1)</f>
        <v>0</v>
      </c>
      <c r="AD10" s="2">
        <f>COUNTIFS('OB History S2'!$B:$B,$A$10,'OB History S2'!Y:Y, 1)</f>
        <v>0</v>
      </c>
      <c r="AE10" s="2">
        <f>COUNTIFS('OB History S2'!$B:$B,$A$10,'OB History S2'!Z:Z, 1)</f>
        <v>0</v>
      </c>
    </row>
    <row r="11" spans="1:31" x14ac:dyDescent="0.25">
      <c r="A11" s="1" t="s">
        <v>27</v>
      </c>
      <c r="B11" s="6" t="s">
        <v>76</v>
      </c>
      <c r="C11" s="6" t="s">
        <v>79</v>
      </c>
      <c r="D11" s="34">
        <f>SUMIFS('OB History S2'!C:C,'OB History S2'!B:B,A11)</f>
        <v>24</v>
      </c>
      <c r="E11" s="4">
        <f>AVERAGEIFS('OB History S2'!C:C,'OB History S2'!B:B,A11)</f>
        <v>12</v>
      </c>
      <c r="F11" s="35">
        <f t="array" ref="F11">MAX(IF('OB History S2'!B:B=A11, 'OB History S2'!C:C))</f>
        <v>14</v>
      </c>
      <c r="G11" s="34">
        <f>COUNTIFS('OB History S2'!B:B,A11,'OB History S2'!D:D, 1)</f>
        <v>2</v>
      </c>
      <c r="H11" s="2">
        <f>COUNTIFS('OB History S2'!B:B,A11,'OB History S2'!D:D, 0)</f>
        <v>0</v>
      </c>
      <c r="I11" s="88">
        <f>LOOKUP(2, 1/('OB History S2'!$B:$B=A11), 'OB History S2'!$AD:$AD)</f>
        <v>1</v>
      </c>
      <c r="J11" s="34">
        <f>SUMIFS('OB History S2'!F:F,'OB History S2'!B:B,A11)</f>
        <v>6</v>
      </c>
      <c r="K11" s="2">
        <f>SUMIFS('OB History S2'!E:E,'OB History S2'!B:B,A11)-J11</f>
        <v>2</v>
      </c>
      <c r="L11" s="88">
        <f>LOOKUP(2, 1/('OB History S2'!$B:$B=A11), 'OB History S2'!$AB:$AB)</f>
        <v>0.75</v>
      </c>
      <c r="M11" s="34">
        <f>SUMIFS('OB History S2'!H:H,'OB History S2'!B:B,A11)</f>
        <v>20</v>
      </c>
      <c r="N11" s="2">
        <f>SUMIFS('OB History S2'!G:G,'OB History S2'!B:B,A11)-M11</f>
        <v>9</v>
      </c>
      <c r="O11" s="88">
        <f>LOOKUP(2, 1/('OB History S2'!$B:$B=A11), 'OB History S2'!$AC:$AC)</f>
        <v>0.68500000000000005</v>
      </c>
      <c r="P11" s="2">
        <f>COUNTIFS('OB History S2'!$B:$B,$A$11,'OB History S2'!K:K, 1)</f>
        <v>0</v>
      </c>
      <c r="Q11" s="2">
        <f>COUNTIFS('OB History S2'!$B:$B,$A$11,'OB History S2'!L:L, 1)</f>
        <v>0</v>
      </c>
      <c r="R11" s="2">
        <f>COUNTIFS('OB History S2'!$B:$B,$A$11,'OB History S2'!M:M, 1)</f>
        <v>0</v>
      </c>
      <c r="S11" s="2">
        <f>COUNTIFS('OB History S2'!$B:$B,$A$11,'OB History S2'!N:N, 1)</f>
        <v>1</v>
      </c>
      <c r="T11" s="2">
        <f>COUNTIFS('OB History S2'!$B:$B,$A$11,'OB History S2'!O:O, 1)</f>
        <v>0</v>
      </c>
      <c r="U11" s="2">
        <f>COUNTIFS('OB History S2'!$B:$B,$A$11,'OB History S2'!P:P, 1)</f>
        <v>1</v>
      </c>
      <c r="V11" s="2">
        <f>COUNTIFS('OB History S2'!$B:$B,$A$11,'OB History S2'!Q:Q, 1)</f>
        <v>0</v>
      </c>
      <c r="W11" s="2">
        <f>COUNTIFS('OB History S2'!$B:$B,$A$11,'OB History S2'!R:R, 1)</f>
        <v>0</v>
      </c>
      <c r="X11" s="2">
        <f>COUNTIFS('OB History S2'!$B:$B,$A$11,'OB History S2'!S:S, 1)</f>
        <v>0</v>
      </c>
      <c r="Y11" s="2">
        <f>COUNTIFS('OB History S2'!$B:$B,$A$11,'OB History S2'!T:T, 1)</f>
        <v>0</v>
      </c>
      <c r="Z11" s="2">
        <f>COUNTIFS('OB History S2'!$B:$B,$A$11,'OB History S2'!U:U, 1)</f>
        <v>1</v>
      </c>
      <c r="AA11" s="2">
        <f>COUNTIFS('OB History S2'!$B:$B,$A$11,'OB History S2'!V:V, 1)</f>
        <v>0</v>
      </c>
      <c r="AB11" s="2">
        <f>COUNTIFS('OB History S2'!$B:$B,$A$11,'OB History S2'!W:W, 1)</f>
        <v>1</v>
      </c>
      <c r="AC11" s="2">
        <f>COUNTIFS('OB History S2'!$B:$B,$A$11,'OB History S2'!X:X, 1)</f>
        <v>1</v>
      </c>
      <c r="AD11" s="2">
        <f>COUNTIFS('OB History S2'!$B:$B,$A$11,'OB History S2'!Y:Y, 1)</f>
        <v>1</v>
      </c>
      <c r="AE11" s="2">
        <f>COUNTIFS('OB History S2'!$B:$B,$A$11,'OB History S2'!Z:Z, 1)</f>
        <v>0</v>
      </c>
    </row>
    <row r="12" spans="1:31" x14ac:dyDescent="0.25">
      <c r="A12" s="1" t="s">
        <v>26</v>
      </c>
      <c r="B12" s="6" t="s">
        <v>124</v>
      </c>
      <c r="C12" s="6" t="s">
        <v>79</v>
      </c>
      <c r="D12" s="34">
        <f>SUMIFS('OB History S2'!C:C,'OB History S2'!B:B,A12)</f>
        <v>14</v>
      </c>
      <c r="E12" s="4">
        <f>AVERAGEIFS('OB History S2'!C:C,'OB History S2'!B:B,A12)</f>
        <v>7</v>
      </c>
      <c r="F12" s="35">
        <f t="array" ref="F12">MAX(IF('OB History S2'!B:B=A12, 'OB History S2'!C:C))</f>
        <v>8</v>
      </c>
      <c r="G12" s="34">
        <f>COUNTIFS('OB History S2'!B:B,A12,'OB History S2'!D:D, 1)</f>
        <v>0</v>
      </c>
      <c r="H12" s="2">
        <f>COUNTIFS('OB History S2'!B:B,A12,'OB History S2'!D:D, 0)</f>
        <v>2</v>
      </c>
      <c r="I12" s="88">
        <f>LOOKUP(2, 1/('OB History S2'!$B:$B=A12), 'OB History S2'!$AD:$AD)</f>
        <v>0</v>
      </c>
      <c r="J12" s="34">
        <f>SUMIFS('OB History S2'!F:F,'OB History S2'!B:B,A12)</f>
        <v>2</v>
      </c>
      <c r="K12" s="2">
        <f>SUMIFS('OB History S2'!E:E,'OB History S2'!B:B,A12)-J12</f>
        <v>6</v>
      </c>
      <c r="L12" s="88">
        <f>LOOKUP(2, 1/('OB History S2'!$B:$B=A12), 'OB History S2'!$AB:$AB)</f>
        <v>0.25</v>
      </c>
      <c r="M12" s="34">
        <f>SUMIFS('OB History S2'!H:H,'OB History S2'!B:B,A12)</f>
        <v>9</v>
      </c>
      <c r="N12" s="2">
        <f>SUMIFS('OB History S2'!G:G,'OB History S2'!B:B,A12)-M12</f>
        <v>20</v>
      </c>
      <c r="O12" s="88">
        <f>LOOKUP(2, 1/('OB History S2'!$B:$B=A12), 'OB History S2'!$AC:$AC)</f>
        <v>0.315</v>
      </c>
      <c r="P12" s="2">
        <f>COUNTIFS('OB History S2'!$B:$B,$A$12,'OB History S2'!K:K, 1)</f>
        <v>0</v>
      </c>
      <c r="Q12" s="2">
        <f>COUNTIFS('OB History S2'!$B:$B,$A$12,'OB History S2'!L:L, 1)</f>
        <v>0</v>
      </c>
      <c r="R12" s="2">
        <f>COUNTIFS('OB History S2'!$B:$B,$A$12,'OB History S2'!M:M, 1)</f>
        <v>0</v>
      </c>
      <c r="S12" s="2">
        <f>COUNTIFS('OB History S2'!$B:$B,$A$12,'OB History S2'!N:N, 1)</f>
        <v>0</v>
      </c>
      <c r="T12" s="2">
        <f>COUNTIFS('OB History S2'!$B:$B,$A$12,'OB History S2'!O:O, 1)</f>
        <v>0</v>
      </c>
      <c r="U12" s="2">
        <f>COUNTIFS('OB History S2'!$B:$B,$A$12,'OB History S2'!P:P, 1)</f>
        <v>0</v>
      </c>
      <c r="V12" s="2">
        <f>COUNTIFS('OB History S2'!$B:$B,$A$12,'OB History S2'!Q:Q, 1)</f>
        <v>0</v>
      </c>
      <c r="W12" s="2">
        <f>COUNTIFS('OB History S2'!$B:$B,$A$12,'OB History S2'!R:R, 1)</f>
        <v>0</v>
      </c>
      <c r="X12" s="2">
        <f>COUNTIFS('OB History S2'!$B:$B,$A$12,'OB History S2'!S:S, 1)</f>
        <v>0</v>
      </c>
      <c r="Y12" s="2">
        <f>COUNTIFS('OB History S2'!$B:$B,$A$12,'OB History S2'!T:T, 1)</f>
        <v>0</v>
      </c>
      <c r="Z12" s="2">
        <f>COUNTIFS('OB History S2'!$B:$B,$A$12,'OB History S2'!U:U, 1)</f>
        <v>0</v>
      </c>
      <c r="AA12" s="2">
        <f>COUNTIFS('OB History S2'!$B:$B,$A$12,'OB History S2'!V:V, 1)</f>
        <v>0</v>
      </c>
      <c r="AB12" s="2">
        <f>COUNTIFS('OB History S2'!$B:$B,$A$12,'OB History S2'!W:W, 1)</f>
        <v>0</v>
      </c>
      <c r="AC12" s="2">
        <f>COUNTIFS('OB History S2'!$B:$B,$A$12,'OB History S2'!X:X, 1)</f>
        <v>1</v>
      </c>
      <c r="AD12" s="2">
        <f>COUNTIFS('OB History S2'!$B:$B,$A$12,'OB History S2'!Y:Y, 1)</f>
        <v>0</v>
      </c>
      <c r="AE12" s="2">
        <f>COUNTIFS('OB History S2'!$B:$B,$A$12,'OB History S2'!Z:Z, 1)</f>
        <v>1</v>
      </c>
    </row>
    <row r="13" spans="1:31" x14ac:dyDescent="0.25">
      <c r="A13" s="1" t="s">
        <v>153</v>
      </c>
      <c r="B13" s="6" t="s">
        <v>79</v>
      </c>
      <c r="C13" s="2" t="s">
        <v>79</v>
      </c>
      <c r="D13" s="34">
        <f>SUMIFS('OB History S2'!C:C,'OB History S2'!B:B,A13)</f>
        <v>19</v>
      </c>
      <c r="E13" s="4">
        <f>AVERAGEIFS('OB History S2'!C:C,'OB History S2'!B:B,A13)</f>
        <v>19</v>
      </c>
      <c r="F13" s="35">
        <f t="array" ref="F13">MAX(IF('OB History S2'!B:B=A13, 'OB History S2'!C:C))</f>
        <v>19</v>
      </c>
      <c r="G13" s="34">
        <f>COUNTIFS('OB History S2'!B:B,A13,'OB History S2'!D:D, 1)</f>
        <v>0</v>
      </c>
      <c r="H13" s="2">
        <f>COUNTIFS('OB History S2'!B:B,A13,'OB History S2'!D:D, 0)</f>
        <v>1</v>
      </c>
      <c r="I13" s="88">
        <f>LOOKUP(2, 1/('OB History S2'!$B:$B=A13), 'OB History S2'!$AD:$AD)</f>
        <v>0</v>
      </c>
      <c r="J13" s="34">
        <f>SUMIFS('OB History S2'!F:F,'OB History S2'!B:B,A13)</f>
        <v>2</v>
      </c>
      <c r="K13" s="2">
        <f>SUMIFS('OB History S2'!E:E,'OB History S2'!B:B,A13)-J13</f>
        <v>3</v>
      </c>
      <c r="L13" s="88">
        <f>LOOKUP(2, 1/('OB History S2'!$B:$B=A13), 'OB History S2'!$AB:$AB)</f>
        <v>0.4</v>
      </c>
      <c r="M13" s="34">
        <f>SUMIFS('OB History S2'!H:H,'OB History S2'!B:B,A13)</f>
        <v>8</v>
      </c>
      <c r="N13" s="2">
        <f>SUMIFS('OB History S2'!G:G,'OB History S2'!B:B,A13)-M13</f>
        <v>13</v>
      </c>
      <c r="O13" s="88">
        <f>LOOKUP(2, 1/('OB History S2'!$B:$B=A13), 'OB History S2'!$AC:$AC)</f>
        <v>0.38</v>
      </c>
      <c r="P13" s="2">
        <f>COUNTIFS('OB History S2'!$B:$B,$A$13,'OB History S2'!K:K, 1)</f>
        <v>0</v>
      </c>
      <c r="Q13" s="2">
        <f>COUNTIFS('OB History S2'!$B:$B,$A$13,'OB History S2'!L:L, 1)</f>
        <v>0</v>
      </c>
      <c r="R13" s="2">
        <f>COUNTIFS('OB History S2'!$B:$B,$A$13,'OB History S2'!M:M, 1)</f>
        <v>0</v>
      </c>
      <c r="S13" s="2">
        <f>COUNTIFS('OB History S2'!$B:$B,$A$13,'OB History S2'!N:N, 1)</f>
        <v>0</v>
      </c>
      <c r="T13" s="2">
        <f>COUNTIFS('OB History S2'!$B:$B,$A$13,'OB History S2'!O:O, 1)</f>
        <v>0</v>
      </c>
      <c r="U13" s="2">
        <f>COUNTIFS('OB History S2'!$B:$B,$A$13,'OB History S2'!P:P, 1)</f>
        <v>1</v>
      </c>
      <c r="V13" s="2">
        <f>COUNTIFS('OB History S2'!$B:$B,$A$13,'OB History S2'!Q:Q, 1)</f>
        <v>0</v>
      </c>
      <c r="W13" s="2">
        <f>COUNTIFS('OB History S2'!$B:$B,$A$13,'OB History S2'!R:R, 1)</f>
        <v>0</v>
      </c>
      <c r="X13" s="2">
        <f>COUNTIFS('OB History S2'!$B:$B,$A$13,'OB History S2'!S:S, 1)</f>
        <v>0</v>
      </c>
      <c r="Y13" s="2">
        <f>COUNTIFS('OB History S2'!$B:$B,$A$13,'OB History S2'!T:T, 1)</f>
        <v>0</v>
      </c>
      <c r="Z13" s="2">
        <f>COUNTIFS('OB History S2'!$B:$B,$A$13,'OB History S2'!U:U, 1)</f>
        <v>0</v>
      </c>
      <c r="AA13" s="2">
        <f>COUNTIFS('OB History S2'!$B:$B,$A$13,'OB History S2'!V:V, 1)</f>
        <v>0</v>
      </c>
      <c r="AB13" s="2">
        <f>COUNTIFS('OB History S2'!$B:$B,$A$13,'OB History S2'!W:W, 1)</f>
        <v>0</v>
      </c>
      <c r="AC13" s="2">
        <f>COUNTIFS('OB History S2'!$B:$B,$A$13,'OB History S2'!X:X, 1)</f>
        <v>1</v>
      </c>
      <c r="AD13" s="2">
        <f>COUNTIFS('OB History S2'!$B:$B,$A$13,'OB History S2'!Y:Y, 1)</f>
        <v>0</v>
      </c>
      <c r="AE13" s="2">
        <f>COUNTIFS('OB History S2'!$B:$B,$A$13,'OB History S2'!Z:Z, 1)</f>
        <v>0</v>
      </c>
    </row>
    <row r="14" spans="1:31" ht="15.75" x14ac:dyDescent="0.25">
      <c r="A14" s="1" t="s">
        <v>45</v>
      </c>
      <c r="B14" s="80" t="s">
        <v>60</v>
      </c>
      <c r="C14" s="2" t="s">
        <v>79</v>
      </c>
      <c r="D14" s="34">
        <f>SUMIFS('OB History S2'!C:C,'OB History S2'!B:B,A14)</f>
        <v>40</v>
      </c>
      <c r="E14" s="4">
        <f>AVERAGEIFS('OB History S2'!C:C,'OB History S2'!B:B,A14)</f>
        <v>13.333333333333334</v>
      </c>
      <c r="F14" s="35">
        <f t="array" ref="F14">MAX(IF('OB History S2'!B:B=A14, 'OB History S2'!C:C))</f>
        <v>16</v>
      </c>
      <c r="G14" s="34">
        <f>COUNTIFS('OB History S2'!B:B,A14,'OB History S2'!D:D, 1)</f>
        <v>1</v>
      </c>
      <c r="H14" s="2">
        <f>COUNTIFS('OB History S2'!B:B,A14,'OB History S2'!D:D, 0)</f>
        <v>2</v>
      </c>
      <c r="I14" s="88">
        <f>LOOKUP(2, 1/('OB History S2'!$B:$B=A14), 'OB History S2'!$AD:$AD)</f>
        <v>0.33333333333333331</v>
      </c>
      <c r="J14" s="34">
        <f>SUMIFS('OB History S2'!F:F,'OB History S2'!B:B,A14)</f>
        <v>5</v>
      </c>
      <c r="K14" s="2">
        <f>SUMIFS('OB History S2'!E:E,'OB History S2'!B:B,A14)-J14</f>
        <v>8</v>
      </c>
      <c r="L14" s="88">
        <f>LOOKUP(2, 1/('OB History S2'!$B:$B=A14), 'OB History S2'!$AB:$AB)</f>
        <v>0.3666666666666667</v>
      </c>
      <c r="M14" s="34">
        <f>SUMIFS('OB History S2'!H:H,'OB History S2'!B:B,A14)</f>
        <v>22</v>
      </c>
      <c r="N14" s="2">
        <f>SUMIFS('OB History S2'!G:G,'OB History S2'!B:B,A14)-M14</f>
        <v>28</v>
      </c>
      <c r="O14" s="88">
        <f>LOOKUP(2, 1/('OB History S2'!$B:$B=A14), 'OB History S2'!$AC:$AC)</f>
        <v>0.41666666666666669</v>
      </c>
      <c r="P14" s="2">
        <f>COUNTIFS('OB History S2'!$B:$B,$A$14,'OB History S2'!K:K, 1)</f>
        <v>0</v>
      </c>
      <c r="Q14" s="2">
        <f>COUNTIFS('OB History S2'!$B:$B,$A$14,'OB History S2'!L:L, 1)</f>
        <v>0</v>
      </c>
      <c r="R14" s="2">
        <f>COUNTIFS('OB History S2'!$B:$B,$A$14,'OB History S2'!M:M, 1)</f>
        <v>1</v>
      </c>
      <c r="S14" s="2">
        <f>COUNTIFS('OB History S2'!$B:$B,$A$14,'OB History S2'!N:N, 1)</f>
        <v>0</v>
      </c>
      <c r="T14" s="2">
        <f>COUNTIFS('OB History S2'!$B:$B,$A$14,'OB History S2'!O:O, 1)</f>
        <v>0</v>
      </c>
      <c r="U14" s="2">
        <f>COUNTIFS('OB History S2'!$B:$B,$A$14,'OB History S2'!P:P, 1)</f>
        <v>0</v>
      </c>
      <c r="V14" s="2">
        <f>COUNTIFS('OB History S2'!$B:$B,$A$14,'OB History S2'!Q:Q, 1)</f>
        <v>0</v>
      </c>
      <c r="W14" s="2">
        <f>COUNTIFS('OB History S2'!$B:$B,$A$14,'OB History S2'!R:R, 1)</f>
        <v>0</v>
      </c>
      <c r="X14" s="2">
        <f>COUNTIFS('OB History S2'!$B:$B,$A$14,'OB History S2'!S:S, 1)</f>
        <v>0</v>
      </c>
      <c r="Y14" s="2">
        <f>COUNTIFS('OB History S2'!$B:$B,$A$14,'OB History S2'!T:T, 1)</f>
        <v>1</v>
      </c>
      <c r="Z14" s="2">
        <f>COUNTIFS('OB History S2'!$B:$B,$A$14,'OB History S2'!U:U, 1)</f>
        <v>0</v>
      </c>
      <c r="AA14" s="2">
        <f>COUNTIFS('OB History S2'!$B:$B,$A$14,'OB History S2'!V:V, 1)</f>
        <v>0</v>
      </c>
      <c r="AB14" s="2">
        <f>COUNTIFS('OB History S2'!$B:$B,$A$14,'OB History S2'!W:W, 1)</f>
        <v>0</v>
      </c>
      <c r="AC14" s="2">
        <f>COUNTIFS('OB History S2'!$B:$B,$A$14,'OB History S2'!X:X, 1)</f>
        <v>1</v>
      </c>
      <c r="AD14" s="2">
        <f>COUNTIFS('OB History S2'!$B:$B,$A$14,'OB History S2'!Y:Y, 1)</f>
        <v>1</v>
      </c>
      <c r="AE14" s="2">
        <f>COUNTIFS('OB History S2'!$B:$B,$A$14,'OB History S2'!Z:Z, 1)</f>
        <v>1</v>
      </c>
    </row>
    <row r="15" spans="1:31" x14ac:dyDescent="0.25">
      <c r="A15" s="2" t="s">
        <v>52</v>
      </c>
      <c r="B15" s="2" t="s">
        <v>79</v>
      </c>
      <c r="C15" s="2" t="s">
        <v>79</v>
      </c>
      <c r="D15" s="34">
        <f>SUMIFS('OB History S2'!C:C,'OB History S2'!B:B,A15)</f>
        <v>34</v>
      </c>
      <c r="E15" s="4">
        <f>AVERAGEIFS('OB History S2'!C:C,'OB History S2'!B:B,A15)</f>
        <v>34</v>
      </c>
      <c r="F15" s="35">
        <f t="array" ref="F15">MAX(IF('OB History S2'!B:B=A15, 'OB History S2'!C:C))</f>
        <v>34</v>
      </c>
      <c r="G15" s="34">
        <f>COUNTIFS('OB History S2'!B:B,A15,'OB History S2'!D:D, 1)</f>
        <v>0</v>
      </c>
      <c r="H15" s="2">
        <f>COUNTIFS('OB History S2'!B:B,A15,'OB History S2'!D:D, 0)</f>
        <v>1</v>
      </c>
      <c r="I15" s="88">
        <f>LOOKUP(2, 1/('OB History S2'!$B:$B=A15), 'OB History S2'!$AD:$AD)</f>
        <v>0</v>
      </c>
      <c r="J15" s="34">
        <f>SUMIFS('OB History S2'!F:F,'OB History S2'!B:B,A15)</f>
        <v>2</v>
      </c>
      <c r="K15" s="2">
        <f>SUMIFS('OB History S2'!E:E,'OB History S2'!B:B,A15)-J15</f>
        <v>3</v>
      </c>
      <c r="L15" s="88">
        <f>LOOKUP(2, 1/('OB History S2'!$B:$B=A15), 'OB History S2'!$AB:$AB)</f>
        <v>0.4</v>
      </c>
      <c r="M15" s="34">
        <f>SUMIFS('OB History S2'!H:H,'OB History S2'!B:B,A15)</f>
        <v>8</v>
      </c>
      <c r="N15" s="2">
        <f>SUMIFS('OB History S2'!G:G,'OB History S2'!B:B,A15)-M15</f>
        <v>13</v>
      </c>
      <c r="O15" s="88">
        <f>LOOKUP(2, 1/('OB History S2'!$B:$B=A15), 'OB History S2'!$AC:$AC)</f>
        <v>0.38</v>
      </c>
      <c r="P15" s="2">
        <f>COUNTIFS('OB History S2'!$B:$B,$A$15,'OB History S2'!K:K, 1)</f>
        <v>0</v>
      </c>
      <c r="Q15" s="2">
        <f>COUNTIFS('OB History S2'!$B:$B,$A$15,'OB History S2'!L:L, 1)</f>
        <v>0</v>
      </c>
      <c r="R15" s="2">
        <f>COUNTIFS('OB History S2'!$B:$B,$A$15,'OB History S2'!M:M, 1)</f>
        <v>0</v>
      </c>
      <c r="S15" s="2">
        <f>COUNTIFS('OB History S2'!$B:$B,$A$15,'OB History S2'!N:N, 1)</f>
        <v>0</v>
      </c>
      <c r="T15" s="2">
        <f>COUNTIFS('OB History S2'!$B:$B,$A$15,'OB History S2'!O:O, 1)</f>
        <v>0</v>
      </c>
      <c r="U15" s="2">
        <f>COUNTIFS('OB History S2'!$B:$B,$A$15,'OB History S2'!P:P, 1)</f>
        <v>1</v>
      </c>
      <c r="V15" s="2">
        <f>COUNTIFS('OB History S2'!$B:$B,$A$15,'OB History S2'!Q:Q, 1)</f>
        <v>0</v>
      </c>
      <c r="W15" s="2">
        <f>COUNTIFS('OB History S2'!$B:$B,$A$15,'OB History S2'!R:R, 1)</f>
        <v>0</v>
      </c>
      <c r="X15" s="2">
        <f>COUNTIFS('OB History S2'!$B:$B,$A$15,'OB History S2'!S:S, 1)</f>
        <v>0</v>
      </c>
      <c r="Y15" s="2">
        <f>COUNTIFS('OB History S2'!$B:$B,$A$15,'OB History S2'!T:T, 1)</f>
        <v>0</v>
      </c>
      <c r="Z15" s="2">
        <f>COUNTIFS('OB History S2'!$B:$B,$A$15,'OB History S2'!U:U, 1)</f>
        <v>0</v>
      </c>
      <c r="AA15" s="2">
        <f>COUNTIFS('OB History S2'!$B:$B,$A$15,'OB History S2'!V:V, 1)</f>
        <v>0</v>
      </c>
      <c r="AB15" s="2">
        <f>COUNTIFS('OB History S2'!$B:$B,$A$15,'OB History S2'!W:W, 1)</f>
        <v>0</v>
      </c>
      <c r="AC15" s="2">
        <f>COUNTIFS('OB History S2'!$B:$B,$A$15,'OB History S2'!X:X, 1)</f>
        <v>1</v>
      </c>
      <c r="AD15" s="2">
        <f>COUNTIFS('OB History S2'!$B:$B,$A$15,'OB History S2'!Y:Y, 1)</f>
        <v>0</v>
      </c>
      <c r="AE15" s="2">
        <f>COUNTIFS('OB History S2'!$B:$B,$A$15,'OB History S2'!Z:Z, 1)</f>
        <v>0</v>
      </c>
    </row>
    <row r="16" spans="1:31" x14ac:dyDescent="0.25">
      <c r="A16" s="1" t="s">
        <v>44</v>
      </c>
      <c r="B16" s="2" t="s">
        <v>79</v>
      </c>
      <c r="C16" s="2" t="s">
        <v>79</v>
      </c>
      <c r="D16" s="34">
        <f>SUMIFS('OB History S2'!C:C,'OB History S2'!B:B,A16)</f>
        <v>28</v>
      </c>
      <c r="E16" s="4">
        <f>AVERAGEIFS('OB History S2'!C:C,'OB History S2'!B:B,A16)</f>
        <v>28</v>
      </c>
      <c r="F16" s="35">
        <f t="array" ref="F16">MAX(IF('OB History S2'!B:B=A16, 'OB History S2'!C:C))</f>
        <v>28</v>
      </c>
      <c r="G16" s="34">
        <f>COUNTIFS('OB History S2'!B:B,A16,'OB History S2'!D:D, 1)</f>
        <v>1</v>
      </c>
      <c r="H16" s="2">
        <f>COUNTIFS('OB History S2'!B:B,A16,'OB History S2'!D:D, 0)</f>
        <v>0</v>
      </c>
      <c r="I16" s="88">
        <f>LOOKUP(2, 1/('OB History S2'!$B:$B=A16), 'OB History S2'!$AD:$AD)</f>
        <v>1</v>
      </c>
      <c r="J16" s="34">
        <f>SUMIFS('OB History S2'!F:F,'OB History S2'!B:B,A16)</f>
        <v>3</v>
      </c>
      <c r="K16" s="2">
        <f>SUMIFS('OB History S2'!E:E,'OB History S2'!B:B,A16)-J16</f>
        <v>2</v>
      </c>
      <c r="L16" s="88">
        <f>LOOKUP(2, 1/('OB History S2'!$B:$B=A16), 'OB History S2'!$AB:$AB)</f>
        <v>0.6</v>
      </c>
      <c r="M16" s="34">
        <f>SUMIFS('OB History S2'!H:H,'OB History S2'!B:B,A16)</f>
        <v>11</v>
      </c>
      <c r="N16" s="2">
        <f>SUMIFS('OB History S2'!G:G,'OB History S2'!B:B,A16)-M16</f>
        <v>10</v>
      </c>
      <c r="O16" s="88">
        <f>LOOKUP(2, 1/('OB History S2'!$B:$B=A16), 'OB History S2'!$AC:$AC)</f>
        <v>0.52</v>
      </c>
      <c r="P16" s="2">
        <f>COUNTIFS('OB History S2'!$B:$B,$A$16,'OB History S2'!K:K, 1)</f>
        <v>0</v>
      </c>
      <c r="Q16" s="2">
        <f>COUNTIFS('OB History S2'!$B:$B,$A$16,'OB History S2'!L:L, 1)</f>
        <v>1</v>
      </c>
      <c r="R16" s="2">
        <f>COUNTIFS('OB History S2'!$B:$B,$A$16,'OB History S2'!M:M, 1)</f>
        <v>0</v>
      </c>
      <c r="S16" s="2">
        <f>COUNTIFS('OB History S2'!$B:$B,$A$16,'OB History S2'!N:N, 1)</f>
        <v>0</v>
      </c>
      <c r="T16" s="2">
        <f>COUNTIFS('OB History S2'!$B:$B,$A$16,'OB History S2'!O:O, 1)</f>
        <v>0</v>
      </c>
      <c r="U16" s="2">
        <f>COUNTIFS('OB History S2'!$B:$B,$A$16,'OB History S2'!P:P, 1)</f>
        <v>0</v>
      </c>
      <c r="V16" s="2">
        <f>COUNTIFS('OB History S2'!$B:$B,$A$16,'OB History S2'!Q:Q, 1)</f>
        <v>0</v>
      </c>
      <c r="W16" s="2">
        <f>COUNTIFS('OB History S2'!$B:$B,$A$16,'OB History S2'!R:R, 1)</f>
        <v>0</v>
      </c>
      <c r="X16" s="2">
        <f>COUNTIFS('OB History S2'!$B:$B,$A$16,'OB History S2'!S:S, 1)</f>
        <v>0</v>
      </c>
      <c r="Y16" s="2">
        <f>COUNTIFS('OB History S2'!$B:$B,$A$16,'OB History S2'!T:T, 1)</f>
        <v>0</v>
      </c>
      <c r="Z16" s="2">
        <f>COUNTIFS('OB History S2'!$B:$B,$A$16,'OB History S2'!U:U, 1)</f>
        <v>0</v>
      </c>
      <c r="AA16" s="2">
        <f>COUNTIFS('OB History S2'!$B:$B,$A$16,'OB History S2'!V:V, 1)</f>
        <v>0</v>
      </c>
      <c r="AB16" s="2">
        <f>COUNTIFS('OB History S2'!$B:$B,$A$16,'OB History S2'!W:W, 1)</f>
        <v>0</v>
      </c>
      <c r="AC16" s="2">
        <f>COUNTIFS('OB History S2'!$B:$B,$A$16,'OB History S2'!X:X, 1)</f>
        <v>1</v>
      </c>
      <c r="AD16" s="2">
        <f>COUNTIFS('OB History S2'!$B:$B,$A$16,'OB History S2'!Y:Y, 1)</f>
        <v>1</v>
      </c>
      <c r="AE16" s="2">
        <f>COUNTIFS('OB History S2'!$B:$B,$A$16,'OB History S2'!Z:Z, 1)</f>
        <v>0</v>
      </c>
    </row>
    <row r="17" spans="1:31" x14ac:dyDescent="0.25">
      <c r="A17" s="1" t="s">
        <v>151</v>
      </c>
      <c r="B17" s="2" t="s">
        <v>79</v>
      </c>
      <c r="C17" s="2" t="s">
        <v>79</v>
      </c>
      <c r="D17" s="34">
        <f>SUMIFS('OB History S2'!C:C,'OB History S2'!B:B,A17)</f>
        <v>23</v>
      </c>
      <c r="E17" s="4">
        <f>AVERAGEIFS('OB History S2'!C:C,'OB History S2'!B:B,A17)</f>
        <v>11.5</v>
      </c>
      <c r="F17" s="35">
        <f t="array" ref="F17">MAX(IF('OB History S2'!B:B=A17, 'OB History S2'!C:C))</f>
        <v>14</v>
      </c>
      <c r="G17" s="34">
        <f>COUNTIFS('OB History S2'!B:B,A17,'OB History S2'!D:D, 1)</f>
        <v>2</v>
      </c>
      <c r="H17" s="2">
        <f>COUNTIFS('OB History S2'!B:B,A17,'OB History S2'!D:D, 0)</f>
        <v>0</v>
      </c>
      <c r="I17" s="88">
        <f>LOOKUP(2, 1/('OB History S2'!$B:$B=A17), 'OB History S2'!$AD:$AD)</f>
        <v>1</v>
      </c>
      <c r="J17" s="34">
        <f>SUMIFS('OB History S2'!F:F,'OB History S2'!B:B,A17)</f>
        <v>6</v>
      </c>
      <c r="K17" s="2">
        <f>SUMIFS('OB History S2'!E:E,'OB History S2'!B:B,A17)-J17</f>
        <v>2</v>
      </c>
      <c r="L17" s="88">
        <f>LOOKUP(2, 1/('OB History S2'!$B:$B=A17), 'OB History S2'!$AB:$AB)</f>
        <v>0.75</v>
      </c>
      <c r="M17" s="34">
        <f>SUMIFS('OB History S2'!H:H,'OB History S2'!B:B,A17)</f>
        <v>20</v>
      </c>
      <c r="N17" s="2">
        <f>SUMIFS('OB History S2'!G:G,'OB History S2'!B:B,A17)-M17</f>
        <v>9</v>
      </c>
      <c r="O17" s="88">
        <f>LOOKUP(2, 1/('OB History S2'!$B:$B=A17), 'OB History S2'!$AC:$AC)</f>
        <v>0.68500000000000005</v>
      </c>
      <c r="P17" s="2">
        <f>COUNTIFS('OB History S2'!$B:$B,$A$17,'OB History S2'!K:K, 1)</f>
        <v>0</v>
      </c>
      <c r="Q17" s="2">
        <f>COUNTIFS('OB History S2'!$B:$B,$A$17,'OB History S2'!L:L, 1)</f>
        <v>0</v>
      </c>
      <c r="R17" s="2">
        <f>COUNTIFS('OB History S2'!$B:$B,$A$17,'OB History S2'!M:M, 1)</f>
        <v>0</v>
      </c>
      <c r="S17" s="2">
        <f>COUNTIFS('OB History S2'!$B:$B,$A$17,'OB History S2'!N:N, 1)</f>
        <v>1</v>
      </c>
      <c r="T17" s="2">
        <f>COUNTIFS('OB History S2'!$B:$B,$A$17,'OB History S2'!O:O, 1)</f>
        <v>0</v>
      </c>
      <c r="U17" s="2">
        <f>COUNTIFS('OB History S2'!$B:$B,$A$17,'OB History S2'!P:P, 1)</f>
        <v>1</v>
      </c>
      <c r="V17" s="2">
        <f>COUNTIFS('OB History S2'!$B:$B,$A$17,'OB History S2'!Q:Q, 1)</f>
        <v>0</v>
      </c>
      <c r="W17" s="2">
        <f>COUNTIFS('OB History S2'!$B:$B,$A$17,'OB History S2'!R:R, 1)</f>
        <v>0</v>
      </c>
      <c r="X17" s="2">
        <f>COUNTIFS('OB History S2'!$B:$B,$A$17,'OB History S2'!S:S, 1)</f>
        <v>0</v>
      </c>
      <c r="Y17" s="2">
        <f>COUNTIFS('OB History S2'!$B:$B,$A$17,'OB History S2'!T:T, 1)</f>
        <v>0</v>
      </c>
      <c r="Z17" s="2">
        <f>COUNTIFS('OB History S2'!$B:$B,$A$17,'OB History S2'!U:U, 1)</f>
        <v>1</v>
      </c>
      <c r="AA17" s="2">
        <f>COUNTIFS('OB History S2'!$B:$B,$A$17,'OB History S2'!V:V, 1)</f>
        <v>0</v>
      </c>
      <c r="AB17" s="2">
        <f>COUNTIFS('OB History S2'!$B:$B,$A$17,'OB History S2'!W:W, 1)</f>
        <v>1</v>
      </c>
      <c r="AC17" s="2">
        <f>COUNTIFS('OB History S2'!$B:$B,$A$17,'OB History S2'!X:X, 1)</f>
        <v>1</v>
      </c>
      <c r="AD17" s="2">
        <f>COUNTIFS('OB History S2'!$B:$B,$A$17,'OB History S2'!Y:Y, 1)</f>
        <v>1</v>
      </c>
      <c r="AE17" s="2">
        <f>COUNTIFS('OB History S2'!$B:$B,$A$17,'OB History S2'!Z:Z, 1)</f>
        <v>0</v>
      </c>
    </row>
    <row r="18" spans="1:31" x14ac:dyDescent="0.25">
      <c r="A18" s="2" t="s">
        <v>29</v>
      </c>
      <c r="B18" s="6" t="s">
        <v>157</v>
      </c>
      <c r="C18" s="2" t="s">
        <v>79</v>
      </c>
      <c r="D18" s="34">
        <f>SUMIFS('OB History S2'!C:C,'OB History S2'!B:B,A18)</f>
        <v>58</v>
      </c>
      <c r="E18" s="4">
        <f>AVERAGEIFS('OB History S2'!C:C,'OB History S2'!B:B,A18)</f>
        <v>14.5</v>
      </c>
      <c r="F18" s="35">
        <f t="array" ref="F18">MAX(IF('OB History S2'!B:B=A18, 'OB History S2'!C:C))</f>
        <v>20</v>
      </c>
      <c r="G18" s="34">
        <f>COUNTIFS('OB History S2'!B:B,A18,'OB History S2'!D:D, 1)</f>
        <v>2</v>
      </c>
      <c r="H18" s="2">
        <f>COUNTIFS('OB History S2'!B:B,A18,'OB History S2'!D:D, 0)</f>
        <v>2</v>
      </c>
      <c r="I18" s="88">
        <f>LOOKUP(2, 1/('OB History S2'!$B:$B=A18), 'OB History S2'!$AD:$AD)</f>
        <v>0.5</v>
      </c>
      <c r="J18" s="34">
        <f>SUMIFS('OB History S2'!F:F,'OB History S2'!B:B,A18)</f>
        <v>8</v>
      </c>
      <c r="K18" s="2">
        <f>SUMIFS('OB History S2'!E:E,'OB History S2'!B:B,A18)-J18</f>
        <v>7</v>
      </c>
      <c r="L18" s="88">
        <f>LOOKUP(2, 1/('OB History S2'!$B:$B=A18), 'OB History S2'!$AB:$AB)</f>
        <v>0.53749999999999998</v>
      </c>
      <c r="M18" s="34">
        <f>SUMIFS('OB History S2'!H:H,'OB History S2'!B:B,A18)</f>
        <v>32</v>
      </c>
      <c r="N18" s="2">
        <f>SUMIFS('OB History S2'!G:G,'OB History S2'!B:B,A18)-M18</f>
        <v>27</v>
      </c>
      <c r="O18" s="88">
        <f>LOOKUP(2, 1/('OB History S2'!$B:$B=A18), 'OB History S2'!$AC:$AC)</f>
        <v>0.5625</v>
      </c>
      <c r="P18" s="2">
        <f>COUNTIFS('OB History S2'!$B:$B,$A$18,'OB History S2'!K:K, 1)</f>
        <v>1</v>
      </c>
      <c r="Q18" s="2">
        <f>COUNTIFS('OB History S2'!$B:$B,$A$18,'OB History S2'!L:L, 1)</f>
        <v>1</v>
      </c>
      <c r="R18" s="2">
        <f>COUNTIFS('OB History S2'!$B:$B,$A$18,'OB History S2'!M:M, 1)</f>
        <v>0</v>
      </c>
      <c r="S18" s="2">
        <f>COUNTIFS('OB History S2'!$B:$B,$A$18,'OB History S2'!N:N, 1)</f>
        <v>0</v>
      </c>
      <c r="T18" s="2">
        <f>COUNTIFS('OB History S2'!$B:$B,$A$18,'OB History S2'!O:O, 1)</f>
        <v>0</v>
      </c>
      <c r="U18" s="2">
        <f>COUNTIFS('OB History S2'!$B:$B,$A$18,'OB History S2'!P:P, 1)</f>
        <v>1</v>
      </c>
      <c r="V18" s="2">
        <f>COUNTIFS('OB History S2'!$B:$B,$A$18,'OB History S2'!Q:Q, 1)</f>
        <v>0</v>
      </c>
      <c r="W18" s="2">
        <f>COUNTIFS('OB History S2'!$B:$B,$A$18,'OB History S2'!R:R, 1)</f>
        <v>0</v>
      </c>
      <c r="X18" s="2">
        <f>COUNTIFS('OB History S2'!$B:$B,$A$18,'OB History S2'!S:S, 1)</f>
        <v>0</v>
      </c>
      <c r="Y18" s="2">
        <f>COUNTIFS('OB History S2'!$B:$B,$A$18,'OB History S2'!T:T, 1)</f>
        <v>0</v>
      </c>
      <c r="Z18" s="2">
        <f>COUNTIFS('OB History S2'!$B:$B,$A$18,'OB History S2'!U:U, 1)</f>
        <v>0</v>
      </c>
      <c r="AA18" s="2">
        <f>COUNTIFS('OB History S2'!$B:$B,$A$18,'OB History S2'!V:V, 1)</f>
        <v>0</v>
      </c>
      <c r="AB18" s="2">
        <f>COUNTIFS('OB History S2'!$B:$B,$A$18,'OB History S2'!W:W, 1)</f>
        <v>2</v>
      </c>
      <c r="AC18" s="2">
        <f>COUNTIFS('OB History S2'!$B:$B,$A$18,'OB History S2'!X:X, 1)</f>
        <v>1</v>
      </c>
      <c r="AD18" s="2">
        <f>COUNTIFS('OB History S2'!$B:$B,$A$18,'OB History S2'!Y:Y, 1)</f>
        <v>2</v>
      </c>
      <c r="AE18" s="2">
        <f>COUNTIFS('OB History S2'!$B:$B,$A$18,'OB History S2'!Z:Z, 1)</f>
        <v>0</v>
      </c>
    </row>
    <row r="19" spans="1:31" x14ac:dyDescent="0.25">
      <c r="A19" s="2" t="s">
        <v>1</v>
      </c>
      <c r="B19" s="6" t="s">
        <v>124</v>
      </c>
      <c r="C19" s="2" t="s">
        <v>79</v>
      </c>
      <c r="D19" s="34">
        <f>SUMIFS('OB History S2'!C:C,'OB History S2'!B:B,A19)</f>
        <v>14</v>
      </c>
      <c r="E19" s="4">
        <f>AVERAGEIFS('OB History S2'!C:C,'OB History S2'!B:B,A19)</f>
        <v>14</v>
      </c>
      <c r="F19" s="35">
        <f t="array" ref="F19">MAX(IF('OB History S2'!B:B=A19, 'OB History S2'!C:C))</f>
        <v>14</v>
      </c>
      <c r="G19" s="34">
        <f>COUNTIFS('OB History S2'!B:B,A19,'OB History S2'!D:D, 1)</f>
        <v>0</v>
      </c>
      <c r="H19" s="2">
        <f>COUNTIFS('OB History S2'!B:B,A19,'OB History S2'!D:D, 0)</f>
        <v>1</v>
      </c>
      <c r="I19" s="88">
        <f>LOOKUP(2, 1/('OB History S2'!$B:$B=A19), 'OB History S2'!$AD:$AD)</f>
        <v>0</v>
      </c>
      <c r="J19" s="34">
        <f>SUMIFS('OB History S2'!F:F,'OB History S2'!B:B,A19)</f>
        <v>0</v>
      </c>
      <c r="K19" s="2">
        <f>SUMIFS('OB History S2'!E:E,'OB History S2'!B:B,A19)-J19</f>
        <v>3</v>
      </c>
      <c r="L19" s="88">
        <f>LOOKUP(2, 1/('OB History S2'!$B:$B=A19), 'OB History S2'!$AB:$AB)</f>
        <v>0</v>
      </c>
      <c r="M19" s="34">
        <f>SUMIFS('OB History S2'!H:H,'OB History S2'!B:B,A19)</f>
        <v>2</v>
      </c>
      <c r="N19" s="2">
        <f>SUMIFS('OB History S2'!G:G,'OB History S2'!B:B,A19)-M19</f>
        <v>9</v>
      </c>
      <c r="O19" s="88">
        <f>LOOKUP(2, 1/('OB History S2'!$B:$B=A19), 'OB History S2'!$AC:$AC)</f>
        <v>0.18</v>
      </c>
      <c r="P19" s="2">
        <f>COUNTIFS('OB History S2'!$B:$B,$A$19,'OB History S2'!K:K, 1)</f>
        <v>0</v>
      </c>
      <c r="Q19" s="2">
        <f>COUNTIFS('OB History S2'!$B:$B,$A$19,'OB History S2'!L:L, 1)</f>
        <v>0</v>
      </c>
      <c r="R19" s="2">
        <f>COUNTIFS('OB History S2'!$B:$B,$A$19,'OB History S2'!M:M, 1)</f>
        <v>0</v>
      </c>
      <c r="S19" s="2">
        <f>COUNTIFS('OB History S2'!$B:$B,$A$19,'OB History S2'!N:N, 1)</f>
        <v>0</v>
      </c>
      <c r="T19" s="2">
        <f>COUNTIFS('OB History S2'!$B:$B,$A$19,'OB History S2'!O:O, 1)</f>
        <v>0</v>
      </c>
      <c r="U19" s="2">
        <f>COUNTIFS('OB History S2'!$B:$B,$A$19,'OB History S2'!P:P, 1)</f>
        <v>0</v>
      </c>
      <c r="V19" s="2">
        <f>COUNTIFS('OB History S2'!$B:$B,$A$19,'OB History S2'!Q:Q, 1)</f>
        <v>0</v>
      </c>
      <c r="W19" s="2">
        <f>COUNTIFS('OB History S2'!$B:$B,$A$19,'OB History S2'!R:R, 1)</f>
        <v>0</v>
      </c>
      <c r="X19" s="2">
        <f>COUNTIFS('OB History S2'!$B:$B,$A$19,'OB History S2'!S:S, 1)</f>
        <v>0</v>
      </c>
      <c r="Y19" s="2">
        <f>COUNTIFS('OB History S2'!$B:$B,$A$19,'OB History S2'!T:T, 1)</f>
        <v>0</v>
      </c>
      <c r="Z19" s="2">
        <f>COUNTIFS('OB History S2'!$B:$B,$A$19,'OB History S2'!U:U, 1)</f>
        <v>0</v>
      </c>
      <c r="AA19" s="2">
        <f>COUNTIFS('OB History S2'!$B:$B,$A$19,'OB History S2'!V:V, 1)</f>
        <v>0</v>
      </c>
      <c r="AB19" s="2">
        <f>COUNTIFS('OB History S2'!$B:$B,$A$19,'OB History S2'!W:W, 1)</f>
        <v>0</v>
      </c>
      <c r="AC19" s="2">
        <f>COUNTIFS('OB History S2'!$B:$B,$A$19,'OB History S2'!X:X, 1)</f>
        <v>0</v>
      </c>
      <c r="AD19" s="2">
        <f>COUNTIFS('OB History S2'!$B:$B,$A$19,'OB History S2'!Y:Y, 1)</f>
        <v>0</v>
      </c>
      <c r="AE19" s="2">
        <f>COUNTIFS('OB History S2'!$B:$B,$A$19,'OB History S2'!Z:Z, 1)</f>
        <v>0</v>
      </c>
    </row>
    <row r="20" spans="1:31" x14ac:dyDescent="0.25">
      <c r="A20" s="2" t="s">
        <v>140</v>
      </c>
      <c r="B20" s="6" t="s">
        <v>79</v>
      </c>
      <c r="C20" s="2" t="s">
        <v>79</v>
      </c>
      <c r="D20" s="34">
        <f>SUMIFS('OB History S2'!C:C,'OB History S2'!B:B,A20)</f>
        <v>15</v>
      </c>
      <c r="E20" s="4">
        <f>AVERAGEIFS('OB History S2'!C:C,'OB History S2'!B:B,A20)</f>
        <v>7.5</v>
      </c>
      <c r="F20" s="35">
        <f t="array" ref="F20">MAX(IF('OB History S2'!B:B=A20, 'OB History S2'!C:C))</f>
        <v>8</v>
      </c>
      <c r="G20" s="34">
        <f>COUNTIFS('OB History S2'!B:B,A20,'OB History S2'!D:D, 1)</f>
        <v>0</v>
      </c>
      <c r="H20" s="2">
        <f>COUNTIFS('OB History S2'!B:B,A20,'OB History S2'!D:D, 0)</f>
        <v>2</v>
      </c>
      <c r="I20" s="88">
        <f>LOOKUP(2, 1/('OB History S2'!$B:$B=A20), 'OB History S2'!$AD:$AD)</f>
        <v>0</v>
      </c>
      <c r="J20" s="34">
        <f>SUMIFS('OB History S2'!F:F,'OB History S2'!B:B,A20)</f>
        <v>2</v>
      </c>
      <c r="K20" s="2">
        <f>SUMIFS('OB History S2'!E:E,'OB History S2'!B:B,A20)-J20</f>
        <v>6</v>
      </c>
      <c r="L20" s="88">
        <f>LOOKUP(2, 1/('OB History S2'!$B:$B=A20), 'OB History S2'!$AB:$AB)</f>
        <v>0.25</v>
      </c>
      <c r="M20" s="34">
        <f>SUMIFS('OB History S2'!H:H,'OB History S2'!B:B,A20)</f>
        <v>9</v>
      </c>
      <c r="N20" s="2">
        <f>SUMIFS('OB History S2'!G:G,'OB History S2'!B:B,A20)-M20</f>
        <v>20</v>
      </c>
      <c r="O20" s="88">
        <f>LOOKUP(2, 1/('OB History S2'!$B:$B=A20), 'OB History S2'!$AC:$AC)</f>
        <v>0.315</v>
      </c>
      <c r="P20" s="2">
        <f>COUNTIFS('OB History S2'!$B:$B,$A$20,'OB History S2'!K:K, 1)</f>
        <v>0</v>
      </c>
      <c r="Q20" s="2">
        <f>COUNTIFS('OB History S2'!$B:$B,$A$20,'OB History S2'!L:L, 1)</f>
        <v>0</v>
      </c>
      <c r="R20" s="2">
        <f>COUNTIFS('OB History S2'!$B:$B,$A$20,'OB History S2'!M:M, 1)</f>
        <v>0</v>
      </c>
      <c r="S20" s="2">
        <f>COUNTIFS('OB History S2'!$B:$B,$A$20,'OB History S2'!N:N, 1)</f>
        <v>0</v>
      </c>
      <c r="T20" s="2">
        <f>COUNTIFS('OB History S2'!$B:$B,$A$20,'OB History S2'!O:O, 1)</f>
        <v>0</v>
      </c>
      <c r="U20" s="2">
        <f>COUNTIFS('OB History S2'!$B:$B,$A$20,'OB History S2'!P:P, 1)</f>
        <v>0</v>
      </c>
      <c r="V20" s="2">
        <f>COUNTIFS('OB History S2'!$B:$B,$A$20,'OB History S2'!Q:Q, 1)</f>
        <v>0</v>
      </c>
      <c r="W20" s="2">
        <f>COUNTIFS('OB History S2'!$B:$B,$A$20,'OB History S2'!R:R, 1)</f>
        <v>0</v>
      </c>
      <c r="X20" s="2">
        <f>COUNTIFS('OB History S2'!$B:$B,$A$20,'OB History S2'!S:S, 1)</f>
        <v>0</v>
      </c>
      <c r="Y20" s="2">
        <f>COUNTIFS('OB History S2'!$B:$B,$A$20,'OB History S2'!T:T, 1)</f>
        <v>0</v>
      </c>
      <c r="Z20" s="2">
        <f>COUNTIFS('OB History S2'!$B:$B,$A$20,'OB History S2'!U:U, 1)</f>
        <v>0</v>
      </c>
      <c r="AA20" s="2">
        <f>COUNTIFS('OB History S2'!$B:$B,$A$20,'OB History S2'!V:V, 1)</f>
        <v>0</v>
      </c>
      <c r="AB20" s="2">
        <f>COUNTIFS('OB History S2'!$B:$B,$A$20,'OB History S2'!W:W, 1)</f>
        <v>0</v>
      </c>
      <c r="AC20" s="2">
        <f>COUNTIFS('OB History S2'!$B:$B,$A$20,'OB History S2'!X:X, 1)</f>
        <v>1</v>
      </c>
      <c r="AD20" s="2">
        <f>COUNTIFS('OB History S2'!$B:$B,$A$20,'OB History S2'!Y:Y, 1)</f>
        <v>0</v>
      </c>
      <c r="AE20" s="2">
        <f>COUNTIFS('OB History S2'!$B:$B,$A$20,'OB History S2'!Z:Z, 1)</f>
        <v>1</v>
      </c>
    </row>
    <row r="21" spans="1:31" ht="15.75" x14ac:dyDescent="0.25">
      <c r="A21" s="2" t="s">
        <v>20</v>
      </c>
      <c r="B21" s="80" t="s">
        <v>60</v>
      </c>
      <c r="C21" s="2" t="s">
        <v>79</v>
      </c>
      <c r="D21" s="34">
        <f>SUMIFS('OB History S2'!C:C,'OB History S2'!B:B,A21)</f>
        <v>10</v>
      </c>
      <c r="E21" s="4">
        <f>AVERAGEIFS('OB History S2'!C:C,'OB History S2'!B:B,A21)</f>
        <v>10</v>
      </c>
      <c r="F21" s="35">
        <f t="array" ref="F21">MAX(IF('OB History S2'!B:B=A21, 'OB History S2'!C:C))</f>
        <v>10</v>
      </c>
      <c r="G21" s="34">
        <f>COUNTIFS('OB History S2'!B:B,A21,'OB History S2'!D:D, 1)</f>
        <v>0</v>
      </c>
      <c r="H21" s="2">
        <f>COUNTIFS('OB History S2'!B:B,A21,'OB History S2'!D:D, 0)</f>
        <v>1</v>
      </c>
      <c r="I21" s="88">
        <f>LOOKUP(2, 1/('OB History S2'!$B:$B=A21), 'OB History S2'!$AD:$AD)</f>
        <v>0</v>
      </c>
      <c r="J21" s="34">
        <f>SUMIFS('OB History S2'!F:F,'OB History S2'!B:B,A21)</f>
        <v>0</v>
      </c>
      <c r="K21" s="2">
        <f>SUMIFS('OB History S2'!E:E,'OB History S2'!B:B,A21)-J21</f>
        <v>3</v>
      </c>
      <c r="L21" s="88">
        <f>LOOKUP(2, 1/('OB History S2'!$B:$B=A21), 'OB History S2'!$AB:$AB)</f>
        <v>0</v>
      </c>
      <c r="M21" s="34">
        <f>SUMIFS('OB History S2'!H:H,'OB History S2'!B:B,A21)</f>
        <v>4</v>
      </c>
      <c r="N21" s="2">
        <f>SUMIFS('OB History S2'!G:G,'OB History S2'!B:B,A21)-M21</f>
        <v>9</v>
      </c>
      <c r="O21" s="88">
        <f>LOOKUP(2, 1/('OB History S2'!$B:$B=A21), 'OB History S2'!$AC:$AC)</f>
        <v>0.31</v>
      </c>
      <c r="P21" s="2">
        <f>COUNTIFS('OB History S2'!$B:$B,$A$21,'OB History S2'!K:K, 1)</f>
        <v>0</v>
      </c>
      <c r="Q21" s="2">
        <f>COUNTIFS('OB History S2'!$B:$B,$A$21,'OB History S2'!L:L, 1)</f>
        <v>0</v>
      </c>
      <c r="R21" s="2">
        <f>COUNTIFS('OB History S2'!$B:$B,$A$21,'OB History S2'!M:M, 1)</f>
        <v>0</v>
      </c>
      <c r="S21" s="2">
        <f>COUNTIFS('OB History S2'!$B:$B,$A$21,'OB History S2'!N:N, 1)</f>
        <v>0</v>
      </c>
      <c r="T21" s="2">
        <f>COUNTIFS('OB History S2'!$B:$B,$A$21,'OB History S2'!O:O, 1)</f>
        <v>0</v>
      </c>
      <c r="U21" s="2">
        <f>COUNTIFS('OB History S2'!$B:$B,$A$21,'OB History S2'!P:P, 1)</f>
        <v>0</v>
      </c>
      <c r="V21" s="2">
        <f>COUNTIFS('OB History S2'!$B:$B,$A$21,'OB History S2'!Q:Q, 1)</f>
        <v>0</v>
      </c>
      <c r="W21" s="2">
        <f>COUNTIFS('OB History S2'!$B:$B,$A$21,'OB History S2'!R:R, 1)</f>
        <v>0</v>
      </c>
      <c r="X21" s="2">
        <f>COUNTIFS('OB History S2'!$B:$B,$A$21,'OB History S2'!S:S, 1)</f>
        <v>0</v>
      </c>
      <c r="Y21" s="2">
        <f>COUNTIFS('OB History S2'!$B:$B,$A$21,'OB History S2'!T:T, 1)</f>
        <v>0</v>
      </c>
      <c r="Z21" s="2">
        <f>COUNTIFS('OB History S2'!$B:$B,$A$21,'OB History S2'!U:U, 1)</f>
        <v>0</v>
      </c>
      <c r="AA21" s="2">
        <f>COUNTIFS('OB History S2'!$B:$B,$A$21,'OB History S2'!V:V, 1)</f>
        <v>0</v>
      </c>
      <c r="AB21" s="2">
        <f>COUNTIFS('OB History S2'!$B:$B,$A$21,'OB History S2'!W:W, 1)</f>
        <v>0</v>
      </c>
      <c r="AC21" s="2">
        <f>COUNTIFS('OB History S2'!$B:$B,$A$21,'OB History S2'!X:X, 1)</f>
        <v>0</v>
      </c>
      <c r="AD21" s="2">
        <f>COUNTIFS('OB History S2'!$B:$B,$A$21,'OB History S2'!Y:Y, 1)</f>
        <v>0</v>
      </c>
      <c r="AE21" s="2">
        <f>COUNTIFS('OB History S2'!$B:$B,$A$21,'OB History S2'!Z:Z, 1)</f>
        <v>0</v>
      </c>
    </row>
    <row r="22" spans="1:31" x14ac:dyDescent="0.25">
      <c r="A22" s="1" t="s">
        <v>47</v>
      </c>
      <c r="B22" s="2" t="s">
        <v>79</v>
      </c>
      <c r="C22" s="2" t="s">
        <v>79</v>
      </c>
      <c r="D22" s="34">
        <f>SUMIFS('OB History S2'!C:C,'OB History S2'!B:B,A22)</f>
        <v>9</v>
      </c>
      <c r="E22" s="4">
        <f>AVERAGEIFS('OB History S2'!C:C,'OB History S2'!B:B,A22)</f>
        <v>9</v>
      </c>
      <c r="F22" s="35">
        <f t="array" ref="F22">MAX(IF('OB History S2'!B:B=A22, 'OB History S2'!C:C))</f>
        <v>9</v>
      </c>
      <c r="G22" s="34">
        <f>COUNTIFS('OB History S2'!B:B,A22,'OB History S2'!D:D, 1)</f>
        <v>0</v>
      </c>
      <c r="H22" s="2">
        <f>COUNTIFS('OB History S2'!B:B,A22,'OB History S2'!D:D, 0)</f>
        <v>1</v>
      </c>
      <c r="I22" s="88">
        <f>LOOKUP(2, 1/('OB History S2'!$B:$B=A22), 'OB History S2'!$AD:$AD)</f>
        <v>0</v>
      </c>
      <c r="J22" s="34">
        <f>SUMIFS('OB History S2'!F:F,'OB History S2'!B:B,A22)</f>
        <v>2</v>
      </c>
      <c r="K22" s="2">
        <f>SUMIFS('OB History S2'!E:E,'OB History S2'!B:B,A22)-J22</f>
        <v>3</v>
      </c>
      <c r="L22" s="88">
        <f>LOOKUP(2, 1/('OB History S2'!$B:$B=A22), 'OB History S2'!$AB:$AB)</f>
        <v>0.4</v>
      </c>
      <c r="M22" s="34">
        <f>SUMIFS('OB History S2'!H:H,'OB History S2'!B:B,A22)</f>
        <v>10</v>
      </c>
      <c r="N22" s="2">
        <f>SUMIFS('OB History S2'!G:G,'OB History S2'!B:B,A22)-M22</f>
        <v>11</v>
      </c>
      <c r="O22" s="88">
        <f>LOOKUP(2, 1/('OB History S2'!$B:$B=A22), 'OB History S2'!$AC:$AC)</f>
        <v>0.48</v>
      </c>
      <c r="P22" s="2">
        <f>COUNTIFS('OB History S2'!$B:$B,$A$22,'OB History S2'!K:K, 1)</f>
        <v>1</v>
      </c>
      <c r="Q22" s="2">
        <f>COUNTIFS('OB History S2'!$B:$B,$A$22,'OB History S2'!L:L, 1)</f>
        <v>0</v>
      </c>
      <c r="R22" s="2">
        <f>COUNTIFS('OB History S2'!$B:$B,$A$22,'OB History S2'!M:M, 1)</f>
        <v>0</v>
      </c>
      <c r="S22" s="2">
        <f>COUNTIFS('OB History S2'!$B:$B,$A$22,'OB History S2'!N:N, 1)</f>
        <v>0</v>
      </c>
      <c r="T22" s="2">
        <f>COUNTIFS('OB History S2'!$B:$B,$A$22,'OB History S2'!O:O, 1)</f>
        <v>0</v>
      </c>
      <c r="U22" s="2">
        <f>COUNTIFS('OB History S2'!$B:$B,$A$22,'OB History S2'!P:P, 1)</f>
        <v>0</v>
      </c>
      <c r="V22" s="2">
        <f>COUNTIFS('OB History S2'!$B:$B,$A$22,'OB History S2'!Q:Q, 1)</f>
        <v>0</v>
      </c>
      <c r="W22" s="2">
        <f>COUNTIFS('OB History S2'!$B:$B,$A$22,'OB History S2'!R:R, 1)</f>
        <v>0</v>
      </c>
      <c r="X22" s="2">
        <f>COUNTIFS('OB History S2'!$B:$B,$A$22,'OB History S2'!S:S, 1)</f>
        <v>0</v>
      </c>
      <c r="Y22" s="2">
        <f>COUNTIFS('OB History S2'!$B:$B,$A$22,'OB History S2'!T:T, 1)</f>
        <v>0</v>
      </c>
      <c r="Z22" s="2">
        <f>COUNTIFS('OB History S2'!$B:$B,$A$22,'OB History S2'!U:U, 1)</f>
        <v>0</v>
      </c>
      <c r="AA22" s="2">
        <f>COUNTIFS('OB History S2'!$B:$B,$A$22,'OB History S2'!V:V, 1)</f>
        <v>0</v>
      </c>
      <c r="AB22" s="2">
        <f>COUNTIFS('OB History S2'!$B:$B,$A$22,'OB History S2'!W:W, 1)</f>
        <v>1</v>
      </c>
      <c r="AC22" s="2">
        <f>COUNTIFS('OB History S2'!$B:$B,$A$22,'OB History S2'!X:X, 1)</f>
        <v>0</v>
      </c>
      <c r="AD22" s="2">
        <f>COUNTIFS('OB History S2'!$B:$B,$A$22,'OB History S2'!Y:Y, 1)</f>
        <v>0</v>
      </c>
      <c r="AE22" s="2">
        <f>COUNTIFS('OB History S2'!$B:$B,$A$22,'OB History S2'!Z:Z, 1)</f>
        <v>0</v>
      </c>
    </row>
    <row r="23" spans="1:31" x14ac:dyDescent="0.25">
      <c r="A23" s="2" t="s">
        <v>149</v>
      </c>
      <c r="B23" s="6" t="s">
        <v>79</v>
      </c>
      <c r="C23" s="6" t="s">
        <v>79</v>
      </c>
      <c r="D23" s="34">
        <f>SUMIFS('OB History S2'!C:C,'OB History S2'!B:B,A23)</f>
        <v>89</v>
      </c>
      <c r="E23" s="4">
        <f>AVERAGEIFS('OB History S2'!C:C,'OB History S2'!B:B,A23)</f>
        <v>14.833333333333334</v>
      </c>
      <c r="F23" s="35">
        <f t="array" ref="F23">MAX(IF('OB History S2'!B:B=A23, 'OB History S2'!C:C))</f>
        <v>23</v>
      </c>
      <c r="G23" s="34">
        <f>COUNTIFS('OB History S2'!B:B,A23,'OB History S2'!D:D, 1)</f>
        <v>6</v>
      </c>
      <c r="H23" s="2">
        <f>COUNTIFS('OB History S2'!B:B,A23,'OB History S2'!D:D, 0)</f>
        <v>0</v>
      </c>
      <c r="I23" s="88">
        <f>LOOKUP(2, 1/('OB History S2'!$B:$B=A23), 'OB History S2'!$AD:$AD)</f>
        <v>1</v>
      </c>
      <c r="J23" s="34">
        <f>SUMIFS('OB History S2'!F:F,'OB History S2'!B:B,A23)</f>
        <v>18</v>
      </c>
      <c r="K23" s="2">
        <f>SUMIFS('OB History S2'!E:E,'OB History S2'!B:B,A23)-J23</f>
        <v>6</v>
      </c>
      <c r="L23" s="88">
        <f>LOOKUP(2, 1/('OB History S2'!$B:$B=A23), 'OB History S2'!$AB:$AB)</f>
        <v>0.78333333333333333</v>
      </c>
      <c r="M23" s="34">
        <f>SUMIFS('OB History S2'!H:H,'OB History S2'!B:B,A23)</f>
        <v>62</v>
      </c>
      <c r="N23" s="2">
        <f>SUMIFS('OB History S2'!G:G,'OB History S2'!B:B,A23)-M23</f>
        <v>33</v>
      </c>
      <c r="O23" s="88">
        <f>LOOKUP(2, 1/('OB History S2'!$B:$B=A23), 'OB History S2'!$AC:$AC)</f>
        <v>0.66999999999999993</v>
      </c>
      <c r="P23" s="2">
        <f>COUNTIFS('OB History S2'!$B:$B,$A$23,'OB History S2'!K:K, 1)</f>
        <v>0</v>
      </c>
      <c r="Q23" s="2">
        <f>COUNTIFS('OB History S2'!$B:$B,$A$23,'OB History S2'!L:L, 1)</f>
        <v>3</v>
      </c>
      <c r="R23" s="2">
        <f>COUNTIFS('OB History S2'!$B:$B,$A$23,'OB History S2'!M:M, 1)</f>
        <v>1</v>
      </c>
      <c r="S23" s="2">
        <f>COUNTIFS('OB History S2'!$B:$B,$A$23,'OB History S2'!N:N, 1)</f>
        <v>1</v>
      </c>
      <c r="T23" s="2">
        <f>COUNTIFS('OB History S2'!$B:$B,$A$23,'OB History S2'!O:O, 1)</f>
        <v>0</v>
      </c>
      <c r="U23" s="2">
        <f>COUNTIFS('OB History S2'!$B:$B,$A$23,'OB History S2'!P:P, 1)</f>
        <v>1</v>
      </c>
      <c r="V23" s="2">
        <f>COUNTIFS('OB History S2'!$B:$B,$A$23,'OB History S2'!Q:Q, 1)</f>
        <v>1</v>
      </c>
      <c r="W23" s="2">
        <f>COUNTIFS('OB History S2'!$B:$B,$A$23,'OB History S2'!R:R, 1)</f>
        <v>0</v>
      </c>
      <c r="X23" s="2">
        <f>COUNTIFS('OB History S2'!$B:$B,$A$23,'OB History S2'!S:S, 1)</f>
        <v>0</v>
      </c>
      <c r="Y23" s="2">
        <f>COUNTIFS('OB History S2'!$B:$B,$A$23,'OB History S2'!T:T, 1)</f>
        <v>1</v>
      </c>
      <c r="Z23" s="2">
        <f>COUNTIFS('OB History S2'!$B:$B,$A$23,'OB History S2'!U:U, 1)</f>
        <v>1</v>
      </c>
      <c r="AA23" s="2">
        <f>COUNTIFS('OB History S2'!$B:$B,$A$23,'OB History S2'!V:V, 1)</f>
        <v>0</v>
      </c>
      <c r="AB23" s="2">
        <f>COUNTIFS('OB History S2'!$B:$B,$A$23,'OB History S2'!W:W, 1)</f>
        <v>1</v>
      </c>
      <c r="AC23" s="2">
        <f>COUNTIFS('OB History S2'!$B:$B,$A$23,'OB History S2'!X:X, 1)</f>
        <v>3</v>
      </c>
      <c r="AD23" s="2">
        <f>COUNTIFS('OB History S2'!$B:$B,$A$23,'OB History S2'!Y:Y, 1)</f>
        <v>4</v>
      </c>
      <c r="AE23" s="2">
        <f>COUNTIFS('OB History S2'!$B:$B,$A$23,'OB History S2'!Z:Z, 1)</f>
        <v>1</v>
      </c>
    </row>
    <row r="24" spans="1:31" x14ac:dyDescent="0.25">
      <c r="A24" s="2" t="s">
        <v>15</v>
      </c>
      <c r="B24" s="2" t="s">
        <v>79</v>
      </c>
      <c r="C24" s="2" t="s">
        <v>79</v>
      </c>
      <c r="D24" s="34">
        <f>SUMIFS('OB History S2'!C:C,'OB History S2'!B:B,A24)</f>
        <v>108</v>
      </c>
      <c r="E24" s="4">
        <f>AVERAGEIFS('OB History S2'!C:C,'OB History S2'!B:B,A24)</f>
        <v>27</v>
      </c>
      <c r="F24" s="35">
        <f t="array" ref="F24">MAX(IF('OB History S2'!B:B=A24, 'OB History S2'!C:C))</f>
        <v>39</v>
      </c>
      <c r="G24" s="34">
        <f>COUNTIFS('OB History S2'!B:B,A24,'OB History S2'!D:D, 1)</f>
        <v>2</v>
      </c>
      <c r="H24" s="2">
        <f>COUNTIFS('OB History S2'!B:B,A24,'OB History S2'!D:D, 0)</f>
        <v>2</v>
      </c>
      <c r="I24" s="88">
        <f>LOOKUP(2, 1/('OB History S2'!$B:$B=A24), 'OB History S2'!$AD:$AD)</f>
        <v>0.5</v>
      </c>
      <c r="J24" s="34">
        <f>SUMIFS('OB History S2'!F:F,'OB History S2'!B:B,A24)</f>
        <v>9</v>
      </c>
      <c r="K24" s="2">
        <f>SUMIFS('OB History S2'!E:E,'OB History S2'!B:B,A24)-J24</f>
        <v>7</v>
      </c>
      <c r="L24" s="88">
        <f>LOOKUP(2, 1/('OB History S2'!$B:$B=A24), 'OB History S2'!$AB:$AB)</f>
        <v>0.6</v>
      </c>
      <c r="M24" s="34">
        <f>SUMIFS('OB History S2'!H:H,'OB History S2'!B:B,A24)</f>
        <v>33</v>
      </c>
      <c r="N24" s="2">
        <f>SUMIFS('OB History S2'!G:G,'OB History S2'!B:B,A24)-M24</f>
        <v>30</v>
      </c>
      <c r="O24" s="88">
        <f>LOOKUP(2, 1/('OB History S2'!$B:$B=A24), 'OB History S2'!$AC:$AC)</f>
        <v>0.53999999999999992</v>
      </c>
      <c r="P24" s="2">
        <f>COUNTIFS('OB History S2'!$B:$B,$A$24,'OB History S2'!K:K, 1)</f>
        <v>0</v>
      </c>
      <c r="Q24" s="2">
        <f>COUNTIFS('OB History S2'!$B:$B,$A$24,'OB History S2'!L:L, 1)</f>
        <v>1</v>
      </c>
      <c r="R24" s="2">
        <f>COUNTIFS('OB History S2'!$B:$B,$A$24,'OB History S2'!M:M, 1)</f>
        <v>0</v>
      </c>
      <c r="S24" s="2">
        <f>COUNTIFS('OB History S2'!$B:$B,$A$24,'OB History S2'!N:N, 1)</f>
        <v>1</v>
      </c>
      <c r="T24" s="2">
        <f>COUNTIFS('OB History S2'!$B:$B,$A$24,'OB History S2'!O:O, 1)</f>
        <v>0</v>
      </c>
      <c r="U24" s="2">
        <f>COUNTIFS('OB History S2'!$B:$B,$A$24,'OB History S2'!P:P, 1)</f>
        <v>1</v>
      </c>
      <c r="V24" s="2">
        <f>COUNTIFS('OB History S2'!$B:$B,$A$24,'OB History S2'!Q:Q, 1)</f>
        <v>1</v>
      </c>
      <c r="W24" s="2">
        <f>COUNTIFS('OB History S2'!$B:$B,$A$24,'OB History S2'!R:R, 1)</f>
        <v>0</v>
      </c>
      <c r="X24" s="2">
        <f>COUNTIFS('OB History S2'!$B:$B,$A$24,'OB History S2'!S:S, 1)</f>
        <v>0</v>
      </c>
      <c r="Y24" s="2">
        <f>COUNTIFS('OB History S2'!$B:$B,$A$24,'OB History S2'!T:T, 1)</f>
        <v>0</v>
      </c>
      <c r="Z24" s="2">
        <f>COUNTIFS('OB History S2'!$B:$B,$A$24,'OB History S2'!U:U, 1)</f>
        <v>1</v>
      </c>
      <c r="AA24" s="2">
        <f>COUNTIFS('OB History S2'!$B:$B,$A$24,'OB History S2'!V:V, 1)</f>
        <v>0</v>
      </c>
      <c r="AB24" s="2">
        <f>COUNTIFS('OB History S2'!$B:$B,$A$24,'OB History S2'!W:W, 1)</f>
        <v>0</v>
      </c>
      <c r="AC24" s="2">
        <f>COUNTIFS('OB History S2'!$B:$B,$A$24,'OB History S2'!X:X, 1)</f>
        <v>3</v>
      </c>
      <c r="AD24" s="2">
        <f>COUNTIFS('OB History S2'!$B:$B,$A$24,'OB History S2'!Y:Y, 1)</f>
        <v>0</v>
      </c>
      <c r="AE24" s="2">
        <f>COUNTIFS('OB History S2'!$B:$B,$A$24,'OB History S2'!Z:Z, 1)</f>
        <v>1</v>
      </c>
    </row>
    <row r="25" spans="1:31" x14ac:dyDescent="0.25">
      <c r="A25" s="2" t="s">
        <v>13</v>
      </c>
      <c r="B25" s="6" t="s">
        <v>124</v>
      </c>
      <c r="C25" s="6" t="s">
        <v>60</v>
      </c>
      <c r="D25" s="34">
        <f>SUMIFS('OB History S2'!C:C,'OB History S2'!B:B,A25)</f>
        <v>151</v>
      </c>
      <c r="E25" s="4">
        <f>AVERAGEIFS('OB History S2'!C:C,'OB History S2'!B:B,A25)</f>
        <v>25.166666666666668</v>
      </c>
      <c r="F25" s="35">
        <f t="array" ref="F25">MAX(IF('OB History S2'!B:B=A25, 'OB History S2'!C:C))</f>
        <v>35</v>
      </c>
      <c r="G25" s="34">
        <f>COUNTIFS('OB History S2'!B:B,A25,'OB History S2'!D:D, 1)</f>
        <v>5</v>
      </c>
      <c r="H25" s="2">
        <f>COUNTIFS('OB History S2'!B:B,A25,'OB History S2'!D:D, 0)</f>
        <v>1</v>
      </c>
      <c r="I25" s="88">
        <f>LOOKUP(2, 1/('OB History S2'!$B:$B=A25), 'OB History S2'!$AD:$AD)</f>
        <v>0.83333333333333337</v>
      </c>
      <c r="J25" s="34">
        <f>SUMIFS('OB History S2'!F:F,'OB History S2'!B:B,A25)</f>
        <v>17</v>
      </c>
      <c r="K25" s="2">
        <f>SUMIFS('OB History S2'!E:E,'OB History S2'!B:B,A25)-J25</f>
        <v>7</v>
      </c>
      <c r="L25" s="88">
        <f>LOOKUP(2, 1/('OB History S2'!$B:$B=A25), 'OB History S2'!$AB:$AB)</f>
        <v>0.75</v>
      </c>
      <c r="M25" s="34">
        <f>SUMIFS('OB History S2'!H:H,'OB History S2'!B:B,A25)</f>
        <v>61</v>
      </c>
      <c r="N25" s="2">
        <f>SUMIFS('OB History S2'!G:G,'OB History S2'!B:B,A25)-M25</f>
        <v>34</v>
      </c>
      <c r="O25" s="88">
        <f>LOOKUP(2, 1/('OB History S2'!$B:$B=A25), 'OB History S2'!$AC:$AC)</f>
        <v>0.66333333333333333</v>
      </c>
      <c r="P25" s="2">
        <f>COUNTIFS('OB History S2'!$B:$B,$A$25,'OB History S2'!K:K, 1)</f>
        <v>1</v>
      </c>
      <c r="Q25" s="2">
        <f>COUNTIFS('OB History S2'!$B:$B,$A$25,'OB History S2'!L:L, 1)</f>
        <v>2</v>
      </c>
      <c r="R25" s="2">
        <f>COUNTIFS('OB History S2'!$B:$B,$A$25,'OB History S2'!M:M, 1)</f>
        <v>1</v>
      </c>
      <c r="S25" s="2">
        <f>COUNTIFS('OB History S2'!$B:$B,$A$25,'OB History S2'!N:N, 1)</f>
        <v>1</v>
      </c>
      <c r="T25" s="2">
        <f>COUNTIFS('OB History S2'!$B:$B,$A$25,'OB History S2'!O:O, 1)</f>
        <v>0</v>
      </c>
      <c r="U25" s="2">
        <f>COUNTIFS('OB History S2'!$B:$B,$A$25,'OB History S2'!P:P, 1)</f>
        <v>1</v>
      </c>
      <c r="V25" s="2">
        <f>COUNTIFS('OB History S2'!$B:$B,$A$25,'OB History S2'!Q:Q, 1)</f>
        <v>1</v>
      </c>
      <c r="W25" s="2">
        <f>COUNTIFS('OB History S2'!$B:$B,$A$25,'OB History S2'!R:R, 1)</f>
        <v>0</v>
      </c>
      <c r="X25" s="2">
        <f>COUNTIFS('OB History S2'!$B:$B,$A$25,'OB History S2'!S:S, 1)</f>
        <v>0</v>
      </c>
      <c r="Y25" s="2">
        <f>COUNTIFS('OB History S2'!$B:$B,$A$25,'OB History S2'!T:T, 1)</f>
        <v>1</v>
      </c>
      <c r="Z25" s="2">
        <f>COUNTIFS('OB History S2'!$B:$B,$A$25,'OB History S2'!U:U, 1)</f>
        <v>1</v>
      </c>
      <c r="AA25" s="2">
        <f>COUNTIFS('OB History S2'!$B:$B,$A$25,'OB History S2'!V:V, 1)</f>
        <v>0</v>
      </c>
      <c r="AB25" s="2">
        <f>COUNTIFS('OB History S2'!$B:$B,$A$25,'OB History S2'!W:W, 1)</f>
        <v>2</v>
      </c>
      <c r="AC25" s="2">
        <f>COUNTIFS('OB History S2'!$B:$B,$A$25,'OB History S2'!X:X, 1)</f>
        <v>2</v>
      </c>
      <c r="AD25" s="2">
        <f>COUNTIFS('OB History S2'!$B:$B,$A$25,'OB History S2'!Y:Y, 1)</f>
        <v>3</v>
      </c>
      <c r="AE25" s="2">
        <f>COUNTIFS('OB History S2'!$B:$B,$A$25,'OB History S2'!Z:Z, 1)</f>
        <v>1</v>
      </c>
    </row>
    <row r="26" spans="1:31" x14ac:dyDescent="0.25">
      <c r="A26" s="2" t="s">
        <v>142</v>
      </c>
      <c r="B26" s="2" t="s">
        <v>79</v>
      </c>
      <c r="C26" s="2" t="s">
        <v>79</v>
      </c>
      <c r="D26" s="34">
        <f>SUMIFS('OB History S2'!C:C,'OB History S2'!B:B,A26)</f>
        <v>51</v>
      </c>
      <c r="E26" s="4">
        <f>AVERAGEIFS('OB History S2'!C:C,'OB History S2'!B:B,A26)</f>
        <v>17</v>
      </c>
      <c r="F26" s="35">
        <f t="array" ref="F26">MAX(IF('OB History S2'!B:B=A26, 'OB History S2'!C:C))</f>
        <v>20</v>
      </c>
      <c r="G26" s="34">
        <f>COUNTIFS('OB History S2'!B:B,A26,'OB History S2'!D:D, 1)</f>
        <v>1</v>
      </c>
      <c r="H26" s="2">
        <f>COUNTIFS('OB History S2'!B:B,A26,'OB History S2'!D:D, 0)</f>
        <v>2</v>
      </c>
      <c r="I26" s="88">
        <f>LOOKUP(2, 1/('OB History S2'!$B:$B=A26), 'OB History S2'!$AD:$AD)</f>
        <v>0.33333333333333331</v>
      </c>
      <c r="J26" s="34">
        <f>SUMIFS('OB History S2'!F:F,'OB History S2'!B:B,A26)</f>
        <v>7</v>
      </c>
      <c r="K26" s="2">
        <f>SUMIFS('OB History S2'!E:E,'OB History S2'!B:B,A26)-J26</f>
        <v>6</v>
      </c>
      <c r="L26" s="88">
        <f>LOOKUP(2, 1/('OB History S2'!$B:$B=A26), 'OB History S2'!$AB:$AB)</f>
        <v>0.6</v>
      </c>
      <c r="M26" s="34">
        <f>SUMIFS('OB History S2'!H:H,'OB History S2'!B:B,A26)</f>
        <v>27</v>
      </c>
      <c r="N26" s="2">
        <f>SUMIFS('OB History S2'!G:G,'OB History S2'!B:B,A26)-M26</f>
        <v>28</v>
      </c>
      <c r="O26" s="88">
        <f>LOOKUP(2, 1/('OB History S2'!$B:$B=A26), 'OB History S2'!$AC:$AC)</f>
        <v>0.51666666666666661</v>
      </c>
      <c r="P26" s="2">
        <f>COUNTIFS('OB History S2'!$B:$B,$A$26,'OB History S2'!K:K, 1)</f>
        <v>1</v>
      </c>
      <c r="Q26" s="2">
        <f>COUNTIFS('OB History S2'!$B:$B,$A$26,'OB History S2'!L:L, 1)</f>
        <v>1</v>
      </c>
      <c r="R26" s="2">
        <f>COUNTIFS('OB History S2'!$B:$B,$A$26,'OB History S2'!M:M, 1)</f>
        <v>0</v>
      </c>
      <c r="S26" s="2">
        <f>COUNTIFS('OB History S2'!$B:$B,$A$26,'OB History S2'!N:N, 1)</f>
        <v>0</v>
      </c>
      <c r="T26" s="2">
        <f>COUNTIFS('OB History S2'!$B:$B,$A$26,'OB History S2'!O:O, 1)</f>
        <v>0</v>
      </c>
      <c r="U26" s="2">
        <f>COUNTIFS('OB History S2'!$B:$B,$A$26,'OB History S2'!P:P, 1)</f>
        <v>1</v>
      </c>
      <c r="V26" s="2">
        <f>COUNTIFS('OB History S2'!$B:$B,$A$26,'OB History S2'!Q:Q, 1)</f>
        <v>1</v>
      </c>
      <c r="W26" s="2">
        <f>COUNTIFS('OB History S2'!$B:$B,$A$26,'OB History S2'!R:R, 1)</f>
        <v>0</v>
      </c>
      <c r="X26" s="2">
        <f>COUNTIFS('OB History S2'!$B:$B,$A$26,'OB History S2'!S:S, 1)</f>
        <v>0</v>
      </c>
      <c r="Y26" s="2">
        <f>COUNTIFS('OB History S2'!$B:$B,$A$26,'OB History S2'!T:T, 1)</f>
        <v>0</v>
      </c>
      <c r="Z26" s="2">
        <f>COUNTIFS('OB History S2'!$B:$B,$A$26,'OB History S2'!U:U, 1)</f>
        <v>0</v>
      </c>
      <c r="AA26" s="2">
        <f>COUNTIFS('OB History S2'!$B:$B,$A$26,'OB History S2'!V:V, 1)</f>
        <v>0</v>
      </c>
      <c r="AB26" s="2">
        <f>COUNTIFS('OB History S2'!$B:$B,$A$26,'OB History S2'!W:W, 1)</f>
        <v>1</v>
      </c>
      <c r="AC26" s="2">
        <f>COUNTIFS('OB History S2'!$B:$B,$A$26,'OB History S2'!X:X, 1)</f>
        <v>1</v>
      </c>
      <c r="AD26" s="2">
        <f>COUNTIFS('OB History S2'!$B:$B,$A$26,'OB History S2'!Y:Y, 1)</f>
        <v>0</v>
      </c>
      <c r="AE26" s="2">
        <f>COUNTIFS('OB History S2'!$B:$B,$A$26,'OB History S2'!Z:Z, 1)</f>
        <v>1</v>
      </c>
    </row>
    <row r="27" spans="1:31" x14ac:dyDescent="0.25">
      <c r="A27" s="2" t="s">
        <v>40</v>
      </c>
      <c r="B27" s="2" t="s">
        <v>79</v>
      </c>
      <c r="C27" s="2" t="s">
        <v>79</v>
      </c>
      <c r="D27" s="34">
        <f>SUMIFS('OB History S2'!C:C,'OB History S2'!B:B,A27)</f>
        <v>78</v>
      </c>
      <c r="E27" s="4">
        <f>AVERAGEIFS('OB History S2'!C:C,'OB History S2'!B:B,A27)</f>
        <v>19.5</v>
      </c>
      <c r="F27" s="35">
        <f t="array" ref="F27">MAX(IF('OB History S2'!B:B=A27, 'OB History S2'!C:C))</f>
        <v>25</v>
      </c>
      <c r="G27" s="34">
        <f>COUNTIFS('OB History S2'!B:B,A27,'OB History S2'!D:D, 1)</f>
        <v>2</v>
      </c>
      <c r="H27" s="2">
        <f>COUNTIFS('OB History S2'!B:B,A27,'OB History S2'!D:D, 0)</f>
        <v>2</v>
      </c>
      <c r="I27" s="88">
        <f>LOOKUP(2, 1/('OB History S2'!$B:$B=A27), 'OB History S2'!$AD:$AD)</f>
        <v>0.5</v>
      </c>
      <c r="J27" s="34">
        <f>SUMIFS('OB History S2'!F:F,'OB History S2'!B:B,A27)</f>
        <v>8</v>
      </c>
      <c r="K27" s="2">
        <f>SUMIFS('OB History S2'!E:E,'OB History S2'!B:B,A27)-J27</f>
        <v>8</v>
      </c>
      <c r="L27" s="88">
        <f>LOOKUP(2, 1/('OB History S2'!$B:$B=A27), 'OB History S2'!$AB:$AB)</f>
        <v>0.5</v>
      </c>
      <c r="M27" s="34">
        <f>SUMIFS('OB History S2'!H:H,'OB History S2'!B:B,A27)</f>
        <v>30</v>
      </c>
      <c r="N27" s="2">
        <f>SUMIFS('OB History S2'!G:G,'OB History S2'!B:B,A27)-M27</f>
        <v>36</v>
      </c>
      <c r="O27" s="88">
        <f>LOOKUP(2, 1/('OB History S2'!$B:$B=A27), 'OB History S2'!$AC:$AC)</f>
        <v>0.44249999999999995</v>
      </c>
      <c r="P27" s="2">
        <f>COUNTIFS('OB History S2'!$B:$B,$A$27,'OB History S2'!K:K, 1)</f>
        <v>0</v>
      </c>
      <c r="Q27" s="2">
        <f>COUNTIFS('OB History S2'!$B:$B,$A$27,'OB History S2'!L:L, 1)</f>
        <v>2</v>
      </c>
      <c r="R27" s="2">
        <f>COUNTIFS('OB History S2'!$B:$B,$A$27,'OB History S2'!M:M, 1)</f>
        <v>0</v>
      </c>
      <c r="S27" s="2">
        <f>COUNTIFS('OB History S2'!$B:$B,$A$27,'OB History S2'!N:N, 1)</f>
        <v>0</v>
      </c>
      <c r="T27" s="2">
        <f>COUNTIFS('OB History S2'!$B:$B,$A$27,'OB History S2'!O:O, 1)</f>
        <v>0</v>
      </c>
      <c r="U27" s="2">
        <f>COUNTIFS('OB History S2'!$B:$B,$A$27,'OB History S2'!P:P, 1)</f>
        <v>1</v>
      </c>
      <c r="V27" s="2">
        <f>COUNTIFS('OB History S2'!$B:$B,$A$27,'OB History S2'!Q:Q, 1)</f>
        <v>1</v>
      </c>
      <c r="W27" s="2">
        <f>COUNTIFS('OB History S2'!$B:$B,$A$27,'OB History S2'!R:R, 1)</f>
        <v>0</v>
      </c>
      <c r="X27" s="2">
        <f>COUNTIFS('OB History S2'!$B:$B,$A$27,'OB History S2'!S:S, 1)</f>
        <v>0</v>
      </c>
      <c r="Y27" s="2">
        <f>COUNTIFS('OB History S2'!$B:$B,$A$27,'OB History S2'!T:T, 1)</f>
        <v>0</v>
      </c>
      <c r="Z27" s="2">
        <f>COUNTIFS('OB History S2'!$B:$B,$A$27,'OB History S2'!U:U, 1)</f>
        <v>0</v>
      </c>
      <c r="AA27" s="2">
        <f>COUNTIFS('OB History S2'!$B:$B,$A$27,'OB History S2'!V:V, 1)</f>
        <v>0</v>
      </c>
      <c r="AB27" s="2">
        <f>COUNTIFS('OB History S2'!$B:$B,$A$27,'OB History S2'!W:W, 1)</f>
        <v>0</v>
      </c>
      <c r="AC27" s="2">
        <f>COUNTIFS('OB History S2'!$B:$B,$A$27,'OB History S2'!X:X, 1)</f>
        <v>2</v>
      </c>
      <c r="AD27" s="2">
        <f>COUNTIFS('OB History S2'!$B:$B,$A$27,'OB History S2'!Y:Y, 1)</f>
        <v>1</v>
      </c>
      <c r="AE27" s="2">
        <f>COUNTIFS('OB History S2'!$B:$B,$A$27,'OB History S2'!Z:Z, 1)</f>
        <v>1</v>
      </c>
    </row>
    <row r="28" spans="1:31" x14ac:dyDescent="0.25">
      <c r="A28" s="2" t="s">
        <v>148</v>
      </c>
      <c r="B28" s="2" t="s">
        <v>79</v>
      </c>
      <c r="C28" s="2" t="s">
        <v>79</v>
      </c>
      <c r="D28" s="34">
        <f>SUMIFS('OB History S2'!C:C,'OB History S2'!B:B,A28)</f>
        <v>24</v>
      </c>
      <c r="E28" s="4">
        <f>AVERAGEIFS('OB History S2'!C:C,'OB History S2'!B:B,A28)</f>
        <v>12</v>
      </c>
      <c r="F28" s="35">
        <f t="array" ref="F28">MAX(IF('OB History S2'!B:B=A28, 'OB History S2'!C:C))</f>
        <v>17</v>
      </c>
      <c r="G28" s="34">
        <f>COUNTIFS('OB History S2'!B:B,A28,'OB History S2'!D:D, 1)</f>
        <v>0</v>
      </c>
      <c r="H28" s="2">
        <f>COUNTIFS('OB History S2'!B:B,A28,'OB History S2'!D:D, 0)</f>
        <v>2</v>
      </c>
      <c r="I28" s="88">
        <f>LOOKUP(2, 1/('OB History S2'!$B:$B=A28), 'OB History S2'!$AD:$AD)</f>
        <v>0</v>
      </c>
      <c r="J28" s="34">
        <f>SUMIFS('OB History S2'!F:F,'OB History S2'!B:B,A28)</f>
        <v>0</v>
      </c>
      <c r="K28" s="2">
        <f>SUMIFS('OB History S2'!E:E,'OB History S2'!B:B,A28)-J28</f>
        <v>6</v>
      </c>
      <c r="L28" s="88">
        <f>LOOKUP(2, 1/('OB History S2'!$B:$B=A28), 'OB History S2'!$AB:$AB)</f>
        <v>0</v>
      </c>
      <c r="M28" s="34">
        <f>SUMIFS('OB History S2'!H:H,'OB History S2'!B:B,A28)</f>
        <v>6</v>
      </c>
      <c r="N28" s="2">
        <f>SUMIFS('OB History S2'!G:G,'OB History S2'!B:B,A28)-M28</f>
        <v>18</v>
      </c>
      <c r="O28" s="88">
        <f>LOOKUP(2, 1/('OB History S2'!$B:$B=A28), 'OB History S2'!$AC:$AC)</f>
        <v>0.245</v>
      </c>
      <c r="P28" s="2">
        <f>COUNTIFS('OB History S2'!$B:$B,$A$28,'OB History S2'!K:K, 1)</f>
        <v>0</v>
      </c>
      <c r="Q28" s="2">
        <f>COUNTIFS('OB History S2'!$B:$B,$A$28,'OB History S2'!L:L, 1)</f>
        <v>0</v>
      </c>
      <c r="R28" s="2">
        <f>COUNTIFS('OB History S2'!$B:$B,$A$28,'OB History S2'!M:M, 1)</f>
        <v>0</v>
      </c>
      <c r="S28" s="2">
        <f>COUNTIFS('OB History S2'!$B:$B,$A$28,'OB History S2'!N:N, 1)</f>
        <v>0</v>
      </c>
      <c r="T28" s="2">
        <f>COUNTIFS('OB History S2'!$B:$B,$A$28,'OB History S2'!O:O, 1)</f>
        <v>0</v>
      </c>
      <c r="U28" s="2">
        <f>COUNTIFS('OB History S2'!$B:$B,$A$28,'OB History S2'!P:P, 1)</f>
        <v>0</v>
      </c>
      <c r="V28" s="2">
        <f>COUNTIFS('OB History S2'!$B:$B,$A$28,'OB History S2'!Q:Q, 1)</f>
        <v>0</v>
      </c>
      <c r="W28" s="2">
        <f>COUNTIFS('OB History S2'!$B:$B,$A$28,'OB History S2'!R:R, 1)</f>
        <v>0</v>
      </c>
      <c r="X28" s="2">
        <f>COUNTIFS('OB History S2'!$B:$B,$A$28,'OB History S2'!S:S, 1)</f>
        <v>0</v>
      </c>
      <c r="Y28" s="2">
        <f>COUNTIFS('OB History S2'!$B:$B,$A$28,'OB History S2'!T:T, 1)</f>
        <v>0</v>
      </c>
      <c r="Z28" s="2">
        <f>COUNTIFS('OB History S2'!$B:$B,$A$28,'OB History S2'!U:U, 1)</f>
        <v>0</v>
      </c>
      <c r="AA28" s="2">
        <f>COUNTIFS('OB History S2'!$B:$B,$A$28,'OB History S2'!V:V, 1)</f>
        <v>0</v>
      </c>
      <c r="AB28" s="2">
        <f>COUNTIFS('OB History S2'!$B:$B,$A$28,'OB History S2'!W:W, 1)</f>
        <v>0</v>
      </c>
      <c r="AC28" s="2">
        <f>COUNTIFS('OB History S2'!$B:$B,$A$28,'OB History S2'!X:X, 1)</f>
        <v>0</v>
      </c>
      <c r="AD28" s="2">
        <f>COUNTIFS('OB History S2'!$B:$B,$A$28,'OB History S2'!Y:Y, 1)</f>
        <v>0</v>
      </c>
      <c r="AE28" s="2">
        <f>COUNTIFS('OB History S2'!$B:$B,$A$28,'OB History S2'!Z:Z, 1)</f>
        <v>0</v>
      </c>
    </row>
    <row r="29" spans="1:31" x14ac:dyDescent="0.25">
      <c r="A29" s="2" t="s">
        <v>17</v>
      </c>
      <c r="B29" s="2" t="s">
        <v>79</v>
      </c>
      <c r="C29" s="2" t="s">
        <v>79</v>
      </c>
      <c r="D29" s="34">
        <f>SUMIFS('OB History S2'!C:C,'OB History S2'!B:B,A29)</f>
        <v>86</v>
      </c>
      <c r="E29" s="4">
        <f>AVERAGEIFS('OB History S2'!C:C,'OB History S2'!B:B,A29)</f>
        <v>17.2</v>
      </c>
      <c r="F29" s="35">
        <f t="array" ref="F29">MAX(IF('OB History S2'!B:B=A29, 'OB History S2'!C:C))</f>
        <v>27</v>
      </c>
      <c r="G29" s="34">
        <f>COUNTIFS('OB History S2'!B:B,A29,'OB History S2'!D:D, 1)</f>
        <v>2</v>
      </c>
      <c r="H29" s="2">
        <f>COUNTIFS('OB History S2'!B:B,A29,'OB History S2'!D:D, 0)</f>
        <v>3</v>
      </c>
      <c r="I29" s="88">
        <f>LOOKUP(2, 1/('OB History S2'!$B:$B=A29), 'OB History S2'!$AD:$AD)</f>
        <v>0.4</v>
      </c>
      <c r="J29" s="34">
        <f>SUMIFS('OB History S2'!F:F,'OB History S2'!B:B,A29)</f>
        <v>8</v>
      </c>
      <c r="K29" s="2">
        <f>SUMIFS('OB History S2'!E:E,'OB History S2'!B:B,A29)-J29</f>
        <v>11</v>
      </c>
      <c r="L29" s="88">
        <f>LOOKUP(2, 1/('OB History S2'!$B:$B=A29), 'OB History S2'!$AB:$AB)</f>
        <v>0.42000000000000004</v>
      </c>
      <c r="M29" s="34">
        <f>SUMIFS('OB History S2'!H:H,'OB History S2'!B:B,A29)</f>
        <v>35</v>
      </c>
      <c r="N29" s="2">
        <f>SUMIFS('OB History S2'!G:G,'OB History S2'!B:B,A29)-M29</f>
        <v>39</v>
      </c>
      <c r="O29" s="88">
        <f>LOOKUP(2, 1/('OB History S2'!$B:$B=A29), 'OB History S2'!$AC:$AC)</f>
        <v>0.47599999999999998</v>
      </c>
      <c r="P29" s="2">
        <f>COUNTIFS('OB History S2'!$B:$B,$A$29,'OB History S2'!K:K, 1)</f>
        <v>0</v>
      </c>
      <c r="Q29" s="2">
        <f>COUNTIFS('OB History S2'!$B:$B,$A$29,'OB History S2'!L:L, 1)</f>
        <v>1</v>
      </c>
      <c r="R29" s="2">
        <f>COUNTIFS('OB History S2'!$B:$B,$A$29,'OB History S2'!M:M, 1)</f>
        <v>1</v>
      </c>
      <c r="S29" s="2">
        <f>COUNTIFS('OB History S2'!$B:$B,$A$29,'OB History S2'!N:N, 1)</f>
        <v>0</v>
      </c>
      <c r="T29" s="2">
        <f>COUNTIFS('OB History S2'!$B:$B,$A$29,'OB History S2'!O:O, 1)</f>
        <v>0</v>
      </c>
      <c r="U29" s="2">
        <f>COUNTIFS('OB History S2'!$B:$B,$A$29,'OB History S2'!P:P, 1)</f>
        <v>0</v>
      </c>
      <c r="V29" s="2">
        <f>COUNTIFS('OB History S2'!$B:$B,$A$29,'OB History S2'!Q:Q, 1)</f>
        <v>0</v>
      </c>
      <c r="W29" s="2">
        <f>COUNTIFS('OB History S2'!$B:$B,$A$29,'OB History S2'!R:R, 1)</f>
        <v>0</v>
      </c>
      <c r="X29" s="2">
        <f>COUNTIFS('OB History S2'!$B:$B,$A$29,'OB History S2'!S:S, 1)</f>
        <v>0</v>
      </c>
      <c r="Y29" s="2">
        <f>COUNTIFS('OB History S2'!$B:$B,$A$29,'OB History S2'!T:T, 1)</f>
        <v>1</v>
      </c>
      <c r="Z29" s="2">
        <f>COUNTIFS('OB History S2'!$B:$B,$A$29,'OB History S2'!U:U, 1)</f>
        <v>0</v>
      </c>
      <c r="AA29" s="2">
        <f>COUNTIFS('OB History S2'!$B:$B,$A$29,'OB History S2'!V:V, 1)</f>
        <v>0</v>
      </c>
      <c r="AB29" s="2">
        <f>COUNTIFS('OB History S2'!$B:$B,$A$29,'OB History S2'!W:W, 1)</f>
        <v>0</v>
      </c>
      <c r="AC29" s="2">
        <f>COUNTIFS('OB History S2'!$B:$B,$A$29,'OB History S2'!X:X, 1)</f>
        <v>2</v>
      </c>
      <c r="AD29" s="2">
        <f>COUNTIFS('OB History S2'!$B:$B,$A$29,'OB History S2'!Y:Y, 1)</f>
        <v>2</v>
      </c>
      <c r="AE29" s="2">
        <f>COUNTIFS('OB History S2'!$B:$B,$A$29,'OB History S2'!Z:Z, 1)</f>
        <v>1</v>
      </c>
    </row>
    <row r="30" spans="1:31" x14ac:dyDescent="0.25">
      <c r="A30" s="2" t="s">
        <v>156</v>
      </c>
      <c r="B30" s="2" t="s">
        <v>79</v>
      </c>
      <c r="C30" s="2" t="s">
        <v>79</v>
      </c>
      <c r="D30" s="34">
        <f>SUMIFS('OB History S2'!C:C,'OB History S2'!B:B,A30)</f>
        <v>64</v>
      </c>
      <c r="E30" s="4">
        <f>AVERAGEIFS('OB History S2'!C:C,'OB History S2'!B:B,A30)</f>
        <v>21.333333333333332</v>
      </c>
      <c r="F30" s="35">
        <f t="array" ref="F30">MAX(IF('OB History S2'!B:B=A30, 'OB History S2'!C:C))</f>
        <v>27</v>
      </c>
      <c r="G30" s="34">
        <f>COUNTIFS('OB History S2'!B:B,A30,'OB History S2'!D:D, 1)</f>
        <v>1</v>
      </c>
      <c r="H30" s="2">
        <f>COUNTIFS('OB History S2'!B:B,A30,'OB History S2'!D:D, 0)</f>
        <v>2</v>
      </c>
      <c r="I30" s="88">
        <f>LOOKUP(2, 1/('OB History S2'!$B:$B=A30), 'OB History S2'!$AD:$AD)</f>
        <v>0.33333333333333331</v>
      </c>
      <c r="J30" s="34">
        <f>SUMIFS('OB History S2'!F:F,'OB History S2'!B:B,A30)</f>
        <v>5</v>
      </c>
      <c r="K30" s="2">
        <f>SUMIFS('OB History S2'!E:E,'OB History S2'!B:B,A30)-J30</f>
        <v>8</v>
      </c>
      <c r="L30" s="88">
        <f>LOOKUP(2, 1/('OB History S2'!$B:$B=A30), 'OB History S2'!$AB:$AB)</f>
        <v>0.3666666666666667</v>
      </c>
      <c r="M30" s="34">
        <f>SUMIFS('OB History S2'!H:H,'OB History S2'!B:B,A30)</f>
        <v>22</v>
      </c>
      <c r="N30" s="2">
        <f>SUMIFS('OB History S2'!G:G,'OB History S2'!B:B,A30)-M30</f>
        <v>28</v>
      </c>
      <c r="O30" s="88">
        <f>LOOKUP(2, 1/('OB History S2'!$B:$B=A30), 'OB History S2'!$AC:$AC)</f>
        <v>0.41666666666666669</v>
      </c>
      <c r="P30" s="2">
        <f>COUNTIFS('OB History S2'!$B:$B,$A$30,'OB History S2'!K:K, 1)</f>
        <v>0</v>
      </c>
      <c r="Q30" s="2">
        <f>COUNTIFS('OB History S2'!$B:$B,$A$30,'OB History S2'!L:L, 1)</f>
        <v>0</v>
      </c>
      <c r="R30" s="2">
        <f>COUNTIFS('OB History S2'!$B:$B,$A$30,'OB History S2'!M:M, 1)</f>
        <v>1</v>
      </c>
      <c r="S30" s="2">
        <f>COUNTIFS('OB History S2'!$B:$B,$A$30,'OB History S2'!N:N, 1)</f>
        <v>0</v>
      </c>
      <c r="T30" s="2">
        <f>COUNTIFS('OB History S2'!$B:$B,$A$30,'OB History S2'!O:O, 1)</f>
        <v>0</v>
      </c>
      <c r="U30" s="2">
        <f>COUNTIFS('OB History S2'!$B:$B,$A$30,'OB History S2'!P:P, 1)</f>
        <v>0</v>
      </c>
      <c r="V30" s="2">
        <f>COUNTIFS('OB History S2'!$B:$B,$A$30,'OB History S2'!Q:Q, 1)</f>
        <v>0</v>
      </c>
      <c r="W30" s="2">
        <f>COUNTIFS('OB History S2'!$B:$B,$A$30,'OB History S2'!R:R, 1)</f>
        <v>0</v>
      </c>
      <c r="X30" s="2">
        <f>COUNTIFS('OB History S2'!$B:$B,$A$30,'OB History S2'!S:S, 1)</f>
        <v>0</v>
      </c>
      <c r="Y30" s="2">
        <f>COUNTIFS('OB History S2'!$B:$B,$A$30,'OB History S2'!T:T, 1)</f>
        <v>1</v>
      </c>
      <c r="Z30" s="2">
        <f>COUNTIFS('OB History S2'!$B:$B,$A$30,'OB History S2'!U:U, 1)</f>
        <v>0</v>
      </c>
      <c r="AA30" s="2">
        <f>COUNTIFS('OB History S2'!$B:$B,$A$30,'OB History S2'!V:V, 1)</f>
        <v>0</v>
      </c>
      <c r="AB30" s="2">
        <f>COUNTIFS('OB History S2'!$B:$B,$A$30,'OB History S2'!W:W, 1)</f>
        <v>0</v>
      </c>
      <c r="AC30" s="2">
        <f>COUNTIFS('OB History S2'!$B:$B,$A$30,'OB History S2'!X:X, 1)</f>
        <v>1</v>
      </c>
      <c r="AD30" s="2">
        <f>COUNTIFS('OB History S2'!$B:$B,$A$30,'OB History S2'!Y:Y, 1)</f>
        <v>1</v>
      </c>
      <c r="AE30" s="2">
        <f>COUNTIFS('OB History S2'!$B:$B,$A$30,'OB History S2'!Z:Z, 1)</f>
        <v>1</v>
      </c>
    </row>
    <row r="31" spans="1:31" x14ac:dyDescent="0.25">
      <c r="A31" s="2" t="s">
        <v>6</v>
      </c>
      <c r="B31" s="2" t="s">
        <v>60</v>
      </c>
      <c r="C31" s="2" t="s">
        <v>79</v>
      </c>
      <c r="D31" s="34">
        <f>SUMIFS('OB History S2'!C:C,'OB History S2'!B:B,A31)</f>
        <v>52</v>
      </c>
      <c r="E31" s="4">
        <f>AVERAGEIFS('OB History S2'!C:C,'OB History S2'!B:B,A31)</f>
        <v>26</v>
      </c>
      <c r="F31" s="35">
        <f t="array" ref="F31">MAX(IF('OB History S2'!B:B=A31, 'OB History S2'!C:C))</f>
        <v>42</v>
      </c>
      <c r="G31" s="34">
        <f>COUNTIFS('OB History S2'!B:B,A31,'OB History S2'!D:D, 1)</f>
        <v>1</v>
      </c>
      <c r="H31" s="2">
        <f>COUNTIFS('OB History S2'!B:B,A31,'OB History S2'!D:D, 0)</f>
        <v>1</v>
      </c>
      <c r="I31" s="88">
        <f>LOOKUP(2, 1/('OB History S2'!$B:$B=A31), 'OB History S2'!$AD:$AD)</f>
        <v>0.5</v>
      </c>
      <c r="J31" s="34">
        <f>SUMIFS('OB History S2'!F:F,'OB History S2'!B:B,A31)</f>
        <v>3</v>
      </c>
      <c r="K31" s="2">
        <f>SUMIFS('OB History S2'!E:E,'OB History S2'!B:B,A31)-J31</f>
        <v>5</v>
      </c>
      <c r="L31" s="88">
        <f>LOOKUP(2, 1/('OB History S2'!$B:$B=A31), 'OB History S2'!$AB:$AB)</f>
        <v>0.3</v>
      </c>
      <c r="M31" s="34">
        <f>SUMIFS('OB History S2'!H:H,'OB History S2'!B:B,A31)</f>
        <v>17</v>
      </c>
      <c r="N31" s="2">
        <f>SUMIFS('OB History S2'!G:G,'OB History S2'!B:B,A31)-M31</f>
        <v>17</v>
      </c>
      <c r="O31" s="88">
        <f>LOOKUP(2, 1/('OB History S2'!$B:$B=A31), 'OB History S2'!$AC:$AC)</f>
        <v>0.46499999999999997</v>
      </c>
      <c r="P31" s="2">
        <f>COUNTIFS('OB History S2'!$B:$B,$A$31,'OB History S2'!K:K, 1)</f>
        <v>0</v>
      </c>
      <c r="Q31" s="2">
        <f>COUNTIFS('OB History S2'!$B:$B,$A$31,'OB History S2'!L:L, 1)</f>
        <v>0</v>
      </c>
      <c r="R31" s="2">
        <f>COUNTIFS('OB History S2'!$B:$B,$A$31,'OB History S2'!M:M, 1)</f>
        <v>1</v>
      </c>
      <c r="S31" s="2">
        <f>COUNTIFS('OB History S2'!$B:$B,$A$31,'OB History S2'!N:N, 1)</f>
        <v>0</v>
      </c>
      <c r="T31" s="2">
        <f>COUNTIFS('OB History S2'!$B:$B,$A$31,'OB History S2'!O:O, 1)</f>
        <v>0</v>
      </c>
      <c r="U31" s="2">
        <f>COUNTIFS('OB History S2'!$B:$B,$A$31,'OB History S2'!P:P, 1)</f>
        <v>0</v>
      </c>
      <c r="V31" s="2">
        <f>COUNTIFS('OB History S2'!$B:$B,$A$31,'OB History S2'!Q:Q, 1)</f>
        <v>0</v>
      </c>
      <c r="W31" s="2">
        <f>COUNTIFS('OB History S2'!$B:$B,$A$31,'OB History S2'!R:R, 1)</f>
        <v>0</v>
      </c>
      <c r="X31" s="2">
        <f>COUNTIFS('OB History S2'!$B:$B,$A$31,'OB History S2'!S:S, 1)</f>
        <v>0</v>
      </c>
      <c r="Y31" s="2">
        <f>COUNTIFS('OB History S2'!$B:$B,$A$31,'OB History S2'!T:T, 1)</f>
        <v>1</v>
      </c>
      <c r="Z31" s="2">
        <f>COUNTIFS('OB History S2'!$B:$B,$A$31,'OB History S2'!U:U, 1)</f>
        <v>0</v>
      </c>
      <c r="AA31" s="2">
        <f>COUNTIFS('OB History S2'!$B:$B,$A$31,'OB History S2'!V:V, 1)</f>
        <v>0</v>
      </c>
      <c r="AB31" s="2">
        <f>COUNTIFS('OB History S2'!$B:$B,$A$31,'OB History S2'!W:W, 1)</f>
        <v>0</v>
      </c>
      <c r="AC31" s="2">
        <f>COUNTIFS('OB History S2'!$B:$B,$A$31,'OB History S2'!X:X, 1)</f>
        <v>0</v>
      </c>
      <c r="AD31" s="2">
        <f>COUNTIFS('OB History S2'!$B:$B,$A$31,'OB History S2'!Y:Y, 1)</f>
        <v>1</v>
      </c>
      <c r="AE31" s="2">
        <f>COUNTIFS('OB History S2'!$B:$B,$A$31,'OB History S2'!Z:Z, 1)</f>
        <v>0</v>
      </c>
    </row>
    <row r="32" spans="1:31" x14ac:dyDescent="0.25">
      <c r="A32" s="2" t="s">
        <v>18</v>
      </c>
      <c r="B32" s="2" t="s">
        <v>79</v>
      </c>
      <c r="C32" s="2" t="s">
        <v>79</v>
      </c>
      <c r="D32" s="34">
        <f>SUMIFS('OB History S2'!C:C,'OB History S2'!B:B,A32)</f>
        <v>90</v>
      </c>
      <c r="E32" s="4">
        <f>AVERAGEIFS('OB History S2'!C:C,'OB History S2'!B:B,A32)</f>
        <v>22.5</v>
      </c>
      <c r="F32" s="35">
        <f t="array" ref="F32">MAX(IF('OB History S2'!B:B=A32, 'OB History S2'!C:C))</f>
        <v>28</v>
      </c>
      <c r="G32" s="34">
        <f>COUNTIFS('OB History S2'!B:B,A32,'OB History S2'!D:D, 1)</f>
        <v>4</v>
      </c>
      <c r="H32" s="2">
        <f>COUNTIFS('OB History S2'!B:B,A32,'OB History S2'!D:D, 0)</f>
        <v>0</v>
      </c>
      <c r="I32" s="88">
        <f>LOOKUP(2, 1/('OB History S2'!$B:$B=A32), 'OB History S2'!$AD:$AD)</f>
        <v>1</v>
      </c>
      <c r="J32" s="34">
        <f>SUMIFS('OB History S2'!F:F,'OB History S2'!B:B,A32)</f>
        <v>12</v>
      </c>
      <c r="K32" s="2">
        <f>SUMIFS('OB History S2'!E:E,'OB History S2'!B:B,A32)-J32</f>
        <v>2</v>
      </c>
      <c r="L32" s="88">
        <f>LOOKUP(2, 1/('OB History S2'!$B:$B=A32), 'OB History S2'!$AB:$AB)</f>
        <v>0.875</v>
      </c>
      <c r="M32" s="34">
        <f>SUMIFS('OB History S2'!H:H,'OB History S2'!B:B,A32)</f>
        <v>38</v>
      </c>
      <c r="N32" s="2">
        <f>SUMIFS('OB History S2'!G:G,'OB History S2'!B:B,A32)-M32</f>
        <v>15</v>
      </c>
      <c r="O32" s="88">
        <f>LOOKUP(2, 1/('OB History S2'!$B:$B=A32), 'OB History S2'!$AC:$AC)</f>
        <v>0.72</v>
      </c>
      <c r="P32" s="2">
        <f>COUNTIFS('OB History S2'!$B:$B,$A$32,'OB History S2'!K:K, 1)</f>
        <v>0</v>
      </c>
      <c r="Q32" s="2">
        <f>COUNTIFS('OB History S2'!$B:$B,$A$32,'OB History S2'!L:L, 1)</f>
        <v>2</v>
      </c>
      <c r="R32" s="2">
        <f>COUNTIFS('OB History S2'!$B:$B,$A$32,'OB History S2'!M:M, 1)</f>
        <v>0</v>
      </c>
      <c r="S32" s="2">
        <f>COUNTIFS('OB History S2'!$B:$B,$A$32,'OB History S2'!N:N, 1)</f>
        <v>1</v>
      </c>
      <c r="T32" s="2">
        <f>COUNTIFS('OB History S2'!$B:$B,$A$32,'OB History S2'!O:O, 1)</f>
        <v>0</v>
      </c>
      <c r="U32" s="2">
        <f>COUNTIFS('OB History S2'!$B:$B,$A$32,'OB History S2'!P:P, 1)</f>
        <v>1</v>
      </c>
      <c r="V32" s="2">
        <f>COUNTIFS('OB History S2'!$B:$B,$A$32,'OB History S2'!Q:Q, 1)</f>
        <v>1</v>
      </c>
      <c r="W32" s="2">
        <f>COUNTIFS('OB History S2'!$B:$B,$A$32,'OB History S2'!R:R, 1)</f>
        <v>0</v>
      </c>
      <c r="X32" s="2">
        <f>COUNTIFS('OB History S2'!$B:$B,$A$32,'OB History S2'!S:S, 1)</f>
        <v>0</v>
      </c>
      <c r="Y32" s="2">
        <f>COUNTIFS('OB History S2'!$B:$B,$A$32,'OB History S2'!T:T, 1)</f>
        <v>0</v>
      </c>
      <c r="Z32" s="2">
        <f>COUNTIFS('OB History S2'!$B:$B,$A$32,'OB History S2'!U:U, 1)</f>
        <v>1</v>
      </c>
      <c r="AA32" s="2">
        <f>COUNTIFS('OB History S2'!$B:$B,$A$32,'OB History S2'!V:V, 1)</f>
        <v>0</v>
      </c>
      <c r="AB32" s="2">
        <f>COUNTIFS('OB History S2'!$B:$B,$A$32,'OB History S2'!W:W, 1)</f>
        <v>1</v>
      </c>
      <c r="AC32" s="2">
        <f>COUNTIFS('OB History S2'!$B:$B,$A$32,'OB History S2'!X:X, 1)</f>
        <v>2</v>
      </c>
      <c r="AD32" s="2">
        <f>COUNTIFS('OB History S2'!$B:$B,$A$32,'OB History S2'!Y:Y, 1)</f>
        <v>2</v>
      </c>
      <c r="AE32" s="2">
        <f>COUNTIFS('OB History S2'!$B:$B,$A$32,'OB History S2'!Z:Z, 1)</f>
        <v>1</v>
      </c>
    </row>
    <row r="33" spans="1:31" x14ac:dyDescent="0.25">
      <c r="A33" s="2" t="s">
        <v>113</v>
      </c>
      <c r="B33" s="2" t="s">
        <v>79</v>
      </c>
      <c r="C33" s="2" t="s">
        <v>79</v>
      </c>
      <c r="D33" s="34">
        <f>SUMIFS('OB History S2'!C:C,'OB History S2'!B:B,A33)</f>
        <v>54</v>
      </c>
      <c r="E33" s="4">
        <f>AVERAGEIFS('OB History S2'!C:C,'OB History S2'!B:B,A33)</f>
        <v>18</v>
      </c>
      <c r="F33" s="35">
        <f t="array" ref="F33">MAX(IF('OB History S2'!B:B=A33, 'OB History S2'!C:C))</f>
        <v>21</v>
      </c>
      <c r="G33" s="34">
        <f>COUNTIFS('OB History S2'!B:B,A33,'OB History S2'!D:D, 1)</f>
        <v>2</v>
      </c>
      <c r="H33" s="2">
        <f>COUNTIFS('OB History S2'!B:B,A33,'OB History S2'!D:D, 0)</f>
        <v>1</v>
      </c>
      <c r="I33" s="88">
        <f>LOOKUP(2, 1/('OB History S2'!$B:$B=A33), 'OB History S2'!$AD:$AD)</f>
        <v>0.66666666666666663</v>
      </c>
      <c r="J33" s="34">
        <f>SUMIFS('OB History S2'!F:F,'OB History S2'!B:B,A33)</f>
        <v>6</v>
      </c>
      <c r="K33" s="2">
        <f>SUMIFS('OB History S2'!E:E,'OB History S2'!B:B,A33)-J33</f>
        <v>5</v>
      </c>
      <c r="L33" s="88">
        <f>LOOKUP(2, 1/('OB History S2'!$B:$B=A33), 'OB History S2'!$AB:$AB)</f>
        <v>0.53333333333333333</v>
      </c>
      <c r="M33" s="34">
        <f>SUMIFS('OB History S2'!H:H,'OB History S2'!B:B,A33)</f>
        <v>22</v>
      </c>
      <c r="N33" s="2">
        <f>SUMIFS('OB History S2'!G:G,'OB History S2'!B:B,A33)-M33</f>
        <v>23</v>
      </c>
      <c r="O33" s="88">
        <f>LOOKUP(2, 1/('OB History S2'!$B:$B=A33), 'OB History S2'!$AC:$AC)</f>
        <v>0.46333333333333332</v>
      </c>
      <c r="P33" s="2">
        <f>COUNTIFS('OB History S2'!$B:$B,$A$33,'OB History S2'!K:K, 1)</f>
        <v>0</v>
      </c>
      <c r="Q33" s="2">
        <f>COUNTIFS('OB History S2'!$B:$B,$A$33,'OB History S2'!L:L, 1)</f>
        <v>2</v>
      </c>
      <c r="R33" s="2">
        <f>COUNTIFS('OB History S2'!$B:$B,$A$33,'OB History S2'!M:M, 1)</f>
        <v>0</v>
      </c>
      <c r="S33" s="2">
        <f>COUNTIFS('OB History S2'!$B:$B,$A$33,'OB History S2'!N:N, 1)</f>
        <v>0</v>
      </c>
      <c r="T33" s="2">
        <f>COUNTIFS('OB History S2'!$B:$B,$A$33,'OB History S2'!O:O, 1)</f>
        <v>0</v>
      </c>
      <c r="U33" s="2">
        <f>COUNTIFS('OB History S2'!$B:$B,$A$33,'OB History S2'!P:P, 1)</f>
        <v>0</v>
      </c>
      <c r="V33" s="2">
        <f>COUNTIFS('OB History S2'!$B:$B,$A$33,'OB History S2'!Q:Q, 1)</f>
        <v>1</v>
      </c>
      <c r="W33" s="2">
        <f>COUNTIFS('OB History S2'!$B:$B,$A$33,'OB History S2'!R:R, 1)</f>
        <v>0</v>
      </c>
      <c r="X33" s="2">
        <f>COUNTIFS('OB History S2'!$B:$B,$A$33,'OB History S2'!S:S, 1)</f>
        <v>0</v>
      </c>
      <c r="Y33" s="2">
        <f>COUNTIFS('OB History S2'!$B:$B,$A$33,'OB History S2'!T:T, 1)</f>
        <v>0</v>
      </c>
      <c r="Z33" s="2">
        <f>COUNTIFS('OB History S2'!$B:$B,$A$33,'OB History S2'!U:U, 1)</f>
        <v>0</v>
      </c>
      <c r="AA33" s="2">
        <f>COUNTIFS('OB History S2'!$B:$B,$A$33,'OB History S2'!V:V, 1)</f>
        <v>0</v>
      </c>
      <c r="AB33" s="2">
        <f>COUNTIFS('OB History S2'!$B:$B,$A$33,'OB History S2'!W:W, 1)</f>
        <v>0</v>
      </c>
      <c r="AC33" s="2">
        <f>COUNTIFS('OB History S2'!$B:$B,$A$33,'OB History S2'!X:X, 1)</f>
        <v>1</v>
      </c>
      <c r="AD33" s="2">
        <f>COUNTIFS('OB History S2'!$B:$B,$A$33,'OB History S2'!Y:Y, 1)</f>
        <v>1</v>
      </c>
      <c r="AE33" s="2">
        <f>COUNTIFS('OB History S2'!$B:$B,$A$33,'OB History S2'!Z:Z, 1)</f>
        <v>1</v>
      </c>
    </row>
    <row r="34" spans="1:31" x14ac:dyDescent="0.25">
      <c r="A34" s="2" t="s">
        <v>14</v>
      </c>
      <c r="B34" s="6" t="s">
        <v>124</v>
      </c>
      <c r="C34" s="6" t="s">
        <v>124</v>
      </c>
      <c r="D34" s="34">
        <f>SUMIFS('OB History S2'!C:C,'OB History S2'!B:B,A34)</f>
        <v>70</v>
      </c>
      <c r="E34" s="4">
        <f>AVERAGEIFS('OB History S2'!C:C,'OB History S2'!B:B,A34)</f>
        <v>23.333333333333332</v>
      </c>
      <c r="F34" s="35">
        <f t="array" ref="F34">MAX(IF('OB History S2'!B:B=A34, 'OB History S2'!C:C))</f>
        <v>37</v>
      </c>
      <c r="G34" s="34">
        <f>COUNTIFS('OB History S2'!B:B,A34,'OB History S2'!D:D, 1)</f>
        <v>1</v>
      </c>
      <c r="H34" s="2">
        <f>COUNTIFS('OB History S2'!B:B,A34,'OB History S2'!D:D, 0)</f>
        <v>2</v>
      </c>
      <c r="I34" s="88">
        <f>LOOKUP(2, 1/('OB History S2'!$B:$B=A34), 'OB History S2'!$AD:$AD)</f>
        <v>0.33333333333333331</v>
      </c>
      <c r="J34" s="34">
        <f>SUMIFS('OB History S2'!F:F,'OB History S2'!B:B,A34)</f>
        <v>5</v>
      </c>
      <c r="K34" s="2">
        <f>SUMIFS('OB History S2'!E:E,'OB History S2'!B:B,A34)-J34</f>
        <v>6</v>
      </c>
      <c r="L34" s="88">
        <f>LOOKUP(2, 1/('OB History S2'!$B:$B=A34), 'OB History S2'!$AB:$AB)</f>
        <v>0.46666666666666662</v>
      </c>
      <c r="M34" s="34">
        <f>SUMIFS('OB History S2'!H:H,'OB History S2'!B:B,A34)</f>
        <v>21</v>
      </c>
      <c r="N34" s="2">
        <f>SUMIFS('OB History S2'!G:G,'OB History S2'!B:B,A34)-M34</f>
        <v>24</v>
      </c>
      <c r="O34" s="88">
        <f>LOOKUP(2, 1/('OB History S2'!$B:$B=A34), 'OB History S2'!$AC:$AC)</f>
        <v>0.5033333333333333</v>
      </c>
      <c r="P34" s="2">
        <f>COUNTIFS('OB History S2'!$B:$B,$A$34,'OB History S2'!K:K, 1)</f>
        <v>0</v>
      </c>
      <c r="Q34" s="2">
        <f>COUNTIFS('OB History S2'!$B:$B,$A$34,'OB History S2'!L:L, 1)</f>
        <v>1</v>
      </c>
      <c r="R34" s="2">
        <f>COUNTIFS('OB History S2'!$B:$B,$A$34,'OB History S2'!M:M, 1)</f>
        <v>0</v>
      </c>
      <c r="S34" s="2">
        <f>COUNTIFS('OB History S2'!$B:$B,$A$34,'OB History S2'!N:N, 1)</f>
        <v>0</v>
      </c>
      <c r="T34" s="2">
        <f>COUNTIFS('OB History S2'!$B:$B,$A$34,'OB History S2'!O:O, 1)</f>
        <v>0</v>
      </c>
      <c r="U34" s="2">
        <f>COUNTIFS('OB History S2'!$B:$B,$A$34,'OB History S2'!P:P, 1)</f>
        <v>1</v>
      </c>
      <c r="V34" s="2">
        <f>COUNTIFS('OB History S2'!$B:$B,$A$34,'OB History S2'!Q:Q, 1)</f>
        <v>0</v>
      </c>
      <c r="W34" s="2">
        <f>COUNTIFS('OB History S2'!$B:$B,$A$34,'OB History S2'!R:R, 1)</f>
        <v>0</v>
      </c>
      <c r="X34" s="2">
        <f>COUNTIFS('OB History S2'!$B:$B,$A$34,'OB History S2'!S:S, 1)</f>
        <v>0</v>
      </c>
      <c r="Y34" s="2">
        <f>COUNTIFS('OB History S2'!$B:$B,$A$34,'OB History S2'!T:T, 1)</f>
        <v>0</v>
      </c>
      <c r="Z34" s="2">
        <f>COUNTIFS('OB History S2'!$B:$B,$A$34,'OB History S2'!U:U, 1)</f>
        <v>0</v>
      </c>
      <c r="AA34" s="2">
        <f>COUNTIFS('OB History S2'!$B:$B,$A$34,'OB History S2'!V:V, 1)</f>
        <v>0</v>
      </c>
      <c r="AB34" s="2">
        <f>COUNTIFS('OB History S2'!$B:$B,$A$34,'OB History S2'!W:W, 1)</f>
        <v>0</v>
      </c>
      <c r="AC34" s="2">
        <f>COUNTIFS('OB History S2'!$B:$B,$A$34,'OB History S2'!X:X, 1)</f>
        <v>2</v>
      </c>
      <c r="AD34" s="2">
        <f>COUNTIFS('OB History S2'!$B:$B,$A$34,'OB History S2'!Y:Y, 1)</f>
        <v>1</v>
      </c>
      <c r="AE34" s="2">
        <f>COUNTIFS('OB History S2'!$B:$B,$A$34,'OB History S2'!Z:Z, 1)</f>
        <v>0</v>
      </c>
    </row>
    <row r="35" spans="1:31" x14ac:dyDescent="0.25">
      <c r="A35" s="2" t="s">
        <v>4</v>
      </c>
      <c r="B35" s="2" t="s">
        <v>79</v>
      </c>
      <c r="C35" s="2" t="s">
        <v>79</v>
      </c>
      <c r="D35" s="34">
        <f>SUMIFS('OB History S2'!C:C,'OB History S2'!B:B,A35)</f>
        <v>48</v>
      </c>
      <c r="E35" s="4">
        <f>AVERAGEIFS('OB History S2'!C:C,'OB History S2'!B:B,A35)</f>
        <v>24</v>
      </c>
      <c r="F35" s="35">
        <f t="array" ref="F35">MAX(IF('OB History S2'!B:B=A35, 'OB History S2'!C:C))</f>
        <v>31</v>
      </c>
      <c r="G35" s="34">
        <f>COUNTIFS('OB History S2'!B:B,A35,'OB History S2'!D:D, 1)</f>
        <v>1</v>
      </c>
      <c r="H35" s="2">
        <f>COUNTIFS('OB History S2'!B:B,A35,'OB History S2'!D:D, 0)</f>
        <v>1</v>
      </c>
      <c r="I35" s="88">
        <f>LOOKUP(2, 1/('OB History S2'!$B:$B=A35), 'OB History S2'!$AD:$AD)</f>
        <v>0.5</v>
      </c>
      <c r="J35" s="34">
        <f>SUMIFS('OB History S2'!F:F,'OB History S2'!B:B,A35)</f>
        <v>3</v>
      </c>
      <c r="K35" s="2">
        <f>SUMIFS('OB History S2'!E:E,'OB History S2'!B:B,A35)-J35</f>
        <v>5</v>
      </c>
      <c r="L35" s="88">
        <f>LOOKUP(2, 1/('OB History S2'!$B:$B=A35), 'OB History S2'!$AB:$AB)</f>
        <v>0.3</v>
      </c>
      <c r="M35" s="34">
        <f>SUMIFS('OB History S2'!H:H,'OB History S2'!B:B,A35)</f>
        <v>13</v>
      </c>
      <c r="N35" s="2">
        <f>SUMIFS('OB History S2'!G:G,'OB History S2'!B:B,A35)-M35</f>
        <v>19</v>
      </c>
      <c r="O35" s="88">
        <f>LOOKUP(2, 1/('OB History S2'!$B:$B=A35), 'OB History S2'!$AC:$AC)</f>
        <v>0.35</v>
      </c>
      <c r="P35" s="2">
        <f>COUNTIFS('OB History S2'!$B:$B,$A$35,'OB History S2'!K:K, 1)</f>
        <v>0</v>
      </c>
      <c r="Q35" s="2">
        <f>COUNTIFS('OB History S2'!$B:$B,$A$35,'OB History S2'!L:L, 1)</f>
        <v>1</v>
      </c>
      <c r="R35" s="2">
        <f>COUNTIFS('OB History S2'!$B:$B,$A$35,'OB History S2'!M:M, 1)</f>
        <v>0</v>
      </c>
      <c r="S35" s="2">
        <f>COUNTIFS('OB History S2'!$B:$B,$A$35,'OB History S2'!N:N, 1)</f>
        <v>0</v>
      </c>
      <c r="T35" s="2">
        <f>COUNTIFS('OB History S2'!$B:$B,$A$35,'OB History S2'!O:O, 1)</f>
        <v>0</v>
      </c>
      <c r="U35" s="2">
        <f>COUNTIFS('OB History S2'!$B:$B,$A$35,'OB History S2'!P:P, 1)</f>
        <v>0</v>
      </c>
      <c r="V35" s="2">
        <f>COUNTIFS('OB History S2'!$B:$B,$A$35,'OB History S2'!Q:Q, 1)</f>
        <v>0</v>
      </c>
      <c r="W35" s="2">
        <f>COUNTIFS('OB History S2'!$B:$B,$A$35,'OB History S2'!R:R, 1)</f>
        <v>0</v>
      </c>
      <c r="X35" s="2">
        <f>COUNTIFS('OB History S2'!$B:$B,$A$35,'OB History S2'!S:S, 1)</f>
        <v>0</v>
      </c>
      <c r="Y35" s="2">
        <f>COUNTIFS('OB History S2'!$B:$B,$A$35,'OB History S2'!T:T, 1)</f>
        <v>0</v>
      </c>
      <c r="Z35" s="2">
        <f>COUNTIFS('OB History S2'!$B:$B,$A$35,'OB History S2'!U:U, 1)</f>
        <v>0</v>
      </c>
      <c r="AA35" s="2">
        <f>COUNTIFS('OB History S2'!$B:$B,$A$35,'OB History S2'!V:V, 1)</f>
        <v>0</v>
      </c>
      <c r="AB35" s="2">
        <f>COUNTIFS('OB History S2'!$B:$B,$A$35,'OB History S2'!W:W, 1)</f>
        <v>0</v>
      </c>
      <c r="AC35" s="2">
        <f>COUNTIFS('OB History S2'!$B:$B,$A$35,'OB History S2'!X:X, 1)</f>
        <v>1</v>
      </c>
      <c r="AD35" s="2">
        <f>COUNTIFS('OB History S2'!$B:$B,$A$35,'OB History S2'!Y:Y, 1)</f>
        <v>1</v>
      </c>
      <c r="AE35" s="2">
        <f>COUNTIFS('OB History S2'!$B:$B,$A$35,'OB History S2'!Z:Z, 1)</f>
        <v>0</v>
      </c>
    </row>
    <row r="36" spans="1:31" x14ac:dyDescent="0.25">
      <c r="A36" s="2" t="s">
        <v>55</v>
      </c>
      <c r="B36" s="2" t="s">
        <v>79</v>
      </c>
      <c r="C36" s="2" t="s">
        <v>79</v>
      </c>
      <c r="D36" s="34">
        <f>SUMIFS('OB History S2'!C:C,'OB History S2'!B:B,A36)</f>
        <v>16</v>
      </c>
      <c r="E36" s="4">
        <f>AVERAGEIFS('OB History S2'!C:C,'OB History S2'!B:B,A36)</f>
        <v>5.333333333333333</v>
      </c>
      <c r="F36" s="35">
        <f t="array" ref="F36">MAX(IF('OB History S2'!B:B=A36, 'OB History S2'!C:C))</f>
        <v>7</v>
      </c>
      <c r="G36" s="34">
        <f>COUNTIFS('OB History S2'!B:B,A36,'OB History S2'!D:D, 1)</f>
        <v>2</v>
      </c>
      <c r="H36" s="2">
        <f>COUNTIFS('OB History S2'!B:B,A36,'OB History S2'!D:D, 0)</f>
        <v>1</v>
      </c>
      <c r="I36" s="88">
        <f>LOOKUP(2, 1/('OB History S2'!$B:$B=A36), 'OB History S2'!$AD:$AD)</f>
        <v>0.66666666666666663</v>
      </c>
      <c r="J36" s="34">
        <f>SUMIFS('OB History S2'!F:F,'OB History S2'!B:B,A36)</f>
        <v>7</v>
      </c>
      <c r="K36" s="2">
        <f>SUMIFS('OB History S2'!E:E,'OB History S2'!B:B,A36)-J36</f>
        <v>4</v>
      </c>
      <c r="L36" s="88">
        <f>LOOKUP(2, 1/('OB History S2'!$B:$B=A36), 'OB History S2'!$AB:$AB)</f>
        <v>0.66666666666666663</v>
      </c>
      <c r="M36" s="34">
        <f>SUMIFS('OB History S2'!H:H,'OB History S2'!B:B,A36)</f>
        <v>25</v>
      </c>
      <c r="N36" s="2">
        <f>SUMIFS('OB History S2'!G:G,'OB History S2'!B:B,A36)-M36</f>
        <v>15</v>
      </c>
      <c r="O36" s="88">
        <f>LOOKUP(2, 1/('OB History S2'!$B:$B=A36), 'OB History S2'!$AC:$AC)</f>
        <v>0.6366666666666666</v>
      </c>
      <c r="P36" s="2">
        <f>COUNTIFS('OB History S2'!$B:$B,$A$36,'OB History S2'!K:K, 1)</f>
        <v>0</v>
      </c>
      <c r="Q36" s="2">
        <f>COUNTIFS('OB History S2'!$B:$B,$A$36,'OB History S2'!L:L, 1)</f>
        <v>1</v>
      </c>
      <c r="R36" s="2">
        <f>COUNTIFS('OB History S2'!$B:$B,$A$36,'OB History S2'!M:M, 1)</f>
        <v>0</v>
      </c>
      <c r="S36" s="2">
        <f>COUNTIFS('OB History S2'!$B:$B,$A$36,'OB History S2'!N:N, 1)</f>
        <v>1</v>
      </c>
      <c r="T36" s="2">
        <f>COUNTIFS('OB History S2'!$B:$B,$A$36,'OB History S2'!O:O, 1)</f>
        <v>0</v>
      </c>
      <c r="U36" s="2">
        <f>COUNTIFS('OB History S2'!$B:$B,$A$36,'OB History S2'!P:P, 1)</f>
        <v>0</v>
      </c>
      <c r="V36" s="2">
        <f>COUNTIFS('OB History S2'!$B:$B,$A$36,'OB History S2'!Q:Q, 1)</f>
        <v>0</v>
      </c>
      <c r="W36" s="2">
        <f>COUNTIFS('OB History S2'!$B:$B,$A$36,'OB History S2'!R:R, 1)</f>
        <v>0</v>
      </c>
      <c r="X36" s="2">
        <f>COUNTIFS('OB History S2'!$B:$B,$A$36,'OB History S2'!S:S, 1)</f>
        <v>0</v>
      </c>
      <c r="Y36" s="2">
        <f>COUNTIFS('OB History S2'!$B:$B,$A$36,'OB History S2'!T:T, 1)</f>
        <v>0</v>
      </c>
      <c r="Z36" s="2">
        <f>COUNTIFS('OB History S2'!$B:$B,$A$36,'OB History S2'!U:U, 1)</f>
        <v>1</v>
      </c>
      <c r="AA36" s="2">
        <f>COUNTIFS('OB History S2'!$B:$B,$A$36,'OB History S2'!V:V, 1)</f>
        <v>0</v>
      </c>
      <c r="AB36" s="2">
        <f>COUNTIFS('OB History S2'!$B:$B,$A$36,'OB History S2'!W:W, 1)</f>
        <v>0</v>
      </c>
      <c r="AC36" s="2">
        <f>COUNTIFS('OB History S2'!$B:$B,$A$36,'OB History S2'!X:X, 1)</f>
        <v>3</v>
      </c>
      <c r="AD36" s="2">
        <f>COUNTIFS('OB History S2'!$B:$B,$A$36,'OB History S2'!Y:Y, 1)</f>
        <v>1</v>
      </c>
      <c r="AE36" s="2">
        <f>COUNTIFS('OB History S2'!$B:$B,$A$36,'OB History S2'!Z:Z, 1)</f>
        <v>0</v>
      </c>
    </row>
  </sheetData>
  <autoFilter ref="A1:AE35" xr:uid="{EEC03B8F-669F-4FC0-BA62-50F3D395660C}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673DD-A554-4024-88B0-DFC4E4E40E95}">
  <dimension ref="A1:AD478"/>
  <sheetViews>
    <sheetView workbookViewId="0">
      <pane ySplit="1" topLeftCell="A2" activePane="bottomLeft" state="frozen"/>
      <selection pane="bottomLeft" activeCell="A2" sqref="A2:AD2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146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46116</v>
      </c>
      <c r="B2" t="s">
        <v>4</v>
      </c>
      <c r="C2">
        <v>31</v>
      </c>
      <c r="D2" s="86">
        <v>1</v>
      </c>
      <c r="E2">
        <v>5</v>
      </c>
      <c r="F2">
        <v>3</v>
      </c>
      <c r="G2">
        <v>21</v>
      </c>
      <c r="H2">
        <v>11</v>
      </c>
      <c r="I2">
        <v>0.6</v>
      </c>
      <c r="J2">
        <v>0.52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1</v>
      </c>
      <c r="Y2">
        <v>1</v>
      </c>
      <c r="Z2">
        <v>0</v>
      </c>
      <c r="AA2" s="86">
        <f>AVERAGEIFS($C$2:C2, $B$2:B2, B2)</f>
        <v>31</v>
      </c>
      <c r="AB2" s="86">
        <f>AVERAGEIFS($I$2:I2, $B$2:B2, B2)</f>
        <v>0.6</v>
      </c>
      <c r="AC2" s="86">
        <f>AVERAGEIFS($J$2:J2, $B$2:B2, B2)</f>
        <v>0.52</v>
      </c>
      <c r="AD2" s="86">
        <f>AVERAGEIFS($D$2:D2, $B$2:B2, B2)</f>
        <v>1</v>
      </c>
    </row>
    <row r="3" spans="1:30" x14ac:dyDescent="0.25">
      <c r="A3" s="85">
        <v>46116</v>
      </c>
      <c r="B3" t="s">
        <v>40</v>
      </c>
      <c r="C3">
        <v>17</v>
      </c>
      <c r="D3" s="86">
        <v>1</v>
      </c>
      <c r="E3">
        <v>5</v>
      </c>
      <c r="F3">
        <v>3</v>
      </c>
      <c r="G3">
        <v>21</v>
      </c>
      <c r="H3">
        <v>11</v>
      </c>
      <c r="I3">
        <v>0.6</v>
      </c>
      <c r="J3">
        <v>0.52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1</v>
      </c>
      <c r="Y3">
        <v>1</v>
      </c>
      <c r="Z3">
        <v>0</v>
      </c>
      <c r="AA3" s="86">
        <f>AVERAGEIFS($C$2:C3, $B$2:B3, B3)</f>
        <v>17</v>
      </c>
      <c r="AB3" s="86">
        <f>AVERAGEIFS($I$2:I3, $B$2:B3, B3)</f>
        <v>0.6</v>
      </c>
      <c r="AC3" s="86">
        <f>AVERAGEIFS($J$2:J3, $B$2:B3, B3)</f>
        <v>0.52</v>
      </c>
      <c r="AD3" s="86">
        <f>AVERAGEIFS($D$2:D3, $B$2:B3, B3)</f>
        <v>1</v>
      </c>
    </row>
    <row r="4" spans="1:30" x14ac:dyDescent="0.25">
      <c r="A4" s="85">
        <v>46116</v>
      </c>
      <c r="B4" t="s">
        <v>113</v>
      </c>
      <c r="C4">
        <v>19</v>
      </c>
      <c r="D4" s="86">
        <v>1</v>
      </c>
      <c r="E4">
        <v>5</v>
      </c>
      <c r="F4">
        <v>3</v>
      </c>
      <c r="G4">
        <v>21</v>
      </c>
      <c r="H4">
        <v>11</v>
      </c>
      <c r="I4">
        <v>0.6</v>
      </c>
      <c r="J4">
        <v>0.52</v>
      </c>
      <c r="K4">
        <v>0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1</v>
      </c>
      <c r="Y4">
        <v>1</v>
      </c>
      <c r="Z4">
        <v>0</v>
      </c>
      <c r="AA4" s="86">
        <f>AVERAGEIFS($C$2:C4, $B$2:B4, B4)</f>
        <v>19</v>
      </c>
      <c r="AB4" s="86">
        <f>AVERAGEIFS($I$2:I4, $B$2:B4, B4)</f>
        <v>0.6</v>
      </c>
      <c r="AC4" s="86">
        <f>AVERAGEIFS($J$2:J4, $B$2:B4, B4)</f>
        <v>0.52</v>
      </c>
      <c r="AD4" s="86">
        <f>AVERAGEIFS($D$2:D4, $B$2:B4, B4)</f>
        <v>1</v>
      </c>
    </row>
    <row r="5" spans="1:30" x14ac:dyDescent="0.25">
      <c r="A5" s="85">
        <v>46116</v>
      </c>
      <c r="B5" t="s">
        <v>149</v>
      </c>
      <c r="C5">
        <v>23</v>
      </c>
      <c r="D5" s="86">
        <v>1</v>
      </c>
      <c r="E5">
        <v>5</v>
      </c>
      <c r="F5">
        <v>3</v>
      </c>
      <c r="G5">
        <v>21</v>
      </c>
      <c r="H5">
        <v>11</v>
      </c>
      <c r="I5">
        <v>0.6</v>
      </c>
      <c r="J5">
        <v>0.52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1</v>
      </c>
      <c r="Y5">
        <v>1</v>
      </c>
      <c r="Z5">
        <v>0</v>
      </c>
      <c r="AA5" s="86">
        <f>AVERAGEIFS($C$2:C5, $B$2:B5, B5)</f>
        <v>23</v>
      </c>
      <c r="AB5" s="86">
        <f>AVERAGEIFS($I$2:I5, $B$2:B5, B5)</f>
        <v>0.6</v>
      </c>
      <c r="AC5" s="86">
        <f>AVERAGEIFS($J$2:J5, $B$2:B5, B5)</f>
        <v>0.52</v>
      </c>
      <c r="AD5" s="86">
        <f>AVERAGEIFS($D$2:D5, $B$2:B5, B5)</f>
        <v>1</v>
      </c>
    </row>
    <row r="6" spans="1:30" x14ac:dyDescent="0.25">
      <c r="A6" s="85">
        <v>46116</v>
      </c>
      <c r="B6" t="s">
        <v>44</v>
      </c>
      <c r="C6">
        <v>28</v>
      </c>
      <c r="D6" s="86">
        <v>1</v>
      </c>
      <c r="E6">
        <v>5</v>
      </c>
      <c r="F6">
        <v>3</v>
      </c>
      <c r="G6">
        <v>21</v>
      </c>
      <c r="H6">
        <v>11</v>
      </c>
      <c r="I6">
        <v>0.6</v>
      </c>
      <c r="J6">
        <v>0.52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1</v>
      </c>
      <c r="Y6">
        <v>1</v>
      </c>
      <c r="Z6">
        <v>0</v>
      </c>
      <c r="AA6" s="86">
        <f>AVERAGEIFS($C$2:C6, $B$2:B6, B6)</f>
        <v>28</v>
      </c>
      <c r="AB6" s="86">
        <f>AVERAGEIFS($I$2:I6, $B$2:B6, B6)</f>
        <v>0.6</v>
      </c>
      <c r="AC6" s="86">
        <f>AVERAGEIFS($J$2:J6, $B$2:B6, B6)</f>
        <v>0.52</v>
      </c>
      <c r="AD6" s="86">
        <f>AVERAGEIFS($D$2:D6, $B$2:B6, B6)</f>
        <v>1</v>
      </c>
    </row>
    <row r="7" spans="1:30" x14ac:dyDescent="0.25">
      <c r="A7" s="85">
        <v>46116</v>
      </c>
      <c r="B7" t="s">
        <v>34</v>
      </c>
      <c r="C7">
        <v>18</v>
      </c>
      <c r="D7" s="86">
        <v>1</v>
      </c>
      <c r="E7">
        <v>5</v>
      </c>
      <c r="F7">
        <v>3</v>
      </c>
      <c r="G7">
        <v>21</v>
      </c>
      <c r="H7">
        <v>11</v>
      </c>
      <c r="I7">
        <v>0.6</v>
      </c>
      <c r="J7">
        <v>0.52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1</v>
      </c>
      <c r="Y7">
        <v>1</v>
      </c>
      <c r="Z7">
        <v>0</v>
      </c>
      <c r="AA7" s="86">
        <f>AVERAGEIFS($C$2:C7, $B$2:B7, B7)</f>
        <v>18</v>
      </c>
      <c r="AB7" s="86">
        <f>AVERAGEIFS($I$2:I7, $B$2:B7, B7)</f>
        <v>0.6</v>
      </c>
      <c r="AC7" s="86">
        <f>AVERAGEIFS($J$2:J7, $B$2:B7, B7)</f>
        <v>0.52</v>
      </c>
      <c r="AD7" s="86">
        <f>AVERAGEIFS($D$2:D7, $B$2:B7, B7)</f>
        <v>1</v>
      </c>
    </row>
    <row r="8" spans="1:30" x14ac:dyDescent="0.25">
      <c r="A8" s="85">
        <v>46116</v>
      </c>
      <c r="B8" t="s">
        <v>13</v>
      </c>
      <c r="C8">
        <v>32</v>
      </c>
      <c r="D8" s="86">
        <v>0</v>
      </c>
      <c r="E8">
        <v>5</v>
      </c>
      <c r="F8">
        <v>2</v>
      </c>
      <c r="G8">
        <v>21</v>
      </c>
      <c r="H8">
        <v>10</v>
      </c>
      <c r="I8">
        <v>0.4</v>
      </c>
      <c r="J8">
        <v>0.48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0</v>
      </c>
      <c r="Z8">
        <v>0</v>
      </c>
      <c r="AA8" s="86">
        <f>AVERAGEIFS($C$2:C8, $B$2:B8, B8)</f>
        <v>32</v>
      </c>
      <c r="AB8" s="86">
        <f>AVERAGEIFS($I$2:I8, $B$2:B8, B8)</f>
        <v>0.4</v>
      </c>
      <c r="AC8" s="86">
        <f>AVERAGEIFS($J$2:J8, $B$2:B8, B8)</f>
        <v>0.48</v>
      </c>
      <c r="AD8" s="86">
        <f>AVERAGEIFS($D$2:D8, $B$2:B8, B8)</f>
        <v>0</v>
      </c>
    </row>
    <row r="9" spans="1:30" x14ac:dyDescent="0.25">
      <c r="A9" s="85">
        <v>46116</v>
      </c>
      <c r="B9" t="s">
        <v>29</v>
      </c>
      <c r="C9">
        <v>20</v>
      </c>
      <c r="D9" s="86">
        <v>0</v>
      </c>
      <c r="E9">
        <v>5</v>
      </c>
      <c r="F9">
        <v>2</v>
      </c>
      <c r="G9">
        <v>21</v>
      </c>
      <c r="H9">
        <v>10</v>
      </c>
      <c r="I9">
        <v>0.4</v>
      </c>
      <c r="J9">
        <v>0.48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0</v>
      </c>
      <c r="Z9">
        <v>0</v>
      </c>
      <c r="AA9" s="86">
        <f>AVERAGEIFS($C$2:C9, $B$2:B9, B9)</f>
        <v>20</v>
      </c>
      <c r="AB9" s="86">
        <f>AVERAGEIFS($I$2:I9, $B$2:B9, B9)</f>
        <v>0.4</v>
      </c>
      <c r="AC9" s="86">
        <f>AVERAGEIFS($J$2:J9, $B$2:B9, B9)</f>
        <v>0.48</v>
      </c>
      <c r="AD9" s="86">
        <f>AVERAGEIFS($D$2:D9, $B$2:B9, B9)</f>
        <v>0</v>
      </c>
    </row>
    <row r="10" spans="1:30" x14ac:dyDescent="0.25">
      <c r="A10" s="85">
        <v>46116</v>
      </c>
      <c r="B10" t="s">
        <v>142</v>
      </c>
      <c r="C10">
        <v>20</v>
      </c>
      <c r="D10" s="86">
        <v>0</v>
      </c>
      <c r="E10">
        <v>5</v>
      </c>
      <c r="F10">
        <v>2</v>
      </c>
      <c r="G10">
        <v>21</v>
      </c>
      <c r="H10">
        <v>10</v>
      </c>
      <c r="I10">
        <v>0.4</v>
      </c>
      <c r="J10">
        <v>0.48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1</v>
      </c>
      <c r="X10">
        <v>0</v>
      </c>
      <c r="Y10">
        <v>0</v>
      </c>
      <c r="Z10">
        <v>0</v>
      </c>
      <c r="AA10" s="86">
        <f>AVERAGEIFS($C$2:C10, $B$2:B10, B10)</f>
        <v>20</v>
      </c>
      <c r="AB10" s="86">
        <f>AVERAGEIFS($I$2:I10, $B$2:B10, B10)</f>
        <v>0.4</v>
      </c>
      <c r="AC10" s="86">
        <f>AVERAGEIFS($J$2:J10, $B$2:B10, B10)</f>
        <v>0.48</v>
      </c>
      <c r="AD10" s="86">
        <f>AVERAGEIFS($D$2:D10, $B$2:B10, B10)</f>
        <v>0</v>
      </c>
    </row>
    <row r="11" spans="1:30" x14ac:dyDescent="0.25">
      <c r="A11" s="85">
        <v>46116</v>
      </c>
      <c r="B11" t="s">
        <v>137</v>
      </c>
      <c r="C11">
        <v>9</v>
      </c>
      <c r="D11" s="86">
        <v>0</v>
      </c>
      <c r="E11">
        <v>5</v>
      </c>
      <c r="F11">
        <v>2</v>
      </c>
      <c r="G11">
        <v>21</v>
      </c>
      <c r="H11">
        <v>10</v>
      </c>
      <c r="I11">
        <v>0.4</v>
      </c>
      <c r="J11">
        <v>0.48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1</v>
      </c>
      <c r="X11">
        <v>0</v>
      </c>
      <c r="Y11">
        <v>0</v>
      </c>
      <c r="Z11">
        <v>0</v>
      </c>
      <c r="AA11" s="86">
        <f>AVERAGEIFS($C$2:C11, $B$2:B11, B11)</f>
        <v>9</v>
      </c>
      <c r="AB11" s="86">
        <f>AVERAGEIFS($I$2:I11, $B$2:B11, B11)</f>
        <v>0.4</v>
      </c>
      <c r="AC11" s="86">
        <f>AVERAGEIFS($J$2:J11, $B$2:B11, B11)</f>
        <v>0.48</v>
      </c>
      <c r="AD11" s="86">
        <f>AVERAGEIFS($D$2:D11, $B$2:B11, B11)</f>
        <v>0</v>
      </c>
    </row>
    <row r="12" spans="1:30" x14ac:dyDescent="0.25">
      <c r="A12" s="85">
        <v>46116</v>
      </c>
      <c r="B12" t="s">
        <v>35</v>
      </c>
      <c r="C12">
        <v>20</v>
      </c>
      <c r="D12" s="86">
        <v>0</v>
      </c>
      <c r="E12">
        <v>5</v>
      </c>
      <c r="F12">
        <v>2</v>
      </c>
      <c r="G12">
        <v>21</v>
      </c>
      <c r="H12">
        <v>10</v>
      </c>
      <c r="I12">
        <v>0.4</v>
      </c>
      <c r="J12">
        <v>0.48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1</v>
      </c>
      <c r="X12">
        <v>0</v>
      </c>
      <c r="Y12">
        <v>0</v>
      </c>
      <c r="Z12">
        <v>0</v>
      </c>
      <c r="AA12" s="86">
        <f>AVERAGEIFS($C$2:C12, $B$2:B12, B12)</f>
        <v>20</v>
      </c>
      <c r="AB12" s="86">
        <f>AVERAGEIFS($I$2:I12, $B$2:B12, B12)</f>
        <v>0.4</v>
      </c>
      <c r="AC12" s="86">
        <f>AVERAGEIFS($J$2:J12, $B$2:B12, B12)</f>
        <v>0.48</v>
      </c>
      <c r="AD12" s="86">
        <f>AVERAGEIFS($D$2:D12, $B$2:B12, B12)</f>
        <v>0</v>
      </c>
    </row>
    <row r="13" spans="1:30" x14ac:dyDescent="0.25">
      <c r="A13" s="85">
        <v>46116</v>
      </c>
      <c r="B13" t="s">
        <v>42</v>
      </c>
      <c r="C13">
        <v>29</v>
      </c>
      <c r="D13" s="86">
        <v>0</v>
      </c>
      <c r="E13">
        <v>5</v>
      </c>
      <c r="F13">
        <v>2</v>
      </c>
      <c r="G13">
        <v>21</v>
      </c>
      <c r="H13">
        <v>10</v>
      </c>
      <c r="I13">
        <v>0.4</v>
      </c>
      <c r="J13">
        <v>0.48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1</v>
      </c>
      <c r="X13">
        <v>0</v>
      </c>
      <c r="Y13">
        <v>0</v>
      </c>
      <c r="Z13">
        <v>0</v>
      </c>
      <c r="AA13" s="86">
        <f>AVERAGEIFS($C$2:C13, $B$2:B13, B13)</f>
        <v>29</v>
      </c>
      <c r="AB13" s="86">
        <f>AVERAGEIFS($I$2:I13, $B$2:B13, B13)</f>
        <v>0.4</v>
      </c>
      <c r="AC13" s="86">
        <f>AVERAGEIFS($J$2:J13, $B$2:B13, B13)</f>
        <v>0.48</v>
      </c>
      <c r="AD13" s="86">
        <f>AVERAGEIFS($D$2:D13, $B$2:B13, B13)</f>
        <v>0</v>
      </c>
    </row>
    <row r="14" spans="1:30" x14ac:dyDescent="0.25">
      <c r="A14" s="85">
        <v>46117</v>
      </c>
      <c r="B14" t="s">
        <v>6</v>
      </c>
      <c r="C14">
        <v>42</v>
      </c>
      <c r="D14" s="86">
        <v>1</v>
      </c>
      <c r="E14">
        <v>5</v>
      </c>
      <c r="F14">
        <v>3</v>
      </c>
      <c r="G14">
        <v>21</v>
      </c>
      <c r="H14">
        <v>13</v>
      </c>
      <c r="I14">
        <v>0.6</v>
      </c>
      <c r="J14">
        <v>0.62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1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 s="86">
        <f>AVERAGEIFS($C$2:C14, $B$2:B14, B14)</f>
        <v>42</v>
      </c>
      <c r="AB14" s="86">
        <f>AVERAGEIFS($I$2:I14, $B$2:B14, B14)</f>
        <v>0.6</v>
      </c>
      <c r="AC14" s="86">
        <f>AVERAGEIFS($J$2:J14, $B$2:B14, B14)</f>
        <v>0.62</v>
      </c>
      <c r="AD14" s="86">
        <f>AVERAGEIFS($D$2:D14, $B$2:B14, B14)</f>
        <v>1</v>
      </c>
    </row>
    <row r="15" spans="1:30" x14ac:dyDescent="0.25">
      <c r="A15" s="85">
        <v>46117</v>
      </c>
      <c r="B15" t="s">
        <v>37</v>
      </c>
      <c r="C15">
        <v>36</v>
      </c>
      <c r="D15" s="86">
        <v>1</v>
      </c>
      <c r="E15">
        <v>5</v>
      </c>
      <c r="F15">
        <v>3</v>
      </c>
      <c r="G15">
        <v>21</v>
      </c>
      <c r="H15">
        <v>13</v>
      </c>
      <c r="I15">
        <v>0.6</v>
      </c>
      <c r="J15">
        <v>0.62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1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 s="86">
        <f>AVERAGEIFS($C$2:C15, $B$2:B15, B15)</f>
        <v>36</v>
      </c>
      <c r="AB15" s="86">
        <f>AVERAGEIFS($I$2:I15, $B$2:B15, B15)</f>
        <v>0.6</v>
      </c>
      <c r="AC15" s="86">
        <f>AVERAGEIFS($J$2:J15, $B$2:B15, B15)</f>
        <v>0.62</v>
      </c>
      <c r="AD15" s="86">
        <f>AVERAGEIFS($D$2:D15, $B$2:B15, B15)</f>
        <v>1</v>
      </c>
    </row>
    <row r="16" spans="1:30" x14ac:dyDescent="0.25">
      <c r="A16" s="85">
        <v>46117</v>
      </c>
      <c r="B16" t="s">
        <v>13</v>
      </c>
      <c r="C16">
        <v>35</v>
      </c>
      <c r="D16" s="86">
        <v>1</v>
      </c>
      <c r="E16">
        <v>5</v>
      </c>
      <c r="F16">
        <v>3</v>
      </c>
      <c r="G16">
        <v>21</v>
      </c>
      <c r="H16">
        <v>13</v>
      </c>
      <c r="I16">
        <v>0.6</v>
      </c>
      <c r="J16">
        <v>0.62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1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 s="86">
        <f>AVERAGEIFS($C$2:C16, $B$2:B16, B16)</f>
        <v>33.5</v>
      </c>
      <c r="AB16" s="86">
        <f>AVERAGEIFS($I$2:I16, $B$2:B16, B16)</f>
        <v>0.5</v>
      </c>
      <c r="AC16" s="86">
        <f>AVERAGEIFS($J$2:J16, $B$2:B16, B16)</f>
        <v>0.55000000000000004</v>
      </c>
      <c r="AD16" s="86">
        <f>AVERAGEIFS($D$2:D16, $B$2:B16, B16)</f>
        <v>0.5</v>
      </c>
    </row>
    <row r="17" spans="1:30" x14ac:dyDescent="0.25">
      <c r="A17" s="85">
        <v>46117</v>
      </c>
      <c r="B17" t="s">
        <v>156</v>
      </c>
      <c r="C17">
        <v>27</v>
      </c>
      <c r="D17" s="86">
        <v>1</v>
      </c>
      <c r="E17">
        <v>5</v>
      </c>
      <c r="F17">
        <v>3</v>
      </c>
      <c r="G17">
        <v>21</v>
      </c>
      <c r="H17">
        <v>13</v>
      </c>
      <c r="I17">
        <v>0.6</v>
      </c>
      <c r="J17">
        <v>0.62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1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 s="86">
        <f>AVERAGEIFS($C$2:C17, $B$2:B17, B17)</f>
        <v>27</v>
      </c>
      <c r="AB17" s="86">
        <f>AVERAGEIFS($I$2:I17, $B$2:B17, B17)</f>
        <v>0.6</v>
      </c>
      <c r="AC17" s="86">
        <f>AVERAGEIFS($J$2:J17, $B$2:B17, B17)</f>
        <v>0.62</v>
      </c>
      <c r="AD17" s="86">
        <f>AVERAGEIFS($D$2:D17, $B$2:B17, B17)</f>
        <v>1</v>
      </c>
    </row>
    <row r="18" spans="1:30" x14ac:dyDescent="0.25">
      <c r="A18" s="85">
        <v>46117</v>
      </c>
      <c r="B18" t="s">
        <v>149</v>
      </c>
      <c r="C18">
        <v>17</v>
      </c>
      <c r="D18" s="86">
        <v>1</v>
      </c>
      <c r="E18">
        <v>5</v>
      </c>
      <c r="F18">
        <v>3</v>
      </c>
      <c r="G18">
        <v>21</v>
      </c>
      <c r="H18">
        <v>13</v>
      </c>
      <c r="I18">
        <v>0.6</v>
      </c>
      <c r="J18">
        <v>0.62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1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 s="86">
        <f>AVERAGEIFS($C$2:C18, $B$2:B18, B18)</f>
        <v>20</v>
      </c>
      <c r="AB18" s="86">
        <f>AVERAGEIFS($I$2:I18, $B$2:B18, B18)</f>
        <v>0.6</v>
      </c>
      <c r="AC18" s="86">
        <f>AVERAGEIFS($J$2:J18, $B$2:B18, B18)</f>
        <v>0.57000000000000006</v>
      </c>
      <c r="AD18" s="86">
        <f>AVERAGEIFS($D$2:D18, $B$2:B18, B18)</f>
        <v>1</v>
      </c>
    </row>
    <row r="19" spans="1:30" x14ac:dyDescent="0.25">
      <c r="A19" s="85">
        <v>46117</v>
      </c>
      <c r="B19" t="s">
        <v>45</v>
      </c>
      <c r="C19">
        <v>13</v>
      </c>
      <c r="D19" s="86">
        <v>1</v>
      </c>
      <c r="E19">
        <v>5</v>
      </c>
      <c r="F19">
        <v>3</v>
      </c>
      <c r="G19">
        <v>21</v>
      </c>
      <c r="H19">
        <v>13</v>
      </c>
      <c r="I19">
        <v>0.6</v>
      </c>
      <c r="J19">
        <v>0.62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1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 s="86">
        <f>AVERAGEIFS($C$2:C19, $B$2:B19, B19)</f>
        <v>13</v>
      </c>
      <c r="AB19" s="86">
        <f>AVERAGEIFS($I$2:I19, $B$2:B19, B19)</f>
        <v>0.6</v>
      </c>
      <c r="AC19" s="86">
        <f>AVERAGEIFS($J$2:J19, $B$2:B19, B19)</f>
        <v>0.62</v>
      </c>
      <c r="AD19" s="86">
        <f>AVERAGEIFS($D$2:D19, $B$2:B19, B19)</f>
        <v>1</v>
      </c>
    </row>
    <row r="20" spans="1:30" x14ac:dyDescent="0.25">
      <c r="A20" s="85">
        <v>46117</v>
      </c>
      <c r="B20" t="s">
        <v>17</v>
      </c>
      <c r="C20">
        <v>11</v>
      </c>
      <c r="D20" s="86">
        <v>1</v>
      </c>
      <c r="E20">
        <v>5</v>
      </c>
      <c r="F20">
        <v>3</v>
      </c>
      <c r="G20">
        <v>21</v>
      </c>
      <c r="H20">
        <v>13</v>
      </c>
      <c r="I20">
        <v>0.6</v>
      </c>
      <c r="J20">
        <v>0.62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1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 s="86">
        <f>AVERAGEIFS($C$2:C20, $B$2:B20, B20)</f>
        <v>11</v>
      </c>
      <c r="AB20" s="86">
        <f>AVERAGEIFS($I$2:I20, $B$2:B20, B20)</f>
        <v>0.6</v>
      </c>
      <c r="AC20" s="86">
        <f>AVERAGEIFS($J$2:J20, $B$2:B20, B20)</f>
        <v>0.62</v>
      </c>
      <c r="AD20" s="86">
        <f>AVERAGEIFS($D$2:D20, $B$2:B20, B20)</f>
        <v>1</v>
      </c>
    </row>
    <row r="21" spans="1:30" x14ac:dyDescent="0.25">
      <c r="A21" s="85">
        <v>46117</v>
      </c>
      <c r="B21" t="s">
        <v>15</v>
      </c>
      <c r="C21">
        <v>39</v>
      </c>
      <c r="D21" s="86">
        <v>0</v>
      </c>
      <c r="E21">
        <v>5</v>
      </c>
      <c r="F21">
        <v>2</v>
      </c>
      <c r="G21">
        <v>21</v>
      </c>
      <c r="H21">
        <v>8</v>
      </c>
      <c r="I21">
        <v>0.4</v>
      </c>
      <c r="J21">
        <v>0.38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39</v>
      </c>
      <c r="AB21" s="86">
        <f>AVERAGEIFS($I$2:I21, $B$2:B21, B21)</f>
        <v>0.4</v>
      </c>
      <c r="AC21" s="86">
        <f>AVERAGEIFS($J$2:J21, $B$2:B21, B21)</f>
        <v>0.38</v>
      </c>
      <c r="AD21" s="86">
        <f>AVERAGEIFS($D$2:D21, $B$2:B21, B21)</f>
        <v>0</v>
      </c>
    </row>
    <row r="22" spans="1:30" x14ac:dyDescent="0.25">
      <c r="A22" s="85">
        <v>46117</v>
      </c>
      <c r="B22" t="s">
        <v>14</v>
      </c>
      <c r="C22">
        <v>37</v>
      </c>
      <c r="D22" s="86">
        <v>0</v>
      </c>
      <c r="E22">
        <v>5</v>
      </c>
      <c r="F22">
        <v>2</v>
      </c>
      <c r="G22">
        <v>21</v>
      </c>
      <c r="H22">
        <v>8</v>
      </c>
      <c r="I22">
        <v>0.4</v>
      </c>
      <c r="J22">
        <v>0.38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0</v>
      </c>
      <c r="Z22">
        <v>0</v>
      </c>
      <c r="AA22" s="86">
        <f>AVERAGEIFS($C$2:C22, $B$2:B22, B22)</f>
        <v>37</v>
      </c>
      <c r="AB22" s="86">
        <f>AVERAGEIFS($I$2:I22, $B$2:B22, B22)</f>
        <v>0.4</v>
      </c>
      <c r="AC22" s="86">
        <f>AVERAGEIFS($J$2:J22, $B$2:B22, B22)</f>
        <v>0.38</v>
      </c>
      <c r="AD22" s="86">
        <f>AVERAGEIFS($D$2:D22, $B$2:B22, B22)</f>
        <v>0</v>
      </c>
    </row>
    <row r="23" spans="1:30" x14ac:dyDescent="0.25">
      <c r="A23" s="85">
        <v>46117</v>
      </c>
      <c r="B23" t="s">
        <v>52</v>
      </c>
      <c r="C23">
        <v>34</v>
      </c>
      <c r="D23" s="86">
        <v>0</v>
      </c>
      <c r="E23">
        <v>5</v>
      </c>
      <c r="F23">
        <v>2</v>
      </c>
      <c r="G23">
        <v>21</v>
      </c>
      <c r="H23">
        <v>8</v>
      </c>
      <c r="I23">
        <v>0.4</v>
      </c>
      <c r="J23">
        <v>0.38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</v>
      </c>
      <c r="Y23">
        <v>0</v>
      </c>
      <c r="Z23">
        <v>0</v>
      </c>
      <c r="AA23" s="86">
        <f>AVERAGEIFS($C$2:C23, $B$2:B23, B23)</f>
        <v>34</v>
      </c>
      <c r="AB23" s="86">
        <f>AVERAGEIFS($I$2:I23, $B$2:B23, B23)</f>
        <v>0.4</v>
      </c>
      <c r="AC23" s="86">
        <f>AVERAGEIFS($J$2:J23, $B$2:B23, B23)</f>
        <v>0.38</v>
      </c>
      <c r="AD23" s="86">
        <f>AVERAGEIFS($D$2:D23, $B$2:B23, B23)</f>
        <v>0</v>
      </c>
    </row>
    <row r="24" spans="1:30" x14ac:dyDescent="0.25">
      <c r="A24" s="85">
        <v>46117</v>
      </c>
      <c r="B24" t="s">
        <v>40</v>
      </c>
      <c r="C24">
        <v>24</v>
      </c>
      <c r="D24" s="86">
        <v>0</v>
      </c>
      <c r="E24">
        <v>5</v>
      </c>
      <c r="F24">
        <v>2</v>
      </c>
      <c r="G24">
        <v>21</v>
      </c>
      <c r="H24">
        <v>8</v>
      </c>
      <c r="I24">
        <v>0.4</v>
      </c>
      <c r="J24">
        <v>0.38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1</v>
      </c>
      <c r="Y24">
        <v>0</v>
      </c>
      <c r="Z24">
        <v>0</v>
      </c>
      <c r="AA24" s="86">
        <f>AVERAGEIFS($C$2:C24, $B$2:B24, B24)</f>
        <v>20.5</v>
      </c>
      <c r="AB24" s="86">
        <f>AVERAGEIFS($I$2:I24, $B$2:B24, B24)</f>
        <v>0.5</v>
      </c>
      <c r="AC24" s="86">
        <f>AVERAGEIFS($J$2:J24, $B$2:B24, B24)</f>
        <v>0.45</v>
      </c>
      <c r="AD24" s="86">
        <f>AVERAGEIFS($D$2:D24, $B$2:B24, B24)</f>
        <v>0.5</v>
      </c>
    </row>
    <row r="25" spans="1:30" x14ac:dyDescent="0.25">
      <c r="A25" s="85">
        <v>46117</v>
      </c>
      <c r="B25" t="s">
        <v>153</v>
      </c>
      <c r="C25">
        <v>19</v>
      </c>
      <c r="D25" s="86">
        <v>0</v>
      </c>
      <c r="E25">
        <v>5</v>
      </c>
      <c r="F25">
        <v>2</v>
      </c>
      <c r="G25">
        <v>21</v>
      </c>
      <c r="H25">
        <v>8</v>
      </c>
      <c r="I25">
        <v>0.4</v>
      </c>
      <c r="J25">
        <v>0.38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1</v>
      </c>
      <c r="Y25">
        <v>0</v>
      </c>
      <c r="Z25">
        <v>0</v>
      </c>
      <c r="AA25" s="86">
        <f>AVERAGEIFS($C$2:C25, $B$2:B25, B25)</f>
        <v>19</v>
      </c>
      <c r="AB25" s="86">
        <f>AVERAGEIFS($I$2:I25, $B$2:B25, B25)</f>
        <v>0.4</v>
      </c>
      <c r="AC25" s="86">
        <f>AVERAGEIFS($J$2:J25, $B$2:B25, B25)</f>
        <v>0.38</v>
      </c>
      <c r="AD25" s="86">
        <f>AVERAGEIFS($D$2:D25, $B$2:B25, B25)</f>
        <v>0</v>
      </c>
    </row>
    <row r="26" spans="1:30" x14ac:dyDescent="0.25">
      <c r="A26" s="85">
        <v>46117</v>
      </c>
      <c r="B26" t="s">
        <v>142</v>
      </c>
      <c r="C26">
        <v>14</v>
      </c>
      <c r="D26" s="86">
        <v>0</v>
      </c>
      <c r="E26">
        <v>5</v>
      </c>
      <c r="F26">
        <v>2</v>
      </c>
      <c r="G26">
        <v>21</v>
      </c>
      <c r="H26">
        <v>8</v>
      </c>
      <c r="I26">
        <v>0.4</v>
      </c>
      <c r="J26">
        <v>0.38</v>
      </c>
      <c r="K26">
        <v>0</v>
      </c>
      <c r="L26">
        <v>0</v>
      </c>
      <c r="M26">
        <v>0</v>
      </c>
      <c r="N26">
        <v>0</v>
      </c>
      <c r="O26">
        <v>0</v>
      </c>
      <c r="P26">
        <v>1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1</v>
      </c>
      <c r="Y26">
        <v>0</v>
      </c>
      <c r="Z26">
        <v>0</v>
      </c>
      <c r="AA26" s="86">
        <f>AVERAGEIFS($C$2:C26, $B$2:B26, B26)</f>
        <v>17</v>
      </c>
      <c r="AB26" s="86">
        <f>AVERAGEIFS($I$2:I26, $B$2:B26, B26)</f>
        <v>0.4</v>
      </c>
      <c r="AC26" s="86">
        <f>AVERAGEIFS($J$2:J26, $B$2:B26, B26)</f>
        <v>0.43</v>
      </c>
      <c r="AD26" s="86">
        <f>AVERAGEIFS($D$2:D26, $B$2:B26, B26)</f>
        <v>0</v>
      </c>
    </row>
    <row r="27" spans="1:30" x14ac:dyDescent="0.25">
      <c r="A27" s="85">
        <v>46117</v>
      </c>
      <c r="B27" t="s">
        <v>40</v>
      </c>
      <c r="C27">
        <v>25</v>
      </c>
      <c r="D27" s="86">
        <v>1</v>
      </c>
      <c r="E27">
        <v>3</v>
      </c>
      <c r="F27">
        <v>3</v>
      </c>
      <c r="G27">
        <v>13</v>
      </c>
      <c r="H27">
        <v>9</v>
      </c>
      <c r="I27">
        <v>1</v>
      </c>
      <c r="J27">
        <v>0.69</v>
      </c>
      <c r="K27">
        <v>0</v>
      </c>
      <c r="L27">
        <v>1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22</v>
      </c>
      <c r="AB27" s="86">
        <f>AVERAGEIFS($I$2:I27, $B$2:B27, B27)</f>
        <v>0.66666666666666663</v>
      </c>
      <c r="AC27" s="86">
        <f>AVERAGEIFS($J$2:J27, $B$2:B27, B27)</f>
        <v>0.52999999999999992</v>
      </c>
      <c r="AD27" s="86">
        <f>AVERAGEIFS($D$2:D27, $B$2:B27, B27)</f>
        <v>0.66666666666666663</v>
      </c>
    </row>
    <row r="28" spans="1:30" x14ac:dyDescent="0.25">
      <c r="A28" s="85">
        <v>46117</v>
      </c>
      <c r="B28" t="s">
        <v>113</v>
      </c>
      <c r="C28">
        <v>21</v>
      </c>
      <c r="D28" s="86">
        <v>1</v>
      </c>
      <c r="E28">
        <v>3</v>
      </c>
      <c r="F28">
        <v>3</v>
      </c>
      <c r="G28">
        <v>13</v>
      </c>
      <c r="H28">
        <v>9</v>
      </c>
      <c r="I28">
        <v>1</v>
      </c>
      <c r="J28">
        <v>0.69</v>
      </c>
      <c r="K28">
        <v>0</v>
      </c>
      <c r="L28">
        <v>1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20</v>
      </c>
      <c r="AB28" s="86">
        <f>AVERAGEIFS($I$2:I28, $B$2:B28, B28)</f>
        <v>0.8</v>
      </c>
      <c r="AC28" s="86">
        <f>AVERAGEIFS($J$2:J28, $B$2:B28, B28)</f>
        <v>0.60499999999999998</v>
      </c>
      <c r="AD28" s="86">
        <f>AVERAGEIFS($D$2:D28, $B$2:B28, B28)</f>
        <v>1</v>
      </c>
    </row>
    <row r="29" spans="1:30" x14ac:dyDescent="0.25">
      <c r="A29" s="85">
        <v>46117</v>
      </c>
      <c r="B29" t="s">
        <v>15</v>
      </c>
      <c r="C29">
        <v>18</v>
      </c>
      <c r="D29" s="86">
        <v>1</v>
      </c>
      <c r="E29">
        <v>3</v>
      </c>
      <c r="F29">
        <v>3</v>
      </c>
      <c r="G29">
        <v>13</v>
      </c>
      <c r="H29">
        <v>9</v>
      </c>
      <c r="I29">
        <v>1</v>
      </c>
      <c r="J29">
        <v>0.69</v>
      </c>
      <c r="K29">
        <v>0</v>
      </c>
      <c r="L29">
        <v>1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28.5</v>
      </c>
      <c r="AB29" s="86">
        <f>AVERAGEIFS($I$2:I29, $B$2:B29, B29)</f>
        <v>0.7</v>
      </c>
      <c r="AC29" s="86">
        <f>AVERAGEIFS($J$2:J29, $B$2:B29, B29)</f>
        <v>0.53499999999999992</v>
      </c>
      <c r="AD29" s="86">
        <f>AVERAGEIFS($D$2:D29, $B$2:B29, B29)</f>
        <v>0.5</v>
      </c>
    </row>
    <row r="30" spans="1:30" x14ac:dyDescent="0.25">
      <c r="A30" s="85">
        <v>46117</v>
      </c>
      <c r="B30" t="s">
        <v>18</v>
      </c>
      <c r="C30">
        <v>17</v>
      </c>
      <c r="D30" s="86">
        <v>1</v>
      </c>
      <c r="E30">
        <v>3</v>
      </c>
      <c r="F30">
        <v>3</v>
      </c>
      <c r="G30">
        <v>13</v>
      </c>
      <c r="H30">
        <v>9</v>
      </c>
      <c r="I30">
        <v>1</v>
      </c>
      <c r="J30">
        <v>0.69</v>
      </c>
      <c r="K30">
        <v>0</v>
      </c>
      <c r="L30">
        <v>1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17</v>
      </c>
      <c r="AB30" s="86">
        <f>AVERAGEIFS($I$2:I30, $B$2:B30, B30)</f>
        <v>1</v>
      </c>
      <c r="AC30" s="86">
        <f>AVERAGEIFS($J$2:J30, $B$2:B30, B30)</f>
        <v>0.69</v>
      </c>
      <c r="AD30" s="86">
        <f>AVERAGEIFS($D$2:D30, $B$2:B30, B30)</f>
        <v>1</v>
      </c>
    </row>
    <row r="31" spans="1:30" x14ac:dyDescent="0.25">
      <c r="A31" s="85">
        <v>46117</v>
      </c>
      <c r="B31" t="s">
        <v>142</v>
      </c>
      <c r="C31">
        <v>17</v>
      </c>
      <c r="D31" s="86">
        <v>1</v>
      </c>
      <c r="E31">
        <v>3</v>
      </c>
      <c r="F31">
        <v>3</v>
      </c>
      <c r="G31">
        <v>13</v>
      </c>
      <c r="H31">
        <v>9</v>
      </c>
      <c r="I31">
        <v>1</v>
      </c>
      <c r="J31">
        <v>0.69</v>
      </c>
      <c r="K31">
        <v>0</v>
      </c>
      <c r="L31">
        <v>1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17</v>
      </c>
      <c r="AB31" s="86">
        <f>AVERAGEIFS($I$2:I31, $B$2:B31, B31)</f>
        <v>0.6</v>
      </c>
      <c r="AC31" s="86">
        <f>AVERAGEIFS($J$2:J31, $B$2:B31, B31)</f>
        <v>0.51666666666666661</v>
      </c>
      <c r="AD31" s="86">
        <f>AVERAGEIFS($D$2:D31, $B$2:B31, B31)</f>
        <v>0.33333333333333331</v>
      </c>
    </row>
    <row r="32" spans="1:30" x14ac:dyDescent="0.25">
      <c r="A32" s="85">
        <v>46117</v>
      </c>
      <c r="B32" t="s">
        <v>149</v>
      </c>
      <c r="C32">
        <v>16</v>
      </c>
      <c r="D32" s="86">
        <v>1</v>
      </c>
      <c r="E32">
        <v>3</v>
      </c>
      <c r="F32">
        <v>3</v>
      </c>
      <c r="G32">
        <v>13</v>
      </c>
      <c r="H32">
        <v>9</v>
      </c>
      <c r="I32">
        <v>1</v>
      </c>
      <c r="J32">
        <v>0.69</v>
      </c>
      <c r="K32">
        <v>0</v>
      </c>
      <c r="L32">
        <v>1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18.666666666666668</v>
      </c>
      <c r="AB32" s="86">
        <f>AVERAGEIFS($I$2:I32, $B$2:B32, B32)</f>
        <v>0.73333333333333339</v>
      </c>
      <c r="AC32" s="86">
        <f>AVERAGEIFS($J$2:J32, $B$2:B32, B32)</f>
        <v>0.61</v>
      </c>
      <c r="AD32" s="86">
        <f>AVERAGEIFS($D$2:D32, $B$2:B32, B32)</f>
        <v>1</v>
      </c>
    </row>
    <row r="33" spans="1:30" x14ac:dyDescent="0.25">
      <c r="A33" s="85">
        <v>46117</v>
      </c>
      <c r="B33" t="s">
        <v>13</v>
      </c>
      <c r="C33">
        <v>14</v>
      </c>
      <c r="D33" s="86">
        <v>1</v>
      </c>
      <c r="E33">
        <v>3</v>
      </c>
      <c r="F33">
        <v>3</v>
      </c>
      <c r="G33">
        <v>13</v>
      </c>
      <c r="H33">
        <v>9</v>
      </c>
      <c r="I33">
        <v>1</v>
      </c>
      <c r="J33">
        <v>0.69</v>
      </c>
      <c r="K33">
        <v>0</v>
      </c>
      <c r="L33">
        <v>1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27</v>
      </c>
      <c r="AB33" s="86">
        <f>AVERAGEIFS($I$2:I33, $B$2:B33, B33)</f>
        <v>0.66666666666666663</v>
      </c>
      <c r="AC33" s="86">
        <f>AVERAGEIFS($J$2:J33, $B$2:B33, B33)</f>
        <v>0.59666666666666668</v>
      </c>
      <c r="AD33" s="86">
        <f>AVERAGEIFS($D$2:D33, $B$2:B33, B33)</f>
        <v>0.66666666666666663</v>
      </c>
    </row>
    <row r="34" spans="1:30" x14ac:dyDescent="0.25">
      <c r="A34" s="85">
        <v>46117</v>
      </c>
      <c r="B34" t="s">
        <v>17</v>
      </c>
      <c r="C34">
        <v>20</v>
      </c>
      <c r="D34" s="86">
        <v>0</v>
      </c>
      <c r="E34">
        <v>3</v>
      </c>
      <c r="F34">
        <v>0</v>
      </c>
      <c r="G34">
        <v>13</v>
      </c>
      <c r="H34">
        <v>4</v>
      </c>
      <c r="I34">
        <v>0</v>
      </c>
      <c r="J34">
        <v>0.31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 s="86">
        <f>AVERAGEIFS($C$2:C34, $B$2:B34, B34)</f>
        <v>15.5</v>
      </c>
      <c r="AB34" s="86">
        <f>AVERAGEIFS($I$2:I34, $B$2:B34, B34)</f>
        <v>0.3</v>
      </c>
      <c r="AC34" s="86">
        <f>AVERAGEIFS($J$2:J34, $B$2:B34, B34)</f>
        <v>0.46499999999999997</v>
      </c>
      <c r="AD34" s="86">
        <f>AVERAGEIFS($D$2:D34, $B$2:B34, B34)</f>
        <v>0.5</v>
      </c>
    </row>
    <row r="35" spans="1:30" x14ac:dyDescent="0.25">
      <c r="A35" s="85">
        <v>46117</v>
      </c>
      <c r="B35" t="s">
        <v>14</v>
      </c>
      <c r="C35">
        <v>17</v>
      </c>
      <c r="D35" s="86">
        <v>0</v>
      </c>
      <c r="E35">
        <v>3</v>
      </c>
      <c r="F35">
        <v>0</v>
      </c>
      <c r="G35">
        <v>13</v>
      </c>
      <c r="H35">
        <v>4</v>
      </c>
      <c r="I35">
        <v>0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 s="86">
        <f>AVERAGEIFS($C$2:C35, $B$2:B35, B35)</f>
        <v>27</v>
      </c>
      <c r="AB35" s="86">
        <f>AVERAGEIFS($I$2:I35, $B$2:B35, B35)</f>
        <v>0.2</v>
      </c>
      <c r="AC35" s="86">
        <f>AVERAGEIFS($J$2:J35, $B$2:B35, B35)</f>
        <v>0.34499999999999997</v>
      </c>
      <c r="AD35" s="86">
        <f>AVERAGEIFS($D$2:D35, $B$2:B35, B35)</f>
        <v>0</v>
      </c>
    </row>
    <row r="36" spans="1:30" x14ac:dyDescent="0.25">
      <c r="A36" s="85">
        <v>46117</v>
      </c>
      <c r="B36" t="s">
        <v>148</v>
      </c>
      <c r="C36">
        <v>17</v>
      </c>
      <c r="D36" s="86">
        <v>0</v>
      </c>
      <c r="E36">
        <v>3</v>
      </c>
      <c r="F36">
        <v>0</v>
      </c>
      <c r="G36">
        <v>13</v>
      </c>
      <c r="H36">
        <v>4</v>
      </c>
      <c r="I36">
        <v>0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 s="86">
        <f>AVERAGEIFS($C$2:C36, $B$2:B36, B36)</f>
        <v>17</v>
      </c>
      <c r="AB36" s="86">
        <f>AVERAGEIFS($I$2:I36, $B$2:B36, B36)</f>
        <v>0</v>
      </c>
      <c r="AC36" s="86">
        <f>AVERAGEIFS($J$2:J36, $B$2:B36, B36)</f>
        <v>0.31</v>
      </c>
      <c r="AD36" s="86">
        <f>AVERAGEIFS($D$2:D36, $B$2:B36, B36)</f>
        <v>0</v>
      </c>
    </row>
    <row r="37" spans="1:30" x14ac:dyDescent="0.25">
      <c r="A37" s="85">
        <v>46117</v>
      </c>
      <c r="B37" t="s">
        <v>20</v>
      </c>
      <c r="C37">
        <v>10</v>
      </c>
      <c r="D37" s="86">
        <v>0</v>
      </c>
      <c r="E37">
        <v>3</v>
      </c>
      <c r="F37">
        <v>0</v>
      </c>
      <c r="G37">
        <v>13</v>
      </c>
      <c r="H37">
        <v>4</v>
      </c>
      <c r="I37">
        <v>0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 s="86">
        <f>AVERAGEIFS($C$2:C37, $B$2:B37, B37)</f>
        <v>10</v>
      </c>
      <c r="AB37" s="86">
        <f>AVERAGEIFS($I$2:I37, $B$2:B37, B37)</f>
        <v>0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46117</v>
      </c>
      <c r="B38" t="s">
        <v>29</v>
      </c>
      <c r="C38">
        <v>10</v>
      </c>
      <c r="D38" s="86">
        <v>0</v>
      </c>
      <c r="E38">
        <v>3</v>
      </c>
      <c r="F38">
        <v>0</v>
      </c>
      <c r="G38">
        <v>13</v>
      </c>
      <c r="H38">
        <v>4</v>
      </c>
      <c r="I38">
        <v>0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 s="86">
        <f>AVERAGEIFS($C$2:C38, $B$2:B38, B38)</f>
        <v>15</v>
      </c>
      <c r="AB38" s="86">
        <f>AVERAGEIFS($I$2:I38, $B$2:B38, B38)</f>
        <v>0.2</v>
      </c>
      <c r="AC38" s="86">
        <f>AVERAGEIFS($J$2:J38, $B$2:B38, B38)</f>
        <v>0.39500000000000002</v>
      </c>
      <c r="AD38" s="86">
        <f>AVERAGEIFS($D$2:D38, $B$2:B38, B38)</f>
        <v>0</v>
      </c>
    </row>
    <row r="39" spans="1:30" x14ac:dyDescent="0.25">
      <c r="A39" s="85">
        <v>46117</v>
      </c>
      <c r="B39" t="s">
        <v>6</v>
      </c>
      <c r="C39">
        <v>10</v>
      </c>
      <c r="D39" s="86">
        <v>0</v>
      </c>
      <c r="E39">
        <v>3</v>
      </c>
      <c r="F39">
        <v>0</v>
      </c>
      <c r="G39">
        <v>13</v>
      </c>
      <c r="H39">
        <v>4</v>
      </c>
      <c r="I39">
        <v>0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 s="86">
        <f>AVERAGEIFS($C$2:C39, $B$2:B39, B39)</f>
        <v>26</v>
      </c>
      <c r="AB39" s="86">
        <f>AVERAGEIFS($I$2:I39, $B$2:B39, B39)</f>
        <v>0.3</v>
      </c>
      <c r="AC39" s="86">
        <f>AVERAGEIFS($J$2:J39, $B$2:B39, B39)</f>
        <v>0.46499999999999997</v>
      </c>
      <c r="AD39" s="86">
        <f>AVERAGEIFS($D$2:D39, $B$2:B39, B39)</f>
        <v>0.5</v>
      </c>
    </row>
    <row r="40" spans="1:30" x14ac:dyDescent="0.25">
      <c r="A40" s="85">
        <v>46117</v>
      </c>
      <c r="B40" t="s">
        <v>147</v>
      </c>
      <c r="C40">
        <v>6</v>
      </c>
      <c r="D40" s="86">
        <v>0</v>
      </c>
      <c r="E40">
        <v>3</v>
      </c>
      <c r="F40">
        <v>0</v>
      </c>
      <c r="G40">
        <v>13</v>
      </c>
      <c r="H40">
        <v>4</v>
      </c>
      <c r="I40">
        <v>0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 s="86">
        <f>AVERAGEIFS($C$2:C40, $B$2:B40, B40)</f>
        <v>6</v>
      </c>
      <c r="AB40" s="86">
        <f>AVERAGEIFS($I$2:I40, $B$2:B40, B40)</f>
        <v>0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46117</v>
      </c>
      <c r="B41" t="s">
        <v>42</v>
      </c>
      <c r="C41">
        <v>5</v>
      </c>
      <c r="D41" s="86">
        <v>0</v>
      </c>
      <c r="E41">
        <v>3</v>
      </c>
      <c r="F41">
        <v>0</v>
      </c>
      <c r="G41">
        <v>13</v>
      </c>
      <c r="H41">
        <v>4</v>
      </c>
      <c r="I41">
        <v>0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 s="86">
        <f>AVERAGEIFS($C$2:C41, $B$2:B41, B41)</f>
        <v>17</v>
      </c>
      <c r="AB41" s="86">
        <f>AVERAGEIFS($I$2:I41, $B$2:B41, B41)</f>
        <v>0.2</v>
      </c>
      <c r="AC41" s="86">
        <f>AVERAGEIFS($J$2:J41, $B$2:B41, B41)</f>
        <v>0.39500000000000002</v>
      </c>
      <c r="AD41" s="86">
        <f>AVERAGEIFS($D$2:D41, $B$2:B41, B41)</f>
        <v>0</v>
      </c>
    </row>
    <row r="42" spans="1:30" x14ac:dyDescent="0.25">
      <c r="A42" s="85">
        <v>46117</v>
      </c>
      <c r="B42" t="s">
        <v>17</v>
      </c>
      <c r="C42">
        <v>18</v>
      </c>
      <c r="D42" s="86">
        <v>1</v>
      </c>
      <c r="E42">
        <v>3</v>
      </c>
      <c r="F42">
        <v>3</v>
      </c>
      <c r="G42">
        <v>11</v>
      </c>
      <c r="H42">
        <v>9</v>
      </c>
      <c r="I42">
        <v>1</v>
      </c>
      <c r="J42">
        <v>0.82</v>
      </c>
      <c r="K42">
        <v>0</v>
      </c>
      <c r="L42">
        <v>1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1</v>
      </c>
      <c r="Y42">
        <v>1</v>
      </c>
      <c r="Z42">
        <v>0</v>
      </c>
      <c r="AA42" s="86">
        <f>AVERAGEIFS($C$2:C42, $B$2:B42, B42)</f>
        <v>16.333333333333332</v>
      </c>
      <c r="AB42" s="86">
        <f>AVERAGEIFS($I$2:I42, $B$2:B42, B42)</f>
        <v>0.53333333333333333</v>
      </c>
      <c r="AC42" s="86">
        <f>AVERAGEIFS($J$2:J42, $B$2:B42, B42)</f>
        <v>0.58333333333333337</v>
      </c>
      <c r="AD42" s="86">
        <f>AVERAGEIFS($D$2:D42, $B$2:B42, B42)</f>
        <v>0.66666666666666663</v>
      </c>
    </row>
    <row r="43" spans="1:30" x14ac:dyDescent="0.25">
      <c r="A43" s="85">
        <v>46117</v>
      </c>
      <c r="B43" t="s">
        <v>18</v>
      </c>
      <c r="C43">
        <v>17</v>
      </c>
      <c r="D43" s="86">
        <v>1</v>
      </c>
      <c r="E43">
        <v>3</v>
      </c>
      <c r="F43">
        <v>3</v>
      </c>
      <c r="G43">
        <v>11</v>
      </c>
      <c r="H43">
        <v>9</v>
      </c>
      <c r="I43">
        <v>1</v>
      </c>
      <c r="J43">
        <v>0.82</v>
      </c>
      <c r="K43">
        <v>0</v>
      </c>
      <c r="L43">
        <v>1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1</v>
      </c>
      <c r="Z43">
        <v>0</v>
      </c>
      <c r="AA43" s="86">
        <f>AVERAGEIFS($C$2:C43, $B$2:B43, B43)</f>
        <v>17</v>
      </c>
      <c r="AB43" s="86">
        <f>AVERAGEIFS($I$2:I43, $B$2:B43, B43)</f>
        <v>1</v>
      </c>
      <c r="AC43" s="86">
        <f>AVERAGEIFS($J$2:J43, $B$2:B43, B43)</f>
        <v>0.75499999999999989</v>
      </c>
      <c r="AD43" s="86">
        <f>AVERAGEIFS($D$2:D43, $B$2:B43, B43)</f>
        <v>1</v>
      </c>
    </row>
    <row r="44" spans="1:30" x14ac:dyDescent="0.25">
      <c r="A44" s="85">
        <v>46117</v>
      </c>
      <c r="B44" t="s">
        <v>14</v>
      </c>
      <c r="C44">
        <v>16</v>
      </c>
      <c r="D44" s="86">
        <v>1</v>
      </c>
      <c r="E44">
        <v>3</v>
      </c>
      <c r="F44">
        <v>3</v>
      </c>
      <c r="G44">
        <v>11</v>
      </c>
      <c r="H44">
        <v>9</v>
      </c>
      <c r="I44">
        <v>1</v>
      </c>
      <c r="J44">
        <v>0.82</v>
      </c>
      <c r="K44">
        <v>0</v>
      </c>
      <c r="L44">
        <v>1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1</v>
      </c>
      <c r="Z44">
        <v>0</v>
      </c>
      <c r="AA44" s="86">
        <f>AVERAGEIFS($C$2:C44, $B$2:B44, B44)</f>
        <v>23.333333333333332</v>
      </c>
      <c r="AB44" s="86">
        <f>AVERAGEIFS($I$2:I44, $B$2:B44, B44)</f>
        <v>0.46666666666666662</v>
      </c>
      <c r="AC44" s="86">
        <f>AVERAGEIFS($J$2:J44, $B$2:B44, B44)</f>
        <v>0.5033333333333333</v>
      </c>
      <c r="AD44" s="86">
        <f>AVERAGEIFS($D$2:D44, $B$2:B44, B44)</f>
        <v>0.33333333333333331</v>
      </c>
    </row>
    <row r="45" spans="1:30" x14ac:dyDescent="0.25">
      <c r="A45" s="85">
        <v>46117</v>
      </c>
      <c r="B45" t="s">
        <v>13</v>
      </c>
      <c r="C45">
        <v>15</v>
      </c>
      <c r="D45" s="86">
        <v>1</v>
      </c>
      <c r="E45">
        <v>3</v>
      </c>
      <c r="F45">
        <v>3</v>
      </c>
      <c r="G45">
        <v>11</v>
      </c>
      <c r="H45">
        <v>9</v>
      </c>
      <c r="I45">
        <v>1</v>
      </c>
      <c r="J45">
        <v>0.82</v>
      </c>
      <c r="K45">
        <v>0</v>
      </c>
      <c r="L45">
        <v>1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1</v>
      </c>
      <c r="Z45">
        <v>0</v>
      </c>
      <c r="AA45" s="86">
        <f>AVERAGEIFS($C$2:C45, $B$2:B45, B45)</f>
        <v>24</v>
      </c>
      <c r="AB45" s="86">
        <f>AVERAGEIFS($I$2:I45, $B$2:B45, B45)</f>
        <v>0.75</v>
      </c>
      <c r="AC45" s="86">
        <f>AVERAGEIFS($J$2:J45, $B$2:B45, B45)</f>
        <v>0.65249999999999997</v>
      </c>
      <c r="AD45" s="86">
        <f>AVERAGEIFS($D$2:D45, $B$2:B45, B45)</f>
        <v>0.75</v>
      </c>
    </row>
    <row r="46" spans="1:30" x14ac:dyDescent="0.25">
      <c r="A46" s="85">
        <v>46117</v>
      </c>
      <c r="B46" t="s">
        <v>29</v>
      </c>
      <c r="C46">
        <v>15</v>
      </c>
      <c r="D46" s="86">
        <v>1</v>
      </c>
      <c r="E46">
        <v>3</v>
      </c>
      <c r="F46">
        <v>3</v>
      </c>
      <c r="G46">
        <v>11</v>
      </c>
      <c r="H46">
        <v>9</v>
      </c>
      <c r="I46">
        <v>1</v>
      </c>
      <c r="J46">
        <v>0.82</v>
      </c>
      <c r="K46">
        <v>0</v>
      </c>
      <c r="L46">
        <v>1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1</v>
      </c>
      <c r="Z46">
        <v>0</v>
      </c>
      <c r="AA46" s="86">
        <f>AVERAGEIFS($C$2:C46, $B$2:B46, B46)</f>
        <v>15</v>
      </c>
      <c r="AB46" s="86">
        <f>AVERAGEIFS($I$2:I46, $B$2:B46, B46)</f>
        <v>0.46666666666666662</v>
      </c>
      <c r="AC46" s="86">
        <f>AVERAGEIFS($J$2:J46, $B$2:B46, B46)</f>
        <v>0.53666666666666663</v>
      </c>
      <c r="AD46" s="86">
        <f>AVERAGEIFS($D$2:D46, $B$2:B46, B46)</f>
        <v>0.33333333333333331</v>
      </c>
    </row>
    <row r="47" spans="1:30" x14ac:dyDescent="0.25">
      <c r="A47" s="85">
        <v>46117</v>
      </c>
      <c r="B47" t="s">
        <v>34</v>
      </c>
      <c r="C47">
        <v>11</v>
      </c>
      <c r="D47" s="86">
        <v>1</v>
      </c>
      <c r="E47">
        <v>3</v>
      </c>
      <c r="F47">
        <v>3</v>
      </c>
      <c r="G47">
        <v>11</v>
      </c>
      <c r="H47">
        <v>9</v>
      </c>
      <c r="I47">
        <v>1</v>
      </c>
      <c r="J47">
        <v>0.82</v>
      </c>
      <c r="K47">
        <v>0</v>
      </c>
      <c r="L47">
        <v>1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1</v>
      </c>
      <c r="Z47">
        <v>0</v>
      </c>
      <c r="AA47" s="86">
        <f>AVERAGEIFS($C$2:C47, $B$2:B47, B47)</f>
        <v>14.5</v>
      </c>
      <c r="AB47" s="86">
        <f>AVERAGEIFS($I$2:I47, $B$2:B47, B47)</f>
        <v>0.8</v>
      </c>
      <c r="AC47" s="86">
        <f>AVERAGEIFS($J$2:J47, $B$2:B47, B47)</f>
        <v>0.66999999999999993</v>
      </c>
      <c r="AD47" s="86">
        <f>AVERAGEIFS($D$2:D47, $B$2:B47, B47)</f>
        <v>1</v>
      </c>
    </row>
    <row r="48" spans="1:30" x14ac:dyDescent="0.25">
      <c r="A48" s="85">
        <v>46117</v>
      </c>
      <c r="B48" t="s">
        <v>149</v>
      </c>
      <c r="C48">
        <v>8</v>
      </c>
      <c r="D48" s="86">
        <v>1</v>
      </c>
      <c r="E48">
        <v>3</v>
      </c>
      <c r="F48">
        <v>3</v>
      </c>
      <c r="G48">
        <v>11</v>
      </c>
      <c r="H48">
        <v>9</v>
      </c>
      <c r="I48">
        <v>1</v>
      </c>
      <c r="J48">
        <v>0.82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1</v>
      </c>
      <c r="Y48">
        <v>1</v>
      </c>
      <c r="Z48">
        <v>0</v>
      </c>
      <c r="AA48" s="86">
        <f>AVERAGEIFS($C$2:C48, $B$2:B48, B48)</f>
        <v>16</v>
      </c>
      <c r="AB48" s="86">
        <f>AVERAGEIFS($I$2:I48, $B$2:B48, B48)</f>
        <v>0.8</v>
      </c>
      <c r="AC48" s="86">
        <f>AVERAGEIFS($J$2:J48, $B$2:B48, B48)</f>
        <v>0.66249999999999998</v>
      </c>
      <c r="AD48" s="86">
        <f>AVERAGEIFS($D$2:D48, $B$2:B48, B48)</f>
        <v>1</v>
      </c>
    </row>
    <row r="49" spans="1:30" x14ac:dyDescent="0.25">
      <c r="A49" s="85">
        <v>46117</v>
      </c>
      <c r="B49" t="s">
        <v>55</v>
      </c>
      <c r="C49">
        <v>4</v>
      </c>
      <c r="D49" s="86">
        <v>1</v>
      </c>
      <c r="E49">
        <v>3</v>
      </c>
      <c r="F49">
        <v>3</v>
      </c>
      <c r="G49">
        <v>11</v>
      </c>
      <c r="H49">
        <v>9</v>
      </c>
      <c r="I49">
        <v>1</v>
      </c>
      <c r="J49">
        <v>0.82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1</v>
      </c>
      <c r="Y49">
        <v>1</v>
      </c>
      <c r="Z49">
        <v>0</v>
      </c>
      <c r="AA49" s="86">
        <f>AVERAGEIFS($C$2:C49, $B$2:B49, B49)</f>
        <v>4</v>
      </c>
      <c r="AB49" s="86">
        <f>AVERAGEIFS($I$2:I49, $B$2:B49, B49)</f>
        <v>1</v>
      </c>
      <c r="AC49" s="86">
        <f>AVERAGEIFS($J$2:J49, $B$2:B49, B49)</f>
        <v>0.82</v>
      </c>
      <c r="AD49" s="86">
        <f>AVERAGEIFS($D$2:D49, $B$2:B49, B49)</f>
        <v>1</v>
      </c>
    </row>
    <row r="50" spans="1:30" x14ac:dyDescent="0.25">
      <c r="A50" s="85">
        <v>46117</v>
      </c>
      <c r="B50" t="s">
        <v>4</v>
      </c>
      <c r="C50">
        <v>17</v>
      </c>
      <c r="D50" s="86">
        <v>0</v>
      </c>
      <c r="E50">
        <v>3</v>
      </c>
      <c r="F50">
        <v>0</v>
      </c>
      <c r="G50">
        <v>11</v>
      </c>
      <c r="H50">
        <v>2</v>
      </c>
      <c r="I50">
        <v>0</v>
      </c>
      <c r="J50">
        <v>0.18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24</v>
      </c>
      <c r="AB50" s="86">
        <f>AVERAGEIFS($I$2:I50, $B$2:B50, B50)</f>
        <v>0.3</v>
      </c>
      <c r="AC50" s="86">
        <f>AVERAGEIFS($J$2:J50, $B$2:B50, B50)</f>
        <v>0.35</v>
      </c>
      <c r="AD50" s="86">
        <f>AVERAGEIFS($D$2:D50, $B$2:B50, B50)</f>
        <v>0.5</v>
      </c>
    </row>
    <row r="51" spans="1:30" x14ac:dyDescent="0.25">
      <c r="A51" s="85">
        <v>46117</v>
      </c>
      <c r="B51" t="s">
        <v>113</v>
      </c>
      <c r="C51">
        <v>14</v>
      </c>
      <c r="D51" s="86">
        <v>0</v>
      </c>
      <c r="E51">
        <v>3</v>
      </c>
      <c r="F51">
        <v>0</v>
      </c>
      <c r="G51">
        <v>11</v>
      </c>
      <c r="H51">
        <v>2</v>
      </c>
      <c r="I51">
        <v>0</v>
      </c>
      <c r="J51">
        <v>0.18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18</v>
      </c>
      <c r="AB51" s="86">
        <f>AVERAGEIFS($I$2:I51, $B$2:B51, B51)</f>
        <v>0.53333333333333333</v>
      </c>
      <c r="AC51" s="86">
        <f>AVERAGEIFS($J$2:J51, $B$2:B51, B51)</f>
        <v>0.46333333333333332</v>
      </c>
      <c r="AD51" s="86">
        <f>AVERAGEIFS($D$2:D51, $B$2:B51, B51)</f>
        <v>0.66666666666666663</v>
      </c>
    </row>
    <row r="52" spans="1:30" x14ac:dyDescent="0.25">
      <c r="A52" s="85">
        <v>46117</v>
      </c>
      <c r="B52" t="s">
        <v>1</v>
      </c>
      <c r="C52">
        <v>14</v>
      </c>
      <c r="D52" s="86">
        <v>0</v>
      </c>
      <c r="E52">
        <v>3</v>
      </c>
      <c r="F52">
        <v>0</v>
      </c>
      <c r="G52">
        <v>11</v>
      </c>
      <c r="H52">
        <v>2</v>
      </c>
      <c r="I52">
        <v>0</v>
      </c>
      <c r="J52">
        <v>0.18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14</v>
      </c>
      <c r="AB52" s="86">
        <f>AVERAGEIFS($I$2:I52, $B$2:B52, B52)</f>
        <v>0</v>
      </c>
      <c r="AC52" s="86">
        <f>AVERAGEIFS($J$2:J52, $B$2:B52, B52)</f>
        <v>0.18</v>
      </c>
      <c r="AD52" s="86">
        <f>AVERAGEIFS($D$2:D52, $B$2:B52, B52)</f>
        <v>0</v>
      </c>
    </row>
    <row r="53" spans="1:30" x14ac:dyDescent="0.25">
      <c r="A53" s="85">
        <v>46117</v>
      </c>
      <c r="B53" t="s">
        <v>40</v>
      </c>
      <c r="C53">
        <v>12</v>
      </c>
      <c r="D53" s="86">
        <v>0</v>
      </c>
      <c r="E53">
        <v>3</v>
      </c>
      <c r="F53">
        <v>0</v>
      </c>
      <c r="G53">
        <v>11</v>
      </c>
      <c r="H53">
        <v>2</v>
      </c>
      <c r="I53">
        <v>0</v>
      </c>
      <c r="J53">
        <v>0.18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 s="86">
        <f>AVERAGEIFS($C$2:C53, $B$2:B53, B53)</f>
        <v>19.5</v>
      </c>
      <c r="AB53" s="86">
        <f>AVERAGEIFS($I$2:I53, $B$2:B53, B53)</f>
        <v>0.5</v>
      </c>
      <c r="AC53" s="86">
        <f>AVERAGEIFS($J$2:J53, $B$2:B53, B53)</f>
        <v>0.44249999999999995</v>
      </c>
      <c r="AD53" s="86">
        <f>AVERAGEIFS($D$2:D53, $B$2:B53, B53)</f>
        <v>0.5</v>
      </c>
    </row>
    <row r="54" spans="1:30" x14ac:dyDescent="0.25">
      <c r="A54" s="85">
        <v>46117</v>
      </c>
      <c r="B54" t="s">
        <v>148</v>
      </c>
      <c r="C54">
        <v>7</v>
      </c>
      <c r="D54" s="86">
        <v>0</v>
      </c>
      <c r="E54">
        <v>3</v>
      </c>
      <c r="F54">
        <v>0</v>
      </c>
      <c r="G54">
        <v>11</v>
      </c>
      <c r="H54">
        <v>2</v>
      </c>
      <c r="I54">
        <v>0</v>
      </c>
      <c r="J54">
        <v>0.18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 s="86">
        <f>AVERAGEIFS($C$2:C54, $B$2:B54, B54)</f>
        <v>12</v>
      </c>
      <c r="AB54" s="86">
        <f>AVERAGEIFS($I$2:I54, $B$2:B54, B54)</f>
        <v>0</v>
      </c>
      <c r="AC54" s="86">
        <f>AVERAGEIFS($J$2:J54, $B$2:B54, B54)</f>
        <v>0.245</v>
      </c>
      <c r="AD54" s="86">
        <f>AVERAGEIFS($D$2:D54, $B$2:B54, B54)</f>
        <v>0</v>
      </c>
    </row>
    <row r="55" spans="1:30" x14ac:dyDescent="0.25">
      <c r="A55" s="85">
        <v>46117</v>
      </c>
      <c r="B55" t="s">
        <v>42</v>
      </c>
      <c r="C55">
        <v>7</v>
      </c>
      <c r="D55" s="86">
        <v>0</v>
      </c>
      <c r="E55">
        <v>3</v>
      </c>
      <c r="F55">
        <v>0</v>
      </c>
      <c r="G55">
        <v>11</v>
      </c>
      <c r="H55">
        <v>2</v>
      </c>
      <c r="I55">
        <v>0</v>
      </c>
      <c r="J55">
        <v>0.18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 s="86">
        <f>AVERAGEIFS($C$2:C55, $B$2:B55, B55)</f>
        <v>13.666666666666666</v>
      </c>
      <c r="AB55" s="86">
        <f>AVERAGEIFS($I$2:I55, $B$2:B55, B55)</f>
        <v>0.13333333333333333</v>
      </c>
      <c r="AC55" s="86">
        <f>AVERAGEIFS($J$2:J55, $B$2:B55, B55)</f>
        <v>0.32333333333333331</v>
      </c>
      <c r="AD55" s="86">
        <f>AVERAGEIFS($D$2:D55, $B$2:B55, B55)</f>
        <v>0</v>
      </c>
    </row>
    <row r="56" spans="1:30" x14ac:dyDescent="0.25">
      <c r="A56" s="85">
        <v>46117</v>
      </c>
      <c r="B56" t="s">
        <v>35</v>
      </c>
      <c r="C56">
        <v>7</v>
      </c>
      <c r="D56" s="86">
        <v>0</v>
      </c>
      <c r="E56">
        <v>3</v>
      </c>
      <c r="F56">
        <v>0</v>
      </c>
      <c r="G56">
        <v>11</v>
      </c>
      <c r="H56">
        <v>2</v>
      </c>
      <c r="I56">
        <v>0</v>
      </c>
      <c r="J56">
        <v>0.18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0.2</v>
      </c>
      <c r="AC56" s="86">
        <f>AVERAGEIFS($J$2:J56, $B$2:B56, B56)</f>
        <v>0.32999999999999996</v>
      </c>
      <c r="AD56" s="86">
        <f>AVERAGEIFS($D$2:D56, $B$2:B56, B56)</f>
        <v>0</v>
      </c>
    </row>
    <row r="57" spans="1:30" x14ac:dyDescent="0.25">
      <c r="A57" s="85">
        <v>46117</v>
      </c>
      <c r="B57" t="s">
        <v>141</v>
      </c>
      <c r="C57">
        <v>2</v>
      </c>
      <c r="D57" s="86">
        <v>0</v>
      </c>
      <c r="E57">
        <v>3</v>
      </c>
      <c r="F57">
        <v>0</v>
      </c>
      <c r="G57">
        <v>11</v>
      </c>
      <c r="H57">
        <v>2</v>
      </c>
      <c r="I57">
        <v>0</v>
      </c>
      <c r="J57">
        <v>0.18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</v>
      </c>
      <c r="AB57" s="86">
        <f>AVERAGEIFS($I$2:I57, $B$2:B57, B57)</f>
        <v>0</v>
      </c>
      <c r="AC57" s="86">
        <f>AVERAGEIFS($J$2:J57, $B$2:B57, B57)</f>
        <v>0.18</v>
      </c>
      <c r="AD57" s="86">
        <f>AVERAGEIFS($D$2:D57, $B$2:B57, B57)</f>
        <v>0</v>
      </c>
    </row>
    <row r="58" spans="1:30" x14ac:dyDescent="0.25">
      <c r="A58" s="85">
        <v>46117</v>
      </c>
      <c r="B58" t="s">
        <v>155</v>
      </c>
      <c r="C58">
        <v>8</v>
      </c>
      <c r="D58" s="86">
        <v>1</v>
      </c>
      <c r="E58">
        <v>4</v>
      </c>
      <c r="F58">
        <v>3</v>
      </c>
      <c r="G58">
        <v>15</v>
      </c>
      <c r="H58">
        <v>11</v>
      </c>
      <c r="I58">
        <v>0.75</v>
      </c>
      <c r="J58">
        <v>0.73</v>
      </c>
      <c r="K58">
        <v>0</v>
      </c>
      <c r="L58">
        <v>0</v>
      </c>
      <c r="M58">
        <v>0</v>
      </c>
      <c r="N58">
        <v>1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1</v>
      </c>
      <c r="V58">
        <v>0</v>
      </c>
      <c r="W58">
        <v>0</v>
      </c>
      <c r="X58">
        <v>1</v>
      </c>
      <c r="Y58">
        <v>0</v>
      </c>
      <c r="Z58">
        <v>0</v>
      </c>
      <c r="AA58" s="86">
        <f>AVERAGEIFS($C$2:C58, $B$2:B58, B58)</f>
        <v>8</v>
      </c>
      <c r="AB58" s="86">
        <f>AVERAGEIFS($I$2:I58, $B$2:B58, B58)</f>
        <v>0.75</v>
      </c>
      <c r="AC58" s="86">
        <f>AVERAGEIFS($J$2:J58, $B$2:B58, B58)</f>
        <v>0.73</v>
      </c>
      <c r="AD58" s="86">
        <f>AVERAGEIFS($D$2:D58, $B$2:B58, B58)</f>
        <v>1</v>
      </c>
    </row>
    <row r="59" spans="1:30" x14ac:dyDescent="0.25">
      <c r="A59" s="85">
        <v>46117</v>
      </c>
      <c r="B59" t="s">
        <v>13</v>
      </c>
      <c r="C59">
        <v>24</v>
      </c>
      <c r="D59" s="86">
        <v>1</v>
      </c>
      <c r="E59">
        <v>4</v>
      </c>
      <c r="F59">
        <v>3</v>
      </c>
      <c r="G59">
        <v>15</v>
      </c>
      <c r="H59">
        <v>11</v>
      </c>
      <c r="I59">
        <v>0.75</v>
      </c>
      <c r="J59">
        <v>0.73</v>
      </c>
      <c r="K59">
        <v>0</v>
      </c>
      <c r="L59">
        <v>0</v>
      </c>
      <c r="M59">
        <v>0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1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24</v>
      </c>
      <c r="AB59" s="86">
        <f>AVERAGEIFS($I$2:I59, $B$2:B59, B59)</f>
        <v>0.75</v>
      </c>
      <c r="AC59" s="86">
        <f>AVERAGEIFS($J$2:J59, $B$2:B59, B59)</f>
        <v>0.66799999999999993</v>
      </c>
      <c r="AD59" s="86">
        <f>AVERAGEIFS($D$2:D59, $B$2:B59, B59)</f>
        <v>0.8</v>
      </c>
    </row>
    <row r="60" spans="1:30" x14ac:dyDescent="0.25">
      <c r="A60" s="85">
        <v>46117</v>
      </c>
      <c r="B60" t="s">
        <v>18</v>
      </c>
      <c r="C60">
        <v>28</v>
      </c>
      <c r="D60" s="86">
        <v>1</v>
      </c>
      <c r="E60">
        <v>4</v>
      </c>
      <c r="F60">
        <v>3</v>
      </c>
      <c r="G60">
        <v>15</v>
      </c>
      <c r="H60">
        <v>11</v>
      </c>
      <c r="I60">
        <v>0.75</v>
      </c>
      <c r="J60">
        <v>0.73</v>
      </c>
      <c r="K60">
        <v>0</v>
      </c>
      <c r="L60">
        <v>0</v>
      </c>
      <c r="M60">
        <v>0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1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20.666666666666668</v>
      </c>
      <c r="AB60" s="86">
        <f>AVERAGEIFS($I$2:I60, $B$2:B60, B60)</f>
        <v>0.91666666666666663</v>
      </c>
      <c r="AC60" s="86">
        <f>AVERAGEIFS($J$2:J60, $B$2:B60, B60)</f>
        <v>0.74666666666666659</v>
      </c>
      <c r="AD60" s="86">
        <f>AVERAGEIFS($D$2:D60, $B$2:B60, B60)</f>
        <v>1</v>
      </c>
    </row>
    <row r="61" spans="1:30" x14ac:dyDescent="0.25">
      <c r="A61" s="85">
        <v>46117</v>
      </c>
      <c r="B61" t="s">
        <v>27</v>
      </c>
      <c r="C61">
        <v>14</v>
      </c>
      <c r="D61" s="86">
        <v>1</v>
      </c>
      <c r="E61">
        <v>4</v>
      </c>
      <c r="F61">
        <v>3</v>
      </c>
      <c r="G61">
        <v>15</v>
      </c>
      <c r="H61">
        <v>11</v>
      </c>
      <c r="I61">
        <v>0.75</v>
      </c>
      <c r="J61">
        <v>0.73</v>
      </c>
      <c r="K61">
        <v>0</v>
      </c>
      <c r="L61">
        <v>0</v>
      </c>
      <c r="M61">
        <v>0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1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0.75</v>
      </c>
      <c r="AC61" s="86">
        <f>AVERAGEIFS($J$2:J61, $B$2:B61, B61)</f>
        <v>0.73</v>
      </c>
      <c r="AD61" s="86">
        <f>AVERAGEIFS($D$2:D61, $B$2:B61, B61)</f>
        <v>1</v>
      </c>
    </row>
    <row r="62" spans="1:30" x14ac:dyDescent="0.25">
      <c r="A62" s="85">
        <v>46117</v>
      </c>
      <c r="B62" t="s">
        <v>15</v>
      </c>
      <c r="C62">
        <v>19</v>
      </c>
      <c r="D62" s="86">
        <v>1</v>
      </c>
      <c r="E62">
        <v>4</v>
      </c>
      <c r="F62">
        <v>3</v>
      </c>
      <c r="G62">
        <v>15</v>
      </c>
      <c r="H62">
        <v>11</v>
      </c>
      <c r="I62">
        <v>0.75</v>
      </c>
      <c r="J62">
        <v>0.73</v>
      </c>
      <c r="K62">
        <v>0</v>
      </c>
      <c r="L62">
        <v>0</v>
      </c>
      <c r="M62">
        <v>0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1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25.333333333333332</v>
      </c>
      <c r="AB62" s="86">
        <f>AVERAGEIFS($I$2:I62, $B$2:B62, B62)</f>
        <v>0.71666666666666667</v>
      </c>
      <c r="AC62" s="86">
        <f>AVERAGEIFS($J$2:J62, $B$2:B62, B62)</f>
        <v>0.6</v>
      </c>
      <c r="AD62" s="86">
        <f>AVERAGEIFS($D$2:D62, $B$2:B62, B62)</f>
        <v>0.66666666666666663</v>
      </c>
    </row>
    <row r="63" spans="1:30" x14ac:dyDescent="0.25">
      <c r="A63" s="85">
        <v>46117</v>
      </c>
      <c r="B63" t="s">
        <v>151</v>
      </c>
      <c r="C63">
        <v>9</v>
      </c>
      <c r="D63" s="86">
        <v>1</v>
      </c>
      <c r="E63">
        <v>4</v>
      </c>
      <c r="F63">
        <v>3</v>
      </c>
      <c r="G63">
        <v>15</v>
      </c>
      <c r="H63">
        <v>11</v>
      </c>
      <c r="I63">
        <v>0.75</v>
      </c>
      <c r="J63">
        <v>0.73</v>
      </c>
      <c r="K63">
        <v>0</v>
      </c>
      <c r="L63">
        <v>0</v>
      </c>
      <c r="M63">
        <v>0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1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</v>
      </c>
      <c r="AB63" s="86">
        <f>AVERAGEIFS($I$2:I63, $B$2:B63, B63)</f>
        <v>0.75</v>
      </c>
      <c r="AC63" s="86">
        <f>AVERAGEIFS($J$2:J63, $B$2:B63, B63)</f>
        <v>0.73</v>
      </c>
      <c r="AD63" s="86">
        <f>AVERAGEIFS($D$2:D63, $B$2:B63, B63)</f>
        <v>1</v>
      </c>
    </row>
    <row r="64" spans="1:30" x14ac:dyDescent="0.25">
      <c r="A64" s="85">
        <v>46117</v>
      </c>
      <c r="B64" t="s">
        <v>55</v>
      </c>
      <c r="C64">
        <v>5</v>
      </c>
      <c r="D64" s="86">
        <v>1</v>
      </c>
      <c r="E64">
        <v>4</v>
      </c>
      <c r="F64">
        <v>3</v>
      </c>
      <c r="G64">
        <v>15</v>
      </c>
      <c r="H64">
        <v>11</v>
      </c>
      <c r="I64">
        <v>0.75</v>
      </c>
      <c r="J64">
        <v>0.73</v>
      </c>
      <c r="K64">
        <v>0</v>
      </c>
      <c r="L64">
        <v>0</v>
      </c>
      <c r="M64">
        <v>0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1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4.5</v>
      </c>
      <c r="AB64" s="86">
        <f>AVERAGEIFS($I$2:I64, $B$2:B64, B64)</f>
        <v>0.875</v>
      </c>
      <c r="AC64" s="86">
        <f>AVERAGEIFS($J$2:J64, $B$2:B64, B64)</f>
        <v>0.77499999999999991</v>
      </c>
      <c r="AD64" s="86">
        <f>AVERAGEIFS($D$2:D64, $B$2:B64, B64)</f>
        <v>1</v>
      </c>
    </row>
    <row r="65" spans="1:30" x14ac:dyDescent="0.25">
      <c r="A65" s="85">
        <v>46117</v>
      </c>
      <c r="B65" t="s">
        <v>149</v>
      </c>
      <c r="C65">
        <v>11</v>
      </c>
      <c r="D65" s="86">
        <v>1</v>
      </c>
      <c r="E65">
        <v>4</v>
      </c>
      <c r="F65">
        <v>3</v>
      </c>
      <c r="G65">
        <v>15</v>
      </c>
      <c r="H65">
        <v>11</v>
      </c>
      <c r="I65">
        <v>0.75</v>
      </c>
      <c r="J65">
        <v>0.73</v>
      </c>
      <c r="K65">
        <v>0</v>
      </c>
      <c r="L65">
        <v>0</v>
      </c>
      <c r="M65">
        <v>0</v>
      </c>
      <c r="N65">
        <v>1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1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0.79</v>
      </c>
      <c r="AC65" s="86">
        <f>AVERAGEIFS($J$2:J65, $B$2:B65, B65)</f>
        <v>0.67599999999999993</v>
      </c>
      <c r="AD65" s="86">
        <f>AVERAGEIFS($D$2:D65, $B$2:B65, B65)</f>
        <v>1</v>
      </c>
    </row>
    <row r="66" spans="1:30" x14ac:dyDescent="0.25">
      <c r="A66" s="85">
        <v>46117</v>
      </c>
      <c r="B66" t="s">
        <v>35</v>
      </c>
      <c r="C66">
        <v>9</v>
      </c>
      <c r="D66" s="86">
        <v>0</v>
      </c>
      <c r="E66">
        <v>4</v>
      </c>
      <c r="F66">
        <v>1</v>
      </c>
      <c r="G66">
        <v>15</v>
      </c>
      <c r="H66">
        <v>4</v>
      </c>
      <c r="I66">
        <v>0.25</v>
      </c>
      <c r="J66">
        <v>0.27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</v>
      </c>
      <c r="AB66" s="86">
        <f>AVERAGEIFS($I$2:I66, $B$2:B66, B66)</f>
        <v>0.21666666666666667</v>
      </c>
      <c r="AC66" s="86">
        <f>AVERAGEIFS($J$2:J66, $B$2:B66, B66)</f>
        <v>0.31</v>
      </c>
      <c r="AD66" s="86">
        <f>AVERAGEIFS($D$2:D66, $B$2:B66, B66)</f>
        <v>0</v>
      </c>
    </row>
    <row r="67" spans="1:30" x14ac:dyDescent="0.25">
      <c r="A67" s="85">
        <v>46117</v>
      </c>
      <c r="B67" t="s">
        <v>25</v>
      </c>
      <c r="C67">
        <v>19</v>
      </c>
      <c r="D67" s="86">
        <v>0</v>
      </c>
      <c r="E67">
        <v>4</v>
      </c>
      <c r="F67">
        <v>1</v>
      </c>
      <c r="G67">
        <v>15</v>
      </c>
      <c r="H67">
        <v>4</v>
      </c>
      <c r="I67">
        <v>0.25</v>
      </c>
      <c r="J67">
        <v>0.27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19</v>
      </c>
      <c r="AB67" s="86">
        <f>AVERAGEIFS($I$2:I67, $B$2:B67, B67)</f>
        <v>0.25</v>
      </c>
      <c r="AC67" s="86">
        <f>AVERAGEIFS($J$2:J67, $B$2:B67, B67)</f>
        <v>0.27</v>
      </c>
      <c r="AD67" s="86">
        <f>AVERAGEIFS($D$2:D67, $B$2:B67, B67)</f>
        <v>0</v>
      </c>
    </row>
    <row r="68" spans="1:30" x14ac:dyDescent="0.25">
      <c r="A68" s="85">
        <v>46117</v>
      </c>
      <c r="B68" t="s">
        <v>26</v>
      </c>
      <c r="C68">
        <v>6</v>
      </c>
      <c r="D68" s="86">
        <v>0</v>
      </c>
      <c r="E68">
        <v>4</v>
      </c>
      <c r="F68">
        <v>1</v>
      </c>
      <c r="G68">
        <v>15</v>
      </c>
      <c r="H68">
        <v>4</v>
      </c>
      <c r="I68">
        <v>0.25</v>
      </c>
      <c r="J68">
        <v>0.27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6</v>
      </c>
      <c r="AB68" s="86">
        <f>AVERAGEIFS($I$2:I68, $B$2:B68, B68)</f>
        <v>0.25</v>
      </c>
      <c r="AC68" s="86">
        <f>AVERAGEIFS($J$2:J68, $B$2:B68, B68)</f>
        <v>0.27</v>
      </c>
      <c r="AD68" s="86">
        <f>AVERAGEIFS($D$2:D68, $B$2:B68, B68)</f>
        <v>0</v>
      </c>
    </row>
    <row r="69" spans="1:30" x14ac:dyDescent="0.25">
      <c r="A69" s="85">
        <v>46117</v>
      </c>
      <c r="B69" t="s">
        <v>45</v>
      </c>
      <c r="C69">
        <v>11</v>
      </c>
      <c r="D69" s="86">
        <v>0</v>
      </c>
      <c r="E69">
        <v>4</v>
      </c>
      <c r="F69">
        <v>1</v>
      </c>
      <c r="G69">
        <v>15</v>
      </c>
      <c r="H69">
        <v>4</v>
      </c>
      <c r="I69">
        <v>0.25</v>
      </c>
      <c r="J69">
        <v>0.27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12</v>
      </c>
      <c r="AB69" s="86">
        <f>AVERAGEIFS($I$2:I69, $B$2:B69, B69)</f>
        <v>0.42499999999999999</v>
      </c>
      <c r="AC69" s="86">
        <f>AVERAGEIFS($J$2:J69, $B$2:B69, B69)</f>
        <v>0.44500000000000001</v>
      </c>
      <c r="AD69" s="86">
        <f>AVERAGEIFS($D$2:D69, $B$2:B69, B69)</f>
        <v>0.5</v>
      </c>
    </row>
    <row r="70" spans="1:30" x14ac:dyDescent="0.25">
      <c r="A70" s="85">
        <v>46117</v>
      </c>
      <c r="B70" t="s">
        <v>156</v>
      </c>
      <c r="C70">
        <v>18</v>
      </c>
      <c r="D70" s="86">
        <v>0</v>
      </c>
      <c r="E70">
        <v>4</v>
      </c>
      <c r="F70">
        <v>1</v>
      </c>
      <c r="G70">
        <v>15</v>
      </c>
      <c r="H70">
        <v>4</v>
      </c>
      <c r="I70">
        <v>0.25</v>
      </c>
      <c r="J70">
        <v>0.27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22.5</v>
      </c>
      <c r="AB70" s="86">
        <f>AVERAGEIFS($I$2:I70, $B$2:B70, B70)</f>
        <v>0.42499999999999999</v>
      </c>
      <c r="AC70" s="86">
        <f>AVERAGEIFS($J$2:J70, $B$2:B70, B70)</f>
        <v>0.44500000000000001</v>
      </c>
      <c r="AD70" s="86">
        <f>AVERAGEIFS($D$2:D70, $B$2:B70, B70)</f>
        <v>0.5</v>
      </c>
    </row>
    <row r="71" spans="1:30" x14ac:dyDescent="0.25">
      <c r="A71" s="85">
        <v>46117</v>
      </c>
      <c r="B71" t="s">
        <v>19</v>
      </c>
      <c r="C71">
        <v>10</v>
      </c>
      <c r="D71" s="86">
        <v>0</v>
      </c>
      <c r="E71">
        <v>4</v>
      </c>
      <c r="F71">
        <v>1</v>
      </c>
      <c r="G71">
        <v>15</v>
      </c>
      <c r="H71">
        <v>4</v>
      </c>
      <c r="I71">
        <v>0.25</v>
      </c>
      <c r="J71">
        <v>0.27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1</v>
      </c>
      <c r="AA71" s="86">
        <f>AVERAGEIFS($C$2:C71, $B$2:B71, B71)</f>
        <v>10</v>
      </c>
      <c r="AB71" s="86">
        <f>AVERAGEIFS($I$2:I71, $B$2:B71, B71)</f>
        <v>0.25</v>
      </c>
      <c r="AC71" s="86">
        <f>AVERAGEIFS($J$2:J71, $B$2:B71, B71)</f>
        <v>0.27</v>
      </c>
      <c r="AD71" s="86">
        <f>AVERAGEIFS($D$2:D71, $B$2:B71, B71)</f>
        <v>0</v>
      </c>
    </row>
    <row r="72" spans="1:30" x14ac:dyDescent="0.25">
      <c r="A72" s="85">
        <v>46117</v>
      </c>
      <c r="B72" t="s">
        <v>140</v>
      </c>
      <c r="C72">
        <v>7</v>
      </c>
      <c r="D72" s="86">
        <v>0</v>
      </c>
      <c r="E72">
        <v>4</v>
      </c>
      <c r="F72">
        <v>1</v>
      </c>
      <c r="G72">
        <v>15</v>
      </c>
      <c r="H72">
        <v>4</v>
      </c>
      <c r="I72">
        <v>0.25</v>
      </c>
      <c r="J72">
        <v>0.27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1</v>
      </c>
      <c r="AA72" s="86">
        <f>AVERAGEIFS($C$2:C72, $B$2:B72, B72)</f>
        <v>7</v>
      </c>
      <c r="AB72" s="86">
        <f>AVERAGEIFS($I$2:I72, $B$2:B72, B72)</f>
        <v>0.25</v>
      </c>
      <c r="AC72" s="86">
        <f>AVERAGEIFS($J$2:J72, $B$2:B72, B72)</f>
        <v>0.27</v>
      </c>
      <c r="AD72" s="86">
        <f>AVERAGEIFS($D$2:D72, $B$2:B72, B72)</f>
        <v>0</v>
      </c>
    </row>
    <row r="73" spans="1:30" x14ac:dyDescent="0.25">
      <c r="A73" s="85">
        <v>46117</v>
      </c>
      <c r="B73" t="s">
        <v>17</v>
      </c>
      <c r="C73">
        <v>10</v>
      </c>
      <c r="D73" s="86">
        <v>0</v>
      </c>
      <c r="E73">
        <v>4</v>
      </c>
      <c r="F73">
        <v>1</v>
      </c>
      <c r="G73">
        <v>15</v>
      </c>
      <c r="H73">
        <v>4</v>
      </c>
      <c r="I73">
        <v>0.25</v>
      </c>
      <c r="J73">
        <v>0.27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1</v>
      </c>
      <c r="AA73" s="86">
        <f>AVERAGEIFS($C$2:C73, $B$2:B73, B73)</f>
        <v>14.75</v>
      </c>
      <c r="AB73" s="86">
        <f>AVERAGEIFS($I$2:I73, $B$2:B73, B73)</f>
        <v>0.46250000000000002</v>
      </c>
      <c r="AC73" s="86">
        <f>AVERAGEIFS($J$2:J73, $B$2:B73, B73)</f>
        <v>0.505</v>
      </c>
      <c r="AD73" s="86">
        <f>AVERAGEIFS($D$2:D73, $B$2:B73, B73)</f>
        <v>0.5</v>
      </c>
    </row>
    <row r="74" spans="1:30" x14ac:dyDescent="0.25">
      <c r="A74" s="85">
        <v>46118</v>
      </c>
      <c r="B74" t="s">
        <v>155</v>
      </c>
      <c r="C74">
        <v>8</v>
      </c>
      <c r="D74" s="86">
        <v>1</v>
      </c>
      <c r="E74">
        <v>4</v>
      </c>
      <c r="F74">
        <v>3</v>
      </c>
      <c r="G74">
        <v>14</v>
      </c>
      <c r="H74">
        <v>9</v>
      </c>
      <c r="I74">
        <v>0.75</v>
      </c>
      <c r="J74">
        <v>0.64</v>
      </c>
      <c r="K74">
        <v>0</v>
      </c>
      <c r="L74">
        <v>0</v>
      </c>
      <c r="M74">
        <v>0</v>
      </c>
      <c r="N74">
        <v>0</v>
      </c>
      <c r="O74">
        <v>0</v>
      </c>
      <c r="P74">
        <v>1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1</v>
      </c>
      <c r="X74">
        <v>0</v>
      </c>
      <c r="Y74">
        <v>1</v>
      </c>
      <c r="Z74">
        <v>0</v>
      </c>
      <c r="AA74" s="86">
        <f>AVERAGEIFS($C$2:C74, $B$2:B74, B74)</f>
        <v>8</v>
      </c>
      <c r="AB74" s="86">
        <f>AVERAGEIFS($I$2:I74, $B$2:B74, B74)</f>
        <v>0.75</v>
      </c>
      <c r="AC74" s="86">
        <f>AVERAGEIFS($J$2:J74, $B$2:B74, B74)</f>
        <v>0.68500000000000005</v>
      </c>
      <c r="AD74" s="86">
        <f>AVERAGEIFS($D$2:D74, $B$2:B74, B74)</f>
        <v>1</v>
      </c>
    </row>
    <row r="75" spans="1:30" x14ac:dyDescent="0.25">
      <c r="A75" s="85">
        <v>46118</v>
      </c>
      <c r="B75" t="s">
        <v>13</v>
      </c>
      <c r="C75">
        <v>31</v>
      </c>
      <c r="D75" s="86">
        <v>1</v>
      </c>
      <c r="E75">
        <v>4</v>
      </c>
      <c r="F75">
        <v>3</v>
      </c>
      <c r="G75">
        <v>14</v>
      </c>
      <c r="H75">
        <v>9</v>
      </c>
      <c r="I75">
        <v>0.75</v>
      </c>
      <c r="J75">
        <v>0.64</v>
      </c>
      <c r="K75">
        <v>0</v>
      </c>
      <c r="L75">
        <v>0</v>
      </c>
      <c r="M75">
        <v>0</v>
      </c>
      <c r="N75">
        <v>0</v>
      </c>
      <c r="O75">
        <v>0</v>
      </c>
      <c r="P75">
        <v>1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1</v>
      </c>
      <c r="X75">
        <v>0</v>
      </c>
      <c r="Y75">
        <v>1</v>
      </c>
      <c r="Z75">
        <v>0</v>
      </c>
      <c r="AA75" s="86">
        <f>AVERAGEIFS($C$2:C75, $B$2:B75, B75)</f>
        <v>25.166666666666668</v>
      </c>
      <c r="AB75" s="86">
        <f>AVERAGEIFS($I$2:I75, $B$2:B75, B75)</f>
        <v>0.75</v>
      </c>
      <c r="AC75" s="86">
        <f>AVERAGEIFS($J$2:J75, $B$2:B75, B75)</f>
        <v>0.66333333333333333</v>
      </c>
      <c r="AD75" s="86">
        <f>AVERAGEIFS($D$2:D75, $B$2:B75, B75)</f>
        <v>0.83333333333333337</v>
      </c>
    </row>
    <row r="76" spans="1:30" x14ac:dyDescent="0.25">
      <c r="A76" s="85">
        <v>46118</v>
      </c>
      <c r="B76" t="s">
        <v>18</v>
      </c>
      <c r="C76">
        <v>28</v>
      </c>
      <c r="D76" s="86">
        <v>1</v>
      </c>
      <c r="E76">
        <v>4</v>
      </c>
      <c r="F76">
        <v>3</v>
      </c>
      <c r="G76">
        <v>14</v>
      </c>
      <c r="H76">
        <v>9</v>
      </c>
      <c r="I76">
        <v>0.75</v>
      </c>
      <c r="J76">
        <v>0.64</v>
      </c>
      <c r="K76">
        <v>0</v>
      </c>
      <c r="L76">
        <v>0</v>
      </c>
      <c r="M76">
        <v>0</v>
      </c>
      <c r="N76">
        <v>0</v>
      </c>
      <c r="O76">
        <v>0</v>
      </c>
      <c r="P76">
        <v>1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1</v>
      </c>
      <c r="X76">
        <v>0</v>
      </c>
      <c r="Y76">
        <v>1</v>
      </c>
      <c r="Z76">
        <v>0</v>
      </c>
      <c r="AA76" s="86">
        <f>AVERAGEIFS($C$2:C76, $B$2:B76, B76)</f>
        <v>22.5</v>
      </c>
      <c r="AB76" s="86">
        <f>AVERAGEIFS($I$2:I76, $B$2:B76, B76)</f>
        <v>0.875</v>
      </c>
      <c r="AC76" s="86">
        <f>AVERAGEIFS($J$2:J76, $B$2:B76, B76)</f>
        <v>0.72</v>
      </c>
      <c r="AD76" s="86">
        <f>AVERAGEIFS($D$2:D76, $B$2:B76, B76)</f>
        <v>1</v>
      </c>
    </row>
    <row r="77" spans="1:30" x14ac:dyDescent="0.25">
      <c r="A77" s="85">
        <v>46118</v>
      </c>
      <c r="B77" t="s">
        <v>27</v>
      </c>
      <c r="C77">
        <v>10</v>
      </c>
      <c r="D77" s="86">
        <v>1</v>
      </c>
      <c r="E77">
        <v>4</v>
      </c>
      <c r="F77">
        <v>3</v>
      </c>
      <c r="G77">
        <v>14</v>
      </c>
      <c r="H77">
        <v>9</v>
      </c>
      <c r="I77">
        <v>0.75</v>
      </c>
      <c r="J77">
        <v>0.64</v>
      </c>
      <c r="K77">
        <v>0</v>
      </c>
      <c r="L77">
        <v>0</v>
      </c>
      <c r="M77">
        <v>0</v>
      </c>
      <c r="N77">
        <v>0</v>
      </c>
      <c r="O77">
        <v>0</v>
      </c>
      <c r="P77">
        <v>1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1</v>
      </c>
      <c r="X77">
        <v>0</v>
      </c>
      <c r="Y77">
        <v>1</v>
      </c>
      <c r="Z77">
        <v>0</v>
      </c>
      <c r="AA77" s="86">
        <f>AVERAGEIFS($C$2:C77, $B$2:B77, B77)</f>
        <v>12</v>
      </c>
      <c r="AB77" s="86">
        <f>AVERAGEIFS($I$2:I77, $B$2:B77, B77)</f>
        <v>0.75</v>
      </c>
      <c r="AC77" s="86">
        <f>AVERAGEIFS($J$2:J77, $B$2:B77, B77)</f>
        <v>0.68500000000000005</v>
      </c>
      <c r="AD77" s="86">
        <f>AVERAGEIFS($D$2:D77, $B$2:B77, B77)</f>
        <v>1</v>
      </c>
    </row>
    <row r="78" spans="1:30" x14ac:dyDescent="0.25">
      <c r="A78" s="85">
        <v>46118</v>
      </c>
      <c r="B78" t="s">
        <v>149</v>
      </c>
      <c r="C78">
        <v>14</v>
      </c>
      <c r="D78" s="86">
        <v>1</v>
      </c>
      <c r="E78">
        <v>4</v>
      </c>
      <c r="F78">
        <v>3</v>
      </c>
      <c r="G78">
        <v>14</v>
      </c>
      <c r="H78">
        <v>9</v>
      </c>
      <c r="I78">
        <v>0.75</v>
      </c>
      <c r="J78">
        <v>0.64</v>
      </c>
      <c r="K78">
        <v>0</v>
      </c>
      <c r="L78">
        <v>0</v>
      </c>
      <c r="M78">
        <v>0</v>
      </c>
      <c r="N78">
        <v>0</v>
      </c>
      <c r="O78">
        <v>0</v>
      </c>
      <c r="P78">
        <v>1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1</v>
      </c>
      <c r="X78">
        <v>0</v>
      </c>
      <c r="Y78">
        <v>1</v>
      </c>
      <c r="Z78">
        <v>0</v>
      </c>
      <c r="AA78" s="86">
        <f>AVERAGEIFS($C$2:C78, $B$2:B78, B78)</f>
        <v>14.833333333333334</v>
      </c>
      <c r="AB78" s="86">
        <f>AVERAGEIFS($I$2:I78, $B$2:B78, B78)</f>
        <v>0.78333333333333333</v>
      </c>
      <c r="AC78" s="86">
        <f>AVERAGEIFS($J$2:J78, $B$2:B78, B78)</f>
        <v>0.66999999999999993</v>
      </c>
      <c r="AD78" s="86">
        <f>AVERAGEIFS($D$2:D78, $B$2:B78, B78)</f>
        <v>1</v>
      </c>
    </row>
    <row r="79" spans="1:30" x14ac:dyDescent="0.25">
      <c r="A79" s="85">
        <v>46118</v>
      </c>
      <c r="B79" t="s">
        <v>35</v>
      </c>
      <c r="C79">
        <v>19</v>
      </c>
      <c r="D79" s="86">
        <v>1</v>
      </c>
      <c r="E79">
        <v>4</v>
      </c>
      <c r="F79">
        <v>3</v>
      </c>
      <c r="G79">
        <v>14</v>
      </c>
      <c r="H79">
        <v>9</v>
      </c>
      <c r="I79">
        <v>0.75</v>
      </c>
      <c r="J79">
        <v>0.64</v>
      </c>
      <c r="K79">
        <v>0</v>
      </c>
      <c r="L79">
        <v>0</v>
      </c>
      <c r="M79">
        <v>0</v>
      </c>
      <c r="N79">
        <v>0</v>
      </c>
      <c r="O79">
        <v>0</v>
      </c>
      <c r="P79">
        <v>1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1</v>
      </c>
      <c r="X79">
        <v>0</v>
      </c>
      <c r="Y79">
        <v>1</v>
      </c>
      <c r="Z79">
        <v>0</v>
      </c>
      <c r="AA79" s="86">
        <f>AVERAGEIFS($C$2:C79, $B$2:B79, B79)</f>
        <v>13.75</v>
      </c>
      <c r="AB79" s="86">
        <f>AVERAGEIFS($I$2:I79, $B$2:B79, B79)</f>
        <v>0.35</v>
      </c>
      <c r="AC79" s="86">
        <f>AVERAGEIFS($J$2:J79, $B$2:B79, B79)</f>
        <v>0.39249999999999996</v>
      </c>
      <c r="AD79" s="86">
        <f>AVERAGEIFS($D$2:D79, $B$2:B79, B79)</f>
        <v>0.25</v>
      </c>
    </row>
    <row r="80" spans="1:30" x14ac:dyDescent="0.25">
      <c r="A80" s="85">
        <v>46118</v>
      </c>
      <c r="B80" t="s">
        <v>29</v>
      </c>
      <c r="C80">
        <v>13</v>
      </c>
      <c r="D80" s="86">
        <v>1</v>
      </c>
      <c r="E80">
        <v>4</v>
      </c>
      <c r="F80">
        <v>3</v>
      </c>
      <c r="G80">
        <v>14</v>
      </c>
      <c r="H80">
        <v>9</v>
      </c>
      <c r="I80">
        <v>0.75</v>
      </c>
      <c r="J80">
        <v>0.64</v>
      </c>
      <c r="K80">
        <v>0</v>
      </c>
      <c r="L80">
        <v>0</v>
      </c>
      <c r="M80">
        <v>0</v>
      </c>
      <c r="N80">
        <v>0</v>
      </c>
      <c r="O80">
        <v>0</v>
      </c>
      <c r="P80">
        <v>1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1</v>
      </c>
      <c r="X80">
        <v>0</v>
      </c>
      <c r="Y80">
        <v>1</v>
      </c>
      <c r="Z80">
        <v>0</v>
      </c>
      <c r="AA80" s="86">
        <f>AVERAGEIFS($C$2:C80, $B$2:B80, B80)</f>
        <v>14.5</v>
      </c>
      <c r="AB80" s="86">
        <f>AVERAGEIFS($I$2:I80, $B$2:B80, B80)</f>
        <v>0.53749999999999998</v>
      </c>
      <c r="AC80" s="86">
        <f>AVERAGEIFS($J$2:J80, $B$2:B80, B80)</f>
        <v>0.5625</v>
      </c>
      <c r="AD80" s="86">
        <f>AVERAGEIFS($D$2:D80, $B$2:B80, B80)</f>
        <v>0.5</v>
      </c>
    </row>
    <row r="81" spans="1:30" x14ac:dyDescent="0.25">
      <c r="A81" s="85">
        <v>46118</v>
      </c>
      <c r="B81" t="s">
        <v>151</v>
      </c>
      <c r="C81">
        <v>14</v>
      </c>
      <c r="D81" s="86">
        <v>1</v>
      </c>
      <c r="E81">
        <v>4</v>
      </c>
      <c r="F81">
        <v>3</v>
      </c>
      <c r="G81">
        <v>14</v>
      </c>
      <c r="H81">
        <v>9</v>
      </c>
      <c r="I81">
        <v>0.75</v>
      </c>
      <c r="J81">
        <v>0.64</v>
      </c>
      <c r="K81">
        <v>0</v>
      </c>
      <c r="L81">
        <v>0</v>
      </c>
      <c r="M81">
        <v>0</v>
      </c>
      <c r="N81">
        <v>0</v>
      </c>
      <c r="O81">
        <v>0</v>
      </c>
      <c r="P81">
        <v>1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1</v>
      </c>
      <c r="Z81">
        <v>0</v>
      </c>
      <c r="AA81" s="86">
        <f>AVERAGEIFS($C$2:C81, $B$2:B81, B81)</f>
        <v>11.5</v>
      </c>
      <c r="AB81" s="86">
        <f>AVERAGEIFS($I$2:I81, $B$2:B81, B81)</f>
        <v>0.75</v>
      </c>
      <c r="AC81" s="86">
        <f>AVERAGEIFS($J$2:J81, $B$2:B81, B81)</f>
        <v>0.68500000000000005</v>
      </c>
      <c r="AD81" s="86">
        <f>AVERAGEIFS($D$2:D81, $B$2:B81, B81)</f>
        <v>1</v>
      </c>
    </row>
    <row r="82" spans="1:30" x14ac:dyDescent="0.25">
      <c r="A82" s="85">
        <v>46118</v>
      </c>
      <c r="B82" t="s">
        <v>17</v>
      </c>
      <c r="C82">
        <v>27</v>
      </c>
      <c r="D82" s="86">
        <v>0</v>
      </c>
      <c r="E82">
        <v>4</v>
      </c>
      <c r="F82">
        <v>1</v>
      </c>
      <c r="G82">
        <v>14</v>
      </c>
      <c r="H82">
        <v>5</v>
      </c>
      <c r="I82">
        <v>0.25</v>
      </c>
      <c r="J82">
        <v>0.36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0</v>
      </c>
      <c r="AA82" s="86">
        <f>AVERAGEIFS($C$2:C82, $B$2:B82, B82)</f>
        <v>17.2</v>
      </c>
      <c r="AB82" s="86">
        <f>AVERAGEIFS($I$2:I82, $B$2:B82, B82)</f>
        <v>0.42000000000000004</v>
      </c>
      <c r="AC82" s="86">
        <f>AVERAGEIFS($J$2:J82, $B$2:B82, B82)</f>
        <v>0.47599999999999998</v>
      </c>
      <c r="AD82" s="86">
        <f>AVERAGEIFS($D$2:D82, $B$2:B82, B82)</f>
        <v>0.4</v>
      </c>
    </row>
    <row r="83" spans="1:30" x14ac:dyDescent="0.25">
      <c r="A83" s="85">
        <v>46118</v>
      </c>
      <c r="B83" t="s">
        <v>15</v>
      </c>
      <c r="C83">
        <v>32</v>
      </c>
      <c r="D83" s="86">
        <v>0</v>
      </c>
      <c r="E83">
        <v>4</v>
      </c>
      <c r="F83">
        <v>1</v>
      </c>
      <c r="G83">
        <v>14</v>
      </c>
      <c r="H83">
        <v>5</v>
      </c>
      <c r="I83">
        <v>0.25</v>
      </c>
      <c r="J83">
        <v>0.36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1</v>
      </c>
      <c r="Y83">
        <v>0</v>
      </c>
      <c r="Z83">
        <v>0</v>
      </c>
      <c r="AA83" s="86">
        <f>AVERAGEIFS($C$2:C83, $B$2:B83, B83)</f>
        <v>27</v>
      </c>
      <c r="AB83" s="86">
        <f>AVERAGEIFS($I$2:I83, $B$2:B83, B83)</f>
        <v>0.6</v>
      </c>
      <c r="AC83" s="86">
        <f>AVERAGEIFS($J$2:J83, $B$2:B83, B83)</f>
        <v>0.53999999999999992</v>
      </c>
      <c r="AD83" s="86">
        <f>AVERAGEIFS($D$2:D83, $B$2:B83, B83)</f>
        <v>0.5</v>
      </c>
    </row>
    <row r="84" spans="1:30" x14ac:dyDescent="0.25">
      <c r="A84" s="85">
        <v>46118</v>
      </c>
      <c r="B84" t="s">
        <v>25</v>
      </c>
      <c r="C84">
        <v>18</v>
      </c>
      <c r="D84" s="86">
        <v>0</v>
      </c>
      <c r="E84">
        <v>4</v>
      </c>
      <c r="F84">
        <v>1</v>
      </c>
      <c r="G84">
        <v>14</v>
      </c>
      <c r="H84">
        <v>5</v>
      </c>
      <c r="I84">
        <v>0.25</v>
      </c>
      <c r="J84">
        <v>0.36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1</v>
      </c>
      <c r="Y84">
        <v>0</v>
      </c>
      <c r="Z84">
        <v>0</v>
      </c>
      <c r="AA84" s="86">
        <f>AVERAGEIFS($C$2:C84, $B$2:B84, B84)</f>
        <v>18.5</v>
      </c>
      <c r="AB84" s="86">
        <f>AVERAGEIFS($I$2:I84, $B$2:B84, B84)</f>
        <v>0.25</v>
      </c>
      <c r="AC84" s="86">
        <f>AVERAGEIFS($J$2:J84, $B$2:B84, B84)</f>
        <v>0.315</v>
      </c>
      <c r="AD84" s="86">
        <f>AVERAGEIFS($D$2:D84, $B$2:B84, B84)</f>
        <v>0</v>
      </c>
    </row>
    <row r="85" spans="1:30" x14ac:dyDescent="0.25">
      <c r="A85" s="85">
        <v>46118</v>
      </c>
      <c r="B85" t="s">
        <v>156</v>
      </c>
      <c r="C85">
        <v>19</v>
      </c>
      <c r="D85" s="86">
        <v>0</v>
      </c>
      <c r="E85">
        <v>4</v>
      </c>
      <c r="F85">
        <v>1</v>
      </c>
      <c r="G85">
        <v>14</v>
      </c>
      <c r="H85">
        <v>5</v>
      </c>
      <c r="I85">
        <v>0.25</v>
      </c>
      <c r="J85">
        <v>0.36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1</v>
      </c>
      <c r="Y85">
        <v>0</v>
      </c>
      <c r="Z85">
        <v>0</v>
      </c>
      <c r="AA85" s="86">
        <f>AVERAGEIFS($C$2:C85, $B$2:B85, B85)</f>
        <v>21.333333333333332</v>
      </c>
      <c r="AB85" s="86">
        <f>AVERAGEIFS($I$2:I85, $B$2:B85, B85)</f>
        <v>0.3666666666666667</v>
      </c>
      <c r="AC85" s="86">
        <f>AVERAGEIFS($J$2:J85, $B$2:B85, B85)</f>
        <v>0.41666666666666669</v>
      </c>
      <c r="AD85" s="86">
        <f>AVERAGEIFS($D$2:D85, $B$2:B85, B85)</f>
        <v>0.33333333333333331</v>
      </c>
    </row>
    <row r="86" spans="1:30" x14ac:dyDescent="0.25">
      <c r="A86" s="85">
        <v>46118</v>
      </c>
      <c r="B86" t="s">
        <v>45</v>
      </c>
      <c r="C86">
        <v>16</v>
      </c>
      <c r="D86" s="86">
        <v>0</v>
      </c>
      <c r="E86">
        <v>4</v>
      </c>
      <c r="F86">
        <v>1</v>
      </c>
      <c r="G86">
        <v>14</v>
      </c>
      <c r="H86">
        <v>5</v>
      </c>
      <c r="I86">
        <v>0.25</v>
      </c>
      <c r="J86">
        <v>0.36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1</v>
      </c>
      <c r="Y86">
        <v>0</v>
      </c>
      <c r="Z86">
        <v>0</v>
      </c>
      <c r="AA86" s="86">
        <f>AVERAGEIFS($C$2:C86, $B$2:B86, B86)</f>
        <v>13.333333333333334</v>
      </c>
      <c r="AB86" s="86">
        <f>AVERAGEIFS($I$2:I86, $B$2:B86, B86)</f>
        <v>0.3666666666666667</v>
      </c>
      <c r="AC86" s="86">
        <f>AVERAGEIFS($J$2:J86, $B$2:B86, B86)</f>
        <v>0.41666666666666669</v>
      </c>
      <c r="AD86" s="86">
        <f>AVERAGEIFS($D$2:D86, $B$2:B86, B86)</f>
        <v>0.33333333333333331</v>
      </c>
    </row>
    <row r="87" spans="1:30" x14ac:dyDescent="0.25">
      <c r="A87" s="85">
        <v>46118</v>
      </c>
      <c r="B87" t="s">
        <v>26</v>
      </c>
      <c r="C87">
        <v>8</v>
      </c>
      <c r="D87" s="86">
        <v>0</v>
      </c>
      <c r="E87">
        <v>4</v>
      </c>
      <c r="F87">
        <v>1</v>
      </c>
      <c r="G87">
        <v>14</v>
      </c>
      <c r="H87">
        <v>5</v>
      </c>
      <c r="I87">
        <v>0.25</v>
      </c>
      <c r="J87">
        <v>0.36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1</v>
      </c>
      <c r="Y87">
        <v>0</v>
      </c>
      <c r="Z87">
        <v>0</v>
      </c>
      <c r="AA87" s="86">
        <f>AVERAGEIFS($C$2:C87, $B$2:B87, B87)</f>
        <v>7</v>
      </c>
      <c r="AB87" s="86">
        <f>AVERAGEIFS($I$2:I87, $B$2:B87, B87)</f>
        <v>0.25</v>
      </c>
      <c r="AC87" s="86">
        <f>AVERAGEIFS($J$2:J87, $B$2:B87, B87)</f>
        <v>0.315</v>
      </c>
      <c r="AD87" s="86">
        <f>AVERAGEIFS($D$2:D87, $B$2:B87, B87)</f>
        <v>0</v>
      </c>
    </row>
    <row r="88" spans="1:30" x14ac:dyDescent="0.25">
      <c r="A88" s="85">
        <v>46118</v>
      </c>
      <c r="B88" t="s">
        <v>140</v>
      </c>
      <c r="C88">
        <v>8</v>
      </c>
      <c r="D88" s="86">
        <v>0</v>
      </c>
      <c r="E88">
        <v>4</v>
      </c>
      <c r="F88">
        <v>1</v>
      </c>
      <c r="G88">
        <v>14</v>
      </c>
      <c r="H88">
        <v>5</v>
      </c>
      <c r="I88">
        <v>0.25</v>
      </c>
      <c r="J88">
        <v>0.36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1</v>
      </c>
      <c r="Y88">
        <v>0</v>
      </c>
      <c r="Z88">
        <v>0</v>
      </c>
      <c r="AA88" s="86">
        <f>AVERAGEIFS($C$2:C88, $B$2:B88, B88)</f>
        <v>7.5</v>
      </c>
      <c r="AB88" s="86">
        <f>AVERAGEIFS($I$2:I88, $B$2:B88, B88)</f>
        <v>0.25</v>
      </c>
      <c r="AC88" s="86">
        <f>AVERAGEIFS($J$2:J88, $B$2:B88, B88)</f>
        <v>0.315</v>
      </c>
      <c r="AD88" s="86">
        <f>AVERAGEIFS($D$2:D88, $B$2:B88, B88)</f>
        <v>0</v>
      </c>
    </row>
    <row r="89" spans="1:30" x14ac:dyDescent="0.25">
      <c r="A89" s="85">
        <v>46118</v>
      </c>
      <c r="B89" t="s">
        <v>55</v>
      </c>
      <c r="C89">
        <v>7</v>
      </c>
      <c r="D89" s="86">
        <v>0</v>
      </c>
      <c r="E89">
        <v>4</v>
      </c>
      <c r="F89">
        <v>1</v>
      </c>
      <c r="G89">
        <v>14</v>
      </c>
      <c r="H89">
        <v>5</v>
      </c>
      <c r="I89">
        <v>0.25</v>
      </c>
      <c r="J89">
        <v>0.36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1</v>
      </c>
      <c r="Y89">
        <v>0</v>
      </c>
      <c r="Z89">
        <v>0</v>
      </c>
      <c r="AA89" s="86">
        <f>AVERAGEIFS($C$2:C89, $B$2:B89, B89)</f>
        <v>5.333333333333333</v>
      </c>
      <c r="AB89" s="86">
        <f>AVERAGEIFS($I$2:I89, $B$2:B89, B89)</f>
        <v>0.66666666666666663</v>
      </c>
      <c r="AC89" s="86">
        <f>AVERAGEIFS($J$2:J89, $B$2:B89, B89)</f>
        <v>0.6366666666666666</v>
      </c>
      <c r="AD89" s="86">
        <f>AVERAGEIFS($D$2:D89, $B$2:B89, B89)</f>
        <v>0.66666666666666663</v>
      </c>
    </row>
    <row r="90" spans="1:30" x14ac:dyDescent="0.25">
      <c r="A90" s="85"/>
      <c r="AA90" s="86"/>
      <c r="AB90" s="86"/>
      <c r="AC90" s="86"/>
      <c r="AD90" s="86"/>
    </row>
    <row r="91" spans="1:30" x14ac:dyDescent="0.25">
      <c r="A91" s="85"/>
      <c r="AA91" s="86"/>
      <c r="AB91" s="86"/>
      <c r="AC91" s="86"/>
      <c r="AD91" s="86"/>
    </row>
    <row r="92" spans="1:30" x14ac:dyDescent="0.25">
      <c r="A92" s="85"/>
      <c r="AA92" s="86"/>
      <c r="AB92" s="86"/>
      <c r="AC92" s="86"/>
      <c r="AD92" s="86"/>
    </row>
    <row r="93" spans="1:30" x14ac:dyDescent="0.25">
      <c r="A93" s="85"/>
      <c r="AA93" s="86"/>
      <c r="AB93" s="86"/>
      <c r="AC93" s="86"/>
      <c r="AD93" s="86"/>
    </row>
    <row r="94" spans="1:30" x14ac:dyDescent="0.25">
      <c r="A94" s="85"/>
      <c r="AA94" s="86"/>
      <c r="AB94" s="86"/>
      <c r="AC94" s="86"/>
      <c r="AD94" s="86"/>
    </row>
    <row r="95" spans="1:30" x14ac:dyDescent="0.25">
      <c r="A95" s="85"/>
      <c r="AA95" s="86"/>
      <c r="AB95" s="86"/>
      <c r="AC95" s="86"/>
      <c r="AD95" s="86"/>
    </row>
    <row r="96" spans="1:30" x14ac:dyDescent="0.25">
      <c r="A96" s="85"/>
      <c r="AA96" s="86"/>
      <c r="AB96" s="86"/>
      <c r="AC96" s="86"/>
      <c r="AD96" s="86"/>
    </row>
    <row r="97" spans="1:30" x14ac:dyDescent="0.25">
      <c r="A97" s="85"/>
      <c r="AA97" s="86"/>
      <c r="AB97" s="86"/>
      <c r="AC97" s="86"/>
      <c r="AD97" s="86"/>
    </row>
    <row r="98" spans="1:30" x14ac:dyDescent="0.25">
      <c r="A98" s="85"/>
      <c r="AA98" s="86"/>
      <c r="AB98" s="86"/>
      <c r="AC98" s="86"/>
      <c r="AD98" s="86"/>
    </row>
    <row r="99" spans="1:30" x14ac:dyDescent="0.25">
      <c r="A99" s="85"/>
      <c r="AA99" s="86"/>
      <c r="AB99" s="86"/>
      <c r="AC99" s="86"/>
      <c r="AD99" s="86"/>
    </row>
    <row r="100" spans="1:30" x14ac:dyDescent="0.25">
      <c r="A100" s="85"/>
      <c r="AA100" s="86"/>
      <c r="AB100" s="86"/>
      <c r="AC100" s="86"/>
      <c r="AD100" s="86"/>
    </row>
    <row r="101" spans="1:30" x14ac:dyDescent="0.25">
      <c r="A101" s="85"/>
      <c r="AA101" s="86"/>
      <c r="AB101" s="86"/>
      <c r="AC101" s="86"/>
      <c r="AD101" s="86"/>
    </row>
    <row r="102" spans="1:30" x14ac:dyDescent="0.25">
      <c r="A102" s="85"/>
      <c r="AA102" s="86"/>
      <c r="AB102" s="86"/>
      <c r="AC102" s="86"/>
      <c r="AD102" s="86"/>
    </row>
    <row r="103" spans="1:30" x14ac:dyDescent="0.25">
      <c r="A103" s="85"/>
      <c r="AA103" s="86"/>
      <c r="AB103" s="86"/>
      <c r="AC103" s="86"/>
      <c r="AD103" s="86"/>
    </row>
    <row r="104" spans="1:30" x14ac:dyDescent="0.25">
      <c r="A104" s="85"/>
      <c r="AA104" s="86"/>
      <c r="AB104" s="86"/>
      <c r="AC104" s="86"/>
      <c r="AD104" s="86"/>
    </row>
    <row r="105" spans="1:30" x14ac:dyDescent="0.25">
      <c r="A105" s="85"/>
      <c r="AA105" s="86"/>
      <c r="AB105" s="86"/>
      <c r="AC105" s="86"/>
      <c r="AD105" s="86"/>
    </row>
    <row r="106" spans="1:30" x14ac:dyDescent="0.25">
      <c r="A106" s="85"/>
      <c r="AA106" s="86"/>
      <c r="AB106" s="86"/>
      <c r="AC106" s="86"/>
      <c r="AD106" s="86"/>
    </row>
    <row r="107" spans="1:30" x14ac:dyDescent="0.25">
      <c r="A107" s="85"/>
      <c r="AA107" s="86"/>
      <c r="AB107" s="86"/>
      <c r="AC107" s="86"/>
      <c r="AD107" s="86"/>
    </row>
    <row r="108" spans="1:30" x14ac:dyDescent="0.25">
      <c r="A108" s="85"/>
      <c r="AA108" s="86"/>
      <c r="AB108" s="86"/>
      <c r="AC108" s="86"/>
      <c r="AD108" s="86"/>
    </row>
    <row r="109" spans="1:30" x14ac:dyDescent="0.25">
      <c r="A109" s="85"/>
      <c r="AA109" s="86"/>
      <c r="AB109" s="86"/>
      <c r="AC109" s="86"/>
      <c r="AD109" s="86"/>
    </row>
    <row r="110" spans="1:30" x14ac:dyDescent="0.25">
      <c r="A110" s="85"/>
      <c r="AA110" s="86"/>
      <c r="AB110" s="86"/>
      <c r="AC110" s="86"/>
      <c r="AD110" s="86"/>
    </row>
    <row r="111" spans="1:30" x14ac:dyDescent="0.25">
      <c r="A111" s="85"/>
      <c r="AA111" s="86"/>
      <c r="AB111" s="86"/>
      <c r="AC111" s="86"/>
      <c r="AD111" s="86"/>
    </row>
    <row r="112" spans="1:30" x14ac:dyDescent="0.25">
      <c r="A112" s="85"/>
      <c r="AA112" s="86"/>
      <c r="AB112" s="86"/>
      <c r="AC112" s="86"/>
      <c r="AD112" s="86"/>
    </row>
    <row r="113" spans="1:30" x14ac:dyDescent="0.25">
      <c r="A113" s="85"/>
      <c r="AA113" s="86"/>
      <c r="AB113" s="86"/>
      <c r="AC113" s="86"/>
      <c r="AD113" s="86"/>
    </row>
    <row r="114" spans="1:30" x14ac:dyDescent="0.25">
      <c r="A114" s="85"/>
      <c r="AA114" s="86"/>
      <c r="AB114" s="86"/>
      <c r="AC114" s="86"/>
      <c r="AD114" s="86"/>
    </row>
    <row r="115" spans="1:30" x14ac:dyDescent="0.25">
      <c r="A115" s="85"/>
      <c r="AA115" s="86"/>
      <c r="AB115" s="86"/>
      <c r="AC115" s="86"/>
      <c r="AD115" s="86"/>
    </row>
    <row r="116" spans="1:30" x14ac:dyDescent="0.25">
      <c r="A116" s="85"/>
      <c r="AA116" s="86"/>
      <c r="AB116" s="86"/>
      <c r="AC116" s="86"/>
      <c r="AD116" s="86"/>
    </row>
    <row r="117" spans="1:30" x14ac:dyDescent="0.25">
      <c r="A117" s="85"/>
      <c r="AA117" s="86"/>
      <c r="AB117" s="86"/>
      <c r="AC117" s="86"/>
      <c r="AD117" s="86"/>
    </row>
    <row r="118" spans="1:30" x14ac:dyDescent="0.25">
      <c r="A118" s="85"/>
      <c r="AA118" s="86"/>
      <c r="AB118" s="86"/>
      <c r="AC118" s="86"/>
      <c r="AD118" s="86"/>
    </row>
    <row r="119" spans="1:30" x14ac:dyDescent="0.25">
      <c r="A119" s="85"/>
      <c r="AA119" s="86"/>
      <c r="AB119" s="86"/>
      <c r="AC119" s="86"/>
      <c r="AD119" s="86"/>
    </row>
    <row r="120" spans="1:30" x14ac:dyDescent="0.25">
      <c r="A120" s="85"/>
      <c r="AA120" s="86"/>
      <c r="AB120" s="86"/>
      <c r="AC120" s="86"/>
      <c r="AD120" s="86"/>
    </row>
    <row r="121" spans="1:30" x14ac:dyDescent="0.25">
      <c r="A121" s="85"/>
      <c r="AA121" s="86"/>
      <c r="AB121" s="86"/>
      <c r="AC121" s="86"/>
      <c r="AD121" s="86"/>
    </row>
    <row r="122" spans="1:30" x14ac:dyDescent="0.25">
      <c r="A122" s="85"/>
      <c r="AA122" s="86"/>
      <c r="AB122" s="86"/>
      <c r="AC122" s="86"/>
      <c r="AD122" s="86"/>
    </row>
    <row r="123" spans="1:30" x14ac:dyDescent="0.25">
      <c r="A123" s="85"/>
      <c r="AA123" s="86"/>
      <c r="AB123" s="86"/>
      <c r="AC123" s="86"/>
      <c r="AD123" s="86"/>
    </row>
    <row r="124" spans="1:30" x14ac:dyDescent="0.25">
      <c r="A124" s="85"/>
      <c r="AA124" s="86"/>
      <c r="AB124" s="86"/>
      <c r="AC124" s="86"/>
      <c r="AD124" s="86"/>
    </row>
    <row r="125" spans="1:30" x14ac:dyDescent="0.25">
      <c r="A125" s="85"/>
      <c r="AA125" s="86"/>
      <c r="AB125" s="86"/>
      <c r="AC125" s="86"/>
      <c r="AD125" s="86"/>
    </row>
    <row r="126" spans="1:30" x14ac:dyDescent="0.25">
      <c r="A126" s="85"/>
      <c r="AA126" s="86"/>
      <c r="AB126" s="86"/>
      <c r="AC126" s="86"/>
      <c r="AD126" s="86"/>
    </row>
    <row r="127" spans="1:30" x14ac:dyDescent="0.25">
      <c r="A127" s="85"/>
      <c r="AA127" s="86"/>
      <c r="AB127" s="86"/>
      <c r="AC127" s="86"/>
      <c r="AD127" s="86"/>
    </row>
    <row r="128" spans="1:30" x14ac:dyDescent="0.25">
      <c r="A128" s="85"/>
      <c r="AA128" s="86"/>
      <c r="AB128" s="86"/>
      <c r="AC128" s="86"/>
      <c r="AD128" s="86"/>
    </row>
    <row r="129" spans="1:30" x14ac:dyDescent="0.25">
      <c r="A129" s="85"/>
      <c r="AA129" s="86"/>
      <c r="AB129" s="86"/>
      <c r="AC129" s="86"/>
      <c r="AD129" s="86"/>
    </row>
    <row r="130" spans="1:30" x14ac:dyDescent="0.25">
      <c r="A130" s="85"/>
      <c r="AA130" s="86"/>
      <c r="AB130" s="86"/>
      <c r="AC130" s="86"/>
      <c r="AD130" s="86"/>
    </row>
    <row r="131" spans="1:30" x14ac:dyDescent="0.25">
      <c r="A131" s="85"/>
      <c r="AA131" s="86"/>
      <c r="AB131" s="86"/>
      <c r="AC131" s="86"/>
      <c r="AD131" s="86"/>
    </row>
    <row r="132" spans="1:30" x14ac:dyDescent="0.25">
      <c r="A132" s="85"/>
      <c r="AA132" s="86"/>
      <c r="AB132" s="86"/>
      <c r="AC132" s="86"/>
      <c r="AD132" s="86"/>
    </row>
    <row r="133" spans="1:30" x14ac:dyDescent="0.25">
      <c r="A133" s="85"/>
      <c r="AA133" s="86"/>
      <c r="AB133" s="86"/>
      <c r="AC133" s="86"/>
      <c r="AD133" s="86"/>
    </row>
    <row r="134" spans="1:30" x14ac:dyDescent="0.25">
      <c r="A134" s="85"/>
      <c r="AA134" s="86"/>
      <c r="AB134" s="86"/>
      <c r="AC134" s="86"/>
      <c r="AD134" s="86"/>
    </row>
    <row r="135" spans="1:30" x14ac:dyDescent="0.25">
      <c r="A135" s="85"/>
      <c r="AA135" s="86"/>
      <c r="AB135" s="86"/>
      <c r="AC135" s="86"/>
      <c r="AD135" s="86"/>
    </row>
    <row r="136" spans="1:30" x14ac:dyDescent="0.25">
      <c r="A136" s="85"/>
      <c r="AA136" s="86"/>
      <c r="AB136" s="86"/>
      <c r="AC136" s="86"/>
      <c r="AD136" s="86"/>
    </row>
    <row r="137" spans="1:30" x14ac:dyDescent="0.25">
      <c r="A137" s="85"/>
      <c r="AA137" s="86"/>
      <c r="AB137" s="86"/>
      <c r="AC137" s="86"/>
      <c r="AD137" s="86"/>
    </row>
    <row r="138" spans="1:30" x14ac:dyDescent="0.25">
      <c r="A138" s="85"/>
      <c r="AA138" s="86"/>
      <c r="AB138" s="86"/>
      <c r="AC138" s="86"/>
      <c r="AD138" s="86"/>
    </row>
    <row r="139" spans="1:30" x14ac:dyDescent="0.25">
      <c r="A139" s="85"/>
      <c r="AA139" s="86"/>
      <c r="AB139" s="86"/>
      <c r="AC139" s="86"/>
      <c r="AD139" s="86"/>
    </row>
    <row r="140" spans="1:30" x14ac:dyDescent="0.25">
      <c r="A140" s="85"/>
      <c r="AA140" s="86"/>
      <c r="AB140" s="86"/>
      <c r="AC140" s="86"/>
      <c r="AD140" s="86"/>
    </row>
    <row r="141" spans="1:30" x14ac:dyDescent="0.25">
      <c r="A141" s="85"/>
      <c r="AA141" s="86"/>
      <c r="AB141" s="86"/>
      <c r="AC141" s="86"/>
      <c r="AD141" s="86"/>
    </row>
    <row r="142" spans="1:30" x14ac:dyDescent="0.25">
      <c r="A142" s="85"/>
      <c r="AA142" s="86"/>
      <c r="AB142" s="86"/>
      <c r="AC142" s="86"/>
      <c r="AD142" s="86"/>
    </row>
    <row r="143" spans="1:30" x14ac:dyDescent="0.25">
      <c r="A143" s="85"/>
      <c r="AA143" s="86"/>
      <c r="AB143" s="86"/>
      <c r="AC143" s="86"/>
      <c r="AD143" s="86"/>
    </row>
    <row r="144" spans="1:30" x14ac:dyDescent="0.25">
      <c r="A144" s="85"/>
      <c r="AA144" s="86"/>
      <c r="AB144" s="86"/>
      <c r="AC144" s="86"/>
      <c r="AD144" s="86"/>
    </row>
    <row r="145" spans="1:30" x14ac:dyDescent="0.25">
      <c r="A145" s="85"/>
      <c r="AA145" s="86"/>
      <c r="AB145" s="86"/>
      <c r="AC145" s="86"/>
      <c r="AD145" s="86"/>
    </row>
    <row r="146" spans="1:30" x14ac:dyDescent="0.25">
      <c r="A146" s="85"/>
      <c r="AA146" s="86"/>
      <c r="AB146" s="86"/>
      <c r="AC146" s="86"/>
      <c r="AD146" s="86"/>
    </row>
    <row r="147" spans="1:30" x14ac:dyDescent="0.25">
      <c r="A147" s="85"/>
      <c r="AA147" s="86"/>
      <c r="AB147" s="86"/>
      <c r="AC147" s="86"/>
      <c r="AD147" s="86"/>
    </row>
    <row r="148" spans="1:30" x14ac:dyDescent="0.25">
      <c r="A148" s="85"/>
      <c r="AA148" s="86"/>
      <c r="AB148" s="86"/>
      <c r="AC148" s="86"/>
      <c r="AD148" s="86"/>
    </row>
    <row r="149" spans="1:30" x14ac:dyDescent="0.25">
      <c r="A149" s="85"/>
      <c r="AA149" s="86"/>
      <c r="AB149" s="86"/>
      <c r="AC149" s="86"/>
      <c r="AD149" s="86"/>
    </row>
    <row r="150" spans="1:30" x14ac:dyDescent="0.25">
      <c r="A150" s="85"/>
      <c r="AA150" s="86"/>
      <c r="AB150" s="86"/>
      <c r="AC150" s="86"/>
      <c r="AD150" s="86"/>
    </row>
    <row r="151" spans="1:30" x14ac:dyDescent="0.25">
      <c r="A151" s="85"/>
      <c r="AA151" s="86"/>
      <c r="AB151" s="86"/>
      <c r="AC151" s="86"/>
      <c r="AD151" s="86"/>
    </row>
    <row r="152" spans="1:30" x14ac:dyDescent="0.25">
      <c r="A152" s="85"/>
      <c r="AA152" s="86"/>
      <c r="AB152" s="86"/>
      <c r="AC152" s="86"/>
      <c r="AD152" s="86"/>
    </row>
    <row r="153" spans="1:30" x14ac:dyDescent="0.25">
      <c r="A153" s="85"/>
      <c r="AA153" s="86"/>
      <c r="AB153" s="86"/>
      <c r="AC153" s="86"/>
      <c r="AD153" s="86"/>
    </row>
    <row r="154" spans="1:30" x14ac:dyDescent="0.25">
      <c r="A154" s="85"/>
      <c r="AA154" s="86"/>
      <c r="AB154" s="86"/>
      <c r="AC154" s="86"/>
      <c r="AD154" s="86"/>
    </row>
    <row r="155" spans="1:30" x14ac:dyDescent="0.25">
      <c r="A155" s="85"/>
      <c r="AA155" s="86"/>
      <c r="AB155" s="86"/>
      <c r="AC155" s="86"/>
      <c r="AD155" s="86"/>
    </row>
    <row r="156" spans="1:30" x14ac:dyDescent="0.25">
      <c r="A156" s="85"/>
      <c r="AA156" s="86"/>
      <c r="AB156" s="86"/>
      <c r="AC156" s="86"/>
      <c r="AD156" s="86"/>
    </row>
    <row r="157" spans="1:30" x14ac:dyDescent="0.25">
      <c r="A157" s="85"/>
      <c r="AA157" s="86"/>
      <c r="AB157" s="86"/>
      <c r="AC157" s="86"/>
      <c r="AD157" s="86"/>
    </row>
    <row r="158" spans="1:30" x14ac:dyDescent="0.25">
      <c r="A158" s="85"/>
      <c r="AA158" s="86"/>
      <c r="AB158" s="86"/>
      <c r="AC158" s="86"/>
      <c r="AD158" s="86"/>
    </row>
    <row r="159" spans="1:30" x14ac:dyDescent="0.25">
      <c r="A159" s="85"/>
      <c r="AA159" s="86"/>
      <c r="AB159" s="86"/>
      <c r="AC159" s="86"/>
      <c r="AD159" s="86"/>
    </row>
    <row r="160" spans="1:30" x14ac:dyDescent="0.25">
      <c r="A160" s="85"/>
      <c r="AA160" s="86"/>
      <c r="AB160" s="86"/>
      <c r="AC160" s="86"/>
      <c r="AD160" s="86"/>
    </row>
    <row r="161" spans="1:30" x14ac:dyDescent="0.25">
      <c r="A161" s="85"/>
      <c r="AA161" s="86"/>
      <c r="AB161" s="86"/>
      <c r="AC161" s="86"/>
      <c r="AD161" s="86"/>
    </row>
    <row r="162" spans="1:30" x14ac:dyDescent="0.25">
      <c r="A162" s="85"/>
      <c r="AA162" s="86"/>
      <c r="AB162" s="86"/>
      <c r="AC162" s="86"/>
      <c r="AD162" s="86"/>
    </row>
    <row r="163" spans="1:30" x14ac:dyDescent="0.25">
      <c r="A163" s="85"/>
      <c r="AA163" s="86"/>
      <c r="AB163" s="86"/>
      <c r="AC163" s="86"/>
      <c r="AD163" s="86"/>
    </row>
    <row r="164" spans="1:30" x14ac:dyDescent="0.25">
      <c r="A164" s="85"/>
      <c r="AA164" s="86"/>
      <c r="AB164" s="86"/>
      <c r="AC164" s="86"/>
      <c r="AD164" s="86"/>
    </row>
    <row r="165" spans="1:30" x14ac:dyDescent="0.25">
      <c r="A165" s="85"/>
      <c r="AA165" s="86"/>
      <c r="AB165" s="86"/>
      <c r="AC165" s="86"/>
      <c r="AD165" s="86"/>
    </row>
    <row r="166" spans="1:30" x14ac:dyDescent="0.25">
      <c r="A166" s="85"/>
      <c r="AA166" s="86"/>
      <c r="AB166" s="86"/>
      <c r="AC166" s="86"/>
      <c r="AD166" s="86"/>
    </row>
    <row r="167" spans="1:30" x14ac:dyDescent="0.25">
      <c r="A167" s="85"/>
      <c r="AA167" s="86"/>
      <c r="AB167" s="86"/>
      <c r="AC167" s="86"/>
      <c r="AD167" s="86"/>
    </row>
    <row r="168" spans="1:30" x14ac:dyDescent="0.25">
      <c r="A168" s="85"/>
      <c r="AA168" s="86"/>
      <c r="AB168" s="86"/>
      <c r="AC168" s="86"/>
      <c r="AD168" s="86"/>
    </row>
    <row r="169" spans="1:30" x14ac:dyDescent="0.25">
      <c r="A169" s="85"/>
      <c r="AA169" s="86"/>
      <c r="AB169" s="86"/>
      <c r="AC169" s="86"/>
      <c r="AD169" s="86"/>
    </row>
    <row r="170" spans="1:30" x14ac:dyDescent="0.25">
      <c r="A170" s="85"/>
      <c r="AA170" s="86"/>
      <c r="AB170" s="86"/>
      <c r="AC170" s="86"/>
      <c r="AD170" s="86"/>
    </row>
    <row r="171" spans="1:30" x14ac:dyDescent="0.25">
      <c r="A171" s="85"/>
      <c r="AA171" s="86"/>
      <c r="AB171" s="86"/>
      <c r="AC171" s="86"/>
      <c r="AD171" s="86"/>
    </row>
    <row r="172" spans="1:30" x14ac:dyDescent="0.25">
      <c r="A172" s="85"/>
      <c r="AA172" s="86"/>
      <c r="AB172" s="86"/>
      <c r="AC172" s="86"/>
      <c r="AD172" s="86"/>
    </row>
    <row r="173" spans="1:30" x14ac:dyDescent="0.25">
      <c r="A173" s="85"/>
      <c r="AA173" s="86"/>
      <c r="AB173" s="86"/>
      <c r="AC173" s="86"/>
      <c r="AD173" s="86"/>
    </row>
    <row r="174" spans="1:30" x14ac:dyDescent="0.25">
      <c r="A174" s="85"/>
      <c r="AA174" s="86"/>
      <c r="AB174" s="86"/>
      <c r="AC174" s="86"/>
      <c r="AD174" s="86"/>
    </row>
    <row r="175" spans="1:30" x14ac:dyDescent="0.25">
      <c r="A175" s="85"/>
      <c r="AA175" s="86"/>
      <c r="AB175" s="86"/>
      <c r="AC175" s="86"/>
      <c r="AD175" s="86"/>
    </row>
    <row r="176" spans="1:30" x14ac:dyDescent="0.25">
      <c r="A176" s="85"/>
      <c r="AA176" s="86"/>
      <c r="AB176" s="86"/>
      <c r="AC176" s="86"/>
      <c r="AD176" s="86"/>
    </row>
    <row r="177" spans="1:30" x14ac:dyDescent="0.25">
      <c r="A177" s="85"/>
      <c r="AA177" s="86"/>
      <c r="AB177" s="86"/>
      <c r="AC177" s="86"/>
      <c r="AD177" s="86"/>
    </row>
    <row r="178" spans="1:30" x14ac:dyDescent="0.25">
      <c r="A178" s="85"/>
      <c r="AA178" s="86"/>
      <c r="AB178" s="86"/>
      <c r="AC178" s="86"/>
      <c r="AD178" s="86"/>
    </row>
    <row r="179" spans="1:30" x14ac:dyDescent="0.25">
      <c r="A179" s="85"/>
      <c r="AA179" s="86"/>
      <c r="AB179" s="86"/>
      <c r="AC179" s="86"/>
      <c r="AD179" s="86"/>
    </row>
    <row r="180" spans="1:30" x14ac:dyDescent="0.25">
      <c r="A180" s="85"/>
      <c r="AA180" s="86"/>
      <c r="AB180" s="86"/>
      <c r="AC180" s="86"/>
      <c r="AD180" s="86"/>
    </row>
    <row r="181" spans="1:30" x14ac:dyDescent="0.25">
      <c r="A181" s="85"/>
      <c r="AA181" s="86"/>
      <c r="AB181" s="86"/>
      <c r="AC181" s="86"/>
      <c r="AD181" s="86"/>
    </row>
    <row r="182" spans="1:30" x14ac:dyDescent="0.25">
      <c r="A182" s="85"/>
      <c r="AA182" s="86"/>
      <c r="AB182" s="86"/>
      <c r="AC182" s="86"/>
      <c r="AD182" s="86"/>
    </row>
    <row r="183" spans="1:30" x14ac:dyDescent="0.25">
      <c r="A183" s="85"/>
      <c r="AA183" s="86"/>
      <c r="AB183" s="86"/>
      <c r="AC183" s="86"/>
      <c r="AD183" s="86"/>
    </row>
    <row r="184" spans="1:30" x14ac:dyDescent="0.25">
      <c r="A184" s="85"/>
      <c r="AA184" s="86"/>
      <c r="AB184" s="86"/>
      <c r="AC184" s="86"/>
      <c r="AD184" s="86"/>
    </row>
    <row r="185" spans="1:30" x14ac:dyDescent="0.25">
      <c r="A185" s="85"/>
      <c r="AA185" s="86"/>
      <c r="AB185" s="86"/>
      <c r="AC185" s="86"/>
      <c r="AD185" s="86"/>
    </row>
    <row r="186" spans="1:30" x14ac:dyDescent="0.25">
      <c r="A186" s="85"/>
      <c r="AA186" s="86"/>
      <c r="AB186" s="86"/>
      <c r="AC186" s="86"/>
      <c r="AD186" s="86"/>
    </row>
    <row r="187" spans="1:30" x14ac:dyDescent="0.25">
      <c r="A187" s="85"/>
      <c r="AA187" s="86"/>
      <c r="AB187" s="86"/>
      <c r="AC187" s="86"/>
      <c r="AD187" s="86"/>
    </row>
    <row r="188" spans="1:30" x14ac:dyDescent="0.25">
      <c r="A188" s="85"/>
      <c r="AA188" s="86"/>
      <c r="AB188" s="86"/>
      <c r="AC188" s="86"/>
      <c r="AD188" s="86"/>
    </row>
    <row r="189" spans="1:30" x14ac:dyDescent="0.25">
      <c r="A189" s="85"/>
      <c r="AA189" s="86"/>
      <c r="AB189" s="86"/>
      <c r="AC189" s="86"/>
      <c r="AD189" s="86"/>
    </row>
    <row r="190" spans="1:30" x14ac:dyDescent="0.25">
      <c r="A190" s="85"/>
      <c r="AA190" s="86"/>
      <c r="AB190" s="86"/>
      <c r="AC190" s="86"/>
      <c r="AD190" s="86"/>
    </row>
    <row r="191" spans="1:30" x14ac:dyDescent="0.25">
      <c r="A191" s="85"/>
      <c r="AA191" s="86"/>
      <c r="AB191" s="86"/>
      <c r="AC191" s="86"/>
      <c r="AD191" s="86"/>
    </row>
    <row r="192" spans="1:30" x14ac:dyDescent="0.25">
      <c r="A192" s="85"/>
      <c r="AA192" s="86"/>
      <c r="AB192" s="86"/>
      <c r="AC192" s="86"/>
      <c r="AD192" s="86"/>
    </row>
    <row r="193" spans="1:30" x14ac:dyDescent="0.25">
      <c r="A193" s="85"/>
      <c r="AA193" s="86"/>
      <c r="AB193" s="86"/>
      <c r="AC193" s="86"/>
      <c r="AD193" s="86"/>
    </row>
    <row r="194" spans="1:30" x14ac:dyDescent="0.25">
      <c r="A194" s="85"/>
      <c r="AA194" s="86"/>
      <c r="AB194" s="86"/>
      <c r="AC194" s="86"/>
      <c r="AD194" s="86"/>
    </row>
    <row r="195" spans="1:30" x14ac:dyDescent="0.25">
      <c r="A195" s="85"/>
      <c r="AA195" s="86"/>
      <c r="AB195" s="86"/>
      <c r="AC195" s="86"/>
      <c r="AD195" s="86"/>
    </row>
    <row r="196" spans="1:30" x14ac:dyDescent="0.25">
      <c r="A196" s="85"/>
      <c r="AA196" s="86"/>
      <c r="AB196" s="86"/>
      <c r="AC196" s="86"/>
      <c r="AD196" s="86"/>
    </row>
    <row r="197" spans="1:30" x14ac:dyDescent="0.25">
      <c r="A197" s="85"/>
      <c r="AA197" s="86"/>
      <c r="AB197" s="86"/>
      <c r="AC197" s="86"/>
      <c r="AD197" s="86"/>
    </row>
    <row r="198" spans="1:30" x14ac:dyDescent="0.25">
      <c r="A198" s="85"/>
      <c r="AA198" s="86"/>
      <c r="AB198" s="86"/>
      <c r="AC198" s="86"/>
      <c r="AD198" s="86"/>
    </row>
    <row r="199" spans="1:30" x14ac:dyDescent="0.25">
      <c r="A199" s="85"/>
      <c r="AA199" s="86"/>
      <c r="AB199" s="86"/>
      <c r="AC199" s="86"/>
      <c r="AD199" s="86"/>
    </row>
    <row r="200" spans="1:30" x14ac:dyDescent="0.25">
      <c r="A200" s="85"/>
      <c r="AA200" s="86"/>
      <c r="AB200" s="86"/>
      <c r="AC200" s="86"/>
      <c r="AD200" s="86"/>
    </row>
    <row r="201" spans="1:30" x14ac:dyDescent="0.25">
      <c r="A201" s="85"/>
      <c r="AA201" s="86"/>
      <c r="AB201" s="86"/>
      <c r="AC201" s="86"/>
      <c r="AD201" s="86"/>
    </row>
    <row r="202" spans="1:30" x14ac:dyDescent="0.25">
      <c r="A202" s="85"/>
      <c r="AA202" s="86"/>
      <c r="AB202" s="86"/>
      <c r="AC202" s="86"/>
      <c r="AD202" s="86"/>
    </row>
    <row r="203" spans="1:30" x14ac:dyDescent="0.25">
      <c r="A203" s="85"/>
      <c r="AA203" s="86"/>
      <c r="AB203" s="86"/>
      <c r="AC203" s="86"/>
      <c r="AD203" s="86"/>
    </row>
    <row r="204" spans="1:30" x14ac:dyDescent="0.25">
      <c r="A204" s="85"/>
      <c r="AA204" s="86"/>
      <c r="AB204" s="86"/>
      <c r="AC204" s="86"/>
      <c r="AD204" s="86"/>
    </row>
    <row r="205" spans="1:30" x14ac:dyDescent="0.25">
      <c r="A205" s="85"/>
      <c r="AA205" s="86"/>
      <c r="AB205" s="86"/>
      <c r="AC205" s="86"/>
      <c r="AD205" s="86"/>
    </row>
    <row r="206" spans="1:30" x14ac:dyDescent="0.25">
      <c r="A206" s="85"/>
      <c r="AA206" s="86"/>
      <c r="AB206" s="86"/>
      <c r="AC206" s="86"/>
      <c r="AD206" s="86"/>
    </row>
    <row r="207" spans="1:30" x14ac:dyDescent="0.25">
      <c r="A207" s="85"/>
      <c r="AA207" s="86"/>
      <c r="AB207" s="86"/>
      <c r="AC207" s="86"/>
      <c r="AD207" s="86"/>
    </row>
    <row r="208" spans="1:30" x14ac:dyDescent="0.25">
      <c r="A208" s="85"/>
      <c r="AA208" s="86"/>
      <c r="AB208" s="86"/>
      <c r="AC208" s="86"/>
      <c r="AD208" s="86"/>
    </row>
    <row r="209" spans="1:30" x14ac:dyDescent="0.25">
      <c r="A209" s="85"/>
      <c r="AA209" s="86"/>
      <c r="AB209" s="86"/>
      <c r="AC209" s="86"/>
      <c r="AD209" s="86"/>
    </row>
    <row r="210" spans="1:30" x14ac:dyDescent="0.25">
      <c r="A210" s="85"/>
      <c r="AA210" s="86"/>
      <c r="AB210" s="86"/>
      <c r="AC210" s="86"/>
      <c r="AD210" s="86"/>
    </row>
    <row r="211" spans="1:30" x14ac:dyDescent="0.25">
      <c r="A211" s="85"/>
      <c r="AA211" s="86"/>
      <c r="AB211" s="86"/>
      <c r="AC211" s="86"/>
      <c r="AD211" s="86"/>
    </row>
    <row r="212" spans="1:30" x14ac:dyDescent="0.25">
      <c r="A212" s="85"/>
      <c r="AA212" s="86"/>
      <c r="AB212" s="86"/>
      <c r="AC212" s="86"/>
      <c r="AD212" s="86"/>
    </row>
    <row r="213" spans="1:30" x14ac:dyDescent="0.25">
      <c r="A213" s="85"/>
      <c r="AA213" s="86"/>
      <c r="AB213" s="86"/>
      <c r="AC213" s="86"/>
      <c r="AD213" s="86"/>
    </row>
    <row r="214" spans="1:30" x14ac:dyDescent="0.25">
      <c r="A214" s="85"/>
      <c r="AA214" s="86"/>
      <c r="AB214" s="86"/>
      <c r="AC214" s="86"/>
      <c r="AD214" s="86"/>
    </row>
    <row r="215" spans="1:30" x14ac:dyDescent="0.25">
      <c r="A215" s="85"/>
      <c r="AA215" s="86"/>
      <c r="AB215" s="86"/>
      <c r="AC215" s="86"/>
      <c r="AD215" s="86"/>
    </row>
    <row r="216" spans="1:30" x14ac:dyDescent="0.25">
      <c r="A216" s="85"/>
      <c r="AA216" s="86"/>
      <c r="AB216" s="86"/>
      <c r="AC216" s="86"/>
      <c r="AD216" s="86"/>
    </row>
    <row r="217" spans="1:30" x14ac:dyDescent="0.25">
      <c r="A217" s="85"/>
      <c r="AA217" s="86"/>
      <c r="AB217" s="86"/>
      <c r="AC217" s="86"/>
      <c r="AD217" s="86"/>
    </row>
    <row r="218" spans="1:30" x14ac:dyDescent="0.25">
      <c r="A218" s="85"/>
      <c r="AA218" s="86"/>
      <c r="AB218" s="86"/>
      <c r="AC218" s="86"/>
      <c r="AD218" s="86"/>
    </row>
    <row r="219" spans="1:30" x14ac:dyDescent="0.25">
      <c r="A219" s="85"/>
      <c r="AA219" s="86"/>
      <c r="AB219" s="86"/>
      <c r="AC219" s="86"/>
      <c r="AD219" s="86"/>
    </row>
    <row r="220" spans="1:30" x14ac:dyDescent="0.25">
      <c r="A220" s="85"/>
      <c r="AA220" s="86"/>
      <c r="AB220" s="86"/>
      <c r="AC220" s="86"/>
      <c r="AD220" s="86"/>
    </row>
    <row r="221" spans="1:30" x14ac:dyDescent="0.25">
      <c r="A221" s="85"/>
      <c r="AA221" s="86"/>
      <c r="AB221" s="86"/>
      <c r="AC221" s="86"/>
      <c r="AD221" s="86"/>
    </row>
    <row r="222" spans="1:30" x14ac:dyDescent="0.25">
      <c r="A222" s="85"/>
      <c r="AA222" s="86"/>
      <c r="AB222" s="86"/>
      <c r="AC222" s="86"/>
      <c r="AD222" s="86"/>
    </row>
    <row r="223" spans="1:30" x14ac:dyDescent="0.25">
      <c r="A223" s="85"/>
      <c r="AA223" s="86"/>
      <c r="AB223" s="86"/>
      <c r="AC223" s="86"/>
      <c r="AD223" s="86"/>
    </row>
    <row r="224" spans="1:30" x14ac:dyDescent="0.25">
      <c r="A224" s="85"/>
      <c r="AA224" s="86"/>
      <c r="AB224" s="86"/>
      <c r="AC224" s="86"/>
      <c r="AD224" s="86"/>
    </row>
    <row r="225" spans="1:30" x14ac:dyDescent="0.25">
      <c r="A225" s="85"/>
      <c r="AA225" s="86"/>
      <c r="AB225" s="86"/>
      <c r="AC225" s="86"/>
      <c r="AD225" s="86"/>
    </row>
    <row r="226" spans="1:30" x14ac:dyDescent="0.25">
      <c r="A226" s="85"/>
      <c r="AA226" s="86"/>
      <c r="AB226" s="86"/>
      <c r="AC226" s="86"/>
      <c r="AD226" s="86"/>
    </row>
    <row r="227" spans="1:30" x14ac:dyDescent="0.25">
      <c r="A227" s="85"/>
      <c r="AA227" s="86"/>
      <c r="AB227" s="86"/>
      <c r="AC227" s="86"/>
      <c r="AD227" s="86"/>
    </row>
    <row r="228" spans="1:30" x14ac:dyDescent="0.25">
      <c r="A228" s="85"/>
      <c r="AA228" s="86"/>
      <c r="AB228" s="86"/>
      <c r="AC228" s="86"/>
      <c r="AD228" s="86"/>
    </row>
    <row r="229" spans="1:30" x14ac:dyDescent="0.25">
      <c r="A229" s="85"/>
      <c r="AA229" s="86"/>
      <c r="AB229" s="86"/>
      <c r="AC229" s="86"/>
      <c r="AD229" s="86"/>
    </row>
    <row r="230" spans="1:30" x14ac:dyDescent="0.25">
      <c r="A230" s="85"/>
      <c r="AA230" s="86"/>
      <c r="AB230" s="86"/>
      <c r="AC230" s="86"/>
      <c r="AD230" s="86"/>
    </row>
    <row r="231" spans="1:30" x14ac:dyDescent="0.25">
      <c r="A231" s="85"/>
      <c r="AA231" s="86"/>
      <c r="AB231" s="86"/>
      <c r="AC231" s="86"/>
      <c r="AD231" s="86"/>
    </row>
    <row r="232" spans="1:30" x14ac:dyDescent="0.25">
      <c r="A232" s="85"/>
      <c r="AA232" s="86"/>
      <c r="AB232" s="86"/>
      <c r="AC232" s="86"/>
      <c r="AD232" s="86"/>
    </row>
    <row r="233" spans="1:30" x14ac:dyDescent="0.25">
      <c r="A233" s="85"/>
      <c r="AA233" s="86"/>
      <c r="AB233" s="86"/>
      <c r="AC233" s="86"/>
      <c r="AD233" s="86"/>
    </row>
    <row r="234" spans="1:30" x14ac:dyDescent="0.25">
      <c r="A234" s="85"/>
      <c r="AA234" s="86"/>
      <c r="AB234" s="86"/>
      <c r="AC234" s="86"/>
      <c r="AD234" s="86"/>
    </row>
    <row r="235" spans="1:30" x14ac:dyDescent="0.25">
      <c r="A235" s="85"/>
      <c r="AA235" s="86"/>
      <c r="AB235" s="86"/>
      <c r="AC235" s="86"/>
      <c r="AD235" s="86"/>
    </row>
    <row r="236" spans="1:30" x14ac:dyDescent="0.25">
      <c r="A236" s="85"/>
      <c r="AA236" s="86"/>
      <c r="AB236" s="86"/>
      <c r="AC236" s="86"/>
      <c r="AD236" s="86"/>
    </row>
    <row r="237" spans="1:30" x14ac:dyDescent="0.25">
      <c r="A237" s="85"/>
      <c r="AA237" s="86"/>
      <c r="AB237" s="86"/>
      <c r="AC237" s="86"/>
      <c r="AD237" s="86"/>
    </row>
    <row r="238" spans="1:30" x14ac:dyDescent="0.25">
      <c r="A238" s="85"/>
      <c r="AA238" s="86"/>
      <c r="AB238" s="86"/>
      <c r="AC238" s="86"/>
      <c r="AD238" s="86"/>
    </row>
    <row r="239" spans="1:30" x14ac:dyDescent="0.25">
      <c r="A239" s="85"/>
      <c r="AA239" s="86"/>
      <c r="AB239" s="86"/>
      <c r="AC239" s="86"/>
      <c r="AD239" s="86"/>
    </row>
    <row r="240" spans="1:30" x14ac:dyDescent="0.25">
      <c r="A240" s="85"/>
      <c r="AA240" s="86"/>
      <c r="AB240" s="86"/>
      <c r="AC240" s="86"/>
      <c r="AD240" s="86"/>
    </row>
    <row r="241" spans="1:30" x14ac:dyDescent="0.25">
      <c r="A241" s="85"/>
      <c r="AA241" s="86"/>
      <c r="AB241" s="86"/>
      <c r="AC241" s="86"/>
      <c r="AD241" s="86"/>
    </row>
    <row r="242" spans="1:30" x14ac:dyDescent="0.25">
      <c r="A242" s="85"/>
      <c r="AA242" s="86"/>
      <c r="AB242" s="86"/>
      <c r="AC242" s="86"/>
      <c r="AD242" s="86"/>
    </row>
    <row r="243" spans="1:30" x14ac:dyDescent="0.25">
      <c r="A243" s="85"/>
      <c r="AA243" s="86"/>
      <c r="AB243" s="86"/>
      <c r="AC243" s="86"/>
      <c r="AD243" s="86"/>
    </row>
    <row r="244" spans="1:30" x14ac:dyDescent="0.25">
      <c r="A244" s="85"/>
      <c r="AA244" s="86"/>
      <c r="AB244" s="86"/>
      <c r="AC244" s="86"/>
      <c r="AD244" s="86"/>
    </row>
    <row r="245" spans="1:30" x14ac:dyDescent="0.25">
      <c r="A245" s="85"/>
      <c r="AA245" s="86"/>
      <c r="AB245" s="86"/>
      <c r="AC245" s="86"/>
      <c r="AD245" s="86"/>
    </row>
    <row r="246" spans="1:30" x14ac:dyDescent="0.25">
      <c r="A246" s="85"/>
      <c r="AA246" s="86"/>
      <c r="AB246" s="86"/>
      <c r="AC246" s="86"/>
      <c r="AD246" s="86"/>
    </row>
    <row r="247" spans="1:30" x14ac:dyDescent="0.25">
      <c r="A247" s="85"/>
      <c r="AA247" s="86"/>
      <c r="AB247" s="86"/>
      <c r="AC247" s="86"/>
      <c r="AD247" s="86"/>
    </row>
    <row r="248" spans="1:30" x14ac:dyDescent="0.25">
      <c r="A248" s="85"/>
      <c r="AA248" s="86"/>
      <c r="AB248" s="86"/>
      <c r="AC248" s="86"/>
      <c r="AD248" s="86"/>
    </row>
    <row r="249" spans="1:30" x14ac:dyDescent="0.25">
      <c r="A249" s="85"/>
      <c r="AA249" s="86"/>
      <c r="AB249" s="86"/>
      <c r="AC249" s="86"/>
      <c r="AD249" s="86"/>
    </row>
    <row r="250" spans="1:30" x14ac:dyDescent="0.25">
      <c r="A250" s="85"/>
      <c r="AA250" s="86"/>
      <c r="AB250" s="86"/>
      <c r="AC250" s="86"/>
      <c r="AD250" s="86"/>
    </row>
    <row r="251" spans="1:30" x14ac:dyDescent="0.25">
      <c r="A251" s="85"/>
      <c r="AA251" s="86"/>
      <c r="AB251" s="86"/>
      <c r="AC251" s="86"/>
      <c r="AD251" s="86"/>
    </row>
    <row r="252" spans="1:30" x14ac:dyDescent="0.25">
      <c r="A252" s="85"/>
      <c r="AA252" s="86"/>
      <c r="AB252" s="86"/>
      <c r="AC252" s="86"/>
      <c r="AD252" s="86"/>
    </row>
    <row r="253" spans="1:30" x14ac:dyDescent="0.25">
      <c r="A253" s="85"/>
      <c r="AA253" s="86"/>
      <c r="AB253" s="86"/>
      <c r="AC253" s="86"/>
      <c r="AD253" s="86"/>
    </row>
    <row r="254" spans="1:30" x14ac:dyDescent="0.25">
      <c r="A254" s="85"/>
      <c r="AA254" s="86"/>
      <c r="AB254" s="86"/>
      <c r="AC254" s="86"/>
      <c r="AD254" s="86"/>
    </row>
    <row r="255" spans="1:30" x14ac:dyDescent="0.25">
      <c r="A255" s="85"/>
      <c r="AA255" s="86"/>
      <c r="AB255" s="86"/>
      <c r="AC255" s="86"/>
      <c r="AD255" s="86"/>
    </row>
    <row r="256" spans="1:30" x14ac:dyDescent="0.25">
      <c r="A256" s="85"/>
      <c r="AA256" s="86"/>
      <c r="AB256" s="86"/>
      <c r="AC256" s="86"/>
      <c r="AD256" s="86"/>
    </row>
    <row r="257" spans="1:30" x14ac:dyDescent="0.25">
      <c r="A257" s="85"/>
      <c r="AA257" s="86"/>
      <c r="AB257" s="86"/>
      <c r="AC257" s="86"/>
      <c r="AD257" s="86"/>
    </row>
    <row r="258" spans="1:30" x14ac:dyDescent="0.25">
      <c r="A258" s="85"/>
      <c r="AA258" s="86"/>
      <c r="AB258" s="86"/>
      <c r="AC258" s="86"/>
      <c r="AD258" s="86"/>
    </row>
    <row r="259" spans="1:30" x14ac:dyDescent="0.25">
      <c r="A259" s="85"/>
      <c r="AA259" s="86"/>
      <c r="AB259" s="86"/>
      <c r="AC259" s="86"/>
      <c r="AD259" s="86"/>
    </row>
    <row r="260" spans="1:30" x14ac:dyDescent="0.25">
      <c r="A260" s="85"/>
      <c r="AA260" s="86"/>
      <c r="AB260" s="86"/>
      <c r="AC260" s="86"/>
      <c r="AD260" s="86"/>
    </row>
    <row r="261" spans="1:30" x14ac:dyDescent="0.25">
      <c r="A261" s="85"/>
      <c r="AA261" s="86"/>
      <c r="AB261" s="86"/>
      <c r="AC261" s="86"/>
      <c r="AD261" s="86"/>
    </row>
    <row r="262" spans="1:30" x14ac:dyDescent="0.25">
      <c r="A262" s="85"/>
      <c r="AA262" s="86"/>
      <c r="AB262" s="86"/>
      <c r="AC262" s="86"/>
      <c r="AD262" s="86"/>
    </row>
    <row r="263" spans="1:30" x14ac:dyDescent="0.25">
      <c r="A263" s="85"/>
      <c r="AA263" s="86"/>
      <c r="AB263" s="86"/>
      <c r="AC263" s="86"/>
      <c r="AD263" s="86"/>
    </row>
    <row r="264" spans="1:30" x14ac:dyDescent="0.25">
      <c r="A264" s="85"/>
      <c r="AA264" s="86"/>
      <c r="AB264" s="86"/>
      <c r="AC264" s="86"/>
      <c r="AD264" s="86"/>
    </row>
    <row r="265" spans="1:30" x14ac:dyDescent="0.25">
      <c r="A265" s="85"/>
      <c r="AA265" s="86"/>
      <c r="AB265" s="86"/>
      <c r="AC265" s="86"/>
      <c r="AD265" s="86"/>
    </row>
    <row r="266" spans="1:30" x14ac:dyDescent="0.25">
      <c r="A266" s="85"/>
      <c r="AA266" s="86"/>
      <c r="AB266" s="86"/>
      <c r="AC266" s="86"/>
      <c r="AD266" s="86"/>
    </row>
    <row r="267" spans="1:30" x14ac:dyDescent="0.25">
      <c r="A267" s="85"/>
      <c r="AA267" s="86"/>
      <c r="AB267" s="86"/>
      <c r="AC267" s="86"/>
      <c r="AD267" s="86"/>
    </row>
    <row r="268" spans="1:30" x14ac:dyDescent="0.25">
      <c r="A268" s="85"/>
      <c r="AA268" s="86"/>
      <c r="AB268" s="86"/>
      <c r="AC268" s="86"/>
      <c r="AD268" s="86"/>
    </row>
    <row r="269" spans="1:30" x14ac:dyDescent="0.25">
      <c r="A269" s="85"/>
      <c r="AA269" s="86"/>
      <c r="AB269" s="86"/>
      <c r="AC269" s="86"/>
      <c r="AD269" s="86"/>
    </row>
    <row r="270" spans="1:30" x14ac:dyDescent="0.25">
      <c r="A270" s="85"/>
      <c r="AA270" s="86"/>
      <c r="AB270" s="86"/>
      <c r="AC270" s="86"/>
      <c r="AD270" s="86"/>
    </row>
    <row r="271" spans="1:30" x14ac:dyDescent="0.25">
      <c r="A271" s="85"/>
      <c r="AA271" s="86"/>
      <c r="AB271" s="86"/>
      <c r="AC271" s="86"/>
      <c r="AD271" s="86"/>
    </row>
    <row r="272" spans="1:30" x14ac:dyDescent="0.25">
      <c r="A272" s="85"/>
      <c r="AA272" s="86"/>
      <c r="AB272" s="86"/>
      <c r="AC272" s="86"/>
      <c r="AD272" s="86"/>
    </row>
    <row r="273" spans="1:30" x14ac:dyDescent="0.25">
      <c r="A273" s="85"/>
      <c r="AA273" s="86"/>
      <c r="AB273" s="86"/>
      <c r="AC273" s="86"/>
      <c r="AD273" s="86"/>
    </row>
    <row r="274" spans="1:30" x14ac:dyDescent="0.25">
      <c r="A274" s="85"/>
      <c r="AA274" s="86"/>
      <c r="AB274" s="86"/>
      <c r="AC274" s="86"/>
      <c r="AD274" s="86"/>
    </row>
    <row r="275" spans="1:30" x14ac:dyDescent="0.25">
      <c r="A275" s="85"/>
      <c r="AA275" s="86"/>
      <c r="AB275" s="86"/>
      <c r="AC275" s="86"/>
      <c r="AD275" s="86"/>
    </row>
    <row r="276" spans="1:30" x14ac:dyDescent="0.25">
      <c r="A276" s="85"/>
      <c r="AA276" s="86"/>
      <c r="AB276" s="86"/>
      <c r="AC276" s="86"/>
      <c r="AD276" s="86"/>
    </row>
    <row r="277" spans="1:30" x14ac:dyDescent="0.25">
      <c r="A277" s="85"/>
      <c r="AA277" s="86"/>
      <c r="AB277" s="86"/>
      <c r="AC277" s="86"/>
      <c r="AD277" s="86"/>
    </row>
    <row r="278" spans="1:30" x14ac:dyDescent="0.25">
      <c r="A278" s="85"/>
      <c r="AA278" s="86"/>
      <c r="AB278" s="86"/>
      <c r="AC278" s="86"/>
      <c r="AD278" s="86"/>
    </row>
    <row r="279" spans="1:30" x14ac:dyDescent="0.25">
      <c r="A279" s="85"/>
      <c r="AA279" s="86"/>
      <c r="AB279" s="86"/>
      <c r="AC279" s="86"/>
      <c r="AD279" s="86"/>
    </row>
    <row r="280" spans="1:30" x14ac:dyDescent="0.25">
      <c r="A280" s="85"/>
      <c r="AA280" s="86"/>
      <c r="AB280" s="86"/>
      <c r="AC280" s="86"/>
      <c r="AD280" s="86"/>
    </row>
    <row r="281" spans="1:30" x14ac:dyDescent="0.25">
      <c r="A281" s="85"/>
      <c r="AA281" s="86"/>
      <c r="AB281" s="86"/>
      <c r="AC281" s="86"/>
      <c r="AD281" s="86"/>
    </row>
    <row r="282" spans="1:30" x14ac:dyDescent="0.25">
      <c r="A282" s="85"/>
      <c r="AA282" s="86"/>
      <c r="AB282" s="86"/>
      <c r="AC282" s="86"/>
      <c r="AD282" s="86"/>
    </row>
    <row r="283" spans="1:30" x14ac:dyDescent="0.25">
      <c r="A283" s="85"/>
      <c r="AA283" s="86"/>
      <c r="AB283" s="86"/>
      <c r="AC283" s="86"/>
      <c r="AD283" s="86"/>
    </row>
    <row r="284" spans="1:30" x14ac:dyDescent="0.25">
      <c r="A284" s="85"/>
      <c r="AA284" s="86"/>
      <c r="AB284" s="86"/>
      <c r="AC284" s="86"/>
      <c r="AD284" s="86"/>
    </row>
    <row r="285" spans="1:30" x14ac:dyDescent="0.25">
      <c r="A285" s="85"/>
      <c r="AA285" s="86"/>
      <c r="AB285" s="86"/>
      <c r="AC285" s="86"/>
      <c r="AD285" s="86"/>
    </row>
    <row r="286" spans="1:30" x14ac:dyDescent="0.25">
      <c r="A286" s="85"/>
      <c r="AA286" s="86"/>
      <c r="AB286" s="86"/>
      <c r="AC286" s="86"/>
      <c r="AD286" s="86"/>
    </row>
    <row r="287" spans="1:30" x14ac:dyDescent="0.25">
      <c r="A287" s="85"/>
      <c r="AA287" s="86"/>
      <c r="AB287" s="86"/>
      <c r="AC287" s="86"/>
      <c r="AD287" s="86"/>
    </row>
    <row r="288" spans="1:30" x14ac:dyDescent="0.25">
      <c r="A288" s="85"/>
      <c r="AA288" s="86"/>
      <c r="AB288" s="86"/>
      <c r="AC288" s="86"/>
      <c r="AD288" s="86"/>
    </row>
    <row r="289" spans="1:30" x14ac:dyDescent="0.25">
      <c r="A289" s="85"/>
      <c r="AA289" s="86"/>
      <c r="AB289" s="86"/>
      <c r="AC289" s="86"/>
      <c r="AD289" s="86"/>
    </row>
    <row r="290" spans="1:30" x14ac:dyDescent="0.25">
      <c r="A290" s="85"/>
      <c r="AA290" s="86"/>
      <c r="AB290" s="86"/>
      <c r="AC290" s="86"/>
      <c r="AD290" s="86"/>
    </row>
    <row r="291" spans="1:30" x14ac:dyDescent="0.25">
      <c r="A291" s="85"/>
      <c r="AA291" s="86"/>
      <c r="AB291" s="86"/>
      <c r="AC291" s="86"/>
      <c r="AD291" s="86"/>
    </row>
    <row r="292" spans="1:30" x14ac:dyDescent="0.25">
      <c r="A292" s="85"/>
      <c r="AA292" s="86"/>
      <c r="AB292" s="86"/>
      <c r="AC292" s="86"/>
      <c r="AD292" s="86"/>
    </row>
    <row r="293" spans="1:30" x14ac:dyDescent="0.25">
      <c r="A293" s="85"/>
      <c r="AA293" s="86"/>
      <c r="AB293" s="86"/>
      <c r="AC293" s="86"/>
      <c r="AD293" s="86"/>
    </row>
    <row r="294" spans="1:30" x14ac:dyDescent="0.25">
      <c r="A294" s="85"/>
      <c r="AA294" s="86"/>
      <c r="AB294" s="86"/>
      <c r="AC294" s="86"/>
      <c r="AD294" s="86"/>
    </row>
    <row r="295" spans="1:30" x14ac:dyDescent="0.25">
      <c r="A295" s="85"/>
      <c r="AA295" s="86"/>
      <c r="AB295" s="86"/>
      <c r="AC295" s="86"/>
      <c r="AD295" s="86"/>
    </row>
    <row r="296" spans="1:30" x14ac:dyDescent="0.25">
      <c r="A296" s="85"/>
      <c r="AA296" s="86"/>
      <c r="AB296" s="86"/>
      <c r="AC296" s="86"/>
      <c r="AD296" s="86"/>
    </row>
    <row r="297" spans="1:30" x14ac:dyDescent="0.25">
      <c r="A297" s="85"/>
      <c r="AA297" s="86"/>
      <c r="AB297" s="86"/>
      <c r="AC297" s="86"/>
      <c r="AD297" s="86"/>
    </row>
    <row r="298" spans="1:30" x14ac:dyDescent="0.25">
      <c r="A298" s="85"/>
      <c r="AA298" s="86"/>
      <c r="AB298" s="86"/>
      <c r="AC298" s="86"/>
      <c r="AD298" s="86"/>
    </row>
    <row r="299" spans="1:30" x14ac:dyDescent="0.25">
      <c r="A299" s="85"/>
      <c r="AA299" s="86"/>
      <c r="AB299" s="86"/>
      <c r="AC299" s="86"/>
      <c r="AD299" s="86"/>
    </row>
    <row r="300" spans="1:30" x14ac:dyDescent="0.25">
      <c r="A300" s="85"/>
      <c r="AA300" s="86"/>
      <c r="AB300" s="86"/>
      <c r="AC300" s="86"/>
      <c r="AD300" s="86"/>
    </row>
    <row r="301" spans="1:30" x14ac:dyDescent="0.25">
      <c r="A301" s="85"/>
      <c r="AA301" s="86"/>
      <c r="AB301" s="86"/>
      <c r="AC301" s="86"/>
      <c r="AD301" s="86"/>
    </row>
    <row r="302" spans="1:30" x14ac:dyDescent="0.25">
      <c r="A302" s="85"/>
      <c r="AA302" s="86"/>
      <c r="AB302" s="86"/>
      <c r="AC302" s="86"/>
      <c r="AD302" s="86"/>
    </row>
    <row r="303" spans="1:30" x14ac:dyDescent="0.25">
      <c r="A303" s="85"/>
      <c r="AA303" s="86"/>
      <c r="AB303" s="86"/>
      <c r="AC303" s="86"/>
      <c r="AD303" s="86"/>
    </row>
    <row r="304" spans="1:30" x14ac:dyDescent="0.25">
      <c r="A304" s="85"/>
      <c r="AA304" s="86"/>
      <c r="AB304" s="86"/>
      <c r="AC304" s="86"/>
      <c r="AD304" s="86"/>
    </row>
    <row r="305" spans="1:30" x14ac:dyDescent="0.25">
      <c r="A305" s="85"/>
      <c r="AA305" s="86"/>
      <c r="AB305" s="86"/>
      <c r="AC305" s="86"/>
      <c r="AD305" s="86"/>
    </row>
    <row r="306" spans="1:30" x14ac:dyDescent="0.25">
      <c r="A306" s="85"/>
      <c r="AA306" s="86"/>
      <c r="AB306" s="86"/>
      <c r="AC306" s="86"/>
      <c r="AD306" s="86"/>
    </row>
    <row r="307" spans="1:30" x14ac:dyDescent="0.25">
      <c r="A307" s="85"/>
      <c r="AA307" s="86"/>
      <c r="AB307" s="86"/>
      <c r="AC307" s="86"/>
      <c r="AD307" s="86"/>
    </row>
    <row r="308" spans="1:30" x14ac:dyDescent="0.25">
      <c r="A308" s="85"/>
      <c r="AA308" s="86"/>
      <c r="AB308" s="86"/>
      <c r="AC308" s="86"/>
      <c r="AD308" s="86"/>
    </row>
    <row r="309" spans="1:30" x14ac:dyDescent="0.25">
      <c r="A309" s="85"/>
      <c r="AA309" s="86"/>
      <c r="AB309" s="86"/>
      <c r="AC309" s="86"/>
      <c r="AD309" s="86"/>
    </row>
    <row r="310" spans="1:30" x14ac:dyDescent="0.25">
      <c r="A310" s="85"/>
      <c r="AA310" s="86"/>
      <c r="AB310" s="86"/>
      <c r="AC310" s="86"/>
      <c r="AD310" s="86"/>
    </row>
    <row r="311" spans="1:30" x14ac:dyDescent="0.25">
      <c r="A311" s="85"/>
      <c r="AA311" s="86"/>
      <c r="AB311" s="86"/>
      <c r="AC311" s="86"/>
      <c r="AD311" s="86"/>
    </row>
    <row r="312" spans="1:30" x14ac:dyDescent="0.25">
      <c r="A312" s="85"/>
      <c r="AA312" s="86"/>
      <c r="AB312" s="86"/>
      <c r="AC312" s="86"/>
      <c r="AD312" s="86"/>
    </row>
    <row r="313" spans="1:30" x14ac:dyDescent="0.25">
      <c r="A313" s="85"/>
      <c r="AA313" s="86"/>
      <c r="AB313" s="86"/>
      <c r="AC313" s="86"/>
      <c r="AD313" s="86"/>
    </row>
    <row r="314" spans="1:30" x14ac:dyDescent="0.25">
      <c r="A314" s="85"/>
      <c r="AA314" s="86"/>
      <c r="AB314" s="86"/>
      <c r="AC314" s="86"/>
      <c r="AD314" s="86"/>
    </row>
    <row r="315" spans="1:30" x14ac:dyDescent="0.25">
      <c r="A315" s="85"/>
      <c r="AA315" s="86"/>
      <c r="AB315" s="86"/>
      <c r="AC315" s="86"/>
      <c r="AD315" s="86"/>
    </row>
    <row r="316" spans="1:30" x14ac:dyDescent="0.25">
      <c r="A316" s="85"/>
      <c r="AA316" s="86"/>
      <c r="AB316" s="86"/>
      <c r="AC316" s="86"/>
      <c r="AD316" s="86"/>
    </row>
    <row r="317" spans="1:30" x14ac:dyDescent="0.25">
      <c r="A317" s="85"/>
      <c r="AA317" s="86"/>
      <c r="AB317" s="86"/>
      <c r="AC317" s="86"/>
      <c r="AD317" s="86"/>
    </row>
    <row r="318" spans="1:30" x14ac:dyDescent="0.25">
      <c r="A318" s="85"/>
      <c r="AA318" s="86"/>
      <c r="AB318" s="86"/>
      <c r="AC318" s="86"/>
      <c r="AD318" s="86"/>
    </row>
    <row r="319" spans="1:30" x14ac:dyDescent="0.25">
      <c r="A319" s="85"/>
      <c r="AA319" s="86"/>
      <c r="AB319" s="86"/>
      <c r="AC319" s="86"/>
      <c r="AD319" s="86"/>
    </row>
    <row r="320" spans="1:30" x14ac:dyDescent="0.25">
      <c r="A320" s="85"/>
      <c r="AA320" s="86"/>
      <c r="AB320" s="86"/>
      <c r="AC320" s="86"/>
      <c r="AD320" s="86"/>
    </row>
    <row r="321" spans="1:30" x14ac:dyDescent="0.25">
      <c r="A321" s="85"/>
      <c r="AA321" s="86"/>
      <c r="AB321" s="86"/>
      <c r="AC321" s="86"/>
      <c r="AD321" s="86"/>
    </row>
    <row r="322" spans="1:30" x14ac:dyDescent="0.25">
      <c r="A322" s="85"/>
      <c r="AA322" s="86"/>
      <c r="AB322" s="86"/>
      <c r="AC322" s="86"/>
      <c r="AD322" s="86"/>
    </row>
    <row r="323" spans="1:30" x14ac:dyDescent="0.25">
      <c r="A323" s="85"/>
      <c r="AA323" s="86"/>
      <c r="AB323" s="86"/>
      <c r="AC323" s="86"/>
      <c r="AD323" s="86"/>
    </row>
    <row r="324" spans="1:30" x14ac:dyDescent="0.25">
      <c r="A324" s="85"/>
      <c r="AA324" s="86"/>
      <c r="AB324" s="86"/>
      <c r="AC324" s="86"/>
      <c r="AD324" s="86"/>
    </row>
    <row r="325" spans="1:30" x14ac:dyDescent="0.25">
      <c r="A325" s="85"/>
      <c r="AA325" s="86"/>
      <c r="AB325" s="86"/>
      <c r="AC325" s="86"/>
      <c r="AD325" s="86"/>
    </row>
    <row r="326" spans="1:30" x14ac:dyDescent="0.25">
      <c r="A326" s="85"/>
      <c r="AA326" s="86"/>
      <c r="AB326" s="86"/>
      <c r="AC326" s="86"/>
      <c r="AD326" s="86"/>
    </row>
    <row r="327" spans="1:30" x14ac:dyDescent="0.25">
      <c r="A327" s="85"/>
      <c r="AA327" s="86"/>
      <c r="AB327" s="86"/>
      <c r="AC327" s="86"/>
      <c r="AD327" s="86"/>
    </row>
    <row r="328" spans="1:30" x14ac:dyDescent="0.25">
      <c r="A328" s="85"/>
      <c r="AA328" s="86"/>
      <c r="AB328" s="86"/>
      <c r="AC328" s="86"/>
      <c r="AD328" s="86"/>
    </row>
    <row r="329" spans="1:30" x14ac:dyDescent="0.25">
      <c r="A329" s="85"/>
      <c r="AA329" s="86"/>
      <c r="AB329" s="86"/>
      <c r="AC329" s="86"/>
      <c r="AD329" s="86"/>
    </row>
    <row r="330" spans="1:30" x14ac:dyDescent="0.25">
      <c r="A330" s="85"/>
      <c r="AA330" s="86"/>
      <c r="AB330" s="86"/>
      <c r="AC330" s="86"/>
      <c r="AD330" s="86"/>
    </row>
    <row r="331" spans="1:30" x14ac:dyDescent="0.25">
      <c r="A331" s="85"/>
      <c r="AA331" s="86"/>
      <c r="AB331" s="86"/>
      <c r="AC331" s="86"/>
      <c r="AD331" s="86"/>
    </row>
    <row r="332" spans="1:30" x14ac:dyDescent="0.25">
      <c r="A332" s="85"/>
      <c r="AA332" s="86"/>
      <c r="AB332" s="86"/>
      <c r="AC332" s="86"/>
      <c r="AD332" s="86"/>
    </row>
    <row r="333" spans="1:30" x14ac:dyDescent="0.25">
      <c r="A333" s="85"/>
      <c r="AA333" s="86"/>
      <c r="AB333" s="86"/>
      <c r="AC333" s="86"/>
      <c r="AD333" s="86"/>
    </row>
    <row r="334" spans="1:30" x14ac:dyDescent="0.25">
      <c r="A334" s="85"/>
      <c r="AA334" s="86"/>
      <c r="AB334" s="86"/>
      <c r="AC334" s="86"/>
      <c r="AD334" s="86"/>
    </row>
    <row r="335" spans="1:30" x14ac:dyDescent="0.25">
      <c r="A335" s="85"/>
      <c r="AA335" s="86"/>
      <c r="AB335" s="86"/>
      <c r="AC335" s="86"/>
      <c r="AD335" s="86"/>
    </row>
    <row r="336" spans="1:30" x14ac:dyDescent="0.25">
      <c r="A336" s="85"/>
      <c r="AA336" s="86"/>
      <c r="AB336" s="86"/>
      <c r="AC336" s="86"/>
      <c r="AD336" s="86"/>
    </row>
    <row r="337" spans="1:30" x14ac:dyDescent="0.25">
      <c r="A337" s="85"/>
      <c r="AA337" s="86"/>
      <c r="AB337" s="86"/>
      <c r="AC337" s="86"/>
      <c r="AD337" s="86"/>
    </row>
    <row r="338" spans="1:30" x14ac:dyDescent="0.25">
      <c r="A338" s="85"/>
      <c r="AA338" s="86"/>
      <c r="AB338" s="86"/>
      <c r="AC338" s="86"/>
      <c r="AD338" s="86"/>
    </row>
    <row r="339" spans="1:30" x14ac:dyDescent="0.25">
      <c r="A339" s="85"/>
      <c r="AA339" s="86"/>
      <c r="AB339" s="86"/>
      <c r="AC339" s="86"/>
      <c r="AD339" s="86"/>
    </row>
    <row r="340" spans="1:30" x14ac:dyDescent="0.25">
      <c r="A340" s="85"/>
      <c r="AA340" s="86"/>
      <c r="AB340" s="86"/>
      <c r="AC340" s="86"/>
      <c r="AD340" s="86"/>
    </row>
    <row r="341" spans="1:30" x14ac:dyDescent="0.25">
      <c r="A341" s="85"/>
      <c r="AA341" s="86"/>
      <c r="AB341" s="86"/>
      <c r="AC341" s="86"/>
      <c r="AD341" s="86"/>
    </row>
    <row r="342" spans="1:30" x14ac:dyDescent="0.25">
      <c r="A342" s="85"/>
      <c r="AA342" s="86"/>
      <c r="AB342" s="86"/>
      <c r="AC342" s="86"/>
      <c r="AD342" s="86"/>
    </row>
    <row r="343" spans="1:30" x14ac:dyDescent="0.25">
      <c r="A343" s="85"/>
      <c r="AA343" s="86"/>
      <c r="AB343" s="86"/>
      <c r="AC343" s="86"/>
      <c r="AD343" s="86"/>
    </row>
    <row r="344" spans="1:30" x14ac:dyDescent="0.25">
      <c r="A344" s="85"/>
      <c r="AA344" s="86"/>
      <c r="AB344" s="86"/>
      <c r="AC344" s="86"/>
      <c r="AD344" s="86"/>
    </row>
    <row r="345" spans="1:30" x14ac:dyDescent="0.25">
      <c r="A345" s="85"/>
      <c r="AA345" s="86"/>
      <c r="AB345" s="86"/>
      <c r="AC345" s="86"/>
      <c r="AD345" s="86"/>
    </row>
    <row r="346" spans="1:30" x14ac:dyDescent="0.25">
      <c r="A346" s="85"/>
      <c r="AA346" s="86"/>
      <c r="AB346" s="86"/>
      <c r="AC346" s="86"/>
      <c r="AD346" s="86"/>
    </row>
    <row r="347" spans="1:30" x14ac:dyDescent="0.25">
      <c r="A347" s="85"/>
      <c r="AA347" s="86"/>
      <c r="AB347" s="86"/>
      <c r="AC347" s="86"/>
      <c r="AD347" s="86"/>
    </row>
    <row r="348" spans="1:30" x14ac:dyDescent="0.25">
      <c r="A348" s="85"/>
      <c r="AA348" s="86"/>
      <c r="AB348" s="86"/>
      <c r="AC348" s="86"/>
      <c r="AD348" s="86"/>
    </row>
    <row r="349" spans="1:30" x14ac:dyDescent="0.25">
      <c r="A349" s="85"/>
      <c r="AA349" s="86"/>
      <c r="AB349" s="86"/>
      <c r="AC349" s="86"/>
      <c r="AD349" s="86"/>
    </row>
    <row r="350" spans="1:30" x14ac:dyDescent="0.25">
      <c r="A350" s="85"/>
      <c r="AA350" s="86"/>
      <c r="AB350" s="86"/>
      <c r="AC350" s="86"/>
      <c r="AD350" s="86"/>
    </row>
    <row r="351" spans="1:30" x14ac:dyDescent="0.25">
      <c r="A351" s="85"/>
      <c r="AA351" s="86"/>
      <c r="AB351" s="86"/>
      <c r="AC351" s="86"/>
      <c r="AD351" s="86"/>
    </row>
    <row r="352" spans="1:30" x14ac:dyDescent="0.25">
      <c r="A352" s="85"/>
      <c r="AA352" s="86"/>
      <c r="AB352" s="86"/>
      <c r="AC352" s="86"/>
      <c r="AD352" s="86"/>
    </row>
    <row r="353" spans="1:30" x14ac:dyDescent="0.25">
      <c r="A353" s="85"/>
      <c r="AA353" s="86"/>
      <c r="AB353" s="86"/>
      <c r="AC353" s="86"/>
      <c r="AD353" s="86"/>
    </row>
    <row r="354" spans="1:30" x14ac:dyDescent="0.25">
      <c r="A354" s="85"/>
      <c r="AA354" s="86"/>
      <c r="AB354" s="86"/>
      <c r="AC354" s="86"/>
      <c r="AD354" s="86"/>
    </row>
    <row r="355" spans="1:30" x14ac:dyDescent="0.25">
      <c r="A355" s="85"/>
      <c r="AA355" s="86"/>
      <c r="AB355" s="86"/>
      <c r="AC355" s="86"/>
      <c r="AD355" s="86"/>
    </row>
    <row r="356" spans="1:30" x14ac:dyDescent="0.25">
      <c r="A356" s="85"/>
      <c r="AA356" s="86"/>
      <c r="AB356" s="86"/>
      <c r="AC356" s="86"/>
      <c r="AD356" s="86"/>
    </row>
    <row r="357" spans="1:30" x14ac:dyDescent="0.25">
      <c r="A357" s="85"/>
      <c r="AA357" s="86"/>
      <c r="AB357" s="86"/>
      <c r="AC357" s="86"/>
      <c r="AD357" s="86"/>
    </row>
    <row r="358" spans="1:30" x14ac:dyDescent="0.25">
      <c r="A358" s="85"/>
      <c r="AA358" s="86"/>
      <c r="AB358" s="86"/>
      <c r="AC358" s="86"/>
      <c r="AD358" s="86"/>
    </row>
    <row r="359" spans="1:30" x14ac:dyDescent="0.25">
      <c r="A359" s="85"/>
      <c r="AA359" s="86"/>
      <c r="AB359" s="86"/>
      <c r="AC359" s="86"/>
      <c r="AD359" s="86"/>
    </row>
    <row r="360" spans="1:30" x14ac:dyDescent="0.25">
      <c r="A360" s="85"/>
      <c r="AA360" s="86"/>
      <c r="AB360" s="86"/>
      <c r="AC360" s="86"/>
      <c r="AD360" s="86"/>
    </row>
    <row r="361" spans="1:30" x14ac:dyDescent="0.25">
      <c r="A361" s="85"/>
      <c r="AA361" s="86"/>
      <c r="AB361" s="86"/>
      <c r="AC361" s="86"/>
      <c r="AD361" s="86"/>
    </row>
    <row r="362" spans="1:30" x14ac:dyDescent="0.25">
      <c r="A362" s="85"/>
      <c r="AA362" s="86"/>
      <c r="AB362" s="86"/>
      <c r="AC362" s="86"/>
      <c r="AD362" s="86"/>
    </row>
    <row r="363" spans="1:30" x14ac:dyDescent="0.25">
      <c r="A363" s="85"/>
      <c r="AA363" s="86"/>
      <c r="AB363" s="86"/>
      <c r="AC363" s="86"/>
      <c r="AD363" s="86"/>
    </row>
    <row r="364" spans="1:30" x14ac:dyDescent="0.25">
      <c r="A364" s="85"/>
      <c r="AA364" s="86"/>
      <c r="AB364" s="86"/>
      <c r="AC364" s="86"/>
      <c r="AD364" s="86"/>
    </row>
    <row r="365" spans="1:30" x14ac:dyDescent="0.25">
      <c r="A365" s="85"/>
      <c r="AA365" s="86"/>
      <c r="AB365" s="86"/>
      <c r="AC365" s="86"/>
      <c r="AD365" s="86"/>
    </row>
    <row r="366" spans="1:30" x14ac:dyDescent="0.25">
      <c r="A366" s="85"/>
      <c r="AA366" s="86"/>
      <c r="AB366" s="86"/>
      <c r="AC366" s="86"/>
      <c r="AD366" s="86"/>
    </row>
    <row r="367" spans="1:30" x14ac:dyDescent="0.25">
      <c r="A367" s="85"/>
      <c r="AA367" s="86"/>
      <c r="AB367" s="86"/>
      <c r="AC367" s="86"/>
      <c r="AD367" s="86"/>
    </row>
    <row r="368" spans="1:30" x14ac:dyDescent="0.25">
      <c r="A368" s="85"/>
      <c r="AA368" s="86"/>
      <c r="AB368" s="86"/>
      <c r="AC368" s="86"/>
      <c r="AD368" s="86"/>
    </row>
    <row r="369" spans="1:30" x14ac:dyDescent="0.25">
      <c r="A369" s="85"/>
      <c r="AA369" s="86"/>
      <c r="AB369" s="86"/>
      <c r="AC369" s="86"/>
      <c r="AD369" s="86"/>
    </row>
    <row r="370" spans="1:30" x14ac:dyDescent="0.25">
      <c r="A370" s="85"/>
      <c r="AA370" s="86"/>
      <c r="AB370" s="86"/>
      <c r="AC370" s="86"/>
      <c r="AD370" s="86"/>
    </row>
    <row r="371" spans="1:30" x14ac:dyDescent="0.25">
      <c r="A371" s="85"/>
      <c r="AA371" s="86"/>
      <c r="AB371" s="86"/>
      <c r="AC371" s="86"/>
      <c r="AD371" s="86"/>
    </row>
    <row r="372" spans="1:30" x14ac:dyDescent="0.25">
      <c r="A372" s="85"/>
      <c r="AA372" s="86"/>
      <c r="AB372" s="86"/>
      <c r="AC372" s="86"/>
      <c r="AD372" s="86"/>
    </row>
    <row r="373" spans="1:30" x14ac:dyDescent="0.25">
      <c r="A373" s="85"/>
      <c r="AA373" s="86"/>
      <c r="AB373" s="86"/>
      <c r="AC373" s="86"/>
      <c r="AD373" s="86"/>
    </row>
    <row r="374" spans="1:30" x14ac:dyDescent="0.25">
      <c r="A374" s="85"/>
      <c r="AA374" s="86"/>
      <c r="AB374" s="86"/>
      <c r="AC374" s="86"/>
      <c r="AD374" s="86"/>
    </row>
    <row r="375" spans="1:30" x14ac:dyDescent="0.25">
      <c r="A375" s="85"/>
      <c r="AA375" s="86"/>
      <c r="AB375" s="86"/>
      <c r="AC375" s="86"/>
      <c r="AD375" s="86"/>
    </row>
    <row r="376" spans="1:30" x14ac:dyDescent="0.25">
      <c r="A376" s="85"/>
      <c r="AA376" s="86"/>
      <c r="AB376" s="86"/>
      <c r="AC376" s="86"/>
      <c r="AD376" s="86"/>
    </row>
    <row r="377" spans="1:30" x14ac:dyDescent="0.25">
      <c r="A377" s="85"/>
      <c r="AA377" s="86"/>
      <c r="AB377" s="86"/>
      <c r="AC377" s="86"/>
      <c r="AD377" s="86"/>
    </row>
    <row r="378" spans="1:30" x14ac:dyDescent="0.25">
      <c r="A378" s="85"/>
      <c r="AA378" s="86"/>
      <c r="AB378" s="86"/>
      <c r="AC378" s="86"/>
      <c r="AD378" s="86"/>
    </row>
    <row r="379" spans="1:30" x14ac:dyDescent="0.25">
      <c r="A379" s="85"/>
      <c r="AA379" s="86"/>
      <c r="AB379" s="86"/>
      <c r="AC379" s="86"/>
      <c r="AD379" s="86"/>
    </row>
    <row r="380" spans="1:30" x14ac:dyDescent="0.25">
      <c r="A380" s="85"/>
      <c r="AA380" s="86"/>
      <c r="AB380" s="86"/>
      <c r="AC380" s="86"/>
      <c r="AD380" s="86"/>
    </row>
    <row r="381" spans="1:30" x14ac:dyDescent="0.25">
      <c r="A381" s="85"/>
      <c r="AA381" s="86"/>
      <c r="AB381" s="86"/>
      <c r="AC381" s="86"/>
      <c r="AD381" s="86"/>
    </row>
    <row r="382" spans="1:30" x14ac:dyDescent="0.25">
      <c r="A382" s="85"/>
      <c r="AA382" s="86"/>
      <c r="AB382" s="86"/>
      <c r="AC382" s="86"/>
      <c r="AD382" s="86"/>
    </row>
    <row r="383" spans="1:30" x14ac:dyDescent="0.25">
      <c r="A383" s="85"/>
      <c r="AA383" s="86"/>
      <c r="AB383" s="86"/>
      <c r="AC383" s="86"/>
      <c r="AD383" s="86"/>
    </row>
    <row r="384" spans="1:30" x14ac:dyDescent="0.25">
      <c r="A384" s="85"/>
      <c r="AA384" s="86"/>
      <c r="AB384" s="86"/>
      <c r="AC384" s="86"/>
      <c r="AD384" s="86"/>
    </row>
    <row r="385" spans="1:30" x14ac:dyDescent="0.25">
      <c r="A385" s="85"/>
      <c r="AA385" s="86"/>
      <c r="AB385" s="86"/>
      <c r="AC385" s="86"/>
      <c r="AD385" s="86"/>
    </row>
    <row r="386" spans="1:30" x14ac:dyDescent="0.25">
      <c r="A386" s="85"/>
      <c r="AA386" s="86"/>
      <c r="AB386" s="86"/>
      <c r="AC386" s="86"/>
      <c r="AD386" s="86"/>
    </row>
    <row r="387" spans="1:30" x14ac:dyDescent="0.25">
      <c r="A387" s="85"/>
      <c r="AA387" s="86"/>
      <c r="AB387" s="86"/>
      <c r="AC387" s="86"/>
      <c r="AD387" s="86"/>
    </row>
    <row r="388" spans="1:30" x14ac:dyDescent="0.25">
      <c r="A388" s="85"/>
      <c r="AA388" s="86"/>
      <c r="AB388" s="86"/>
      <c r="AC388" s="86"/>
      <c r="AD388" s="86"/>
    </row>
    <row r="389" spans="1:30" x14ac:dyDescent="0.25">
      <c r="A389" s="85"/>
      <c r="AA389" s="86"/>
      <c r="AB389" s="86"/>
      <c r="AC389" s="86"/>
      <c r="AD389" s="86"/>
    </row>
    <row r="390" spans="1:30" x14ac:dyDescent="0.25">
      <c r="A390" s="85"/>
      <c r="AA390" s="86"/>
      <c r="AB390" s="86"/>
      <c r="AC390" s="86"/>
      <c r="AD390" s="86"/>
    </row>
    <row r="391" spans="1:30" x14ac:dyDescent="0.25">
      <c r="A391" s="85"/>
      <c r="AA391" s="86"/>
      <c r="AB391" s="86"/>
      <c r="AC391" s="86"/>
      <c r="AD391" s="86"/>
    </row>
    <row r="392" spans="1:30" x14ac:dyDescent="0.25">
      <c r="A392" s="85"/>
      <c r="AA392" s="86"/>
      <c r="AB392" s="86"/>
      <c r="AC392" s="86"/>
      <c r="AD392" s="86"/>
    </row>
    <row r="393" spans="1:30" x14ac:dyDescent="0.25">
      <c r="A393" s="85"/>
      <c r="AA393" s="86"/>
      <c r="AB393" s="86"/>
      <c r="AC393" s="86"/>
      <c r="AD393" s="86"/>
    </row>
    <row r="394" spans="1:30" x14ac:dyDescent="0.25">
      <c r="A394" s="85"/>
      <c r="AA394" s="86"/>
      <c r="AB394" s="86"/>
      <c r="AC394" s="86"/>
      <c r="AD394" s="86"/>
    </row>
    <row r="395" spans="1:30" x14ac:dyDescent="0.25">
      <c r="A395" s="85"/>
      <c r="AA395" s="86"/>
      <c r="AB395" s="86"/>
      <c r="AC395" s="86"/>
      <c r="AD395" s="86"/>
    </row>
    <row r="396" spans="1:30" x14ac:dyDescent="0.25">
      <c r="A396" s="85"/>
      <c r="AA396" s="86"/>
      <c r="AB396" s="86"/>
      <c r="AC396" s="86"/>
      <c r="AD396" s="86"/>
    </row>
    <row r="397" spans="1:30" x14ac:dyDescent="0.25">
      <c r="A397" s="85"/>
      <c r="AA397" s="86"/>
      <c r="AB397" s="86"/>
      <c r="AC397" s="86"/>
      <c r="AD397" s="86"/>
    </row>
    <row r="398" spans="1:30" x14ac:dyDescent="0.25">
      <c r="A398" s="85"/>
      <c r="AA398" s="86"/>
      <c r="AB398" s="86"/>
      <c r="AC398" s="86"/>
      <c r="AD398" s="86"/>
    </row>
    <row r="399" spans="1:30" x14ac:dyDescent="0.25">
      <c r="A399" s="85"/>
      <c r="AA399" s="86"/>
      <c r="AB399" s="86"/>
      <c r="AC399" s="86"/>
      <c r="AD399" s="86"/>
    </row>
    <row r="400" spans="1:30" x14ac:dyDescent="0.25">
      <c r="A400" s="85"/>
      <c r="AA400" s="86"/>
      <c r="AB400" s="86"/>
      <c r="AC400" s="86"/>
      <c r="AD400" s="86"/>
    </row>
    <row r="401" spans="1:30" x14ac:dyDescent="0.25">
      <c r="A401" s="85"/>
      <c r="AA401" s="86"/>
      <c r="AB401" s="86"/>
      <c r="AC401" s="86"/>
      <c r="AD401" s="86"/>
    </row>
    <row r="402" spans="1:30" x14ac:dyDescent="0.25">
      <c r="A402" s="85"/>
      <c r="AA402" s="86"/>
      <c r="AB402" s="86"/>
      <c r="AC402" s="86"/>
      <c r="AD402" s="86"/>
    </row>
    <row r="403" spans="1:30" x14ac:dyDescent="0.25">
      <c r="A403" s="85"/>
      <c r="AA403" s="86"/>
      <c r="AB403" s="86"/>
      <c r="AC403" s="86"/>
      <c r="AD403" s="86"/>
    </row>
    <row r="404" spans="1:30" x14ac:dyDescent="0.25">
      <c r="A404" s="85"/>
      <c r="AA404" s="86"/>
      <c r="AB404" s="86"/>
      <c r="AC404" s="86"/>
      <c r="AD404" s="86"/>
    </row>
    <row r="405" spans="1:30" x14ac:dyDescent="0.25">
      <c r="A405" s="85"/>
      <c r="AA405" s="86"/>
      <c r="AB405" s="86"/>
      <c r="AC405" s="86"/>
      <c r="AD405" s="86"/>
    </row>
    <row r="406" spans="1:30" x14ac:dyDescent="0.25">
      <c r="A406" s="85"/>
      <c r="AA406" s="86"/>
      <c r="AB406" s="86"/>
      <c r="AC406" s="86"/>
      <c r="AD406" s="86"/>
    </row>
    <row r="407" spans="1:30" x14ac:dyDescent="0.25">
      <c r="A407" s="85"/>
      <c r="AA407" s="86"/>
      <c r="AB407" s="86"/>
      <c r="AC407" s="86"/>
      <c r="AD407" s="86"/>
    </row>
    <row r="408" spans="1:30" x14ac:dyDescent="0.25">
      <c r="A408" s="85"/>
      <c r="AA408" s="86"/>
      <c r="AB408" s="86"/>
      <c r="AC408" s="86"/>
      <c r="AD408" s="86"/>
    </row>
    <row r="409" spans="1:30" x14ac:dyDescent="0.25">
      <c r="A409" s="85"/>
      <c r="AA409" s="86"/>
      <c r="AB409" s="86"/>
      <c r="AC409" s="86"/>
      <c r="AD409" s="86"/>
    </row>
    <row r="410" spans="1:30" x14ac:dyDescent="0.25">
      <c r="A410" s="85"/>
      <c r="AA410" s="86"/>
      <c r="AB410" s="86"/>
      <c r="AC410" s="86"/>
      <c r="AD410" s="86"/>
    </row>
    <row r="411" spans="1:30" x14ac:dyDescent="0.25">
      <c r="A411" s="85"/>
      <c r="AA411" s="86"/>
      <c r="AB411" s="86"/>
      <c r="AC411" s="86"/>
      <c r="AD411" s="86"/>
    </row>
    <row r="412" spans="1:30" x14ac:dyDescent="0.25">
      <c r="A412" s="85"/>
      <c r="AA412" s="86"/>
      <c r="AB412" s="86"/>
      <c r="AC412" s="86"/>
      <c r="AD412" s="86"/>
    </row>
    <row r="413" spans="1:30" x14ac:dyDescent="0.25">
      <c r="A413" s="85"/>
      <c r="AA413" s="86"/>
      <c r="AB413" s="86"/>
      <c r="AC413" s="86"/>
      <c r="AD413" s="86"/>
    </row>
    <row r="414" spans="1:30" x14ac:dyDescent="0.25">
      <c r="A414" s="85"/>
      <c r="AA414" s="86"/>
      <c r="AB414" s="86"/>
      <c r="AC414" s="86"/>
      <c r="AD414" s="86"/>
    </row>
    <row r="415" spans="1:30" x14ac:dyDescent="0.25">
      <c r="A415" s="85"/>
      <c r="AA415" s="86"/>
      <c r="AB415" s="86"/>
      <c r="AC415" s="86"/>
      <c r="AD415" s="86"/>
    </row>
    <row r="416" spans="1:30" x14ac:dyDescent="0.25">
      <c r="A416" s="85"/>
      <c r="AA416" s="86"/>
      <c r="AB416" s="86"/>
      <c r="AC416" s="86"/>
      <c r="AD416" s="86"/>
    </row>
    <row r="417" spans="1:30" x14ac:dyDescent="0.25">
      <c r="A417" s="85"/>
      <c r="AA417" s="86"/>
      <c r="AB417" s="86"/>
      <c r="AC417" s="86"/>
      <c r="AD417" s="86"/>
    </row>
    <row r="418" spans="1:30" x14ac:dyDescent="0.25">
      <c r="A418" s="85"/>
      <c r="AA418" s="86"/>
      <c r="AB418" s="86"/>
      <c r="AC418" s="86"/>
      <c r="AD418" s="86"/>
    </row>
    <row r="419" spans="1:30" x14ac:dyDescent="0.25">
      <c r="A419" s="85"/>
      <c r="AA419" s="86"/>
      <c r="AB419" s="86"/>
      <c r="AC419" s="86"/>
      <c r="AD419" s="86"/>
    </row>
    <row r="420" spans="1:30" x14ac:dyDescent="0.25">
      <c r="A420" s="85"/>
      <c r="AA420" s="86"/>
      <c r="AB420" s="86"/>
      <c r="AC420" s="86"/>
      <c r="AD420" s="86"/>
    </row>
    <row r="421" spans="1:30" x14ac:dyDescent="0.25">
      <c r="A421" s="85"/>
      <c r="AA421" s="86"/>
      <c r="AB421" s="86"/>
      <c r="AC421" s="86"/>
      <c r="AD421" s="86"/>
    </row>
    <row r="422" spans="1:30" x14ac:dyDescent="0.25">
      <c r="A422" s="85"/>
      <c r="AA422" s="86"/>
      <c r="AB422" s="86"/>
      <c r="AC422" s="86"/>
      <c r="AD422" s="86"/>
    </row>
    <row r="423" spans="1:30" x14ac:dyDescent="0.25">
      <c r="A423" s="85"/>
      <c r="AA423" s="86"/>
      <c r="AB423" s="86"/>
      <c r="AC423" s="86"/>
      <c r="AD423" s="86"/>
    </row>
    <row r="424" spans="1:30" x14ac:dyDescent="0.25">
      <c r="A424" s="85"/>
      <c r="AA424" s="86"/>
      <c r="AB424" s="86"/>
      <c r="AC424" s="86"/>
      <c r="AD424" s="86"/>
    </row>
    <row r="425" spans="1:30" x14ac:dyDescent="0.25">
      <c r="A425" s="85"/>
      <c r="AA425" s="86"/>
      <c r="AB425" s="86"/>
      <c r="AC425" s="86"/>
      <c r="AD425" s="86"/>
    </row>
    <row r="426" spans="1:30" x14ac:dyDescent="0.25">
      <c r="A426" s="85"/>
      <c r="AA426" s="86"/>
      <c r="AB426" s="86"/>
      <c r="AC426" s="86"/>
      <c r="AD426" s="86"/>
    </row>
    <row r="427" spans="1:30" x14ac:dyDescent="0.25">
      <c r="A427" s="85"/>
      <c r="AA427" s="86"/>
      <c r="AB427" s="86"/>
      <c r="AC427" s="86"/>
      <c r="AD427" s="86"/>
    </row>
    <row r="428" spans="1:30" x14ac:dyDescent="0.25">
      <c r="A428" s="85"/>
      <c r="AA428" s="86"/>
      <c r="AB428" s="86"/>
      <c r="AC428" s="86"/>
      <c r="AD428" s="86"/>
    </row>
    <row r="429" spans="1:30" x14ac:dyDescent="0.25">
      <c r="A429" s="85"/>
      <c r="AA429" s="86"/>
      <c r="AB429" s="86"/>
      <c r="AC429" s="86"/>
      <c r="AD429" s="86"/>
    </row>
    <row r="430" spans="1:30" x14ac:dyDescent="0.25">
      <c r="A430" s="85"/>
      <c r="AA430" s="86"/>
      <c r="AB430" s="86"/>
      <c r="AC430" s="86"/>
      <c r="AD430" s="86"/>
    </row>
    <row r="431" spans="1:30" x14ac:dyDescent="0.25">
      <c r="A431" s="85"/>
      <c r="AA431" s="86"/>
      <c r="AB431" s="86"/>
      <c r="AC431" s="86"/>
      <c r="AD431" s="86"/>
    </row>
    <row r="432" spans="1:30" x14ac:dyDescent="0.25">
      <c r="A432" s="85"/>
      <c r="AA432" s="86"/>
      <c r="AB432" s="86"/>
      <c r="AC432" s="86"/>
      <c r="AD432" s="86"/>
    </row>
    <row r="433" spans="1:30" x14ac:dyDescent="0.25">
      <c r="A433" s="85"/>
      <c r="AA433" s="86"/>
      <c r="AB433" s="86"/>
      <c r="AC433" s="86"/>
      <c r="AD433" s="86"/>
    </row>
    <row r="434" spans="1:30" x14ac:dyDescent="0.25">
      <c r="A434" s="85"/>
      <c r="AA434" s="86"/>
      <c r="AB434" s="86"/>
      <c r="AC434" s="86"/>
      <c r="AD434" s="86"/>
    </row>
    <row r="435" spans="1:30" x14ac:dyDescent="0.25">
      <c r="A435" s="85"/>
      <c r="AA435" s="86"/>
      <c r="AB435" s="86"/>
      <c r="AC435" s="86"/>
      <c r="AD435" s="86"/>
    </row>
    <row r="436" spans="1:30" x14ac:dyDescent="0.25">
      <c r="A436" s="85"/>
      <c r="AA436" s="86"/>
      <c r="AB436" s="86"/>
      <c r="AC436" s="86"/>
      <c r="AD436" s="86"/>
    </row>
    <row r="437" spans="1:30" x14ac:dyDescent="0.25">
      <c r="A437" s="85"/>
      <c r="AA437" s="86"/>
      <c r="AB437" s="86"/>
      <c r="AC437" s="86"/>
      <c r="AD437" s="86"/>
    </row>
    <row r="438" spans="1:30" x14ac:dyDescent="0.25">
      <c r="A438" s="85"/>
      <c r="AA438" s="86"/>
      <c r="AB438" s="86"/>
      <c r="AC438" s="86"/>
      <c r="AD438" s="86"/>
    </row>
    <row r="439" spans="1:30" x14ac:dyDescent="0.25">
      <c r="A439" s="85"/>
      <c r="AA439" s="86"/>
      <c r="AB439" s="86"/>
      <c r="AC439" s="86"/>
      <c r="AD439" s="86"/>
    </row>
    <row r="440" spans="1:30" x14ac:dyDescent="0.25">
      <c r="A440" s="85"/>
      <c r="AA440" s="86"/>
      <c r="AB440" s="86"/>
      <c r="AC440" s="86"/>
      <c r="AD440" s="86"/>
    </row>
    <row r="441" spans="1:30" x14ac:dyDescent="0.25">
      <c r="A441" s="85"/>
      <c r="AA441" s="86"/>
      <c r="AB441" s="86"/>
      <c r="AC441" s="86"/>
      <c r="AD441" s="86"/>
    </row>
    <row r="442" spans="1:30" x14ac:dyDescent="0.25">
      <c r="A442" s="85"/>
      <c r="AA442" s="86"/>
      <c r="AB442" s="86"/>
      <c r="AC442" s="86"/>
      <c r="AD442" s="86"/>
    </row>
    <row r="443" spans="1:30" x14ac:dyDescent="0.25">
      <c r="A443" s="85"/>
      <c r="AA443" s="86"/>
      <c r="AB443" s="86"/>
      <c r="AC443" s="86"/>
      <c r="AD443" s="86"/>
    </row>
    <row r="444" spans="1:30" x14ac:dyDescent="0.25">
      <c r="A444" s="85"/>
      <c r="AA444" s="86"/>
      <c r="AB444" s="86"/>
      <c r="AC444" s="86"/>
      <c r="AD444" s="86"/>
    </row>
    <row r="445" spans="1:30" x14ac:dyDescent="0.25">
      <c r="A445" s="85"/>
      <c r="AA445" s="86"/>
      <c r="AB445" s="86"/>
      <c r="AC445" s="86"/>
      <c r="AD445" s="86"/>
    </row>
    <row r="446" spans="1:30" x14ac:dyDescent="0.25">
      <c r="A446" s="85"/>
      <c r="AA446" s="86"/>
      <c r="AB446" s="86"/>
      <c r="AC446" s="86"/>
      <c r="AD446" s="86"/>
    </row>
    <row r="447" spans="1:30" x14ac:dyDescent="0.25">
      <c r="A447" s="85"/>
      <c r="AA447" s="86"/>
      <c r="AB447" s="86"/>
      <c r="AC447" s="86"/>
      <c r="AD447" s="86"/>
    </row>
    <row r="448" spans="1:30" x14ac:dyDescent="0.25">
      <c r="A448" s="85"/>
      <c r="AA448" s="86"/>
      <c r="AB448" s="86"/>
      <c r="AC448" s="86"/>
      <c r="AD448" s="86"/>
    </row>
    <row r="449" spans="1:30" x14ac:dyDescent="0.25">
      <c r="A449" s="85"/>
      <c r="AA449" s="86"/>
      <c r="AB449" s="86"/>
      <c r="AC449" s="86"/>
      <c r="AD449" s="86"/>
    </row>
    <row r="450" spans="1:30" x14ac:dyDescent="0.25">
      <c r="A450" s="85"/>
      <c r="AA450" s="86"/>
      <c r="AB450" s="86"/>
      <c r="AC450" s="86"/>
      <c r="AD450" s="86"/>
    </row>
    <row r="451" spans="1:30" x14ac:dyDescent="0.25">
      <c r="A451" s="85"/>
      <c r="AA451" s="86"/>
      <c r="AB451" s="86"/>
      <c r="AC451" s="86"/>
      <c r="AD451" s="86"/>
    </row>
    <row r="452" spans="1:30" x14ac:dyDescent="0.25">
      <c r="A452" s="85"/>
      <c r="AA452" s="86"/>
      <c r="AB452" s="86"/>
      <c r="AC452" s="86"/>
      <c r="AD452" s="86"/>
    </row>
    <row r="453" spans="1:30" x14ac:dyDescent="0.25">
      <c r="A453" s="85"/>
      <c r="AA453" s="86"/>
      <c r="AB453" s="86"/>
      <c r="AC453" s="86"/>
      <c r="AD453" s="86"/>
    </row>
    <row r="454" spans="1:30" x14ac:dyDescent="0.25">
      <c r="A454" s="85"/>
      <c r="AA454" s="86"/>
      <c r="AB454" s="86"/>
      <c r="AC454" s="86"/>
      <c r="AD454" s="86"/>
    </row>
    <row r="455" spans="1:30" x14ac:dyDescent="0.25">
      <c r="A455" s="85"/>
      <c r="AA455" s="86"/>
      <c r="AB455" s="86"/>
      <c r="AC455" s="86"/>
      <c r="AD455" s="86"/>
    </row>
    <row r="456" spans="1:30" x14ac:dyDescent="0.25">
      <c r="A456" s="85"/>
      <c r="AA456" s="86"/>
      <c r="AB456" s="86"/>
      <c r="AC456" s="86"/>
      <c r="AD456" s="86"/>
    </row>
    <row r="457" spans="1:30" x14ac:dyDescent="0.25">
      <c r="A457" s="85"/>
      <c r="AA457" s="86"/>
      <c r="AB457" s="86"/>
      <c r="AC457" s="86"/>
      <c r="AD457" s="86"/>
    </row>
    <row r="458" spans="1:30" x14ac:dyDescent="0.25">
      <c r="A458" s="85"/>
      <c r="AA458" s="86"/>
      <c r="AB458" s="86"/>
      <c r="AC458" s="86"/>
      <c r="AD458" s="86"/>
    </row>
    <row r="459" spans="1:30" x14ac:dyDescent="0.25">
      <c r="A459" s="85"/>
      <c r="AA459" s="86"/>
      <c r="AB459" s="86"/>
      <c r="AC459" s="86"/>
      <c r="AD459" s="86"/>
    </row>
    <row r="460" spans="1:30" x14ac:dyDescent="0.25">
      <c r="A460" s="85"/>
      <c r="AA460" s="86"/>
      <c r="AB460" s="86"/>
      <c r="AC460" s="86"/>
      <c r="AD460" s="86"/>
    </row>
    <row r="461" spans="1:30" x14ac:dyDescent="0.25">
      <c r="A461" s="85"/>
      <c r="AA461" s="86"/>
      <c r="AB461" s="86"/>
      <c r="AC461" s="86"/>
      <c r="AD461" s="86"/>
    </row>
    <row r="462" spans="1:30" x14ac:dyDescent="0.25">
      <c r="A462" s="85"/>
      <c r="AA462" s="86"/>
      <c r="AB462" s="86"/>
      <c r="AC462" s="86"/>
      <c r="AD462" s="86"/>
    </row>
    <row r="463" spans="1:30" x14ac:dyDescent="0.25">
      <c r="A463" s="85"/>
      <c r="AA463" s="86"/>
      <c r="AB463" s="86"/>
      <c r="AC463" s="86"/>
      <c r="AD463" s="86"/>
    </row>
    <row r="464" spans="1:30" x14ac:dyDescent="0.25">
      <c r="A464" s="85"/>
      <c r="AA464" s="86"/>
      <c r="AB464" s="86"/>
      <c r="AC464" s="86"/>
      <c r="AD464" s="86"/>
    </row>
    <row r="465" spans="1:30" x14ac:dyDescent="0.25">
      <c r="A465" s="85"/>
      <c r="AA465" s="86"/>
      <c r="AB465" s="86"/>
      <c r="AC465" s="86"/>
      <c r="AD465" s="86"/>
    </row>
    <row r="466" spans="1:30" x14ac:dyDescent="0.25">
      <c r="A466" s="85"/>
      <c r="AA466" s="86"/>
      <c r="AB466" s="86"/>
      <c r="AC466" s="86"/>
      <c r="AD466" s="86"/>
    </row>
    <row r="467" spans="1:30" x14ac:dyDescent="0.25">
      <c r="A467" s="85"/>
      <c r="AA467" s="86"/>
      <c r="AB467" s="86"/>
      <c r="AC467" s="86"/>
      <c r="AD467" s="86"/>
    </row>
    <row r="468" spans="1:30" x14ac:dyDescent="0.25">
      <c r="A468" s="85"/>
      <c r="AA468" s="86"/>
      <c r="AB468" s="86"/>
      <c r="AC468" s="86"/>
      <c r="AD468" s="86"/>
    </row>
    <row r="469" spans="1:30" x14ac:dyDescent="0.25">
      <c r="A469" s="85"/>
      <c r="AA469" s="86"/>
      <c r="AB469" s="86"/>
      <c r="AC469" s="86"/>
      <c r="AD469" s="86"/>
    </row>
    <row r="470" spans="1:30" x14ac:dyDescent="0.25">
      <c r="A470" s="85"/>
      <c r="AA470" s="86"/>
      <c r="AB470" s="86"/>
      <c r="AC470" s="86"/>
      <c r="AD470" s="86"/>
    </row>
    <row r="471" spans="1:30" x14ac:dyDescent="0.25">
      <c r="A471" s="85"/>
      <c r="AA471" s="86"/>
      <c r="AB471" s="86"/>
      <c r="AC471" s="86"/>
      <c r="AD471" s="86"/>
    </row>
    <row r="472" spans="1:30" x14ac:dyDescent="0.25">
      <c r="A472" s="85"/>
      <c r="AA472" s="86"/>
      <c r="AB472" s="86"/>
      <c r="AC472" s="86"/>
      <c r="AD472" s="86"/>
    </row>
    <row r="473" spans="1:30" x14ac:dyDescent="0.25">
      <c r="A473" s="85"/>
      <c r="AA473" s="86"/>
      <c r="AB473" s="86"/>
      <c r="AC473" s="86"/>
      <c r="AD473" s="86"/>
    </row>
    <row r="474" spans="1:30" x14ac:dyDescent="0.25">
      <c r="A474" s="85"/>
      <c r="AA474" s="86"/>
      <c r="AB474" s="86"/>
      <c r="AC474" s="86"/>
      <c r="AD474" s="86"/>
    </row>
    <row r="475" spans="1:30" x14ac:dyDescent="0.25">
      <c r="A475" s="85"/>
      <c r="AA475" s="86"/>
      <c r="AB475" s="86"/>
      <c r="AC475" s="86"/>
      <c r="AD475" s="86"/>
    </row>
    <row r="476" spans="1:30" x14ac:dyDescent="0.25">
      <c r="A476" s="85"/>
      <c r="AA476" s="86"/>
      <c r="AB476" s="86"/>
      <c r="AC476" s="86"/>
      <c r="AD476" s="86"/>
    </row>
    <row r="477" spans="1:30" x14ac:dyDescent="0.25">
      <c r="A477" s="85"/>
      <c r="AA477" s="86"/>
      <c r="AB477" s="86"/>
      <c r="AC477" s="86"/>
      <c r="AD477" s="86"/>
    </row>
    <row r="478" spans="1:30" x14ac:dyDescent="0.25">
      <c r="A478" s="85"/>
      <c r="AA478" s="86"/>
      <c r="AB478" s="86"/>
      <c r="AC478" s="86"/>
      <c r="AD478" s="86"/>
    </row>
  </sheetData>
  <autoFilter ref="A1:AD478" xr:uid="{4D149F3A-41D8-4DA9-BFC4-DDE1AD24595A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03B8F-669F-4FC0-BA62-50F3D395660C}">
  <dimension ref="A1:AD45"/>
  <sheetViews>
    <sheetView workbookViewId="0">
      <selection activeCell="J2" sqref="J2:K37"/>
    </sheetView>
  </sheetViews>
  <sheetFormatPr defaultRowHeight="15" x14ac:dyDescent="0.25"/>
  <cols>
    <col min="1" max="1" width="11.570312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0.7109375" bestFit="1" customWidth="1"/>
    <col min="26" max="27" width="12.85546875" bestFit="1" customWidth="1"/>
    <col min="28" max="28" width="12.7109375" bestFit="1" customWidth="1"/>
    <col min="29" max="29" width="13.85546875" bestFit="1" customWidth="1"/>
    <col min="30" max="30" width="15.7109375" bestFit="1" customWidth="1"/>
  </cols>
  <sheetData>
    <row r="1" spans="1:30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57</v>
      </c>
      <c r="Z1" s="32" t="s">
        <v>56</v>
      </c>
      <c r="AA1" s="32" t="s">
        <v>9</v>
      </c>
      <c r="AB1" s="32" t="s">
        <v>30</v>
      </c>
      <c r="AC1" s="32" t="s">
        <v>11</v>
      </c>
      <c r="AD1" s="46" t="s">
        <v>39</v>
      </c>
    </row>
    <row r="2" spans="1:30" x14ac:dyDescent="0.25">
      <c r="A2" s="2" t="s">
        <v>37</v>
      </c>
      <c r="B2" s="2" t="s">
        <v>79</v>
      </c>
      <c r="C2" s="2" t="s">
        <v>79</v>
      </c>
      <c r="D2" s="34">
        <v>190</v>
      </c>
      <c r="E2" s="4">
        <f t="shared" ref="E2:E37" si="0">D2/(G2+H2)</f>
        <v>17.272727272727273</v>
      </c>
      <c r="F2" s="35">
        <v>25</v>
      </c>
      <c r="G2" s="34">
        <v>4</v>
      </c>
      <c r="H2" s="2">
        <v>7</v>
      </c>
      <c r="I2" s="41">
        <f t="shared" ref="I2:I37" si="1">G2/(G2+H2)</f>
        <v>0.36363636363636365</v>
      </c>
      <c r="J2" s="34">
        <v>19</v>
      </c>
      <c r="K2" s="2">
        <v>25</v>
      </c>
      <c r="L2" s="41">
        <f t="shared" ref="L2:L37" si="2">J2/(J2+K2)</f>
        <v>0.43181818181818182</v>
      </c>
      <c r="M2" s="34">
        <v>83</v>
      </c>
      <c r="N2" s="2">
        <v>95</v>
      </c>
      <c r="O2" s="41">
        <f t="shared" ref="O2:O37" si="3">M2/(M2+N2)</f>
        <v>0.46629213483146065</v>
      </c>
      <c r="P2" s="34">
        <v>3</v>
      </c>
      <c r="Q2" s="2">
        <v>0</v>
      </c>
      <c r="R2" s="2">
        <v>0</v>
      </c>
      <c r="S2" s="2">
        <v>3</v>
      </c>
      <c r="T2" s="2">
        <v>0</v>
      </c>
      <c r="U2" s="2">
        <v>3</v>
      </c>
      <c r="V2" s="2">
        <v>0</v>
      </c>
      <c r="W2" s="2">
        <v>0</v>
      </c>
      <c r="X2" s="2">
        <v>0</v>
      </c>
      <c r="Y2" s="2">
        <v>0</v>
      </c>
      <c r="Z2" s="1">
        <v>0</v>
      </c>
      <c r="AA2" s="2">
        <v>1</v>
      </c>
      <c r="AB2" s="2">
        <v>5</v>
      </c>
      <c r="AC2" s="2">
        <v>1</v>
      </c>
      <c r="AD2" s="47">
        <v>4</v>
      </c>
    </row>
    <row r="3" spans="1:30" x14ac:dyDescent="0.25">
      <c r="A3" s="2" t="s">
        <v>34</v>
      </c>
      <c r="B3" s="2" t="s">
        <v>79</v>
      </c>
      <c r="C3" s="2" t="s">
        <v>79</v>
      </c>
      <c r="D3" s="34">
        <v>11</v>
      </c>
      <c r="E3" s="4">
        <f t="shared" si="0"/>
        <v>5.5</v>
      </c>
      <c r="F3" s="35">
        <v>6</v>
      </c>
      <c r="G3" s="34">
        <v>2</v>
      </c>
      <c r="H3" s="2">
        <v>0</v>
      </c>
      <c r="I3" s="41">
        <f t="shared" si="1"/>
        <v>1</v>
      </c>
      <c r="J3" s="34">
        <v>6</v>
      </c>
      <c r="K3" s="2">
        <v>1</v>
      </c>
      <c r="L3" s="41">
        <f t="shared" si="2"/>
        <v>0.8571428571428571</v>
      </c>
      <c r="M3" s="34">
        <v>19</v>
      </c>
      <c r="N3" s="2">
        <v>8</v>
      </c>
      <c r="O3" s="41">
        <f t="shared" si="3"/>
        <v>0.70370370370370372</v>
      </c>
      <c r="P3" s="34">
        <v>0</v>
      </c>
      <c r="Q3" s="2">
        <v>1</v>
      </c>
      <c r="R3" s="2">
        <v>0</v>
      </c>
      <c r="S3" s="2">
        <v>2</v>
      </c>
      <c r="T3" s="2">
        <v>0</v>
      </c>
      <c r="U3" s="2">
        <v>1</v>
      </c>
      <c r="V3" s="2">
        <v>0</v>
      </c>
      <c r="W3" s="2">
        <v>0</v>
      </c>
      <c r="X3" s="2">
        <v>0</v>
      </c>
      <c r="Y3" s="2">
        <v>0</v>
      </c>
      <c r="Z3" s="1">
        <v>0</v>
      </c>
      <c r="AA3" s="2">
        <v>1</v>
      </c>
      <c r="AB3" s="2">
        <v>1</v>
      </c>
      <c r="AC3" s="2">
        <v>0</v>
      </c>
      <c r="AD3" s="47">
        <v>0</v>
      </c>
    </row>
    <row r="4" spans="1:30" ht="15.75" x14ac:dyDescent="0.25">
      <c r="A4" s="2" t="s">
        <v>35</v>
      </c>
      <c r="B4" s="80" t="s">
        <v>60</v>
      </c>
      <c r="C4" s="2" t="s">
        <v>79</v>
      </c>
      <c r="D4" s="34">
        <v>115</v>
      </c>
      <c r="E4" s="4">
        <f t="shared" si="0"/>
        <v>10.454545454545455</v>
      </c>
      <c r="F4" s="35">
        <v>21</v>
      </c>
      <c r="G4" s="34">
        <v>7</v>
      </c>
      <c r="H4" s="2">
        <v>4</v>
      </c>
      <c r="I4" s="41">
        <f t="shared" si="1"/>
        <v>0.63636363636363635</v>
      </c>
      <c r="J4" s="34">
        <v>23</v>
      </c>
      <c r="K4" s="2">
        <v>20</v>
      </c>
      <c r="L4" s="41">
        <f t="shared" si="2"/>
        <v>0.53488372093023251</v>
      </c>
      <c r="M4" s="34">
        <v>93</v>
      </c>
      <c r="N4" s="2">
        <v>80</v>
      </c>
      <c r="O4" s="41">
        <f t="shared" si="3"/>
        <v>0.53757225433526012</v>
      </c>
      <c r="P4" s="34">
        <v>2</v>
      </c>
      <c r="Q4" s="2">
        <v>2</v>
      </c>
      <c r="R4" s="2">
        <v>0</v>
      </c>
      <c r="S4" s="2">
        <v>3</v>
      </c>
      <c r="T4" s="2">
        <v>0</v>
      </c>
      <c r="U4" s="2">
        <v>5</v>
      </c>
      <c r="V4" s="2">
        <v>0</v>
      </c>
      <c r="W4" s="2">
        <v>0</v>
      </c>
      <c r="X4" s="2">
        <v>0</v>
      </c>
      <c r="Y4" s="2">
        <v>0</v>
      </c>
      <c r="Z4" s="1">
        <v>0</v>
      </c>
      <c r="AA4" s="2">
        <v>4</v>
      </c>
      <c r="AB4" s="2">
        <v>3</v>
      </c>
      <c r="AC4" s="2">
        <v>1</v>
      </c>
      <c r="AD4" s="47">
        <v>3</v>
      </c>
    </row>
    <row r="5" spans="1:30" x14ac:dyDescent="0.25">
      <c r="A5" s="2" t="s">
        <v>19</v>
      </c>
      <c r="B5" s="2" t="s">
        <v>79</v>
      </c>
      <c r="C5" s="2" t="s">
        <v>79</v>
      </c>
      <c r="D5" s="34">
        <v>230</v>
      </c>
      <c r="E5" s="4">
        <f t="shared" si="0"/>
        <v>11.5</v>
      </c>
      <c r="F5" s="35">
        <v>26</v>
      </c>
      <c r="G5" s="34">
        <v>6</v>
      </c>
      <c r="H5" s="2">
        <v>14</v>
      </c>
      <c r="I5" s="41">
        <f t="shared" si="1"/>
        <v>0.3</v>
      </c>
      <c r="J5" s="34">
        <v>32</v>
      </c>
      <c r="K5" s="2">
        <v>49</v>
      </c>
      <c r="L5" s="41">
        <f t="shared" si="2"/>
        <v>0.39506172839506171</v>
      </c>
      <c r="M5" s="34">
        <v>149</v>
      </c>
      <c r="N5" s="2">
        <v>184</v>
      </c>
      <c r="O5" s="41">
        <f t="shared" si="3"/>
        <v>0.44744744744744747</v>
      </c>
      <c r="P5" s="34">
        <v>3</v>
      </c>
      <c r="Q5" s="2">
        <v>0</v>
      </c>
      <c r="R5" s="2">
        <v>1</v>
      </c>
      <c r="S5" s="2">
        <v>2</v>
      </c>
      <c r="T5" s="2">
        <v>0</v>
      </c>
      <c r="U5" s="2">
        <v>5</v>
      </c>
      <c r="V5" s="2">
        <v>1</v>
      </c>
      <c r="W5" s="2">
        <v>0</v>
      </c>
      <c r="X5" s="2">
        <v>1</v>
      </c>
      <c r="Y5" s="2">
        <v>1</v>
      </c>
      <c r="Z5" s="1">
        <v>0</v>
      </c>
      <c r="AA5" s="2">
        <v>4</v>
      </c>
      <c r="AB5" s="2">
        <v>9</v>
      </c>
      <c r="AC5" s="2">
        <v>0</v>
      </c>
      <c r="AD5" s="47">
        <v>5</v>
      </c>
    </row>
    <row r="6" spans="1:30" x14ac:dyDescent="0.25">
      <c r="A6" s="1" t="s">
        <v>42</v>
      </c>
      <c r="B6" s="72" t="s">
        <v>79</v>
      </c>
      <c r="C6" s="2" t="s">
        <v>79</v>
      </c>
      <c r="D6" s="36">
        <v>5</v>
      </c>
      <c r="E6" s="4">
        <f t="shared" si="0"/>
        <v>5</v>
      </c>
      <c r="F6" s="35">
        <v>5</v>
      </c>
      <c r="G6" s="36">
        <v>0</v>
      </c>
      <c r="H6" s="1">
        <v>1</v>
      </c>
      <c r="I6" s="42">
        <f t="shared" si="1"/>
        <v>0</v>
      </c>
      <c r="J6" s="36">
        <v>0</v>
      </c>
      <c r="K6" s="1">
        <v>3</v>
      </c>
      <c r="L6" s="42">
        <f t="shared" si="2"/>
        <v>0</v>
      </c>
      <c r="M6" s="36">
        <v>2</v>
      </c>
      <c r="N6" s="1">
        <v>9</v>
      </c>
      <c r="O6" s="42">
        <f t="shared" si="3"/>
        <v>0.18181818181818182</v>
      </c>
      <c r="P6" s="36">
        <v>0</v>
      </c>
      <c r="Q6" s="1">
        <v>0</v>
      </c>
      <c r="R6" s="1">
        <v>0</v>
      </c>
      <c r="S6" s="1">
        <v>0</v>
      </c>
      <c r="T6" s="2">
        <v>0</v>
      </c>
      <c r="U6" s="1">
        <v>0</v>
      </c>
      <c r="V6" s="1">
        <v>0</v>
      </c>
      <c r="W6" s="1">
        <v>0</v>
      </c>
      <c r="X6" s="2">
        <v>0</v>
      </c>
      <c r="Y6" s="2">
        <v>0</v>
      </c>
      <c r="Z6" s="1">
        <v>0</v>
      </c>
      <c r="AA6" s="1">
        <v>0</v>
      </c>
      <c r="AB6" s="1">
        <v>0</v>
      </c>
      <c r="AC6" s="1">
        <v>0</v>
      </c>
      <c r="AD6" s="65">
        <v>0</v>
      </c>
    </row>
    <row r="7" spans="1:30" x14ac:dyDescent="0.25">
      <c r="A7" s="2" t="s">
        <v>25</v>
      </c>
      <c r="B7" s="2" t="s">
        <v>79</v>
      </c>
      <c r="C7" s="2" t="s">
        <v>79</v>
      </c>
      <c r="D7" s="34">
        <v>117</v>
      </c>
      <c r="E7" s="4">
        <f t="shared" si="0"/>
        <v>14.625</v>
      </c>
      <c r="F7" s="35">
        <v>21</v>
      </c>
      <c r="G7" s="34">
        <v>5</v>
      </c>
      <c r="H7" s="2">
        <v>3</v>
      </c>
      <c r="I7" s="41">
        <f t="shared" si="1"/>
        <v>0.625</v>
      </c>
      <c r="J7" s="34">
        <v>20</v>
      </c>
      <c r="K7" s="2">
        <v>12</v>
      </c>
      <c r="L7" s="41">
        <f t="shared" si="2"/>
        <v>0.625</v>
      </c>
      <c r="M7" s="34">
        <v>78</v>
      </c>
      <c r="N7" s="2">
        <v>57</v>
      </c>
      <c r="O7" s="41">
        <f t="shared" si="3"/>
        <v>0.57777777777777772</v>
      </c>
      <c r="P7" s="34">
        <v>2</v>
      </c>
      <c r="Q7" s="2">
        <v>0</v>
      </c>
      <c r="R7" s="2">
        <v>0</v>
      </c>
      <c r="S7" s="2">
        <v>2</v>
      </c>
      <c r="T7" s="2">
        <v>0</v>
      </c>
      <c r="U7" s="2">
        <v>3</v>
      </c>
      <c r="V7" s="2">
        <v>2</v>
      </c>
      <c r="W7" s="2">
        <v>1</v>
      </c>
      <c r="X7" s="2">
        <v>0</v>
      </c>
      <c r="Y7" s="2">
        <v>0</v>
      </c>
      <c r="Z7" s="1">
        <v>0</v>
      </c>
      <c r="AA7" s="2">
        <v>2</v>
      </c>
      <c r="AB7" s="2">
        <v>3</v>
      </c>
      <c r="AC7" s="2">
        <v>1</v>
      </c>
      <c r="AD7" s="47">
        <v>4</v>
      </c>
    </row>
    <row r="8" spans="1:30" x14ac:dyDescent="0.25">
      <c r="A8" s="2" t="s">
        <v>27</v>
      </c>
      <c r="B8" s="6" t="s">
        <v>76</v>
      </c>
      <c r="C8" s="6" t="s">
        <v>79</v>
      </c>
      <c r="D8" s="34">
        <v>161</v>
      </c>
      <c r="E8" s="4">
        <f t="shared" si="0"/>
        <v>13.416666666666666</v>
      </c>
      <c r="F8" s="35">
        <v>24</v>
      </c>
      <c r="G8" s="34">
        <v>6</v>
      </c>
      <c r="H8" s="2">
        <v>6</v>
      </c>
      <c r="I8" s="41">
        <f t="shared" si="1"/>
        <v>0.5</v>
      </c>
      <c r="J8" s="34">
        <v>23</v>
      </c>
      <c r="K8" s="2">
        <v>26</v>
      </c>
      <c r="L8" s="41">
        <f t="shared" si="2"/>
        <v>0.46938775510204084</v>
      </c>
      <c r="M8" s="34">
        <v>100</v>
      </c>
      <c r="N8" s="2">
        <v>108</v>
      </c>
      <c r="O8" s="41">
        <f t="shared" si="3"/>
        <v>0.48076923076923078</v>
      </c>
      <c r="P8" s="34">
        <v>0</v>
      </c>
      <c r="Q8" s="2">
        <v>1</v>
      </c>
      <c r="R8" s="2">
        <v>2</v>
      </c>
      <c r="S8" s="2">
        <v>1</v>
      </c>
      <c r="T8" s="1">
        <v>2</v>
      </c>
      <c r="U8" s="2">
        <v>4</v>
      </c>
      <c r="V8" s="2">
        <v>1</v>
      </c>
      <c r="W8" s="2">
        <v>0</v>
      </c>
      <c r="X8" s="2">
        <v>0</v>
      </c>
      <c r="Y8" s="2">
        <v>0</v>
      </c>
      <c r="Z8" s="1">
        <v>0</v>
      </c>
      <c r="AA8" s="2">
        <v>4</v>
      </c>
      <c r="AB8" s="2">
        <v>4</v>
      </c>
      <c r="AC8" s="2">
        <v>1</v>
      </c>
      <c r="AD8" s="47">
        <v>3</v>
      </c>
    </row>
    <row r="9" spans="1:30" x14ac:dyDescent="0.25">
      <c r="A9" s="2" t="s">
        <v>26</v>
      </c>
      <c r="B9" s="6" t="s">
        <v>60</v>
      </c>
      <c r="C9" s="6" t="s">
        <v>79</v>
      </c>
      <c r="D9" s="34">
        <v>188</v>
      </c>
      <c r="E9" s="4">
        <f t="shared" si="0"/>
        <v>12.533333333333333</v>
      </c>
      <c r="F9" s="35">
        <v>24</v>
      </c>
      <c r="G9" s="34">
        <v>11</v>
      </c>
      <c r="H9" s="2">
        <v>4</v>
      </c>
      <c r="I9" s="41">
        <f t="shared" si="1"/>
        <v>0.73333333333333328</v>
      </c>
      <c r="J9" s="34">
        <v>39</v>
      </c>
      <c r="K9" s="2">
        <v>22</v>
      </c>
      <c r="L9" s="41">
        <f t="shared" si="2"/>
        <v>0.63934426229508201</v>
      </c>
      <c r="M9" s="34">
        <v>144</v>
      </c>
      <c r="N9" s="2">
        <v>108</v>
      </c>
      <c r="O9" s="41">
        <f t="shared" si="3"/>
        <v>0.5714285714285714</v>
      </c>
      <c r="P9" s="34">
        <v>1</v>
      </c>
      <c r="Q9" s="2">
        <v>2</v>
      </c>
      <c r="R9" s="2">
        <v>2</v>
      </c>
      <c r="S9" s="2">
        <v>7</v>
      </c>
      <c r="T9" s="2">
        <v>2</v>
      </c>
      <c r="U9" s="2">
        <v>7</v>
      </c>
      <c r="V9" s="2">
        <v>3</v>
      </c>
      <c r="W9" s="2">
        <v>2</v>
      </c>
      <c r="X9" s="2">
        <v>1</v>
      </c>
      <c r="Y9" s="2">
        <v>1</v>
      </c>
      <c r="Z9" s="1">
        <v>0</v>
      </c>
      <c r="AA9" s="2">
        <v>3</v>
      </c>
      <c r="AB9" s="2">
        <v>4</v>
      </c>
      <c r="AC9" s="2">
        <v>1</v>
      </c>
      <c r="AD9" s="47">
        <v>3</v>
      </c>
    </row>
    <row r="10" spans="1:30" x14ac:dyDescent="0.25">
      <c r="A10" s="2" t="s">
        <v>78</v>
      </c>
      <c r="B10" s="6" t="s">
        <v>79</v>
      </c>
      <c r="C10" s="6" t="s">
        <v>79</v>
      </c>
      <c r="D10" s="34">
        <v>0</v>
      </c>
      <c r="E10" s="4">
        <v>0</v>
      </c>
      <c r="F10" s="35">
        <v>0</v>
      </c>
      <c r="G10" s="34">
        <v>0</v>
      </c>
      <c r="H10" s="2">
        <v>0</v>
      </c>
      <c r="I10" s="41" t="s">
        <v>79</v>
      </c>
      <c r="J10" s="34">
        <v>0</v>
      </c>
      <c r="K10" s="2">
        <v>0</v>
      </c>
      <c r="L10" s="41" t="s">
        <v>79</v>
      </c>
      <c r="M10" s="34">
        <v>0</v>
      </c>
      <c r="N10" s="2">
        <v>0</v>
      </c>
      <c r="O10" s="41" t="s">
        <v>79</v>
      </c>
      <c r="P10" s="34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1">
        <v>0</v>
      </c>
      <c r="AA10" s="2">
        <v>0</v>
      </c>
      <c r="AB10" s="2">
        <v>0</v>
      </c>
      <c r="AC10" s="2">
        <v>0</v>
      </c>
      <c r="AD10" s="47">
        <v>0</v>
      </c>
    </row>
    <row r="11" spans="1:30" ht="15.75" x14ac:dyDescent="0.25">
      <c r="A11" s="1" t="s">
        <v>45</v>
      </c>
      <c r="B11" s="80" t="s">
        <v>60</v>
      </c>
      <c r="C11" s="2" t="s">
        <v>79</v>
      </c>
      <c r="D11" s="34">
        <v>89</v>
      </c>
      <c r="E11" s="4">
        <f t="shared" si="0"/>
        <v>9.8888888888888893</v>
      </c>
      <c r="F11" s="35">
        <v>17</v>
      </c>
      <c r="G11" s="36">
        <v>4</v>
      </c>
      <c r="H11" s="1">
        <v>5</v>
      </c>
      <c r="I11" s="42">
        <f t="shared" si="1"/>
        <v>0.44444444444444442</v>
      </c>
      <c r="J11" s="36">
        <v>17</v>
      </c>
      <c r="K11" s="1">
        <v>18</v>
      </c>
      <c r="L11" s="42">
        <f t="shared" si="2"/>
        <v>0.48571428571428571</v>
      </c>
      <c r="M11" s="36">
        <v>71</v>
      </c>
      <c r="N11" s="1">
        <v>71</v>
      </c>
      <c r="O11" s="42">
        <f t="shared" si="3"/>
        <v>0.5</v>
      </c>
      <c r="P11" s="34">
        <v>0</v>
      </c>
      <c r="Q11" s="2">
        <v>2</v>
      </c>
      <c r="R11" s="2">
        <v>0</v>
      </c>
      <c r="S11" s="2">
        <v>3</v>
      </c>
      <c r="T11" s="2">
        <v>0</v>
      </c>
      <c r="U11" s="2">
        <v>4</v>
      </c>
      <c r="V11" s="2">
        <v>0</v>
      </c>
      <c r="W11" s="2">
        <v>0</v>
      </c>
      <c r="X11" s="2">
        <v>0</v>
      </c>
      <c r="Y11" s="2">
        <v>0</v>
      </c>
      <c r="Z11" s="1">
        <v>0</v>
      </c>
      <c r="AA11" s="2">
        <v>2</v>
      </c>
      <c r="AB11" s="2">
        <v>3</v>
      </c>
      <c r="AC11" s="2">
        <v>1</v>
      </c>
      <c r="AD11" s="47">
        <v>2</v>
      </c>
    </row>
    <row r="12" spans="1:30" x14ac:dyDescent="0.25">
      <c r="A12" s="2" t="s">
        <v>50</v>
      </c>
      <c r="B12" s="2" t="s">
        <v>79</v>
      </c>
      <c r="C12" s="2" t="s">
        <v>79</v>
      </c>
      <c r="D12" s="34">
        <v>26</v>
      </c>
      <c r="E12" s="4">
        <f t="shared" si="0"/>
        <v>13</v>
      </c>
      <c r="F12" s="35">
        <v>14</v>
      </c>
      <c r="G12" s="36">
        <v>0</v>
      </c>
      <c r="H12" s="1">
        <v>2</v>
      </c>
      <c r="I12" s="42">
        <f t="shared" si="1"/>
        <v>0</v>
      </c>
      <c r="J12" s="36">
        <v>2</v>
      </c>
      <c r="K12" s="1">
        <v>6</v>
      </c>
      <c r="L12" s="42">
        <f t="shared" si="2"/>
        <v>0.25</v>
      </c>
      <c r="M12" s="36">
        <v>13</v>
      </c>
      <c r="N12" s="1">
        <v>22</v>
      </c>
      <c r="O12" s="42">
        <f t="shared" si="3"/>
        <v>0.37142857142857144</v>
      </c>
      <c r="P12" s="34">
        <v>0</v>
      </c>
      <c r="Q12" s="2">
        <v>0</v>
      </c>
      <c r="R12" s="2">
        <v>0</v>
      </c>
      <c r="S12" s="2">
        <v>0</v>
      </c>
      <c r="T12" s="2">
        <v>0</v>
      </c>
      <c r="U12" s="2">
        <v>1</v>
      </c>
      <c r="V12" s="2">
        <v>0</v>
      </c>
      <c r="W12" s="2">
        <v>0</v>
      </c>
      <c r="X12" s="2">
        <v>0</v>
      </c>
      <c r="Y12" s="2">
        <v>0</v>
      </c>
      <c r="Z12" s="1">
        <v>0</v>
      </c>
      <c r="AA12" s="2">
        <v>1</v>
      </c>
      <c r="AB12" s="2">
        <v>0</v>
      </c>
      <c r="AC12" s="2">
        <v>0</v>
      </c>
      <c r="AD12" s="47">
        <v>0</v>
      </c>
    </row>
    <row r="13" spans="1:30" x14ac:dyDescent="0.25">
      <c r="A13" s="2" t="s">
        <v>52</v>
      </c>
      <c r="B13" s="2" t="s">
        <v>79</v>
      </c>
      <c r="C13" s="2" t="s">
        <v>79</v>
      </c>
      <c r="D13" s="34">
        <v>5</v>
      </c>
      <c r="E13" s="4">
        <f t="shared" si="0"/>
        <v>5</v>
      </c>
      <c r="F13" s="35">
        <v>5</v>
      </c>
      <c r="G13" s="36">
        <v>0</v>
      </c>
      <c r="H13" s="1">
        <v>1</v>
      </c>
      <c r="I13" s="42">
        <f t="shared" si="1"/>
        <v>0</v>
      </c>
      <c r="J13" s="36">
        <v>0</v>
      </c>
      <c r="K13" s="1">
        <v>3</v>
      </c>
      <c r="L13" s="42">
        <f t="shared" si="2"/>
        <v>0</v>
      </c>
      <c r="M13" s="36">
        <v>4</v>
      </c>
      <c r="N13" s="1">
        <v>9</v>
      </c>
      <c r="O13" s="42">
        <f t="shared" si="3"/>
        <v>0.30769230769230771</v>
      </c>
      <c r="P13" s="34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1">
        <v>0</v>
      </c>
      <c r="AA13" s="2">
        <v>0</v>
      </c>
      <c r="AB13" s="2">
        <v>0</v>
      </c>
      <c r="AC13" s="2">
        <v>0</v>
      </c>
      <c r="AD13" s="47">
        <v>0</v>
      </c>
    </row>
    <row r="14" spans="1:30" x14ac:dyDescent="0.25">
      <c r="A14" s="1" t="s">
        <v>44</v>
      </c>
      <c r="B14" s="2" t="s">
        <v>79</v>
      </c>
      <c r="C14" s="2" t="s">
        <v>79</v>
      </c>
      <c r="D14" s="36">
        <v>12</v>
      </c>
      <c r="E14" s="4">
        <f t="shared" si="0"/>
        <v>12</v>
      </c>
      <c r="F14" s="35">
        <v>12</v>
      </c>
      <c r="G14" s="36">
        <v>1</v>
      </c>
      <c r="H14" s="1">
        <v>0</v>
      </c>
      <c r="I14" s="42">
        <f t="shared" si="1"/>
        <v>1</v>
      </c>
      <c r="J14" s="36">
        <v>3</v>
      </c>
      <c r="K14" s="1">
        <v>0</v>
      </c>
      <c r="L14" s="42">
        <f t="shared" si="2"/>
        <v>1</v>
      </c>
      <c r="M14" s="36">
        <v>9</v>
      </c>
      <c r="N14" s="1">
        <v>4</v>
      </c>
      <c r="O14" s="42">
        <f t="shared" si="3"/>
        <v>0.69230769230769229</v>
      </c>
      <c r="P14" s="34">
        <v>0</v>
      </c>
      <c r="Q14" s="2">
        <v>0</v>
      </c>
      <c r="R14" s="2">
        <v>0</v>
      </c>
      <c r="S14" s="2">
        <v>0</v>
      </c>
      <c r="T14" s="2">
        <v>0</v>
      </c>
      <c r="U14" s="1">
        <v>1</v>
      </c>
      <c r="V14" s="2">
        <v>0</v>
      </c>
      <c r="W14" s="2">
        <v>0</v>
      </c>
      <c r="X14" s="2">
        <v>0</v>
      </c>
      <c r="Y14" s="2">
        <v>0</v>
      </c>
      <c r="Z14" s="1">
        <v>0</v>
      </c>
      <c r="AA14" s="2">
        <v>0</v>
      </c>
      <c r="AB14" s="1">
        <v>1</v>
      </c>
      <c r="AC14" s="2">
        <v>0</v>
      </c>
      <c r="AD14" s="65">
        <v>1</v>
      </c>
    </row>
    <row r="15" spans="1:30" x14ac:dyDescent="0.25">
      <c r="A15" s="2" t="s">
        <v>1</v>
      </c>
      <c r="B15" s="6" t="s">
        <v>60</v>
      </c>
      <c r="C15" s="2" t="s">
        <v>79</v>
      </c>
      <c r="D15" s="34">
        <v>167</v>
      </c>
      <c r="E15" s="4">
        <f t="shared" si="0"/>
        <v>27.833333333333332</v>
      </c>
      <c r="F15" s="35">
        <v>37</v>
      </c>
      <c r="G15" s="34">
        <v>4</v>
      </c>
      <c r="H15" s="2">
        <v>2</v>
      </c>
      <c r="I15" s="41">
        <f t="shared" si="1"/>
        <v>0.66666666666666663</v>
      </c>
      <c r="J15" s="34">
        <v>15</v>
      </c>
      <c r="K15" s="2">
        <v>12</v>
      </c>
      <c r="L15" s="41">
        <f t="shared" si="2"/>
        <v>0.55555555555555558</v>
      </c>
      <c r="M15" s="34">
        <v>60</v>
      </c>
      <c r="N15" s="2">
        <v>60</v>
      </c>
      <c r="O15" s="41">
        <f t="shared" si="3"/>
        <v>0.5</v>
      </c>
      <c r="P15" s="34">
        <v>0</v>
      </c>
      <c r="Q15" s="2">
        <v>1</v>
      </c>
      <c r="R15" s="2">
        <v>2</v>
      </c>
      <c r="S15" s="2">
        <v>0</v>
      </c>
      <c r="T15" s="1">
        <v>1</v>
      </c>
      <c r="U15" s="2">
        <v>1</v>
      </c>
      <c r="V15" s="2">
        <v>0</v>
      </c>
      <c r="W15" s="2">
        <v>0</v>
      </c>
      <c r="X15" s="2">
        <v>0</v>
      </c>
      <c r="Y15" s="2">
        <v>0</v>
      </c>
      <c r="Z15" s="1">
        <v>0</v>
      </c>
      <c r="AA15" s="2">
        <v>1</v>
      </c>
      <c r="AB15" s="2">
        <v>3</v>
      </c>
      <c r="AC15" s="2">
        <v>2</v>
      </c>
      <c r="AD15" s="47">
        <v>4</v>
      </c>
    </row>
    <row r="16" spans="1:30" x14ac:dyDescent="0.25">
      <c r="A16" s="2" t="s">
        <v>29</v>
      </c>
      <c r="B16" s="6" t="s">
        <v>124</v>
      </c>
      <c r="C16" s="2" t="s">
        <v>79</v>
      </c>
      <c r="D16" s="34">
        <v>152</v>
      </c>
      <c r="E16" s="4">
        <f t="shared" si="0"/>
        <v>9.5</v>
      </c>
      <c r="F16" s="35">
        <v>21</v>
      </c>
      <c r="G16" s="34">
        <v>8</v>
      </c>
      <c r="H16" s="2">
        <v>8</v>
      </c>
      <c r="I16" s="41">
        <f t="shared" si="1"/>
        <v>0.5</v>
      </c>
      <c r="J16" s="34">
        <v>31</v>
      </c>
      <c r="K16" s="2">
        <v>33</v>
      </c>
      <c r="L16" s="41">
        <f t="shared" si="2"/>
        <v>0.484375</v>
      </c>
      <c r="M16" s="34">
        <v>133</v>
      </c>
      <c r="N16" s="2">
        <v>135</v>
      </c>
      <c r="O16" s="41">
        <f t="shared" si="3"/>
        <v>0.4962686567164179</v>
      </c>
      <c r="P16" s="34">
        <v>2</v>
      </c>
      <c r="Q16" s="2">
        <v>2</v>
      </c>
      <c r="R16" s="2">
        <v>1</v>
      </c>
      <c r="S16" s="2">
        <v>3</v>
      </c>
      <c r="T16" s="1">
        <v>1</v>
      </c>
      <c r="U16" s="2">
        <v>3</v>
      </c>
      <c r="V16" s="2">
        <v>1</v>
      </c>
      <c r="W16" s="2">
        <v>0</v>
      </c>
      <c r="X16" s="2">
        <v>0</v>
      </c>
      <c r="Y16" s="2">
        <v>0</v>
      </c>
      <c r="Z16" s="1">
        <v>1</v>
      </c>
      <c r="AA16" s="2">
        <v>4</v>
      </c>
      <c r="AB16" s="2">
        <v>6</v>
      </c>
      <c r="AC16" s="2">
        <v>2</v>
      </c>
      <c r="AD16" s="47">
        <v>5</v>
      </c>
    </row>
    <row r="17" spans="1:30" x14ac:dyDescent="0.25">
      <c r="A17" s="2" t="s">
        <v>46</v>
      </c>
      <c r="B17" s="2"/>
      <c r="C17" s="2" t="s">
        <v>79</v>
      </c>
      <c r="D17" s="34">
        <v>183</v>
      </c>
      <c r="E17" s="4">
        <f t="shared" si="0"/>
        <v>20.333333333333332</v>
      </c>
      <c r="F17" s="35">
        <v>36</v>
      </c>
      <c r="G17" s="34">
        <v>4</v>
      </c>
      <c r="H17" s="2">
        <v>5</v>
      </c>
      <c r="I17" s="41">
        <f t="shared" si="1"/>
        <v>0.44444444444444442</v>
      </c>
      <c r="J17" s="34">
        <v>16</v>
      </c>
      <c r="K17" s="2">
        <v>20</v>
      </c>
      <c r="L17" s="41">
        <f t="shared" si="2"/>
        <v>0.44444444444444442</v>
      </c>
      <c r="M17" s="34">
        <v>70</v>
      </c>
      <c r="N17" s="2">
        <v>83</v>
      </c>
      <c r="O17" s="41">
        <f t="shared" si="3"/>
        <v>0.45751633986928103</v>
      </c>
      <c r="P17" s="34">
        <v>0</v>
      </c>
      <c r="Q17" s="2">
        <v>1</v>
      </c>
      <c r="R17" s="2">
        <v>1</v>
      </c>
      <c r="S17" s="2">
        <v>1</v>
      </c>
      <c r="T17" s="2">
        <v>0</v>
      </c>
      <c r="U17" s="2">
        <v>5</v>
      </c>
      <c r="V17" s="2">
        <v>0</v>
      </c>
      <c r="W17" s="2">
        <v>1</v>
      </c>
      <c r="X17" s="2">
        <v>0</v>
      </c>
      <c r="Y17" s="2">
        <v>0</v>
      </c>
      <c r="Z17" s="1">
        <v>0</v>
      </c>
      <c r="AA17" s="2">
        <v>1</v>
      </c>
      <c r="AB17" s="2">
        <v>3</v>
      </c>
      <c r="AC17" s="2">
        <v>1</v>
      </c>
      <c r="AD17" s="47">
        <v>2</v>
      </c>
    </row>
    <row r="18" spans="1:30" x14ac:dyDescent="0.25">
      <c r="A18" s="2" t="s">
        <v>28</v>
      </c>
      <c r="B18" s="6" t="s">
        <v>60</v>
      </c>
      <c r="C18" s="2" t="s">
        <v>79</v>
      </c>
      <c r="D18" s="34">
        <v>178</v>
      </c>
      <c r="E18" s="4">
        <f t="shared" si="0"/>
        <v>12.714285714285714</v>
      </c>
      <c r="F18" s="35">
        <v>23</v>
      </c>
      <c r="G18" s="34">
        <v>5</v>
      </c>
      <c r="H18" s="2">
        <v>9</v>
      </c>
      <c r="I18" s="41">
        <f t="shared" si="1"/>
        <v>0.35714285714285715</v>
      </c>
      <c r="J18" s="34">
        <v>23</v>
      </c>
      <c r="K18" s="2">
        <v>34</v>
      </c>
      <c r="L18" s="41">
        <f t="shared" si="2"/>
        <v>0.40350877192982454</v>
      </c>
      <c r="M18" s="34">
        <v>110</v>
      </c>
      <c r="N18" s="2">
        <v>130</v>
      </c>
      <c r="O18" s="41">
        <f t="shared" si="3"/>
        <v>0.45833333333333331</v>
      </c>
      <c r="P18" s="34">
        <v>3</v>
      </c>
      <c r="Q18" s="2">
        <v>0</v>
      </c>
      <c r="R18" s="2">
        <v>1</v>
      </c>
      <c r="S18" s="2">
        <v>0</v>
      </c>
      <c r="T18" s="1">
        <v>1</v>
      </c>
      <c r="U18" s="2">
        <v>2</v>
      </c>
      <c r="V18" s="2">
        <v>1</v>
      </c>
      <c r="W18" s="2">
        <v>0</v>
      </c>
      <c r="X18" s="2">
        <v>1</v>
      </c>
      <c r="Y18" s="2">
        <v>1</v>
      </c>
      <c r="Z18" s="1">
        <v>0</v>
      </c>
      <c r="AA18" s="2">
        <v>1</v>
      </c>
      <c r="AB18" s="2">
        <v>3</v>
      </c>
      <c r="AC18" s="2">
        <v>2</v>
      </c>
      <c r="AD18" s="47">
        <v>7</v>
      </c>
    </row>
    <row r="19" spans="1:30" x14ac:dyDescent="0.25">
      <c r="A19" s="2" t="s">
        <v>53</v>
      </c>
      <c r="B19" s="6" t="s">
        <v>60</v>
      </c>
      <c r="C19" s="6" t="s">
        <v>79</v>
      </c>
      <c r="D19" s="34">
        <v>43</v>
      </c>
      <c r="E19" s="4">
        <f t="shared" si="0"/>
        <v>14.333333333333334</v>
      </c>
      <c r="F19" s="35">
        <v>25</v>
      </c>
      <c r="G19" s="36">
        <v>2</v>
      </c>
      <c r="H19" s="1">
        <v>1</v>
      </c>
      <c r="I19" s="42">
        <f t="shared" si="1"/>
        <v>0.66666666666666663</v>
      </c>
      <c r="J19" s="36">
        <v>6</v>
      </c>
      <c r="K19" s="1">
        <v>7</v>
      </c>
      <c r="L19" s="42">
        <f t="shared" si="2"/>
        <v>0.46153846153846156</v>
      </c>
      <c r="M19" s="36">
        <v>27</v>
      </c>
      <c r="N19" s="1">
        <v>26</v>
      </c>
      <c r="O19" s="42">
        <f t="shared" si="3"/>
        <v>0.50943396226415094</v>
      </c>
      <c r="P19" s="34">
        <v>0</v>
      </c>
      <c r="Q19" s="2">
        <v>0</v>
      </c>
      <c r="R19" s="2">
        <v>0</v>
      </c>
      <c r="S19" s="2">
        <v>1</v>
      </c>
      <c r="T19" s="2">
        <v>2</v>
      </c>
      <c r="U19" s="2">
        <v>1</v>
      </c>
      <c r="V19" s="2">
        <v>2</v>
      </c>
      <c r="W19" s="2">
        <v>0</v>
      </c>
      <c r="X19" s="2">
        <v>0</v>
      </c>
      <c r="Y19" s="2">
        <v>0</v>
      </c>
      <c r="Z19" s="1">
        <v>0</v>
      </c>
      <c r="AA19" s="2">
        <v>0</v>
      </c>
      <c r="AB19" s="2">
        <v>0</v>
      </c>
      <c r="AC19" s="2">
        <v>0</v>
      </c>
      <c r="AD19" s="47">
        <v>0</v>
      </c>
    </row>
    <row r="20" spans="1:30" x14ac:dyDescent="0.25">
      <c r="A20" s="2" t="s">
        <v>51</v>
      </c>
      <c r="B20" s="2" t="s">
        <v>79</v>
      </c>
      <c r="C20" s="2" t="s">
        <v>79</v>
      </c>
      <c r="D20" s="34">
        <v>167</v>
      </c>
      <c r="E20" s="4">
        <f t="shared" si="0"/>
        <v>13.916666666666666</v>
      </c>
      <c r="F20" s="35">
        <v>22</v>
      </c>
      <c r="G20" s="36">
        <v>7</v>
      </c>
      <c r="H20" s="1">
        <v>5</v>
      </c>
      <c r="I20" s="42">
        <f t="shared" si="1"/>
        <v>0.58333333333333337</v>
      </c>
      <c r="J20" s="36">
        <v>27</v>
      </c>
      <c r="K20" s="1">
        <v>23</v>
      </c>
      <c r="L20" s="42">
        <f t="shared" si="2"/>
        <v>0.54</v>
      </c>
      <c r="M20" s="36">
        <v>104</v>
      </c>
      <c r="N20" s="1">
        <v>99</v>
      </c>
      <c r="O20" s="42">
        <f t="shared" si="3"/>
        <v>0.51231527093596063</v>
      </c>
      <c r="P20" s="34">
        <v>4</v>
      </c>
      <c r="Q20" s="2">
        <v>1</v>
      </c>
      <c r="R20" s="2">
        <v>0</v>
      </c>
      <c r="S20" s="2">
        <v>3</v>
      </c>
      <c r="T20" s="1">
        <v>0</v>
      </c>
      <c r="U20" s="2">
        <v>3</v>
      </c>
      <c r="V20" s="2">
        <v>0</v>
      </c>
      <c r="W20" s="2">
        <v>1</v>
      </c>
      <c r="X20" s="2">
        <v>0</v>
      </c>
      <c r="Y20" s="2">
        <v>0</v>
      </c>
      <c r="Z20" s="1">
        <v>1</v>
      </c>
      <c r="AA20" s="2">
        <v>5</v>
      </c>
      <c r="AB20" s="2">
        <v>4</v>
      </c>
      <c r="AC20" s="2">
        <v>2</v>
      </c>
      <c r="AD20" s="47">
        <v>3</v>
      </c>
    </row>
    <row r="21" spans="1:30" ht="15.75" x14ac:dyDescent="0.25">
      <c r="A21" s="2" t="s">
        <v>20</v>
      </c>
      <c r="B21" s="80" t="s">
        <v>60</v>
      </c>
      <c r="C21" s="2" t="s">
        <v>79</v>
      </c>
      <c r="D21" s="34">
        <v>213</v>
      </c>
      <c r="E21" s="4">
        <f t="shared" si="0"/>
        <v>13.3125</v>
      </c>
      <c r="F21" s="35">
        <v>28</v>
      </c>
      <c r="G21" s="34">
        <v>6</v>
      </c>
      <c r="H21" s="2">
        <v>10</v>
      </c>
      <c r="I21" s="41">
        <f t="shared" si="1"/>
        <v>0.375</v>
      </c>
      <c r="J21" s="34">
        <v>32</v>
      </c>
      <c r="K21" s="2">
        <v>35</v>
      </c>
      <c r="L21" s="41">
        <f t="shared" si="2"/>
        <v>0.47761194029850745</v>
      </c>
      <c r="M21" s="34">
        <v>140</v>
      </c>
      <c r="N21" s="2">
        <v>142</v>
      </c>
      <c r="O21" s="41">
        <f t="shared" si="3"/>
        <v>0.49645390070921985</v>
      </c>
      <c r="P21" s="34">
        <v>1</v>
      </c>
      <c r="Q21" s="2">
        <v>3</v>
      </c>
      <c r="R21" s="2">
        <v>0</v>
      </c>
      <c r="S21" s="2">
        <v>6</v>
      </c>
      <c r="T21" s="1">
        <v>0</v>
      </c>
      <c r="U21" s="2">
        <v>3</v>
      </c>
      <c r="V21" s="2">
        <v>1</v>
      </c>
      <c r="W21" s="2">
        <v>1</v>
      </c>
      <c r="X21" s="2">
        <v>0</v>
      </c>
      <c r="Y21" s="2">
        <v>0</v>
      </c>
      <c r="Z21" s="1">
        <v>2</v>
      </c>
      <c r="AA21" s="2">
        <v>7</v>
      </c>
      <c r="AB21" s="2">
        <v>5</v>
      </c>
      <c r="AC21" s="2">
        <v>1</v>
      </c>
      <c r="AD21" s="47">
        <v>2</v>
      </c>
    </row>
    <row r="22" spans="1:30" x14ac:dyDescent="0.25">
      <c r="A22" s="1" t="s">
        <v>47</v>
      </c>
      <c r="B22" s="2" t="s">
        <v>79</v>
      </c>
      <c r="C22" s="2" t="s">
        <v>79</v>
      </c>
      <c r="D22" s="34">
        <v>36</v>
      </c>
      <c r="E22" s="4">
        <f t="shared" si="0"/>
        <v>9</v>
      </c>
      <c r="F22" s="37">
        <v>13</v>
      </c>
      <c r="G22" s="36">
        <v>2</v>
      </c>
      <c r="H22" s="1">
        <v>2</v>
      </c>
      <c r="I22" s="42">
        <f t="shared" si="1"/>
        <v>0.5</v>
      </c>
      <c r="J22" s="36">
        <v>9</v>
      </c>
      <c r="K22" s="1">
        <v>7</v>
      </c>
      <c r="L22" s="42">
        <f t="shared" si="2"/>
        <v>0.5625</v>
      </c>
      <c r="M22" s="36">
        <v>38</v>
      </c>
      <c r="N22" s="1">
        <v>34</v>
      </c>
      <c r="O22" s="42">
        <f t="shared" si="3"/>
        <v>0.52777777777777779</v>
      </c>
      <c r="P22" s="34">
        <v>0</v>
      </c>
      <c r="Q22" s="2">
        <v>0</v>
      </c>
      <c r="R22" s="2">
        <v>1</v>
      </c>
      <c r="S22" s="2">
        <v>1</v>
      </c>
      <c r="T22" s="2">
        <v>0</v>
      </c>
      <c r="U22" s="2">
        <v>1</v>
      </c>
      <c r="V22" s="2">
        <v>0</v>
      </c>
      <c r="W22" s="2">
        <v>0</v>
      </c>
      <c r="X22" s="2">
        <v>0</v>
      </c>
      <c r="Y22" s="2">
        <v>0</v>
      </c>
      <c r="Z22" s="1">
        <v>0</v>
      </c>
      <c r="AA22" s="2">
        <v>3</v>
      </c>
      <c r="AB22" s="2">
        <v>1</v>
      </c>
      <c r="AC22" s="2">
        <v>0</v>
      </c>
      <c r="AD22" s="47">
        <v>2</v>
      </c>
    </row>
    <row r="23" spans="1:30" x14ac:dyDescent="0.25">
      <c r="A23" s="2" t="s">
        <v>3</v>
      </c>
      <c r="B23" s="6" t="s">
        <v>60</v>
      </c>
      <c r="C23" s="6" t="s">
        <v>60</v>
      </c>
      <c r="D23" s="34">
        <v>230</v>
      </c>
      <c r="E23" s="4">
        <f t="shared" si="0"/>
        <v>23</v>
      </c>
      <c r="F23" s="35">
        <v>44</v>
      </c>
      <c r="G23" s="34">
        <v>6</v>
      </c>
      <c r="H23" s="2">
        <v>4</v>
      </c>
      <c r="I23" s="41">
        <f t="shared" si="1"/>
        <v>0.6</v>
      </c>
      <c r="J23" s="34">
        <v>22</v>
      </c>
      <c r="K23" s="2">
        <v>21</v>
      </c>
      <c r="L23" s="41">
        <f t="shared" si="2"/>
        <v>0.51162790697674421</v>
      </c>
      <c r="M23" s="34">
        <v>87</v>
      </c>
      <c r="N23" s="2">
        <v>88</v>
      </c>
      <c r="O23" s="41">
        <f t="shared" si="3"/>
        <v>0.49714285714285716</v>
      </c>
      <c r="P23" s="34">
        <v>2</v>
      </c>
      <c r="Q23" s="2">
        <v>3</v>
      </c>
      <c r="R23" s="2">
        <v>1</v>
      </c>
      <c r="S23" s="2">
        <v>1</v>
      </c>
      <c r="T23" s="2">
        <v>2</v>
      </c>
      <c r="U23" s="2">
        <v>2</v>
      </c>
      <c r="V23" s="2">
        <v>3</v>
      </c>
      <c r="W23" s="2">
        <v>0</v>
      </c>
      <c r="X23" s="2">
        <v>0</v>
      </c>
      <c r="Y23" s="2">
        <v>0</v>
      </c>
      <c r="Z23" s="1">
        <v>1</v>
      </c>
      <c r="AA23" s="2">
        <v>0</v>
      </c>
      <c r="AB23" s="2">
        <v>3</v>
      </c>
      <c r="AC23" s="2">
        <v>2</v>
      </c>
      <c r="AD23" s="47">
        <v>1</v>
      </c>
    </row>
    <row r="24" spans="1:30" x14ac:dyDescent="0.25">
      <c r="A24" s="2" t="s">
        <v>15</v>
      </c>
      <c r="B24" s="2" t="s">
        <v>79</v>
      </c>
      <c r="C24" s="2" t="s">
        <v>79</v>
      </c>
      <c r="D24" s="34">
        <v>445</v>
      </c>
      <c r="E24" s="4">
        <f t="shared" si="0"/>
        <v>26.176470588235293</v>
      </c>
      <c r="F24" s="35">
        <v>55</v>
      </c>
      <c r="G24" s="34">
        <v>4</v>
      </c>
      <c r="H24" s="2">
        <v>13</v>
      </c>
      <c r="I24" s="41">
        <f t="shared" si="1"/>
        <v>0.23529411764705882</v>
      </c>
      <c r="J24" s="34">
        <v>28</v>
      </c>
      <c r="K24" s="2">
        <v>42</v>
      </c>
      <c r="L24" s="41">
        <f t="shared" si="2"/>
        <v>0.4</v>
      </c>
      <c r="M24" s="34">
        <v>136</v>
      </c>
      <c r="N24" s="2">
        <v>159</v>
      </c>
      <c r="O24" s="41">
        <f t="shared" si="3"/>
        <v>0.46101694915254238</v>
      </c>
      <c r="P24" s="34">
        <v>2</v>
      </c>
      <c r="Q24" s="2">
        <v>0</v>
      </c>
      <c r="R24" s="2">
        <v>0</v>
      </c>
      <c r="S24" s="2">
        <v>3</v>
      </c>
      <c r="T24" s="1">
        <v>0</v>
      </c>
      <c r="U24" s="2">
        <v>4</v>
      </c>
      <c r="V24" s="2">
        <v>1</v>
      </c>
      <c r="W24" s="2">
        <v>0</v>
      </c>
      <c r="X24" s="2">
        <v>0</v>
      </c>
      <c r="Y24" s="2">
        <v>0</v>
      </c>
      <c r="Z24" s="1">
        <v>0</v>
      </c>
      <c r="AA24" s="2">
        <v>5</v>
      </c>
      <c r="AB24" s="2">
        <v>6</v>
      </c>
      <c r="AC24" s="2">
        <v>2</v>
      </c>
      <c r="AD24" s="47">
        <v>5</v>
      </c>
    </row>
    <row r="25" spans="1:30" x14ac:dyDescent="0.25">
      <c r="A25" s="1" t="s">
        <v>43</v>
      </c>
      <c r="B25" s="2" t="s">
        <v>79</v>
      </c>
      <c r="C25" s="2" t="s">
        <v>79</v>
      </c>
      <c r="D25" s="36">
        <v>4</v>
      </c>
      <c r="E25" s="4">
        <f t="shared" si="0"/>
        <v>4</v>
      </c>
      <c r="F25" s="35">
        <v>4</v>
      </c>
      <c r="G25" s="36">
        <v>1</v>
      </c>
      <c r="H25" s="1">
        <v>0</v>
      </c>
      <c r="I25" s="42">
        <f t="shared" si="1"/>
        <v>1</v>
      </c>
      <c r="J25" s="36">
        <v>3</v>
      </c>
      <c r="K25" s="1">
        <v>0</v>
      </c>
      <c r="L25" s="42">
        <f t="shared" si="2"/>
        <v>1</v>
      </c>
      <c r="M25" s="36">
        <v>9</v>
      </c>
      <c r="N25" s="1">
        <v>4</v>
      </c>
      <c r="O25" s="42">
        <f t="shared" si="3"/>
        <v>0.69230769230769229</v>
      </c>
      <c r="P25" s="34">
        <v>0</v>
      </c>
      <c r="Q25" s="2">
        <v>0</v>
      </c>
      <c r="R25" s="2">
        <v>0</v>
      </c>
      <c r="S25" s="2">
        <v>0</v>
      </c>
      <c r="T25" s="2">
        <v>0</v>
      </c>
      <c r="U25" s="1">
        <v>1</v>
      </c>
      <c r="V25" s="2">
        <v>0</v>
      </c>
      <c r="W25" s="2">
        <v>0</v>
      </c>
      <c r="X25" s="2">
        <v>0</v>
      </c>
      <c r="Y25" s="2">
        <v>0</v>
      </c>
      <c r="Z25" s="1">
        <v>0</v>
      </c>
      <c r="AA25" s="2">
        <v>0</v>
      </c>
      <c r="AB25" s="1">
        <v>1</v>
      </c>
      <c r="AC25" s="2">
        <v>0</v>
      </c>
      <c r="AD25" s="65">
        <v>1</v>
      </c>
    </row>
    <row r="26" spans="1:30" x14ac:dyDescent="0.25">
      <c r="A26" s="2" t="s">
        <v>13</v>
      </c>
      <c r="B26" s="6" t="s">
        <v>124</v>
      </c>
      <c r="C26" s="6" t="s">
        <v>60</v>
      </c>
      <c r="D26" s="34">
        <v>640</v>
      </c>
      <c r="E26" s="4">
        <f t="shared" si="0"/>
        <v>27.826086956521738</v>
      </c>
      <c r="F26" s="35">
        <v>57</v>
      </c>
      <c r="G26" s="34">
        <v>16</v>
      </c>
      <c r="H26" s="2">
        <v>7</v>
      </c>
      <c r="I26" s="41">
        <f t="shared" si="1"/>
        <v>0.69565217391304346</v>
      </c>
      <c r="J26" s="34">
        <v>54</v>
      </c>
      <c r="K26" s="2">
        <v>39</v>
      </c>
      <c r="L26" s="41">
        <f t="shared" si="2"/>
        <v>0.58064516129032262</v>
      </c>
      <c r="M26" s="34">
        <v>209</v>
      </c>
      <c r="N26" s="2">
        <v>173</v>
      </c>
      <c r="O26" s="41">
        <f t="shared" si="3"/>
        <v>0.54712041884816753</v>
      </c>
      <c r="P26" s="34">
        <v>2</v>
      </c>
      <c r="Q26" s="2">
        <v>6</v>
      </c>
      <c r="R26" s="2">
        <v>2</v>
      </c>
      <c r="S26" s="2">
        <v>7</v>
      </c>
      <c r="T26" s="2">
        <v>2</v>
      </c>
      <c r="U26" s="2">
        <v>8</v>
      </c>
      <c r="V26" s="2">
        <v>3</v>
      </c>
      <c r="W26" s="2">
        <v>1</v>
      </c>
      <c r="X26" s="2">
        <v>1</v>
      </c>
      <c r="Y26" s="2">
        <v>1</v>
      </c>
      <c r="Z26" s="1">
        <v>2</v>
      </c>
      <c r="AA26" s="2">
        <v>6</v>
      </c>
      <c r="AB26" s="2">
        <v>6</v>
      </c>
      <c r="AC26" s="2">
        <v>0</v>
      </c>
      <c r="AD26" s="47">
        <v>7</v>
      </c>
    </row>
    <row r="27" spans="1:30" x14ac:dyDescent="0.25">
      <c r="A27" s="2" t="s">
        <v>2</v>
      </c>
      <c r="B27" s="6" t="s">
        <v>60</v>
      </c>
      <c r="C27" s="2" t="s">
        <v>79</v>
      </c>
      <c r="D27" s="34">
        <v>297</v>
      </c>
      <c r="E27" s="4">
        <f t="shared" si="0"/>
        <v>27</v>
      </c>
      <c r="F27" s="35">
        <v>42</v>
      </c>
      <c r="G27" s="34">
        <v>6</v>
      </c>
      <c r="H27" s="2">
        <v>5</v>
      </c>
      <c r="I27" s="41">
        <f t="shared" si="1"/>
        <v>0.54545454545454541</v>
      </c>
      <c r="J27" s="34">
        <v>25</v>
      </c>
      <c r="K27" s="2">
        <v>21</v>
      </c>
      <c r="L27" s="41">
        <f t="shared" si="2"/>
        <v>0.54347826086956519</v>
      </c>
      <c r="M27" s="34">
        <v>102</v>
      </c>
      <c r="N27" s="2">
        <v>91</v>
      </c>
      <c r="O27" s="41">
        <f t="shared" si="3"/>
        <v>0.52849740932642486</v>
      </c>
      <c r="P27" s="34">
        <v>2</v>
      </c>
      <c r="Q27" s="2">
        <v>2</v>
      </c>
      <c r="R27" s="2">
        <v>2</v>
      </c>
      <c r="S27" s="2">
        <v>4</v>
      </c>
      <c r="T27" s="2">
        <v>0</v>
      </c>
      <c r="U27" s="2">
        <v>3</v>
      </c>
      <c r="V27" s="2">
        <v>0</v>
      </c>
      <c r="W27" s="2">
        <v>0</v>
      </c>
      <c r="X27" s="2">
        <v>0</v>
      </c>
      <c r="Y27" s="2">
        <v>0</v>
      </c>
      <c r="Z27" s="1">
        <v>0</v>
      </c>
      <c r="AA27" s="2">
        <v>5</v>
      </c>
      <c r="AB27" s="2">
        <v>0</v>
      </c>
      <c r="AC27" s="2">
        <v>4</v>
      </c>
      <c r="AD27" s="47">
        <v>3</v>
      </c>
    </row>
    <row r="28" spans="1:30" x14ac:dyDescent="0.25">
      <c r="A28" s="2" t="s">
        <v>54</v>
      </c>
      <c r="B28" s="6" t="s">
        <v>60</v>
      </c>
      <c r="C28" s="6" t="s">
        <v>79</v>
      </c>
      <c r="D28" s="34">
        <v>65</v>
      </c>
      <c r="E28" s="4">
        <f t="shared" si="0"/>
        <v>21.666666666666668</v>
      </c>
      <c r="F28" s="35">
        <v>29</v>
      </c>
      <c r="G28" s="36">
        <v>3</v>
      </c>
      <c r="H28" s="1">
        <v>0</v>
      </c>
      <c r="I28" s="42">
        <f t="shared" si="1"/>
        <v>1</v>
      </c>
      <c r="J28" s="36">
        <v>9</v>
      </c>
      <c r="K28" s="1">
        <v>6</v>
      </c>
      <c r="L28" s="42">
        <f t="shared" si="2"/>
        <v>0.6</v>
      </c>
      <c r="M28" s="36">
        <v>36</v>
      </c>
      <c r="N28" s="1">
        <v>26</v>
      </c>
      <c r="O28" s="42">
        <f t="shared" si="3"/>
        <v>0.58064516129032262</v>
      </c>
      <c r="P28" s="34">
        <v>0</v>
      </c>
      <c r="Q28" s="2">
        <v>1</v>
      </c>
      <c r="R28" s="2">
        <v>0</v>
      </c>
      <c r="S28" s="2">
        <v>1</v>
      </c>
      <c r="T28" s="2">
        <v>2</v>
      </c>
      <c r="U28" s="2">
        <v>1</v>
      </c>
      <c r="V28" s="2">
        <v>2</v>
      </c>
      <c r="W28" s="2">
        <v>0</v>
      </c>
      <c r="X28" s="2">
        <v>0</v>
      </c>
      <c r="Y28" s="2">
        <v>0</v>
      </c>
      <c r="Z28" s="1">
        <v>1</v>
      </c>
      <c r="AA28" s="2">
        <v>1</v>
      </c>
      <c r="AB28" s="2">
        <v>0</v>
      </c>
      <c r="AC28" s="2">
        <v>0</v>
      </c>
      <c r="AD28" s="47">
        <v>0</v>
      </c>
    </row>
    <row r="29" spans="1:30" x14ac:dyDescent="0.25">
      <c r="A29" s="2" t="s">
        <v>5</v>
      </c>
      <c r="B29" s="6" t="s">
        <v>60</v>
      </c>
      <c r="C29" s="2" t="s">
        <v>79</v>
      </c>
      <c r="D29" s="34">
        <v>216</v>
      </c>
      <c r="E29" s="4">
        <f t="shared" si="0"/>
        <v>24</v>
      </c>
      <c r="F29" s="35">
        <v>36</v>
      </c>
      <c r="G29" s="34">
        <v>4</v>
      </c>
      <c r="H29" s="2">
        <v>5</v>
      </c>
      <c r="I29" s="41">
        <f t="shared" si="1"/>
        <v>0.44444444444444442</v>
      </c>
      <c r="J29" s="34">
        <v>18</v>
      </c>
      <c r="K29" s="2">
        <v>21</v>
      </c>
      <c r="L29" s="41">
        <f t="shared" si="2"/>
        <v>0.46153846153846156</v>
      </c>
      <c r="M29" s="34">
        <v>79</v>
      </c>
      <c r="N29" s="2">
        <v>86</v>
      </c>
      <c r="O29" s="41">
        <f t="shared" si="3"/>
        <v>0.47878787878787876</v>
      </c>
      <c r="P29" s="34">
        <v>1</v>
      </c>
      <c r="Q29" s="2">
        <v>1</v>
      </c>
      <c r="R29" s="2">
        <v>2</v>
      </c>
      <c r="S29" s="2">
        <v>2</v>
      </c>
      <c r="T29" s="1">
        <v>1</v>
      </c>
      <c r="U29" s="2">
        <v>1</v>
      </c>
      <c r="V29" s="2">
        <v>0</v>
      </c>
      <c r="W29" s="2">
        <v>0</v>
      </c>
      <c r="X29" s="2">
        <v>0</v>
      </c>
      <c r="Y29" s="2">
        <v>0</v>
      </c>
      <c r="Z29" s="1">
        <v>0</v>
      </c>
      <c r="AA29" s="2">
        <v>1</v>
      </c>
      <c r="AB29" s="2">
        <v>4</v>
      </c>
      <c r="AC29" s="2">
        <v>3</v>
      </c>
      <c r="AD29" s="47">
        <v>2</v>
      </c>
    </row>
    <row r="30" spans="1:30" x14ac:dyDescent="0.25">
      <c r="A30" s="2" t="s">
        <v>38</v>
      </c>
      <c r="B30" s="2" t="s">
        <v>79</v>
      </c>
      <c r="C30" s="2" t="s">
        <v>79</v>
      </c>
      <c r="D30" s="34">
        <v>17</v>
      </c>
      <c r="E30" s="4">
        <f t="shared" si="0"/>
        <v>2.8333333333333335</v>
      </c>
      <c r="F30" s="35">
        <v>6</v>
      </c>
      <c r="G30" s="34">
        <v>3</v>
      </c>
      <c r="H30" s="2">
        <v>3</v>
      </c>
      <c r="I30" s="41">
        <f t="shared" si="1"/>
        <v>0.5</v>
      </c>
      <c r="J30" s="34">
        <v>11</v>
      </c>
      <c r="K30" s="2">
        <v>10</v>
      </c>
      <c r="L30" s="41">
        <f t="shared" si="2"/>
        <v>0.52380952380952384</v>
      </c>
      <c r="M30" s="34">
        <v>41</v>
      </c>
      <c r="N30" s="2">
        <v>45</v>
      </c>
      <c r="O30" s="41">
        <f t="shared" si="3"/>
        <v>0.47674418604651164</v>
      </c>
      <c r="P30" s="34">
        <v>1</v>
      </c>
      <c r="Q30" s="2">
        <v>1</v>
      </c>
      <c r="R30" s="2">
        <v>1</v>
      </c>
      <c r="S30" s="2">
        <v>1</v>
      </c>
      <c r="T30" s="2">
        <v>0</v>
      </c>
      <c r="U30" s="2">
        <v>3</v>
      </c>
      <c r="V30" s="2">
        <v>0</v>
      </c>
      <c r="W30" s="2">
        <v>1</v>
      </c>
      <c r="X30" s="2">
        <v>0</v>
      </c>
      <c r="Y30" s="2">
        <v>0</v>
      </c>
      <c r="Z30" s="1">
        <v>0</v>
      </c>
      <c r="AA30" s="2">
        <v>1</v>
      </c>
      <c r="AB30" s="2">
        <v>1</v>
      </c>
      <c r="AC30" s="2">
        <v>0</v>
      </c>
      <c r="AD30" s="47">
        <v>1</v>
      </c>
    </row>
    <row r="31" spans="1:30" x14ac:dyDescent="0.25">
      <c r="A31" s="2" t="s">
        <v>40</v>
      </c>
      <c r="B31" s="2" t="s">
        <v>79</v>
      </c>
      <c r="C31" s="2" t="s">
        <v>79</v>
      </c>
      <c r="D31" s="34">
        <v>37</v>
      </c>
      <c r="E31" s="4">
        <f t="shared" si="0"/>
        <v>12.333333333333334</v>
      </c>
      <c r="F31" s="35">
        <v>16</v>
      </c>
      <c r="G31" s="36">
        <v>0</v>
      </c>
      <c r="H31" s="1">
        <v>3</v>
      </c>
      <c r="I31" s="42">
        <f t="shared" si="1"/>
        <v>0</v>
      </c>
      <c r="J31" s="36">
        <v>2</v>
      </c>
      <c r="K31" s="1">
        <v>10</v>
      </c>
      <c r="L31" s="42">
        <f t="shared" si="2"/>
        <v>0.16666666666666666</v>
      </c>
      <c r="M31" s="36">
        <v>15</v>
      </c>
      <c r="N31" s="1">
        <v>30</v>
      </c>
      <c r="O31" s="42">
        <f t="shared" si="3"/>
        <v>0.33333333333333331</v>
      </c>
      <c r="P31" s="36">
        <v>1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1">
        <v>0</v>
      </c>
      <c r="AA31" s="2">
        <v>0</v>
      </c>
      <c r="AB31" s="2">
        <v>0</v>
      </c>
      <c r="AC31" s="2">
        <v>0</v>
      </c>
      <c r="AD31" s="47">
        <v>1</v>
      </c>
    </row>
    <row r="32" spans="1:30" x14ac:dyDescent="0.25">
      <c r="A32" s="2" t="s">
        <v>17</v>
      </c>
      <c r="B32" s="2" t="s">
        <v>79</v>
      </c>
      <c r="C32" s="2" t="s">
        <v>79</v>
      </c>
      <c r="D32" s="34">
        <v>555</v>
      </c>
      <c r="E32" s="4">
        <f t="shared" si="0"/>
        <v>25.227272727272727</v>
      </c>
      <c r="F32" s="35">
        <v>49</v>
      </c>
      <c r="G32" s="34">
        <v>10</v>
      </c>
      <c r="H32" s="2">
        <v>12</v>
      </c>
      <c r="I32" s="41">
        <f t="shared" si="1"/>
        <v>0.45454545454545453</v>
      </c>
      <c r="J32" s="34">
        <v>46</v>
      </c>
      <c r="K32" s="2">
        <v>43</v>
      </c>
      <c r="L32" s="41">
        <f t="shared" si="2"/>
        <v>0.5168539325842697</v>
      </c>
      <c r="M32" s="34">
        <v>196</v>
      </c>
      <c r="N32" s="2">
        <v>177</v>
      </c>
      <c r="O32" s="41">
        <f t="shared" si="3"/>
        <v>0.52546916890080431</v>
      </c>
      <c r="P32" s="34">
        <v>5</v>
      </c>
      <c r="Q32" s="2">
        <v>2</v>
      </c>
      <c r="R32" s="2">
        <v>2</v>
      </c>
      <c r="S32" s="2">
        <v>4</v>
      </c>
      <c r="T32" s="1">
        <v>0</v>
      </c>
      <c r="U32" s="2">
        <v>9</v>
      </c>
      <c r="V32" s="2">
        <v>2</v>
      </c>
      <c r="W32" s="2">
        <v>0</v>
      </c>
      <c r="X32" s="2">
        <v>1</v>
      </c>
      <c r="Y32" s="2">
        <v>1</v>
      </c>
      <c r="Z32" s="2">
        <v>0</v>
      </c>
      <c r="AA32" s="2">
        <v>6</v>
      </c>
      <c r="AB32" s="2">
        <v>4</v>
      </c>
      <c r="AC32" s="2">
        <v>3</v>
      </c>
      <c r="AD32" s="47">
        <v>7</v>
      </c>
    </row>
    <row r="33" spans="1:30" x14ac:dyDescent="0.25">
      <c r="A33" s="2" t="s">
        <v>6</v>
      </c>
      <c r="B33" s="2" t="s">
        <v>79</v>
      </c>
      <c r="C33" s="2" t="s">
        <v>79</v>
      </c>
      <c r="D33" s="34">
        <v>306</v>
      </c>
      <c r="E33" s="4">
        <f t="shared" si="0"/>
        <v>23.53846153846154</v>
      </c>
      <c r="F33" s="35">
        <v>43</v>
      </c>
      <c r="G33" s="34">
        <v>9</v>
      </c>
      <c r="H33" s="2">
        <v>4</v>
      </c>
      <c r="I33" s="41">
        <f t="shared" si="1"/>
        <v>0.69230769230769229</v>
      </c>
      <c r="J33" s="34">
        <v>31</v>
      </c>
      <c r="K33" s="2">
        <v>22</v>
      </c>
      <c r="L33" s="41">
        <f t="shared" si="2"/>
        <v>0.58490566037735847</v>
      </c>
      <c r="M33" s="34">
        <v>117</v>
      </c>
      <c r="N33" s="2">
        <v>108</v>
      </c>
      <c r="O33" s="41">
        <f t="shared" si="3"/>
        <v>0.52</v>
      </c>
      <c r="P33" s="34">
        <v>1</v>
      </c>
      <c r="Q33" s="2">
        <v>3</v>
      </c>
      <c r="R33" s="2">
        <v>1</v>
      </c>
      <c r="S33" s="2">
        <v>1</v>
      </c>
      <c r="T33" s="1">
        <v>0</v>
      </c>
      <c r="U33" s="2">
        <v>7</v>
      </c>
      <c r="V33" s="2">
        <v>0</v>
      </c>
      <c r="W33" s="2">
        <v>1</v>
      </c>
      <c r="X33" s="2">
        <v>0</v>
      </c>
      <c r="Y33" s="2">
        <v>0</v>
      </c>
      <c r="Z33" s="2">
        <v>1</v>
      </c>
      <c r="AA33" s="2">
        <v>4</v>
      </c>
      <c r="AB33" s="2">
        <v>5</v>
      </c>
      <c r="AC33" s="2">
        <v>2</v>
      </c>
      <c r="AD33" s="47">
        <v>5</v>
      </c>
    </row>
    <row r="34" spans="1:30" x14ac:dyDescent="0.25">
      <c r="A34" s="2" t="s">
        <v>18</v>
      </c>
      <c r="B34" s="2" t="s">
        <v>79</v>
      </c>
      <c r="C34" s="2" t="s">
        <v>79</v>
      </c>
      <c r="D34" s="34">
        <v>293</v>
      </c>
      <c r="E34" s="4">
        <f t="shared" si="0"/>
        <v>26.636363636363637</v>
      </c>
      <c r="F34" s="35">
        <v>41</v>
      </c>
      <c r="G34" s="34">
        <v>4</v>
      </c>
      <c r="H34" s="2">
        <v>7</v>
      </c>
      <c r="I34" s="41">
        <f t="shared" si="1"/>
        <v>0.36363636363636365</v>
      </c>
      <c r="J34" s="34">
        <v>20</v>
      </c>
      <c r="K34" s="2">
        <v>26</v>
      </c>
      <c r="L34" s="41">
        <f t="shared" si="2"/>
        <v>0.43478260869565216</v>
      </c>
      <c r="M34" s="34">
        <v>88</v>
      </c>
      <c r="N34" s="2">
        <v>94</v>
      </c>
      <c r="O34" s="41">
        <f t="shared" si="3"/>
        <v>0.48351648351648352</v>
      </c>
      <c r="P34" s="34">
        <v>2</v>
      </c>
      <c r="Q34" s="2">
        <v>0</v>
      </c>
      <c r="R34" s="2">
        <v>0</v>
      </c>
      <c r="S34" s="2">
        <v>4</v>
      </c>
      <c r="T34" s="2">
        <v>0</v>
      </c>
      <c r="U34" s="2">
        <v>3</v>
      </c>
      <c r="V34" s="2">
        <v>1</v>
      </c>
      <c r="W34" s="2">
        <v>1</v>
      </c>
      <c r="X34" s="2">
        <v>0</v>
      </c>
      <c r="Y34" s="2">
        <v>0</v>
      </c>
      <c r="Z34" s="1">
        <v>0</v>
      </c>
      <c r="AA34" s="2">
        <v>3</v>
      </c>
      <c r="AB34" s="2">
        <v>4</v>
      </c>
      <c r="AC34" s="2">
        <v>0</v>
      </c>
      <c r="AD34" s="47">
        <v>2</v>
      </c>
    </row>
    <row r="35" spans="1:30" x14ac:dyDescent="0.25">
      <c r="A35" s="2" t="s">
        <v>14</v>
      </c>
      <c r="B35" s="6" t="s">
        <v>60</v>
      </c>
      <c r="C35" s="6" t="s">
        <v>60</v>
      </c>
      <c r="D35" s="34">
        <v>478</v>
      </c>
      <c r="E35" s="4">
        <f t="shared" si="0"/>
        <v>25.157894736842106</v>
      </c>
      <c r="F35" s="35">
        <v>56</v>
      </c>
      <c r="G35" s="34">
        <v>10</v>
      </c>
      <c r="H35" s="2">
        <v>9</v>
      </c>
      <c r="I35" s="41">
        <f t="shared" si="1"/>
        <v>0.52631578947368418</v>
      </c>
      <c r="J35" s="34">
        <v>39</v>
      </c>
      <c r="K35" s="2">
        <v>38</v>
      </c>
      <c r="L35" s="41">
        <f t="shared" si="2"/>
        <v>0.50649350649350644</v>
      </c>
      <c r="M35" s="34">
        <v>159</v>
      </c>
      <c r="N35" s="2">
        <v>163</v>
      </c>
      <c r="O35" s="41">
        <f t="shared" si="3"/>
        <v>0.49378881987577639</v>
      </c>
      <c r="P35" s="34">
        <v>3</v>
      </c>
      <c r="Q35" s="2">
        <v>3</v>
      </c>
      <c r="R35" s="2">
        <v>2</v>
      </c>
      <c r="S35" s="2">
        <v>3</v>
      </c>
      <c r="T35" s="1">
        <v>1</v>
      </c>
      <c r="U35" s="2">
        <v>4</v>
      </c>
      <c r="V35" s="2">
        <v>0</v>
      </c>
      <c r="W35" s="2">
        <v>1</v>
      </c>
      <c r="X35" s="2">
        <v>0</v>
      </c>
      <c r="Y35" s="2">
        <v>0</v>
      </c>
      <c r="Z35" s="2">
        <v>2</v>
      </c>
      <c r="AA35" s="2">
        <v>5</v>
      </c>
      <c r="AB35" s="2">
        <v>10</v>
      </c>
      <c r="AC35" s="2">
        <v>2</v>
      </c>
      <c r="AD35" s="47">
        <v>3</v>
      </c>
    </row>
    <row r="36" spans="1:30" x14ac:dyDescent="0.25">
      <c r="A36" s="2" t="s">
        <v>4</v>
      </c>
      <c r="B36" s="2" t="s">
        <v>79</v>
      </c>
      <c r="C36" s="2" t="s">
        <v>79</v>
      </c>
      <c r="D36" s="34">
        <v>33</v>
      </c>
      <c r="E36" s="4">
        <f t="shared" si="0"/>
        <v>16.5</v>
      </c>
      <c r="F36" s="35">
        <v>24</v>
      </c>
      <c r="G36" s="34">
        <v>2</v>
      </c>
      <c r="H36" s="2">
        <v>0</v>
      </c>
      <c r="I36" s="41">
        <f t="shared" si="1"/>
        <v>1</v>
      </c>
      <c r="J36" s="34">
        <v>6</v>
      </c>
      <c r="K36" s="2">
        <v>1</v>
      </c>
      <c r="L36" s="41">
        <f t="shared" si="2"/>
        <v>0.8571428571428571</v>
      </c>
      <c r="M36" s="34">
        <v>19</v>
      </c>
      <c r="N36" s="2">
        <v>10</v>
      </c>
      <c r="O36" s="41">
        <f t="shared" si="3"/>
        <v>0.65517241379310343</v>
      </c>
      <c r="P36" s="34">
        <v>0</v>
      </c>
      <c r="Q36" s="2">
        <v>2</v>
      </c>
      <c r="R36" s="2">
        <v>2</v>
      </c>
      <c r="S36" s="2">
        <v>0</v>
      </c>
      <c r="T36" s="2">
        <v>0</v>
      </c>
      <c r="U36" s="2">
        <v>1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0</v>
      </c>
      <c r="AB36" s="2">
        <v>0</v>
      </c>
      <c r="AC36" s="2">
        <v>1</v>
      </c>
      <c r="AD36" s="47">
        <v>0</v>
      </c>
    </row>
    <row r="37" spans="1:30" ht="15.75" thickBot="1" x14ac:dyDescent="0.3">
      <c r="A37" s="2" t="s">
        <v>55</v>
      </c>
      <c r="B37" s="2" t="s">
        <v>79</v>
      </c>
      <c r="C37" s="2" t="s">
        <v>79</v>
      </c>
      <c r="D37" s="38">
        <v>69</v>
      </c>
      <c r="E37" s="39">
        <f t="shared" si="0"/>
        <v>9.8571428571428577</v>
      </c>
      <c r="F37" s="40">
        <v>18</v>
      </c>
      <c r="G37" s="43">
        <v>4</v>
      </c>
      <c r="H37" s="44">
        <v>3</v>
      </c>
      <c r="I37" s="45">
        <f t="shared" si="1"/>
        <v>0.5714285714285714</v>
      </c>
      <c r="J37" s="43">
        <v>15</v>
      </c>
      <c r="K37" s="44">
        <v>14</v>
      </c>
      <c r="L37" s="45">
        <f t="shared" si="2"/>
        <v>0.51724137931034486</v>
      </c>
      <c r="M37" s="43">
        <v>57</v>
      </c>
      <c r="N37" s="44">
        <v>61</v>
      </c>
      <c r="O37" s="45">
        <f t="shared" si="3"/>
        <v>0.48305084745762711</v>
      </c>
      <c r="P37" s="38">
        <v>1</v>
      </c>
      <c r="Q37" s="48">
        <v>0</v>
      </c>
      <c r="R37" s="48">
        <v>1</v>
      </c>
      <c r="S37" s="48">
        <v>3</v>
      </c>
      <c r="T37" s="48">
        <v>1</v>
      </c>
      <c r="U37" s="48">
        <v>0</v>
      </c>
      <c r="V37" s="48">
        <v>1</v>
      </c>
      <c r="W37" s="48">
        <v>0</v>
      </c>
      <c r="X37" s="48">
        <v>0</v>
      </c>
      <c r="Y37" s="48">
        <v>0</v>
      </c>
      <c r="Z37" s="48">
        <v>0</v>
      </c>
      <c r="AA37" s="48">
        <v>3</v>
      </c>
      <c r="AB37" s="48">
        <v>3</v>
      </c>
      <c r="AC37" s="48">
        <v>1</v>
      </c>
      <c r="AD37" s="49">
        <v>1</v>
      </c>
    </row>
    <row r="43" spans="1:30" x14ac:dyDescent="0.25">
      <c r="F43" s="81"/>
    </row>
    <row r="45" spans="1:30" x14ac:dyDescent="0.25">
      <c r="F45" s="81"/>
    </row>
  </sheetData>
  <autoFilter ref="A1:AD37" xr:uid="{EEC03B8F-669F-4FC0-BA62-50F3D395660C}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3623B-3DF3-4828-812B-38325BACD851}">
  <dimension ref="A1:C6"/>
  <sheetViews>
    <sheetView workbookViewId="0">
      <selection activeCell="A10" sqref="A10"/>
    </sheetView>
  </sheetViews>
  <sheetFormatPr defaultRowHeight="15" x14ac:dyDescent="0.25"/>
  <cols>
    <col min="1" max="1" width="49.85546875" bestFit="1" customWidth="1"/>
  </cols>
  <sheetData>
    <row r="1" spans="1:3" ht="17.25" x14ac:dyDescent="0.3">
      <c r="A1" s="82" t="s">
        <v>125</v>
      </c>
    </row>
    <row r="3" spans="1:3" x14ac:dyDescent="0.25">
      <c r="A3" s="54"/>
      <c r="B3" s="54"/>
      <c r="C3" s="54"/>
    </row>
    <row r="4" spans="1:3" x14ac:dyDescent="0.25">
      <c r="A4" s="96" t="s">
        <v>119</v>
      </c>
      <c r="B4" s="97"/>
      <c r="C4" s="97"/>
    </row>
    <row r="5" spans="1:3" x14ac:dyDescent="0.25">
      <c r="A5" s="96" t="s">
        <v>120</v>
      </c>
      <c r="B5" s="97"/>
      <c r="C5" s="97"/>
    </row>
    <row r="6" spans="1:3" x14ac:dyDescent="0.25">
      <c r="A6" s="54"/>
      <c r="B6" s="54"/>
      <c r="C6" s="54"/>
    </row>
  </sheetData>
  <mergeCells count="2">
    <mergeCell ref="A4:C4"/>
    <mergeCell ref="A5:C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DB0CB-A8E8-4810-A3D9-B664E9664A6F}">
  <dimension ref="A1:AC36"/>
  <sheetViews>
    <sheetView workbookViewId="0">
      <selection activeCell="E47" sqref="E47"/>
    </sheetView>
  </sheetViews>
  <sheetFormatPr defaultRowHeight="15" x14ac:dyDescent="0.25"/>
  <cols>
    <col min="2" max="2" width="15.28515625" customWidth="1"/>
    <col min="3" max="3" width="11.7109375" bestFit="1" customWidth="1"/>
    <col min="4" max="4" width="15.28515625" customWidth="1"/>
    <col min="5" max="5" width="17" customWidth="1"/>
    <col min="16" max="16" width="8.140625" bestFit="1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</cols>
  <sheetData>
    <row r="1" spans="1:29" x14ac:dyDescent="0.25">
      <c r="C1" s="99" t="s">
        <v>7</v>
      </c>
      <c r="D1" s="100"/>
      <c r="E1" s="100"/>
      <c r="F1" s="99" t="s">
        <v>22</v>
      </c>
      <c r="G1" s="100"/>
      <c r="H1" s="101"/>
      <c r="I1" s="99" t="s">
        <v>16</v>
      </c>
      <c r="J1" s="100"/>
      <c r="K1" s="101"/>
      <c r="L1" s="99" t="s">
        <v>23</v>
      </c>
      <c r="M1" s="100"/>
      <c r="N1" s="101"/>
      <c r="O1" s="100" t="s">
        <v>64</v>
      </c>
      <c r="P1" s="100"/>
      <c r="Q1" s="100"/>
      <c r="R1" s="100"/>
      <c r="S1" s="100"/>
      <c r="T1" s="100"/>
      <c r="U1" s="100"/>
      <c r="V1" s="100"/>
      <c r="W1" s="100"/>
      <c r="X1" s="100"/>
      <c r="Y1" s="100"/>
      <c r="Z1" s="100"/>
      <c r="AA1" s="100"/>
      <c r="AB1" s="100"/>
      <c r="AC1" s="101"/>
    </row>
    <row r="2" spans="1:29" ht="30.75" thickBot="1" x14ac:dyDescent="0.3">
      <c r="B2" s="3" t="s">
        <v>0</v>
      </c>
      <c r="C2" s="20" t="s">
        <v>7</v>
      </c>
      <c r="D2" s="21" t="s">
        <v>36</v>
      </c>
      <c r="E2" s="22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21" t="s">
        <v>9</v>
      </c>
      <c r="P2" s="77" t="s">
        <v>10</v>
      </c>
      <c r="Q2" s="77" t="s">
        <v>11</v>
      </c>
      <c r="R2" s="77" t="s">
        <v>12</v>
      </c>
      <c r="S2" s="77" t="s">
        <v>30</v>
      </c>
      <c r="T2" s="77" t="s">
        <v>31</v>
      </c>
      <c r="U2" s="77" t="s">
        <v>32</v>
      </c>
      <c r="V2" s="77" t="s">
        <v>33</v>
      </c>
      <c r="W2" s="78" t="s">
        <v>65</v>
      </c>
      <c r="X2" s="77" t="s">
        <v>39</v>
      </c>
      <c r="Y2" s="77" t="s">
        <v>41</v>
      </c>
      <c r="Z2" s="77" t="s">
        <v>48</v>
      </c>
      <c r="AA2" s="77" t="s">
        <v>56</v>
      </c>
      <c r="AB2" s="77" t="s">
        <v>57</v>
      </c>
      <c r="AC2" s="79" t="s">
        <v>58</v>
      </c>
    </row>
    <row r="3" spans="1:29" x14ac:dyDescent="0.25">
      <c r="A3" s="102" t="s">
        <v>75</v>
      </c>
      <c r="B3" s="7" t="s">
        <v>37</v>
      </c>
      <c r="C3" s="13">
        <f>INDEX('Old Bow'!D2:D37, MATCH($B$3, 'Old Bow'!$A$2:$A$37, 0))</f>
        <v>190</v>
      </c>
      <c r="D3" s="25">
        <f>INDEX('Old Bow'!E2:E37, MATCH($B$3, 'Old Bow'!$A$2:$A$37, 0))</f>
        <v>17.272727272727273</v>
      </c>
      <c r="E3" s="26">
        <f>INDEX('Old Bow'!F2:F37, MATCH($B$3, 'Old Bow'!$A$2:$A$37, 0))</f>
        <v>25</v>
      </c>
      <c r="F3" s="13">
        <f>INDEX('Old Bow'!G2:G37, MATCH($B$3, 'Old Bow'!$A$2:$A$37, 0))</f>
        <v>4</v>
      </c>
      <c r="G3" s="26">
        <f>INDEX('Old Bow'!H2:H37, MATCH($B$3, 'Old Bow'!$A$2:$A$37, 0))</f>
        <v>7</v>
      </c>
      <c r="H3" s="27">
        <f>INDEX('Old Bow'!I2:I37, MATCH($B$3, 'Old Bow'!$A$2:$A$37, 0))</f>
        <v>0.36363636363636365</v>
      </c>
      <c r="I3" s="13">
        <f>INDEX('Old Bow'!J2:J37, MATCH($B$3, 'Old Bow'!$A$2:$A$37, 0))</f>
        <v>19</v>
      </c>
      <c r="J3" s="26">
        <f>INDEX('Old Bow'!K2:K37, MATCH($B$3, 'Old Bow'!$A$2:$A$37, 0))</f>
        <v>25</v>
      </c>
      <c r="K3" s="27">
        <f>INDEX('Old Bow'!L2:L37, MATCH($B$3, 'Old Bow'!$A$2:$A$37, 0))</f>
        <v>0.43181818181818182</v>
      </c>
      <c r="L3" s="13">
        <f>INDEX('Old Bow'!M2:M37, MATCH($B$3, 'Old Bow'!$A$2:$A$37, 0))</f>
        <v>83</v>
      </c>
      <c r="M3" s="26">
        <f>INDEX('Old Bow'!N2:N37, MATCH($B$3, 'Old Bow'!$A$2:$A$37, 0))</f>
        <v>95</v>
      </c>
      <c r="N3" s="27">
        <f>INDEX('Old Bow'!O2:O37, MATCH($B$3, 'Old Bow'!$A$2:$A$37, 0))</f>
        <v>0.46629213483146065</v>
      </c>
      <c r="O3" s="26">
        <f>INDEX('Old Bow'!AA2:AA37, MATCH($B$3, 'Old Bow'!$A$2:$A$37, 0))</f>
        <v>1</v>
      </c>
      <c r="P3" s="26">
        <f>INDEX('Old Bow'!R2:R37, MATCH($B$3, 'Old Bow'!$A$2:$A$37, 0))</f>
        <v>0</v>
      </c>
      <c r="Q3" s="26">
        <f>INDEX('Old Bow'!AC2:AC37, MATCH($B$3, 'Old Bow'!$A$2:$A$37, 0))</f>
        <v>1</v>
      </c>
      <c r="R3" s="26">
        <f>INDEX('Old Bow'!Q2:Q37, MATCH($B$3, 'Old Bow'!$A$2:$A$37, 0))</f>
        <v>0</v>
      </c>
      <c r="S3" s="26">
        <f>INDEX('Old Bow'!AB2:AB37, MATCH($B$3, 'Old Bow'!$A$2:$A$37, 0))</f>
        <v>5</v>
      </c>
      <c r="T3" s="26">
        <f>INDEX('Old Bow'!W2:W37, MATCH($B$3, 'Old Bow'!$A$2:$A$37, 0))</f>
        <v>0</v>
      </c>
      <c r="U3" s="26">
        <f>INDEX('Old Bow'!U2:U37, MATCH($B$3, 'Old Bow'!$A$2:$A$37, 0))</f>
        <v>3</v>
      </c>
      <c r="V3" s="26">
        <f>INDEX('Old Bow'!S2:S37, MATCH($B$3, 'Old Bow'!$A$2:$A$37, 0))</f>
        <v>3</v>
      </c>
      <c r="W3" s="26">
        <f>INDEX('Old Bow'!V2:V37, MATCH($B$3, 'Old Bow'!$A$2:$A$37, 0))</f>
        <v>0</v>
      </c>
      <c r="X3" s="26">
        <f>INDEX('Old Bow'!AD2:AD37, MATCH($B$3, 'Old Bow'!$A$2:$A$37, 0))</f>
        <v>4</v>
      </c>
      <c r="Y3" s="26">
        <f>INDEX('Old Bow'!P2:P37, MATCH($B$3, 'Old Bow'!$A$2:$A$37, 0))</f>
        <v>3</v>
      </c>
      <c r="Z3" s="26">
        <f>INDEX('Old Bow'!T2:T37, MATCH($B$3, 'Old Bow'!$A$2:$A$37, 0))</f>
        <v>0</v>
      </c>
      <c r="AA3" s="26">
        <f>INDEX('Old Bow'!Z2:Z37, MATCH($B$3, 'Old Bow'!$A$2:$A$37, 0))</f>
        <v>0</v>
      </c>
      <c r="AB3" s="26">
        <f>INDEX('Old Bow'!Y2:Y37, MATCH($B$3, 'Old Bow'!$A$2:$A$37, 0))</f>
        <v>0</v>
      </c>
      <c r="AC3" s="14">
        <f>INDEX('Old Bow'!X2:X37, MATCH($B$3, 'Old Bow'!$A$2:$A$37, 0))</f>
        <v>0</v>
      </c>
    </row>
    <row r="4" spans="1:29" x14ac:dyDescent="0.25">
      <c r="A4" s="102"/>
      <c r="B4" s="7" t="s">
        <v>46</v>
      </c>
      <c r="C4" s="13">
        <f>INDEX('Old Bow'!D2:D37, MATCH($B$4, 'Old Bow'!$A$2:$A$37, 0))</f>
        <v>183</v>
      </c>
      <c r="D4" s="25">
        <f>INDEX('Old Bow'!E2:E37, MATCH($B$4, 'Old Bow'!$A$2:$A$37, 0))</f>
        <v>20.333333333333332</v>
      </c>
      <c r="E4" s="26">
        <f>INDEX('Old Bow'!F2:F37, MATCH($B$4, 'Old Bow'!$A$2:$A$37, 0))</f>
        <v>36</v>
      </c>
      <c r="F4" s="13">
        <f>INDEX('Old Bow'!G2:G37, MATCH($B$4, 'Old Bow'!$A$2:$A$37, 0))</f>
        <v>4</v>
      </c>
      <c r="G4" s="26">
        <f>INDEX('Old Bow'!H2:H37, MATCH($B$4, 'Old Bow'!$A$2:$A$37, 0))</f>
        <v>5</v>
      </c>
      <c r="H4" s="27">
        <f>INDEX('Old Bow'!I2:I37, MATCH($B$4, 'Old Bow'!$A$2:$A$37, 0))</f>
        <v>0.44444444444444442</v>
      </c>
      <c r="I4" s="13">
        <f>INDEX('Old Bow'!J2:J37, MATCH($B$4, 'Old Bow'!$A$2:$A$37, 0))</f>
        <v>16</v>
      </c>
      <c r="J4" s="26">
        <f>INDEX('Old Bow'!K2:K37, MATCH($B$4, 'Old Bow'!$A$2:$A$37, 0))</f>
        <v>20</v>
      </c>
      <c r="K4" s="27">
        <f>INDEX('Old Bow'!L2:L37, MATCH($B$4, 'Old Bow'!$A$2:$A$37, 0))</f>
        <v>0.44444444444444442</v>
      </c>
      <c r="L4" s="13">
        <f>INDEX('Old Bow'!M2:M37, MATCH($B$4, 'Old Bow'!$A$2:$A$37, 0))</f>
        <v>70</v>
      </c>
      <c r="M4" s="26">
        <f>INDEX('Old Bow'!N2:N37, MATCH($B$4, 'Old Bow'!$A$2:$A$37, 0))</f>
        <v>83</v>
      </c>
      <c r="N4" s="27">
        <f>INDEX('Old Bow'!O2:O37, MATCH($B$4, 'Old Bow'!$A$2:$A$37, 0))</f>
        <v>0.45751633986928103</v>
      </c>
      <c r="O4" s="26">
        <f>INDEX('Old Bow'!AA2:AA37, MATCH($B$4, 'Old Bow'!$A$2:$A$37, 0))</f>
        <v>1</v>
      </c>
      <c r="P4" s="26">
        <f>INDEX('Old Bow'!R2:R37, MATCH($B$4, 'Old Bow'!$A$2:$A$37, 0))</f>
        <v>1</v>
      </c>
      <c r="Q4" s="26">
        <f>INDEX('Old Bow'!AC2:AC37, MATCH($B$4, 'Old Bow'!$A$2:$A$37, 0))</f>
        <v>1</v>
      </c>
      <c r="R4" s="26">
        <f>INDEX('Old Bow'!Q2:Q37, MATCH($B$4, 'Old Bow'!$A$2:$A$37, 0))</f>
        <v>1</v>
      </c>
      <c r="S4" s="26">
        <f>INDEX('Old Bow'!AB2:AB37, MATCH($B$4, 'Old Bow'!$A$2:$A$37, 0))</f>
        <v>3</v>
      </c>
      <c r="T4" s="26">
        <f>INDEX('Old Bow'!W2:W37, MATCH($B$4, 'Old Bow'!$A$2:$A$37, 0))</f>
        <v>1</v>
      </c>
      <c r="U4" s="26">
        <f>INDEX('Old Bow'!U2:U37, MATCH($B$4, 'Old Bow'!$A$2:$A$37, 0))</f>
        <v>5</v>
      </c>
      <c r="V4" s="26">
        <f>INDEX('Old Bow'!S2:S37, MATCH($B$4, 'Old Bow'!$A$2:$A$37, 0))</f>
        <v>1</v>
      </c>
      <c r="W4" s="26">
        <f>INDEX('Old Bow'!V2:V37, MATCH($B$4, 'Old Bow'!$A$2:$A$37, 0))</f>
        <v>0</v>
      </c>
      <c r="X4" s="26">
        <f>INDEX('Old Bow'!AD2:AD37, MATCH($B$4, 'Old Bow'!$A$2:$A$37, 0))</f>
        <v>2</v>
      </c>
      <c r="Y4" s="26">
        <f>INDEX('Old Bow'!P2:P37, MATCH($B$4, 'Old Bow'!$A$2:$A$37, 0))</f>
        <v>0</v>
      </c>
      <c r="Z4" s="26">
        <f>INDEX('Old Bow'!T2:T37, MATCH($B$4, 'Old Bow'!$A$2:$A$37, 0))</f>
        <v>0</v>
      </c>
      <c r="AA4" s="26">
        <f>INDEX('Old Bow'!Z2:Z37, MATCH($B$4, 'Old Bow'!$A$2:$A$37, 0))</f>
        <v>0</v>
      </c>
      <c r="AB4" s="26">
        <f>INDEX('Old Bow'!Y2:Y37, MATCH($B$4, 'Old Bow'!$A$2:$A$37, 0))</f>
        <v>0</v>
      </c>
      <c r="AC4" s="14">
        <f>INDEX('Old Bow'!X2:X37, MATCH($B$4, 'Old Bow'!$A$2:$A$37, 0))</f>
        <v>0</v>
      </c>
    </row>
    <row r="5" spans="1:29" x14ac:dyDescent="0.25">
      <c r="A5" s="102"/>
      <c r="B5" s="7" t="s">
        <v>6</v>
      </c>
      <c r="C5" s="13">
        <f>INDEX('Old Bow'!D2:D37, MATCH($B$5, 'Old Bow'!$A$2:$A$37, 0))</f>
        <v>306</v>
      </c>
      <c r="D5" s="25">
        <f>INDEX('Old Bow'!E2:E37, MATCH($B$5, 'Old Bow'!$A$2:$A$37, 0))</f>
        <v>23.53846153846154</v>
      </c>
      <c r="E5" s="26">
        <f>INDEX('Old Bow'!F2:F37, MATCH($B$5, 'Old Bow'!$A$2:$A$37, 0))</f>
        <v>43</v>
      </c>
      <c r="F5" s="13">
        <f>INDEX('Old Bow'!G2:G37, MATCH($B$5, 'Old Bow'!$A$2:$A$37, 0))</f>
        <v>9</v>
      </c>
      <c r="G5" s="26">
        <f>INDEX('Old Bow'!H2:H37, MATCH($B$5, 'Old Bow'!$A$2:$A$37, 0))</f>
        <v>4</v>
      </c>
      <c r="H5" s="27">
        <f>INDEX('Old Bow'!I2:I37, MATCH($B$5, 'Old Bow'!$A$2:$A$37, 0))</f>
        <v>0.69230769230769229</v>
      </c>
      <c r="I5" s="13">
        <f>INDEX('Old Bow'!J2:J37, MATCH($B$5, 'Old Bow'!$A$2:$A$37, 0))</f>
        <v>31</v>
      </c>
      <c r="J5" s="26">
        <f>INDEX('Old Bow'!K2:K37, MATCH($B$5, 'Old Bow'!$A$2:$A$37, 0))</f>
        <v>22</v>
      </c>
      <c r="K5" s="27">
        <f>INDEX('Old Bow'!L2:L37, MATCH($B$5, 'Old Bow'!$A$2:$A$37, 0))</f>
        <v>0.58490566037735847</v>
      </c>
      <c r="L5" s="13">
        <f>INDEX('Old Bow'!M2:M37, MATCH($B$5, 'Old Bow'!$A$2:$A$37, 0))</f>
        <v>117</v>
      </c>
      <c r="M5" s="26">
        <f>INDEX('Old Bow'!N2:N37, MATCH($B$5, 'Old Bow'!$A$2:$A$37, 0))</f>
        <v>108</v>
      </c>
      <c r="N5" s="27">
        <f>INDEX('Old Bow'!O2:O37, MATCH($B$5, 'Old Bow'!$A$2:$A$37, 0))</f>
        <v>0.52</v>
      </c>
      <c r="O5" s="26">
        <f>INDEX('Old Bow'!AA2:AA37, MATCH($B$5, 'Old Bow'!$A$2:$A$37, 0))</f>
        <v>4</v>
      </c>
      <c r="P5" s="26">
        <f>INDEX('Old Bow'!R2:R37, MATCH($B$5, 'Old Bow'!$A$2:$A$37, 0))</f>
        <v>1</v>
      </c>
      <c r="Q5" s="26">
        <f>INDEX('Old Bow'!AC2:AC37, MATCH($B$5, 'Old Bow'!$A$2:$A$37, 0))</f>
        <v>2</v>
      </c>
      <c r="R5" s="26">
        <f>INDEX('Old Bow'!Q2:Q37, MATCH($B$5, 'Old Bow'!$A$2:$A$37, 0))</f>
        <v>3</v>
      </c>
      <c r="S5" s="26">
        <f>INDEX('Old Bow'!AB2:AB37, MATCH($B$5, 'Old Bow'!$A$2:$A$37, 0))</f>
        <v>5</v>
      </c>
      <c r="T5" s="26">
        <f>INDEX('Old Bow'!W2:W37, MATCH($B$5, 'Old Bow'!$A$2:$A$37, 0))</f>
        <v>1</v>
      </c>
      <c r="U5" s="26">
        <f>INDEX('Old Bow'!U2:U37, MATCH($B$5, 'Old Bow'!$A$2:$A$37, 0))</f>
        <v>7</v>
      </c>
      <c r="V5" s="26">
        <f>INDEX('Old Bow'!S2:S37, MATCH($B$5, 'Old Bow'!$A$2:$A$37, 0))</f>
        <v>1</v>
      </c>
      <c r="W5" s="26">
        <f>INDEX('Old Bow'!V2:V37, MATCH($B$5, 'Old Bow'!$A$2:$A$37, 0))</f>
        <v>0</v>
      </c>
      <c r="X5" s="26">
        <f>INDEX('Old Bow'!AD2:AD37, MATCH($B$5, 'Old Bow'!$A$2:$A$37, 0))</f>
        <v>5</v>
      </c>
      <c r="Y5" s="26">
        <f>INDEX('Old Bow'!P2:P37, MATCH($B$5, 'Old Bow'!$A$2:$A$37, 0))</f>
        <v>1</v>
      </c>
      <c r="Z5" s="26">
        <f>INDEX('Old Bow'!T2:T37, MATCH($B$5, 'Old Bow'!$A$2:$A$37, 0))</f>
        <v>0</v>
      </c>
      <c r="AA5" s="26">
        <f>INDEX('Old Bow'!Z2:Z37, MATCH($B$5, 'Old Bow'!$A$2:$A$37, 0))</f>
        <v>1</v>
      </c>
      <c r="AB5" s="26">
        <f>INDEX('Old Bow'!Y2:Y37, MATCH($B$5, 'Old Bow'!$A$2:$A$37, 0))</f>
        <v>0</v>
      </c>
      <c r="AC5" s="14">
        <f>INDEX('Old Bow'!X2:X37, MATCH($B$5, 'Old Bow'!$A$2:$A$37, 0))</f>
        <v>0</v>
      </c>
    </row>
    <row r="6" spans="1:29" x14ac:dyDescent="0.25">
      <c r="A6" s="102"/>
      <c r="B6" s="7" t="s">
        <v>51</v>
      </c>
      <c r="C6" s="13">
        <f>INDEX('Old Bow'!D2:D37, MATCH($B$6, 'Old Bow'!$A$2:$A$37, 0))</f>
        <v>167</v>
      </c>
      <c r="D6" s="25">
        <f>INDEX('Old Bow'!E2:E37, MATCH($B$6, 'Old Bow'!$A$2:$A$37, 0))</f>
        <v>13.916666666666666</v>
      </c>
      <c r="E6" s="26">
        <f>INDEX('Old Bow'!F2:F37, MATCH($B$6, 'Old Bow'!$A$2:$A$37, 0))</f>
        <v>22</v>
      </c>
      <c r="F6" s="13">
        <f>INDEX('Old Bow'!G2:G37, MATCH($B$6, 'Old Bow'!$A$2:$A$37, 0))</f>
        <v>7</v>
      </c>
      <c r="G6" s="26">
        <f>INDEX('Old Bow'!H2:H37, MATCH($B$6, 'Old Bow'!$A$2:$A$37, 0))</f>
        <v>5</v>
      </c>
      <c r="H6" s="27">
        <f>INDEX('Old Bow'!I2:I37, MATCH($B$6, 'Old Bow'!$A$2:$A$37, 0))</f>
        <v>0.58333333333333337</v>
      </c>
      <c r="I6" s="13">
        <f>INDEX('Old Bow'!J2:J37, MATCH($B$6, 'Old Bow'!$A$2:$A$37, 0))</f>
        <v>27</v>
      </c>
      <c r="J6" s="26">
        <f>INDEX('Old Bow'!K2:K37, MATCH($B$6, 'Old Bow'!$A$2:$A$37, 0))</f>
        <v>23</v>
      </c>
      <c r="K6" s="27">
        <f>INDEX('Old Bow'!L2:L37, MATCH($B$6, 'Old Bow'!$A$2:$A$37, 0))</f>
        <v>0.54</v>
      </c>
      <c r="L6" s="13">
        <f>INDEX('Old Bow'!M2:M37, MATCH($B$6, 'Old Bow'!$A$2:$A$37, 0))</f>
        <v>104</v>
      </c>
      <c r="M6" s="26">
        <f>INDEX('Old Bow'!N2:N37, MATCH($B$6, 'Old Bow'!$A$2:$A$37, 0))</f>
        <v>99</v>
      </c>
      <c r="N6" s="27">
        <f>INDEX('Old Bow'!O2:O37, MATCH($B$6, 'Old Bow'!$A$2:$A$37, 0))</f>
        <v>0.51231527093596063</v>
      </c>
      <c r="O6" s="26">
        <f>INDEX('Old Bow'!AA2:AA37, MATCH($B$6, 'Old Bow'!$A$2:$A$37, 0))</f>
        <v>5</v>
      </c>
      <c r="P6" s="26">
        <f>INDEX('Old Bow'!R2:R37, MATCH($B$6, 'Old Bow'!$A$2:$A$37, 0))</f>
        <v>0</v>
      </c>
      <c r="Q6" s="26">
        <f>INDEX('Old Bow'!AC2:AC37, MATCH($B$6, 'Old Bow'!$A$2:$A$37, 0))</f>
        <v>2</v>
      </c>
      <c r="R6" s="26">
        <f>INDEX('Old Bow'!Q2:Q37, MATCH($B$6, 'Old Bow'!$A$2:$A$37, 0))</f>
        <v>1</v>
      </c>
      <c r="S6" s="26">
        <f>INDEX('Old Bow'!AB2:AB37, MATCH($B$6, 'Old Bow'!$A$2:$A$37, 0))</f>
        <v>4</v>
      </c>
      <c r="T6" s="26">
        <f>INDEX('Old Bow'!W2:W37, MATCH($B$6, 'Old Bow'!$A$2:$A$37, 0))</f>
        <v>1</v>
      </c>
      <c r="U6" s="26">
        <f>INDEX('Old Bow'!U2:U37, MATCH($B$6, 'Old Bow'!$A$2:$A$37, 0))</f>
        <v>3</v>
      </c>
      <c r="V6" s="26">
        <f>INDEX('Old Bow'!S2:S37, MATCH($B$6, 'Old Bow'!$A$2:$A$37, 0))</f>
        <v>3</v>
      </c>
      <c r="W6" s="26">
        <f>INDEX('Old Bow'!V2:V37, MATCH($B$6, 'Old Bow'!$A$2:$A$37, 0))</f>
        <v>0</v>
      </c>
      <c r="X6" s="26">
        <f>INDEX('Old Bow'!AD2:AD37, MATCH($B$6, 'Old Bow'!$A$2:$A$37, 0))</f>
        <v>3</v>
      </c>
      <c r="Y6" s="26">
        <f>INDEX('Old Bow'!P2:P37, MATCH($B$6, 'Old Bow'!$A$2:$A$37, 0))</f>
        <v>4</v>
      </c>
      <c r="Z6" s="26">
        <f>INDEX('Old Bow'!T2:T37, MATCH($B$6, 'Old Bow'!$A$2:$A$37, 0))</f>
        <v>0</v>
      </c>
      <c r="AA6" s="26">
        <f>INDEX('Old Bow'!Z2:Z37, MATCH($B$6, 'Old Bow'!$A$2:$A$37, 0))</f>
        <v>1</v>
      </c>
      <c r="AB6" s="26">
        <f>INDEX('Old Bow'!Y2:Y37, MATCH($B$6, 'Old Bow'!$A$2:$A$37, 0))</f>
        <v>0</v>
      </c>
      <c r="AC6" s="14">
        <f>INDEX('Old Bow'!X2:X37, MATCH($B$6, 'Old Bow'!$A$2:$A$37, 0))</f>
        <v>0</v>
      </c>
    </row>
    <row r="7" spans="1:29" x14ac:dyDescent="0.25">
      <c r="A7" s="102"/>
      <c r="B7" s="7" t="s">
        <v>26</v>
      </c>
      <c r="C7" s="13">
        <f>INDEX('Old Bow'!D2:D37, MATCH($B$7, 'Old Bow'!$A$2:$A$37, 0))</f>
        <v>188</v>
      </c>
      <c r="D7" s="25">
        <f>INDEX('Old Bow'!E2:E37, MATCH($B$7, 'Old Bow'!$A$2:$A$37, 0))</f>
        <v>12.533333333333333</v>
      </c>
      <c r="E7" s="26">
        <f>INDEX('Old Bow'!F2:F37, MATCH($B$7, 'Old Bow'!$A$2:$A$37, 0))</f>
        <v>24</v>
      </c>
      <c r="F7" s="13">
        <f>INDEX('Old Bow'!G2:G37, MATCH($B$7, 'Old Bow'!$A$2:$A$37, 0))</f>
        <v>11</v>
      </c>
      <c r="G7" s="26">
        <f>INDEX('Old Bow'!H2:H37, MATCH($B$7, 'Old Bow'!$A$2:$A$37, 0))</f>
        <v>4</v>
      </c>
      <c r="H7" s="27">
        <f>INDEX('Old Bow'!I2:I37, MATCH($B$7, 'Old Bow'!$A$2:$A$37, 0))</f>
        <v>0.73333333333333328</v>
      </c>
      <c r="I7" s="13">
        <f>INDEX('Old Bow'!J2:J37, MATCH($B$7, 'Old Bow'!$A$2:$A$37, 0))</f>
        <v>39</v>
      </c>
      <c r="J7" s="26">
        <f>INDEX('Old Bow'!K2:K37, MATCH($B$7, 'Old Bow'!$A$2:$A$37, 0))</f>
        <v>22</v>
      </c>
      <c r="K7" s="27">
        <f>INDEX('Old Bow'!L2:L37, MATCH($B$7, 'Old Bow'!$A$2:$A$37, 0))</f>
        <v>0.63934426229508201</v>
      </c>
      <c r="L7" s="13">
        <f>INDEX('Old Bow'!M2:M37, MATCH($B$7, 'Old Bow'!$A$2:$A$37, 0))</f>
        <v>144</v>
      </c>
      <c r="M7" s="26">
        <f>INDEX('Old Bow'!N2:N37, MATCH($B$7, 'Old Bow'!$A$2:$A$37, 0))</f>
        <v>108</v>
      </c>
      <c r="N7" s="27">
        <f>INDEX('Old Bow'!O2:O37, MATCH($B$7, 'Old Bow'!$A$2:$A$37, 0))</f>
        <v>0.5714285714285714</v>
      </c>
      <c r="O7" s="26">
        <f>INDEX('Old Bow'!AA2:AA37, MATCH($B$7, 'Old Bow'!$A$2:$A$37, 0))</f>
        <v>3</v>
      </c>
      <c r="P7" s="26">
        <f>INDEX('Old Bow'!R2:R37, MATCH($B$7, 'Old Bow'!$A$2:$A$37, 0))</f>
        <v>2</v>
      </c>
      <c r="Q7" s="26">
        <f>INDEX('Old Bow'!AC2:AC37, MATCH($B$7, 'Old Bow'!$A$2:$A$37, 0))</f>
        <v>1</v>
      </c>
      <c r="R7" s="26">
        <f>INDEX('Old Bow'!Q2:Q37, MATCH($B$7, 'Old Bow'!$A$2:$A$37, 0))</f>
        <v>2</v>
      </c>
      <c r="S7" s="26">
        <f>INDEX('Old Bow'!AB2:AB37, MATCH($B$7, 'Old Bow'!$A$2:$A$37, 0))</f>
        <v>4</v>
      </c>
      <c r="T7" s="26">
        <f>INDEX('Old Bow'!W2:W37, MATCH($B$7, 'Old Bow'!$A$2:$A$37, 0))</f>
        <v>2</v>
      </c>
      <c r="U7" s="26">
        <f>INDEX('Old Bow'!U2:U37, MATCH($B$7, 'Old Bow'!$A$2:$A$37, 0))</f>
        <v>7</v>
      </c>
      <c r="V7" s="26">
        <f>INDEX('Old Bow'!S2:S37, MATCH($B$7, 'Old Bow'!$A$2:$A$37, 0))</f>
        <v>7</v>
      </c>
      <c r="W7" s="26">
        <f>INDEX('Old Bow'!V2:V37, MATCH($B$7, 'Old Bow'!$A$2:$A$37, 0))</f>
        <v>3</v>
      </c>
      <c r="X7" s="26">
        <f>INDEX('Old Bow'!AD2:AD37, MATCH($B$7, 'Old Bow'!$A$2:$A$37, 0))</f>
        <v>3</v>
      </c>
      <c r="Y7" s="26">
        <f>INDEX('Old Bow'!P2:P37, MATCH($B$7, 'Old Bow'!$A$2:$A$37, 0))</f>
        <v>1</v>
      </c>
      <c r="Z7" s="26">
        <f>INDEX('Old Bow'!T2:T37, MATCH($B$7, 'Old Bow'!$A$2:$A$37, 0))</f>
        <v>2</v>
      </c>
      <c r="AA7" s="26">
        <f>INDEX('Old Bow'!Z2:Z37, MATCH($B$7, 'Old Bow'!$A$2:$A$37, 0))</f>
        <v>0</v>
      </c>
      <c r="AB7" s="26">
        <f>INDEX('Old Bow'!Y2:Y37, MATCH($B$7, 'Old Bow'!$A$2:$A$37, 0))</f>
        <v>1</v>
      </c>
      <c r="AC7" s="14">
        <f>INDEX('Old Bow'!X2:X37, MATCH($B$7, 'Old Bow'!$A$2:$A$37, 0))</f>
        <v>1</v>
      </c>
    </row>
    <row r="8" spans="1:29" x14ac:dyDescent="0.25">
      <c r="A8" s="102"/>
      <c r="B8" s="7" t="s">
        <v>38</v>
      </c>
      <c r="C8" s="13">
        <f>INDEX('Old Bow'!D2:D37, MATCH($B$8, 'Old Bow'!$A$2:$A$37, 0))</f>
        <v>17</v>
      </c>
      <c r="D8" s="25">
        <f>INDEX('Old Bow'!E2:E37, MATCH($B$8, 'Old Bow'!$A$2:$A$37, 0))</f>
        <v>2.8333333333333335</v>
      </c>
      <c r="E8" s="26">
        <f>INDEX('Old Bow'!F2:F37, MATCH($B$8, 'Old Bow'!$A$2:$A$37, 0))</f>
        <v>6</v>
      </c>
      <c r="F8" s="13">
        <f>INDEX('Old Bow'!G2:G37, MATCH($B$8, 'Old Bow'!$A$2:$A$37, 0))</f>
        <v>3</v>
      </c>
      <c r="G8" s="26">
        <f>INDEX('Old Bow'!H2:H37, MATCH($B$8, 'Old Bow'!$A$2:$A$37, 0))</f>
        <v>3</v>
      </c>
      <c r="H8" s="27">
        <f>INDEX('Old Bow'!I2:I37, MATCH($B$8, 'Old Bow'!$A$2:$A$37, 0))</f>
        <v>0.5</v>
      </c>
      <c r="I8" s="13">
        <f>INDEX('Old Bow'!J2:J37, MATCH($B$8, 'Old Bow'!$A$2:$A$37, 0))</f>
        <v>11</v>
      </c>
      <c r="J8" s="26">
        <f>INDEX('Old Bow'!K2:K37, MATCH($B$8, 'Old Bow'!$A$2:$A$37, 0))</f>
        <v>10</v>
      </c>
      <c r="K8" s="27">
        <f>INDEX('Old Bow'!L2:L37, MATCH($B$8, 'Old Bow'!$A$2:$A$37, 0))</f>
        <v>0.52380952380952384</v>
      </c>
      <c r="L8" s="13">
        <f>INDEX('Old Bow'!M2:M37, MATCH($B$8, 'Old Bow'!$A$2:$A$37, 0))</f>
        <v>41</v>
      </c>
      <c r="M8" s="26">
        <f>INDEX('Old Bow'!N2:N37, MATCH($B$8, 'Old Bow'!$A$2:$A$37, 0))</f>
        <v>45</v>
      </c>
      <c r="N8" s="27">
        <f>INDEX('Old Bow'!O2:O37, MATCH($B$8, 'Old Bow'!$A$2:$A$37, 0))</f>
        <v>0.47674418604651164</v>
      </c>
      <c r="O8" s="26">
        <f>INDEX('Old Bow'!AA2:AA37, MATCH($B$8, 'Old Bow'!$A$2:$A$37, 0))</f>
        <v>1</v>
      </c>
      <c r="P8" s="26">
        <f>INDEX('Old Bow'!R2:R37, MATCH($B$8, 'Old Bow'!$A$2:$A$37, 0))</f>
        <v>1</v>
      </c>
      <c r="Q8" s="26">
        <f>INDEX('Old Bow'!AC2:AC37, MATCH($B$8, 'Old Bow'!$A$2:$A$37, 0))</f>
        <v>0</v>
      </c>
      <c r="R8" s="26">
        <f>INDEX('Old Bow'!Q2:Q37, MATCH($B$8, 'Old Bow'!$A$2:$A$37, 0))</f>
        <v>1</v>
      </c>
      <c r="S8" s="26">
        <f>INDEX('Old Bow'!AB2:AB37, MATCH($B$8, 'Old Bow'!$A$2:$A$37, 0))</f>
        <v>1</v>
      </c>
      <c r="T8" s="26">
        <f>INDEX('Old Bow'!W2:W37, MATCH($B$8, 'Old Bow'!$A$2:$A$37, 0))</f>
        <v>1</v>
      </c>
      <c r="U8" s="26">
        <f>INDEX('Old Bow'!U2:U37, MATCH($B$8, 'Old Bow'!$A$2:$A$37, 0))</f>
        <v>3</v>
      </c>
      <c r="V8" s="26">
        <f>INDEX('Old Bow'!S2:S37, MATCH($B$8, 'Old Bow'!$A$2:$A$37, 0))</f>
        <v>1</v>
      </c>
      <c r="W8" s="26">
        <f>INDEX('Old Bow'!V2:V37, MATCH($B$8, 'Old Bow'!$A$2:$A$37, 0))</f>
        <v>0</v>
      </c>
      <c r="X8" s="26">
        <f>INDEX('Old Bow'!AD2:AD37, MATCH($B$8, 'Old Bow'!$A$2:$A$37, 0))</f>
        <v>1</v>
      </c>
      <c r="Y8" s="26">
        <f>INDEX('Old Bow'!P2:P37, MATCH($B$8, 'Old Bow'!$A$2:$A$37, 0))</f>
        <v>1</v>
      </c>
      <c r="Z8" s="26">
        <f>INDEX('Old Bow'!T2:T37, MATCH($B$8, 'Old Bow'!$A$2:$A$37, 0))</f>
        <v>0</v>
      </c>
      <c r="AA8" s="26">
        <f>INDEX('Old Bow'!Z2:Z37, MATCH($B$8, 'Old Bow'!$A$2:$A$37, 0))</f>
        <v>0</v>
      </c>
      <c r="AB8" s="26">
        <f>INDEX('Old Bow'!Y2:Y37, MATCH($B$8, 'Old Bow'!$A$2:$A$37, 0))</f>
        <v>0</v>
      </c>
      <c r="AC8" s="14">
        <f>INDEX('Old Bow'!X2:X37, MATCH($B$8, 'Old Bow'!$A$2:$A$37, 0))</f>
        <v>0</v>
      </c>
    </row>
    <row r="9" spans="1:29" x14ac:dyDescent="0.25">
      <c r="A9" s="102"/>
      <c r="B9" s="7" t="s">
        <v>78</v>
      </c>
      <c r="C9" s="13">
        <f>INDEX('Old Bow'!D2:D37, MATCH($B$9, 'Old Bow'!$A$2:$A$37, 0))</f>
        <v>0</v>
      </c>
      <c r="D9" s="25">
        <f>INDEX('Old Bow'!E2:E37, MATCH($B$9, 'Old Bow'!$A$2:$A$37, 0))</f>
        <v>0</v>
      </c>
      <c r="E9" s="26">
        <f>INDEX('Old Bow'!F2:F37, MATCH($B$9, 'Old Bow'!$A$2:$A$37, 0))</f>
        <v>0</v>
      </c>
      <c r="F9" s="13">
        <f>INDEX('Old Bow'!G2:G37, MATCH($B$9, 'Old Bow'!$A$2:$A$37, 0))</f>
        <v>0</v>
      </c>
      <c r="G9" s="26">
        <f>INDEX('Old Bow'!H2:H37, MATCH($B$9, 'Old Bow'!$A$2:$A$37, 0))</f>
        <v>0</v>
      </c>
      <c r="H9" s="27" t="str">
        <f>INDEX('Old Bow'!I2:I37, MATCH($B$9, 'Old Bow'!$A$2:$A$37, 0))</f>
        <v>-</v>
      </c>
      <c r="I9" s="13">
        <f>INDEX('Old Bow'!J2:J37, MATCH($B$9, 'Old Bow'!$A$2:$A$37, 0))</f>
        <v>0</v>
      </c>
      <c r="J9" s="26">
        <f>INDEX('Old Bow'!K2:K37, MATCH($B$9, 'Old Bow'!$A$2:$A$37, 0))</f>
        <v>0</v>
      </c>
      <c r="K9" s="27" t="str">
        <f>INDEX('Old Bow'!L2:L37, MATCH($B$9, 'Old Bow'!$A$2:$A$37, 0))</f>
        <v>-</v>
      </c>
      <c r="L9" s="13">
        <f>INDEX('Old Bow'!M2:M37, MATCH($B$9, 'Old Bow'!$A$2:$A$37, 0))</f>
        <v>0</v>
      </c>
      <c r="M9" s="26">
        <f>INDEX('Old Bow'!N2:N37, MATCH($B$9, 'Old Bow'!$A$2:$A$37, 0))</f>
        <v>0</v>
      </c>
      <c r="N9" s="27" t="str">
        <f>INDEX('Old Bow'!O2:O37, MATCH($B$9, 'Old Bow'!$A$2:$A$37, 0))</f>
        <v>-</v>
      </c>
      <c r="O9" s="26">
        <f>INDEX('Old Bow'!AA2:AA37, MATCH($B$9, 'Old Bow'!$A$2:$A$37, 0))</f>
        <v>0</v>
      </c>
      <c r="P9" s="26">
        <f>INDEX('Old Bow'!R2:R37, MATCH($B$9, 'Old Bow'!$A$2:$A$37, 0))</f>
        <v>0</v>
      </c>
      <c r="Q9" s="26">
        <f>INDEX('Old Bow'!AC2:AC37, MATCH($B$9, 'Old Bow'!$A$2:$A$37, 0))</f>
        <v>0</v>
      </c>
      <c r="R9" s="26">
        <f>INDEX('Old Bow'!Q2:Q37, MATCH($B$9, 'Old Bow'!$A$2:$A$37, 0))</f>
        <v>0</v>
      </c>
      <c r="S9" s="26">
        <f>INDEX('Old Bow'!AB2:AB37, MATCH($B$9, 'Old Bow'!$A$2:$A$37, 0))</f>
        <v>0</v>
      </c>
      <c r="T9" s="26">
        <f>INDEX('Old Bow'!W2:W37, MATCH($B$9, 'Old Bow'!$A$2:$A$37, 0))</f>
        <v>0</v>
      </c>
      <c r="U9" s="26">
        <f>INDEX('Old Bow'!U2:U37, MATCH($B$9, 'Old Bow'!$A$2:$A$37, 0))</f>
        <v>0</v>
      </c>
      <c r="V9" s="26">
        <f>INDEX('Old Bow'!S2:S37, MATCH($B$9, 'Old Bow'!$A$2:$A$37, 0))</f>
        <v>0</v>
      </c>
      <c r="W9" s="26">
        <f>INDEX('Old Bow'!V2:V37, MATCH($B$9, 'Old Bow'!$A$2:$A$37, 0))</f>
        <v>0</v>
      </c>
      <c r="X9" s="26">
        <f>INDEX('Old Bow'!AD2:AD37, MATCH($B$9, 'Old Bow'!$A$2:$A$37, 0))</f>
        <v>0</v>
      </c>
      <c r="Y9" s="26">
        <f>INDEX('Old Bow'!P2:P37, MATCH($B$9, 'Old Bow'!$A$2:$A$37, 0))</f>
        <v>0</v>
      </c>
      <c r="Z9" s="26">
        <f>INDEX('Old Bow'!T2:T37, MATCH($B$9, 'Old Bow'!$A$2:$A$37, 0))</f>
        <v>0</v>
      </c>
      <c r="AA9" s="26">
        <f>INDEX('Old Bow'!Z2:Z37, MATCH($B$9, 'Old Bow'!$A$2:$A$37, 0))</f>
        <v>0</v>
      </c>
      <c r="AB9" s="26">
        <f>INDEX('Old Bow'!Y2:Y37, MATCH($B$9, 'Old Bow'!$A$2:$A$37, 0))</f>
        <v>0</v>
      </c>
      <c r="AC9" s="14">
        <f>INDEX('Old Bow'!X2:X37, MATCH($B$9, 'Old Bow'!$A$2:$A$37, 0))</f>
        <v>0</v>
      </c>
    </row>
    <row r="10" spans="1:29" ht="15.75" thickBot="1" x14ac:dyDescent="0.3">
      <c r="A10" s="102"/>
      <c r="B10" s="7" t="s">
        <v>78</v>
      </c>
      <c r="C10" s="17">
        <f>INDEX('Old Bow'!D2:D37, MATCH($B$10, 'Old Bow'!$A$2:$A$37, 0))</f>
        <v>0</v>
      </c>
      <c r="D10" s="28">
        <f>INDEX('Old Bow'!E2:E37, MATCH($B$10, 'Old Bow'!$A$2:$A$37, 0))</f>
        <v>0</v>
      </c>
      <c r="E10" s="29">
        <f>INDEX('Old Bow'!F2:F37, MATCH($B$10, 'Old Bow'!$A$2:$A$37, 0))</f>
        <v>0</v>
      </c>
      <c r="F10" s="17">
        <f>INDEX('Old Bow'!G2:G37, MATCH($B$10, 'Old Bow'!$A$2:$A$37, 0))</f>
        <v>0</v>
      </c>
      <c r="G10" s="29">
        <f>INDEX('Old Bow'!H2:H37, MATCH($B$10, 'Old Bow'!$A$2:$A$37, 0))</f>
        <v>0</v>
      </c>
      <c r="H10" s="30" t="str">
        <f>INDEX('Old Bow'!I2:I37, MATCH($B$10, 'Old Bow'!$A$2:$A$37, 0))</f>
        <v>-</v>
      </c>
      <c r="I10" s="17">
        <f>INDEX('Old Bow'!J2:J37, MATCH($B$10, 'Old Bow'!$A$2:$A$37, 0))</f>
        <v>0</v>
      </c>
      <c r="J10" s="29">
        <f>INDEX('Old Bow'!K2:K37, MATCH($B$10, 'Old Bow'!$A$2:$A$37, 0))</f>
        <v>0</v>
      </c>
      <c r="K10" s="30" t="str">
        <f>INDEX('Old Bow'!L2:L37, MATCH($B$10, 'Old Bow'!$A$2:$A$37, 0))</f>
        <v>-</v>
      </c>
      <c r="L10" s="17">
        <f>INDEX('Old Bow'!M2:M37, MATCH($B$10, 'Old Bow'!$A$2:$A$37, 0))</f>
        <v>0</v>
      </c>
      <c r="M10" s="29">
        <f>INDEX('Old Bow'!N2:N37, MATCH($B$10, 'Old Bow'!$A$2:$A$37, 0))</f>
        <v>0</v>
      </c>
      <c r="N10" s="30" t="str">
        <f>INDEX('Old Bow'!O2:O37, MATCH($B$10, 'Old Bow'!$A$2:$A$37, 0))</f>
        <v>-</v>
      </c>
      <c r="O10" s="29">
        <f>INDEX('Old Bow'!AA2:AA37, MATCH($B$10, 'Old Bow'!$A$2:$A$37, 0))</f>
        <v>0</v>
      </c>
      <c r="P10" s="29">
        <f>INDEX('Old Bow'!R2:R37, MATCH($B$10, 'Old Bow'!$A$2:$A$37, 0))</f>
        <v>0</v>
      </c>
      <c r="Q10" s="29">
        <f>INDEX('Old Bow'!AC2:AC37, MATCH($B$10, 'Old Bow'!$A$2:$A$37, 0))</f>
        <v>0</v>
      </c>
      <c r="R10" s="29">
        <f>INDEX('Old Bow'!Q2:Q37, MATCH($B$10, 'Old Bow'!$A$2:$A$37, 0))</f>
        <v>0</v>
      </c>
      <c r="S10" s="29">
        <f>INDEX('Old Bow'!AB2:AB37, MATCH($B$10, 'Old Bow'!$A$2:$A$37, 0))</f>
        <v>0</v>
      </c>
      <c r="T10" s="29">
        <f>INDEX('Old Bow'!W2:W37, MATCH($B$10, 'Old Bow'!$A$2:$A$37, 0))</f>
        <v>0</v>
      </c>
      <c r="U10" s="29">
        <f>INDEX('Old Bow'!U2:U37, MATCH($B$10, 'Old Bow'!$A$2:$A$37, 0))</f>
        <v>0</v>
      </c>
      <c r="V10" s="29">
        <f>INDEX('Old Bow'!S2:S37, MATCH($B$10, 'Old Bow'!$A$2:$A$37, 0))</f>
        <v>0</v>
      </c>
      <c r="W10" s="29">
        <f>INDEX('Old Bow'!V2:V37, MATCH($B$10, 'Old Bow'!$A$2:$A$37, 0))</f>
        <v>0</v>
      </c>
      <c r="X10" s="29">
        <f>INDEX('Old Bow'!AD2:AD37, MATCH($B$10, 'Old Bow'!$A$2:$A$37, 0))</f>
        <v>0</v>
      </c>
      <c r="Y10" s="29">
        <f>INDEX('Old Bow'!P2:P37, MATCH($B$10, 'Old Bow'!$A$2:$A$37, 0))</f>
        <v>0</v>
      </c>
      <c r="Z10" s="29">
        <f>INDEX('Old Bow'!T2:T37, MATCH($B$10, 'Old Bow'!$A$2:$A$37, 0))</f>
        <v>0</v>
      </c>
      <c r="AA10" s="29">
        <f>INDEX('Old Bow'!Z2:Z37, MATCH($B$10, 'Old Bow'!$A$2:$A$37, 0))</f>
        <v>0</v>
      </c>
      <c r="AB10" s="29">
        <f>INDEX('Old Bow'!Y2:Y37, MATCH($B$10, 'Old Bow'!$A$2:$A$37, 0))</f>
        <v>0</v>
      </c>
      <c r="AC10" s="18">
        <f>INDEX('Old Bow'!X2:X37, MATCH($B$10, 'Old Bow'!$A$2:$A$37, 0))</f>
        <v>0</v>
      </c>
    </row>
    <row r="11" spans="1:29" x14ac:dyDescent="0.25">
      <c r="D11" s="8">
        <f>SUM(D3:D10)</f>
        <v>90.427855477855474</v>
      </c>
      <c r="H11" s="9">
        <f>AVERAGE(H3:H10)</f>
        <v>0.55284252784252785</v>
      </c>
      <c r="I11" s="1"/>
      <c r="J11" s="1"/>
      <c r="K11" s="9">
        <f>AVERAGE(K3:K10)</f>
        <v>0.52738701212409844</v>
      </c>
      <c r="N11" s="9">
        <f>AVERAGE(N3:N10)</f>
        <v>0.5007160838519642</v>
      </c>
      <c r="O11" s="5">
        <f>SUM(O3:O10)</f>
        <v>15</v>
      </c>
      <c r="P11" s="5">
        <f t="shared" ref="P11:AC11" si="0">SUM(P3:P10)</f>
        <v>5</v>
      </c>
      <c r="Q11" s="5">
        <f t="shared" si="0"/>
        <v>7</v>
      </c>
      <c r="R11" s="5">
        <f t="shared" si="0"/>
        <v>8</v>
      </c>
      <c r="S11" s="5">
        <f t="shared" si="0"/>
        <v>22</v>
      </c>
      <c r="T11" s="5">
        <f t="shared" si="0"/>
        <v>6</v>
      </c>
      <c r="U11" s="5">
        <f t="shared" si="0"/>
        <v>28</v>
      </c>
      <c r="V11" s="5">
        <f t="shared" si="0"/>
        <v>16</v>
      </c>
      <c r="W11" s="5">
        <f t="shared" si="0"/>
        <v>3</v>
      </c>
      <c r="X11" s="5">
        <f t="shared" si="0"/>
        <v>18</v>
      </c>
      <c r="Y11" s="5">
        <f t="shared" si="0"/>
        <v>10</v>
      </c>
      <c r="Z11" s="5">
        <f t="shared" si="0"/>
        <v>2</v>
      </c>
      <c r="AA11" s="5">
        <f t="shared" si="0"/>
        <v>2</v>
      </c>
      <c r="AB11" s="5">
        <f t="shared" si="0"/>
        <v>1</v>
      </c>
      <c r="AC11" s="5">
        <f t="shared" si="0"/>
        <v>1</v>
      </c>
    </row>
    <row r="14" spans="1:29" ht="15.75" thickBot="1" x14ac:dyDescent="0.3"/>
    <row r="15" spans="1:29" x14ac:dyDescent="0.25">
      <c r="C15" s="99" t="s">
        <v>7</v>
      </c>
      <c r="D15" s="100"/>
      <c r="E15" s="101"/>
      <c r="F15" s="99" t="s">
        <v>22</v>
      </c>
      <c r="G15" s="100"/>
      <c r="H15" s="101"/>
      <c r="I15" s="99" t="s">
        <v>16</v>
      </c>
      <c r="J15" s="100"/>
      <c r="K15" s="101"/>
      <c r="L15" s="99" t="s">
        <v>23</v>
      </c>
      <c r="M15" s="100"/>
      <c r="N15" s="101"/>
      <c r="O15" s="99" t="s">
        <v>64</v>
      </c>
      <c r="P15" s="100"/>
      <c r="Q15" s="100"/>
      <c r="R15" s="100"/>
      <c r="S15" s="100"/>
      <c r="T15" s="100"/>
      <c r="U15" s="100"/>
      <c r="V15" s="100"/>
      <c r="W15" s="100"/>
      <c r="X15" s="100"/>
      <c r="Y15" s="100"/>
      <c r="Z15" s="100"/>
      <c r="AA15" s="100"/>
      <c r="AB15" s="100"/>
      <c r="AC15" s="101"/>
    </row>
    <row r="16" spans="1:29" ht="30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20" t="s">
        <v>9</v>
      </c>
      <c r="P16" s="21" t="s">
        <v>10</v>
      </c>
      <c r="Q16" s="21" t="s">
        <v>11</v>
      </c>
      <c r="R16" s="21" t="s">
        <v>12</v>
      </c>
      <c r="S16" s="21" t="s">
        <v>30</v>
      </c>
      <c r="T16" s="21" t="s">
        <v>31</v>
      </c>
      <c r="U16" s="21" t="s">
        <v>32</v>
      </c>
      <c r="V16" s="21" t="s">
        <v>33</v>
      </c>
      <c r="W16" s="22" t="s">
        <v>65</v>
      </c>
      <c r="X16" s="21" t="s">
        <v>39</v>
      </c>
      <c r="Y16" s="21" t="s">
        <v>41</v>
      </c>
      <c r="Z16" s="21" t="s">
        <v>48</v>
      </c>
      <c r="AA16" s="21" t="s">
        <v>56</v>
      </c>
      <c r="AB16" s="21" t="s">
        <v>57</v>
      </c>
      <c r="AC16" s="23" t="s">
        <v>58</v>
      </c>
    </row>
    <row r="17" spans="1:29" x14ac:dyDescent="0.25">
      <c r="A17" s="98" t="s">
        <v>77</v>
      </c>
      <c r="B17" s="7" t="s">
        <v>13</v>
      </c>
      <c r="C17" s="13">
        <f>INDEX('Old Bow'!D2:D37, MATCH($B$17, 'Old Bow'!$A$2:$A$37, 0))</f>
        <v>640</v>
      </c>
      <c r="D17" s="25">
        <f>INDEX('Old Bow'!E2:E37, MATCH($B$17, 'Old Bow'!$A$2:$A$37, 0))</f>
        <v>27.826086956521738</v>
      </c>
      <c r="E17" s="14">
        <f>INDEX('Old Bow'!F2:F37, MATCH($B$17, 'Old Bow'!$A$2:$A$37, 0))</f>
        <v>57</v>
      </c>
      <c r="F17" s="13">
        <f>INDEX('Old Bow'!G2:G37, MATCH($B$17, 'Old Bow'!$A$2:$A$37, 0))</f>
        <v>16</v>
      </c>
      <c r="G17" s="26">
        <f>INDEX('Old Bow'!H2:H37, MATCH($B$17, 'Old Bow'!$A$2:$A$37, 0))</f>
        <v>7</v>
      </c>
      <c r="H17" s="27">
        <f>INDEX('Old Bow'!I2:I37, MATCH($B$17, 'Old Bow'!$A$2:$A$37, 0))</f>
        <v>0.69565217391304346</v>
      </c>
      <c r="I17" s="13">
        <f>INDEX('Old Bow'!J2:J37, MATCH($B$17, 'Old Bow'!$A$2:$A$37, 0))</f>
        <v>54</v>
      </c>
      <c r="J17" s="26">
        <f>INDEX('Old Bow'!K2:K37, MATCH($B$17, 'Old Bow'!$A$2:$A$37, 0))</f>
        <v>39</v>
      </c>
      <c r="K17" s="27">
        <f>INDEX('Old Bow'!L2:L37, MATCH($B$17, 'Old Bow'!$A$2:$A$37, 0))</f>
        <v>0.58064516129032262</v>
      </c>
      <c r="L17" s="13">
        <f>INDEX('Old Bow'!M2:M37, MATCH($B$17, 'Old Bow'!$A$2:$A$37, 0))</f>
        <v>209</v>
      </c>
      <c r="M17" s="26">
        <f>INDEX('Old Bow'!N2:N37, MATCH($B$17, 'Old Bow'!$A$2:$A$37, 0))</f>
        <v>173</v>
      </c>
      <c r="N17" s="27">
        <f>INDEX('Old Bow'!O2:O37, MATCH($B$17, 'Old Bow'!$A$2:$A$37, 0))</f>
        <v>0.54712041884816753</v>
      </c>
      <c r="O17" s="13">
        <f>INDEX('Old Bow'!AA2:AA37, MATCH($B$17, 'Old Bow'!$A$2:$A$37, 0))</f>
        <v>6</v>
      </c>
      <c r="P17" s="26">
        <f>INDEX('Old Bow'!R2:R37, MATCH($B$17, 'Old Bow'!$A$2:$A$37, 0))</f>
        <v>2</v>
      </c>
      <c r="Q17" s="26">
        <f>INDEX('Old Bow'!AC2:AC37, MATCH($B$17, 'Old Bow'!$A$2:$A$37, 0))</f>
        <v>0</v>
      </c>
      <c r="R17" s="26">
        <f>INDEX('Old Bow'!Q2:Q37, MATCH($B$17, 'Old Bow'!$A$2:$A$37, 0))</f>
        <v>6</v>
      </c>
      <c r="S17" s="26">
        <f>INDEX('Old Bow'!AB2:AB37, MATCH($B$17, 'Old Bow'!$A$2:$A$37, 0))</f>
        <v>6</v>
      </c>
      <c r="T17" s="26">
        <f>INDEX('Old Bow'!W2:W37, MATCH($B$17, 'Old Bow'!$A$2:$A$37, 0))</f>
        <v>1</v>
      </c>
      <c r="U17" s="26">
        <f>INDEX('Old Bow'!U2:U37, MATCH($B$17, 'Old Bow'!$A$2:$A$37, 0))</f>
        <v>8</v>
      </c>
      <c r="V17" s="26">
        <f>INDEX('Old Bow'!S2:S37, MATCH($B$17, 'Old Bow'!$A$2:$A$37, 0))</f>
        <v>7</v>
      </c>
      <c r="W17" s="26">
        <f>INDEX('Old Bow'!V2:V37, MATCH($B$17, 'Old Bow'!$A$2:$A$37, 0))</f>
        <v>3</v>
      </c>
      <c r="X17" s="26">
        <f>INDEX('Old Bow'!AD2:AD37, MATCH($B$17, 'Old Bow'!$A$2:$A$37, 0))</f>
        <v>7</v>
      </c>
      <c r="Y17" s="26">
        <f>INDEX('Old Bow'!P2:P37, MATCH($B$17, 'Old Bow'!$A$2:$A$37, 0))</f>
        <v>2</v>
      </c>
      <c r="Z17" s="26">
        <f>INDEX('Old Bow'!T2:T37, MATCH($B$17, 'Old Bow'!$A$2:$A$37, 0))</f>
        <v>2</v>
      </c>
      <c r="AA17" s="26">
        <f>INDEX('Old Bow'!Z2:Z37, MATCH($B$17, 'Old Bow'!$A$2:$A$37, 0))</f>
        <v>2</v>
      </c>
      <c r="AB17" s="26">
        <f>INDEX('Old Bow'!Y2:Y37, MATCH($B$17, 'Old Bow'!$A$2:$A$37, 0))</f>
        <v>1</v>
      </c>
      <c r="AC17" s="14">
        <f>INDEX('Old Bow'!X2:X37, MATCH($B$17, 'Old Bow'!$A$2:$A$37, 0))</f>
        <v>1</v>
      </c>
    </row>
    <row r="18" spans="1:29" x14ac:dyDescent="0.25">
      <c r="A18" s="98"/>
      <c r="B18" s="7" t="s">
        <v>2</v>
      </c>
      <c r="C18" s="13">
        <f>INDEX('Old Bow'!D2:D37, MATCH($B$18, 'Old Bow'!$A$2:$A$37, 0))</f>
        <v>297</v>
      </c>
      <c r="D18" s="25">
        <f>INDEX('Old Bow'!E2:E37, MATCH($B$18, 'Old Bow'!$A$2:$A$37, 0))</f>
        <v>27</v>
      </c>
      <c r="E18" s="14">
        <f>INDEX('Old Bow'!F2:F37, MATCH($B$18, 'Old Bow'!$A$2:$A$37, 0))</f>
        <v>42</v>
      </c>
      <c r="F18" s="13">
        <f>INDEX('Old Bow'!G2:G37, MATCH($B$18, 'Old Bow'!$A$2:$A$37, 0))</f>
        <v>6</v>
      </c>
      <c r="G18" s="26">
        <f>INDEX('Old Bow'!H2:H37, MATCH($B$18, 'Old Bow'!$A$2:$A$37, 0))</f>
        <v>5</v>
      </c>
      <c r="H18" s="27">
        <f>INDEX('Old Bow'!I2:I37, MATCH($B$18, 'Old Bow'!$A$2:$A$37, 0))</f>
        <v>0.54545454545454541</v>
      </c>
      <c r="I18" s="13">
        <f>INDEX('Old Bow'!J2:J37, MATCH($B$18, 'Old Bow'!$A$2:$A$37, 0))</f>
        <v>25</v>
      </c>
      <c r="J18" s="26">
        <f>INDEX('Old Bow'!K2:K37, MATCH($B$18, 'Old Bow'!$A$2:$A$37, 0))</f>
        <v>21</v>
      </c>
      <c r="K18" s="27">
        <f>INDEX('Old Bow'!L2:L37, MATCH($B$18, 'Old Bow'!$A$2:$A$37, 0))</f>
        <v>0.54347826086956519</v>
      </c>
      <c r="L18" s="13">
        <f>INDEX('Old Bow'!M2:M37, MATCH($B$18, 'Old Bow'!$A$2:$A$37, 0))</f>
        <v>102</v>
      </c>
      <c r="M18" s="26">
        <f>INDEX('Old Bow'!N2:N37, MATCH($B$18, 'Old Bow'!$A$2:$A$37, 0))</f>
        <v>91</v>
      </c>
      <c r="N18" s="27">
        <f>INDEX('Old Bow'!O2:O37, MATCH($B$18, 'Old Bow'!$A$2:$A$37, 0))</f>
        <v>0.52849740932642486</v>
      </c>
      <c r="O18" s="13">
        <f>INDEX('Old Bow'!AA2:AA37, MATCH($B$18, 'Old Bow'!$A$2:$A$37, 0))</f>
        <v>5</v>
      </c>
      <c r="P18" s="26">
        <f>INDEX('Old Bow'!R2:R37, MATCH($B$18, 'Old Bow'!$A$2:$A$37, 0))</f>
        <v>2</v>
      </c>
      <c r="Q18" s="26">
        <f>INDEX('Old Bow'!AC2:AC37, MATCH($B$18, 'Old Bow'!$A$2:$A$37, 0))</f>
        <v>4</v>
      </c>
      <c r="R18" s="26">
        <f>INDEX('Old Bow'!Q2:Q37, MATCH($B$18, 'Old Bow'!$A$2:$A$37, 0))</f>
        <v>2</v>
      </c>
      <c r="S18" s="26">
        <f>INDEX('Old Bow'!AB2:AB37, MATCH($B$18, 'Old Bow'!$A$2:$A$37, 0))</f>
        <v>0</v>
      </c>
      <c r="T18" s="26">
        <f>INDEX('Old Bow'!W2:W37, MATCH($B$18, 'Old Bow'!$A$2:$A$37, 0))</f>
        <v>0</v>
      </c>
      <c r="U18" s="26">
        <f>INDEX('Old Bow'!U2:U37, MATCH($B$18, 'Old Bow'!$A$2:$A$37, 0))</f>
        <v>3</v>
      </c>
      <c r="V18" s="26">
        <f>INDEX('Old Bow'!S2:S37, MATCH($B$18, 'Old Bow'!$A$2:$A$37, 0))</f>
        <v>4</v>
      </c>
      <c r="W18" s="26">
        <f>INDEX('Old Bow'!V2:V37, MATCH($B$18, 'Old Bow'!$A$2:$A$37, 0))</f>
        <v>0</v>
      </c>
      <c r="X18" s="26">
        <f>INDEX('Old Bow'!AD2:AD37, MATCH($B$18, 'Old Bow'!$A$2:$A$37, 0))</f>
        <v>3</v>
      </c>
      <c r="Y18" s="26">
        <f>INDEX('Old Bow'!P2:P37, MATCH($B$18, 'Old Bow'!$A$2:$A$37, 0))</f>
        <v>2</v>
      </c>
      <c r="Z18" s="26">
        <f>INDEX('Old Bow'!T2:T37, MATCH($B$18, 'Old Bow'!$A$2:$A$37, 0))</f>
        <v>0</v>
      </c>
      <c r="AA18" s="26">
        <f>INDEX('Old Bow'!Z2:Z37, MATCH($B$18, 'Old Bow'!$A$2:$A$37, 0))</f>
        <v>0</v>
      </c>
      <c r="AB18" s="26">
        <f>INDEX('Old Bow'!Y2:Y37, MATCH($B$18, 'Old Bow'!$A$2:$A$37, 0))</f>
        <v>0</v>
      </c>
      <c r="AC18" s="14">
        <f>INDEX('Old Bow'!X2:X37, MATCH($B$18, 'Old Bow'!$A$2:$A$37, 0))</f>
        <v>0</v>
      </c>
    </row>
    <row r="19" spans="1:29" x14ac:dyDescent="0.25">
      <c r="A19" s="98"/>
      <c r="B19" s="7" t="s">
        <v>45</v>
      </c>
      <c r="C19" s="13">
        <f>INDEX('Old Bow'!D2:D37, MATCH($B$19, 'Old Bow'!$A$2:$A$37, 0))</f>
        <v>89</v>
      </c>
      <c r="D19" s="25">
        <f>INDEX('Old Bow'!E2:E37, MATCH($B$19, 'Old Bow'!$A$2:$A$37, 0))</f>
        <v>9.8888888888888893</v>
      </c>
      <c r="E19" s="14">
        <f>INDEX('Old Bow'!F2:F37, MATCH($B$19, 'Old Bow'!$A$2:$A$37, 0))</f>
        <v>17</v>
      </c>
      <c r="F19" s="13">
        <f>INDEX('Old Bow'!G2:G37, MATCH($B$19, 'Old Bow'!$A$2:$A$37, 0))</f>
        <v>4</v>
      </c>
      <c r="G19" s="26">
        <f>INDEX('Old Bow'!H2:H37, MATCH($B$19, 'Old Bow'!$A$2:$A$37, 0))</f>
        <v>5</v>
      </c>
      <c r="H19" s="27">
        <f>INDEX('Old Bow'!I2:I37, MATCH($B$19, 'Old Bow'!$A$2:$A$37, 0))</f>
        <v>0.44444444444444442</v>
      </c>
      <c r="I19" s="13">
        <f>INDEX('Old Bow'!J2:J37, MATCH($B$19, 'Old Bow'!$A$2:$A$37, 0))</f>
        <v>17</v>
      </c>
      <c r="J19" s="26">
        <f>INDEX('Old Bow'!K2:K37, MATCH($B$19, 'Old Bow'!$A$2:$A$37, 0))</f>
        <v>18</v>
      </c>
      <c r="K19" s="27">
        <f>INDEX('Old Bow'!L2:L37, MATCH($B$19, 'Old Bow'!$A$2:$A$37, 0))</f>
        <v>0.48571428571428571</v>
      </c>
      <c r="L19" s="13">
        <f>INDEX('Old Bow'!M2:M37, MATCH($B$19, 'Old Bow'!$A$2:$A$37, 0))</f>
        <v>71</v>
      </c>
      <c r="M19" s="26">
        <f>INDEX('Old Bow'!N2:N37, MATCH($B$19, 'Old Bow'!$A$2:$A$37, 0))</f>
        <v>71</v>
      </c>
      <c r="N19" s="27">
        <f>INDEX('Old Bow'!O2:O37, MATCH($B$19, 'Old Bow'!$A$2:$A$37, 0))</f>
        <v>0.5</v>
      </c>
      <c r="O19" s="13">
        <f>INDEX('Old Bow'!AA2:AA37, MATCH($B$19, 'Old Bow'!$A$2:$A$37, 0))</f>
        <v>2</v>
      </c>
      <c r="P19" s="26">
        <f>INDEX('Old Bow'!R2:R37, MATCH($B$19, 'Old Bow'!$A$2:$A$37, 0))</f>
        <v>0</v>
      </c>
      <c r="Q19" s="26">
        <f>INDEX('Old Bow'!AC2:AC37, MATCH($B$19, 'Old Bow'!$A$2:$A$37, 0))</f>
        <v>1</v>
      </c>
      <c r="R19" s="26">
        <f>INDEX('Old Bow'!Q2:Q37, MATCH($B$19, 'Old Bow'!$A$2:$A$37, 0))</f>
        <v>2</v>
      </c>
      <c r="S19" s="26">
        <f>INDEX('Old Bow'!AB2:AB37, MATCH($B$19, 'Old Bow'!$A$2:$A$37, 0))</f>
        <v>3</v>
      </c>
      <c r="T19" s="26">
        <f>INDEX('Old Bow'!W2:W37, MATCH($B$19, 'Old Bow'!$A$2:$A$37, 0))</f>
        <v>0</v>
      </c>
      <c r="U19" s="26">
        <f>INDEX('Old Bow'!U2:U37, MATCH($B$19, 'Old Bow'!$A$2:$A$37, 0))</f>
        <v>4</v>
      </c>
      <c r="V19" s="26">
        <f>INDEX('Old Bow'!S2:S37, MATCH($B$19, 'Old Bow'!$A$2:$A$37, 0))</f>
        <v>3</v>
      </c>
      <c r="W19" s="26">
        <f>INDEX('Old Bow'!V2:V37, MATCH($B$19, 'Old Bow'!$A$2:$A$37, 0))</f>
        <v>0</v>
      </c>
      <c r="X19" s="26">
        <f>INDEX('Old Bow'!AD2:AD37, MATCH($B$19, 'Old Bow'!$A$2:$A$37, 0))</f>
        <v>2</v>
      </c>
      <c r="Y19" s="26">
        <f>INDEX('Old Bow'!P2:P37, MATCH($B$19, 'Old Bow'!$A$2:$A$37, 0))</f>
        <v>0</v>
      </c>
      <c r="Z19" s="26">
        <f>INDEX('Old Bow'!T2:T37, MATCH($B$19, 'Old Bow'!$A$2:$A$37, 0))</f>
        <v>0</v>
      </c>
      <c r="AA19" s="26">
        <f>INDEX('Old Bow'!Z2:Z37, MATCH($B$19, 'Old Bow'!$A$2:$A$37, 0))</f>
        <v>0</v>
      </c>
      <c r="AB19" s="26">
        <f>INDEX('Old Bow'!Y2:Y37, MATCH($B$19, 'Old Bow'!$A$2:$A$37, 0))</f>
        <v>0</v>
      </c>
      <c r="AC19" s="14">
        <f>INDEX('Old Bow'!X2:X37, MATCH($B$19, 'Old Bow'!$A$2:$A$37, 0))</f>
        <v>0</v>
      </c>
    </row>
    <row r="20" spans="1:29" x14ac:dyDescent="0.25">
      <c r="A20" s="98"/>
      <c r="B20" s="7" t="s">
        <v>20</v>
      </c>
      <c r="C20" s="13">
        <f>INDEX('Old Bow'!D2:D37, MATCH($B$20, 'Old Bow'!$A$2:$A$37, 0))</f>
        <v>213</v>
      </c>
      <c r="D20" s="25">
        <f>INDEX('Old Bow'!E2:E37, MATCH($B$20, 'Old Bow'!$A$2:$A$37, 0))</f>
        <v>13.3125</v>
      </c>
      <c r="E20" s="14">
        <f>INDEX('Old Bow'!F2:F37, MATCH($B$20, 'Old Bow'!$A$2:$A$37, 0))</f>
        <v>28</v>
      </c>
      <c r="F20" s="13">
        <f>INDEX('Old Bow'!G2:G37, MATCH($B$20, 'Old Bow'!$A$2:$A$37, 0))</f>
        <v>6</v>
      </c>
      <c r="G20" s="26">
        <f>INDEX('Old Bow'!H2:H37, MATCH($B$20, 'Old Bow'!$A$2:$A$37, 0))</f>
        <v>10</v>
      </c>
      <c r="H20" s="27">
        <f>INDEX('Old Bow'!I2:I37, MATCH($B$20, 'Old Bow'!$A$2:$A$37, 0))</f>
        <v>0.375</v>
      </c>
      <c r="I20" s="13">
        <f>INDEX('Old Bow'!J2:J37, MATCH($B$20, 'Old Bow'!$A$2:$A$37, 0))</f>
        <v>32</v>
      </c>
      <c r="J20" s="26">
        <f>INDEX('Old Bow'!K2:K37, MATCH($B$20, 'Old Bow'!$A$2:$A$37, 0))</f>
        <v>35</v>
      </c>
      <c r="K20" s="27">
        <f>INDEX('Old Bow'!L2:L37, MATCH($B$20, 'Old Bow'!$A$2:$A$37, 0))</f>
        <v>0.47761194029850745</v>
      </c>
      <c r="L20" s="13">
        <f>INDEX('Old Bow'!M2:M37, MATCH($B$20, 'Old Bow'!$A$2:$A$37, 0))</f>
        <v>140</v>
      </c>
      <c r="M20" s="26">
        <f>INDEX('Old Bow'!N2:N37, MATCH($B$20, 'Old Bow'!$A$2:$A$37, 0))</f>
        <v>142</v>
      </c>
      <c r="N20" s="27">
        <f>INDEX('Old Bow'!O2:O37, MATCH($B$20, 'Old Bow'!$A$2:$A$37, 0))</f>
        <v>0.49645390070921985</v>
      </c>
      <c r="O20" s="13">
        <f>INDEX('Old Bow'!AA2:AA37, MATCH($B$20, 'Old Bow'!$A$2:$A$37, 0))</f>
        <v>7</v>
      </c>
      <c r="P20" s="26">
        <f>INDEX('Old Bow'!R2:R37, MATCH($B$20, 'Old Bow'!$A$2:$A$37, 0))</f>
        <v>0</v>
      </c>
      <c r="Q20" s="26">
        <f>INDEX('Old Bow'!AC2:AC37, MATCH($B$20, 'Old Bow'!$A$2:$A$37, 0))</f>
        <v>1</v>
      </c>
      <c r="R20" s="26">
        <f>INDEX('Old Bow'!Q2:Q37, MATCH($B$20, 'Old Bow'!$A$2:$A$37, 0))</f>
        <v>3</v>
      </c>
      <c r="S20" s="26">
        <f>INDEX('Old Bow'!AB2:AB37, MATCH($B$20, 'Old Bow'!$A$2:$A$37, 0))</f>
        <v>5</v>
      </c>
      <c r="T20" s="26">
        <f>INDEX('Old Bow'!W2:W37, MATCH($B$20, 'Old Bow'!$A$2:$A$37, 0))</f>
        <v>1</v>
      </c>
      <c r="U20" s="26">
        <f>INDEX('Old Bow'!U2:U37, MATCH($B$20, 'Old Bow'!$A$2:$A$37, 0))</f>
        <v>3</v>
      </c>
      <c r="V20" s="26">
        <f>INDEX('Old Bow'!S2:S37, MATCH($B$20, 'Old Bow'!$A$2:$A$37, 0))</f>
        <v>6</v>
      </c>
      <c r="W20" s="26">
        <f>INDEX('Old Bow'!V2:V37, MATCH($B$20, 'Old Bow'!$A$2:$A$37, 0))</f>
        <v>1</v>
      </c>
      <c r="X20" s="26">
        <f>INDEX('Old Bow'!AD2:AD37, MATCH($B$20, 'Old Bow'!$A$2:$A$37, 0))</f>
        <v>2</v>
      </c>
      <c r="Y20" s="26">
        <f>INDEX('Old Bow'!P2:P37, MATCH($B$20, 'Old Bow'!$A$2:$A$37, 0))</f>
        <v>1</v>
      </c>
      <c r="Z20" s="26">
        <f>INDEX('Old Bow'!T2:T37, MATCH($B$20, 'Old Bow'!$A$2:$A$37, 0))</f>
        <v>0</v>
      </c>
      <c r="AA20" s="26">
        <f>INDEX('Old Bow'!Z2:Z37, MATCH($B$20, 'Old Bow'!$A$2:$A$37, 0))</f>
        <v>2</v>
      </c>
      <c r="AB20" s="26">
        <f>INDEX('Old Bow'!Y2:Y37, MATCH($B$20, 'Old Bow'!$A$2:$A$37, 0))</f>
        <v>0</v>
      </c>
      <c r="AC20" s="14">
        <f>INDEX('Old Bow'!X2:X37, MATCH($B$20, 'Old Bow'!$A$2:$A$37, 0))</f>
        <v>0</v>
      </c>
    </row>
    <row r="21" spans="1:29" x14ac:dyDescent="0.25">
      <c r="A21" s="98"/>
      <c r="B21" s="7" t="s">
        <v>35</v>
      </c>
      <c r="C21" s="13">
        <f>INDEX('Old Bow'!D2:D37, MATCH($B$21, 'Old Bow'!$A$2:$A$37, 0))</f>
        <v>115</v>
      </c>
      <c r="D21" s="25">
        <f>INDEX('Old Bow'!E2:E37, MATCH($B$21, 'Old Bow'!$A$2:$A$37, 0))</f>
        <v>10.454545454545455</v>
      </c>
      <c r="E21" s="14">
        <f>INDEX('Old Bow'!F2:F37, MATCH($B$21, 'Old Bow'!$A$2:$A$37, 0))</f>
        <v>21</v>
      </c>
      <c r="F21" s="13">
        <f>INDEX('Old Bow'!G2:G37, MATCH($B$21, 'Old Bow'!$A$2:$A$37, 0))</f>
        <v>7</v>
      </c>
      <c r="G21" s="26">
        <f>INDEX('Old Bow'!H2:H37, MATCH($B$21, 'Old Bow'!$A$2:$A$37, 0))</f>
        <v>4</v>
      </c>
      <c r="H21" s="27">
        <f>INDEX('Old Bow'!I2:I37, MATCH($B$21, 'Old Bow'!$A$2:$A$37, 0))</f>
        <v>0.63636363636363635</v>
      </c>
      <c r="I21" s="13">
        <f>INDEX('Old Bow'!J2:J37, MATCH($B$21, 'Old Bow'!$A$2:$A$37, 0))</f>
        <v>23</v>
      </c>
      <c r="J21" s="26">
        <f>INDEX('Old Bow'!K2:K37, MATCH($B$21, 'Old Bow'!$A$2:$A$37, 0))</f>
        <v>20</v>
      </c>
      <c r="K21" s="27">
        <f>INDEX('Old Bow'!L2:L37, MATCH($B$21, 'Old Bow'!$A$2:$A$37, 0))</f>
        <v>0.53488372093023251</v>
      </c>
      <c r="L21" s="13">
        <f>INDEX('Old Bow'!M2:M37, MATCH($B$21, 'Old Bow'!$A$2:$A$37, 0))</f>
        <v>93</v>
      </c>
      <c r="M21" s="26">
        <f>INDEX('Old Bow'!N2:N37, MATCH($B$21, 'Old Bow'!$A$2:$A$37, 0))</f>
        <v>80</v>
      </c>
      <c r="N21" s="27">
        <f>INDEX('Old Bow'!O2:O37, MATCH($B$21, 'Old Bow'!$A$2:$A$37, 0))</f>
        <v>0.53757225433526012</v>
      </c>
      <c r="O21" s="13">
        <f>INDEX('Old Bow'!AA2:AA37, MATCH($B$21, 'Old Bow'!$A$2:$A$37, 0))</f>
        <v>4</v>
      </c>
      <c r="P21" s="26">
        <f>INDEX('Old Bow'!R2:R37, MATCH($B$21, 'Old Bow'!$A$2:$A$37, 0))</f>
        <v>0</v>
      </c>
      <c r="Q21" s="26">
        <f>INDEX('Old Bow'!AC2:AC37, MATCH($B$21, 'Old Bow'!$A$2:$A$37, 0))</f>
        <v>1</v>
      </c>
      <c r="R21" s="26">
        <f>INDEX('Old Bow'!Q2:Q37, MATCH($B$21, 'Old Bow'!$A$2:$A$37, 0))</f>
        <v>2</v>
      </c>
      <c r="S21" s="26">
        <f>INDEX('Old Bow'!AB2:AB37, MATCH($B$21, 'Old Bow'!$A$2:$A$37, 0))</f>
        <v>3</v>
      </c>
      <c r="T21" s="26">
        <f>INDEX('Old Bow'!W2:W37, MATCH($B$21, 'Old Bow'!$A$2:$A$37, 0))</f>
        <v>0</v>
      </c>
      <c r="U21" s="26">
        <f>INDEX('Old Bow'!U2:U37, MATCH($B$21, 'Old Bow'!$A$2:$A$37, 0))</f>
        <v>5</v>
      </c>
      <c r="V21" s="26">
        <f>INDEX('Old Bow'!S2:S37, MATCH($B$21, 'Old Bow'!$A$2:$A$37, 0))</f>
        <v>3</v>
      </c>
      <c r="W21" s="26">
        <f>INDEX('Old Bow'!V2:V37, MATCH($B$21, 'Old Bow'!$A$2:$A$37, 0))</f>
        <v>0</v>
      </c>
      <c r="X21" s="26">
        <f>INDEX('Old Bow'!AD2:AD37, MATCH($B$21, 'Old Bow'!$A$2:$A$37, 0))</f>
        <v>3</v>
      </c>
      <c r="Y21" s="26">
        <f>INDEX('Old Bow'!P2:P37, MATCH($B$21, 'Old Bow'!$A$2:$A$37, 0))</f>
        <v>2</v>
      </c>
      <c r="Z21" s="26">
        <f>INDEX('Old Bow'!T2:T37, MATCH($B$21, 'Old Bow'!$A$2:$A$37, 0))</f>
        <v>0</v>
      </c>
      <c r="AA21" s="26">
        <f>INDEX('Old Bow'!Z2:Z37, MATCH($B$21, 'Old Bow'!$A$2:$A$37, 0))</f>
        <v>0</v>
      </c>
      <c r="AB21" s="26">
        <f>INDEX('Old Bow'!Y2:Y37, MATCH($B$21, 'Old Bow'!$A$2:$A$37, 0))</f>
        <v>0</v>
      </c>
      <c r="AC21" s="14">
        <f>INDEX('Old Bow'!X2:X37, MATCH($B$21, 'Old Bow'!$A$2:$A$37, 0))</f>
        <v>0</v>
      </c>
    </row>
    <row r="22" spans="1:29" x14ac:dyDescent="0.25">
      <c r="A22" s="98"/>
      <c r="B22" s="7" t="s">
        <v>29</v>
      </c>
      <c r="C22" s="13">
        <f>INDEX('Old Bow'!D2:D37, MATCH($B$22, 'Old Bow'!$A$2:$A$37, 0))</f>
        <v>152</v>
      </c>
      <c r="D22" s="25">
        <f>INDEX('Old Bow'!E2:E37, MATCH($B$22, 'Old Bow'!$A$2:$A$37, 0))</f>
        <v>9.5</v>
      </c>
      <c r="E22" s="14">
        <f>INDEX('Old Bow'!F2:F37, MATCH($B$22, 'Old Bow'!$A$2:$A$37, 0))</f>
        <v>21</v>
      </c>
      <c r="F22" s="13">
        <f>INDEX('Old Bow'!G2:G37, MATCH($B$22, 'Old Bow'!$A$2:$A$37, 0))</f>
        <v>8</v>
      </c>
      <c r="G22" s="26">
        <f>INDEX('Old Bow'!H2:H37, MATCH($B$22, 'Old Bow'!$A$2:$A$37, 0))</f>
        <v>8</v>
      </c>
      <c r="H22" s="27">
        <f>INDEX('Old Bow'!I2:I37, MATCH($B$22, 'Old Bow'!$A$2:$A$37, 0))</f>
        <v>0.5</v>
      </c>
      <c r="I22" s="13">
        <f>INDEX('Old Bow'!J2:J37, MATCH($B$22, 'Old Bow'!$A$2:$A$37, 0))</f>
        <v>31</v>
      </c>
      <c r="J22" s="26">
        <f>INDEX('Old Bow'!K2:K37, MATCH($B$22, 'Old Bow'!$A$2:$A$37, 0))</f>
        <v>33</v>
      </c>
      <c r="K22" s="27">
        <f>INDEX('Old Bow'!L2:L37, MATCH($B$22, 'Old Bow'!$A$2:$A$37, 0))</f>
        <v>0.484375</v>
      </c>
      <c r="L22" s="13">
        <f>INDEX('Old Bow'!M2:M37, MATCH($B$22, 'Old Bow'!$A$2:$A$37, 0))</f>
        <v>133</v>
      </c>
      <c r="M22" s="26">
        <f>INDEX('Old Bow'!N2:N37, MATCH($B$22, 'Old Bow'!$A$2:$A$37, 0))</f>
        <v>135</v>
      </c>
      <c r="N22" s="27">
        <f>INDEX('Old Bow'!O2:O37, MATCH($B$22, 'Old Bow'!$A$2:$A$37, 0))</f>
        <v>0.4962686567164179</v>
      </c>
      <c r="O22" s="13">
        <f>INDEX('Old Bow'!AA2:AA37, MATCH($B$22, 'Old Bow'!$A$2:$A$37, 0))</f>
        <v>4</v>
      </c>
      <c r="P22" s="26">
        <f>INDEX('Old Bow'!R2:R37, MATCH($B$22, 'Old Bow'!$A$2:$A$37, 0))</f>
        <v>1</v>
      </c>
      <c r="Q22" s="26">
        <f>INDEX('Old Bow'!AC2:AC37, MATCH($B$22, 'Old Bow'!$A$2:$A$37, 0))</f>
        <v>2</v>
      </c>
      <c r="R22" s="26">
        <f>INDEX('Old Bow'!Q2:Q37, MATCH($B$22, 'Old Bow'!$A$2:$A$37, 0))</f>
        <v>2</v>
      </c>
      <c r="S22" s="26">
        <f>INDEX('Old Bow'!AB2:AB37, MATCH($B$22, 'Old Bow'!$A$2:$A$37, 0))</f>
        <v>6</v>
      </c>
      <c r="T22" s="26">
        <f>INDEX('Old Bow'!W2:W37, MATCH($B$22, 'Old Bow'!$A$2:$A$37, 0))</f>
        <v>0</v>
      </c>
      <c r="U22" s="26">
        <f>INDEX('Old Bow'!U2:U37, MATCH($B$22, 'Old Bow'!$A$2:$A$37, 0))</f>
        <v>3</v>
      </c>
      <c r="V22" s="26">
        <f>INDEX('Old Bow'!S2:S37, MATCH($B$22, 'Old Bow'!$A$2:$A$37, 0))</f>
        <v>3</v>
      </c>
      <c r="W22" s="26">
        <f>INDEX('Old Bow'!V2:V37, MATCH($B$22, 'Old Bow'!$A$2:$A$37, 0))</f>
        <v>1</v>
      </c>
      <c r="X22" s="26">
        <f>INDEX('Old Bow'!AD2:AD37, MATCH($B$22, 'Old Bow'!$A$2:$A$37, 0))</f>
        <v>5</v>
      </c>
      <c r="Y22" s="26">
        <f>INDEX('Old Bow'!P2:P37, MATCH($B$22, 'Old Bow'!$A$2:$A$37, 0))</f>
        <v>2</v>
      </c>
      <c r="Z22" s="26">
        <f>INDEX('Old Bow'!T2:T37, MATCH($B$22, 'Old Bow'!$A$2:$A$37, 0))</f>
        <v>1</v>
      </c>
      <c r="AA22" s="26">
        <f>INDEX('Old Bow'!Z2:Z37, MATCH($B$22, 'Old Bow'!$A$2:$A$37, 0))</f>
        <v>1</v>
      </c>
      <c r="AB22" s="26">
        <f>INDEX('Old Bow'!Y2:Y37, MATCH($B$22, 'Old Bow'!$A$2:$A$37, 0))</f>
        <v>0</v>
      </c>
      <c r="AC22" s="14">
        <f>INDEX('Old Bow'!X2:X37, MATCH($B$22, 'Old Bow'!$A$2:$A$37, 0))</f>
        <v>0</v>
      </c>
    </row>
    <row r="23" spans="1:29" x14ac:dyDescent="0.25">
      <c r="A23" s="98"/>
      <c r="B23" s="7" t="s">
        <v>80</v>
      </c>
      <c r="C23" s="13">
        <f>INDEX('Old Bow'!D2:D37, MATCH($B$23, 'Old Bow'!$A$2:$A$37, 0))</f>
        <v>0</v>
      </c>
      <c r="D23" s="25">
        <f>INDEX('Old Bow'!E2:E37, MATCH($B$23, 'Old Bow'!$A$2:$A$37, 0))</f>
        <v>0</v>
      </c>
      <c r="E23" s="14">
        <f>INDEX('Old Bow'!F2:F37, MATCH($B$23, 'Old Bow'!$A$2:$A$37, 0))</f>
        <v>0</v>
      </c>
      <c r="F23" s="13">
        <f>INDEX('Old Bow'!G2:G37, MATCH($B$23, 'Old Bow'!$A$2:$A$37, 0))</f>
        <v>0</v>
      </c>
      <c r="G23" s="26">
        <f>INDEX('Old Bow'!H2:H37, MATCH($B$23, 'Old Bow'!$A$2:$A$37, 0))</f>
        <v>0</v>
      </c>
      <c r="H23" s="27" t="str">
        <f>INDEX('Old Bow'!I2:I37, MATCH($B$23, 'Old Bow'!$A$2:$A$37, 0))</f>
        <v>-</v>
      </c>
      <c r="I23" s="13">
        <f>INDEX('Old Bow'!J2:J37, MATCH($B$23, 'Old Bow'!$A$2:$A$37, 0))</f>
        <v>0</v>
      </c>
      <c r="J23" s="26">
        <f>INDEX('Old Bow'!K2:K37, MATCH($B$23, 'Old Bow'!$A$2:$A$37, 0))</f>
        <v>0</v>
      </c>
      <c r="K23" s="27" t="str">
        <f>INDEX('Old Bow'!L2:L37, MATCH($B$23, 'Old Bow'!$A$2:$A$37, 0))</f>
        <v>-</v>
      </c>
      <c r="L23" s="13">
        <f>INDEX('Old Bow'!M2:M37, MATCH($B$23, 'Old Bow'!$A$2:$A$37, 0))</f>
        <v>0</v>
      </c>
      <c r="M23" s="26">
        <f>INDEX('Old Bow'!N2:N37, MATCH($B$23, 'Old Bow'!$A$2:$A$37, 0))</f>
        <v>0</v>
      </c>
      <c r="N23" s="27" t="str">
        <f>INDEX('Old Bow'!O2:O37, MATCH($B$23, 'Old Bow'!$A$2:$A$37, 0))</f>
        <v>-</v>
      </c>
      <c r="O23" s="13">
        <f>INDEX('Old Bow'!AA2:AA37, MATCH($B$23, 'Old Bow'!$A$2:$A$37, 0))</f>
        <v>0</v>
      </c>
      <c r="P23" s="26">
        <f>INDEX('Old Bow'!R2:R37, MATCH($B$23, 'Old Bow'!$A$2:$A$37, 0))</f>
        <v>0</v>
      </c>
      <c r="Q23" s="26">
        <f>INDEX('Old Bow'!AC2:AC37, MATCH($B$23, 'Old Bow'!$A$2:$A$37, 0))</f>
        <v>0</v>
      </c>
      <c r="R23" s="26">
        <f>INDEX('Old Bow'!Q2:Q37, MATCH($B$23, 'Old Bow'!$A$2:$A$37, 0))</f>
        <v>0</v>
      </c>
      <c r="S23" s="26">
        <f>INDEX('Old Bow'!AB2:AB37, MATCH($B$23, 'Old Bow'!$A$2:$A$37, 0))</f>
        <v>0</v>
      </c>
      <c r="T23" s="26">
        <f>INDEX('Old Bow'!W2:W37, MATCH($B$23, 'Old Bow'!$A$2:$A$37, 0))</f>
        <v>0</v>
      </c>
      <c r="U23" s="26">
        <f>INDEX('Old Bow'!U2:U37, MATCH($B$23, 'Old Bow'!$A$2:$A$37, 0))</f>
        <v>0</v>
      </c>
      <c r="V23" s="26">
        <f>INDEX('Old Bow'!S2:S37, MATCH($B$23, 'Old Bow'!$A$2:$A$37, 0))</f>
        <v>0</v>
      </c>
      <c r="W23" s="26">
        <f>INDEX('Old Bow'!V2:V37, MATCH($B$23, 'Old Bow'!$A$2:$A$37, 0))</f>
        <v>0</v>
      </c>
      <c r="X23" s="26">
        <f>INDEX('Old Bow'!AD2:AD37, MATCH($B$23, 'Old Bow'!$A$2:$A$37, 0))</f>
        <v>0</v>
      </c>
      <c r="Y23" s="26">
        <f>INDEX('Old Bow'!P2:P37, MATCH($B$23, 'Old Bow'!$A$2:$A$37, 0))</f>
        <v>0</v>
      </c>
      <c r="Z23" s="26">
        <f>INDEX('Old Bow'!T2:T37, MATCH($B$23, 'Old Bow'!$A$2:$A$37, 0))</f>
        <v>0</v>
      </c>
      <c r="AA23" s="26">
        <f>INDEX('Old Bow'!Z2:Z37, MATCH($B$23, 'Old Bow'!$A$2:$A$37, 0))</f>
        <v>0</v>
      </c>
      <c r="AB23" s="26">
        <f>INDEX('Old Bow'!Y2:Y37, MATCH($B$23, 'Old Bow'!$A$2:$A$37, 0))</f>
        <v>0</v>
      </c>
      <c r="AC23" s="14">
        <f>INDEX('Old Bow'!X2:X37, MATCH($B$23, 'Old Bow'!$A$2:$A$37, 0))</f>
        <v>0</v>
      </c>
    </row>
    <row r="24" spans="1:29" ht="15.75" thickBot="1" x14ac:dyDescent="0.3">
      <c r="A24" s="98"/>
      <c r="B24" s="7" t="s">
        <v>80</v>
      </c>
      <c r="C24" s="17">
        <f>INDEX('Old Bow'!D2:D37, MATCH($B$24, 'Old Bow'!$A$2:$A$37, 0))</f>
        <v>0</v>
      </c>
      <c r="D24" s="28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18">
        <f>INDEX('Old Bow'!X2:X37, MATCH($B$24, 'Old Bow'!$A$2:$A$37, 0))</f>
        <v>0</v>
      </c>
    </row>
    <row r="25" spans="1:29" x14ac:dyDescent="0.25">
      <c r="D25" s="8">
        <f>SUM(D17:D24)</f>
        <v>97.982021299956074</v>
      </c>
      <c r="H25" s="9">
        <f>AVERAGE(H17:H24)</f>
        <v>0.53281913336261166</v>
      </c>
      <c r="I25" s="1"/>
      <c r="J25" s="1"/>
      <c r="K25" s="9">
        <f>AVERAGE(K17:K24)</f>
        <v>0.51778472818381893</v>
      </c>
      <c r="N25" s="9">
        <f>AVERAGE(N17:N24)</f>
        <v>0.5176521066559151</v>
      </c>
      <c r="O25" s="5">
        <f>SUM(O17:O24)</f>
        <v>28</v>
      </c>
      <c r="P25" s="5">
        <f t="shared" ref="P25" si="1">SUM(P17:P24)</f>
        <v>5</v>
      </c>
      <c r="Q25" s="5">
        <f t="shared" ref="Q25" si="2">SUM(Q17:Q24)</f>
        <v>9</v>
      </c>
      <c r="R25" s="5">
        <f t="shared" ref="R25" si="3">SUM(R17:R24)</f>
        <v>17</v>
      </c>
      <c r="S25" s="5">
        <f t="shared" ref="S25" si="4">SUM(S17:S24)</f>
        <v>23</v>
      </c>
      <c r="T25" s="5">
        <f t="shared" ref="T25" si="5">SUM(T17:T24)</f>
        <v>2</v>
      </c>
      <c r="U25" s="5">
        <f t="shared" ref="U25" si="6">SUM(U17:U24)</f>
        <v>26</v>
      </c>
      <c r="V25" s="5">
        <f t="shared" ref="V25" si="7">SUM(V17:V24)</f>
        <v>26</v>
      </c>
      <c r="W25" s="5">
        <f t="shared" ref="W25" si="8">SUM(W17:W24)</f>
        <v>5</v>
      </c>
      <c r="X25" s="5">
        <f t="shared" ref="X25" si="9">SUM(X17:X24)</f>
        <v>22</v>
      </c>
      <c r="Y25" s="5">
        <f t="shared" ref="Y25" si="10">SUM(Y17:Y24)</f>
        <v>9</v>
      </c>
      <c r="Z25" s="5">
        <f t="shared" ref="Z25" si="11">SUM(Z17:Z24)</f>
        <v>3</v>
      </c>
      <c r="AA25" s="5">
        <f t="shared" ref="AA25" si="12">SUM(AA17:AA24)</f>
        <v>5</v>
      </c>
      <c r="AB25" s="5">
        <f t="shared" ref="AB25" si="13">SUM(AB17:AB24)</f>
        <v>1</v>
      </c>
      <c r="AC25" s="5">
        <f t="shared" ref="AC25" si="14">SUM(AC17:AC24)</f>
        <v>1</v>
      </c>
    </row>
    <row r="28" spans="1:29" ht="15.75" thickBot="1" x14ac:dyDescent="0.3">
      <c r="B28" s="19"/>
      <c r="C28" s="19"/>
      <c r="D28" s="19"/>
    </row>
    <row r="29" spans="1:29" ht="15.75" thickBot="1" x14ac:dyDescent="0.3">
      <c r="B29" s="2"/>
      <c r="C29" s="10" t="s">
        <v>81</v>
      </c>
      <c r="D29" s="11" t="s">
        <v>82</v>
      </c>
    </row>
    <row r="30" spans="1:29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29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29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/>
      </c>
      <c r="D33" s="14" t="str">
        <f>IF(C33="✔", "", "✔")</f>
        <v>✔</v>
      </c>
    </row>
    <row r="34" spans="2:4" ht="18.75" customHeight="1" x14ac:dyDescent="0.25">
      <c r="B34" s="15" t="s">
        <v>86</v>
      </c>
      <c r="C34" s="13" t="str">
        <f>INDEX(O2:AC2, MATCH(LARGE(O11:AC11, 1), O11:AC11, 0))</f>
        <v>Garage</v>
      </c>
      <c r="D34" s="14" t="str">
        <f>INDEX(O16:AC16, MATCH(LARGE(O25:AC25, 1), O25:AC25, 0))</f>
        <v>Scharins</v>
      </c>
    </row>
    <row r="35" spans="2:4" x14ac:dyDescent="0.25">
      <c r="B35" s="15" t="s">
        <v>87</v>
      </c>
      <c r="C35" s="13" t="str">
        <f>INDEX(O2:AC2, MATCH(LARGE(O11:AC11, 2), O11:AC11, 0))</f>
        <v>Training</v>
      </c>
      <c r="D35" s="14" t="str">
        <f>INDEX(O16:AC16, MATCH(LARGE(O25:AC25, 2), O25:AC25, 0))</f>
        <v>Garage</v>
      </c>
    </row>
    <row r="36" spans="2:4" ht="15.75" thickBot="1" x14ac:dyDescent="0.3">
      <c r="B36" s="16" t="s">
        <v>88</v>
      </c>
      <c r="C36" s="17" t="str">
        <f>INDEX(O2:AC2, MATCH(LARGE(O11:AC11, 3), O11:AC11, 0))</f>
        <v>Warehouse</v>
      </c>
      <c r="D36" s="18" t="str">
        <f>INDEX(O16:AC16, MATCH(LARGE(O25:AC25, 3), O25:AC25, 0))</f>
        <v>Garage</v>
      </c>
    </row>
  </sheetData>
  <mergeCells count="12">
    <mergeCell ref="A17:A24"/>
    <mergeCell ref="F1:H1"/>
    <mergeCell ref="I1:K1"/>
    <mergeCell ref="L1:N1"/>
    <mergeCell ref="O1:AC1"/>
    <mergeCell ref="A3:A10"/>
    <mergeCell ref="C1:E1"/>
    <mergeCell ref="C15:E15"/>
    <mergeCell ref="F15:H15"/>
    <mergeCell ref="I15:K15"/>
    <mergeCell ref="L15:N15"/>
    <mergeCell ref="O15:AC15"/>
  </mergeCells>
  <conditionalFormatting sqref="O11:AC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C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1230AC31-4C56-4282-AF17-096659853BE1}">
          <x14:formula1>
            <xm:f>'Old Bow'!$A$2:$A$37</xm:f>
          </x14:formula1>
          <xm:sqref>B17:B24</xm:sqref>
        </x14:dataValidation>
        <x14:dataValidation type="list" allowBlank="1" showErrorMessage="1" promptTitle="Select Player Name" prompt="Select Player Name" xr:uid="{3EAC1923-3D6C-4679-962B-736DC0F03553}">
          <x14:formula1>
            <xm:f>'Old Bow'!$A$2:$A$37</xm:f>
          </x14:formula1>
          <xm:sqref>B3:B10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25ABB-2AF0-4729-9C94-2A1BF11A1187}">
  <dimension ref="A1:AJ55"/>
  <sheetViews>
    <sheetView workbookViewId="0">
      <pane xSplit="1" ySplit="1" topLeftCell="B26" activePane="bottomRight" state="frozen"/>
      <selection pane="topRight" activeCell="B1" sqref="B1"/>
      <selection pane="bottomLeft" activeCell="A2" sqref="A2"/>
      <selection pane="bottomRight" activeCell="H35" sqref="H35"/>
    </sheetView>
  </sheetViews>
  <sheetFormatPr defaultRowHeight="15" x14ac:dyDescent="0.25"/>
  <cols>
    <col min="1" max="1" width="13.140625" customWidth="1"/>
    <col min="2" max="2" width="11.5703125" customWidth="1"/>
    <col min="5" max="5" width="17.140625" customWidth="1"/>
    <col min="6" max="16" width="9.140625" style="1"/>
    <col min="17" max="17" width="12" style="1" customWidth="1"/>
    <col min="18" max="20" width="9.140625" style="1"/>
    <col min="21" max="21" width="11.7109375" style="1" bestFit="1" customWidth="1"/>
    <col min="22" max="23" width="14.5703125" style="1" customWidth="1"/>
    <col min="24" max="26" width="9.140625" style="1"/>
    <col min="27" max="27" width="11.85546875" style="1" bestFit="1" customWidth="1"/>
    <col min="28" max="28" width="9.140625" style="1"/>
    <col min="29" max="29" width="13" style="1" customWidth="1"/>
    <col min="30" max="30" width="13.140625" style="1" customWidth="1"/>
    <col min="31" max="31" width="9.140625" style="1"/>
    <col min="32" max="32" width="12.85546875" style="1" customWidth="1"/>
    <col min="33" max="33" width="9.140625" style="1"/>
    <col min="34" max="34" width="12.42578125" style="1" bestFit="1" customWidth="1"/>
    <col min="35" max="35" width="12.42578125" style="1" customWidth="1"/>
    <col min="36" max="36" width="9.140625" style="1"/>
  </cols>
  <sheetData>
    <row r="1" spans="1:36" ht="30.75" thickBot="1" x14ac:dyDescent="0.3">
      <c r="A1" s="3" t="s">
        <v>0</v>
      </c>
      <c r="B1" s="3" t="s">
        <v>59</v>
      </c>
      <c r="C1" s="31" t="s">
        <v>7</v>
      </c>
      <c r="D1" s="32" t="s">
        <v>36</v>
      </c>
      <c r="E1" s="33" t="s">
        <v>49</v>
      </c>
      <c r="F1" s="51" t="s">
        <v>97</v>
      </c>
      <c r="G1" s="52" t="s">
        <v>98</v>
      </c>
      <c r="H1" s="46" t="s">
        <v>123</v>
      </c>
      <c r="I1" s="51" t="s">
        <v>64</v>
      </c>
      <c r="J1" s="52" t="s">
        <v>101</v>
      </c>
      <c r="K1" s="46" t="s">
        <v>121</v>
      </c>
      <c r="L1" s="51" t="s">
        <v>99</v>
      </c>
      <c r="M1" s="52" t="s">
        <v>100</v>
      </c>
      <c r="N1" s="46" t="s">
        <v>122</v>
      </c>
      <c r="O1" s="90" t="s">
        <v>93</v>
      </c>
      <c r="P1" s="91" t="s">
        <v>41</v>
      </c>
      <c r="Q1" s="91" t="s">
        <v>69</v>
      </c>
      <c r="R1" s="92" t="s">
        <v>63</v>
      </c>
      <c r="S1" s="92" t="s">
        <v>116</v>
      </c>
      <c r="T1" s="91" t="s">
        <v>112</v>
      </c>
      <c r="U1" s="92" t="s">
        <v>32</v>
      </c>
      <c r="V1" s="91" t="s">
        <v>106</v>
      </c>
      <c r="W1" s="91" t="s">
        <v>145</v>
      </c>
      <c r="X1" s="92" t="s">
        <v>62</v>
      </c>
      <c r="Y1" s="91" t="s">
        <v>73</v>
      </c>
      <c r="Z1" s="91" t="s">
        <v>91</v>
      </c>
      <c r="AA1" s="92" t="s">
        <v>95</v>
      </c>
      <c r="AB1" s="91" t="s">
        <v>92</v>
      </c>
      <c r="AC1" s="92" t="s">
        <v>67</v>
      </c>
      <c r="AD1" s="92" t="s">
        <v>56</v>
      </c>
      <c r="AE1" s="91" t="s">
        <v>104</v>
      </c>
      <c r="AF1" s="91" t="s">
        <v>66</v>
      </c>
      <c r="AG1" s="91" t="s">
        <v>72</v>
      </c>
      <c r="AH1" s="92" t="s">
        <v>68</v>
      </c>
      <c r="AI1" s="92" t="s">
        <v>135</v>
      </c>
      <c r="AJ1" s="93" t="s">
        <v>96</v>
      </c>
    </row>
    <row r="2" spans="1:36" x14ac:dyDescent="0.25">
      <c r="A2" s="2" t="s">
        <v>141</v>
      </c>
      <c r="B2" s="3" t="s">
        <v>79</v>
      </c>
      <c r="C2" s="34">
        <f>SUMIFS('BA History'!C:C,'BA History'!B:B,A2)</f>
        <v>170</v>
      </c>
      <c r="D2" s="66">
        <f>AVERAGEIFS('BA History'!C:C,'BA History'!B:B,A2)</f>
        <v>13.076923076923077</v>
      </c>
      <c r="E2" s="35">
        <f t="array" ref="E2">MAX(IF('BA History'!B:B=A2, 'BA History'!C:C))</f>
        <v>23</v>
      </c>
      <c r="F2" s="34">
        <f>COUNTIFS('BA History'!B:B,A2,'BA History'!D:D, 1)</f>
        <v>6</v>
      </c>
      <c r="G2" s="2">
        <f>COUNTIFS('BA History'!B:B,A2,'BA History'!D:D, 0)</f>
        <v>7</v>
      </c>
      <c r="H2" s="75">
        <f>LOOKUP(2, 1/('BA History'!$B:$B=A2), 'BA History'!$AJ:$AJ)</f>
        <v>0.46153846153846156</v>
      </c>
      <c r="I2" s="34">
        <f>SUMIFS('BA History'!F:F,'BA History'!B:B,A2)</f>
        <v>25</v>
      </c>
      <c r="J2" s="2">
        <f>SUMIFS('BA History'!E:E,'BA History'!B:B,A2)-I2</f>
        <v>28</v>
      </c>
      <c r="K2" s="75">
        <f>LOOKUP(2, 1/('BA History'!$B:$B=A2), 'BA History'!$AH:$AH)</f>
        <v>0.4538461538461539</v>
      </c>
      <c r="L2" s="34">
        <f>SUMIFS('BA History'!H:H,'BA History'!B:B,A2)</f>
        <v>107</v>
      </c>
      <c r="M2" s="2">
        <f>SUMIFS('BA History'!G:G,'BA History'!B:B,A2)-L2</f>
        <v>110</v>
      </c>
      <c r="N2" s="89">
        <f>LOOKUP(2, 1/('BA History'!$B:$B=A2), 'BA History'!$AI:$AI)</f>
        <v>0.47076923076923077</v>
      </c>
      <c r="O2" s="2">
        <f>COUNTIFS('BA History'!$B:$B,$A$2,'BA History'!K:K, 1)</f>
        <v>1</v>
      </c>
      <c r="P2" s="2">
        <f>COUNTIFS('BA History'!$B:$B,$A$2,'BA History'!L:L, 1)</f>
        <v>1</v>
      </c>
      <c r="Q2" s="2">
        <f>COUNTIFS('BA History'!$B:$B,$A$2,'BA History'!M:M, 1)</f>
        <v>5</v>
      </c>
      <c r="R2" s="2">
        <f>COUNTIFS('BA History'!$B:$B,$A$2,'BA History'!N:N, 1)</f>
        <v>3</v>
      </c>
      <c r="S2" s="2">
        <f>COUNTIFS('BA History'!$B:$B,$A$2,'BA History'!O:O, 1)</f>
        <v>0</v>
      </c>
      <c r="T2" s="2">
        <f>COUNTIFS('BA History'!$B:$B,$A$2,'BA History'!P:P, 1)</f>
        <v>0</v>
      </c>
      <c r="U2" s="2">
        <f>COUNTIFS('BA History'!$B:$B,$A$2,'BA History'!Q:Q, 1)</f>
        <v>1</v>
      </c>
      <c r="V2" s="2">
        <f>COUNTIFS('BA History'!$B:$B,$A$2,'BA History'!R:R, 1)</f>
        <v>1</v>
      </c>
      <c r="W2" s="2">
        <f>COUNTIFS('BA History'!$B:$B,$A$2,'BA History'!S:S, 1)</f>
        <v>1</v>
      </c>
      <c r="X2" s="2">
        <f>COUNTIFS('BA History'!$B:$B,$A$2,'BA History'!T:T, 1)</f>
        <v>0</v>
      </c>
      <c r="Y2" s="2">
        <f>COUNTIFS('BA History'!$B:$B,$A$2,'BA History'!U:U, 1)</f>
        <v>0</v>
      </c>
      <c r="Z2" s="2">
        <f>COUNTIFS('BA History'!$B:$B,$A$2,'BA History'!V:V, 1)</f>
        <v>1</v>
      </c>
      <c r="AA2" s="2">
        <f>COUNTIFS('BA History'!$B:$B,$A$2,'BA History'!W:W, 1)</f>
        <v>1</v>
      </c>
      <c r="AB2" s="2">
        <f>COUNTIFS('BA History'!$B:$B,$A$2,'BA History'!X:X, 1)</f>
        <v>0</v>
      </c>
      <c r="AC2" s="2">
        <f>COUNTIFS('BA History'!$B:$B,$A$2,'BA History'!Y:Y, 1)</f>
        <v>0</v>
      </c>
      <c r="AD2" s="2">
        <f>COUNTIFS('BA History'!$B:$B,$A$2,'BA History'!Z:Z, 1)</f>
        <v>2</v>
      </c>
      <c r="AE2" s="2">
        <f>COUNTIFS('BA History'!$B:$B,$A$2,'BA History'!AA:AA, 1)</f>
        <v>0</v>
      </c>
      <c r="AF2" s="2">
        <f>COUNTIFS('BA History'!$B:$B,$A$2,'BA History'!AB:AB, 1)</f>
        <v>3</v>
      </c>
      <c r="AG2" s="2">
        <f>COUNTIFS('BA History'!$B:$B,$A$2,'BA History'!AC:AC, 1)</f>
        <v>0</v>
      </c>
      <c r="AH2" s="2">
        <f>COUNTIFS('BA History'!$B:$B,$A$2,'BA History'!AD:AD, 1)</f>
        <v>3</v>
      </c>
      <c r="AI2" s="2">
        <f>COUNTIFS('BA History'!$B:$B,$A$2,'BA History'!AE:AE, 1)</f>
        <v>0</v>
      </c>
      <c r="AJ2" s="2">
        <f>COUNTIFS('BA History'!$B:$B,$A$2,'BA History'!AF:AF, 1)</f>
        <v>2</v>
      </c>
    </row>
    <row r="3" spans="1:36" x14ac:dyDescent="0.25">
      <c r="A3" s="2" t="s">
        <v>37</v>
      </c>
      <c r="B3" s="2" t="s">
        <v>79</v>
      </c>
      <c r="C3" s="34">
        <f>SUMIFS('BA History'!C:C,'BA History'!B:B,A3)</f>
        <v>115</v>
      </c>
      <c r="D3" s="66">
        <f>AVERAGEIFS('BA History'!C:C,'BA History'!B:B,A3)</f>
        <v>12.777777777777779</v>
      </c>
      <c r="E3" s="35">
        <f t="array" ref="E3">MAX(IF('BA History'!B:B=A3, 'BA History'!C:C))</f>
        <v>19</v>
      </c>
      <c r="F3" s="34">
        <f>COUNTIFS('BA History'!B:B,A3,'BA History'!D:D, 1)</f>
        <v>4</v>
      </c>
      <c r="G3" s="2">
        <f>COUNTIFS('BA History'!B:B,A3,'BA History'!D:D, 0)</f>
        <v>5</v>
      </c>
      <c r="H3" s="75">
        <f>LOOKUP(2, 1/('BA History'!$B:$B=A3), 'BA History'!$AJ:$AJ)</f>
        <v>0.44444444444444442</v>
      </c>
      <c r="I3" s="34">
        <f>SUMIFS('BA History'!F:F,'BA History'!B:B,A3)</f>
        <v>20</v>
      </c>
      <c r="J3" s="2">
        <f>SUMIFS('BA History'!E:E,'BA History'!B:B,A3)-I3</f>
        <v>18</v>
      </c>
      <c r="K3" s="75">
        <f>LOOKUP(2, 1/('BA History'!$B:$B=A3), 'BA History'!$AH:$AH)</f>
        <v>0.53888888888888886</v>
      </c>
      <c r="L3" s="34">
        <f>SUMIFS('BA History'!H:H,'BA History'!B:B,A3)</f>
        <v>80</v>
      </c>
      <c r="M3" s="2">
        <f>SUMIFS('BA History'!G:G,'BA History'!B:B,A3)-L3</f>
        <v>79</v>
      </c>
      <c r="N3" s="89">
        <f>LOOKUP(2, 1/('BA History'!$B:$B=A3), 'BA History'!$AI:$AI)</f>
        <v>0.49222222222222217</v>
      </c>
      <c r="O3" s="2">
        <f>COUNTIFS('BA History'!$B:$B,$A$3,'BA History'!K:K, 1)</f>
        <v>1</v>
      </c>
      <c r="P3" s="2">
        <f>COUNTIFS('BA History'!$B:$B,$A$3,'BA History'!L:L, 1)</f>
        <v>1</v>
      </c>
      <c r="Q3" s="2">
        <f>COUNTIFS('BA History'!$B:$B,$A$3,'BA History'!M:M, 1)</f>
        <v>3</v>
      </c>
      <c r="R3" s="2">
        <f>COUNTIFS('BA History'!$B:$B,$A$3,'BA History'!N:N, 1)</f>
        <v>0</v>
      </c>
      <c r="S3" s="2">
        <f>COUNTIFS('BA History'!$B:$B,$A$3,'BA History'!O:O, 1)</f>
        <v>0</v>
      </c>
      <c r="T3" s="2">
        <f>COUNTIFS('BA History'!$B:$B,$A$3,'BA History'!P:P, 1)</f>
        <v>0</v>
      </c>
      <c r="U3" s="2">
        <f>COUNTIFS('BA History'!$B:$B,$A$3,'BA History'!Q:Q, 1)</f>
        <v>1</v>
      </c>
      <c r="V3" s="2">
        <f>COUNTIFS('BA History'!$B:$B,$A$3,'BA History'!R:R, 1)</f>
        <v>2</v>
      </c>
      <c r="W3" s="2">
        <f>COUNTIFS('BA History'!$B:$B,$A$3,'BA History'!S:S, 1)</f>
        <v>0</v>
      </c>
      <c r="X3" s="2">
        <f>COUNTIFS('BA History'!$B:$B,$A$3,'BA History'!T:T, 1)</f>
        <v>0</v>
      </c>
      <c r="Y3" s="2">
        <f>COUNTIFS('BA History'!$B:$B,$A$3,'BA History'!U:U, 1)</f>
        <v>0</v>
      </c>
      <c r="Z3" s="2">
        <f>COUNTIFS('BA History'!$B:$B,$A$3,'BA History'!V:V, 1)</f>
        <v>2</v>
      </c>
      <c r="AA3" s="2">
        <f>COUNTIFS('BA History'!$B:$B,$A$3,'BA History'!W:W, 1)</f>
        <v>0</v>
      </c>
      <c r="AB3" s="2">
        <f>COUNTIFS('BA History'!$B:$B,$A$3,'BA History'!X:X, 1)</f>
        <v>0</v>
      </c>
      <c r="AC3" s="2">
        <f>COUNTIFS('BA History'!$B:$B,$A$3,'BA History'!Y:Y, 1)</f>
        <v>2</v>
      </c>
      <c r="AD3" s="2">
        <f>COUNTIFS('BA History'!$B:$B,$A$3,'BA History'!Z:Z, 1)</f>
        <v>2</v>
      </c>
      <c r="AE3" s="2">
        <f>COUNTIFS('BA History'!$B:$B,$A$3,'BA History'!AA:AA, 1)</f>
        <v>0</v>
      </c>
      <c r="AF3" s="2">
        <f>COUNTIFS('BA History'!$B:$B,$A$3,'BA History'!AB:AB, 1)</f>
        <v>1</v>
      </c>
      <c r="AG3" s="2">
        <f>COUNTIFS('BA History'!$B:$B,$A$3,'BA History'!AC:AC, 1)</f>
        <v>2</v>
      </c>
      <c r="AH3" s="2">
        <f>COUNTIFS('BA History'!$B:$B,$A$3,'BA History'!AD:AD, 1)</f>
        <v>1</v>
      </c>
      <c r="AI3" s="2">
        <f>COUNTIFS('BA History'!$B:$B,$A$3,'BA History'!AE:AE, 1)</f>
        <v>0</v>
      </c>
      <c r="AJ3" s="2">
        <f>COUNTIFS('BA History'!$B:$B,$A$3,'BA History'!AF:AF, 1)</f>
        <v>2</v>
      </c>
    </row>
    <row r="4" spans="1:36" x14ac:dyDescent="0.25">
      <c r="A4" s="2" t="s">
        <v>103</v>
      </c>
      <c r="B4" s="2" t="s">
        <v>79</v>
      </c>
      <c r="C4" s="34">
        <f>SUMIFS('BA History'!C:C,'BA History'!B:B,A4)</f>
        <v>30</v>
      </c>
      <c r="D4" s="66">
        <f>AVERAGEIFS('BA History'!C:C,'BA History'!B:B,A4)</f>
        <v>10</v>
      </c>
      <c r="E4" s="35">
        <f t="array" ref="E4">MAX(IF('BA History'!B:B=A4, 'BA History'!C:C))</f>
        <v>13</v>
      </c>
      <c r="F4" s="34">
        <f>COUNTIFS('BA History'!B:B,A4,'BA History'!D:D, 1)</f>
        <v>1</v>
      </c>
      <c r="G4" s="2">
        <f>COUNTIFS('BA History'!B:B,A4,'BA History'!D:D, 0)</f>
        <v>2</v>
      </c>
      <c r="H4" s="75">
        <f>LOOKUP(2, 1/('BA History'!$B:$B=A4), 'BA History'!$AJ:$AJ)</f>
        <v>0.33333333333333331</v>
      </c>
      <c r="I4" s="34">
        <f>SUMIFS('BA History'!F:F,'BA History'!B:B,A4)</f>
        <v>6</v>
      </c>
      <c r="J4" s="2">
        <f>SUMIFS('BA History'!E:E,'BA History'!B:B,A4)-I4</f>
        <v>7</v>
      </c>
      <c r="K4" s="75">
        <f>LOOKUP(2, 1/('BA History'!$B:$B=A4), 'BA History'!$AH:$AH)</f>
        <v>0.46666666666666662</v>
      </c>
      <c r="L4" s="34">
        <f>SUMIFS('BA History'!H:H,'BA History'!B:B,A4)</f>
        <v>24</v>
      </c>
      <c r="M4" s="2">
        <f>SUMIFS('BA History'!G:G,'BA History'!B:B,A4)-L4</f>
        <v>29</v>
      </c>
      <c r="N4" s="89">
        <f>LOOKUP(2, 1/('BA History'!$B:$B=A4), 'BA History'!$AI:$AI)</f>
        <v>0.44333333333333336</v>
      </c>
      <c r="O4" s="2">
        <f>COUNTIFS('BA History'!$B:$B,$A$4,'BA History'!K:K, 1)</f>
        <v>1</v>
      </c>
      <c r="P4" s="2">
        <f>COUNTIFS('BA History'!$B:$B,$A$4,'BA History'!L:L, 1)</f>
        <v>0</v>
      </c>
      <c r="Q4" s="2">
        <f>COUNTIFS('BA History'!$B:$B,$A$4,'BA History'!M:M, 1)</f>
        <v>0</v>
      </c>
      <c r="R4" s="2">
        <f>COUNTIFS('BA History'!$B:$B,$A$4,'BA History'!N:N, 1)</f>
        <v>1</v>
      </c>
      <c r="S4" s="2">
        <f>COUNTIFS('BA History'!$B:$B,$A$4,'BA History'!O:O, 1)</f>
        <v>0</v>
      </c>
      <c r="T4" s="2">
        <f>COUNTIFS('BA History'!$B:$B,$A$4,'BA History'!P:P, 1)</f>
        <v>0</v>
      </c>
      <c r="U4" s="2">
        <f>COUNTIFS('BA History'!$B:$B,$A$4,'BA History'!Q:Q, 1)</f>
        <v>0</v>
      </c>
      <c r="V4" s="2">
        <f>COUNTIFS('BA History'!$B:$B,$A$4,'BA History'!R:R, 1)</f>
        <v>0</v>
      </c>
      <c r="W4" s="2">
        <f>COUNTIFS('BA History'!$B:$B,$A$4,'BA History'!S:S, 1)</f>
        <v>1</v>
      </c>
      <c r="X4" s="2">
        <f>COUNTIFS('BA History'!$B:$B,$A$4,'BA History'!T:T, 1)</f>
        <v>0</v>
      </c>
      <c r="Y4" s="2">
        <f>COUNTIFS('BA History'!$B:$B,$A$4,'BA History'!U:U, 1)</f>
        <v>0</v>
      </c>
      <c r="Z4" s="2">
        <f>COUNTIFS('BA History'!$B:$B,$A$4,'BA History'!V:V, 1)</f>
        <v>0</v>
      </c>
      <c r="AA4" s="2">
        <f>COUNTIFS('BA History'!$B:$B,$A$4,'BA History'!W:W, 1)</f>
        <v>0</v>
      </c>
      <c r="AB4" s="2">
        <f>COUNTIFS('BA History'!$B:$B,$A$4,'BA History'!X:X, 1)</f>
        <v>0</v>
      </c>
      <c r="AC4" s="2">
        <f>COUNTIFS('BA History'!$B:$B,$A$4,'BA History'!Y:Y, 1)</f>
        <v>0</v>
      </c>
      <c r="AD4" s="2">
        <f>COUNTIFS('BA History'!$B:$B,$A$4,'BA History'!Z:Z, 1)</f>
        <v>1</v>
      </c>
      <c r="AE4" s="2">
        <f>COUNTIFS('BA History'!$B:$B,$A$4,'BA History'!AA:AA, 1)</f>
        <v>0</v>
      </c>
      <c r="AF4" s="2">
        <f>COUNTIFS('BA History'!$B:$B,$A$4,'BA History'!AB:AB, 1)</f>
        <v>0</v>
      </c>
      <c r="AG4" s="2">
        <f>COUNTIFS('BA History'!$B:$B,$A$4,'BA History'!AC:AC, 1)</f>
        <v>0</v>
      </c>
      <c r="AH4" s="2">
        <f>COUNTIFS('BA History'!$B:$B,$A$4,'BA History'!AD:AD, 1)</f>
        <v>2</v>
      </c>
      <c r="AI4" s="2">
        <f>COUNTIFS('BA History'!$B:$B,$A$4,'BA History'!AE:AE, 1)</f>
        <v>0</v>
      </c>
      <c r="AJ4" s="2">
        <f>COUNTIFS('BA History'!$B:$B,$A$4,'BA History'!AF:AF, 1)</f>
        <v>0</v>
      </c>
    </row>
    <row r="5" spans="1:36" x14ac:dyDescent="0.25">
      <c r="A5" s="2" t="s">
        <v>71</v>
      </c>
      <c r="B5" s="2" t="s">
        <v>79</v>
      </c>
      <c r="C5" s="34">
        <f>SUMIFS('BA History'!C:C,'BA History'!B:B,A5)</f>
        <v>243</v>
      </c>
      <c r="D5" s="66">
        <f>AVERAGEIFS('BA History'!C:C,'BA History'!B:B,A5)</f>
        <v>12.15</v>
      </c>
      <c r="E5" s="35">
        <f t="array" ref="E5">MAX(IF('BA History'!B:B=A5, 'BA History'!C:C))</f>
        <v>19</v>
      </c>
      <c r="F5" s="34">
        <f>COUNTIFS('BA History'!B:B,A5,'BA History'!D:D, 1)</f>
        <v>10</v>
      </c>
      <c r="G5" s="2">
        <f>COUNTIFS('BA History'!B:B,A5,'BA History'!D:D, 0)</f>
        <v>10</v>
      </c>
      <c r="H5" s="75">
        <f>LOOKUP(2, 1/('BA History'!$B:$B=A5), 'BA History'!$AJ:$AJ)</f>
        <v>0.5</v>
      </c>
      <c r="I5" s="34">
        <f>SUMIFS('BA History'!F:F,'BA History'!B:B,A5)</f>
        <v>39</v>
      </c>
      <c r="J5" s="2">
        <f>SUMIFS('BA History'!E:E,'BA History'!B:B,A5)-I5</f>
        <v>43</v>
      </c>
      <c r="K5" s="75">
        <f>LOOKUP(2, 1/('BA History'!$B:$B=A5), 'BA History'!$AH:$AH)</f>
        <v>0.45</v>
      </c>
      <c r="L5" s="34">
        <f>SUMIFS('BA History'!H:H,'BA History'!B:B,A5)</f>
        <v>159</v>
      </c>
      <c r="M5" s="2">
        <f>SUMIFS('BA History'!G:G,'BA History'!B:B,A5)-L5</f>
        <v>172</v>
      </c>
      <c r="N5" s="89">
        <f>LOOKUP(2, 1/('BA History'!$B:$B=A5), 'BA History'!$AI:$AI)</f>
        <v>0.46850000000000003</v>
      </c>
      <c r="O5" s="2">
        <f>COUNTIFS('BA History'!$B:$B,$A$5,'BA History'!K:K, 1)</f>
        <v>2</v>
      </c>
      <c r="P5" s="2">
        <f>COUNTIFS('BA History'!$B:$B,$A$5,'BA History'!L:L, 1)</f>
        <v>3</v>
      </c>
      <c r="Q5" s="2">
        <f>COUNTIFS('BA History'!$B:$B,$A$5,'BA History'!M:M, 1)</f>
        <v>3</v>
      </c>
      <c r="R5" s="2">
        <f>COUNTIFS('BA History'!$B:$B,$A$5,'BA History'!N:N, 1)</f>
        <v>2</v>
      </c>
      <c r="S5" s="2">
        <f>COUNTIFS('BA History'!$B:$B,$A$5,'BA History'!O:O, 1)</f>
        <v>0</v>
      </c>
      <c r="T5" s="2">
        <f>COUNTIFS('BA History'!$B:$B,$A$5,'BA History'!P:P, 1)</f>
        <v>1</v>
      </c>
      <c r="U5" s="2">
        <f>COUNTIFS('BA History'!$B:$B,$A$5,'BA History'!Q:Q, 1)</f>
        <v>0</v>
      </c>
      <c r="V5" s="2">
        <f>COUNTIFS('BA History'!$B:$B,$A$5,'BA History'!R:R, 1)</f>
        <v>0</v>
      </c>
      <c r="W5" s="2">
        <f>COUNTIFS('BA History'!$B:$B,$A$5,'BA History'!S:S, 1)</f>
        <v>0</v>
      </c>
      <c r="X5" s="2">
        <f>COUNTIFS('BA History'!$B:$B,$A$5,'BA History'!T:T, 1)</f>
        <v>0</v>
      </c>
      <c r="Y5" s="2">
        <f>COUNTIFS('BA History'!$B:$B,$A$5,'BA History'!U:U, 1)</f>
        <v>0</v>
      </c>
      <c r="Z5" s="2">
        <f>COUNTIFS('BA History'!$B:$B,$A$5,'BA History'!V:V, 1)</f>
        <v>3</v>
      </c>
      <c r="AA5" s="2">
        <f>COUNTIFS('BA History'!$B:$B,$A$5,'BA History'!W:W, 1)</f>
        <v>2</v>
      </c>
      <c r="AB5" s="2">
        <f>COUNTIFS('BA History'!$B:$B,$A$5,'BA History'!X:X, 1)</f>
        <v>0</v>
      </c>
      <c r="AC5" s="2">
        <f>COUNTIFS('BA History'!$B:$B,$A$5,'BA History'!Y:Y, 1)</f>
        <v>7</v>
      </c>
      <c r="AD5" s="2">
        <f>COUNTIFS('BA History'!$B:$B,$A$5,'BA History'!Z:Z, 1)</f>
        <v>3</v>
      </c>
      <c r="AE5" s="2">
        <f>COUNTIFS('BA History'!$B:$B,$A$5,'BA History'!AA:AA, 1)</f>
        <v>1</v>
      </c>
      <c r="AF5" s="2">
        <f>COUNTIFS('BA History'!$B:$B,$A$5,'BA History'!AB:AB, 1)</f>
        <v>4</v>
      </c>
      <c r="AG5" s="2">
        <f>COUNTIFS('BA History'!$B:$B,$A$5,'BA History'!AC:AC, 1)</f>
        <v>2</v>
      </c>
      <c r="AH5" s="2">
        <f>COUNTIFS('BA History'!$B:$B,$A$5,'BA History'!AD:AD, 1)</f>
        <v>4</v>
      </c>
      <c r="AI5" s="2">
        <f>COUNTIFS('BA History'!$B:$B,$A$5,'BA History'!AE:AE, 1)</f>
        <v>1</v>
      </c>
      <c r="AJ5" s="2">
        <f>COUNTIFS('BA History'!$B:$B,$A$5,'BA History'!AF:AF, 1)</f>
        <v>1</v>
      </c>
    </row>
    <row r="6" spans="1:36" x14ac:dyDescent="0.25">
      <c r="A6" s="2" t="s">
        <v>114</v>
      </c>
      <c r="B6" s="2" t="s">
        <v>79</v>
      </c>
      <c r="C6" s="34">
        <f>SUMIFS('BA History'!C:C,'BA History'!B:B,A6)</f>
        <v>6</v>
      </c>
      <c r="D6" s="66">
        <f>AVERAGEIFS('BA History'!C:C,'BA History'!B:B,A6)</f>
        <v>6</v>
      </c>
      <c r="E6" s="35">
        <f t="array" ref="E6">MAX(IF('BA History'!B:B=A6, 'BA History'!C:C))</f>
        <v>6</v>
      </c>
      <c r="F6" s="34">
        <f>COUNTIFS('BA History'!B:B,A6,'BA History'!D:D, 1)</f>
        <v>0</v>
      </c>
      <c r="G6" s="2">
        <f>COUNTIFS('BA History'!B:B,A6,'BA History'!D:D, 0)</f>
        <v>1</v>
      </c>
      <c r="H6" s="75">
        <f>LOOKUP(2, 1/('BA History'!$B:$B=A6), 'BA History'!$AJ:$AJ)</f>
        <v>0</v>
      </c>
      <c r="I6" s="34">
        <f>SUMIFS('BA History'!F:F,'BA History'!B:B,A6)</f>
        <v>1</v>
      </c>
      <c r="J6" s="2">
        <f>SUMIFS('BA History'!E:E,'BA History'!B:B,A6)-I6</f>
        <v>3</v>
      </c>
      <c r="K6" s="75">
        <f>LOOKUP(2, 1/('BA History'!$B:$B=A6), 'BA History'!$AH:$AH)</f>
        <v>0.25</v>
      </c>
      <c r="L6" s="34">
        <f>SUMIFS('BA History'!H:H,'BA History'!B:B,A6)</f>
        <v>8</v>
      </c>
      <c r="M6" s="2">
        <f>SUMIFS('BA History'!G:G,'BA History'!B:B,A6)-L6</f>
        <v>11</v>
      </c>
      <c r="N6" s="89">
        <f>LOOKUP(2, 1/('BA History'!$B:$B=A6), 'BA History'!$AI:$AI)</f>
        <v>0.42</v>
      </c>
      <c r="O6" s="2">
        <f>COUNTIFS('BA History'!$B:$B,$A$6,'BA History'!K:K, 1)</f>
        <v>0</v>
      </c>
      <c r="P6" s="2">
        <f>COUNTIFS('BA History'!$B:$B,$A$6,'BA History'!L:L, 1)</f>
        <v>0</v>
      </c>
      <c r="Q6" s="2">
        <f>COUNTIFS('BA History'!$B:$B,$A$6,'BA History'!M:M, 1)</f>
        <v>0</v>
      </c>
      <c r="R6" s="2">
        <f>COUNTIFS('BA History'!$B:$B,$A$6,'BA History'!N:N, 1)</f>
        <v>0</v>
      </c>
      <c r="S6" s="2">
        <f>COUNTIFS('BA History'!$B:$B,$A$6,'BA History'!O:O, 1)</f>
        <v>1</v>
      </c>
      <c r="T6" s="2">
        <f>COUNTIFS('BA History'!$B:$B,$A$6,'BA History'!P:P, 1)</f>
        <v>0</v>
      </c>
      <c r="U6" s="2">
        <f>COUNTIFS('BA History'!$B:$B,$A$6,'BA History'!Q:Q, 1)</f>
        <v>0</v>
      </c>
      <c r="V6" s="2">
        <f>COUNTIFS('BA History'!$B:$B,$A$6,'BA History'!R:R, 1)</f>
        <v>0</v>
      </c>
      <c r="W6" s="2">
        <f>COUNTIFS('BA History'!$B:$B,$A$6,'BA History'!S:S, 1)</f>
        <v>0</v>
      </c>
      <c r="X6" s="2">
        <f>COUNTIFS('BA History'!$B:$B,$A$6,'BA History'!T:T, 1)</f>
        <v>0</v>
      </c>
      <c r="Y6" s="2">
        <f>COUNTIFS('BA History'!$B:$B,$A$6,'BA History'!U:U, 1)</f>
        <v>0</v>
      </c>
      <c r="Z6" s="2">
        <f>COUNTIFS('BA History'!$B:$B,$A$6,'BA History'!V:V, 1)</f>
        <v>0</v>
      </c>
      <c r="AA6" s="2">
        <f>COUNTIFS('BA History'!$B:$B,$A$6,'BA History'!W:W, 1)</f>
        <v>0</v>
      </c>
      <c r="AB6" s="2">
        <f>COUNTIFS('BA History'!$B:$B,$A$6,'BA History'!X:X, 1)</f>
        <v>0</v>
      </c>
      <c r="AC6" s="2">
        <f>COUNTIFS('BA History'!$B:$B,$A$6,'BA History'!Y:Y, 1)</f>
        <v>0</v>
      </c>
      <c r="AD6" s="2">
        <f>COUNTIFS('BA History'!$B:$B,$A$6,'BA History'!Z:Z, 1)</f>
        <v>0</v>
      </c>
      <c r="AE6" s="2">
        <f>COUNTIFS('BA History'!$B:$B,$A$6,'BA History'!AA:AA, 1)</f>
        <v>0</v>
      </c>
      <c r="AF6" s="2">
        <f>COUNTIFS('BA History'!$B:$B,$A$6,'BA History'!AB:AB, 1)</f>
        <v>0</v>
      </c>
      <c r="AG6" s="2">
        <f>COUNTIFS('BA History'!$B:$B,$A$6,'BA History'!AC:AC, 1)</f>
        <v>0</v>
      </c>
      <c r="AH6" s="2">
        <f>COUNTIFS('BA History'!$B:$B,$A$6,'BA History'!AD:AD, 1)</f>
        <v>0</v>
      </c>
      <c r="AI6" s="2">
        <f>COUNTIFS('BA History'!$B:$B,$A$6,'BA History'!AE:AE, 1)</f>
        <v>0</v>
      </c>
      <c r="AJ6" s="2">
        <f>COUNTIFS('BA History'!$B:$B,$A$6,'BA History'!AF:AF, 1)</f>
        <v>0</v>
      </c>
    </row>
    <row r="7" spans="1:36" x14ac:dyDescent="0.25">
      <c r="A7" s="2" t="s">
        <v>35</v>
      </c>
      <c r="B7" s="2" t="s">
        <v>79</v>
      </c>
      <c r="C7" s="34">
        <f>SUMIFS('BA History'!C:C,'BA History'!B:B,A7)</f>
        <v>391</v>
      </c>
      <c r="D7" s="66">
        <f>AVERAGEIFS('BA History'!C:C,'BA History'!B:B,A7)</f>
        <v>10.861111111111111</v>
      </c>
      <c r="E7" s="35">
        <f t="array" ref="E7">MAX(IF('BA History'!B:B=A7, 'BA History'!C:C))</f>
        <v>24</v>
      </c>
      <c r="F7" s="34">
        <f>COUNTIFS('BA History'!B:B,A7,'BA History'!D:D, 1)</f>
        <v>16</v>
      </c>
      <c r="G7" s="2">
        <f>COUNTIFS('BA History'!B:B,A7,'BA History'!D:D, 0)</f>
        <v>20</v>
      </c>
      <c r="H7" s="75">
        <f>LOOKUP(2, 1/('BA History'!$B:$B=A7), 'BA History'!$AJ:$AJ)</f>
        <v>0.44444444444444442</v>
      </c>
      <c r="I7" s="34">
        <f>SUMIFS('BA History'!F:F,'BA History'!B:B,A7)</f>
        <v>71</v>
      </c>
      <c r="J7" s="2">
        <f>SUMIFS('BA History'!E:E,'BA History'!B:B,A7)-I7</f>
        <v>77</v>
      </c>
      <c r="K7" s="75">
        <f>LOOKUP(2, 1/('BA History'!$B:$B=A7), 'BA History'!$AH:$AH)</f>
        <v>0.46750000000000003</v>
      </c>
      <c r="L7" s="34">
        <f>SUMIFS('BA History'!H:H,'BA History'!B:B,A7)</f>
        <v>308</v>
      </c>
      <c r="M7" s="2">
        <f>SUMIFS('BA History'!G:G,'BA History'!B:B,A7)-L7</f>
        <v>313</v>
      </c>
      <c r="N7" s="89">
        <f>LOOKUP(2, 1/('BA History'!$B:$B=A7), 'BA History'!$AI:$AI)</f>
        <v>0.48861111111111111</v>
      </c>
      <c r="O7" s="2">
        <f>COUNTIFS('BA History'!$B:$B,$A$7,'BA History'!K:K, 1)</f>
        <v>2</v>
      </c>
      <c r="P7" s="2">
        <f>COUNTIFS('BA History'!$B:$B,$A$7,'BA History'!L:L, 1)</f>
        <v>4</v>
      </c>
      <c r="Q7" s="2">
        <f>COUNTIFS('BA History'!$B:$B,$A$7,'BA History'!M:M, 1)</f>
        <v>5</v>
      </c>
      <c r="R7" s="2">
        <f>COUNTIFS('BA History'!$B:$B,$A$7,'BA History'!N:N, 1)</f>
        <v>6</v>
      </c>
      <c r="S7" s="2">
        <f>COUNTIFS('BA History'!$B:$B,$A$7,'BA History'!O:O, 1)</f>
        <v>1</v>
      </c>
      <c r="T7" s="2">
        <f>COUNTIFS('BA History'!$B:$B,$A$7,'BA History'!P:P, 1)</f>
        <v>1</v>
      </c>
      <c r="U7" s="2">
        <f>COUNTIFS('BA History'!$B:$B,$A$7,'BA History'!Q:Q, 1)</f>
        <v>3</v>
      </c>
      <c r="V7" s="2">
        <f>COUNTIFS('BA History'!$B:$B,$A$7,'BA History'!R:R, 1)</f>
        <v>3</v>
      </c>
      <c r="W7" s="2">
        <f>COUNTIFS('BA History'!$B:$B,$A$7,'BA History'!S:S, 1)</f>
        <v>1</v>
      </c>
      <c r="X7" s="2">
        <f>COUNTIFS('BA History'!$B:$B,$A$7,'BA History'!T:T, 1)</f>
        <v>1</v>
      </c>
      <c r="Y7" s="2">
        <f>COUNTIFS('BA History'!$B:$B,$A$7,'BA History'!U:U, 1)</f>
        <v>1</v>
      </c>
      <c r="Z7" s="2">
        <f>COUNTIFS('BA History'!$B:$B,$A$7,'BA History'!V:V, 1)</f>
        <v>4</v>
      </c>
      <c r="AA7" s="2">
        <f>COUNTIFS('BA History'!$B:$B,$A$7,'BA History'!W:W, 1)</f>
        <v>1</v>
      </c>
      <c r="AB7" s="2">
        <f>COUNTIFS('BA History'!$B:$B,$A$7,'BA History'!X:X, 1)</f>
        <v>1</v>
      </c>
      <c r="AC7" s="2">
        <f>COUNTIFS('BA History'!$B:$B,$A$7,'BA History'!Y:Y, 1)</f>
        <v>5</v>
      </c>
      <c r="AD7" s="2">
        <f>COUNTIFS('BA History'!$B:$B,$A$7,'BA History'!Z:Z, 1)</f>
        <v>8</v>
      </c>
      <c r="AE7" s="2">
        <f>COUNTIFS('BA History'!$B:$B,$A$7,'BA History'!AA:AA, 1)</f>
        <v>2</v>
      </c>
      <c r="AF7" s="2">
        <f>COUNTIFS('BA History'!$B:$B,$A$7,'BA History'!AB:AB, 1)</f>
        <v>7</v>
      </c>
      <c r="AG7" s="2">
        <f>COUNTIFS('BA History'!$B:$B,$A$7,'BA History'!AC:AC, 1)</f>
        <v>5</v>
      </c>
      <c r="AH7" s="2">
        <f>COUNTIFS('BA History'!$B:$B,$A$7,'BA History'!AD:AD, 1)</f>
        <v>7</v>
      </c>
      <c r="AI7" s="2">
        <f>COUNTIFS('BA History'!$B:$B,$A$7,'BA History'!AE:AE, 1)</f>
        <v>1</v>
      </c>
      <c r="AJ7" s="2">
        <f>COUNTIFS('BA History'!$B:$B,$A$7,'BA History'!AF:AF, 1)</f>
        <v>2</v>
      </c>
    </row>
    <row r="8" spans="1:36" x14ac:dyDescent="0.25">
      <c r="A8" s="2" t="s">
        <v>19</v>
      </c>
      <c r="B8" s="2" t="s">
        <v>79</v>
      </c>
      <c r="C8" s="34">
        <f>SUMIFS('BA History'!C:C,'BA History'!B:B,A8)</f>
        <v>103</v>
      </c>
      <c r="D8" s="66">
        <f>AVERAGEIFS('BA History'!C:C,'BA History'!B:B,A8)</f>
        <v>7.9230769230769234</v>
      </c>
      <c r="E8" s="35">
        <f t="array" ref="E8">MAX(IF('BA History'!B:B=A8, 'BA History'!C:C))</f>
        <v>11</v>
      </c>
      <c r="F8" s="34">
        <f>COUNTIFS('BA History'!B:B,A8,'BA History'!D:D, 1)</f>
        <v>9</v>
      </c>
      <c r="G8" s="2">
        <f>COUNTIFS('BA History'!B:B,A8,'BA History'!D:D, 0)</f>
        <v>4</v>
      </c>
      <c r="H8" s="75">
        <f>LOOKUP(2, 1/('BA History'!$B:$B=A8), 'BA History'!$AJ:$AJ)</f>
        <v>0.69230769230769229</v>
      </c>
      <c r="I8" s="34">
        <f>SUMIFS('BA History'!F:F,'BA History'!B:B,A8)</f>
        <v>31</v>
      </c>
      <c r="J8" s="2">
        <f>SUMIFS('BA History'!E:E,'BA History'!B:B,A8)-I8</f>
        <v>21</v>
      </c>
      <c r="K8" s="75">
        <f>LOOKUP(2, 1/('BA History'!$B:$B=A8), 'BA History'!$AH:$AH)</f>
        <v>0.60615384615384615</v>
      </c>
      <c r="L8" s="34">
        <f>SUMIFS('BA History'!H:H,'BA History'!B:B,A8)</f>
        <v>120</v>
      </c>
      <c r="M8" s="2">
        <f>SUMIFS('BA History'!G:G,'BA History'!B:B,A8)-L8</f>
        <v>92</v>
      </c>
      <c r="N8" s="89">
        <f>LOOKUP(2, 1/('BA History'!$B:$B=A8), 'BA History'!$AI:$AI)</f>
        <v>0.57846153846153836</v>
      </c>
      <c r="O8" s="2">
        <f>COUNTIFS('BA History'!$B:$B,$A$8,'BA History'!K:K, 1)</f>
        <v>1</v>
      </c>
      <c r="P8" s="2">
        <f>COUNTIFS('BA History'!$B:$B,$A$8,'BA History'!L:L, 1)</f>
        <v>1</v>
      </c>
      <c r="Q8" s="2">
        <f>COUNTIFS('BA History'!$B:$B,$A$8,'BA History'!M:M, 1)</f>
        <v>2</v>
      </c>
      <c r="R8" s="2">
        <f>COUNTIFS('BA History'!$B:$B,$A$8,'BA History'!N:N, 1)</f>
        <v>2</v>
      </c>
      <c r="S8" s="2">
        <f>COUNTIFS('BA History'!$B:$B,$A$8,'BA History'!O:O, 1)</f>
        <v>0</v>
      </c>
      <c r="T8" s="2">
        <f>COUNTIFS('BA History'!$B:$B,$A$8,'BA History'!P:P, 1)</f>
        <v>0</v>
      </c>
      <c r="U8" s="2">
        <f>COUNTIFS('BA History'!$B:$B,$A$8,'BA History'!Q:Q, 1)</f>
        <v>2</v>
      </c>
      <c r="V8" s="2">
        <f>COUNTIFS('BA History'!$B:$B,$A$8,'BA History'!R:R, 1)</f>
        <v>1</v>
      </c>
      <c r="W8" s="2">
        <f>COUNTIFS('BA History'!$B:$B,$A$8,'BA History'!S:S, 1)</f>
        <v>0</v>
      </c>
      <c r="X8" s="2">
        <f>COUNTIFS('BA History'!$B:$B,$A$8,'BA History'!T:T, 1)</f>
        <v>1</v>
      </c>
      <c r="Y8" s="2">
        <f>COUNTIFS('BA History'!$B:$B,$A$8,'BA History'!U:U, 1)</f>
        <v>2</v>
      </c>
      <c r="Z8" s="2">
        <f>COUNTIFS('BA History'!$B:$B,$A$8,'BA History'!V:V, 1)</f>
        <v>1</v>
      </c>
      <c r="AA8" s="2">
        <f>COUNTIFS('BA History'!$B:$B,$A$8,'BA History'!W:W, 1)</f>
        <v>0</v>
      </c>
      <c r="AB8" s="2">
        <f>COUNTIFS('BA History'!$B:$B,$A$8,'BA History'!X:X, 1)</f>
        <v>1</v>
      </c>
      <c r="AC8" s="2">
        <f>COUNTIFS('BA History'!$B:$B,$A$8,'BA History'!Y:Y, 1)</f>
        <v>2</v>
      </c>
      <c r="AD8" s="2">
        <f>COUNTIFS('BA History'!$B:$B,$A$8,'BA History'!Z:Z, 1)</f>
        <v>3</v>
      </c>
      <c r="AE8" s="2">
        <f>COUNTIFS('BA History'!$B:$B,$A$8,'BA History'!AA:AA, 1)</f>
        <v>0</v>
      </c>
      <c r="AF8" s="2">
        <f>COUNTIFS('BA History'!$B:$B,$A$8,'BA History'!AB:AB, 1)</f>
        <v>5</v>
      </c>
      <c r="AG8" s="2">
        <f>COUNTIFS('BA History'!$B:$B,$A$8,'BA History'!AC:AC, 1)</f>
        <v>3</v>
      </c>
      <c r="AH8" s="2">
        <f>COUNTIFS('BA History'!$B:$B,$A$8,'BA History'!AD:AD, 1)</f>
        <v>3</v>
      </c>
      <c r="AI8" s="2">
        <f>COUNTIFS('BA History'!$B:$B,$A$8,'BA History'!AE:AE, 1)</f>
        <v>0</v>
      </c>
      <c r="AJ8" s="2">
        <f>COUNTIFS('BA History'!$B:$B,$A$8,'BA History'!AF:AF, 1)</f>
        <v>1</v>
      </c>
    </row>
    <row r="9" spans="1:36" x14ac:dyDescent="0.25">
      <c r="A9" s="2" t="s">
        <v>42</v>
      </c>
      <c r="B9" s="2" t="s">
        <v>79</v>
      </c>
      <c r="C9" s="34">
        <f>SUMIFS('BA History'!C:C,'BA History'!B:B,A9)</f>
        <v>576</v>
      </c>
      <c r="D9" s="66">
        <f>AVERAGEIFS('BA History'!C:C,'BA History'!B:B,A9)</f>
        <v>19.2</v>
      </c>
      <c r="E9" s="35">
        <f t="array" ref="E9">MAX(IF('BA History'!B:B=A9, 'BA History'!C:C))</f>
        <v>34</v>
      </c>
      <c r="F9" s="34">
        <f>COUNTIFS('BA History'!B:B,A9,'BA History'!D:D, 1)</f>
        <v>13</v>
      </c>
      <c r="G9" s="2">
        <f>COUNTIFS('BA History'!B:B,A9,'BA History'!D:D, 0)</f>
        <v>17</v>
      </c>
      <c r="H9" s="75">
        <f>LOOKUP(2, 1/('BA History'!$B:$B=A9), 'BA History'!$AJ:$AJ)</f>
        <v>0.43333333333333335</v>
      </c>
      <c r="I9" s="34">
        <f>SUMIFS('BA History'!F:F,'BA History'!B:B,A9)</f>
        <v>56</v>
      </c>
      <c r="J9" s="2">
        <f>SUMIFS('BA History'!E:E,'BA History'!B:B,A9)-I9</f>
        <v>69</v>
      </c>
      <c r="K9" s="75">
        <f>LOOKUP(2, 1/('BA History'!$B:$B=A9), 'BA History'!$AH:$AH)</f>
        <v>0.4383333333333333</v>
      </c>
      <c r="L9" s="34">
        <f>SUMIFS('BA History'!H:H,'BA History'!B:B,A9)</f>
        <v>237</v>
      </c>
      <c r="M9" s="2">
        <f>SUMIFS('BA History'!G:G,'BA History'!B:B,A9)-L9</f>
        <v>278</v>
      </c>
      <c r="N9" s="89">
        <f>LOOKUP(2, 1/('BA History'!$B:$B=A9), 'BA History'!$AI:$AI)</f>
        <v>0.45166666666666661</v>
      </c>
      <c r="O9" s="2">
        <f>COUNTIFS('BA History'!$B:$B,$A$9,'BA History'!K:K, 1)</f>
        <v>3</v>
      </c>
      <c r="P9" s="2">
        <f>COUNTIFS('BA History'!$B:$B,$A$9,'BA History'!L:L, 1)</f>
        <v>6</v>
      </c>
      <c r="Q9" s="2">
        <f>COUNTIFS('BA History'!$B:$B,$A$9,'BA History'!M:M, 1)</f>
        <v>1</v>
      </c>
      <c r="R9" s="2">
        <f>COUNTIFS('BA History'!$B:$B,$A$9,'BA History'!N:N, 1)</f>
        <v>6</v>
      </c>
      <c r="S9" s="2">
        <f>COUNTIFS('BA History'!$B:$B,$A$9,'BA History'!O:O, 1)</f>
        <v>1</v>
      </c>
      <c r="T9" s="2">
        <f>COUNTIFS('BA History'!$B:$B,$A$9,'BA History'!P:P, 1)</f>
        <v>0</v>
      </c>
      <c r="U9" s="2">
        <f>COUNTIFS('BA History'!$B:$B,$A$9,'BA History'!Q:Q, 1)</f>
        <v>2</v>
      </c>
      <c r="V9" s="2">
        <f>COUNTIFS('BA History'!$B:$B,$A$9,'BA History'!R:R, 1)</f>
        <v>1</v>
      </c>
      <c r="W9" s="2">
        <f>COUNTIFS('BA History'!$B:$B,$A$9,'BA History'!S:S, 1)</f>
        <v>2</v>
      </c>
      <c r="X9" s="2">
        <f>COUNTIFS('BA History'!$B:$B,$A$9,'BA History'!T:T, 1)</f>
        <v>0</v>
      </c>
      <c r="Y9" s="2">
        <f>COUNTIFS('BA History'!$B:$B,$A$9,'BA History'!U:U, 1)</f>
        <v>1</v>
      </c>
      <c r="Z9" s="2">
        <f>COUNTIFS('BA History'!$B:$B,$A$9,'BA History'!V:V, 1)</f>
        <v>3</v>
      </c>
      <c r="AA9" s="2">
        <f>COUNTIFS('BA History'!$B:$B,$A$9,'BA History'!W:W, 1)</f>
        <v>1</v>
      </c>
      <c r="AB9" s="2">
        <f>COUNTIFS('BA History'!$B:$B,$A$9,'BA History'!X:X, 1)</f>
        <v>0</v>
      </c>
      <c r="AC9" s="2">
        <f>COUNTIFS('BA History'!$B:$B,$A$9,'BA History'!Y:Y, 1)</f>
        <v>6</v>
      </c>
      <c r="AD9" s="2">
        <f>COUNTIFS('BA History'!$B:$B,$A$9,'BA History'!Z:Z, 1)</f>
        <v>7</v>
      </c>
      <c r="AE9" s="2">
        <f>COUNTIFS('BA History'!$B:$B,$A$9,'BA History'!AA:AA, 1)</f>
        <v>2</v>
      </c>
      <c r="AF9" s="2">
        <f>COUNTIFS('BA History'!$B:$B,$A$9,'BA History'!AB:AB, 1)</f>
        <v>4</v>
      </c>
      <c r="AG9" s="2">
        <f>COUNTIFS('BA History'!$B:$B,$A$9,'BA History'!AC:AC, 1)</f>
        <v>3</v>
      </c>
      <c r="AH9" s="2">
        <f>COUNTIFS('BA History'!$B:$B,$A$9,'BA History'!AD:AD, 1)</f>
        <v>6</v>
      </c>
      <c r="AI9" s="2">
        <f>COUNTIFS('BA History'!$B:$B,$A$9,'BA History'!AE:AE, 1)</f>
        <v>0</v>
      </c>
      <c r="AJ9" s="2">
        <f>COUNTIFS('BA History'!$B:$B,$A$9,'BA History'!AF:AF, 1)</f>
        <v>1</v>
      </c>
    </row>
    <row r="10" spans="1:36" x14ac:dyDescent="0.25">
      <c r="A10" s="2" t="s">
        <v>25</v>
      </c>
      <c r="B10" s="2" t="s">
        <v>79</v>
      </c>
      <c r="C10" s="34">
        <f>SUMIFS('BA History'!C:C,'BA History'!B:B,A10)</f>
        <v>58</v>
      </c>
      <c r="D10" s="66">
        <f>AVERAGEIFS('BA History'!C:C,'BA History'!B:B,A10)</f>
        <v>9.6666666666666661</v>
      </c>
      <c r="E10" s="35">
        <f t="array" ref="E10">MAX(IF('BA History'!B:B=A10, 'BA History'!C:C))</f>
        <v>15</v>
      </c>
      <c r="F10" s="34">
        <f>COUNTIFS('BA History'!B:B,A10,'BA History'!D:D, 1)</f>
        <v>4</v>
      </c>
      <c r="G10" s="2">
        <f>COUNTIFS('BA History'!B:B,A10,'BA History'!D:D, 0)</f>
        <v>2</v>
      </c>
      <c r="H10" s="75">
        <f>LOOKUP(2, 1/('BA History'!$B:$B=A10), 'BA History'!$AJ:$AJ)</f>
        <v>0.66666666666666663</v>
      </c>
      <c r="I10" s="34">
        <f>SUMIFS('BA History'!F:F,'BA History'!B:B,A10)</f>
        <v>14</v>
      </c>
      <c r="J10" s="2">
        <f>SUMIFS('BA History'!E:E,'BA History'!B:B,A10)-I10</f>
        <v>8</v>
      </c>
      <c r="K10" s="75">
        <f>LOOKUP(2, 1/('BA History'!$B:$B=A10), 'BA History'!$AH:$AH)</f>
        <v>0.66666666666666663</v>
      </c>
      <c r="L10" s="34">
        <f>SUMIFS('BA History'!H:H,'BA History'!B:B,A10)</f>
        <v>53</v>
      </c>
      <c r="M10" s="2">
        <f>SUMIFS('BA History'!G:G,'BA History'!B:B,A10)-L10</f>
        <v>35</v>
      </c>
      <c r="N10" s="89">
        <f>LOOKUP(2, 1/('BA History'!$B:$B=A10), 'BA History'!$AI:$AI)</f>
        <v>0.63833333333333331</v>
      </c>
      <c r="O10" s="2">
        <f>COUNTIFS('BA History'!$B:$B,$A$10,'BA History'!K:K, 1)</f>
        <v>2</v>
      </c>
      <c r="P10" s="2">
        <f>COUNTIFS('BA History'!$B:$B,$A$10,'BA History'!L:L, 1)</f>
        <v>0</v>
      </c>
      <c r="Q10" s="2">
        <f>COUNTIFS('BA History'!$B:$B,$A$10,'BA History'!M:M, 1)</f>
        <v>1</v>
      </c>
      <c r="R10" s="2">
        <f>COUNTIFS('BA History'!$B:$B,$A$10,'BA History'!N:N, 1)</f>
        <v>1</v>
      </c>
      <c r="S10" s="2">
        <f>COUNTIFS('BA History'!$B:$B,$A$10,'BA History'!O:O, 1)</f>
        <v>1</v>
      </c>
      <c r="T10" s="2">
        <f>COUNTIFS('BA History'!$B:$B,$A$10,'BA History'!P:P, 1)</f>
        <v>1</v>
      </c>
      <c r="U10" s="2">
        <f>COUNTIFS('BA History'!$B:$B,$A$10,'BA History'!Q:Q, 1)</f>
        <v>2</v>
      </c>
      <c r="V10" s="2">
        <f>COUNTIFS('BA History'!$B:$B,$A$10,'BA History'!R:R, 1)</f>
        <v>0</v>
      </c>
      <c r="W10" s="2">
        <f>COUNTIFS('BA History'!$B:$B,$A$10,'BA History'!S:S, 1)</f>
        <v>0</v>
      </c>
      <c r="X10" s="2">
        <f>COUNTIFS('BA History'!$B:$B,$A$10,'BA History'!T:T, 1)</f>
        <v>0</v>
      </c>
      <c r="Y10" s="2">
        <f>COUNTIFS('BA History'!$B:$B,$A$10,'BA History'!U:U, 1)</f>
        <v>0</v>
      </c>
      <c r="Z10" s="2">
        <f>COUNTIFS('BA History'!$B:$B,$A$10,'BA History'!V:V, 1)</f>
        <v>1</v>
      </c>
      <c r="AA10" s="2">
        <f>COUNTIFS('BA History'!$B:$B,$A$10,'BA History'!W:W, 1)</f>
        <v>0</v>
      </c>
      <c r="AB10" s="2">
        <f>COUNTIFS('BA History'!$B:$B,$A$10,'BA History'!X:X, 1)</f>
        <v>0</v>
      </c>
      <c r="AC10" s="2">
        <f>COUNTIFS('BA History'!$B:$B,$A$10,'BA History'!Y:Y, 1)</f>
        <v>2</v>
      </c>
      <c r="AD10" s="2">
        <f>COUNTIFS('BA History'!$B:$B,$A$10,'BA History'!Z:Z, 1)</f>
        <v>2</v>
      </c>
      <c r="AE10" s="2">
        <f>COUNTIFS('BA History'!$B:$B,$A$10,'BA History'!AA:AA, 1)</f>
        <v>0</v>
      </c>
      <c r="AF10" s="2">
        <f>COUNTIFS('BA History'!$B:$B,$A$10,'BA History'!AB:AB, 1)</f>
        <v>1</v>
      </c>
      <c r="AG10" s="2">
        <f>COUNTIFS('BA History'!$B:$B,$A$10,'BA History'!AC:AC, 1)</f>
        <v>0</v>
      </c>
      <c r="AH10" s="2">
        <f>COUNTIFS('BA History'!$B:$B,$A$10,'BA History'!AD:AD, 1)</f>
        <v>0</v>
      </c>
      <c r="AI10" s="2">
        <f>COUNTIFS('BA History'!$B:$B,$A$10,'BA History'!AE:AE, 1)</f>
        <v>0</v>
      </c>
      <c r="AJ10" s="2">
        <f>COUNTIFS('BA History'!$B:$B,$A$10,'BA History'!AF:AF, 1)</f>
        <v>0</v>
      </c>
    </row>
    <row r="11" spans="1:36" x14ac:dyDescent="0.25">
      <c r="A11" s="2" t="s">
        <v>115</v>
      </c>
      <c r="B11" s="2" t="s">
        <v>79</v>
      </c>
      <c r="C11" s="34">
        <f>SUMIFS('BA History'!C:C,'BA History'!B:B,A11)</f>
        <v>109</v>
      </c>
      <c r="D11" s="66">
        <f>AVERAGEIFS('BA History'!C:C,'BA History'!B:B,A11)</f>
        <v>13.625</v>
      </c>
      <c r="E11" s="35">
        <f t="array" ref="E11">MAX(IF('BA History'!B:B=A11, 'BA History'!C:C))</f>
        <v>23</v>
      </c>
      <c r="F11" s="34">
        <f>COUNTIFS('BA History'!B:B,A11,'BA History'!D:D, 1)</f>
        <v>3</v>
      </c>
      <c r="G11" s="2">
        <f>COUNTIFS('BA History'!B:B,A11,'BA History'!D:D, 0)</f>
        <v>5</v>
      </c>
      <c r="H11" s="75">
        <f>LOOKUP(2, 1/('BA History'!$B:$B=A11), 'BA History'!$AJ:$AJ)</f>
        <v>0.375</v>
      </c>
      <c r="I11" s="34">
        <f>SUMIFS('BA History'!F:F,'BA History'!B:B,A11)</f>
        <v>16</v>
      </c>
      <c r="J11" s="2">
        <f>SUMIFS('BA History'!E:E,'BA History'!B:B,A11)-I11</f>
        <v>19</v>
      </c>
      <c r="K11" s="75">
        <f>LOOKUP(2, 1/('BA History'!$B:$B=A11), 'BA History'!$AH:$AH)</f>
        <v>0.45624999999999999</v>
      </c>
      <c r="L11" s="34">
        <f>SUMIFS('BA History'!H:H,'BA History'!B:B,A11)</f>
        <v>66</v>
      </c>
      <c r="M11" s="2">
        <f>SUMIFS('BA History'!G:G,'BA History'!B:B,A11)-L11</f>
        <v>71</v>
      </c>
      <c r="N11" s="89">
        <f>LOOKUP(2, 1/('BA History'!$B:$B=A11), 'BA History'!$AI:$AI)</f>
        <v>0.48374999999999996</v>
      </c>
      <c r="O11" s="2">
        <f>COUNTIFS('BA History'!$B:$B,$A$11,'BA History'!K:K, 1)</f>
        <v>1</v>
      </c>
      <c r="P11" s="2">
        <f>COUNTIFS('BA History'!$B:$B,$A$11,'BA History'!L:L, 1)</f>
        <v>2</v>
      </c>
      <c r="Q11" s="2">
        <f>COUNTIFS('BA History'!$B:$B,$A$11,'BA History'!M:M, 1)</f>
        <v>1</v>
      </c>
      <c r="R11" s="2">
        <f>COUNTIFS('BA History'!$B:$B,$A$11,'BA History'!N:N, 1)</f>
        <v>0</v>
      </c>
      <c r="S11" s="2">
        <f>COUNTIFS('BA History'!$B:$B,$A$11,'BA History'!O:O, 1)</f>
        <v>1</v>
      </c>
      <c r="T11" s="2">
        <f>COUNTIFS('BA History'!$B:$B,$A$11,'BA History'!P:P, 1)</f>
        <v>0</v>
      </c>
      <c r="U11" s="2">
        <f>COUNTIFS('BA History'!$B:$B,$A$11,'BA History'!Q:Q, 1)</f>
        <v>1</v>
      </c>
      <c r="V11" s="2">
        <f>COUNTIFS('BA History'!$B:$B,$A$11,'BA History'!R:R, 1)</f>
        <v>0</v>
      </c>
      <c r="W11" s="2">
        <f>COUNTIFS('BA History'!$B:$B,$A$11,'BA History'!S:S, 1)</f>
        <v>0</v>
      </c>
      <c r="X11" s="2">
        <f>COUNTIFS('BA History'!$B:$B,$A$11,'BA History'!T:T, 1)</f>
        <v>0</v>
      </c>
      <c r="Y11" s="2">
        <f>COUNTIFS('BA History'!$B:$B,$A$11,'BA History'!U:U, 1)</f>
        <v>1</v>
      </c>
      <c r="Z11" s="2">
        <f>COUNTIFS('BA History'!$B:$B,$A$11,'BA History'!V:V, 1)</f>
        <v>1</v>
      </c>
      <c r="AA11" s="2">
        <f>COUNTIFS('BA History'!$B:$B,$A$11,'BA History'!W:W, 1)</f>
        <v>1</v>
      </c>
      <c r="AB11" s="2">
        <f>COUNTIFS('BA History'!$B:$B,$A$11,'BA History'!X:X, 1)</f>
        <v>1</v>
      </c>
      <c r="AC11" s="2">
        <f>COUNTIFS('BA History'!$B:$B,$A$11,'BA History'!Y:Y, 1)</f>
        <v>1</v>
      </c>
      <c r="AD11" s="2">
        <f>COUNTIFS('BA History'!$B:$B,$A$11,'BA History'!Z:Z, 1)</f>
        <v>1</v>
      </c>
      <c r="AE11" s="2">
        <f>COUNTIFS('BA History'!$B:$B,$A$11,'BA History'!AA:AA, 1)</f>
        <v>0</v>
      </c>
      <c r="AF11" s="2">
        <f>COUNTIFS('BA History'!$B:$B,$A$11,'BA History'!AB:AB, 1)</f>
        <v>0</v>
      </c>
      <c r="AG11" s="2">
        <f>COUNTIFS('BA History'!$B:$B,$A$11,'BA History'!AC:AC, 1)</f>
        <v>2</v>
      </c>
      <c r="AH11" s="2">
        <f>COUNTIFS('BA History'!$B:$B,$A$11,'BA History'!AD:AD, 1)</f>
        <v>1</v>
      </c>
      <c r="AI11" s="2">
        <f>COUNTIFS('BA History'!$B:$B,$A$11,'BA History'!AE:AE, 1)</f>
        <v>0</v>
      </c>
      <c r="AJ11" s="2">
        <f>COUNTIFS('BA History'!$B:$B,$A$11,'BA History'!AF:AF, 1)</f>
        <v>1</v>
      </c>
    </row>
    <row r="12" spans="1:36" x14ac:dyDescent="0.25">
      <c r="A12" s="2" t="s">
        <v>147</v>
      </c>
      <c r="B12" s="2" t="s">
        <v>79</v>
      </c>
      <c r="C12" s="34">
        <f>SUMIFS('BA History'!C:C,'BA History'!B:B,A12)</f>
        <v>43</v>
      </c>
      <c r="D12" s="66">
        <f>AVERAGEIFS('BA History'!C:C,'BA History'!B:B,A12)</f>
        <v>8.6</v>
      </c>
      <c r="E12" s="35">
        <f t="array" ref="E12">MAX(IF('BA History'!B:B=A12, 'BA History'!C:C))</f>
        <v>18</v>
      </c>
      <c r="F12" s="34">
        <f>COUNTIFS('BA History'!B:B,A12,'BA History'!D:D, 1)</f>
        <v>1</v>
      </c>
      <c r="G12" s="2">
        <f>COUNTIFS('BA History'!B:B,A12,'BA History'!D:D, 0)</f>
        <v>4</v>
      </c>
      <c r="H12" s="75">
        <f>LOOKUP(2, 1/('BA History'!$B:$B=A12), 'BA History'!$AJ:$AJ)</f>
        <v>0.2</v>
      </c>
      <c r="I12" s="34">
        <f>SUMIFS('BA History'!F:F,'BA History'!B:B,A12)</f>
        <v>5</v>
      </c>
      <c r="J12" s="2">
        <f>SUMIFS('BA History'!E:E,'BA History'!B:B,A12)-I12</f>
        <v>12</v>
      </c>
      <c r="K12" s="75">
        <f>LOOKUP(2, 1/('BA History'!$B:$B=A12), 'BA History'!$AH:$AH)</f>
        <v>0.3</v>
      </c>
      <c r="L12" s="34">
        <f>SUMIFS('BA History'!H:H,'BA History'!B:B,A12)</f>
        <v>26</v>
      </c>
      <c r="M12" s="2">
        <f>SUMIFS('BA History'!G:G,'BA History'!B:B,A12)-L12</f>
        <v>43</v>
      </c>
      <c r="N12" s="89">
        <f>LOOKUP(2, 1/('BA History'!$B:$B=A12), 'BA History'!$AI:$AI)</f>
        <v>0.36199999999999999</v>
      </c>
      <c r="O12" s="2">
        <f>COUNTIFS('BA History'!$B:$B,$A$12,'BA History'!K:K, 1)</f>
        <v>0</v>
      </c>
      <c r="P12" s="2">
        <f>COUNTIFS('BA History'!$B:$B,$A$12,'BA History'!L:L, 1)</f>
        <v>0</v>
      </c>
      <c r="Q12" s="2">
        <f>COUNTIFS('BA History'!$B:$B,$A$12,'BA History'!M:M, 1)</f>
        <v>1</v>
      </c>
      <c r="R12" s="2">
        <f>COUNTIFS('BA History'!$B:$B,$A$12,'BA History'!N:N, 1)</f>
        <v>0</v>
      </c>
      <c r="S12" s="2">
        <f>COUNTIFS('BA History'!$B:$B,$A$12,'BA History'!O:O, 1)</f>
        <v>2</v>
      </c>
      <c r="T12" s="2">
        <f>COUNTIFS('BA History'!$B:$B,$A$12,'BA History'!P:P, 1)</f>
        <v>0</v>
      </c>
      <c r="U12" s="2">
        <f>COUNTIFS('BA History'!$B:$B,$A$12,'BA History'!Q:Q, 1)</f>
        <v>0</v>
      </c>
      <c r="V12" s="2">
        <f>COUNTIFS('BA History'!$B:$B,$A$12,'BA History'!R:R, 1)</f>
        <v>0</v>
      </c>
      <c r="W12" s="2">
        <f>COUNTIFS('BA History'!$B:$B,$A$12,'BA History'!S:S, 1)</f>
        <v>0</v>
      </c>
      <c r="X12" s="2">
        <f>COUNTIFS('BA History'!$B:$B,$A$12,'BA History'!T:T, 1)</f>
        <v>0</v>
      </c>
      <c r="Y12" s="2">
        <f>COUNTIFS('BA History'!$B:$B,$A$12,'BA History'!U:U, 1)</f>
        <v>0</v>
      </c>
      <c r="Z12" s="2">
        <f>COUNTIFS('BA History'!$B:$B,$A$12,'BA History'!V:V, 1)</f>
        <v>0</v>
      </c>
      <c r="AA12" s="2">
        <f>COUNTIFS('BA History'!$B:$B,$A$12,'BA History'!W:W, 1)</f>
        <v>0</v>
      </c>
      <c r="AB12" s="2">
        <f>COUNTIFS('BA History'!$B:$B,$A$12,'BA History'!X:X, 1)</f>
        <v>0</v>
      </c>
      <c r="AC12" s="2">
        <f>COUNTIFS('BA History'!$B:$B,$A$12,'BA History'!Y:Y, 1)</f>
        <v>0</v>
      </c>
      <c r="AD12" s="2">
        <f>COUNTIFS('BA History'!$B:$B,$A$12,'BA History'!Z:Z, 1)</f>
        <v>0</v>
      </c>
      <c r="AE12" s="2">
        <f>COUNTIFS('BA History'!$B:$B,$A$12,'BA History'!AA:AA, 1)</f>
        <v>0</v>
      </c>
      <c r="AF12" s="2">
        <f>COUNTIFS('BA History'!$B:$B,$A$12,'BA History'!AB:AB, 1)</f>
        <v>0</v>
      </c>
      <c r="AG12" s="2">
        <f>COUNTIFS('BA History'!$B:$B,$A$12,'BA History'!AC:AC, 1)</f>
        <v>1</v>
      </c>
      <c r="AH12" s="2">
        <f>COUNTIFS('BA History'!$B:$B,$A$12,'BA History'!AD:AD, 1)</f>
        <v>1</v>
      </c>
      <c r="AI12" s="2">
        <f>COUNTIFS('BA History'!$B:$B,$A$12,'BA History'!AE:AE, 1)</f>
        <v>0</v>
      </c>
      <c r="AJ12" s="2">
        <f>COUNTIFS('BA History'!$B:$B,$A$12,'BA History'!AF:AF, 1)</f>
        <v>0</v>
      </c>
    </row>
    <row r="13" spans="1:36" x14ac:dyDescent="0.25">
      <c r="A13" s="2" t="s">
        <v>27</v>
      </c>
      <c r="B13" s="2" t="s">
        <v>79</v>
      </c>
      <c r="C13" s="34">
        <f>SUMIFS('BA History'!C:C,'BA History'!B:B,A13)</f>
        <v>93</v>
      </c>
      <c r="D13" s="66">
        <f>AVERAGEIFS('BA History'!C:C,'BA History'!B:B,A13)</f>
        <v>11.625</v>
      </c>
      <c r="E13" s="35">
        <f t="array" ref="E13">MAX(IF('BA History'!B:B=A13, 'BA History'!C:C))</f>
        <v>20</v>
      </c>
      <c r="F13" s="34">
        <f>COUNTIFS('BA History'!B:B,A13,'BA History'!D:D, 1)</f>
        <v>2</v>
      </c>
      <c r="G13" s="2">
        <f>COUNTIFS('BA History'!B:B,A13,'BA History'!D:D, 0)</f>
        <v>6</v>
      </c>
      <c r="H13" s="75">
        <f>LOOKUP(2, 1/('BA History'!$B:$B=A13), 'BA History'!$AJ:$AJ)</f>
        <v>0.25</v>
      </c>
      <c r="I13" s="34">
        <f>SUMIFS('BA History'!F:F,'BA History'!B:B,A13)</f>
        <v>12</v>
      </c>
      <c r="J13" s="2">
        <f>SUMIFS('BA History'!E:E,'BA History'!B:B,A13)-I13</f>
        <v>22</v>
      </c>
      <c r="K13" s="75">
        <f>LOOKUP(2, 1/('BA History'!$B:$B=A13), 'BA History'!$AH:$AH)</f>
        <v>0.32500000000000001</v>
      </c>
      <c r="L13" s="34">
        <f>SUMIFS('BA History'!H:H,'BA History'!B:B,A13)</f>
        <v>52</v>
      </c>
      <c r="M13" s="2">
        <f>SUMIFS('BA History'!G:G,'BA History'!B:B,A13)-L13</f>
        <v>84</v>
      </c>
      <c r="N13" s="89">
        <f>LOOKUP(2, 1/('BA History'!$B:$B=A13), 'BA History'!$AI:$AI)</f>
        <v>0.36</v>
      </c>
      <c r="O13" s="2">
        <f>COUNTIFS('BA History'!$B:$B,$A$13,'BA History'!K:K, 1)</f>
        <v>0</v>
      </c>
      <c r="P13" s="2">
        <f>COUNTIFS('BA History'!$B:$B,$A$13,'BA History'!L:L, 1)</f>
        <v>1</v>
      </c>
      <c r="Q13" s="2">
        <f>COUNTIFS('BA History'!$B:$B,$A$13,'BA History'!M:M, 1)</f>
        <v>1</v>
      </c>
      <c r="R13" s="2">
        <f>COUNTIFS('BA History'!$B:$B,$A$13,'BA History'!N:N, 1)</f>
        <v>2</v>
      </c>
      <c r="S13" s="2">
        <f>COUNTIFS('BA History'!$B:$B,$A$13,'BA History'!O:O, 1)</f>
        <v>0</v>
      </c>
      <c r="T13" s="2">
        <f>COUNTIFS('BA History'!$B:$B,$A$13,'BA History'!P:P, 1)</f>
        <v>0</v>
      </c>
      <c r="U13" s="2">
        <f>COUNTIFS('BA History'!$B:$B,$A$13,'BA History'!Q:Q, 1)</f>
        <v>0</v>
      </c>
      <c r="V13" s="2">
        <f>COUNTIFS('BA History'!$B:$B,$A$13,'BA History'!R:R, 1)</f>
        <v>0</v>
      </c>
      <c r="W13" s="2">
        <f>COUNTIFS('BA History'!$B:$B,$A$13,'BA History'!S:S, 1)</f>
        <v>0</v>
      </c>
      <c r="X13" s="2">
        <f>COUNTIFS('BA History'!$B:$B,$A$13,'BA History'!T:T, 1)</f>
        <v>0</v>
      </c>
      <c r="Y13" s="2">
        <f>COUNTIFS('BA History'!$B:$B,$A$13,'BA History'!U:U, 1)</f>
        <v>1</v>
      </c>
      <c r="Z13" s="2">
        <f>COUNTIFS('BA History'!$B:$B,$A$13,'BA History'!V:V, 1)</f>
        <v>0</v>
      </c>
      <c r="AA13" s="2">
        <f>COUNTIFS('BA History'!$B:$B,$A$13,'BA History'!W:W, 1)</f>
        <v>0</v>
      </c>
      <c r="AB13" s="2">
        <f>COUNTIFS('BA History'!$B:$B,$A$13,'BA History'!X:X, 1)</f>
        <v>0</v>
      </c>
      <c r="AC13" s="2">
        <f>COUNTIFS('BA History'!$B:$B,$A$13,'BA History'!Y:Y, 1)</f>
        <v>1</v>
      </c>
      <c r="AD13" s="2">
        <f>COUNTIFS('BA History'!$B:$B,$A$13,'BA History'!Z:Z, 1)</f>
        <v>2</v>
      </c>
      <c r="AE13" s="2">
        <f>COUNTIFS('BA History'!$B:$B,$A$13,'BA History'!AA:AA, 1)</f>
        <v>0</v>
      </c>
      <c r="AF13" s="2">
        <f>COUNTIFS('BA History'!$B:$B,$A$13,'BA History'!AB:AB, 1)</f>
        <v>3</v>
      </c>
      <c r="AG13" s="2">
        <f>COUNTIFS('BA History'!$B:$B,$A$13,'BA History'!AC:AC, 1)</f>
        <v>1</v>
      </c>
      <c r="AH13" s="2">
        <f>COUNTIFS('BA History'!$B:$B,$A$13,'BA History'!AD:AD, 1)</f>
        <v>0</v>
      </c>
      <c r="AI13" s="2">
        <f>COUNTIFS('BA History'!$B:$B,$A$13,'BA History'!AE:AE, 1)</f>
        <v>0</v>
      </c>
      <c r="AJ13" s="2">
        <f>COUNTIFS('BA History'!$B:$B,$A$13,'BA History'!AF:AF, 1)</f>
        <v>0</v>
      </c>
    </row>
    <row r="14" spans="1:36" x14ac:dyDescent="0.25">
      <c r="A14" s="2" t="s">
        <v>74</v>
      </c>
      <c r="B14" s="2" t="s">
        <v>79</v>
      </c>
      <c r="C14" s="34">
        <f>SUMIFS('BA History'!C:C,'BA History'!B:B,A14)</f>
        <v>9</v>
      </c>
      <c r="D14" s="66">
        <f>AVERAGEIFS('BA History'!C:C,'BA History'!B:B,A14)</f>
        <v>9</v>
      </c>
      <c r="E14" s="35">
        <f t="array" ref="E14">MAX(IF('BA History'!B:B=A14, 'BA History'!C:C))</f>
        <v>9</v>
      </c>
      <c r="F14" s="34">
        <f>COUNTIFS('BA History'!B:B,A14,'BA History'!D:D, 1)</f>
        <v>0</v>
      </c>
      <c r="G14" s="2">
        <f>COUNTIFS('BA History'!B:B,A14,'BA History'!D:D, 0)</f>
        <v>1</v>
      </c>
      <c r="H14" s="75">
        <f>LOOKUP(2, 1/('BA History'!$B:$B=A14), 'BA History'!$AJ:$AJ)</f>
        <v>0</v>
      </c>
      <c r="I14" s="34">
        <f>SUMIFS('BA History'!F:F,'BA History'!B:B,A14)</f>
        <v>1</v>
      </c>
      <c r="J14" s="2">
        <f>SUMIFS('BA History'!E:E,'BA History'!B:B,A14)-I14</f>
        <v>3</v>
      </c>
      <c r="K14" s="75">
        <f>LOOKUP(2, 1/('BA History'!$B:$B=A14), 'BA History'!$AH:$AH)</f>
        <v>0.25</v>
      </c>
      <c r="L14" s="34">
        <f>SUMIFS('BA History'!H:H,'BA History'!B:B,A14)</f>
        <v>6</v>
      </c>
      <c r="M14" s="2">
        <f>SUMIFS('BA History'!G:G,'BA History'!B:B,A14)-L14</f>
        <v>9</v>
      </c>
      <c r="N14" s="89">
        <f>LOOKUP(2, 1/('BA History'!$B:$B=A14), 'BA History'!$AI:$AI)</f>
        <v>0.4</v>
      </c>
      <c r="O14" s="2">
        <f>COUNTIFS('BA History'!$B:$B,$A$14,'BA History'!K:K, 1)</f>
        <v>0</v>
      </c>
      <c r="P14" s="2">
        <f>COUNTIFS('BA History'!$B:$B,$A$14,'BA History'!L:L, 1)</f>
        <v>0</v>
      </c>
      <c r="Q14" s="2">
        <f>COUNTIFS('BA History'!$B:$B,$A$14,'BA History'!M:M, 1)</f>
        <v>0</v>
      </c>
      <c r="R14" s="2">
        <f>COUNTIFS('BA History'!$B:$B,$A$14,'BA History'!N:N, 1)</f>
        <v>0</v>
      </c>
      <c r="S14" s="2">
        <f>COUNTIFS('BA History'!$B:$B,$A$14,'BA History'!O:O, 1)</f>
        <v>0</v>
      </c>
      <c r="T14" s="2">
        <f>COUNTIFS('BA History'!$B:$B,$A$14,'BA History'!P:P, 1)</f>
        <v>0</v>
      </c>
      <c r="U14" s="2">
        <f>COUNTIFS('BA History'!$B:$B,$A$14,'BA History'!Q:Q, 1)</f>
        <v>0</v>
      </c>
      <c r="V14" s="2">
        <f>COUNTIFS('BA History'!$B:$B,$A$14,'BA History'!R:R, 1)</f>
        <v>0</v>
      </c>
      <c r="W14" s="2">
        <f>COUNTIFS('BA History'!$B:$B,$A$14,'BA History'!S:S, 1)</f>
        <v>0</v>
      </c>
      <c r="X14" s="2">
        <f>COUNTIFS('BA History'!$B:$B,$A$14,'BA History'!T:T, 1)</f>
        <v>0</v>
      </c>
      <c r="Y14" s="2">
        <f>COUNTIFS('BA History'!$B:$B,$A$14,'BA History'!U:U, 1)</f>
        <v>0</v>
      </c>
      <c r="Z14" s="2">
        <f>COUNTIFS('BA History'!$B:$B,$A$14,'BA History'!V:V, 1)</f>
        <v>0</v>
      </c>
      <c r="AA14" s="2">
        <f>COUNTIFS('BA History'!$B:$B,$A$14,'BA History'!W:W, 1)</f>
        <v>0</v>
      </c>
      <c r="AB14" s="2">
        <f>COUNTIFS('BA History'!$B:$B,$A$14,'BA History'!X:X, 1)</f>
        <v>0</v>
      </c>
      <c r="AC14" s="2">
        <f>COUNTIFS('BA History'!$B:$B,$A$14,'BA History'!Y:Y, 1)</f>
        <v>0</v>
      </c>
      <c r="AD14" s="2">
        <f>COUNTIFS('BA History'!$B:$B,$A$14,'BA History'!Z:Z, 1)</f>
        <v>1</v>
      </c>
      <c r="AE14" s="2">
        <f>COUNTIFS('BA History'!$B:$B,$A$14,'BA History'!AA:AA, 1)</f>
        <v>0</v>
      </c>
      <c r="AF14" s="2">
        <f>COUNTIFS('BA History'!$B:$B,$A$14,'BA History'!AB:AB, 1)</f>
        <v>0</v>
      </c>
      <c r="AG14" s="2">
        <f>COUNTIFS('BA History'!$B:$B,$A$14,'BA History'!AC:AC, 1)</f>
        <v>0</v>
      </c>
      <c r="AH14" s="2">
        <f>COUNTIFS('BA History'!$B:$B,$A$14,'BA History'!AD:AD, 1)</f>
        <v>0</v>
      </c>
      <c r="AI14" s="2">
        <f>COUNTIFS('BA History'!$B:$B,$A$14,'BA History'!AE:AE, 1)</f>
        <v>0</v>
      </c>
      <c r="AJ14" s="2">
        <f>COUNTIFS('BA History'!$B:$B,$A$14,'BA History'!AF:AF, 1)</f>
        <v>0</v>
      </c>
    </row>
    <row r="15" spans="1:36" x14ac:dyDescent="0.25">
      <c r="A15" s="2" t="s">
        <v>153</v>
      </c>
      <c r="B15" s="2" t="s">
        <v>79</v>
      </c>
      <c r="C15" s="34">
        <f>SUMIFS('BA History'!C:C,'BA History'!B:B,A15)</f>
        <v>12</v>
      </c>
      <c r="D15" s="66">
        <f>AVERAGEIFS('BA History'!C:C,'BA History'!B:B,A15)</f>
        <v>12</v>
      </c>
      <c r="E15" s="35">
        <f t="array" ref="E15">MAX(IF('BA History'!B:B=A15, 'BA History'!C:C))</f>
        <v>12</v>
      </c>
      <c r="F15" s="34">
        <f>COUNTIFS('BA History'!B:B,A15,'BA History'!D:D, 1)</f>
        <v>1</v>
      </c>
      <c r="G15" s="2">
        <f>COUNTIFS('BA History'!B:B,A15,'BA History'!D:D, 0)</f>
        <v>0</v>
      </c>
      <c r="H15" s="75">
        <f>LOOKUP(2, 1/('BA History'!$B:$B=A15), 'BA History'!$AJ:$AJ)</f>
        <v>1</v>
      </c>
      <c r="I15" s="34">
        <f>SUMIFS('BA History'!F:F,'BA History'!B:B,A15)</f>
        <v>4</v>
      </c>
      <c r="J15" s="2">
        <f>SUMIFS('BA History'!E:E,'BA History'!B:B,A15)-I15</f>
        <v>1</v>
      </c>
      <c r="K15" s="75">
        <f>LOOKUP(2, 1/('BA History'!$B:$B=A15), 'BA History'!$AH:$AH)</f>
        <v>0.8</v>
      </c>
      <c r="L15" s="34">
        <f>SUMIFS('BA History'!H:H,'BA History'!B:B,A15)</f>
        <v>14</v>
      </c>
      <c r="M15" s="2">
        <f>SUMIFS('BA History'!G:G,'BA History'!B:B,A15)-L15</f>
        <v>5</v>
      </c>
      <c r="N15" s="89">
        <f>LOOKUP(2, 1/('BA History'!$B:$B=A15), 'BA History'!$AI:$AI)</f>
        <v>0.74</v>
      </c>
      <c r="O15" s="2">
        <f>COUNTIFS('BA History'!$B:$B,$A$15,'BA History'!K:K, 1)</f>
        <v>0</v>
      </c>
      <c r="P15" s="2">
        <f>COUNTIFS('BA History'!$B:$B,$A$15,'BA History'!L:L, 1)</f>
        <v>0</v>
      </c>
      <c r="Q15" s="2">
        <f>COUNTIFS('BA History'!$B:$B,$A$15,'BA History'!M:M, 1)</f>
        <v>1</v>
      </c>
      <c r="R15" s="2">
        <f>COUNTIFS('BA History'!$B:$B,$A$15,'BA History'!N:N, 1)</f>
        <v>1</v>
      </c>
      <c r="S15" s="2">
        <f>COUNTIFS('BA History'!$B:$B,$A$15,'BA History'!O:O, 1)</f>
        <v>0</v>
      </c>
      <c r="T15" s="2">
        <f>COUNTIFS('BA History'!$B:$B,$A$15,'BA History'!P:P, 1)</f>
        <v>0</v>
      </c>
      <c r="U15" s="2">
        <f>COUNTIFS('BA History'!$B:$B,$A$15,'BA History'!Q:Q, 1)</f>
        <v>0</v>
      </c>
      <c r="V15" s="2">
        <f>COUNTIFS('BA History'!$B:$B,$A$15,'BA History'!R:R, 1)</f>
        <v>0</v>
      </c>
      <c r="W15" s="2">
        <f>COUNTIFS('BA History'!$B:$B,$A$15,'BA History'!S:S, 1)</f>
        <v>0</v>
      </c>
      <c r="X15" s="2">
        <f>COUNTIFS('BA History'!$B:$B,$A$15,'BA History'!T:T, 1)</f>
        <v>0</v>
      </c>
      <c r="Y15" s="2">
        <f>COUNTIFS('BA History'!$B:$B,$A$15,'BA History'!U:U, 1)</f>
        <v>0</v>
      </c>
      <c r="Z15" s="2">
        <f>COUNTIFS('BA History'!$B:$B,$A$15,'BA History'!V:V, 1)</f>
        <v>0</v>
      </c>
      <c r="AA15" s="2">
        <f>COUNTIFS('BA History'!$B:$B,$A$15,'BA History'!W:W, 1)</f>
        <v>0</v>
      </c>
      <c r="AB15" s="2">
        <f>COUNTIFS('BA History'!$B:$B,$A$15,'BA History'!X:X, 1)</f>
        <v>0</v>
      </c>
      <c r="AC15" s="2">
        <f>COUNTIFS('BA History'!$B:$B,$A$15,'BA History'!Y:Y, 1)</f>
        <v>0</v>
      </c>
      <c r="AD15" s="2">
        <f>COUNTIFS('BA History'!$B:$B,$A$15,'BA History'!Z:Z, 1)</f>
        <v>0</v>
      </c>
      <c r="AE15" s="2">
        <f>COUNTIFS('BA History'!$B:$B,$A$15,'BA History'!AA:AA, 1)</f>
        <v>0</v>
      </c>
      <c r="AF15" s="2">
        <f>COUNTIFS('BA History'!$B:$B,$A$15,'BA History'!AB:AB, 1)</f>
        <v>1</v>
      </c>
      <c r="AG15" s="2">
        <f>COUNTIFS('BA History'!$B:$B,$A$15,'BA History'!AC:AC, 1)</f>
        <v>1</v>
      </c>
      <c r="AH15" s="2">
        <f>COUNTIFS('BA History'!$B:$B,$A$15,'BA History'!AD:AD, 1)</f>
        <v>0</v>
      </c>
      <c r="AI15" s="2">
        <f>COUNTIFS('BA History'!$B:$B,$A$15,'BA History'!AE:AE, 1)</f>
        <v>0</v>
      </c>
      <c r="AJ15" s="2">
        <f>COUNTIFS('BA History'!$B:$B,$A$15,'BA History'!AF:AF, 1)</f>
        <v>0</v>
      </c>
    </row>
    <row r="16" spans="1:36" x14ac:dyDescent="0.25">
      <c r="A16" s="2" t="s">
        <v>89</v>
      </c>
      <c r="B16" s="2" t="s">
        <v>79</v>
      </c>
      <c r="C16" s="34">
        <f>SUMIFS('BA History'!C:C,'BA History'!B:B,A16)</f>
        <v>3</v>
      </c>
      <c r="D16" s="66">
        <f>AVERAGEIFS('BA History'!C:C,'BA History'!B:B,A16)</f>
        <v>3</v>
      </c>
      <c r="E16" s="35">
        <f t="array" ref="E16">MAX(IF('BA History'!B:B=A16, 'BA History'!C:C))</f>
        <v>3</v>
      </c>
      <c r="F16" s="34">
        <f>COUNTIFS('BA History'!B:B,A16,'BA History'!D:D, 1)</f>
        <v>0</v>
      </c>
      <c r="G16" s="2">
        <f>COUNTIFS('BA History'!B:B,A16,'BA History'!D:D, 0)</f>
        <v>1</v>
      </c>
      <c r="H16" s="75">
        <f>LOOKUP(2, 1/('BA History'!$B:$B=A16), 'BA History'!$AJ:$AJ)</f>
        <v>0</v>
      </c>
      <c r="I16" s="34">
        <f>SUMIFS('BA History'!F:F,'BA History'!B:B,A16)</f>
        <v>0</v>
      </c>
      <c r="J16" s="2">
        <f>SUMIFS('BA History'!E:E,'BA History'!B:B,A16)-I16</f>
        <v>3</v>
      </c>
      <c r="K16" s="75">
        <f>LOOKUP(2, 1/('BA History'!$B:$B=A16), 'BA History'!$AH:$AH)</f>
        <v>0</v>
      </c>
      <c r="L16" s="34">
        <f>SUMIFS('BA History'!H:H,'BA History'!B:B,A16)</f>
        <v>4</v>
      </c>
      <c r="M16" s="2">
        <f>SUMIFS('BA History'!G:G,'BA History'!B:B,A16)-L16</f>
        <v>9</v>
      </c>
      <c r="N16" s="89">
        <f>LOOKUP(2, 1/('BA History'!$B:$B=A16), 'BA History'!$AI:$AI)</f>
        <v>0.31</v>
      </c>
      <c r="O16" s="2">
        <f>COUNTIFS('BA History'!$B:$B,$A$16,'BA History'!K:K, 1)</f>
        <v>0</v>
      </c>
      <c r="P16" s="2">
        <f>COUNTIFS('BA History'!$B:$B,$A$16,'BA History'!L:L, 1)</f>
        <v>0</v>
      </c>
      <c r="Q16" s="2">
        <f>COUNTIFS('BA History'!$B:$B,$A$16,'BA History'!M:M, 1)</f>
        <v>0</v>
      </c>
      <c r="R16" s="2">
        <f>COUNTIFS('BA History'!$B:$B,$A$16,'BA History'!N:N, 1)</f>
        <v>0</v>
      </c>
      <c r="S16" s="2">
        <f>COUNTIFS('BA History'!$B:$B,$A$16,'BA History'!O:O, 1)</f>
        <v>0</v>
      </c>
      <c r="T16" s="2">
        <f>COUNTIFS('BA History'!$B:$B,$A$16,'BA History'!P:P, 1)</f>
        <v>0</v>
      </c>
      <c r="U16" s="2">
        <f>COUNTIFS('BA History'!$B:$B,$A$16,'BA History'!Q:Q, 1)</f>
        <v>0</v>
      </c>
      <c r="V16" s="2">
        <f>COUNTIFS('BA History'!$B:$B,$A$16,'BA History'!R:R, 1)</f>
        <v>0</v>
      </c>
      <c r="W16" s="2">
        <f>COUNTIFS('BA History'!$B:$B,$A$16,'BA History'!S:S, 1)</f>
        <v>0</v>
      </c>
      <c r="X16" s="2">
        <f>COUNTIFS('BA History'!$B:$B,$A$16,'BA History'!T:T, 1)</f>
        <v>0</v>
      </c>
      <c r="Y16" s="2">
        <f>COUNTIFS('BA History'!$B:$B,$A$16,'BA History'!U:U, 1)</f>
        <v>0</v>
      </c>
      <c r="Z16" s="2">
        <f>COUNTIFS('BA History'!$B:$B,$A$16,'BA History'!V:V, 1)</f>
        <v>0</v>
      </c>
      <c r="AA16" s="2">
        <f>COUNTIFS('BA History'!$B:$B,$A$16,'BA History'!W:W, 1)</f>
        <v>0</v>
      </c>
      <c r="AB16" s="2">
        <f>COUNTIFS('BA History'!$B:$B,$A$16,'BA History'!X:X, 1)</f>
        <v>0</v>
      </c>
      <c r="AC16" s="2">
        <f>COUNTIFS('BA History'!$B:$B,$A$16,'BA History'!Y:Y, 1)</f>
        <v>0</v>
      </c>
      <c r="AD16" s="2">
        <f>COUNTIFS('BA History'!$B:$B,$A$16,'BA History'!Z:Z, 1)</f>
        <v>0</v>
      </c>
      <c r="AE16" s="2">
        <f>COUNTIFS('BA History'!$B:$B,$A$16,'BA History'!AA:AA, 1)</f>
        <v>0</v>
      </c>
      <c r="AF16" s="2">
        <f>COUNTIFS('BA History'!$B:$B,$A$16,'BA History'!AB:AB, 1)</f>
        <v>0</v>
      </c>
      <c r="AG16" s="2">
        <f>COUNTIFS('BA History'!$B:$B,$A$16,'BA History'!AC:AC, 1)</f>
        <v>0</v>
      </c>
      <c r="AH16" s="2">
        <f>COUNTIFS('BA History'!$B:$B,$A$16,'BA History'!AD:AD, 1)</f>
        <v>0</v>
      </c>
      <c r="AI16" s="2">
        <f>COUNTIFS('BA History'!$B:$B,$A$16,'BA History'!AE:AE, 1)</f>
        <v>0</v>
      </c>
      <c r="AJ16" s="2">
        <f>COUNTIFS('BA History'!$B:$B,$A$17,'BA History'!AF:AF, 1)</f>
        <v>0</v>
      </c>
    </row>
    <row r="17" spans="1:36" x14ac:dyDescent="0.25">
      <c r="A17" s="2" t="s">
        <v>45</v>
      </c>
      <c r="B17" s="2" t="s">
        <v>79</v>
      </c>
      <c r="C17" s="34">
        <f>SUMIFS('BA History'!C:C,'BA History'!B:B,A17)</f>
        <v>66</v>
      </c>
      <c r="D17" s="66">
        <f>AVERAGEIFS('BA History'!C:C,'BA History'!B:B,A17)</f>
        <v>9.4285714285714288</v>
      </c>
      <c r="E17" s="35">
        <f t="array" ref="E17">MAX(IF('BA History'!B:B=A17, 'BA History'!C:C))</f>
        <v>14</v>
      </c>
      <c r="F17" s="34">
        <f>COUNTIFS('BA History'!B:B,A17,'BA History'!D:D, 1)</f>
        <v>3</v>
      </c>
      <c r="G17" s="2">
        <f>COUNTIFS('BA History'!B:B,A17,'BA History'!D:D, 0)</f>
        <v>4</v>
      </c>
      <c r="H17" s="75">
        <f>LOOKUP(2, 1/('BA History'!$B:$B=A17), 'BA History'!$AJ:$AJ)</f>
        <v>0.42857142857142855</v>
      </c>
      <c r="I17" s="34">
        <f>SUMIFS('BA History'!F:F,'BA History'!B:B,A17)</f>
        <v>13</v>
      </c>
      <c r="J17" s="2">
        <f>SUMIFS('BA History'!E:E,'BA History'!B:B,A17)-I17</f>
        <v>15</v>
      </c>
      <c r="K17" s="75">
        <f>LOOKUP(2, 1/('BA History'!$B:$B=A17), 'BA History'!$AH:$AH)</f>
        <v>0.45999999999999996</v>
      </c>
      <c r="L17" s="34">
        <f>SUMIFS('BA History'!H:H,'BA History'!B:B,A17)</f>
        <v>62</v>
      </c>
      <c r="M17" s="2">
        <f>SUMIFS('BA History'!G:G,'BA History'!B:B,A17)-L17</f>
        <v>66</v>
      </c>
      <c r="N17" s="89">
        <f>LOOKUP(2, 1/('BA History'!$B:$B=A17), 'BA History'!$AI:$AI)</f>
        <v>0.48142857142857143</v>
      </c>
      <c r="O17" s="2">
        <f>COUNTIFS('BA History'!$B:$B,$A$17,'BA History'!K:K, 1)</f>
        <v>0</v>
      </c>
      <c r="P17" s="2">
        <f>COUNTIFS('BA History'!$B:$B,$A$17,'BA History'!L:L, 1)</f>
        <v>0</v>
      </c>
      <c r="Q17" s="2">
        <f>COUNTIFS('BA History'!$B:$B,$A$17,'BA History'!M:M, 1)</f>
        <v>1</v>
      </c>
      <c r="R17" s="2">
        <f>COUNTIFS('BA History'!$B:$B,$A$17,'BA History'!N:N, 1)</f>
        <v>2</v>
      </c>
      <c r="S17" s="2">
        <f>COUNTIFS('BA History'!$B:$B,$A$17,'BA History'!O:O, 1)</f>
        <v>1</v>
      </c>
      <c r="T17" s="2">
        <f>COUNTIFS('BA History'!$B:$B,$A$17,'BA History'!P:P, 1)</f>
        <v>0</v>
      </c>
      <c r="U17" s="2">
        <f>COUNTIFS('BA History'!$B:$B,$A$17,'BA History'!Q:Q, 1)</f>
        <v>0</v>
      </c>
      <c r="V17" s="2">
        <f>COUNTIFS('BA History'!$B:$B,$A$17,'BA History'!R:R, 1)</f>
        <v>0</v>
      </c>
      <c r="W17" s="2">
        <f>COUNTIFS('BA History'!$B:$B,$A$17,'BA History'!S:S, 1)</f>
        <v>0</v>
      </c>
      <c r="X17" s="2">
        <f>COUNTIFS('BA History'!$B:$B,$A$17,'BA History'!T:T, 1)</f>
        <v>0</v>
      </c>
      <c r="Y17" s="2">
        <f>COUNTIFS('BA History'!$B:$B,$A$17,'BA History'!U:U, 1)</f>
        <v>1</v>
      </c>
      <c r="Z17" s="2">
        <f>COUNTIFS('BA History'!$B:$B,$A$17,'BA History'!V:V, 1)</f>
        <v>0</v>
      </c>
      <c r="AA17" s="2">
        <f>COUNTIFS('BA History'!$B:$B,$A$17,'BA History'!W:W, 1)</f>
        <v>0</v>
      </c>
      <c r="AB17" s="2">
        <f>COUNTIFS('BA History'!$B:$B,$A$17,'BA History'!X:X, 1)</f>
        <v>0</v>
      </c>
      <c r="AC17" s="2">
        <f>COUNTIFS('BA History'!$B:$B,$A$17,'BA History'!Y:Y, 1)</f>
        <v>2</v>
      </c>
      <c r="AD17" s="2">
        <f>COUNTIFS('BA History'!$B:$B,$A$17,'BA History'!Z:Z, 1)</f>
        <v>1</v>
      </c>
      <c r="AE17" s="2">
        <f>COUNTIFS('BA History'!$B:$B,$A$17,'BA History'!AA:AA, 1)</f>
        <v>1</v>
      </c>
      <c r="AF17" s="2">
        <f>COUNTIFS('BA History'!$B:$B,$A$17,'BA History'!AB:AB, 1)</f>
        <v>2</v>
      </c>
      <c r="AG17" s="2">
        <f>COUNTIFS('BA History'!$B:$B,$A$17,'BA History'!AC:AC, 1)</f>
        <v>2</v>
      </c>
      <c r="AH17" s="2">
        <f>COUNTIFS('BA History'!$B:$B,$A$17,'BA History'!AD:AD, 1)</f>
        <v>0</v>
      </c>
      <c r="AI17" s="2">
        <f>COUNTIFS('BA History'!$B:$B,$A$17,'BA History'!AE:AE, 1)</f>
        <v>0</v>
      </c>
      <c r="AJ17" s="2">
        <f>COUNTIFS('BA History'!$B:$B,$A$17,'BA History'!AF:AF, 1)</f>
        <v>0</v>
      </c>
    </row>
    <row r="18" spans="1:36" x14ac:dyDescent="0.25">
      <c r="A18" s="2" t="s">
        <v>50</v>
      </c>
      <c r="B18" s="2" t="s">
        <v>79</v>
      </c>
      <c r="C18" s="34">
        <f>SUMIFS('BA History'!C:C,'BA History'!B:B,A18)</f>
        <v>626</v>
      </c>
      <c r="D18" s="66">
        <f>AVERAGEIFS('BA History'!C:C,'BA History'!B:B,A18)</f>
        <v>18.411764705882351</v>
      </c>
      <c r="E18" s="35">
        <f t="array" ref="E18">MAX(IF('BA History'!B:B=A18, 'BA History'!C:C))</f>
        <v>31</v>
      </c>
      <c r="F18" s="34">
        <f>COUNTIFS('BA History'!B:B,A18,'BA History'!D:D, 1)</f>
        <v>18</v>
      </c>
      <c r="G18" s="2">
        <f>COUNTIFS('BA History'!B:B,A18,'BA History'!D:D, 0)</f>
        <v>16</v>
      </c>
      <c r="H18" s="75">
        <f>LOOKUP(2, 1/('BA History'!$B:$B=A18), 'BA History'!$AJ:$AJ)</f>
        <v>0.52941176470588236</v>
      </c>
      <c r="I18" s="34">
        <f>SUMIFS('BA History'!F:F,'BA History'!B:B,A18)</f>
        <v>71</v>
      </c>
      <c r="J18" s="2">
        <f>SUMIFS('BA History'!E:E,'BA History'!B:B,A18)-I18</f>
        <v>65</v>
      </c>
      <c r="K18" s="75">
        <f>LOOKUP(2, 1/('BA History'!$B:$B=A18), 'BA History'!$AH:$AH)</f>
        <v>0.53323529411764714</v>
      </c>
      <c r="L18" s="34">
        <f>SUMIFS('BA History'!H:H,'BA History'!B:B,A18)</f>
        <v>295</v>
      </c>
      <c r="M18" s="2">
        <f>SUMIFS('BA History'!G:G,'BA History'!B:B,A18)-L18</f>
        <v>278</v>
      </c>
      <c r="N18" s="89">
        <f>LOOKUP(2, 1/('BA History'!$B:$B=A18), 'BA History'!$AI:$AI)</f>
        <v>0.53176470588235281</v>
      </c>
      <c r="O18" s="2">
        <f>COUNTIFS('BA History'!$B:$B,$A$18,'BA History'!K:K, 1)</f>
        <v>3</v>
      </c>
      <c r="P18" s="2">
        <f>COUNTIFS('BA History'!$B:$B,$A$18,'BA History'!L:L, 1)</f>
        <v>6</v>
      </c>
      <c r="Q18" s="2">
        <f>COUNTIFS('BA History'!$B:$B,$A$18,'BA History'!M:M, 1)</f>
        <v>2</v>
      </c>
      <c r="R18" s="2">
        <f>COUNTIFS('BA History'!$B:$B,$A$18,'BA History'!N:N, 1)</f>
        <v>6</v>
      </c>
      <c r="S18" s="2">
        <f>COUNTIFS('BA History'!$B:$B,$A$18,'BA History'!O:O, 1)</f>
        <v>2</v>
      </c>
      <c r="T18" s="2">
        <f>COUNTIFS('BA History'!$B:$B,$A$18,'BA History'!P:P, 1)</f>
        <v>1</v>
      </c>
      <c r="U18" s="2">
        <f>COUNTIFS('BA History'!$B:$B,$A$18,'BA History'!Q:Q, 1)</f>
        <v>4</v>
      </c>
      <c r="V18" s="2">
        <f>COUNTIFS('BA History'!$B:$B,$A$18,'BA History'!R:R, 1)</f>
        <v>1</v>
      </c>
      <c r="W18" s="2">
        <f>COUNTIFS('BA History'!$B:$B,$A$18,'BA History'!S:S, 1)</f>
        <v>0</v>
      </c>
      <c r="X18" s="2">
        <f>COUNTIFS('BA History'!$B:$B,$A$18,'BA History'!T:T, 1)</f>
        <v>1</v>
      </c>
      <c r="Y18" s="2">
        <f>COUNTIFS('BA History'!$B:$B,$A$18,'BA History'!U:U, 1)</f>
        <v>0</v>
      </c>
      <c r="Z18" s="2">
        <f>COUNTIFS('BA History'!$B:$B,$A$18,'BA History'!V:V, 1)</f>
        <v>8</v>
      </c>
      <c r="AA18" s="2">
        <f>COUNTIFS('BA History'!$B:$B,$A$18,'BA History'!W:W, 1)</f>
        <v>2</v>
      </c>
      <c r="AB18" s="2">
        <f>COUNTIFS('BA History'!$B:$B,$A$18,'BA History'!X:X, 1)</f>
        <v>1</v>
      </c>
      <c r="AC18" s="2">
        <f>COUNTIFS('BA History'!$B:$B,$A$18,'BA History'!Y:Y, 1)</f>
        <v>4</v>
      </c>
      <c r="AD18" s="2">
        <f>COUNTIFS('BA History'!$B:$B,$A$18,'BA History'!Z:Z, 1)</f>
        <v>9</v>
      </c>
      <c r="AE18" s="2">
        <f>COUNTIFS('BA History'!$B:$B,$A$18,'BA History'!AA:AA, 1)</f>
        <v>1</v>
      </c>
      <c r="AF18" s="2">
        <f>COUNTIFS('BA History'!$B:$B,$A$18,'BA History'!AB:AB, 1)</f>
        <v>8</v>
      </c>
      <c r="AG18" s="2">
        <f>COUNTIFS('BA History'!$B:$B,$A$18,'BA History'!AC:AC, 1)</f>
        <v>1</v>
      </c>
      <c r="AH18" s="2">
        <f>COUNTIFS('BA History'!$B:$B,$A$18,'BA History'!AD:AD, 1)</f>
        <v>8</v>
      </c>
      <c r="AI18" s="2">
        <f>COUNTIFS('BA History'!$B:$B,$A$18,'BA History'!AE:AE, 1)</f>
        <v>1</v>
      </c>
      <c r="AJ18" s="2">
        <f>COUNTIFS('BA History'!$B:$B,$A$18,'BA History'!AF:AF, 1)</f>
        <v>2</v>
      </c>
    </row>
    <row r="19" spans="1:36" x14ac:dyDescent="0.25">
      <c r="A19" s="2" t="s">
        <v>52</v>
      </c>
      <c r="B19" s="2" t="s">
        <v>79</v>
      </c>
      <c r="C19" s="34">
        <f>SUMIFS('BA History'!C:C,'BA History'!B:B,A19)</f>
        <v>208</v>
      </c>
      <c r="D19" s="66">
        <f>AVERAGEIFS('BA History'!C:C,'BA History'!B:B,A19)</f>
        <v>16</v>
      </c>
      <c r="E19" s="35">
        <f t="array" ref="E19">MAX(IF('BA History'!B:B=A19, 'BA History'!C:C))</f>
        <v>31</v>
      </c>
      <c r="F19" s="34">
        <f>COUNTIFS('BA History'!B:B,A19,'BA History'!D:D, 1)</f>
        <v>5</v>
      </c>
      <c r="G19" s="2">
        <f>COUNTIFS('BA History'!B:B,A19,'BA History'!D:D, 0)</f>
        <v>8</v>
      </c>
      <c r="H19" s="75">
        <f>LOOKUP(2, 1/('BA History'!$B:$B=A19), 'BA History'!$AJ:$AJ)</f>
        <v>0.38461538461538464</v>
      </c>
      <c r="I19" s="34">
        <f>SUMIFS('BA History'!F:F,'BA History'!B:B,A19)</f>
        <v>26</v>
      </c>
      <c r="J19" s="2">
        <f>SUMIFS('BA History'!E:E,'BA History'!B:B,A19)-I19</f>
        <v>29</v>
      </c>
      <c r="K19" s="75">
        <f>LOOKUP(2, 1/('BA History'!$B:$B=A19), 'BA History'!$AH:$AH)</f>
        <v>0.49230769230769234</v>
      </c>
      <c r="L19" s="34">
        <f>SUMIFS('BA History'!H:H,'BA History'!B:B,A19)</f>
        <v>104</v>
      </c>
      <c r="M19" s="2">
        <f>SUMIFS('BA History'!G:G,'BA History'!B:B,A19)-L19</f>
        <v>113</v>
      </c>
      <c r="N19" s="89">
        <f>LOOKUP(2, 1/('BA History'!$B:$B=A19), 'BA History'!$AI:$AI)</f>
        <v>0.49230769230769239</v>
      </c>
      <c r="O19" s="2">
        <f>COUNTIFS('BA History'!$B:$B,$A$19,'BA History'!K:K, 1)</f>
        <v>1</v>
      </c>
      <c r="P19" s="2">
        <f>COUNTIFS('BA History'!$B:$B,$A$19,'BA History'!L:L, 1)</f>
        <v>2</v>
      </c>
      <c r="Q19" s="2">
        <f>COUNTIFS('BA History'!$B:$B,$A$19,'BA History'!M:M, 1)</f>
        <v>2</v>
      </c>
      <c r="R19" s="2">
        <f>COUNTIFS('BA History'!$B:$B,$A$19,'BA History'!N:N, 1)</f>
        <v>2</v>
      </c>
      <c r="S19" s="2">
        <f>COUNTIFS('BA History'!$B:$B,$A$19,'BA History'!O:O, 1)</f>
        <v>1</v>
      </c>
      <c r="T19" s="2">
        <f>COUNTIFS('BA History'!$B:$B,$A$19,'BA History'!P:P, 1)</f>
        <v>0</v>
      </c>
      <c r="U19" s="2">
        <f>COUNTIFS('BA History'!$B:$B,$A$19,'BA History'!Q:Q, 1)</f>
        <v>1</v>
      </c>
      <c r="V19" s="2">
        <f>COUNTIFS('BA History'!$B:$B,$A$19,'BA History'!R:R, 1)</f>
        <v>0</v>
      </c>
      <c r="W19" s="2">
        <f>COUNTIFS('BA History'!$B:$B,$A$19,'BA History'!S:S, 1)</f>
        <v>0</v>
      </c>
      <c r="X19" s="2">
        <f>COUNTIFS('BA History'!$B:$B,$A$19,'BA History'!T:T, 1)</f>
        <v>0</v>
      </c>
      <c r="Y19" s="2">
        <f>COUNTIFS('BA History'!$B:$B,$A$19,'BA History'!U:U, 1)</f>
        <v>4</v>
      </c>
      <c r="Z19" s="2">
        <f>COUNTIFS('BA History'!$B:$B,$A$19,'BA History'!V:V, 1)</f>
        <v>0</v>
      </c>
      <c r="AA19" s="2">
        <f>COUNTIFS('BA History'!$B:$B,$A$19,'BA History'!W:W, 1)</f>
        <v>1</v>
      </c>
      <c r="AB19" s="2">
        <f>COUNTIFS('BA History'!$B:$B,$A$19,'BA History'!X:X, 1)</f>
        <v>0</v>
      </c>
      <c r="AC19" s="2">
        <f>COUNTIFS('BA History'!$B:$B,$A$19,'BA History'!Y:Y, 1)</f>
        <v>1</v>
      </c>
      <c r="AD19" s="2">
        <f>COUNTIFS('BA History'!$B:$B,$A$19,'BA History'!Z:Z, 1)</f>
        <v>3</v>
      </c>
      <c r="AE19" s="2">
        <f>COUNTIFS('BA History'!$B:$B,$A$19,'BA History'!AA:AA, 1)</f>
        <v>0</v>
      </c>
      <c r="AF19" s="2">
        <f>COUNTIFS('BA History'!$B:$B,$A$19,'BA History'!AB:AB, 1)</f>
        <v>5</v>
      </c>
      <c r="AG19" s="2">
        <f>COUNTIFS('BA History'!$B:$B,$A$19,'BA History'!AC:AC, 1)</f>
        <v>2</v>
      </c>
      <c r="AH19" s="2">
        <f>COUNTIFS('BA History'!$B:$B,$A$19,'BA History'!AD:AD, 1)</f>
        <v>1</v>
      </c>
      <c r="AI19" s="2">
        <f>COUNTIFS('BA History'!$B:$B,$A$19,'BA History'!AE:AE, 1)</f>
        <v>0</v>
      </c>
      <c r="AJ19" s="2">
        <f>COUNTIFS('BA History'!$B:$B,$A$19,'BA History'!AF:AF, 1)</f>
        <v>0</v>
      </c>
    </row>
    <row r="20" spans="1:36" x14ac:dyDescent="0.25">
      <c r="A20" s="2" t="s">
        <v>44</v>
      </c>
      <c r="B20" s="2" t="s">
        <v>79</v>
      </c>
      <c r="C20" s="34">
        <f>SUMIFS('BA History'!C:C,'BA History'!B:B,A20)</f>
        <v>502</v>
      </c>
      <c r="D20" s="66">
        <f>AVERAGEIFS('BA History'!C:C,'BA History'!B:B,A20)</f>
        <v>16.733333333333334</v>
      </c>
      <c r="E20" s="35">
        <f t="array" ref="E20">MAX(IF('BA History'!B:B=A20, 'BA History'!C:C))</f>
        <v>36</v>
      </c>
      <c r="F20" s="34">
        <f>COUNTIFS('BA History'!B:B,A20,'BA History'!D:D, 1)</f>
        <v>19</v>
      </c>
      <c r="G20" s="2">
        <f>COUNTIFS('BA History'!B:B,A20,'BA History'!D:D, 0)</f>
        <v>11</v>
      </c>
      <c r="H20" s="75">
        <f>LOOKUP(2, 1/('BA History'!$B:$B=A20), 'BA History'!$AJ:$AJ)</f>
        <v>0.6333333333333333</v>
      </c>
      <c r="I20" s="34">
        <f>SUMIFS('BA History'!F:F,'BA History'!B:B,A20)</f>
        <v>65</v>
      </c>
      <c r="J20" s="2">
        <f>SUMIFS('BA History'!E:E,'BA History'!B:B,A20)-I20</f>
        <v>57</v>
      </c>
      <c r="K20" s="75">
        <f>LOOKUP(2, 1/('BA History'!$B:$B=A20), 'BA History'!$AH:$AH)</f>
        <v>0.51666666666666661</v>
      </c>
      <c r="L20" s="34">
        <f>SUMIFS('BA History'!H:H,'BA History'!B:B,A20)</f>
        <v>268</v>
      </c>
      <c r="M20" s="2">
        <f>SUMIFS('BA History'!G:G,'BA History'!B:B,A20)-L20</f>
        <v>240</v>
      </c>
      <c r="N20" s="89">
        <f>LOOKUP(2, 1/('BA History'!$B:$B=A20), 'BA History'!$AI:$AI)</f>
        <v>0.52900000000000003</v>
      </c>
      <c r="O20" s="2">
        <f>COUNTIFS('BA History'!$B:$B,$A$20,'BA History'!K:K, 1)</f>
        <v>3</v>
      </c>
      <c r="P20" s="2">
        <f>COUNTIFS('BA History'!$B:$B,$A$20,'BA History'!L:L, 1)</f>
        <v>4</v>
      </c>
      <c r="Q20" s="2">
        <f>COUNTIFS('BA History'!$B:$B,$A$20,'BA History'!M:M, 1)</f>
        <v>6</v>
      </c>
      <c r="R20" s="2">
        <f>COUNTIFS('BA History'!$B:$B,$A$20,'BA History'!N:N, 1)</f>
        <v>6</v>
      </c>
      <c r="S20" s="2">
        <f>COUNTIFS('BA History'!$B:$B,$A$20,'BA History'!O:O, 1)</f>
        <v>1</v>
      </c>
      <c r="T20" s="2">
        <f>COUNTIFS('BA History'!$B:$B,$A$20,'BA History'!P:P, 1)</f>
        <v>0</v>
      </c>
      <c r="U20" s="2">
        <f>COUNTIFS('BA History'!$B:$B,$A$20,'BA History'!Q:Q, 1)</f>
        <v>3</v>
      </c>
      <c r="V20" s="2">
        <f>COUNTIFS('BA History'!$B:$B,$A$20,'BA History'!R:R, 1)</f>
        <v>1</v>
      </c>
      <c r="W20" s="2">
        <f>COUNTIFS('BA History'!$B:$B,$A$20,'BA History'!S:S, 1)</f>
        <v>1</v>
      </c>
      <c r="X20" s="2">
        <f>COUNTIFS('BA History'!$B:$B,$A$20,'BA History'!T:T, 1)</f>
        <v>0</v>
      </c>
      <c r="Y20" s="2">
        <f>COUNTIFS('BA History'!$B:$B,$A$20,'BA History'!U:U, 1)</f>
        <v>0</v>
      </c>
      <c r="Z20" s="2">
        <f>COUNTIFS('BA History'!$B:$B,$A$20,'BA History'!V:V, 1)</f>
        <v>4</v>
      </c>
      <c r="AA20" s="2">
        <f>COUNTIFS('BA History'!$B:$B,$A$20,'BA History'!W:W, 1)</f>
        <v>4</v>
      </c>
      <c r="AB20" s="2">
        <f>COUNTIFS('BA History'!$B:$B,$A$20,'BA History'!X:X, 1)</f>
        <v>1</v>
      </c>
      <c r="AC20" s="2">
        <f>COUNTIFS('BA History'!$B:$B,$A$20,'BA History'!Y:Y, 1)</f>
        <v>3</v>
      </c>
      <c r="AD20" s="2">
        <f>COUNTIFS('BA History'!$B:$B,$A$20,'BA History'!Z:Z, 1)</f>
        <v>7</v>
      </c>
      <c r="AE20" s="2">
        <f>COUNTIFS('BA History'!$B:$B,$A$20,'BA History'!AA:AA, 1)</f>
        <v>2</v>
      </c>
      <c r="AF20" s="2">
        <f>COUNTIFS('BA History'!$B:$B,$A$20,'BA History'!AB:AB, 1)</f>
        <v>5</v>
      </c>
      <c r="AG20" s="2">
        <f>COUNTIFS('BA History'!$B:$B,$A$20,'BA History'!AC:AC, 1)</f>
        <v>5</v>
      </c>
      <c r="AH20" s="2">
        <f>COUNTIFS('BA History'!$B:$B,$A$20,'BA History'!AD:AD, 1)</f>
        <v>4</v>
      </c>
      <c r="AI20" s="2">
        <f>COUNTIFS('BA History'!$B:$B,$A$20,'BA History'!AE:AE, 1)</f>
        <v>1</v>
      </c>
      <c r="AJ20" s="2">
        <f>COUNTIFS('BA History'!$B:$B,$A$20,'BA History'!AF:AF, 1)</f>
        <v>4</v>
      </c>
    </row>
    <row r="21" spans="1:36" x14ac:dyDescent="0.25">
      <c r="A21" s="2" t="s">
        <v>139</v>
      </c>
      <c r="B21" s="2" t="s">
        <v>79</v>
      </c>
      <c r="C21" s="34">
        <f>SUMIFS('BA History'!C:C,'BA History'!B:B,A21)</f>
        <v>10</v>
      </c>
      <c r="D21" s="66">
        <f>AVERAGEIFS('BA History'!C:C,'BA History'!B:B,A21)</f>
        <v>10</v>
      </c>
      <c r="E21" s="35">
        <f t="array" ref="E21">MAX(IF('BA History'!B:B=A21, 'BA History'!C:C))</f>
        <v>10</v>
      </c>
      <c r="F21" s="34">
        <f>COUNTIFS('BA History'!B:B,A21,'BA History'!D:D, 1)</f>
        <v>0</v>
      </c>
      <c r="G21" s="2">
        <f>COUNTIFS('BA History'!B:B,A21,'BA History'!D:D, 0)</f>
        <v>1</v>
      </c>
      <c r="H21" s="75">
        <f>LOOKUP(2, 1/('BA History'!$B:$B=A21), 'BA History'!$AJ:$AJ)</f>
        <v>0</v>
      </c>
      <c r="I21" s="34">
        <f>SUMIFS('BA History'!F:F,'BA History'!B:B,A21)</f>
        <v>2</v>
      </c>
      <c r="J21" s="2">
        <f>SUMIFS('BA History'!E:E,'BA History'!B:B,A21)-I21</f>
        <v>3</v>
      </c>
      <c r="K21" s="75">
        <f>LOOKUP(2, 1/('BA History'!$B:$B=A21), 'BA History'!$AH:$AH)</f>
        <v>0.4</v>
      </c>
      <c r="L21" s="34">
        <f>SUMIFS('BA History'!H:H,'BA History'!B:B,A21)</f>
        <v>10</v>
      </c>
      <c r="M21" s="2">
        <f>SUMIFS('BA History'!G:G,'BA History'!B:B,A21)-L21</f>
        <v>12</v>
      </c>
      <c r="N21" s="89">
        <f>LOOKUP(2, 1/('BA History'!$B:$B=A21), 'BA History'!$AI:$AI)</f>
        <v>0.45</v>
      </c>
      <c r="O21" s="2">
        <f>COUNTIFS('BA History'!$B:$B,$A$21,'BA History'!K:K, 1)</f>
        <v>0</v>
      </c>
      <c r="P21" s="2">
        <f>COUNTIFS('BA History'!$B:$B,$A$21,'BA History'!L:L, 1)</f>
        <v>0</v>
      </c>
      <c r="Q21" s="2">
        <f>COUNTIFS('BA History'!$B:$B,$A$21,'BA History'!M:M, 1)</f>
        <v>0</v>
      </c>
      <c r="R21" s="2">
        <f>COUNTIFS('BA History'!$B:$B,$A$21,'BA History'!N:N, 1)</f>
        <v>0</v>
      </c>
      <c r="S21" s="2">
        <f>COUNTIFS('BA History'!$B:$B,$A$21,'BA History'!O:O, 1)</f>
        <v>0</v>
      </c>
      <c r="T21" s="2">
        <f>COUNTIFS('BA History'!$B:$B,$A$21,'BA History'!P:P, 1)</f>
        <v>0</v>
      </c>
      <c r="U21" s="2">
        <f>COUNTIFS('BA History'!$B:$B,$A$21,'BA History'!Q:Q, 1)</f>
        <v>0</v>
      </c>
      <c r="V21" s="2">
        <f>COUNTIFS('BA History'!$B:$B,$A$21,'BA History'!R:R, 1)</f>
        <v>0</v>
      </c>
      <c r="W21" s="2">
        <f>COUNTIFS('BA History'!$B:$B,$A$21,'BA History'!S:S, 1)</f>
        <v>0</v>
      </c>
      <c r="X21" s="2">
        <f>COUNTIFS('BA History'!$B:$B,$A$21,'BA History'!T:T, 1)</f>
        <v>0</v>
      </c>
      <c r="Y21" s="2">
        <f>COUNTIFS('BA History'!$B:$B,$A$21,'BA History'!U:U, 1)</f>
        <v>0</v>
      </c>
      <c r="Z21" s="2">
        <f>COUNTIFS('BA History'!$B:$B,$A$21,'BA History'!V:V, 1)</f>
        <v>0</v>
      </c>
      <c r="AA21" s="2">
        <f>COUNTIFS('BA History'!$B:$B,$A$21,'BA History'!W:W, 1)</f>
        <v>0</v>
      </c>
      <c r="AB21" s="2">
        <f>COUNTIFS('BA History'!$B:$B,$A$21,'BA History'!X:X, 1)</f>
        <v>0</v>
      </c>
      <c r="AC21" s="2">
        <f>COUNTIFS('BA History'!$B:$B,$A$21,'BA History'!Y:Y, 1)</f>
        <v>0</v>
      </c>
      <c r="AD21" s="2">
        <f>COUNTIFS('BA History'!$B:$B,$A$21,'BA History'!Z:Z, 1)</f>
        <v>0</v>
      </c>
      <c r="AE21" s="2">
        <f>COUNTIFS('BA History'!$B:$B,$A$21,'BA History'!AA:AA, 1)</f>
        <v>1</v>
      </c>
      <c r="AF21" s="2">
        <f>COUNTIFS('BA History'!$B:$B,$A$21,'BA History'!AB:AB, 1)</f>
        <v>1</v>
      </c>
      <c r="AG21" s="2">
        <f>COUNTIFS('BA History'!$B:$B,$A$21,'BA History'!AC:AC, 1)</f>
        <v>0</v>
      </c>
      <c r="AH21" s="2">
        <f>COUNTIFS('BA History'!$B:$B,$A$21,'BA History'!AD:AD, 1)</f>
        <v>0</v>
      </c>
      <c r="AI21" s="2">
        <f>COUNTIFS('BA History'!$B:$B,$A$21,'BA History'!AE:AE, 1)</f>
        <v>0</v>
      </c>
      <c r="AJ21" s="2">
        <f>COUNTIFS('BA History'!$B:$B,$A$21,'BA History'!AF:AF, 1)</f>
        <v>0</v>
      </c>
    </row>
    <row r="22" spans="1:36" ht="15.75" x14ac:dyDescent="0.25">
      <c r="A22" s="2" t="s">
        <v>1</v>
      </c>
      <c r="B22" s="80" t="s">
        <v>60</v>
      </c>
      <c r="C22" s="34">
        <f>SUMIFS('BA History'!C:C,'BA History'!B:B,A22)</f>
        <v>696</v>
      </c>
      <c r="D22" s="66">
        <f>AVERAGEIFS('BA History'!C:C,'BA History'!B:B,A22)</f>
        <v>26.76923076923077</v>
      </c>
      <c r="E22" s="35">
        <f t="array" ref="E22">MAX(IF('BA History'!B:B=A22, 'BA History'!C:C))</f>
        <v>50</v>
      </c>
      <c r="F22" s="34">
        <f>COUNTIFS('BA History'!B:B,A22,'BA History'!D:D, 1)</f>
        <v>11</v>
      </c>
      <c r="G22" s="2">
        <f>COUNTIFS('BA History'!B:B,A22,'BA History'!D:D, 0)</f>
        <v>15</v>
      </c>
      <c r="H22" s="75">
        <f>LOOKUP(2, 1/('BA History'!$B:$B=A22), 'BA History'!$AJ:$AJ)</f>
        <v>0.42307692307692307</v>
      </c>
      <c r="I22" s="34">
        <f>SUMIFS('BA History'!F:F,'BA History'!B:B,A22)</f>
        <v>46</v>
      </c>
      <c r="J22" s="2">
        <f>SUMIFS('BA History'!E:E,'BA History'!B:B,A22)-I22</f>
        <v>59</v>
      </c>
      <c r="K22" s="75">
        <f>LOOKUP(2, 1/('BA History'!$B:$B=A22), 'BA History'!$AH:$AH)</f>
        <v>0.41730769230769238</v>
      </c>
      <c r="L22" s="34">
        <f>SUMIFS('BA History'!H:H,'BA History'!B:B,A22)</f>
        <v>199</v>
      </c>
      <c r="M22" s="2">
        <f>SUMIFS('BA History'!G:G,'BA History'!B:B,A22)-L22</f>
        <v>234</v>
      </c>
      <c r="N22" s="89">
        <f>LOOKUP(2, 1/('BA History'!$B:$B=A22), 'BA History'!$AI:$AI)</f>
        <v>0.44961538461538464</v>
      </c>
      <c r="O22" s="2">
        <f>COUNTIFS('BA History'!$B:$B,$A$22,'BA History'!K:K, 1)</f>
        <v>3</v>
      </c>
      <c r="P22" s="2">
        <f>COUNTIFS('BA History'!$B:$B,$A$22,'BA History'!L:L, 1)</f>
        <v>5</v>
      </c>
      <c r="Q22" s="2">
        <f>COUNTIFS('BA History'!$B:$B,$A$22,'BA History'!M:M, 1)</f>
        <v>4</v>
      </c>
      <c r="R22" s="2">
        <f>COUNTIFS('BA History'!$B:$B,$A$22,'BA History'!N:N, 1)</f>
        <v>2</v>
      </c>
      <c r="S22" s="2">
        <f>COUNTIFS('BA History'!$B:$B,$A$22,'BA History'!O:O, 1)</f>
        <v>3</v>
      </c>
      <c r="T22" s="2">
        <f>COUNTIFS('BA History'!$B:$B,$A$22,'BA History'!P:P, 1)</f>
        <v>0</v>
      </c>
      <c r="U22" s="2">
        <f>COUNTIFS('BA History'!$B:$B,$A$22,'BA History'!Q:Q, 1)</f>
        <v>0</v>
      </c>
      <c r="V22" s="2">
        <f>COUNTIFS('BA History'!$B:$B,$A$22,'BA History'!R:R, 1)</f>
        <v>0</v>
      </c>
      <c r="W22" s="2">
        <f>COUNTIFS('BA History'!$B:$B,$A$22,'BA History'!S:S, 1)</f>
        <v>1</v>
      </c>
      <c r="X22" s="2">
        <f>COUNTIFS('BA History'!$B:$B,$A$22,'BA History'!T:T, 1)</f>
        <v>0</v>
      </c>
      <c r="Y22" s="2">
        <f>COUNTIFS('BA History'!$B:$B,$A$22,'BA History'!U:U, 1)</f>
        <v>1</v>
      </c>
      <c r="Z22" s="2">
        <f>COUNTIFS('BA History'!$B:$B,$A$22,'BA History'!V:V, 1)</f>
        <v>4</v>
      </c>
      <c r="AA22" s="2">
        <f>COUNTIFS('BA History'!$B:$B,$A$22,'BA History'!W:W, 1)</f>
        <v>2</v>
      </c>
      <c r="AB22" s="2">
        <f>COUNTIFS('BA History'!$B:$B,$A$22,'BA History'!X:X, 1)</f>
        <v>0</v>
      </c>
      <c r="AC22" s="2">
        <f>COUNTIFS('BA History'!$B:$B,$A$22,'BA History'!Y:Y, 1)</f>
        <v>3</v>
      </c>
      <c r="AD22" s="2">
        <f>COUNTIFS('BA History'!$B:$B,$A$22,'BA History'!Z:Z, 1)</f>
        <v>3</v>
      </c>
      <c r="AE22" s="2">
        <f>COUNTIFS('BA History'!$B:$B,$A$22,'BA History'!AA:AA, 1)</f>
        <v>1</v>
      </c>
      <c r="AF22" s="2">
        <f>COUNTIFS('BA History'!$B:$B,$A$22,'BA History'!AB:AB, 1)</f>
        <v>3</v>
      </c>
      <c r="AG22" s="2">
        <f>COUNTIFS('BA History'!$B:$B,$A$22,'BA History'!AC:AC, 1)</f>
        <v>3</v>
      </c>
      <c r="AH22" s="2">
        <f>COUNTIFS('BA History'!$B:$B,$A$22,'BA History'!AD:AD, 1)</f>
        <v>5</v>
      </c>
      <c r="AI22" s="2">
        <f>COUNTIFS('BA History'!$B:$B,$A$22,'BA History'!AE:AE, 1)</f>
        <v>1</v>
      </c>
      <c r="AJ22" s="2">
        <f>COUNTIFS('BA History'!$B:$B,$A$22,'BA History'!AF:AF, 1)</f>
        <v>2</v>
      </c>
    </row>
    <row r="23" spans="1:36" ht="15.75" x14ac:dyDescent="0.25">
      <c r="A23" s="2" t="s">
        <v>152</v>
      </c>
      <c r="B23" s="80" t="s">
        <v>79</v>
      </c>
      <c r="C23" s="34">
        <f>SUMIFS('BA History'!C:C,'BA History'!B:B,A23)</f>
        <v>7</v>
      </c>
      <c r="D23" s="66">
        <f>AVERAGEIFS('BA History'!C:C,'BA History'!B:B,A23)</f>
        <v>7</v>
      </c>
      <c r="E23" s="35">
        <f t="array" ref="E23">MAX(IF('BA History'!B:B=A23, 'BA History'!C:C))</f>
        <v>7</v>
      </c>
      <c r="F23" s="34">
        <f>COUNTIFS('BA History'!B:B,A23,'BA History'!D:D, 1)</f>
        <v>0</v>
      </c>
      <c r="G23" s="2">
        <f>COUNTIFS('BA History'!B:B,A23,'BA History'!D:D, 0)</f>
        <v>1</v>
      </c>
      <c r="H23" s="75">
        <f>LOOKUP(2, 1/('BA History'!$B:$B=A23), 'BA History'!$AJ:$AJ)</f>
        <v>0</v>
      </c>
      <c r="I23" s="34">
        <f>SUMIFS('BA History'!F:F,'BA History'!B:B,A23)</f>
        <v>1</v>
      </c>
      <c r="J23" s="2">
        <f>SUMIFS('BA History'!E:E,'BA History'!B:B,A23)-I23</f>
        <v>4</v>
      </c>
      <c r="K23" s="75">
        <f>LOOKUP(2, 1/('BA History'!$B:$B=A23), 'BA History'!$AH:$AH)</f>
        <v>0.2</v>
      </c>
      <c r="L23" s="34">
        <f>SUMIFS('BA History'!H:H,'BA History'!B:B,A23)</f>
        <v>5</v>
      </c>
      <c r="M23" s="2">
        <f>SUMIFS('BA History'!G:G,'BA History'!B:B,A23)-L23</f>
        <v>14</v>
      </c>
      <c r="N23" s="89">
        <f>LOOKUP(2, 1/('BA History'!$B:$B=A23), 'BA History'!$AI:$AI)</f>
        <v>0.26</v>
      </c>
      <c r="O23" s="2">
        <f>COUNTIFS('BA History'!$B:$B,$A$23,'BA History'!K:K, 1)</f>
        <v>0</v>
      </c>
      <c r="P23" s="2">
        <f>COUNTIFS('BA History'!$B:$B,$A$23,'BA History'!L:L, 1)</f>
        <v>1</v>
      </c>
      <c r="Q23" s="2">
        <f>COUNTIFS('BA History'!$B:$B,$A$23,'BA History'!M:M, 1)</f>
        <v>0</v>
      </c>
      <c r="R23" s="2">
        <f>COUNTIFS('BA History'!$B:$B,$A$23,'BA History'!N:N, 1)</f>
        <v>0</v>
      </c>
      <c r="S23" s="2">
        <f>COUNTIFS('BA History'!$B:$B,$A$23,'BA History'!O:O, 1)</f>
        <v>0</v>
      </c>
      <c r="T23" s="2">
        <f>COUNTIFS('BA History'!$B:$B,$A$23,'BA History'!P:P, 1)</f>
        <v>0</v>
      </c>
      <c r="U23" s="2">
        <f>COUNTIFS('BA History'!$B:$B,$A$23,'BA History'!Q:Q, 1)</f>
        <v>0</v>
      </c>
      <c r="V23" s="2">
        <f>COUNTIFS('BA History'!$B:$B,$A$23,'BA History'!R:R, 1)</f>
        <v>0</v>
      </c>
      <c r="W23" s="2">
        <f>COUNTIFS('BA History'!$B:$B,$A$23,'BA History'!S:S, 1)</f>
        <v>0</v>
      </c>
      <c r="X23" s="2">
        <f>COUNTIFS('BA History'!$B:$B,$A$23,'BA History'!T:T, 1)</f>
        <v>0</v>
      </c>
      <c r="Y23" s="2">
        <f>COUNTIFS('BA History'!$B:$B,$A$23,'BA History'!U:U, 1)</f>
        <v>0</v>
      </c>
      <c r="Z23" s="2">
        <f>COUNTIFS('BA History'!$B:$B,$A$23,'BA History'!V:V, 1)</f>
        <v>0</v>
      </c>
      <c r="AA23" s="2">
        <f>COUNTIFS('BA History'!$B:$B,$A$23,'BA History'!W:W, 1)</f>
        <v>0</v>
      </c>
      <c r="AB23" s="2">
        <f>COUNTIFS('BA History'!$B:$B,$A$23,'BA History'!X:X, 1)</f>
        <v>0</v>
      </c>
      <c r="AC23" s="2">
        <f>COUNTIFS('BA History'!$B:$B,$A$23,'BA History'!Y:Y, 1)</f>
        <v>0</v>
      </c>
      <c r="AD23" s="2">
        <f>COUNTIFS('BA History'!$B:$B,$A$23,'BA History'!Z:Z, 1)</f>
        <v>0</v>
      </c>
      <c r="AE23" s="2">
        <f>COUNTIFS('BA History'!$B:$B,$A$23,'BA History'!AA:AA, 1)</f>
        <v>0</v>
      </c>
      <c r="AF23" s="2">
        <f>COUNTIFS('BA History'!$B:$B,$A$23,'BA History'!AB:AB, 1)</f>
        <v>0</v>
      </c>
      <c r="AG23" s="2">
        <f>COUNTIFS('BA History'!$B:$B,$A$23,'BA History'!AC:AC, 1)</f>
        <v>0</v>
      </c>
      <c r="AH23" s="2">
        <f>COUNTIFS('BA History'!$B:$B,$A$23,'BA History'!AD:AD, 1)</f>
        <v>0</v>
      </c>
      <c r="AI23" s="2">
        <f>COUNTIFS('BA History'!$B:$B,$A$23,'BA History'!AE:AE, 1)</f>
        <v>0</v>
      </c>
      <c r="AJ23" s="2">
        <f>COUNTIFS('BA History'!$B:$B,$A$23,'BA History'!AF:AF, 1)</f>
        <v>0</v>
      </c>
    </row>
    <row r="24" spans="1:36" ht="15.75" x14ac:dyDescent="0.25">
      <c r="A24" s="2" t="s">
        <v>151</v>
      </c>
      <c r="B24" s="95" t="s">
        <v>79</v>
      </c>
      <c r="C24" s="34">
        <f>SUMIFS('BA History'!C:C,'BA History'!B:B,A24)</f>
        <v>101</v>
      </c>
      <c r="D24" s="66">
        <f>AVERAGEIFS('BA History'!C:C,'BA History'!B:B,A24)</f>
        <v>14.428571428571429</v>
      </c>
      <c r="E24" s="35">
        <f t="array" ref="E24">MAX(IF('BA History'!B:B=A24, 'BA History'!C:C))</f>
        <v>21</v>
      </c>
      <c r="F24" s="34">
        <f>COUNTIFS('BA History'!B:B,A24,'BA History'!D:D, 1)</f>
        <v>3</v>
      </c>
      <c r="G24" s="2">
        <f>COUNTIFS('BA History'!B:B,A24,'BA History'!D:D, 0)</f>
        <v>4</v>
      </c>
      <c r="H24" s="75">
        <f>LOOKUP(2, 1/('BA History'!$B:$B=A24), 'BA History'!$AJ:$AJ)</f>
        <v>0.42857142857142855</v>
      </c>
      <c r="I24" s="34">
        <f>SUMIFS('BA History'!F:F,'BA History'!B:B,A24)</f>
        <v>16</v>
      </c>
      <c r="J24" s="2">
        <f>SUMIFS('BA History'!E:E,'BA History'!B:B,A24)-I24</f>
        <v>16</v>
      </c>
      <c r="K24" s="75">
        <f>LOOKUP(2, 1/('BA History'!$B:$B=A24), 'BA History'!$AH:$AH)</f>
        <v>0.50714285714285712</v>
      </c>
      <c r="L24" s="34">
        <f>SUMIFS('BA History'!H:H,'BA History'!B:B,A24)</f>
        <v>69</v>
      </c>
      <c r="M24" s="2">
        <f>SUMIFS('BA History'!G:G,'BA History'!B:B,A24)-L24</f>
        <v>64</v>
      </c>
      <c r="N24" s="89">
        <f>LOOKUP(2, 1/('BA History'!$B:$B=A24), 'BA History'!$AI:$AI)</f>
        <v>0.51999999999999991</v>
      </c>
      <c r="O24" s="2">
        <f>COUNTIFS('BA History'!$B:$B,$A$24,'BA History'!K:K, 1)</f>
        <v>0</v>
      </c>
      <c r="P24" s="2">
        <f>COUNTIFS('BA History'!$B:$B,$A$24,'BA History'!L:L, 1)</f>
        <v>1</v>
      </c>
      <c r="Q24" s="2">
        <f>COUNTIFS('BA History'!$B:$B,$A$24,'BA History'!M:M, 1)</f>
        <v>3</v>
      </c>
      <c r="R24" s="2">
        <f>COUNTIFS('BA History'!$B:$B,$A$24,'BA History'!N:N, 1)</f>
        <v>0</v>
      </c>
      <c r="S24" s="2">
        <f>COUNTIFS('BA History'!$B:$B,$A$24,'BA History'!O:O, 1)</f>
        <v>1</v>
      </c>
      <c r="T24" s="2">
        <f>COUNTIFS('BA History'!$B:$B,$A$24,'BA History'!P:P, 1)</f>
        <v>0</v>
      </c>
      <c r="U24" s="2">
        <f>COUNTIFS('BA History'!$B:$B,$A$24,'BA History'!Q:Q, 1)</f>
        <v>1</v>
      </c>
      <c r="V24" s="2">
        <f>COUNTIFS('BA History'!$B:$B,$A$24,'BA History'!R:R, 1)</f>
        <v>0</v>
      </c>
      <c r="W24" s="2">
        <f>COUNTIFS('BA History'!$B:$B,$A$24,'BA History'!S:S, 1)</f>
        <v>0</v>
      </c>
      <c r="X24" s="2">
        <f>COUNTIFS('BA History'!$B:$B,$A$24,'BA History'!T:T, 1)</f>
        <v>0</v>
      </c>
      <c r="Y24" s="2">
        <f>COUNTIFS('BA History'!$B:$B,$A$24,'BA History'!U:U, 1)</f>
        <v>0</v>
      </c>
      <c r="Z24" s="2">
        <f>COUNTIFS('BA History'!$B:$B,$A$24,'BA History'!V:V, 1)</f>
        <v>1</v>
      </c>
      <c r="AA24" s="2">
        <f>COUNTIFS('BA History'!$B:$B,$A$24,'BA History'!W:W, 1)</f>
        <v>2</v>
      </c>
      <c r="AB24" s="2">
        <f>COUNTIFS('BA History'!$B:$B,$A$24,'BA History'!X:X, 1)</f>
        <v>0</v>
      </c>
      <c r="AC24" s="2">
        <f>COUNTIFS('BA History'!$B:$B,$A$24,'BA History'!Y:Y, 1)</f>
        <v>1</v>
      </c>
      <c r="AD24" s="2">
        <f>COUNTIFS('BA History'!$B:$B,$A$24,'BA History'!Z:Z, 1)</f>
        <v>1</v>
      </c>
      <c r="AE24" s="2">
        <f>COUNTIFS('BA History'!$B:$B,$A$24,'BA History'!AA:AA, 1)</f>
        <v>0</v>
      </c>
      <c r="AF24" s="2">
        <f>COUNTIFS('BA History'!$B:$B,$A$24,'BA History'!AB:AB, 1)</f>
        <v>3</v>
      </c>
      <c r="AG24" s="2">
        <f>COUNTIFS('BA History'!$B:$B,$A$24,'BA History'!AC:AC, 1)</f>
        <v>0</v>
      </c>
      <c r="AH24" s="2">
        <f>COUNTIFS('BA History'!$B:$B,$A$24,'BA History'!AD:AD, 1)</f>
        <v>2</v>
      </c>
      <c r="AI24" s="2">
        <f>COUNTIFS('BA History'!$B:$B,$A$24,'BA History'!AE:AE, 1)</f>
        <v>0</v>
      </c>
      <c r="AJ24" s="2">
        <f>COUNTIFS('BA History'!$B:$B,$A$24,'BA History'!AF:AF, 1)</f>
        <v>0</v>
      </c>
    </row>
    <row r="25" spans="1:36" ht="15.75" x14ac:dyDescent="0.25">
      <c r="A25" s="2" t="s">
        <v>46</v>
      </c>
      <c r="B25" s="80" t="s">
        <v>60</v>
      </c>
      <c r="C25" s="34">
        <f>SUMIFS('BA History'!C:C,'BA History'!B:B,A25)</f>
        <v>460</v>
      </c>
      <c r="D25" s="66">
        <f>AVERAGEIFS('BA History'!C:C,'BA History'!B:B,A25)</f>
        <v>17.692307692307693</v>
      </c>
      <c r="E25" s="35">
        <f t="array" ref="E25">MAX(IF('BA History'!B:B=A25, 'BA History'!C:C))</f>
        <v>27</v>
      </c>
      <c r="F25" s="34">
        <f>COUNTIFS('BA History'!B:B,A25,'BA History'!D:D, 1)</f>
        <v>9</v>
      </c>
      <c r="G25" s="2">
        <f>COUNTIFS('BA History'!B:B,A25,'BA History'!D:D, 0)</f>
        <v>17</v>
      </c>
      <c r="H25" s="75">
        <f>LOOKUP(2, 1/('BA History'!$B:$B=A25), 'BA History'!$AJ:$AJ)</f>
        <v>0.34615384615384615</v>
      </c>
      <c r="I25" s="34">
        <f>SUMIFS('BA History'!F:F,'BA History'!B:B,A25)</f>
        <v>46</v>
      </c>
      <c r="J25" s="2">
        <f>SUMIFS('BA History'!E:E,'BA History'!B:B,A25)-I25</f>
        <v>64</v>
      </c>
      <c r="K25" s="75">
        <f>LOOKUP(2, 1/('BA History'!$B:$B=A25), 'BA History'!$AH:$AH)</f>
        <v>0.39999999999999997</v>
      </c>
      <c r="L25" s="34">
        <f>SUMIFS('BA History'!H:H,'BA History'!B:B,A25)</f>
        <v>209</v>
      </c>
      <c r="M25" s="2">
        <f>SUMIFS('BA History'!G:G,'BA History'!B:B,A25)-L25</f>
        <v>250</v>
      </c>
      <c r="N25" s="89">
        <f>LOOKUP(2, 1/('BA History'!$B:$B=A25), 'BA History'!$AI:$AI)</f>
        <v>0.44615384615384623</v>
      </c>
      <c r="O25" s="2">
        <f>COUNTIFS('BA History'!$B:$B,$A$25,'BA History'!K:K, 1)</f>
        <v>6</v>
      </c>
      <c r="P25" s="2">
        <f>COUNTIFS('BA History'!$B:$B,$A$25,'BA History'!L:L, 1)</f>
        <v>2</v>
      </c>
      <c r="Q25" s="2">
        <f>COUNTIFS('BA History'!$B:$B,$A$25,'BA History'!M:M, 1)</f>
        <v>3</v>
      </c>
      <c r="R25" s="2">
        <f>COUNTIFS('BA History'!$B:$B,$A$25,'BA History'!N:N, 1)</f>
        <v>3</v>
      </c>
      <c r="S25" s="2">
        <f>COUNTIFS('BA History'!$B:$B,$A$25,'BA History'!O:O, 1)</f>
        <v>1</v>
      </c>
      <c r="T25" s="2">
        <f>COUNTIFS('BA History'!$B:$B,$A$25,'BA History'!P:P, 1)</f>
        <v>0</v>
      </c>
      <c r="U25" s="2">
        <f>COUNTIFS('BA History'!$B:$B,$A$25,'BA History'!Q:Q, 1)</f>
        <v>0</v>
      </c>
      <c r="V25" s="2">
        <f>COUNTIFS('BA History'!$B:$B,$A$25,'BA History'!R:R, 1)</f>
        <v>1</v>
      </c>
      <c r="W25" s="2">
        <f>COUNTIFS('BA History'!$B:$B,$A$25,'BA History'!S:S, 1)</f>
        <v>0</v>
      </c>
      <c r="X25" s="2">
        <f>COUNTIFS('BA History'!$B:$B,$A$25,'BA History'!T:T, 1)</f>
        <v>0</v>
      </c>
      <c r="Y25" s="2">
        <f>COUNTIFS('BA History'!$B:$B,$A$25,'BA History'!U:U, 1)</f>
        <v>1</v>
      </c>
      <c r="Z25" s="2">
        <f>COUNTIFS('BA History'!$B:$B,$A$25,'BA History'!V:V, 1)</f>
        <v>1</v>
      </c>
      <c r="AA25" s="2">
        <f>COUNTIFS('BA History'!$B:$B,$A$25,'BA History'!W:W, 1)</f>
        <v>3</v>
      </c>
      <c r="AB25" s="2">
        <f>COUNTIFS('BA History'!$B:$B,$A$25,'BA History'!X:X, 1)</f>
        <v>1</v>
      </c>
      <c r="AC25" s="2">
        <f>COUNTIFS('BA History'!$B:$B,$A$25,'BA History'!Y:Y, 1)</f>
        <v>1</v>
      </c>
      <c r="AD25" s="2">
        <f>COUNTIFS('BA History'!$B:$B,$A$25,'BA History'!Z:Z, 1)</f>
        <v>7</v>
      </c>
      <c r="AE25" s="2">
        <f>COUNTIFS('BA History'!$B:$B,$A$25,'BA History'!AA:AA, 1)</f>
        <v>2</v>
      </c>
      <c r="AF25" s="2">
        <f>COUNTIFS('BA History'!$B:$B,$A$25,'BA History'!AB:AB, 1)</f>
        <v>5</v>
      </c>
      <c r="AG25" s="2">
        <f>COUNTIFS('BA History'!$B:$B,$A$25,'BA History'!AC:AC, 1)</f>
        <v>1</v>
      </c>
      <c r="AH25" s="2">
        <f>COUNTIFS('BA History'!$B:$B,$A$25,'BA History'!AD:AD, 1)</f>
        <v>3</v>
      </c>
      <c r="AI25" s="2">
        <f>COUNTIFS('BA History'!$B:$B,$A$25,'BA History'!AE:AE, 1)</f>
        <v>2</v>
      </c>
      <c r="AJ25" s="2">
        <f>COUNTIFS('BA History'!$B:$B,$A$25,'BA History'!AF:AF, 1)</f>
        <v>3</v>
      </c>
    </row>
    <row r="26" spans="1:36" x14ac:dyDescent="0.25">
      <c r="A26" s="2" t="s">
        <v>28</v>
      </c>
      <c r="B26" s="2" t="s">
        <v>79</v>
      </c>
      <c r="C26" s="34">
        <f>SUMIFS('BA History'!C:C,'BA History'!B:B,A26)</f>
        <v>372</v>
      </c>
      <c r="D26" s="66">
        <f>AVERAGEIFS('BA History'!C:C,'BA History'!B:B,A26)</f>
        <v>13.777777777777779</v>
      </c>
      <c r="E26" s="35">
        <f t="array" ref="E26">MAX(IF('BA History'!B:B=A26, 'BA History'!C:C))</f>
        <v>25</v>
      </c>
      <c r="F26" s="34">
        <f>COUNTIFS('BA History'!B:B,A26,'BA History'!D:D, 1)</f>
        <v>11</v>
      </c>
      <c r="G26" s="2">
        <f>COUNTIFS('BA History'!B:B,A26,'BA History'!D:D, 0)</f>
        <v>16</v>
      </c>
      <c r="H26" s="75">
        <f>LOOKUP(2, 1/('BA History'!$B:$B=A26), 'BA History'!$AJ:$AJ)</f>
        <v>0.40740740740740738</v>
      </c>
      <c r="I26" s="34">
        <f>SUMIFS('BA History'!F:F,'BA History'!B:B,A26)</f>
        <v>46</v>
      </c>
      <c r="J26" s="2">
        <f>SUMIFS('BA History'!E:E,'BA History'!B:B,A26)-I26</f>
        <v>57</v>
      </c>
      <c r="K26" s="75">
        <f>LOOKUP(2, 1/('BA History'!$B:$B=A26), 'BA History'!$AH:$AH)</f>
        <v>0.44925925925925925</v>
      </c>
      <c r="L26" s="34">
        <f>SUMIFS('BA History'!H:H,'BA History'!B:B,A26)</f>
        <v>198</v>
      </c>
      <c r="M26" s="2">
        <f>SUMIFS('BA History'!G:G,'BA History'!B:B,A26)-L26</f>
        <v>221</v>
      </c>
      <c r="N26" s="89">
        <f>LOOKUP(2, 1/('BA History'!$B:$B=A26), 'BA History'!$AI:$AI)</f>
        <v>0.47037037037037027</v>
      </c>
      <c r="O26" s="2">
        <f>COUNTIFS('BA History'!$B:$B,$A$26,'BA History'!K:K, 1)</f>
        <v>1</v>
      </c>
      <c r="P26" s="2">
        <f>COUNTIFS('BA History'!$B:$B,$A$26,'BA History'!L:L, 1)</f>
        <v>4</v>
      </c>
      <c r="Q26" s="2">
        <f>COUNTIFS('BA History'!$B:$B,$A$26,'BA History'!M:M, 1)</f>
        <v>2</v>
      </c>
      <c r="R26" s="2">
        <f>COUNTIFS('BA History'!$B:$B,$A$26,'BA History'!N:N, 1)</f>
        <v>5</v>
      </c>
      <c r="S26" s="2">
        <f>COUNTIFS('BA History'!$B:$B,$A$26,'BA History'!O:O, 1)</f>
        <v>3</v>
      </c>
      <c r="T26" s="2">
        <f>COUNTIFS('BA History'!$B:$B,$A$26,'BA History'!P:P, 1)</f>
        <v>1</v>
      </c>
      <c r="U26" s="2">
        <f>COUNTIFS('BA History'!$B:$B,$A$26,'BA History'!Q:Q, 1)</f>
        <v>2</v>
      </c>
      <c r="V26" s="2">
        <f>COUNTIFS('BA History'!$B:$B,$A$26,'BA History'!R:R, 1)</f>
        <v>1</v>
      </c>
      <c r="W26" s="2">
        <f>COUNTIFS('BA History'!$B:$B,$A$26,'BA History'!S:S, 1)</f>
        <v>0</v>
      </c>
      <c r="X26" s="2">
        <f>COUNTIFS('BA History'!$B:$B,$A$26,'BA History'!T:T, 1)</f>
        <v>1</v>
      </c>
      <c r="Y26" s="2">
        <f>COUNTIFS('BA History'!$B:$B,$A$26,'BA History'!U:U, 1)</f>
        <v>3</v>
      </c>
      <c r="Z26" s="2">
        <f>COUNTIFS('BA History'!$B:$B,$A$26,'BA History'!V:V, 1)</f>
        <v>2</v>
      </c>
      <c r="AA26" s="2">
        <f>COUNTIFS('BA History'!$B:$B,$A$26,'BA History'!W:W, 1)</f>
        <v>0</v>
      </c>
      <c r="AB26" s="2">
        <f>COUNTIFS('BA History'!$B:$B,$A$26,'BA History'!X:X, 1)</f>
        <v>1</v>
      </c>
      <c r="AC26" s="2">
        <f>COUNTIFS('BA History'!$B:$B,$A$26,'BA History'!Y:Y, 1)</f>
        <v>3</v>
      </c>
      <c r="AD26" s="2">
        <f>COUNTIFS('BA History'!$B:$B,$A$26,'BA History'!Z:Z, 1)</f>
        <v>4</v>
      </c>
      <c r="AE26" s="2">
        <f>COUNTIFS('BA History'!$B:$B,$A$26,'BA History'!AA:AA, 1)</f>
        <v>2</v>
      </c>
      <c r="AF26" s="2">
        <f>COUNTIFS('BA History'!$B:$B,$A$26,'BA History'!AB:AB, 1)</f>
        <v>3</v>
      </c>
      <c r="AG26" s="2">
        <f>COUNTIFS('BA History'!$B:$B,$A$26,'BA History'!AC:AC, 1)</f>
        <v>3</v>
      </c>
      <c r="AH26" s="2">
        <f>COUNTIFS('BA History'!$B:$B,$A$26,'BA History'!AD:AD, 1)</f>
        <v>4</v>
      </c>
      <c r="AI26" s="2">
        <f>COUNTIFS('BA History'!$B:$B,$A$26,'BA History'!AE:AE, 1)</f>
        <v>0</v>
      </c>
      <c r="AJ26" s="2">
        <f>COUNTIFS('BA History'!$B:$B,$A$26,'BA History'!AF:AF, 1)</f>
        <v>1</v>
      </c>
    </row>
    <row r="27" spans="1:36" x14ac:dyDescent="0.25">
      <c r="A27" s="2" t="s">
        <v>53</v>
      </c>
      <c r="B27" s="2" t="s">
        <v>79</v>
      </c>
      <c r="C27" s="34">
        <f>SUMIFS('BA History'!C:C,'BA History'!B:B,A27)</f>
        <v>263</v>
      </c>
      <c r="D27" s="66">
        <f>AVERAGEIFS('BA History'!C:C,'BA History'!B:B,A27)</f>
        <v>15.470588235294118</v>
      </c>
      <c r="E27" s="35">
        <f t="array" ref="E27">MAX(IF('BA History'!B:B=A27, 'BA History'!C:C))</f>
        <v>36</v>
      </c>
      <c r="F27" s="34">
        <f>COUNTIFS('BA History'!B:B,A27,'BA History'!D:D, 1)</f>
        <v>9</v>
      </c>
      <c r="G27" s="2">
        <f>COUNTIFS('BA History'!B:B,A27,'BA History'!D:D, 0)</f>
        <v>8</v>
      </c>
      <c r="H27" s="75">
        <f>LOOKUP(2, 1/('BA History'!$B:$B=A27), 'BA History'!$AJ:$AJ)</f>
        <v>0.52941176470588236</v>
      </c>
      <c r="I27" s="34">
        <f>SUMIFS('BA History'!F:F,'BA History'!B:B,A27)</f>
        <v>35</v>
      </c>
      <c r="J27" s="2">
        <f>SUMIFS('BA History'!E:E,'BA History'!B:B,A27)-I27</f>
        <v>29</v>
      </c>
      <c r="K27" s="75">
        <f>LOOKUP(2, 1/('BA History'!$B:$B=A27), 'BA History'!$AH:$AH)</f>
        <v>0.56176470588235294</v>
      </c>
      <c r="L27" s="34">
        <f>SUMIFS('BA History'!H:H,'BA History'!B:B,A27)</f>
        <v>131</v>
      </c>
      <c r="M27" s="2">
        <f>SUMIFS('BA History'!G:G,'BA History'!B:B,A27)-L27</f>
        <v>124</v>
      </c>
      <c r="N27" s="89">
        <f>LOOKUP(2, 1/('BA History'!$B:$B=A27), 'BA History'!$AI:$AI)</f>
        <v>0.52235294117647069</v>
      </c>
      <c r="O27" s="2">
        <f>COUNTIFS('BA History'!$B:$B,$A$27,'BA History'!K:K, 1)</f>
        <v>2</v>
      </c>
      <c r="P27" s="2">
        <f>COUNTIFS('BA History'!$B:$B,$A$27,'BA History'!L:L, 1)</f>
        <v>3</v>
      </c>
      <c r="Q27" s="2">
        <f>COUNTIFS('BA History'!$B:$B,$A$27,'BA History'!M:M, 1)</f>
        <v>0</v>
      </c>
      <c r="R27" s="2">
        <f>COUNTIFS('BA History'!$B:$B,$A$27,'BA History'!N:N, 1)</f>
        <v>4</v>
      </c>
      <c r="S27" s="2">
        <f>COUNTIFS('BA History'!$B:$B,$A$27,'BA History'!O:O, 1)</f>
        <v>1</v>
      </c>
      <c r="T27" s="2">
        <f>COUNTIFS('BA History'!$B:$B,$A$27,'BA History'!P:P, 1)</f>
        <v>0</v>
      </c>
      <c r="U27" s="2">
        <f>COUNTIFS('BA History'!$B:$B,$A$27,'BA History'!Q:Q, 1)</f>
        <v>2</v>
      </c>
      <c r="V27" s="2">
        <f>COUNTIFS('BA History'!$B:$B,$A$27,'BA History'!R:R, 1)</f>
        <v>0</v>
      </c>
      <c r="W27" s="2">
        <f>COUNTIFS('BA History'!$B:$B,$A$27,'BA History'!S:S, 1)</f>
        <v>0</v>
      </c>
      <c r="X27" s="2">
        <f>COUNTIFS('BA History'!$B:$B,$A$27,'BA History'!T:T, 1)</f>
        <v>0</v>
      </c>
      <c r="Y27" s="2">
        <f>COUNTIFS('BA History'!$B:$B,$A$27,'BA History'!U:U, 1)</f>
        <v>0</v>
      </c>
      <c r="Z27" s="2">
        <f>COUNTIFS('BA History'!$B:$B,$A$27,'BA History'!V:V, 1)</f>
        <v>2</v>
      </c>
      <c r="AA27" s="2">
        <f>COUNTIFS('BA History'!$B:$B,$A$27,'BA History'!W:W, 1)</f>
        <v>1</v>
      </c>
      <c r="AB27" s="2">
        <f>COUNTIFS('BA History'!$B:$B,$A$27,'BA History'!X:X, 1)</f>
        <v>1</v>
      </c>
      <c r="AC27" s="2">
        <f>COUNTIFS('BA History'!$B:$B,$A$27,'BA History'!Y:Y, 1)</f>
        <v>3</v>
      </c>
      <c r="AD27" s="2">
        <f>COUNTIFS('BA History'!$B:$B,$A$27,'BA History'!Z:Z, 1)</f>
        <v>6</v>
      </c>
      <c r="AE27" s="2">
        <f>COUNTIFS('BA History'!$B:$B,$A$27,'BA History'!AA:AA, 1)</f>
        <v>0</v>
      </c>
      <c r="AF27" s="2">
        <f>COUNTIFS('BA History'!$B:$B,$A$27,'BA History'!AB:AB, 1)</f>
        <v>5</v>
      </c>
      <c r="AG27" s="2">
        <f>COUNTIFS('BA History'!$B:$B,$A$27,'BA History'!AC:AC, 1)</f>
        <v>2</v>
      </c>
      <c r="AH27" s="2">
        <f>COUNTIFS('BA History'!$B:$B,$A$27,'BA History'!AD:AD, 1)</f>
        <v>2</v>
      </c>
      <c r="AI27" s="2">
        <f>COUNTIFS('BA History'!$B:$B,$A$27,'BA History'!AE:AE, 1)</f>
        <v>0</v>
      </c>
      <c r="AJ27" s="2">
        <f>COUNTIFS('BA History'!$B:$B,$A$27,'BA History'!AF:AF, 1)</f>
        <v>1</v>
      </c>
    </row>
    <row r="28" spans="1:36" x14ac:dyDescent="0.25">
      <c r="A28" s="2" t="s">
        <v>51</v>
      </c>
      <c r="B28" s="2" t="s">
        <v>79</v>
      </c>
      <c r="C28" s="34">
        <f>SUMIFS('BA History'!C:C,'BA History'!B:B,A28)</f>
        <v>21</v>
      </c>
      <c r="D28" s="66">
        <f>AVERAGEIFS('BA History'!C:C,'BA History'!B:B,A28)</f>
        <v>10.5</v>
      </c>
      <c r="E28" s="35">
        <f t="array" ref="E28">MAX(IF('BA History'!B:B=A28, 'BA History'!C:C))</f>
        <v>16</v>
      </c>
      <c r="F28" s="34">
        <f>COUNTIFS('BA History'!B:B,A28,'BA History'!D:D, 1)</f>
        <v>1</v>
      </c>
      <c r="G28" s="2">
        <f>COUNTIFS('BA History'!B:B,A28,'BA History'!D:D, 0)</f>
        <v>1</v>
      </c>
      <c r="H28" s="75">
        <f>LOOKUP(2, 1/('BA History'!$B:$B=A28), 'BA History'!$AJ:$AJ)</f>
        <v>0.5</v>
      </c>
      <c r="I28" s="34">
        <f>SUMIFS('BA History'!F:F,'BA History'!B:B,A28)</f>
        <v>2</v>
      </c>
      <c r="J28" s="2">
        <f>SUMIFS('BA History'!E:E,'BA History'!B:B,A28)-I28</f>
        <v>4</v>
      </c>
      <c r="K28" s="75">
        <f>LOOKUP(2, 1/('BA History'!$B:$B=A28), 'BA History'!$AH:$AH)</f>
        <v>0.33500000000000002</v>
      </c>
      <c r="L28" s="34">
        <f>SUMIFS('BA History'!H:H,'BA History'!B:B,A28)</f>
        <v>10</v>
      </c>
      <c r="M28" s="2">
        <f>SUMIFS('BA History'!G:G,'BA History'!B:B,A28)-L28</f>
        <v>16</v>
      </c>
      <c r="N28" s="89">
        <f>LOOKUP(2, 1/('BA History'!$B:$B=A28), 'BA History'!$AI:$AI)</f>
        <v>0.35499999999999998</v>
      </c>
      <c r="O28" s="2">
        <f>COUNTIFS('BA History'!$B:$B,$A$28,'BA History'!K:K, 1)</f>
        <v>0</v>
      </c>
      <c r="P28" s="2">
        <f>COUNTIFS('BA History'!$B:$B,$A$28,'BA History'!L:L, 1)</f>
        <v>0</v>
      </c>
      <c r="Q28" s="2">
        <f>COUNTIFS('BA History'!$B:$B,$A$28,'BA History'!M:M, 1)</f>
        <v>0</v>
      </c>
      <c r="R28" s="2">
        <f>COUNTIFS('BA History'!$B:$B,$A$28,'BA History'!N:N, 1)</f>
        <v>0</v>
      </c>
      <c r="S28" s="2">
        <f>COUNTIFS('BA History'!$B:$B,$A$28,'BA History'!O:O, 1)</f>
        <v>0</v>
      </c>
      <c r="T28" s="2">
        <f>COUNTIFS('BA History'!$B:$B,$A$28,'BA History'!P:P, 1)</f>
        <v>0</v>
      </c>
      <c r="U28" s="2">
        <f>COUNTIFS('BA History'!$B:$B,$A$28,'BA History'!Q:Q, 1)</f>
        <v>0</v>
      </c>
      <c r="V28" s="2">
        <f>COUNTIFS('BA History'!$B:$B,$A$28,'BA History'!R:R, 1)</f>
        <v>0</v>
      </c>
      <c r="W28" s="2">
        <f>COUNTIFS('BA History'!$B:$B,$A$28,'BA History'!S:S, 1)</f>
        <v>0</v>
      </c>
      <c r="X28" s="2">
        <f>COUNTIFS('BA History'!$B:$B,$A$28,'BA History'!T:T, 1)</f>
        <v>0</v>
      </c>
      <c r="Y28" s="2">
        <f>COUNTIFS('BA History'!$B:$B,$A$28,'BA History'!U:U, 1)</f>
        <v>0</v>
      </c>
      <c r="Z28" s="2">
        <f>COUNTIFS('BA History'!$B:$B,$A$28,'BA History'!V:V, 1)</f>
        <v>0</v>
      </c>
      <c r="AA28" s="2">
        <f>COUNTIFS('BA History'!$B:$B,$A$28,'BA History'!W:W, 1)</f>
        <v>0</v>
      </c>
      <c r="AB28" s="2">
        <f>COUNTIFS('BA History'!$B:$B,$A$28,'BA History'!X:X, 1)</f>
        <v>0</v>
      </c>
      <c r="AC28" s="2">
        <f>COUNTIFS('BA History'!$B:$B,$A$28,'BA History'!Y:Y, 1)</f>
        <v>1</v>
      </c>
      <c r="AD28" s="2">
        <f>COUNTIFS('BA History'!$B:$B,$A$28,'BA History'!Z:Z, 1)</f>
        <v>0</v>
      </c>
      <c r="AE28" s="2">
        <f>COUNTIFS('BA History'!$B:$B,$A$28,'BA History'!AA:AA, 1)</f>
        <v>0</v>
      </c>
      <c r="AF28" s="2">
        <f>COUNTIFS('BA History'!$B:$B,$A$28,'BA History'!AB:AB, 1)</f>
        <v>0</v>
      </c>
      <c r="AG28" s="2">
        <f>COUNTIFS('BA History'!$B:$B,$A$28,'BA History'!AC:AC, 1)</f>
        <v>1</v>
      </c>
      <c r="AH28" s="2">
        <f>COUNTIFS('BA History'!$B:$B,$A$28,'BA History'!AD:AD, 1)</f>
        <v>0</v>
      </c>
      <c r="AI28" s="2">
        <f>COUNTIFS('BA History'!$B:$B,$A$28,'BA History'!AE:AE, 1)</f>
        <v>0</v>
      </c>
      <c r="AJ28" s="2">
        <f>COUNTIFS('BA History'!$B:$B,$A$28,'BA History'!AF:AF, 1)</f>
        <v>0</v>
      </c>
    </row>
    <row r="29" spans="1:36" x14ac:dyDescent="0.25">
      <c r="A29" s="2" t="s">
        <v>47</v>
      </c>
      <c r="B29" s="2" t="s">
        <v>79</v>
      </c>
      <c r="C29" s="34">
        <f>SUMIFS('BA History'!C:C,'BA History'!B:B,A29)</f>
        <v>40</v>
      </c>
      <c r="D29" s="66">
        <f>AVERAGEIFS('BA History'!C:C,'BA History'!B:B,A29)</f>
        <v>6.666666666666667</v>
      </c>
      <c r="E29" s="35">
        <f t="array" ref="E29">MAX(IF('BA History'!B:B=A29, 'BA History'!C:C))</f>
        <v>11</v>
      </c>
      <c r="F29" s="34">
        <f>COUNTIFS('BA History'!B:B,A29,'BA History'!D:D, 1)</f>
        <v>2</v>
      </c>
      <c r="G29" s="2">
        <f>COUNTIFS('BA History'!B:B,A29,'BA History'!D:D, 0)</f>
        <v>4</v>
      </c>
      <c r="H29" s="75">
        <f>LOOKUP(2, 1/('BA History'!$B:$B=A29), 'BA History'!$AJ:$AJ)</f>
        <v>0.33333333333333331</v>
      </c>
      <c r="I29" s="34">
        <f>SUMIFS('BA History'!F:F,'BA History'!B:B,A29)</f>
        <v>13</v>
      </c>
      <c r="J29" s="2">
        <f>SUMIFS('BA History'!E:E,'BA History'!B:B,A29)-I29</f>
        <v>14</v>
      </c>
      <c r="K29" s="75">
        <f>LOOKUP(2, 1/('BA History'!$B:$B=A29), 'BA History'!$AH:$AH)</f>
        <v>0.5083333333333333</v>
      </c>
      <c r="L29" s="34">
        <f>SUMIFS('BA History'!H:H,'BA History'!B:B,A29)</f>
        <v>51</v>
      </c>
      <c r="M29" s="2">
        <f>SUMIFS('BA History'!G:G,'BA History'!B:B,A29)-L29</f>
        <v>54</v>
      </c>
      <c r="N29" s="89">
        <f>LOOKUP(2, 1/('BA History'!$B:$B=A29), 'BA History'!$AI:$AI)</f>
        <v>0.51666666666666661</v>
      </c>
      <c r="O29" s="2">
        <f>COUNTIFS('BA History'!$B:$B,$A$29,'BA History'!K:K, 1)</f>
        <v>2</v>
      </c>
      <c r="P29" s="2">
        <f>COUNTIFS('BA History'!$B:$B,$A$29,'BA History'!L:L, 1)</f>
        <v>1</v>
      </c>
      <c r="Q29" s="2">
        <f>COUNTIFS('BA History'!$B:$B,$A$29,'BA History'!M:M, 1)</f>
        <v>2</v>
      </c>
      <c r="R29" s="2">
        <f>COUNTIFS('BA History'!$B:$B,$A$29,'BA History'!N:N, 1)</f>
        <v>1</v>
      </c>
      <c r="S29" s="2">
        <f>COUNTIFS('BA History'!$B:$B,$A$29,'BA History'!O:O, 1)</f>
        <v>0</v>
      </c>
      <c r="T29" s="2">
        <f>COUNTIFS('BA History'!$B:$B,$A$29,'BA History'!P:P, 1)</f>
        <v>0</v>
      </c>
      <c r="U29" s="2">
        <f>COUNTIFS('BA History'!$B:$B,$A$29,'BA History'!Q:Q, 1)</f>
        <v>0</v>
      </c>
      <c r="V29" s="2">
        <f>COUNTIFS('BA History'!$B:$B,$A$29,'BA History'!R:R, 1)</f>
        <v>0</v>
      </c>
      <c r="W29" s="2">
        <f>COUNTIFS('BA History'!$B:$B,$A$29,'BA History'!S:S, 1)</f>
        <v>0</v>
      </c>
      <c r="X29" s="2">
        <f>COUNTIFS('BA History'!$B:$B,$A$29,'BA History'!T:T, 1)</f>
        <v>0</v>
      </c>
      <c r="Y29" s="2">
        <f>COUNTIFS('BA History'!$B:$B,$A$29,'BA History'!U:U, 1)</f>
        <v>0</v>
      </c>
      <c r="Z29" s="2">
        <f>COUNTIFS('BA History'!$B:$B,$A$29,'BA History'!V:V, 1)</f>
        <v>0</v>
      </c>
      <c r="AA29" s="2">
        <f>COUNTIFS('BA History'!$B:$B,$A$29,'BA History'!W:W, 1)</f>
        <v>2</v>
      </c>
      <c r="AB29" s="2">
        <f>COUNTIFS('BA History'!$B:$B,$A$29,'BA History'!X:X, 1)</f>
        <v>0</v>
      </c>
      <c r="AC29" s="2">
        <f>COUNTIFS('BA History'!$B:$B,$A$29,'BA History'!Y:Y, 1)</f>
        <v>1</v>
      </c>
      <c r="AD29" s="2">
        <f>COUNTIFS('BA History'!$B:$B,$A$29,'BA History'!Z:Z, 1)</f>
        <v>1</v>
      </c>
      <c r="AE29" s="2">
        <f>COUNTIFS('BA History'!$B:$B,$A$29,'BA History'!AA:AA, 1)</f>
        <v>0</v>
      </c>
      <c r="AF29" s="2">
        <f>COUNTIFS('BA History'!$B:$B,$A$29,'BA History'!AB:AB, 1)</f>
        <v>1</v>
      </c>
      <c r="AG29" s="2">
        <f>COUNTIFS('BA History'!$B:$B,$A$29,'BA History'!AC:AC, 1)</f>
        <v>0</v>
      </c>
      <c r="AH29" s="2">
        <f>COUNTIFS('BA History'!$B:$B,$A$29,'BA History'!AD:AD, 1)</f>
        <v>1</v>
      </c>
      <c r="AI29" s="2">
        <f>COUNTIFS('BA History'!$B:$B,$A$29,'BA History'!AE:AE, 1)</f>
        <v>0</v>
      </c>
      <c r="AJ29" s="2">
        <f>COUNTIFS('BA History'!$B:$B,$A$29,'BA History'!AF:AF, 1)</f>
        <v>1</v>
      </c>
    </row>
    <row r="30" spans="1:36" ht="15.75" x14ac:dyDescent="0.25">
      <c r="A30" s="2" t="s">
        <v>3</v>
      </c>
      <c r="B30" s="80" t="s">
        <v>60</v>
      </c>
      <c r="C30" s="34">
        <f>SUMIFS('BA History'!C:C,'BA History'!B:B,A30)</f>
        <v>157</v>
      </c>
      <c r="D30" s="66">
        <f>AVERAGEIFS('BA History'!C:C,'BA History'!B:B,A30)</f>
        <v>19.625</v>
      </c>
      <c r="E30" s="35">
        <f t="array" ref="E30">MAX(IF('BA History'!B:B=A30, 'BA History'!C:C))</f>
        <v>27</v>
      </c>
      <c r="F30" s="34">
        <f>COUNTIFS('BA History'!B:B,A30,'BA History'!D:D, 1)</f>
        <v>3</v>
      </c>
      <c r="G30" s="2">
        <f>COUNTIFS('BA History'!B:B,A30,'BA History'!D:D, 0)</f>
        <v>5</v>
      </c>
      <c r="H30" s="75">
        <f>LOOKUP(2, 1/('BA History'!$B:$B=A30), 'BA History'!$AJ:$AJ)</f>
        <v>0.375</v>
      </c>
      <c r="I30" s="34">
        <f>SUMIFS('BA History'!F:F,'BA History'!B:B,A30)</f>
        <v>16</v>
      </c>
      <c r="J30" s="2">
        <f>SUMIFS('BA History'!E:E,'BA History'!B:B,A30)-I30</f>
        <v>20</v>
      </c>
      <c r="K30" s="75">
        <f>LOOKUP(2, 1/('BA History'!$B:$B=A30), 'BA History'!$AH:$AH)</f>
        <v>0.42499999999999999</v>
      </c>
      <c r="L30" s="34">
        <f>SUMIFS('BA History'!H:H,'BA History'!B:B,A30)</f>
        <v>74</v>
      </c>
      <c r="M30" s="2">
        <f>SUMIFS('BA History'!G:G,'BA History'!B:B,A30)-L30</f>
        <v>83</v>
      </c>
      <c r="N30" s="89">
        <f>LOOKUP(2, 1/('BA History'!$B:$B=A30), 'BA History'!$AI:$AI)</f>
        <v>0.46875</v>
      </c>
      <c r="O30" s="2">
        <f>COUNTIFS('BA History'!$B:$B,$A$30,'BA History'!K:K, 1)</f>
        <v>0</v>
      </c>
      <c r="P30" s="2">
        <f>COUNTIFS('BA History'!$B:$B,$A$30,'BA History'!L:L, 1)</f>
        <v>2</v>
      </c>
      <c r="Q30" s="2">
        <f>COUNTIFS('BA History'!$B:$B,$A$30,'BA History'!M:M, 1)</f>
        <v>2</v>
      </c>
      <c r="R30" s="2">
        <f>COUNTIFS('BA History'!$B:$B,$A$30,'BA History'!N:N, 1)</f>
        <v>1</v>
      </c>
      <c r="S30" s="2">
        <f>COUNTIFS('BA History'!$B:$B,$A$30,'BA History'!O:O, 1)</f>
        <v>0</v>
      </c>
      <c r="T30" s="2">
        <f>COUNTIFS('BA History'!$B:$B,$A$30,'BA History'!P:P, 1)</f>
        <v>1</v>
      </c>
      <c r="U30" s="2">
        <f>COUNTIFS('BA History'!$B:$B,$A$30,'BA History'!Q:Q, 1)</f>
        <v>0</v>
      </c>
      <c r="V30" s="2">
        <f>COUNTIFS('BA History'!$B:$B,$A$30,'BA History'!R:R, 1)</f>
        <v>0</v>
      </c>
      <c r="W30" s="2">
        <f>COUNTIFS('BA History'!$B:$B,$A$30,'BA History'!S:S, 1)</f>
        <v>0</v>
      </c>
      <c r="X30" s="2">
        <f>COUNTIFS('BA History'!$B:$B,$A$30,'BA History'!T:T, 1)</f>
        <v>0</v>
      </c>
      <c r="Y30" s="2">
        <f>COUNTIFS('BA History'!$B:$B,$A$30,'BA History'!U:U, 1)</f>
        <v>1</v>
      </c>
      <c r="Z30" s="2">
        <f>COUNTIFS('BA History'!$B:$B,$A$30,'BA History'!V:V, 1)</f>
        <v>0</v>
      </c>
      <c r="AA30" s="2">
        <f>COUNTIFS('BA History'!$B:$B,$A$30,'BA History'!W:W, 1)</f>
        <v>0</v>
      </c>
      <c r="AB30" s="2">
        <f>COUNTIFS('BA History'!$B:$B,$A$30,'BA History'!X:X, 1)</f>
        <v>0</v>
      </c>
      <c r="AC30" s="2">
        <f>COUNTIFS('BA History'!$B:$B,$A$30,'BA History'!Y:Y, 1)</f>
        <v>2</v>
      </c>
      <c r="AD30" s="2">
        <f>COUNTIFS('BA History'!$B:$B,$A$30,'BA History'!Z:Z, 1)</f>
        <v>1</v>
      </c>
      <c r="AE30" s="2">
        <f>COUNTIFS('BA History'!$B:$B,$A$30,'BA History'!AA:AA, 1)</f>
        <v>0</v>
      </c>
      <c r="AF30" s="2">
        <f>COUNTIFS('BA History'!$B:$B,$A$30,'BA History'!AB:AB, 1)</f>
        <v>1</v>
      </c>
      <c r="AG30" s="2">
        <f>COUNTIFS('BA History'!$B:$B,$A$30,'BA History'!AC:AC, 1)</f>
        <v>3</v>
      </c>
      <c r="AH30" s="2">
        <f>COUNTIFS('BA History'!$B:$B,$A$30,'BA History'!AD:AD, 1)</f>
        <v>2</v>
      </c>
      <c r="AI30" s="2">
        <f>COUNTIFS('BA History'!$B:$B,$A$30,'BA History'!AE:AE, 1)</f>
        <v>0</v>
      </c>
      <c r="AJ30" s="2">
        <f>COUNTIFS('BA History'!$B:$B,$A$30,'BA History'!AF:AF, 1)</f>
        <v>0</v>
      </c>
    </row>
    <row r="31" spans="1:36" x14ac:dyDescent="0.25">
      <c r="A31" s="2" t="s">
        <v>15</v>
      </c>
      <c r="B31" s="2" t="s">
        <v>79</v>
      </c>
      <c r="C31" s="34">
        <f>SUMIFS('BA History'!C:C,'BA History'!B:B,A31)</f>
        <v>4</v>
      </c>
      <c r="D31" s="66">
        <f>AVERAGEIFS('BA History'!C:C,'BA History'!B:B,A31)</f>
        <v>4</v>
      </c>
      <c r="E31" s="35">
        <f t="array" ref="E31">MAX(IF('BA History'!B:B=A31, 'BA History'!C:C))</f>
        <v>4</v>
      </c>
      <c r="F31" s="34">
        <f>COUNTIFS('BA History'!B:B,A31,'BA History'!D:D, 1)</f>
        <v>0</v>
      </c>
      <c r="G31" s="2">
        <f>COUNTIFS('BA History'!B:B,A31,'BA History'!D:D, 0)</f>
        <v>1</v>
      </c>
      <c r="H31" s="75">
        <f>LOOKUP(2, 1/('BA History'!$B:$B=A31), 'BA History'!$AJ:$AJ)</f>
        <v>0</v>
      </c>
      <c r="I31" s="34">
        <f>SUMIFS('BA History'!F:F,'BA History'!B:B,A31)</f>
        <v>0</v>
      </c>
      <c r="J31" s="2">
        <f>SUMIFS('BA History'!E:E,'BA History'!B:B,A31)-I31</f>
        <v>3</v>
      </c>
      <c r="K31" s="75">
        <f>LOOKUP(2, 1/('BA History'!$B:$B=A31), 'BA History'!$AH:$AH)</f>
        <v>0</v>
      </c>
      <c r="L31" s="34">
        <f>SUMIFS('BA History'!H:H,'BA History'!B:B,A31)</f>
        <v>1</v>
      </c>
      <c r="M31" s="2">
        <f>SUMIFS('BA History'!G:G,'BA History'!B:B,A31)-L31</f>
        <v>9</v>
      </c>
      <c r="N31" s="89">
        <f>LOOKUP(2, 1/('BA History'!$B:$B=A31), 'BA History'!$AI:$AI)</f>
        <v>0.1</v>
      </c>
      <c r="O31" s="2">
        <f>COUNTIFS('BA History'!$B:$B,$A$31,'BA History'!K:K, 1)</f>
        <v>0</v>
      </c>
      <c r="P31" s="2">
        <f>COUNTIFS('BA History'!$B:$B,$A$31,'BA History'!L:L, 1)</f>
        <v>0</v>
      </c>
      <c r="Q31" s="2">
        <f>COUNTIFS('BA History'!$B:$B,$A$31,'BA History'!M:M, 1)</f>
        <v>0</v>
      </c>
      <c r="R31" s="2">
        <f>COUNTIFS('BA History'!$B:$B,$A$31,'BA History'!N:N, 1)</f>
        <v>0</v>
      </c>
      <c r="S31" s="2">
        <f>COUNTIFS('BA History'!$B:$B,$A$31,'BA History'!O:O, 1)</f>
        <v>0</v>
      </c>
      <c r="T31" s="2">
        <f>COUNTIFS('BA History'!$B:$B,$A$31,'BA History'!P:P, 1)</f>
        <v>0</v>
      </c>
      <c r="U31" s="2">
        <f>COUNTIFS('BA History'!$B:$B,$A$31,'BA History'!Q:Q, 1)</f>
        <v>0</v>
      </c>
      <c r="V31" s="2">
        <f>COUNTIFS('BA History'!$B:$B,$A$31,'BA History'!R:R, 1)</f>
        <v>0</v>
      </c>
      <c r="W31" s="2">
        <f>COUNTIFS('BA History'!$B:$B,$A$31,'BA History'!S:S, 1)</f>
        <v>0</v>
      </c>
      <c r="X31" s="2">
        <f>COUNTIFS('BA History'!$B:$B,$A$31,'BA History'!T:T, 1)</f>
        <v>0</v>
      </c>
      <c r="Y31" s="2">
        <f>COUNTIFS('BA History'!$B:$B,$A$31,'BA History'!U:U, 1)</f>
        <v>0</v>
      </c>
      <c r="Z31" s="2">
        <f>COUNTIFS('BA History'!$B:$B,$A$31,'BA History'!V:V, 1)</f>
        <v>0</v>
      </c>
      <c r="AA31" s="2">
        <f>COUNTIFS('BA History'!$B:$B,$A$31,'BA History'!W:W, 1)</f>
        <v>0</v>
      </c>
      <c r="AB31" s="2">
        <f>COUNTIFS('BA History'!$B:$B,$A$31,'BA History'!X:X, 1)</f>
        <v>0</v>
      </c>
      <c r="AC31" s="2">
        <f>COUNTIFS('BA History'!$B:$B,$A$31,'BA History'!Y:Y, 1)</f>
        <v>0</v>
      </c>
      <c r="AD31" s="2">
        <f>COUNTIFS('BA History'!$B:$B,$A$31,'BA History'!Z:Z, 1)</f>
        <v>0</v>
      </c>
      <c r="AE31" s="2">
        <f>COUNTIFS('BA History'!$B:$B,$A$31,'BA History'!AA:AA, 1)</f>
        <v>0</v>
      </c>
      <c r="AF31" s="2">
        <f>COUNTIFS('BA History'!$B:$B,$A$31,'BA History'!AB:AB, 1)</f>
        <v>0</v>
      </c>
      <c r="AG31" s="2">
        <f>COUNTIFS('BA History'!$B:$B,$A$31,'BA History'!AC:AC, 1)</f>
        <v>0</v>
      </c>
      <c r="AH31" s="2">
        <f>COUNTIFS('BA History'!$B:$B,$A$31,'BA History'!AD:AD, 1)</f>
        <v>0</v>
      </c>
      <c r="AI31" s="2">
        <f>COUNTIFS('BA History'!$B:$B,$A$31,'BA History'!AE:AE, 1)</f>
        <v>0</v>
      </c>
      <c r="AJ31" s="2">
        <f>COUNTIFS('BA History'!$B:$B,$A$31,'BA History'!AF:AF, 1)</f>
        <v>0</v>
      </c>
    </row>
    <row r="32" spans="1:36" x14ac:dyDescent="0.25">
      <c r="A32" s="2" t="s">
        <v>143</v>
      </c>
      <c r="B32" s="2" t="s">
        <v>79</v>
      </c>
      <c r="C32" s="34">
        <f>SUMIFS('BA History'!C:C,'BA History'!B:B,A32)</f>
        <v>25</v>
      </c>
      <c r="D32" s="66">
        <f>AVERAGEIFS('BA History'!C:C,'BA History'!B:B,A32)</f>
        <v>8.3333333333333339</v>
      </c>
      <c r="E32" s="35">
        <f t="array" ref="E32">MAX(IF('BA History'!B:B=A32, 'BA History'!C:C))</f>
        <v>9</v>
      </c>
      <c r="F32" s="34">
        <f>COUNTIFS('BA History'!B:B,A32,'BA History'!D:D, 1)</f>
        <v>0</v>
      </c>
      <c r="G32" s="2">
        <f>COUNTIFS('BA History'!B:B,A32,'BA History'!D:D, 0)</f>
        <v>3</v>
      </c>
      <c r="H32" s="75">
        <f>LOOKUP(2, 1/('BA History'!$B:$B=A32), 'BA History'!$AJ:$AJ)</f>
        <v>0</v>
      </c>
      <c r="I32" s="34">
        <f>SUMIFS('BA History'!F:F,'BA History'!B:B,A32)</f>
        <v>2</v>
      </c>
      <c r="J32" s="2">
        <f>SUMIFS('BA History'!E:E,'BA History'!B:B,A32)-I32</f>
        <v>9</v>
      </c>
      <c r="K32" s="75">
        <f>LOOKUP(2, 1/('BA History'!$B:$B=A32), 'BA History'!$AH:$AH)</f>
        <v>0.16666666666666666</v>
      </c>
      <c r="L32" s="34">
        <f>SUMIFS('BA History'!H:H,'BA History'!B:B,A32)</f>
        <v>14</v>
      </c>
      <c r="M32" s="2">
        <f>SUMIFS('BA History'!G:G,'BA History'!B:B,A32)-L32</f>
        <v>29</v>
      </c>
      <c r="N32" s="89">
        <f>LOOKUP(2, 1/('BA History'!$B:$B=A32), 'BA History'!$AI:$AI)</f>
        <v>0.32666666666666666</v>
      </c>
      <c r="O32" s="2">
        <f>COUNTIFS('BA History'!$B:$B,$A$32,'BA History'!K:K, 1)</f>
        <v>0</v>
      </c>
      <c r="P32" s="2">
        <f>COUNTIFS('BA History'!$B:$B,$A$32,'BA History'!L:L, 1)</f>
        <v>0</v>
      </c>
      <c r="Q32" s="2">
        <f>COUNTIFS('BA History'!$B:$B,$A$32,'BA History'!M:M, 1)</f>
        <v>0</v>
      </c>
      <c r="R32" s="2">
        <f>COUNTIFS('BA History'!$B:$B,$A$32,'BA History'!N:N, 1)</f>
        <v>0</v>
      </c>
      <c r="S32" s="2">
        <f>COUNTIFS('BA History'!$B:$B,$A$32,'BA History'!O:O, 1)</f>
        <v>0</v>
      </c>
      <c r="T32" s="2">
        <f>COUNTIFS('BA History'!$B:$B,$A$32,'BA History'!P:P, 1)</f>
        <v>0</v>
      </c>
      <c r="U32" s="2">
        <f>COUNTIFS('BA History'!$B:$B,$A$32,'BA History'!Q:Q, 1)</f>
        <v>0</v>
      </c>
      <c r="V32" s="2">
        <f>COUNTIFS('BA History'!$B:$B,$A$32,'BA History'!R:R, 1)</f>
        <v>0</v>
      </c>
      <c r="W32" s="2">
        <f>COUNTIFS('BA History'!$B:$B,$A$32,'BA History'!S:S, 1)</f>
        <v>0</v>
      </c>
      <c r="X32" s="2">
        <f>COUNTIFS('BA History'!$B:$B,$A$32,'BA History'!T:T, 1)</f>
        <v>0</v>
      </c>
      <c r="Y32" s="2">
        <f>COUNTIFS('BA History'!$B:$B,$A$32,'BA History'!U:U, 1)</f>
        <v>0</v>
      </c>
      <c r="Z32" s="2">
        <f>COUNTIFS('BA History'!$B:$B,$A$32,'BA History'!V:V, 1)</f>
        <v>0</v>
      </c>
      <c r="AA32" s="2">
        <f>COUNTIFS('BA History'!$B:$B,$A$32,'BA History'!W:W, 1)</f>
        <v>0</v>
      </c>
      <c r="AB32" s="2">
        <f>COUNTIFS('BA History'!$B:$B,$A$32,'BA History'!X:X, 1)</f>
        <v>0</v>
      </c>
      <c r="AC32" s="2">
        <f>COUNTIFS('BA History'!$B:$B,$A$32,'BA History'!Y:Y, 1)</f>
        <v>0</v>
      </c>
      <c r="AD32" s="2">
        <f>COUNTIFS('BA History'!$B:$B,$A$32,'BA History'!Z:Z, 1)</f>
        <v>0</v>
      </c>
      <c r="AE32" s="2">
        <f>COUNTIFS('BA History'!$B:$B,$A$32,'BA History'!AA:AA, 1)</f>
        <v>0</v>
      </c>
      <c r="AF32" s="2">
        <f>COUNTIFS('BA History'!$B:$B,$A$32,'BA History'!AB:AB, 1)</f>
        <v>0</v>
      </c>
      <c r="AG32" s="2">
        <f>COUNTIFS('BA History'!$B:$B,$A$32,'BA History'!AC:AC, 1)</f>
        <v>0</v>
      </c>
      <c r="AH32" s="2">
        <f>COUNTIFS('BA History'!$B:$B,$A$32,'BA History'!AD:AD, 1)</f>
        <v>2</v>
      </c>
      <c r="AI32" s="2">
        <f>COUNTIFS('BA History'!$B:$B,$A$32,'BA History'!AE:AE, 1)</f>
        <v>0</v>
      </c>
      <c r="AJ32" s="2">
        <f>COUNTIFS('BA History'!$B:$B,$A$32,'BA History'!AF:AF, 1)</f>
        <v>0</v>
      </c>
    </row>
    <row r="33" spans="1:36" x14ac:dyDescent="0.25">
      <c r="A33" s="2" t="s">
        <v>90</v>
      </c>
      <c r="B33" s="2" t="s">
        <v>79</v>
      </c>
      <c r="C33" s="34">
        <f>SUMIFS('BA History'!C:C,'BA History'!B:B,A33)</f>
        <v>3</v>
      </c>
      <c r="D33" s="66">
        <f>AVERAGEIFS('BA History'!C:C,'BA History'!B:B,A33)</f>
        <v>3</v>
      </c>
      <c r="E33" s="35">
        <f t="array" ref="E33">MAX(IF('BA History'!B:B=A33, 'BA History'!C:C))</f>
        <v>3</v>
      </c>
      <c r="F33" s="34">
        <f>COUNTIFS('BA History'!B:B,A33,'BA History'!D:D, 1)</f>
        <v>1</v>
      </c>
      <c r="G33" s="2">
        <f>COUNTIFS('BA History'!B:B,A33,'BA History'!D:D, 0)</f>
        <v>0</v>
      </c>
      <c r="H33" s="75">
        <f>LOOKUP(2, 1/('BA History'!$B:$B=A33), 'BA History'!$AJ:$AJ)</f>
        <v>1</v>
      </c>
      <c r="I33" s="34">
        <f>SUMIFS('BA History'!F:F,'BA History'!B:B,A33)</f>
        <v>3</v>
      </c>
      <c r="J33" s="2">
        <f>SUMIFS('BA History'!E:E,'BA History'!B:B,A33)-I33</f>
        <v>0</v>
      </c>
      <c r="K33" s="75">
        <f>LOOKUP(2, 1/('BA History'!$B:$B=A33), 'BA History'!$AH:$AH)</f>
        <v>1</v>
      </c>
      <c r="L33" s="34">
        <f>SUMIFS('BA History'!H:H,'BA History'!B:B,A33)</f>
        <v>9</v>
      </c>
      <c r="M33" s="2">
        <f>SUMIFS('BA History'!G:G,'BA History'!B:B,A33)-L33</f>
        <v>5</v>
      </c>
      <c r="N33" s="89">
        <f>LOOKUP(2, 1/('BA History'!$B:$B=A33), 'BA History'!$AI:$AI)</f>
        <v>0.64</v>
      </c>
      <c r="O33" s="2">
        <f>COUNTIFS('BA History'!$B:$B,$A$33,'BA History'!K:K, 1)</f>
        <v>0</v>
      </c>
      <c r="P33" s="2">
        <f>COUNTIFS('BA History'!$B:$B,$A$33,'BA History'!L:L, 1)</f>
        <v>0</v>
      </c>
      <c r="Q33" s="2">
        <f>COUNTIFS('BA History'!$B:$B,$A$33,'BA History'!M:M, 1)</f>
        <v>0</v>
      </c>
      <c r="R33" s="2">
        <f>COUNTIFS('BA History'!$B:$B,$A$33,'BA History'!N:N, 1)</f>
        <v>0</v>
      </c>
      <c r="S33" s="2">
        <f>COUNTIFS('BA History'!$B:$B,$A$33,'BA History'!O:O, 1)</f>
        <v>0</v>
      </c>
      <c r="T33" s="2">
        <f>COUNTIFS('BA History'!$B:$B,$A$33,'BA History'!P:P, 1)</f>
        <v>0</v>
      </c>
      <c r="U33" s="2">
        <f>COUNTIFS('BA History'!$B:$B,$A$33,'BA History'!Q:Q, 1)</f>
        <v>0</v>
      </c>
      <c r="V33" s="2">
        <f>COUNTIFS('BA History'!$B:$B,$A$33,'BA History'!R:R, 1)</f>
        <v>0</v>
      </c>
      <c r="W33" s="2">
        <f>COUNTIFS('BA History'!$B:$B,$A$33,'BA History'!S:S, 1)</f>
        <v>0</v>
      </c>
      <c r="X33" s="2">
        <f>COUNTIFS('BA History'!$B:$B,$A$33,'BA History'!T:T, 1)</f>
        <v>0</v>
      </c>
      <c r="Y33" s="2">
        <f>COUNTIFS('BA History'!$B:$B,$A$33,'BA History'!U:U, 1)</f>
        <v>0</v>
      </c>
      <c r="Z33" s="2">
        <f>COUNTIFS('BA History'!$B:$B,$A$33,'BA History'!V:V, 1)</f>
        <v>1</v>
      </c>
      <c r="AA33" s="2">
        <f>COUNTIFS('BA History'!$B:$B,$A$33,'BA History'!W:W, 1)</f>
        <v>0</v>
      </c>
      <c r="AB33" s="2">
        <f>COUNTIFS('BA History'!$B:$B,$A$33,'BA History'!X:X, 1)</f>
        <v>0</v>
      </c>
      <c r="AC33" s="2">
        <f>COUNTIFS('BA History'!$B:$B,$A$33,'BA History'!Y:Y, 1)</f>
        <v>0</v>
      </c>
      <c r="AD33" s="2">
        <f>COUNTIFS('BA History'!$B:$B,$A$33,'BA History'!Z:Z, 1)</f>
        <v>0</v>
      </c>
      <c r="AE33" s="2">
        <f>COUNTIFS('BA History'!$B:$B,$A$33,'BA History'!AA:AA, 1)</f>
        <v>0</v>
      </c>
      <c r="AF33" s="2">
        <f>COUNTIFS('BA History'!$B:$B,$A$33,'BA History'!AB:AB, 1)</f>
        <v>1</v>
      </c>
      <c r="AG33" s="2">
        <f>COUNTIFS('BA History'!$B:$B,$A$33,'BA History'!AC:AC, 1)</f>
        <v>1</v>
      </c>
      <c r="AH33" s="2">
        <f>COUNTIFS('BA History'!$B:$B,$A$33,'BA History'!AD:AD, 1)</f>
        <v>0</v>
      </c>
      <c r="AI33" s="2">
        <f>COUNTIFS('BA History'!$B:$B,$A$33,'BA History'!AE:AE, 1)</f>
        <v>0</v>
      </c>
      <c r="AJ33" s="2">
        <f>COUNTIFS('BA History'!$B:$B,$A$33,'BA History'!AF:AF, 1)</f>
        <v>0</v>
      </c>
    </row>
    <row r="34" spans="1:36" x14ac:dyDescent="0.25">
      <c r="A34" s="2" t="s">
        <v>13</v>
      </c>
      <c r="B34" s="2" t="s">
        <v>79</v>
      </c>
      <c r="C34" s="34">
        <f>SUMIFS('BA History'!C:C,'BA History'!B:B,A34)</f>
        <v>180</v>
      </c>
      <c r="D34" s="66">
        <f>AVERAGEIFS('BA History'!C:C,'BA History'!B:B,A34)</f>
        <v>13.846153846153847</v>
      </c>
      <c r="E34" s="35">
        <f t="array" ref="E34">MAX(IF('BA History'!B:B=A34, 'BA History'!C:C))</f>
        <v>21</v>
      </c>
      <c r="F34" s="34">
        <f>COUNTIFS('BA History'!B:B,A34,'BA History'!D:D, 1)</f>
        <v>5</v>
      </c>
      <c r="G34" s="2">
        <f>COUNTIFS('BA History'!B:B,A34,'BA History'!D:D, 0)</f>
        <v>8</v>
      </c>
      <c r="H34" s="75">
        <f>LOOKUP(2, 1/('BA History'!$B:$B=A34), 'BA History'!$AJ:$AJ)</f>
        <v>0.38461538461538464</v>
      </c>
      <c r="I34" s="34">
        <f>SUMIFS('BA History'!F:F,'BA History'!B:B,A34)</f>
        <v>25</v>
      </c>
      <c r="J34" s="2">
        <f>SUMIFS('BA History'!E:E,'BA History'!B:B,A34)-I34</f>
        <v>26</v>
      </c>
      <c r="K34" s="75">
        <f>LOOKUP(2, 1/('BA History'!$B:$B=A34), 'BA History'!$AH:$AH)</f>
        <v>0.51538461538461544</v>
      </c>
      <c r="L34" s="34">
        <f>SUMIFS('BA History'!H:H,'BA History'!B:B,A34)</f>
        <v>105</v>
      </c>
      <c r="M34" s="2">
        <f>SUMIFS('BA History'!G:G,'BA History'!B:B,A34)-L34</f>
        <v>111</v>
      </c>
      <c r="N34" s="89">
        <f>LOOKUP(2, 1/('BA History'!$B:$B=A34), 'BA History'!$AI:$AI)</f>
        <v>0.51923076923076916</v>
      </c>
      <c r="O34" s="2">
        <f>COUNTIFS('BA History'!$B:$B,$A$34,'BA History'!K:K, 1)</f>
        <v>4</v>
      </c>
      <c r="P34" s="2">
        <f>COUNTIFS('BA History'!$B:$B,$A$34,'BA History'!L:L, 1)</f>
        <v>1</v>
      </c>
      <c r="Q34" s="2">
        <f>COUNTIFS('BA History'!$B:$B,$A$34,'BA History'!M:M, 1)</f>
        <v>2</v>
      </c>
      <c r="R34" s="2">
        <f>COUNTIFS('BA History'!$B:$B,$A$34,'BA History'!N:N, 1)</f>
        <v>1</v>
      </c>
      <c r="S34" s="2">
        <f>COUNTIFS('BA History'!$B:$B,$A$34,'BA History'!O:O, 1)</f>
        <v>0</v>
      </c>
      <c r="T34" s="2">
        <f>COUNTIFS('BA History'!$B:$B,$A$34,'BA History'!P:P, 1)</f>
        <v>0</v>
      </c>
      <c r="U34" s="2">
        <f>COUNTIFS('BA History'!$B:$B,$A$34,'BA History'!Q:Q, 1)</f>
        <v>1</v>
      </c>
      <c r="V34" s="2">
        <f>COUNTIFS('BA History'!$B:$B,$A$34,'BA History'!R:R, 1)</f>
        <v>0</v>
      </c>
      <c r="W34" s="2">
        <f>COUNTIFS('BA History'!$B:$B,$A$34,'BA History'!S:S, 1)</f>
        <v>0</v>
      </c>
      <c r="X34" s="2">
        <f>COUNTIFS('BA History'!$B:$B,$A$34,'BA History'!T:T, 1)</f>
        <v>0</v>
      </c>
      <c r="Y34" s="2">
        <f>COUNTIFS('BA History'!$B:$B,$A$34,'BA History'!U:U, 1)</f>
        <v>0</v>
      </c>
      <c r="Z34" s="2">
        <f>COUNTIFS('BA History'!$B:$B,$A$34,'BA History'!V:V, 1)</f>
        <v>0</v>
      </c>
      <c r="AA34" s="2">
        <f>COUNTIFS('BA History'!$B:$B,$A$34,'BA History'!W:W, 1)</f>
        <v>1</v>
      </c>
      <c r="AB34" s="2">
        <f>COUNTIFS('BA History'!$B:$B,$A$34,'BA History'!X:X, 1)</f>
        <v>0</v>
      </c>
      <c r="AC34" s="2">
        <f>COUNTIFS('BA History'!$B:$B,$A$34,'BA History'!Y:Y, 1)</f>
        <v>3</v>
      </c>
      <c r="AD34" s="2">
        <f>COUNTIFS('BA History'!$B:$B,$A$34,'BA History'!Z:Z, 1)</f>
        <v>3</v>
      </c>
      <c r="AE34" s="2">
        <f>COUNTIFS('BA History'!$B:$B,$A$34,'BA History'!AA:AA, 1)</f>
        <v>0</v>
      </c>
      <c r="AF34" s="2">
        <f>COUNTIFS('BA History'!$B:$B,$A$34,'BA History'!AB:AB, 1)</f>
        <v>2</v>
      </c>
      <c r="AG34" s="2">
        <f>COUNTIFS('BA History'!$B:$B,$A$34,'BA History'!AC:AC, 1)</f>
        <v>2</v>
      </c>
      <c r="AH34" s="2">
        <f>COUNTIFS('BA History'!$B:$B,$A$34,'BA History'!AD:AD, 1)</f>
        <v>2</v>
      </c>
      <c r="AI34" s="2">
        <f>COUNTIFS('BA History'!$B:$B,$A$34,'BA History'!AE:AE, 1)</f>
        <v>0</v>
      </c>
      <c r="AJ34" s="2">
        <f>COUNTIFS('BA History'!$B:$B,$A$34,'BA History'!AF:AF, 1)</f>
        <v>3</v>
      </c>
    </row>
    <row r="35" spans="1:36" ht="15.75" x14ac:dyDescent="0.25">
      <c r="A35" s="2" t="s">
        <v>2</v>
      </c>
      <c r="B35" s="80" t="s">
        <v>60</v>
      </c>
      <c r="C35" s="34">
        <f>SUMIFS('BA History'!C:C,'BA History'!B:B,A35)</f>
        <v>763</v>
      </c>
      <c r="D35" s="66">
        <f>AVERAGEIFS('BA History'!C:C,'BA History'!B:B,A35)</f>
        <v>24.612903225806452</v>
      </c>
      <c r="E35" s="35">
        <f t="array" ref="E35">MAX(IF('BA History'!B:B=A35, 'BA History'!C:C))</f>
        <v>43</v>
      </c>
      <c r="F35" s="34">
        <f>COUNTIFS('BA History'!B:B,A35,'BA History'!D:D, 1)</f>
        <v>17</v>
      </c>
      <c r="G35" s="2">
        <f>COUNTIFS('BA History'!B:B,A35,'BA History'!D:D, 0)</f>
        <v>14</v>
      </c>
      <c r="H35" s="75">
        <f>LOOKUP(2, 1/('BA History'!$B:$B=A35), 'BA History'!$AJ:$AJ)</f>
        <v>0.54838709677419351</v>
      </c>
      <c r="I35" s="34">
        <f>SUMIFS('BA History'!F:F,'BA History'!B:B,A35)</f>
        <v>65</v>
      </c>
      <c r="J35" s="2">
        <f>SUMIFS('BA History'!E:E,'BA History'!B:B,A35)-I35</f>
        <v>55</v>
      </c>
      <c r="K35" s="75">
        <f>LOOKUP(2, 1/('BA History'!$B:$B=A35), 'BA History'!$AH:$AH)</f>
        <v>0.55096774193548381</v>
      </c>
      <c r="L35" s="34">
        <f>SUMIFS('BA History'!H:H,'BA History'!B:B,A35)</f>
        <v>265</v>
      </c>
      <c r="M35" s="2">
        <f>SUMIFS('BA History'!G:G,'BA History'!B:B,A35)-L35</f>
        <v>231</v>
      </c>
      <c r="N35" s="89">
        <f>LOOKUP(2, 1/('BA History'!$B:$B=A35), 'BA History'!$AI:$AI)</f>
        <v>0.54903225806451628</v>
      </c>
      <c r="O35" s="2">
        <f>COUNTIFS('BA History'!$B:$B,$A$35,'BA History'!K:K, 1)</f>
        <v>4</v>
      </c>
      <c r="P35" s="2">
        <f>COUNTIFS('BA History'!$B:$B,$A$35,'BA History'!L:L, 1)</f>
        <v>1</v>
      </c>
      <c r="Q35" s="2">
        <f>COUNTIFS('BA History'!$B:$B,$A$35,'BA History'!M:M, 1)</f>
        <v>5</v>
      </c>
      <c r="R35" s="2">
        <f>COUNTIFS('BA History'!$B:$B,$A$35,'BA History'!N:N, 1)</f>
        <v>7</v>
      </c>
      <c r="S35" s="2">
        <f>COUNTIFS('BA History'!$B:$B,$A$35,'BA History'!O:O, 1)</f>
        <v>1</v>
      </c>
      <c r="T35" s="2">
        <f>COUNTIFS('BA History'!$B:$B,$A$35,'BA History'!P:P, 1)</f>
        <v>1</v>
      </c>
      <c r="U35" s="2">
        <f>COUNTIFS('BA History'!$B:$B,$A$35,'BA History'!Q:Q, 1)</f>
        <v>1</v>
      </c>
      <c r="V35" s="2">
        <f>COUNTIFS('BA History'!$B:$B,$A$35,'BA History'!R:R, 1)</f>
        <v>1</v>
      </c>
      <c r="W35" s="2">
        <f>COUNTIFS('BA History'!$B:$B,$A$35,'BA History'!S:S, 1)</f>
        <v>1</v>
      </c>
      <c r="X35" s="2">
        <f>COUNTIFS('BA History'!$B:$B,$A$35,'BA History'!T:T, 1)</f>
        <v>0</v>
      </c>
      <c r="Y35" s="2">
        <f>COUNTIFS('BA History'!$B:$B,$A$35,'BA History'!U:U, 1)</f>
        <v>2</v>
      </c>
      <c r="Z35" s="2">
        <f>COUNTIFS('BA History'!$B:$B,$A$35,'BA History'!V:V, 1)</f>
        <v>3</v>
      </c>
      <c r="AA35" s="2">
        <f>COUNTIFS('BA History'!$B:$B,$A$35,'BA History'!W:W, 1)</f>
        <v>1</v>
      </c>
      <c r="AB35" s="2">
        <f>COUNTIFS('BA History'!$B:$B,$A$35,'BA History'!X:X, 1)</f>
        <v>1</v>
      </c>
      <c r="AC35" s="2">
        <f>COUNTIFS('BA History'!$B:$B,$A$35,'BA History'!Y:Y, 1)</f>
        <v>6</v>
      </c>
      <c r="AD35" s="2">
        <f>COUNTIFS('BA History'!$B:$B,$A$35,'BA History'!Z:Z, 1)</f>
        <v>8</v>
      </c>
      <c r="AE35" s="2">
        <f>COUNTIFS('BA History'!$B:$B,$A$35,'BA History'!AA:AA, 1)</f>
        <v>0</v>
      </c>
      <c r="AF35" s="2">
        <f>COUNTIFS('BA History'!$B:$B,$A$35,'BA History'!AB:AB, 1)</f>
        <v>12</v>
      </c>
      <c r="AG35" s="2">
        <f>COUNTIFS('BA History'!$B:$B,$A$35,'BA History'!AC:AC, 1)</f>
        <v>3</v>
      </c>
      <c r="AH35" s="2">
        <f>COUNTIFS('BA History'!$B:$B,$A$35,'BA History'!AD:AD, 1)</f>
        <v>4</v>
      </c>
      <c r="AI35" s="2">
        <f>COUNTIFS('BA History'!$B:$B,$A$35,'BA History'!AE:AE, 1)</f>
        <v>0</v>
      </c>
      <c r="AJ35" s="2">
        <f>COUNTIFS('BA History'!$B:$B,$A$35,'BA History'!AF:AF, 1)</f>
        <v>3</v>
      </c>
    </row>
    <row r="36" spans="1:36" x14ac:dyDescent="0.25">
      <c r="A36" s="2" t="s">
        <v>54</v>
      </c>
      <c r="B36" s="2" t="s">
        <v>79</v>
      </c>
      <c r="C36" s="34">
        <f>SUMIFS('BA History'!C:C,'BA History'!B:B,A36)</f>
        <v>1149</v>
      </c>
      <c r="D36" s="66">
        <f>AVERAGEIFS('BA History'!C:C,'BA History'!B:B,A36)</f>
        <v>23.9375</v>
      </c>
      <c r="E36" s="35">
        <f t="array" ref="E36">MAX(IF('BA History'!B:B=A36, 'BA History'!C:C))</f>
        <v>37</v>
      </c>
      <c r="F36" s="34">
        <f>COUNTIFS('BA History'!B:B,A36,'BA History'!D:D, 1)</f>
        <v>27</v>
      </c>
      <c r="G36" s="2">
        <f>COUNTIFS('BA History'!B:B,A36,'BA History'!D:D, 0)</f>
        <v>21</v>
      </c>
      <c r="H36" s="75">
        <f>LOOKUP(2, 1/('BA History'!$B:$B=A36), 'BA History'!$AJ:$AJ)</f>
        <v>0.5625</v>
      </c>
      <c r="I36" s="34">
        <f>SUMIFS('BA History'!F:F,'BA History'!B:B,A36)</f>
        <v>105</v>
      </c>
      <c r="J36" s="2">
        <f>SUMIFS('BA History'!E:E,'BA History'!B:B,A36)-I36</f>
        <v>90</v>
      </c>
      <c r="K36" s="75">
        <f>LOOKUP(2, 1/('BA History'!$B:$B=A36), 'BA History'!$AH:$AH)</f>
        <v>0.54208333333333336</v>
      </c>
      <c r="L36" s="34">
        <f>SUMIFS('BA History'!H:H,'BA History'!B:B,A36)</f>
        <v>416</v>
      </c>
      <c r="M36" s="2">
        <f>SUMIFS('BA History'!G:G,'BA History'!B:B,A36)-L36</f>
        <v>395</v>
      </c>
      <c r="N36" s="89">
        <f>LOOKUP(2, 1/('BA History'!$B:$B=A36), 'BA History'!$AI:$AI)</f>
        <v>0.51458333333333328</v>
      </c>
      <c r="O36" s="2">
        <f>COUNTIFS('BA History'!$B:$B,$A$36,'BA History'!K:K, 1)</f>
        <v>5</v>
      </c>
      <c r="P36" s="2">
        <f>COUNTIFS('BA History'!$B:$B,$A$36,'BA History'!L:L, 1)</f>
        <v>8</v>
      </c>
      <c r="Q36" s="2">
        <f>COUNTIFS('BA History'!$B:$B,$A$36,'BA History'!M:M, 1)</f>
        <v>7</v>
      </c>
      <c r="R36" s="2">
        <f>COUNTIFS('BA History'!$B:$B,$A$36,'BA History'!N:N, 1)</f>
        <v>8</v>
      </c>
      <c r="S36" s="2">
        <f>COUNTIFS('BA History'!$B:$B,$A$36,'BA History'!O:O, 1)</f>
        <v>1</v>
      </c>
      <c r="T36" s="2">
        <f>COUNTIFS('BA History'!$B:$B,$A$36,'BA History'!P:P, 1)</f>
        <v>1</v>
      </c>
      <c r="U36" s="2">
        <f>COUNTIFS('BA History'!$B:$B,$A$36,'BA History'!Q:Q, 1)</f>
        <v>3</v>
      </c>
      <c r="V36" s="2">
        <f>COUNTIFS('BA History'!$B:$B,$A$36,'BA History'!R:R, 1)</f>
        <v>2</v>
      </c>
      <c r="W36" s="2">
        <f>COUNTIFS('BA History'!$B:$B,$A$36,'BA History'!S:S, 1)</f>
        <v>0</v>
      </c>
      <c r="X36" s="2">
        <f>COUNTIFS('BA History'!$B:$B,$A$36,'BA History'!T:T, 1)</f>
        <v>1</v>
      </c>
      <c r="Y36" s="2">
        <f>COUNTIFS('BA History'!$B:$B,$A$36,'BA History'!U:U, 1)</f>
        <v>3</v>
      </c>
      <c r="Z36" s="2">
        <f>COUNTIFS('BA History'!$B:$B,$A$36,'BA History'!V:V, 1)</f>
        <v>7</v>
      </c>
      <c r="AA36" s="2">
        <f>COUNTIFS('BA History'!$B:$B,$A$36,'BA History'!W:W, 1)</f>
        <v>1</v>
      </c>
      <c r="AB36" s="2">
        <f>COUNTIFS('BA History'!$B:$B,$A$36,'BA History'!X:X, 1)</f>
        <v>0</v>
      </c>
      <c r="AC36" s="2">
        <f>COUNTIFS('BA History'!$B:$B,$A$36,'BA History'!Y:Y, 1)</f>
        <v>9</v>
      </c>
      <c r="AD36" s="2">
        <f>COUNTIFS('BA History'!$B:$B,$A$36,'BA History'!Z:Z, 1)</f>
        <v>9</v>
      </c>
      <c r="AE36" s="2">
        <f>COUNTIFS('BA History'!$B:$B,$A$36,'BA History'!AA:AA, 1)</f>
        <v>3</v>
      </c>
      <c r="AF36" s="2">
        <f>COUNTIFS('BA History'!$B:$B,$A$36,'BA History'!AB:AB, 1)</f>
        <v>13</v>
      </c>
      <c r="AG36" s="2">
        <f>COUNTIFS('BA History'!$B:$B,$A$36,'BA History'!AC:AC, 1)</f>
        <v>9</v>
      </c>
      <c r="AH36" s="2">
        <f>COUNTIFS('BA History'!$B:$B,$A$36,'BA History'!AD:AD, 1)</f>
        <v>8</v>
      </c>
      <c r="AI36" s="2">
        <f>COUNTIFS('BA History'!$B:$B,$A$36,'BA History'!AE:AE, 1)</f>
        <v>2</v>
      </c>
      <c r="AJ36" s="2">
        <f>COUNTIFS('BA History'!$B:$B,$A$36,'BA History'!AF:AF, 1)</f>
        <v>5</v>
      </c>
    </row>
    <row r="37" spans="1:36" ht="15.75" x14ac:dyDescent="0.25">
      <c r="A37" s="2" t="s">
        <v>5</v>
      </c>
      <c r="B37" s="80" t="s">
        <v>60</v>
      </c>
      <c r="C37" s="34">
        <f>SUMIFS('BA History'!C:C,'BA History'!B:B,A37)</f>
        <v>337</v>
      </c>
      <c r="D37" s="66">
        <f>AVERAGEIFS('BA History'!C:C,'BA History'!B:B,A37)</f>
        <v>21.0625</v>
      </c>
      <c r="E37" s="35">
        <f t="array" ref="E37">MAX(IF('BA History'!B:B=A37, 'BA History'!C:C))</f>
        <v>36</v>
      </c>
      <c r="F37" s="34">
        <f>COUNTIFS('BA History'!B:B,A37,'BA History'!D:D, 1)</f>
        <v>13</v>
      </c>
      <c r="G37" s="2">
        <f>COUNTIFS('BA History'!B:B,A37,'BA History'!D:D, 0)</f>
        <v>3</v>
      </c>
      <c r="H37" s="75">
        <f>LOOKUP(2, 1/('BA History'!$B:$B=A37), 'BA History'!$AJ:$AJ)</f>
        <v>0.8125</v>
      </c>
      <c r="I37" s="34">
        <f>SUMIFS('BA History'!F:F,'BA History'!B:B,A37)</f>
        <v>40</v>
      </c>
      <c r="J37" s="2">
        <f>SUMIFS('BA History'!E:E,'BA History'!B:B,A37)-I37</f>
        <v>21</v>
      </c>
      <c r="K37" s="75">
        <f>LOOKUP(2, 1/('BA History'!$B:$B=A37), 'BA History'!$AH:$AH)</f>
        <v>0.66374999999999995</v>
      </c>
      <c r="L37" s="34">
        <f>SUMIFS('BA History'!H:H,'BA History'!B:B,A37)</f>
        <v>149</v>
      </c>
      <c r="M37" s="2">
        <f>SUMIFS('BA History'!G:G,'BA History'!B:B,A37)-L37</f>
        <v>113</v>
      </c>
      <c r="N37" s="89">
        <f>LOOKUP(2, 1/('BA History'!$B:$B=A37), 'BA History'!$AI:$AI)</f>
        <v>0.57937499999999997</v>
      </c>
      <c r="O37" s="2">
        <f>COUNTIFS('BA History'!$B:$B,$A$37,'BA History'!K:K, 1)</f>
        <v>1</v>
      </c>
      <c r="P37" s="2">
        <f>COUNTIFS('BA History'!$B:$B,$A$37,'BA History'!L:L, 1)</f>
        <v>3</v>
      </c>
      <c r="Q37" s="2">
        <f>COUNTIFS('BA History'!$B:$B,$A$37,'BA History'!M:M, 1)</f>
        <v>1</v>
      </c>
      <c r="R37" s="2">
        <f>COUNTIFS('BA History'!$B:$B,$A$37,'BA History'!N:N, 1)</f>
        <v>5</v>
      </c>
      <c r="S37" s="2">
        <f>COUNTIFS('BA History'!$B:$B,$A$37,'BA History'!O:O, 1)</f>
        <v>1</v>
      </c>
      <c r="T37" s="2">
        <f>COUNTIFS('BA History'!$B:$B,$A$37,'BA History'!P:P, 1)</f>
        <v>0</v>
      </c>
      <c r="U37" s="2">
        <f>COUNTIFS('BA History'!$B:$B,$A$37,'BA History'!Q:Q, 1)</f>
        <v>2</v>
      </c>
      <c r="V37" s="2">
        <f>COUNTIFS('BA History'!$B:$B,$A$37,'BA History'!R:R, 1)</f>
        <v>0</v>
      </c>
      <c r="W37" s="2">
        <f>COUNTIFS('BA History'!$B:$B,$A$37,'BA History'!S:S, 1)</f>
        <v>0</v>
      </c>
      <c r="X37" s="2">
        <f>COUNTIFS('BA History'!$B:$B,$A$37,'BA History'!T:T, 1)</f>
        <v>0</v>
      </c>
      <c r="Y37" s="2">
        <f>COUNTIFS('BA History'!$B:$B,$A$37,'BA History'!U:U, 1)</f>
        <v>1</v>
      </c>
      <c r="Z37" s="2">
        <f>COUNTIFS('BA History'!$B:$B,$A$37,'BA History'!V:V, 1)</f>
        <v>3</v>
      </c>
      <c r="AA37" s="2">
        <f>COUNTIFS('BA History'!$B:$B,$A$37,'BA History'!W:W, 1)</f>
        <v>1</v>
      </c>
      <c r="AB37" s="2">
        <f>COUNTIFS('BA History'!$B:$B,$A$37,'BA History'!X:X, 1)</f>
        <v>1</v>
      </c>
      <c r="AC37" s="2">
        <f>COUNTIFS('BA History'!$B:$B,$A$37,'BA History'!Y:Y, 1)</f>
        <v>3</v>
      </c>
      <c r="AD37" s="2">
        <f>COUNTIFS('BA History'!$B:$B,$A$37,'BA History'!Z:Z, 1)</f>
        <v>2</v>
      </c>
      <c r="AE37" s="2">
        <f>COUNTIFS('BA History'!$B:$B,$A$37,'BA History'!AA:AA, 1)</f>
        <v>3</v>
      </c>
      <c r="AF37" s="2">
        <f>COUNTIFS('BA History'!$B:$B,$A$37,'BA History'!AB:AB, 1)</f>
        <v>3</v>
      </c>
      <c r="AG37" s="2">
        <f>COUNTIFS('BA History'!$B:$B,$A$37,'BA History'!AC:AC, 1)</f>
        <v>5</v>
      </c>
      <c r="AH37" s="2">
        <f>COUNTIFS('BA History'!$B:$B,$A$37,'BA History'!AD:AD, 1)</f>
        <v>4</v>
      </c>
      <c r="AI37" s="2">
        <f>COUNTIFS('BA History'!$B:$B,$A$37,'BA History'!AE:AE, 1)</f>
        <v>0</v>
      </c>
      <c r="AJ37" s="2">
        <f>COUNTIFS('BA History'!$B:$B,$A$37,'BA History'!AF:AF, 1)</f>
        <v>1</v>
      </c>
    </row>
    <row r="38" spans="1:36" x14ac:dyDescent="0.25">
      <c r="A38" s="2" t="s">
        <v>38</v>
      </c>
      <c r="B38" s="2" t="s">
        <v>79</v>
      </c>
      <c r="C38" s="34">
        <f>SUMIFS('BA History'!C:C,'BA History'!B:B,A38)</f>
        <v>23</v>
      </c>
      <c r="D38" s="66">
        <f>AVERAGEIFS('BA History'!C:C,'BA History'!B:B,A38)</f>
        <v>4.5999999999999996</v>
      </c>
      <c r="E38" s="35">
        <f t="array" ref="E38">MAX(IF('BA History'!B:B=A38, 'BA History'!C:C))</f>
        <v>11</v>
      </c>
      <c r="F38" s="34">
        <f>COUNTIFS('BA History'!B:B,A38,'BA History'!D:D, 1)</f>
        <v>2</v>
      </c>
      <c r="G38" s="2">
        <f>COUNTIFS('BA History'!B:B,A38,'BA History'!D:D, 0)</f>
        <v>3</v>
      </c>
      <c r="H38" s="75">
        <f>LOOKUP(2, 1/('BA History'!$B:$B=A38), 'BA History'!$AJ:$AJ)</f>
        <v>0.4</v>
      </c>
      <c r="I38" s="34">
        <f>SUMIFS('BA History'!F:F,'BA History'!B:B,A38)</f>
        <v>10</v>
      </c>
      <c r="J38" s="2">
        <f>SUMIFS('BA History'!E:E,'BA History'!B:B,A38)-I38</f>
        <v>12</v>
      </c>
      <c r="K38" s="75">
        <f>LOOKUP(2, 1/('BA History'!$B:$B=A38), 'BA History'!$AH:$AH)</f>
        <v>0.43</v>
      </c>
      <c r="L38" s="34">
        <f>SUMIFS('BA History'!H:H,'BA History'!B:B,A38)</f>
        <v>41</v>
      </c>
      <c r="M38" s="2">
        <f>SUMIFS('BA History'!G:G,'BA History'!B:B,A38)-L38</f>
        <v>49</v>
      </c>
      <c r="N38" s="89">
        <f>LOOKUP(2, 1/('BA History'!$B:$B=A38), 'BA History'!$AI:$AI)</f>
        <v>0.43600000000000005</v>
      </c>
      <c r="O38" s="2">
        <f>COUNTIFS('BA History'!$B:$B,$A$38,'BA History'!K:K, 1)</f>
        <v>1</v>
      </c>
      <c r="P38" s="2">
        <f>COUNTIFS('BA History'!$B:$B,$A$38,'BA History'!L:L, 1)</f>
        <v>1</v>
      </c>
      <c r="Q38" s="2">
        <f>COUNTIFS('BA History'!$B:$B,$A$38,'BA History'!M:M, 1)</f>
        <v>1</v>
      </c>
      <c r="R38" s="2">
        <f>COUNTIFS('BA History'!$B:$B,$A$38,'BA History'!N:N, 1)</f>
        <v>0</v>
      </c>
      <c r="S38" s="2">
        <f>COUNTIFS('BA History'!$B:$B,$A$38,'BA History'!O:O, 1)</f>
        <v>1</v>
      </c>
      <c r="T38" s="2">
        <f>COUNTIFS('BA History'!$B:$B,$A$38,'BA History'!P:P, 1)</f>
        <v>0</v>
      </c>
      <c r="U38" s="2">
        <f>COUNTIFS('BA History'!$B:$B,$A$38,'BA History'!Q:Q, 1)</f>
        <v>0</v>
      </c>
      <c r="V38" s="2">
        <f>COUNTIFS('BA History'!$B:$B,$A$38,'BA History'!R:R, 1)</f>
        <v>0</v>
      </c>
      <c r="W38" s="2">
        <f>COUNTIFS('BA History'!$B:$B,$A$38,'BA History'!S:S, 1)</f>
        <v>0</v>
      </c>
      <c r="X38" s="2">
        <f>COUNTIFS('BA History'!$B:$B,$A$38,'BA History'!T:T, 1)</f>
        <v>0</v>
      </c>
      <c r="Y38" s="2">
        <f>COUNTIFS('BA History'!$B:$B,$A$38,'BA History'!U:U, 1)</f>
        <v>1</v>
      </c>
      <c r="Z38" s="2">
        <f>COUNTIFS('BA History'!$B:$B,$A$38,'BA History'!V:V, 1)</f>
        <v>2</v>
      </c>
      <c r="AA38" s="2">
        <f>COUNTIFS('BA History'!$B:$B,$A$38,'BA History'!W:W, 1)</f>
        <v>0</v>
      </c>
      <c r="AB38" s="2">
        <f>COUNTIFS('BA History'!$B:$B,$A$38,'BA History'!X:X, 1)</f>
        <v>0</v>
      </c>
      <c r="AC38" s="2">
        <f>COUNTIFS('BA History'!$B:$B,$A$38,'BA History'!Y:Y, 1)</f>
        <v>1</v>
      </c>
      <c r="AD38" s="2">
        <f>COUNTIFS('BA History'!$B:$B,$A$38,'BA History'!Z:Z, 1)</f>
        <v>0</v>
      </c>
      <c r="AE38" s="2">
        <f>COUNTIFS('BA History'!$B:$B,$A$38,'BA History'!AA:AA, 1)</f>
        <v>0</v>
      </c>
      <c r="AF38" s="2">
        <f>COUNTIFS('BA History'!$B:$B,$A$38,'BA History'!AB:AB, 1)</f>
        <v>1</v>
      </c>
      <c r="AG38" s="2">
        <f>COUNTIFS('BA History'!$B:$B,$A$38,'BA History'!AC:AC, 1)</f>
        <v>0</v>
      </c>
      <c r="AH38" s="2">
        <f>COUNTIFS('BA History'!$B:$B,$A$38,'BA History'!AD:AD, 1)</f>
        <v>1</v>
      </c>
      <c r="AI38" s="2">
        <f>COUNTIFS('BA History'!$B:$B,$A$38,'BA History'!AE:AE, 1)</f>
        <v>0</v>
      </c>
      <c r="AJ38" s="2">
        <f>COUNTIFS('BA History'!$B:$B,$A$38,'BA History'!AF:AF, 1)</f>
        <v>0</v>
      </c>
    </row>
    <row r="39" spans="1:36" x14ac:dyDescent="0.25">
      <c r="A39" s="2" t="s">
        <v>142</v>
      </c>
      <c r="B39" s="2" t="s">
        <v>79</v>
      </c>
      <c r="C39" s="34">
        <f>SUMIFS('BA History'!C:C,'BA History'!B:B,A39)</f>
        <v>97</v>
      </c>
      <c r="D39" s="66">
        <f>AVERAGEIFS('BA History'!C:C,'BA History'!B:B,A39)</f>
        <v>12.125</v>
      </c>
      <c r="E39" s="35">
        <f t="array" ref="E39">MAX(IF('BA History'!B:B=A39, 'BA History'!C:C))</f>
        <v>22</v>
      </c>
      <c r="F39" s="34">
        <f>COUNTIFS('BA History'!B:B,A39,'BA History'!D:D, 1)</f>
        <v>4</v>
      </c>
      <c r="G39" s="2">
        <f>COUNTIFS('BA History'!B:B,A39,'BA History'!D:D, 0)</f>
        <v>4</v>
      </c>
      <c r="H39" s="75">
        <f>LOOKUP(2, 1/('BA History'!$B:$B=A39), 'BA History'!$AJ:$AJ)</f>
        <v>0.5</v>
      </c>
      <c r="I39" s="34">
        <f>SUMIFS('BA History'!F:F,'BA History'!B:B,A39)</f>
        <v>13</v>
      </c>
      <c r="J39" s="2">
        <f>SUMIFS('BA History'!E:E,'BA History'!B:B,A39)-I39</f>
        <v>17</v>
      </c>
      <c r="K39" s="75">
        <f>LOOKUP(2, 1/('BA History'!$B:$B=A39), 'BA History'!$AH:$AH)</f>
        <v>0.4</v>
      </c>
      <c r="L39" s="34">
        <f>SUMIFS('BA History'!H:H,'BA History'!B:B,A39)</f>
        <v>61</v>
      </c>
      <c r="M39" s="2">
        <f>SUMIFS('BA History'!G:G,'BA History'!B:B,A39)-L39</f>
        <v>63</v>
      </c>
      <c r="N39" s="89">
        <f>LOOKUP(2, 1/('BA History'!$B:$B=A39), 'BA History'!$AI:$AI)</f>
        <v>0.49000000000000005</v>
      </c>
      <c r="O39" s="2">
        <f>COUNTIFS('BA History'!$B:$B,$A$39,'BA History'!K:K, 1)</f>
        <v>2</v>
      </c>
      <c r="P39" s="2">
        <f>COUNTIFS('BA History'!$B:$B,$A$39,'BA History'!L:L, 1)</f>
        <v>2</v>
      </c>
      <c r="Q39" s="2">
        <f>COUNTIFS('BA History'!$B:$B,$A$39,'BA History'!M:M, 1)</f>
        <v>1</v>
      </c>
      <c r="R39" s="2">
        <f>COUNTIFS('BA History'!$B:$B,$A$39,'BA History'!N:N, 1)</f>
        <v>2</v>
      </c>
      <c r="S39" s="2">
        <f>COUNTIFS('BA History'!$B:$B,$A$39,'BA History'!O:O, 1)</f>
        <v>0</v>
      </c>
      <c r="T39" s="2">
        <f>COUNTIFS('BA History'!$B:$B,$A$39,'BA History'!P:P, 1)</f>
        <v>0</v>
      </c>
      <c r="U39" s="2">
        <f>COUNTIFS('BA History'!$B:$B,$A$39,'BA History'!Q:Q, 1)</f>
        <v>1</v>
      </c>
      <c r="V39" s="2">
        <f>COUNTIFS('BA History'!$B:$B,$A$39,'BA History'!R:R, 1)</f>
        <v>0</v>
      </c>
      <c r="W39" s="2">
        <f>COUNTIFS('BA History'!$B:$B,$A$39,'BA History'!S:S, 1)</f>
        <v>0</v>
      </c>
      <c r="X39" s="2">
        <f>COUNTIFS('BA History'!$B:$B,$A$39,'BA History'!T:T, 1)</f>
        <v>0</v>
      </c>
      <c r="Y39" s="2">
        <f>COUNTIFS('BA History'!$B:$B,$A$39,'BA History'!U:U, 1)</f>
        <v>0</v>
      </c>
      <c r="Z39" s="2">
        <f>COUNTIFS('BA History'!$B:$B,$A$39,'BA History'!V:V, 1)</f>
        <v>1</v>
      </c>
      <c r="AA39" s="2">
        <f>COUNTIFS('BA History'!$B:$B,$A$39,'BA History'!W:W, 1)</f>
        <v>0</v>
      </c>
      <c r="AB39" s="2">
        <f>COUNTIFS('BA History'!$B:$B,$A$39,'BA History'!X:X, 1)</f>
        <v>0</v>
      </c>
      <c r="AC39" s="2">
        <f>COUNTIFS('BA History'!$B:$B,$A$39,'BA History'!Y:Y, 1)</f>
        <v>0</v>
      </c>
      <c r="AD39" s="2">
        <f>COUNTIFS('BA History'!$B:$B,$A$39,'BA History'!Z:Z, 1)</f>
        <v>0</v>
      </c>
      <c r="AE39" s="2">
        <f>COUNTIFS('BA History'!$B:$B,$A$39,'BA History'!AA:AA, 1)</f>
        <v>0</v>
      </c>
      <c r="AF39" s="2">
        <f>COUNTIFS('BA History'!$B:$B,$A$39,'BA History'!AB:AB, 1)</f>
        <v>2</v>
      </c>
      <c r="AG39" s="2">
        <f>COUNTIFS('BA History'!$B:$B,$A$39,'BA History'!AC:AC, 1)</f>
        <v>1</v>
      </c>
      <c r="AH39" s="2">
        <f>COUNTIFS('BA History'!$B:$B,$A$39,'BA History'!AD:AD, 1)</f>
        <v>1</v>
      </c>
      <c r="AI39" s="2">
        <f>COUNTIFS('BA History'!$B:$B,$A$39,'BA History'!AE:AE, 1)</f>
        <v>0</v>
      </c>
      <c r="AJ39" s="2">
        <f>COUNTIFS('BA History'!$B:$B,$A$39,'BA History'!AF:AF, 1)</f>
        <v>0</v>
      </c>
    </row>
    <row r="40" spans="1:36" x14ac:dyDescent="0.25">
      <c r="A40" s="2" t="s">
        <v>154</v>
      </c>
      <c r="B40" s="2" t="s">
        <v>79</v>
      </c>
      <c r="C40" s="34">
        <f>SUMIFS('BA History'!C:C,'BA History'!B:B,A40)</f>
        <v>57</v>
      </c>
      <c r="D40" s="66">
        <f>AVERAGEIFS('BA History'!C:C,'BA History'!B:B,A40)</f>
        <v>11.4</v>
      </c>
      <c r="E40" s="35">
        <f t="array" ref="E40">MAX(IF('BA History'!B:B=A40, 'BA History'!C:C))</f>
        <v>14</v>
      </c>
      <c r="F40" s="34">
        <f>COUNTIFS('BA History'!B:B,A40,'BA History'!D:D, 1)</f>
        <v>3</v>
      </c>
      <c r="G40" s="2">
        <f>COUNTIFS('BA History'!B:B,A40,'BA History'!D:D, 0)</f>
        <v>2</v>
      </c>
      <c r="H40" s="75">
        <f>LOOKUP(2, 1/('BA History'!$B:$B=A40), 'BA History'!$AJ:$AJ)</f>
        <v>0.6</v>
      </c>
      <c r="I40" s="34">
        <f>SUMIFS('BA History'!F:F,'BA History'!B:B,A40)</f>
        <v>10</v>
      </c>
      <c r="J40" s="2">
        <f>SUMIFS('BA History'!E:E,'BA History'!B:B,A40)-I40</f>
        <v>11</v>
      </c>
      <c r="K40" s="75">
        <f>LOOKUP(2, 1/('BA History'!$B:$B=A40), 'BA History'!$AH:$AH)</f>
        <v>0.44000000000000006</v>
      </c>
      <c r="L40" s="34">
        <f>SUMIFS('BA History'!H:H,'BA History'!B:B,A40)</f>
        <v>44</v>
      </c>
      <c r="M40" s="2">
        <f>SUMIFS('BA History'!G:G,'BA History'!B:B,A40)-L40</f>
        <v>46</v>
      </c>
      <c r="N40" s="89">
        <f>LOOKUP(2, 1/('BA History'!$B:$B=A40), 'BA History'!$AI:$AI)</f>
        <v>0.44799999999999995</v>
      </c>
      <c r="O40" s="2">
        <f>COUNTIFS('BA History'!$B:$B,$A$40,'BA History'!K:K, 1)</f>
        <v>0</v>
      </c>
      <c r="P40" s="2">
        <f>COUNTIFS('BA History'!$B:$B,$A$40,'BA History'!L:L, 1)</f>
        <v>1</v>
      </c>
      <c r="Q40" s="2">
        <f>COUNTIFS('BA History'!$B:$B,$A$40,'BA History'!M:M, 1)</f>
        <v>0</v>
      </c>
      <c r="R40" s="2">
        <f>COUNTIFS('BA History'!$B:$B,$A$40,'BA History'!N:N, 1)</f>
        <v>1</v>
      </c>
      <c r="S40" s="2">
        <f>COUNTIFS('BA History'!$B:$B,$A$40,'BA History'!O:O, 1)</f>
        <v>0</v>
      </c>
      <c r="T40" s="2">
        <f>COUNTIFS('BA History'!$B:$B,$A$40,'BA History'!P:P, 1)</f>
        <v>0</v>
      </c>
      <c r="U40" s="2">
        <f>COUNTIFS('BA History'!$B:$B,$A$40,'BA History'!Q:Q, 1)</f>
        <v>0</v>
      </c>
      <c r="V40" s="2">
        <f>COUNTIFS('BA History'!$B:$B,$A$40,'BA History'!R:R, 1)</f>
        <v>0</v>
      </c>
      <c r="W40" s="2">
        <f>COUNTIFS('BA History'!$B:$B,$A$40,'BA History'!S:S, 1)</f>
        <v>1</v>
      </c>
      <c r="X40" s="2">
        <f>COUNTIFS('BA History'!$B:$B,$A$40,'BA History'!T:T, 1)</f>
        <v>0</v>
      </c>
      <c r="Y40" s="2">
        <f>COUNTIFS('BA History'!$B:$B,$A$40,'BA History'!U:U, 1)</f>
        <v>0</v>
      </c>
      <c r="Z40" s="2">
        <f>COUNTIFS('BA History'!$B:$B,$A$40,'BA History'!V:V, 1)</f>
        <v>1</v>
      </c>
      <c r="AA40" s="2">
        <f>COUNTIFS('BA History'!$B:$B,$A$40,'BA History'!W:W, 1)</f>
        <v>1</v>
      </c>
      <c r="AB40" s="2">
        <f>COUNTIFS('BA History'!$B:$B,$A$40,'BA History'!X:X, 1)</f>
        <v>0</v>
      </c>
      <c r="AC40" s="2">
        <f>COUNTIFS('BA History'!$B:$B,$A$40,'BA History'!Y:Y, 1)</f>
        <v>0</v>
      </c>
      <c r="AD40" s="2">
        <f>COUNTIFS('BA History'!$B:$B,$A$40,'BA History'!Z:Z, 1)</f>
        <v>2</v>
      </c>
      <c r="AE40" s="2">
        <f>COUNTIFS('BA History'!$B:$B,$A$40,'BA History'!AA:AA, 1)</f>
        <v>0</v>
      </c>
      <c r="AF40" s="2">
        <f>COUNTIFS('BA History'!$B:$B,$A$40,'BA History'!AB:AB, 1)</f>
        <v>3</v>
      </c>
      <c r="AG40" s="2">
        <f>COUNTIFS('BA History'!$B:$B,$A$40,'BA History'!AC:AC, 1)</f>
        <v>0</v>
      </c>
      <c r="AH40" s="2">
        <f>COUNTIFS('BA History'!$B:$B,$A$40,'BA History'!AD:AD, 1)</f>
        <v>0</v>
      </c>
      <c r="AI40" s="2">
        <f>COUNTIFS('BA History'!$B:$B,$A$40,'BA History'!AE:AE, 1)</f>
        <v>0</v>
      </c>
      <c r="AJ40" s="2">
        <f>COUNTIFS('BA History'!$B:$B,$A$40,'BA History'!AF:AF, 1)</f>
        <v>0</v>
      </c>
    </row>
    <row r="41" spans="1:36" x14ac:dyDescent="0.25">
      <c r="A41" s="2" t="s">
        <v>40</v>
      </c>
      <c r="B41" s="2" t="s">
        <v>79</v>
      </c>
      <c r="C41" s="34">
        <f>SUMIFS('BA History'!C:C,'BA History'!B:B,A41)</f>
        <v>870</v>
      </c>
      <c r="D41" s="66">
        <f>AVERAGEIFS('BA History'!C:C,'BA History'!B:B,A41)</f>
        <v>18.125</v>
      </c>
      <c r="E41" s="35">
        <f t="array" ref="E41">MAX(IF('BA History'!B:B=A41, 'BA History'!C:C))</f>
        <v>35</v>
      </c>
      <c r="F41" s="34">
        <f>COUNTIFS('BA History'!B:B,A41,'BA History'!D:D, 1)</f>
        <v>22</v>
      </c>
      <c r="G41" s="2">
        <f>COUNTIFS('BA History'!B:B,A41,'BA History'!D:D, 0)</f>
        <v>26</v>
      </c>
      <c r="H41" s="75">
        <f>LOOKUP(2, 1/('BA History'!$B:$B=A41), 'BA History'!$AJ:$AJ)</f>
        <v>0.45833333333333331</v>
      </c>
      <c r="I41" s="34">
        <f>SUMIFS('BA History'!F:F,'BA History'!B:B,A41)</f>
        <v>98</v>
      </c>
      <c r="J41" s="2">
        <f>SUMIFS('BA History'!E:E,'BA History'!B:B,A41)-I41</f>
        <v>100</v>
      </c>
      <c r="K41" s="75">
        <f>LOOKUP(2, 1/('BA History'!$B:$B=A41), 'BA History'!$AH:$AH)</f>
        <v>0.50208333333333321</v>
      </c>
      <c r="L41" s="34">
        <f>SUMIFS('BA History'!H:H,'BA History'!B:B,A41)</f>
        <v>400</v>
      </c>
      <c r="M41" s="2">
        <f>SUMIFS('BA History'!G:G,'BA History'!B:B,A41)-L41</f>
        <v>414</v>
      </c>
      <c r="N41" s="89">
        <f>LOOKUP(2, 1/('BA History'!$B:$B=A41), 'BA History'!$AI:$AI)</f>
        <v>0.48916666666666675</v>
      </c>
      <c r="O41" s="2">
        <f>COUNTIFS('BA History'!$B:$B,$A$41,'BA History'!K:K, 1)</f>
        <v>4</v>
      </c>
      <c r="P41" s="2">
        <f>COUNTIFS('BA History'!$B:$B,$A$41,'BA History'!L:L, 1)</f>
        <v>7</v>
      </c>
      <c r="Q41" s="2">
        <f>COUNTIFS('BA History'!$B:$B,$A$41,'BA History'!M:M, 1)</f>
        <v>12</v>
      </c>
      <c r="R41" s="2">
        <f>COUNTIFS('BA History'!$B:$B,$A$41,'BA History'!N:N, 1)</f>
        <v>12</v>
      </c>
      <c r="S41" s="2">
        <f>COUNTIFS('BA History'!$B:$B,$A$41,'BA History'!O:O, 1)</f>
        <v>3</v>
      </c>
      <c r="T41" s="2">
        <f>COUNTIFS('BA History'!$B:$B,$A$41,'BA History'!P:P, 1)</f>
        <v>1</v>
      </c>
      <c r="U41" s="2">
        <f>COUNTIFS('BA History'!$B:$B,$A$41,'BA History'!Q:Q, 1)</f>
        <v>4</v>
      </c>
      <c r="V41" s="2">
        <f>COUNTIFS('BA History'!$B:$B,$A$41,'BA History'!R:R, 1)</f>
        <v>3</v>
      </c>
      <c r="W41" s="2">
        <f>COUNTIFS('BA History'!$B:$B,$A$41,'BA History'!S:S, 1)</f>
        <v>1</v>
      </c>
      <c r="X41" s="2">
        <f>COUNTIFS('BA History'!$B:$B,$A$41,'BA History'!T:T, 1)</f>
        <v>0</v>
      </c>
      <c r="Y41" s="2">
        <f>COUNTIFS('BA History'!$B:$B,$A$41,'BA History'!U:U, 1)</f>
        <v>3</v>
      </c>
      <c r="Z41" s="2">
        <f>COUNTIFS('BA History'!$B:$B,$A$41,'BA History'!V:V, 1)</f>
        <v>5</v>
      </c>
      <c r="AA41" s="2">
        <f>COUNTIFS('BA History'!$B:$B,$A$41,'BA History'!W:W, 1)</f>
        <v>2</v>
      </c>
      <c r="AB41" s="2">
        <f>COUNTIFS('BA History'!$B:$B,$A$41,'BA History'!X:X, 1)</f>
        <v>1</v>
      </c>
      <c r="AC41" s="2">
        <f>COUNTIFS('BA History'!$B:$B,$A$41,'BA History'!Y:Y, 1)</f>
        <v>5</v>
      </c>
      <c r="AD41" s="2">
        <f>COUNTIFS('BA History'!$B:$B,$A$41,'BA History'!Z:Z, 1)</f>
        <v>7</v>
      </c>
      <c r="AE41" s="2">
        <f>COUNTIFS('BA History'!$B:$B,$A$41,'BA History'!AA:AA, 1)</f>
        <v>1</v>
      </c>
      <c r="AF41" s="2">
        <f>COUNTIFS('BA History'!$B:$B,$A$41,'BA History'!AB:AB, 1)</f>
        <v>4</v>
      </c>
      <c r="AG41" s="2">
        <f>COUNTIFS('BA History'!$B:$B,$A$41,'BA History'!AC:AC, 1)</f>
        <v>5</v>
      </c>
      <c r="AH41" s="2">
        <f>COUNTIFS('BA History'!$B:$B,$A$41,'BA History'!AD:AD, 1)</f>
        <v>13</v>
      </c>
      <c r="AI41" s="2">
        <f>COUNTIFS('BA History'!$B:$B,$A$41,'BA History'!AE:AE, 1)</f>
        <v>0</v>
      </c>
      <c r="AJ41" s="2">
        <f>COUNTIFS('BA History'!$B:$B,$A$41,'BA History'!AF:AF, 1)</f>
        <v>5</v>
      </c>
    </row>
    <row r="42" spans="1:36" x14ac:dyDescent="0.25">
      <c r="A42" s="2" t="s">
        <v>148</v>
      </c>
      <c r="B42" s="2" t="s">
        <v>79</v>
      </c>
      <c r="C42" s="34">
        <f>SUMIFS('BA History'!C:C,'BA History'!B:B,A42)</f>
        <v>209</v>
      </c>
      <c r="D42" s="66">
        <f>AVERAGEIFS('BA History'!C:C,'BA History'!B:B,A42)</f>
        <v>11.611111111111111</v>
      </c>
      <c r="E42" s="35">
        <f t="array" ref="E42">MAX(IF('BA History'!B:B=A42, 'BA History'!C:C))</f>
        <v>33</v>
      </c>
      <c r="F42" s="34">
        <f>COUNTIFS('BA History'!B:B,A42,'BA History'!D:D, 1)</f>
        <v>10</v>
      </c>
      <c r="G42" s="2">
        <f>COUNTIFS('BA History'!B:B,A42,'BA History'!D:D, 0)</f>
        <v>8</v>
      </c>
      <c r="H42" s="75">
        <f>LOOKUP(2, 1/('BA History'!$B:$B=A42), 'BA History'!$AJ:$AJ)</f>
        <v>0.55555555555555558</v>
      </c>
      <c r="I42" s="34">
        <f>SUMIFS('BA History'!F:F,'BA History'!B:B,A42)</f>
        <v>38</v>
      </c>
      <c r="J42" s="2">
        <f>SUMIFS('BA History'!E:E,'BA History'!B:B,A42)-I42</f>
        <v>32</v>
      </c>
      <c r="K42" s="75">
        <f>LOOKUP(2, 1/('BA History'!$B:$B=A42), 'BA History'!$AH:$AH)</f>
        <v>0.56666666666666665</v>
      </c>
      <c r="L42" s="34">
        <f>SUMIFS('BA History'!H:H,'BA History'!B:B,A42)</f>
        <v>146</v>
      </c>
      <c r="M42" s="2">
        <f>SUMIFS('BA History'!G:G,'BA History'!B:B,A42)-L42</f>
        <v>139</v>
      </c>
      <c r="N42" s="89">
        <f>LOOKUP(2, 1/('BA History'!$B:$B=A42), 'BA History'!$AI:$AI)</f>
        <v>0.52888888888888874</v>
      </c>
      <c r="O42" s="2">
        <f>COUNTIFS('BA History'!$B:$B,$A$42,'BA History'!K:K, 1)</f>
        <v>3</v>
      </c>
      <c r="P42" s="2">
        <f>COUNTIFS('BA History'!$B:$B,$A$42,'BA History'!L:L, 1)</f>
        <v>2</v>
      </c>
      <c r="Q42" s="2">
        <f>COUNTIFS('BA History'!$B:$B,$A$42,'BA History'!M:M, 1)</f>
        <v>3</v>
      </c>
      <c r="R42" s="2">
        <f>COUNTIFS('BA History'!$B:$B,$A$42,'BA History'!N:N, 1)</f>
        <v>4</v>
      </c>
      <c r="S42" s="2">
        <f>COUNTIFS('BA History'!$B:$B,$A$42,'BA History'!O:O, 1)</f>
        <v>0</v>
      </c>
      <c r="T42" s="2">
        <f>COUNTIFS('BA History'!$B:$B,$A$42,'BA History'!P:P, 1)</f>
        <v>0</v>
      </c>
      <c r="U42" s="2">
        <f>COUNTIFS('BA History'!$B:$B,$A$42,'BA History'!Q:Q, 1)</f>
        <v>0</v>
      </c>
      <c r="V42" s="2">
        <f>COUNTIFS('BA History'!$B:$B,$A$42,'BA History'!R:R, 1)</f>
        <v>1</v>
      </c>
      <c r="W42" s="2">
        <f>COUNTIFS('BA History'!$B:$B,$A$42,'BA History'!S:S, 1)</f>
        <v>0</v>
      </c>
      <c r="X42" s="2">
        <f>COUNTIFS('BA History'!$B:$B,$A$42,'BA History'!T:T, 1)</f>
        <v>0</v>
      </c>
      <c r="Y42" s="2">
        <f>COUNTIFS('BA History'!$B:$B,$A$42,'BA History'!U:U, 1)</f>
        <v>0</v>
      </c>
      <c r="Z42" s="2">
        <f>COUNTIFS('BA History'!$B:$B,$A$42,'BA History'!V:V, 1)</f>
        <v>2</v>
      </c>
      <c r="AA42" s="2">
        <f>COUNTIFS('BA History'!$B:$B,$A$42,'BA History'!W:W, 1)</f>
        <v>0</v>
      </c>
      <c r="AB42" s="2">
        <f>COUNTIFS('BA History'!$B:$B,$A$42,'BA History'!X:X, 1)</f>
        <v>0</v>
      </c>
      <c r="AC42" s="2">
        <f>COUNTIFS('BA History'!$B:$B,$A$42,'BA History'!Y:Y, 1)</f>
        <v>5</v>
      </c>
      <c r="AD42" s="2">
        <f>COUNTIFS('BA History'!$B:$B,$A$42,'BA History'!Z:Z, 1)</f>
        <v>6</v>
      </c>
      <c r="AE42" s="2">
        <f>COUNTIFS('BA History'!$B:$B,$A$42,'BA History'!AA:AA, 1)</f>
        <v>0</v>
      </c>
      <c r="AF42" s="2">
        <f>COUNTIFS('BA History'!$B:$B,$A$42,'BA History'!AB:AB, 1)</f>
        <v>7</v>
      </c>
      <c r="AG42" s="2">
        <f>COUNTIFS('BA History'!$B:$B,$A$42,'BA History'!AC:AC, 1)</f>
        <v>0</v>
      </c>
      <c r="AH42" s="2">
        <f>COUNTIFS('BA History'!$B:$B,$A$42,'BA History'!AD:AD, 1)</f>
        <v>2</v>
      </c>
      <c r="AI42" s="2">
        <f>COUNTIFS('BA History'!$B:$B,$A$42,'BA History'!AE:AE, 1)</f>
        <v>0</v>
      </c>
      <c r="AJ42" s="2">
        <f>COUNTIFS('BA History'!$B:$B,$A$42,'BA History'!AF:AF, 1)</f>
        <v>3</v>
      </c>
    </row>
    <row r="43" spans="1:36" x14ac:dyDescent="0.25">
      <c r="A43" s="2" t="s">
        <v>17</v>
      </c>
      <c r="B43" s="2" t="s">
        <v>79</v>
      </c>
      <c r="C43" s="34">
        <f>SUMIFS('BA History'!C:C,'BA History'!B:B,A43)</f>
        <v>577</v>
      </c>
      <c r="D43" s="66">
        <f>AVERAGEIFS('BA History'!C:C,'BA History'!B:B,A43)</f>
        <v>20.607142857142858</v>
      </c>
      <c r="E43" s="35">
        <f t="array" ref="E43">MAX(IF('BA History'!B:B=A43, 'BA History'!C:C))</f>
        <v>32</v>
      </c>
      <c r="F43" s="34">
        <f>COUNTIFS('BA History'!B:B,A43,'BA History'!D:D, 1)</f>
        <v>14</v>
      </c>
      <c r="G43" s="2">
        <f>COUNTIFS('BA History'!B:B,A43,'BA History'!D:D, 0)</f>
        <v>14</v>
      </c>
      <c r="H43" s="75">
        <f>LOOKUP(2, 1/('BA History'!$B:$B=A43), 'BA History'!$AJ:$AJ)</f>
        <v>0.5</v>
      </c>
      <c r="I43" s="34">
        <f>SUMIFS('BA History'!F:F,'BA History'!B:B,A43)</f>
        <v>57</v>
      </c>
      <c r="J43" s="2">
        <f>SUMIFS('BA History'!E:E,'BA History'!B:B,A43)-I43</f>
        <v>55</v>
      </c>
      <c r="K43" s="75">
        <f>LOOKUP(2, 1/('BA History'!$B:$B=A43), 'BA History'!$AH:$AH)</f>
        <v>0.51321428571428573</v>
      </c>
      <c r="L43" s="34">
        <f>SUMIFS('BA History'!H:H,'BA History'!B:B,A43)</f>
        <v>231</v>
      </c>
      <c r="M43" s="2">
        <f>SUMIFS('BA History'!G:G,'BA History'!B:B,A43)-L43</f>
        <v>236</v>
      </c>
      <c r="N43" s="89">
        <f>LOOKUP(2, 1/('BA History'!$B:$B=A43), 'BA History'!$AI:$AI)</f>
        <v>0.48892857142857155</v>
      </c>
      <c r="O43" s="2">
        <f>COUNTIFS('BA History'!$B:$B,$A$43,'BA History'!K:K, 1)</f>
        <v>4</v>
      </c>
      <c r="P43" s="2">
        <f>COUNTIFS('BA History'!$B:$B,$A$43,'BA History'!L:L, 1)</f>
        <v>1</v>
      </c>
      <c r="Q43" s="2">
        <f>COUNTIFS('BA History'!$B:$B,$A$43,'BA History'!M:M, 1)</f>
        <v>5</v>
      </c>
      <c r="R43" s="2">
        <f>COUNTIFS('BA History'!$B:$B,$A$43,'BA History'!N:N, 1)</f>
        <v>7</v>
      </c>
      <c r="S43" s="2">
        <f>COUNTIFS('BA History'!$B:$B,$A$43,'BA History'!O:O, 1)</f>
        <v>0</v>
      </c>
      <c r="T43" s="2">
        <f>COUNTIFS('BA History'!$B:$B,$A$43,'BA History'!P:P, 1)</f>
        <v>0</v>
      </c>
      <c r="U43" s="2">
        <f>COUNTIFS('BA History'!$B:$B,$A$43,'BA History'!Q:Q, 1)</f>
        <v>2</v>
      </c>
      <c r="V43" s="2">
        <f>COUNTIFS('BA History'!$B:$B,$A$43,'BA History'!R:R, 1)</f>
        <v>1</v>
      </c>
      <c r="W43" s="2">
        <f>COUNTIFS('BA History'!$B:$B,$A$43,'BA History'!S:S, 1)</f>
        <v>0</v>
      </c>
      <c r="X43" s="2">
        <f>COUNTIFS('BA History'!$B:$B,$A$43,'BA History'!T:T, 1)</f>
        <v>0</v>
      </c>
      <c r="Y43" s="2">
        <f>COUNTIFS('BA History'!$B:$B,$A$43,'BA History'!U:U, 1)</f>
        <v>2</v>
      </c>
      <c r="Z43" s="2">
        <f>COUNTIFS('BA History'!$B:$B,$A$43,'BA History'!V:V, 1)</f>
        <v>3</v>
      </c>
      <c r="AA43" s="2">
        <f>COUNTIFS('BA History'!$B:$B,$A$43,'BA History'!W:W, 1)</f>
        <v>0</v>
      </c>
      <c r="AB43" s="2">
        <f>COUNTIFS('BA History'!$B:$B,$A$43,'BA History'!X:X, 1)</f>
        <v>0</v>
      </c>
      <c r="AC43" s="2">
        <f>COUNTIFS('BA History'!$B:$B,$A$43,'BA History'!Y:Y, 1)</f>
        <v>2</v>
      </c>
      <c r="AD43" s="2">
        <f>COUNTIFS('BA History'!$B:$B,$A$43,'BA History'!Z:Z, 1)</f>
        <v>7</v>
      </c>
      <c r="AE43" s="2">
        <f>COUNTIFS('BA History'!$B:$B,$A$43,'BA History'!AA:AA, 1)</f>
        <v>1</v>
      </c>
      <c r="AF43" s="2">
        <f>COUNTIFS('BA History'!$B:$B,$A$43,'BA History'!AB:AB, 1)</f>
        <v>7</v>
      </c>
      <c r="AG43" s="2">
        <f>COUNTIFS('BA History'!$B:$B,$A$43,'BA History'!AC:AC, 1)</f>
        <v>5</v>
      </c>
      <c r="AH43" s="2">
        <f>COUNTIFS('BA History'!$B:$B,$A$43,'BA History'!AD:AD, 1)</f>
        <v>7</v>
      </c>
      <c r="AI43" s="2">
        <f>COUNTIFS('BA History'!$B:$B,$A$43,'BA History'!AE:AE, 1)</f>
        <v>1</v>
      </c>
      <c r="AJ43" s="2">
        <f>COUNTIFS('BA History'!$B:$B,$A$43,'BA History'!AF:AF, 1)</f>
        <v>2</v>
      </c>
    </row>
    <row r="44" spans="1:36" ht="14.25" customHeight="1" x14ac:dyDescent="0.25">
      <c r="A44" s="1" t="s">
        <v>105</v>
      </c>
      <c r="B44" s="2" t="s">
        <v>79</v>
      </c>
      <c r="C44" s="34">
        <f>SUMIFS('BA History'!C:C,'BA History'!B:B,A44)</f>
        <v>12</v>
      </c>
      <c r="D44" s="66">
        <f>AVERAGEIFS('BA History'!C:C,'BA History'!B:B,A44)</f>
        <v>12</v>
      </c>
      <c r="E44" s="35">
        <f t="array" ref="E44">MAX(IF('BA History'!B:B=A44, 'BA History'!C:C))</f>
        <v>12</v>
      </c>
      <c r="F44" s="34">
        <f>COUNTIFS('BA History'!B:B,A44,'BA History'!D:D, 1)</f>
        <v>1</v>
      </c>
      <c r="G44" s="2">
        <f>COUNTIFS('BA History'!B:B,A44,'BA History'!D:D, 0)</f>
        <v>0</v>
      </c>
      <c r="H44" s="75">
        <f>LOOKUP(2, 1/('BA History'!$B:$B=A44), 'BA History'!$AJ:$AJ)</f>
        <v>1</v>
      </c>
      <c r="I44" s="34">
        <f>SUMIFS('BA History'!F:F,'BA History'!B:B,A44)</f>
        <v>3</v>
      </c>
      <c r="J44" s="2">
        <f>SUMIFS('BA History'!E:E,'BA History'!B:B,A44)-I44</f>
        <v>2</v>
      </c>
      <c r="K44" s="75">
        <f>LOOKUP(2, 1/('BA History'!$B:$B=A44), 'BA History'!$AH:$AH)</f>
        <v>0.6</v>
      </c>
      <c r="L44" s="34">
        <f>SUMIFS('BA History'!H:H,'BA History'!B:B,A44)</f>
        <v>9</v>
      </c>
      <c r="M44" s="2">
        <f>SUMIFS('BA History'!G:G,'BA History'!B:B,A44)-L44</f>
        <v>10</v>
      </c>
      <c r="N44" s="89">
        <f>LOOKUP(2, 1/('BA History'!$B:$B=A44), 'BA History'!$AI:$AI)</f>
        <v>0.47</v>
      </c>
      <c r="O44" s="2">
        <f>COUNTIFS('BA History'!$B:$B,$A$44,'BA History'!K:K, 1)</f>
        <v>0</v>
      </c>
      <c r="P44" s="2">
        <f>COUNTIFS('BA History'!$B:$B,$A$44,'BA History'!L:L, 1)</f>
        <v>0</v>
      </c>
      <c r="Q44" s="2">
        <f>COUNTIFS('BA History'!$B:$B,$A$44,'BA History'!M:M, 1)</f>
        <v>0</v>
      </c>
      <c r="R44" s="2">
        <f>COUNTIFS('BA History'!$B:$B,$A$44,'BA History'!N:N, 1)</f>
        <v>0</v>
      </c>
      <c r="S44" s="2">
        <f>COUNTIFS('BA History'!$B:$B,$A$44,'BA History'!O:O, 1)</f>
        <v>0</v>
      </c>
      <c r="T44" s="2">
        <f>COUNTIFS('BA History'!$B:$B,$A$44,'BA History'!P:P, 1)</f>
        <v>0</v>
      </c>
      <c r="U44" s="2">
        <f>COUNTIFS('BA History'!$B:$B,$A$44,'BA History'!Q:Q, 1)</f>
        <v>0</v>
      </c>
      <c r="V44" s="2">
        <f>COUNTIFS('BA History'!$B:$B,$A$44,'BA History'!R:R, 1)</f>
        <v>0</v>
      </c>
      <c r="W44" s="2">
        <f>COUNTIFS('BA History'!$B:$B,$A$44,'BA History'!S:S, 1)</f>
        <v>0</v>
      </c>
      <c r="X44" s="2">
        <f>COUNTIFS('BA History'!$B:$B,$A$44,'BA History'!T:T, 1)</f>
        <v>0</v>
      </c>
      <c r="Y44" s="2">
        <f>COUNTIFS('BA History'!$B:$B,$A$44,'BA History'!U:U, 1)</f>
        <v>1</v>
      </c>
      <c r="Z44" s="2">
        <f>COUNTIFS('BA History'!$B:$B,$A$44,'BA History'!V:V, 1)</f>
        <v>0</v>
      </c>
      <c r="AA44" s="2">
        <f>COUNTIFS('BA History'!$B:$B,$A$44,'BA History'!W:W, 1)</f>
        <v>0</v>
      </c>
      <c r="AB44" s="2">
        <f>COUNTIFS('BA History'!$B:$B,$A$44,'BA History'!X:X, 1)</f>
        <v>0</v>
      </c>
      <c r="AC44" s="2">
        <f>COUNTIFS('BA History'!$B:$B,$A$44,'BA History'!Y:Y, 1)</f>
        <v>0</v>
      </c>
      <c r="AD44" s="2">
        <f>COUNTIFS('BA History'!$B:$B,$A$44,'BA History'!Z:Z, 1)</f>
        <v>0</v>
      </c>
      <c r="AE44" s="2">
        <f>COUNTIFS('BA History'!$B:$B,$A$44,'BA History'!AA:AA, 1)</f>
        <v>0</v>
      </c>
      <c r="AF44" s="2">
        <f>COUNTIFS('BA History'!$B:$B,$A$44,'BA History'!AB:AB, 1)</f>
        <v>1</v>
      </c>
      <c r="AG44" s="2">
        <f>COUNTIFS('BA History'!$B:$B,$A$44,'BA History'!AC:AC, 1)</f>
        <v>1</v>
      </c>
      <c r="AH44" s="2">
        <f>COUNTIFS('BA History'!$B:$B,$A$44,'BA History'!AD:AD, 1)</f>
        <v>0</v>
      </c>
      <c r="AI44" s="2">
        <f>COUNTIFS('BA History'!$B:$B,$A$44,'BA History'!AE:AE, 1)</f>
        <v>0</v>
      </c>
      <c r="AJ44" s="2">
        <f>COUNTIFS('BA History'!$B:$B,$A$44,'BA History'!AF:AF, 1)</f>
        <v>0</v>
      </c>
    </row>
    <row r="45" spans="1:36" ht="14.25" customHeight="1" x14ac:dyDescent="0.25">
      <c r="A45" s="1" t="s">
        <v>144</v>
      </c>
      <c r="B45" s="2" t="s">
        <v>79</v>
      </c>
      <c r="C45" s="34">
        <f>SUMIFS('BA History'!C:C,'BA History'!B:B,A45)</f>
        <v>4</v>
      </c>
      <c r="D45" s="66">
        <f>AVERAGEIFS('BA History'!C:C,'BA History'!B:B,A45)</f>
        <v>4</v>
      </c>
      <c r="E45" s="35">
        <f t="array" ref="E45">MAX(IF('BA History'!B:B=A45, 'BA History'!C:C))</f>
        <v>4</v>
      </c>
      <c r="F45" s="34">
        <f>COUNTIFS('BA History'!B:B,A45,'BA History'!D:D, 1)</f>
        <v>0</v>
      </c>
      <c r="G45" s="2">
        <f>COUNTIFS('BA History'!B:B,A45,'BA History'!D:D, 0)</f>
        <v>1</v>
      </c>
      <c r="H45" s="75">
        <f>LOOKUP(2, 1/('BA History'!$B:$B=A45), 'BA History'!$AJ:$AJ)</f>
        <v>0</v>
      </c>
      <c r="I45" s="34">
        <f>SUMIFS('BA History'!F:F,'BA History'!B:B,A45)</f>
        <v>1</v>
      </c>
      <c r="J45" s="2">
        <f>SUMIFS('BA History'!E:E,'BA History'!B:B,A45)-I45</f>
        <v>3</v>
      </c>
      <c r="K45" s="75">
        <f>LOOKUP(2, 1/('BA History'!$B:$B=A45), 'BA History'!$AH:$AH)</f>
        <v>0.25</v>
      </c>
      <c r="L45" s="34">
        <f>SUMIFS('BA History'!H:H,'BA History'!B:B,A45)</f>
        <v>7</v>
      </c>
      <c r="M45" s="2">
        <f>SUMIFS('BA History'!G:G,'BA History'!B:B,A45)-L45</f>
        <v>9</v>
      </c>
      <c r="N45" s="89">
        <f>LOOKUP(2, 1/('BA History'!$B:$B=A45), 'BA History'!$AI:$AI)</f>
        <v>0.44</v>
      </c>
      <c r="O45" s="2">
        <f>COUNTIFS('BA History'!$B:$B,$A$45,'BA History'!K:K, 1)</f>
        <v>0</v>
      </c>
      <c r="P45" s="2">
        <f>COUNTIFS('BA History'!$B:$B,$A$45,'BA History'!L:L, 1)</f>
        <v>0</v>
      </c>
      <c r="Q45" s="2">
        <f>COUNTIFS('BA History'!$B:$B,$A$45,'BA History'!M:M, 1)</f>
        <v>0</v>
      </c>
      <c r="R45" s="2">
        <f>COUNTIFS('BA History'!$B:$B,$A$45,'BA History'!N:N, 1)</f>
        <v>0</v>
      </c>
      <c r="S45" s="2">
        <f>COUNTIFS('BA History'!$B:$B,$A$45,'BA History'!O:O, 1)</f>
        <v>0</v>
      </c>
      <c r="T45" s="2">
        <f>COUNTIFS('BA History'!$B:$B,$A$45,'BA History'!P:P, 1)</f>
        <v>0</v>
      </c>
      <c r="U45" s="2">
        <f>COUNTIFS('BA History'!$B:$B,$A$45,'BA History'!Q:Q, 1)</f>
        <v>0</v>
      </c>
      <c r="V45" s="2">
        <f>COUNTIFS('BA History'!$B:$B,$A$45,'BA History'!R:R, 1)</f>
        <v>0</v>
      </c>
      <c r="W45" s="2">
        <f>COUNTIFS('BA History'!$B:$B,$A$45,'BA History'!S:S, 1)</f>
        <v>0</v>
      </c>
      <c r="X45" s="2">
        <f>COUNTIFS('BA History'!$B:$B,$A$45,'BA History'!T:T, 1)</f>
        <v>0</v>
      </c>
      <c r="Y45" s="2">
        <f>COUNTIFS('BA History'!$B:$B,$A$45,'BA History'!U:U, 1)</f>
        <v>0</v>
      </c>
      <c r="Z45" s="2">
        <f>COUNTIFS('BA History'!$B:$B,$A$45,'BA History'!V:V, 1)</f>
        <v>0</v>
      </c>
      <c r="AA45" s="2">
        <f>COUNTIFS('BA History'!$B:$B,$A$45,'BA History'!W:W, 1)</f>
        <v>0</v>
      </c>
      <c r="AB45" s="2">
        <f>COUNTIFS('BA History'!$B:$B,$A$45,'BA History'!X:X, 1)</f>
        <v>0</v>
      </c>
      <c r="AC45" s="2">
        <f>COUNTIFS('BA History'!$B:$B,$A$45,'BA History'!Y:Y, 1)</f>
        <v>1</v>
      </c>
      <c r="AD45" s="2">
        <f>COUNTIFS('BA History'!$B:$B,$A$45,'BA History'!Z:Z, 1)</f>
        <v>0</v>
      </c>
      <c r="AE45" s="2">
        <f>COUNTIFS('BA History'!$B:$B,$A$45,'BA History'!AA:AA, 1)</f>
        <v>0</v>
      </c>
      <c r="AF45" s="2">
        <f>COUNTIFS('BA History'!$B:$B,$A$45,'BA History'!AB:AB, 1)</f>
        <v>0</v>
      </c>
      <c r="AG45" s="2">
        <f>COUNTIFS('BA History'!$B:$B,$A$45,'BA History'!AC:AC, 1)</f>
        <v>0</v>
      </c>
      <c r="AH45" s="2">
        <f>COUNTIFS('BA History'!$B:$B,$A$45,'BA History'!AD:AD, 1)</f>
        <v>0</v>
      </c>
      <c r="AI45" s="2">
        <f>COUNTIFS('BA History'!$B:$B,$A$45,'BA History'!AE:AE, 1)</f>
        <v>0</v>
      </c>
      <c r="AJ45" s="2">
        <f>COUNTIFS('BA History'!$B:$B,$A$45,'BA History'!AF:AF, 1)</f>
        <v>0</v>
      </c>
    </row>
    <row r="46" spans="1:36" x14ac:dyDescent="0.25">
      <c r="A46" s="1" t="s">
        <v>118</v>
      </c>
      <c r="B46" s="2" t="s">
        <v>79</v>
      </c>
      <c r="C46" s="34">
        <f>SUMIFS('BA History'!C:C,'BA History'!B:B,A46)</f>
        <v>30</v>
      </c>
      <c r="D46" s="66">
        <f>AVERAGEIFS('BA History'!C:C,'BA History'!B:B,A46)</f>
        <v>15</v>
      </c>
      <c r="E46" s="35">
        <f t="array" ref="E46">MAX(IF('BA History'!B:B=A46, 'BA History'!C:C))</f>
        <v>20</v>
      </c>
      <c r="F46" s="34">
        <f>COUNTIFS('BA History'!B:B,A46,'BA History'!D:D, 1)</f>
        <v>1</v>
      </c>
      <c r="G46" s="2">
        <f>COUNTIFS('BA History'!B:B,A46,'BA History'!D:D, 0)</f>
        <v>1</v>
      </c>
      <c r="H46" s="75">
        <f>LOOKUP(2, 1/('BA History'!$B:$B=A46), 'BA History'!$AJ:$AJ)</f>
        <v>0.5</v>
      </c>
      <c r="I46" s="34">
        <f>SUMIFS('BA History'!F:F,'BA History'!B:B,A46)</f>
        <v>4</v>
      </c>
      <c r="J46" s="2">
        <f>SUMIFS('BA History'!E:E,'BA History'!B:B,A46)-I46</f>
        <v>4</v>
      </c>
      <c r="K46" s="75">
        <f>LOOKUP(2, 1/('BA History'!$B:$B=A46), 'BA History'!$AH:$AH)</f>
        <v>0.5</v>
      </c>
      <c r="L46" s="34">
        <f>SUMIFS('BA History'!H:H,'BA History'!B:B,A46)</f>
        <v>15</v>
      </c>
      <c r="M46" s="2">
        <f>SUMIFS('BA History'!G:G,'BA History'!B:B,A46)-L46</f>
        <v>15</v>
      </c>
      <c r="N46" s="89">
        <f>LOOKUP(2, 1/('BA History'!$B:$B=A46), 'BA History'!$AI:$AI)</f>
        <v>0.51</v>
      </c>
      <c r="O46" s="2">
        <f>COUNTIFS('BA History'!$B:$B,$A$46,'BA History'!K:K, 1)</f>
        <v>0</v>
      </c>
      <c r="P46" s="2">
        <f>COUNTIFS('BA History'!$B:$B,$A$46,'BA History'!L:L, 1)</f>
        <v>0</v>
      </c>
      <c r="Q46" s="2">
        <f>COUNTIFS('BA History'!$B:$B,$A$46,'BA History'!M:M, 1)</f>
        <v>0</v>
      </c>
      <c r="R46" s="2">
        <f>COUNTIFS('BA History'!$B:$B,$A$46,'BA History'!N:N, 1)</f>
        <v>0</v>
      </c>
      <c r="S46" s="2">
        <f>COUNTIFS('BA History'!$B:$B,$A$46,'BA History'!O:O, 1)</f>
        <v>0</v>
      </c>
      <c r="T46" s="2">
        <f>COUNTIFS('BA History'!$B:$B,$A$46,'BA History'!P:P, 1)</f>
        <v>0</v>
      </c>
      <c r="U46" s="2">
        <f>COUNTIFS('BA History'!$B:$B,$A$46,'BA History'!Q:Q, 1)</f>
        <v>0</v>
      </c>
      <c r="V46" s="2">
        <f>COUNTIFS('BA History'!$B:$B,$A$46,'BA History'!R:R, 1)</f>
        <v>0</v>
      </c>
      <c r="W46" s="2">
        <f>COUNTIFS('BA History'!$B:$B,$A$46,'BA History'!S:S, 1)</f>
        <v>0</v>
      </c>
      <c r="X46" s="2">
        <f>COUNTIFS('BA History'!$B:$B,$A$46,'BA History'!T:T, 1)</f>
        <v>0</v>
      </c>
      <c r="Y46" s="2">
        <f>COUNTIFS('BA History'!$B:$B,$A$46,'BA History'!U:U, 1)</f>
        <v>0</v>
      </c>
      <c r="Z46" s="2">
        <f>COUNTIFS('BA History'!$B:$B,$A$46,'BA History'!V:V, 1)</f>
        <v>1</v>
      </c>
      <c r="AA46" s="2">
        <f>COUNTIFS('BA History'!$B:$B,$A$46,'BA History'!W:W, 1)</f>
        <v>0</v>
      </c>
      <c r="AB46" s="2">
        <f>COUNTIFS('BA History'!$B:$B,$A$46,'BA History'!X:X, 1)</f>
        <v>0</v>
      </c>
      <c r="AC46" s="2">
        <f>COUNTIFS('BA History'!$B:$B,$A$46,'BA History'!Y:Y, 1)</f>
        <v>0</v>
      </c>
      <c r="AD46" s="2">
        <f>COUNTIFS('BA History'!$B:$B,$A$46,'BA History'!Z:Z, 1)</f>
        <v>1</v>
      </c>
      <c r="AE46" s="2">
        <f>COUNTIFS('BA History'!$B:$B,$A$46,'BA History'!AA:AA, 1)</f>
        <v>0</v>
      </c>
      <c r="AF46" s="2">
        <f>COUNTIFS('BA History'!$B:$B,$A$46,'BA History'!AB:AB, 1)</f>
        <v>0</v>
      </c>
      <c r="AG46" s="2">
        <f>COUNTIFS('BA History'!$B:$B,$A$46,'BA History'!AC:AC, 1)</f>
        <v>1</v>
      </c>
      <c r="AH46" s="2">
        <f>COUNTIFS('BA History'!$B:$B,$A$46,'BA History'!AD:AD, 1)</f>
        <v>1</v>
      </c>
      <c r="AI46" s="2">
        <f>COUNTIFS('BA History'!$B:$B,$A$46,'BA History'!AE:AE, 1)</f>
        <v>0</v>
      </c>
      <c r="AJ46" s="2">
        <f>COUNTIFS('BA History'!$B:$B,$A$46,'BA History'!AF:AF, 1)</f>
        <v>0</v>
      </c>
    </row>
    <row r="47" spans="1:36" ht="15.75" x14ac:dyDescent="0.25">
      <c r="A47" s="2" t="s">
        <v>6</v>
      </c>
      <c r="B47" s="80" t="s">
        <v>60</v>
      </c>
      <c r="C47" s="34">
        <f>SUMIFS('BA History'!C:C,'BA History'!B:B,A47)</f>
        <v>1090</v>
      </c>
      <c r="D47" s="66">
        <f>AVERAGEIFS('BA History'!C:C,'BA History'!B:B,A47)</f>
        <v>22.244897959183675</v>
      </c>
      <c r="E47" s="35">
        <f t="array" ref="E47">MAX(IF('BA History'!B:B=A47, 'BA History'!C:C))</f>
        <v>37</v>
      </c>
      <c r="F47" s="34">
        <f>COUNTIFS('BA History'!B:B,A47,'BA History'!D:D, 1)</f>
        <v>32</v>
      </c>
      <c r="G47" s="2">
        <f>COUNTIFS('BA History'!B:B,A47,'BA History'!D:D, 0)</f>
        <v>17</v>
      </c>
      <c r="H47" s="75">
        <f>LOOKUP(2, 1/('BA History'!$B:$B=A47), 'BA History'!$AJ:$AJ)</f>
        <v>0.65306122448979587</v>
      </c>
      <c r="I47" s="34">
        <f>SUMIFS('BA History'!F:F,'BA History'!B:B,A47)</f>
        <v>111</v>
      </c>
      <c r="J47" s="2">
        <f>SUMIFS('BA History'!E:E,'BA History'!B:B,A47)-I47</f>
        <v>87</v>
      </c>
      <c r="K47" s="75">
        <f>LOOKUP(2, 1/('BA History'!$B:$B=A47), 'BA History'!$AH:$AH)</f>
        <v>0.55673469387755115</v>
      </c>
      <c r="L47" s="34">
        <f>SUMIFS('BA History'!H:H,'BA History'!B:B,A47)</f>
        <v>442</v>
      </c>
      <c r="M47" s="2">
        <f>SUMIFS('BA History'!G:G,'BA History'!B:B,A47)-L47</f>
        <v>383</v>
      </c>
      <c r="N47" s="89">
        <f>LOOKUP(2, 1/('BA History'!$B:$B=A47), 'BA History'!$AI:$AI)</f>
        <v>0.53510204081632651</v>
      </c>
      <c r="O47" s="2">
        <f>COUNTIFS('BA History'!$B:$B,$A$47,'BA History'!K:K, 1)</f>
        <v>5</v>
      </c>
      <c r="P47" s="2">
        <f>COUNTIFS('BA History'!$B:$B,$A$47,'BA History'!L:L, 1)</f>
        <v>5</v>
      </c>
      <c r="Q47" s="2">
        <f>COUNTIFS('BA History'!$B:$B,$A$47,'BA History'!M:M, 1)</f>
        <v>10</v>
      </c>
      <c r="R47" s="2">
        <f>COUNTIFS('BA History'!$B:$B,$A$47,'BA History'!N:N, 1)</f>
        <v>9</v>
      </c>
      <c r="S47" s="2">
        <f>COUNTIFS('BA History'!$B:$B,$A$47,'BA History'!O:O, 1)</f>
        <v>2</v>
      </c>
      <c r="T47" s="2">
        <f>COUNTIFS('BA History'!$B:$B,$A$47,'BA History'!P:P, 1)</f>
        <v>0</v>
      </c>
      <c r="U47" s="2">
        <f>COUNTIFS('BA History'!$B:$B,$A$47,'BA History'!Q:Q, 1)</f>
        <v>5</v>
      </c>
      <c r="V47" s="2">
        <f>COUNTIFS('BA History'!$B:$B,$A$47,'BA History'!R:R, 1)</f>
        <v>3</v>
      </c>
      <c r="W47" s="2">
        <f>COUNTIFS('BA History'!$B:$B,$A$47,'BA History'!S:S, 1)</f>
        <v>1</v>
      </c>
      <c r="X47" s="2">
        <f>COUNTIFS('BA History'!$B:$B,$A$47,'BA History'!T:T, 1)</f>
        <v>0</v>
      </c>
      <c r="Y47" s="2">
        <f>COUNTIFS('BA History'!$B:$B,$A$47,'BA History'!U:U, 1)</f>
        <v>2</v>
      </c>
      <c r="Z47" s="2">
        <f>COUNTIFS('BA History'!$B:$B,$A$47,'BA History'!V:V, 1)</f>
        <v>9</v>
      </c>
      <c r="AA47" s="2">
        <f>COUNTIFS('BA History'!$B:$B,$A$47,'BA History'!W:W, 1)</f>
        <v>4</v>
      </c>
      <c r="AB47" s="2">
        <f>COUNTIFS('BA History'!$B:$B,$A$47,'BA History'!X:X, 1)</f>
        <v>2</v>
      </c>
      <c r="AC47" s="2">
        <f>COUNTIFS('BA History'!$B:$B,$A$47,'BA History'!Y:Y, 1)</f>
        <v>5</v>
      </c>
      <c r="AD47" s="2">
        <f>COUNTIFS('BA History'!$B:$B,$A$47,'BA History'!Z:Z, 1)</f>
        <v>15</v>
      </c>
      <c r="AE47" s="2">
        <f>COUNTIFS('BA History'!$B:$B,$A$47,'BA History'!AA:AA, 1)</f>
        <v>1</v>
      </c>
      <c r="AF47" s="2">
        <f>COUNTIFS('BA History'!$B:$B,$A$47,'BA History'!AB:AB, 1)</f>
        <v>12</v>
      </c>
      <c r="AG47" s="2">
        <f>COUNTIFS('BA History'!$B:$B,$A$47,'BA History'!AC:AC, 1)</f>
        <v>5</v>
      </c>
      <c r="AH47" s="2">
        <f>COUNTIFS('BA History'!$B:$B,$A$47,'BA History'!AD:AD, 1)</f>
        <v>9</v>
      </c>
      <c r="AI47" s="2">
        <f>COUNTIFS('BA History'!$B:$B,$A$47,'BA History'!AE:AE, 1)</f>
        <v>1</v>
      </c>
      <c r="AJ47" s="2">
        <f>COUNTIFS('BA History'!$B:$B,$A$47,'BA History'!AF:AF, 1)</f>
        <v>6</v>
      </c>
    </row>
    <row r="48" spans="1:36" x14ac:dyDescent="0.25">
      <c r="A48" s="2" t="s">
        <v>18</v>
      </c>
      <c r="B48" s="2" t="s">
        <v>79</v>
      </c>
      <c r="C48" s="34">
        <f>SUMIFS('BA History'!C:C,'BA History'!B:B,A48)</f>
        <v>129</v>
      </c>
      <c r="D48" s="66">
        <f>AVERAGEIFS('BA History'!C:C,'BA History'!B:B,A48)</f>
        <v>18.428571428571427</v>
      </c>
      <c r="E48" s="35">
        <f t="array" ref="E48">MAX(IF('BA History'!B:B=A48, 'BA History'!C:C))</f>
        <v>26</v>
      </c>
      <c r="F48" s="34">
        <f>COUNTIFS('BA History'!B:B,A48,'BA History'!D:D, 1)</f>
        <v>6</v>
      </c>
      <c r="G48" s="2">
        <f>COUNTIFS('BA History'!B:B,A48,'BA History'!D:D, 0)</f>
        <v>1</v>
      </c>
      <c r="H48" s="75">
        <f>LOOKUP(2, 1/('BA History'!$B:$B=A48), 'BA History'!$AJ:$AJ)</f>
        <v>0.8571428571428571</v>
      </c>
      <c r="I48" s="34">
        <f>SUMIFS('BA History'!F:F,'BA History'!B:B,A48)</f>
        <v>19</v>
      </c>
      <c r="J48" s="2">
        <f>SUMIFS('BA History'!E:E,'BA History'!B:B,A48)-I48</f>
        <v>7</v>
      </c>
      <c r="K48" s="75">
        <f>LOOKUP(2, 1/('BA History'!$B:$B=A48), 'BA History'!$AH:$AH)</f>
        <v>0.76428571428571423</v>
      </c>
      <c r="L48" s="34">
        <f>SUMIFS('BA History'!H:H,'BA History'!B:B,A48)</f>
        <v>66</v>
      </c>
      <c r="M48" s="2">
        <f>SUMIFS('BA History'!G:G,'BA History'!B:B,A48)-L48</f>
        <v>44</v>
      </c>
      <c r="N48" s="89">
        <f>LOOKUP(2, 1/('BA History'!$B:$B=A48), 'BA History'!$AI:$AI)</f>
        <v>0.62</v>
      </c>
      <c r="O48" s="2">
        <f>COUNTIFS('BA History'!$B:$B,$A$48,'BA History'!K:K, 1)</f>
        <v>0</v>
      </c>
      <c r="P48" s="2">
        <f>COUNTIFS('BA History'!$B:$B,$A$48,'BA History'!L:L, 1)</f>
        <v>3</v>
      </c>
      <c r="Q48" s="2">
        <f>COUNTIFS('BA History'!$B:$B,$A$48,'BA History'!M:M, 1)</f>
        <v>1</v>
      </c>
      <c r="R48" s="2">
        <f>COUNTIFS('BA History'!$B:$B,$A$48,'BA History'!N:N, 1)</f>
        <v>3</v>
      </c>
      <c r="S48" s="2">
        <f>COUNTIFS('BA History'!$B:$B,$A$48,'BA History'!O:O, 1)</f>
        <v>0</v>
      </c>
      <c r="T48" s="2">
        <f>COUNTIFS('BA History'!$B:$B,$A$48,'BA History'!P:P, 1)</f>
        <v>0</v>
      </c>
      <c r="U48" s="2">
        <f>COUNTIFS('BA History'!$B:$B,$A$48,'BA History'!Q:Q, 1)</f>
        <v>1</v>
      </c>
      <c r="V48" s="2">
        <f>COUNTIFS('BA History'!$B:$B,$A$48,'BA History'!R:R, 1)</f>
        <v>1</v>
      </c>
      <c r="W48" s="2">
        <f>COUNTIFS('BA History'!$B:$B,$A$48,'BA History'!S:S, 1)</f>
        <v>0</v>
      </c>
      <c r="X48" s="2">
        <f>COUNTIFS('BA History'!$B:$B,$A$48,'BA History'!T:T, 1)</f>
        <v>0</v>
      </c>
      <c r="Y48" s="2">
        <f>COUNTIFS('BA History'!$B:$B,$A$48,'BA History'!U:U, 1)</f>
        <v>0</v>
      </c>
      <c r="Z48" s="2">
        <f>COUNTIFS('BA History'!$B:$B,$A$48,'BA History'!V:V, 1)</f>
        <v>1</v>
      </c>
      <c r="AA48" s="2">
        <f>COUNTIFS('BA History'!$B:$B,$A$48,'BA History'!W:W, 1)</f>
        <v>1</v>
      </c>
      <c r="AB48" s="2">
        <f>COUNTIFS('BA History'!$B:$B,$A$48,'BA History'!X:X, 1)</f>
        <v>1</v>
      </c>
      <c r="AC48" s="2">
        <f>COUNTIFS('BA History'!$B:$B,$A$48,'BA History'!Y:Y, 1)</f>
        <v>1</v>
      </c>
      <c r="AD48" s="2">
        <f>COUNTIFS('BA History'!$B:$B,$A$48,'BA History'!Z:Z, 1)</f>
        <v>2</v>
      </c>
      <c r="AE48" s="2">
        <f>COUNTIFS('BA History'!$B:$B,$A$48,'BA History'!AA:AA, 1)</f>
        <v>1</v>
      </c>
      <c r="AF48" s="2">
        <f>COUNTIFS('BA History'!$B:$B,$A$48,'BA History'!AB:AB, 1)</f>
        <v>1</v>
      </c>
      <c r="AG48" s="2">
        <f>COUNTIFS('BA History'!$B:$B,$A$48,'BA History'!AC:AC, 1)</f>
        <v>0</v>
      </c>
      <c r="AH48" s="2">
        <f>COUNTIFS('BA History'!$B:$B,$A$48,'BA History'!AD:AD, 1)</f>
        <v>2</v>
      </c>
      <c r="AI48" s="2">
        <f>COUNTIFS('BA History'!$B:$B,$A$48,'BA History'!AE:AE, 1)</f>
        <v>0</v>
      </c>
      <c r="AJ48" s="2">
        <f>COUNTIFS('BA History'!$B:$B,$A$48,'BA History'!AF:AF, 1)</f>
        <v>0</v>
      </c>
    </row>
    <row r="49" spans="1:36" x14ac:dyDescent="0.25">
      <c r="A49" s="2" t="s">
        <v>113</v>
      </c>
      <c r="B49" s="2" t="s">
        <v>79</v>
      </c>
      <c r="C49" s="34">
        <f>SUMIFS('BA History'!C:C,'BA History'!B:B,A49)</f>
        <v>393</v>
      </c>
      <c r="D49" s="66">
        <f>AVERAGEIFS('BA History'!C:C,'BA History'!B:B,A49)</f>
        <v>16.375</v>
      </c>
      <c r="E49" s="35">
        <f t="array" ref="E49">MAX(IF('BA History'!B:B=A49, 'BA History'!C:C))</f>
        <v>28</v>
      </c>
      <c r="F49" s="34">
        <f>COUNTIFS('BA History'!B:B,A49,'BA History'!D:D, 1)</f>
        <v>13</v>
      </c>
      <c r="G49" s="2">
        <f>COUNTIFS('BA History'!B:B,A49,'BA History'!D:D, 0)</f>
        <v>11</v>
      </c>
      <c r="H49" s="75">
        <f>LOOKUP(2, 1/('BA History'!$B:$B=A49), 'BA History'!$AJ:$AJ)</f>
        <v>0.54166666666666663</v>
      </c>
      <c r="I49" s="34">
        <f>SUMIFS('BA History'!F:F,'BA History'!B:B,A49)</f>
        <v>51</v>
      </c>
      <c r="J49" s="2">
        <f>SUMIFS('BA History'!E:E,'BA History'!B:B,A49)-I49</f>
        <v>43</v>
      </c>
      <c r="K49" s="75">
        <f>LOOKUP(2, 1/('BA History'!$B:$B=A49), 'BA History'!$AH:$AH)</f>
        <v>0.5541666666666667</v>
      </c>
      <c r="L49" s="34">
        <f>SUMIFS('BA History'!H:H,'BA History'!B:B,A49)</f>
        <v>194</v>
      </c>
      <c r="M49" s="2">
        <f>SUMIFS('BA History'!G:G,'BA History'!B:B,A49)-L49</f>
        <v>182</v>
      </c>
      <c r="N49" s="89">
        <f>LOOKUP(2, 1/('BA History'!$B:$B=A49), 'BA History'!$AI:$AI)</f>
        <v>0.51083333333333336</v>
      </c>
      <c r="O49" s="2">
        <f>COUNTIFS('BA History'!$B:$B,$A$49,'BA History'!K:K, 1)</f>
        <v>2</v>
      </c>
      <c r="P49" s="2">
        <f>COUNTIFS('BA History'!$B:$B,$A$49,'BA History'!L:L, 1)</f>
        <v>3</v>
      </c>
      <c r="Q49" s="2">
        <f>COUNTIFS('BA History'!$B:$B,$A$49,'BA History'!M:M, 1)</f>
        <v>9</v>
      </c>
      <c r="R49" s="2">
        <f>COUNTIFS('BA History'!$B:$B,$A$49,'BA History'!N:N, 1)</f>
        <v>6</v>
      </c>
      <c r="S49" s="2">
        <f>COUNTIFS('BA History'!$B:$B,$A$49,'BA History'!O:O, 1)</f>
        <v>1</v>
      </c>
      <c r="T49" s="2">
        <f>COUNTIFS('BA History'!$B:$B,$A$49,'BA History'!P:P, 1)</f>
        <v>0</v>
      </c>
      <c r="U49" s="2">
        <f>COUNTIFS('BA History'!$B:$B,$A$49,'BA History'!Q:Q, 1)</f>
        <v>2</v>
      </c>
      <c r="V49" s="2">
        <f>COUNTIFS('BA History'!$B:$B,$A$49,'BA History'!R:R, 1)</f>
        <v>1</v>
      </c>
      <c r="W49" s="2">
        <f>COUNTIFS('BA History'!$B:$B,$A$49,'BA History'!S:S, 1)</f>
        <v>0</v>
      </c>
      <c r="X49" s="2">
        <f>COUNTIFS('BA History'!$B:$B,$A$49,'BA History'!T:T, 1)</f>
        <v>0</v>
      </c>
      <c r="Y49" s="2">
        <f>COUNTIFS('BA History'!$B:$B,$A$49,'BA History'!U:U, 1)</f>
        <v>1</v>
      </c>
      <c r="Z49" s="2">
        <f>COUNTIFS('BA History'!$B:$B,$A$49,'BA History'!V:V, 1)</f>
        <v>3</v>
      </c>
      <c r="AA49" s="2">
        <f>COUNTIFS('BA History'!$B:$B,$A$49,'BA History'!W:W, 1)</f>
        <v>0</v>
      </c>
      <c r="AB49" s="2">
        <f>COUNTIFS('BA History'!$B:$B,$A$49,'BA History'!X:X, 1)</f>
        <v>0</v>
      </c>
      <c r="AC49" s="2">
        <f>COUNTIFS('BA History'!$B:$B,$A$49,'BA History'!Y:Y, 1)</f>
        <v>6</v>
      </c>
      <c r="AD49" s="2">
        <f>COUNTIFS('BA History'!$B:$B,$A$49,'BA History'!Z:Z, 1)</f>
        <v>3</v>
      </c>
      <c r="AE49" s="2">
        <f>COUNTIFS('BA History'!$B:$B,$A$49,'BA History'!AA:AA, 1)</f>
        <v>0</v>
      </c>
      <c r="AF49" s="2">
        <f>COUNTIFS('BA History'!$B:$B,$A$49,'BA History'!AB:AB, 1)</f>
        <v>5</v>
      </c>
      <c r="AG49" s="2">
        <f>COUNTIFS('BA History'!$B:$B,$A$49,'BA History'!AC:AC, 1)</f>
        <v>6</v>
      </c>
      <c r="AH49" s="2">
        <f>COUNTIFS('BA History'!$B:$B,$A$49,'BA History'!AD:AD, 1)</f>
        <v>2</v>
      </c>
      <c r="AI49" s="2">
        <f>COUNTIFS('BA History'!$B:$B,$A$49,'BA History'!AE:AE, 1)</f>
        <v>0</v>
      </c>
      <c r="AJ49" s="2">
        <f>COUNTIFS('BA History'!$B:$B,$A$49,'BA History'!AF:AF, 1)</f>
        <v>1</v>
      </c>
    </row>
    <row r="50" spans="1:36" x14ac:dyDescent="0.25">
      <c r="A50" s="2" t="s">
        <v>14</v>
      </c>
      <c r="B50" s="2" t="s">
        <v>79</v>
      </c>
      <c r="C50" s="34">
        <f>SUMIFS('BA History'!C:C,'BA History'!B:B,A50)</f>
        <v>296</v>
      </c>
      <c r="D50" s="66">
        <f>AVERAGEIFS('BA History'!C:C,'BA History'!B:B,A50)</f>
        <v>17.411764705882351</v>
      </c>
      <c r="E50" s="35">
        <f t="array" ref="E50">MAX(IF('BA History'!B:B=A50, 'BA History'!C:C))</f>
        <v>30</v>
      </c>
      <c r="F50" s="34">
        <f>COUNTIFS('BA History'!B:B,A50,'BA History'!D:D, 1)</f>
        <v>8</v>
      </c>
      <c r="G50" s="2">
        <f>COUNTIFS('BA History'!B:B,A50,'BA History'!D:D, 0)</f>
        <v>9</v>
      </c>
      <c r="H50" s="75">
        <f>LOOKUP(2, 1/('BA History'!$B:$B=A50), 'BA History'!$AJ:$AJ)</f>
        <v>0.47058823529411764</v>
      </c>
      <c r="I50" s="34">
        <f>SUMIFS('BA History'!F:F,'BA History'!B:B,A50)</f>
        <v>34</v>
      </c>
      <c r="J50" s="2">
        <f>SUMIFS('BA History'!E:E,'BA History'!B:B,A50)-I50</f>
        <v>37</v>
      </c>
      <c r="K50" s="75">
        <f>LOOKUP(2, 1/('BA History'!$B:$B=A50), 'BA History'!$AH:$AH)</f>
        <v>0.4864705882352941</v>
      </c>
      <c r="L50" s="34">
        <f>SUMIFS('BA History'!H:H,'BA History'!B:B,A50)</f>
        <v>150</v>
      </c>
      <c r="M50" s="2">
        <f>SUMIFS('BA History'!G:G,'BA History'!B:B,A50)-L50</f>
        <v>144</v>
      </c>
      <c r="N50" s="89">
        <f>LOOKUP(2, 1/('BA History'!$B:$B=A50), 'BA History'!$AI:$AI)</f>
        <v>0.51882352941176468</v>
      </c>
      <c r="O50" s="2">
        <f>COUNTIFS('BA History'!$B:$B,$A$50,'BA History'!K:K, 1)</f>
        <v>1</v>
      </c>
      <c r="P50" s="2">
        <f>COUNTIFS('BA History'!$B:$B,$A$50,'BA History'!L:L, 1)</f>
        <v>2</v>
      </c>
      <c r="Q50" s="2">
        <f>COUNTIFS('BA History'!$B:$B,$A$50,'BA History'!M:M, 1)</f>
        <v>0</v>
      </c>
      <c r="R50" s="2">
        <f>COUNTIFS('BA History'!$B:$B,$A$50,'BA History'!N:N, 1)</f>
        <v>1</v>
      </c>
      <c r="S50" s="2">
        <f>COUNTIFS('BA History'!$B:$B,$A$50,'BA History'!O:O, 1)</f>
        <v>0</v>
      </c>
      <c r="T50" s="2">
        <f>COUNTIFS('BA History'!$B:$B,$A$50,'BA History'!P:P, 1)</f>
        <v>0</v>
      </c>
      <c r="U50" s="2">
        <f>COUNTIFS('BA History'!$B:$B,$A$50,'BA History'!Q:Q, 1)</f>
        <v>3</v>
      </c>
      <c r="V50" s="2">
        <f>COUNTIFS('BA History'!$B:$B,$A$50,'BA History'!R:R, 1)</f>
        <v>1</v>
      </c>
      <c r="W50" s="2">
        <f>COUNTIFS('BA History'!$B:$B,$A$50,'BA History'!S:S, 1)</f>
        <v>0</v>
      </c>
      <c r="X50" s="2">
        <f>COUNTIFS('BA History'!$B:$B,$A$50,'BA History'!T:T, 1)</f>
        <v>1</v>
      </c>
      <c r="Y50" s="2">
        <f>COUNTIFS('BA History'!$B:$B,$A$50,'BA History'!U:U, 1)</f>
        <v>1</v>
      </c>
      <c r="Z50" s="2">
        <f>COUNTIFS('BA History'!$B:$B,$A$50,'BA History'!V:V, 1)</f>
        <v>1</v>
      </c>
      <c r="AA50" s="2">
        <f>COUNTIFS('BA History'!$B:$B,$A$50,'BA History'!W:W, 1)</f>
        <v>2</v>
      </c>
      <c r="AB50" s="2">
        <f>COUNTIFS('BA History'!$B:$B,$A$50,'BA History'!X:X, 1)</f>
        <v>1</v>
      </c>
      <c r="AC50" s="2">
        <f>COUNTIFS('BA History'!$B:$B,$A$50,'BA History'!Y:Y, 1)</f>
        <v>4</v>
      </c>
      <c r="AD50" s="2">
        <f>COUNTIFS('BA History'!$B:$B,$A$50,'BA History'!Z:Z, 1)</f>
        <v>6</v>
      </c>
      <c r="AE50" s="2">
        <f>COUNTIFS('BA History'!$B:$B,$A$50,'BA History'!AA:AA, 1)</f>
        <v>1</v>
      </c>
      <c r="AF50" s="2">
        <f>COUNTIFS('BA History'!$B:$B,$A$50,'BA History'!AB:AB, 1)</f>
        <v>6</v>
      </c>
      <c r="AG50" s="2">
        <f>COUNTIFS('BA History'!$B:$B,$A$50,'BA History'!AC:AC, 1)</f>
        <v>3</v>
      </c>
      <c r="AH50" s="2">
        <f>COUNTIFS('BA History'!$B:$B,$A$50,'BA History'!AD:AD, 1)</f>
        <v>0</v>
      </c>
      <c r="AI50" s="2">
        <f>COUNTIFS('BA History'!$B:$B,$A$50,'BA History'!AE:AE, 1)</f>
        <v>0</v>
      </c>
      <c r="AJ50" s="2">
        <f>COUNTIFS('BA History'!$B:$B,$A$50,'BA History'!AF:AF, 1)</f>
        <v>0</v>
      </c>
    </row>
    <row r="51" spans="1:36" x14ac:dyDescent="0.25">
      <c r="A51" s="2" t="s">
        <v>70</v>
      </c>
      <c r="B51" s="2" t="s">
        <v>79</v>
      </c>
      <c r="C51" s="34">
        <f>SUMIFS('BA History'!C:C,'BA History'!B:B,A51)</f>
        <v>73</v>
      </c>
      <c r="D51" s="66">
        <f>AVERAGEIFS('BA History'!C:C,'BA History'!B:B,A51)</f>
        <v>12.166666666666666</v>
      </c>
      <c r="E51" s="35">
        <f t="array" ref="E51">MAX(IF('BA History'!B:B=A51, 'BA History'!C:C))</f>
        <v>19</v>
      </c>
      <c r="F51" s="34">
        <f>COUNTIFS('BA History'!B:B,A51,'BA History'!D:D, 1)</f>
        <v>5</v>
      </c>
      <c r="G51" s="2">
        <f>COUNTIFS('BA History'!B:B,A51,'BA History'!D:D, 0)</f>
        <v>1</v>
      </c>
      <c r="H51" s="75">
        <f>LOOKUP(2, 1/('BA History'!$B:$B=A51), 'BA History'!$AJ:$AJ)</f>
        <v>0.83333333333333337</v>
      </c>
      <c r="I51" s="34">
        <f>SUMIFS('BA History'!F:F,'BA History'!B:B,A51)</f>
        <v>15</v>
      </c>
      <c r="J51" s="2">
        <f>SUMIFS('BA History'!E:E,'BA History'!B:B,A51)-I51</f>
        <v>10</v>
      </c>
      <c r="K51" s="75">
        <f>LOOKUP(2, 1/('BA History'!$B:$B=A51), 'BA History'!$AH:$AH)</f>
        <v>0.59166666666666667</v>
      </c>
      <c r="L51" s="34">
        <f>SUMIFS('BA History'!H:H,'BA History'!B:B,A51)</f>
        <v>56</v>
      </c>
      <c r="M51" s="2">
        <f>SUMIFS('BA History'!G:G,'BA History'!B:B,A51)-L51</f>
        <v>49</v>
      </c>
      <c r="N51" s="89">
        <f>LOOKUP(2, 1/('BA History'!$B:$B=A51), 'BA History'!$AI:$AI)</f>
        <v>0.53500000000000003</v>
      </c>
      <c r="O51" s="2">
        <f>COUNTIFS('BA History'!$B:$B,$A$51,'BA History'!K:K, 1)</f>
        <v>1</v>
      </c>
      <c r="P51" s="2">
        <f>COUNTIFS('BA History'!$B:$B,$A$51,'BA History'!L:L, 1)</f>
        <v>1</v>
      </c>
      <c r="Q51" s="2">
        <f>COUNTIFS('BA History'!$B:$B,$A$51,'BA History'!M:M, 1)</f>
        <v>2</v>
      </c>
      <c r="R51" s="2">
        <f>COUNTIFS('BA History'!$B:$B,$A$51,'BA History'!N:N, 1)</f>
        <v>2</v>
      </c>
      <c r="S51" s="2">
        <f>COUNTIFS('BA History'!$B:$B,$A$51,'BA History'!O:O, 1)</f>
        <v>0</v>
      </c>
      <c r="T51" s="2">
        <f>COUNTIFS('BA History'!$B:$B,$A$51,'BA History'!P:P, 1)</f>
        <v>0</v>
      </c>
      <c r="U51" s="2">
        <f>COUNTIFS('BA History'!$B:$B,$A$51,'BA History'!Q:Q, 1)</f>
        <v>0</v>
      </c>
      <c r="V51" s="2">
        <f>COUNTIFS('BA History'!$B:$B,$A$51,'BA History'!R:R, 1)</f>
        <v>1</v>
      </c>
      <c r="W51" s="2">
        <f>COUNTIFS('BA History'!$B:$B,$A$51,'BA History'!S:S, 1)</f>
        <v>0</v>
      </c>
      <c r="X51" s="2">
        <f>COUNTIFS('BA History'!$B:$B,$A$51,'BA History'!T:T, 1)</f>
        <v>0</v>
      </c>
      <c r="Y51" s="2">
        <f>COUNTIFS('BA History'!$B:$B,$A$51,'BA History'!U:U, 1)</f>
        <v>0</v>
      </c>
      <c r="Z51" s="2">
        <f>COUNTIFS('BA History'!$B:$B,$A$51,'BA History'!V:V, 1)</f>
        <v>1</v>
      </c>
      <c r="AA51" s="2">
        <f>COUNTIFS('BA History'!$B:$B,$A$51,'BA History'!W:W, 1)</f>
        <v>1</v>
      </c>
      <c r="AB51" s="2">
        <f>COUNTIFS('BA History'!$B:$B,$A$51,'BA History'!X:X, 1)</f>
        <v>0</v>
      </c>
      <c r="AC51" s="2">
        <f>COUNTIFS('BA History'!$B:$B,$A$51,'BA History'!Y:Y, 1)</f>
        <v>1</v>
      </c>
      <c r="AD51" s="2">
        <f>COUNTIFS('BA History'!$B:$B,$A$51,'BA History'!Z:Z, 1)</f>
        <v>0</v>
      </c>
      <c r="AE51" s="2">
        <f>COUNTIFS('BA History'!$B:$B,$A$51,'BA History'!AA:AA, 1)</f>
        <v>0</v>
      </c>
      <c r="AF51" s="2">
        <f>COUNTIFS('BA History'!$B:$B,$A$51,'BA History'!AB:AB, 1)</f>
        <v>0</v>
      </c>
      <c r="AG51" s="2">
        <f>COUNTIFS('BA History'!$B:$B,$A$51,'BA History'!AC:AC, 1)</f>
        <v>0</v>
      </c>
      <c r="AH51" s="2">
        <f>COUNTIFS('BA History'!$B:$B,$A$51,'BA History'!AD:AD, 1)</f>
        <v>3</v>
      </c>
      <c r="AI51" s="2">
        <f>COUNTIFS('BA History'!$B:$B,$A$51,'BA History'!AE:AE, 1)</f>
        <v>0</v>
      </c>
      <c r="AJ51" s="2">
        <f>COUNTIFS('BA History'!$B:$B,$A$51,'BA History'!AF:AF, 1)</f>
        <v>2</v>
      </c>
    </row>
    <row r="52" spans="1:36" ht="15.75" x14ac:dyDescent="0.25">
      <c r="A52" s="2" t="s">
        <v>4</v>
      </c>
      <c r="B52" s="80" t="s">
        <v>60</v>
      </c>
      <c r="C52" s="34">
        <f>SUMIFS('BA History'!C:C,'BA History'!B:B,A52)</f>
        <v>588</v>
      </c>
      <c r="D52" s="66">
        <f>AVERAGEIFS('BA History'!C:C,'BA History'!B:B,A52)</f>
        <v>23.52</v>
      </c>
      <c r="E52" s="35">
        <f t="array" ref="E52">MAX(IF('BA History'!B:B=A52, 'BA History'!C:C))</f>
        <v>41</v>
      </c>
      <c r="F52" s="34">
        <f>COUNTIFS('BA History'!B:B,A52,'BA History'!D:D, 1)</f>
        <v>7</v>
      </c>
      <c r="G52" s="2">
        <f>COUNTIFS('BA History'!B:B,A52,'BA History'!D:D, 0)</f>
        <v>18</v>
      </c>
      <c r="H52" s="75">
        <f>LOOKUP(2, 1/('BA History'!$B:$B=A52), 'BA History'!$AJ:$AJ)</f>
        <v>0.28000000000000003</v>
      </c>
      <c r="I52" s="34">
        <f>SUMIFS('BA History'!F:F,'BA History'!B:B,A52)</f>
        <v>42</v>
      </c>
      <c r="J52" s="2">
        <f>SUMIFS('BA History'!E:E,'BA History'!B:B,A52)-I52</f>
        <v>60</v>
      </c>
      <c r="K52" s="75">
        <f>LOOKUP(2, 1/('BA History'!$B:$B=A52), 'BA History'!$AH:$AH)</f>
        <v>0.41399999999999998</v>
      </c>
      <c r="L52" s="34">
        <f>SUMIFS('BA History'!H:H,'BA History'!B:B,A52)</f>
        <v>189</v>
      </c>
      <c r="M52" s="2">
        <f>SUMIFS('BA History'!G:G,'BA History'!B:B,A52)-L52</f>
        <v>226</v>
      </c>
      <c r="N52" s="89">
        <f>LOOKUP(2, 1/('BA History'!$B:$B=A52), 'BA History'!$AI:$AI)</f>
        <v>0.45039999999999997</v>
      </c>
      <c r="O52" s="2">
        <f>COUNTIFS('BA History'!$B:$B,$A$52,'BA History'!K:K, 1)</f>
        <v>1</v>
      </c>
      <c r="P52" s="2">
        <f>COUNTIFS('BA History'!$B:$B,$A$52,'BA History'!L:L, 1)</f>
        <v>6</v>
      </c>
      <c r="Q52" s="2">
        <f>COUNTIFS('BA History'!$B:$B,$A$52,'BA History'!M:M, 1)</f>
        <v>3</v>
      </c>
      <c r="R52" s="2">
        <f>COUNTIFS('BA History'!$B:$B,$A$52,'BA History'!N:N, 1)</f>
        <v>6</v>
      </c>
      <c r="S52" s="2">
        <f>COUNTIFS('BA History'!$B:$B,$A$52,'BA History'!O:O, 1)</f>
        <v>1</v>
      </c>
      <c r="T52" s="2">
        <f>COUNTIFS('BA History'!$B:$B,$A$52,'BA History'!P:P, 1)</f>
        <v>0</v>
      </c>
      <c r="U52" s="2">
        <f>COUNTIFS('BA History'!$B:$B,$A$52,'BA History'!Q:Q, 1)</f>
        <v>1</v>
      </c>
      <c r="V52" s="2">
        <f>COUNTIFS('BA History'!$B:$B,$A$52,'BA History'!R:R, 1)</f>
        <v>0</v>
      </c>
      <c r="W52" s="2">
        <f>COUNTIFS('BA History'!$B:$B,$A$52,'BA History'!S:S, 1)</f>
        <v>0</v>
      </c>
      <c r="X52" s="2">
        <f>COUNTIFS('BA History'!$B:$B,$A$52,'BA History'!T:T, 1)</f>
        <v>0</v>
      </c>
      <c r="Y52" s="2">
        <f>COUNTIFS('BA History'!$B:$B,$A$52,'BA History'!U:U, 1)</f>
        <v>2</v>
      </c>
      <c r="Z52" s="2">
        <f>COUNTIFS('BA History'!$B:$B,$A$52,'BA History'!V:V, 1)</f>
        <v>1</v>
      </c>
      <c r="AA52" s="2">
        <f>COUNTIFS('BA History'!$B:$B,$A$52,'BA History'!W:W, 1)</f>
        <v>0</v>
      </c>
      <c r="AB52" s="2">
        <f>COUNTIFS('BA History'!$B:$B,$A$52,'BA History'!X:X, 1)</f>
        <v>0</v>
      </c>
      <c r="AC52" s="2">
        <f>COUNTIFS('BA History'!$B:$B,$A$52,'BA History'!Y:Y, 1)</f>
        <v>7</v>
      </c>
      <c r="AD52" s="2">
        <f>COUNTIFS('BA History'!$B:$B,$A$52,'BA History'!Z:Z, 1)</f>
        <v>2</v>
      </c>
      <c r="AE52" s="2">
        <f>COUNTIFS('BA History'!$B:$B,$A$52,'BA History'!AA:AA, 1)</f>
        <v>0</v>
      </c>
      <c r="AF52" s="2">
        <f>COUNTIFS('BA History'!$B:$B,$A$52,'BA History'!AB:AB, 1)</f>
        <v>3</v>
      </c>
      <c r="AG52" s="2">
        <f>COUNTIFS('BA History'!$B:$B,$A$52,'BA History'!AC:AC, 1)</f>
        <v>5</v>
      </c>
      <c r="AH52" s="2">
        <f>COUNTIFS('BA History'!$B:$B,$A$52,'BA History'!AD:AD, 1)</f>
        <v>3</v>
      </c>
      <c r="AI52" s="2">
        <f>COUNTIFS('BA History'!$B:$B,$A$52,'BA History'!AE:AE, 1)</f>
        <v>0</v>
      </c>
      <c r="AJ52" s="2">
        <f>COUNTIFS('BA History'!$B:$B,$A$52,'BA History'!AF:AF, 1)</f>
        <v>1</v>
      </c>
    </row>
    <row r="53" spans="1:36" x14ac:dyDescent="0.25">
      <c r="A53" s="1" t="s">
        <v>107</v>
      </c>
      <c r="B53" s="2" t="s">
        <v>79</v>
      </c>
      <c r="C53" s="34">
        <f>SUMIFS('BA History'!C:C,'BA History'!B:B,A53)</f>
        <v>507</v>
      </c>
      <c r="D53" s="66">
        <f>AVERAGEIFS('BA History'!C:C,'BA History'!B:B,A53)</f>
        <v>16.899999999999999</v>
      </c>
      <c r="E53" s="35">
        <f t="array" ref="E53">MAX(IF('BA History'!B:B=A53, 'BA History'!C:C))</f>
        <v>35</v>
      </c>
      <c r="F53" s="34">
        <f>COUNTIFS('BA History'!B:B,A53,'BA History'!D:D, 1)</f>
        <v>17</v>
      </c>
      <c r="G53" s="2">
        <f>COUNTIFS('BA History'!B:B,A53,'BA History'!D:D, 0)</f>
        <v>13</v>
      </c>
      <c r="H53" s="75">
        <f>LOOKUP(2, 1/('BA History'!$B:$B=A53), 'BA History'!$AJ:$AJ)</f>
        <v>0.56666666666666665</v>
      </c>
      <c r="I53" s="34">
        <f>SUMIFS('BA History'!F:F,'BA History'!B:B,A53)</f>
        <v>66</v>
      </c>
      <c r="J53" s="2">
        <f>SUMIFS('BA History'!E:E,'BA History'!B:B,A53)-I53</f>
        <v>57</v>
      </c>
      <c r="K53" s="75">
        <f>LOOKUP(2, 1/('BA History'!$B:$B=A53), 'BA History'!$AH:$AH)</f>
        <v>0.53833333333333333</v>
      </c>
      <c r="L53" s="34">
        <f>SUMIFS('BA History'!H:H,'BA History'!B:B,A53)</f>
        <v>271</v>
      </c>
      <c r="M53" s="2">
        <f>SUMIFS('BA History'!G:G,'BA History'!B:B,A53)-L53</f>
        <v>241</v>
      </c>
      <c r="N53" s="89">
        <f>LOOKUP(2, 1/('BA History'!$B:$B=A53), 'BA History'!$AI:$AI)</f>
        <v>0.53066666666666673</v>
      </c>
      <c r="O53" s="2">
        <f>COUNTIFS('BA History'!$B:$B,$A$53,'BA History'!K:K, 1)</f>
        <v>3</v>
      </c>
      <c r="P53" s="2">
        <f>COUNTIFS('BA History'!$B:$B,$A$53,'BA History'!L:L, 1)</f>
        <v>2</v>
      </c>
      <c r="Q53" s="2">
        <f>COUNTIFS('BA History'!$B:$B,$A$53,'BA History'!M:M, 1)</f>
        <v>8</v>
      </c>
      <c r="R53" s="2">
        <f>COUNTIFS('BA History'!$B:$B,$A$53,'BA History'!N:N, 1)</f>
        <v>10</v>
      </c>
      <c r="S53" s="2">
        <f>COUNTIFS('BA History'!$B:$B,$A$53,'BA History'!O:O, 1)</f>
        <v>2</v>
      </c>
      <c r="T53" s="2">
        <f>COUNTIFS('BA History'!$B:$B,$A$53,'BA History'!P:P, 1)</f>
        <v>1</v>
      </c>
      <c r="U53" s="2">
        <f>COUNTIFS('BA History'!$B:$B,$A$53,'BA History'!Q:Q, 1)</f>
        <v>2</v>
      </c>
      <c r="V53" s="2">
        <f>COUNTIFS('BA History'!$B:$B,$A$53,'BA History'!R:R, 1)</f>
        <v>1</v>
      </c>
      <c r="W53" s="2">
        <f>COUNTIFS('BA History'!$B:$B,$A$53,'BA History'!S:S, 1)</f>
        <v>1</v>
      </c>
      <c r="X53" s="2">
        <f>COUNTIFS('BA History'!$B:$B,$A$53,'BA History'!T:T, 1)</f>
        <v>0</v>
      </c>
      <c r="Y53" s="2">
        <f>COUNTIFS('BA History'!$B:$B,$A$53,'BA History'!U:U, 1)</f>
        <v>0</v>
      </c>
      <c r="Z53" s="2">
        <f>COUNTIFS('BA History'!$B:$B,$A$53,'BA History'!V:V, 1)</f>
        <v>2</v>
      </c>
      <c r="AA53" s="2">
        <f>COUNTIFS('BA History'!$B:$B,$A$53,'BA History'!W:W, 1)</f>
        <v>2</v>
      </c>
      <c r="AB53" s="2">
        <f>COUNTIFS('BA History'!$B:$B,$A$53,'BA History'!X:X, 1)</f>
        <v>0</v>
      </c>
      <c r="AC53" s="2">
        <f>COUNTIFS('BA History'!$B:$B,$A$53,'BA History'!Y:Y, 1)</f>
        <v>6</v>
      </c>
      <c r="AD53" s="2">
        <f>COUNTIFS('BA History'!$B:$B,$A$53,'BA History'!Z:Z, 1)</f>
        <v>7</v>
      </c>
      <c r="AE53" s="2">
        <f>COUNTIFS('BA History'!$B:$B,$A$53,'BA History'!AA:AA, 1)</f>
        <v>1</v>
      </c>
      <c r="AF53" s="2">
        <f>COUNTIFS('BA History'!$B:$B,$A$53,'BA History'!AB:AB, 1)</f>
        <v>5</v>
      </c>
      <c r="AG53" s="2">
        <f>COUNTIFS('BA History'!$B:$B,$A$53,'BA History'!AC:AC, 1)</f>
        <v>3</v>
      </c>
      <c r="AH53" s="2">
        <f>COUNTIFS('BA History'!$B:$B,$A$53,'BA History'!AD:AD, 1)</f>
        <v>6</v>
      </c>
      <c r="AI53" s="2">
        <f>COUNTIFS('BA History'!$B:$B,$A$53,'BA History'!AE:AE, 1)</f>
        <v>0</v>
      </c>
      <c r="AJ53" s="2">
        <f>COUNTIFS('BA History'!$B:$B,$A$53,'BA History'!AF:AF, 1)</f>
        <v>4</v>
      </c>
    </row>
    <row r="54" spans="1:36" x14ac:dyDescent="0.25">
      <c r="A54" s="2" t="s">
        <v>94</v>
      </c>
      <c r="B54" s="2" t="s">
        <v>79</v>
      </c>
      <c r="C54" s="34">
        <f>SUMIFS('BA History'!C:C,'BA History'!B:B,A54)</f>
        <v>18</v>
      </c>
      <c r="D54" s="66">
        <f>AVERAGEIFS('BA History'!C:C,'BA History'!B:B,A54)</f>
        <v>18</v>
      </c>
      <c r="E54" s="35">
        <f t="array" ref="E54">MAX(IF('BA History'!B:B=A54, 'BA History'!C:C))</f>
        <v>18</v>
      </c>
      <c r="F54" s="34">
        <f>COUNTIFS('BA History'!B:B,A54,'BA History'!D:D, 1)</f>
        <v>1</v>
      </c>
      <c r="G54" s="2">
        <f>COUNTIFS('BA History'!B:B,A54,'BA History'!D:D, 0)</f>
        <v>0</v>
      </c>
      <c r="H54" s="75">
        <f>LOOKUP(2, 1/('BA History'!$B:$B=A54), 'BA History'!$AJ:$AJ)</f>
        <v>1</v>
      </c>
      <c r="I54" s="34">
        <f>SUMIFS('BA History'!F:F,'BA History'!B:B,A54)</f>
        <v>3</v>
      </c>
      <c r="J54" s="2">
        <f>SUMIFS('BA History'!E:E,'BA History'!B:B,A54)-I54</f>
        <v>2</v>
      </c>
      <c r="K54" s="75">
        <f>LOOKUP(2, 1/('BA History'!$B:$B=A54), 'BA History'!$AH:$AH)</f>
        <v>0.6</v>
      </c>
      <c r="L54" s="34">
        <f>SUMIFS('BA History'!H:H,'BA History'!B:B,A54)</f>
        <v>11</v>
      </c>
      <c r="M54" s="2">
        <f>SUMIFS('BA History'!G:G,'BA History'!B:B,A54)-L54</f>
        <v>10</v>
      </c>
      <c r="N54" s="89">
        <f>LOOKUP(2, 1/('BA History'!$B:$B=A54), 'BA History'!$AI:$AI)</f>
        <v>0.52</v>
      </c>
      <c r="O54" s="2">
        <f>COUNTIFS('BA History'!$B:$B,$A$54,'BA History'!K:K, 1)</f>
        <v>0</v>
      </c>
      <c r="P54" s="2">
        <f>COUNTIFS('BA History'!$B:$B,$A$54,'BA History'!L:L, 1)</f>
        <v>0</v>
      </c>
      <c r="Q54" s="2">
        <f>COUNTIFS('BA History'!$B:$B,$A$54,'BA History'!M:M, 1)</f>
        <v>0</v>
      </c>
      <c r="R54" s="2">
        <f>COUNTIFS('BA History'!$B:$B,$A$54,'BA History'!N:N, 1)</f>
        <v>0</v>
      </c>
      <c r="S54" s="2">
        <f>COUNTIFS('BA History'!$B:$B,$A$54,'BA History'!O:O, 1)</f>
        <v>0</v>
      </c>
      <c r="T54" s="2">
        <f>COUNTIFS('BA History'!$B:$B,$A$54,'BA History'!P:P, 1)</f>
        <v>0</v>
      </c>
      <c r="U54" s="2">
        <f>COUNTIFS('BA History'!$B:$B,$A$54,'BA History'!Q:Q, 1)</f>
        <v>0</v>
      </c>
      <c r="V54" s="2">
        <f>COUNTIFS('BA History'!$B:$B,$A$54,'BA History'!R:R, 1)</f>
        <v>0</v>
      </c>
      <c r="W54" s="2">
        <f>COUNTIFS('BA History'!$B:$B,$A$54,'BA History'!S:S, 1)</f>
        <v>0</v>
      </c>
      <c r="X54" s="2">
        <f>COUNTIFS('BA History'!$B:$B,$A$54,'BA History'!T:T, 1)</f>
        <v>0</v>
      </c>
      <c r="Y54" s="2">
        <f>COUNTIFS('BA History'!$B:$B,$A$54,'BA History'!U:U, 1)</f>
        <v>0</v>
      </c>
      <c r="Z54" s="2">
        <f>COUNTIFS('BA History'!$B:$B,$A$54,'BA History'!V:V, 1)</f>
        <v>0</v>
      </c>
      <c r="AA54" s="2">
        <f>COUNTIFS('BA History'!$B:$B,$A$54,'BA History'!W:W, 1)</f>
        <v>1</v>
      </c>
      <c r="AB54" s="2">
        <f>COUNTIFS('BA History'!$B:$B,$A$54,'BA History'!X:X, 1)</f>
        <v>1</v>
      </c>
      <c r="AC54" s="2">
        <f>COUNTIFS('BA History'!$B:$B,$A$54,'BA History'!Y:Y, 1)</f>
        <v>0</v>
      </c>
      <c r="AD54" s="2">
        <f>COUNTIFS('BA History'!$B:$B,$A$54,'BA History'!Z:Z, 1)</f>
        <v>1</v>
      </c>
      <c r="AE54" s="2">
        <f>COUNTIFS('BA History'!$B:$B,$A$54,'BA History'!AA:AA, 1)</f>
        <v>0</v>
      </c>
      <c r="AF54" s="2">
        <f>COUNTIFS('BA History'!$B:$B,$A$54,'BA History'!AB:AB, 1)</f>
        <v>0</v>
      </c>
      <c r="AG54" s="2">
        <f>COUNTIFS('BA History'!$B:$B,$A$54,'BA History'!AC:AC, 1)</f>
        <v>0</v>
      </c>
      <c r="AH54" s="2">
        <f>COUNTIFS('BA History'!$B:$B,$A$54,'BA History'!AD:AD, 1)</f>
        <v>0</v>
      </c>
      <c r="AI54" s="2">
        <f>COUNTIFS('BA History'!$B:$B,$A$54,'BA History'!AE:AE, 1)</f>
        <v>0</v>
      </c>
      <c r="AJ54" s="2">
        <f>COUNTIFS('BA History'!$B:$B,$A$54,'BA History'!AF:AF, 1)</f>
        <v>0</v>
      </c>
    </row>
    <row r="55" spans="1:36" ht="15.75" thickBot="1" x14ac:dyDescent="0.3">
      <c r="A55" s="2" t="s">
        <v>55</v>
      </c>
      <c r="B55" s="2" t="s">
        <v>79</v>
      </c>
      <c r="C55" s="34">
        <f>SUMIFS('BA History'!C:C,'BA History'!B:B,A55)</f>
        <v>2</v>
      </c>
      <c r="D55" s="66">
        <f>AVERAGEIFS('BA History'!C:C,'BA History'!B:B,A55)</f>
        <v>2</v>
      </c>
      <c r="E55" s="35">
        <f t="array" ref="E55">MAX(IF('BA History'!B:B=A55, 'BA History'!C:C))</f>
        <v>2</v>
      </c>
      <c r="F55" s="34">
        <f>COUNTIFS('BA History'!B:B,A55,'BA History'!D:D, 1)</f>
        <v>0</v>
      </c>
      <c r="G55" s="2">
        <f>COUNTIFS('BA History'!B:B,A55,'BA History'!D:D, 0)</f>
        <v>1</v>
      </c>
      <c r="H55" s="75">
        <f>LOOKUP(2, 1/('BA History'!$B:$B=A55), 'BA History'!$AJ:$AJ)</f>
        <v>0</v>
      </c>
      <c r="I55" s="34">
        <f>SUMIFS('BA History'!F:F,'BA History'!B:B,A55)</f>
        <v>0</v>
      </c>
      <c r="J55" s="2">
        <f>SUMIFS('BA History'!E:E,'BA History'!B:B,A55)-I55</f>
        <v>3</v>
      </c>
      <c r="K55" s="75">
        <f>LOOKUP(2, 1/('BA History'!$B:$B=A55), 'BA History'!$AH:$AH)</f>
        <v>0</v>
      </c>
      <c r="L55" s="34">
        <f>SUMIFS('BA History'!H:H,'BA History'!B:B,A55)</f>
        <v>4</v>
      </c>
      <c r="M55" s="48">
        <v>9</v>
      </c>
      <c r="N55" s="89">
        <f>LOOKUP(2, 1/('BA History'!$B:$B=A55), 'BA History'!$AI:$AI)</f>
        <v>0.31</v>
      </c>
      <c r="O55" s="2">
        <f>COUNTIFS('BA History'!$B:$B,$A$55,'BA History'!K:K, 1)</f>
        <v>0</v>
      </c>
      <c r="P55" s="2">
        <f>COUNTIFS('BA History'!$B:$B,$A$55,'BA History'!L:L, 1)</f>
        <v>0</v>
      </c>
      <c r="Q55" s="2">
        <f>COUNTIFS('BA History'!$B:$B,$A$55,'BA History'!M:M, 1)</f>
        <v>0</v>
      </c>
      <c r="R55" s="2">
        <f>COUNTIFS('BA History'!$B:$B,$A$55,'BA History'!N:N, 1)</f>
        <v>0</v>
      </c>
      <c r="S55" s="2">
        <f>COUNTIFS('BA History'!$B:$B,$A$55,'BA History'!O:O, 1)</f>
        <v>0</v>
      </c>
      <c r="T55" s="2">
        <f>COUNTIFS('BA History'!$B:$B,$A$55,'BA History'!P:P, 1)</f>
        <v>0</v>
      </c>
      <c r="U55" s="2">
        <f>COUNTIFS('BA History'!$B:$B,$A$55,'BA History'!Q:Q, 1)</f>
        <v>0</v>
      </c>
      <c r="V55" s="2">
        <f>COUNTIFS('BA History'!$B:$B,$A$55,'BA History'!R:R, 1)</f>
        <v>0</v>
      </c>
      <c r="W55" s="2">
        <f>COUNTIFS('BA History'!$B:$B,$A$55,'BA History'!S:S, 1)</f>
        <v>0</v>
      </c>
      <c r="X55" s="2">
        <f>COUNTIFS('BA History'!$B:$B,$A$55,'BA History'!T:T, 1)</f>
        <v>0</v>
      </c>
      <c r="Y55" s="2">
        <f>COUNTIFS('BA History'!$B:$B,$A$55,'BA History'!U:U, 1)</f>
        <v>0</v>
      </c>
      <c r="Z55" s="2">
        <f>COUNTIFS('BA History'!$B:$B,$A$55,'BA History'!V:V, 1)</f>
        <v>0</v>
      </c>
      <c r="AA55" s="2">
        <f>COUNTIFS('BA History'!$B:$B,$A$55,'BA History'!W:W, 1)</f>
        <v>0</v>
      </c>
      <c r="AB55" s="2">
        <f>COUNTIFS('BA History'!$B:$B,$A$55,'BA History'!X:X, 1)</f>
        <v>0</v>
      </c>
      <c r="AC55" s="2">
        <f>COUNTIFS('BA History'!$B:$B,$A$55,'BA History'!Y:Y, 1)</f>
        <v>0</v>
      </c>
      <c r="AD55" s="2">
        <f>COUNTIFS('BA History'!$B:$B,$A$55,'BA History'!Z:Z, 1)</f>
        <v>0</v>
      </c>
      <c r="AE55" s="2">
        <f>COUNTIFS('BA History'!$B:$B,$A$55,'BA History'!AA:AA, 1)</f>
        <v>0</v>
      </c>
      <c r="AF55" s="2">
        <f>COUNTIFS('BA History'!$B:$B,$A$55,'BA History'!AB:AB, 1)</f>
        <v>0</v>
      </c>
      <c r="AG55" s="2">
        <f>COUNTIFS('BA History'!$B:$B,$A$55,'BA History'!AC:AC, 1)</f>
        <v>0</v>
      </c>
      <c r="AH55" s="2">
        <f>COUNTIFS('BA History'!$B:$B,$A$55,'BA History'!AD:AD, 1)</f>
        <v>0</v>
      </c>
      <c r="AI55" s="2">
        <f>COUNTIFS('BA History'!$B:$B,$A$55,'BA History'!AE:AE, 1)</f>
        <v>0</v>
      </c>
      <c r="AJ55" s="2">
        <f>COUNTIFS('BA History'!$B:$B,$A$55,'BA History'!AF:AF, 1)</f>
        <v>0</v>
      </c>
    </row>
  </sheetData>
  <autoFilter ref="A1:AJ55" xr:uid="{DA548192-1F03-46EA-8AB8-115EB9A7CE5D}">
    <sortState xmlns:xlrd2="http://schemas.microsoft.com/office/spreadsheetml/2017/richdata2" ref="A2:AJ55">
      <sortCondition ref="A1:A55"/>
    </sortState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48192-1F03-46EA-8AB8-115EB9A7CE5D}">
  <dimension ref="A1:AH47"/>
  <sheetViews>
    <sheetView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E64" sqref="E64"/>
    </sheetView>
  </sheetViews>
  <sheetFormatPr defaultRowHeight="15" x14ac:dyDescent="0.25"/>
  <cols>
    <col min="1" max="1" width="11.5703125" bestFit="1" customWidth="1"/>
    <col min="4" max="4" width="17.140625" customWidth="1"/>
    <col min="5" max="15" width="9.140625" style="1"/>
    <col min="16" max="16" width="12" style="1" customWidth="1"/>
    <col min="17" max="19" width="9.140625" style="1"/>
    <col min="20" max="20" width="11.7109375" style="1" bestFit="1" customWidth="1"/>
    <col min="21" max="21" width="14.5703125" style="1" customWidth="1"/>
    <col min="22" max="24" width="9.140625" style="1"/>
    <col min="25" max="25" width="11.85546875" style="1" bestFit="1" customWidth="1"/>
    <col min="26" max="26" width="9.140625" style="1"/>
    <col min="27" max="27" width="13" style="1" customWidth="1"/>
    <col min="28" max="28" width="13.140625" style="1" customWidth="1"/>
    <col min="29" max="29" width="9.140625" style="1"/>
    <col min="30" max="30" width="12.85546875" style="1" customWidth="1"/>
    <col min="31" max="31" width="9.140625" style="1"/>
    <col min="32" max="32" width="12.42578125" style="1" bestFit="1" customWidth="1"/>
    <col min="33" max="33" width="12.42578125" style="1" customWidth="1"/>
    <col min="34" max="34" width="9.140625" style="1"/>
  </cols>
  <sheetData>
    <row r="1" spans="1:34" ht="30.75" thickBot="1" x14ac:dyDescent="0.3">
      <c r="A1" s="3" t="s">
        <v>0</v>
      </c>
      <c r="B1" s="31" t="s">
        <v>7</v>
      </c>
      <c r="C1" s="32" t="s">
        <v>36</v>
      </c>
      <c r="D1" s="33" t="s">
        <v>49</v>
      </c>
      <c r="E1" s="51" t="s">
        <v>97</v>
      </c>
      <c r="F1" s="52" t="s">
        <v>98</v>
      </c>
      <c r="G1" s="46" t="s">
        <v>123</v>
      </c>
      <c r="H1" s="51" t="s">
        <v>64</v>
      </c>
      <c r="I1" s="52" t="s">
        <v>101</v>
      </c>
      <c r="J1" s="46" t="s">
        <v>121</v>
      </c>
      <c r="K1" s="51" t="s">
        <v>99</v>
      </c>
      <c r="L1" s="52" t="s">
        <v>100</v>
      </c>
      <c r="M1" s="46" t="s">
        <v>122</v>
      </c>
      <c r="N1" s="68" t="s">
        <v>93</v>
      </c>
      <c r="O1" s="69" t="s">
        <v>41</v>
      </c>
      <c r="P1" s="69" t="s">
        <v>69</v>
      </c>
      <c r="Q1" s="70" t="s">
        <v>63</v>
      </c>
      <c r="R1" s="70" t="s">
        <v>116</v>
      </c>
      <c r="S1" s="69" t="s">
        <v>112</v>
      </c>
      <c r="T1" s="70" t="s">
        <v>32</v>
      </c>
      <c r="U1" s="69" t="s">
        <v>106</v>
      </c>
      <c r="V1" s="70" t="s">
        <v>62</v>
      </c>
      <c r="W1" s="69" t="s">
        <v>73</v>
      </c>
      <c r="X1" s="69" t="s">
        <v>91</v>
      </c>
      <c r="Y1" s="70" t="s">
        <v>95</v>
      </c>
      <c r="Z1" s="69" t="s">
        <v>92</v>
      </c>
      <c r="AA1" s="70" t="s">
        <v>67</v>
      </c>
      <c r="AB1" s="70" t="s">
        <v>56</v>
      </c>
      <c r="AC1" s="69" t="s">
        <v>104</v>
      </c>
      <c r="AD1" s="69" t="s">
        <v>66</v>
      </c>
      <c r="AE1" s="69" t="s">
        <v>72</v>
      </c>
      <c r="AF1" s="70" t="s">
        <v>68</v>
      </c>
      <c r="AG1" s="70" t="s">
        <v>135</v>
      </c>
      <c r="AH1" s="71" t="s">
        <v>96</v>
      </c>
    </row>
    <row r="2" spans="1:34" x14ac:dyDescent="0.25">
      <c r="A2" s="2" t="s">
        <v>37</v>
      </c>
      <c r="B2" s="34">
        <v>95</v>
      </c>
      <c r="C2" s="66">
        <f t="shared" ref="C2:C12" si="0">B2/(E2+F2)</f>
        <v>13.571428571428571</v>
      </c>
      <c r="D2" s="35">
        <v>19</v>
      </c>
      <c r="E2" s="34">
        <v>3</v>
      </c>
      <c r="F2" s="2">
        <v>4</v>
      </c>
      <c r="G2" s="75">
        <f t="shared" ref="G2:G12" si="1">E2/(E2+F2)</f>
        <v>0.42857142857142855</v>
      </c>
      <c r="H2" s="34">
        <v>17</v>
      </c>
      <c r="I2" s="2">
        <v>14</v>
      </c>
      <c r="J2" s="75">
        <f t="shared" ref="J2:J12" si="2">H2/(H2+I2)</f>
        <v>0.54838709677419351</v>
      </c>
      <c r="K2" s="34">
        <v>69</v>
      </c>
      <c r="L2" s="2">
        <v>62</v>
      </c>
      <c r="M2" s="75">
        <f t="shared" ref="M2:M12" si="3">K2/(K2+L2)</f>
        <v>0.52671755725190839</v>
      </c>
      <c r="N2" s="34">
        <v>1</v>
      </c>
      <c r="O2" s="2">
        <v>1</v>
      </c>
      <c r="P2" s="2">
        <v>2</v>
      </c>
      <c r="Q2" s="2">
        <v>0</v>
      </c>
      <c r="R2" s="2">
        <v>0</v>
      </c>
      <c r="S2" s="2">
        <v>0</v>
      </c>
      <c r="T2" s="2">
        <v>0</v>
      </c>
      <c r="U2" s="2">
        <v>2</v>
      </c>
      <c r="V2" s="2">
        <v>0</v>
      </c>
      <c r="W2" s="2">
        <v>0</v>
      </c>
      <c r="X2" s="2">
        <v>2</v>
      </c>
      <c r="Y2" s="2">
        <v>0</v>
      </c>
      <c r="Z2" s="2">
        <v>0</v>
      </c>
      <c r="AA2" s="2">
        <v>2</v>
      </c>
      <c r="AB2" s="2">
        <v>1</v>
      </c>
      <c r="AC2" s="2">
        <v>0</v>
      </c>
      <c r="AD2" s="2">
        <v>1</v>
      </c>
      <c r="AE2" s="2">
        <v>2</v>
      </c>
      <c r="AF2" s="2">
        <v>1</v>
      </c>
      <c r="AG2" s="2">
        <v>0</v>
      </c>
      <c r="AH2" s="47">
        <v>2</v>
      </c>
    </row>
    <row r="3" spans="1:34" x14ac:dyDescent="0.25">
      <c r="A3" s="2" t="s">
        <v>103</v>
      </c>
      <c r="B3" s="34">
        <v>17</v>
      </c>
      <c r="C3" s="66">
        <f t="shared" si="0"/>
        <v>8.5</v>
      </c>
      <c r="D3" s="47">
        <v>9</v>
      </c>
      <c r="E3" s="34">
        <v>0</v>
      </c>
      <c r="F3" s="2">
        <v>2</v>
      </c>
      <c r="G3" s="75">
        <f t="shared" si="1"/>
        <v>0</v>
      </c>
      <c r="H3" s="34">
        <v>3</v>
      </c>
      <c r="I3" s="2">
        <v>6</v>
      </c>
      <c r="J3" s="75">
        <f t="shared" si="2"/>
        <v>0.33333333333333331</v>
      </c>
      <c r="K3" s="34">
        <v>15</v>
      </c>
      <c r="L3" s="2">
        <v>22</v>
      </c>
      <c r="M3" s="75">
        <f t="shared" si="3"/>
        <v>0.40540540540540543</v>
      </c>
      <c r="N3" s="34">
        <v>0</v>
      </c>
      <c r="O3" s="2">
        <v>0</v>
      </c>
      <c r="P3" s="2">
        <v>0</v>
      </c>
      <c r="Q3" s="2">
        <v>1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1</v>
      </c>
      <c r="AC3" s="2">
        <v>0</v>
      </c>
      <c r="AD3" s="2">
        <v>0</v>
      </c>
      <c r="AE3" s="2">
        <v>0</v>
      </c>
      <c r="AF3" s="2">
        <v>1</v>
      </c>
      <c r="AG3" s="2">
        <v>0</v>
      </c>
      <c r="AH3" s="47">
        <v>0</v>
      </c>
    </row>
    <row r="4" spans="1:34" x14ac:dyDescent="0.25">
      <c r="A4" s="2" t="s">
        <v>71</v>
      </c>
      <c r="B4" s="34">
        <v>39</v>
      </c>
      <c r="C4" s="66">
        <f t="shared" si="0"/>
        <v>13</v>
      </c>
      <c r="D4" s="47">
        <v>18</v>
      </c>
      <c r="E4" s="34">
        <v>2</v>
      </c>
      <c r="F4" s="2">
        <v>1</v>
      </c>
      <c r="G4" s="75">
        <f t="shared" si="1"/>
        <v>0.66666666666666663</v>
      </c>
      <c r="H4" s="34">
        <v>7</v>
      </c>
      <c r="I4" s="2">
        <v>6</v>
      </c>
      <c r="J4" s="75">
        <f t="shared" si="2"/>
        <v>0.53846153846153844</v>
      </c>
      <c r="K4" s="34">
        <v>26</v>
      </c>
      <c r="L4" s="2">
        <v>28</v>
      </c>
      <c r="M4" s="75">
        <f t="shared" si="3"/>
        <v>0.48148148148148145</v>
      </c>
      <c r="N4" s="34">
        <v>0</v>
      </c>
      <c r="O4" s="2">
        <v>1</v>
      </c>
      <c r="P4" s="2">
        <v>1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2</v>
      </c>
      <c r="AB4" s="2">
        <v>0</v>
      </c>
      <c r="AC4" s="2">
        <v>0</v>
      </c>
      <c r="AD4" s="2">
        <v>0</v>
      </c>
      <c r="AE4" s="2">
        <v>0</v>
      </c>
      <c r="AF4" s="2">
        <v>2</v>
      </c>
      <c r="AG4" s="2">
        <v>1</v>
      </c>
      <c r="AH4" s="47">
        <v>0</v>
      </c>
    </row>
    <row r="5" spans="1:34" x14ac:dyDescent="0.25">
      <c r="A5" s="2" t="s">
        <v>114</v>
      </c>
      <c r="B5" s="36">
        <v>6</v>
      </c>
      <c r="C5" s="66">
        <f t="shared" si="0"/>
        <v>6</v>
      </c>
      <c r="D5" s="65">
        <v>6</v>
      </c>
      <c r="E5" s="36">
        <v>0</v>
      </c>
      <c r="F5" s="1">
        <v>1</v>
      </c>
      <c r="G5" s="75">
        <f t="shared" si="1"/>
        <v>0</v>
      </c>
      <c r="H5" s="36">
        <v>1</v>
      </c>
      <c r="I5" s="1">
        <v>3</v>
      </c>
      <c r="J5" s="75">
        <f t="shared" si="2"/>
        <v>0.25</v>
      </c>
      <c r="K5" s="36">
        <v>8</v>
      </c>
      <c r="L5" s="1">
        <v>11</v>
      </c>
      <c r="M5" s="75">
        <f t="shared" si="3"/>
        <v>0.42105263157894735</v>
      </c>
      <c r="N5" s="36">
        <v>0</v>
      </c>
      <c r="O5" s="1">
        <v>0</v>
      </c>
      <c r="P5" s="1">
        <v>0</v>
      </c>
      <c r="Q5" s="1">
        <v>0</v>
      </c>
      <c r="R5" s="1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65">
        <v>0</v>
      </c>
    </row>
    <row r="6" spans="1:34" x14ac:dyDescent="0.25">
      <c r="A6" s="2" t="s">
        <v>35</v>
      </c>
      <c r="B6" s="34">
        <v>214</v>
      </c>
      <c r="C6" s="66">
        <f t="shared" si="0"/>
        <v>11.263157894736842</v>
      </c>
      <c r="D6" s="35">
        <v>20</v>
      </c>
      <c r="E6" s="34">
        <v>6</v>
      </c>
      <c r="F6" s="2">
        <v>13</v>
      </c>
      <c r="G6" s="75">
        <f t="shared" si="1"/>
        <v>0.31578947368421051</v>
      </c>
      <c r="H6" s="34">
        <v>33</v>
      </c>
      <c r="I6" s="2">
        <v>47</v>
      </c>
      <c r="J6" s="75">
        <f t="shared" si="2"/>
        <v>0.41249999999999998</v>
      </c>
      <c r="K6" s="34">
        <v>157</v>
      </c>
      <c r="L6" s="2">
        <v>176</v>
      </c>
      <c r="M6" s="75">
        <f t="shared" si="3"/>
        <v>0.47147147147147145</v>
      </c>
      <c r="N6" s="34">
        <v>0</v>
      </c>
      <c r="O6" s="2">
        <v>2</v>
      </c>
      <c r="P6" s="2">
        <v>2</v>
      </c>
      <c r="Q6" s="2">
        <v>2</v>
      </c>
      <c r="R6" s="1">
        <v>1</v>
      </c>
      <c r="S6" s="1">
        <v>0</v>
      </c>
      <c r="T6" s="2">
        <v>1</v>
      </c>
      <c r="U6" s="2">
        <v>3</v>
      </c>
      <c r="V6" s="2">
        <v>1</v>
      </c>
      <c r="W6" s="2">
        <v>1</v>
      </c>
      <c r="X6" s="2">
        <v>2</v>
      </c>
      <c r="Y6" s="2">
        <v>0</v>
      </c>
      <c r="Z6" s="2">
        <v>1</v>
      </c>
      <c r="AA6" s="2">
        <v>1</v>
      </c>
      <c r="AB6" s="2">
        <v>5</v>
      </c>
      <c r="AC6" s="2">
        <v>0</v>
      </c>
      <c r="AD6" s="2">
        <v>3</v>
      </c>
      <c r="AE6" s="2">
        <v>4</v>
      </c>
      <c r="AF6" s="2">
        <v>3</v>
      </c>
      <c r="AG6" s="2">
        <v>0</v>
      </c>
      <c r="AH6" s="47">
        <v>1</v>
      </c>
    </row>
    <row r="7" spans="1:34" x14ac:dyDescent="0.25">
      <c r="A7" s="2" t="s">
        <v>19</v>
      </c>
      <c r="B7" s="34">
        <v>88</v>
      </c>
      <c r="C7" s="66">
        <f t="shared" si="0"/>
        <v>8</v>
      </c>
      <c r="D7" s="35">
        <v>11</v>
      </c>
      <c r="E7" s="34">
        <v>9</v>
      </c>
      <c r="F7" s="2">
        <v>2</v>
      </c>
      <c r="G7" s="75">
        <f t="shared" si="1"/>
        <v>0.81818181818181823</v>
      </c>
      <c r="H7" s="34">
        <v>30</v>
      </c>
      <c r="I7" s="2">
        <v>16</v>
      </c>
      <c r="J7" s="75">
        <f t="shared" si="2"/>
        <v>0.65217391304347827</v>
      </c>
      <c r="K7" s="34">
        <v>106</v>
      </c>
      <c r="L7" s="2">
        <v>79</v>
      </c>
      <c r="M7" s="75">
        <f t="shared" si="3"/>
        <v>0.572972972972973</v>
      </c>
      <c r="N7" s="34">
        <v>1</v>
      </c>
      <c r="O7" s="2">
        <v>1</v>
      </c>
      <c r="P7" s="2">
        <v>2</v>
      </c>
      <c r="Q7" s="2">
        <v>2</v>
      </c>
      <c r="R7" s="1">
        <v>0</v>
      </c>
      <c r="S7" s="1">
        <v>0</v>
      </c>
      <c r="T7" s="2">
        <v>1</v>
      </c>
      <c r="U7" s="2">
        <v>1</v>
      </c>
      <c r="V7" s="2">
        <v>1</v>
      </c>
      <c r="W7" s="2">
        <v>2</v>
      </c>
      <c r="X7" s="2">
        <v>1</v>
      </c>
      <c r="Y7" s="2">
        <v>0</v>
      </c>
      <c r="Z7" s="2">
        <v>1</v>
      </c>
      <c r="AA7" s="2">
        <v>2</v>
      </c>
      <c r="AB7" s="2">
        <v>3</v>
      </c>
      <c r="AC7" s="2">
        <v>0</v>
      </c>
      <c r="AD7" s="2">
        <v>5</v>
      </c>
      <c r="AE7" s="2">
        <v>3</v>
      </c>
      <c r="AF7" s="2">
        <v>3</v>
      </c>
      <c r="AG7" s="2">
        <v>0</v>
      </c>
      <c r="AH7" s="47">
        <v>1</v>
      </c>
    </row>
    <row r="8" spans="1:34" x14ac:dyDescent="0.25">
      <c r="A8" s="2" t="s">
        <v>42</v>
      </c>
      <c r="B8" s="34">
        <v>233</v>
      </c>
      <c r="C8" s="66">
        <f t="shared" si="0"/>
        <v>16.642857142857142</v>
      </c>
      <c r="D8" s="35">
        <v>31</v>
      </c>
      <c r="E8" s="34">
        <v>6</v>
      </c>
      <c r="F8" s="2">
        <v>8</v>
      </c>
      <c r="G8" s="75">
        <f t="shared" si="1"/>
        <v>0.42857142857142855</v>
      </c>
      <c r="H8" s="34">
        <v>25</v>
      </c>
      <c r="I8" s="2">
        <v>33</v>
      </c>
      <c r="J8" s="75">
        <f t="shared" si="2"/>
        <v>0.43103448275862066</v>
      </c>
      <c r="K8" s="34">
        <v>109</v>
      </c>
      <c r="L8" s="2">
        <v>128</v>
      </c>
      <c r="M8" s="75">
        <f t="shared" si="3"/>
        <v>0.45991561181434598</v>
      </c>
      <c r="N8" s="34">
        <v>0</v>
      </c>
      <c r="O8" s="2">
        <v>5</v>
      </c>
      <c r="P8" s="2">
        <v>1</v>
      </c>
      <c r="Q8" s="2">
        <v>2</v>
      </c>
      <c r="R8" s="2">
        <v>0</v>
      </c>
      <c r="S8" s="2">
        <v>0</v>
      </c>
      <c r="T8" s="2">
        <v>1</v>
      </c>
      <c r="U8" s="2">
        <v>1</v>
      </c>
      <c r="V8" s="2">
        <v>0</v>
      </c>
      <c r="W8" s="2">
        <v>1</v>
      </c>
      <c r="X8" s="2">
        <v>2</v>
      </c>
      <c r="Y8" s="2">
        <v>1</v>
      </c>
      <c r="Z8" s="2">
        <v>0</v>
      </c>
      <c r="AA8" s="2">
        <v>2</v>
      </c>
      <c r="AB8" s="2">
        <v>4</v>
      </c>
      <c r="AC8" s="2">
        <v>1</v>
      </c>
      <c r="AD8" s="2">
        <v>0</v>
      </c>
      <c r="AE8" s="2">
        <v>1</v>
      </c>
      <c r="AF8" s="2">
        <v>2</v>
      </c>
      <c r="AG8" s="2">
        <v>0</v>
      </c>
      <c r="AH8" s="47">
        <v>1</v>
      </c>
    </row>
    <row r="9" spans="1:34" x14ac:dyDescent="0.25">
      <c r="A9" s="2" t="s">
        <v>25</v>
      </c>
      <c r="B9" s="34">
        <v>34</v>
      </c>
      <c r="C9" s="66">
        <f t="shared" si="0"/>
        <v>8.5</v>
      </c>
      <c r="D9" s="35">
        <v>12</v>
      </c>
      <c r="E9" s="34">
        <v>3</v>
      </c>
      <c r="F9" s="2">
        <v>1</v>
      </c>
      <c r="G9" s="75">
        <f t="shared" si="1"/>
        <v>0.75</v>
      </c>
      <c r="H9" s="34">
        <v>10</v>
      </c>
      <c r="I9" s="2">
        <v>5</v>
      </c>
      <c r="J9" s="75">
        <f t="shared" si="2"/>
        <v>0.66666666666666663</v>
      </c>
      <c r="K9" s="34">
        <v>36</v>
      </c>
      <c r="L9" s="2">
        <v>20</v>
      </c>
      <c r="M9" s="75">
        <f t="shared" si="3"/>
        <v>0.6428571428571429</v>
      </c>
      <c r="N9" s="34">
        <v>2</v>
      </c>
      <c r="O9" s="2">
        <v>0</v>
      </c>
      <c r="P9" s="2">
        <v>0</v>
      </c>
      <c r="Q9" s="2">
        <v>1</v>
      </c>
      <c r="R9" s="2">
        <v>0</v>
      </c>
      <c r="S9" s="1">
        <v>1</v>
      </c>
      <c r="T9" s="2">
        <v>1</v>
      </c>
      <c r="U9" s="2">
        <v>0</v>
      </c>
      <c r="V9" s="2">
        <v>0</v>
      </c>
      <c r="W9" s="2">
        <v>0</v>
      </c>
      <c r="X9" s="2">
        <v>1</v>
      </c>
      <c r="Y9" s="2">
        <v>0</v>
      </c>
      <c r="Z9" s="2">
        <v>0</v>
      </c>
      <c r="AA9" s="2">
        <v>1</v>
      </c>
      <c r="AB9" s="2">
        <v>2</v>
      </c>
      <c r="AC9" s="2">
        <v>0</v>
      </c>
      <c r="AD9" s="2">
        <v>1</v>
      </c>
      <c r="AE9" s="2">
        <v>0</v>
      </c>
      <c r="AF9" s="2">
        <v>0</v>
      </c>
      <c r="AG9" s="2">
        <v>0</v>
      </c>
      <c r="AH9" s="47">
        <v>0</v>
      </c>
    </row>
    <row r="10" spans="1:34" x14ac:dyDescent="0.25">
      <c r="A10" s="2" t="s">
        <v>115</v>
      </c>
      <c r="B10" s="36">
        <v>88</v>
      </c>
      <c r="C10" s="66">
        <f t="shared" si="0"/>
        <v>12.571428571428571</v>
      </c>
      <c r="D10" s="65">
        <v>14</v>
      </c>
      <c r="E10" s="36">
        <v>2</v>
      </c>
      <c r="F10" s="1">
        <v>5</v>
      </c>
      <c r="G10" s="75">
        <f t="shared" si="1"/>
        <v>0.2857142857142857</v>
      </c>
      <c r="H10" s="36">
        <v>13</v>
      </c>
      <c r="I10" s="1">
        <v>18</v>
      </c>
      <c r="J10" s="75">
        <f t="shared" si="2"/>
        <v>0.41935483870967744</v>
      </c>
      <c r="K10" s="36">
        <v>56</v>
      </c>
      <c r="L10" s="1">
        <v>64</v>
      </c>
      <c r="M10" s="75">
        <f t="shared" si="3"/>
        <v>0.46666666666666667</v>
      </c>
      <c r="N10" s="36">
        <v>0</v>
      </c>
      <c r="O10" s="1">
        <v>2</v>
      </c>
      <c r="P10" s="1">
        <v>1</v>
      </c>
      <c r="Q10" s="1">
        <v>0</v>
      </c>
      <c r="R10" s="1">
        <v>1</v>
      </c>
      <c r="S10" s="1">
        <v>0</v>
      </c>
      <c r="T10" s="1">
        <v>1</v>
      </c>
      <c r="U10" s="1">
        <v>0</v>
      </c>
      <c r="V10" s="1">
        <v>0</v>
      </c>
      <c r="W10" s="1">
        <v>1</v>
      </c>
      <c r="X10" s="1">
        <v>0</v>
      </c>
      <c r="Y10" s="1">
        <v>1</v>
      </c>
      <c r="Z10" s="1">
        <v>1</v>
      </c>
      <c r="AA10" s="1">
        <v>1</v>
      </c>
      <c r="AB10" s="1">
        <v>1</v>
      </c>
      <c r="AC10" s="1">
        <v>0</v>
      </c>
      <c r="AD10" s="1">
        <v>0</v>
      </c>
      <c r="AE10" s="1">
        <v>2</v>
      </c>
      <c r="AF10" s="1">
        <v>0</v>
      </c>
      <c r="AG10" s="1">
        <v>0</v>
      </c>
      <c r="AH10" s="65">
        <v>1</v>
      </c>
    </row>
    <row r="11" spans="1:34" x14ac:dyDescent="0.25">
      <c r="A11" s="2" t="s">
        <v>27</v>
      </c>
      <c r="B11" s="34">
        <v>71</v>
      </c>
      <c r="C11" s="66">
        <f t="shared" si="0"/>
        <v>14.2</v>
      </c>
      <c r="D11" s="35">
        <v>20</v>
      </c>
      <c r="E11" s="34">
        <v>2</v>
      </c>
      <c r="F11" s="2">
        <v>3</v>
      </c>
      <c r="G11" s="75">
        <f t="shared" si="1"/>
        <v>0.4</v>
      </c>
      <c r="H11" s="34">
        <v>11</v>
      </c>
      <c r="I11" s="2">
        <v>12</v>
      </c>
      <c r="J11" s="75">
        <f t="shared" si="2"/>
        <v>0.47826086956521741</v>
      </c>
      <c r="K11" s="34">
        <v>43</v>
      </c>
      <c r="L11" s="2">
        <v>51</v>
      </c>
      <c r="M11" s="75">
        <f t="shared" si="3"/>
        <v>0.45744680851063829</v>
      </c>
      <c r="N11" s="34">
        <v>0</v>
      </c>
      <c r="O11" s="2">
        <v>0</v>
      </c>
      <c r="P11" s="2">
        <v>1</v>
      </c>
      <c r="Q11" s="2">
        <v>2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1</v>
      </c>
      <c r="X11" s="2">
        <v>0</v>
      </c>
      <c r="Y11" s="2">
        <v>0</v>
      </c>
      <c r="Z11" s="2">
        <v>0</v>
      </c>
      <c r="AA11" s="2">
        <v>1</v>
      </c>
      <c r="AB11" s="2">
        <v>2</v>
      </c>
      <c r="AC11" s="2">
        <v>0</v>
      </c>
      <c r="AD11" s="2">
        <v>3</v>
      </c>
      <c r="AE11" s="2">
        <v>1</v>
      </c>
      <c r="AF11" s="2">
        <v>0</v>
      </c>
      <c r="AG11" s="2">
        <v>0</v>
      </c>
      <c r="AH11" s="47">
        <v>0</v>
      </c>
    </row>
    <row r="12" spans="1:34" x14ac:dyDescent="0.25">
      <c r="A12" s="2" t="s">
        <v>108</v>
      </c>
      <c r="B12" s="36">
        <v>3</v>
      </c>
      <c r="C12" s="66">
        <f t="shared" si="0"/>
        <v>3</v>
      </c>
      <c r="D12" s="65">
        <v>3</v>
      </c>
      <c r="E12" s="36">
        <v>0</v>
      </c>
      <c r="F12" s="1">
        <v>1</v>
      </c>
      <c r="G12" s="75">
        <f t="shared" si="1"/>
        <v>0</v>
      </c>
      <c r="H12" s="36">
        <v>2</v>
      </c>
      <c r="I12" s="1">
        <v>3</v>
      </c>
      <c r="J12" s="75">
        <f t="shared" si="2"/>
        <v>0.4</v>
      </c>
      <c r="K12" s="36">
        <v>10</v>
      </c>
      <c r="L12" s="1">
        <v>13</v>
      </c>
      <c r="M12" s="75">
        <f t="shared" si="3"/>
        <v>0.43478260869565216</v>
      </c>
      <c r="N12" s="36">
        <v>0</v>
      </c>
      <c r="O12" s="1">
        <v>0</v>
      </c>
      <c r="P12" s="1">
        <v>1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1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47">
        <v>0</v>
      </c>
    </row>
    <row r="13" spans="1:34" x14ac:dyDescent="0.25">
      <c r="A13" s="2" t="s">
        <v>78</v>
      </c>
      <c r="B13" s="36">
        <v>0</v>
      </c>
      <c r="C13" s="66">
        <v>0</v>
      </c>
      <c r="D13" s="65">
        <v>0</v>
      </c>
      <c r="E13" s="36">
        <v>0</v>
      </c>
      <c r="F13" s="1">
        <v>0</v>
      </c>
      <c r="G13" s="75" t="s">
        <v>79</v>
      </c>
      <c r="H13" s="36">
        <v>0</v>
      </c>
      <c r="I13" s="1">
        <v>0</v>
      </c>
      <c r="J13" s="75" t="s">
        <v>79</v>
      </c>
      <c r="K13" s="36">
        <v>0</v>
      </c>
      <c r="L13" s="1">
        <v>0</v>
      </c>
      <c r="M13" s="75" t="s">
        <v>79</v>
      </c>
      <c r="N13" s="36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65">
        <v>0</v>
      </c>
    </row>
    <row r="14" spans="1:34" x14ac:dyDescent="0.25">
      <c r="A14" s="2" t="s">
        <v>138</v>
      </c>
      <c r="B14" s="36"/>
      <c r="C14" s="66"/>
      <c r="D14" s="65"/>
      <c r="E14" s="36"/>
      <c r="G14" s="75"/>
      <c r="H14" s="36"/>
      <c r="J14" s="75"/>
      <c r="K14" s="36"/>
      <c r="M14" s="75"/>
      <c r="N14" s="36"/>
      <c r="AH14" s="65"/>
    </row>
    <row r="15" spans="1:34" x14ac:dyDescent="0.25">
      <c r="A15" s="2" t="s">
        <v>74</v>
      </c>
      <c r="B15" s="34">
        <v>9</v>
      </c>
      <c r="C15" s="66">
        <f t="shared" ref="C15:C47" si="4">B15/(E15+F15)</f>
        <v>9</v>
      </c>
      <c r="D15" s="47">
        <v>9</v>
      </c>
      <c r="E15" s="34">
        <v>0</v>
      </c>
      <c r="F15" s="2">
        <v>1</v>
      </c>
      <c r="G15" s="75">
        <f t="shared" ref="G15:G47" si="5">E15/(E15+F15)</f>
        <v>0</v>
      </c>
      <c r="H15" s="34">
        <v>1</v>
      </c>
      <c r="I15" s="2">
        <v>3</v>
      </c>
      <c r="J15" s="75">
        <f t="shared" ref="J15:J47" si="6">H15/(H15+I15)</f>
        <v>0.25</v>
      </c>
      <c r="K15" s="34">
        <v>6</v>
      </c>
      <c r="L15" s="2">
        <v>9</v>
      </c>
      <c r="M15" s="75">
        <f t="shared" ref="M15:M47" si="7">K15/(K15+L15)</f>
        <v>0.4</v>
      </c>
      <c r="N15" s="34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1</v>
      </c>
      <c r="AC15" s="2">
        <v>0</v>
      </c>
      <c r="AD15" s="2">
        <v>0</v>
      </c>
      <c r="AE15" s="2">
        <v>0</v>
      </c>
      <c r="AF15" s="2">
        <v>0</v>
      </c>
      <c r="AG15" s="2">
        <v>0</v>
      </c>
      <c r="AH15" s="47">
        <v>0</v>
      </c>
    </row>
    <row r="16" spans="1:34" x14ac:dyDescent="0.25">
      <c r="A16" s="2" t="s">
        <v>89</v>
      </c>
      <c r="B16" s="34">
        <v>3</v>
      </c>
      <c r="C16" s="66">
        <f t="shared" si="4"/>
        <v>3</v>
      </c>
      <c r="D16" s="47">
        <v>3</v>
      </c>
      <c r="E16" s="34">
        <v>0</v>
      </c>
      <c r="F16" s="2">
        <v>1</v>
      </c>
      <c r="G16" s="75">
        <f t="shared" si="5"/>
        <v>0</v>
      </c>
      <c r="H16" s="34">
        <v>0</v>
      </c>
      <c r="I16" s="2">
        <v>3</v>
      </c>
      <c r="J16" s="75">
        <f t="shared" si="6"/>
        <v>0</v>
      </c>
      <c r="K16" s="34">
        <v>4</v>
      </c>
      <c r="L16" s="2">
        <v>9</v>
      </c>
      <c r="M16" s="75">
        <f t="shared" si="7"/>
        <v>0.30769230769230771</v>
      </c>
      <c r="N16" s="34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0</v>
      </c>
      <c r="AB16" s="2">
        <v>0</v>
      </c>
      <c r="AC16" s="2">
        <v>0</v>
      </c>
      <c r="AD16" s="2">
        <v>0</v>
      </c>
      <c r="AE16" s="2">
        <v>0</v>
      </c>
      <c r="AF16" s="2">
        <v>0</v>
      </c>
      <c r="AG16" s="2">
        <v>0</v>
      </c>
      <c r="AH16" s="47">
        <v>0</v>
      </c>
    </row>
    <row r="17" spans="1:34" x14ac:dyDescent="0.25">
      <c r="A17" s="2" t="s">
        <v>45</v>
      </c>
      <c r="B17" s="34">
        <v>32</v>
      </c>
      <c r="C17" s="66">
        <f t="shared" si="4"/>
        <v>10.666666666666666</v>
      </c>
      <c r="D17" s="35">
        <v>13</v>
      </c>
      <c r="E17" s="34">
        <v>2</v>
      </c>
      <c r="F17" s="2">
        <v>1</v>
      </c>
      <c r="G17" s="75">
        <f t="shared" si="5"/>
        <v>0.66666666666666663</v>
      </c>
      <c r="H17" s="34">
        <v>8</v>
      </c>
      <c r="I17" s="2">
        <v>5</v>
      </c>
      <c r="J17" s="75">
        <f t="shared" si="6"/>
        <v>0.61538461538461542</v>
      </c>
      <c r="K17" s="34">
        <v>32</v>
      </c>
      <c r="L17" s="2">
        <v>27</v>
      </c>
      <c r="M17" s="75">
        <f t="shared" si="7"/>
        <v>0.5423728813559322</v>
      </c>
      <c r="N17" s="34">
        <v>0</v>
      </c>
      <c r="O17" s="2">
        <v>0</v>
      </c>
      <c r="P17" s="2">
        <v>1</v>
      </c>
      <c r="Q17" s="2">
        <v>2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1</v>
      </c>
      <c r="X17" s="2">
        <v>0</v>
      </c>
      <c r="Y17" s="2">
        <v>0</v>
      </c>
      <c r="Z17" s="2">
        <v>0</v>
      </c>
      <c r="AA17" s="2">
        <v>1</v>
      </c>
      <c r="AB17" s="2">
        <v>1</v>
      </c>
      <c r="AC17" s="2">
        <v>0</v>
      </c>
      <c r="AD17" s="2">
        <v>1</v>
      </c>
      <c r="AE17" s="2">
        <v>1</v>
      </c>
      <c r="AF17" s="2">
        <v>0</v>
      </c>
      <c r="AG17" s="2">
        <v>0</v>
      </c>
      <c r="AH17" s="47">
        <v>0</v>
      </c>
    </row>
    <row r="18" spans="1:34" x14ac:dyDescent="0.25">
      <c r="A18" s="2" t="s">
        <v>50</v>
      </c>
      <c r="B18" s="34">
        <v>427</v>
      </c>
      <c r="C18" s="66">
        <f t="shared" si="4"/>
        <v>20.333333333333332</v>
      </c>
      <c r="D18" s="35">
        <v>31</v>
      </c>
      <c r="E18" s="34">
        <v>13</v>
      </c>
      <c r="F18" s="2">
        <v>8</v>
      </c>
      <c r="G18" s="75">
        <f t="shared" si="5"/>
        <v>0.61904761904761907</v>
      </c>
      <c r="H18" s="34">
        <v>49</v>
      </c>
      <c r="I18" s="2">
        <v>38</v>
      </c>
      <c r="J18" s="75">
        <f t="shared" si="6"/>
        <v>0.56321839080459768</v>
      </c>
      <c r="K18" s="34">
        <v>195</v>
      </c>
      <c r="L18" s="2">
        <v>177</v>
      </c>
      <c r="M18" s="75">
        <f t="shared" si="7"/>
        <v>0.52419354838709675</v>
      </c>
      <c r="N18" s="34">
        <v>2</v>
      </c>
      <c r="O18" s="2">
        <v>3</v>
      </c>
      <c r="P18" s="2">
        <v>1</v>
      </c>
      <c r="Q18" s="2">
        <v>4</v>
      </c>
      <c r="R18" s="2">
        <v>1</v>
      </c>
      <c r="S18" s="2">
        <v>1</v>
      </c>
      <c r="T18" s="2">
        <v>2</v>
      </c>
      <c r="U18" s="2">
        <v>1</v>
      </c>
      <c r="V18" s="2">
        <v>1</v>
      </c>
      <c r="W18" s="2">
        <v>0</v>
      </c>
      <c r="X18" s="2">
        <v>5</v>
      </c>
      <c r="Y18" s="2">
        <v>1</v>
      </c>
      <c r="Z18" s="2">
        <v>1</v>
      </c>
      <c r="AA18" s="2">
        <v>2</v>
      </c>
      <c r="AB18" s="2">
        <v>8</v>
      </c>
      <c r="AC18" s="2">
        <v>1</v>
      </c>
      <c r="AD18" s="2">
        <v>5</v>
      </c>
      <c r="AE18" s="2">
        <v>1</v>
      </c>
      <c r="AF18" s="2">
        <v>7</v>
      </c>
      <c r="AG18" s="2">
        <v>1</v>
      </c>
      <c r="AH18" s="47">
        <v>1</v>
      </c>
    </row>
    <row r="19" spans="1:34" x14ac:dyDescent="0.25">
      <c r="A19" s="2" t="s">
        <v>52</v>
      </c>
      <c r="B19" s="34">
        <v>98</v>
      </c>
      <c r="C19" s="66">
        <f t="shared" si="4"/>
        <v>12.25</v>
      </c>
      <c r="D19" s="35">
        <v>19</v>
      </c>
      <c r="E19" s="34">
        <v>2</v>
      </c>
      <c r="F19" s="2">
        <v>6</v>
      </c>
      <c r="G19" s="75">
        <f t="shared" si="5"/>
        <v>0.25</v>
      </c>
      <c r="H19" s="34">
        <v>14</v>
      </c>
      <c r="I19" s="2">
        <v>21</v>
      </c>
      <c r="J19" s="75">
        <f t="shared" si="6"/>
        <v>0.4</v>
      </c>
      <c r="K19" s="34">
        <v>60</v>
      </c>
      <c r="L19" s="2">
        <v>79</v>
      </c>
      <c r="M19" s="75">
        <f t="shared" si="7"/>
        <v>0.43165467625899279</v>
      </c>
      <c r="N19" s="34">
        <v>0</v>
      </c>
      <c r="O19" s="2">
        <v>2</v>
      </c>
      <c r="P19" s="2">
        <v>0</v>
      </c>
      <c r="Q19" s="2">
        <v>1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3</v>
      </c>
      <c r="X19" s="2">
        <v>0</v>
      </c>
      <c r="Y19" s="2">
        <v>0</v>
      </c>
      <c r="Z19" s="2">
        <v>0</v>
      </c>
      <c r="AA19" s="2">
        <v>0</v>
      </c>
      <c r="AB19" s="2">
        <v>2</v>
      </c>
      <c r="AC19" s="2">
        <v>0</v>
      </c>
      <c r="AD19" s="2">
        <v>3</v>
      </c>
      <c r="AE19" s="2">
        <v>2</v>
      </c>
      <c r="AF19" s="2">
        <v>1</v>
      </c>
      <c r="AG19" s="2">
        <v>0</v>
      </c>
      <c r="AH19" s="47">
        <v>0</v>
      </c>
    </row>
    <row r="20" spans="1:34" x14ac:dyDescent="0.25">
      <c r="A20" s="2" t="s">
        <v>102</v>
      </c>
      <c r="B20" s="34">
        <v>158</v>
      </c>
      <c r="C20" s="66">
        <f t="shared" si="4"/>
        <v>17.555555555555557</v>
      </c>
      <c r="D20" s="35">
        <v>31</v>
      </c>
      <c r="E20" s="34">
        <v>7</v>
      </c>
      <c r="F20" s="2">
        <v>2</v>
      </c>
      <c r="G20" s="75">
        <f t="shared" si="5"/>
        <v>0.77777777777777779</v>
      </c>
      <c r="H20" s="34">
        <v>24</v>
      </c>
      <c r="I20" s="2">
        <v>14</v>
      </c>
      <c r="J20" s="75">
        <f t="shared" si="6"/>
        <v>0.63157894736842102</v>
      </c>
      <c r="K20" s="34">
        <v>87</v>
      </c>
      <c r="L20" s="2">
        <v>63</v>
      </c>
      <c r="M20" s="75">
        <f t="shared" si="7"/>
        <v>0.57999999999999996</v>
      </c>
      <c r="N20" s="34">
        <v>2</v>
      </c>
      <c r="O20" s="2">
        <v>1</v>
      </c>
      <c r="P20" s="2">
        <v>2</v>
      </c>
      <c r="Q20" s="2">
        <v>1</v>
      </c>
      <c r="R20" s="1">
        <v>0</v>
      </c>
      <c r="S20" s="2">
        <v>0</v>
      </c>
      <c r="T20" s="2">
        <v>1</v>
      </c>
      <c r="U20" s="2">
        <v>1</v>
      </c>
      <c r="V20" s="2">
        <v>0</v>
      </c>
      <c r="W20" s="2">
        <v>0</v>
      </c>
      <c r="X20" s="2">
        <v>1</v>
      </c>
      <c r="Y20" s="2">
        <v>3</v>
      </c>
      <c r="Z20" s="2">
        <v>1</v>
      </c>
      <c r="AA20" s="2">
        <v>1</v>
      </c>
      <c r="AB20" s="2">
        <v>3</v>
      </c>
      <c r="AC20" s="2">
        <v>1</v>
      </c>
      <c r="AD20" s="2">
        <v>1</v>
      </c>
      <c r="AE20" s="2">
        <v>1</v>
      </c>
      <c r="AF20" s="2">
        <v>1</v>
      </c>
      <c r="AG20" s="2">
        <v>1</v>
      </c>
      <c r="AH20" s="47">
        <v>2</v>
      </c>
    </row>
    <row r="21" spans="1:34" x14ac:dyDescent="0.25">
      <c r="A21" s="2" t="s">
        <v>1</v>
      </c>
      <c r="B21" s="34">
        <v>325</v>
      </c>
      <c r="C21" s="66">
        <f t="shared" si="4"/>
        <v>29.545454545454547</v>
      </c>
      <c r="D21" s="35">
        <v>50</v>
      </c>
      <c r="E21" s="34">
        <v>5</v>
      </c>
      <c r="F21" s="2">
        <v>6</v>
      </c>
      <c r="G21" s="75">
        <f t="shared" si="5"/>
        <v>0.45454545454545453</v>
      </c>
      <c r="H21" s="34">
        <v>19</v>
      </c>
      <c r="I21" s="2">
        <v>26</v>
      </c>
      <c r="J21" s="75">
        <f t="shared" si="6"/>
        <v>0.42222222222222222</v>
      </c>
      <c r="K21" s="34">
        <v>90</v>
      </c>
      <c r="L21" s="2">
        <v>105</v>
      </c>
      <c r="M21" s="75">
        <f t="shared" si="7"/>
        <v>0.46153846153846156</v>
      </c>
      <c r="N21" s="34">
        <v>1</v>
      </c>
      <c r="O21" s="2">
        <v>2</v>
      </c>
      <c r="P21" s="2">
        <v>1</v>
      </c>
      <c r="Q21" s="2">
        <v>1</v>
      </c>
      <c r="R21" s="1">
        <v>1</v>
      </c>
      <c r="S21" s="1">
        <v>0</v>
      </c>
      <c r="T21" s="2">
        <v>0</v>
      </c>
      <c r="U21" s="2">
        <v>0</v>
      </c>
      <c r="V21" s="2">
        <v>0</v>
      </c>
      <c r="W21" s="2">
        <v>0</v>
      </c>
      <c r="X21" s="2">
        <v>2</v>
      </c>
      <c r="Y21" s="2">
        <v>1</v>
      </c>
      <c r="Z21" s="2">
        <v>0</v>
      </c>
      <c r="AA21" s="2">
        <v>2</v>
      </c>
      <c r="AB21" s="2">
        <v>1</v>
      </c>
      <c r="AC21" s="2">
        <v>1</v>
      </c>
      <c r="AD21" s="2">
        <v>1</v>
      </c>
      <c r="AE21" s="2">
        <v>1</v>
      </c>
      <c r="AF21" s="2">
        <v>3</v>
      </c>
      <c r="AG21" s="2">
        <v>1</v>
      </c>
      <c r="AH21" s="47">
        <v>0</v>
      </c>
    </row>
    <row r="22" spans="1:34" x14ac:dyDescent="0.25">
      <c r="A22" s="2" t="s">
        <v>46</v>
      </c>
      <c r="B22" s="34">
        <v>281</v>
      </c>
      <c r="C22" s="66">
        <f t="shared" si="4"/>
        <v>20.071428571428573</v>
      </c>
      <c r="D22" s="35">
        <v>27</v>
      </c>
      <c r="E22" s="34">
        <v>5</v>
      </c>
      <c r="F22" s="2">
        <v>9</v>
      </c>
      <c r="G22" s="75">
        <f t="shared" si="5"/>
        <v>0.35714285714285715</v>
      </c>
      <c r="H22" s="34">
        <v>28</v>
      </c>
      <c r="I22" s="2">
        <v>35</v>
      </c>
      <c r="J22" s="75">
        <f t="shared" si="6"/>
        <v>0.44444444444444442</v>
      </c>
      <c r="K22" s="34">
        <v>127</v>
      </c>
      <c r="L22" s="2">
        <v>135</v>
      </c>
      <c r="M22" s="75">
        <f t="shared" si="7"/>
        <v>0.48473282442748089</v>
      </c>
      <c r="N22" s="34">
        <v>2</v>
      </c>
      <c r="O22" s="2">
        <v>1</v>
      </c>
      <c r="P22" s="2">
        <v>1</v>
      </c>
      <c r="Q22" s="2">
        <v>3</v>
      </c>
      <c r="R22" s="2">
        <v>1</v>
      </c>
      <c r="S22" s="1">
        <v>0</v>
      </c>
      <c r="T22" s="2">
        <v>0</v>
      </c>
      <c r="U22" s="2">
        <v>1</v>
      </c>
      <c r="V22" s="2">
        <v>0</v>
      </c>
      <c r="W22" s="2">
        <v>1</v>
      </c>
      <c r="X22" s="2">
        <v>0</v>
      </c>
      <c r="Y22" s="2">
        <v>2</v>
      </c>
      <c r="Z22" s="2">
        <v>1</v>
      </c>
      <c r="AA22" s="2">
        <v>0</v>
      </c>
      <c r="AB22" s="2">
        <v>6</v>
      </c>
      <c r="AC22" s="2">
        <v>0</v>
      </c>
      <c r="AD22" s="2">
        <v>4</v>
      </c>
      <c r="AE22" s="2">
        <v>0</v>
      </c>
      <c r="AF22" s="2">
        <v>2</v>
      </c>
      <c r="AG22" s="2">
        <v>1</v>
      </c>
      <c r="AH22" s="47">
        <v>2</v>
      </c>
    </row>
    <row r="23" spans="1:34" x14ac:dyDescent="0.25">
      <c r="A23" s="2" t="s">
        <v>28</v>
      </c>
      <c r="B23" s="34">
        <v>205</v>
      </c>
      <c r="C23" s="66">
        <f t="shared" si="4"/>
        <v>15.76923076923077</v>
      </c>
      <c r="D23" s="35">
        <v>22</v>
      </c>
      <c r="E23" s="34">
        <v>5</v>
      </c>
      <c r="F23" s="2">
        <v>8</v>
      </c>
      <c r="G23" s="75">
        <f t="shared" si="5"/>
        <v>0.38461538461538464</v>
      </c>
      <c r="H23" s="34">
        <v>22</v>
      </c>
      <c r="I23" s="2">
        <v>29</v>
      </c>
      <c r="J23" s="75">
        <f t="shared" si="6"/>
        <v>0.43137254901960786</v>
      </c>
      <c r="K23" s="34">
        <v>101</v>
      </c>
      <c r="L23" s="2">
        <v>111</v>
      </c>
      <c r="M23" s="75">
        <f t="shared" si="7"/>
        <v>0.47641509433962265</v>
      </c>
      <c r="N23" s="34">
        <v>0</v>
      </c>
      <c r="O23" s="2">
        <v>2</v>
      </c>
      <c r="P23" s="2">
        <v>1</v>
      </c>
      <c r="Q23" s="2">
        <v>1</v>
      </c>
      <c r="R23" s="1">
        <v>1</v>
      </c>
      <c r="S23" s="1">
        <v>0</v>
      </c>
      <c r="T23" s="2">
        <v>1</v>
      </c>
      <c r="U23" s="2">
        <v>1</v>
      </c>
      <c r="V23" s="2">
        <v>1</v>
      </c>
      <c r="W23" s="2">
        <v>2</v>
      </c>
      <c r="X23" s="2">
        <v>1</v>
      </c>
      <c r="Y23" s="2">
        <v>0</v>
      </c>
      <c r="Z23" s="2">
        <v>1</v>
      </c>
      <c r="AA23" s="2">
        <v>1</v>
      </c>
      <c r="AB23" s="2">
        <v>3</v>
      </c>
      <c r="AC23" s="2">
        <v>0</v>
      </c>
      <c r="AD23" s="2">
        <v>3</v>
      </c>
      <c r="AE23" s="2">
        <v>1</v>
      </c>
      <c r="AF23" s="2">
        <v>2</v>
      </c>
      <c r="AG23" s="2">
        <v>0</v>
      </c>
      <c r="AH23" s="47">
        <v>0</v>
      </c>
    </row>
    <row r="24" spans="1:34" x14ac:dyDescent="0.25">
      <c r="A24" s="2" t="s">
        <v>53</v>
      </c>
      <c r="B24" s="34">
        <v>187</v>
      </c>
      <c r="C24" s="66">
        <f t="shared" si="4"/>
        <v>17</v>
      </c>
      <c r="D24" s="35">
        <v>36</v>
      </c>
      <c r="E24" s="34">
        <v>5</v>
      </c>
      <c r="F24" s="2">
        <v>6</v>
      </c>
      <c r="G24" s="75">
        <f t="shared" si="5"/>
        <v>0.45454545454545453</v>
      </c>
      <c r="H24" s="34">
        <v>22</v>
      </c>
      <c r="I24" s="2">
        <v>21</v>
      </c>
      <c r="J24" s="75">
        <f t="shared" si="6"/>
        <v>0.51162790697674421</v>
      </c>
      <c r="K24" s="34">
        <v>90</v>
      </c>
      <c r="L24" s="2">
        <v>85</v>
      </c>
      <c r="M24" s="75">
        <f t="shared" si="7"/>
        <v>0.51428571428571423</v>
      </c>
      <c r="N24" s="34">
        <v>1</v>
      </c>
      <c r="O24" s="2">
        <v>1</v>
      </c>
      <c r="P24" s="2">
        <v>0</v>
      </c>
      <c r="Q24" s="2">
        <v>3</v>
      </c>
      <c r="R24" s="2">
        <v>0</v>
      </c>
      <c r="S24" s="2">
        <v>0</v>
      </c>
      <c r="T24" s="2">
        <v>1</v>
      </c>
      <c r="U24" s="2">
        <v>0</v>
      </c>
      <c r="V24" s="2">
        <v>0</v>
      </c>
      <c r="W24" s="2">
        <v>0</v>
      </c>
      <c r="X24" s="2">
        <v>2</v>
      </c>
      <c r="Y24" s="2">
        <v>1</v>
      </c>
      <c r="Z24" s="2">
        <v>1</v>
      </c>
      <c r="AA24" s="2">
        <v>0</v>
      </c>
      <c r="AB24" s="2">
        <v>5</v>
      </c>
      <c r="AC24" s="2">
        <v>0</v>
      </c>
      <c r="AD24" s="2">
        <v>4</v>
      </c>
      <c r="AE24" s="2">
        <v>1</v>
      </c>
      <c r="AF24" s="2">
        <v>2</v>
      </c>
      <c r="AG24" s="2">
        <v>0</v>
      </c>
      <c r="AH24" s="47">
        <v>0</v>
      </c>
    </row>
    <row r="25" spans="1:34" x14ac:dyDescent="0.25">
      <c r="A25" s="2" t="s">
        <v>51</v>
      </c>
      <c r="B25" s="34">
        <v>5</v>
      </c>
      <c r="C25" s="66">
        <f t="shared" si="4"/>
        <v>5</v>
      </c>
      <c r="D25" s="35">
        <v>5</v>
      </c>
      <c r="E25" s="34">
        <v>0</v>
      </c>
      <c r="F25" s="2">
        <v>1</v>
      </c>
      <c r="G25" s="75">
        <f t="shared" si="5"/>
        <v>0</v>
      </c>
      <c r="H25" s="34">
        <v>0</v>
      </c>
      <c r="I25" s="2">
        <v>3</v>
      </c>
      <c r="J25" s="75">
        <f t="shared" si="6"/>
        <v>0</v>
      </c>
      <c r="K25" s="34">
        <v>2</v>
      </c>
      <c r="L25" s="2">
        <v>9</v>
      </c>
      <c r="M25" s="75">
        <f t="shared" si="7"/>
        <v>0.18181818181818182</v>
      </c>
      <c r="N25" s="34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47">
        <v>0</v>
      </c>
    </row>
    <row r="26" spans="1:34" x14ac:dyDescent="0.25">
      <c r="A26" s="2" t="s">
        <v>47</v>
      </c>
      <c r="B26" s="34">
        <v>21</v>
      </c>
      <c r="C26" s="66">
        <f t="shared" si="4"/>
        <v>5.25</v>
      </c>
      <c r="D26" s="35">
        <v>8</v>
      </c>
      <c r="E26" s="34">
        <v>1</v>
      </c>
      <c r="F26" s="2">
        <v>3</v>
      </c>
      <c r="G26" s="75">
        <f t="shared" si="5"/>
        <v>0.25</v>
      </c>
      <c r="H26" s="34">
        <v>8</v>
      </c>
      <c r="I26" s="2">
        <v>11</v>
      </c>
      <c r="J26" s="75">
        <f t="shared" si="6"/>
        <v>0.42105263157894735</v>
      </c>
      <c r="K26" s="34">
        <v>32</v>
      </c>
      <c r="L26" s="2">
        <v>40</v>
      </c>
      <c r="M26" s="75">
        <f t="shared" si="7"/>
        <v>0.44444444444444442</v>
      </c>
      <c r="N26" s="34">
        <v>1</v>
      </c>
      <c r="O26" s="2">
        <v>1</v>
      </c>
      <c r="P26" s="2">
        <v>0</v>
      </c>
      <c r="Q26" s="2">
        <v>1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1</v>
      </c>
      <c r="Z26" s="2">
        <v>0</v>
      </c>
      <c r="AA26" s="2">
        <v>1</v>
      </c>
      <c r="AB26" s="2">
        <v>1</v>
      </c>
      <c r="AC26" s="2">
        <v>0</v>
      </c>
      <c r="AD26" s="2">
        <v>0</v>
      </c>
      <c r="AE26" s="2">
        <v>0</v>
      </c>
      <c r="AF26" s="2">
        <v>1</v>
      </c>
      <c r="AG26" s="2">
        <v>0</v>
      </c>
      <c r="AH26" s="47">
        <v>1</v>
      </c>
    </row>
    <row r="27" spans="1:34" x14ac:dyDescent="0.25">
      <c r="A27" s="2" t="s">
        <v>3</v>
      </c>
      <c r="B27" s="34">
        <v>166</v>
      </c>
      <c r="C27" s="66">
        <f t="shared" si="4"/>
        <v>23.714285714285715</v>
      </c>
      <c r="D27" s="35">
        <v>27</v>
      </c>
      <c r="E27" s="34">
        <v>2</v>
      </c>
      <c r="F27" s="2">
        <v>5</v>
      </c>
      <c r="G27" s="75">
        <f t="shared" si="5"/>
        <v>0.2857142857142857</v>
      </c>
      <c r="H27" s="34">
        <v>16</v>
      </c>
      <c r="I27" s="2">
        <v>20</v>
      </c>
      <c r="J27" s="75">
        <f t="shared" si="6"/>
        <v>0.44444444444444442</v>
      </c>
      <c r="K27" s="34">
        <v>74</v>
      </c>
      <c r="L27" s="2">
        <v>83</v>
      </c>
      <c r="M27" s="75">
        <f t="shared" si="7"/>
        <v>0.4713375796178344</v>
      </c>
      <c r="N27" s="34">
        <v>0</v>
      </c>
      <c r="O27" s="2">
        <v>2</v>
      </c>
      <c r="P27" s="2">
        <v>2</v>
      </c>
      <c r="Q27" s="2">
        <v>1</v>
      </c>
      <c r="R27" s="2">
        <v>0</v>
      </c>
      <c r="S27" s="1">
        <v>1</v>
      </c>
      <c r="T27" s="2">
        <v>0</v>
      </c>
      <c r="U27" s="2">
        <v>0</v>
      </c>
      <c r="V27" s="2">
        <v>0</v>
      </c>
      <c r="W27" s="2">
        <v>1</v>
      </c>
      <c r="X27" s="2">
        <v>0</v>
      </c>
      <c r="Y27" s="2">
        <v>0</v>
      </c>
      <c r="Z27" s="2">
        <v>0</v>
      </c>
      <c r="AA27" s="2">
        <v>2</v>
      </c>
      <c r="AB27" s="2">
        <v>1</v>
      </c>
      <c r="AC27" s="2">
        <v>0</v>
      </c>
      <c r="AD27" s="2">
        <v>1</v>
      </c>
      <c r="AE27" s="2">
        <v>3</v>
      </c>
      <c r="AF27" s="2">
        <v>2</v>
      </c>
      <c r="AG27" s="2">
        <v>0</v>
      </c>
      <c r="AH27" s="47">
        <v>0</v>
      </c>
    </row>
    <row r="28" spans="1:34" x14ac:dyDescent="0.25">
      <c r="A28" s="2" t="s">
        <v>15</v>
      </c>
      <c r="B28" s="34">
        <v>4</v>
      </c>
      <c r="C28" s="66">
        <f t="shared" si="4"/>
        <v>4</v>
      </c>
      <c r="D28" s="35">
        <v>4</v>
      </c>
      <c r="E28" s="34">
        <v>0</v>
      </c>
      <c r="F28" s="2">
        <v>1</v>
      </c>
      <c r="G28" s="75">
        <f t="shared" si="5"/>
        <v>0</v>
      </c>
      <c r="H28" s="34">
        <v>0</v>
      </c>
      <c r="I28" s="2">
        <v>2</v>
      </c>
      <c r="J28" s="75">
        <f t="shared" si="6"/>
        <v>0</v>
      </c>
      <c r="K28" s="34">
        <v>1</v>
      </c>
      <c r="L28" s="2">
        <v>6</v>
      </c>
      <c r="M28" s="75">
        <f t="shared" si="7"/>
        <v>0.14285714285714285</v>
      </c>
      <c r="N28" s="34">
        <v>0</v>
      </c>
      <c r="O28" s="2">
        <v>0</v>
      </c>
      <c r="P28" s="2">
        <v>0</v>
      </c>
      <c r="Q28" s="2">
        <v>0</v>
      </c>
      <c r="R28" s="2">
        <v>0</v>
      </c>
      <c r="S28" s="1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47">
        <v>0</v>
      </c>
    </row>
    <row r="29" spans="1:34" x14ac:dyDescent="0.25">
      <c r="A29" s="2" t="s">
        <v>90</v>
      </c>
      <c r="B29" s="34">
        <v>3</v>
      </c>
      <c r="C29" s="66">
        <f t="shared" si="4"/>
        <v>3</v>
      </c>
      <c r="D29" s="47">
        <v>3</v>
      </c>
      <c r="E29" s="34">
        <v>1</v>
      </c>
      <c r="F29" s="2">
        <v>0</v>
      </c>
      <c r="G29" s="75">
        <f t="shared" si="5"/>
        <v>1</v>
      </c>
      <c r="H29" s="34">
        <v>3</v>
      </c>
      <c r="I29" s="2">
        <v>0</v>
      </c>
      <c r="J29" s="75">
        <f t="shared" si="6"/>
        <v>1</v>
      </c>
      <c r="K29" s="34">
        <v>9</v>
      </c>
      <c r="L29" s="2">
        <v>5</v>
      </c>
      <c r="M29" s="75">
        <f t="shared" si="7"/>
        <v>0.6428571428571429</v>
      </c>
      <c r="N29" s="34">
        <v>0</v>
      </c>
      <c r="O29" s="2">
        <v>1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1</v>
      </c>
      <c r="Y29" s="2">
        <v>0</v>
      </c>
      <c r="Z29" s="2">
        <v>0</v>
      </c>
      <c r="AA29" s="2">
        <v>0</v>
      </c>
      <c r="AB29" s="2">
        <v>0</v>
      </c>
      <c r="AC29" s="2">
        <v>0</v>
      </c>
      <c r="AD29" s="2">
        <v>1</v>
      </c>
      <c r="AE29" s="2">
        <v>1</v>
      </c>
      <c r="AF29" s="2">
        <v>1</v>
      </c>
      <c r="AG29" s="2">
        <v>0</v>
      </c>
      <c r="AH29" s="47">
        <v>0</v>
      </c>
    </row>
    <row r="30" spans="1:34" x14ac:dyDescent="0.25">
      <c r="A30" s="2" t="s">
        <v>13</v>
      </c>
      <c r="B30" s="34">
        <v>34</v>
      </c>
      <c r="C30" s="66">
        <f t="shared" si="4"/>
        <v>8.5</v>
      </c>
      <c r="D30" s="35">
        <v>12</v>
      </c>
      <c r="E30" s="34">
        <v>2</v>
      </c>
      <c r="F30" s="2">
        <v>2</v>
      </c>
      <c r="G30" s="75">
        <f t="shared" si="5"/>
        <v>0.5</v>
      </c>
      <c r="H30" s="34">
        <v>9</v>
      </c>
      <c r="I30" s="2">
        <v>8</v>
      </c>
      <c r="J30" s="75">
        <f t="shared" si="6"/>
        <v>0.52941176470588236</v>
      </c>
      <c r="K30" s="34">
        <v>34</v>
      </c>
      <c r="L30" s="2">
        <v>36</v>
      </c>
      <c r="M30" s="75">
        <f t="shared" si="7"/>
        <v>0.48571428571428571</v>
      </c>
      <c r="N30" s="34">
        <v>1</v>
      </c>
      <c r="O30" s="2">
        <v>0</v>
      </c>
      <c r="P30" s="2">
        <v>1</v>
      </c>
      <c r="Q30" s="2">
        <v>1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2</v>
      </c>
      <c r="AB30" s="2">
        <v>2</v>
      </c>
      <c r="AC30" s="2">
        <v>0</v>
      </c>
      <c r="AD30" s="2">
        <v>0</v>
      </c>
      <c r="AE30" s="2">
        <v>1</v>
      </c>
      <c r="AF30" s="2">
        <v>1</v>
      </c>
      <c r="AG30" s="2">
        <v>0</v>
      </c>
      <c r="AH30" s="47">
        <v>0</v>
      </c>
    </row>
    <row r="31" spans="1:34" x14ac:dyDescent="0.25">
      <c r="A31" s="2" t="s">
        <v>2</v>
      </c>
      <c r="B31" s="34">
        <v>400</v>
      </c>
      <c r="C31" s="66">
        <f t="shared" si="4"/>
        <v>23.529411764705884</v>
      </c>
      <c r="D31" s="35">
        <v>35</v>
      </c>
      <c r="E31" s="34">
        <v>9</v>
      </c>
      <c r="F31" s="2">
        <v>8</v>
      </c>
      <c r="G31" s="75">
        <f t="shared" si="5"/>
        <v>0.52941176470588236</v>
      </c>
      <c r="H31" s="34">
        <v>37</v>
      </c>
      <c r="I31" s="2">
        <v>34</v>
      </c>
      <c r="J31" s="75">
        <f t="shared" si="6"/>
        <v>0.52112676056338025</v>
      </c>
      <c r="K31" s="34">
        <v>147</v>
      </c>
      <c r="L31" s="2">
        <v>144</v>
      </c>
      <c r="M31" s="75">
        <f t="shared" si="7"/>
        <v>0.50515463917525771</v>
      </c>
      <c r="N31" s="34">
        <v>2</v>
      </c>
      <c r="O31" s="2">
        <v>1</v>
      </c>
      <c r="P31" s="2">
        <v>3</v>
      </c>
      <c r="Q31" s="2">
        <v>3</v>
      </c>
      <c r="R31" s="2">
        <v>0</v>
      </c>
      <c r="S31" s="1">
        <v>1</v>
      </c>
      <c r="T31" s="2">
        <v>0</v>
      </c>
      <c r="U31" s="2">
        <v>0</v>
      </c>
      <c r="V31" s="2">
        <v>0</v>
      </c>
      <c r="W31" s="2">
        <v>2</v>
      </c>
      <c r="X31" s="2">
        <v>2</v>
      </c>
      <c r="Y31" s="2">
        <v>1</v>
      </c>
      <c r="Z31" s="2">
        <v>1</v>
      </c>
      <c r="AA31" s="2">
        <v>4</v>
      </c>
      <c r="AB31" s="2">
        <v>4</v>
      </c>
      <c r="AC31" s="2">
        <v>0</v>
      </c>
      <c r="AD31" s="2">
        <v>6</v>
      </c>
      <c r="AE31" s="2">
        <v>3</v>
      </c>
      <c r="AF31" s="2">
        <v>3</v>
      </c>
      <c r="AG31" s="2">
        <v>0</v>
      </c>
      <c r="AH31" s="47">
        <v>1</v>
      </c>
    </row>
    <row r="32" spans="1:34" x14ac:dyDescent="0.25">
      <c r="A32" s="2" t="s">
        <v>54</v>
      </c>
      <c r="B32" s="34">
        <v>548</v>
      </c>
      <c r="C32" s="66">
        <f t="shared" si="4"/>
        <v>26.095238095238095</v>
      </c>
      <c r="D32" s="35">
        <v>37</v>
      </c>
      <c r="E32" s="34">
        <v>8</v>
      </c>
      <c r="F32" s="2">
        <v>13</v>
      </c>
      <c r="G32" s="75">
        <f t="shared" si="5"/>
        <v>0.38095238095238093</v>
      </c>
      <c r="H32" s="34">
        <v>44</v>
      </c>
      <c r="I32" s="2">
        <v>51</v>
      </c>
      <c r="J32" s="75">
        <f t="shared" si="6"/>
        <v>0.4631578947368421</v>
      </c>
      <c r="K32" s="34">
        <v>186</v>
      </c>
      <c r="L32" s="2">
        <v>208</v>
      </c>
      <c r="M32" s="75">
        <f t="shared" si="7"/>
        <v>0.4720812182741117</v>
      </c>
      <c r="N32" s="34">
        <v>1</v>
      </c>
      <c r="O32" s="2">
        <v>5</v>
      </c>
      <c r="P32" s="2">
        <v>3</v>
      </c>
      <c r="Q32" s="2">
        <v>1</v>
      </c>
      <c r="R32" s="1">
        <v>1</v>
      </c>
      <c r="S32" s="1">
        <v>0</v>
      </c>
      <c r="T32" s="2">
        <v>2</v>
      </c>
      <c r="U32" s="2">
        <v>2</v>
      </c>
      <c r="V32" s="2">
        <v>1</v>
      </c>
      <c r="W32" s="2">
        <v>3</v>
      </c>
      <c r="X32" s="2">
        <v>3</v>
      </c>
      <c r="Y32" s="2">
        <v>0</v>
      </c>
      <c r="Z32" s="2">
        <v>0</v>
      </c>
      <c r="AA32" s="2">
        <v>2</v>
      </c>
      <c r="AB32" s="2">
        <v>5</v>
      </c>
      <c r="AC32" s="2">
        <v>0</v>
      </c>
      <c r="AD32" s="2">
        <v>4</v>
      </c>
      <c r="AE32" s="2">
        <v>5</v>
      </c>
      <c r="AF32" s="2">
        <v>3</v>
      </c>
      <c r="AG32" s="2">
        <v>1</v>
      </c>
      <c r="AH32" s="47">
        <v>2</v>
      </c>
    </row>
    <row r="33" spans="1:34" x14ac:dyDescent="0.25">
      <c r="A33" s="2" t="s">
        <v>5</v>
      </c>
      <c r="B33" s="34">
        <v>128</v>
      </c>
      <c r="C33" s="66">
        <f t="shared" si="4"/>
        <v>25.6</v>
      </c>
      <c r="D33" s="35">
        <v>36</v>
      </c>
      <c r="E33" s="34">
        <v>4</v>
      </c>
      <c r="F33" s="2">
        <v>1</v>
      </c>
      <c r="G33" s="75">
        <f t="shared" si="5"/>
        <v>0.8</v>
      </c>
      <c r="H33" s="34">
        <v>15</v>
      </c>
      <c r="I33" s="2">
        <v>7</v>
      </c>
      <c r="J33" s="75">
        <f t="shared" si="6"/>
        <v>0.68181818181818177</v>
      </c>
      <c r="K33" s="34">
        <v>53</v>
      </c>
      <c r="L33" s="2">
        <v>39</v>
      </c>
      <c r="M33" s="75">
        <f t="shared" si="7"/>
        <v>0.57608695652173914</v>
      </c>
      <c r="N33" s="34">
        <v>0</v>
      </c>
      <c r="O33" s="2">
        <v>2</v>
      </c>
      <c r="P33" s="2">
        <v>1</v>
      </c>
      <c r="Q33" s="2">
        <v>1</v>
      </c>
      <c r="R33" s="1">
        <v>0</v>
      </c>
      <c r="S33" s="2">
        <v>0</v>
      </c>
      <c r="T33" s="2">
        <v>0</v>
      </c>
      <c r="U33" s="2">
        <v>0</v>
      </c>
      <c r="V33" s="2">
        <v>0</v>
      </c>
      <c r="W33" s="2">
        <v>1</v>
      </c>
      <c r="X33" s="2">
        <v>1</v>
      </c>
      <c r="Y33" s="2">
        <v>1</v>
      </c>
      <c r="Z33" s="2">
        <v>1</v>
      </c>
      <c r="AA33" s="2">
        <v>0</v>
      </c>
      <c r="AB33" s="2">
        <v>0</v>
      </c>
      <c r="AC33" s="2">
        <v>0</v>
      </c>
      <c r="AD33" s="2">
        <v>2</v>
      </c>
      <c r="AE33" s="2">
        <v>3</v>
      </c>
      <c r="AF33" s="2">
        <v>1</v>
      </c>
      <c r="AG33" s="2">
        <v>0</v>
      </c>
      <c r="AH33" s="47">
        <v>1</v>
      </c>
    </row>
    <row r="34" spans="1:34" x14ac:dyDescent="0.25">
      <c r="A34" s="2" t="s">
        <v>38</v>
      </c>
      <c r="B34" s="34">
        <v>9</v>
      </c>
      <c r="C34" s="66">
        <f t="shared" si="4"/>
        <v>3</v>
      </c>
      <c r="D34" s="35">
        <v>4</v>
      </c>
      <c r="E34" s="34">
        <v>2</v>
      </c>
      <c r="F34" s="2">
        <v>1</v>
      </c>
      <c r="G34" s="75">
        <f t="shared" si="5"/>
        <v>0.66666666666666663</v>
      </c>
      <c r="H34" s="34">
        <v>6</v>
      </c>
      <c r="I34" s="2">
        <v>6</v>
      </c>
      <c r="J34" s="75">
        <f t="shared" si="6"/>
        <v>0.5</v>
      </c>
      <c r="K34" s="34">
        <v>22</v>
      </c>
      <c r="L34" s="2">
        <v>25</v>
      </c>
      <c r="M34" s="75">
        <f t="shared" si="7"/>
        <v>0.46808510638297873</v>
      </c>
      <c r="N34" s="34">
        <v>1</v>
      </c>
      <c r="O34" s="2">
        <v>1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2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1</v>
      </c>
      <c r="AE34" s="2">
        <v>0</v>
      </c>
      <c r="AF34" s="2">
        <v>1</v>
      </c>
      <c r="AG34" s="2">
        <v>0</v>
      </c>
      <c r="AH34" s="47">
        <v>0</v>
      </c>
    </row>
    <row r="35" spans="1:34" x14ac:dyDescent="0.25">
      <c r="A35" s="2" t="s">
        <v>40</v>
      </c>
      <c r="B35" s="34">
        <v>367</v>
      </c>
      <c r="C35" s="66">
        <f t="shared" si="4"/>
        <v>18.350000000000001</v>
      </c>
      <c r="D35" s="35">
        <v>29</v>
      </c>
      <c r="E35" s="34">
        <v>9</v>
      </c>
      <c r="F35" s="2">
        <v>11</v>
      </c>
      <c r="G35" s="75">
        <f t="shared" si="5"/>
        <v>0.45</v>
      </c>
      <c r="H35" s="34">
        <v>51</v>
      </c>
      <c r="I35" s="2">
        <v>46</v>
      </c>
      <c r="J35" s="75">
        <f t="shared" si="6"/>
        <v>0.52577319587628868</v>
      </c>
      <c r="K35" s="34">
        <v>176</v>
      </c>
      <c r="L35" s="2">
        <v>185</v>
      </c>
      <c r="M35" s="75">
        <f t="shared" si="7"/>
        <v>0.48753462603878117</v>
      </c>
      <c r="N35" s="34">
        <v>0</v>
      </c>
      <c r="O35" s="2">
        <v>5</v>
      </c>
      <c r="P35" s="2">
        <v>4</v>
      </c>
      <c r="Q35" s="2">
        <v>5</v>
      </c>
      <c r="R35" s="2">
        <v>0</v>
      </c>
      <c r="S35" s="1">
        <v>1</v>
      </c>
      <c r="T35" s="2">
        <v>1</v>
      </c>
      <c r="U35" s="2">
        <v>2</v>
      </c>
      <c r="V35" s="2">
        <v>0</v>
      </c>
      <c r="W35" s="2">
        <v>2</v>
      </c>
      <c r="X35" s="2">
        <v>4</v>
      </c>
      <c r="Y35" s="2">
        <v>1</v>
      </c>
      <c r="Z35" s="2">
        <v>1</v>
      </c>
      <c r="AA35" s="2">
        <v>1</v>
      </c>
      <c r="AB35" s="2">
        <v>2</v>
      </c>
      <c r="AC35" s="2">
        <v>0</v>
      </c>
      <c r="AD35" s="2">
        <v>1</v>
      </c>
      <c r="AE35" s="2">
        <v>3</v>
      </c>
      <c r="AF35" s="2">
        <v>6</v>
      </c>
      <c r="AG35" s="2">
        <v>0</v>
      </c>
      <c r="AH35" s="47">
        <v>2</v>
      </c>
    </row>
    <row r="36" spans="1:34" x14ac:dyDescent="0.25">
      <c r="A36" s="2" t="s">
        <v>17</v>
      </c>
      <c r="B36" s="34">
        <v>342</v>
      </c>
      <c r="C36" s="66">
        <f t="shared" si="4"/>
        <v>21.375</v>
      </c>
      <c r="D36" s="35">
        <v>32</v>
      </c>
      <c r="E36" s="34">
        <v>5</v>
      </c>
      <c r="F36" s="2">
        <v>11</v>
      </c>
      <c r="G36" s="75">
        <f t="shared" si="5"/>
        <v>0.3125</v>
      </c>
      <c r="H36" s="34">
        <v>29</v>
      </c>
      <c r="I36" s="2">
        <v>39</v>
      </c>
      <c r="J36" s="75">
        <f t="shared" si="6"/>
        <v>0.4264705882352941</v>
      </c>
      <c r="K36" s="34">
        <v>127</v>
      </c>
      <c r="L36" s="2">
        <v>145</v>
      </c>
      <c r="M36" s="75">
        <f t="shared" si="7"/>
        <v>0.46691176470588236</v>
      </c>
      <c r="N36" s="34">
        <v>2</v>
      </c>
      <c r="O36" s="2">
        <v>1</v>
      </c>
      <c r="P36" s="2">
        <v>2</v>
      </c>
      <c r="Q36" s="2">
        <v>3</v>
      </c>
      <c r="R36" s="1">
        <v>0</v>
      </c>
      <c r="S36" s="1">
        <v>0</v>
      </c>
      <c r="T36" s="2">
        <v>0</v>
      </c>
      <c r="U36" s="2">
        <v>1</v>
      </c>
      <c r="V36" s="2">
        <v>0</v>
      </c>
      <c r="W36" s="2">
        <v>2</v>
      </c>
      <c r="X36" s="2">
        <v>2</v>
      </c>
      <c r="Y36" s="2">
        <v>0</v>
      </c>
      <c r="Z36" s="2">
        <v>0</v>
      </c>
      <c r="AA36" s="2">
        <v>0</v>
      </c>
      <c r="AB36" s="2">
        <v>5</v>
      </c>
      <c r="AC36" s="2">
        <v>0</v>
      </c>
      <c r="AD36" s="2">
        <v>4</v>
      </c>
      <c r="AE36" s="2">
        <v>3</v>
      </c>
      <c r="AF36" s="2">
        <v>3</v>
      </c>
      <c r="AG36" s="2">
        <v>0</v>
      </c>
      <c r="AH36" s="47">
        <v>1</v>
      </c>
    </row>
    <row r="37" spans="1:34" x14ac:dyDescent="0.25">
      <c r="A37" s="1" t="s">
        <v>105</v>
      </c>
      <c r="B37" s="36">
        <v>12</v>
      </c>
      <c r="C37" s="66">
        <f t="shared" si="4"/>
        <v>12</v>
      </c>
      <c r="D37" s="65">
        <v>12</v>
      </c>
      <c r="E37" s="36">
        <v>1</v>
      </c>
      <c r="F37" s="1">
        <v>0</v>
      </c>
      <c r="G37" s="75">
        <f t="shared" si="5"/>
        <v>1</v>
      </c>
      <c r="H37" s="36">
        <v>3</v>
      </c>
      <c r="I37" s="1">
        <v>2</v>
      </c>
      <c r="J37" s="75">
        <f t="shared" si="6"/>
        <v>0.6</v>
      </c>
      <c r="K37" s="36">
        <v>9</v>
      </c>
      <c r="L37" s="1">
        <v>10</v>
      </c>
      <c r="M37" s="75">
        <f t="shared" si="7"/>
        <v>0.47368421052631576</v>
      </c>
      <c r="N37" s="34">
        <v>0</v>
      </c>
      <c r="O37" s="1">
        <v>0</v>
      </c>
      <c r="P37" s="1">
        <v>0</v>
      </c>
      <c r="Q37" s="1">
        <v>0</v>
      </c>
      <c r="R37" s="2">
        <v>0</v>
      </c>
      <c r="S37" s="2">
        <v>0</v>
      </c>
      <c r="T37" s="1">
        <v>0</v>
      </c>
      <c r="U37" s="1">
        <v>0</v>
      </c>
      <c r="V37" s="1">
        <v>0</v>
      </c>
      <c r="W37" s="1">
        <v>1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2">
        <v>0</v>
      </c>
      <c r="AD37" s="1">
        <v>1</v>
      </c>
      <c r="AE37" s="1">
        <v>1</v>
      </c>
      <c r="AF37" s="1">
        <v>0</v>
      </c>
      <c r="AG37" s="1">
        <v>0</v>
      </c>
      <c r="AH37" s="47">
        <v>0</v>
      </c>
    </row>
    <row r="38" spans="1:34" x14ac:dyDescent="0.25">
      <c r="A38" s="1" t="s">
        <v>118</v>
      </c>
      <c r="B38" s="36">
        <v>10</v>
      </c>
      <c r="C38" s="1">
        <f t="shared" si="4"/>
        <v>10</v>
      </c>
      <c r="D38" s="65">
        <v>10</v>
      </c>
      <c r="E38" s="36">
        <v>1</v>
      </c>
      <c r="F38" s="1">
        <v>0</v>
      </c>
      <c r="G38" s="75">
        <f t="shared" si="5"/>
        <v>1</v>
      </c>
      <c r="H38" s="36">
        <v>3</v>
      </c>
      <c r="I38" s="1">
        <v>1</v>
      </c>
      <c r="J38" s="75">
        <f t="shared" si="6"/>
        <v>0.75</v>
      </c>
      <c r="K38" s="36">
        <v>9</v>
      </c>
      <c r="L38" s="1">
        <v>5</v>
      </c>
      <c r="M38" s="75">
        <f t="shared" si="7"/>
        <v>0.6428571428571429</v>
      </c>
      <c r="N38" s="36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1</v>
      </c>
      <c r="Y38" s="1">
        <v>0</v>
      </c>
      <c r="Z38" s="1">
        <v>0</v>
      </c>
      <c r="AA38" s="1">
        <v>0</v>
      </c>
      <c r="AB38" s="1">
        <v>1</v>
      </c>
      <c r="AC38" s="1">
        <v>0</v>
      </c>
      <c r="AD38" s="1">
        <v>0</v>
      </c>
      <c r="AE38" s="1">
        <v>1</v>
      </c>
      <c r="AF38" s="1">
        <v>0</v>
      </c>
      <c r="AG38" s="1">
        <v>0</v>
      </c>
      <c r="AH38" s="65">
        <v>0</v>
      </c>
    </row>
    <row r="39" spans="1:34" x14ac:dyDescent="0.25">
      <c r="A39" s="2" t="s">
        <v>6</v>
      </c>
      <c r="B39" s="34">
        <v>529</v>
      </c>
      <c r="C39" s="66">
        <f t="shared" si="4"/>
        <v>23</v>
      </c>
      <c r="D39" s="35">
        <v>37</v>
      </c>
      <c r="E39" s="34">
        <v>18</v>
      </c>
      <c r="F39" s="2">
        <v>5</v>
      </c>
      <c r="G39" s="75">
        <f t="shared" si="5"/>
        <v>0.78260869565217395</v>
      </c>
      <c r="H39" s="34">
        <v>61</v>
      </c>
      <c r="I39" s="2">
        <v>35</v>
      </c>
      <c r="J39" s="75">
        <f t="shared" si="6"/>
        <v>0.63541666666666663</v>
      </c>
      <c r="K39" s="34">
        <v>225</v>
      </c>
      <c r="L39" s="2">
        <v>171</v>
      </c>
      <c r="M39" s="75">
        <f t="shared" si="7"/>
        <v>0.56818181818181823</v>
      </c>
      <c r="N39" s="34">
        <v>3</v>
      </c>
      <c r="O39" s="2">
        <v>2</v>
      </c>
      <c r="P39" s="2">
        <v>3</v>
      </c>
      <c r="Q39" s="2">
        <v>4</v>
      </c>
      <c r="R39" s="2">
        <v>0</v>
      </c>
      <c r="S39" s="1">
        <v>0</v>
      </c>
      <c r="T39" s="2">
        <v>1</v>
      </c>
      <c r="U39" s="2">
        <v>3</v>
      </c>
      <c r="V39" s="2">
        <v>0</v>
      </c>
      <c r="W39" s="2">
        <v>2</v>
      </c>
      <c r="X39" s="2">
        <v>6</v>
      </c>
      <c r="Y39" s="2">
        <v>3</v>
      </c>
      <c r="Z39" s="2">
        <v>2</v>
      </c>
      <c r="AA39" s="2">
        <v>2</v>
      </c>
      <c r="AB39" s="2">
        <v>8</v>
      </c>
      <c r="AC39" s="2">
        <v>1</v>
      </c>
      <c r="AD39" s="2">
        <v>7</v>
      </c>
      <c r="AE39" s="2">
        <v>4</v>
      </c>
      <c r="AF39" s="2">
        <v>6</v>
      </c>
      <c r="AG39" s="2">
        <v>0</v>
      </c>
      <c r="AH39" s="47">
        <v>4</v>
      </c>
    </row>
    <row r="40" spans="1:34" x14ac:dyDescent="0.25">
      <c r="A40" s="2" t="s">
        <v>18</v>
      </c>
      <c r="B40" s="34">
        <v>55</v>
      </c>
      <c r="C40" s="66">
        <f t="shared" si="4"/>
        <v>18.333333333333332</v>
      </c>
      <c r="D40" s="35">
        <v>24</v>
      </c>
      <c r="E40" s="34">
        <v>2</v>
      </c>
      <c r="F40" s="2">
        <v>1</v>
      </c>
      <c r="G40" s="75">
        <f t="shared" si="5"/>
        <v>0.66666666666666663</v>
      </c>
      <c r="H40" s="34">
        <v>7</v>
      </c>
      <c r="I40" s="2">
        <v>5</v>
      </c>
      <c r="J40" s="75">
        <f t="shared" si="6"/>
        <v>0.58333333333333337</v>
      </c>
      <c r="K40" s="34">
        <v>26</v>
      </c>
      <c r="L40" s="2">
        <v>23</v>
      </c>
      <c r="M40" s="75">
        <f t="shared" si="7"/>
        <v>0.53061224489795922</v>
      </c>
      <c r="N40" s="34">
        <v>0</v>
      </c>
      <c r="O40" s="2">
        <v>2</v>
      </c>
      <c r="P40" s="2">
        <v>0</v>
      </c>
      <c r="Q40" s="2">
        <v>1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  <c r="Y40" s="2">
        <v>1</v>
      </c>
      <c r="Z40" s="2">
        <v>1</v>
      </c>
      <c r="AA40" s="2">
        <v>0</v>
      </c>
      <c r="AB40" s="2">
        <v>1</v>
      </c>
      <c r="AC40" s="2">
        <v>0</v>
      </c>
      <c r="AD40" s="2">
        <v>0</v>
      </c>
      <c r="AE40" s="2">
        <v>0</v>
      </c>
      <c r="AF40" s="2">
        <v>1</v>
      </c>
      <c r="AG40" s="2">
        <v>0</v>
      </c>
      <c r="AH40" s="47">
        <v>0</v>
      </c>
    </row>
    <row r="41" spans="1:34" x14ac:dyDescent="0.25">
      <c r="A41" s="2" t="s">
        <v>113</v>
      </c>
      <c r="B41" s="36">
        <v>82</v>
      </c>
      <c r="C41" s="66">
        <f t="shared" si="4"/>
        <v>20.5</v>
      </c>
      <c r="D41" s="65">
        <v>28</v>
      </c>
      <c r="E41" s="36">
        <v>2</v>
      </c>
      <c r="F41" s="1">
        <v>2</v>
      </c>
      <c r="G41" s="75">
        <f t="shared" si="5"/>
        <v>0.5</v>
      </c>
      <c r="H41" s="36">
        <v>10</v>
      </c>
      <c r="I41" s="1">
        <v>10</v>
      </c>
      <c r="J41" s="75">
        <f t="shared" si="6"/>
        <v>0.5</v>
      </c>
      <c r="K41" s="36">
        <v>39</v>
      </c>
      <c r="L41" s="1">
        <v>42</v>
      </c>
      <c r="M41" s="75">
        <f t="shared" si="7"/>
        <v>0.48148148148148145</v>
      </c>
      <c r="N41" s="36">
        <v>0</v>
      </c>
      <c r="O41" s="1">
        <v>1</v>
      </c>
      <c r="P41" s="1">
        <v>2</v>
      </c>
      <c r="Q41" s="1">
        <v>0</v>
      </c>
      <c r="R41" s="1">
        <v>0</v>
      </c>
      <c r="S41" s="1">
        <v>0</v>
      </c>
      <c r="T41" s="1">
        <v>1</v>
      </c>
      <c r="U41" s="1">
        <v>0</v>
      </c>
      <c r="V41" s="1">
        <v>0</v>
      </c>
      <c r="W41" s="2">
        <v>1</v>
      </c>
      <c r="X41" s="1">
        <v>1</v>
      </c>
      <c r="Y41" s="1">
        <v>0</v>
      </c>
      <c r="Z41" s="1">
        <v>0</v>
      </c>
      <c r="AA41" s="1">
        <v>1</v>
      </c>
      <c r="AB41" s="1">
        <v>0</v>
      </c>
      <c r="AC41" s="1">
        <v>0</v>
      </c>
      <c r="AD41" s="1">
        <v>1</v>
      </c>
      <c r="AE41" s="2">
        <v>1</v>
      </c>
      <c r="AF41" s="1">
        <v>1</v>
      </c>
      <c r="AG41" s="1">
        <v>0</v>
      </c>
      <c r="AH41" s="65">
        <v>0</v>
      </c>
    </row>
    <row r="42" spans="1:34" x14ac:dyDescent="0.25">
      <c r="A42" s="2" t="s">
        <v>14</v>
      </c>
      <c r="B42" s="34">
        <v>183</v>
      </c>
      <c r="C42" s="66">
        <f t="shared" si="4"/>
        <v>16.636363636363637</v>
      </c>
      <c r="D42" s="35">
        <v>25</v>
      </c>
      <c r="E42" s="34">
        <v>5</v>
      </c>
      <c r="F42" s="2">
        <v>6</v>
      </c>
      <c r="G42" s="75">
        <f t="shared" si="5"/>
        <v>0.45454545454545453</v>
      </c>
      <c r="H42" s="34">
        <v>22</v>
      </c>
      <c r="I42" s="2">
        <v>26</v>
      </c>
      <c r="J42" s="75">
        <f t="shared" si="6"/>
        <v>0.45833333333333331</v>
      </c>
      <c r="K42" s="34">
        <v>94</v>
      </c>
      <c r="L42" s="2">
        <v>96</v>
      </c>
      <c r="M42" s="75">
        <f t="shared" si="7"/>
        <v>0.49473684210526314</v>
      </c>
      <c r="N42" s="34">
        <v>1</v>
      </c>
      <c r="O42" s="2">
        <v>1</v>
      </c>
      <c r="P42" s="2">
        <v>0</v>
      </c>
      <c r="Q42" s="2">
        <v>0</v>
      </c>
      <c r="R42" s="2">
        <v>0</v>
      </c>
      <c r="S42" s="2">
        <v>0</v>
      </c>
      <c r="T42" s="2">
        <v>2</v>
      </c>
      <c r="U42" s="2">
        <v>1</v>
      </c>
      <c r="V42" s="2">
        <v>1</v>
      </c>
      <c r="W42" s="2">
        <v>1</v>
      </c>
      <c r="X42" s="2">
        <v>0</v>
      </c>
      <c r="Y42" s="2">
        <v>2</v>
      </c>
      <c r="Z42" s="2">
        <v>1</v>
      </c>
      <c r="AA42" s="2">
        <v>1</v>
      </c>
      <c r="AB42" s="2">
        <v>5</v>
      </c>
      <c r="AC42" s="2">
        <v>1</v>
      </c>
      <c r="AD42" s="2">
        <v>3</v>
      </c>
      <c r="AE42" s="2">
        <v>2</v>
      </c>
      <c r="AF42" s="2">
        <v>0</v>
      </c>
      <c r="AG42" s="2">
        <v>0</v>
      </c>
      <c r="AH42" s="47">
        <v>0</v>
      </c>
    </row>
    <row r="43" spans="1:34" x14ac:dyDescent="0.25">
      <c r="A43" s="2" t="s">
        <v>70</v>
      </c>
      <c r="B43" s="34">
        <v>63</v>
      </c>
      <c r="C43" s="66">
        <f t="shared" si="4"/>
        <v>12.6</v>
      </c>
      <c r="D43" s="47">
        <v>19</v>
      </c>
      <c r="E43" s="34">
        <v>5</v>
      </c>
      <c r="F43" s="2">
        <v>0</v>
      </c>
      <c r="G43" s="75">
        <f t="shared" si="5"/>
        <v>1</v>
      </c>
      <c r="H43" s="34">
        <v>15</v>
      </c>
      <c r="I43" s="2">
        <v>7</v>
      </c>
      <c r="J43" s="75">
        <f t="shared" si="6"/>
        <v>0.68181818181818177</v>
      </c>
      <c r="K43" s="34">
        <v>52</v>
      </c>
      <c r="L43" s="2">
        <v>40</v>
      </c>
      <c r="M43" s="75">
        <f t="shared" si="7"/>
        <v>0.56521739130434778</v>
      </c>
      <c r="N43" s="34">
        <v>1</v>
      </c>
      <c r="O43" s="2">
        <v>1</v>
      </c>
      <c r="P43" s="2">
        <v>2</v>
      </c>
      <c r="Q43" s="2">
        <v>2</v>
      </c>
      <c r="R43" s="2">
        <v>0</v>
      </c>
      <c r="S43" s="2">
        <v>0</v>
      </c>
      <c r="T43" s="2">
        <v>0</v>
      </c>
      <c r="U43" s="2">
        <v>1</v>
      </c>
      <c r="V43" s="2">
        <v>0</v>
      </c>
      <c r="W43" s="2">
        <v>0</v>
      </c>
      <c r="X43" s="2">
        <v>1</v>
      </c>
      <c r="Y43" s="2">
        <v>1</v>
      </c>
      <c r="Z43" s="2">
        <v>0</v>
      </c>
      <c r="AA43" s="2">
        <v>1</v>
      </c>
      <c r="AB43" s="2">
        <v>0</v>
      </c>
      <c r="AC43" s="2">
        <v>0</v>
      </c>
      <c r="AD43" s="2">
        <v>0</v>
      </c>
      <c r="AE43" s="2">
        <v>0</v>
      </c>
      <c r="AF43" s="2">
        <v>3</v>
      </c>
      <c r="AG43" s="2">
        <v>0</v>
      </c>
      <c r="AH43" s="47">
        <v>2</v>
      </c>
    </row>
    <row r="44" spans="1:34" x14ac:dyDescent="0.25">
      <c r="A44" s="2" t="s">
        <v>4</v>
      </c>
      <c r="B44" s="34">
        <v>283</v>
      </c>
      <c r="C44" s="66">
        <f t="shared" si="4"/>
        <v>25.727272727272727</v>
      </c>
      <c r="D44" s="35">
        <v>41</v>
      </c>
      <c r="E44" s="34">
        <v>3</v>
      </c>
      <c r="F44" s="2">
        <v>8</v>
      </c>
      <c r="G44" s="75">
        <f t="shared" si="5"/>
        <v>0.27272727272727271</v>
      </c>
      <c r="H44" s="34">
        <v>20</v>
      </c>
      <c r="I44" s="2">
        <v>28</v>
      </c>
      <c r="J44" s="75">
        <f t="shared" si="6"/>
        <v>0.41666666666666669</v>
      </c>
      <c r="K44" s="34">
        <v>92</v>
      </c>
      <c r="L44" s="2">
        <v>106</v>
      </c>
      <c r="M44" s="75">
        <f t="shared" si="7"/>
        <v>0.46464646464646464</v>
      </c>
      <c r="N44" s="34">
        <v>0</v>
      </c>
      <c r="O44" s="2">
        <v>4</v>
      </c>
      <c r="P44" s="2">
        <v>3</v>
      </c>
      <c r="Q44" s="2">
        <v>2</v>
      </c>
      <c r="R44" s="1">
        <v>0</v>
      </c>
      <c r="S44" s="1">
        <v>0</v>
      </c>
      <c r="T44" s="2">
        <v>1</v>
      </c>
      <c r="U44" s="2">
        <v>0</v>
      </c>
      <c r="V44" s="2">
        <v>0</v>
      </c>
      <c r="W44" s="2">
        <v>1</v>
      </c>
      <c r="X44" s="2">
        <v>0</v>
      </c>
      <c r="Y44" s="2">
        <v>0</v>
      </c>
      <c r="Z44" s="2">
        <v>0</v>
      </c>
      <c r="AA44" s="2">
        <v>4</v>
      </c>
      <c r="AB44" s="2">
        <v>1</v>
      </c>
      <c r="AC44" s="2">
        <v>0</v>
      </c>
      <c r="AD44" s="2">
        <v>1</v>
      </c>
      <c r="AE44" s="2">
        <v>2</v>
      </c>
      <c r="AF44" s="2">
        <v>1</v>
      </c>
      <c r="AG44" s="2">
        <v>0</v>
      </c>
      <c r="AH44" s="47">
        <v>0</v>
      </c>
    </row>
    <row r="45" spans="1:34" x14ac:dyDescent="0.25">
      <c r="A45" s="1" t="s">
        <v>107</v>
      </c>
      <c r="B45" s="36">
        <v>103</v>
      </c>
      <c r="C45" s="66">
        <f t="shared" si="4"/>
        <v>14.714285714285714</v>
      </c>
      <c r="D45" s="65">
        <v>24</v>
      </c>
      <c r="E45" s="36">
        <v>4</v>
      </c>
      <c r="F45" s="1">
        <v>3</v>
      </c>
      <c r="G45" s="75">
        <f t="shared" si="5"/>
        <v>0.5714285714285714</v>
      </c>
      <c r="H45" s="36">
        <v>18</v>
      </c>
      <c r="I45" s="1">
        <v>14</v>
      </c>
      <c r="J45" s="75">
        <f t="shared" si="6"/>
        <v>0.5625</v>
      </c>
      <c r="K45" s="36">
        <v>74</v>
      </c>
      <c r="L45" s="1">
        <v>67</v>
      </c>
      <c r="M45" s="75">
        <f t="shared" si="7"/>
        <v>0.52482269503546097</v>
      </c>
      <c r="N45" s="34">
        <v>0</v>
      </c>
      <c r="O45" s="1">
        <v>0</v>
      </c>
      <c r="P45" s="1">
        <v>1</v>
      </c>
      <c r="Q45" s="1">
        <v>4</v>
      </c>
      <c r="R45" s="2">
        <v>0</v>
      </c>
      <c r="S45" s="2">
        <v>0</v>
      </c>
      <c r="T45" s="1">
        <v>0</v>
      </c>
      <c r="U45" s="1">
        <v>1</v>
      </c>
      <c r="V45" s="1">
        <v>0</v>
      </c>
      <c r="W45" s="1">
        <v>0</v>
      </c>
      <c r="X45" s="1">
        <v>2</v>
      </c>
      <c r="Y45" s="2">
        <v>0</v>
      </c>
      <c r="Z45" s="1">
        <v>0</v>
      </c>
      <c r="AA45" s="1">
        <v>2</v>
      </c>
      <c r="AB45" s="1">
        <v>3</v>
      </c>
      <c r="AC45" s="2">
        <v>0</v>
      </c>
      <c r="AD45" s="1">
        <v>0</v>
      </c>
      <c r="AE45" s="1">
        <v>2</v>
      </c>
      <c r="AF45" s="1">
        <v>2</v>
      </c>
      <c r="AG45" s="1">
        <v>0</v>
      </c>
      <c r="AH45" s="47">
        <v>1</v>
      </c>
    </row>
    <row r="46" spans="1:34" x14ac:dyDescent="0.25">
      <c r="A46" s="2" t="s">
        <v>94</v>
      </c>
      <c r="B46" s="34">
        <v>18</v>
      </c>
      <c r="C46" s="66">
        <f t="shared" si="4"/>
        <v>18</v>
      </c>
      <c r="D46" s="47">
        <v>18</v>
      </c>
      <c r="E46" s="34">
        <v>1</v>
      </c>
      <c r="F46" s="2">
        <v>0</v>
      </c>
      <c r="G46" s="75">
        <f t="shared" si="5"/>
        <v>1</v>
      </c>
      <c r="H46" s="34">
        <v>3</v>
      </c>
      <c r="I46" s="2">
        <v>2</v>
      </c>
      <c r="J46" s="75">
        <f t="shared" si="6"/>
        <v>0.6</v>
      </c>
      <c r="K46" s="34">
        <v>11</v>
      </c>
      <c r="L46" s="2">
        <v>10</v>
      </c>
      <c r="M46" s="75">
        <f t="shared" si="7"/>
        <v>0.52380952380952384</v>
      </c>
      <c r="N46" s="34">
        <v>0</v>
      </c>
      <c r="O46" s="2">
        <v>0</v>
      </c>
      <c r="P46" s="2">
        <v>0</v>
      </c>
      <c r="Q46" s="2">
        <v>0</v>
      </c>
      <c r="R46" s="1">
        <v>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1</v>
      </c>
      <c r="Z46" s="2">
        <v>1</v>
      </c>
      <c r="AA46" s="2">
        <v>0</v>
      </c>
      <c r="AB46" s="2">
        <v>1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47">
        <v>0</v>
      </c>
    </row>
    <row r="47" spans="1:34" ht="15.75" thickBot="1" x14ac:dyDescent="0.3">
      <c r="A47" s="2" t="s">
        <v>55</v>
      </c>
      <c r="B47" s="38">
        <v>6</v>
      </c>
      <c r="C47" s="67">
        <f t="shared" si="4"/>
        <v>6</v>
      </c>
      <c r="D47" s="40">
        <v>6</v>
      </c>
      <c r="E47" s="38">
        <v>0</v>
      </c>
      <c r="F47" s="48">
        <v>1</v>
      </c>
      <c r="G47" s="76">
        <f t="shared" si="5"/>
        <v>0</v>
      </c>
      <c r="H47" s="38">
        <v>0</v>
      </c>
      <c r="I47" s="48">
        <v>3</v>
      </c>
      <c r="J47" s="76">
        <f t="shared" si="6"/>
        <v>0</v>
      </c>
      <c r="K47" s="38">
        <v>4</v>
      </c>
      <c r="L47" s="48">
        <v>9</v>
      </c>
      <c r="M47" s="76">
        <f t="shared" si="7"/>
        <v>0.30769230769230771</v>
      </c>
      <c r="N47" s="38">
        <v>0</v>
      </c>
      <c r="O47" s="48">
        <v>0</v>
      </c>
      <c r="P47" s="48">
        <v>0</v>
      </c>
      <c r="Q47" s="48">
        <v>0</v>
      </c>
      <c r="R47" s="48">
        <v>0</v>
      </c>
      <c r="S47" s="48">
        <v>0</v>
      </c>
      <c r="T47" s="48">
        <v>0</v>
      </c>
      <c r="U47" s="48">
        <v>0</v>
      </c>
      <c r="V47" s="48">
        <v>0</v>
      </c>
      <c r="W47" s="48">
        <v>0</v>
      </c>
      <c r="X47" s="48">
        <v>0</v>
      </c>
      <c r="Y47" s="48">
        <v>0</v>
      </c>
      <c r="Z47" s="48">
        <v>0</v>
      </c>
      <c r="AA47" s="48">
        <v>0</v>
      </c>
      <c r="AB47" s="48">
        <v>0</v>
      </c>
      <c r="AC47" s="48">
        <v>0</v>
      </c>
      <c r="AD47" s="48">
        <v>0</v>
      </c>
      <c r="AE47" s="48">
        <v>0</v>
      </c>
      <c r="AF47" s="48">
        <v>0</v>
      </c>
      <c r="AG47" s="48">
        <v>0</v>
      </c>
      <c r="AH47" s="49">
        <v>0</v>
      </c>
    </row>
  </sheetData>
  <autoFilter ref="A1:AH47" xr:uid="{DA548192-1F03-46EA-8AB8-115EB9A7CE5D}">
    <sortState xmlns:xlrd2="http://schemas.microsoft.com/office/spreadsheetml/2017/richdata2" ref="A2:AH47">
      <sortCondition ref="A1:A47"/>
    </sortState>
  </autoFilter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0E10D-1157-4164-84BC-1BB5367BF023}">
  <sheetPr codeName="Sheet1"/>
  <dimension ref="A1:AJ750"/>
  <sheetViews>
    <sheetView workbookViewId="0">
      <pane xSplit="2" ySplit="1" topLeftCell="L713" activePane="bottomRight" state="frozen"/>
      <selection pane="topRight" activeCell="C1" sqref="C1"/>
      <selection pane="bottomLeft" activeCell="A2" sqref="A2"/>
      <selection pane="bottomRight" activeCell="Q761" sqref="Q760:Q761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3" max="33" width="14.140625" bestFit="1" customWidth="1"/>
    <col min="34" max="34" width="10.85546875" customWidth="1"/>
    <col min="35" max="35" width="9" customWidth="1"/>
    <col min="36" max="36" width="13.28515625" bestFit="1" customWidth="1"/>
  </cols>
  <sheetData>
    <row r="1" spans="1:36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145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69" t="s">
        <v>104</v>
      </c>
      <c r="AB1" s="69" t="s">
        <v>66</v>
      </c>
      <c r="AC1" s="69" t="s">
        <v>72</v>
      </c>
      <c r="AD1" s="70" t="s">
        <v>68</v>
      </c>
      <c r="AE1" s="70" t="s">
        <v>135</v>
      </c>
      <c r="AF1" s="71" t="s">
        <v>96</v>
      </c>
      <c r="AG1" s="83" t="s">
        <v>134</v>
      </c>
      <c r="AH1" s="83" t="s">
        <v>132</v>
      </c>
      <c r="AI1" s="83" t="s">
        <v>133</v>
      </c>
      <c r="AJ1" s="83" t="s">
        <v>136</v>
      </c>
    </row>
    <row r="2" spans="1:36" x14ac:dyDescent="0.25">
      <c r="A2" s="85">
        <v>46009</v>
      </c>
      <c r="B2" t="s">
        <v>50</v>
      </c>
      <c r="C2">
        <v>25</v>
      </c>
      <c r="D2">
        <v>1</v>
      </c>
      <c r="E2">
        <v>5</v>
      </c>
      <c r="F2">
        <v>3</v>
      </c>
      <c r="G2">
        <v>21</v>
      </c>
      <c r="H2">
        <v>14</v>
      </c>
      <c r="I2">
        <v>0.6</v>
      </c>
      <c r="J2">
        <v>0.67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0</v>
      </c>
      <c r="T2">
        <v>1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86">
        <f>AVERAGEIFS($C$2:C2, $B$2:B2, B2)</f>
        <v>25</v>
      </c>
      <c r="AH2" s="86">
        <f>AVERAGEIFS($I$2:I2, $B$2:B2, B2)</f>
        <v>0.6</v>
      </c>
      <c r="AI2" s="86">
        <f>AVERAGEIFS($J$2:J2, $B$2:B2, B2)</f>
        <v>0.67</v>
      </c>
      <c r="AJ2" s="86">
        <f>AVERAGEIFS($D$2:D2, $B$2:B2, B2)</f>
        <v>1</v>
      </c>
    </row>
    <row r="3" spans="1:36" x14ac:dyDescent="0.25">
      <c r="A3" s="85">
        <v>46009</v>
      </c>
      <c r="B3" t="s">
        <v>54</v>
      </c>
      <c r="C3">
        <v>25</v>
      </c>
      <c r="D3">
        <v>1</v>
      </c>
      <c r="E3">
        <v>5</v>
      </c>
      <c r="F3">
        <v>3</v>
      </c>
      <c r="G3">
        <v>21</v>
      </c>
      <c r="H3">
        <v>14</v>
      </c>
      <c r="I3">
        <v>0.6</v>
      </c>
      <c r="J3">
        <v>0.67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1</v>
      </c>
      <c r="R3">
        <v>1</v>
      </c>
      <c r="S3">
        <v>0</v>
      </c>
      <c r="T3">
        <v>1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86">
        <f>AVERAGEIFS($C$2:C3, $B$2:B3, B3)</f>
        <v>25</v>
      </c>
      <c r="AH3" s="86">
        <f>AVERAGEIFS($I$2:I3, $B$2:B3, B3)</f>
        <v>0.6</v>
      </c>
      <c r="AI3" s="86">
        <f>AVERAGEIFS($J$2:J3, $B$2:B3, B3)</f>
        <v>0.67</v>
      </c>
      <c r="AJ3" s="86">
        <f>AVERAGEIFS($D$2:D3, $B$2:B3, B3)</f>
        <v>1</v>
      </c>
    </row>
    <row r="4" spans="1:36" x14ac:dyDescent="0.25">
      <c r="A4" s="85">
        <v>46009</v>
      </c>
      <c r="B4" t="s">
        <v>14</v>
      </c>
      <c r="C4">
        <v>24</v>
      </c>
      <c r="D4">
        <v>1</v>
      </c>
      <c r="E4">
        <v>5</v>
      </c>
      <c r="F4">
        <v>3</v>
      </c>
      <c r="G4">
        <v>21</v>
      </c>
      <c r="H4">
        <v>14</v>
      </c>
      <c r="I4">
        <v>0.6</v>
      </c>
      <c r="J4">
        <v>0.67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  <c r="S4">
        <v>0</v>
      </c>
      <c r="T4">
        <v>1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86">
        <f>AVERAGEIFS($C$2:C4, $B$2:B4, B4)</f>
        <v>24</v>
      </c>
      <c r="AH4" s="86">
        <f>AVERAGEIFS($I$2:I4, $B$2:B4, B4)</f>
        <v>0.6</v>
      </c>
      <c r="AI4" s="86">
        <f>AVERAGEIFS($J$2:J4, $B$2:B4, B4)</f>
        <v>0.67</v>
      </c>
      <c r="AJ4" s="86">
        <f>AVERAGEIFS($D$2:D4, $B$2:B4, B4)</f>
        <v>1</v>
      </c>
    </row>
    <row r="5" spans="1:36" x14ac:dyDescent="0.25">
      <c r="A5" s="85">
        <v>46009</v>
      </c>
      <c r="B5" t="s">
        <v>28</v>
      </c>
      <c r="C5">
        <v>16</v>
      </c>
      <c r="D5">
        <v>1</v>
      </c>
      <c r="E5">
        <v>5</v>
      </c>
      <c r="F5">
        <v>3</v>
      </c>
      <c r="G5">
        <v>21</v>
      </c>
      <c r="H5">
        <v>14</v>
      </c>
      <c r="I5">
        <v>0.6</v>
      </c>
      <c r="J5">
        <v>0.67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1</v>
      </c>
      <c r="R5">
        <v>1</v>
      </c>
      <c r="S5">
        <v>0</v>
      </c>
      <c r="T5">
        <v>1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86">
        <f>AVERAGEIFS($C$2:C5, $B$2:B5, B5)</f>
        <v>16</v>
      </c>
      <c r="AH5" s="86">
        <f>AVERAGEIFS($I$2:I5, $B$2:B5, B5)</f>
        <v>0.6</v>
      </c>
      <c r="AI5" s="86">
        <f>AVERAGEIFS($J$2:J5, $B$2:B5, B5)</f>
        <v>0.67</v>
      </c>
      <c r="AJ5" s="86">
        <f>AVERAGEIFS($D$2:D5, $B$2:B5, B5)</f>
        <v>1</v>
      </c>
    </row>
    <row r="6" spans="1:36" x14ac:dyDescent="0.25">
      <c r="A6" s="85">
        <v>46009</v>
      </c>
      <c r="B6" t="s">
        <v>19</v>
      </c>
      <c r="C6">
        <v>11</v>
      </c>
      <c r="D6">
        <v>1</v>
      </c>
      <c r="E6">
        <v>5</v>
      </c>
      <c r="F6">
        <v>3</v>
      </c>
      <c r="G6">
        <v>21</v>
      </c>
      <c r="H6">
        <v>14</v>
      </c>
      <c r="I6">
        <v>0.6</v>
      </c>
      <c r="J6">
        <v>0.67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</v>
      </c>
      <c r="R6">
        <v>1</v>
      </c>
      <c r="S6">
        <v>0</v>
      </c>
      <c r="T6">
        <v>1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86">
        <f>AVERAGEIFS($C$2:C6, $B$2:B6, B6)</f>
        <v>11</v>
      </c>
      <c r="AH6" s="86">
        <f>AVERAGEIFS($I$2:I6, $B$2:B6, B6)</f>
        <v>0.6</v>
      </c>
      <c r="AI6" s="86">
        <f>AVERAGEIFS($J$2:J6, $B$2:B6, B6)</f>
        <v>0.67</v>
      </c>
      <c r="AJ6" s="86">
        <f>AVERAGEIFS($D$2:D6, $B$2:B6, B6)</f>
        <v>1</v>
      </c>
    </row>
    <row r="7" spans="1:36" x14ac:dyDescent="0.25">
      <c r="A7" s="85">
        <v>46009</v>
      </c>
      <c r="B7" t="s">
        <v>35</v>
      </c>
      <c r="C7">
        <v>7</v>
      </c>
      <c r="D7">
        <v>1</v>
      </c>
      <c r="E7">
        <v>5</v>
      </c>
      <c r="F7">
        <v>3</v>
      </c>
      <c r="G7">
        <v>21</v>
      </c>
      <c r="H7">
        <v>14</v>
      </c>
      <c r="I7">
        <v>0.6</v>
      </c>
      <c r="J7">
        <v>0.67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</v>
      </c>
      <c r="R7">
        <v>1</v>
      </c>
      <c r="S7">
        <v>0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86">
        <f>AVERAGEIFS($C$2:C7, $B$2:B7, B7)</f>
        <v>7</v>
      </c>
      <c r="AH7" s="86">
        <f>AVERAGEIFS($I$2:I7, $B$2:B7, B7)</f>
        <v>0.6</v>
      </c>
      <c r="AI7" s="86">
        <f>AVERAGEIFS($J$2:J7, $B$2:B7, B7)</f>
        <v>0.67</v>
      </c>
      <c r="AJ7" s="86">
        <f>AVERAGEIFS($D$2:D7, $B$2:B7, B7)</f>
        <v>1</v>
      </c>
    </row>
    <row r="8" spans="1:36" x14ac:dyDescent="0.25">
      <c r="A8" s="85">
        <v>46009</v>
      </c>
      <c r="B8" t="s">
        <v>53</v>
      </c>
      <c r="C8">
        <v>36</v>
      </c>
      <c r="D8">
        <v>0</v>
      </c>
      <c r="E8">
        <v>5</v>
      </c>
      <c r="F8">
        <v>2</v>
      </c>
      <c r="G8">
        <v>21</v>
      </c>
      <c r="H8">
        <v>7</v>
      </c>
      <c r="I8">
        <v>0.4</v>
      </c>
      <c r="J8">
        <v>0.33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1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86">
        <f>AVERAGEIFS($C$2:C8, $B$2:B8, B8)</f>
        <v>36</v>
      </c>
      <c r="AH8" s="86">
        <f>AVERAGEIFS($I$2:I8, $B$2:B8, B8)</f>
        <v>0.4</v>
      </c>
      <c r="AI8" s="86">
        <f>AVERAGEIFS($J$2:J8, $B$2:B8, B8)</f>
        <v>0.33</v>
      </c>
      <c r="AJ8" s="86">
        <f>AVERAGEIFS($D$2:D8, $B$2:B8, B8)</f>
        <v>0</v>
      </c>
    </row>
    <row r="9" spans="1:36" x14ac:dyDescent="0.25">
      <c r="A9" s="85">
        <v>46009</v>
      </c>
      <c r="B9" t="s">
        <v>17</v>
      </c>
      <c r="C9">
        <v>28</v>
      </c>
      <c r="D9">
        <v>0</v>
      </c>
      <c r="E9">
        <v>5</v>
      </c>
      <c r="F9">
        <v>2</v>
      </c>
      <c r="G9">
        <v>21</v>
      </c>
      <c r="H9">
        <v>7</v>
      </c>
      <c r="I9">
        <v>0.4</v>
      </c>
      <c r="J9">
        <v>0.33</v>
      </c>
      <c r="K9">
        <v>0</v>
      </c>
      <c r="L9">
        <v>0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1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86">
        <f>AVERAGEIFS($C$2:C9, $B$2:B9, B9)</f>
        <v>28</v>
      </c>
      <c r="AH9" s="86">
        <f>AVERAGEIFS($I$2:I9, $B$2:B9, B9)</f>
        <v>0.4</v>
      </c>
      <c r="AI9" s="86">
        <f>AVERAGEIFS($J$2:J9, $B$2:B9, B9)</f>
        <v>0.33</v>
      </c>
      <c r="AJ9" s="86">
        <f>AVERAGEIFS($D$2:D9, $B$2:B9, B9)</f>
        <v>0</v>
      </c>
    </row>
    <row r="10" spans="1:36" x14ac:dyDescent="0.25">
      <c r="A10" s="85">
        <v>46009</v>
      </c>
      <c r="B10" t="s">
        <v>46</v>
      </c>
      <c r="C10">
        <v>17</v>
      </c>
      <c r="D10">
        <v>0</v>
      </c>
      <c r="E10">
        <v>5</v>
      </c>
      <c r="F10">
        <v>2</v>
      </c>
      <c r="G10">
        <v>21</v>
      </c>
      <c r="H10">
        <v>7</v>
      </c>
      <c r="I10">
        <v>0.4</v>
      </c>
      <c r="J10">
        <v>0.33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s="86">
        <f>AVERAGEIFS($C$2:C10, $B$2:B10, B10)</f>
        <v>17</v>
      </c>
      <c r="AH10" s="86">
        <f>AVERAGEIFS($I$2:I10, $B$2:B10, B10)</f>
        <v>0.4</v>
      </c>
      <c r="AI10" s="86">
        <f>AVERAGEIFS($J$2:J10, $B$2:B10, B10)</f>
        <v>0.33</v>
      </c>
      <c r="AJ10" s="86">
        <f>AVERAGEIFS($D$2:D10, $B$2:B10, B10)</f>
        <v>0</v>
      </c>
    </row>
    <row r="11" spans="1:36" x14ac:dyDescent="0.25">
      <c r="A11" s="85">
        <v>46009</v>
      </c>
      <c r="B11" t="s">
        <v>13</v>
      </c>
      <c r="C11">
        <v>12</v>
      </c>
      <c r="D11">
        <v>0</v>
      </c>
      <c r="E11">
        <v>5</v>
      </c>
      <c r="F11">
        <v>2</v>
      </c>
      <c r="G11">
        <v>21</v>
      </c>
      <c r="H11">
        <v>7</v>
      </c>
      <c r="I11">
        <v>0.4</v>
      </c>
      <c r="J11">
        <v>0.33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 s="86">
        <f>AVERAGEIFS($C$2:C11, $B$2:B11, B11)</f>
        <v>12</v>
      </c>
      <c r="AH11" s="86">
        <f>AVERAGEIFS($I$2:I11, $B$2:B11, B11)</f>
        <v>0.4</v>
      </c>
      <c r="AI11" s="86">
        <f>AVERAGEIFS($J$2:J11, $B$2:B11, B11)</f>
        <v>0.33</v>
      </c>
      <c r="AJ11" s="86">
        <f>AVERAGEIFS($D$2:D11, $B$2:B11, B11)</f>
        <v>0</v>
      </c>
    </row>
    <row r="12" spans="1:36" x14ac:dyDescent="0.25">
      <c r="A12" s="85">
        <v>46009</v>
      </c>
      <c r="B12" t="s">
        <v>27</v>
      </c>
      <c r="C12">
        <v>9</v>
      </c>
      <c r="D12">
        <v>0</v>
      </c>
      <c r="E12">
        <v>5</v>
      </c>
      <c r="F12">
        <v>2</v>
      </c>
      <c r="G12">
        <v>21</v>
      </c>
      <c r="H12">
        <v>7</v>
      </c>
      <c r="I12">
        <v>0.4</v>
      </c>
      <c r="J12">
        <v>0.33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s="86">
        <f>AVERAGEIFS($C$2:C12, $B$2:B12, B12)</f>
        <v>9</v>
      </c>
      <c r="AH12" s="86">
        <f>AVERAGEIFS($I$2:I12, $B$2:B12, B12)</f>
        <v>0.4</v>
      </c>
      <c r="AI12" s="86">
        <f>AVERAGEIFS($J$2:J12, $B$2:B12, B12)</f>
        <v>0.33</v>
      </c>
      <c r="AJ12" s="86">
        <f>AVERAGEIFS($D$2:D12, $B$2:B12, B12)</f>
        <v>0</v>
      </c>
    </row>
    <row r="13" spans="1:36" x14ac:dyDescent="0.25">
      <c r="A13" s="85">
        <v>46009</v>
      </c>
      <c r="B13" t="s">
        <v>137</v>
      </c>
      <c r="C13">
        <v>3</v>
      </c>
      <c r="D13">
        <v>0</v>
      </c>
      <c r="E13">
        <v>5</v>
      </c>
      <c r="F13">
        <v>2</v>
      </c>
      <c r="G13">
        <v>21</v>
      </c>
      <c r="H13">
        <v>7</v>
      </c>
      <c r="I13">
        <v>0.4</v>
      </c>
      <c r="J13">
        <v>0.33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s="86">
        <f>AVERAGEIFS($C$2:C13, $B$2:B13, B13)</f>
        <v>3</v>
      </c>
      <c r="AH13" s="86">
        <f>AVERAGEIFS($I$2:I13, $B$2:B13, B13)</f>
        <v>0.4</v>
      </c>
      <c r="AI13" s="86">
        <f>AVERAGEIFS($J$2:J13, $B$2:B13, B13)</f>
        <v>0.33</v>
      </c>
      <c r="AJ13" s="86">
        <f>AVERAGEIFS($D$2:D13, $B$2:B13, B13)</f>
        <v>0</v>
      </c>
    </row>
    <row r="14" spans="1:36" x14ac:dyDescent="0.25">
      <c r="A14" s="85">
        <v>46027</v>
      </c>
      <c r="B14" t="s">
        <v>19</v>
      </c>
      <c r="C14">
        <v>8</v>
      </c>
      <c r="D14">
        <v>1</v>
      </c>
      <c r="E14">
        <v>5</v>
      </c>
      <c r="F14">
        <v>3</v>
      </c>
      <c r="G14">
        <v>21</v>
      </c>
      <c r="H14">
        <v>10</v>
      </c>
      <c r="I14">
        <v>0.6</v>
      </c>
      <c r="J14">
        <v>0.48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>
        <v>0</v>
      </c>
      <c r="AB14">
        <v>0</v>
      </c>
      <c r="AC14">
        <v>0</v>
      </c>
      <c r="AD14">
        <v>1</v>
      </c>
      <c r="AE14">
        <v>0</v>
      </c>
      <c r="AF14">
        <v>0</v>
      </c>
      <c r="AG14" s="86">
        <f>AVERAGEIFS($C$2:C14, $B$2:B14, B14)</f>
        <v>9.5</v>
      </c>
      <c r="AH14" s="86">
        <f>AVERAGEIFS($I$2:I14, $B$2:B14, B14)</f>
        <v>0.6</v>
      </c>
      <c r="AI14" s="86">
        <f>AVERAGEIFS($J$2:J14, $B$2:B14, B14)</f>
        <v>0.57499999999999996</v>
      </c>
      <c r="AJ14" s="86">
        <f>AVERAGEIFS($D$2:D14, $B$2:B14, B14)</f>
        <v>1</v>
      </c>
    </row>
    <row r="15" spans="1:36" x14ac:dyDescent="0.25">
      <c r="A15" s="85">
        <v>46027</v>
      </c>
      <c r="B15" t="s">
        <v>50</v>
      </c>
      <c r="C15">
        <v>30</v>
      </c>
      <c r="D15">
        <v>1</v>
      </c>
      <c r="E15">
        <v>5</v>
      </c>
      <c r="F15">
        <v>3</v>
      </c>
      <c r="G15">
        <v>21</v>
      </c>
      <c r="H15">
        <v>10</v>
      </c>
      <c r="I15">
        <v>0.6</v>
      </c>
      <c r="J15">
        <v>0.48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>
        <v>0</v>
      </c>
      <c r="AB15">
        <v>0</v>
      </c>
      <c r="AC15">
        <v>0</v>
      </c>
      <c r="AD15">
        <v>1</v>
      </c>
      <c r="AE15">
        <v>0</v>
      </c>
      <c r="AF15">
        <v>0</v>
      </c>
      <c r="AG15" s="86">
        <f>AVERAGEIFS($C$2:C15, $B$2:B15, B15)</f>
        <v>27.5</v>
      </c>
      <c r="AH15" s="86">
        <f>AVERAGEIFS($I$2:I15, $B$2:B15, B15)</f>
        <v>0.6</v>
      </c>
      <c r="AI15" s="86">
        <f>AVERAGEIFS($J$2:J15, $B$2:B15, B15)</f>
        <v>0.57499999999999996</v>
      </c>
      <c r="AJ15" s="86">
        <f>AVERAGEIFS($D$2:D15, $B$2:B15, B15)</f>
        <v>1</v>
      </c>
    </row>
    <row r="16" spans="1:36" x14ac:dyDescent="0.25">
      <c r="A16" s="85">
        <v>46027</v>
      </c>
      <c r="B16" t="s">
        <v>3</v>
      </c>
      <c r="C16">
        <v>24</v>
      </c>
      <c r="D16">
        <v>1</v>
      </c>
      <c r="E16">
        <v>5</v>
      </c>
      <c r="F16">
        <v>3</v>
      </c>
      <c r="G16">
        <v>21</v>
      </c>
      <c r="H16">
        <v>10</v>
      </c>
      <c r="I16">
        <v>0.6</v>
      </c>
      <c r="J16">
        <v>0.48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>
        <v>0</v>
      </c>
      <c r="AB16">
        <v>0</v>
      </c>
      <c r="AC16">
        <v>0</v>
      </c>
      <c r="AD16">
        <v>1</v>
      </c>
      <c r="AE16">
        <v>0</v>
      </c>
      <c r="AF16">
        <v>0</v>
      </c>
      <c r="AG16" s="86">
        <f>AVERAGEIFS($C$2:C16, $B$2:B16, B16)</f>
        <v>24</v>
      </c>
      <c r="AH16" s="86">
        <f>AVERAGEIFS($I$2:I16, $B$2:B16, B16)</f>
        <v>0.6</v>
      </c>
      <c r="AI16" s="86">
        <f>AVERAGEIFS($J$2:J16, $B$2:B16, B16)</f>
        <v>0.48</v>
      </c>
      <c r="AJ16" s="86">
        <f>AVERAGEIFS($D$2:D16, $B$2:B16, B16)</f>
        <v>1</v>
      </c>
    </row>
    <row r="17" spans="1:36" x14ac:dyDescent="0.25">
      <c r="A17" s="85">
        <v>46027</v>
      </c>
      <c r="B17" t="s">
        <v>70</v>
      </c>
      <c r="C17">
        <v>13</v>
      </c>
      <c r="D17">
        <v>1</v>
      </c>
      <c r="E17">
        <v>5</v>
      </c>
      <c r="F17">
        <v>3</v>
      </c>
      <c r="G17">
        <v>21</v>
      </c>
      <c r="H17">
        <v>10</v>
      </c>
      <c r="I17">
        <v>0.6</v>
      </c>
      <c r="J17">
        <v>0.48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>
        <v>0</v>
      </c>
      <c r="AB17">
        <v>0</v>
      </c>
      <c r="AC17">
        <v>0</v>
      </c>
      <c r="AD17">
        <v>1</v>
      </c>
      <c r="AE17">
        <v>0</v>
      </c>
      <c r="AF17">
        <v>0</v>
      </c>
      <c r="AG17" s="86">
        <f>AVERAGEIFS($C$2:C17, $B$2:B17, B17)</f>
        <v>13</v>
      </c>
      <c r="AH17" s="86">
        <f>AVERAGEIFS($I$2:I17, $B$2:B17, B17)</f>
        <v>0.6</v>
      </c>
      <c r="AI17" s="86">
        <f>AVERAGEIFS($J$2:J17, $B$2:B17, B17)</f>
        <v>0.48</v>
      </c>
      <c r="AJ17" s="86">
        <f>AVERAGEIFS($D$2:D17, $B$2:B17, B17)</f>
        <v>1</v>
      </c>
    </row>
    <row r="18" spans="1:36" x14ac:dyDescent="0.25">
      <c r="A18" s="85">
        <v>46027</v>
      </c>
      <c r="B18" t="s">
        <v>13</v>
      </c>
      <c r="C18">
        <v>5</v>
      </c>
      <c r="D18">
        <v>1</v>
      </c>
      <c r="E18">
        <v>5</v>
      </c>
      <c r="F18">
        <v>3</v>
      </c>
      <c r="G18">
        <v>21</v>
      </c>
      <c r="H18">
        <v>10</v>
      </c>
      <c r="I18">
        <v>0.6</v>
      </c>
      <c r="J18">
        <v>0.48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>
        <v>0</v>
      </c>
      <c r="AB18">
        <v>0</v>
      </c>
      <c r="AC18">
        <v>0</v>
      </c>
      <c r="AD18">
        <v>1</v>
      </c>
      <c r="AE18">
        <v>0</v>
      </c>
      <c r="AF18">
        <v>0</v>
      </c>
      <c r="AG18" s="86">
        <f>AVERAGEIFS($C$2:C18, $B$2:B18, B18)</f>
        <v>8.5</v>
      </c>
      <c r="AH18" s="86">
        <f>AVERAGEIFS($I$2:I18, $B$2:B18, B18)</f>
        <v>0.5</v>
      </c>
      <c r="AI18" s="86">
        <f>AVERAGEIFS($J$2:J18, $B$2:B18, B18)</f>
        <v>0.40500000000000003</v>
      </c>
      <c r="AJ18" s="86">
        <f>AVERAGEIFS($D$2:D18, $B$2:B18, B18)</f>
        <v>0.5</v>
      </c>
    </row>
    <row r="19" spans="1:36" x14ac:dyDescent="0.25">
      <c r="A19" s="85">
        <v>46027</v>
      </c>
      <c r="B19" t="s">
        <v>71</v>
      </c>
      <c r="C19">
        <v>6</v>
      </c>
      <c r="D19">
        <v>1</v>
      </c>
      <c r="E19">
        <v>5</v>
      </c>
      <c r="F19">
        <v>3</v>
      </c>
      <c r="G19">
        <v>21</v>
      </c>
      <c r="H19">
        <v>10</v>
      </c>
      <c r="I19">
        <v>0.6</v>
      </c>
      <c r="J19">
        <v>0.48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>
        <v>0</v>
      </c>
      <c r="AB19">
        <v>0</v>
      </c>
      <c r="AC19">
        <v>0</v>
      </c>
      <c r="AD19">
        <v>1</v>
      </c>
      <c r="AE19">
        <v>0</v>
      </c>
      <c r="AF19">
        <v>0</v>
      </c>
      <c r="AG19" s="86">
        <f>AVERAGEIFS($C$2:C19, $B$2:B19, B19)</f>
        <v>6</v>
      </c>
      <c r="AH19" s="86">
        <f>AVERAGEIFS($I$2:I19, $B$2:B19, B19)</f>
        <v>0.6</v>
      </c>
      <c r="AI19" s="86">
        <f>AVERAGEIFS($J$2:J19, $B$2:B19, B19)</f>
        <v>0.48</v>
      </c>
      <c r="AJ19" s="86">
        <f>AVERAGEIFS($D$2:D19, $B$2:B19, B19)</f>
        <v>1</v>
      </c>
    </row>
    <row r="20" spans="1:36" x14ac:dyDescent="0.25">
      <c r="A20" s="85">
        <v>46027</v>
      </c>
      <c r="B20" t="s">
        <v>1</v>
      </c>
      <c r="C20">
        <v>32</v>
      </c>
      <c r="D20">
        <v>1</v>
      </c>
      <c r="E20">
        <v>5</v>
      </c>
      <c r="F20">
        <v>3</v>
      </c>
      <c r="G20">
        <v>21</v>
      </c>
      <c r="H20">
        <v>10</v>
      </c>
      <c r="I20">
        <v>0.6</v>
      </c>
      <c r="J20">
        <v>0.48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>
        <v>0</v>
      </c>
      <c r="AB20">
        <v>0</v>
      </c>
      <c r="AC20">
        <v>0</v>
      </c>
      <c r="AD20">
        <v>1</v>
      </c>
      <c r="AE20">
        <v>0</v>
      </c>
      <c r="AF20">
        <v>0</v>
      </c>
      <c r="AG20" s="86">
        <f>AVERAGEIFS($C$2:C20, $B$2:B20, B20)</f>
        <v>32</v>
      </c>
      <c r="AH20" s="86">
        <f>AVERAGEIFS($I$2:I20, $B$2:B20, B20)</f>
        <v>0.6</v>
      </c>
      <c r="AI20" s="86">
        <f>AVERAGEIFS($J$2:J20, $B$2:B20, B20)</f>
        <v>0.48</v>
      </c>
      <c r="AJ20" s="86">
        <f>AVERAGEIFS($D$2:D20, $B$2:B20, B20)</f>
        <v>1</v>
      </c>
    </row>
    <row r="21" spans="1:36" x14ac:dyDescent="0.25">
      <c r="A21" s="85">
        <v>46027</v>
      </c>
      <c r="B21" t="s">
        <v>6</v>
      </c>
      <c r="C21">
        <v>15</v>
      </c>
      <c r="D21">
        <v>1</v>
      </c>
      <c r="E21">
        <v>5</v>
      </c>
      <c r="F21">
        <v>3</v>
      </c>
      <c r="G21">
        <v>21</v>
      </c>
      <c r="H21">
        <v>10</v>
      </c>
      <c r="I21">
        <v>0.6</v>
      </c>
      <c r="J21">
        <v>0.48</v>
      </c>
      <c r="K21">
        <v>0</v>
      </c>
      <c r="L21">
        <v>0</v>
      </c>
      <c r="M21">
        <v>1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1</v>
      </c>
      <c r="Z21">
        <v>0</v>
      </c>
      <c r="AA21">
        <v>0</v>
      </c>
      <c r="AB21">
        <v>0</v>
      </c>
      <c r="AC21">
        <v>0</v>
      </c>
      <c r="AD21">
        <v>1</v>
      </c>
      <c r="AE21">
        <v>0</v>
      </c>
      <c r="AF21">
        <v>0</v>
      </c>
      <c r="AG21" s="86">
        <f>AVERAGEIFS($C$2:C21, $B$2:B21, B21)</f>
        <v>15</v>
      </c>
      <c r="AH21" s="86">
        <f>AVERAGEIFS($I$2:I21, $B$2:B21, B21)</f>
        <v>0.6</v>
      </c>
      <c r="AI21" s="86">
        <f>AVERAGEIFS($J$2:J21, $B$2:B21, B21)</f>
        <v>0.48</v>
      </c>
      <c r="AJ21" s="86">
        <f>AVERAGEIFS($D$2:D21, $B$2:B21, B21)</f>
        <v>1</v>
      </c>
    </row>
    <row r="22" spans="1:36" x14ac:dyDescent="0.25">
      <c r="A22" s="85">
        <v>46027</v>
      </c>
      <c r="B22" t="s">
        <v>54</v>
      </c>
      <c r="C22">
        <v>37</v>
      </c>
      <c r="D22">
        <v>0</v>
      </c>
      <c r="E22">
        <v>5</v>
      </c>
      <c r="F22">
        <v>2</v>
      </c>
      <c r="G22">
        <v>21</v>
      </c>
      <c r="H22">
        <v>11</v>
      </c>
      <c r="I22">
        <v>0.4</v>
      </c>
      <c r="J22">
        <v>0.52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1</v>
      </c>
      <c r="AA22">
        <v>0</v>
      </c>
      <c r="AB22">
        <v>1</v>
      </c>
      <c r="AC22">
        <v>0</v>
      </c>
      <c r="AD22">
        <v>0</v>
      </c>
      <c r="AE22">
        <v>0</v>
      </c>
      <c r="AF22">
        <v>0</v>
      </c>
      <c r="AG22" s="86">
        <f>AVERAGEIFS($C$2:C22, $B$2:B22, B22)</f>
        <v>31</v>
      </c>
      <c r="AH22" s="86">
        <f>AVERAGEIFS($I$2:I22, $B$2:B22, B22)</f>
        <v>0.5</v>
      </c>
      <c r="AI22" s="86">
        <f>AVERAGEIFS($J$2:J22, $B$2:B22, B22)</f>
        <v>0.59499999999999997</v>
      </c>
      <c r="AJ22" s="86">
        <f>AVERAGEIFS($D$2:D22, $B$2:B22, B22)</f>
        <v>0.5</v>
      </c>
    </row>
    <row r="23" spans="1:36" x14ac:dyDescent="0.25">
      <c r="A23" s="85">
        <v>46027</v>
      </c>
      <c r="B23" t="s">
        <v>14</v>
      </c>
      <c r="C23">
        <v>10</v>
      </c>
      <c r="D23">
        <v>0</v>
      </c>
      <c r="E23">
        <v>5</v>
      </c>
      <c r="F23">
        <v>2</v>
      </c>
      <c r="G23">
        <v>21</v>
      </c>
      <c r="H23">
        <v>11</v>
      </c>
      <c r="I23">
        <v>0.4</v>
      </c>
      <c r="J23">
        <v>0.52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1</v>
      </c>
      <c r="AA23">
        <v>0</v>
      </c>
      <c r="AB23">
        <v>1</v>
      </c>
      <c r="AC23">
        <v>0</v>
      </c>
      <c r="AD23">
        <v>0</v>
      </c>
      <c r="AE23">
        <v>0</v>
      </c>
      <c r="AF23">
        <v>0</v>
      </c>
      <c r="AG23" s="86">
        <f>AVERAGEIFS($C$2:C23, $B$2:B23, B23)</f>
        <v>17</v>
      </c>
      <c r="AH23" s="86">
        <f>AVERAGEIFS($I$2:I23, $B$2:B23, B23)</f>
        <v>0.5</v>
      </c>
      <c r="AI23" s="86">
        <f>AVERAGEIFS($J$2:J23, $B$2:B23, B23)</f>
        <v>0.59499999999999997</v>
      </c>
      <c r="AJ23" s="86">
        <f>AVERAGEIFS($D$2:D23, $B$2:B23, B23)</f>
        <v>0.5</v>
      </c>
    </row>
    <row r="24" spans="1:36" x14ac:dyDescent="0.25">
      <c r="A24" s="85">
        <v>46027</v>
      </c>
      <c r="B24" t="s">
        <v>46</v>
      </c>
      <c r="C24">
        <v>26</v>
      </c>
      <c r="D24">
        <v>0</v>
      </c>
      <c r="E24">
        <v>5</v>
      </c>
      <c r="F24">
        <v>2</v>
      </c>
      <c r="G24">
        <v>21</v>
      </c>
      <c r="H24">
        <v>11</v>
      </c>
      <c r="I24">
        <v>0.4</v>
      </c>
      <c r="J24">
        <v>0.52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1</v>
      </c>
      <c r="AA24">
        <v>0</v>
      </c>
      <c r="AB24">
        <v>1</v>
      </c>
      <c r="AC24">
        <v>0</v>
      </c>
      <c r="AD24">
        <v>0</v>
      </c>
      <c r="AE24">
        <v>0</v>
      </c>
      <c r="AF24">
        <v>0</v>
      </c>
      <c r="AG24" s="86">
        <f>AVERAGEIFS($C$2:C24, $B$2:B24, B24)</f>
        <v>21.5</v>
      </c>
      <c r="AH24" s="86">
        <f>AVERAGEIFS($I$2:I24, $B$2:B24, B24)</f>
        <v>0.4</v>
      </c>
      <c r="AI24" s="86">
        <f>AVERAGEIFS($J$2:J24, $B$2:B24, B24)</f>
        <v>0.42500000000000004</v>
      </c>
      <c r="AJ24" s="86">
        <f>AVERAGEIFS($D$2:D24, $B$2:B24, B24)</f>
        <v>0</v>
      </c>
    </row>
    <row r="25" spans="1:36" x14ac:dyDescent="0.25">
      <c r="A25" s="85">
        <v>46027</v>
      </c>
      <c r="B25" t="s">
        <v>27</v>
      </c>
      <c r="C25">
        <v>20</v>
      </c>
      <c r="D25">
        <v>0</v>
      </c>
      <c r="E25">
        <v>5</v>
      </c>
      <c r="F25">
        <v>2</v>
      </c>
      <c r="G25">
        <v>21</v>
      </c>
      <c r="H25">
        <v>11</v>
      </c>
      <c r="I25">
        <v>0.4</v>
      </c>
      <c r="J25">
        <v>0.52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1</v>
      </c>
      <c r="AA25">
        <v>0</v>
      </c>
      <c r="AB25">
        <v>1</v>
      </c>
      <c r="AC25">
        <v>0</v>
      </c>
      <c r="AD25">
        <v>0</v>
      </c>
      <c r="AE25">
        <v>0</v>
      </c>
      <c r="AF25">
        <v>0</v>
      </c>
      <c r="AG25" s="86">
        <f>AVERAGEIFS($C$2:C25, $B$2:B25, B25)</f>
        <v>14.5</v>
      </c>
      <c r="AH25" s="86">
        <f>AVERAGEIFS($I$2:I25, $B$2:B25, B25)</f>
        <v>0.4</v>
      </c>
      <c r="AI25" s="86">
        <f>AVERAGEIFS($J$2:J25, $B$2:B25, B25)</f>
        <v>0.42500000000000004</v>
      </c>
      <c r="AJ25" s="86">
        <f>AVERAGEIFS($D$2:D25, $B$2:B25, B25)</f>
        <v>0</v>
      </c>
    </row>
    <row r="26" spans="1:36" x14ac:dyDescent="0.25">
      <c r="A26" s="85">
        <v>46027</v>
      </c>
      <c r="B26" t="s">
        <v>35</v>
      </c>
      <c r="C26">
        <v>16</v>
      </c>
      <c r="D26">
        <v>0</v>
      </c>
      <c r="E26">
        <v>5</v>
      </c>
      <c r="F26">
        <v>2</v>
      </c>
      <c r="G26">
        <v>21</v>
      </c>
      <c r="H26">
        <v>11</v>
      </c>
      <c r="I26">
        <v>0.4</v>
      </c>
      <c r="J26">
        <v>0.52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1</v>
      </c>
      <c r="AA26">
        <v>0</v>
      </c>
      <c r="AB26">
        <v>1</v>
      </c>
      <c r="AC26">
        <v>0</v>
      </c>
      <c r="AD26">
        <v>0</v>
      </c>
      <c r="AE26">
        <v>0</v>
      </c>
      <c r="AF26">
        <v>0</v>
      </c>
      <c r="AG26" s="86">
        <f>AVERAGEIFS($C$2:C26, $B$2:B26, B26)</f>
        <v>11.5</v>
      </c>
      <c r="AH26" s="86">
        <f>AVERAGEIFS($I$2:I26, $B$2:B26, B26)</f>
        <v>0.5</v>
      </c>
      <c r="AI26" s="86">
        <f>AVERAGEIFS($J$2:J26, $B$2:B26, B26)</f>
        <v>0.59499999999999997</v>
      </c>
      <c r="AJ26" s="86">
        <f>AVERAGEIFS($D$2:D26, $B$2:B26, B26)</f>
        <v>0.5</v>
      </c>
    </row>
    <row r="27" spans="1:36" x14ac:dyDescent="0.25">
      <c r="A27" s="85">
        <v>46027</v>
      </c>
      <c r="B27" t="s">
        <v>53</v>
      </c>
      <c r="C27">
        <v>17</v>
      </c>
      <c r="D27">
        <v>0</v>
      </c>
      <c r="E27">
        <v>5</v>
      </c>
      <c r="F27">
        <v>2</v>
      </c>
      <c r="G27">
        <v>21</v>
      </c>
      <c r="H27">
        <v>11</v>
      </c>
      <c r="I27">
        <v>0.4</v>
      </c>
      <c r="J27">
        <v>0.52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>
        <v>0</v>
      </c>
      <c r="AB27">
        <v>1</v>
      </c>
      <c r="AC27">
        <v>0</v>
      </c>
      <c r="AD27">
        <v>0</v>
      </c>
      <c r="AE27">
        <v>0</v>
      </c>
      <c r="AF27">
        <v>0</v>
      </c>
      <c r="AG27" s="86">
        <f>AVERAGEIFS($C$2:C27, $B$2:B27, B27)</f>
        <v>26.5</v>
      </c>
      <c r="AH27" s="86">
        <f>AVERAGEIFS($I$2:I27, $B$2:B27, B27)</f>
        <v>0.4</v>
      </c>
      <c r="AI27" s="86">
        <f>AVERAGEIFS($J$2:J27, $B$2:B27, B27)</f>
        <v>0.42500000000000004</v>
      </c>
      <c r="AJ27" s="86">
        <f>AVERAGEIFS($D$2:D27, $B$2:B27, B27)</f>
        <v>0</v>
      </c>
    </row>
    <row r="28" spans="1:36" x14ac:dyDescent="0.25">
      <c r="A28" s="85">
        <v>46027</v>
      </c>
      <c r="B28" t="s">
        <v>17</v>
      </c>
      <c r="C28">
        <v>29</v>
      </c>
      <c r="D28">
        <v>0</v>
      </c>
      <c r="E28">
        <v>5</v>
      </c>
      <c r="F28">
        <v>2</v>
      </c>
      <c r="G28">
        <v>21</v>
      </c>
      <c r="H28">
        <v>11</v>
      </c>
      <c r="I28">
        <v>0.4</v>
      </c>
      <c r="J28">
        <v>0.52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>
        <v>0</v>
      </c>
      <c r="AB28">
        <v>1</v>
      </c>
      <c r="AC28">
        <v>0</v>
      </c>
      <c r="AD28">
        <v>0</v>
      </c>
      <c r="AE28">
        <v>0</v>
      </c>
      <c r="AF28">
        <v>0</v>
      </c>
      <c r="AG28" s="86">
        <f>AVERAGEIFS($C$2:C28, $B$2:B28, B28)</f>
        <v>28.5</v>
      </c>
      <c r="AH28" s="86">
        <f>AVERAGEIFS($I$2:I28, $B$2:B28, B28)</f>
        <v>0.4</v>
      </c>
      <c r="AI28" s="86">
        <f>AVERAGEIFS($J$2:J28, $B$2:B28, B28)</f>
        <v>0.42500000000000004</v>
      </c>
      <c r="AJ28" s="86">
        <f>AVERAGEIFS($D$2:D28, $B$2:B28, B28)</f>
        <v>0</v>
      </c>
    </row>
    <row r="29" spans="1:36" x14ac:dyDescent="0.25">
      <c r="A29" s="85">
        <v>46028</v>
      </c>
      <c r="B29" t="s">
        <v>54</v>
      </c>
      <c r="C29">
        <v>24</v>
      </c>
      <c r="D29">
        <v>1</v>
      </c>
      <c r="E29">
        <v>4</v>
      </c>
      <c r="F29">
        <v>3</v>
      </c>
      <c r="G29">
        <v>15</v>
      </c>
      <c r="H29">
        <v>9</v>
      </c>
      <c r="I29">
        <v>0.75</v>
      </c>
      <c r="J29">
        <v>0.6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1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1</v>
      </c>
      <c r="AC29">
        <v>1</v>
      </c>
      <c r="AD29">
        <v>0</v>
      </c>
      <c r="AE29">
        <v>0</v>
      </c>
      <c r="AF29">
        <v>0</v>
      </c>
      <c r="AG29" s="86">
        <f>AVERAGEIFS($C$2:C29, $B$2:B29, B29)</f>
        <v>28.666666666666668</v>
      </c>
      <c r="AH29" s="86">
        <f>AVERAGEIFS($I$2:I29, $B$2:B29, B29)</f>
        <v>0.58333333333333337</v>
      </c>
      <c r="AI29" s="86">
        <f>AVERAGEIFS($J$2:J29, $B$2:B29, B29)</f>
        <v>0.59666666666666668</v>
      </c>
      <c r="AJ29" s="86">
        <f>AVERAGEIFS($D$2:D29, $B$2:B29, B29)</f>
        <v>0.66666666666666663</v>
      </c>
    </row>
    <row r="30" spans="1:36" x14ac:dyDescent="0.25">
      <c r="A30" s="85">
        <v>46028</v>
      </c>
      <c r="B30" t="s">
        <v>5</v>
      </c>
      <c r="C30">
        <v>23</v>
      </c>
      <c r="D30">
        <v>1</v>
      </c>
      <c r="E30">
        <v>4</v>
      </c>
      <c r="F30">
        <v>3</v>
      </c>
      <c r="G30">
        <v>15</v>
      </c>
      <c r="H30">
        <v>9</v>
      </c>
      <c r="I30">
        <v>0.75</v>
      </c>
      <c r="J30">
        <v>0.6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1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1</v>
      </c>
      <c r="AC30">
        <v>1</v>
      </c>
      <c r="AD30">
        <v>0</v>
      </c>
      <c r="AE30">
        <v>0</v>
      </c>
      <c r="AF30">
        <v>0</v>
      </c>
      <c r="AG30" s="86">
        <f>AVERAGEIFS($C$2:C30, $B$2:B30, B30)</f>
        <v>23</v>
      </c>
      <c r="AH30" s="86">
        <f>AVERAGEIFS($I$2:I30, $B$2:B30, B30)</f>
        <v>0.75</v>
      </c>
      <c r="AI30" s="86">
        <f>AVERAGEIFS($J$2:J30, $B$2:B30, B30)</f>
        <v>0.6</v>
      </c>
      <c r="AJ30" s="86">
        <f>AVERAGEIFS($D$2:D30, $B$2:B30, B30)</f>
        <v>1</v>
      </c>
    </row>
    <row r="31" spans="1:36" x14ac:dyDescent="0.25">
      <c r="A31" s="85">
        <v>46028</v>
      </c>
      <c r="B31" t="s">
        <v>3</v>
      </c>
      <c r="C31">
        <v>21</v>
      </c>
      <c r="D31">
        <v>1</v>
      </c>
      <c r="E31">
        <v>4</v>
      </c>
      <c r="F31">
        <v>3</v>
      </c>
      <c r="G31">
        <v>15</v>
      </c>
      <c r="H31">
        <v>9</v>
      </c>
      <c r="I31">
        <v>0.75</v>
      </c>
      <c r="J31">
        <v>0.6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1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1</v>
      </c>
      <c r="AC31">
        <v>1</v>
      </c>
      <c r="AD31">
        <v>0</v>
      </c>
      <c r="AE31">
        <v>0</v>
      </c>
      <c r="AF31">
        <v>0</v>
      </c>
      <c r="AG31" s="86">
        <f>AVERAGEIFS($C$2:C31, $B$2:B31, B31)</f>
        <v>22.5</v>
      </c>
      <c r="AH31" s="86">
        <f>AVERAGEIFS($I$2:I31, $B$2:B31, B31)</f>
        <v>0.67500000000000004</v>
      </c>
      <c r="AI31" s="86">
        <f>AVERAGEIFS($J$2:J31, $B$2:B31, B31)</f>
        <v>0.54</v>
      </c>
      <c r="AJ31" s="86">
        <f>AVERAGEIFS($D$2:D31, $B$2:B31, B31)</f>
        <v>1</v>
      </c>
    </row>
    <row r="32" spans="1:36" x14ac:dyDescent="0.25">
      <c r="A32" s="85">
        <v>46028</v>
      </c>
      <c r="B32" t="s">
        <v>6</v>
      </c>
      <c r="C32">
        <v>21</v>
      </c>
      <c r="D32">
        <v>1</v>
      </c>
      <c r="E32">
        <v>4</v>
      </c>
      <c r="F32">
        <v>3</v>
      </c>
      <c r="G32">
        <v>15</v>
      </c>
      <c r="H32">
        <v>9</v>
      </c>
      <c r="I32">
        <v>0.75</v>
      </c>
      <c r="J32">
        <v>0.6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1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1</v>
      </c>
      <c r="AC32">
        <v>1</v>
      </c>
      <c r="AD32">
        <v>0</v>
      </c>
      <c r="AE32">
        <v>0</v>
      </c>
      <c r="AF32">
        <v>0</v>
      </c>
      <c r="AG32" s="86">
        <f>AVERAGEIFS($C$2:C32, $B$2:B32, B32)</f>
        <v>18</v>
      </c>
      <c r="AH32" s="86">
        <f>AVERAGEIFS($I$2:I32, $B$2:B32, B32)</f>
        <v>0.67500000000000004</v>
      </c>
      <c r="AI32" s="86">
        <f>AVERAGEIFS($J$2:J32, $B$2:B32, B32)</f>
        <v>0.54</v>
      </c>
      <c r="AJ32" s="86">
        <f>AVERAGEIFS($D$2:D32, $B$2:B32, B32)</f>
        <v>1</v>
      </c>
    </row>
    <row r="33" spans="1:36" x14ac:dyDescent="0.25">
      <c r="A33" s="85">
        <v>46028</v>
      </c>
      <c r="B33" t="s">
        <v>35</v>
      </c>
      <c r="C33">
        <v>14</v>
      </c>
      <c r="D33">
        <v>1</v>
      </c>
      <c r="E33">
        <v>4</v>
      </c>
      <c r="F33">
        <v>3</v>
      </c>
      <c r="G33">
        <v>15</v>
      </c>
      <c r="H33">
        <v>9</v>
      </c>
      <c r="I33">
        <v>0.75</v>
      </c>
      <c r="J33">
        <v>0.6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1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1</v>
      </c>
      <c r="AC33">
        <v>1</v>
      </c>
      <c r="AD33">
        <v>0</v>
      </c>
      <c r="AE33">
        <v>0</v>
      </c>
      <c r="AF33">
        <v>0</v>
      </c>
      <c r="AG33" s="86">
        <f>AVERAGEIFS($C$2:C33, $B$2:B33, B33)</f>
        <v>12.333333333333334</v>
      </c>
      <c r="AH33" s="86">
        <f>AVERAGEIFS($I$2:I33, $B$2:B33, B33)</f>
        <v>0.58333333333333337</v>
      </c>
      <c r="AI33" s="86">
        <f>AVERAGEIFS($J$2:J33, $B$2:B33, B33)</f>
        <v>0.59666666666666668</v>
      </c>
      <c r="AJ33" s="86">
        <f>AVERAGEIFS($D$2:D33, $B$2:B33, B33)</f>
        <v>0.66666666666666663</v>
      </c>
    </row>
    <row r="34" spans="1:36" x14ac:dyDescent="0.25">
      <c r="A34" s="85">
        <v>46028</v>
      </c>
      <c r="B34" t="s">
        <v>45</v>
      </c>
      <c r="C34">
        <v>11</v>
      </c>
      <c r="D34">
        <v>1</v>
      </c>
      <c r="E34">
        <v>4</v>
      </c>
      <c r="F34">
        <v>3</v>
      </c>
      <c r="G34">
        <v>15</v>
      </c>
      <c r="H34">
        <v>9</v>
      </c>
      <c r="I34">
        <v>0.75</v>
      </c>
      <c r="J34">
        <v>0.6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1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1</v>
      </c>
      <c r="AC34">
        <v>1</v>
      </c>
      <c r="AD34">
        <v>0</v>
      </c>
      <c r="AE34">
        <v>0</v>
      </c>
      <c r="AF34">
        <v>0</v>
      </c>
      <c r="AG34" s="86">
        <f>AVERAGEIFS($C$2:C34, $B$2:B34, B34)</f>
        <v>11</v>
      </c>
      <c r="AH34" s="86">
        <f>AVERAGEIFS($I$2:I34, $B$2:B34, B34)</f>
        <v>0.75</v>
      </c>
      <c r="AI34" s="86">
        <f>AVERAGEIFS($J$2:J34, $B$2:B34, B34)</f>
        <v>0.6</v>
      </c>
      <c r="AJ34" s="86">
        <f>AVERAGEIFS($D$2:D34, $B$2:B34, B34)</f>
        <v>1</v>
      </c>
    </row>
    <row r="35" spans="1:36" x14ac:dyDescent="0.25">
      <c r="A35" s="85">
        <v>46028</v>
      </c>
      <c r="B35" t="s">
        <v>14</v>
      </c>
      <c r="C35">
        <v>27</v>
      </c>
      <c r="D35">
        <v>0</v>
      </c>
      <c r="E35">
        <v>4</v>
      </c>
      <c r="F35">
        <v>1</v>
      </c>
      <c r="G35">
        <v>15</v>
      </c>
      <c r="H35">
        <v>6</v>
      </c>
      <c r="I35">
        <v>0.25</v>
      </c>
      <c r="J35">
        <v>0.4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1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 s="86">
        <f>AVERAGEIFS($C$2:C35, $B$2:B35, B35)</f>
        <v>20.333333333333332</v>
      </c>
      <c r="AH35" s="86">
        <f>AVERAGEIFS($I$2:I35, $B$2:B35, B35)</f>
        <v>0.41666666666666669</v>
      </c>
      <c r="AI35" s="86">
        <f>AVERAGEIFS($J$2:J35, $B$2:B35, B35)</f>
        <v>0.52999999999999992</v>
      </c>
      <c r="AJ35" s="86">
        <f>AVERAGEIFS($D$2:D35, $B$2:B35, B35)</f>
        <v>0.33333333333333331</v>
      </c>
    </row>
    <row r="36" spans="1:36" x14ac:dyDescent="0.25">
      <c r="A36" s="85">
        <v>46028</v>
      </c>
      <c r="B36" t="s">
        <v>50</v>
      </c>
      <c r="C36">
        <v>21</v>
      </c>
      <c r="D36">
        <v>0</v>
      </c>
      <c r="E36">
        <v>4</v>
      </c>
      <c r="F36">
        <v>1</v>
      </c>
      <c r="G36">
        <v>15</v>
      </c>
      <c r="H36">
        <v>6</v>
      </c>
      <c r="I36">
        <v>0.25</v>
      </c>
      <c r="J36">
        <v>0.4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1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s="86">
        <f>AVERAGEIFS($C$2:C36, $B$2:B36, B36)</f>
        <v>25.333333333333332</v>
      </c>
      <c r="AH36" s="86">
        <f>AVERAGEIFS($I$2:I36, $B$2:B36, B36)</f>
        <v>0.48333333333333334</v>
      </c>
      <c r="AI36" s="86">
        <f>AVERAGEIFS($J$2:J36, $B$2:B36, B36)</f>
        <v>0.51666666666666661</v>
      </c>
      <c r="AJ36" s="86">
        <f>AVERAGEIFS($D$2:D36, $B$2:B36, B36)</f>
        <v>0.66666666666666663</v>
      </c>
    </row>
    <row r="37" spans="1:36" x14ac:dyDescent="0.25">
      <c r="A37" s="85">
        <v>46028</v>
      </c>
      <c r="B37" t="s">
        <v>46</v>
      </c>
      <c r="C37">
        <v>19</v>
      </c>
      <c r="D37">
        <v>0</v>
      </c>
      <c r="E37">
        <v>4</v>
      </c>
      <c r="F37">
        <v>1</v>
      </c>
      <c r="G37">
        <v>15</v>
      </c>
      <c r="H37">
        <v>6</v>
      </c>
      <c r="I37">
        <v>0.25</v>
      </c>
      <c r="J37">
        <v>0.4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1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 s="86">
        <f>AVERAGEIFS($C$2:C37, $B$2:B37, B37)</f>
        <v>20.666666666666668</v>
      </c>
      <c r="AH37" s="86">
        <f>AVERAGEIFS($I$2:I37, $B$2:B37, B37)</f>
        <v>0.35000000000000003</v>
      </c>
      <c r="AI37" s="86">
        <f>AVERAGEIFS($J$2:J37, $B$2:B37, B37)</f>
        <v>0.41666666666666669</v>
      </c>
      <c r="AJ37" s="86">
        <f>AVERAGEIFS($D$2:D37, $B$2:B37, B37)</f>
        <v>0</v>
      </c>
    </row>
    <row r="38" spans="1:36" x14ac:dyDescent="0.25">
      <c r="A38" s="85">
        <v>46028</v>
      </c>
      <c r="B38" t="s">
        <v>28</v>
      </c>
      <c r="C38">
        <v>11</v>
      </c>
      <c r="D38">
        <v>0</v>
      </c>
      <c r="E38">
        <v>4</v>
      </c>
      <c r="F38">
        <v>1</v>
      </c>
      <c r="G38">
        <v>15</v>
      </c>
      <c r="H38">
        <v>6</v>
      </c>
      <c r="I38">
        <v>0.25</v>
      </c>
      <c r="J38">
        <v>0.4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 s="86">
        <f>AVERAGEIFS($C$2:C38, $B$2:B38, B38)</f>
        <v>13.5</v>
      </c>
      <c r="AH38" s="86">
        <f>AVERAGEIFS($I$2:I38, $B$2:B38, B38)</f>
        <v>0.42499999999999999</v>
      </c>
      <c r="AI38" s="86">
        <f>AVERAGEIFS($J$2:J38, $B$2:B38, B38)</f>
        <v>0.53500000000000003</v>
      </c>
      <c r="AJ38" s="86">
        <f>AVERAGEIFS($D$2:D38, $B$2:B38, B38)</f>
        <v>0.5</v>
      </c>
    </row>
    <row r="39" spans="1:36" x14ac:dyDescent="0.25">
      <c r="A39" s="85">
        <v>46028</v>
      </c>
      <c r="B39" t="s">
        <v>74</v>
      </c>
      <c r="C39">
        <v>9</v>
      </c>
      <c r="D39">
        <v>0</v>
      </c>
      <c r="E39">
        <v>4</v>
      </c>
      <c r="F39">
        <v>1</v>
      </c>
      <c r="G39">
        <v>15</v>
      </c>
      <c r="H39">
        <v>6</v>
      </c>
      <c r="I39">
        <v>0.25</v>
      </c>
      <c r="J39">
        <v>0.4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 s="86">
        <f>AVERAGEIFS($C$2:C39, $B$2:B39, B39)</f>
        <v>9</v>
      </c>
      <c r="AH39" s="86">
        <f>AVERAGEIFS($I$2:I39, $B$2:B39, B39)</f>
        <v>0.25</v>
      </c>
      <c r="AI39" s="86">
        <f>AVERAGEIFS($J$2:J39, $B$2:B39, B39)</f>
        <v>0.4</v>
      </c>
      <c r="AJ39" s="86">
        <f>AVERAGEIFS($D$2:D39, $B$2:B39, B39)</f>
        <v>0</v>
      </c>
    </row>
    <row r="40" spans="1:36" ht="14.25" customHeight="1" x14ac:dyDescent="0.25">
      <c r="A40" s="85">
        <v>46028</v>
      </c>
      <c r="B40" t="s">
        <v>17</v>
      </c>
      <c r="C40">
        <v>12</v>
      </c>
      <c r="D40">
        <v>0</v>
      </c>
      <c r="E40">
        <v>4</v>
      </c>
      <c r="F40">
        <v>1</v>
      </c>
      <c r="G40">
        <v>15</v>
      </c>
      <c r="H40">
        <v>6</v>
      </c>
      <c r="I40">
        <v>0.25</v>
      </c>
      <c r="J40">
        <v>0.4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 s="86">
        <f>AVERAGEIFS($C$2:C40, $B$2:B40, B40)</f>
        <v>23</v>
      </c>
      <c r="AH40" s="86">
        <f>AVERAGEIFS($I$2:I40, $B$2:B40, B40)</f>
        <v>0.35000000000000003</v>
      </c>
      <c r="AI40" s="86">
        <f>AVERAGEIFS($J$2:J40, $B$2:B40, B40)</f>
        <v>0.41666666666666669</v>
      </c>
      <c r="AJ40" s="86">
        <f>AVERAGEIFS($D$2:D40, $B$2:B40, B40)</f>
        <v>0</v>
      </c>
    </row>
    <row r="41" spans="1:36" x14ac:dyDescent="0.25">
      <c r="A41" s="85">
        <v>46034</v>
      </c>
      <c r="B41" t="s">
        <v>18</v>
      </c>
      <c r="C41">
        <v>24</v>
      </c>
      <c r="D41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1</v>
      </c>
      <c r="M41">
        <v>0</v>
      </c>
      <c r="N41">
        <v>1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1</v>
      </c>
      <c r="AE41">
        <v>0</v>
      </c>
      <c r="AF41">
        <v>0</v>
      </c>
      <c r="AG41" s="86">
        <f>AVERAGEIFS($C$2:C41, $B$2:B41, B41)</f>
        <v>24</v>
      </c>
      <c r="AH41" s="86">
        <f>AVERAGEIFS($I$2:I41, $B$2:B41, B41)</f>
        <v>1</v>
      </c>
      <c r="AI41" s="86">
        <f>AVERAGEIFS($J$2:J41, $B$2:B41, B41)</f>
        <v>0.69</v>
      </c>
      <c r="AJ41" s="86">
        <f>AVERAGEIFS($D$2:D41, $B$2:B41, B41)</f>
        <v>1</v>
      </c>
    </row>
    <row r="42" spans="1:36" x14ac:dyDescent="0.25">
      <c r="A42" s="85">
        <v>46034</v>
      </c>
      <c r="B42" t="s">
        <v>5</v>
      </c>
      <c r="C42">
        <v>23</v>
      </c>
      <c r="D42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1</v>
      </c>
      <c r="M42">
        <v>0</v>
      </c>
      <c r="N42">
        <v>1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1</v>
      </c>
      <c r="AE42">
        <v>0</v>
      </c>
      <c r="AF42">
        <v>0</v>
      </c>
      <c r="AG42" s="86">
        <f>AVERAGEIFS($C$2:C42, $B$2:B42, B42)</f>
        <v>23</v>
      </c>
      <c r="AH42" s="86">
        <f>AVERAGEIFS($I$2:I42, $B$2:B42, B42)</f>
        <v>0.875</v>
      </c>
      <c r="AI42" s="86">
        <f>AVERAGEIFS($J$2:J42, $B$2:B42, B42)</f>
        <v>0.64500000000000002</v>
      </c>
      <c r="AJ42" s="86">
        <f>AVERAGEIFS($D$2:D42, $B$2:B42, B42)</f>
        <v>1</v>
      </c>
    </row>
    <row r="43" spans="1:36" x14ac:dyDescent="0.25">
      <c r="A43" s="85">
        <v>46034</v>
      </c>
      <c r="B43" t="s">
        <v>53</v>
      </c>
      <c r="C43">
        <v>18</v>
      </c>
      <c r="D43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1</v>
      </c>
      <c r="M43">
        <v>0</v>
      </c>
      <c r="N43">
        <v>1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1</v>
      </c>
      <c r="AE43">
        <v>0</v>
      </c>
      <c r="AF43">
        <v>0</v>
      </c>
      <c r="AG43" s="86">
        <f>AVERAGEIFS($C$2:C43, $B$2:B43, B43)</f>
        <v>23.666666666666668</v>
      </c>
      <c r="AH43" s="86">
        <f>AVERAGEIFS($I$2:I43, $B$2:B43, B43)</f>
        <v>0.6</v>
      </c>
      <c r="AI43" s="86">
        <f>AVERAGEIFS($J$2:J43, $B$2:B43, B43)</f>
        <v>0.51333333333333331</v>
      </c>
      <c r="AJ43" s="86">
        <f>AVERAGEIFS($D$2:D43, $B$2:B43, B43)</f>
        <v>0.33333333333333331</v>
      </c>
    </row>
    <row r="44" spans="1:36" x14ac:dyDescent="0.25">
      <c r="A44" s="85">
        <v>46034</v>
      </c>
      <c r="B44" t="s">
        <v>50</v>
      </c>
      <c r="C44">
        <v>16</v>
      </c>
      <c r="D44">
        <v>1</v>
      </c>
      <c r="E44">
        <v>3</v>
      </c>
      <c r="F44">
        <v>3</v>
      </c>
      <c r="G44">
        <v>13</v>
      </c>
      <c r="H44">
        <v>9</v>
      </c>
      <c r="I44">
        <v>1</v>
      </c>
      <c r="J44">
        <v>0.69</v>
      </c>
      <c r="K44">
        <v>0</v>
      </c>
      <c r="L44">
        <v>1</v>
      </c>
      <c r="M44">
        <v>0</v>
      </c>
      <c r="N44">
        <v>1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1</v>
      </c>
      <c r="AE44">
        <v>0</v>
      </c>
      <c r="AF44">
        <v>0</v>
      </c>
      <c r="AG44" s="86">
        <f>AVERAGEIFS($C$2:C44, $B$2:B44, B44)</f>
        <v>23</v>
      </c>
      <c r="AH44" s="86">
        <f>AVERAGEIFS($I$2:I44, $B$2:B44, B44)</f>
        <v>0.61250000000000004</v>
      </c>
      <c r="AI44" s="86">
        <f>AVERAGEIFS($J$2:J44, $B$2:B44, B44)</f>
        <v>0.55999999999999994</v>
      </c>
      <c r="AJ44" s="86">
        <f>AVERAGEIFS($D$2:D44, $B$2:B44, B44)</f>
        <v>0.75</v>
      </c>
    </row>
    <row r="45" spans="1:36" x14ac:dyDescent="0.25">
      <c r="A45" s="85">
        <v>46034</v>
      </c>
      <c r="B45" t="s">
        <v>70</v>
      </c>
      <c r="C45">
        <v>12</v>
      </c>
      <c r="D45">
        <v>1</v>
      </c>
      <c r="E45">
        <v>3</v>
      </c>
      <c r="F45">
        <v>3</v>
      </c>
      <c r="G45">
        <v>13</v>
      </c>
      <c r="H45">
        <v>9</v>
      </c>
      <c r="I45">
        <v>1</v>
      </c>
      <c r="J45">
        <v>0.69</v>
      </c>
      <c r="K45">
        <v>0</v>
      </c>
      <c r="L45">
        <v>1</v>
      </c>
      <c r="M45">
        <v>0</v>
      </c>
      <c r="N45">
        <v>1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1</v>
      </c>
      <c r="AE45">
        <v>0</v>
      </c>
      <c r="AF45">
        <v>0</v>
      </c>
      <c r="AG45" s="86">
        <f>AVERAGEIFS($C$2:C45, $B$2:B45, B45)</f>
        <v>12.5</v>
      </c>
      <c r="AH45" s="86">
        <f>AVERAGEIFS($I$2:I45, $B$2:B45, B45)</f>
        <v>0.8</v>
      </c>
      <c r="AI45" s="86">
        <f>AVERAGEIFS($J$2:J45, $B$2:B45, B45)</f>
        <v>0.58499999999999996</v>
      </c>
      <c r="AJ45" s="86">
        <f>AVERAGEIFS($D$2:D45, $B$2:B45, B45)</f>
        <v>1</v>
      </c>
    </row>
    <row r="46" spans="1:36" x14ac:dyDescent="0.25">
      <c r="A46" s="85">
        <v>46034</v>
      </c>
      <c r="B46" t="s">
        <v>19</v>
      </c>
      <c r="C46">
        <v>8</v>
      </c>
      <c r="D46">
        <v>1</v>
      </c>
      <c r="E46">
        <v>3</v>
      </c>
      <c r="F46">
        <v>3</v>
      </c>
      <c r="G46">
        <v>13</v>
      </c>
      <c r="H46">
        <v>9</v>
      </c>
      <c r="I46">
        <v>1</v>
      </c>
      <c r="J46">
        <v>0.69</v>
      </c>
      <c r="K46">
        <v>0</v>
      </c>
      <c r="L46">
        <v>1</v>
      </c>
      <c r="M46">
        <v>0</v>
      </c>
      <c r="N46">
        <v>1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1</v>
      </c>
      <c r="AE46">
        <v>0</v>
      </c>
      <c r="AF46">
        <v>0</v>
      </c>
      <c r="AG46" s="86">
        <f>AVERAGEIFS($C$2:C46, $B$2:B46, B46)</f>
        <v>9</v>
      </c>
      <c r="AH46" s="86">
        <f>AVERAGEIFS($I$2:I46, $B$2:B46, B46)</f>
        <v>0.73333333333333339</v>
      </c>
      <c r="AI46" s="86">
        <f>AVERAGEIFS($J$2:J46, $B$2:B46, B46)</f>
        <v>0.61333333333333329</v>
      </c>
      <c r="AJ46" s="86">
        <f>AVERAGEIFS($D$2:D46, $B$2:B46, B46)</f>
        <v>1</v>
      </c>
    </row>
    <row r="47" spans="1:36" x14ac:dyDescent="0.25">
      <c r="A47" s="85">
        <v>46034</v>
      </c>
      <c r="B47" t="s">
        <v>54</v>
      </c>
      <c r="C47">
        <v>25</v>
      </c>
      <c r="D47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s="86">
        <f>AVERAGEIFS($C$2:C47, $B$2:B47, B47)</f>
        <v>27.75</v>
      </c>
      <c r="AH47" s="86">
        <f>AVERAGEIFS($I$2:I47, $B$2:B47, B47)</f>
        <v>0.4375</v>
      </c>
      <c r="AI47" s="86">
        <f>AVERAGEIFS($J$2:J47, $B$2:B47, B47)</f>
        <v>0.52500000000000002</v>
      </c>
      <c r="AJ47" s="86">
        <f>AVERAGEIFS($D$2:D47, $B$2:B47, B47)</f>
        <v>0.5</v>
      </c>
    </row>
    <row r="48" spans="1:36" x14ac:dyDescent="0.25">
      <c r="A48" s="85">
        <v>46034</v>
      </c>
      <c r="B48" t="s">
        <v>17</v>
      </c>
      <c r="C48">
        <v>19</v>
      </c>
      <c r="D48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 s="86">
        <f>AVERAGEIFS($C$2:C48, $B$2:B48, B48)</f>
        <v>22</v>
      </c>
      <c r="AH48" s="86">
        <f>AVERAGEIFS($I$2:I48, $B$2:B48, B48)</f>
        <v>0.26250000000000001</v>
      </c>
      <c r="AI48" s="86">
        <f>AVERAGEIFS($J$2:J48, $B$2:B48, B48)</f>
        <v>0.39</v>
      </c>
      <c r="AJ48" s="86">
        <f>AVERAGEIFS($D$2:D48, $B$2:B48, B48)</f>
        <v>0</v>
      </c>
    </row>
    <row r="49" spans="1:36" x14ac:dyDescent="0.25">
      <c r="A49" s="85">
        <v>46034</v>
      </c>
      <c r="B49" t="s">
        <v>6</v>
      </c>
      <c r="C49">
        <v>17</v>
      </c>
      <c r="D49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 s="86">
        <f>AVERAGEIFS($C$2:C49, $B$2:B49, B49)</f>
        <v>17.666666666666668</v>
      </c>
      <c r="AH49" s="86">
        <f>AVERAGEIFS($I$2:I49, $B$2:B49, B49)</f>
        <v>0.45</v>
      </c>
      <c r="AI49" s="86">
        <f>AVERAGEIFS($J$2:J49, $B$2:B49, B49)</f>
        <v>0.46333333333333337</v>
      </c>
      <c r="AJ49" s="86">
        <f>AVERAGEIFS($D$2:D49, $B$2:B49, B49)</f>
        <v>0.66666666666666663</v>
      </c>
    </row>
    <row r="50" spans="1:36" x14ac:dyDescent="0.25">
      <c r="A50" s="85">
        <v>46034</v>
      </c>
      <c r="B50" t="s">
        <v>35</v>
      </c>
      <c r="C50">
        <v>10</v>
      </c>
      <c r="D50">
        <v>0</v>
      </c>
      <c r="E50">
        <v>3</v>
      </c>
      <c r="F50">
        <v>0</v>
      </c>
      <c r="G50">
        <v>13</v>
      </c>
      <c r="H50">
        <v>4</v>
      </c>
      <c r="I50">
        <v>0</v>
      </c>
      <c r="J50">
        <v>0.31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 s="86">
        <f>AVERAGEIFS($C$2:C50, $B$2:B50, B50)</f>
        <v>11.75</v>
      </c>
      <c r="AH50" s="86">
        <f>AVERAGEIFS($I$2:I50, $B$2:B50, B50)</f>
        <v>0.4375</v>
      </c>
      <c r="AI50" s="86">
        <f>AVERAGEIFS($J$2:J50, $B$2:B50, B50)</f>
        <v>0.52500000000000002</v>
      </c>
      <c r="AJ50" s="86">
        <f>AVERAGEIFS($D$2:D50, $B$2:B50, B50)</f>
        <v>0.5</v>
      </c>
    </row>
    <row r="51" spans="1:36" x14ac:dyDescent="0.25">
      <c r="A51" s="85">
        <v>46034</v>
      </c>
      <c r="B51" t="s">
        <v>89</v>
      </c>
      <c r="C51">
        <v>3</v>
      </c>
      <c r="D51">
        <v>0</v>
      </c>
      <c r="E51">
        <v>3</v>
      </c>
      <c r="F51">
        <v>0</v>
      </c>
      <c r="G51">
        <v>13</v>
      </c>
      <c r="H51">
        <v>4</v>
      </c>
      <c r="I51">
        <v>0</v>
      </c>
      <c r="J51">
        <v>0.31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 s="86">
        <f>AVERAGEIFS($C$2:C51, $B$2:B51, B51)</f>
        <v>3</v>
      </c>
      <c r="AH51" s="86">
        <f>AVERAGEIFS($I$2:I51, $B$2:B51, B51)</f>
        <v>0</v>
      </c>
      <c r="AI51" s="86">
        <f>AVERAGEIFS($J$2:J51, $B$2:B51, B51)</f>
        <v>0.31</v>
      </c>
      <c r="AJ51" s="86">
        <f>AVERAGEIFS($D$2:D51, $B$2:B51, B51)</f>
        <v>0</v>
      </c>
    </row>
    <row r="52" spans="1:36" x14ac:dyDescent="0.25">
      <c r="A52" s="85">
        <v>46034</v>
      </c>
      <c r="B52" t="s">
        <v>55</v>
      </c>
      <c r="C52">
        <v>2</v>
      </c>
      <c r="D52">
        <v>0</v>
      </c>
      <c r="E52">
        <v>3</v>
      </c>
      <c r="F52">
        <v>0</v>
      </c>
      <c r="G52">
        <v>13</v>
      </c>
      <c r="H52">
        <v>4</v>
      </c>
      <c r="I52">
        <v>0</v>
      </c>
      <c r="J52">
        <v>0.31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 s="86">
        <f>AVERAGEIFS($C$2:C52, $B$2:B52, B52)</f>
        <v>2</v>
      </c>
      <c r="AH52" s="86">
        <f>AVERAGEIFS($I$2:I52, $B$2:B52, B52)</f>
        <v>0</v>
      </c>
      <c r="AI52" s="86">
        <f>AVERAGEIFS($J$2:J52, $B$2:B52, B52)</f>
        <v>0.31</v>
      </c>
      <c r="AJ52" s="86">
        <f>AVERAGEIFS($D$2:D52, $B$2:B52, B52)</f>
        <v>0</v>
      </c>
    </row>
    <row r="53" spans="1:36" x14ac:dyDescent="0.25">
      <c r="A53" s="85">
        <v>46036</v>
      </c>
      <c r="B53" t="s">
        <v>6</v>
      </c>
      <c r="C53">
        <v>35</v>
      </c>
      <c r="D53">
        <v>1</v>
      </c>
      <c r="E53">
        <v>3</v>
      </c>
      <c r="F53">
        <v>3</v>
      </c>
      <c r="G53">
        <v>14</v>
      </c>
      <c r="H53">
        <v>9</v>
      </c>
      <c r="I53">
        <v>1</v>
      </c>
      <c r="J53">
        <v>0.64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0</v>
      </c>
      <c r="X53">
        <v>0</v>
      </c>
      <c r="Y53">
        <v>0</v>
      </c>
      <c r="Z53">
        <v>0</v>
      </c>
      <c r="AA53">
        <v>0</v>
      </c>
      <c r="AB53">
        <v>1</v>
      </c>
      <c r="AC53">
        <v>1</v>
      </c>
      <c r="AD53">
        <v>0</v>
      </c>
      <c r="AE53">
        <v>0</v>
      </c>
      <c r="AF53">
        <v>0</v>
      </c>
      <c r="AG53" s="86">
        <f>AVERAGEIFS($C$2:C53, $B$2:B53, B53)</f>
        <v>22</v>
      </c>
      <c r="AH53" s="86">
        <f>AVERAGEIFS($I$2:I53, $B$2:B53, B53)</f>
        <v>0.58750000000000002</v>
      </c>
      <c r="AI53" s="86">
        <f>AVERAGEIFS($J$2:J53, $B$2:B53, B53)</f>
        <v>0.50750000000000006</v>
      </c>
      <c r="AJ53" s="86">
        <f>AVERAGEIFS($D$2:D53, $B$2:B53, B53)</f>
        <v>0.75</v>
      </c>
    </row>
    <row r="54" spans="1:36" x14ac:dyDescent="0.25">
      <c r="A54" s="85">
        <v>46036</v>
      </c>
      <c r="B54" t="s">
        <v>54</v>
      </c>
      <c r="C54">
        <v>24</v>
      </c>
      <c r="D54">
        <v>1</v>
      </c>
      <c r="E54">
        <v>3</v>
      </c>
      <c r="F54">
        <v>3</v>
      </c>
      <c r="G54">
        <v>14</v>
      </c>
      <c r="H54">
        <v>9</v>
      </c>
      <c r="I54">
        <v>1</v>
      </c>
      <c r="J54">
        <v>0.64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0</v>
      </c>
      <c r="X54">
        <v>0</v>
      </c>
      <c r="Y54">
        <v>0</v>
      </c>
      <c r="Z54">
        <v>0</v>
      </c>
      <c r="AA54">
        <v>0</v>
      </c>
      <c r="AB54">
        <v>1</v>
      </c>
      <c r="AC54">
        <v>1</v>
      </c>
      <c r="AD54">
        <v>0</v>
      </c>
      <c r="AE54">
        <v>0</v>
      </c>
      <c r="AF54">
        <v>0</v>
      </c>
      <c r="AG54" s="86">
        <f>AVERAGEIFS($C$2:C54, $B$2:B54, B54)</f>
        <v>27</v>
      </c>
      <c r="AH54" s="86">
        <f>AVERAGEIFS($I$2:I54, $B$2:B54, B54)</f>
        <v>0.55000000000000004</v>
      </c>
      <c r="AI54" s="86">
        <f>AVERAGEIFS($J$2:J54, $B$2:B54, B54)</f>
        <v>0.54800000000000004</v>
      </c>
      <c r="AJ54" s="86">
        <f>AVERAGEIFS($D$2:D54, $B$2:B54, B54)</f>
        <v>0.6</v>
      </c>
    </row>
    <row r="55" spans="1:36" x14ac:dyDescent="0.25">
      <c r="A55" s="85">
        <v>46036</v>
      </c>
      <c r="B55" t="s">
        <v>5</v>
      </c>
      <c r="C55">
        <v>23</v>
      </c>
      <c r="D55">
        <v>1</v>
      </c>
      <c r="E55">
        <v>3</v>
      </c>
      <c r="F55">
        <v>3</v>
      </c>
      <c r="G55">
        <v>14</v>
      </c>
      <c r="H55">
        <v>9</v>
      </c>
      <c r="I55">
        <v>1</v>
      </c>
      <c r="J55">
        <v>0.64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0</v>
      </c>
      <c r="X55">
        <v>0</v>
      </c>
      <c r="Y55">
        <v>0</v>
      </c>
      <c r="Z55">
        <v>0</v>
      </c>
      <c r="AA55">
        <v>0</v>
      </c>
      <c r="AB55">
        <v>1</v>
      </c>
      <c r="AC55">
        <v>1</v>
      </c>
      <c r="AD55">
        <v>0</v>
      </c>
      <c r="AE55">
        <v>0</v>
      </c>
      <c r="AF55">
        <v>0</v>
      </c>
      <c r="AG55" s="86">
        <f>AVERAGEIFS($C$2:C55, $B$2:B55, B55)</f>
        <v>23</v>
      </c>
      <c r="AH55" s="86">
        <f>AVERAGEIFS($I$2:I55, $B$2:B55, B55)</f>
        <v>0.91666666666666663</v>
      </c>
      <c r="AI55" s="86">
        <f>AVERAGEIFS($J$2:J55, $B$2:B55, B55)</f>
        <v>0.64333333333333342</v>
      </c>
      <c r="AJ55" s="86">
        <f>AVERAGEIFS($D$2:D55, $B$2:B55, B55)</f>
        <v>1</v>
      </c>
    </row>
    <row r="56" spans="1:36" x14ac:dyDescent="0.25">
      <c r="A56" s="85">
        <v>46036</v>
      </c>
      <c r="B56" t="s">
        <v>53</v>
      </c>
      <c r="C56">
        <v>22</v>
      </c>
      <c r="D56">
        <v>1</v>
      </c>
      <c r="E56">
        <v>3</v>
      </c>
      <c r="F56">
        <v>3</v>
      </c>
      <c r="G56">
        <v>14</v>
      </c>
      <c r="H56">
        <v>9</v>
      </c>
      <c r="I56">
        <v>1</v>
      </c>
      <c r="J56">
        <v>0.64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0</v>
      </c>
      <c r="X56">
        <v>0</v>
      </c>
      <c r="Y56">
        <v>0</v>
      </c>
      <c r="Z56">
        <v>0</v>
      </c>
      <c r="AA56">
        <v>0</v>
      </c>
      <c r="AB56">
        <v>1</v>
      </c>
      <c r="AC56">
        <v>1</v>
      </c>
      <c r="AD56">
        <v>0</v>
      </c>
      <c r="AE56">
        <v>0</v>
      </c>
      <c r="AF56">
        <v>0</v>
      </c>
      <c r="AG56" s="86">
        <f>AVERAGEIFS($C$2:C56, $B$2:B56, B56)</f>
        <v>23.25</v>
      </c>
      <c r="AH56" s="86">
        <f>AVERAGEIFS($I$2:I56, $B$2:B56, B56)</f>
        <v>0.7</v>
      </c>
      <c r="AI56" s="86">
        <f>AVERAGEIFS($J$2:J56, $B$2:B56, B56)</f>
        <v>0.54500000000000004</v>
      </c>
      <c r="AJ56" s="86">
        <f>AVERAGEIFS($D$2:D56, $B$2:B56, B56)</f>
        <v>0.5</v>
      </c>
    </row>
    <row r="57" spans="1:36" x14ac:dyDescent="0.25">
      <c r="A57" s="85">
        <v>46036</v>
      </c>
      <c r="B57" t="s">
        <v>37</v>
      </c>
      <c r="C57">
        <v>12</v>
      </c>
      <c r="D57">
        <v>1</v>
      </c>
      <c r="E57">
        <v>3</v>
      </c>
      <c r="F57">
        <v>3</v>
      </c>
      <c r="G57">
        <v>14</v>
      </c>
      <c r="H57">
        <v>9</v>
      </c>
      <c r="I57">
        <v>1</v>
      </c>
      <c r="J57">
        <v>0.64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0</v>
      </c>
      <c r="X57">
        <v>0</v>
      </c>
      <c r="Y57">
        <v>0</v>
      </c>
      <c r="Z57">
        <v>0</v>
      </c>
      <c r="AA57">
        <v>0</v>
      </c>
      <c r="AB57">
        <v>1</v>
      </c>
      <c r="AC57">
        <v>1</v>
      </c>
      <c r="AD57">
        <v>0</v>
      </c>
      <c r="AE57">
        <v>0</v>
      </c>
      <c r="AF57">
        <v>0</v>
      </c>
      <c r="AG57" s="86">
        <f>AVERAGEIFS($C$2:C57, $B$2:B57, B57)</f>
        <v>12</v>
      </c>
      <c r="AH57" s="86">
        <f>AVERAGEIFS($I$2:I57, $B$2:B57, B57)</f>
        <v>1</v>
      </c>
      <c r="AI57" s="86">
        <f>AVERAGEIFS($J$2:J57, $B$2:B57, B57)</f>
        <v>0.64</v>
      </c>
      <c r="AJ57" s="86">
        <f>AVERAGEIFS($D$2:D57, $B$2:B57, B57)</f>
        <v>1</v>
      </c>
    </row>
    <row r="58" spans="1:36" x14ac:dyDescent="0.25">
      <c r="A58" s="85">
        <v>46036</v>
      </c>
      <c r="B58" t="s">
        <v>90</v>
      </c>
      <c r="C58">
        <v>3</v>
      </c>
      <c r="D58">
        <v>1</v>
      </c>
      <c r="E58">
        <v>3</v>
      </c>
      <c r="F58">
        <v>3</v>
      </c>
      <c r="G58">
        <v>14</v>
      </c>
      <c r="H58">
        <v>9</v>
      </c>
      <c r="I58">
        <v>1</v>
      </c>
      <c r="J58">
        <v>0.64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0</v>
      </c>
      <c r="X58">
        <v>0</v>
      </c>
      <c r="Y58">
        <v>0</v>
      </c>
      <c r="Z58">
        <v>0</v>
      </c>
      <c r="AA58">
        <v>0</v>
      </c>
      <c r="AB58">
        <v>1</v>
      </c>
      <c r="AC58">
        <v>1</v>
      </c>
      <c r="AD58">
        <v>0</v>
      </c>
      <c r="AE58">
        <v>0</v>
      </c>
      <c r="AF58">
        <v>0</v>
      </c>
      <c r="AG58" s="86">
        <f>AVERAGEIFS($C$2:C58, $B$2:B58, B58)</f>
        <v>3</v>
      </c>
      <c r="AH58" s="86">
        <f>AVERAGEIFS($I$2:I58, $B$2:B58, B58)</f>
        <v>1</v>
      </c>
      <c r="AI58" s="86">
        <f>AVERAGEIFS($J$2:J58, $B$2:B58, B58)</f>
        <v>0.64</v>
      </c>
      <c r="AJ58" s="86">
        <f>AVERAGEIFS($D$2:D58, $B$2:B58, B58)</f>
        <v>1</v>
      </c>
    </row>
    <row r="59" spans="1:36" x14ac:dyDescent="0.25">
      <c r="A59" s="85">
        <v>46036</v>
      </c>
      <c r="B59" t="s">
        <v>1</v>
      </c>
      <c r="C59">
        <v>25</v>
      </c>
      <c r="D59">
        <v>0</v>
      </c>
      <c r="E59">
        <v>3</v>
      </c>
      <c r="F59">
        <v>0</v>
      </c>
      <c r="G59">
        <v>14</v>
      </c>
      <c r="H59">
        <v>5</v>
      </c>
      <c r="I59">
        <v>0</v>
      </c>
      <c r="J59">
        <v>0.36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 s="86">
        <f>AVERAGEIFS($C$2:C59, $B$2:B59, B59)</f>
        <v>28.5</v>
      </c>
      <c r="AH59" s="86">
        <f>AVERAGEIFS($I$2:I59, $B$2:B59, B59)</f>
        <v>0.3</v>
      </c>
      <c r="AI59" s="86">
        <f>AVERAGEIFS($J$2:J59, $B$2:B59, B59)</f>
        <v>0.42</v>
      </c>
      <c r="AJ59" s="86">
        <f>AVERAGEIFS($D$2:D59, $B$2:B59, B59)</f>
        <v>0.5</v>
      </c>
    </row>
    <row r="60" spans="1:36" x14ac:dyDescent="0.25">
      <c r="A60" s="85">
        <v>46036</v>
      </c>
      <c r="B60" t="s">
        <v>28</v>
      </c>
      <c r="C60">
        <v>19</v>
      </c>
      <c r="D60">
        <v>0</v>
      </c>
      <c r="E60">
        <v>3</v>
      </c>
      <c r="F60">
        <v>0</v>
      </c>
      <c r="G60">
        <v>14</v>
      </c>
      <c r="H60">
        <v>5</v>
      </c>
      <c r="I60">
        <v>0</v>
      </c>
      <c r="J60">
        <v>0.36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 s="86">
        <f>AVERAGEIFS($C$2:C60, $B$2:B60, B60)</f>
        <v>15.333333333333334</v>
      </c>
      <c r="AH60" s="86">
        <f>AVERAGEIFS($I$2:I60, $B$2:B60, B60)</f>
        <v>0.28333333333333333</v>
      </c>
      <c r="AI60" s="86">
        <f>AVERAGEIFS($J$2:J60, $B$2:B60, B60)</f>
        <v>0.47666666666666674</v>
      </c>
      <c r="AJ60" s="86">
        <f>AVERAGEIFS($D$2:D60, $B$2:B60, B60)</f>
        <v>0.33333333333333331</v>
      </c>
    </row>
    <row r="61" spans="1:36" x14ac:dyDescent="0.25">
      <c r="A61" s="85">
        <v>46036</v>
      </c>
      <c r="B61" t="s">
        <v>35</v>
      </c>
      <c r="C61">
        <v>17</v>
      </c>
      <c r="D61">
        <v>0</v>
      </c>
      <c r="E61">
        <v>3</v>
      </c>
      <c r="F61">
        <v>0</v>
      </c>
      <c r="G61">
        <v>14</v>
      </c>
      <c r="H61">
        <v>5</v>
      </c>
      <c r="I61">
        <v>0</v>
      </c>
      <c r="J61">
        <v>0.36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 s="86">
        <f>AVERAGEIFS($C$2:C61, $B$2:B61, B61)</f>
        <v>12.8</v>
      </c>
      <c r="AH61" s="86">
        <f>AVERAGEIFS($I$2:I61, $B$2:B61, B61)</f>
        <v>0.35</v>
      </c>
      <c r="AI61" s="86">
        <f>AVERAGEIFS($J$2:J61, $B$2:B61, B61)</f>
        <v>0.49199999999999999</v>
      </c>
      <c r="AJ61" s="86">
        <f>AVERAGEIFS($D$2:D61, $B$2:B61, B61)</f>
        <v>0.4</v>
      </c>
    </row>
    <row r="62" spans="1:36" x14ac:dyDescent="0.25">
      <c r="A62" s="85">
        <v>46036</v>
      </c>
      <c r="B62" t="s">
        <v>50</v>
      </c>
      <c r="C62">
        <v>16</v>
      </c>
      <c r="D62">
        <v>0</v>
      </c>
      <c r="E62">
        <v>3</v>
      </c>
      <c r="F62">
        <v>0</v>
      </c>
      <c r="G62">
        <v>14</v>
      </c>
      <c r="H62">
        <v>5</v>
      </c>
      <c r="I62">
        <v>0</v>
      </c>
      <c r="J62">
        <v>0.36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 s="86">
        <f>AVERAGEIFS($C$2:C62, $B$2:B62, B62)</f>
        <v>21.6</v>
      </c>
      <c r="AH62" s="86">
        <f>AVERAGEIFS($I$2:I62, $B$2:B62, B62)</f>
        <v>0.49000000000000005</v>
      </c>
      <c r="AI62" s="86">
        <f>AVERAGEIFS($J$2:J62, $B$2:B62, B62)</f>
        <v>0.51999999999999991</v>
      </c>
      <c r="AJ62" s="86">
        <f>AVERAGEIFS($D$2:D62, $B$2:B62, B62)</f>
        <v>0.6</v>
      </c>
    </row>
    <row r="63" spans="1:36" x14ac:dyDescent="0.25">
      <c r="A63" s="85">
        <v>46036</v>
      </c>
      <c r="B63" t="s">
        <v>2</v>
      </c>
      <c r="C63">
        <v>15</v>
      </c>
      <c r="D63">
        <v>0</v>
      </c>
      <c r="E63">
        <v>3</v>
      </c>
      <c r="F63">
        <v>0</v>
      </c>
      <c r="G63">
        <v>14</v>
      </c>
      <c r="H63">
        <v>5</v>
      </c>
      <c r="I63">
        <v>0</v>
      </c>
      <c r="J63">
        <v>0.36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 s="86">
        <f>AVERAGEIFS($C$2:C63, $B$2:B63, B63)</f>
        <v>15</v>
      </c>
      <c r="AH63" s="86">
        <f>AVERAGEIFS($I$2:I63, $B$2:B63, B63)</f>
        <v>0</v>
      </c>
      <c r="AI63" s="86">
        <f>AVERAGEIFS($J$2:J63, $B$2:B63, B63)</f>
        <v>0.36</v>
      </c>
      <c r="AJ63" s="86">
        <f>AVERAGEIFS($D$2:D63, $B$2:B63, B63)</f>
        <v>0</v>
      </c>
    </row>
    <row r="64" spans="1:36" x14ac:dyDescent="0.25">
      <c r="A64" s="85">
        <v>46036</v>
      </c>
      <c r="B64" t="s">
        <v>3</v>
      </c>
      <c r="C64">
        <v>7</v>
      </c>
      <c r="D64">
        <v>0</v>
      </c>
      <c r="E64">
        <v>3</v>
      </c>
      <c r="F64">
        <v>0</v>
      </c>
      <c r="G64">
        <v>14</v>
      </c>
      <c r="H64">
        <v>5</v>
      </c>
      <c r="I64">
        <v>0</v>
      </c>
      <c r="J64">
        <v>0.36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 s="86">
        <f>AVERAGEIFS($C$2:C64, $B$2:B64, B64)</f>
        <v>17.333333333333332</v>
      </c>
      <c r="AH64" s="86">
        <f>AVERAGEIFS($I$2:I64, $B$2:B64, B64)</f>
        <v>0.45</v>
      </c>
      <c r="AI64" s="86">
        <f>AVERAGEIFS($J$2:J64, $B$2:B64, B64)</f>
        <v>0.48</v>
      </c>
      <c r="AJ64" s="86">
        <f>AVERAGEIFS($D$2:D64, $B$2:B64, B64)</f>
        <v>0.66666666666666663</v>
      </c>
    </row>
    <row r="65" spans="1:36" x14ac:dyDescent="0.25">
      <c r="A65" s="85">
        <v>46052</v>
      </c>
      <c r="B65" t="s">
        <v>2</v>
      </c>
      <c r="C65">
        <v>22</v>
      </c>
      <c r="D65">
        <v>1</v>
      </c>
      <c r="E65">
        <v>3</v>
      </c>
      <c r="F65">
        <v>3</v>
      </c>
      <c r="G65">
        <v>11</v>
      </c>
      <c r="H65">
        <v>9</v>
      </c>
      <c r="I65">
        <v>1</v>
      </c>
      <c r="J65">
        <v>0.82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1</v>
      </c>
      <c r="AA65">
        <v>0</v>
      </c>
      <c r="AB65">
        <v>1</v>
      </c>
      <c r="AC65">
        <v>0</v>
      </c>
      <c r="AD65">
        <v>0</v>
      </c>
      <c r="AE65">
        <v>0</v>
      </c>
      <c r="AF65">
        <v>0</v>
      </c>
      <c r="AG65" s="86">
        <f>AVERAGEIFS($C$2:C65, $B$2:B65, B65)</f>
        <v>18.5</v>
      </c>
      <c r="AH65" s="86">
        <f>AVERAGEIFS($I$2:I65, $B$2:B65, B65)</f>
        <v>0.5</v>
      </c>
      <c r="AI65" s="86">
        <f>AVERAGEIFS($J$2:J65, $B$2:B65, B65)</f>
        <v>0.59</v>
      </c>
      <c r="AJ65" s="86">
        <f>AVERAGEIFS($D$2:D65, $B$2:B65, B65)</f>
        <v>0.5</v>
      </c>
    </row>
    <row r="66" spans="1:36" x14ac:dyDescent="0.25">
      <c r="A66" s="85">
        <v>46052</v>
      </c>
      <c r="B66" t="s">
        <v>6</v>
      </c>
      <c r="C66">
        <v>19</v>
      </c>
      <c r="D66">
        <v>1</v>
      </c>
      <c r="E66">
        <v>3</v>
      </c>
      <c r="F66">
        <v>3</v>
      </c>
      <c r="G66">
        <v>11</v>
      </c>
      <c r="H66">
        <v>9</v>
      </c>
      <c r="I66">
        <v>1</v>
      </c>
      <c r="J66">
        <v>0.82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1</v>
      </c>
      <c r="AA66">
        <v>0</v>
      </c>
      <c r="AB66">
        <v>1</v>
      </c>
      <c r="AC66">
        <v>0</v>
      </c>
      <c r="AD66">
        <v>0</v>
      </c>
      <c r="AE66">
        <v>0</v>
      </c>
      <c r="AF66">
        <v>0</v>
      </c>
      <c r="AG66" s="86">
        <f>AVERAGEIFS($C$2:C66, $B$2:B66, B66)</f>
        <v>21.4</v>
      </c>
      <c r="AH66" s="86">
        <f>AVERAGEIFS($I$2:I66, $B$2:B66, B66)</f>
        <v>0.67</v>
      </c>
      <c r="AI66" s="86">
        <f>AVERAGEIFS($J$2:J66, $B$2:B66, B66)</f>
        <v>0.57000000000000006</v>
      </c>
      <c r="AJ66" s="86">
        <f>AVERAGEIFS($D$2:D66, $B$2:B66, B66)</f>
        <v>0.8</v>
      </c>
    </row>
    <row r="67" spans="1:36" x14ac:dyDescent="0.25">
      <c r="A67" s="85">
        <v>46052</v>
      </c>
      <c r="B67" t="s">
        <v>19</v>
      </c>
      <c r="C67">
        <v>11</v>
      </c>
      <c r="D67">
        <v>1</v>
      </c>
      <c r="E67">
        <v>3</v>
      </c>
      <c r="F67">
        <v>3</v>
      </c>
      <c r="G67">
        <v>11</v>
      </c>
      <c r="H67">
        <v>9</v>
      </c>
      <c r="I67">
        <v>1</v>
      </c>
      <c r="J67">
        <v>0.82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1</v>
      </c>
      <c r="AA67">
        <v>0</v>
      </c>
      <c r="AB67">
        <v>1</v>
      </c>
      <c r="AC67">
        <v>0</v>
      </c>
      <c r="AD67">
        <v>0</v>
      </c>
      <c r="AE67">
        <v>0</v>
      </c>
      <c r="AF67">
        <v>0</v>
      </c>
      <c r="AG67" s="86">
        <f>AVERAGEIFS($C$2:C67, $B$2:B67, B67)</f>
        <v>9.5</v>
      </c>
      <c r="AH67" s="86">
        <f>AVERAGEIFS($I$2:I67, $B$2:B67, B67)</f>
        <v>0.8</v>
      </c>
      <c r="AI67" s="86">
        <f>AVERAGEIFS($J$2:J67, $B$2:B67, B67)</f>
        <v>0.66499999999999992</v>
      </c>
      <c r="AJ67" s="86">
        <f>AVERAGEIFS($D$2:D67, $B$2:B67, B67)</f>
        <v>1</v>
      </c>
    </row>
    <row r="68" spans="1:36" x14ac:dyDescent="0.25">
      <c r="A68" s="85">
        <v>46052</v>
      </c>
      <c r="B68" t="s">
        <v>50</v>
      </c>
      <c r="C68">
        <v>11</v>
      </c>
      <c r="D68">
        <v>1</v>
      </c>
      <c r="E68">
        <v>3</v>
      </c>
      <c r="F68">
        <v>3</v>
      </c>
      <c r="G68">
        <v>11</v>
      </c>
      <c r="H68">
        <v>9</v>
      </c>
      <c r="I68">
        <v>1</v>
      </c>
      <c r="J68">
        <v>0.82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1</v>
      </c>
      <c r="Y68">
        <v>0</v>
      </c>
      <c r="Z68">
        <v>1</v>
      </c>
      <c r="AA68">
        <v>0</v>
      </c>
      <c r="AB68">
        <v>1</v>
      </c>
      <c r="AC68">
        <v>0</v>
      </c>
      <c r="AD68">
        <v>0</v>
      </c>
      <c r="AE68">
        <v>0</v>
      </c>
      <c r="AF68">
        <v>0</v>
      </c>
      <c r="AG68" s="86">
        <f>AVERAGEIFS($C$2:C68, $B$2:B68, B68)</f>
        <v>19.833333333333332</v>
      </c>
      <c r="AH68" s="86">
        <f>AVERAGEIFS($I$2:I68, $B$2:B68, B68)</f>
        <v>0.57500000000000007</v>
      </c>
      <c r="AI68" s="86">
        <f>AVERAGEIFS($J$2:J68, $B$2:B68, B68)</f>
        <v>0.56999999999999995</v>
      </c>
      <c r="AJ68" s="86">
        <f>AVERAGEIFS($D$2:D68, $B$2:B68, B68)</f>
        <v>0.66666666666666663</v>
      </c>
    </row>
    <row r="69" spans="1:36" x14ac:dyDescent="0.25">
      <c r="A69" s="85">
        <v>46052</v>
      </c>
      <c r="B69" t="s">
        <v>28</v>
      </c>
      <c r="C69">
        <v>7</v>
      </c>
      <c r="D69">
        <v>1</v>
      </c>
      <c r="E69">
        <v>3</v>
      </c>
      <c r="F69">
        <v>3</v>
      </c>
      <c r="G69">
        <v>11</v>
      </c>
      <c r="H69">
        <v>9</v>
      </c>
      <c r="I69">
        <v>1</v>
      </c>
      <c r="J69">
        <v>0.82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1</v>
      </c>
      <c r="Y69">
        <v>0</v>
      </c>
      <c r="Z69">
        <v>1</v>
      </c>
      <c r="AA69">
        <v>0</v>
      </c>
      <c r="AB69">
        <v>1</v>
      </c>
      <c r="AC69">
        <v>0</v>
      </c>
      <c r="AD69">
        <v>0</v>
      </c>
      <c r="AE69">
        <v>0</v>
      </c>
      <c r="AF69">
        <v>0</v>
      </c>
      <c r="AG69" s="86">
        <f>AVERAGEIFS($C$2:C69, $B$2:B69, B69)</f>
        <v>13.25</v>
      </c>
      <c r="AH69" s="86">
        <f>AVERAGEIFS($I$2:I69, $B$2:B69, B69)</f>
        <v>0.46250000000000002</v>
      </c>
      <c r="AI69" s="86">
        <f>AVERAGEIFS($J$2:J69, $B$2:B69, B69)</f>
        <v>0.5625</v>
      </c>
      <c r="AJ69" s="86">
        <f>AVERAGEIFS($D$2:D69, $B$2:B69, B69)</f>
        <v>0.5</v>
      </c>
    </row>
    <row r="70" spans="1:36" x14ac:dyDescent="0.25">
      <c r="A70" s="85">
        <v>46052</v>
      </c>
      <c r="B70" t="s">
        <v>35</v>
      </c>
      <c r="C70">
        <v>6</v>
      </c>
      <c r="D70">
        <v>1</v>
      </c>
      <c r="E70">
        <v>3</v>
      </c>
      <c r="F70">
        <v>3</v>
      </c>
      <c r="G70">
        <v>11</v>
      </c>
      <c r="H70">
        <v>9</v>
      </c>
      <c r="I70">
        <v>1</v>
      </c>
      <c r="J70">
        <v>0.82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1</v>
      </c>
      <c r="Y70">
        <v>0</v>
      </c>
      <c r="Z70">
        <v>1</v>
      </c>
      <c r="AA70">
        <v>0</v>
      </c>
      <c r="AB70">
        <v>1</v>
      </c>
      <c r="AC70">
        <v>0</v>
      </c>
      <c r="AD70">
        <v>0</v>
      </c>
      <c r="AE70">
        <v>0</v>
      </c>
      <c r="AF70">
        <v>0</v>
      </c>
      <c r="AG70" s="86">
        <f>AVERAGEIFS($C$2:C70, $B$2:B70, B70)</f>
        <v>11.666666666666666</v>
      </c>
      <c r="AH70" s="86">
        <f>AVERAGEIFS($I$2:I70, $B$2:B70, B70)</f>
        <v>0.45833333333333331</v>
      </c>
      <c r="AI70" s="86">
        <f>AVERAGEIFS($J$2:J70, $B$2:B70, B70)</f>
        <v>0.54666666666666663</v>
      </c>
      <c r="AJ70" s="86">
        <f>AVERAGEIFS($D$2:D70, $B$2:B70, B70)</f>
        <v>0.5</v>
      </c>
    </row>
    <row r="71" spans="1:36" x14ac:dyDescent="0.25">
      <c r="A71" s="85">
        <v>46052</v>
      </c>
      <c r="B71" t="s">
        <v>17</v>
      </c>
      <c r="C71">
        <v>20</v>
      </c>
      <c r="D71">
        <v>0</v>
      </c>
      <c r="E71">
        <v>3</v>
      </c>
      <c r="F71">
        <v>0</v>
      </c>
      <c r="G71">
        <v>11</v>
      </c>
      <c r="H71">
        <v>2</v>
      </c>
      <c r="I71">
        <v>0</v>
      </c>
      <c r="J71">
        <v>0.18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 s="86">
        <f>AVERAGEIFS($C$2:C71, $B$2:B71, B71)</f>
        <v>21.6</v>
      </c>
      <c r="AH71" s="86">
        <f>AVERAGEIFS($I$2:I71, $B$2:B71, B71)</f>
        <v>0.21000000000000002</v>
      </c>
      <c r="AI71" s="86">
        <f>AVERAGEIFS($J$2:J71, $B$2:B71, B71)</f>
        <v>0.34799999999999998</v>
      </c>
      <c r="AJ71" s="86">
        <f>AVERAGEIFS($D$2:D71, $B$2:B71, B71)</f>
        <v>0</v>
      </c>
    </row>
    <row r="72" spans="1:36" x14ac:dyDescent="0.25">
      <c r="A72" s="85">
        <v>46052</v>
      </c>
      <c r="B72" t="s">
        <v>54</v>
      </c>
      <c r="C72">
        <v>17</v>
      </c>
      <c r="D72">
        <v>0</v>
      </c>
      <c r="E72">
        <v>3</v>
      </c>
      <c r="F72">
        <v>0</v>
      </c>
      <c r="G72">
        <v>11</v>
      </c>
      <c r="H72">
        <v>2</v>
      </c>
      <c r="I72">
        <v>0</v>
      </c>
      <c r="J72">
        <v>0.18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 s="86">
        <f>AVERAGEIFS($C$2:C72, $B$2:B72, B72)</f>
        <v>25.333333333333332</v>
      </c>
      <c r="AH72" s="86">
        <f>AVERAGEIFS($I$2:I72, $B$2:B72, B72)</f>
        <v>0.45833333333333331</v>
      </c>
      <c r="AI72" s="86">
        <f>AVERAGEIFS($J$2:J72, $B$2:B72, B72)</f>
        <v>0.48666666666666675</v>
      </c>
      <c r="AJ72" s="86">
        <f>AVERAGEIFS($D$2:D72, $B$2:B72, B72)</f>
        <v>0.5</v>
      </c>
    </row>
    <row r="73" spans="1:36" x14ac:dyDescent="0.25">
      <c r="A73" s="85">
        <v>46052</v>
      </c>
      <c r="B73" t="s">
        <v>14</v>
      </c>
      <c r="C73">
        <v>9</v>
      </c>
      <c r="D73">
        <v>0</v>
      </c>
      <c r="E73">
        <v>3</v>
      </c>
      <c r="F73">
        <v>0</v>
      </c>
      <c r="G73">
        <v>11</v>
      </c>
      <c r="H73">
        <v>2</v>
      </c>
      <c r="I73">
        <v>0</v>
      </c>
      <c r="J73">
        <v>0.18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 s="86">
        <f>AVERAGEIFS($C$2:C73, $B$2:B73, B73)</f>
        <v>17.5</v>
      </c>
      <c r="AH73" s="86">
        <f>AVERAGEIFS($I$2:I73, $B$2:B73, B73)</f>
        <v>0.3125</v>
      </c>
      <c r="AI73" s="86">
        <f>AVERAGEIFS($J$2:J73, $B$2:B73, B73)</f>
        <v>0.44249999999999995</v>
      </c>
      <c r="AJ73" s="86">
        <f>AVERAGEIFS($D$2:D73, $B$2:B73, B73)</f>
        <v>0.25</v>
      </c>
    </row>
    <row r="74" spans="1:36" x14ac:dyDescent="0.25">
      <c r="A74" s="85">
        <v>46052</v>
      </c>
      <c r="B74" t="s">
        <v>5</v>
      </c>
      <c r="C74">
        <v>6</v>
      </c>
      <c r="D74">
        <v>0</v>
      </c>
      <c r="E74">
        <v>3</v>
      </c>
      <c r="F74">
        <v>0</v>
      </c>
      <c r="G74">
        <v>11</v>
      </c>
      <c r="H74">
        <v>2</v>
      </c>
      <c r="I74">
        <v>0</v>
      </c>
      <c r="J74">
        <v>0.18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 s="86">
        <f>AVERAGEIFS($C$2:C74, $B$2:B74, B74)</f>
        <v>18.75</v>
      </c>
      <c r="AH74" s="86">
        <f>AVERAGEIFS($I$2:I74, $B$2:B74, B74)</f>
        <v>0.6875</v>
      </c>
      <c r="AI74" s="86">
        <f>AVERAGEIFS($J$2:J74, $B$2:B74, B74)</f>
        <v>0.52750000000000008</v>
      </c>
      <c r="AJ74" s="86">
        <f>AVERAGEIFS($D$2:D74, $B$2:B74, B74)</f>
        <v>0.75</v>
      </c>
    </row>
    <row r="75" spans="1:36" x14ac:dyDescent="0.25">
      <c r="A75" s="85">
        <v>46052</v>
      </c>
      <c r="B75" t="s">
        <v>51</v>
      </c>
      <c r="C75">
        <v>5</v>
      </c>
      <c r="D75">
        <v>0</v>
      </c>
      <c r="E75">
        <v>3</v>
      </c>
      <c r="F75">
        <v>0</v>
      </c>
      <c r="G75">
        <v>11</v>
      </c>
      <c r="H75">
        <v>2</v>
      </c>
      <c r="I75">
        <v>0</v>
      </c>
      <c r="J75">
        <v>0.18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 s="86">
        <f>AVERAGEIFS($C$2:C75, $B$2:B75, B75)</f>
        <v>5</v>
      </c>
      <c r="AH75" s="86">
        <f>AVERAGEIFS($I$2:I75, $B$2:B75, B75)</f>
        <v>0</v>
      </c>
      <c r="AI75" s="86">
        <f>AVERAGEIFS($J$2:J75, $B$2:B75, B75)</f>
        <v>0.18</v>
      </c>
      <c r="AJ75" s="86">
        <f>AVERAGEIFS($D$2:D75, $B$2:B75, B75)</f>
        <v>0</v>
      </c>
    </row>
    <row r="76" spans="1:36" x14ac:dyDescent="0.25">
      <c r="A76" s="85">
        <v>46052</v>
      </c>
      <c r="B76" t="s">
        <v>38</v>
      </c>
      <c r="C76">
        <v>2</v>
      </c>
      <c r="D76">
        <v>0</v>
      </c>
      <c r="E76">
        <v>3</v>
      </c>
      <c r="F76">
        <v>0</v>
      </c>
      <c r="G76">
        <v>11</v>
      </c>
      <c r="H76">
        <v>2</v>
      </c>
      <c r="I76">
        <v>0</v>
      </c>
      <c r="J76">
        <v>0.18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 s="86">
        <f>AVERAGEIFS($C$2:C76, $B$2:B76, B76)</f>
        <v>2</v>
      </c>
      <c r="AH76" s="86">
        <f>AVERAGEIFS($I$2:I76, $B$2:B76, B76)</f>
        <v>0</v>
      </c>
      <c r="AI76" s="86">
        <f>AVERAGEIFS($J$2:J76, $B$2:B76, B76)</f>
        <v>0.18</v>
      </c>
      <c r="AJ76" s="86">
        <f>AVERAGEIFS($D$2:D76, $B$2:B76, B76)</f>
        <v>0</v>
      </c>
    </row>
    <row r="77" spans="1:36" x14ac:dyDescent="0.25">
      <c r="A77" s="85">
        <v>46053</v>
      </c>
      <c r="B77" t="s">
        <v>54</v>
      </c>
      <c r="C77">
        <v>31</v>
      </c>
      <c r="D77">
        <v>1</v>
      </c>
      <c r="E77">
        <v>3</v>
      </c>
      <c r="F77">
        <v>2</v>
      </c>
      <c r="G77">
        <v>15</v>
      </c>
      <c r="H77">
        <v>8</v>
      </c>
      <c r="I77">
        <v>0.67</v>
      </c>
      <c r="J77">
        <v>0.53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>
        <v>0</v>
      </c>
      <c r="AB77">
        <v>0</v>
      </c>
      <c r="AC77">
        <v>1</v>
      </c>
      <c r="AD77">
        <v>0</v>
      </c>
      <c r="AE77">
        <v>0</v>
      </c>
      <c r="AF77">
        <v>0</v>
      </c>
      <c r="AG77" s="86">
        <f>AVERAGEIFS($C$2:C77, $B$2:B77, B77)</f>
        <v>26.142857142857142</v>
      </c>
      <c r="AH77" s="86">
        <f>AVERAGEIFS($I$2:I77, $B$2:B77, B77)</f>
        <v>0.48857142857142855</v>
      </c>
      <c r="AI77" s="86">
        <f>AVERAGEIFS($J$2:J77, $B$2:B77, B77)</f>
        <v>0.49285714285714288</v>
      </c>
      <c r="AJ77" s="86">
        <f>AVERAGEIFS($D$2:D77, $B$2:B77, B77)</f>
        <v>0.5714285714285714</v>
      </c>
    </row>
    <row r="78" spans="1:36" x14ac:dyDescent="0.25">
      <c r="A78" s="85">
        <v>46053</v>
      </c>
      <c r="B78" t="s">
        <v>17</v>
      </c>
      <c r="C78">
        <v>24</v>
      </c>
      <c r="D78">
        <v>1</v>
      </c>
      <c r="E78">
        <v>3</v>
      </c>
      <c r="F78">
        <v>2</v>
      </c>
      <c r="G78">
        <v>15</v>
      </c>
      <c r="H78">
        <v>8</v>
      </c>
      <c r="I78">
        <v>0.67</v>
      </c>
      <c r="J78">
        <v>0.53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>
        <v>0</v>
      </c>
      <c r="AB78">
        <v>0</v>
      </c>
      <c r="AC78">
        <v>1</v>
      </c>
      <c r="AD78">
        <v>0</v>
      </c>
      <c r="AE78">
        <v>0</v>
      </c>
      <c r="AF78">
        <v>0</v>
      </c>
      <c r="AG78" s="86">
        <f>AVERAGEIFS($C$2:C78, $B$2:B78, B78)</f>
        <v>22</v>
      </c>
      <c r="AH78" s="86">
        <f>AVERAGEIFS($I$2:I78, $B$2:B78, B78)</f>
        <v>0.28666666666666668</v>
      </c>
      <c r="AI78" s="86">
        <f>AVERAGEIFS($J$2:J78, $B$2:B78, B78)</f>
        <v>0.37833333333333335</v>
      </c>
      <c r="AJ78" s="86">
        <f>AVERAGEIFS($D$2:D78, $B$2:B78, B78)</f>
        <v>0.16666666666666666</v>
      </c>
    </row>
    <row r="79" spans="1:36" x14ac:dyDescent="0.25">
      <c r="A79" s="85">
        <v>46053</v>
      </c>
      <c r="B79" t="s">
        <v>14</v>
      </c>
      <c r="C79">
        <v>23</v>
      </c>
      <c r="D79">
        <v>1</v>
      </c>
      <c r="E79">
        <v>3</v>
      </c>
      <c r="F79">
        <v>2</v>
      </c>
      <c r="G79">
        <v>15</v>
      </c>
      <c r="H79">
        <v>8</v>
      </c>
      <c r="I79">
        <v>0.67</v>
      </c>
      <c r="J79">
        <v>0.53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>
        <v>0</v>
      </c>
      <c r="AB79">
        <v>0</v>
      </c>
      <c r="AC79">
        <v>1</v>
      </c>
      <c r="AD79">
        <v>0</v>
      </c>
      <c r="AE79">
        <v>0</v>
      </c>
      <c r="AF79">
        <v>0</v>
      </c>
      <c r="AG79" s="86">
        <f>AVERAGEIFS($C$2:C79, $B$2:B79, B79)</f>
        <v>18.600000000000001</v>
      </c>
      <c r="AH79" s="86">
        <f>AVERAGEIFS($I$2:I79, $B$2:B79, B79)</f>
        <v>0.38400000000000001</v>
      </c>
      <c r="AI79" s="86">
        <f>AVERAGEIFS($J$2:J79, $B$2:B79, B79)</f>
        <v>0.45999999999999996</v>
      </c>
      <c r="AJ79" s="86">
        <f>AVERAGEIFS($D$2:D79, $B$2:B79, B79)</f>
        <v>0.4</v>
      </c>
    </row>
    <row r="80" spans="1:36" x14ac:dyDescent="0.25">
      <c r="A80" s="85">
        <v>46053</v>
      </c>
      <c r="B80" t="s">
        <v>5</v>
      </c>
      <c r="C80">
        <v>22</v>
      </c>
      <c r="D80">
        <v>1</v>
      </c>
      <c r="E80">
        <v>3</v>
      </c>
      <c r="F80">
        <v>2</v>
      </c>
      <c r="G80">
        <v>15</v>
      </c>
      <c r="H80">
        <v>8</v>
      </c>
      <c r="I80">
        <v>0.67</v>
      </c>
      <c r="J80">
        <v>0.53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>
        <v>0</v>
      </c>
      <c r="AB80">
        <v>0</v>
      </c>
      <c r="AC80">
        <v>1</v>
      </c>
      <c r="AD80">
        <v>0</v>
      </c>
      <c r="AE80">
        <v>0</v>
      </c>
      <c r="AF80">
        <v>0</v>
      </c>
      <c r="AG80" s="86">
        <f>AVERAGEIFS($C$2:C80, $B$2:B80, B80)</f>
        <v>19.399999999999999</v>
      </c>
      <c r="AH80" s="86">
        <f>AVERAGEIFS($I$2:I80, $B$2:B80, B80)</f>
        <v>0.68399999999999994</v>
      </c>
      <c r="AI80" s="86">
        <f>AVERAGEIFS($J$2:J80, $B$2:B80, B80)</f>
        <v>0.52800000000000014</v>
      </c>
      <c r="AJ80" s="86">
        <f>AVERAGEIFS($D$2:D80, $B$2:B80, B80)</f>
        <v>0.8</v>
      </c>
    </row>
    <row r="81" spans="1:36" x14ac:dyDescent="0.25">
      <c r="A81" s="85">
        <v>46053</v>
      </c>
      <c r="B81" t="s">
        <v>51</v>
      </c>
      <c r="C81">
        <v>16</v>
      </c>
      <c r="D81">
        <v>1</v>
      </c>
      <c r="E81">
        <v>3</v>
      </c>
      <c r="F81">
        <v>2</v>
      </c>
      <c r="G81">
        <v>15</v>
      </c>
      <c r="H81">
        <v>8</v>
      </c>
      <c r="I81">
        <v>0.67</v>
      </c>
      <c r="J81">
        <v>0.53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1</v>
      </c>
      <c r="Z81">
        <v>0</v>
      </c>
      <c r="AA81">
        <v>0</v>
      </c>
      <c r="AB81">
        <v>0</v>
      </c>
      <c r="AC81">
        <v>1</v>
      </c>
      <c r="AD81">
        <v>0</v>
      </c>
      <c r="AE81">
        <v>0</v>
      </c>
      <c r="AF81">
        <v>0</v>
      </c>
      <c r="AG81" s="86">
        <f>AVERAGEIFS($C$2:C81, $B$2:B81, B81)</f>
        <v>10.5</v>
      </c>
      <c r="AH81" s="86">
        <f>AVERAGEIFS($I$2:I81, $B$2:B81, B81)</f>
        <v>0.33500000000000002</v>
      </c>
      <c r="AI81" s="86">
        <f>AVERAGEIFS($J$2:J81, $B$2:B81, B81)</f>
        <v>0.35499999999999998</v>
      </c>
      <c r="AJ81" s="86">
        <f>AVERAGEIFS($D$2:D81, $B$2:B81, B81)</f>
        <v>0.5</v>
      </c>
    </row>
    <row r="82" spans="1:36" x14ac:dyDescent="0.25">
      <c r="A82" s="85">
        <v>46053</v>
      </c>
      <c r="B82" t="s">
        <v>45</v>
      </c>
      <c r="C82">
        <v>3</v>
      </c>
      <c r="D82">
        <v>1</v>
      </c>
      <c r="E82">
        <v>3</v>
      </c>
      <c r="F82">
        <v>2</v>
      </c>
      <c r="G82">
        <v>15</v>
      </c>
      <c r="H82">
        <v>8</v>
      </c>
      <c r="I82">
        <v>0.67</v>
      </c>
      <c r="J82">
        <v>0.53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1</v>
      </c>
      <c r="Z82">
        <v>0</v>
      </c>
      <c r="AA82">
        <v>0</v>
      </c>
      <c r="AB82">
        <v>0</v>
      </c>
      <c r="AC82">
        <v>1</v>
      </c>
      <c r="AD82">
        <v>0</v>
      </c>
      <c r="AE82">
        <v>0</v>
      </c>
      <c r="AF82">
        <v>0</v>
      </c>
      <c r="AG82" s="86">
        <f>AVERAGEIFS($C$2:C82, $B$2:B82, B82)</f>
        <v>7</v>
      </c>
      <c r="AH82" s="86">
        <f>AVERAGEIFS($I$2:I82, $B$2:B82, B82)</f>
        <v>0.71</v>
      </c>
      <c r="AI82" s="86">
        <f>AVERAGEIFS($J$2:J82, $B$2:B82, B82)</f>
        <v>0.56499999999999995</v>
      </c>
      <c r="AJ82" s="86">
        <f>AVERAGEIFS($D$2:D82, $B$2:B82, B82)</f>
        <v>1</v>
      </c>
    </row>
    <row r="83" spans="1:36" x14ac:dyDescent="0.25">
      <c r="A83" s="85">
        <v>46053</v>
      </c>
      <c r="B83" t="s">
        <v>2</v>
      </c>
      <c r="C83">
        <v>27</v>
      </c>
      <c r="D83">
        <v>0</v>
      </c>
      <c r="E83">
        <v>3</v>
      </c>
      <c r="F83">
        <v>1</v>
      </c>
      <c r="G83">
        <v>15</v>
      </c>
      <c r="H83">
        <v>7</v>
      </c>
      <c r="I83">
        <v>0.33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1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 s="86">
        <f>AVERAGEIFS($C$2:C83, $B$2:B83, B83)</f>
        <v>21.333333333333332</v>
      </c>
      <c r="AH83" s="86">
        <f>AVERAGEIFS($I$2:I83, $B$2:B83, B83)</f>
        <v>0.44333333333333336</v>
      </c>
      <c r="AI83" s="86">
        <f>AVERAGEIFS($J$2:J83, $B$2:B83, B83)</f>
        <v>0.54999999999999993</v>
      </c>
      <c r="AJ83" s="86">
        <f>AVERAGEIFS($D$2:D83, $B$2:B83, B83)</f>
        <v>0.33333333333333331</v>
      </c>
    </row>
    <row r="84" spans="1:36" x14ac:dyDescent="0.25">
      <c r="A84" s="85">
        <v>46053</v>
      </c>
      <c r="B84" t="s">
        <v>28</v>
      </c>
      <c r="C84">
        <v>25</v>
      </c>
      <c r="D84">
        <v>0</v>
      </c>
      <c r="E84">
        <v>3</v>
      </c>
      <c r="F84">
        <v>1</v>
      </c>
      <c r="G84">
        <v>15</v>
      </c>
      <c r="H84">
        <v>7</v>
      </c>
      <c r="I84">
        <v>0.33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1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 s="86">
        <f>AVERAGEIFS($C$2:C84, $B$2:B84, B84)</f>
        <v>15.6</v>
      </c>
      <c r="AH84" s="86">
        <f>AVERAGEIFS($I$2:I84, $B$2:B84, B84)</f>
        <v>0.43600000000000005</v>
      </c>
      <c r="AI84" s="86">
        <f>AVERAGEIFS($J$2:J84, $B$2:B84, B84)</f>
        <v>0.54399999999999993</v>
      </c>
      <c r="AJ84" s="86">
        <f>AVERAGEIFS($D$2:D84, $B$2:B84, B84)</f>
        <v>0.4</v>
      </c>
    </row>
    <row r="85" spans="1:36" x14ac:dyDescent="0.25">
      <c r="A85" s="85">
        <v>46053</v>
      </c>
      <c r="B85" t="s">
        <v>6</v>
      </c>
      <c r="C85">
        <v>22</v>
      </c>
      <c r="D85">
        <v>0</v>
      </c>
      <c r="E85">
        <v>3</v>
      </c>
      <c r="F85">
        <v>1</v>
      </c>
      <c r="G85">
        <v>15</v>
      </c>
      <c r="H85">
        <v>7</v>
      </c>
      <c r="I85">
        <v>0.33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1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 s="86">
        <f>AVERAGEIFS($C$2:C85, $B$2:B85, B85)</f>
        <v>21.5</v>
      </c>
      <c r="AH85" s="86">
        <f>AVERAGEIFS($I$2:I85, $B$2:B85, B85)</f>
        <v>0.6133333333333334</v>
      </c>
      <c r="AI85" s="86">
        <f>AVERAGEIFS($J$2:J85, $B$2:B85, B85)</f>
        <v>0.55333333333333334</v>
      </c>
      <c r="AJ85" s="86">
        <f>AVERAGEIFS($D$2:D85, $B$2:B85, B85)</f>
        <v>0.66666666666666663</v>
      </c>
    </row>
    <row r="86" spans="1:36" x14ac:dyDescent="0.25">
      <c r="A86" s="85">
        <v>46053</v>
      </c>
      <c r="B86" t="s">
        <v>50</v>
      </c>
      <c r="C86">
        <v>16</v>
      </c>
      <c r="D86">
        <v>0</v>
      </c>
      <c r="E86">
        <v>3</v>
      </c>
      <c r="F86">
        <v>1</v>
      </c>
      <c r="G86">
        <v>15</v>
      </c>
      <c r="H86">
        <v>7</v>
      </c>
      <c r="I86">
        <v>0.33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1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 s="86">
        <f>AVERAGEIFS($C$2:C86, $B$2:B86, B86)</f>
        <v>19.285714285714285</v>
      </c>
      <c r="AH86" s="86">
        <f>AVERAGEIFS($I$2:I86, $B$2:B86, B86)</f>
        <v>0.54</v>
      </c>
      <c r="AI86" s="86">
        <f>AVERAGEIFS($J$2:J86, $B$2:B86, B86)</f>
        <v>0.55571428571428572</v>
      </c>
      <c r="AJ86" s="86">
        <f>AVERAGEIFS($D$2:D86, $B$2:B86, B86)</f>
        <v>0.5714285714285714</v>
      </c>
    </row>
    <row r="87" spans="1:36" x14ac:dyDescent="0.25">
      <c r="A87" s="85">
        <v>46053</v>
      </c>
      <c r="B87" t="s">
        <v>35</v>
      </c>
      <c r="C87">
        <v>14</v>
      </c>
      <c r="D87">
        <v>0</v>
      </c>
      <c r="E87">
        <v>3</v>
      </c>
      <c r="F87">
        <v>1</v>
      </c>
      <c r="G87">
        <v>15</v>
      </c>
      <c r="H87">
        <v>7</v>
      </c>
      <c r="I87">
        <v>0.33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1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 s="86">
        <f>AVERAGEIFS($C$2:C87, $B$2:B87, B87)</f>
        <v>12</v>
      </c>
      <c r="AH87" s="86">
        <f>AVERAGEIFS($I$2:I87, $B$2:B87, B87)</f>
        <v>0.44</v>
      </c>
      <c r="AI87" s="86">
        <f>AVERAGEIFS($J$2:J87, $B$2:B87, B87)</f>
        <v>0.5357142857142857</v>
      </c>
      <c r="AJ87" s="86">
        <f>AVERAGEIFS($D$2:D87, $B$2:B87, B87)</f>
        <v>0.42857142857142855</v>
      </c>
    </row>
    <row r="88" spans="1:36" x14ac:dyDescent="0.25">
      <c r="A88" s="85">
        <v>46053</v>
      </c>
      <c r="B88" t="s">
        <v>19</v>
      </c>
      <c r="C88">
        <v>8</v>
      </c>
      <c r="D88">
        <v>0</v>
      </c>
      <c r="E88">
        <v>3</v>
      </c>
      <c r="F88">
        <v>1</v>
      </c>
      <c r="G88">
        <v>15</v>
      </c>
      <c r="H88">
        <v>7</v>
      </c>
      <c r="I88">
        <v>0.33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1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s="86">
        <f>AVERAGEIFS($C$2:C88, $B$2:B88, B88)</f>
        <v>9.1999999999999993</v>
      </c>
      <c r="AH88" s="86">
        <f>AVERAGEIFS($I$2:I88, $B$2:B88, B88)</f>
        <v>0.70600000000000007</v>
      </c>
      <c r="AI88" s="86">
        <f>AVERAGEIFS($J$2:J88, $B$2:B88, B88)</f>
        <v>0.626</v>
      </c>
      <c r="AJ88" s="86">
        <f>AVERAGEIFS($D$2:D88, $B$2:B88, B88)</f>
        <v>0.8</v>
      </c>
    </row>
    <row r="89" spans="1:36" x14ac:dyDescent="0.25">
      <c r="A89" s="85">
        <v>46056</v>
      </c>
      <c r="B89" t="s">
        <v>1</v>
      </c>
      <c r="C89">
        <v>23</v>
      </c>
      <c r="D89">
        <v>1</v>
      </c>
      <c r="E89">
        <v>4</v>
      </c>
      <c r="F89">
        <v>3</v>
      </c>
      <c r="G89">
        <v>15</v>
      </c>
      <c r="H89">
        <v>9</v>
      </c>
      <c r="I89">
        <v>0.75</v>
      </c>
      <c r="J89">
        <v>0.6</v>
      </c>
      <c r="K89">
        <v>1</v>
      </c>
      <c r="L89">
        <v>1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1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s="86">
        <f>AVERAGEIFS($C$2:C89, $B$2:B89, B89)</f>
        <v>26.666666666666668</v>
      </c>
      <c r="AH89" s="86">
        <f>AVERAGEIFS($I$2:I89, $B$2:B89, B89)</f>
        <v>0.45</v>
      </c>
      <c r="AI89" s="86">
        <f>AVERAGEIFS($J$2:J89, $B$2:B89, B89)</f>
        <v>0.48</v>
      </c>
      <c r="AJ89" s="86">
        <f>AVERAGEIFS($D$2:D89, $B$2:B89, B89)</f>
        <v>0.66666666666666663</v>
      </c>
    </row>
    <row r="90" spans="1:36" x14ac:dyDescent="0.25">
      <c r="A90" s="85">
        <v>46056</v>
      </c>
      <c r="B90" t="s">
        <v>50</v>
      </c>
      <c r="C90">
        <v>22</v>
      </c>
      <c r="D90">
        <v>1</v>
      </c>
      <c r="E90">
        <v>4</v>
      </c>
      <c r="F90">
        <v>3</v>
      </c>
      <c r="G90">
        <v>15</v>
      </c>
      <c r="H90">
        <v>9</v>
      </c>
      <c r="I90">
        <v>0.75</v>
      </c>
      <c r="J90">
        <v>0.6</v>
      </c>
      <c r="K90">
        <v>1</v>
      </c>
      <c r="L90">
        <v>1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1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s="86">
        <f>AVERAGEIFS($C$2:C90, $B$2:B90, B90)</f>
        <v>19.625</v>
      </c>
      <c r="AH90" s="86">
        <f>AVERAGEIFS($I$2:I90, $B$2:B90, B90)</f>
        <v>0.56625000000000003</v>
      </c>
      <c r="AI90" s="86">
        <f>AVERAGEIFS($J$2:J90, $B$2:B90, B90)</f>
        <v>0.56124999999999992</v>
      </c>
      <c r="AJ90" s="86">
        <f>AVERAGEIFS($D$2:D90, $B$2:B90, B90)</f>
        <v>0.625</v>
      </c>
    </row>
    <row r="91" spans="1:36" x14ac:dyDescent="0.25">
      <c r="A91" s="85">
        <v>46056</v>
      </c>
      <c r="B91" t="s">
        <v>37</v>
      </c>
      <c r="C91">
        <v>19</v>
      </c>
      <c r="D91">
        <v>1</v>
      </c>
      <c r="E91">
        <v>4</v>
      </c>
      <c r="F91">
        <v>3</v>
      </c>
      <c r="G91">
        <v>15</v>
      </c>
      <c r="H91">
        <v>9</v>
      </c>
      <c r="I91">
        <v>0.75</v>
      </c>
      <c r="J91">
        <v>0.6</v>
      </c>
      <c r="K91">
        <v>1</v>
      </c>
      <c r="L91">
        <v>1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1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s="86">
        <f>AVERAGEIFS($C$2:C91, $B$2:B91, B91)</f>
        <v>15.5</v>
      </c>
      <c r="AH91" s="86">
        <f>AVERAGEIFS($I$2:I91, $B$2:B91, B91)</f>
        <v>0.875</v>
      </c>
      <c r="AI91" s="86">
        <f>AVERAGEIFS($J$2:J91, $B$2:B91, B91)</f>
        <v>0.62</v>
      </c>
      <c r="AJ91" s="86">
        <f>AVERAGEIFS($D$2:D91, $B$2:B91, B91)</f>
        <v>1</v>
      </c>
    </row>
    <row r="92" spans="1:36" x14ac:dyDescent="0.25">
      <c r="A92" s="85">
        <v>46056</v>
      </c>
      <c r="B92" t="s">
        <v>17</v>
      </c>
      <c r="C92">
        <v>15</v>
      </c>
      <c r="D92">
        <v>1</v>
      </c>
      <c r="E92">
        <v>4</v>
      </c>
      <c r="F92">
        <v>3</v>
      </c>
      <c r="G92">
        <v>15</v>
      </c>
      <c r="H92">
        <v>9</v>
      </c>
      <c r="I92">
        <v>0.75</v>
      </c>
      <c r="J92">
        <v>0.6</v>
      </c>
      <c r="K92">
        <v>1</v>
      </c>
      <c r="L92">
        <v>1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1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s="86">
        <f>AVERAGEIFS($C$2:C92, $B$2:B92, B92)</f>
        <v>21</v>
      </c>
      <c r="AH92" s="86">
        <f>AVERAGEIFS($I$2:I92, $B$2:B92, B92)</f>
        <v>0.35285714285714287</v>
      </c>
      <c r="AI92" s="86">
        <f>AVERAGEIFS($J$2:J92, $B$2:B92, B92)</f>
        <v>0.41000000000000003</v>
      </c>
      <c r="AJ92" s="86">
        <f>AVERAGEIFS($D$2:D92, $B$2:B92, B92)</f>
        <v>0.2857142857142857</v>
      </c>
    </row>
    <row r="93" spans="1:36" x14ac:dyDescent="0.25">
      <c r="A93" s="85">
        <v>46056</v>
      </c>
      <c r="B93" t="s">
        <v>54</v>
      </c>
      <c r="C93">
        <v>14</v>
      </c>
      <c r="D93">
        <v>1</v>
      </c>
      <c r="E93">
        <v>4</v>
      </c>
      <c r="F93">
        <v>3</v>
      </c>
      <c r="G93">
        <v>15</v>
      </c>
      <c r="H93">
        <v>9</v>
      </c>
      <c r="I93">
        <v>0.75</v>
      </c>
      <c r="J93">
        <v>0.6</v>
      </c>
      <c r="K93">
        <v>1</v>
      </c>
      <c r="L93">
        <v>1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1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s="86">
        <f>AVERAGEIFS($C$2:C93, $B$2:B93, B93)</f>
        <v>24.625</v>
      </c>
      <c r="AH93" s="86">
        <f>AVERAGEIFS($I$2:I93, $B$2:B93, B93)</f>
        <v>0.52124999999999999</v>
      </c>
      <c r="AI93" s="86">
        <f>AVERAGEIFS($J$2:J93, $B$2:B93, B93)</f>
        <v>0.50624999999999998</v>
      </c>
      <c r="AJ93" s="86">
        <f>AVERAGEIFS($D$2:D93, $B$2:B93, B93)</f>
        <v>0.625</v>
      </c>
    </row>
    <row r="94" spans="1:36" x14ac:dyDescent="0.25">
      <c r="A94" s="85">
        <v>46056</v>
      </c>
      <c r="B94" t="s">
        <v>38</v>
      </c>
      <c r="C94">
        <v>3</v>
      </c>
      <c r="D94">
        <v>1</v>
      </c>
      <c r="E94">
        <v>4</v>
      </c>
      <c r="F94">
        <v>3</v>
      </c>
      <c r="G94">
        <v>15</v>
      </c>
      <c r="H94">
        <v>9</v>
      </c>
      <c r="I94">
        <v>0.75</v>
      </c>
      <c r="J94">
        <v>0.6</v>
      </c>
      <c r="K94">
        <v>1</v>
      </c>
      <c r="L94">
        <v>1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1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 s="86">
        <f>AVERAGEIFS($C$2:C94, $B$2:B94, B94)</f>
        <v>2.5</v>
      </c>
      <c r="AH94" s="86">
        <f>AVERAGEIFS($I$2:I94, $B$2:B94, B94)</f>
        <v>0.375</v>
      </c>
      <c r="AI94" s="86">
        <f>AVERAGEIFS($J$2:J94, $B$2:B94, B94)</f>
        <v>0.39</v>
      </c>
      <c r="AJ94" s="86">
        <f>AVERAGEIFS($D$2:D94, $B$2:B94, B94)</f>
        <v>0.5</v>
      </c>
    </row>
    <row r="95" spans="1:36" x14ac:dyDescent="0.25">
      <c r="A95" s="85">
        <v>46056</v>
      </c>
      <c r="B95" t="s">
        <v>2</v>
      </c>
      <c r="C95">
        <v>25</v>
      </c>
      <c r="D95">
        <v>0</v>
      </c>
      <c r="E95">
        <v>4</v>
      </c>
      <c r="F95">
        <v>1</v>
      </c>
      <c r="G95">
        <v>15</v>
      </c>
      <c r="H95">
        <v>6</v>
      </c>
      <c r="I95">
        <v>0.25</v>
      </c>
      <c r="J95">
        <v>0.4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1</v>
      </c>
      <c r="AC95">
        <v>0</v>
      </c>
      <c r="AD95">
        <v>0</v>
      </c>
      <c r="AE95">
        <v>0</v>
      </c>
      <c r="AF95">
        <v>0</v>
      </c>
      <c r="AG95" s="86">
        <f>AVERAGEIFS($C$2:C95, $B$2:B95, B95)</f>
        <v>22.25</v>
      </c>
      <c r="AH95" s="86">
        <f>AVERAGEIFS($I$2:I95, $B$2:B95, B95)</f>
        <v>0.39500000000000002</v>
      </c>
      <c r="AI95" s="86">
        <f>AVERAGEIFS($J$2:J95, $B$2:B95, B95)</f>
        <v>0.51249999999999996</v>
      </c>
      <c r="AJ95" s="86">
        <f>AVERAGEIFS($D$2:D95, $B$2:B95, B95)</f>
        <v>0.25</v>
      </c>
    </row>
    <row r="96" spans="1:36" x14ac:dyDescent="0.25">
      <c r="A96" s="85">
        <v>46056</v>
      </c>
      <c r="B96" t="s">
        <v>46</v>
      </c>
      <c r="C96">
        <v>18</v>
      </c>
      <c r="D96">
        <v>0</v>
      </c>
      <c r="E96">
        <v>4</v>
      </c>
      <c r="F96">
        <v>1</v>
      </c>
      <c r="G96">
        <v>15</v>
      </c>
      <c r="H96">
        <v>6</v>
      </c>
      <c r="I96">
        <v>0.25</v>
      </c>
      <c r="J96">
        <v>0.4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1</v>
      </c>
      <c r="AC96">
        <v>0</v>
      </c>
      <c r="AD96">
        <v>0</v>
      </c>
      <c r="AE96">
        <v>0</v>
      </c>
      <c r="AF96">
        <v>0</v>
      </c>
      <c r="AG96" s="86">
        <f>AVERAGEIFS($C$2:C96, $B$2:B96, B96)</f>
        <v>20</v>
      </c>
      <c r="AH96" s="86">
        <f>AVERAGEIFS($I$2:I96, $B$2:B96, B96)</f>
        <v>0.32500000000000001</v>
      </c>
      <c r="AI96" s="86">
        <f>AVERAGEIFS($J$2:J96, $B$2:B96, B96)</f>
        <v>0.41249999999999998</v>
      </c>
      <c r="AJ96" s="86">
        <f>AVERAGEIFS($D$2:D96, $B$2:B96, B96)</f>
        <v>0</v>
      </c>
    </row>
    <row r="97" spans="1:36" x14ac:dyDescent="0.25">
      <c r="A97" s="85">
        <v>46056</v>
      </c>
      <c r="B97" t="s">
        <v>53</v>
      </c>
      <c r="C97">
        <v>18</v>
      </c>
      <c r="D97">
        <v>0</v>
      </c>
      <c r="E97">
        <v>4</v>
      </c>
      <c r="F97">
        <v>1</v>
      </c>
      <c r="G97">
        <v>15</v>
      </c>
      <c r="H97">
        <v>6</v>
      </c>
      <c r="I97">
        <v>0.25</v>
      </c>
      <c r="J97">
        <v>0.4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1</v>
      </c>
      <c r="AC97">
        <v>0</v>
      </c>
      <c r="AD97">
        <v>0</v>
      </c>
      <c r="AE97">
        <v>0</v>
      </c>
      <c r="AF97">
        <v>0</v>
      </c>
      <c r="AG97" s="86">
        <f>AVERAGEIFS($C$2:C97, $B$2:B97, B97)</f>
        <v>22.2</v>
      </c>
      <c r="AH97" s="86">
        <f>AVERAGEIFS($I$2:I97, $B$2:B97, B97)</f>
        <v>0.61</v>
      </c>
      <c r="AI97" s="86">
        <f>AVERAGEIFS($J$2:J97, $B$2:B97, B97)</f>
        <v>0.51600000000000001</v>
      </c>
      <c r="AJ97" s="86">
        <f>AVERAGEIFS($D$2:D97, $B$2:B97, B97)</f>
        <v>0.4</v>
      </c>
    </row>
    <row r="98" spans="1:36" x14ac:dyDescent="0.25">
      <c r="A98" s="85">
        <v>46056</v>
      </c>
      <c r="B98" t="s">
        <v>14</v>
      </c>
      <c r="C98">
        <v>13</v>
      </c>
      <c r="D98">
        <v>0</v>
      </c>
      <c r="E98">
        <v>4</v>
      </c>
      <c r="F98">
        <v>1</v>
      </c>
      <c r="G98">
        <v>15</v>
      </c>
      <c r="H98">
        <v>6</v>
      </c>
      <c r="I98">
        <v>0.25</v>
      </c>
      <c r="J98">
        <v>0.4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1</v>
      </c>
      <c r="AC98">
        <v>0</v>
      </c>
      <c r="AD98">
        <v>0</v>
      </c>
      <c r="AE98">
        <v>0</v>
      </c>
      <c r="AF98">
        <v>0</v>
      </c>
      <c r="AG98" s="86">
        <f>AVERAGEIFS($C$2:C98, $B$2:B98, B98)</f>
        <v>17.666666666666668</v>
      </c>
      <c r="AH98" s="86">
        <f>AVERAGEIFS($I$2:I98, $B$2:B98, B98)</f>
        <v>0.36166666666666664</v>
      </c>
      <c r="AI98" s="86">
        <f>AVERAGEIFS($J$2:J98, $B$2:B98, B98)</f>
        <v>0.44999999999999996</v>
      </c>
      <c r="AJ98" s="86">
        <f>AVERAGEIFS($D$2:D98, $B$2:B98, B98)</f>
        <v>0.33333333333333331</v>
      </c>
    </row>
    <row r="99" spans="1:36" x14ac:dyDescent="0.25">
      <c r="A99" s="85">
        <v>46056</v>
      </c>
      <c r="B99" t="s">
        <v>52</v>
      </c>
      <c r="C99">
        <v>12</v>
      </c>
      <c r="D99">
        <v>0</v>
      </c>
      <c r="E99">
        <v>4</v>
      </c>
      <c r="F99">
        <v>1</v>
      </c>
      <c r="G99">
        <v>15</v>
      </c>
      <c r="H99">
        <v>6</v>
      </c>
      <c r="I99">
        <v>0.25</v>
      </c>
      <c r="J99">
        <v>0.4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1</v>
      </c>
      <c r="AC99">
        <v>0</v>
      </c>
      <c r="AD99">
        <v>0</v>
      </c>
      <c r="AE99">
        <v>0</v>
      </c>
      <c r="AF99">
        <v>0</v>
      </c>
      <c r="AG99" s="86">
        <f>AVERAGEIFS($C$2:C99, $B$2:B99, B99)</f>
        <v>12</v>
      </c>
      <c r="AH99" s="86">
        <f>AVERAGEIFS($I$2:I99, $B$2:B99, B99)</f>
        <v>0.25</v>
      </c>
      <c r="AI99" s="86">
        <f>AVERAGEIFS($J$2:J99, $B$2:B99, B99)</f>
        <v>0.4</v>
      </c>
      <c r="AJ99" s="86">
        <f>AVERAGEIFS($D$2:D99, $B$2:B99, B99)</f>
        <v>0</v>
      </c>
    </row>
    <row r="100" spans="1:36" x14ac:dyDescent="0.25">
      <c r="A100" s="85">
        <v>46056</v>
      </c>
      <c r="B100" t="s">
        <v>19</v>
      </c>
      <c r="C100">
        <v>9</v>
      </c>
      <c r="D100">
        <v>0</v>
      </c>
      <c r="E100">
        <v>4</v>
      </c>
      <c r="F100">
        <v>1</v>
      </c>
      <c r="G100">
        <v>15</v>
      </c>
      <c r="H100">
        <v>6</v>
      </c>
      <c r="I100">
        <v>0.25</v>
      </c>
      <c r="J100">
        <v>0.4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1</v>
      </c>
      <c r="AC100">
        <v>0</v>
      </c>
      <c r="AD100">
        <v>0</v>
      </c>
      <c r="AE100">
        <v>0</v>
      </c>
      <c r="AF100">
        <v>0</v>
      </c>
      <c r="AG100" s="86">
        <f>AVERAGEIFS($C$2:C100, $B$2:B100, B100)</f>
        <v>9.1666666666666661</v>
      </c>
      <c r="AH100" s="86">
        <f>AVERAGEIFS($I$2:I100, $B$2:B100, B100)</f>
        <v>0.63</v>
      </c>
      <c r="AI100" s="86">
        <f>AVERAGEIFS($J$2:J100, $B$2:B100, B100)</f>
        <v>0.58833333333333326</v>
      </c>
      <c r="AJ100" s="86">
        <f>AVERAGEIFS($D$2:D100, $B$2:B100, B100)</f>
        <v>0.66666666666666663</v>
      </c>
    </row>
    <row r="101" spans="1:36" x14ac:dyDescent="0.25">
      <c r="A101" s="85">
        <v>46057</v>
      </c>
      <c r="B101" t="s">
        <v>46</v>
      </c>
      <c r="C101">
        <v>22</v>
      </c>
      <c r="D101">
        <v>1</v>
      </c>
      <c r="E101">
        <v>5</v>
      </c>
      <c r="F101">
        <v>3</v>
      </c>
      <c r="G101">
        <v>21</v>
      </c>
      <c r="H101">
        <v>11</v>
      </c>
      <c r="I101">
        <v>0.6</v>
      </c>
      <c r="J101">
        <v>0.52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1</v>
      </c>
      <c r="Y101">
        <v>0</v>
      </c>
      <c r="Z101">
        <v>1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 s="86">
        <f>AVERAGEIFS($C$2:C101, $B$2:B101, B101)</f>
        <v>20.399999999999999</v>
      </c>
      <c r="AH101" s="86">
        <f>AVERAGEIFS($I$2:I101, $B$2:B101, B101)</f>
        <v>0.38</v>
      </c>
      <c r="AI101" s="86">
        <f>AVERAGEIFS($J$2:J101, $B$2:B101, B101)</f>
        <v>0.434</v>
      </c>
      <c r="AJ101" s="86">
        <f>AVERAGEIFS($D$2:D101, $B$2:B101, B101)</f>
        <v>0.2</v>
      </c>
    </row>
    <row r="102" spans="1:36" x14ac:dyDescent="0.25">
      <c r="A102" s="85">
        <v>46057</v>
      </c>
      <c r="B102" t="s">
        <v>94</v>
      </c>
      <c r="C102">
        <v>18</v>
      </c>
      <c r="D102">
        <v>1</v>
      </c>
      <c r="E102">
        <v>5</v>
      </c>
      <c r="F102">
        <v>3</v>
      </c>
      <c r="G102">
        <v>21</v>
      </c>
      <c r="H102">
        <v>11</v>
      </c>
      <c r="I102">
        <v>0.6</v>
      </c>
      <c r="J102">
        <v>0.52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1</v>
      </c>
      <c r="Y102">
        <v>0</v>
      </c>
      <c r="Z102">
        <v>1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 s="86">
        <f>AVERAGEIFS($C$2:C102, $B$2:B102, B102)</f>
        <v>18</v>
      </c>
      <c r="AH102" s="86">
        <f>AVERAGEIFS($I$2:I102, $B$2:B102, B102)</f>
        <v>0.6</v>
      </c>
      <c r="AI102" s="86">
        <f>AVERAGEIFS($J$2:J102, $B$2:B102, B102)</f>
        <v>0.52</v>
      </c>
      <c r="AJ102" s="86">
        <f>AVERAGEIFS($D$2:D102, $B$2:B102, B102)</f>
        <v>1</v>
      </c>
    </row>
    <row r="103" spans="1:36" x14ac:dyDescent="0.25">
      <c r="A103" s="85">
        <v>46057</v>
      </c>
      <c r="B103" t="s">
        <v>18</v>
      </c>
      <c r="C103">
        <v>14</v>
      </c>
      <c r="D103">
        <v>1</v>
      </c>
      <c r="E103">
        <v>5</v>
      </c>
      <c r="F103">
        <v>3</v>
      </c>
      <c r="G103">
        <v>21</v>
      </c>
      <c r="H103">
        <v>11</v>
      </c>
      <c r="I103">
        <v>0.6</v>
      </c>
      <c r="J103">
        <v>0.52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1</v>
      </c>
      <c r="Y103">
        <v>0</v>
      </c>
      <c r="Z103">
        <v>1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 s="86">
        <f>AVERAGEIFS($C$2:C103, $B$2:B103, B103)</f>
        <v>19</v>
      </c>
      <c r="AH103" s="86">
        <f>AVERAGEIFS($I$2:I103, $B$2:B103, B103)</f>
        <v>0.8</v>
      </c>
      <c r="AI103" s="86">
        <f>AVERAGEIFS($J$2:J103, $B$2:B103, B103)</f>
        <v>0.60499999999999998</v>
      </c>
      <c r="AJ103" s="86">
        <f>AVERAGEIFS($D$2:D103, $B$2:B103, B103)</f>
        <v>1</v>
      </c>
    </row>
    <row r="104" spans="1:36" x14ac:dyDescent="0.25">
      <c r="A104" s="85">
        <v>46057</v>
      </c>
      <c r="B104" t="s">
        <v>14</v>
      </c>
      <c r="C104">
        <v>13</v>
      </c>
      <c r="D104">
        <v>1</v>
      </c>
      <c r="E104">
        <v>5</v>
      </c>
      <c r="F104">
        <v>3</v>
      </c>
      <c r="G104">
        <v>21</v>
      </c>
      <c r="H104">
        <v>11</v>
      </c>
      <c r="I104">
        <v>0.6</v>
      </c>
      <c r="J104">
        <v>0.52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1</v>
      </c>
      <c r="Y104">
        <v>0</v>
      </c>
      <c r="Z104">
        <v>1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 s="86">
        <f>AVERAGEIFS($C$2:C104, $B$2:B104, B104)</f>
        <v>17</v>
      </c>
      <c r="AH104" s="86">
        <f>AVERAGEIFS($I$2:I104, $B$2:B104, B104)</f>
        <v>0.39571428571428574</v>
      </c>
      <c r="AI104" s="86">
        <f>AVERAGEIFS($J$2:J104, $B$2:B104, B104)</f>
        <v>0.45999999999999996</v>
      </c>
      <c r="AJ104" s="86">
        <f>AVERAGEIFS($D$2:D104, $B$2:B104, B104)</f>
        <v>0.42857142857142855</v>
      </c>
    </row>
    <row r="105" spans="1:36" x14ac:dyDescent="0.25">
      <c r="A105" s="85">
        <v>46057</v>
      </c>
      <c r="B105" t="s">
        <v>53</v>
      </c>
      <c r="C105">
        <v>12</v>
      </c>
      <c r="D105">
        <v>1</v>
      </c>
      <c r="E105">
        <v>5</v>
      </c>
      <c r="F105">
        <v>3</v>
      </c>
      <c r="G105">
        <v>21</v>
      </c>
      <c r="H105">
        <v>11</v>
      </c>
      <c r="I105">
        <v>0.6</v>
      </c>
      <c r="J105">
        <v>0.52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1</v>
      </c>
      <c r="Y105">
        <v>0</v>
      </c>
      <c r="Z105">
        <v>1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 s="86">
        <f>AVERAGEIFS($C$2:C105, $B$2:B105, B105)</f>
        <v>20.5</v>
      </c>
      <c r="AH105" s="86">
        <f>AVERAGEIFS($I$2:I105, $B$2:B105, B105)</f>
        <v>0.60833333333333328</v>
      </c>
      <c r="AI105" s="86">
        <f>AVERAGEIFS($J$2:J105, $B$2:B105, B105)</f>
        <v>0.51666666666666672</v>
      </c>
      <c r="AJ105" s="86">
        <f>AVERAGEIFS($D$2:D105, $B$2:B105, B105)</f>
        <v>0.5</v>
      </c>
    </row>
    <row r="106" spans="1:36" x14ac:dyDescent="0.25">
      <c r="A106" s="85">
        <v>46057</v>
      </c>
      <c r="B106" t="s">
        <v>54</v>
      </c>
      <c r="C106">
        <v>25</v>
      </c>
      <c r="D106">
        <v>0</v>
      </c>
      <c r="E106">
        <v>5</v>
      </c>
      <c r="F106">
        <v>2</v>
      </c>
      <c r="G106">
        <v>21</v>
      </c>
      <c r="H106">
        <v>10</v>
      </c>
      <c r="I106">
        <v>0.4</v>
      </c>
      <c r="J106">
        <v>0.48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1</v>
      </c>
      <c r="AE106">
        <v>0</v>
      </c>
      <c r="AF106">
        <v>1</v>
      </c>
      <c r="AG106" s="86">
        <f>AVERAGEIFS($C$2:C106, $B$2:B106, B106)</f>
        <v>24.666666666666668</v>
      </c>
      <c r="AH106" s="86">
        <f>AVERAGEIFS($I$2:I106, $B$2:B106, B106)</f>
        <v>0.50777777777777777</v>
      </c>
      <c r="AI106" s="86">
        <f>AVERAGEIFS($J$2:J106, $B$2:B106, B106)</f>
        <v>0.5033333333333333</v>
      </c>
      <c r="AJ106" s="86">
        <f>AVERAGEIFS($D$2:D106, $B$2:B106, B106)</f>
        <v>0.55555555555555558</v>
      </c>
    </row>
    <row r="107" spans="1:36" x14ac:dyDescent="0.25">
      <c r="A107" s="85">
        <v>46057</v>
      </c>
      <c r="B107" t="s">
        <v>17</v>
      </c>
      <c r="C107">
        <v>20</v>
      </c>
      <c r="D107">
        <v>0</v>
      </c>
      <c r="E107">
        <v>5</v>
      </c>
      <c r="F107">
        <v>2</v>
      </c>
      <c r="G107">
        <v>21</v>
      </c>
      <c r="H107">
        <v>10</v>
      </c>
      <c r="I107">
        <v>0.4</v>
      </c>
      <c r="J107">
        <v>0.48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1</v>
      </c>
      <c r="AE107">
        <v>0</v>
      </c>
      <c r="AF107">
        <v>1</v>
      </c>
      <c r="AG107" s="86">
        <f>AVERAGEIFS($C$2:C107, $B$2:B107, B107)</f>
        <v>20.875</v>
      </c>
      <c r="AH107" s="86">
        <f>AVERAGEIFS($I$2:I107, $B$2:B107, B107)</f>
        <v>0.35875000000000001</v>
      </c>
      <c r="AI107" s="86">
        <f>AVERAGEIFS($J$2:J107, $B$2:B107, B107)</f>
        <v>0.41875000000000001</v>
      </c>
      <c r="AJ107" s="86">
        <f>AVERAGEIFS($D$2:D107, $B$2:B107, B107)</f>
        <v>0.25</v>
      </c>
    </row>
    <row r="108" spans="1:36" x14ac:dyDescent="0.25">
      <c r="A108" s="85">
        <v>46057</v>
      </c>
      <c r="B108" t="s">
        <v>50</v>
      </c>
      <c r="C108">
        <v>13</v>
      </c>
      <c r="D108">
        <v>0</v>
      </c>
      <c r="E108">
        <v>5</v>
      </c>
      <c r="F108">
        <v>2</v>
      </c>
      <c r="G108">
        <v>21</v>
      </c>
      <c r="H108">
        <v>10</v>
      </c>
      <c r="I108">
        <v>0.4</v>
      </c>
      <c r="J108">
        <v>0.48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1</v>
      </c>
      <c r="AE108">
        <v>0</v>
      </c>
      <c r="AF108">
        <v>1</v>
      </c>
      <c r="AG108" s="86">
        <f>AVERAGEIFS($C$2:C108, $B$2:B108, B108)</f>
        <v>18.888888888888889</v>
      </c>
      <c r="AH108" s="86">
        <f>AVERAGEIFS($I$2:I108, $B$2:B108, B108)</f>
        <v>0.54777777777777781</v>
      </c>
      <c r="AI108" s="86">
        <f>AVERAGEIFS($J$2:J108, $B$2:B108, B108)</f>
        <v>0.55222222222222206</v>
      </c>
      <c r="AJ108" s="86">
        <f>AVERAGEIFS($D$2:D108, $B$2:B108, B108)</f>
        <v>0.55555555555555558</v>
      </c>
    </row>
    <row r="109" spans="1:36" x14ac:dyDescent="0.25">
      <c r="A109" s="85">
        <v>46057</v>
      </c>
      <c r="B109" t="s">
        <v>19</v>
      </c>
      <c r="C109">
        <v>10</v>
      </c>
      <c r="D109">
        <v>0</v>
      </c>
      <c r="E109">
        <v>5</v>
      </c>
      <c r="F109">
        <v>2</v>
      </c>
      <c r="G109">
        <v>21</v>
      </c>
      <c r="H109">
        <v>10</v>
      </c>
      <c r="I109">
        <v>0.4</v>
      </c>
      <c r="J109">
        <v>0.48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1</v>
      </c>
      <c r="AE109">
        <v>0</v>
      </c>
      <c r="AF109">
        <v>1</v>
      </c>
      <c r="AG109" s="86">
        <f>AVERAGEIFS($C$2:C109, $B$2:B109, B109)</f>
        <v>9.2857142857142865</v>
      </c>
      <c r="AH109" s="86">
        <f>AVERAGEIFS($I$2:I109, $B$2:B109, B109)</f>
        <v>0.5971428571428572</v>
      </c>
      <c r="AI109" s="86">
        <f>AVERAGEIFS($J$2:J109, $B$2:B109, B109)</f>
        <v>0.57285714285714284</v>
      </c>
      <c r="AJ109" s="86">
        <f>AVERAGEIFS($D$2:D109, $B$2:B109, B109)</f>
        <v>0.5714285714285714</v>
      </c>
    </row>
    <row r="110" spans="1:36" x14ac:dyDescent="0.25">
      <c r="A110" s="85">
        <v>46057</v>
      </c>
      <c r="B110" t="s">
        <v>37</v>
      </c>
      <c r="C110">
        <v>9</v>
      </c>
      <c r="D110">
        <v>0</v>
      </c>
      <c r="E110">
        <v>5</v>
      </c>
      <c r="F110">
        <v>2</v>
      </c>
      <c r="G110">
        <v>21</v>
      </c>
      <c r="H110">
        <v>10</v>
      </c>
      <c r="I110">
        <v>0.4</v>
      </c>
      <c r="J110">
        <v>0.48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1</v>
      </c>
      <c r="AE110">
        <v>0</v>
      </c>
      <c r="AF110">
        <v>1</v>
      </c>
      <c r="AG110" s="86">
        <f>AVERAGEIFS($C$2:C110, $B$2:B110, B110)</f>
        <v>13.333333333333334</v>
      </c>
      <c r="AH110" s="86">
        <f>AVERAGEIFS($I$2:I110, $B$2:B110, B110)</f>
        <v>0.71666666666666667</v>
      </c>
      <c r="AI110" s="86">
        <f>AVERAGEIFS($J$2:J110, $B$2:B110, B110)</f>
        <v>0.57333333333333336</v>
      </c>
      <c r="AJ110" s="86">
        <f>AVERAGEIFS($D$2:D110, $B$2:B110, B110)</f>
        <v>0.66666666666666663</v>
      </c>
    </row>
    <row r="111" spans="1:36" x14ac:dyDescent="0.25">
      <c r="A111" s="85">
        <v>46058</v>
      </c>
      <c r="B111" t="s">
        <v>6</v>
      </c>
      <c r="C111">
        <v>25</v>
      </c>
      <c r="D111">
        <v>1</v>
      </c>
      <c r="E111">
        <v>3</v>
      </c>
      <c r="F111">
        <v>3</v>
      </c>
      <c r="G111">
        <v>14</v>
      </c>
      <c r="H111">
        <v>8</v>
      </c>
      <c r="I111">
        <v>1</v>
      </c>
      <c r="J111">
        <v>0.56999999999999995</v>
      </c>
      <c r="K111">
        <v>1</v>
      </c>
      <c r="L111">
        <v>0</v>
      </c>
      <c r="M111">
        <v>1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1</v>
      </c>
      <c r="AF111">
        <v>0</v>
      </c>
      <c r="AG111" s="86">
        <f>AVERAGEIFS($C$2:C111, $B$2:B111, B111)</f>
        <v>22</v>
      </c>
      <c r="AH111" s="86">
        <f>AVERAGEIFS($I$2:I111, $B$2:B111, B111)</f>
        <v>0.66857142857142848</v>
      </c>
      <c r="AI111" s="86">
        <f>AVERAGEIFS($J$2:J111, $B$2:B111, B111)</f>
        <v>0.55571428571428572</v>
      </c>
      <c r="AJ111" s="86">
        <f>AVERAGEIFS($D$2:D111, $B$2:B111, B111)</f>
        <v>0.7142857142857143</v>
      </c>
    </row>
    <row r="112" spans="1:36" x14ac:dyDescent="0.25">
      <c r="A112" s="85">
        <v>46058</v>
      </c>
      <c r="B112" t="s">
        <v>54</v>
      </c>
      <c r="C112">
        <v>17</v>
      </c>
      <c r="D112">
        <v>1</v>
      </c>
      <c r="E112">
        <v>3</v>
      </c>
      <c r="F112">
        <v>3</v>
      </c>
      <c r="G112">
        <v>14</v>
      </c>
      <c r="H112">
        <v>8</v>
      </c>
      <c r="I112">
        <v>1</v>
      </c>
      <c r="J112">
        <v>0.56999999999999995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1</v>
      </c>
      <c r="AF112">
        <v>0</v>
      </c>
      <c r="AG112" s="86">
        <f>AVERAGEIFS($C$2:C112, $B$2:B112, B112)</f>
        <v>23.9</v>
      </c>
      <c r="AH112" s="86">
        <f>AVERAGEIFS($I$2:I112, $B$2:B112, B112)</f>
        <v>0.55700000000000005</v>
      </c>
      <c r="AI112" s="86">
        <f>AVERAGEIFS($J$2:J112, $B$2:B112, B112)</f>
        <v>0.51</v>
      </c>
      <c r="AJ112" s="86">
        <f>AVERAGEIFS($D$2:D112, $B$2:B112, B112)</f>
        <v>0.6</v>
      </c>
    </row>
    <row r="113" spans="1:36" x14ac:dyDescent="0.25">
      <c r="A113" s="85">
        <v>46058</v>
      </c>
      <c r="B113" t="s">
        <v>46</v>
      </c>
      <c r="C113">
        <v>16</v>
      </c>
      <c r="D113">
        <v>1</v>
      </c>
      <c r="E113">
        <v>3</v>
      </c>
      <c r="F113">
        <v>3</v>
      </c>
      <c r="G113">
        <v>14</v>
      </c>
      <c r="H113">
        <v>8</v>
      </c>
      <c r="I113">
        <v>1</v>
      </c>
      <c r="J113">
        <v>0.56999999999999995</v>
      </c>
      <c r="K113">
        <v>1</v>
      </c>
      <c r="L113">
        <v>0</v>
      </c>
      <c r="M113">
        <v>1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1</v>
      </c>
      <c r="AF113">
        <v>0</v>
      </c>
      <c r="AG113" s="86">
        <f>AVERAGEIFS($C$2:C113, $B$2:B113, B113)</f>
        <v>19.666666666666668</v>
      </c>
      <c r="AH113" s="86">
        <f>AVERAGEIFS($I$2:I113, $B$2:B113, B113)</f>
        <v>0.48333333333333334</v>
      </c>
      <c r="AI113" s="86">
        <f>AVERAGEIFS($J$2:J113, $B$2:B113, B113)</f>
        <v>0.45666666666666661</v>
      </c>
      <c r="AJ113" s="86">
        <f>AVERAGEIFS($D$2:D113, $B$2:B113, B113)</f>
        <v>0.33333333333333331</v>
      </c>
    </row>
    <row r="114" spans="1:36" x14ac:dyDescent="0.25">
      <c r="A114" s="85">
        <v>46058</v>
      </c>
      <c r="B114" t="s">
        <v>17</v>
      </c>
      <c r="C114">
        <v>13</v>
      </c>
      <c r="D114">
        <v>1</v>
      </c>
      <c r="E114">
        <v>3</v>
      </c>
      <c r="F114">
        <v>3</v>
      </c>
      <c r="G114">
        <v>14</v>
      </c>
      <c r="H114">
        <v>8</v>
      </c>
      <c r="I114">
        <v>1</v>
      </c>
      <c r="J114">
        <v>0.56999999999999995</v>
      </c>
      <c r="K114">
        <v>1</v>
      </c>
      <c r="L114">
        <v>0</v>
      </c>
      <c r="M114">
        <v>1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1</v>
      </c>
      <c r="AF114">
        <v>0</v>
      </c>
      <c r="AG114" s="86">
        <f>AVERAGEIFS($C$2:C114, $B$2:B114, B114)</f>
        <v>20</v>
      </c>
      <c r="AH114" s="86">
        <f>AVERAGEIFS($I$2:I114, $B$2:B114, B114)</f>
        <v>0.43</v>
      </c>
      <c r="AI114" s="86">
        <f>AVERAGEIFS($J$2:J114, $B$2:B114, B114)</f>
        <v>0.43555555555555553</v>
      </c>
      <c r="AJ114" s="86">
        <f>AVERAGEIFS($D$2:D114, $B$2:B114, B114)</f>
        <v>0.33333333333333331</v>
      </c>
    </row>
    <row r="115" spans="1:36" x14ac:dyDescent="0.25">
      <c r="A115" s="85">
        <v>46058</v>
      </c>
      <c r="B115" t="s">
        <v>35</v>
      </c>
      <c r="C115">
        <v>8</v>
      </c>
      <c r="D115">
        <v>1</v>
      </c>
      <c r="E115">
        <v>3</v>
      </c>
      <c r="F115">
        <v>3</v>
      </c>
      <c r="G115">
        <v>14</v>
      </c>
      <c r="H115">
        <v>8</v>
      </c>
      <c r="I115">
        <v>1</v>
      </c>
      <c r="J115">
        <v>0.56999999999999995</v>
      </c>
      <c r="K115">
        <v>1</v>
      </c>
      <c r="L115">
        <v>0</v>
      </c>
      <c r="M115">
        <v>1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1</v>
      </c>
      <c r="AF115">
        <v>0</v>
      </c>
      <c r="AG115" s="86">
        <f>AVERAGEIFS($C$2:C115, $B$2:B115, B115)</f>
        <v>11.5</v>
      </c>
      <c r="AH115" s="86">
        <f>AVERAGEIFS($I$2:I115, $B$2:B115, B115)</f>
        <v>0.51</v>
      </c>
      <c r="AI115" s="86">
        <f>AVERAGEIFS($J$2:J115, $B$2:B115, B115)</f>
        <v>0.54</v>
      </c>
      <c r="AJ115" s="86">
        <f>AVERAGEIFS($D$2:D115, $B$2:B115, B115)</f>
        <v>0.5</v>
      </c>
    </row>
    <row r="116" spans="1:36" x14ac:dyDescent="0.25">
      <c r="A116" s="85">
        <v>46058</v>
      </c>
      <c r="B116" t="s">
        <v>2</v>
      </c>
      <c r="C116">
        <v>19</v>
      </c>
      <c r="D116">
        <v>0</v>
      </c>
      <c r="E116">
        <v>3</v>
      </c>
      <c r="F116">
        <v>0</v>
      </c>
      <c r="G116">
        <v>14</v>
      </c>
      <c r="H116">
        <v>6</v>
      </c>
      <c r="I116">
        <v>0</v>
      </c>
      <c r="J116">
        <v>0.43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 s="86">
        <f>AVERAGEIFS($C$2:C116, $B$2:B116, B116)</f>
        <v>21.6</v>
      </c>
      <c r="AH116" s="86">
        <f>AVERAGEIFS($I$2:I116, $B$2:B116, B116)</f>
        <v>0.316</v>
      </c>
      <c r="AI116" s="86">
        <f>AVERAGEIFS($J$2:J116, $B$2:B116, B116)</f>
        <v>0.496</v>
      </c>
      <c r="AJ116" s="86">
        <f>AVERAGEIFS($D$2:D116, $B$2:B116, B116)</f>
        <v>0.2</v>
      </c>
    </row>
    <row r="117" spans="1:36" x14ac:dyDescent="0.25">
      <c r="A117" s="85">
        <v>46058</v>
      </c>
      <c r="B117" t="s">
        <v>44</v>
      </c>
      <c r="C117">
        <v>17</v>
      </c>
      <c r="D117">
        <v>0</v>
      </c>
      <c r="E117">
        <v>3</v>
      </c>
      <c r="F117">
        <v>0</v>
      </c>
      <c r="G117">
        <v>14</v>
      </c>
      <c r="H117">
        <v>6</v>
      </c>
      <c r="I117">
        <v>0</v>
      </c>
      <c r="J117">
        <v>0.43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 s="86">
        <f>AVERAGEIFS($C$2:C117, $B$2:B117, B117)</f>
        <v>17</v>
      </c>
      <c r="AH117" s="86">
        <f>AVERAGEIFS($I$2:I117, $B$2:B117, B117)</f>
        <v>0</v>
      </c>
      <c r="AI117" s="86">
        <f>AVERAGEIFS($J$2:J117, $B$2:B117, B117)</f>
        <v>0.43</v>
      </c>
      <c r="AJ117" s="86">
        <f>AVERAGEIFS($D$2:D117, $B$2:B117, B117)</f>
        <v>0</v>
      </c>
    </row>
    <row r="118" spans="1:36" x14ac:dyDescent="0.25">
      <c r="A118" s="85">
        <v>46058</v>
      </c>
      <c r="B118" t="s">
        <v>5</v>
      </c>
      <c r="C118">
        <v>15</v>
      </c>
      <c r="D118">
        <v>0</v>
      </c>
      <c r="E118">
        <v>3</v>
      </c>
      <c r="F118">
        <v>0</v>
      </c>
      <c r="G118">
        <v>14</v>
      </c>
      <c r="H118">
        <v>6</v>
      </c>
      <c r="I118">
        <v>0</v>
      </c>
      <c r="J118">
        <v>0.43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 s="86">
        <f>AVERAGEIFS($C$2:C118, $B$2:B118, B118)</f>
        <v>18.666666666666668</v>
      </c>
      <c r="AH118" s="86">
        <f>AVERAGEIFS($I$2:I118, $B$2:B118, B118)</f>
        <v>0.56999999999999995</v>
      </c>
      <c r="AI118" s="86">
        <f>AVERAGEIFS($J$2:J118, $B$2:B118, B118)</f>
        <v>0.51166666666666683</v>
      </c>
      <c r="AJ118" s="86">
        <f>AVERAGEIFS($D$2:D118, $B$2:B118, B118)</f>
        <v>0.66666666666666663</v>
      </c>
    </row>
    <row r="119" spans="1:36" x14ac:dyDescent="0.25">
      <c r="A119" s="85">
        <v>46058</v>
      </c>
      <c r="B119" t="s">
        <v>19</v>
      </c>
      <c r="C119">
        <v>7</v>
      </c>
      <c r="D119">
        <v>0</v>
      </c>
      <c r="E119">
        <v>3</v>
      </c>
      <c r="F119">
        <v>0</v>
      </c>
      <c r="G119">
        <v>14</v>
      </c>
      <c r="H119">
        <v>6</v>
      </c>
      <c r="I119">
        <v>0</v>
      </c>
      <c r="J119">
        <v>0.43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 s="86">
        <f>AVERAGEIFS($C$2:C119, $B$2:B119, B119)</f>
        <v>9</v>
      </c>
      <c r="AH119" s="86">
        <f>AVERAGEIFS($I$2:I119, $B$2:B119, B119)</f>
        <v>0.52250000000000008</v>
      </c>
      <c r="AI119" s="86">
        <f>AVERAGEIFS($J$2:J119, $B$2:B119, B119)</f>
        <v>0.55499999999999994</v>
      </c>
      <c r="AJ119" s="86">
        <f>AVERAGEIFS($D$2:D119, $B$2:B119, B119)</f>
        <v>0.5</v>
      </c>
    </row>
    <row r="120" spans="1:36" x14ac:dyDescent="0.25">
      <c r="A120" s="85">
        <v>46058</v>
      </c>
      <c r="B120" t="s">
        <v>50</v>
      </c>
      <c r="C120">
        <v>7</v>
      </c>
      <c r="D120">
        <v>0</v>
      </c>
      <c r="E120">
        <v>3</v>
      </c>
      <c r="F120">
        <v>0</v>
      </c>
      <c r="G120">
        <v>14</v>
      </c>
      <c r="H120">
        <v>6</v>
      </c>
      <c r="I120">
        <v>0</v>
      </c>
      <c r="J120">
        <v>0.43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 s="86">
        <f>AVERAGEIFS($C$2:C120, $B$2:B120, B120)</f>
        <v>17.7</v>
      </c>
      <c r="AH120" s="86">
        <f>AVERAGEIFS($I$2:I120, $B$2:B120, B120)</f>
        <v>0.49300000000000005</v>
      </c>
      <c r="AI120" s="86">
        <f>AVERAGEIFS($J$2:J120, $B$2:B120, B120)</f>
        <v>0.53999999999999981</v>
      </c>
      <c r="AJ120" s="86">
        <f>AVERAGEIFS($D$2:D120, $B$2:B120, B120)</f>
        <v>0.5</v>
      </c>
    </row>
    <row r="121" spans="1:36" x14ac:dyDescent="0.25">
      <c r="A121" s="85">
        <v>46061</v>
      </c>
      <c r="B121" t="s">
        <v>42</v>
      </c>
      <c r="C121">
        <v>17</v>
      </c>
      <c r="D121">
        <v>1</v>
      </c>
      <c r="E121">
        <v>5</v>
      </c>
      <c r="F121">
        <v>3</v>
      </c>
      <c r="G121">
        <v>24</v>
      </c>
      <c r="H121">
        <v>13</v>
      </c>
      <c r="I121">
        <v>0.6</v>
      </c>
      <c r="J121">
        <v>0.54</v>
      </c>
      <c r="K121">
        <v>0</v>
      </c>
      <c r="L121">
        <v>1</v>
      </c>
      <c r="M121">
        <v>1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1</v>
      </c>
      <c r="AD121">
        <v>0</v>
      </c>
      <c r="AE121">
        <v>0</v>
      </c>
      <c r="AF121">
        <v>0</v>
      </c>
      <c r="AG121" s="86">
        <f>AVERAGEIFS($C$2:C121, $B$2:B121, B121)</f>
        <v>17</v>
      </c>
      <c r="AH121" s="86">
        <f>AVERAGEIFS($I$2:I121, $B$2:B121, B121)</f>
        <v>0.6</v>
      </c>
      <c r="AI121" s="86">
        <f>AVERAGEIFS($J$2:J121, $B$2:B121, B121)</f>
        <v>0.54</v>
      </c>
      <c r="AJ121" s="86">
        <f>AVERAGEIFS($D$2:D121, $B$2:B121, B121)</f>
        <v>1</v>
      </c>
    </row>
    <row r="122" spans="1:36" x14ac:dyDescent="0.25">
      <c r="A122" s="85">
        <v>46061</v>
      </c>
      <c r="B122" t="s">
        <v>40</v>
      </c>
      <c r="C122">
        <v>17</v>
      </c>
      <c r="D122">
        <v>1</v>
      </c>
      <c r="E122">
        <v>5</v>
      </c>
      <c r="F122">
        <v>3</v>
      </c>
      <c r="G122">
        <v>24</v>
      </c>
      <c r="H122">
        <v>13</v>
      </c>
      <c r="I122">
        <v>0.6</v>
      </c>
      <c r="J122">
        <v>0.54</v>
      </c>
      <c r="K122">
        <v>0</v>
      </c>
      <c r="L122">
        <v>1</v>
      </c>
      <c r="M122">
        <v>1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1</v>
      </c>
      <c r="AD122">
        <v>0</v>
      </c>
      <c r="AE122">
        <v>0</v>
      </c>
      <c r="AF122">
        <v>0</v>
      </c>
      <c r="AG122" s="86">
        <f>AVERAGEIFS($C$2:C122, $B$2:B122, B122)</f>
        <v>17</v>
      </c>
      <c r="AH122" s="86">
        <f>AVERAGEIFS($I$2:I122, $B$2:B122, B122)</f>
        <v>0.6</v>
      </c>
      <c r="AI122" s="86">
        <f>AVERAGEIFS($J$2:J122, $B$2:B122, B122)</f>
        <v>0.54</v>
      </c>
      <c r="AJ122" s="86">
        <f>AVERAGEIFS($D$2:D122, $B$2:B122, B122)</f>
        <v>1</v>
      </c>
    </row>
    <row r="123" spans="1:36" x14ac:dyDescent="0.25">
      <c r="A123" s="85">
        <v>46061</v>
      </c>
      <c r="B123" t="s">
        <v>5</v>
      </c>
      <c r="C123">
        <v>36</v>
      </c>
      <c r="D123">
        <v>1</v>
      </c>
      <c r="E123">
        <v>5</v>
      </c>
      <c r="F123">
        <v>3</v>
      </c>
      <c r="G123">
        <v>24</v>
      </c>
      <c r="H123">
        <v>13</v>
      </c>
      <c r="I123">
        <v>0.6</v>
      </c>
      <c r="J123">
        <v>0.54</v>
      </c>
      <c r="K123">
        <v>0</v>
      </c>
      <c r="L123">
        <v>1</v>
      </c>
      <c r="M123">
        <v>1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1</v>
      </c>
      <c r="AD123">
        <v>0</v>
      </c>
      <c r="AE123">
        <v>0</v>
      </c>
      <c r="AF123">
        <v>0</v>
      </c>
      <c r="AG123" s="86">
        <f>AVERAGEIFS($C$2:C123, $B$2:B123, B123)</f>
        <v>21.142857142857142</v>
      </c>
      <c r="AH123" s="86">
        <f>AVERAGEIFS($I$2:I123, $B$2:B123, B123)</f>
        <v>0.57428571428571418</v>
      </c>
      <c r="AI123" s="86">
        <f>AVERAGEIFS($J$2:J123, $B$2:B123, B123)</f>
        <v>0.51571428571428579</v>
      </c>
      <c r="AJ123" s="86">
        <f>AVERAGEIFS($D$2:D123, $B$2:B123, B123)</f>
        <v>0.7142857142857143</v>
      </c>
    </row>
    <row r="124" spans="1:36" x14ac:dyDescent="0.25">
      <c r="A124" s="85">
        <v>46061</v>
      </c>
      <c r="B124" t="s">
        <v>54</v>
      </c>
      <c r="C124">
        <v>27</v>
      </c>
      <c r="D124">
        <v>1</v>
      </c>
      <c r="E124">
        <v>5</v>
      </c>
      <c r="F124">
        <v>3</v>
      </c>
      <c r="G124">
        <v>24</v>
      </c>
      <c r="H124">
        <v>13</v>
      </c>
      <c r="I124">
        <v>0.6</v>
      </c>
      <c r="J124">
        <v>0.54</v>
      </c>
      <c r="K124">
        <v>0</v>
      </c>
      <c r="L124">
        <v>1</v>
      </c>
      <c r="M124">
        <v>1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1</v>
      </c>
      <c r="AD124">
        <v>0</v>
      </c>
      <c r="AE124">
        <v>0</v>
      </c>
      <c r="AF124">
        <v>0</v>
      </c>
      <c r="AG124" s="86">
        <f>AVERAGEIFS($C$2:C124, $B$2:B124, B124)</f>
        <v>24.181818181818183</v>
      </c>
      <c r="AH124" s="86">
        <f>AVERAGEIFS($I$2:I124, $B$2:B124, B124)</f>
        <v>0.56090909090909091</v>
      </c>
      <c r="AI124" s="86">
        <f>AVERAGEIFS($J$2:J124, $B$2:B124, B124)</f>
        <v>0.5127272727272727</v>
      </c>
      <c r="AJ124" s="86">
        <f>AVERAGEIFS($D$2:D124, $B$2:B124, B124)</f>
        <v>0.63636363636363635</v>
      </c>
    </row>
    <row r="125" spans="1:36" x14ac:dyDescent="0.25">
      <c r="A125" s="85">
        <v>46061</v>
      </c>
      <c r="B125" t="s">
        <v>3</v>
      </c>
      <c r="C125">
        <v>14</v>
      </c>
      <c r="D125">
        <v>1</v>
      </c>
      <c r="E125">
        <v>5</v>
      </c>
      <c r="F125">
        <v>3</v>
      </c>
      <c r="G125">
        <v>24</v>
      </c>
      <c r="H125">
        <v>13</v>
      </c>
      <c r="I125">
        <v>0.6</v>
      </c>
      <c r="J125">
        <v>0.54</v>
      </c>
      <c r="K125">
        <v>0</v>
      </c>
      <c r="L125">
        <v>1</v>
      </c>
      <c r="M125">
        <v>1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1</v>
      </c>
      <c r="AD125">
        <v>0</v>
      </c>
      <c r="AE125">
        <v>0</v>
      </c>
      <c r="AF125">
        <v>0</v>
      </c>
      <c r="AG125" s="86">
        <f>AVERAGEIFS($C$2:C125, $B$2:B125, B125)</f>
        <v>16.5</v>
      </c>
      <c r="AH125" s="86">
        <f>AVERAGEIFS($I$2:I125, $B$2:B125, B125)</f>
        <v>0.48750000000000004</v>
      </c>
      <c r="AI125" s="86">
        <f>AVERAGEIFS($J$2:J125, $B$2:B125, B125)</f>
        <v>0.495</v>
      </c>
      <c r="AJ125" s="86">
        <f>AVERAGEIFS($D$2:D125, $B$2:B125, B125)</f>
        <v>0.75</v>
      </c>
    </row>
    <row r="126" spans="1:36" x14ac:dyDescent="0.25">
      <c r="A126" s="85">
        <v>46061</v>
      </c>
      <c r="B126" t="s">
        <v>50</v>
      </c>
      <c r="C126">
        <v>21</v>
      </c>
      <c r="D126">
        <v>0</v>
      </c>
      <c r="E126">
        <v>5</v>
      </c>
      <c r="F126">
        <v>2</v>
      </c>
      <c r="G126">
        <v>24</v>
      </c>
      <c r="H126">
        <v>11</v>
      </c>
      <c r="I126">
        <v>0.4</v>
      </c>
      <c r="J126">
        <v>0.46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1</v>
      </c>
      <c r="AA126">
        <v>0</v>
      </c>
      <c r="AB126">
        <v>1</v>
      </c>
      <c r="AC126">
        <v>0</v>
      </c>
      <c r="AD126">
        <v>0</v>
      </c>
      <c r="AE126">
        <v>0</v>
      </c>
      <c r="AF126">
        <v>0</v>
      </c>
      <c r="AG126" s="86">
        <f>AVERAGEIFS($C$2:C126, $B$2:B126, B126)</f>
        <v>18</v>
      </c>
      <c r="AH126" s="86">
        <f>AVERAGEIFS($I$2:I126, $B$2:B126, B126)</f>
        <v>0.48454545454545461</v>
      </c>
      <c r="AI126" s="86">
        <f>AVERAGEIFS($J$2:J126, $B$2:B126, B126)</f>
        <v>0.5327272727272726</v>
      </c>
      <c r="AJ126" s="86">
        <f>AVERAGEIFS($D$2:D126, $B$2:B126, B126)</f>
        <v>0.45454545454545453</v>
      </c>
    </row>
    <row r="127" spans="1:36" x14ac:dyDescent="0.25">
      <c r="A127" s="85">
        <v>46061</v>
      </c>
      <c r="B127" t="s">
        <v>6</v>
      </c>
      <c r="C127">
        <v>19</v>
      </c>
      <c r="D127">
        <v>0</v>
      </c>
      <c r="E127">
        <v>5</v>
      </c>
      <c r="F127">
        <v>2</v>
      </c>
      <c r="G127">
        <v>24</v>
      </c>
      <c r="H127">
        <v>11</v>
      </c>
      <c r="I127">
        <v>0.4</v>
      </c>
      <c r="J127">
        <v>0.46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1</v>
      </c>
      <c r="AA127">
        <v>0</v>
      </c>
      <c r="AB127">
        <v>1</v>
      </c>
      <c r="AC127">
        <v>0</v>
      </c>
      <c r="AD127">
        <v>0</v>
      </c>
      <c r="AE127">
        <v>0</v>
      </c>
      <c r="AF127">
        <v>0</v>
      </c>
      <c r="AG127" s="86">
        <f>AVERAGEIFS($C$2:C127, $B$2:B127, B127)</f>
        <v>21.625</v>
      </c>
      <c r="AH127" s="86">
        <f>AVERAGEIFS($I$2:I127, $B$2:B127, B127)</f>
        <v>0.63500000000000001</v>
      </c>
      <c r="AI127" s="86">
        <f>AVERAGEIFS($J$2:J127, $B$2:B127, B127)</f>
        <v>0.54375000000000007</v>
      </c>
      <c r="AJ127" s="86">
        <f>AVERAGEIFS($D$2:D127, $B$2:B127, B127)</f>
        <v>0.625</v>
      </c>
    </row>
    <row r="128" spans="1:36" x14ac:dyDescent="0.25">
      <c r="A128" s="85">
        <v>46061</v>
      </c>
      <c r="B128" t="s">
        <v>52</v>
      </c>
      <c r="C128">
        <v>19</v>
      </c>
      <c r="D128">
        <v>0</v>
      </c>
      <c r="E128">
        <v>5</v>
      </c>
      <c r="F128">
        <v>2</v>
      </c>
      <c r="G128">
        <v>24</v>
      </c>
      <c r="H128">
        <v>11</v>
      </c>
      <c r="I128">
        <v>0.4</v>
      </c>
      <c r="J128">
        <v>0.46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1</v>
      </c>
      <c r="AA128">
        <v>0</v>
      </c>
      <c r="AB128">
        <v>1</v>
      </c>
      <c r="AC128">
        <v>0</v>
      </c>
      <c r="AD128">
        <v>0</v>
      </c>
      <c r="AE128">
        <v>0</v>
      </c>
      <c r="AF128">
        <v>0</v>
      </c>
      <c r="AG128" s="86">
        <f>AVERAGEIFS($C$2:C128, $B$2:B128, B128)</f>
        <v>15.5</v>
      </c>
      <c r="AH128" s="86">
        <f>AVERAGEIFS($I$2:I128, $B$2:B128, B128)</f>
        <v>0.32500000000000001</v>
      </c>
      <c r="AI128" s="86">
        <f>AVERAGEIFS($J$2:J128, $B$2:B128, B128)</f>
        <v>0.43000000000000005</v>
      </c>
      <c r="AJ128" s="86">
        <f>AVERAGEIFS($D$2:D128, $B$2:B128, B128)</f>
        <v>0</v>
      </c>
    </row>
    <row r="129" spans="1:36" x14ac:dyDescent="0.25">
      <c r="A129" s="85">
        <v>46061</v>
      </c>
      <c r="B129" t="s">
        <v>46</v>
      </c>
      <c r="C129">
        <v>13</v>
      </c>
      <c r="D129">
        <v>0</v>
      </c>
      <c r="E129">
        <v>5</v>
      </c>
      <c r="F129">
        <v>2</v>
      </c>
      <c r="G129">
        <v>24</v>
      </c>
      <c r="H129">
        <v>11</v>
      </c>
      <c r="I129">
        <v>0.4</v>
      </c>
      <c r="J129">
        <v>0.46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1</v>
      </c>
      <c r="AA129">
        <v>0</v>
      </c>
      <c r="AB129">
        <v>1</v>
      </c>
      <c r="AC129">
        <v>0</v>
      </c>
      <c r="AD129">
        <v>0</v>
      </c>
      <c r="AE129">
        <v>0</v>
      </c>
      <c r="AF129">
        <v>0</v>
      </c>
      <c r="AG129" s="86">
        <f>AVERAGEIFS($C$2:C129, $B$2:B129, B129)</f>
        <v>18.714285714285715</v>
      </c>
      <c r="AH129" s="86">
        <f>AVERAGEIFS($I$2:I129, $B$2:B129, B129)</f>
        <v>0.47142857142857142</v>
      </c>
      <c r="AI129" s="86">
        <f>AVERAGEIFS($J$2:J129, $B$2:B129, B129)</f>
        <v>0.45714285714285713</v>
      </c>
      <c r="AJ129" s="86">
        <f>AVERAGEIFS($D$2:D129, $B$2:B129, B129)</f>
        <v>0.2857142857142857</v>
      </c>
    </row>
    <row r="130" spans="1:36" x14ac:dyDescent="0.25">
      <c r="A130" s="85">
        <v>46061</v>
      </c>
      <c r="B130" t="s">
        <v>4</v>
      </c>
      <c r="C130">
        <v>27</v>
      </c>
      <c r="D130">
        <v>0</v>
      </c>
      <c r="E130">
        <v>5</v>
      </c>
      <c r="F130">
        <v>2</v>
      </c>
      <c r="G130">
        <v>24</v>
      </c>
      <c r="H130">
        <v>11</v>
      </c>
      <c r="I130">
        <v>0.4</v>
      </c>
      <c r="J130">
        <v>0.46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>
        <v>0</v>
      </c>
      <c r="AB130">
        <v>1</v>
      </c>
      <c r="AC130">
        <v>0</v>
      </c>
      <c r="AD130">
        <v>0</v>
      </c>
      <c r="AE130">
        <v>0</v>
      </c>
      <c r="AF130">
        <v>0</v>
      </c>
      <c r="AG130" s="86">
        <f>AVERAGEIFS($C$2:C130, $B$2:B130, B130)</f>
        <v>27</v>
      </c>
      <c r="AH130" s="86">
        <f>AVERAGEIFS($I$2:I130, $B$2:B130, B130)</f>
        <v>0.4</v>
      </c>
      <c r="AI130" s="86">
        <f>AVERAGEIFS($J$2:J130, $B$2:B130, B130)</f>
        <v>0.46</v>
      </c>
      <c r="AJ130" s="86">
        <f>AVERAGEIFS($D$2:D130, $B$2:B130, B130)</f>
        <v>0</v>
      </c>
    </row>
    <row r="131" spans="1:36" x14ac:dyDescent="0.25">
      <c r="A131" s="85">
        <v>46063</v>
      </c>
      <c r="B131" t="s">
        <v>2</v>
      </c>
      <c r="C131">
        <v>19</v>
      </c>
      <c r="D131">
        <v>1</v>
      </c>
      <c r="E131">
        <v>4</v>
      </c>
      <c r="F131">
        <v>3</v>
      </c>
      <c r="G131">
        <v>14</v>
      </c>
      <c r="H131">
        <v>11</v>
      </c>
      <c r="I131">
        <v>0.75</v>
      </c>
      <c r="J131">
        <v>0.79</v>
      </c>
      <c r="K131">
        <v>1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1</v>
      </c>
      <c r="AC131">
        <v>0</v>
      </c>
      <c r="AD131">
        <v>0</v>
      </c>
      <c r="AE131">
        <v>0</v>
      </c>
      <c r="AF131">
        <v>0</v>
      </c>
      <c r="AG131" s="86">
        <f>AVERAGEIFS($C$2:C131, $B$2:B131, B131)</f>
        <v>21.166666666666668</v>
      </c>
      <c r="AH131" s="86">
        <f>AVERAGEIFS($I$2:I131, $B$2:B131, B131)</f>
        <v>0.38833333333333336</v>
      </c>
      <c r="AI131" s="86">
        <f>AVERAGEIFS($J$2:J131, $B$2:B131, B131)</f>
        <v>0.54500000000000004</v>
      </c>
      <c r="AJ131" s="86">
        <f>AVERAGEIFS($D$2:D131, $B$2:B131, B131)</f>
        <v>0.33333333333333331</v>
      </c>
    </row>
    <row r="132" spans="1:36" x14ac:dyDescent="0.25">
      <c r="A132" s="85">
        <v>46063</v>
      </c>
      <c r="B132" t="s">
        <v>46</v>
      </c>
      <c r="C132">
        <v>17</v>
      </c>
      <c r="D132">
        <v>1</v>
      </c>
      <c r="E132">
        <v>4</v>
      </c>
      <c r="F132">
        <v>3</v>
      </c>
      <c r="G132">
        <v>14</v>
      </c>
      <c r="H132">
        <v>11</v>
      </c>
      <c r="I132">
        <v>0.75</v>
      </c>
      <c r="J132">
        <v>0.79</v>
      </c>
      <c r="K132">
        <v>1</v>
      </c>
      <c r="L132">
        <v>0</v>
      </c>
      <c r="M132">
        <v>0</v>
      </c>
      <c r="N132">
        <v>1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1</v>
      </c>
      <c r="AC132">
        <v>0</v>
      </c>
      <c r="AD132">
        <v>0</v>
      </c>
      <c r="AE132">
        <v>0</v>
      </c>
      <c r="AF132">
        <v>0</v>
      </c>
      <c r="AG132" s="86">
        <f>AVERAGEIFS($C$2:C132, $B$2:B132, B132)</f>
        <v>18.5</v>
      </c>
      <c r="AH132" s="86">
        <f>AVERAGEIFS($I$2:I132, $B$2:B132, B132)</f>
        <v>0.50624999999999998</v>
      </c>
      <c r="AI132" s="86">
        <f>AVERAGEIFS($J$2:J132, $B$2:B132, B132)</f>
        <v>0.49874999999999997</v>
      </c>
      <c r="AJ132" s="86">
        <f>AVERAGEIFS($D$2:D132, $B$2:B132, B132)</f>
        <v>0.375</v>
      </c>
    </row>
    <row r="133" spans="1:36" x14ac:dyDescent="0.25">
      <c r="A133" s="85">
        <v>46063</v>
      </c>
      <c r="B133" t="s">
        <v>17</v>
      </c>
      <c r="C133">
        <v>13</v>
      </c>
      <c r="D133">
        <v>1</v>
      </c>
      <c r="E133">
        <v>4</v>
      </c>
      <c r="F133">
        <v>3</v>
      </c>
      <c r="G133">
        <v>14</v>
      </c>
      <c r="H133">
        <v>11</v>
      </c>
      <c r="I133">
        <v>0.75</v>
      </c>
      <c r="J133">
        <v>0.79</v>
      </c>
      <c r="K133">
        <v>1</v>
      </c>
      <c r="L133">
        <v>0</v>
      </c>
      <c r="M133">
        <v>0</v>
      </c>
      <c r="N133">
        <v>1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1</v>
      </c>
      <c r="AC133">
        <v>0</v>
      </c>
      <c r="AD133">
        <v>0</v>
      </c>
      <c r="AE133">
        <v>0</v>
      </c>
      <c r="AF133">
        <v>0</v>
      </c>
      <c r="AG133" s="86">
        <f>AVERAGEIFS($C$2:C133, $B$2:B133, B133)</f>
        <v>19.3</v>
      </c>
      <c r="AH133" s="86">
        <f>AVERAGEIFS($I$2:I133, $B$2:B133, B133)</f>
        <v>0.46200000000000002</v>
      </c>
      <c r="AI133" s="86">
        <f>AVERAGEIFS($J$2:J133, $B$2:B133, B133)</f>
        <v>0.47099999999999997</v>
      </c>
      <c r="AJ133" s="86">
        <f>AVERAGEIFS($D$2:D133, $B$2:B133, B133)</f>
        <v>0.4</v>
      </c>
    </row>
    <row r="134" spans="1:36" x14ac:dyDescent="0.25">
      <c r="A134" s="85">
        <v>46063</v>
      </c>
      <c r="B134" t="s">
        <v>6</v>
      </c>
      <c r="C134">
        <v>12</v>
      </c>
      <c r="D134">
        <v>1</v>
      </c>
      <c r="E134">
        <v>4</v>
      </c>
      <c r="F134">
        <v>3</v>
      </c>
      <c r="G134">
        <v>14</v>
      </c>
      <c r="H134">
        <v>11</v>
      </c>
      <c r="I134">
        <v>0.75</v>
      </c>
      <c r="J134">
        <v>0.79</v>
      </c>
      <c r="K134">
        <v>1</v>
      </c>
      <c r="L134">
        <v>0</v>
      </c>
      <c r="M134">
        <v>0</v>
      </c>
      <c r="N134">
        <v>1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1</v>
      </c>
      <c r="AC134">
        <v>0</v>
      </c>
      <c r="AD134">
        <v>0</v>
      </c>
      <c r="AE134">
        <v>0</v>
      </c>
      <c r="AF134">
        <v>0</v>
      </c>
      <c r="AG134" s="86">
        <f>AVERAGEIFS($C$2:C134, $B$2:B134, B134)</f>
        <v>20.555555555555557</v>
      </c>
      <c r="AH134" s="86">
        <f>AVERAGEIFS($I$2:I134, $B$2:B134, B134)</f>
        <v>0.64777777777777779</v>
      </c>
      <c r="AI134" s="86">
        <f>AVERAGEIFS($J$2:J134, $B$2:B134, B134)</f>
        <v>0.57111111111111112</v>
      </c>
      <c r="AJ134" s="86">
        <f>AVERAGEIFS($D$2:D134, $B$2:B134, B134)</f>
        <v>0.66666666666666663</v>
      </c>
    </row>
    <row r="135" spans="1:36" x14ac:dyDescent="0.25">
      <c r="A135" s="85">
        <v>46063</v>
      </c>
      <c r="B135" t="s">
        <v>25</v>
      </c>
      <c r="C135">
        <v>10</v>
      </c>
      <c r="D135">
        <v>1</v>
      </c>
      <c r="E135">
        <v>4</v>
      </c>
      <c r="F135">
        <v>3</v>
      </c>
      <c r="G135">
        <v>14</v>
      </c>
      <c r="H135">
        <v>11</v>
      </c>
      <c r="I135">
        <v>0.75</v>
      </c>
      <c r="J135">
        <v>0.79</v>
      </c>
      <c r="K135">
        <v>1</v>
      </c>
      <c r="L135">
        <v>0</v>
      </c>
      <c r="M135">
        <v>0</v>
      </c>
      <c r="N135">
        <v>1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1</v>
      </c>
      <c r="AC135">
        <v>0</v>
      </c>
      <c r="AD135">
        <v>0</v>
      </c>
      <c r="AE135">
        <v>0</v>
      </c>
      <c r="AF135">
        <v>0</v>
      </c>
      <c r="AG135" s="86">
        <f>AVERAGEIFS($C$2:C135, $B$2:B135, B135)</f>
        <v>10</v>
      </c>
      <c r="AH135" s="86">
        <f>AVERAGEIFS($I$2:I135, $B$2:B135, B135)</f>
        <v>0.75</v>
      </c>
      <c r="AI135" s="86">
        <f>AVERAGEIFS($J$2:J135, $B$2:B135, B135)</f>
        <v>0.79</v>
      </c>
      <c r="AJ135" s="86">
        <f>AVERAGEIFS($D$2:D135, $B$2:B135, B135)</f>
        <v>1</v>
      </c>
    </row>
    <row r="136" spans="1:36" x14ac:dyDescent="0.25">
      <c r="A136" s="85">
        <v>46063</v>
      </c>
      <c r="B136" t="s">
        <v>19</v>
      </c>
      <c r="C136">
        <v>3</v>
      </c>
      <c r="D136">
        <v>1</v>
      </c>
      <c r="E136">
        <v>4</v>
      </c>
      <c r="F136">
        <v>3</v>
      </c>
      <c r="G136">
        <v>14</v>
      </c>
      <c r="H136">
        <v>11</v>
      </c>
      <c r="I136">
        <v>0.75</v>
      </c>
      <c r="J136">
        <v>0.79</v>
      </c>
      <c r="K136">
        <v>1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1</v>
      </c>
      <c r="AC136">
        <v>0</v>
      </c>
      <c r="AD136">
        <v>0</v>
      </c>
      <c r="AE136">
        <v>0</v>
      </c>
      <c r="AF136">
        <v>0</v>
      </c>
      <c r="AG136" s="86">
        <f>AVERAGEIFS($C$2:C136, $B$2:B136, B136)</f>
        <v>8.3333333333333339</v>
      </c>
      <c r="AH136" s="86">
        <f>AVERAGEIFS($I$2:I136, $B$2:B136, B136)</f>
        <v>0.54777777777777781</v>
      </c>
      <c r="AI136" s="86">
        <f>AVERAGEIFS($J$2:J136, $B$2:B136, B136)</f>
        <v>0.58111111111111102</v>
      </c>
      <c r="AJ136" s="86">
        <f>AVERAGEIFS($D$2:D136, $B$2:B136, B136)</f>
        <v>0.55555555555555558</v>
      </c>
    </row>
    <row r="137" spans="1:36" x14ac:dyDescent="0.25">
      <c r="A137" s="85">
        <v>46063</v>
      </c>
      <c r="B137" t="s">
        <v>54</v>
      </c>
      <c r="C137">
        <v>19</v>
      </c>
      <c r="D137">
        <v>0</v>
      </c>
      <c r="E137">
        <v>4</v>
      </c>
      <c r="F137">
        <v>1</v>
      </c>
      <c r="G137">
        <v>14</v>
      </c>
      <c r="H137">
        <v>3</v>
      </c>
      <c r="I137">
        <v>0.25</v>
      </c>
      <c r="J137">
        <v>0.21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 s="86">
        <f>AVERAGEIFS($C$2:C137, $B$2:B137, B137)</f>
        <v>23.75</v>
      </c>
      <c r="AH137" s="86">
        <f>AVERAGEIFS($I$2:I137, $B$2:B137, B137)</f>
        <v>0.53500000000000003</v>
      </c>
      <c r="AI137" s="86">
        <f>AVERAGEIFS($J$2:J137, $B$2:B137, B137)</f>
        <v>0.48749999999999999</v>
      </c>
      <c r="AJ137" s="86">
        <f>AVERAGEIFS($D$2:D137, $B$2:B137, B137)</f>
        <v>0.58333333333333337</v>
      </c>
    </row>
    <row r="138" spans="1:36" x14ac:dyDescent="0.25">
      <c r="A138" s="85">
        <v>46063</v>
      </c>
      <c r="B138" t="s">
        <v>4</v>
      </c>
      <c r="C138">
        <v>12</v>
      </c>
      <c r="D138">
        <v>0</v>
      </c>
      <c r="E138">
        <v>4</v>
      </c>
      <c r="F138">
        <v>1</v>
      </c>
      <c r="G138">
        <v>14</v>
      </c>
      <c r="H138">
        <v>3</v>
      </c>
      <c r="I138">
        <v>0.25</v>
      </c>
      <c r="J138">
        <v>0.21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 s="86">
        <f>AVERAGEIFS($C$2:C138, $B$2:B138, B138)</f>
        <v>19.5</v>
      </c>
      <c r="AH138" s="86">
        <f>AVERAGEIFS($I$2:I138, $B$2:B138, B138)</f>
        <v>0.32500000000000001</v>
      </c>
      <c r="AI138" s="86">
        <f>AVERAGEIFS($J$2:J138, $B$2:B138, B138)</f>
        <v>0.33500000000000002</v>
      </c>
      <c r="AJ138" s="86">
        <f>AVERAGEIFS($D$2:D138, $B$2:B138, B138)</f>
        <v>0</v>
      </c>
    </row>
    <row r="139" spans="1:36" x14ac:dyDescent="0.25">
      <c r="A139" s="85">
        <v>46063</v>
      </c>
      <c r="B139" t="s">
        <v>35</v>
      </c>
      <c r="C139">
        <v>11</v>
      </c>
      <c r="D139">
        <v>0</v>
      </c>
      <c r="E139">
        <v>4</v>
      </c>
      <c r="F139">
        <v>1</v>
      </c>
      <c r="G139">
        <v>14</v>
      </c>
      <c r="H139">
        <v>3</v>
      </c>
      <c r="I139">
        <v>0.25</v>
      </c>
      <c r="J139">
        <v>0.21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 s="86">
        <f>AVERAGEIFS($C$2:C139, $B$2:B139, B139)</f>
        <v>11.444444444444445</v>
      </c>
      <c r="AH139" s="86">
        <f>AVERAGEIFS($I$2:I139, $B$2:B139, B139)</f>
        <v>0.4811111111111111</v>
      </c>
      <c r="AI139" s="86">
        <f>AVERAGEIFS($J$2:J139, $B$2:B139, B139)</f>
        <v>0.50333333333333341</v>
      </c>
      <c r="AJ139" s="86">
        <f>AVERAGEIFS($D$2:D139, $B$2:B139, B139)</f>
        <v>0.44444444444444442</v>
      </c>
    </row>
    <row r="140" spans="1:36" x14ac:dyDescent="0.25">
      <c r="A140" s="85">
        <v>46063</v>
      </c>
      <c r="B140" t="s">
        <v>42</v>
      </c>
      <c r="C140">
        <v>11</v>
      </c>
      <c r="D140">
        <v>0</v>
      </c>
      <c r="E140">
        <v>4</v>
      </c>
      <c r="F140">
        <v>1</v>
      </c>
      <c r="G140">
        <v>14</v>
      </c>
      <c r="H140">
        <v>3</v>
      </c>
      <c r="I140">
        <v>0.25</v>
      </c>
      <c r="J140">
        <v>0.21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 s="86">
        <f>AVERAGEIFS($C$2:C140, $B$2:B140, B140)</f>
        <v>14</v>
      </c>
      <c r="AH140" s="86">
        <f>AVERAGEIFS($I$2:I140, $B$2:B140, B140)</f>
        <v>0.42499999999999999</v>
      </c>
      <c r="AI140" s="86">
        <f>AVERAGEIFS($J$2:J140, $B$2:B140, B140)</f>
        <v>0.375</v>
      </c>
      <c r="AJ140" s="86">
        <f>AVERAGEIFS($D$2:D140, $B$2:B140, B140)</f>
        <v>0.5</v>
      </c>
    </row>
    <row r="141" spans="1:36" x14ac:dyDescent="0.25">
      <c r="A141" s="85">
        <v>46063</v>
      </c>
      <c r="B141" t="s">
        <v>52</v>
      </c>
      <c r="C141">
        <v>5</v>
      </c>
      <c r="D141">
        <v>0</v>
      </c>
      <c r="E141">
        <v>4</v>
      </c>
      <c r="F141">
        <v>1</v>
      </c>
      <c r="G141">
        <v>14</v>
      </c>
      <c r="H141">
        <v>3</v>
      </c>
      <c r="I141">
        <v>0.25</v>
      </c>
      <c r="J141">
        <v>0.21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 s="86">
        <f>AVERAGEIFS($C$2:C141, $B$2:B141, B141)</f>
        <v>12</v>
      </c>
      <c r="AH141" s="86">
        <f>AVERAGEIFS($I$2:I141, $B$2:B141, B141)</f>
        <v>0.3</v>
      </c>
      <c r="AI141" s="86">
        <f>AVERAGEIFS($J$2:J141, $B$2:B141, B141)</f>
        <v>0.35666666666666669</v>
      </c>
      <c r="AJ141" s="86">
        <f>AVERAGEIFS($D$2:D141, $B$2:B141, B141)</f>
        <v>0</v>
      </c>
    </row>
    <row r="142" spans="1:36" x14ac:dyDescent="0.25">
      <c r="A142" s="85">
        <v>46063</v>
      </c>
      <c r="B142" t="s">
        <v>40</v>
      </c>
      <c r="C142">
        <v>5</v>
      </c>
      <c r="D142">
        <v>0</v>
      </c>
      <c r="E142">
        <v>4</v>
      </c>
      <c r="F142">
        <v>1</v>
      </c>
      <c r="G142">
        <v>14</v>
      </c>
      <c r="H142">
        <v>3</v>
      </c>
      <c r="I142">
        <v>0.25</v>
      </c>
      <c r="J142">
        <v>0.21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 s="86">
        <f>AVERAGEIFS($C$2:C142, $B$2:B142, B142)</f>
        <v>11</v>
      </c>
      <c r="AH142" s="86">
        <f>AVERAGEIFS($I$2:I142, $B$2:B142, B142)</f>
        <v>0.42499999999999999</v>
      </c>
      <c r="AI142" s="86">
        <f>AVERAGEIFS($J$2:J142, $B$2:B142, B142)</f>
        <v>0.375</v>
      </c>
      <c r="AJ142" s="86">
        <f>AVERAGEIFS($D$2:D142, $B$2:B142, B142)</f>
        <v>0.5</v>
      </c>
    </row>
    <row r="143" spans="1:36" x14ac:dyDescent="0.25">
      <c r="A143" s="85">
        <v>46064</v>
      </c>
      <c r="B143" t="s">
        <v>50</v>
      </c>
      <c r="C143">
        <v>29</v>
      </c>
      <c r="D143">
        <v>1</v>
      </c>
      <c r="E143">
        <v>4</v>
      </c>
      <c r="F143">
        <v>3</v>
      </c>
      <c r="G143">
        <v>14</v>
      </c>
      <c r="H143">
        <v>9</v>
      </c>
      <c r="I143">
        <v>0.75</v>
      </c>
      <c r="J143">
        <v>0.64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1</v>
      </c>
      <c r="W143">
        <v>0</v>
      </c>
      <c r="X143">
        <v>0</v>
      </c>
      <c r="Y143">
        <v>1</v>
      </c>
      <c r="Z143">
        <v>1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 s="86">
        <f>AVERAGEIFS($C$2:C143, $B$2:B143, B143)</f>
        <v>18.916666666666668</v>
      </c>
      <c r="AH143" s="86">
        <f>AVERAGEIFS($I$2:I143, $B$2:B143, B143)</f>
        <v>0.50666666666666671</v>
      </c>
      <c r="AI143" s="86">
        <f>AVERAGEIFS($J$2:J143, $B$2:B143, B143)</f>
        <v>0.54166666666666652</v>
      </c>
      <c r="AJ143" s="86">
        <f>AVERAGEIFS($D$2:D143, $B$2:B143, B143)</f>
        <v>0.5</v>
      </c>
    </row>
    <row r="144" spans="1:36" x14ac:dyDescent="0.25">
      <c r="A144" s="85">
        <v>46064</v>
      </c>
      <c r="B144" t="s">
        <v>6</v>
      </c>
      <c r="C144">
        <v>23</v>
      </c>
      <c r="D144">
        <v>1</v>
      </c>
      <c r="E144">
        <v>4</v>
      </c>
      <c r="F144">
        <v>3</v>
      </c>
      <c r="G144">
        <v>14</v>
      </c>
      <c r="H144">
        <v>9</v>
      </c>
      <c r="I144">
        <v>0.75</v>
      </c>
      <c r="J144">
        <v>0.64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1</v>
      </c>
      <c r="W144">
        <v>0</v>
      </c>
      <c r="X144">
        <v>0</v>
      </c>
      <c r="Y144">
        <v>1</v>
      </c>
      <c r="Z144">
        <v>1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 s="86">
        <f>AVERAGEIFS($C$2:C144, $B$2:B144, B144)</f>
        <v>20.8</v>
      </c>
      <c r="AH144" s="86">
        <f>AVERAGEIFS($I$2:I144, $B$2:B144, B144)</f>
        <v>0.65800000000000003</v>
      </c>
      <c r="AI144" s="86">
        <f>AVERAGEIFS($J$2:J144, $B$2:B144, B144)</f>
        <v>0.57800000000000007</v>
      </c>
      <c r="AJ144" s="86">
        <f>AVERAGEIFS($D$2:D144, $B$2:B144, B144)</f>
        <v>0.7</v>
      </c>
    </row>
    <row r="145" spans="1:36" x14ac:dyDescent="0.25">
      <c r="A145" s="85">
        <v>46064</v>
      </c>
      <c r="B145" t="s">
        <v>2</v>
      </c>
      <c r="C145">
        <v>20</v>
      </c>
      <c r="D145">
        <v>1</v>
      </c>
      <c r="E145">
        <v>4</v>
      </c>
      <c r="F145">
        <v>3</v>
      </c>
      <c r="G145">
        <v>14</v>
      </c>
      <c r="H145">
        <v>9</v>
      </c>
      <c r="I145">
        <v>0.75</v>
      </c>
      <c r="J145">
        <v>0.64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1</v>
      </c>
      <c r="W145">
        <v>0</v>
      </c>
      <c r="X145">
        <v>0</v>
      </c>
      <c r="Y145">
        <v>1</v>
      </c>
      <c r="Z145">
        <v>1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 s="86">
        <f>AVERAGEIFS($C$2:C145, $B$2:B145, B145)</f>
        <v>21</v>
      </c>
      <c r="AH145" s="86">
        <f>AVERAGEIFS($I$2:I145, $B$2:B145, B145)</f>
        <v>0.44</v>
      </c>
      <c r="AI145" s="86">
        <f>AVERAGEIFS($J$2:J145, $B$2:B145, B145)</f>
        <v>0.55857142857142861</v>
      </c>
      <c r="AJ145" s="86">
        <f>AVERAGEIFS($D$2:D145, $B$2:B145, B145)</f>
        <v>0.42857142857142855</v>
      </c>
    </row>
    <row r="146" spans="1:36" x14ac:dyDescent="0.25">
      <c r="A146" s="85">
        <v>46064</v>
      </c>
      <c r="B146" t="s">
        <v>25</v>
      </c>
      <c r="C146">
        <v>12</v>
      </c>
      <c r="D146">
        <v>1</v>
      </c>
      <c r="E146">
        <v>4</v>
      </c>
      <c r="F146">
        <v>3</v>
      </c>
      <c r="G146">
        <v>14</v>
      </c>
      <c r="H146">
        <v>9</v>
      </c>
      <c r="I146">
        <v>0.75</v>
      </c>
      <c r="J146">
        <v>0.64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1</v>
      </c>
      <c r="W146">
        <v>0</v>
      </c>
      <c r="X146">
        <v>0</v>
      </c>
      <c r="Y146">
        <v>1</v>
      </c>
      <c r="Z146">
        <v>1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 s="86">
        <f>AVERAGEIFS($C$2:C146, $B$2:B146, B146)</f>
        <v>11</v>
      </c>
      <c r="AH146" s="86">
        <f>AVERAGEIFS($I$2:I146, $B$2:B146, B146)</f>
        <v>0.75</v>
      </c>
      <c r="AI146" s="86">
        <f>AVERAGEIFS($J$2:J146, $B$2:B146, B146)</f>
        <v>0.71500000000000008</v>
      </c>
      <c r="AJ146" s="86">
        <f>AVERAGEIFS($D$2:D146, $B$2:B146, B146)</f>
        <v>1</v>
      </c>
    </row>
    <row r="147" spans="1:36" x14ac:dyDescent="0.25">
      <c r="A147" s="85">
        <v>46064</v>
      </c>
      <c r="B147" t="s">
        <v>42</v>
      </c>
      <c r="C147">
        <v>6</v>
      </c>
      <c r="D147">
        <v>1</v>
      </c>
      <c r="E147">
        <v>4</v>
      </c>
      <c r="F147">
        <v>3</v>
      </c>
      <c r="G147">
        <v>14</v>
      </c>
      <c r="H147">
        <v>9</v>
      </c>
      <c r="I147">
        <v>0.75</v>
      </c>
      <c r="J147">
        <v>0.64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1</v>
      </c>
      <c r="W147">
        <v>0</v>
      </c>
      <c r="X147">
        <v>0</v>
      </c>
      <c r="Y147">
        <v>1</v>
      </c>
      <c r="Z147">
        <v>1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 s="86">
        <f>AVERAGEIFS($C$2:C147, $B$2:B147, B147)</f>
        <v>11.333333333333334</v>
      </c>
      <c r="AH147" s="86">
        <f>AVERAGEIFS($I$2:I147, $B$2:B147, B147)</f>
        <v>0.53333333333333333</v>
      </c>
      <c r="AI147" s="86">
        <f>AVERAGEIFS($J$2:J147, $B$2:B147, B147)</f>
        <v>0.46333333333333337</v>
      </c>
      <c r="AJ147" s="86">
        <f>AVERAGEIFS($D$2:D147, $B$2:B147, B147)</f>
        <v>0.66666666666666663</v>
      </c>
    </row>
    <row r="148" spans="1:36" x14ac:dyDescent="0.25">
      <c r="A148" s="85">
        <v>46064</v>
      </c>
      <c r="B148" t="s">
        <v>19</v>
      </c>
      <c r="C148">
        <v>5</v>
      </c>
      <c r="D148">
        <v>1</v>
      </c>
      <c r="E148">
        <v>4</v>
      </c>
      <c r="F148">
        <v>3</v>
      </c>
      <c r="G148">
        <v>14</v>
      </c>
      <c r="H148">
        <v>9</v>
      </c>
      <c r="I148">
        <v>0.75</v>
      </c>
      <c r="J148">
        <v>0.64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1</v>
      </c>
      <c r="W148">
        <v>0</v>
      </c>
      <c r="X148">
        <v>0</v>
      </c>
      <c r="Y148">
        <v>1</v>
      </c>
      <c r="Z148">
        <v>1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 s="86">
        <f>AVERAGEIFS($C$2:C148, $B$2:B148, B148)</f>
        <v>8</v>
      </c>
      <c r="AH148" s="86">
        <f>AVERAGEIFS($I$2:I148, $B$2:B148, B148)</f>
        <v>0.56800000000000006</v>
      </c>
      <c r="AI148" s="86">
        <f>AVERAGEIFS($J$2:J148, $B$2:B148, B148)</f>
        <v>0.58699999999999997</v>
      </c>
      <c r="AJ148" s="86">
        <f>AVERAGEIFS($D$2:D148, $B$2:B148, B148)</f>
        <v>0.6</v>
      </c>
    </row>
    <row r="149" spans="1:36" x14ac:dyDescent="0.25">
      <c r="A149" s="85">
        <v>46064</v>
      </c>
      <c r="B149" t="s">
        <v>54</v>
      </c>
      <c r="C149">
        <v>32</v>
      </c>
      <c r="D149">
        <v>0</v>
      </c>
      <c r="E149">
        <v>4</v>
      </c>
      <c r="F149">
        <v>1</v>
      </c>
      <c r="G149">
        <v>14</v>
      </c>
      <c r="H149">
        <v>5</v>
      </c>
      <c r="I149">
        <v>0.25</v>
      </c>
      <c r="J149">
        <v>0.36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1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 s="86">
        <f>AVERAGEIFS($C$2:C149, $B$2:B149, B149)</f>
        <v>24.384615384615383</v>
      </c>
      <c r="AH149" s="86">
        <f>AVERAGEIFS($I$2:I149, $B$2:B149, B149)</f>
        <v>0.5130769230769231</v>
      </c>
      <c r="AI149" s="86">
        <f>AVERAGEIFS($J$2:J149, $B$2:B149, B149)</f>
        <v>0.47769230769230769</v>
      </c>
      <c r="AJ149" s="86">
        <f>AVERAGEIFS($D$2:D149, $B$2:B149, B149)</f>
        <v>0.53846153846153844</v>
      </c>
    </row>
    <row r="150" spans="1:36" x14ac:dyDescent="0.25">
      <c r="A150" s="85">
        <v>46064</v>
      </c>
      <c r="B150" t="s">
        <v>17</v>
      </c>
      <c r="C150">
        <v>18</v>
      </c>
      <c r="D150">
        <v>0</v>
      </c>
      <c r="E150">
        <v>4</v>
      </c>
      <c r="F150">
        <v>1</v>
      </c>
      <c r="G150">
        <v>14</v>
      </c>
      <c r="H150">
        <v>5</v>
      </c>
      <c r="I150">
        <v>0.25</v>
      </c>
      <c r="J150">
        <v>0.36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1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 s="86">
        <f>AVERAGEIFS($C$2:C150, $B$2:B150, B150)</f>
        <v>19.181818181818183</v>
      </c>
      <c r="AH150" s="86">
        <f>AVERAGEIFS($I$2:I150, $B$2:B150, B150)</f>
        <v>0.44272727272727275</v>
      </c>
      <c r="AI150" s="86">
        <f>AVERAGEIFS($J$2:J150, $B$2:B150, B150)</f>
        <v>0.46090909090909093</v>
      </c>
      <c r="AJ150" s="86">
        <f>AVERAGEIFS($D$2:D150, $B$2:B150, B150)</f>
        <v>0.36363636363636365</v>
      </c>
    </row>
    <row r="151" spans="1:36" x14ac:dyDescent="0.25">
      <c r="A151" s="85">
        <v>46064</v>
      </c>
      <c r="B151" t="s">
        <v>46</v>
      </c>
      <c r="C151">
        <v>17</v>
      </c>
      <c r="D151">
        <v>0</v>
      </c>
      <c r="E151">
        <v>4</v>
      </c>
      <c r="F151">
        <v>1</v>
      </c>
      <c r="G151">
        <v>14</v>
      </c>
      <c r="H151">
        <v>5</v>
      </c>
      <c r="I151">
        <v>0.25</v>
      </c>
      <c r="J151">
        <v>0.36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1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 s="86">
        <f>AVERAGEIFS($C$2:C151, $B$2:B151, B151)</f>
        <v>18.333333333333332</v>
      </c>
      <c r="AH151" s="86">
        <f>AVERAGEIFS($I$2:I151, $B$2:B151, B151)</f>
        <v>0.47777777777777775</v>
      </c>
      <c r="AI151" s="86">
        <f>AVERAGEIFS($J$2:J151, $B$2:B151, B151)</f>
        <v>0.48333333333333328</v>
      </c>
      <c r="AJ151" s="86">
        <f>AVERAGEIFS($D$2:D151, $B$2:B151, B151)</f>
        <v>0.33333333333333331</v>
      </c>
    </row>
    <row r="152" spans="1:36" x14ac:dyDescent="0.25">
      <c r="A152" s="85">
        <v>46064</v>
      </c>
      <c r="B152" t="s">
        <v>52</v>
      </c>
      <c r="C152">
        <v>14</v>
      </c>
      <c r="D152">
        <v>0</v>
      </c>
      <c r="E152">
        <v>4</v>
      </c>
      <c r="F152">
        <v>1</v>
      </c>
      <c r="G152">
        <v>14</v>
      </c>
      <c r="H152">
        <v>5</v>
      </c>
      <c r="I152">
        <v>0.25</v>
      </c>
      <c r="J152">
        <v>0.36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1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 s="86">
        <f>AVERAGEIFS($C$2:C152, $B$2:B152, B152)</f>
        <v>12.5</v>
      </c>
      <c r="AH152" s="86">
        <f>AVERAGEIFS($I$2:I152, $B$2:B152, B152)</f>
        <v>0.28749999999999998</v>
      </c>
      <c r="AI152" s="86">
        <f>AVERAGEIFS($J$2:J152, $B$2:B152, B152)</f>
        <v>0.35750000000000004</v>
      </c>
      <c r="AJ152" s="86">
        <f>AVERAGEIFS($D$2:D152, $B$2:B152, B152)</f>
        <v>0</v>
      </c>
    </row>
    <row r="153" spans="1:36" x14ac:dyDescent="0.25">
      <c r="A153" s="85">
        <v>46064</v>
      </c>
      <c r="B153" t="s">
        <v>28</v>
      </c>
      <c r="C153">
        <v>12</v>
      </c>
      <c r="D153">
        <v>0</v>
      </c>
      <c r="E153">
        <v>4</v>
      </c>
      <c r="F153">
        <v>1</v>
      </c>
      <c r="G153">
        <v>14</v>
      </c>
      <c r="H153">
        <v>5</v>
      </c>
      <c r="I153">
        <v>0.25</v>
      </c>
      <c r="J153">
        <v>0.36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1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 s="86">
        <f>AVERAGEIFS($C$2:C153, $B$2:B153, B153)</f>
        <v>15</v>
      </c>
      <c r="AH153" s="86">
        <f>AVERAGEIFS($I$2:I153, $B$2:B153, B153)</f>
        <v>0.40500000000000003</v>
      </c>
      <c r="AI153" s="86">
        <f>AVERAGEIFS($J$2:J153, $B$2:B153, B153)</f>
        <v>0.51333333333333331</v>
      </c>
      <c r="AJ153" s="86">
        <f>AVERAGEIFS($D$2:D153, $B$2:B153, B153)</f>
        <v>0.33333333333333331</v>
      </c>
    </row>
    <row r="154" spans="1:36" x14ac:dyDescent="0.25">
      <c r="A154" s="85">
        <v>46064</v>
      </c>
      <c r="B154" t="s">
        <v>40</v>
      </c>
      <c r="C154">
        <v>2</v>
      </c>
      <c r="D154">
        <v>0</v>
      </c>
      <c r="E154">
        <v>4</v>
      </c>
      <c r="F154">
        <v>1</v>
      </c>
      <c r="G154">
        <v>14</v>
      </c>
      <c r="H154">
        <v>5</v>
      </c>
      <c r="I154">
        <v>0.25</v>
      </c>
      <c r="J154">
        <v>0.36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1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 s="86">
        <f>AVERAGEIFS($C$2:C154, $B$2:B154, B154)</f>
        <v>8</v>
      </c>
      <c r="AH154" s="86">
        <f>AVERAGEIFS($I$2:I154, $B$2:B154, B154)</f>
        <v>0.3666666666666667</v>
      </c>
      <c r="AI154" s="86">
        <f>AVERAGEIFS($J$2:J154, $B$2:B154, B154)</f>
        <v>0.36999999999999994</v>
      </c>
      <c r="AJ154" s="86">
        <f>AVERAGEIFS($D$2:D154, $B$2:B154, B154)</f>
        <v>0.33333333333333331</v>
      </c>
    </row>
    <row r="155" spans="1:36" x14ac:dyDescent="0.25">
      <c r="A155" s="85">
        <v>46065</v>
      </c>
      <c r="B155" t="s">
        <v>2</v>
      </c>
      <c r="C155">
        <v>26</v>
      </c>
      <c r="D155">
        <v>1</v>
      </c>
      <c r="E155">
        <v>3</v>
      </c>
      <c r="F155">
        <v>3</v>
      </c>
      <c r="G155">
        <v>15</v>
      </c>
      <c r="H155">
        <v>9</v>
      </c>
      <c r="I155">
        <v>1</v>
      </c>
      <c r="J155">
        <v>0.6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1</v>
      </c>
      <c r="AC155">
        <v>1</v>
      </c>
      <c r="AD155">
        <v>0</v>
      </c>
      <c r="AE155">
        <v>0</v>
      </c>
      <c r="AF155">
        <v>0</v>
      </c>
      <c r="AG155" s="86">
        <f>AVERAGEIFS($C$2:C155, $B$2:B155, B155)</f>
        <v>21.625</v>
      </c>
      <c r="AH155" s="86">
        <f>AVERAGEIFS($I$2:I155, $B$2:B155, B155)</f>
        <v>0.51</v>
      </c>
      <c r="AI155" s="86">
        <f>AVERAGEIFS($J$2:J155, $B$2:B155, B155)</f>
        <v>0.56374999999999997</v>
      </c>
      <c r="AJ155" s="86">
        <f>AVERAGEIFS($D$2:D155, $B$2:B155, B155)</f>
        <v>0.5</v>
      </c>
    </row>
    <row r="156" spans="1:36" x14ac:dyDescent="0.25">
      <c r="A156" s="85">
        <v>46065</v>
      </c>
      <c r="B156" t="s">
        <v>50</v>
      </c>
      <c r="C156">
        <v>23</v>
      </c>
      <c r="D156">
        <v>1</v>
      </c>
      <c r="E156">
        <v>3</v>
      </c>
      <c r="F156">
        <v>3</v>
      </c>
      <c r="G156">
        <v>15</v>
      </c>
      <c r="H156">
        <v>9</v>
      </c>
      <c r="I156">
        <v>1</v>
      </c>
      <c r="J156">
        <v>0.6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1</v>
      </c>
      <c r="AA156">
        <v>0</v>
      </c>
      <c r="AB156">
        <v>1</v>
      </c>
      <c r="AC156">
        <v>1</v>
      </c>
      <c r="AD156">
        <v>0</v>
      </c>
      <c r="AE156">
        <v>0</v>
      </c>
      <c r="AF156">
        <v>0</v>
      </c>
      <c r="AG156" s="86">
        <f>AVERAGEIFS($C$2:C156, $B$2:B156, B156)</f>
        <v>19.23076923076923</v>
      </c>
      <c r="AH156" s="86">
        <f>AVERAGEIFS($I$2:I156, $B$2:B156, B156)</f>
        <v>0.54461538461538472</v>
      </c>
      <c r="AI156" s="86">
        <f>AVERAGEIFS($J$2:J156, $B$2:B156, B156)</f>
        <v>0.54615384615384599</v>
      </c>
      <c r="AJ156" s="86">
        <f>AVERAGEIFS($D$2:D156, $B$2:B156, B156)</f>
        <v>0.53846153846153844</v>
      </c>
    </row>
    <row r="157" spans="1:36" x14ac:dyDescent="0.25">
      <c r="A157" s="85">
        <v>46065</v>
      </c>
      <c r="B157" t="s">
        <v>6</v>
      </c>
      <c r="C157">
        <v>21</v>
      </c>
      <c r="D157">
        <v>1</v>
      </c>
      <c r="E157">
        <v>3</v>
      </c>
      <c r="F157">
        <v>3</v>
      </c>
      <c r="G157">
        <v>15</v>
      </c>
      <c r="H157">
        <v>9</v>
      </c>
      <c r="I157">
        <v>1</v>
      </c>
      <c r="J157">
        <v>0.6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1</v>
      </c>
      <c r="AA157">
        <v>0</v>
      </c>
      <c r="AB157">
        <v>1</v>
      </c>
      <c r="AC157">
        <v>1</v>
      </c>
      <c r="AD157">
        <v>0</v>
      </c>
      <c r="AE157">
        <v>0</v>
      </c>
      <c r="AF157">
        <v>0</v>
      </c>
      <c r="AG157" s="86">
        <f>AVERAGEIFS($C$2:C157, $B$2:B157, B157)</f>
        <v>20.818181818181817</v>
      </c>
      <c r="AH157" s="86">
        <f>AVERAGEIFS($I$2:I157, $B$2:B157, B157)</f>
        <v>0.68909090909090909</v>
      </c>
      <c r="AI157" s="86">
        <f>AVERAGEIFS($J$2:J157, $B$2:B157, B157)</f>
        <v>0.57999999999999996</v>
      </c>
      <c r="AJ157" s="86">
        <f>AVERAGEIFS($D$2:D157, $B$2:B157, B157)</f>
        <v>0.72727272727272729</v>
      </c>
    </row>
    <row r="158" spans="1:36" x14ac:dyDescent="0.25">
      <c r="A158" s="85">
        <v>46065</v>
      </c>
      <c r="B158" t="s">
        <v>17</v>
      </c>
      <c r="C158">
        <v>15</v>
      </c>
      <c r="D158">
        <v>1</v>
      </c>
      <c r="E158">
        <v>3</v>
      </c>
      <c r="F158">
        <v>3</v>
      </c>
      <c r="G158">
        <v>15</v>
      </c>
      <c r="H158">
        <v>9</v>
      </c>
      <c r="I158">
        <v>1</v>
      </c>
      <c r="J158">
        <v>0.6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>
        <v>0</v>
      </c>
      <c r="AB158">
        <v>1</v>
      </c>
      <c r="AC158">
        <v>1</v>
      </c>
      <c r="AD158">
        <v>0</v>
      </c>
      <c r="AE158">
        <v>0</v>
      </c>
      <c r="AF158">
        <v>0</v>
      </c>
      <c r="AG158" s="86">
        <f>AVERAGEIFS($C$2:C158, $B$2:B158, B158)</f>
        <v>18.833333333333332</v>
      </c>
      <c r="AH158" s="86">
        <f>AVERAGEIFS($I$2:I158, $B$2:B158, B158)</f>
        <v>0.48916666666666669</v>
      </c>
      <c r="AI158" s="86">
        <f>AVERAGEIFS($J$2:J158, $B$2:B158, B158)</f>
        <v>0.47249999999999998</v>
      </c>
      <c r="AJ158" s="86">
        <f>AVERAGEIFS($D$2:D158, $B$2:B158, B158)</f>
        <v>0.41666666666666669</v>
      </c>
    </row>
    <row r="159" spans="1:36" x14ac:dyDescent="0.25">
      <c r="A159" s="85">
        <v>46065</v>
      </c>
      <c r="B159" t="s">
        <v>28</v>
      </c>
      <c r="C159">
        <v>15</v>
      </c>
      <c r="D159">
        <v>1</v>
      </c>
      <c r="E159">
        <v>3</v>
      </c>
      <c r="F159">
        <v>3</v>
      </c>
      <c r="G159">
        <v>15</v>
      </c>
      <c r="H159">
        <v>9</v>
      </c>
      <c r="I159">
        <v>1</v>
      </c>
      <c r="J159">
        <v>0.6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>
        <v>0</v>
      </c>
      <c r="AB159">
        <v>1</v>
      </c>
      <c r="AC159">
        <v>1</v>
      </c>
      <c r="AD159">
        <v>0</v>
      </c>
      <c r="AE159">
        <v>0</v>
      </c>
      <c r="AF159">
        <v>0</v>
      </c>
      <c r="AG159" s="86">
        <f>AVERAGEIFS($C$2:C159, $B$2:B159, B159)</f>
        <v>15</v>
      </c>
      <c r="AH159" s="86">
        <f>AVERAGEIFS($I$2:I159, $B$2:B159, B159)</f>
        <v>0.49000000000000005</v>
      </c>
      <c r="AI159" s="86">
        <f>AVERAGEIFS($J$2:J159, $B$2:B159, B159)</f>
        <v>0.52571428571428569</v>
      </c>
      <c r="AJ159" s="86">
        <f>AVERAGEIFS($D$2:D159, $B$2:B159, B159)</f>
        <v>0.42857142857142855</v>
      </c>
    </row>
    <row r="160" spans="1:36" x14ac:dyDescent="0.25">
      <c r="A160" s="85">
        <v>46065</v>
      </c>
      <c r="B160" t="s">
        <v>19</v>
      </c>
      <c r="C160">
        <v>10</v>
      </c>
      <c r="D160">
        <v>1</v>
      </c>
      <c r="E160">
        <v>3</v>
      </c>
      <c r="F160">
        <v>3</v>
      </c>
      <c r="G160">
        <v>15</v>
      </c>
      <c r="H160">
        <v>9</v>
      </c>
      <c r="I160">
        <v>1</v>
      </c>
      <c r="J160">
        <v>0.6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>
        <v>0</v>
      </c>
      <c r="AB160">
        <v>1</v>
      </c>
      <c r="AC160">
        <v>1</v>
      </c>
      <c r="AD160">
        <v>0</v>
      </c>
      <c r="AE160">
        <v>0</v>
      </c>
      <c r="AF160">
        <v>0</v>
      </c>
      <c r="AG160" s="86">
        <f>AVERAGEIFS($C$2:C160, $B$2:B160, B160)</f>
        <v>8.1818181818181817</v>
      </c>
      <c r="AH160" s="86">
        <f>AVERAGEIFS($I$2:I160, $B$2:B160, B160)</f>
        <v>0.6072727272727273</v>
      </c>
      <c r="AI160" s="86">
        <f>AVERAGEIFS($J$2:J160, $B$2:B160, B160)</f>
        <v>0.58818181818181803</v>
      </c>
      <c r="AJ160" s="86">
        <f>AVERAGEIFS($D$2:D160, $B$2:B160, B160)</f>
        <v>0.63636363636363635</v>
      </c>
    </row>
    <row r="161" spans="1:36" x14ac:dyDescent="0.25">
      <c r="A161" s="85">
        <v>46065</v>
      </c>
      <c r="B161" t="s">
        <v>40</v>
      </c>
      <c r="C161">
        <v>22</v>
      </c>
      <c r="D161">
        <v>0</v>
      </c>
      <c r="E161">
        <v>3</v>
      </c>
      <c r="F161">
        <v>0</v>
      </c>
      <c r="G161">
        <v>15</v>
      </c>
      <c r="H161">
        <v>6</v>
      </c>
      <c r="I161">
        <v>0</v>
      </c>
      <c r="J161">
        <v>0.4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 s="86">
        <f>AVERAGEIFS($C$2:C161, $B$2:B161, B161)</f>
        <v>11.5</v>
      </c>
      <c r="AH161" s="86">
        <f>AVERAGEIFS($I$2:I161, $B$2:B161, B161)</f>
        <v>0.27500000000000002</v>
      </c>
      <c r="AI161" s="86">
        <f>AVERAGEIFS($J$2:J161, $B$2:B161, B161)</f>
        <v>0.37749999999999995</v>
      </c>
      <c r="AJ161" s="86">
        <f>AVERAGEIFS($D$2:D161, $B$2:B161, B161)</f>
        <v>0.25</v>
      </c>
    </row>
    <row r="162" spans="1:36" x14ac:dyDescent="0.25">
      <c r="A162" s="85">
        <v>46065</v>
      </c>
      <c r="B162" t="s">
        <v>4</v>
      </c>
      <c r="C162">
        <v>17</v>
      </c>
      <c r="D162">
        <v>0</v>
      </c>
      <c r="E162">
        <v>3</v>
      </c>
      <c r="F162">
        <v>0</v>
      </c>
      <c r="G162">
        <v>15</v>
      </c>
      <c r="H162">
        <v>6</v>
      </c>
      <c r="I162">
        <v>0</v>
      </c>
      <c r="J162">
        <v>0.4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 s="86">
        <f>AVERAGEIFS($C$2:C162, $B$2:B162, B162)</f>
        <v>18.666666666666668</v>
      </c>
      <c r="AH162" s="86">
        <f>AVERAGEIFS($I$2:I162, $B$2:B162, B162)</f>
        <v>0.21666666666666667</v>
      </c>
      <c r="AI162" s="86">
        <f>AVERAGEIFS($J$2:J162, $B$2:B162, B162)</f>
        <v>0.35666666666666669</v>
      </c>
      <c r="AJ162" s="86">
        <f>AVERAGEIFS($D$2:D162, $B$2:B162, B162)</f>
        <v>0</v>
      </c>
    </row>
    <row r="163" spans="1:36" x14ac:dyDescent="0.25">
      <c r="A163" s="85">
        <v>46065</v>
      </c>
      <c r="B163" t="s">
        <v>42</v>
      </c>
      <c r="C163">
        <v>16</v>
      </c>
      <c r="D163">
        <v>0</v>
      </c>
      <c r="E163">
        <v>3</v>
      </c>
      <c r="F163">
        <v>0</v>
      </c>
      <c r="G163">
        <v>15</v>
      </c>
      <c r="H163">
        <v>6</v>
      </c>
      <c r="I163">
        <v>0</v>
      </c>
      <c r="J163">
        <v>0.4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 s="86">
        <f>AVERAGEIFS($C$2:C163, $B$2:B163, B163)</f>
        <v>12.5</v>
      </c>
      <c r="AH163" s="86">
        <f>AVERAGEIFS($I$2:I163, $B$2:B163, B163)</f>
        <v>0.4</v>
      </c>
      <c r="AI163" s="86">
        <f>AVERAGEIFS($J$2:J163, $B$2:B163, B163)</f>
        <v>0.44750000000000001</v>
      </c>
      <c r="AJ163" s="86">
        <f>AVERAGEIFS($D$2:D163, $B$2:B163, B163)</f>
        <v>0.5</v>
      </c>
    </row>
    <row r="164" spans="1:36" x14ac:dyDescent="0.25">
      <c r="A164" s="85">
        <v>46065</v>
      </c>
      <c r="B164" t="s">
        <v>1</v>
      </c>
      <c r="C164">
        <v>16</v>
      </c>
      <c r="D164">
        <v>0</v>
      </c>
      <c r="E164">
        <v>3</v>
      </c>
      <c r="F164">
        <v>0</v>
      </c>
      <c r="G164">
        <v>15</v>
      </c>
      <c r="H164">
        <v>6</v>
      </c>
      <c r="I164">
        <v>0</v>
      </c>
      <c r="J164">
        <v>0.4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 s="86">
        <f>AVERAGEIFS($C$2:C164, $B$2:B164, B164)</f>
        <v>24</v>
      </c>
      <c r="AH164" s="86">
        <f>AVERAGEIFS($I$2:I164, $B$2:B164, B164)</f>
        <v>0.33750000000000002</v>
      </c>
      <c r="AI164" s="86">
        <f>AVERAGEIFS($J$2:J164, $B$2:B164, B164)</f>
        <v>0.45999999999999996</v>
      </c>
      <c r="AJ164" s="86">
        <f>AVERAGEIFS($D$2:D164, $B$2:B164, B164)</f>
        <v>0.5</v>
      </c>
    </row>
    <row r="165" spans="1:36" x14ac:dyDescent="0.25">
      <c r="A165" s="85">
        <v>46065</v>
      </c>
      <c r="B165" t="s">
        <v>35</v>
      </c>
      <c r="C165">
        <v>11</v>
      </c>
      <c r="D165">
        <v>0</v>
      </c>
      <c r="E165">
        <v>3</v>
      </c>
      <c r="F165">
        <v>0</v>
      </c>
      <c r="G165">
        <v>15</v>
      </c>
      <c r="H165">
        <v>6</v>
      </c>
      <c r="I165">
        <v>0</v>
      </c>
      <c r="J165">
        <v>0.4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 s="86">
        <f>AVERAGEIFS($C$2:C165, $B$2:B165, B165)</f>
        <v>11.4</v>
      </c>
      <c r="AH165" s="86">
        <f>AVERAGEIFS($I$2:I165, $B$2:B165, B165)</f>
        <v>0.433</v>
      </c>
      <c r="AI165" s="86">
        <f>AVERAGEIFS($J$2:J165, $B$2:B165, B165)</f>
        <v>0.49300000000000005</v>
      </c>
      <c r="AJ165" s="86">
        <f>AVERAGEIFS($D$2:D165, $B$2:B165, B165)</f>
        <v>0.4</v>
      </c>
    </row>
    <row r="166" spans="1:36" x14ac:dyDescent="0.25">
      <c r="A166" s="85">
        <v>46065</v>
      </c>
      <c r="B166" t="s">
        <v>53</v>
      </c>
      <c r="C166">
        <v>11</v>
      </c>
      <c r="D166">
        <v>0</v>
      </c>
      <c r="E166">
        <v>3</v>
      </c>
      <c r="F166">
        <v>0</v>
      </c>
      <c r="G166">
        <v>15</v>
      </c>
      <c r="H166">
        <v>6</v>
      </c>
      <c r="I166">
        <v>0</v>
      </c>
      <c r="J166">
        <v>0.4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 s="86">
        <f>AVERAGEIFS($C$2:C166, $B$2:B166, B166)</f>
        <v>19.142857142857142</v>
      </c>
      <c r="AH166" s="86">
        <f>AVERAGEIFS($I$2:I166, $B$2:B166, B166)</f>
        <v>0.52142857142857146</v>
      </c>
      <c r="AI166" s="86">
        <f>AVERAGEIFS($J$2:J166, $B$2:B166, B166)</f>
        <v>0.5</v>
      </c>
      <c r="AJ166" s="86">
        <f>AVERAGEIFS($D$2:D166, $B$2:B166, B166)</f>
        <v>0.42857142857142855</v>
      </c>
    </row>
    <row r="167" spans="1:36" x14ac:dyDescent="0.25">
      <c r="A167" s="85">
        <v>46066</v>
      </c>
      <c r="B167" t="s">
        <v>1</v>
      </c>
      <c r="C167">
        <v>27</v>
      </c>
      <c r="D167">
        <v>1</v>
      </c>
      <c r="E167">
        <v>5</v>
      </c>
      <c r="F167">
        <v>3</v>
      </c>
      <c r="G167">
        <v>22</v>
      </c>
      <c r="H167">
        <v>11</v>
      </c>
      <c r="I167">
        <v>0.6</v>
      </c>
      <c r="J167">
        <v>0.5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0</v>
      </c>
      <c r="Y167">
        <v>0</v>
      </c>
      <c r="Z167">
        <v>1</v>
      </c>
      <c r="AA167">
        <v>1</v>
      </c>
      <c r="AB167">
        <v>0</v>
      </c>
      <c r="AC167">
        <v>0</v>
      </c>
      <c r="AD167">
        <v>0</v>
      </c>
      <c r="AE167">
        <v>0</v>
      </c>
      <c r="AF167">
        <v>0</v>
      </c>
      <c r="AG167" s="86">
        <f>AVERAGEIFS($C$2:C167, $B$2:B167, B167)</f>
        <v>24.6</v>
      </c>
      <c r="AH167" s="86">
        <f>AVERAGEIFS($I$2:I167, $B$2:B167, B167)</f>
        <v>0.39</v>
      </c>
      <c r="AI167" s="86">
        <f>AVERAGEIFS($J$2:J167, $B$2:B167, B167)</f>
        <v>0.46799999999999997</v>
      </c>
      <c r="AJ167" s="86">
        <f>AVERAGEIFS($D$2:D167, $B$2:B167, B167)</f>
        <v>0.6</v>
      </c>
    </row>
    <row r="168" spans="1:36" x14ac:dyDescent="0.25">
      <c r="A168" s="85">
        <v>46066</v>
      </c>
      <c r="B168" t="s">
        <v>6</v>
      </c>
      <c r="C168">
        <v>25</v>
      </c>
      <c r="D168">
        <v>1</v>
      </c>
      <c r="E168">
        <v>5</v>
      </c>
      <c r="F168">
        <v>3</v>
      </c>
      <c r="G168">
        <v>22</v>
      </c>
      <c r="H168">
        <v>11</v>
      </c>
      <c r="I168">
        <v>0.6</v>
      </c>
      <c r="J168">
        <v>0.5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0</v>
      </c>
      <c r="Y168">
        <v>0</v>
      </c>
      <c r="Z168">
        <v>1</v>
      </c>
      <c r="AA168">
        <v>1</v>
      </c>
      <c r="AB168">
        <v>0</v>
      </c>
      <c r="AC168">
        <v>0</v>
      </c>
      <c r="AD168">
        <v>0</v>
      </c>
      <c r="AE168">
        <v>0</v>
      </c>
      <c r="AF168">
        <v>0</v>
      </c>
      <c r="AG168" s="86">
        <f>AVERAGEIFS($C$2:C168, $B$2:B168, B168)</f>
        <v>21.166666666666668</v>
      </c>
      <c r="AH168" s="86">
        <f>AVERAGEIFS($I$2:I168, $B$2:B168, B168)</f>
        <v>0.68166666666666664</v>
      </c>
      <c r="AI168" s="86">
        <f>AVERAGEIFS($J$2:J168, $B$2:B168, B168)</f>
        <v>0.57333333333333336</v>
      </c>
      <c r="AJ168" s="86">
        <f>AVERAGEIFS($D$2:D168, $B$2:B168, B168)</f>
        <v>0.75</v>
      </c>
    </row>
    <row r="169" spans="1:36" x14ac:dyDescent="0.25">
      <c r="A169" s="85">
        <v>46066</v>
      </c>
      <c r="B169" t="s">
        <v>14</v>
      </c>
      <c r="C169">
        <v>21</v>
      </c>
      <c r="D169">
        <v>1</v>
      </c>
      <c r="E169">
        <v>5</v>
      </c>
      <c r="F169">
        <v>3</v>
      </c>
      <c r="G169">
        <v>22</v>
      </c>
      <c r="H169">
        <v>11</v>
      </c>
      <c r="I169">
        <v>0.6</v>
      </c>
      <c r="J169">
        <v>0.5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0</v>
      </c>
      <c r="Y169">
        <v>0</v>
      </c>
      <c r="Z169">
        <v>1</v>
      </c>
      <c r="AA169">
        <v>1</v>
      </c>
      <c r="AB169">
        <v>0</v>
      </c>
      <c r="AC169">
        <v>0</v>
      </c>
      <c r="AD169">
        <v>0</v>
      </c>
      <c r="AE169">
        <v>0</v>
      </c>
      <c r="AF169">
        <v>0</v>
      </c>
      <c r="AG169" s="86">
        <f>AVERAGEIFS($C$2:C169, $B$2:B169, B169)</f>
        <v>17.5</v>
      </c>
      <c r="AH169" s="86">
        <f>AVERAGEIFS($I$2:I169, $B$2:B169, B169)</f>
        <v>0.42125000000000001</v>
      </c>
      <c r="AI169" s="86">
        <f>AVERAGEIFS($J$2:J169, $B$2:B169, B169)</f>
        <v>0.46499999999999997</v>
      </c>
      <c r="AJ169" s="86">
        <f>AVERAGEIFS($D$2:D169, $B$2:B169, B169)</f>
        <v>0.5</v>
      </c>
    </row>
    <row r="170" spans="1:36" x14ac:dyDescent="0.25">
      <c r="A170" s="85">
        <v>46066</v>
      </c>
      <c r="B170" t="s">
        <v>50</v>
      </c>
      <c r="C170">
        <v>20</v>
      </c>
      <c r="D170">
        <v>1</v>
      </c>
      <c r="E170">
        <v>5</v>
      </c>
      <c r="F170">
        <v>3</v>
      </c>
      <c r="G170">
        <v>22</v>
      </c>
      <c r="H170">
        <v>11</v>
      </c>
      <c r="I170">
        <v>0.6</v>
      </c>
      <c r="J170">
        <v>0.5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0</v>
      </c>
      <c r="Y170">
        <v>0</v>
      </c>
      <c r="Z170">
        <v>1</v>
      </c>
      <c r="AA170">
        <v>1</v>
      </c>
      <c r="AB170">
        <v>0</v>
      </c>
      <c r="AC170">
        <v>0</v>
      </c>
      <c r="AD170">
        <v>0</v>
      </c>
      <c r="AE170">
        <v>0</v>
      </c>
      <c r="AF170">
        <v>0</v>
      </c>
      <c r="AG170" s="86">
        <f>AVERAGEIFS($C$2:C170, $B$2:B170, B170)</f>
        <v>19.285714285714285</v>
      </c>
      <c r="AH170" s="86">
        <f>AVERAGEIFS($I$2:I170, $B$2:B170, B170)</f>
        <v>0.5485714285714286</v>
      </c>
      <c r="AI170" s="86">
        <f>AVERAGEIFS($J$2:J170, $B$2:B170, B170)</f>
        <v>0.5428571428571427</v>
      </c>
      <c r="AJ170" s="86">
        <f>AVERAGEIFS($D$2:D170, $B$2:B170, B170)</f>
        <v>0.5714285714285714</v>
      </c>
    </row>
    <row r="171" spans="1:36" x14ac:dyDescent="0.25">
      <c r="A171" s="85">
        <v>46066</v>
      </c>
      <c r="B171" t="s">
        <v>44</v>
      </c>
      <c r="C171">
        <v>15</v>
      </c>
      <c r="D171">
        <v>1</v>
      </c>
      <c r="E171">
        <v>5</v>
      </c>
      <c r="F171">
        <v>3</v>
      </c>
      <c r="G171">
        <v>22</v>
      </c>
      <c r="H171">
        <v>11</v>
      </c>
      <c r="I171">
        <v>0.6</v>
      </c>
      <c r="J171">
        <v>0.5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0</v>
      </c>
      <c r="Y171">
        <v>0</v>
      </c>
      <c r="Z171">
        <v>1</v>
      </c>
      <c r="AA171">
        <v>1</v>
      </c>
      <c r="AB171">
        <v>0</v>
      </c>
      <c r="AC171">
        <v>0</v>
      </c>
      <c r="AD171">
        <v>0</v>
      </c>
      <c r="AE171">
        <v>0</v>
      </c>
      <c r="AF171">
        <v>0</v>
      </c>
      <c r="AG171" s="86">
        <f>AVERAGEIFS($C$2:C171, $B$2:B171, B171)</f>
        <v>16</v>
      </c>
      <c r="AH171" s="86">
        <f>AVERAGEIFS($I$2:I171, $B$2:B171, B171)</f>
        <v>0.3</v>
      </c>
      <c r="AI171" s="86">
        <f>AVERAGEIFS($J$2:J171, $B$2:B171, B171)</f>
        <v>0.46499999999999997</v>
      </c>
      <c r="AJ171" s="86">
        <f>AVERAGEIFS($D$2:D171, $B$2:B171, B171)</f>
        <v>0.5</v>
      </c>
    </row>
    <row r="172" spans="1:36" x14ac:dyDescent="0.25">
      <c r="A172" s="85">
        <v>46066</v>
      </c>
      <c r="B172" t="s">
        <v>42</v>
      </c>
      <c r="C172">
        <v>13</v>
      </c>
      <c r="D172">
        <v>1</v>
      </c>
      <c r="E172">
        <v>5</v>
      </c>
      <c r="F172">
        <v>3</v>
      </c>
      <c r="G172">
        <v>22</v>
      </c>
      <c r="H172">
        <v>11</v>
      </c>
      <c r="I172">
        <v>0.6</v>
      </c>
      <c r="J172">
        <v>0.5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0</v>
      </c>
      <c r="Y172">
        <v>0</v>
      </c>
      <c r="Z172">
        <v>1</v>
      </c>
      <c r="AA172">
        <v>1</v>
      </c>
      <c r="AB172">
        <v>0</v>
      </c>
      <c r="AC172">
        <v>0</v>
      </c>
      <c r="AD172">
        <v>0</v>
      </c>
      <c r="AE172">
        <v>0</v>
      </c>
      <c r="AF172">
        <v>0</v>
      </c>
      <c r="AG172" s="86">
        <f>AVERAGEIFS($C$2:C172, $B$2:B172, B172)</f>
        <v>12.6</v>
      </c>
      <c r="AH172" s="86">
        <f>AVERAGEIFS($I$2:I172, $B$2:B172, B172)</f>
        <v>0.44000000000000006</v>
      </c>
      <c r="AI172" s="86">
        <f>AVERAGEIFS($J$2:J172, $B$2:B172, B172)</f>
        <v>0.45800000000000002</v>
      </c>
      <c r="AJ172" s="86">
        <f>AVERAGEIFS($D$2:D172, $B$2:B172, B172)</f>
        <v>0.6</v>
      </c>
    </row>
    <row r="173" spans="1:36" x14ac:dyDescent="0.25">
      <c r="A173" s="85">
        <v>46066</v>
      </c>
      <c r="B173" t="s">
        <v>17</v>
      </c>
      <c r="C173">
        <v>32</v>
      </c>
      <c r="D173">
        <v>0</v>
      </c>
      <c r="E173">
        <v>5</v>
      </c>
      <c r="F173">
        <v>2</v>
      </c>
      <c r="G173">
        <v>22</v>
      </c>
      <c r="H173">
        <v>11</v>
      </c>
      <c r="I173">
        <v>0.4</v>
      </c>
      <c r="J173">
        <v>0.5</v>
      </c>
      <c r="K173">
        <v>0</v>
      </c>
      <c r="L173">
        <v>0</v>
      </c>
      <c r="M173">
        <v>0</v>
      </c>
      <c r="N173">
        <v>1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1</v>
      </c>
      <c r="AE173">
        <v>0</v>
      </c>
      <c r="AF173">
        <v>0</v>
      </c>
      <c r="AG173" s="86">
        <f>AVERAGEIFS($C$2:C173, $B$2:B173, B173)</f>
        <v>19.846153846153847</v>
      </c>
      <c r="AH173" s="86">
        <f>AVERAGEIFS($I$2:I173, $B$2:B173, B173)</f>
        <v>0.48230769230769233</v>
      </c>
      <c r="AI173" s="86">
        <f>AVERAGEIFS($J$2:J173, $B$2:B173, B173)</f>
        <v>0.47461538461538461</v>
      </c>
      <c r="AJ173" s="86">
        <f>AVERAGEIFS($D$2:D173, $B$2:B173, B173)</f>
        <v>0.38461538461538464</v>
      </c>
    </row>
    <row r="174" spans="1:36" x14ac:dyDescent="0.25">
      <c r="A174" s="85">
        <v>46066</v>
      </c>
      <c r="B174" t="s">
        <v>46</v>
      </c>
      <c r="C174">
        <v>27</v>
      </c>
      <c r="D174">
        <v>0</v>
      </c>
      <c r="E174">
        <v>5</v>
      </c>
      <c r="F174">
        <v>2</v>
      </c>
      <c r="G174">
        <v>22</v>
      </c>
      <c r="H174">
        <v>11</v>
      </c>
      <c r="I174">
        <v>0.4</v>
      </c>
      <c r="J174">
        <v>0.5</v>
      </c>
      <c r="K174">
        <v>0</v>
      </c>
      <c r="L174">
        <v>0</v>
      </c>
      <c r="M174">
        <v>0</v>
      </c>
      <c r="N174">
        <v>1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1</v>
      </c>
      <c r="AE174">
        <v>0</v>
      </c>
      <c r="AF174">
        <v>0</v>
      </c>
      <c r="AG174" s="86">
        <f>AVERAGEIFS($C$2:C174, $B$2:B174, B174)</f>
        <v>19.2</v>
      </c>
      <c r="AH174" s="86">
        <f>AVERAGEIFS($I$2:I174, $B$2:B174, B174)</f>
        <v>0.47000000000000003</v>
      </c>
      <c r="AI174" s="86">
        <f>AVERAGEIFS($J$2:J174, $B$2:B174, B174)</f>
        <v>0.48499999999999999</v>
      </c>
      <c r="AJ174" s="86">
        <f>AVERAGEIFS($D$2:D174, $B$2:B174, B174)</f>
        <v>0.3</v>
      </c>
    </row>
    <row r="175" spans="1:36" x14ac:dyDescent="0.25">
      <c r="A175" s="85">
        <v>46066</v>
      </c>
      <c r="B175" t="s">
        <v>2</v>
      </c>
      <c r="C175">
        <v>25</v>
      </c>
      <c r="D175">
        <v>0</v>
      </c>
      <c r="E175">
        <v>5</v>
      </c>
      <c r="F175">
        <v>2</v>
      </c>
      <c r="G175">
        <v>22</v>
      </c>
      <c r="H175">
        <v>11</v>
      </c>
      <c r="I175">
        <v>0.4</v>
      </c>
      <c r="J175">
        <v>0.5</v>
      </c>
      <c r="K175">
        <v>0</v>
      </c>
      <c r="L175">
        <v>0</v>
      </c>
      <c r="M175">
        <v>0</v>
      </c>
      <c r="N175">
        <v>1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1</v>
      </c>
      <c r="AE175">
        <v>0</v>
      </c>
      <c r="AF175">
        <v>0</v>
      </c>
      <c r="AG175" s="86">
        <f>AVERAGEIFS($C$2:C175, $B$2:B175, B175)</f>
        <v>22</v>
      </c>
      <c r="AH175" s="86">
        <f>AVERAGEIFS($I$2:I175, $B$2:B175, B175)</f>
        <v>0.49777777777777782</v>
      </c>
      <c r="AI175" s="86">
        <f>AVERAGEIFS($J$2:J175, $B$2:B175, B175)</f>
        <v>0.55666666666666664</v>
      </c>
      <c r="AJ175" s="86">
        <f>AVERAGEIFS($D$2:D175, $B$2:B175, B175)</f>
        <v>0.44444444444444442</v>
      </c>
    </row>
    <row r="176" spans="1:36" x14ac:dyDescent="0.25">
      <c r="A176" s="85">
        <v>46066</v>
      </c>
      <c r="B176" t="s">
        <v>40</v>
      </c>
      <c r="C176">
        <v>18</v>
      </c>
      <c r="D176">
        <v>0</v>
      </c>
      <c r="E176">
        <v>5</v>
      </c>
      <c r="F176">
        <v>2</v>
      </c>
      <c r="G176">
        <v>22</v>
      </c>
      <c r="H176">
        <v>11</v>
      </c>
      <c r="I176">
        <v>0.4</v>
      </c>
      <c r="J176">
        <v>0.5</v>
      </c>
      <c r="K176">
        <v>0</v>
      </c>
      <c r="L176">
        <v>0</v>
      </c>
      <c r="M176">
        <v>0</v>
      </c>
      <c r="N176">
        <v>1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1</v>
      </c>
      <c r="AE176">
        <v>0</v>
      </c>
      <c r="AF176">
        <v>0</v>
      </c>
      <c r="AG176" s="86">
        <f>AVERAGEIFS($C$2:C176, $B$2:B176, B176)</f>
        <v>12.8</v>
      </c>
      <c r="AH176" s="86">
        <f>AVERAGEIFS($I$2:I176, $B$2:B176, B176)</f>
        <v>0.3</v>
      </c>
      <c r="AI176" s="86">
        <f>AVERAGEIFS($J$2:J176, $B$2:B176, B176)</f>
        <v>0.40199999999999997</v>
      </c>
      <c r="AJ176" s="86">
        <f>AVERAGEIFS($D$2:D176, $B$2:B176, B176)</f>
        <v>0.2</v>
      </c>
    </row>
    <row r="177" spans="1:36" x14ac:dyDescent="0.25">
      <c r="A177" s="85">
        <v>46066</v>
      </c>
      <c r="B177" t="s">
        <v>103</v>
      </c>
      <c r="C177">
        <v>9</v>
      </c>
      <c r="D177">
        <v>0</v>
      </c>
      <c r="E177">
        <v>5</v>
      </c>
      <c r="F177">
        <v>2</v>
      </c>
      <c r="G177">
        <v>22</v>
      </c>
      <c r="H177">
        <v>11</v>
      </c>
      <c r="I177">
        <v>0.4</v>
      </c>
      <c r="J177">
        <v>0.5</v>
      </c>
      <c r="K177">
        <v>0</v>
      </c>
      <c r="L177">
        <v>0</v>
      </c>
      <c r="M177">
        <v>0</v>
      </c>
      <c r="N177">
        <v>1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1</v>
      </c>
      <c r="AE177">
        <v>0</v>
      </c>
      <c r="AF177">
        <v>0</v>
      </c>
      <c r="AG177" s="86">
        <f>AVERAGEIFS($C$2:C177, $B$2:B177, B177)</f>
        <v>9</v>
      </c>
      <c r="AH177" s="86">
        <f>AVERAGEIFS($I$2:I177, $B$2:B177, B177)</f>
        <v>0.4</v>
      </c>
      <c r="AI177" s="86">
        <f>AVERAGEIFS($J$2:J177, $B$2:B177, B177)</f>
        <v>0.5</v>
      </c>
      <c r="AJ177" s="86">
        <f>AVERAGEIFS($D$2:D177, $B$2:B177, B177)</f>
        <v>0</v>
      </c>
    </row>
    <row r="178" spans="1:36" x14ac:dyDescent="0.25">
      <c r="A178" s="85">
        <v>46066</v>
      </c>
      <c r="B178" t="s">
        <v>35</v>
      </c>
      <c r="C178">
        <v>6</v>
      </c>
      <c r="D178">
        <v>0</v>
      </c>
      <c r="E178">
        <v>5</v>
      </c>
      <c r="F178">
        <v>2</v>
      </c>
      <c r="G178">
        <v>22</v>
      </c>
      <c r="H178">
        <v>11</v>
      </c>
      <c r="I178">
        <v>0.4</v>
      </c>
      <c r="J178">
        <v>0.5</v>
      </c>
      <c r="K178">
        <v>0</v>
      </c>
      <c r="L178">
        <v>0</v>
      </c>
      <c r="M178">
        <v>0</v>
      </c>
      <c r="N178">
        <v>1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1</v>
      </c>
      <c r="AE178">
        <v>0</v>
      </c>
      <c r="AF178">
        <v>0</v>
      </c>
      <c r="AG178" s="86">
        <f>AVERAGEIFS($C$2:C178, $B$2:B178, B178)</f>
        <v>10.909090909090908</v>
      </c>
      <c r="AH178" s="86">
        <f>AVERAGEIFS($I$2:I178, $B$2:B178, B178)</f>
        <v>0.43000000000000005</v>
      </c>
      <c r="AI178" s="86">
        <f>AVERAGEIFS($J$2:J178, $B$2:B178, B178)</f>
        <v>0.49363636363636371</v>
      </c>
      <c r="AJ178" s="86">
        <f>AVERAGEIFS($D$2:D178, $B$2:B178, B178)</f>
        <v>0.36363636363636365</v>
      </c>
    </row>
    <row r="179" spans="1:36" x14ac:dyDescent="0.25">
      <c r="A179" s="85">
        <v>46068</v>
      </c>
      <c r="B179" t="s">
        <v>2</v>
      </c>
      <c r="C179">
        <v>34</v>
      </c>
      <c r="D179">
        <v>1</v>
      </c>
      <c r="E179">
        <v>5</v>
      </c>
      <c r="F179">
        <v>3</v>
      </c>
      <c r="G179">
        <v>19</v>
      </c>
      <c r="H179">
        <v>9</v>
      </c>
      <c r="I179">
        <v>0.6</v>
      </c>
      <c r="J179">
        <v>0.47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1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1</v>
      </c>
      <c r="AC179">
        <v>1</v>
      </c>
      <c r="AD179">
        <v>0</v>
      </c>
      <c r="AE179">
        <v>0</v>
      </c>
      <c r="AF179">
        <v>0</v>
      </c>
      <c r="AG179" s="86">
        <f>AVERAGEIFS($C$2:C179, $B$2:B179, B179)</f>
        <v>23.2</v>
      </c>
      <c r="AH179" s="86">
        <f>AVERAGEIFS($I$2:I179, $B$2:B179, B179)</f>
        <v>0.50800000000000001</v>
      </c>
      <c r="AI179" s="86">
        <f>AVERAGEIFS($J$2:J179, $B$2:B179, B179)</f>
        <v>0.54799999999999993</v>
      </c>
      <c r="AJ179" s="86">
        <f>AVERAGEIFS($D$2:D179, $B$2:B179, B179)</f>
        <v>0.5</v>
      </c>
    </row>
    <row r="180" spans="1:36" x14ac:dyDescent="0.25">
      <c r="A180" s="85">
        <v>46068</v>
      </c>
      <c r="B180" t="s">
        <v>14</v>
      </c>
      <c r="C180">
        <v>25</v>
      </c>
      <c r="D180">
        <v>1</v>
      </c>
      <c r="E180">
        <v>5</v>
      </c>
      <c r="F180">
        <v>3</v>
      </c>
      <c r="G180">
        <v>19</v>
      </c>
      <c r="H180">
        <v>9</v>
      </c>
      <c r="I180">
        <v>0.6</v>
      </c>
      <c r="J180">
        <v>0.47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1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1</v>
      </c>
      <c r="AC180">
        <v>1</v>
      </c>
      <c r="AD180">
        <v>0</v>
      </c>
      <c r="AE180">
        <v>0</v>
      </c>
      <c r="AF180">
        <v>0</v>
      </c>
      <c r="AG180" s="86">
        <f>AVERAGEIFS($C$2:C180, $B$2:B180, B180)</f>
        <v>18.333333333333332</v>
      </c>
      <c r="AH180" s="86">
        <f>AVERAGEIFS($I$2:I180, $B$2:B180, B180)</f>
        <v>0.44111111111111112</v>
      </c>
      <c r="AI180" s="86">
        <f>AVERAGEIFS($J$2:J180, $B$2:B180, B180)</f>
        <v>0.4655555555555555</v>
      </c>
      <c r="AJ180" s="86">
        <f>AVERAGEIFS($D$2:D180, $B$2:B180, B180)</f>
        <v>0.55555555555555558</v>
      </c>
    </row>
    <row r="181" spans="1:36" x14ac:dyDescent="0.25">
      <c r="A181" s="85">
        <v>46068</v>
      </c>
      <c r="B181" t="s">
        <v>52</v>
      </c>
      <c r="C181">
        <v>18</v>
      </c>
      <c r="D181">
        <v>1</v>
      </c>
      <c r="E181">
        <v>5</v>
      </c>
      <c r="F181">
        <v>3</v>
      </c>
      <c r="G181">
        <v>19</v>
      </c>
      <c r="H181">
        <v>9</v>
      </c>
      <c r="I181">
        <v>0.6</v>
      </c>
      <c r="J181">
        <v>0.47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1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1</v>
      </c>
      <c r="AC181">
        <v>1</v>
      </c>
      <c r="AD181">
        <v>0</v>
      </c>
      <c r="AE181">
        <v>0</v>
      </c>
      <c r="AF181">
        <v>0</v>
      </c>
      <c r="AG181" s="86">
        <f>AVERAGEIFS($C$2:C181, $B$2:B181, B181)</f>
        <v>13.6</v>
      </c>
      <c r="AH181" s="86">
        <f>AVERAGEIFS($I$2:I181, $B$2:B181, B181)</f>
        <v>0.35</v>
      </c>
      <c r="AI181" s="86">
        <f>AVERAGEIFS($J$2:J181, $B$2:B181, B181)</f>
        <v>0.38</v>
      </c>
      <c r="AJ181" s="86">
        <f>AVERAGEIFS($D$2:D181, $B$2:B181, B181)</f>
        <v>0.2</v>
      </c>
    </row>
    <row r="182" spans="1:36" x14ac:dyDescent="0.25">
      <c r="A182" s="85">
        <v>46068</v>
      </c>
      <c r="B182" t="s">
        <v>27</v>
      </c>
      <c r="C182">
        <v>15</v>
      </c>
      <c r="D182">
        <v>1</v>
      </c>
      <c r="E182">
        <v>5</v>
      </c>
      <c r="F182">
        <v>3</v>
      </c>
      <c r="G182">
        <v>19</v>
      </c>
      <c r="H182">
        <v>9</v>
      </c>
      <c r="I182">
        <v>0.6</v>
      </c>
      <c r="J182">
        <v>0.47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1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1</v>
      </c>
      <c r="AC182">
        <v>1</v>
      </c>
      <c r="AD182">
        <v>0</v>
      </c>
      <c r="AE182">
        <v>0</v>
      </c>
      <c r="AF182">
        <v>0</v>
      </c>
      <c r="AG182" s="86">
        <f>AVERAGEIFS($C$2:C182, $B$2:B182, B182)</f>
        <v>14.666666666666666</v>
      </c>
      <c r="AH182" s="86">
        <f>AVERAGEIFS($I$2:I182, $B$2:B182, B182)</f>
        <v>0.46666666666666662</v>
      </c>
      <c r="AI182" s="86">
        <f>AVERAGEIFS($J$2:J182, $B$2:B182, B182)</f>
        <v>0.44</v>
      </c>
      <c r="AJ182" s="86">
        <f>AVERAGEIFS($D$2:D182, $B$2:B182, B182)</f>
        <v>0.33333333333333331</v>
      </c>
    </row>
    <row r="183" spans="1:36" x14ac:dyDescent="0.25">
      <c r="A183" s="85">
        <v>46068</v>
      </c>
      <c r="B183" t="s">
        <v>105</v>
      </c>
      <c r="C183">
        <v>12</v>
      </c>
      <c r="D183">
        <v>1</v>
      </c>
      <c r="E183">
        <v>5</v>
      </c>
      <c r="F183">
        <v>3</v>
      </c>
      <c r="G183">
        <v>19</v>
      </c>
      <c r="H183">
        <v>9</v>
      </c>
      <c r="I183">
        <v>0.6</v>
      </c>
      <c r="J183">
        <v>0.47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1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1</v>
      </c>
      <c r="AC183">
        <v>1</v>
      </c>
      <c r="AD183">
        <v>0</v>
      </c>
      <c r="AE183">
        <v>0</v>
      </c>
      <c r="AF183">
        <v>0</v>
      </c>
      <c r="AG183" s="86">
        <f>AVERAGEIFS($C$2:C183, $B$2:B183, B183)</f>
        <v>12</v>
      </c>
      <c r="AH183" s="86">
        <f>AVERAGEIFS($I$2:I183, $B$2:B183, B183)</f>
        <v>0.6</v>
      </c>
      <c r="AI183" s="86">
        <f>AVERAGEIFS($J$2:J183, $B$2:B183, B183)</f>
        <v>0.47</v>
      </c>
      <c r="AJ183" s="86">
        <f>AVERAGEIFS($D$2:D183, $B$2:B183, B183)</f>
        <v>1</v>
      </c>
    </row>
    <row r="184" spans="1:36" x14ac:dyDescent="0.25">
      <c r="A184" s="85">
        <v>46068</v>
      </c>
      <c r="B184" t="s">
        <v>19</v>
      </c>
      <c r="C184">
        <v>7</v>
      </c>
      <c r="D184">
        <v>1</v>
      </c>
      <c r="E184">
        <v>5</v>
      </c>
      <c r="F184">
        <v>3</v>
      </c>
      <c r="G184">
        <v>19</v>
      </c>
      <c r="H184">
        <v>9</v>
      </c>
      <c r="I184">
        <v>0.6</v>
      </c>
      <c r="J184">
        <v>0.47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1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1</v>
      </c>
      <c r="AC184">
        <v>1</v>
      </c>
      <c r="AD184">
        <v>0</v>
      </c>
      <c r="AE184">
        <v>0</v>
      </c>
      <c r="AF184">
        <v>0</v>
      </c>
      <c r="AG184" s="86">
        <f>AVERAGEIFS($C$2:C184, $B$2:B184, B184)</f>
        <v>8.0833333333333339</v>
      </c>
      <c r="AH184" s="86">
        <f>AVERAGEIFS($I$2:I184, $B$2:B184, B184)</f>
        <v>0.60666666666666669</v>
      </c>
      <c r="AI184" s="86">
        <f>AVERAGEIFS($J$2:J184, $B$2:B184, B184)</f>
        <v>0.57833333333333325</v>
      </c>
      <c r="AJ184" s="86">
        <f>AVERAGEIFS($D$2:D184, $B$2:B184, B184)</f>
        <v>0.66666666666666663</v>
      </c>
    </row>
    <row r="185" spans="1:36" x14ac:dyDescent="0.25">
      <c r="A185" s="85">
        <v>46068</v>
      </c>
      <c r="B185" t="s">
        <v>6</v>
      </c>
      <c r="C185">
        <v>25</v>
      </c>
      <c r="D185">
        <v>0</v>
      </c>
      <c r="E185">
        <v>5</v>
      </c>
      <c r="F185">
        <v>2</v>
      </c>
      <c r="G185">
        <v>19</v>
      </c>
      <c r="H185">
        <v>10</v>
      </c>
      <c r="I185">
        <v>0.4</v>
      </c>
      <c r="J185">
        <v>0.53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 s="86">
        <f>AVERAGEIFS($C$2:C185, $B$2:B185, B185)</f>
        <v>21.46153846153846</v>
      </c>
      <c r="AH185" s="86">
        <f>AVERAGEIFS($I$2:I185, $B$2:B185, B185)</f>
        <v>0.66</v>
      </c>
      <c r="AI185" s="86">
        <f>AVERAGEIFS($J$2:J185, $B$2:B185, B185)</f>
        <v>0.57000000000000006</v>
      </c>
      <c r="AJ185" s="86">
        <f>AVERAGEIFS($D$2:D185, $B$2:B185, B185)</f>
        <v>0.69230769230769229</v>
      </c>
    </row>
    <row r="186" spans="1:36" x14ac:dyDescent="0.25">
      <c r="A186" s="85">
        <v>46068</v>
      </c>
      <c r="B186" t="s">
        <v>17</v>
      </c>
      <c r="C186">
        <v>24</v>
      </c>
      <c r="D186">
        <v>0</v>
      </c>
      <c r="E186">
        <v>5</v>
      </c>
      <c r="F186">
        <v>2</v>
      </c>
      <c r="G186">
        <v>19</v>
      </c>
      <c r="H186">
        <v>10</v>
      </c>
      <c r="I186">
        <v>0.4</v>
      </c>
      <c r="J186">
        <v>0.53</v>
      </c>
      <c r="K186">
        <v>0</v>
      </c>
      <c r="L186">
        <v>0</v>
      </c>
      <c r="M186">
        <v>1</v>
      </c>
      <c r="N186">
        <v>0</v>
      </c>
      <c r="O186">
        <v>0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 s="86">
        <f>AVERAGEIFS($C$2:C186, $B$2:B186, B186)</f>
        <v>20.142857142857142</v>
      </c>
      <c r="AH186" s="86">
        <f>AVERAGEIFS($I$2:I186, $B$2:B186, B186)</f>
        <v>0.47642857142857148</v>
      </c>
      <c r="AI186" s="86">
        <f>AVERAGEIFS($J$2:J186, $B$2:B186, B186)</f>
        <v>0.47857142857142859</v>
      </c>
      <c r="AJ186" s="86">
        <f>AVERAGEIFS($D$2:D186, $B$2:B186, B186)</f>
        <v>0.35714285714285715</v>
      </c>
    </row>
    <row r="187" spans="1:36" x14ac:dyDescent="0.25">
      <c r="A187" s="85">
        <v>46068</v>
      </c>
      <c r="B187" t="s">
        <v>40</v>
      </c>
      <c r="C187">
        <v>23</v>
      </c>
      <c r="D187">
        <v>0</v>
      </c>
      <c r="E187">
        <v>5</v>
      </c>
      <c r="F187">
        <v>2</v>
      </c>
      <c r="G187">
        <v>19</v>
      </c>
      <c r="H187">
        <v>10</v>
      </c>
      <c r="I187">
        <v>0.4</v>
      </c>
      <c r="J187">
        <v>0.53</v>
      </c>
      <c r="K187">
        <v>0</v>
      </c>
      <c r="L187">
        <v>0</v>
      </c>
      <c r="M187">
        <v>1</v>
      </c>
      <c r="N187">
        <v>0</v>
      </c>
      <c r="O187">
        <v>0</v>
      </c>
      <c r="P187">
        <v>0</v>
      </c>
      <c r="Q187">
        <v>0</v>
      </c>
      <c r="R187">
        <v>1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 s="86">
        <f>AVERAGEIFS($C$2:C187, $B$2:B187, B187)</f>
        <v>14.5</v>
      </c>
      <c r="AH187" s="86">
        <f>AVERAGEIFS($I$2:I187, $B$2:B187, B187)</f>
        <v>0.31666666666666665</v>
      </c>
      <c r="AI187" s="86">
        <f>AVERAGEIFS($J$2:J187, $B$2:B187, B187)</f>
        <v>0.42333333333333334</v>
      </c>
      <c r="AJ187" s="86">
        <f>AVERAGEIFS($D$2:D187, $B$2:B187, B187)</f>
        <v>0.16666666666666666</v>
      </c>
    </row>
    <row r="188" spans="1:36" x14ac:dyDescent="0.25">
      <c r="A188" s="85">
        <v>46068</v>
      </c>
      <c r="B188" t="s">
        <v>44</v>
      </c>
      <c r="C188">
        <v>14</v>
      </c>
      <c r="D188">
        <v>0</v>
      </c>
      <c r="E188">
        <v>5</v>
      </c>
      <c r="F188">
        <v>2</v>
      </c>
      <c r="G188">
        <v>19</v>
      </c>
      <c r="H188">
        <v>10</v>
      </c>
      <c r="I188">
        <v>0.4</v>
      </c>
      <c r="J188">
        <v>0.53</v>
      </c>
      <c r="K188">
        <v>0</v>
      </c>
      <c r="L188">
        <v>0</v>
      </c>
      <c r="M188">
        <v>1</v>
      </c>
      <c r="N188">
        <v>0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 s="86">
        <f>AVERAGEIFS($C$2:C188, $B$2:B188, B188)</f>
        <v>15.333333333333334</v>
      </c>
      <c r="AH188" s="86">
        <f>AVERAGEIFS($I$2:I188, $B$2:B188, B188)</f>
        <v>0.33333333333333331</v>
      </c>
      <c r="AI188" s="86">
        <f>AVERAGEIFS($J$2:J188, $B$2:B188, B188)</f>
        <v>0.48666666666666664</v>
      </c>
      <c r="AJ188" s="86">
        <f>AVERAGEIFS($D$2:D188, $B$2:B188, B188)</f>
        <v>0.33333333333333331</v>
      </c>
    </row>
    <row r="189" spans="1:36" x14ac:dyDescent="0.25">
      <c r="A189" s="85">
        <v>46068</v>
      </c>
      <c r="B189" t="s">
        <v>37</v>
      </c>
      <c r="C189">
        <v>16</v>
      </c>
      <c r="D189">
        <v>0</v>
      </c>
      <c r="E189">
        <v>5</v>
      </c>
      <c r="F189">
        <v>2</v>
      </c>
      <c r="G189">
        <v>19</v>
      </c>
      <c r="H189">
        <v>10</v>
      </c>
      <c r="I189">
        <v>0.4</v>
      </c>
      <c r="J189">
        <v>0.53</v>
      </c>
      <c r="K189">
        <v>0</v>
      </c>
      <c r="L189">
        <v>0</v>
      </c>
      <c r="M189">
        <v>1</v>
      </c>
      <c r="N189">
        <v>0</v>
      </c>
      <c r="O189">
        <v>0</v>
      </c>
      <c r="P189">
        <v>0</v>
      </c>
      <c r="Q189">
        <v>0</v>
      </c>
      <c r="R189">
        <v>1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 s="86">
        <f>AVERAGEIFS($C$2:C189, $B$2:B189, B189)</f>
        <v>14</v>
      </c>
      <c r="AH189" s="86">
        <f>AVERAGEIFS($I$2:I189, $B$2:B189, B189)</f>
        <v>0.63749999999999996</v>
      </c>
      <c r="AI189" s="86">
        <f>AVERAGEIFS($J$2:J189, $B$2:B189, B189)</f>
        <v>0.5625</v>
      </c>
      <c r="AJ189" s="86">
        <f>AVERAGEIFS($D$2:D189, $B$2:B189, B189)</f>
        <v>0.5</v>
      </c>
    </row>
    <row r="190" spans="1:36" x14ac:dyDescent="0.25">
      <c r="A190" s="85">
        <v>46068</v>
      </c>
      <c r="B190" t="s">
        <v>35</v>
      </c>
      <c r="C190">
        <v>7</v>
      </c>
      <c r="D190">
        <v>0</v>
      </c>
      <c r="E190">
        <v>5</v>
      </c>
      <c r="F190">
        <v>2</v>
      </c>
      <c r="G190">
        <v>19</v>
      </c>
      <c r="H190">
        <v>10</v>
      </c>
      <c r="I190">
        <v>0.4</v>
      </c>
      <c r="J190">
        <v>0.53</v>
      </c>
      <c r="K190">
        <v>0</v>
      </c>
      <c r="L190">
        <v>0</v>
      </c>
      <c r="M190">
        <v>1</v>
      </c>
      <c r="N190">
        <v>0</v>
      </c>
      <c r="O190">
        <v>0</v>
      </c>
      <c r="P190">
        <v>0</v>
      </c>
      <c r="Q190">
        <v>0</v>
      </c>
      <c r="R190">
        <v>1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 s="86">
        <f>AVERAGEIFS($C$2:C190, $B$2:B190, B190)</f>
        <v>10.583333333333334</v>
      </c>
      <c r="AH190" s="86">
        <f>AVERAGEIFS($I$2:I190, $B$2:B190, B190)</f>
        <v>0.42750000000000005</v>
      </c>
      <c r="AI190" s="86">
        <f>AVERAGEIFS($J$2:J190, $B$2:B190, B190)</f>
        <v>0.49666666666666676</v>
      </c>
      <c r="AJ190" s="86">
        <f>AVERAGEIFS($D$2:D190, $B$2:B190, B190)</f>
        <v>0.33333333333333331</v>
      </c>
    </row>
    <row r="191" spans="1:36" x14ac:dyDescent="0.25">
      <c r="A191" s="85">
        <v>46073</v>
      </c>
      <c r="B191" t="s">
        <v>50</v>
      </c>
      <c r="C191">
        <v>31</v>
      </c>
      <c r="D191">
        <v>1</v>
      </c>
      <c r="E191">
        <v>5</v>
      </c>
      <c r="F191">
        <v>3</v>
      </c>
      <c r="G191">
        <v>23</v>
      </c>
      <c r="H191">
        <v>13</v>
      </c>
      <c r="I191">
        <v>0.6</v>
      </c>
      <c r="J191">
        <v>0.56999999999999995</v>
      </c>
      <c r="K191">
        <v>0</v>
      </c>
      <c r="L191">
        <v>0</v>
      </c>
      <c r="M191">
        <v>0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1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1</v>
      </c>
      <c r="AE191">
        <v>0</v>
      </c>
      <c r="AF191">
        <v>0</v>
      </c>
      <c r="AG191" s="86">
        <f>AVERAGEIFS($C$2:C191, $B$2:B191, B191)</f>
        <v>20.066666666666666</v>
      </c>
      <c r="AH191" s="86">
        <f>AVERAGEIFS($I$2:I191, $B$2:B191, B191)</f>
        <v>0.55200000000000005</v>
      </c>
      <c r="AI191" s="86">
        <f>AVERAGEIFS($J$2:J191, $B$2:B191, B191)</f>
        <v>0.54466666666666652</v>
      </c>
      <c r="AJ191" s="86">
        <f>AVERAGEIFS($D$2:D191, $B$2:B191, B191)</f>
        <v>0.6</v>
      </c>
    </row>
    <row r="192" spans="1:36" x14ac:dyDescent="0.25">
      <c r="A192" s="85">
        <v>46073</v>
      </c>
      <c r="B192" t="s">
        <v>6</v>
      </c>
      <c r="C192">
        <v>31</v>
      </c>
      <c r="D192">
        <v>1</v>
      </c>
      <c r="E192">
        <v>5</v>
      </c>
      <c r="F192">
        <v>3</v>
      </c>
      <c r="G192">
        <v>23</v>
      </c>
      <c r="H192">
        <v>13</v>
      </c>
      <c r="I192">
        <v>0.6</v>
      </c>
      <c r="J192">
        <v>0.56999999999999995</v>
      </c>
      <c r="K192">
        <v>0</v>
      </c>
      <c r="L192">
        <v>0</v>
      </c>
      <c r="M192">
        <v>0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1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1</v>
      </c>
      <c r="AE192">
        <v>0</v>
      </c>
      <c r="AF192">
        <v>0</v>
      </c>
      <c r="AG192" s="86">
        <f>AVERAGEIFS($C$2:C192, $B$2:B192, B192)</f>
        <v>22.142857142857142</v>
      </c>
      <c r="AH192" s="86">
        <f>AVERAGEIFS($I$2:I192, $B$2:B192, B192)</f>
        <v>0.65571428571428569</v>
      </c>
      <c r="AI192" s="86">
        <f>AVERAGEIFS($J$2:J192, $B$2:B192, B192)</f>
        <v>0.57000000000000006</v>
      </c>
      <c r="AJ192" s="86">
        <f>AVERAGEIFS($D$2:D192, $B$2:B192, B192)</f>
        <v>0.7142857142857143</v>
      </c>
    </row>
    <row r="193" spans="1:36" x14ac:dyDescent="0.25">
      <c r="A193" s="85">
        <v>46073</v>
      </c>
      <c r="B193" t="s">
        <v>40</v>
      </c>
      <c r="C193">
        <v>23</v>
      </c>
      <c r="D193">
        <v>1</v>
      </c>
      <c r="E193">
        <v>5</v>
      </c>
      <c r="F193">
        <v>3</v>
      </c>
      <c r="G193">
        <v>23</v>
      </c>
      <c r="H193">
        <v>13</v>
      </c>
      <c r="I193">
        <v>0.6</v>
      </c>
      <c r="J193">
        <v>0.56999999999999995</v>
      </c>
      <c r="K193">
        <v>0</v>
      </c>
      <c r="L193">
        <v>0</v>
      </c>
      <c r="M193">
        <v>0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1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1</v>
      </c>
      <c r="AE193">
        <v>0</v>
      </c>
      <c r="AF193">
        <v>0</v>
      </c>
      <c r="AG193" s="86">
        <f>AVERAGEIFS($C$2:C193, $B$2:B193, B193)</f>
        <v>15.714285714285714</v>
      </c>
      <c r="AH193" s="86">
        <f>AVERAGEIFS($I$2:I193, $B$2:B193, B193)</f>
        <v>0.35714285714285715</v>
      </c>
      <c r="AI193" s="86">
        <f>AVERAGEIFS($J$2:J193, $B$2:B193, B193)</f>
        <v>0.44428571428571428</v>
      </c>
      <c r="AJ193" s="86">
        <f>AVERAGEIFS($D$2:D193, $B$2:B193, B193)</f>
        <v>0.2857142857142857</v>
      </c>
    </row>
    <row r="194" spans="1:36" x14ac:dyDescent="0.25">
      <c r="A194" s="85">
        <v>46073</v>
      </c>
      <c r="B194" t="s">
        <v>1</v>
      </c>
      <c r="C194">
        <v>34</v>
      </c>
      <c r="D194">
        <v>1</v>
      </c>
      <c r="E194">
        <v>5</v>
      </c>
      <c r="F194">
        <v>3</v>
      </c>
      <c r="G194">
        <v>23</v>
      </c>
      <c r="H194">
        <v>13</v>
      </c>
      <c r="I194">
        <v>0.6</v>
      </c>
      <c r="J194">
        <v>0.56999999999999995</v>
      </c>
      <c r="K194">
        <v>0</v>
      </c>
      <c r="L194">
        <v>0</v>
      </c>
      <c r="M194">
        <v>0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1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1</v>
      </c>
      <c r="AE194">
        <v>0</v>
      </c>
      <c r="AF194">
        <v>0</v>
      </c>
      <c r="AG194" s="86">
        <f>AVERAGEIFS($C$2:C194, $B$2:B194, B194)</f>
        <v>26.166666666666668</v>
      </c>
      <c r="AH194" s="86">
        <f>AVERAGEIFS($I$2:I194, $B$2:B194, B194)</f>
        <v>0.42500000000000004</v>
      </c>
      <c r="AI194" s="86">
        <f>AVERAGEIFS($J$2:J194, $B$2:B194, B194)</f>
        <v>0.48499999999999993</v>
      </c>
      <c r="AJ194" s="86">
        <f>AVERAGEIFS($D$2:D194, $B$2:B194, B194)</f>
        <v>0.66666666666666663</v>
      </c>
    </row>
    <row r="195" spans="1:36" x14ac:dyDescent="0.25">
      <c r="A195" s="85">
        <v>46073</v>
      </c>
      <c r="B195" t="s">
        <v>35</v>
      </c>
      <c r="C195">
        <v>20</v>
      </c>
      <c r="D195">
        <v>1</v>
      </c>
      <c r="E195">
        <v>5</v>
      </c>
      <c r="F195">
        <v>3</v>
      </c>
      <c r="G195">
        <v>23</v>
      </c>
      <c r="H195">
        <v>13</v>
      </c>
      <c r="I195">
        <v>0.6</v>
      </c>
      <c r="J195">
        <v>0.56999999999999995</v>
      </c>
      <c r="K195">
        <v>0</v>
      </c>
      <c r="L195">
        <v>0</v>
      </c>
      <c r="M195">
        <v>0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1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1</v>
      </c>
      <c r="AE195">
        <v>0</v>
      </c>
      <c r="AF195">
        <v>0</v>
      </c>
      <c r="AG195" s="86">
        <f>AVERAGEIFS($C$2:C195, $B$2:B195, B195)</f>
        <v>11.307692307692308</v>
      </c>
      <c r="AH195" s="86">
        <f>AVERAGEIFS($I$2:I195, $B$2:B195, B195)</f>
        <v>0.4407692307692308</v>
      </c>
      <c r="AI195" s="86">
        <f>AVERAGEIFS($J$2:J195, $B$2:B195, B195)</f>
        <v>0.50230769230769234</v>
      </c>
      <c r="AJ195" s="86">
        <f>AVERAGEIFS($D$2:D195, $B$2:B195, B195)</f>
        <v>0.38461538461538464</v>
      </c>
    </row>
    <row r="196" spans="1:36" x14ac:dyDescent="0.25">
      <c r="A196" s="85">
        <v>46073</v>
      </c>
      <c r="B196" t="s">
        <v>42</v>
      </c>
      <c r="C196">
        <v>31</v>
      </c>
      <c r="D196">
        <v>1</v>
      </c>
      <c r="E196">
        <v>5</v>
      </c>
      <c r="F196">
        <v>3</v>
      </c>
      <c r="G196">
        <v>23</v>
      </c>
      <c r="H196">
        <v>13</v>
      </c>
      <c r="I196">
        <v>0.6</v>
      </c>
      <c r="J196">
        <v>0.56999999999999995</v>
      </c>
      <c r="K196">
        <v>0</v>
      </c>
      <c r="L196">
        <v>0</v>
      </c>
      <c r="M196">
        <v>0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1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1</v>
      </c>
      <c r="AE196">
        <v>0</v>
      </c>
      <c r="AF196">
        <v>0</v>
      </c>
      <c r="AG196" s="86">
        <f>AVERAGEIFS($C$2:C196, $B$2:B196, B196)</f>
        <v>15.666666666666666</v>
      </c>
      <c r="AH196" s="86">
        <f>AVERAGEIFS($I$2:I196, $B$2:B196, B196)</f>
        <v>0.46666666666666673</v>
      </c>
      <c r="AI196" s="86">
        <f>AVERAGEIFS($J$2:J196, $B$2:B196, B196)</f>
        <v>0.47666666666666663</v>
      </c>
      <c r="AJ196" s="86">
        <f>AVERAGEIFS($D$2:D196, $B$2:B196, B196)</f>
        <v>0.66666666666666663</v>
      </c>
    </row>
    <row r="197" spans="1:36" x14ac:dyDescent="0.25">
      <c r="A197" s="85">
        <v>46073</v>
      </c>
      <c r="B197" t="s">
        <v>107</v>
      </c>
      <c r="C197">
        <v>9</v>
      </c>
      <c r="D197">
        <v>1</v>
      </c>
      <c r="E197">
        <v>5</v>
      </c>
      <c r="F197">
        <v>3</v>
      </c>
      <c r="G197">
        <v>23</v>
      </c>
      <c r="H197">
        <v>13</v>
      </c>
      <c r="I197">
        <v>0.6</v>
      </c>
      <c r="J197">
        <v>0.56999999999999995</v>
      </c>
      <c r="K197">
        <v>0</v>
      </c>
      <c r="L197">
        <v>0</v>
      </c>
      <c r="M197">
        <v>0</v>
      </c>
      <c r="N197">
        <v>1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1</v>
      </c>
      <c r="AE197">
        <v>0</v>
      </c>
      <c r="AF197">
        <v>0</v>
      </c>
      <c r="AG197" s="86">
        <f>AVERAGEIFS($C$2:C197, $B$2:B197, B197)</f>
        <v>9</v>
      </c>
      <c r="AH197" s="86">
        <f>AVERAGEIFS($I$2:I197, $B$2:B197, B197)</f>
        <v>0.6</v>
      </c>
      <c r="AI197" s="86">
        <f>AVERAGEIFS($J$2:J197, $B$2:B197, B197)</f>
        <v>0.56999999999999995</v>
      </c>
      <c r="AJ197" s="86">
        <f>AVERAGEIFS($D$2:D197, $B$2:B197, B197)</f>
        <v>1</v>
      </c>
    </row>
    <row r="198" spans="1:36" x14ac:dyDescent="0.25">
      <c r="A198" s="85">
        <v>46073</v>
      </c>
      <c r="B198" t="s">
        <v>38</v>
      </c>
      <c r="C198">
        <v>3</v>
      </c>
      <c r="D198">
        <v>0</v>
      </c>
      <c r="E198">
        <v>5</v>
      </c>
      <c r="F198">
        <v>2</v>
      </c>
      <c r="G198">
        <v>23</v>
      </c>
      <c r="H198">
        <v>10</v>
      </c>
      <c r="I198">
        <v>0.4</v>
      </c>
      <c r="J198">
        <v>0.43</v>
      </c>
      <c r="K198">
        <v>0</v>
      </c>
      <c r="L198">
        <v>0</v>
      </c>
      <c r="M198">
        <v>1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1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 s="86">
        <f>AVERAGEIFS($C$2:C198, $B$2:B198, B198)</f>
        <v>2.6666666666666665</v>
      </c>
      <c r="AH198" s="86">
        <f>AVERAGEIFS($I$2:I198, $B$2:B198, B198)</f>
        <v>0.3833333333333333</v>
      </c>
      <c r="AI198" s="86">
        <f>AVERAGEIFS($J$2:J198, $B$2:B198, B198)</f>
        <v>0.40333333333333332</v>
      </c>
      <c r="AJ198" s="86">
        <f>AVERAGEIFS($D$2:D198, $B$2:B198, B198)</f>
        <v>0.33333333333333331</v>
      </c>
    </row>
    <row r="199" spans="1:36" x14ac:dyDescent="0.25">
      <c r="A199" s="85">
        <v>46073</v>
      </c>
      <c r="B199" t="s">
        <v>54</v>
      </c>
      <c r="C199">
        <v>30</v>
      </c>
      <c r="D199">
        <v>0</v>
      </c>
      <c r="E199">
        <v>5</v>
      </c>
      <c r="F199">
        <v>2</v>
      </c>
      <c r="G199">
        <v>23</v>
      </c>
      <c r="H199">
        <v>10</v>
      </c>
      <c r="I199">
        <v>0.4</v>
      </c>
      <c r="J199">
        <v>0.43</v>
      </c>
      <c r="K199">
        <v>0</v>
      </c>
      <c r="L199">
        <v>0</v>
      </c>
      <c r="M199">
        <v>1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1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 s="86">
        <f>AVERAGEIFS($C$2:C199, $B$2:B199, B199)</f>
        <v>24.785714285714285</v>
      </c>
      <c r="AH199" s="86">
        <f>AVERAGEIFS($I$2:I199, $B$2:B199, B199)</f>
        <v>0.505</v>
      </c>
      <c r="AI199" s="86">
        <f>AVERAGEIFS($J$2:J199, $B$2:B199, B199)</f>
        <v>0.47428571428571425</v>
      </c>
      <c r="AJ199" s="86">
        <f>AVERAGEIFS($D$2:D199, $B$2:B199, B199)</f>
        <v>0.5</v>
      </c>
    </row>
    <row r="200" spans="1:36" x14ac:dyDescent="0.25">
      <c r="A200" s="85">
        <v>46073</v>
      </c>
      <c r="B200" t="s">
        <v>2</v>
      </c>
      <c r="C200">
        <v>35</v>
      </c>
      <c r="D200">
        <v>0</v>
      </c>
      <c r="E200">
        <v>5</v>
      </c>
      <c r="F200">
        <v>2</v>
      </c>
      <c r="G200">
        <v>23</v>
      </c>
      <c r="H200">
        <v>10</v>
      </c>
      <c r="I200">
        <v>0.4</v>
      </c>
      <c r="J200">
        <v>0.43</v>
      </c>
      <c r="K200">
        <v>0</v>
      </c>
      <c r="L200">
        <v>0</v>
      </c>
      <c r="M200">
        <v>1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1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 s="86">
        <f>AVERAGEIFS($C$2:C200, $B$2:B200, B200)</f>
        <v>24.272727272727273</v>
      </c>
      <c r="AH200" s="86">
        <f>AVERAGEIFS($I$2:I200, $B$2:B200, B200)</f>
        <v>0.49818181818181823</v>
      </c>
      <c r="AI200" s="86">
        <f>AVERAGEIFS($J$2:J200, $B$2:B200, B200)</f>
        <v>0.53727272727272724</v>
      </c>
      <c r="AJ200" s="86">
        <f>AVERAGEIFS($D$2:D200, $B$2:B200, B200)</f>
        <v>0.45454545454545453</v>
      </c>
    </row>
    <row r="201" spans="1:36" x14ac:dyDescent="0.25">
      <c r="A201" s="85">
        <v>46073</v>
      </c>
      <c r="B201" t="s">
        <v>4</v>
      </c>
      <c r="C201">
        <v>32</v>
      </c>
      <c r="D201">
        <v>0</v>
      </c>
      <c r="E201">
        <v>5</v>
      </c>
      <c r="F201">
        <v>2</v>
      </c>
      <c r="G201">
        <v>23</v>
      </c>
      <c r="H201">
        <v>10</v>
      </c>
      <c r="I201">
        <v>0.4</v>
      </c>
      <c r="J201">
        <v>0.43</v>
      </c>
      <c r="K201">
        <v>0</v>
      </c>
      <c r="L201">
        <v>0</v>
      </c>
      <c r="M201">
        <v>1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1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 s="86">
        <f>AVERAGEIFS($C$2:C201, $B$2:B201, B201)</f>
        <v>22</v>
      </c>
      <c r="AH201" s="86">
        <f>AVERAGEIFS($I$2:I201, $B$2:B201, B201)</f>
        <v>0.26250000000000001</v>
      </c>
      <c r="AI201" s="86">
        <f>AVERAGEIFS($J$2:J201, $B$2:B201, B201)</f>
        <v>0.375</v>
      </c>
      <c r="AJ201" s="86">
        <f>AVERAGEIFS($D$2:D201, $B$2:B201, B201)</f>
        <v>0</v>
      </c>
    </row>
    <row r="202" spans="1:36" x14ac:dyDescent="0.25">
      <c r="A202" s="85">
        <v>46073</v>
      </c>
      <c r="B202" t="s">
        <v>37</v>
      </c>
      <c r="C202">
        <v>12</v>
      </c>
      <c r="D202">
        <v>0</v>
      </c>
      <c r="E202">
        <v>5</v>
      </c>
      <c r="F202">
        <v>2</v>
      </c>
      <c r="G202">
        <v>23</v>
      </c>
      <c r="H202">
        <v>10</v>
      </c>
      <c r="I202">
        <v>0.4</v>
      </c>
      <c r="J202">
        <v>0.43</v>
      </c>
      <c r="K202">
        <v>0</v>
      </c>
      <c r="L202">
        <v>0</v>
      </c>
      <c r="M202">
        <v>1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1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 s="86">
        <f>AVERAGEIFS($C$2:C202, $B$2:B202, B202)</f>
        <v>13.6</v>
      </c>
      <c r="AH202" s="86">
        <f>AVERAGEIFS($I$2:I202, $B$2:B202, B202)</f>
        <v>0.59</v>
      </c>
      <c r="AI202" s="86">
        <f>AVERAGEIFS($J$2:J202, $B$2:B202, B202)</f>
        <v>0.53600000000000003</v>
      </c>
      <c r="AJ202" s="86">
        <f>AVERAGEIFS($D$2:D202, $B$2:B202, B202)</f>
        <v>0.4</v>
      </c>
    </row>
    <row r="203" spans="1:36" x14ac:dyDescent="0.25">
      <c r="A203" s="85">
        <v>46073</v>
      </c>
      <c r="B203" t="s">
        <v>28</v>
      </c>
      <c r="C203">
        <v>18</v>
      </c>
      <c r="D203">
        <v>0</v>
      </c>
      <c r="E203">
        <v>5</v>
      </c>
      <c r="F203">
        <v>2</v>
      </c>
      <c r="G203">
        <v>23</v>
      </c>
      <c r="H203">
        <v>10</v>
      </c>
      <c r="I203">
        <v>0.4</v>
      </c>
      <c r="J203">
        <v>0.43</v>
      </c>
      <c r="K203">
        <v>0</v>
      </c>
      <c r="L203">
        <v>0</v>
      </c>
      <c r="M203">
        <v>1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1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 s="86">
        <f>AVERAGEIFS($C$2:C203, $B$2:B203, B203)</f>
        <v>15.375</v>
      </c>
      <c r="AH203" s="86">
        <f>AVERAGEIFS($I$2:I203, $B$2:B203, B203)</f>
        <v>0.47875000000000001</v>
      </c>
      <c r="AI203" s="86">
        <f>AVERAGEIFS($J$2:J203, $B$2:B203, B203)</f>
        <v>0.51374999999999993</v>
      </c>
      <c r="AJ203" s="86">
        <f>AVERAGEIFS($D$2:D203, $B$2:B203, B203)</f>
        <v>0.375</v>
      </c>
    </row>
    <row r="204" spans="1:36" x14ac:dyDescent="0.25">
      <c r="A204" s="85">
        <v>46073</v>
      </c>
      <c r="B204" t="s">
        <v>113</v>
      </c>
      <c r="C204">
        <v>18</v>
      </c>
      <c r="D204">
        <v>0</v>
      </c>
      <c r="E204">
        <v>5</v>
      </c>
      <c r="F204">
        <v>2</v>
      </c>
      <c r="G204">
        <v>23</v>
      </c>
      <c r="H204">
        <v>10</v>
      </c>
      <c r="I204">
        <v>0.4</v>
      </c>
      <c r="J204">
        <v>0.43</v>
      </c>
      <c r="K204">
        <v>0</v>
      </c>
      <c r="L204">
        <v>0</v>
      </c>
      <c r="M204">
        <v>1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1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 s="86">
        <f>AVERAGEIFS($C$2:C204, $B$2:B204, B204)</f>
        <v>18</v>
      </c>
      <c r="AH204" s="86">
        <f>AVERAGEIFS($I$2:I204, $B$2:B204, B204)</f>
        <v>0.4</v>
      </c>
      <c r="AI204" s="86">
        <f>AVERAGEIFS($J$2:J204, $B$2:B204, B204)</f>
        <v>0.43</v>
      </c>
      <c r="AJ204" s="86">
        <f>AVERAGEIFS($D$2:D204, $B$2:B204, B204)</f>
        <v>0</v>
      </c>
    </row>
    <row r="205" spans="1:36" x14ac:dyDescent="0.25">
      <c r="A205" s="85">
        <v>46076</v>
      </c>
      <c r="B205" t="s">
        <v>42</v>
      </c>
      <c r="C205">
        <v>10</v>
      </c>
      <c r="D205">
        <v>1</v>
      </c>
      <c r="E205">
        <v>4</v>
      </c>
      <c r="F205">
        <v>3</v>
      </c>
      <c r="G205">
        <v>18</v>
      </c>
      <c r="H205">
        <v>11</v>
      </c>
      <c r="I205">
        <v>0.75</v>
      </c>
      <c r="J205">
        <v>0.61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1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1</v>
      </c>
      <c r="AG205" s="86">
        <f>AVERAGEIFS($C$2:C205, $B$2:B205, B205)</f>
        <v>14.857142857142858</v>
      </c>
      <c r="AH205" s="86">
        <f>AVERAGEIFS($I$2:I205, $B$2:B205, B205)</f>
        <v>0.50714285714285723</v>
      </c>
      <c r="AI205" s="86">
        <f>AVERAGEIFS($J$2:J205, $B$2:B205, B205)</f>
        <v>0.49571428571428566</v>
      </c>
      <c r="AJ205" s="86">
        <f>AVERAGEIFS($D$2:D205, $B$2:B205, B205)</f>
        <v>0.7142857142857143</v>
      </c>
    </row>
    <row r="206" spans="1:36" x14ac:dyDescent="0.25">
      <c r="A206" s="85">
        <v>46076</v>
      </c>
      <c r="B206" t="s">
        <v>54</v>
      </c>
      <c r="C206">
        <v>21</v>
      </c>
      <c r="D206">
        <v>1</v>
      </c>
      <c r="E206">
        <v>4</v>
      </c>
      <c r="F206">
        <v>3</v>
      </c>
      <c r="G206">
        <v>18</v>
      </c>
      <c r="H206">
        <v>11</v>
      </c>
      <c r="I206">
        <v>0.75</v>
      </c>
      <c r="J206">
        <v>0.61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1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1</v>
      </c>
      <c r="AG206" s="86">
        <f>AVERAGEIFS($C$2:C206, $B$2:B206, B206)</f>
        <v>24.533333333333335</v>
      </c>
      <c r="AH206" s="86">
        <f>AVERAGEIFS($I$2:I206, $B$2:B206, B206)</f>
        <v>0.52133333333333332</v>
      </c>
      <c r="AI206" s="86">
        <f>AVERAGEIFS($J$2:J206, $B$2:B206, B206)</f>
        <v>0.48333333333333334</v>
      </c>
      <c r="AJ206" s="86">
        <f>AVERAGEIFS($D$2:D206, $B$2:B206, B206)</f>
        <v>0.53333333333333333</v>
      </c>
    </row>
    <row r="207" spans="1:36" x14ac:dyDescent="0.25">
      <c r="A207" s="85">
        <v>46076</v>
      </c>
      <c r="B207" t="s">
        <v>6</v>
      </c>
      <c r="C207">
        <v>21</v>
      </c>
      <c r="D207">
        <v>1</v>
      </c>
      <c r="E207">
        <v>4</v>
      </c>
      <c r="F207">
        <v>3</v>
      </c>
      <c r="G207">
        <v>18</v>
      </c>
      <c r="H207">
        <v>11</v>
      </c>
      <c r="I207">
        <v>0.75</v>
      </c>
      <c r="J207">
        <v>0.61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1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1</v>
      </c>
      <c r="AG207" s="86">
        <f>AVERAGEIFS($C$2:C207, $B$2:B207, B207)</f>
        <v>22.066666666666666</v>
      </c>
      <c r="AH207" s="86">
        <f>AVERAGEIFS($I$2:I207, $B$2:B207, B207)</f>
        <v>0.66200000000000003</v>
      </c>
      <c r="AI207" s="86">
        <f>AVERAGEIFS($J$2:J207, $B$2:B207, B207)</f>
        <v>0.57266666666666666</v>
      </c>
      <c r="AJ207" s="86">
        <f>AVERAGEIFS($D$2:D207, $B$2:B207, B207)</f>
        <v>0.73333333333333328</v>
      </c>
    </row>
    <row r="208" spans="1:36" x14ac:dyDescent="0.25">
      <c r="A208" s="85">
        <v>46076</v>
      </c>
      <c r="B208" t="s">
        <v>37</v>
      </c>
      <c r="C208">
        <v>13</v>
      </c>
      <c r="D208">
        <v>1</v>
      </c>
      <c r="E208">
        <v>4</v>
      </c>
      <c r="F208">
        <v>3</v>
      </c>
      <c r="G208">
        <v>18</v>
      </c>
      <c r="H208">
        <v>11</v>
      </c>
      <c r="I208">
        <v>0.75</v>
      </c>
      <c r="J208">
        <v>0.61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1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1</v>
      </c>
      <c r="AG208" s="86">
        <f>AVERAGEIFS($C$2:C208, $B$2:B208, B208)</f>
        <v>13.5</v>
      </c>
      <c r="AH208" s="86">
        <f>AVERAGEIFS($I$2:I208, $B$2:B208, B208)</f>
        <v>0.61666666666666659</v>
      </c>
      <c r="AI208" s="86">
        <f>AVERAGEIFS($J$2:J208, $B$2:B208, B208)</f>
        <v>0.54833333333333334</v>
      </c>
      <c r="AJ208" s="86">
        <f>AVERAGEIFS($D$2:D208, $B$2:B208, B208)</f>
        <v>0.5</v>
      </c>
    </row>
    <row r="209" spans="1:36" x14ac:dyDescent="0.25">
      <c r="A209" s="85">
        <v>46076</v>
      </c>
      <c r="B209" t="s">
        <v>107</v>
      </c>
      <c r="C209">
        <v>16</v>
      </c>
      <c r="D209">
        <v>1</v>
      </c>
      <c r="E209">
        <v>4</v>
      </c>
      <c r="F209">
        <v>3</v>
      </c>
      <c r="G209">
        <v>18</v>
      </c>
      <c r="H209">
        <v>11</v>
      </c>
      <c r="I209">
        <v>0.75</v>
      </c>
      <c r="J209">
        <v>0.61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1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1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1</v>
      </c>
      <c r="AG209" s="86">
        <f>AVERAGEIFS($C$2:C209, $B$2:B209, B209)</f>
        <v>12.5</v>
      </c>
      <c r="AH209" s="86">
        <f>AVERAGEIFS($I$2:I209, $B$2:B209, B209)</f>
        <v>0.67500000000000004</v>
      </c>
      <c r="AI209" s="86">
        <f>AVERAGEIFS($J$2:J209, $B$2:B209, B209)</f>
        <v>0.59</v>
      </c>
      <c r="AJ209" s="86">
        <f>AVERAGEIFS($D$2:D209, $B$2:B209, B209)</f>
        <v>1</v>
      </c>
    </row>
    <row r="210" spans="1:36" x14ac:dyDescent="0.25">
      <c r="A210" s="85">
        <v>46076</v>
      </c>
      <c r="B210" t="s">
        <v>40</v>
      </c>
      <c r="C210">
        <v>18</v>
      </c>
      <c r="D210">
        <v>0</v>
      </c>
      <c r="E210">
        <v>4</v>
      </c>
      <c r="F210">
        <v>1</v>
      </c>
      <c r="G210">
        <v>18</v>
      </c>
      <c r="H210">
        <v>7</v>
      </c>
      <c r="I210">
        <v>0.25</v>
      </c>
      <c r="J210">
        <v>0.39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1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 s="86">
        <f>AVERAGEIFS($C$2:C210, $B$2:B210, B210)</f>
        <v>16</v>
      </c>
      <c r="AH210" s="86">
        <f>AVERAGEIFS($I$2:I210, $B$2:B210, B210)</f>
        <v>0.34375</v>
      </c>
      <c r="AI210" s="86">
        <f>AVERAGEIFS($J$2:J210, $B$2:B210, B210)</f>
        <v>0.4375</v>
      </c>
      <c r="AJ210" s="86">
        <f>AVERAGEIFS($D$2:D210, $B$2:B210, B210)</f>
        <v>0.25</v>
      </c>
    </row>
    <row r="211" spans="1:36" x14ac:dyDescent="0.25">
      <c r="A211" s="85">
        <v>46076</v>
      </c>
      <c r="B211" t="s">
        <v>2</v>
      </c>
      <c r="C211">
        <v>22</v>
      </c>
      <c r="D211">
        <v>0</v>
      </c>
      <c r="E211">
        <v>4</v>
      </c>
      <c r="F211">
        <v>1</v>
      </c>
      <c r="G211">
        <v>18</v>
      </c>
      <c r="H211">
        <v>7</v>
      </c>
      <c r="I211">
        <v>0.25</v>
      </c>
      <c r="J211">
        <v>0.39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1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 s="86">
        <f>AVERAGEIFS($C$2:C211, $B$2:B211, B211)</f>
        <v>24.083333333333332</v>
      </c>
      <c r="AH211" s="86">
        <f>AVERAGEIFS($I$2:I211, $B$2:B211, B211)</f>
        <v>0.47750000000000004</v>
      </c>
      <c r="AI211" s="86">
        <f>AVERAGEIFS($J$2:J211, $B$2:B211, B211)</f>
        <v>0.52499999999999991</v>
      </c>
      <c r="AJ211" s="86">
        <f>AVERAGEIFS($D$2:D211, $B$2:B211, B211)</f>
        <v>0.41666666666666669</v>
      </c>
    </row>
    <row r="212" spans="1:36" x14ac:dyDescent="0.25">
      <c r="A212" s="85">
        <v>46076</v>
      </c>
      <c r="B212" t="s">
        <v>50</v>
      </c>
      <c r="C212">
        <v>22</v>
      </c>
      <c r="D212">
        <v>0</v>
      </c>
      <c r="E212">
        <v>4</v>
      </c>
      <c r="F212">
        <v>1</v>
      </c>
      <c r="G212">
        <v>18</v>
      </c>
      <c r="H212">
        <v>7</v>
      </c>
      <c r="I212">
        <v>0.25</v>
      </c>
      <c r="J212">
        <v>0.39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1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 s="86">
        <f>AVERAGEIFS($C$2:C212, $B$2:B212, B212)</f>
        <v>20.1875</v>
      </c>
      <c r="AH212" s="86">
        <f>AVERAGEIFS($I$2:I212, $B$2:B212, B212)</f>
        <v>0.53312500000000007</v>
      </c>
      <c r="AI212" s="86">
        <f>AVERAGEIFS($J$2:J212, $B$2:B212, B212)</f>
        <v>0.53499999999999992</v>
      </c>
      <c r="AJ212" s="86">
        <f>AVERAGEIFS($D$2:D212, $B$2:B212, B212)</f>
        <v>0.5625</v>
      </c>
    </row>
    <row r="213" spans="1:36" x14ac:dyDescent="0.25">
      <c r="A213" s="85">
        <v>46076</v>
      </c>
      <c r="B213" t="s">
        <v>3</v>
      </c>
      <c r="C213">
        <v>18</v>
      </c>
      <c r="D213">
        <v>0</v>
      </c>
      <c r="E213">
        <v>4</v>
      </c>
      <c r="F213">
        <v>1</v>
      </c>
      <c r="G213">
        <v>18</v>
      </c>
      <c r="H213">
        <v>7</v>
      </c>
      <c r="I213">
        <v>0.25</v>
      </c>
      <c r="J213">
        <v>0.39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1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 s="86">
        <f>AVERAGEIFS($C$2:C213, $B$2:B213, B213)</f>
        <v>16.8</v>
      </c>
      <c r="AH213" s="86">
        <f>AVERAGEIFS($I$2:I213, $B$2:B213, B213)</f>
        <v>0.44000000000000006</v>
      </c>
      <c r="AI213" s="86">
        <f>AVERAGEIFS($J$2:J213, $B$2:B213, B213)</f>
        <v>0.47400000000000003</v>
      </c>
      <c r="AJ213" s="86">
        <f>AVERAGEIFS($D$2:D213, $B$2:B213, B213)</f>
        <v>0.6</v>
      </c>
    </row>
    <row r="214" spans="1:36" x14ac:dyDescent="0.25">
      <c r="A214" s="85">
        <v>46076</v>
      </c>
      <c r="B214" t="s">
        <v>25</v>
      </c>
      <c r="C214">
        <v>2</v>
      </c>
      <c r="D214">
        <v>0</v>
      </c>
      <c r="E214">
        <v>4</v>
      </c>
      <c r="F214">
        <v>1</v>
      </c>
      <c r="G214">
        <v>18</v>
      </c>
      <c r="H214">
        <v>7</v>
      </c>
      <c r="I214">
        <v>0.25</v>
      </c>
      <c r="J214">
        <v>0.39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1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 s="86">
        <f>AVERAGEIFS($C$2:C214, $B$2:B214, B214)</f>
        <v>8</v>
      </c>
      <c r="AH214" s="86">
        <f>AVERAGEIFS($I$2:I214, $B$2:B214, B214)</f>
        <v>0.58333333333333337</v>
      </c>
      <c r="AI214" s="86">
        <f>AVERAGEIFS($J$2:J214, $B$2:B214, B214)</f>
        <v>0.6066666666666668</v>
      </c>
      <c r="AJ214" s="86">
        <f>AVERAGEIFS($D$2:D214, $B$2:B214, B214)</f>
        <v>0.66666666666666663</v>
      </c>
    </row>
    <row r="215" spans="1:36" x14ac:dyDescent="0.25">
      <c r="A215" s="85">
        <v>46077</v>
      </c>
      <c r="B215" t="s">
        <v>17</v>
      </c>
      <c r="C215">
        <v>29</v>
      </c>
      <c r="D215">
        <v>1</v>
      </c>
      <c r="E215">
        <v>5</v>
      </c>
      <c r="F215">
        <v>3</v>
      </c>
      <c r="G215">
        <v>21</v>
      </c>
      <c r="H215">
        <v>11</v>
      </c>
      <c r="I215">
        <v>0.6</v>
      </c>
      <c r="J215">
        <v>0.52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1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1</v>
      </c>
      <c r="AC215">
        <v>0</v>
      </c>
      <c r="AD215">
        <v>1</v>
      </c>
      <c r="AE215">
        <v>0</v>
      </c>
      <c r="AF215">
        <v>0</v>
      </c>
      <c r="AG215" s="86">
        <f>AVERAGEIFS($C$2:C215, $B$2:B215, B215)</f>
        <v>20.733333333333334</v>
      </c>
      <c r="AH215" s="86">
        <f>AVERAGEIFS($I$2:I215, $B$2:B215, B215)</f>
        <v>0.48466666666666669</v>
      </c>
      <c r="AI215" s="86">
        <f>AVERAGEIFS($J$2:J215, $B$2:B215, B215)</f>
        <v>0.48133333333333339</v>
      </c>
      <c r="AJ215" s="86">
        <f>AVERAGEIFS($D$2:D215, $B$2:B215, B215)</f>
        <v>0.4</v>
      </c>
    </row>
    <row r="216" spans="1:36" x14ac:dyDescent="0.25">
      <c r="A216" s="85">
        <v>46077</v>
      </c>
      <c r="B216" t="s">
        <v>113</v>
      </c>
      <c r="C216">
        <v>28</v>
      </c>
      <c r="D216">
        <v>1</v>
      </c>
      <c r="E216">
        <v>5</v>
      </c>
      <c r="F216">
        <v>3</v>
      </c>
      <c r="G216">
        <v>21</v>
      </c>
      <c r="H216">
        <v>11</v>
      </c>
      <c r="I216">
        <v>0.6</v>
      </c>
      <c r="J216">
        <v>0.52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1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1</v>
      </c>
      <c r="AC216">
        <v>0</v>
      </c>
      <c r="AD216">
        <v>1</v>
      </c>
      <c r="AE216">
        <v>0</v>
      </c>
      <c r="AF216">
        <v>0</v>
      </c>
      <c r="AG216" s="86">
        <f>AVERAGEIFS($C$2:C216, $B$2:B216, B216)</f>
        <v>23</v>
      </c>
      <c r="AH216" s="86">
        <f>AVERAGEIFS($I$2:I216, $B$2:B216, B216)</f>
        <v>0.5</v>
      </c>
      <c r="AI216" s="86">
        <f>AVERAGEIFS($J$2:J216, $B$2:B216, B216)</f>
        <v>0.47499999999999998</v>
      </c>
      <c r="AJ216" s="86">
        <f>AVERAGEIFS($D$2:D216, $B$2:B216, B216)</f>
        <v>0.5</v>
      </c>
    </row>
    <row r="217" spans="1:36" x14ac:dyDescent="0.25">
      <c r="A217" s="85">
        <v>46077</v>
      </c>
      <c r="B217" t="s">
        <v>54</v>
      </c>
      <c r="C217">
        <v>25</v>
      </c>
      <c r="D217">
        <v>1</v>
      </c>
      <c r="E217">
        <v>5</v>
      </c>
      <c r="F217">
        <v>3</v>
      </c>
      <c r="G217">
        <v>21</v>
      </c>
      <c r="H217">
        <v>11</v>
      </c>
      <c r="I217">
        <v>0.6</v>
      </c>
      <c r="J217">
        <v>0.52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1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1</v>
      </c>
      <c r="AC217">
        <v>0</v>
      </c>
      <c r="AD217">
        <v>1</v>
      </c>
      <c r="AE217">
        <v>0</v>
      </c>
      <c r="AF217">
        <v>0</v>
      </c>
      <c r="AG217" s="86">
        <f>AVERAGEIFS($C$2:C217, $B$2:B217, B217)</f>
        <v>24.5625</v>
      </c>
      <c r="AH217" s="86">
        <f>AVERAGEIFS($I$2:I217, $B$2:B217, B217)</f>
        <v>0.52625</v>
      </c>
      <c r="AI217" s="86">
        <f>AVERAGEIFS($J$2:J217, $B$2:B217, B217)</f>
        <v>0.48562499999999997</v>
      </c>
      <c r="AJ217" s="86">
        <f>AVERAGEIFS($D$2:D217, $B$2:B217, B217)</f>
        <v>0.5625</v>
      </c>
    </row>
    <row r="218" spans="1:36" x14ac:dyDescent="0.25">
      <c r="A218" s="85">
        <v>46077</v>
      </c>
      <c r="B218" t="s">
        <v>6</v>
      </c>
      <c r="C218">
        <v>24</v>
      </c>
      <c r="D218">
        <v>1</v>
      </c>
      <c r="E218">
        <v>5</v>
      </c>
      <c r="F218">
        <v>3</v>
      </c>
      <c r="G218">
        <v>21</v>
      </c>
      <c r="H218">
        <v>11</v>
      </c>
      <c r="I218">
        <v>0.6</v>
      </c>
      <c r="J218">
        <v>0.52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1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1</v>
      </c>
      <c r="AC218">
        <v>0</v>
      </c>
      <c r="AD218">
        <v>1</v>
      </c>
      <c r="AE218">
        <v>0</v>
      </c>
      <c r="AF218">
        <v>0</v>
      </c>
      <c r="AG218" s="86">
        <f>AVERAGEIFS($C$2:C218, $B$2:B218, B218)</f>
        <v>22.1875</v>
      </c>
      <c r="AH218" s="86">
        <f>AVERAGEIFS($I$2:I218, $B$2:B218, B218)</f>
        <v>0.65812499999999996</v>
      </c>
      <c r="AI218" s="86">
        <f>AVERAGEIFS($J$2:J218, $B$2:B218, B218)</f>
        <v>0.56937499999999996</v>
      </c>
      <c r="AJ218" s="86">
        <f>AVERAGEIFS($D$2:D218, $B$2:B218, B218)</f>
        <v>0.75</v>
      </c>
    </row>
    <row r="219" spans="1:36" x14ac:dyDescent="0.25">
      <c r="A219" s="85">
        <v>46077</v>
      </c>
      <c r="B219" t="s">
        <v>50</v>
      </c>
      <c r="C219">
        <v>22</v>
      </c>
      <c r="D219">
        <v>1</v>
      </c>
      <c r="E219">
        <v>5</v>
      </c>
      <c r="F219">
        <v>3</v>
      </c>
      <c r="G219">
        <v>21</v>
      </c>
      <c r="H219">
        <v>11</v>
      </c>
      <c r="I219">
        <v>0.6</v>
      </c>
      <c r="J219">
        <v>0.52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1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1</v>
      </c>
      <c r="AC219">
        <v>0</v>
      </c>
      <c r="AD219">
        <v>1</v>
      </c>
      <c r="AE219">
        <v>0</v>
      </c>
      <c r="AF219">
        <v>0</v>
      </c>
      <c r="AG219" s="86">
        <f>AVERAGEIFS($C$2:C219, $B$2:B219, B219)</f>
        <v>20.294117647058822</v>
      </c>
      <c r="AH219" s="86">
        <f>AVERAGEIFS($I$2:I219, $B$2:B219, B219)</f>
        <v>0.53705882352941181</v>
      </c>
      <c r="AI219" s="86">
        <f>AVERAGEIFS($J$2:J219, $B$2:B219, B219)</f>
        <v>0.53411764705882347</v>
      </c>
      <c r="AJ219" s="86">
        <f>AVERAGEIFS($D$2:D219, $B$2:B219, B219)</f>
        <v>0.58823529411764708</v>
      </c>
    </row>
    <row r="220" spans="1:36" x14ac:dyDescent="0.25">
      <c r="A220" s="85">
        <v>46077</v>
      </c>
      <c r="B220" t="s">
        <v>28</v>
      </c>
      <c r="C220">
        <v>22</v>
      </c>
      <c r="D220">
        <v>1</v>
      </c>
      <c r="E220">
        <v>5</v>
      </c>
      <c r="F220">
        <v>3</v>
      </c>
      <c r="G220">
        <v>21</v>
      </c>
      <c r="H220">
        <v>11</v>
      </c>
      <c r="I220">
        <v>0.6</v>
      </c>
      <c r="J220">
        <v>0.52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1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1</v>
      </c>
      <c r="AC220">
        <v>0</v>
      </c>
      <c r="AD220">
        <v>1</v>
      </c>
      <c r="AE220">
        <v>0</v>
      </c>
      <c r="AF220">
        <v>0</v>
      </c>
      <c r="AG220" s="86">
        <f>AVERAGEIFS($C$2:C220, $B$2:B220, B220)</f>
        <v>16.111111111111111</v>
      </c>
      <c r="AH220" s="86">
        <f>AVERAGEIFS($I$2:I220, $B$2:B220, B220)</f>
        <v>0.49222222222222217</v>
      </c>
      <c r="AI220" s="86">
        <f>AVERAGEIFS($J$2:J220, $B$2:B220, B220)</f>
        <v>0.51444444444444437</v>
      </c>
      <c r="AJ220" s="86">
        <f>AVERAGEIFS($D$2:D220, $B$2:B220, B220)</f>
        <v>0.44444444444444442</v>
      </c>
    </row>
    <row r="221" spans="1:36" x14ac:dyDescent="0.25">
      <c r="A221" s="85">
        <v>46077</v>
      </c>
      <c r="B221" t="s">
        <v>40</v>
      </c>
      <c r="C221">
        <v>18</v>
      </c>
      <c r="D221">
        <v>1</v>
      </c>
      <c r="E221">
        <v>5</v>
      </c>
      <c r="F221">
        <v>3</v>
      </c>
      <c r="G221">
        <v>21</v>
      </c>
      <c r="H221">
        <v>11</v>
      </c>
      <c r="I221">
        <v>0.6</v>
      </c>
      <c r="J221">
        <v>0.52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1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1</v>
      </c>
      <c r="AC221">
        <v>0</v>
      </c>
      <c r="AD221">
        <v>1</v>
      </c>
      <c r="AE221">
        <v>0</v>
      </c>
      <c r="AF221">
        <v>0</v>
      </c>
      <c r="AG221" s="86">
        <f>AVERAGEIFS($C$2:C221, $B$2:B221, B221)</f>
        <v>16.222222222222221</v>
      </c>
      <c r="AH221" s="86">
        <f>AVERAGEIFS($I$2:I221, $B$2:B221, B221)</f>
        <v>0.37222222222222223</v>
      </c>
      <c r="AI221" s="86">
        <f>AVERAGEIFS($J$2:J221, $B$2:B221, B221)</f>
        <v>0.4466666666666666</v>
      </c>
      <c r="AJ221" s="86">
        <f>AVERAGEIFS($D$2:D221, $B$2:B221, B221)</f>
        <v>0.33333333333333331</v>
      </c>
    </row>
    <row r="222" spans="1:36" x14ac:dyDescent="0.25">
      <c r="A222" s="85">
        <v>46077</v>
      </c>
      <c r="B222" t="s">
        <v>38</v>
      </c>
      <c r="C222">
        <v>4</v>
      </c>
      <c r="D222">
        <v>1</v>
      </c>
      <c r="E222">
        <v>5</v>
      </c>
      <c r="F222">
        <v>3</v>
      </c>
      <c r="G222">
        <v>21</v>
      </c>
      <c r="H222">
        <v>11</v>
      </c>
      <c r="I222">
        <v>0.6</v>
      </c>
      <c r="J222">
        <v>0.52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1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1</v>
      </c>
      <c r="AC222">
        <v>0</v>
      </c>
      <c r="AD222">
        <v>1</v>
      </c>
      <c r="AE222">
        <v>0</v>
      </c>
      <c r="AF222">
        <v>0</v>
      </c>
      <c r="AG222" s="86">
        <f>AVERAGEIFS($C$2:C222, $B$2:B222, B222)</f>
        <v>3</v>
      </c>
      <c r="AH222" s="86">
        <f>AVERAGEIFS($I$2:I222, $B$2:B222, B222)</f>
        <v>0.4375</v>
      </c>
      <c r="AI222" s="86">
        <f>AVERAGEIFS($J$2:J222, $B$2:B222, B222)</f>
        <v>0.4325</v>
      </c>
      <c r="AJ222" s="86">
        <f>AVERAGEIFS($D$2:D222, $B$2:B222, B222)</f>
        <v>0.5</v>
      </c>
    </row>
    <row r="223" spans="1:36" x14ac:dyDescent="0.25">
      <c r="A223" s="85">
        <v>46077</v>
      </c>
      <c r="B223" t="s">
        <v>4</v>
      </c>
      <c r="C223">
        <v>41</v>
      </c>
      <c r="D223">
        <v>0</v>
      </c>
      <c r="E223">
        <v>5</v>
      </c>
      <c r="F223">
        <v>2</v>
      </c>
      <c r="G223">
        <v>21</v>
      </c>
      <c r="H223">
        <v>10</v>
      </c>
      <c r="I223">
        <v>0.4</v>
      </c>
      <c r="J223">
        <v>0.48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1</v>
      </c>
      <c r="Z223">
        <v>0</v>
      </c>
      <c r="AA223">
        <v>0</v>
      </c>
      <c r="AB223">
        <v>0</v>
      </c>
      <c r="AC223">
        <v>1</v>
      </c>
      <c r="AD223">
        <v>0</v>
      </c>
      <c r="AE223">
        <v>0</v>
      </c>
      <c r="AF223">
        <v>0</v>
      </c>
      <c r="AG223" s="86">
        <f>AVERAGEIFS($C$2:C223, $B$2:B223, B223)</f>
        <v>25.8</v>
      </c>
      <c r="AH223" s="86">
        <f>AVERAGEIFS($I$2:I223, $B$2:B223, B223)</f>
        <v>0.29000000000000004</v>
      </c>
      <c r="AI223" s="86">
        <f>AVERAGEIFS($J$2:J223, $B$2:B223, B223)</f>
        <v>0.39600000000000002</v>
      </c>
      <c r="AJ223" s="86">
        <f>AVERAGEIFS($D$2:D223, $B$2:B223, B223)</f>
        <v>0</v>
      </c>
    </row>
    <row r="224" spans="1:36" x14ac:dyDescent="0.25">
      <c r="A224" s="85">
        <v>46077</v>
      </c>
      <c r="B224" t="s">
        <v>1</v>
      </c>
      <c r="C224">
        <v>38</v>
      </c>
      <c r="D224">
        <v>0</v>
      </c>
      <c r="E224">
        <v>5</v>
      </c>
      <c r="F224">
        <v>2</v>
      </c>
      <c r="G224">
        <v>21</v>
      </c>
      <c r="H224">
        <v>10</v>
      </c>
      <c r="I224">
        <v>0.4</v>
      </c>
      <c r="J224">
        <v>0.48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</v>
      </c>
      <c r="Z224">
        <v>0</v>
      </c>
      <c r="AA224">
        <v>0</v>
      </c>
      <c r="AB224">
        <v>0</v>
      </c>
      <c r="AC224">
        <v>1</v>
      </c>
      <c r="AD224">
        <v>0</v>
      </c>
      <c r="AE224">
        <v>0</v>
      </c>
      <c r="AF224">
        <v>0</v>
      </c>
      <c r="AG224" s="86">
        <f>AVERAGEIFS($C$2:C224, $B$2:B224, B224)</f>
        <v>27.857142857142858</v>
      </c>
      <c r="AH224" s="86">
        <f>AVERAGEIFS($I$2:I224, $B$2:B224, B224)</f>
        <v>0.42142857142857143</v>
      </c>
      <c r="AI224" s="86">
        <f>AVERAGEIFS($J$2:J224, $B$2:B224, B224)</f>
        <v>0.48428571428571426</v>
      </c>
      <c r="AJ224" s="86">
        <f>AVERAGEIFS($D$2:D224, $B$2:B224, B224)</f>
        <v>0.5714285714285714</v>
      </c>
    </row>
    <row r="225" spans="1:36" x14ac:dyDescent="0.25">
      <c r="A225" s="85">
        <v>46077</v>
      </c>
      <c r="B225" t="s">
        <v>3</v>
      </c>
      <c r="C225">
        <v>27</v>
      </c>
      <c r="D225">
        <v>0</v>
      </c>
      <c r="E225">
        <v>5</v>
      </c>
      <c r="F225">
        <v>2</v>
      </c>
      <c r="G225">
        <v>21</v>
      </c>
      <c r="H225">
        <v>10</v>
      </c>
      <c r="I225">
        <v>0.4</v>
      </c>
      <c r="J225">
        <v>0.48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  <c r="Z225">
        <v>0</v>
      </c>
      <c r="AA225">
        <v>0</v>
      </c>
      <c r="AB225">
        <v>0</v>
      </c>
      <c r="AC225">
        <v>1</v>
      </c>
      <c r="AD225">
        <v>0</v>
      </c>
      <c r="AE225">
        <v>0</v>
      </c>
      <c r="AF225">
        <v>0</v>
      </c>
      <c r="AG225" s="86">
        <f>AVERAGEIFS($C$2:C225, $B$2:B225, B225)</f>
        <v>18.5</v>
      </c>
      <c r="AH225" s="86">
        <f>AVERAGEIFS($I$2:I225, $B$2:B225, B225)</f>
        <v>0.43333333333333335</v>
      </c>
      <c r="AI225" s="86">
        <f>AVERAGEIFS($J$2:J225, $B$2:B225, B225)</f>
        <v>0.47500000000000003</v>
      </c>
      <c r="AJ225" s="86">
        <f>AVERAGEIFS($D$2:D225, $B$2:B225, B225)</f>
        <v>0.5</v>
      </c>
    </row>
    <row r="226" spans="1:36" x14ac:dyDescent="0.25">
      <c r="A226" s="85">
        <v>46077</v>
      </c>
      <c r="B226" t="s">
        <v>37</v>
      </c>
      <c r="C226">
        <v>14</v>
      </c>
      <c r="D226">
        <v>0</v>
      </c>
      <c r="E226">
        <v>5</v>
      </c>
      <c r="F226">
        <v>2</v>
      </c>
      <c r="G226">
        <v>21</v>
      </c>
      <c r="H226">
        <v>10</v>
      </c>
      <c r="I226">
        <v>0.4</v>
      </c>
      <c r="J226">
        <v>0.48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1</v>
      </c>
      <c r="Z226">
        <v>0</v>
      </c>
      <c r="AA226">
        <v>0</v>
      </c>
      <c r="AB226">
        <v>0</v>
      </c>
      <c r="AC226">
        <v>1</v>
      </c>
      <c r="AD226">
        <v>0</v>
      </c>
      <c r="AE226">
        <v>0</v>
      </c>
      <c r="AF226">
        <v>0</v>
      </c>
      <c r="AG226" s="86">
        <f>AVERAGEIFS($C$2:C226, $B$2:B226, B226)</f>
        <v>13.571428571428571</v>
      </c>
      <c r="AH226" s="86">
        <f>AVERAGEIFS($I$2:I226, $B$2:B226, B226)</f>
        <v>0.58571428571428563</v>
      </c>
      <c r="AI226" s="86">
        <f>AVERAGEIFS($J$2:J226, $B$2:B226, B226)</f>
        <v>0.53857142857142859</v>
      </c>
      <c r="AJ226" s="86">
        <f>AVERAGEIFS($D$2:D226, $B$2:B226, B226)</f>
        <v>0.42857142857142855</v>
      </c>
    </row>
    <row r="227" spans="1:36" x14ac:dyDescent="0.25">
      <c r="A227" s="85">
        <v>46077</v>
      </c>
      <c r="B227" t="s">
        <v>107</v>
      </c>
      <c r="C227">
        <v>14</v>
      </c>
      <c r="D227">
        <v>0</v>
      </c>
      <c r="E227">
        <v>5</v>
      </c>
      <c r="F227">
        <v>2</v>
      </c>
      <c r="G227">
        <v>21</v>
      </c>
      <c r="H227">
        <v>10</v>
      </c>
      <c r="I227">
        <v>0.4</v>
      </c>
      <c r="J227">
        <v>0.48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1</v>
      </c>
      <c r="Z227">
        <v>0</v>
      </c>
      <c r="AA227">
        <v>0</v>
      </c>
      <c r="AB227">
        <v>0</v>
      </c>
      <c r="AC227">
        <v>1</v>
      </c>
      <c r="AD227">
        <v>0</v>
      </c>
      <c r="AE227">
        <v>0</v>
      </c>
      <c r="AF227">
        <v>0</v>
      </c>
      <c r="AG227" s="86">
        <f>AVERAGEIFS($C$2:C227, $B$2:B227, B227)</f>
        <v>13</v>
      </c>
      <c r="AH227" s="86">
        <f>AVERAGEIFS($I$2:I227, $B$2:B227, B227)</f>
        <v>0.58333333333333337</v>
      </c>
      <c r="AI227" s="86">
        <f>AVERAGEIFS($J$2:J227, $B$2:B227, B227)</f>
        <v>0.55333333333333334</v>
      </c>
      <c r="AJ227" s="86">
        <f>AVERAGEIFS($D$2:D227, $B$2:B227, B227)</f>
        <v>0.66666666666666663</v>
      </c>
    </row>
    <row r="228" spans="1:36" x14ac:dyDescent="0.25">
      <c r="A228" s="85">
        <v>46077</v>
      </c>
      <c r="B228" t="s">
        <v>13</v>
      </c>
      <c r="C228">
        <v>11</v>
      </c>
      <c r="D228">
        <v>0</v>
      </c>
      <c r="E228">
        <v>5</v>
      </c>
      <c r="F228">
        <v>2</v>
      </c>
      <c r="G228">
        <v>21</v>
      </c>
      <c r="H228">
        <v>10</v>
      </c>
      <c r="I228">
        <v>0.4</v>
      </c>
      <c r="J228">
        <v>0.48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1</v>
      </c>
      <c r="Z228">
        <v>0</v>
      </c>
      <c r="AA228">
        <v>0</v>
      </c>
      <c r="AB228">
        <v>0</v>
      </c>
      <c r="AC228">
        <v>1</v>
      </c>
      <c r="AD228">
        <v>0</v>
      </c>
      <c r="AE228">
        <v>0</v>
      </c>
      <c r="AF228">
        <v>0</v>
      </c>
      <c r="AG228" s="86">
        <f>AVERAGEIFS($C$2:C228, $B$2:B228, B228)</f>
        <v>9.3333333333333339</v>
      </c>
      <c r="AH228" s="86">
        <f>AVERAGEIFS($I$2:I228, $B$2:B228, B228)</f>
        <v>0.46666666666666662</v>
      </c>
      <c r="AI228" s="86">
        <f>AVERAGEIFS($J$2:J228, $B$2:B228, B228)</f>
        <v>0.43</v>
      </c>
      <c r="AJ228" s="86">
        <f>AVERAGEIFS($D$2:D228, $B$2:B228, B228)</f>
        <v>0.33333333333333331</v>
      </c>
    </row>
    <row r="229" spans="1:36" x14ac:dyDescent="0.25">
      <c r="A229" s="85">
        <v>46077</v>
      </c>
      <c r="B229" t="s">
        <v>14</v>
      </c>
      <c r="C229">
        <v>10</v>
      </c>
      <c r="D229">
        <v>0</v>
      </c>
      <c r="E229">
        <v>5</v>
      </c>
      <c r="F229">
        <v>2</v>
      </c>
      <c r="G229">
        <v>21</v>
      </c>
      <c r="H229">
        <v>10</v>
      </c>
      <c r="I229">
        <v>0.4</v>
      </c>
      <c r="J229">
        <v>0.48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1</v>
      </c>
      <c r="Z229">
        <v>0</v>
      </c>
      <c r="AA229">
        <v>0</v>
      </c>
      <c r="AB229">
        <v>0</v>
      </c>
      <c r="AC229">
        <v>1</v>
      </c>
      <c r="AD229">
        <v>0</v>
      </c>
      <c r="AE229">
        <v>0</v>
      </c>
      <c r="AF229">
        <v>0</v>
      </c>
      <c r="AG229" s="86">
        <f>AVERAGEIFS($C$2:C229, $B$2:B229, B229)</f>
        <v>17.5</v>
      </c>
      <c r="AH229" s="86">
        <f>AVERAGEIFS($I$2:I229, $B$2:B229, B229)</f>
        <v>0.437</v>
      </c>
      <c r="AI229" s="86">
        <f>AVERAGEIFS($J$2:J229, $B$2:B229, B229)</f>
        <v>0.46699999999999997</v>
      </c>
      <c r="AJ229" s="86">
        <f>AVERAGEIFS($D$2:D229, $B$2:B229, B229)</f>
        <v>0.5</v>
      </c>
    </row>
    <row r="230" spans="1:36" x14ac:dyDescent="0.25">
      <c r="A230" s="85">
        <v>46077</v>
      </c>
      <c r="B230" t="s">
        <v>35</v>
      </c>
      <c r="C230">
        <v>9</v>
      </c>
      <c r="D230">
        <v>0</v>
      </c>
      <c r="E230">
        <v>5</v>
      </c>
      <c r="F230">
        <v>2</v>
      </c>
      <c r="G230">
        <v>21</v>
      </c>
      <c r="H230">
        <v>10</v>
      </c>
      <c r="I230">
        <v>0.4</v>
      </c>
      <c r="J230">
        <v>0.48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1</v>
      </c>
      <c r="Z230">
        <v>0</v>
      </c>
      <c r="AA230">
        <v>0</v>
      </c>
      <c r="AB230">
        <v>0</v>
      </c>
      <c r="AC230">
        <v>1</v>
      </c>
      <c r="AD230">
        <v>0</v>
      </c>
      <c r="AE230">
        <v>0</v>
      </c>
      <c r="AF230">
        <v>0</v>
      </c>
      <c r="AG230" s="86">
        <f>AVERAGEIFS($C$2:C230, $B$2:B230, B230)</f>
        <v>11.142857142857142</v>
      </c>
      <c r="AH230" s="86">
        <f>AVERAGEIFS($I$2:I230, $B$2:B230, B230)</f>
        <v>0.43785714285714289</v>
      </c>
      <c r="AI230" s="86">
        <f>AVERAGEIFS($J$2:J230, $B$2:B230, B230)</f>
        <v>0.50071428571428578</v>
      </c>
      <c r="AJ230" s="86">
        <f>AVERAGEIFS($D$2:D230, $B$2:B230, B230)</f>
        <v>0.35714285714285715</v>
      </c>
    </row>
    <row r="231" spans="1:36" x14ac:dyDescent="0.25">
      <c r="A231" s="85">
        <v>46078</v>
      </c>
      <c r="B231" t="s">
        <v>50</v>
      </c>
      <c r="C231">
        <v>20</v>
      </c>
      <c r="D231">
        <v>0</v>
      </c>
      <c r="E231">
        <v>5</v>
      </c>
      <c r="F231">
        <v>2</v>
      </c>
      <c r="G231">
        <v>25</v>
      </c>
      <c r="H231">
        <v>12</v>
      </c>
      <c r="I231">
        <v>0.4</v>
      </c>
      <c r="J231">
        <v>0.48</v>
      </c>
      <c r="K231">
        <v>0</v>
      </c>
      <c r="L231">
        <v>0</v>
      </c>
      <c r="M231">
        <v>0</v>
      </c>
      <c r="N231">
        <v>1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1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 s="86">
        <f>AVERAGEIFS($C$2:C231, $B$2:B231, B231)</f>
        <v>20.277777777777779</v>
      </c>
      <c r="AH231" s="86">
        <f>AVERAGEIFS($I$2:I231, $B$2:B231, B231)</f>
        <v>0.5294444444444445</v>
      </c>
      <c r="AI231" s="86">
        <f>AVERAGEIFS($J$2:J231, $B$2:B231, B231)</f>
        <v>0.53111111111111109</v>
      </c>
      <c r="AJ231" s="86">
        <f>AVERAGEIFS($D$2:D231, $B$2:B231, B231)</f>
        <v>0.55555555555555558</v>
      </c>
    </row>
    <row r="232" spans="1:36" x14ac:dyDescent="0.25">
      <c r="A232" s="85">
        <v>46078</v>
      </c>
      <c r="B232" t="s">
        <v>54</v>
      </c>
      <c r="C232">
        <v>20</v>
      </c>
      <c r="D232">
        <v>0</v>
      </c>
      <c r="E232">
        <v>5</v>
      </c>
      <c r="F232">
        <v>2</v>
      </c>
      <c r="G232">
        <v>25</v>
      </c>
      <c r="H232">
        <v>12</v>
      </c>
      <c r="I232">
        <v>0.4</v>
      </c>
      <c r="J232">
        <v>0.48</v>
      </c>
      <c r="K232">
        <v>0</v>
      </c>
      <c r="L232">
        <v>0</v>
      </c>
      <c r="M232">
        <v>0</v>
      </c>
      <c r="N232">
        <v>1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1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 s="86">
        <f>AVERAGEIFS($C$2:C232, $B$2:B232, B232)</f>
        <v>24.294117647058822</v>
      </c>
      <c r="AH232" s="86">
        <f>AVERAGEIFS($I$2:I232, $B$2:B232, B232)</f>
        <v>0.51882352941176468</v>
      </c>
      <c r="AI232" s="86">
        <f>AVERAGEIFS($J$2:J232, $B$2:B232, B232)</f>
        <v>0.48529411764705882</v>
      </c>
      <c r="AJ232" s="86">
        <f>AVERAGEIFS($D$2:D232, $B$2:B232, B232)</f>
        <v>0.52941176470588236</v>
      </c>
    </row>
    <row r="233" spans="1:36" x14ac:dyDescent="0.25">
      <c r="A233" s="85">
        <v>46078</v>
      </c>
      <c r="B233" t="s">
        <v>3</v>
      </c>
      <c r="C233">
        <v>22</v>
      </c>
      <c r="D233">
        <v>0</v>
      </c>
      <c r="E233">
        <v>5</v>
      </c>
      <c r="F233">
        <v>2</v>
      </c>
      <c r="G233">
        <v>25</v>
      </c>
      <c r="H233">
        <v>12</v>
      </c>
      <c r="I233">
        <v>0.4</v>
      </c>
      <c r="J233">
        <v>0.48</v>
      </c>
      <c r="K233">
        <v>0</v>
      </c>
      <c r="L233">
        <v>0</v>
      </c>
      <c r="M233">
        <v>0</v>
      </c>
      <c r="N233">
        <v>1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1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 s="86">
        <f>AVERAGEIFS($C$2:C233, $B$2:B233, B233)</f>
        <v>19</v>
      </c>
      <c r="AH233" s="86">
        <f>AVERAGEIFS($I$2:I233, $B$2:B233, B233)</f>
        <v>0.42857142857142855</v>
      </c>
      <c r="AI233" s="86">
        <f>AVERAGEIFS($J$2:J233, $B$2:B233, B233)</f>
        <v>0.4757142857142857</v>
      </c>
      <c r="AJ233" s="86">
        <f>AVERAGEIFS($D$2:D233, $B$2:B233, B233)</f>
        <v>0.42857142857142855</v>
      </c>
    </row>
    <row r="234" spans="1:36" x14ac:dyDescent="0.25">
      <c r="A234" s="85">
        <v>46078</v>
      </c>
      <c r="B234" t="s">
        <v>107</v>
      </c>
      <c r="C234">
        <v>16</v>
      </c>
      <c r="D234">
        <v>0</v>
      </c>
      <c r="E234">
        <v>5</v>
      </c>
      <c r="F234">
        <v>2</v>
      </c>
      <c r="G234">
        <v>25</v>
      </c>
      <c r="H234">
        <v>12</v>
      </c>
      <c r="I234">
        <v>0.4</v>
      </c>
      <c r="J234">
        <v>0.48</v>
      </c>
      <c r="K234">
        <v>0</v>
      </c>
      <c r="L234">
        <v>0</v>
      </c>
      <c r="M234">
        <v>0</v>
      </c>
      <c r="N234">
        <v>1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 s="86">
        <f>AVERAGEIFS($C$2:C234, $B$2:B234, B234)</f>
        <v>13.75</v>
      </c>
      <c r="AH234" s="86">
        <f>AVERAGEIFS($I$2:I234, $B$2:B234, B234)</f>
        <v>0.53749999999999998</v>
      </c>
      <c r="AI234" s="86">
        <f>AVERAGEIFS($J$2:J234, $B$2:B234, B234)</f>
        <v>0.53499999999999992</v>
      </c>
      <c r="AJ234" s="86">
        <f>AVERAGEIFS($D$2:D234, $B$2:B234, B234)</f>
        <v>0.5</v>
      </c>
    </row>
    <row r="235" spans="1:36" x14ac:dyDescent="0.25">
      <c r="A235" s="85">
        <v>46078</v>
      </c>
      <c r="B235" t="s">
        <v>45</v>
      </c>
      <c r="C235">
        <v>7</v>
      </c>
      <c r="D235">
        <v>0</v>
      </c>
      <c r="E235">
        <v>5</v>
      </c>
      <c r="F235">
        <v>2</v>
      </c>
      <c r="G235">
        <v>25</v>
      </c>
      <c r="H235">
        <v>12</v>
      </c>
      <c r="I235">
        <v>0.4</v>
      </c>
      <c r="J235">
        <v>0.48</v>
      </c>
      <c r="K235">
        <v>0</v>
      </c>
      <c r="L235">
        <v>0</v>
      </c>
      <c r="M235">
        <v>0</v>
      </c>
      <c r="N235">
        <v>1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 s="86">
        <f>AVERAGEIFS($C$2:C235, $B$2:B235, B235)</f>
        <v>7</v>
      </c>
      <c r="AH235" s="86">
        <f>AVERAGEIFS($I$2:I235, $B$2:B235, B235)</f>
        <v>0.60666666666666658</v>
      </c>
      <c r="AI235" s="86">
        <f>AVERAGEIFS($J$2:J235, $B$2:B235, B235)</f>
        <v>0.53666666666666663</v>
      </c>
      <c r="AJ235" s="86">
        <f>AVERAGEIFS($D$2:D235, $B$2:B235, B235)</f>
        <v>0.66666666666666663</v>
      </c>
    </row>
    <row r="236" spans="1:36" x14ac:dyDescent="0.25">
      <c r="A236" s="85">
        <v>46078</v>
      </c>
      <c r="B236" t="s">
        <v>6</v>
      </c>
      <c r="C236">
        <v>20</v>
      </c>
      <c r="D236">
        <v>1</v>
      </c>
      <c r="E236">
        <v>5</v>
      </c>
      <c r="F236">
        <v>3</v>
      </c>
      <c r="G236">
        <v>25</v>
      </c>
      <c r="H236">
        <v>13</v>
      </c>
      <c r="I236">
        <v>0.6</v>
      </c>
      <c r="J236">
        <v>0.52</v>
      </c>
      <c r="K236">
        <v>0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1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1</v>
      </c>
      <c r="AG236" s="86">
        <f>AVERAGEIFS($C$2:C236, $B$2:B236, B236)</f>
        <v>22.058823529411764</v>
      </c>
      <c r="AH236" s="86">
        <f>AVERAGEIFS($I$2:I236, $B$2:B236, B236)</f>
        <v>0.65470588235294114</v>
      </c>
      <c r="AI236" s="86">
        <f>AVERAGEIFS($J$2:J236, $B$2:B236, B236)</f>
        <v>0.56647058823529406</v>
      </c>
      <c r="AJ236" s="86">
        <f>AVERAGEIFS($D$2:D236, $B$2:B236, B236)</f>
        <v>0.76470588235294112</v>
      </c>
    </row>
    <row r="237" spans="1:36" x14ac:dyDescent="0.25">
      <c r="A237" s="85">
        <v>46078</v>
      </c>
      <c r="B237" t="s">
        <v>46</v>
      </c>
      <c r="C237">
        <v>26</v>
      </c>
      <c r="D237">
        <v>1</v>
      </c>
      <c r="E237">
        <v>5</v>
      </c>
      <c r="F237">
        <v>3</v>
      </c>
      <c r="G237">
        <v>25</v>
      </c>
      <c r="H237">
        <v>13</v>
      </c>
      <c r="I237">
        <v>0.6</v>
      </c>
      <c r="J237">
        <v>0.52</v>
      </c>
      <c r="K237">
        <v>0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1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1</v>
      </c>
      <c r="AG237" s="86">
        <f>AVERAGEIFS($C$2:C237, $B$2:B237, B237)</f>
        <v>19.818181818181817</v>
      </c>
      <c r="AH237" s="86">
        <f>AVERAGEIFS($I$2:I237, $B$2:B237, B237)</f>
        <v>0.48181818181818181</v>
      </c>
      <c r="AI237" s="86">
        <f>AVERAGEIFS($J$2:J237, $B$2:B237, B237)</f>
        <v>0.48818181818181811</v>
      </c>
      <c r="AJ237" s="86">
        <f>AVERAGEIFS($D$2:D237, $B$2:B237, B237)</f>
        <v>0.36363636363636365</v>
      </c>
    </row>
    <row r="238" spans="1:36" x14ac:dyDescent="0.25">
      <c r="A238" s="85">
        <v>46078</v>
      </c>
      <c r="B238" t="s">
        <v>70</v>
      </c>
      <c r="C238">
        <v>8</v>
      </c>
      <c r="D238">
        <v>1</v>
      </c>
      <c r="E238">
        <v>5</v>
      </c>
      <c r="F238">
        <v>3</v>
      </c>
      <c r="G238">
        <v>25</v>
      </c>
      <c r="H238">
        <v>13</v>
      </c>
      <c r="I238">
        <v>0.6</v>
      </c>
      <c r="J238">
        <v>0.52</v>
      </c>
      <c r="K238">
        <v>0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1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1</v>
      </c>
      <c r="AG238" s="86">
        <f>AVERAGEIFS($C$2:C238, $B$2:B238, B238)</f>
        <v>11</v>
      </c>
      <c r="AH238" s="86">
        <f>AVERAGEIFS($I$2:I238, $B$2:B238, B238)</f>
        <v>0.73333333333333339</v>
      </c>
      <c r="AI238" s="86">
        <f>AVERAGEIFS($J$2:J238, $B$2:B238, B238)</f>
        <v>0.56333333333333335</v>
      </c>
      <c r="AJ238" s="86">
        <f>AVERAGEIFS($D$2:D238, $B$2:B238, B238)</f>
        <v>1</v>
      </c>
    </row>
    <row r="239" spans="1:36" x14ac:dyDescent="0.25">
      <c r="A239" s="85">
        <v>46078</v>
      </c>
      <c r="B239" t="s">
        <v>40</v>
      </c>
      <c r="C239">
        <v>24</v>
      </c>
      <c r="D239">
        <v>1</v>
      </c>
      <c r="E239">
        <v>5</v>
      </c>
      <c r="F239">
        <v>3</v>
      </c>
      <c r="G239">
        <v>25</v>
      </c>
      <c r="H239">
        <v>13</v>
      </c>
      <c r="I239">
        <v>0.6</v>
      </c>
      <c r="J239">
        <v>0.52</v>
      </c>
      <c r="K239">
        <v>0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1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1</v>
      </c>
      <c r="AG239" s="86">
        <f>AVERAGEIFS($C$2:C239, $B$2:B239, B239)</f>
        <v>17</v>
      </c>
      <c r="AH239" s="86">
        <f>AVERAGEIFS($I$2:I239, $B$2:B239, B239)</f>
        <v>0.39500000000000002</v>
      </c>
      <c r="AI239" s="86">
        <f>AVERAGEIFS($J$2:J239, $B$2:B239, B239)</f>
        <v>0.4539999999999999</v>
      </c>
      <c r="AJ239" s="86">
        <f>AVERAGEIFS($D$2:D239, $B$2:B239, B239)</f>
        <v>0.4</v>
      </c>
    </row>
    <row r="240" spans="1:36" x14ac:dyDescent="0.25">
      <c r="A240" s="85">
        <v>46078</v>
      </c>
      <c r="B240" t="s">
        <v>35</v>
      </c>
      <c r="C240">
        <v>16</v>
      </c>
      <c r="D240">
        <v>1</v>
      </c>
      <c r="E240">
        <v>5</v>
      </c>
      <c r="F240">
        <v>3</v>
      </c>
      <c r="G240">
        <v>25</v>
      </c>
      <c r="H240">
        <v>13</v>
      </c>
      <c r="I240">
        <v>0.6</v>
      </c>
      <c r="J240">
        <v>0.52</v>
      </c>
      <c r="K240">
        <v>0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1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1</v>
      </c>
      <c r="AG240" s="86">
        <f>AVERAGEIFS($C$2:C240, $B$2:B240, B240)</f>
        <v>11.466666666666667</v>
      </c>
      <c r="AH240" s="86">
        <f>AVERAGEIFS($I$2:I240, $B$2:B240, B240)</f>
        <v>0.44866666666666671</v>
      </c>
      <c r="AI240" s="86">
        <f>AVERAGEIFS($J$2:J240, $B$2:B240, B240)</f>
        <v>0.50200000000000011</v>
      </c>
      <c r="AJ240" s="86">
        <f>AVERAGEIFS($D$2:D240, $B$2:B240, B240)</f>
        <v>0.4</v>
      </c>
    </row>
    <row r="241" spans="1:36" x14ac:dyDescent="0.25">
      <c r="A241" s="85">
        <v>46079</v>
      </c>
      <c r="B241" t="s">
        <v>4</v>
      </c>
      <c r="C241">
        <v>29</v>
      </c>
      <c r="D241">
        <v>1</v>
      </c>
      <c r="E241">
        <v>4</v>
      </c>
      <c r="F241">
        <v>3</v>
      </c>
      <c r="G241">
        <v>19</v>
      </c>
      <c r="H241">
        <v>11</v>
      </c>
      <c r="I241">
        <v>0.75</v>
      </c>
      <c r="J241">
        <v>0.57999999999999996</v>
      </c>
      <c r="K241">
        <v>0</v>
      </c>
      <c r="L241">
        <v>0</v>
      </c>
      <c r="M241">
        <v>1</v>
      </c>
      <c r="N241">
        <v>1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1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 s="86">
        <f>AVERAGEIFS($C$2:C241, $B$2:B241, B241)</f>
        <v>26.333333333333332</v>
      </c>
      <c r="AH241" s="86">
        <f>AVERAGEIFS($I$2:I241, $B$2:B241, B241)</f>
        <v>0.3666666666666667</v>
      </c>
      <c r="AI241" s="86">
        <f>AVERAGEIFS($J$2:J241, $B$2:B241, B241)</f>
        <v>0.42666666666666669</v>
      </c>
      <c r="AJ241" s="86">
        <f>AVERAGEIFS($D$2:D241, $B$2:B241, B241)</f>
        <v>0.16666666666666666</v>
      </c>
    </row>
    <row r="242" spans="1:36" x14ac:dyDescent="0.25">
      <c r="A242" s="85">
        <v>46079</v>
      </c>
      <c r="B242" t="s">
        <v>2</v>
      </c>
      <c r="C242">
        <v>33</v>
      </c>
      <c r="D242">
        <v>1</v>
      </c>
      <c r="E242">
        <v>4</v>
      </c>
      <c r="F242">
        <v>3</v>
      </c>
      <c r="G242">
        <v>19</v>
      </c>
      <c r="H242">
        <v>11</v>
      </c>
      <c r="I242">
        <v>0.75</v>
      </c>
      <c r="J242">
        <v>0.57999999999999996</v>
      </c>
      <c r="K242">
        <v>0</v>
      </c>
      <c r="L242">
        <v>0</v>
      </c>
      <c r="M242">
        <v>1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1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 s="86">
        <f>AVERAGEIFS($C$2:C242, $B$2:B242, B242)</f>
        <v>24.76923076923077</v>
      </c>
      <c r="AH242" s="86">
        <f>AVERAGEIFS($I$2:I242, $B$2:B242, B242)</f>
        <v>0.49846153846153851</v>
      </c>
      <c r="AI242" s="86">
        <f>AVERAGEIFS($J$2:J242, $B$2:B242, B242)</f>
        <v>0.52923076923076917</v>
      </c>
      <c r="AJ242" s="86">
        <f>AVERAGEIFS($D$2:D242, $B$2:B242, B242)</f>
        <v>0.46153846153846156</v>
      </c>
    </row>
    <row r="243" spans="1:36" x14ac:dyDescent="0.25">
      <c r="A243" s="85">
        <v>46079</v>
      </c>
      <c r="B243" t="s">
        <v>40</v>
      </c>
      <c r="C243">
        <v>29</v>
      </c>
      <c r="D243">
        <v>1</v>
      </c>
      <c r="E243">
        <v>4</v>
      </c>
      <c r="F243">
        <v>3</v>
      </c>
      <c r="G243">
        <v>19</v>
      </c>
      <c r="H243">
        <v>11</v>
      </c>
      <c r="I243">
        <v>0.75</v>
      </c>
      <c r="J243">
        <v>0.57999999999999996</v>
      </c>
      <c r="K243">
        <v>0</v>
      </c>
      <c r="L243">
        <v>0</v>
      </c>
      <c r="M243">
        <v>1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1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 s="86">
        <f>AVERAGEIFS($C$2:C243, $B$2:B243, B243)</f>
        <v>18.09090909090909</v>
      </c>
      <c r="AH243" s="86">
        <f>AVERAGEIFS($I$2:I243, $B$2:B243, B243)</f>
        <v>0.4272727272727273</v>
      </c>
      <c r="AI243" s="86">
        <f>AVERAGEIFS($J$2:J243, $B$2:B243, B243)</f>
        <v>0.4654545454545454</v>
      </c>
      <c r="AJ243" s="86">
        <f>AVERAGEIFS($D$2:D243, $B$2:B243, B243)</f>
        <v>0.45454545454545453</v>
      </c>
    </row>
    <row r="244" spans="1:36" x14ac:dyDescent="0.25">
      <c r="A244" s="85">
        <v>46079</v>
      </c>
      <c r="B244" t="s">
        <v>44</v>
      </c>
      <c r="C244">
        <v>31</v>
      </c>
      <c r="D244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1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 s="86">
        <f>AVERAGEIFS($C$2:C244, $B$2:B244, B244)</f>
        <v>19.25</v>
      </c>
      <c r="AH244" s="86">
        <f>AVERAGEIFS($I$2:I244, $B$2:B244, B244)</f>
        <v>0.4375</v>
      </c>
      <c r="AI244" s="86">
        <f>AVERAGEIFS($J$2:J244, $B$2:B244, B244)</f>
        <v>0.51</v>
      </c>
      <c r="AJ244" s="86">
        <f>AVERAGEIFS($D$2:D244, $B$2:B244, B244)</f>
        <v>0.5</v>
      </c>
    </row>
    <row r="245" spans="1:36" x14ac:dyDescent="0.25">
      <c r="A245" s="85">
        <v>46079</v>
      </c>
      <c r="B245" t="s">
        <v>107</v>
      </c>
      <c r="C245">
        <v>24</v>
      </c>
      <c r="D245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1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 s="86">
        <f>AVERAGEIFS($C$2:C245, $B$2:B245, B245)</f>
        <v>15.8</v>
      </c>
      <c r="AH245" s="86">
        <f>AVERAGEIFS($I$2:I245, $B$2:B245, B245)</f>
        <v>0.57999999999999996</v>
      </c>
      <c r="AI245" s="86">
        <f>AVERAGEIFS($J$2:J245, $B$2:B245, B245)</f>
        <v>0.54399999999999993</v>
      </c>
      <c r="AJ245" s="86">
        <f>AVERAGEIFS($D$2:D245, $B$2:B245, B245)</f>
        <v>0.6</v>
      </c>
    </row>
    <row r="246" spans="1:36" x14ac:dyDescent="0.25">
      <c r="A246" s="85">
        <v>46079</v>
      </c>
      <c r="B246" t="s">
        <v>27</v>
      </c>
      <c r="C246">
        <v>17</v>
      </c>
      <c r="D246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1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 s="86">
        <f>AVERAGEIFS($C$2:C246, $B$2:B246, B246)</f>
        <v>15.25</v>
      </c>
      <c r="AH246" s="86">
        <f>AVERAGEIFS($I$2:I246, $B$2:B246, B246)</f>
        <v>0.53749999999999998</v>
      </c>
      <c r="AI246" s="86">
        <f>AVERAGEIFS($J$2:J246, $B$2:B246, B246)</f>
        <v>0.47499999999999998</v>
      </c>
      <c r="AJ246" s="86">
        <f>AVERAGEIFS($D$2:D246, $B$2:B246, B246)</f>
        <v>0.5</v>
      </c>
    </row>
    <row r="247" spans="1:36" x14ac:dyDescent="0.25">
      <c r="A247" s="85">
        <v>46079</v>
      </c>
      <c r="B247" t="s">
        <v>45</v>
      </c>
      <c r="C247">
        <v>13</v>
      </c>
      <c r="D247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1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 s="86">
        <f>AVERAGEIFS($C$2:C247, $B$2:B247, B247)</f>
        <v>8.5</v>
      </c>
      <c r="AH247" s="86">
        <f>AVERAGEIFS($I$2:I247, $B$2:B247, B247)</f>
        <v>0.64249999999999996</v>
      </c>
      <c r="AI247" s="86">
        <f>AVERAGEIFS($J$2:J247, $B$2:B247, B247)</f>
        <v>0.54749999999999999</v>
      </c>
      <c r="AJ247" s="86">
        <f>AVERAGEIFS($D$2:D247, $B$2:B247, B247)</f>
        <v>0.75</v>
      </c>
    </row>
    <row r="248" spans="1:36" x14ac:dyDescent="0.25">
      <c r="A248" s="85">
        <v>46079</v>
      </c>
      <c r="B248" t="s">
        <v>113</v>
      </c>
      <c r="C248">
        <v>18</v>
      </c>
      <c r="D248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1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 s="86">
        <f>AVERAGEIFS($C$2:C248, $B$2:B248, B248)</f>
        <v>21.333333333333332</v>
      </c>
      <c r="AH248" s="86">
        <f>AVERAGEIFS($I$2:I248, $B$2:B248, B248)</f>
        <v>0.58333333333333337</v>
      </c>
      <c r="AI248" s="86">
        <f>AVERAGEIFS($J$2:J248, $B$2:B248, B248)</f>
        <v>0.5099999999999999</v>
      </c>
      <c r="AJ248" s="86">
        <f>AVERAGEIFS($D$2:D248, $B$2:B248, B248)</f>
        <v>0.66666666666666663</v>
      </c>
    </row>
    <row r="249" spans="1:36" x14ac:dyDescent="0.25">
      <c r="A249" s="85">
        <v>46079</v>
      </c>
      <c r="B249" t="s">
        <v>1</v>
      </c>
      <c r="C249">
        <v>44</v>
      </c>
      <c r="D249">
        <v>0</v>
      </c>
      <c r="E249">
        <v>4</v>
      </c>
      <c r="F249">
        <v>1</v>
      </c>
      <c r="G249">
        <v>19</v>
      </c>
      <c r="H249">
        <v>8</v>
      </c>
      <c r="I249">
        <v>0.25</v>
      </c>
      <c r="J249">
        <v>0.42</v>
      </c>
      <c r="K249">
        <v>0</v>
      </c>
      <c r="L249">
        <v>0</v>
      </c>
      <c r="M249">
        <v>0</v>
      </c>
      <c r="N249">
        <v>0</v>
      </c>
      <c r="O249">
        <v>1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 s="86">
        <f>AVERAGEIFS($C$2:C249, $B$2:B249, B249)</f>
        <v>29.875</v>
      </c>
      <c r="AH249" s="86">
        <f>AVERAGEIFS($I$2:I249, $B$2:B249, B249)</f>
        <v>0.4</v>
      </c>
      <c r="AI249" s="86">
        <f>AVERAGEIFS($J$2:J249, $B$2:B249, B249)</f>
        <v>0.47624999999999995</v>
      </c>
      <c r="AJ249" s="86">
        <f>AVERAGEIFS($D$2:D249, $B$2:B249, B249)</f>
        <v>0.5</v>
      </c>
    </row>
    <row r="250" spans="1:36" x14ac:dyDescent="0.25">
      <c r="A250" s="85">
        <v>46079</v>
      </c>
      <c r="B250" t="s">
        <v>54</v>
      </c>
      <c r="C250">
        <v>36</v>
      </c>
      <c r="D250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1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 s="86">
        <f>AVERAGEIFS($C$2:C250, $B$2:B250, B250)</f>
        <v>24.944444444444443</v>
      </c>
      <c r="AH250" s="86">
        <f>AVERAGEIFS($I$2:I250, $B$2:B250, B250)</f>
        <v>0.50388888888888894</v>
      </c>
      <c r="AI250" s="86">
        <f>AVERAGEIFS($J$2:J250, $B$2:B250, B250)</f>
        <v>0.48166666666666669</v>
      </c>
      <c r="AJ250" s="86">
        <f>AVERAGEIFS($D$2:D250, $B$2:B250, B250)</f>
        <v>0.5</v>
      </c>
    </row>
    <row r="251" spans="1:36" x14ac:dyDescent="0.25">
      <c r="A251" s="85">
        <v>46079</v>
      </c>
      <c r="B251" t="s">
        <v>50</v>
      </c>
      <c r="C251">
        <v>28</v>
      </c>
      <c r="D251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1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 s="86">
        <f>AVERAGEIFS($C$2:C251, $B$2:B251, B251)</f>
        <v>20.684210526315791</v>
      </c>
      <c r="AH251" s="86">
        <f>AVERAGEIFS($I$2:I251, $B$2:B251, B251)</f>
        <v>0.51473684210526327</v>
      </c>
      <c r="AI251" s="86">
        <f>AVERAGEIFS($J$2:J251, $B$2:B251, B251)</f>
        <v>0.52526315789473677</v>
      </c>
      <c r="AJ251" s="86">
        <f>AVERAGEIFS($D$2:D251, $B$2:B251, B251)</f>
        <v>0.52631578947368418</v>
      </c>
    </row>
    <row r="252" spans="1:36" x14ac:dyDescent="0.25">
      <c r="A252" s="85">
        <v>46079</v>
      </c>
      <c r="B252" t="s">
        <v>28</v>
      </c>
      <c r="C252">
        <v>21</v>
      </c>
      <c r="D252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1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 s="86">
        <f>AVERAGEIFS($C$2:C252, $B$2:B252, B252)</f>
        <v>16.600000000000001</v>
      </c>
      <c r="AH252" s="86">
        <f>AVERAGEIFS($I$2:I252, $B$2:B252, B252)</f>
        <v>0.46799999999999997</v>
      </c>
      <c r="AI252" s="86">
        <f>AVERAGEIFS($J$2:J252, $B$2:B252, B252)</f>
        <v>0.50499999999999989</v>
      </c>
      <c r="AJ252" s="86">
        <f>AVERAGEIFS($D$2:D252, $B$2:B252, B252)</f>
        <v>0.4</v>
      </c>
    </row>
    <row r="253" spans="1:36" x14ac:dyDescent="0.25">
      <c r="A253" s="85">
        <v>46079</v>
      </c>
      <c r="B253" t="s">
        <v>114</v>
      </c>
      <c r="C253">
        <v>6</v>
      </c>
      <c r="D253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1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 s="86">
        <f>AVERAGEIFS($C$2:C253, $B$2:B253, B253)</f>
        <v>6</v>
      </c>
      <c r="AH253" s="86">
        <f>AVERAGEIFS($I$2:I253, $B$2:B253, B253)</f>
        <v>0.25</v>
      </c>
      <c r="AI253" s="86">
        <f>AVERAGEIFS($J$2:J253, $B$2:B253, B253)</f>
        <v>0.42</v>
      </c>
      <c r="AJ253" s="86">
        <f>AVERAGEIFS($D$2:D253, $B$2:B253, B253)</f>
        <v>0</v>
      </c>
    </row>
    <row r="254" spans="1:36" x14ac:dyDescent="0.25">
      <c r="A254" s="85">
        <v>46079</v>
      </c>
      <c r="B254" t="s">
        <v>35</v>
      </c>
      <c r="C254">
        <v>12</v>
      </c>
      <c r="D254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1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 s="86">
        <f>AVERAGEIFS($C$2:C254, $B$2:B254, B254)</f>
        <v>11.5</v>
      </c>
      <c r="AH254" s="86">
        <f>AVERAGEIFS($I$2:I254, $B$2:B254, B254)</f>
        <v>0.43625000000000003</v>
      </c>
      <c r="AI254" s="86">
        <f>AVERAGEIFS($J$2:J254, $B$2:B254, B254)</f>
        <v>0.49687500000000007</v>
      </c>
      <c r="AJ254" s="86">
        <f>AVERAGEIFS($D$2:D254, $B$2:B254, B254)</f>
        <v>0.375</v>
      </c>
    </row>
    <row r="255" spans="1:36" x14ac:dyDescent="0.25">
      <c r="A255" s="85">
        <v>46079</v>
      </c>
      <c r="B255" t="s">
        <v>115</v>
      </c>
      <c r="C255">
        <v>14</v>
      </c>
      <c r="D255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1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 s="86">
        <f>AVERAGEIFS($C$2:C255, $B$2:B255, B255)</f>
        <v>14</v>
      </c>
      <c r="AH255" s="86">
        <f>AVERAGEIFS($I$2:I255, $B$2:B255, B255)</f>
        <v>0.25</v>
      </c>
      <c r="AI255" s="86">
        <f>AVERAGEIFS($J$2:J255, $B$2:B255, B255)</f>
        <v>0.42</v>
      </c>
      <c r="AJ255" s="86">
        <f>AVERAGEIFS($D$2:D255, $B$2:B255, B255)</f>
        <v>0</v>
      </c>
    </row>
    <row r="256" spans="1:36" x14ac:dyDescent="0.25">
      <c r="A256" s="85">
        <v>46079</v>
      </c>
      <c r="B256" t="s">
        <v>46</v>
      </c>
      <c r="C256">
        <v>24</v>
      </c>
      <c r="D256">
        <v>0</v>
      </c>
      <c r="E256">
        <v>4</v>
      </c>
      <c r="F256">
        <v>1</v>
      </c>
      <c r="G256">
        <v>19</v>
      </c>
      <c r="H256">
        <v>8</v>
      </c>
      <c r="I256">
        <v>0.25</v>
      </c>
      <c r="J256">
        <v>0.42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 s="86">
        <f>AVERAGEIFS($C$2:C256, $B$2:B256, B256)</f>
        <v>20.166666666666668</v>
      </c>
      <c r="AH256" s="86">
        <f>AVERAGEIFS($I$2:I256, $B$2:B256, B256)</f>
        <v>0.46249999999999997</v>
      </c>
      <c r="AI256" s="86">
        <f>AVERAGEIFS($J$2:J256, $B$2:B256, B256)</f>
        <v>0.48249999999999993</v>
      </c>
      <c r="AJ256" s="86">
        <f>AVERAGEIFS($D$2:D256, $B$2:B256, B256)</f>
        <v>0.33333333333333331</v>
      </c>
    </row>
    <row r="257" spans="1:36" x14ac:dyDescent="0.25">
      <c r="A257" s="85">
        <v>46080</v>
      </c>
      <c r="B257" t="s">
        <v>4</v>
      </c>
      <c r="C257">
        <v>39</v>
      </c>
      <c r="D257">
        <v>1</v>
      </c>
      <c r="E257">
        <v>5</v>
      </c>
      <c r="F257">
        <v>3</v>
      </c>
      <c r="G257">
        <v>19</v>
      </c>
      <c r="H257">
        <v>11</v>
      </c>
      <c r="I257">
        <v>0.6</v>
      </c>
      <c r="J257">
        <v>0.57999999999999996</v>
      </c>
      <c r="K257">
        <v>0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1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1</v>
      </c>
      <c r="AD257">
        <v>0</v>
      </c>
      <c r="AE257">
        <v>0</v>
      </c>
      <c r="AF257">
        <v>0</v>
      </c>
      <c r="AG257" s="86">
        <f>AVERAGEIFS($C$2:C257, $B$2:B257, B257)</f>
        <v>28.142857142857142</v>
      </c>
      <c r="AH257" s="86">
        <f>AVERAGEIFS($I$2:I257, $B$2:B257, B257)</f>
        <v>0.4</v>
      </c>
      <c r="AI257" s="86">
        <f>AVERAGEIFS($J$2:J257, $B$2:B257, B257)</f>
        <v>0.44857142857142857</v>
      </c>
      <c r="AJ257" s="86">
        <f>AVERAGEIFS($D$2:D257, $B$2:B257, B257)</f>
        <v>0.2857142857142857</v>
      </c>
    </row>
    <row r="258" spans="1:36" x14ac:dyDescent="0.25">
      <c r="A258" s="85">
        <v>46080</v>
      </c>
      <c r="B258" t="s">
        <v>54</v>
      </c>
      <c r="C258">
        <v>34</v>
      </c>
      <c r="D258">
        <v>1</v>
      </c>
      <c r="E258">
        <v>5</v>
      </c>
      <c r="F258">
        <v>3</v>
      </c>
      <c r="G258">
        <v>19</v>
      </c>
      <c r="H258">
        <v>11</v>
      </c>
      <c r="I258">
        <v>0.6</v>
      </c>
      <c r="J258">
        <v>0.57999999999999996</v>
      </c>
      <c r="K258">
        <v>0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1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1</v>
      </c>
      <c r="AD258">
        <v>0</v>
      </c>
      <c r="AE258">
        <v>0</v>
      </c>
      <c r="AF258">
        <v>0</v>
      </c>
      <c r="AG258" s="86">
        <f>AVERAGEIFS($C$2:C258, $B$2:B258, B258)</f>
        <v>25.421052631578949</v>
      </c>
      <c r="AH258" s="86">
        <f>AVERAGEIFS($I$2:I258, $B$2:B258, B258)</f>
        <v>0.50894736842105259</v>
      </c>
      <c r="AI258" s="86">
        <f>AVERAGEIFS($J$2:J258, $B$2:B258, B258)</f>
        <v>0.48684210526315791</v>
      </c>
      <c r="AJ258" s="86">
        <f>AVERAGEIFS($D$2:D258, $B$2:B258, B258)</f>
        <v>0.52631578947368418</v>
      </c>
    </row>
    <row r="259" spans="1:36" x14ac:dyDescent="0.25">
      <c r="A259" s="85">
        <v>46080</v>
      </c>
      <c r="B259" t="s">
        <v>19</v>
      </c>
      <c r="C259">
        <v>6</v>
      </c>
      <c r="D259">
        <v>1</v>
      </c>
      <c r="E259">
        <v>5</v>
      </c>
      <c r="F259">
        <v>3</v>
      </c>
      <c r="G259">
        <v>19</v>
      </c>
      <c r="H259">
        <v>11</v>
      </c>
      <c r="I259">
        <v>0.6</v>
      </c>
      <c r="J259">
        <v>0.57999999999999996</v>
      </c>
      <c r="K259">
        <v>0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1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1</v>
      </c>
      <c r="AD259">
        <v>0</v>
      </c>
      <c r="AE259">
        <v>0</v>
      </c>
      <c r="AF259">
        <v>0</v>
      </c>
      <c r="AG259" s="86">
        <f>AVERAGEIFS($C$2:C259, $B$2:B259, B259)</f>
        <v>7.9230769230769234</v>
      </c>
      <c r="AH259" s="86">
        <f>AVERAGEIFS($I$2:I259, $B$2:B259, B259)</f>
        <v>0.60615384615384615</v>
      </c>
      <c r="AI259" s="86">
        <f>AVERAGEIFS($J$2:J259, $B$2:B259, B259)</f>
        <v>0.57846153846153836</v>
      </c>
      <c r="AJ259" s="86">
        <f>AVERAGEIFS($D$2:D259, $B$2:B259, B259)</f>
        <v>0.69230769230769229</v>
      </c>
    </row>
    <row r="260" spans="1:36" x14ac:dyDescent="0.25">
      <c r="A260" s="85">
        <v>46080</v>
      </c>
      <c r="B260" t="s">
        <v>113</v>
      </c>
      <c r="C260">
        <v>23</v>
      </c>
      <c r="D260">
        <v>1</v>
      </c>
      <c r="E260">
        <v>5</v>
      </c>
      <c r="F260">
        <v>3</v>
      </c>
      <c r="G260">
        <v>19</v>
      </c>
      <c r="H260">
        <v>11</v>
      </c>
      <c r="I260">
        <v>0.6</v>
      </c>
      <c r="J260">
        <v>0.57999999999999996</v>
      </c>
      <c r="K260">
        <v>0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1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1</v>
      </c>
      <c r="AD260">
        <v>0</v>
      </c>
      <c r="AE260">
        <v>0</v>
      </c>
      <c r="AF260">
        <v>0</v>
      </c>
      <c r="AG260" s="86">
        <f>AVERAGEIFS($C$2:C260, $B$2:B260, B260)</f>
        <v>21.75</v>
      </c>
      <c r="AH260" s="86">
        <f>AVERAGEIFS($I$2:I260, $B$2:B260, B260)</f>
        <v>0.58750000000000002</v>
      </c>
      <c r="AI260" s="86">
        <f>AVERAGEIFS($J$2:J260, $B$2:B260, B260)</f>
        <v>0.52749999999999997</v>
      </c>
      <c r="AJ260" s="86">
        <f>AVERAGEIFS($D$2:D260, $B$2:B260, B260)</f>
        <v>0.75</v>
      </c>
    </row>
    <row r="261" spans="1:36" x14ac:dyDescent="0.25">
      <c r="A261" s="85">
        <v>46080</v>
      </c>
      <c r="B261" t="s">
        <v>115</v>
      </c>
      <c r="C261">
        <v>9</v>
      </c>
      <c r="D261">
        <v>1</v>
      </c>
      <c r="E261">
        <v>5</v>
      </c>
      <c r="F261">
        <v>3</v>
      </c>
      <c r="G261">
        <v>19</v>
      </c>
      <c r="H261">
        <v>11</v>
      </c>
      <c r="I261">
        <v>0.6</v>
      </c>
      <c r="J261">
        <v>0.57999999999999996</v>
      </c>
      <c r="K261">
        <v>0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1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1</v>
      </c>
      <c r="AD261">
        <v>0</v>
      </c>
      <c r="AE261">
        <v>0</v>
      </c>
      <c r="AF261">
        <v>0</v>
      </c>
      <c r="AG261" s="86">
        <f>AVERAGEIFS($C$2:C261, $B$2:B261, B261)</f>
        <v>11.5</v>
      </c>
      <c r="AH261" s="86">
        <f>AVERAGEIFS($I$2:I261, $B$2:B261, B261)</f>
        <v>0.42499999999999999</v>
      </c>
      <c r="AI261" s="86">
        <f>AVERAGEIFS($J$2:J261, $B$2:B261, B261)</f>
        <v>0.5</v>
      </c>
      <c r="AJ261" s="86">
        <f>AVERAGEIFS($D$2:D261, $B$2:B261, B261)</f>
        <v>0.5</v>
      </c>
    </row>
    <row r="262" spans="1:36" x14ac:dyDescent="0.25">
      <c r="A262" s="85">
        <v>46080</v>
      </c>
      <c r="B262" t="s">
        <v>17</v>
      </c>
      <c r="C262">
        <v>28</v>
      </c>
      <c r="D262">
        <v>1</v>
      </c>
      <c r="E262">
        <v>5</v>
      </c>
      <c r="F262">
        <v>3</v>
      </c>
      <c r="G262">
        <v>19</v>
      </c>
      <c r="H262">
        <v>11</v>
      </c>
      <c r="I262">
        <v>0.6</v>
      </c>
      <c r="J262">
        <v>0.57999999999999996</v>
      </c>
      <c r="K262">
        <v>0</v>
      </c>
      <c r="L262">
        <v>0</v>
      </c>
      <c r="M262">
        <v>1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1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1</v>
      </c>
      <c r="AD262">
        <v>0</v>
      </c>
      <c r="AE262">
        <v>0</v>
      </c>
      <c r="AF262">
        <v>0</v>
      </c>
      <c r="AG262" s="86">
        <f>AVERAGEIFS($C$2:C262, $B$2:B262, B262)</f>
        <v>21.1875</v>
      </c>
      <c r="AH262" s="86">
        <f>AVERAGEIFS($I$2:I262, $B$2:B262, B262)</f>
        <v>0.49187500000000001</v>
      </c>
      <c r="AI262" s="86">
        <f>AVERAGEIFS($J$2:J262, $B$2:B262, B262)</f>
        <v>0.48750000000000004</v>
      </c>
      <c r="AJ262" s="86">
        <f>AVERAGEIFS($D$2:D262, $B$2:B262, B262)</f>
        <v>0.4375</v>
      </c>
    </row>
    <row r="263" spans="1:36" x14ac:dyDescent="0.25">
      <c r="A263" s="85">
        <v>46080</v>
      </c>
      <c r="B263" t="s">
        <v>35</v>
      </c>
      <c r="C263">
        <v>20</v>
      </c>
      <c r="D263">
        <v>0</v>
      </c>
      <c r="E263">
        <v>5</v>
      </c>
      <c r="F263">
        <v>2</v>
      </c>
      <c r="G263">
        <v>19</v>
      </c>
      <c r="H263">
        <v>8</v>
      </c>
      <c r="I263">
        <v>0.4</v>
      </c>
      <c r="J263">
        <v>0.42</v>
      </c>
      <c r="K263">
        <v>0</v>
      </c>
      <c r="L263">
        <v>1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1</v>
      </c>
      <c r="AE263">
        <v>0</v>
      </c>
      <c r="AF263">
        <v>0</v>
      </c>
      <c r="AG263" s="86">
        <f>AVERAGEIFS($C$2:C263, $B$2:B263, B263)</f>
        <v>12</v>
      </c>
      <c r="AH263" s="86">
        <f>AVERAGEIFS($I$2:I263, $B$2:B263, B263)</f>
        <v>0.43411764705882355</v>
      </c>
      <c r="AI263" s="86">
        <f>AVERAGEIFS($J$2:J263, $B$2:B263, B263)</f>
        <v>0.49235294117647066</v>
      </c>
      <c r="AJ263" s="86">
        <f>AVERAGEIFS($D$2:D263, $B$2:B263, B263)</f>
        <v>0.35294117647058826</v>
      </c>
    </row>
    <row r="264" spans="1:36" x14ac:dyDescent="0.25">
      <c r="A264" s="85">
        <v>46080</v>
      </c>
      <c r="B264" t="s">
        <v>6</v>
      </c>
      <c r="C264">
        <v>37</v>
      </c>
      <c r="D264">
        <v>0</v>
      </c>
      <c r="E264">
        <v>5</v>
      </c>
      <c r="F264">
        <v>2</v>
      </c>
      <c r="G264">
        <v>19</v>
      </c>
      <c r="H264">
        <v>8</v>
      </c>
      <c r="I264">
        <v>0.4</v>
      </c>
      <c r="J264">
        <v>0.42</v>
      </c>
      <c r="K264">
        <v>0</v>
      </c>
      <c r="L264">
        <v>1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1</v>
      </c>
      <c r="AE264">
        <v>0</v>
      </c>
      <c r="AF264">
        <v>0</v>
      </c>
      <c r="AG264" s="86">
        <f>AVERAGEIFS($C$2:C264, $B$2:B264, B264)</f>
        <v>22.888888888888889</v>
      </c>
      <c r="AH264" s="86">
        <f>AVERAGEIFS($I$2:I264, $B$2:B264, B264)</f>
        <v>0.64055555555555554</v>
      </c>
      <c r="AI264" s="86">
        <f>AVERAGEIFS($J$2:J264, $B$2:B264, B264)</f>
        <v>0.55833333333333324</v>
      </c>
      <c r="AJ264" s="86">
        <f>AVERAGEIFS($D$2:D264, $B$2:B264, B264)</f>
        <v>0.72222222222222221</v>
      </c>
    </row>
    <row r="265" spans="1:36" x14ac:dyDescent="0.25">
      <c r="A265" s="85">
        <v>46080</v>
      </c>
      <c r="B265" t="s">
        <v>2</v>
      </c>
      <c r="C265">
        <v>24</v>
      </c>
      <c r="D265">
        <v>0</v>
      </c>
      <c r="E265">
        <v>5</v>
      </c>
      <c r="F265">
        <v>2</v>
      </c>
      <c r="G265">
        <v>19</v>
      </c>
      <c r="H265">
        <v>8</v>
      </c>
      <c r="I265">
        <v>0.4</v>
      </c>
      <c r="J265">
        <v>0.42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1</v>
      </c>
      <c r="AE265">
        <v>0</v>
      </c>
      <c r="AF265">
        <v>0</v>
      </c>
      <c r="AG265" s="86">
        <f>AVERAGEIFS($C$2:C265, $B$2:B265, B265)</f>
        <v>24.714285714285715</v>
      </c>
      <c r="AH265" s="86">
        <f>AVERAGEIFS($I$2:I265, $B$2:B265, B265)</f>
        <v>0.49142857142857149</v>
      </c>
      <c r="AI265" s="86">
        <f>AVERAGEIFS($J$2:J265, $B$2:B265, B265)</f>
        <v>0.52142857142857135</v>
      </c>
      <c r="AJ265" s="86">
        <f>AVERAGEIFS($D$2:D265, $B$2:B265, B265)</f>
        <v>0.42857142857142855</v>
      </c>
    </row>
    <row r="266" spans="1:36" x14ac:dyDescent="0.25">
      <c r="A266" s="85">
        <v>46080</v>
      </c>
      <c r="B266" t="s">
        <v>3</v>
      </c>
      <c r="C266">
        <v>24</v>
      </c>
      <c r="D266">
        <v>0</v>
      </c>
      <c r="E266">
        <v>5</v>
      </c>
      <c r="F266">
        <v>2</v>
      </c>
      <c r="G266">
        <v>19</v>
      </c>
      <c r="H266">
        <v>8</v>
      </c>
      <c r="I266">
        <v>0.4</v>
      </c>
      <c r="J266">
        <v>0.42</v>
      </c>
      <c r="K266">
        <v>0</v>
      </c>
      <c r="L266">
        <v>1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1</v>
      </c>
      <c r="AE266">
        <v>0</v>
      </c>
      <c r="AF266">
        <v>0</v>
      </c>
      <c r="AG266" s="86">
        <f>AVERAGEIFS($C$2:C266, $B$2:B266, B266)</f>
        <v>19.625</v>
      </c>
      <c r="AH266" s="86">
        <f>AVERAGEIFS($I$2:I266, $B$2:B266, B266)</f>
        <v>0.42499999999999999</v>
      </c>
      <c r="AI266" s="86">
        <f>AVERAGEIFS($J$2:J266, $B$2:B266, B266)</f>
        <v>0.46875</v>
      </c>
      <c r="AJ266" s="86">
        <f>AVERAGEIFS($D$2:D266, $B$2:B266, B266)</f>
        <v>0.375</v>
      </c>
    </row>
    <row r="267" spans="1:36" x14ac:dyDescent="0.25">
      <c r="A267" s="85">
        <v>46080</v>
      </c>
      <c r="B267" t="s">
        <v>137</v>
      </c>
      <c r="C267">
        <v>8</v>
      </c>
      <c r="D267">
        <v>0</v>
      </c>
      <c r="E267">
        <v>5</v>
      </c>
      <c r="F267">
        <v>2</v>
      </c>
      <c r="G267">
        <v>19</v>
      </c>
      <c r="H267">
        <v>8</v>
      </c>
      <c r="I267">
        <v>0.4</v>
      </c>
      <c r="J267">
        <v>0.42</v>
      </c>
      <c r="K267">
        <v>0</v>
      </c>
      <c r="L267">
        <v>1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1</v>
      </c>
      <c r="AE267">
        <v>0</v>
      </c>
      <c r="AF267">
        <v>0</v>
      </c>
      <c r="AG267" s="86">
        <f>AVERAGEIFS($C$2:C267, $B$2:B267, B267)</f>
        <v>5.5</v>
      </c>
      <c r="AH267" s="86">
        <f>AVERAGEIFS($I$2:I267, $B$2:B267, B267)</f>
        <v>0.4</v>
      </c>
      <c r="AI267" s="86">
        <f>AVERAGEIFS($J$2:J267, $B$2:B267, B267)</f>
        <v>0.375</v>
      </c>
      <c r="AJ267" s="86">
        <f>AVERAGEIFS($D$2:D267, $B$2:B267, B267)</f>
        <v>0</v>
      </c>
    </row>
    <row r="268" spans="1:36" x14ac:dyDescent="0.25">
      <c r="A268" s="85">
        <v>46080</v>
      </c>
      <c r="B268" t="s">
        <v>40</v>
      </c>
      <c r="C268">
        <v>24</v>
      </c>
      <c r="D268">
        <v>0</v>
      </c>
      <c r="E268">
        <v>5</v>
      </c>
      <c r="F268">
        <v>2</v>
      </c>
      <c r="G268">
        <v>19</v>
      </c>
      <c r="H268">
        <v>8</v>
      </c>
      <c r="I268">
        <v>0.4</v>
      </c>
      <c r="J268">
        <v>0.42</v>
      </c>
      <c r="K268">
        <v>0</v>
      </c>
      <c r="L268">
        <v>1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1</v>
      </c>
      <c r="AE268">
        <v>0</v>
      </c>
      <c r="AF268">
        <v>0</v>
      </c>
      <c r="AG268" s="86">
        <f>AVERAGEIFS($C$2:C268, $B$2:B268, B268)</f>
        <v>18.583333333333332</v>
      </c>
      <c r="AH268" s="86">
        <f>AVERAGEIFS($I$2:I268, $B$2:B268, B268)</f>
        <v>0.42500000000000004</v>
      </c>
      <c r="AI268" s="86">
        <f>AVERAGEIFS($J$2:J268, $B$2:B268, B268)</f>
        <v>0.46166666666666661</v>
      </c>
      <c r="AJ268" s="86">
        <f>AVERAGEIFS($D$2:D268, $B$2:B268, B268)</f>
        <v>0.41666666666666669</v>
      </c>
    </row>
    <row r="269" spans="1:36" x14ac:dyDescent="0.25">
      <c r="A269" s="85">
        <v>46081</v>
      </c>
      <c r="B269" t="s">
        <v>4</v>
      </c>
      <c r="C269">
        <v>17</v>
      </c>
      <c r="D269">
        <v>0</v>
      </c>
      <c r="E269">
        <v>4</v>
      </c>
      <c r="F269">
        <v>1</v>
      </c>
      <c r="G269">
        <v>14</v>
      </c>
      <c r="H269">
        <v>5</v>
      </c>
      <c r="I269">
        <v>0.25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1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 s="86">
        <f>AVERAGEIFS($C$2:C269, $B$2:B269, B269)</f>
        <v>26.75</v>
      </c>
      <c r="AH269" s="86">
        <f>AVERAGEIFS($I$2:I269, $B$2:B269, B269)</f>
        <v>0.38125000000000003</v>
      </c>
      <c r="AI269" s="86">
        <f>AVERAGEIFS($J$2:J269, $B$2:B269, B269)</f>
        <v>0.4375</v>
      </c>
      <c r="AJ269" s="86">
        <f>AVERAGEIFS($D$2:D269, $B$2:B269, B269)</f>
        <v>0.25</v>
      </c>
    </row>
    <row r="270" spans="1:36" x14ac:dyDescent="0.25">
      <c r="A270" s="85">
        <v>46081</v>
      </c>
      <c r="B270" t="s">
        <v>54</v>
      </c>
      <c r="C270">
        <v>14</v>
      </c>
      <c r="D270">
        <v>0</v>
      </c>
      <c r="E270">
        <v>4</v>
      </c>
      <c r="F270">
        <v>1</v>
      </c>
      <c r="G270">
        <v>14</v>
      </c>
      <c r="H270">
        <v>5</v>
      </c>
      <c r="I270">
        <v>0.25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1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 s="86">
        <f>AVERAGEIFS($C$2:C270, $B$2:B270, B270)</f>
        <v>24.85</v>
      </c>
      <c r="AH270" s="86">
        <f>AVERAGEIFS($I$2:I270, $B$2:B270, B270)</f>
        <v>0.496</v>
      </c>
      <c r="AI270" s="86">
        <f>AVERAGEIFS($J$2:J270, $B$2:B270, B270)</f>
        <v>0.48049999999999998</v>
      </c>
      <c r="AJ270" s="86">
        <f>AVERAGEIFS($D$2:D270, $B$2:B270, B270)</f>
        <v>0.5</v>
      </c>
    </row>
    <row r="271" spans="1:36" x14ac:dyDescent="0.25">
      <c r="A271" s="85">
        <v>46081</v>
      </c>
      <c r="B271" t="s">
        <v>42</v>
      </c>
      <c r="C271">
        <v>16</v>
      </c>
      <c r="D271">
        <v>0</v>
      </c>
      <c r="E271">
        <v>4</v>
      </c>
      <c r="F271">
        <v>1</v>
      </c>
      <c r="G271">
        <v>14</v>
      </c>
      <c r="H271">
        <v>5</v>
      </c>
      <c r="I271">
        <v>0.25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 s="86">
        <f>AVERAGEIFS($C$2:C271, $B$2:B271, B271)</f>
        <v>15</v>
      </c>
      <c r="AH271" s="86">
        <f>AVERAGEIFS($I$2:I271, $B$2:B271, B271)</f>
        <v>0.47500000000000003</v>
      </c>
      <c r="AI271" s="86">
        <f>AVERAGEIFS($J$2:J271, $B$2:B271, B271)</f>
        <v>0.47874999999999995</v>
      </c>
      <c r="AJ271" s="86">
        <f>AVERAGEIFS($D$2:D271, $B$2:B271, B271)</f>
        <v>0.625</v>
      </c>
    </row>
    <row r="272" spans="1:36" x14ac:dyDescent="0.25">
      <c r="A272" s="85">
        <v>46081</v>
      </c>
      <c r="B272" t="s">
        <v>71</v>
      </c>
      <c r="C272">
        <v>13</v>
      </c>
      <c r="D272">
        <v>0</v>
      </c>
      <c r="E272">
        <v>4</v>
      </c>
      <c r="F272">
        <v>1</v>
      </c>
      <c r="G272">
        <v>14</v>
      </c>
      <c r="H272">
        <v>5</v>
      </c>
      <c r="I272">
        <v>0.25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 s="86">
        <f>AVERAGEIFS($C$2:C272, $B$2:B272, B272)</f>
        <v>9.5</v>
      </c>
      <c r="AH272" s="86">
        <f>AVERAGEIFS($I$2:I272, $B$2:B272, B272)</f>
        <v>0.42499999999999999</v>
      </c>
      <c r="AI272" s="86">
        <f>AVERAGEIFS($J$2:J272, $B$2:B272, B272)</f>
        <v>0.42</v>
      </c>
      <c r="AJ272" s="86">
        <f>AVERAGEIFS($D$2:D272, $B$2:B272, B272)</f>
        <v>0.5</v>
      </c>
    </row>
    <row r="273" spans="1:36" x14ac:dyDescent="0.25">
      <c r="A273" s="85">
        <v>46081</v>
      </c>
      <c r="B273" t="s">
        <v>115</v>
      </c>
      <c r="C273">
        <v>8</v>
      </c>
      <c r="D273">
        <v>0</v>
      </c>
      <c r="E273">
        <v>4</v>
      </c>
      <c r="F273">
        <v>1</v>
      </c>
      <c r="G273">
        <v>14</v>
      </c>
      <c r="H273">
        <v>5</v>
      </c>
      <c r="I273">
        <v>0.25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 s="86">
        <f>AVERAGEIFS($C$2:C273, $B$2:B273, B273)</f>
        <v>10.333333333333334</v>
      </c>
      <c r="AH273" s="86">
        <f>AVERAGEIFS($I$2:I273, $B$2:B273, B273)</f>
        <v>0.3666666666666667</v>
      </c>
      <c r="AI273" s="86">
        <f>AVERAGEIFS($J$2:J273, $B$2:B273, B273)</f>
        <v>0.45333333333333331</v>
      </c>
      <c r="AJ273" s="86">
        <f>AVERAGEIFS($D$2:D273, $B$2:B273, B273)</f>
        <v>0.33333333333333331</v>
      </c>
    </row>
    <row r="274" spans="1:36" x14ac:dyDescent="0.25">
      <c r="A274" s="85">
        <v>46081</v>
      </c>
      <c r="B274" t="s">
        <v>137</v>
      </c>
      <c r="C274">
        <v>3</v>
      </c>
      <c r="D274">
        <v>0</v>
      </c>
      <c r="E274">
        <v>4</v>
      </c>
      <c r="F274">
        <v>1</v>
      </c>
      <c r="G274">
        <v>14</v>
      </c>
      <c r="H274">
        <v>5</v>
      </c>
      <c r="I274">
        <v>0.25</v>
      </c>
      <c r="J274">
        <v>0.36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 s="86">
        <f>AVERAGEIFS($C$2:C274, $B$2:B274, B274)</f>
        <v>4.666666666666667</v>
      </c>
      <c r="AH274" s="86">
        <f>AVERAGEIFS($I$2:I274, $B$2:B274, B274)</f>
        <v>0.35000000000000003</v>
      </c>
      <c r="AI274" s="86">
        <f>AVERAGEIFS($J$2:J274, $B$2:B274, B274)</f>
        <v>0.36999999999999994</v>
      </c>
      <c r="AJ274" s="86">
        <f>AVERAGEIFS($D$2:D274, $B$2:B274, B274)</f>
        <v>0</v>
      </c>
    </row>
    <row r="275" spans="1:36" x14ac:dyDescent="0.25">
      <c r="A275" s="85">
        <v>46081</v>
      </c>
      <c r="B275" t="s">
        <v>35</v>
      </c>
      <c r="C275">
        <v>13</v>
      </c>
      <c r="D275">
        <v>1</v>
      </c>
      <c r="E275">
        <v>4</v>
      </c>
      <c r="F275">
        <v>3</v>
      </c>
      <c r="G275">
        <v>14</v>
      </c>
      <c r="H275">
        <v>9</v>
      </c>
      <c r="I275">
        <v>0.75</v>
      </c>
      <c r="J275">
        <v>0.64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1</v>
      </c>
      <c r="AD275">
        <v>0</v>
      </c>
      <c r="AE275">
        <v>0</v>
      </c>
      <c r="AF275">
        <v>0</v>
      </c>
      <c r="AG275" s="86">
        <f>AVERAGEIFS($C$2:C275, $B$2:B275, B275)</f>
        <v>12.055555555555555</v>
      </c>
      <c r="AH275" s="86">
        <f>AVERAGEIFS($I$2:I275, $B$2:B275, B275)</f>
        <v>0.45166666666666672</v>
      </c>
      <c r="AI275" s="86">
        <f>AVERAGEIFS($J$2:J275, $B$2:B275, B275)</f>
        <v>0.50055555555555564</v>
      </c>
      <c r="AJ275" s="86">
        <f>AVERAGEIFS($D$2:D275, $B$2:B275, B275)</f>
        <v>0.3888888888888889</v>
      </c>
    </row>
    <row r="276" spans="1:36" x14ac:dyDescent="0.25">
      <c r="A276" s="85">
        <v>46081</v>
      </c>
      <c r="B276" t="s">
        <v>44</v>
      </c>
      <c r="C276">
        <v>12</v>
      </c>
      <c r="D276">
        <v>1</v>
      </c>
      <c r="E276">
        <v>4</v>
      </c>
      <c r="F276">
        <v>3</v>
      </c>
      <c r="G276">
        <v>14</v>
      </c>
      <c r="H276">
        <v>9</v>
      </c>
      <c r="I276">
        <v>0.75</v>
      </c>
      <c r="J276">
        <v>0.64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1</v>
      </c>
      <c r="AD276">
        <v>0</v>
      </c>
      <c r="AE276">
        <v>0</v>
      </c>
      <c r="AF276">
        <v>0</v>
      </c>
      <c r="AG276" s="86">
        <f>AVERAGEIFS($C$2:C276, $B$2:B276, B276)</f>
        <v>17.8</v>
      </c>
      <c r="AH276" s="86">
        <f>AVERAGEIFS($I$2:I276, $B$2:B276, B276)</f>
        <v>0.5</v>
      </c>
      <c r="AI276" s="86">
        <f>AVERAGEIFS($J$2:J276, $B$2:B276, B276)</f>
        <v>0.53600000000000003</v>
      </c>
      <c r="AJ276" s="86">
        <f>AVERAGEIFS($D$2:D276, $B$2:B276, B276)</f>
        <v>0.6</v>
      </c>
    </row>
    <row r="277" spans="1:36" x14ac:dyDescent="0.25">
      <c r="A277" s="85">
        <v>46081</v>
      </c>
      <c r="B277" t="s">
        <v>2</v>
      </c>
      <c r="C277">
        <v>23</v>
      </c>
      <c r="D277">
        <v>1</v>
      </c>
      <c r="E277">
        <v>4</v>
      </c>
      <c r="F277">
        <v>3</v>
      </c>
      <c r="G277">
        <v>14</v>
      </c>
      <c r="H277">
        <v>9</v>
      </c>
      <c r="I277">
        <v>0.75</v>
      </c>
      <c r="J277">
        <v>0.64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1</v>
      </c>
      <c r="AD277">
        <v>0</v>
      </c>
      <c r="AE277">
        <v>0</v>
      </c>
      <c r="AF277">
        <v>0</v>
      </c>
      <c r="AG277" s="86">
        <f>AVERAGEIFS($C$2:C277, $B$2:B277, B277)</f>
        <v>24.6</v>
      </c>
      <c r="AH277" s="86">
        <f>AVERAGEIFS($I$2:I277, $B$2:B277, B277)</f>
        <v>0.50866666666666671</v>
      </c>
      <c r="AI277" s="86">
        <f>AVERAGEIFS($J$2:J277, $B$2:B277, B277)</f>
        <v>0.52933333333333321</v>
      </c>
      <c r="AJ277" s="86">
        <f>AVERAGEIFS($D$2:D277, $B$2:B277, B277)</f>
        <v>0.46666666666666667</v>
      </c>
    </row>
    <row r="278" spans="1:36" x14ac:dyDescent="0.25">
      <c r="A278" s="85">
        <v>46081</v>
      </c>
      <c r="B278" t="s">
        <v>40</v>
      </c>
      <c r="C278">
        <v>7</v>
      </c>
      <c r="D278">
        <v>1</v>
      </c>
      <c r="E278">
        <v>4</v>
      </c>
      <c r="F278">
        <v>3</v>
      </c>
      <c r="G278">
        <v>14</v>
      </c>
      <c r="H278">
        <v>9</v>
      </c>
      <c r="I278">
        <v>0.75</v>
      </c>
      <c r="J278">
        <v>0.64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1</v>
      </c>
      <c r="AD278">
        <v>0</v>
      </c>
      <c r="AE278">
        <v>0</v>
      </c>
      <c r="AF278">
        <v>0</v>
      </c>
      <c r="AG278" s="86">
        <f>AVERAGEIFS($C$2:C278, $B$2:B278, B278)</f>
        <v>17.692307692307693</v>
      </c>
      <c r="AH278" s="86">
        <f>AVERAGEIFS($I$2:I278, $B$2:B278, B278)</f>
        <v>0.45000000000000007</v>
      </c>
      <c r="AI278" s="86">
        <f>AVERAGEIFS($J$2:J278, $B$2:B278, B278)</f>
        <v>0.47538461538461529</v>
      </c>
      <c r="AJ278" s="86">
        <f>AVERAGEIFS($D$2:D278, $B$2:B278, B278)</f>
        <v>0.46153846153846156</v>
      </c>
    </row>
    <row r="279" spans="1:36" x14ac:dyDescent="0.25">
      <c r="A279" s="85">
        <v>46081</v>
      </c>
      <c r="B279" t="s">
        <v>6</v>
      </c>
      <c r="C279">
        <v>23</v>
      </c>
      <c r="D279">
        <v>1</v>
      </c>
      <c r="E279">
        <v>4</v>
      </c>
      <c r="F279">
        <v>3</v>
      </c>
      <c r="G279">
        <v>14</v>
      </c>
      <c r="H279">
        <v>9</v>
      </c>
      <c r="I279">
        <v>0.75</v>
      </c>
      <c r="J279">
        <v>0.64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1</v>
      </c>
      <c r="AD279">
        <v>0</v>
      </c>
      <c r="AE279">
        <v>0</v>
      </c>
      <c r="AF279">
        <v>0</v>
      </c>
      <c r="AG279" s="86">
        <f>AVERAGEIFS($C$2:C279, $B$2:B279, B279)</f>
        <v>22.894736842105264</v>
      </c>
      <c r="AH279" s="86">
        <f>AVERAGEIFS($I$2:I279, $B$2:B279, B279)</f>
        <v>0.64631578947368418</v>
      </c>
      <c r="AI279" s="86">
        <f>AVERAGEIFS($J$2:J279, $B$2:B279, B279)</f>
        <v>0.56263157894736837</v>
      </c>
      <c r="AJ279" s="86">
        <f>AVERAGEIFS($D$2:D279, $B$2:B279, B279)</f>
        <v>0.73684210526315785</v>
      </c>
    </row>
    <row r="280" spans="1:36" x14ac:dyDescent="0.25">
      <c r="A280" s="85">
        <v>46081</v>
      </c>
      <c r="B280" t="s">
        <v>118</v>
      </c>
      <c r="C280">
        <v>10</v>
      </c>
      <c r="D280">
        <v>1</v>
      </c>
      <c r="E280">
        <v>4</v>
      </c>
      <c r="F280">
        <v>3</v>
      </c>
      <c r="G280">
        <v>14</v>
      </c>
      <c r="H280">
        <v>9</v>
      </c>
      <c r="I280">
        <v>0.75</v>
      </c>
      <c r="J280">
        <v>0.64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1</v>
      </c>
      <c r="W280">
        <v>0</v>
      </c>
      <c r="X280">
        <v>0</v>
      </c>
      <c r="Y280">
        <v>0</v>
      </c>
      <c r="Z280">
        <v>1</v>
      </c>
      <c r="AA280">
        <v>0</v>
      </c>
      <c r="AB280">
        <v>0</v>
      </c>
      <c r="AC280">
        <v>1</v>
      </c>
      <c r="AD280">
        <v>0</v>
      </c>
      <c r="AE280">
        <v>0</v>
      </c>
      <c r="AF280">
        <v>0</v>
      </c>
      <c r="AG280" s="86">
        <f>AVERAGEIFS($C$2:C280, $B$2:B280, B280)</f>
        <v>10</v>
      </c>
      <c r="AH280" s="86">
        <f>AVERAGEIFS($I$2:I280, $B$2:B280, B280)</f>
        <v>0.75</v>
      </c>
      <c r="AI280" s="86">
        <f>AVERAGEIFS($J$2:J280, $B$2:B280, B280)</f>
        <v>0.64</v>
      </c>
      <c r="AJ280" s="86">
        <f>AVERAGEIFS($D$2:D280, $B$2:B280, B280)</f>
        <v>1</v>
      </c>
    </row>
    <row r="281" spans="1:36" x14ac:dyDescent="0.25">
      <c r="A281" s="85">
        <v>46082</v>
      </c>
      <c r="B281" t="s">
        <v>42</v>
      </c>
      <c r="C281">
        <v>23</v>
      </c>
      <c r="D281">
        <v>0</v>
      </c>
      <c r="E281">
        <v>5</v>
      </c>
      <c r="F281">
        <v>2</v>
      </c>
      <c r="G281">
        <v>18</v>
      </c>
      <c r="H281">
        <v>7</v>
      </c>
      <c r="I281">
        <v>0.4</v>
      </c>
      <c r="J281">
        <v>0.39</v>
      </c>
      <c r="K281">
        <v>0</v>
      </c>
      <c r="L281">
        <v>1</v>
      </c>
      <c r="M281">
        <v>0</v>
      </c>
      <c r="N281">
        <v>0</v>
      </c>
      <c r="O281">
        <v>0</v>
      </c>
      <c r="P281">
        <v>0</v>
      </c>
      <c r="Q281">
        <v>1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 s="86">
        <f>AVERAGEIFS($C$2:C281, $B$2:B281, B281)</f>
        <v>15.888888888888889</v>
      </c>
      <c r="AH281" s="86">
        <f>AVERAGEIFS($I$2:I281, $B$2:B281, B281)</f>
        <v>0.46666666666666667</v>
      </c>
      <c r="AI281" s="86">
        <f>AVERAGEIFS($J$2:J281, $B$2:B281, B281)</f>
        <v>0.46888888888888886</v>
      </c>
      <c r="AJ281" s="86">
        <f>AVERAGEIFS($D$2:D281, $B$2:B281, B281)</f>
        <v>0.55555555555555558</v>
      </c>
    </row>
    <row r="282" spans="1:36" x14ac:dyDescent="0.25">
      <c r="A282" s="85">
        <v>46082</v>
      </c>
      <c r="B282" t="s">
        <v>4</v>
      </c>
      <c r="C282">
        <v>24</v>
      </c>
      <c r="D282">
        <v>0</v>
      </c>
      <c r="E282">
        <v>5</v>
      </c>
      <c r="F282">
        <v>2</v>
      </c>
      <c r="G282">
        <v>18</v>
      </c>
      <c r="H282">
        <v>7</v>
      </c>
      <c r="I282">
        <v>0.4</v>
      </c>
      <c r="J282">
        <v>0.39</v>
      </c>
      <c r="K282">
        <v>0</v>
      </c>
      <c r="L282">
        <v>1</v>
      </c>
      <c r="M282">
        <v>0</v>
      </c>
      <c r="N282">
        <v>0</v>
      </c>
      <c r="O282">
        <v>0</v>
      </c>
      <c r="P282">
        <v>0</v>
      </c>
      <c r="Q282">
        <v>1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 s="86">
        <f>AVERAGEIFS($C$2:C282, $B$2:B282, B282)</f>
        <v>26.444444444444443</v>
      </c>
      <c r="AH282" s="86">
        <f>AVERAGEIFS($I$2:I282, $B$2:B282, B282)</f>
        <v>0.38333333333333336</v>
      </c>
      <c r="AI282" s="86">
        <f>AVERAGEIFS($J$2:J282, $B$2:B282, B282)</f>
        <v>0.43222222222222223</v>
      </c>
      <c r="AJ282" s="86">
        <f>AVERAGEIFS($D$2:D282, $B$2:B282, B282)</f>
        <v>0.22222222222222221</v>
      </c>
    </row>
    <row r="283" spans="1:36" x14ac:dyDescent="0.25">
      <c r="A283" s="85">
        <v>46082</v>
      </c>
      <c r="B283" t="s">
        <v>54</v>
      </c>
      <c r="C283">
        <v>28</v>
      </c>
      <c r="D283">
        <v>0</v>
      </c>
      <c r="E283">
        <v>5</v>
      </c>
      <c r="F283">
        <v>2</v>
      </c>
      <c r="G283">
        <v>18</v>
      </c>
      <c r="H283">
        <v>7</v>
      </c>
      <c r="I283">
        <v>0.4</v>
      </c>
      <c r="J283">
        <v>0.39</v>
      </c>
      <c r="K283">
        <v>0</v>
      </c>
      <c r="L283">
        <v>1</v>
      </c>
      <c r="M283">
        <v>0</v>
      </c>
      <c r="N283">
        <v>0</v>
      </c>
      <c r="O283">
        <v>0</v>
      </c>
      <c r="P283">
        <v>0</v>
      </c>
      <c r="Q283">
        <v>1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 s="86">
        <f>AVERAGEIFS($C$2:C283, $B$2:B283, B283)</f>
        <v>25</v>
      </c>
      <c r="AH283" s="86">
        <f>AVERAGEIFS($I$2:I283, $B$2:B283, B283)</f>
        <v>0.49142857142857144</v>
      </c>
      <c r="AI283" s="86">
        <f>AVERAGEIFS($J$2:J283, $B$2:B283, B283)</f>
        <v>0.47619047619047616</v>
      </c>
      <c r="AJ283" s="86">
        <f>AVERAGEIFS($D$2:D283, $B$2:B283, B283)</f>
        <v>0.47619047619047616</v>
      </c>
    </row>
    <row r="284" spans="1:36" x14ac:dyDescent="0.25">
      <c r="A284" s="85">
        <v>46082</v>
      </c>
      <c r="B284" t="s">
        <v>40</v>
      </c>
      <c r="C284">
        <v>20</v>
      </c>
      <c r="D284">
        <v>0</v>
      </c>
      <c r="E284">
        <v>5</v>
      </c>
      <c r="F284">
        <v>2</v>
      </c>
      <c r="G284">
        <v>18</v>
      </c>
      <c r="H284">
        <v>7</v>
      </c>
      <c r="I284">
        <v>0.4</v>
      </c>
      <c r="J284">
        <v>0.39</v>
      </c>
      <c r="K284">
        <v>0</v>
      </c>
      <c r="L284">
        <v>1</v>
      </c>
      <c r="M284">
        <v>0</v>
      </c>
      <c r="N284">
        <v>0</v>
      </c>
      <c r="O284">
        <v>0</v>
      </c>
      <c r="P284">
        <v>0</v>
      </c>
      <c r="Q284">
        <v>1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 s="86">
        <f>AVERAGEIFS($C$2:C284, $B$2:B284, B284)</f>
        <v>17.857142857142858</v>
      </c>
      <c r="AH284" s="86">
        <f>AVERAGEIFS($I$2:I284, $B$2:B284, B284)</f>
        <v>0.44642857142857151</v>
      </c>
      <c r="AI284" s="86">
        <f>AVERAGEIFS($J$2:J284, $B$2:B284, B284)</f>
        <v>0.46928571428571419</v>
      </c>
      <c r="AJ284" s="86">
        <f>AVERAGEIFS($D$2:D284, $B$2:B284, B284)</f>
        <v>0.42857142857142855</v>
      </c>
    </row>
    <row r="285" spans="1:36" x14ac:dyDescent="0.25">
      <c r="A285" s="85">
        <v>46082</v>
      </c>
      <c r="B285" t="s">
        <v>115</v>
      </c>
      <c r="C285">
        <v>13</v>
      </c>
      <c r="D285">
        <v>0</v>
      </c>
      <c r="E285">
        <v>5</v>
      </c>
      <c r="F285">
        <v>2</v>
      </c>
      <c r="G285">
        <v>18</v>
      </c>
      <c r="H285">
        <v>7</v>
      </c>
      <c r="I285">
        <v>0.4</v>
      </c>
      <c r="J285">
        <v>0.39</v>
      </c>
      <c r="K285">
        <v>0</v>
      </c>
      <c r="L285">
        <v>1</v>
      </c>
      <c r="M285">
        <v>0</v>
      </c>
      <c r="N285">
        <v>0</v>
      </c>
      <c r="O285">
        <v>0</v>
      </c>
      <c r="P285">
        <v>0</v>
      </c>
      <c r="Q285">
        <v>1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 s="86">
        <f>AVERAGEIFS($C$2:C285, $B$2:B285, B285)</f>
        <v>11</v>
      </c>
      <c r="AH285" s="86">
        <f>AVERAGEIFS($I$2:I285, $B$2:B285, B285)</f>
        <v>0.375</v>
      </c>
      <c r="AI285" s="86">
        <f>AVERAGEIFS($J$2:J285, $B$2:B285, B285)</f>
        <v>0.4375</v>
      </c>
      <c r="AJ285" s="86">
        <f>AVERAGEIFS($D$2:D285, $B$2:B285, B285)</f>
        <v>0.25</v>
      </c>
    </row>
    <row r="286" spans="1:36" x14ac:dyDescent="0.25">
      <c r="A286" s="85">
        <v>46082</v>
      </c>
      <c r="B286" t="s">
        <v>113</v>
      </c>
      <c r="C286">
        <v>13</v>
      </c>
      <c r="D286">
        <v>0</v>
      </c>
      <c r="E286">
        <v>5</v>
      </c>
      <c r="F286">
        <v>2</v>
      </c>
      <c r="G286">
        <v>18</v>
      </c>
      <c r="H286">
        <v>7</v>
      </c>
      <c r="I286">
        <v>0.4</v>
      </c>
      <c r="J286">
        <v>0.39</v>
      </c>
      <c r="K286">
        <v>0</v>
      </c>
      <c r="L286">
        <v>1</v>
      </c>
      <c r="M286">
        <v>0</v>
      </c>
      <c r="N286">
        <v>0</v>
      </c>
      <c r="O286">
        <v>0</v>
      </c>
      <c r="P286">
        <v>0</v>
      </c>
      <c r="Q286">
        <v>1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 s="86">
        <f>AVERAGEIFS($C$2:C286, $B$2:B286, B286)</f>
        <v>20</v>
      </c>
      <c r="AH286" s="86">
        <f>AVERAGEIFS($I$2:I286, $B$2:B286, B286)</f>
        <v>0.55000000000000004</v>
      </c>
      <c r="AI286" s="86">
        <f>AVERAGEIFS($J$2:J286, $B$2:B286, B286)</f>
        <v>0.5</v>
      </c>
      <c r="AJ286" s="86">
        <f>AVERAGEIFS($D$2:D286, $B$2:B286, B286)</f>
        <v>0.6</v>
      </c>
    </row>
    <row r="287" spans="1:36" x14ac:dyDescent="0.25">
      <c r="A287" s="85">
        <v>46082</v>
      </c>
      <c r="B287" t="s">
        <v>6</v>
      </c>
      <c r="C287">
        <v>36</v>
      </c>
      <c r="D287">
        <v>1</v>
      </c>
      <c r="E287">
        <v>5</v>
      </c>
      <c r="F287">
        <v>3</v>
      </c>
      <c r="G287">
        <v>18</v>
      </c>
      <c r="H287">
        <v>11</v>
      </c>
      <c r="I287">
        <v>0.6</v>
      </c>
      <c r="J287">
        <v>0.61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1</v>
      </c>
      <c r="AG287" s="86">
        <f>AVERAGEIFS($C$2:C287, $B$2:B287, B287)</f>
        <v>23.55</v>
      </c>
      <c r="AH287" s="86">
        <f>AVERAGEIFS($I$2:I287, $B$2:B287, B287)</f>
        <v>0.64399999999999991</v>
      </c>
      <c r="AI287" s="86">
        <f>AVERAGEIFS($J$2:J287, $B$2:B287, B287)</f>
        <v>0.56499999999999995</v>
      </c>
      <c r="AJ287" s="86">
        <f>AVERAGEIFS($D$2:D287, $B$2:B287, B287)</f>
        <v>0.75</v>
      </c>
    </row>
    <row r="288" spans="1:36" x14ac:dyDescent="0.25">
      <c r="A288" s="85">
        <v>46082</v>
      </c>
      <c r="B288" t="s">
        <v>2</v>
      </c>
      <c r="C288">
        <v>24</v>
      </c>
      <c r="D288">
        <v>1</v>
      </c>
      <c r="E288">
        <v>5</v>
      </c>
      <c r="F288">
        <v>3</v>
      </c>
      <c r="G288">
        <v>18</v>
      </c>
      <c r="H288">
        <v>11</v>
      </c>
      <c r="I288">
        <v>0.6</v>
      </c>
      <c r="J288">
        <v>0.61</v>
      </c>
      <c r="K288">
        <v>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1</v>
      </c>
      <c r="AG288" s="86">
        <f>AVERAGEIFS($C$2:C288, $B$2:B288, B288)</f>
        <v>24.5625</v>
      </c>
      <c r="AH288" s="86">
        <f>AVERAGEIFS($I$2:I288, $B$2:B288, B288)</f>
        <v>0.51437500000000003</v>
      </c>
      <c r="AI288" s="86">
        <f>AVERAGEIFS($J$2:J288, $B$2:B288, B288)</f>
        <v>0.53437499999999993</v>
      </c>
      <c r="AJ288" s="86">
        <f>AVERAGEIFS($D$2:D288, $B$2:B288, B288)</f>
        <v>0.5</v>
      </c>
    </row>
    <row r="289" spans="1:36" x14ac:dyDescent="0.25">
      <c r="A289" s="85">
        <v>46082</v>
      </c>
      <c r="B289" t="s">
        <v>44</v>
      </c>
      <c r="C289">
        <v>22</v>
      </c>
      <c r="D289">
        <v>1</v>
      </c>
      <c r="E289">
        <v>5</v>
      </c>
      <c r="F289">
        <v>3</v>
      </c>
      <c r="G289">
        <v>18</v>
      </c>
      <c r="H289">
        <v>11</v>
      </c>
      <c r="I289">
        <v>0.6</v>
      </c>
      <c r="J289">
        <v>0.61</v>
      </c>
      <c r="K289">
        <v>1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1</v>
      </c>
      <c r="AG289" s="86">
        <f>AVERAGEIFS($C$2:C289, $B$2:B289, B289)</f>
        <v>18.5</v>
      </c>
      <c r="AH289" s="86">
        <f>AVERAGEIFS($I$2:I289, $B$2:B289, B289)</f>
        <v>0.51666666666666672</v>
      </c>
      <c r="AI289" s="86">
        <f>AVERAGEIFS($J$2:J289, $B$2:B289, B289)</f>
        <v>0.54833333333333334</v>
      </c>
      <c r="AJ289" s="86">
        <f>AVERAGEIFS($D$2:D289, $B$2:B289, B289)</f>
        <v>0.66666666666666663</v>
      </c>
    </row>
    <row r="290" spans="1:36" x14ac:dyDescent="0.25">
      <c r="A290" s="85">
        <v>46082</v>
      </c>
      <c r="B290" t="s">
        <v>46</v>
      </c>
      <c r="C290">
        <v>18</v>
      </c>
      <c r="D290">
        <v>1</v>
      </c>
      <c r="E290">
        <v>5</v>
      </c>
      <c r="F290">
        <v>3</v>
      </c>
      <c r="G290">
        <v>18</v>
      </c>
      <c r="H290">
        <v>11</v>
      </c>
      <c r="I290">
        <v>0.6</v>
      </c>
      <c r="J290">
        <v>0.61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1</v>
      </c>
      <c r="AG290" s="86">
        <f>AVERAGEIFS($C$2:C290, $B$2:B290, B290)</f>
        <v>20</v>
      </c>
      <c r="AH290" s="86">
        <f>AVERAGEIFS($I$2:I290, $B$2:B290, B290)</f>
        <v>0.47307692307692306</v>
      </c>
      <c r="AI290" s="86">
        <f>AVERAGEIFS($J$2:J290, $B$2:B290, B290)</f>
        <v>0.49230769230769228</v>
      </c>
      <c r="AJ290" s="86">
        <f>AVERAGEIFS($D$2:D290, $B$2:B290, B290)</f>
        <v>0.38461538461538464</v>
      </c>
    </row>
    <row r="291" spans="1:36" x14ac:dyDescent="0.25">
      <c r="A291" s="85">
        <v>46082</v>
      </c>
      <c r="B291" t="s">
        <v>137</v>
      </c>
      <c r="C291">
        <v>7</v>
      </c>
      <c r="D291">
        <v>1</v>
      </c>
      <c r="E291">
        <v>5</v>
      </c>
      <c r="F291">
        <v>3</v>
      </c>
      <c r="G291">
        <v>18</v>
      </c>
      <c r="H291">
        <v>11</v>
      </c>
      <c r="I291">
        <v>0.6</v>
      </c>
      <c r="J291">
        <v>0.61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1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1</v>
      </c>
      <c r="AG291" s="86">
        <f>AVERAGEIFS($C$2:C291, $B$2:B291, B291)</f>
        <v>5.25</v>
      </c>
      <c r="AH291" s="86">
        <f>AVERAGEIFS($I$2:I291, $B$2:B291, B291)</f>
        <v>0.41249999999999998</v>
      </c>
      <c r="AI291" s="86">
        <f>AVERAGEIFS($J$2:J291, $B$2:B291, B291)</f>
        <v>0.42999999999999994</v>
      </c>
      <c r="AJ291" s="86">
        <f>AVERAGEIFS($D$2:D291, $B$2:B291, B291)</f>
        <v>0.25</v>
      </c>
    </row>
    <row r="292" spans="1:36" x14ac:dyDescent="0.25">
      <c r="A292" s="85">
        <v>46082</v>
      </c>
      <c r="B292" t="s">
        <v>70</v>
      </c>
      <c r="C292">
        <v>11</v>
      </c>
      <c r="D292">
        <v>1</v>
      </c>
      <c r="E292">
        <v>5</v>
      </c>
      <c r="F292">
        <v>3</v>
      </c>
      <c r="G292">
        <v>18</v>
      </c>
      <c r="H292">
        <v>11</v>
      </c>
      <c r="I292">
        <v>0.6</v>
      </c>
      <c r="J292">
        <v>0.61</v>
      </c>
      <c r="K292">
        <v>1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1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1</v>
      </c>
      <c r="AG292" s="86">
        <f>AVERAGEIFS($C$2:C292, $B$2:B292, B292)</f>
        <v>11</v>
      </c>
      <c r="AH292" s="86">
        <f>AVERAGEIFS($I$2:I292, $B$2:B292, B292)</f>
        <v>0.70000000000000007</v>
      </c>
      <c r="AI292" s="86">
        <f>AVERAGEIFS($J$2:J292, $B$2:B292, B292)</f>
        <v>0.57499999999999996</v>
      </c>
      <c r="AJ292" s="86">
        <f>AVERAGEIFS($D$2:D292, $B$2:B292, B292)</f>
        <v>1</v>
      </c>
    </row>
    <row r="293" spans="1:36" x14ac:dyDescent="0.25">
      <c r="A293" s="85">
        <v>46083</v>
      </c>
      <c r="B293" t="s">
        <v>17</v>
      </c>
      <c r="C293">
        <v>25</v>
      </c>
      <c r="D293">
        <v>0</v>
      </c>
      <c r="E293">
        <v>5</v>
      </c>
      <c r="F293">
        <v>2</v>
      </c>
      <c r="G293">
        <v>20</v>
      </c>
      <c r="H293">
        <v>8</v>
      </c>
      <c r="I293">
        <v>0.4</v>
      </c>
      <c r="J293">
        <v>0.4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>
        <v>0</v>
      </c>
      <c r="AB293">
        <v>0</v>
      </c>
      <c r="AC293">
        <v>1</v>
      </c>
      <c r="AD293">
        <v>0</v>
      </c>
      <c r="AE293">
        <v>0</v>
      </c>
      <c r="AF293">
        <v>0</v>
      </c>
      <c r="AG293" s="86">
        <f>AVERAGEIFS($C$2:C293, $B$2:B293, B293)</f>
        <v>21.411764705882351</v>
      </c>
      <c r="AH293" s="86">
        <f>AVERAGEIFS($I$2:I293, $B$2:B293, B293)</f>
        <v>0.4864705882352941</v>
      </c>
      <c r="AI293" s="86">
        <f>AVERAGEIFS($J$2:J293, $B$2:B293, B293)</f>
        <v>0.48235294117647065</v>
      </c>
      <c r="AJ293" s="86">
        <f>AVERAGEIFS($D$2:D293, $B$2:B293, B293)</f>
        <v>0.41176470588235292</v>
      </c>
    </row>
    <row r="294" spans="1:36" x14ac:dyDescent="0.25">
      <c r="A294" s="85">
        <v>46083</v>
      </c>
      <c r="B294" t="s">
        <v>54</v>
      </c>
      <c r="C294">
        <v>24</v>
      </c>
      <c r="D294">
        <v>0</v>
      </c>
      <c r="E294">
        <v>5</v>
      </c>
      <c r="F294">
        <v>2</v>
      </c>
      <c r="G294">
        <v>20</v>
      </c>
      <c r="H294">
        <v>8</v>
      </c>
      <c r="I294">
        <v>0.4</v>
      </c>
      <c r="J294">
        <v>0.4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>
        <v>0</v>
      </c>
      <c r="AB294">
        <v>0</v>
      </c>
      <c r="AC294">
        <v>1</v>
      </c>
      <c r="AD294">
        <v>0</v>
      </c>
      <c r="AE294">
        <v>0</v>
      </c>
      <c r="AF294">
        <v>0</v>
      </c>
      <c r="AG294" s="86">
        <f>AVERAGEIFS($C$2:C294, $B$2:B294, B294)</f>
        <v>24.954545454545453</v>
      </c>
      <c r="AH294" s="86">
        <f>AVERAGEIFS($I$2:I294, $B$2:B294, B294)</f>
        <v>0.4872727272727273</v>
      </c>
      <c r="AI294" s="86">
        <f>AVERAGEIFS($J$2:J294, $B$2:B294, B294)</f>
        <v>0.47272727272727272</v>
      </c>
      <c r="AJ294" s="86">
        <f>AVERAGEIFS($D$2:D294, $B$2:B294, B294)</f>
        <v>0.45454545454545453</v>
      </c>
    </row>
    <row r="295" spans="1:36" x14ac:dyDescent="0.25">
      <c r="A295" s="85">
        <v>46083</v>
      </c>
      <c r="B295" t="s">
        <v>115</v>
      </c>
      <c r="C295">
        <v>23</v>
      </c>
      <c r="D295">
        <v>0</v>
      </c>
      <c r="E295">
        <v>5</v>
      </c>
      <c r="F295">
        <v>2</v>
      </c>
      <c r="G295">
        <v>20</v>
      </c>
      <c r="H295">
        <v>8</v>
      </c>
      <c r="I295">
        <v>0.4</v>
      </c>
      <c r="J295">
        <v>0.4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>
        <v>0</v>
      </c>
      <c r="AB295">
        <v>0</v>
      </c>
      <c r="AC295">
        <v>1</v>
      </c>
      <c r="AD295">
        <v>0</v>
      </c>
      <c r="AE295">
        <v>0</v>
      </c>
      <c r="AF295">
        <v>0</v>
      </c>
      <c r="AG295" s="86">
        <f>AVERAGEIFS($C$2:C295, $B$2:B295, B295)</f>
        <v>13.4</v>
      </c>
      <c r="AH295" s="86">
        <f>AVERAGEIFS($I$2:I295, $B$2:B295, B295)</f>
        <v>0.38</v>
      </c>
      <c r="AI295" s="86">
        <f>AVERAGEIFS($J$2:J295, $B$2:B295, B295)</f>
        <v>0.43</v>
      </c>
      <c r="AJ295" s="86">
        <f>AVERAGEIFS($D$2:D295, $B$2:B295, B295)</f>
        <v>0.2</v>
      </c>
    </row>
    <row r="296" spans="1:36" x14ac:dyDescent="0.25">
      <c r="A296" s="85">
        <v>46083</v>
      </c>
      <c r="B296" t="s">
        <v>107</v>
      </c>
      <c r="C296">
        <v>16</v>
      </c>
      <c r="D296">
        <v>0</v>
      </c>
      <c r="E296">
        <v>5</v>
      </c>
      <c r="F296">
        <v>2</v>
      </c>
      <c r="G296">
        <v>20</v>
      </c>
      <c r="H296">
        <v>8</v>
      </c>
      <c r="I296">
        <v>0.4</v>
      </c>
      <c r="J296">
        <v>0.4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>
        <v>0</v>
      </c>
      <c r="AB296">
        <v>0</v>
      </c>
      <c r="AC296">
        <v>1</v>
      </c>
      <c r="AD296">
        <v>0</v>
      </c>
      <c r="AE296">
        <v>0</v>
      </c>
      <c r="AF296">
        <v>0</v>
      </c>
      <c r="AG296" s="86">
        <f>AVERAGEIFS($C$2:C296, $B$2:B296, B296)</f>
        <v>15.833333333333334</v>
      </c>
      <c r="AH296" s="86">
        <f>AVERAGEIFS($I$2:I296, $B$2:B296, B296)</f>
        <v>0.54999999999999993</v>
      </c>
      <c r="AI296" s="86">
        <f>AVERAGEIFS($J$2:J296, $B$2:B296, B296)</f>
        <v>0.51999999999999991</v>
      </c>
      <c r="AJ296" s="86">
        <f>AVERAGEIFS($D$2:D296, $B$2:B296, B296)</f>
        <v>0.5</v>
      </c>
    </row>
    <row r="297" spans="1:36" x14ac:dyDescent="0.25">
      <c r="A297" s="85">
        <v>46083</v>
      </c>
      <c r="B297" t="s">
        <v>52</v>
      </c>
      <c r="C297">
        <v>16</v>
      </c>
      <c r="D297">
        <v>0</v>
      </c>
      <c r="E297">
        <v>5</v>
      </c>
      <c r="F297">
        <v>2</v>
      </c>
      <c r="G297">
        <v>20</v>
      </c>
      <c r="H297">
        <v>8</v>
      </c>
      <c r="I297">
        <v>0.4</v>
      </c>
      <c r="J297">
        <v>0.4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1</v>
      </c>
      <c r="AA297">
        <v>0</v>
      </c>
      <c r="AB297">
        <v>0</v>
      </c>
      <c r="AC297">
        <v>1</v>
      </c>
      <c r="AD297">
        <v>0</v>
      </c>
      <c r="AE297">
        <v>0</v>
      </c>
      <c r="AF297">
        <v>0</v>
      </c>
      <c r="AG297" s="86">
        <f>AVERAGEIFS($C$2:C297, $B$2:B297, B297)</f>
        <v>14</v>
      </c>
      <c r="AH297" s="86">
        <f>AVERAGEIFS($I$2:I297, $B$2:B297, B297)</f>
        <v>0.35833333333333334</v>
      </c>
      <c r="AI297" s="86">
        <f>AVERAGEIFS($J$2:J297, $B$2:B297, B297)</f>
        <v>0.38333333333333336</v>
      </c>
      <c r="AJ297" s="86">
        <f>AVERAGEIFS($D$2:D297, $B$2:B297, B297)</f>
        <v>0.16666666666666666</v>
      </c>
    </row>
    <row r="298" spans="1:36" x14ac:dyDescent="0.25">
      <c r="A298" s="85">
        <v>46083</v>
      </c>
      <c r="B298" t="s">
        <v>40</v>
      </c>
      <c r="C298">
        <v>15</v>
      </c>
      <c r="D298">
        <v>0</v>
      </c>
      <c r="E298">
        <v>5</v>
      </c>
      <c r="F298">
        <v>2</v>
      </c>
      <c r="G298">
        <v>20</v>
      </c>
      <c r="H298">
        <v>8</v>
      </c>
      <c r="I298">
        <v>0.4</v>
      </c>
      <c r="J298">
        <v>0.4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1</v>
      </c>
      <c r="AA298">
        <v>0</v>
      </c>
      <c r="AB298">
        <v>0</v>
      </c>
      <c r="AC298">
        <v>1</v>
      </c>
      <c r="AD298">
        <v>0</v>
      </c>
      <c r="AE298">
        <v>0</v>
      </c>
      <c r="AF298">
        <v>0</v>
      </c>
      <c r="AG298" s="86">
        <f>AVERAGEIFS($C$2:C298, $B$2:B298, B298)</f>
        <v>17.666666666666668</v>
      </c>
      <c r="AH298" s="86">
        <f>AVERAGEIFS($I$2:I298, $B$2:B298, B298)</f>
        <v>0.44333333333333341</v>
      </c>
      <c r="AI298" s="86">
        <f>AVERAGEIFS($J$2:J298, $B$2:B298, B298)</f>
        <v>0.46466666666666662</v>
      </c>
      <c r="AJ298" s="86">
        <f>AVERAGEIFS($D$2:D298, $B$2:B298, B298)</f>
        <v>0.4</v>
      </c>
    </row>
    <row r="299" spans="1:36" x14ac:dyDescent="0.25">
      <c r="A299" s="85">
        <v>46083</v>
      </c>
      <c r="B299" t="s">
        <v>35</v>
      </c>
      <c r="C299">
        <v>8</v>
      </c>
      <c r="D299">
        <v>0</v>
      </c>
      <c r="E299">
        <v>5</v>
      </c>
      <c r="F299">
        <v>2</v>
      </c>
      <c r="G299">
        <v>20</v>
      </c>
      <c r="H299">
        <v>8</v>
      </c>
      <c r="I299">
        <v>0.4</v>
      </c>
      <c r="J299">
        <v>0.4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1</v>
      </c>
      <c r="AA299">
        <v>0</v>
      </c>
      <c r="AB299">
        <v>0</v>
      </c>
      <c r="AC299">
        <v>1</v>
      </c>
      <c r="AD299">
        <v>0</v>
      </c>
      <c r="AE299">
        <v>0</v>
      </c>
      <c r="AF299">
        <v>0</v>
      </c>
      <c r="AG299" s="86">
        <f>AVERAGEIFS($C$2:C299, $B$2:B299, B299)</f>
        <v>11.842105263157896</v>
      </c>
      <c r="AH299" s="86">
        <f>AVERAGEIFS($I$2:I299, $B$2:B299, B299)</f>
        <v>0.44894736842105271</v>
      </c>
      <c r="AI299" s="86">
        <f>AVERAGEIFS($J$2:J299, $B$2:B299, B299)</f>
        <v>0.49526315789473696</v>
      </c>
      <c r="AJ299" s="86">
        <f>AVERAGEIFS($D$2:D299, $B$2:B299, B299)</f>
        <v>0.36842105263157893</v>
      </c>
    </row>
    <row r="300" spans="1:36" x14ac:dyDescent="0.25">
      <c r="A300" s="85">
        <v>46084</v>
      </c>
      <c r="B300" t="s">
        <v>50</v>
      </c>
      <c r="C300">
        <v>10</v>
      </c>
      <c r="D300">
        <v>0</v>
      </c>
      <c r="E300">
        <v>4</v>
      </c>
      <c r="F300">
        <v>1</v>
      </c>
      <c r="G300">
        <v>14</v>
      </c>
      <c r="H300">
        <v>4</v>
      </c>
      <c r="I300">
        <v>0.25</v>
      </c>
      <c r="J300">
        <v>0.28999999999999998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1</v>
      </c>
      <c r="AC300">
        <v>0</v>
      </c>
      <c r="AD300">
        <v>0</v>
      </c>
      <c r="AE300">
        <v>0</v>
      </c>
      <c r="AF300">
        <v>0</v>
      </c>
      <c r="AG300" s="86">
        <f>AVERAGEIFS($C$2:C300, $B$2:B300, B300)</f>
        <v>20.149999999999999</v>
      </c>
      <c r="AH300" s="86">
        <f>AVERAGEIFS($I$2:I300, $B$2:B300, B300)</f>
        <v>0.50150000000000006</v>
      </c>
      <c r="AI300" s="86">
        <f>AVERAGEIFS($J$2:J300, $B$2:B300, B300)</f>
        <v>0.51349999999999985</v>
      </c>
      <c r="AJ300" s="86">
        <f>AVERAGEIFS($D$2:D300, $B$2:B300, B300)</f>
        <v>0.5</v>
      </c>
    </row>
    <row r="301" spans="1:36" x14ac:dyDescent="0.25">
      <c r="A301" s="85">
        <v>46084</v>
      </c>
      <c r="B301" t="s">
        <v>2</v>
      </c>
      <c r="C301">
        <v>18</v>
      </c>
      <c r="D301">
        <v>0</v>
      </c>
      <c r="E301">
        <v>4</v>
      </c>
      <c r="F301">
        <v>1</v>
      </c>
      <c r="G301">
        <v>14</v>
      </c>
      <c r="H301">
        <v>4</v>
      </c>
      <c r="I301">
        <v>0.25</v>
      </c>
      <c r="J301">
        <v>0.28999999999999998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1</v>
      </c>
      <c r="AC301">
        <v>0</v>
      </c>
      <c r="AD301">
        <v>0</v>
      </c>
      <c r="AE301">
        <v>0</v>
      </c>
      <c r="AF301">
        <v>0</v>
      </c>
      <c r="AG301" s="86">
        <f>AVERAGEIFS($C$2:C301, $B$2:B301, B301)</f>
        <v>24.176470588235293</v>
      </c>
      <c r="AH301" s="86">
        <f>AVERAGEIFS($I$2:I301, $B$2:B301, B301)</f>
        <v>0.49882352941176472</v>
      </c>
      <c r="AI301" s="86">
        <f>AVERAGEIFS($J$2:J301, $B$2:B301, B301)</f>
        <v>0.51999999999999991</v>
      </c>
      <c r="AJ301" s="86">
        <f>AVERAGEIFS($D$2:D301, $B$2:B301, B301)</f>
        <v>0.47058823529411764</v>
      </c>
    </row>
    <row r="302" spans="1:36" x14ac:dyDescent="0.25">
      <c r="A302" s="85">
        <v>46084</v>
      </c>
      <c r="B302" t="s">
        <v>1</v>
      </c>
      <c r="C302">
        <v>23</v>
      </c>
      <c r="D302">
        <v>0</v>
      </c>
      <c r="E302">
        <v>4</v>
      </c>
      <c r="F302">
        <v>1</v>
      </c>
      <c r="G302">
        <v>14</v>
      </c>
      <c r="H302">
        <v>4</v>
      </c>
      <c r="I302">
        <v>0.25</v>
      </c>
      <c r="J302">
        <v>0.28999999999999998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1</v>
      </c>
      <c r="AC302">
        <v>0</v>
      </c>
      <c r="AD302">
        <v>0</v>
      </c>
      <c r="AE302">
        <v>0</v>
      </c>
      <c r="AF302">
        <v>0</v>
      </c>
      <c r="AG302" s="86">
        <f>AVERAGEIFS($C$2:C302, $B$2:B302, B302)</f>
        <v>29.111111111111111</v>
      </c>
      <c r="AH302" s="86">
        <f>AVERAGEIFS($I$2:I302, $B$2:B302, B302)</f>
        <v>0.38333333333333336</v>
      </c>
      <c r="AI302" s="86">
        <f>AVERAGEIFS($J$2:J302, $B$2:B302, B302)</f>
        <v>0.45555555555555549</v>
      </c>
      <c r="AJ302" s="86">
        <f>AVERAGEIFS($D$2:D302, $B$2:B302, B302)</f>
        <v>0.44444444444444442</v>
      </c>
    </row>
    <row r="303" spans="1:36" x14ac:dyDescent="0.25">
      <c r="A303" s="85">
        <v>46084</v>
      </c>
      <c r="B303" t="s">
        <v>53</v>
      </c>
      <c r="C303">
        <v>17</v>
      </c>
      <c r="D303">
        <v>0</v>
      </c>
      <c r="E303">
        <v>4</v>
      </c>
      <c r="F303">
        <v>1</v>
      </c>
      <c r="G303">
        <v>14</v>
      </c>
      <c r="H303">
        <v>4</v>
      </c>
      <c r="I303">
        <v>0.25</v>
      </c>
      <c r="J303">
        <v>0.28999999999999998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1</v>
      </c>
      <c r="AC303">
        <v>0</v>
      </c>
      <c r="AD303">
        <v>0</v>
      </c>
      <c r="AE303">
        <v>0</v>
      </c>
      <c r="AF303">
        <v>0</v>
      </c>
      <c r="AG303" s="86">
        <f>AVERAGEIFS($C$2:C303, $B$2:B303, B303)</f>
        <v>18.875</v>
      </c>
      <c r="AH303" s="86">
        <f>AVERAGEIFS($I$2:I303, $B$2:B303, B303)</f>
        <v>0.48749999999999999</v>
      </c>
      <c r="AI303" s="86">
        <f>AVERAGEIFS($J$2:J303, $B$2:B303, B303)</f>
        <v>0.47375</v>
      </c>
      <c r="AJ303" s="86">
        <f>AVERAGEIFS($D$2:D303, $B$2:B303, B303)</f>
        <v>0.375</v>
      </c>
    </row>
    <row r="304" spans="1:36" x14ac:dyDescent="0.25">
      <c r="A304" s="85">
        <v>46084</v>
      </c>
      <c r="B304" t="s">
        <v>44</v>
      </c>
      <c r="C304">
        <v>11</v>
      </c>
      <c r="D304">
        <v>0</v>
      </c>
      <c r="E304">
        <v>4</v>
      </c>
      <c r="F304">
        <v>1</v>
      </c>
      <c r="G304">
        <v>14</v>
      </c>
      <c r="H304">
        <v>4</v>
      </c>
      <c r="I304">
        <v>0.25</v>
      </c>
      <c r="J304">
        <v>0.28999999999999998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1</v>
      </c>
      <c r="AC304">
        <v>0</v>
      </c>
      <c r="AD304">
        <v>0</v>
      </c>
      <c r="AE304">
        <v>0</v>
      </c>
      <c r="AF304">
        <v>0</v>
      </c>
      <c r="AG304" s="86">
        <f>AVERAGEIFS($C$2:C304, $B$2:B304, B304)</f>
        <v>17.428571428571427</v>
      </c>
      <c r="AH304" s="86">
        <f>AVERAGEIFS($I$2:I304, $B$2:B304, B304)</f>
        <v>0.47857142857142859</v>
      </c>
      <c r="AI304" s="86">
        <f>AVERAGEIFS($J$2:J304, $B$2:B304, B304)</f>
        <v>0.51142857142857145</v>
      </c>
      <c r="AJ304" s="86">
        <f>AVERAGEIFS($D$2:D304, $B$2:B304, B304)</f>
        <v>0.5714285714285714</v>
      </c>
    </row>
    <row r="305" spans="1:36" x14ac:dyDescent="0.25">
      <c r="A305" s="85">
        <v>46084</v>
      </c>
      <c r="B305" t="s">
        <v>27</v>
      </c>
      <c r="C305">
        <v>10</v>
      </c>
      <c r="D305">
        <v>0</v>
      </c>
      <c r="E305">
        <v>4</v>
      </c>
      <c r="F305">
        <v>1</v>
      </c>
      <c r="G305">
        <v>14</v>
      </c>
      <c r="H305">
        <v>4</v>
      </c>
      <c r="I305">
        <v>0.25</v>
      </c>
      <c r="J305">
        <v>0.28999999999999998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1</v>
      </c>
      <c r="AC305">
        <v>0</v>
      </c>
      <c r="AD305">
        <v>0</v>
      </c>
      <c r="AE305">
        <v>0</v>
      </c>
      <c r="AF305">
        <v>0</v>
      </c>
      <c r="AG305" s="86">
        <f>AVERAGEIFS($C$2:C305, $B$2:B305, B305)</f>
        <v>14.2</v>
      </c>
      <c r="AH305" s="86">
        <f>AVERAGEIFS($I$2:I305, $B$2:B305, B305)</f>
        <v>0.48</v>
      </c>
      <c r="AI305" s="86">
        <f>AVERAGEIFS($J$2:J305, $B$2:B305, B305)</f>
        <v>0.438</v>
      </c>
      <c r="AJ305" s="86">
        <f>AVERAGEIFS($D$2:D305, $B$2:B305, B305)</f>
        <v>0.4</v>
      </c>
    </row>
    <row r="306" spans="1:36" x14ac:dyDescent="0.25">
      <c r="A306" s="85">
        <v>46084</v>
      </c>
      <c r="B306" t="s">
        <v>6</v>
      </c>
      <c r="C306">
        <v>16</v>
      </c>
      <c r="D306">
        <v>1</v>
      </c>
      <c r="E306">
        <v>4</v>
      </c>
      <c r="F306">
        <v>3</v>
      </c>
      <c r="G306">
        <v>14</v>
      </c>
      <c r="H306">
        <v>10</v>
      </c>
      <c r="I306">
        <v>0.75</v>
      </c>
      <c r="J306">
        <v>0.71</v>
      </c>
      <c r="K306">
        <v>0</v>
      </c>
      <c r="L306">
        <v>1</v>
      </c>
      <c r="M306">
        <v>0</v>
      </c>
      <c r="N306">
        <v>1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1</v>
      </c>
      <c r="AE306">
        <v>0</v>
      </c>
      <c r="AF306">
        <v>0</v>
      </c>
      <c r="AG306" s="86">
        <f>AVERAGEIFS($C$2:C306, $B$2:B306, B306)</f>
        <v>23.19047619047619</v>
      </c>
      <c r="AH306" s="86">
        <f>AVERAGEIFS($I$2:I306, $B$2:B306, B306)</f>
        <v>0.64904761904761898</v>
      </c>
      <c r="AI306" s="86">
        <f>AVERAGEIFS($J$2:J306, $B$2:B306, B306)</f>
        <v>0.5719047619047618</v>
      </c>
      <c r="AJ306" s="86">
        <f>AVERAGEIFS($D$2:D306, $B$2:B306, B306)</f>
        <v>0.76190476190476186</v>
      </c>
    </row>
    <row r="307" spans="1:36" x14ac:dyDescent="0.25">
      <c r="A307" s="85">
        <v>46084</v>
      </c>
      <c r="B307" t="s">
        <v>4</v>
      </c>
      <c r="C307">
        <v>18</v>
      </c>
      <c r="D307">
        <v>1</v>
      </c>
      <c r="E307">
        <v>4</v>
      </c>
      <c r="F307">
        <v>3</v>
      </c>
      <c r="G307">
        <v>14</v>
      </c>
      <c r="H307">
        <v>10</v>
      </c>
      <c r="I307">
        <v>0.75</v>
      </c>
      <c r="J307">
        <v>0.71</v>
      </c>
      <c r="K307">
        <v>0</v>
      </c>
      <c r="L307">
        <v>1</v>
      </c>
      <c r="M307">
        <v>0</v>
      </c>
      <c r="N307">
        <v>1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1</v>
      </c>
      <c r="AE307">
        <v>0</v>
      </c>
      <c r="AF307">
        <v>0</v>
      </c>
      <c r="AG307" s="86">
        <f>AVERAGEIFS($C$2:C307, $B$2:B307, B307)</f>
        <v>25.6</v>
      </c>
      <c r="AH307" s="86">
        <f>AVERAGEIFS($I$2:I307, $B$2:B307, B307)</f>
        <v>0.42000000000000004</v>
      </c>
      <c r="AI307" s="86">
        <f>AVERAGEIFS($J$2:J307, $B$2:B307, B307)</f>
        <v>0.45999999999999996</v>
      </c>
      <c r="AJ307" s="86">
        <f>AVERAGEIFS($D$2:D307, $B$2:B307, B307)</f>
        <v>0.3</v>
      </c>
    </row>
    <row r="308" spans="1:36" x14ac:dyDescent="0.25">
      <c r="A308" s="85">
        <v>46084</v>
      </c>
      <c r="B308" t="s">
        <v>52</v>
      </c>
      <c r="C308">
        <v>13</v>
      </c>
      <c r="D308">
        <v>1</v>
      </c>
      <c r="E308">
        <v>4</v>
      </c>
      <c r="F308">
        <v>3</v>
      </c>
      <c r="G308">
        <v>14</v>
      </c>
      <c r="H308">
        <v>10</v>
      </c>
      <c r="I308">
        <v>0.75</v>
      </c>
      <c r="J308">
        <v>0.71</v>
      </c>
      <c r="K308">
        <v>0</v>
      </c>
      <c r="L308">
        <v>1</v>
      </c>
      <c r="M308">
        <v>0</v>
      </c>
      <c r="N308">
        <v>1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1</v>
      </c>
      <c r="AE308">
        <v>0</v>
      </c>
      <c r="AF308">
        <v>0</v>
      </c>
      <c r="AG308" s="86">
        <f>AVERAGEIFS($C$2:C308, $B$2:B308, B308)</f>
        <v>13.857142857142858</v>
      </c>
      <c r="AH308" s="86">
        <f>AVERAGEIFS($I$2:I308, $B$2:B308, B308)</f>
        <v>0.41428571428571426</v>
      </c>
      <c r="AI308" s="86">
        <f>AVERAGEIFS($J$2:J308, $B$2:B308, B308)</f>
        <v>0.43000000000000005</v>
      </c>
      <c r="AJ308" s="86">
        <f>AVERAGEIFS($D$2:D308, $B$2:B308, B308)</f>
        <v>0.2857142857142857</v>
      </c>
    </row>
    <row r="309" spans="1:36" x14ac:dyDescent="0.25">
      <c r="A309" s="85">
        <v>46084</v>
      </c>
      <c r="B309" t="s">
        <v>40</v>
      </c>
      <c r="C309">
        <v>18</v>
      </c>
      <c r="D309">
        <v>1</v>
      </c>
      <c r="E309">
        <v>4</v>
      </c>
      <c r="F309">
        <v>3</v>
      </c>
      <c r="G309">
        <v>14</v>
      </c>
      <c r="H309">
        <v>10</v>
      </c>
      <c r="I309">
        <v>0.75</v>
      </c>
      <c r="J309">
        <v>0.71</v>
      </c>
      <c r="K309">
        <v>0</v>
      </c>
      <c r="L309">
        <v>1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1</v>
      </c>
      <c r="AE309">
        <v>0</v>
      </c>
      <c r="AF309">
        <v>0</v>
      </c>
      <c r="AG309" s="86">
        <f>AVERAGEIFS($C$2:C309, $B$2:B309, B309)</f>
        <v>17.6875</v>
      </c>
      <c r="AH309" s="86">
        <f>AVERAGEIFS($I$2:I309, $B$2:B309, B309)</f>
        <v>0.46250000000000008</v>
      </c>
      <c r="AI309" s="86">
        <f>AVERAGEIFS($J$2:J309, $B$2:B309, B309)</f>
        <v>0.47999999999999993</v>
      </c>
      <c r="AJ309" s="86">
        <f>AVERAGEIFS($D$2:D309, $B$2:B309, B309)</f>
        <v>0.4375</v>
      </c>
    </row>
    <row r="310" spans="1:36" x14ac:dyDescent="0.25">
      <c r="A310" s="85">
        <v>46084</v>
      </c>
      <c r="B310" t="s">
        <v>42</v>
      </c>
      <c r="C310">
        <v>28</v>
      </c>
      <c r="D310">
        <v>1</v>
      </c>
      <c r="E310">
        <v>4</v>
      </c>
      <c r="F310">
        <v>3</v>
      </c>
      <c r="G310">
        <v>14</v>
      </c>
      <c r="H310">
        <v>10</v>
      </c>
      <c r="I310">
        <v>0.75</v>
      </c>
      <c r="J310">
        <v>0.71</v>
      </c>
      <c r="K310">
        <v>0</v>
      </c>
      <c r="L310">
        <v>1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1</v>
      </c>
      <c r="AE310">
        <v>0</v>
      </c>
      <c r="AF310">
        <v>0</v>
      </c>
      <c r="AG310" s="86">
        <f>AVERAGEIFS($C$2:C310, $B$2:B310, B310)</f>
        <v>17.100000000000001</v>
      </c>
      <c r="AH310" s="86">
        <f>AVERAGEIFS($I$2:I310, $B$2:B310, B310)</f>
        <v>0.495</v>
      </c>
      <c r="AI310" s="86">
        <f>AVERAGEIFS($J$2:J310, $B$2:B310, B310)</f>
        <v>0.49299999999999999</v>
      </c>
      <c r="AJ310" s="86">
        <f>AVERAGEIFS($D$2:D310, $B$2:B310, B310)</f>
        <v>0.6</v>
      </c>
    </row>
    <row r="311" spans="1:36" x14ac:dyDescent="0.25">
      <c r="A311" s="85">
        <v>46084</v>
      </c>
      <c r="B311" t="s">
        <v>28</v>
      </c>
      <c r="C311">
        <v>21</v>
      </c>
      <c r="D311">
        <v>1</v>
      </c>
      <c r="E311">
        <v>4</v>
      </c>
      <c r="F311">
        <v>3</v>
      </c>
      <c r="G311">
        <v>14</v>
      </c>
      <c r="H311">
        <v>10</v>
      </c>
      <c r="I311">
        <v>0.75</v>
      </c>
      <c r="J311">
        <v>0.71</v>
      </c>
      <c r="K311">
        <v>0</v>
      </c>
      <c r="L311">
        <v>1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1</v>
      </c>
      <c r="AE311">
        <v>0</v>
      </c>
      <c r="AF311">
        <v>0</v>
      </c>
      <c r="AG311" s="86">
        <f>AVERAGEIFS($C$2:C311, $B$2:B311, B311)</f>
        <v>17</v>
      </c>
      <c r="AH311" s="86">
        <f>AVERAGEIFS($I$2:I311, $B$2:B311, B311)</f>
        <v>0.4936363636363636</v>
      </c>
      <c r="AI311" s="86">
        <f>AVERAGEIFS($J$2:J311, $B$2:B311, B311)</f>
        <v>0.52363636363636357</v>
      </c>
      <c r="AJ311" s="86">
        <f>AVERAGEIFS($D$2:D311, $B$2:B311, B311)</f>
        <v>0.45454545454545453</v>
      </c>
    </row>
    <row r="312" spans="1:36" x14ac:dyDescent="0.25">
      <c r="A312" s="85">
        <v>46085</v>
      </c>
      <c r="B312" t="s">
        <v>44</v>
      </c>
      <c r="C312">
        <v>21</v>
      </c>
      <c r="D312">
        <v>1</v>
      </c>
      <c r="E312">
        <v>3</v>
      </c>
      <c r="F312">
        <v>3</v>
      </c>
      <c r="G312">
        <v>10</v>
      </c>
      <c r="H312">
        <v>9</v>
      </c>
      <c r="I312">
        <v>1</v>
      </c>
      <c r="J312">
        <v>0.9</v>
      </c>
      <c r="K312">
        <v>1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1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1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 s="86">
        <f>AVERAGEIFS($C$2:C312, $B$2:B312, B312)</f>
        <v>17.875</v>
      </c>
      <c r="AH312" s="86">
        <f>AVERAGEIFS($I$2:I312, $B$2:B312, B312)</f>
        <v>0.54374999999999996</v>
      </c>
      <c r="AI312" s="86">
        <f>AVERAGEIFS($J$2:J312, $B$2:B312, B312)</f>
        <v>0.56000000000000005</v>
      </c>
      <c r="AJ312" s="86">
        <f>AVERAGEIFS($D$2:D312, $B$2:B312, B312)</f>
        <v>0.625</v>
      </c>
    </row>
    <row r="313" spans="1:36" x14ac:dyDescent="0.25">
      <c r="A313" s="85">
        <v>46085</v>
      </c>
      <c r="B313" t="s">
        <v>6</v>
      </c>
      <c r="C313">
        <v>19</v>
      </c>
      <c r="D313">
        <v>1</v>
      </c>
      <c r="E313">
        <v>3</v>
      </c>
      <c r="F313">
        <v>3</v>
      </c>
      <c r="G313">
        <v>10</v>
      </c>
      <c r="H313">
        <v>9</v>
      </c>
      <c r="I313">
        <v>1</v>
      </c>
      <c r="J313">
        <v>0.9</v>
      </c>
      <c r="K313">
        <v>1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1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1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 s="86">
        <f>AVERAGEIFS($C$2:C313, $B$2:B313, B313)</f>
        <v>23</v>
      </c>
      <c r="AH313" s="86">
        <f>AVERAGEIFS($I$2:I313, $B$2:B313, B313)</f>
        <v>0.66499999999999992</v>
      </c>
      <c r="AI313" s="86">
        <f>AVERAGEIFS($J$2:J313, $B$2:B313, B313)</f>
        <v>0.58681818181818179</v>
      </c>
      <c r="AJ313" s="86">
        <f>AVERAGEIFS($D$2:D313, $B$2:B313, B313)</f>
        <v>0.77272727272727271</v>
      </c>
    </row>
    <row r="314" spans="1:36" x14ac:dyDescent="0.25">
      <c r="A314" s="85">
        <v>46085</v>
      </c>
      <c r="B314" t="s">
        <v>14</v>
      </c>
      <c r="C314">
        <v>11</v>
      </c>
      <c r="D314">
        <v>1</v>
      </c>
      <c r="E314">
        <v>3</v>
      </c>
      <c r="F314">
        <v>3</v>
      </c>
      <c r="G314">
        <v>10</v>
      </c>
      <c r="H314">
        <v>9</v>
      </c>
      <c r="I314">
        <v>1</v>
      </c>
      <c r="J314">
        <v>0.9</v>
      </c>
      <c r="K314">
        <v>1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1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1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 s="86">
        <f>AVERAGEIFS($C$2:C314, $B$2:B314, B314)</f>
        <v>16.90909090909091</v>
      </c>
      <c r="AH314" s="86">
        <f>AVERAGEIFS($I$2:I314, $B$2:B314, B314)</f>
        <v>0.48818181818181822</v>
      </c>
      <c r="AI314" s="86">
        <f>AVERAGEIFS($J$2:J314, $B$2:B314, B314)</f>
        <v>0.50636363636363635</v>
      </c>
      <c r="AJ314" s="86">
        <f>AVERAGEIFS($D$2:D314, $B$2:B314, B314)</f>
        <v>0.54545454545454541</v>
      </c>
    </row>
    <row r="315" spans="1:36" x14ac:dyDescent="0.25">
      <c r="A315" s="85">
        <v>46085</v>
      </c>
      <c r="B315" t="s">
        <v>25</v>
      </c>
      <c r="C315">
        <v>10</v>
      </c>
      <c r="D315">
        <v>1</v>
      </c>
      <c r="E315">
        <v>3</v>
      </c>
      <c r="F315">
        <v>3</v>
      </c>
      <c r="G315">
        <v>10</v>
      </c>
      <c r="H315">
        <v>9</v>
      </c>
      <c r="I315">
        <v>1</v>
      </c>
      <c r="J315">
        <v>0.9</v>
      </c>
      <c r="K315">
        <v>1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1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1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 s="86">
        <f>AVERAGEIFS($C$2:C315, $B$2:B315, B315)</f>
        <v>8.5</v>
      </c>
      <c r="AH315" s="86">
        <f>AVERAGEIFS($I$2:I315, $B$2:B315, B315)</f>
        <v>0.6875</v>
      </c>
      <c r="AI315" s="86">
        <f>AVERAGEIFS($J$2:J315, $B$2:B315, B315)</f>
        <v>0.68</v>
      </c>
      <c r="AJ315" s="86">
        <f>AVERAGEIFS($D$2:D315, $B$2:B315, B315)</f>
        <v>0.75</v>
      </c>
    </row>
    <row r="316" spans="1:36" x14ac:dyDescent="0.25">
      <c r="A316" s="85">
        <v>46085</v>
      </c>
      <c r="B316" t="s">
        <v>50</v>
      </c>
      <c r="C316">
        <v>10</v>
      </c>
      <c r="D316">
        <v>1</v>
      </c>
      <c r="E316">
        <v>3</v>
      </c>
      <c r="F316">
        <v>3</v>
      </c>
      <c r="G316">
        <v>10</v>
      </c>
      <c r="H316">
        <v>9</v>
      </c>
      <c r="I316">
        <v>1</v>
      </c>
      <c r="J316">
        <v>0.9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1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1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 s="86">
        <f>AVERAGEIFS($C$2:C316, $B$2:B316, B316)</f>
        <v>19.666666666666668</v>
      </c>
      <c r="AH316" s="86">
        <f>AVERAGEIFS($I$2:I316, $B$2:B316, B316)</f>
        <v>0.52523809523809528</v>
      </c>
      <c r="AI316" s="86">
        <f>AVERAGEIFS($J$2:J316, $B$2:B316, B316)</f>
        <v>0.53190476190476177</v>
      </c>
      <c r="AJ316" s="86">
        <f>AVERAGEIFS($D$2:D316, $B$2:B316, B316)</f>
        <v>0.52380952380952384</v>
      </c>
    </row>
    <row r="317" spans="1:36" x14ac:dyDescent="0.25">
      <c r="A317" s="85">
        <v>46085</v>
      </c>
      <c r="B317" t="s">
        <v>53</v>
      </c>
      <c r="C317">
        <v>10</v>
      </c>
      <c r="D317">
        <v>1</v>
      </c>
      <c r="E317">
        <v>3</v>
      </c>
      <c r="F317">
        <v>3</v>
      </c>
      <c r="G317">
        <v>10</v>
      </c>
      <c r="H317">
        <v>9</v>
      </c>
      <c r="I317">
        <v>1</v>
      </c>
      <c r="J317">
        <v>0.9</v>
      </c>
      <c r="K317">
        <v>1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1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1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 s="86">
        <f>AVERAGEIFS($C$2:C317, $B$2:B317, B317)</f>
        <v>17.888888888888889</v>
      </c>
      <c r="AH317" s="86">
        <f>AVERAGEIFS($I$2:I317, $B$2:B317, B317)</f>
        <v>0.54444444444444451</v>
      </c>
      <c r="AI317" s="86">
        <f>AVERAGEIFS($J$2:J317, $B$2:B317, B317)</f>
        <v>0.52111111111111119</v>
      </c>
      <c r="AJ317" s="86">
        <f>AVERAGEIFS($D$2:D317, $B$2:B317, B317)</f>
        <v>0.44444444444444442</v>
      </c>
    </row>
    <row r="318" spans="1:36" x14ac:dyDescent="0.25">
      <c r="A318" s="85">
        <v>46085</v>
      </c>
      <c r="B318" t="s">
        <v>13</v>
      </c>
      <c r="C318">
        <v>6</v>
      </c>
      <c r="D318">
        <v>1</v>
      </c>
      <c r="E318">
        <v>3</v>
      </c>
      <c r="F318">
        <v>3</v>
      </c>
      <c r="G318">
        <v>10</v>
      </c>
      <c r="H318">
        <v>9</v>
      </c>
      <c r="I318">
        <v>1</v>
      </c>
      <c r="J318">
        <v>0.9</v>
      </c>
      <c r="K318">
        <v>1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1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1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 s="86">
        <f>AVERAGEIFS($C$2:C318, $B$2:B318, B318)</f>
        <v>8.5</v>
      </c>
      <c r="AH318" s="86">
        <f>AVERAGEIFS($I$2:I318, $B$2:B318, B318)</f>
        <v>0.6</v>
      </c>
      <c r="AI318" s="86">
        <f>AVERAGEIFS($J$2:J318, $B$2:B318, B318)</f>
        <v>0.54749999999999999</v>
      </c>
      <c r="AJ318" s="86">
        <f>AVERAGEIFS($D$2:D318, $B$2:B318, B318)</f>
        <v>0.5</v>
      </c>
    </row>
    <row r="319" spans="1:36" x14ac:dyDescent="0.25">
      <c r="A319" s="85">
        <v>46085</v>
      </c>
      <c r="B319" t="s">
        <v>17</v>
      </c>
      <c r="C319">
        <v>15</v>
      </c>
      <c r="D319">
        <v>0</v>
      </c>
      <c r="E319">
        <v>3</v>
      </c>
      <c r="F319">
        <v>0</v>
      </c>
      <c r="G319">
        <v>10</v>
      </c>
      <c r="H319">
        <v>1</v>
      </c>
      <c r="I319">
        <v>0</v>
      </c>
      <c r="J319">
        <v>0.1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 s="86">
        <f>AVERAGEIFS($C$2:C319, $B$2:B319, B319)</f>
        <v>21.055555555555557</v>
      </c>
      <c r="AH319" s="86">
        <f>AVERAGEIFS($I$2:I319, $B$2:B319, B319)</f>
        <v>0.45944444444444443</v>
      </c>
      <c r="AI319" s="86">
        <f>AVERAGEIFS($J$2:J319, $B$2:B319, B319)</f>
        <v>0.46111111111111114</v>
      </c>
      <c r="AJ319" s="86">
        <f>AVERAGEIFS($D$2:D319, $B$2:B319, B319)</f>
        <v>0.3888888888888889</v>
      </c>
    </row>
    <row r="320" spans="1:36" x14ac:dyDescent="0.25">
      <c r="A320" s="85">
        <v>46085</v>
      </c>
      <c r="B320" t="s">
        <v>1</v>
      </c>
      <c r="C320">
        <v>13</v>
      </c>
      <c r="D320">
        <v>0</v>
      </c>
      <c r="E320">
        <v>3</v>
      </c>
      <c r="F320">
        <v>0</v>
      </c>
      <c r="G320">
        <v>10</v>
      </c>
      <c r="H320">
        <v>1</v>
      </c>
      <c r="I320">
        <v>0</v>
      </c>
      <c r="J320">
        <v>0.1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 s="86">
        <f>AVERAGEIFS($C$2:C320, $B$2:B320, B320)</f>
        <v>27.5</v>
      </c>
      <c r="AH320" s="86">
        <f>AVERAGEIFS($I$2:I320, $B$2:B320, B320)</f>
        <v>0.34500000000000003</v>
      </c>
      <c r="AI320" s="86">
        <f>AVERAGEIFS($J$2:J320, $B$2:B320, B320)</f>
        <v>0.41999999999999993</v>
      </c>
      <c r="AJ320" s="86">
        <f>AVERAGEIFS($D$2:D320, $B$2:B320, B320)</f>
        <v>0.4</v>
      </c>
    </row>
    <row r="321" spans="1:36" x14ac:dyDescent="0.25">
      <c r="A321" s="85">
        <v>46085</v>
      </c>
      <c r="B321" t="s">
        <v>28</v>
      </c>
      <c r="C321">
        <v>10</v>
      </c>
      <c r="D321">
        <v>0</v>
      </c>
      <c r="E321">
        <v>3</v>
      </c>
      <c r="F321">
        <v>0</v>
      </c>
      <c r="G321">
        <v>10</v>
      </c>
      <c r="H321">
        <v>1</v>
      </c>
      <c r="I321">
        <v>0</v>
      </c>
      <c r="J321">
        <v>0.1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 s="86">
        <f>AVERAGEIFS($C$2:C321, $B$2:B321, B321)</f>
        <v>16.416666666666668</v>
      </c>
      <c r="AH321" s="86">
        <f>AVERAGEIFS($I$2:I321, $B$2:B321, B321)</f>
        <v>0.45249999999999996</v>
      </c>
      <c r="AI321" s="86">
        <f>AVERAGEIFS($J$2:J321, $B$2:B321, B321)</f>
        <v>0.48833333333333323</v>
      </c>
      <c r="AJ321" s="86">
        <f>AVERAGEIFS($D$2:D321, $B$2:B321, B321)</f>
        <v>0.41666666666666669</v>
      </c>
    </row>
    <row r="322" spans="1:36" x14ac:dyDescent="0.25">
      <c r="A322" s="85">
        <v>46085</v>
      </c>
      <c r="B322" t="s">
        <v>40</v>
      </c>
      <c r="C322">
        <v>9</v>
      </c>
      <c r="D322">
        <v>0</v>
      </c>
      <c r="E322">
        <v>3</v>
      </c>
      <c r="F322">
        <v>0</v>
      </c>
      <c r="G322">
        <v>10</v>
      </c>
      <c r="H322">
        <v>1</v>
      </c>
      <c r="I322">
        <v>0</v>
      </c>
      <c r="J322">
        <v>0.1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 s="86">
        <f>AVERAGEIFS($C$2:C322, $B$2:B322, B322)</f>
        <v>17.176470588235293</v>
      </c>
      <c r="AH322" s="86">
        <f>AVERAGEIFS($I$2:I322, $B$2:B322, B322)</f>
        <v>0.43529411764705889</v>
      </c>
      <c r="AI322" s="86">
        <f>AVERAGEIFS($J$2:J322, $B$2:B322, B322)</f>
        <v>0.4576470588235293</v>
      </c>
      <c r="AJ322" s="86">
        <f>AVERAGEIFS($D$2:D322, $B$2:B322, B322)</f>
        <v>0.41176470588235292</v>
      </c>
    </row>
    <row r="323" spans="1:36" x14ac:dyDescent="0.25">
      <c r="A323" s="85">
        <v>46085</v>
      </c>
      <c r="B323" t="s">
        <v>35</v>
      </c>
      <c r="C323">
        <v>8</v>
      </c>
      <c r="D323">
        <v>0</v>
      </c>
      <c r="E323">
        <v>3</v>
      </c>
      <c r="F323">
        <v>0</v>
      </c>
      <c r="G323">
        <v>10</v>
      </c>
      <c r="H323">
        <v>1</v>
      </c>
      <c r="I323">
        <v>0</v>
      </c>
      <c r="J323">
        <v>0.1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 s="86">
        <f>AVERAGEIFS($C$2:C323, $B$2:B323, B323)</f>
        <v>11.65</v>
      </c>
      <c r="AH323" s="86">
        <f>AVERAGEIFS($I$2:I323, $B$2:B323, B323)</f>
        <v>0.42650000000000005</v>
      </c>
      <c r="AI323" s="86">
        <f>AVERAGEIFS($J$2:J323, $B$2:B323, B323)</f>
        <v>0.47550000000000009</v>
      </c>
      <c r="AJ323" s="86">
        <f>AVERAGEIFS($D$2:D323, $B$2:B323, B323)</f>
        <v>0.35</v>
      </c>
    </row>
    <row r="324" spans="1:36" x14ac:dyDescent="0.25">
      <c r="A324" s="85">
        <v>46085</v>
      </c>
      <c r="B324" t="s">
        <v>42</v>
      </c>
      <c r="C324">
        <v>6</v>
      </c>
      <c r="D324">
        <v>0</v>
      </c>
      <c r="E324">
        <v>3</v>
      </c>
      <c r="F324">
        <v>0</v>
      </c>
      <c r="G324">
        <v>10</v>
      </c>
      <c r="H324">
        <v>1</v>
      </c>
      <c r="I324">
        <v>0</v>
      </c>
      <c r="J324">
        <v>0.1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 s="86">
        <f>AVERAGEIFS($C$2:C324, $B$2:B324, B324)</f>
        <v>16.09090909090909</v>
      </c>
      <c r="AH324" s="86">
        <f>AVERAGEIFS($I$2:I324, $B$2:B324, B324)</f>
        <v>0.45</v>
      </c>
      <c r="AI324" s="86">
        <f>AVERAGEIFS($J$2:J324, $B$2:B324, B324)</f>
        <v>0.45727272727272722</v>
      </c>
      <c r="AJ324" s="86">
        <f>AVERAGEIFS($D$2:D324, $B$2:B324, B324)</f>
        <v>0.54545454545454541</v>
      </c>
    </row>
    <row r="325" spans="1:36" x14ac:dyDescent="0.25">
      <c r="A325" s="85">
        <v>46085</v>
      </c>
      <c r="B325" t="s">
        <v>15</v>
      </c>
      <c r="C325">
        <v>4</v>
      </c>
      <c r="D325">
        <v>0</v>
      </c>
      <c r="E325">
        <v>3</v>
      </c>
      <c r="F325">
        <v>0</v>
      </c>
      <c r="G325">
        <v>10</v>
      </c>
      <c r="H325">
        <v>1</v>
      </c>
      <c r="I325">
        <v>0</v>
      </c>
      <c r="J325">
        <v>0.1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 s="86">
        <f>AVERAGEIFS($C$2:C325, $B$2:B325, B325)</f>
        <v>4</v>
      </c>
      <c r="AH325" s="86">
        <f>AVERAGEIFS($I$2:I325, $B$2:B325, B325)</f>
        <v>0</v>
      </c>
      <c r="AI325" s="86">
        <f>AVERAGEIFS($J$2:J325, $B$2:B325, B325)</f>
        <v>0.1</v>
      </c>
      <c r="AJ325" s="86">
        <f>AVERAGEIFS($D$2:D325, $B$2:B325, B325)</f>
        <v>0</v>
      </c>
    </row>
    <row r="326" spans="1:36" x14ac:dyDescent="0.25">
      <c r="A326" s="85">
        <v>46086</v>
      </c>
      <c r="B326" t="s">
        <v>6</v>
      </c>
      <c r="C326">
        <v>21</v>
      </c>
      <c r="D326">
        <v>1</v>
      </c>
      <c r="E326">
        <v>4</v>
      </c>
      <c r="F326">
        <v>3</v>
      </c>
      <c r="G326">
        <v>15</v>
      </c>
      <c r="H326">
        <v>9</v>
      </c>
      <c r="I326">
        <v>0.75</v>
      </c>
      <c r="J326">
        <v>0.6</v>
      </c>
      <c r="K326">
        <v>0</v>
      </c>
      <c r="L326">
        <v>0</v>
      </c>
      <c r="M326">
        <v>0</v>
      </c>
      <c r="N326">
        <v>1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1</v>
      </c>
      <c r="AE326">
        <v>0</v>
      </c>
      <c r="AF326">
        <v>0</v>
      </c>
      <c r="AG326" s="86">
        <f>AVERAGEIFS($C$2:C326, $B$2:B326, B326)</f>
        <v>22.913043478260871</v>
      </c>
      <c r="AH326" s="86">
        <f>AVERAGEIFS($I$2:I326, $B$2:B326, B326)</f>
        <v>0.66869565217391302</v>
      </c>
      <c r="AI326" s="86">
        <f>AVERAGEIFS($J$2:J326, $B$2:B326, B326)</f>
        <v>0.58739130434782605</v>
      </c>
      <c r="AJ326" s="86">
        <f>AVERAGEIFS($D$2:D326, $B$2:B326, B326)</f>
        <v>0.78260869565217395</v>
      </c>
    </row>
    <row r="327" spans="1:36" x14ac:dyDescent="0.25">
      <c r="A327" s="85">
        <v>46086</v>
      </c>
      <c r="B327" t="s">
        <v>50</v>
      </c>
      <c r="C327">
        <v>20</v>
      </c>
      <c r="D327">
        <v>1</v>
      </c>
      <c r="E327">
        <v>4</v>
      </c>
      <c r="F327">
        <v>3</v>
      </c>
      <c r="G327">
        <v>15</v>
      </c>
      <c r="H327">
        <v>9</v>
      </c>
      <c r="I327">
        <v>0.75</v>
      </c>
      <c r="J327">
        <v>0.6</v>
      </c>
      <c r="K327">
        <v>0</v>
      </c>
      <c r="L327">
        <v>0</v>
      </c>
      <c r="M327">
        <v>0</v>
      </c>
      <c r="N327">
        <v>1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1</v>
      </c>
      <c r="AE327">
        <v>0</v>
      </c>
      <c r="AF327">
        <v>0</v>
      </c>
      <c r="AG327" s="86">
        <f>AVERAGEIFS($C$2:C327, $B$2:B327, B327)</f>
        <v>19.681818181818183</v>
      </c>
      <c r="AH327" s="86">
        <f>AVERAGEIFS($I$2:I327, $B$2:B327, B327)</f>
        <v>0.53545454545454552</v>
      </c>
      <c r="AI327" s="86">
        <f>AVERAGEIFS($J$2:J327, $B$2:B327, B327)</f>
        <v>0.53499999999999992</v>
      </c>
      <c r="AJ327" s="86">
        <f>AVERAGEIFS($D$2:D327, $B$2:B327, B327)</f>
        <v>0.54545454545454541</v>
      </c>
    </row>
    <row r="328" spans="1:36" x14ac:dyDescent="0.25">
      <c r="A328" s="85">
        <v>46086</v>
      </c>
      <c r="B328" t="s">
        <v>40</v>
      </c>
      <c r="C328">
        <v>19</v>
      </c>
      <c r="D328">
        <v>1</v>
      </c>
      <c r="E328">
        <v>4</v>
      </c>
      <c r="F328">
        <v>3</v>
      </c>
      <c r="G328">
        <v>15</v>
      </c>
      <c r="H328">
        <v>9</v>
      </c>
      <c r="I328">
        <v>0.75</v>
      </c>
      <c r="J328">
        <v>0.6</v>
      </c>
      <c r="K328">
        <v>0</v>
      </c>
      <c r="L328">
        <v>0</v>
      </c>
      <c r="M328">
        <v>0</v>
      </c>
      <c r="N328">
        <v>1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1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1</v>
      </c>
      <c r="AE328">
        <v>0</v>
      </c>
      <c r="AF328">
        <v>0</v>
      </c>
      <c r="AG328" s="86">
        <f>AVERAGEIFS($C$2:C328, $B$2:B328, B328)</f>
        <v>17.277777777777779</v>
      </c>
      <c r="AH328" s="86">
        <f>AVERAGEIFS($I$2:I328, $B$2:B328, B328)</f>
        <v>0.45277777777777789</v>
      </c>
      <c r="AI328" s="86">
        <f>AVERAGEIFS($J$2:J328, $B$2:B328, B328)</f>
        <v>0.4655555555555555</v>
      </c>
      <c r="AJ328" s="86">
        <f>AVERAGEIFS($D$2:D328, $B$2:B328, B328)</f>
        <v>0.44444444444444442</v>
      </c>
    </row>
    <row r="329" spans="1:36" x14ac:dyDescent="0.25">
      <c r="A329" s="85">
        <v>46086</v>
      </c>
      <c r="B329" t="s">
        <v>70</v>
      </c>
      <c r="C329">
        <v>19</v>
      </c>
      <c r="D329">
        <v>1</v>
      </c>
      <c r="E329">
        <v>4</v>
      </c>
      <c r="F329">
        <v>3</v>
      </c>
      <c r="G329">
        <v>15</v>
      </c>
      <c r="H329">
        <v>9</v>
      </c>
      <c r="I329">
        <v>0.75</v>
      </c>
      <c r="J329">
        <v>0.6</v>
      </c>
      <c r="K329">
        <v>0</v>
      </c>
      <c r="L329">
        <v>0</v>
      </c>
      <c r="M329">
        <v>0</v>
      </c>
      <c r="N329">
        <v>1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1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1</v>
      </c>
      <c r="AE329">
        <v>0</v>
      </c>
      <c r="AF329">
        <v>0</v>
      </c>
      <c r="AG329" s="86">
        <f>AVERAGEIFS($C$2:C329, $B$2:B329, B329)</f>
        <v>12.6</v>
      </c>
      <c r="AH329" s="86">
        <f>AVERAGEIFS($I$2:I329, $B$2:B329, B329)</f>
        <v>0.71000000000000008</v>
      </c>
      <c r="AI329" s="86">
        <f>AVERAGEIFS($J$2:J329, $B$2:B329, B329)</f>
        <v>0.57999999999999996</v>
      </c>
      <c r="AJ329" s="86">
        <f>AVERAGEIFS($D$2:D329, $B$2:B329, B329)</f>
        <v>1</v>
      </c>
    </row>
    <row r="330" spans="1:36" x14ac:dyDescent="0.25">
      <c r="A330" s="85">
        <v>46086</v>
      </c>
      <c r="B330" t="s">
        <v>107</v>
      </c>
      <c r="C330">
        <v>18</v>
      </c>
      <c r="D330">
        <v>1</v>
      </c>
      <c r="E330">
        <v>4</v>
      </c>
      <c r="F330">
        <v>3</v>
      </c>
      <c r="G330">
        <v>15</v>
      </c>
      <c r="H330">
        <v>9</v>
      </c>
      <c r="I330">
        <v>0.75</v>
      </c>
      <c r="J330">
        <v>0.6</v>
      </c>
      <c r="K330">
        <v>0</v>
      </c>
      <c r="L330">
        <v>0</v>
      </c>
      <c r="M330">
        <v>0</v>
      </c>
      <c r="N330">
        <v>1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1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1</v>
      </c>
      <c r="AE330">
        <v>0</v>
      </c>
      <c r="AF330">
        <v>0</v>
      </c>
      <c r="AG330" s="86">
        <f>AVERAGEIFS($C$2:C330, $B$2:B330, B330)</f>
        <v>16.142857142857142</v>
      </c>
      <c r="AH330" s="86">
        <f>AVERAGEIFS($I$2:I330, $B$2:B330, B330)</f>
        <v>0.57857142857142851</v>
      </c>
      <c r="AI330" s="86">
        <f>AVERAGEIFS($J$2:J330, $B$2:B330, B330)</f>
        <v>0.53142857142857136</v>
      </c>
      <c r="AJ330" s="86">
        <f>AVERAGEIFS($D$2:D330, $B$2:B330, B330)</f>
        <v>0.5714285714285714</v>
      </c>
    </row>
    <row r="331" spans="1:36" x14ac:dyDescent="0.25">
      <c r="A331" s="85">
        <v>46086</v>
      </c>
      <c r="B331" t="s">
        <v>53</v>
      </c>
      <c r="C331">
        <v>17</v>
      </c>
      <c r="D331">
        <v>1</v>
      </c>
      <c r="E331">
        <v>4</v>
      </c>
      <c r="F331">
        <v>3</v>
      </c>
      <c r="G331">
        <v>15</v>
      </c>
      <c r="H331">
        <v>9</v>
      </c>
      <c r="I331">
        <v>0.75</v>
      </c>
      <c r="J331">
        <v>0.6</v>
      </c>
      <c r="K331">
        <v>0</v>
      </c>
      <c r="L331">
        <v>0</v>
      </c>
      <c r="M331">
        <v>0</v>
      </c>
      <c r="N331">
        <v>1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1</v>
      </c>
      <c r="AE331">
        <v>0</v>
      </c>
      <c r="AF331">
        <v>0</v>
      </c>
      <c r="AG331" s="86">
        <f>AVERAGEIFS($C$2:C331, $B$2:B331, B331)</f>
        <v>17.8</v>
      </c>
      <c r="AH331" s="86">
        <f>AVERAGEIFS($I$2:I331, $B$2:B331, B331)</f>
        <v>0.56500000000000006</v>
      </c>
      <c r="AI331" s="86">
        <f>AVERAGEIFS($J$2:J331, $B$2:B331, B331)</f>
        <v>0.52900000000000003</v>
      </c>
      <c r="AJ331" s="86">
        <f>AVERAGEIFS($D$2:D331, $B$2:B331, B331)</f>
        <v>0.5</v>
      </c>
    </row>
    <row r="332" spans="1:36" x14ac:dyDescent="0.25">
      <c r="A332" s="85">
        <v>46086</v>
      </c>
      <c r="B332" t="s">
        <v>4</v>
      </c>
      <c r="C332">
        <v>27</v>
      </c>
      <c r="D332">
        <v>0</v>
      </c>
      <c r="E332">
        <v>4</v>
      </c>
      <c r="F332">
        <v>1</v>
      </c>
      <c r="G332">
        <v>15</v>
      </c>
      <c r="H332">
        <v>6</v>
      </c>
      <c r="I332">
        <v>0.25</v>
      </c>
      <c r="J332">
        <v>0.4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 s="86">
        <f>AVERAGEIFS($C$2:C332, $B$2:B332, B332)</f>
        <v>25.727272727272727</v>
      </c>
      <c r="AH332" s="86">
        <f>AVERAGEIFS($I$2:I332, $B$2:B332, B332)</f>
        <v>0.40454545454545454</v>
      </c>
      <c r="AI332" s="86">
        <f>AVERAGEIFS($J$2:J332, $B$2:B332, B332)</f>
        <v>0.45454545454545453</v>
      </c>
      <c r="AJ332" s="86">
        <f>AVERAGEIFS($D$2:D332, $B$2:B332, B332)</f>
        <v>0.27272727272727271</v>
      </c>
    </row>
    <row r="333" spans="1:36" x14ac:dyDescent="0.25">
      <c r="A333" s="85">
        <v>46086</v>
      </c>
      <c r="B333" t="s">
        <v>18</v>
      </c>
      <c r="C333">
        <v>17</v>
      </c>
      <c r="D333">
        <v>0</v>
      </c>
      <c r="E333">
        <v>4</v>
      </c>
      <c r="F333">
        <v>1</v>
      </c>
      <c r="G333">
        <v>15</v>
      </c>
      <c r="H333">
        <v>6</v>
      </c>
      <c r="I333">
        <v>0.25</v>
      </c>
      <c r="J333">
        <v>0.4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 s="86">
        <f>AVERAGEIFS($C$2:C333, $B$2:B333, B333)</f>
        <v>18.333333333333332</v>
      </c>
      <c r="AH333" s="86">
        <f>AVERAGEIFS($I$2:I333, $B$2:B333, B333)</f>
        <v>0.6166666666666667</v>
      </c>
      <c r="AI333" s="86">
        <f>AVERAGEIFS($J$2:J333, $B$2:B333, B333)</f>
        <v>0.53666666666666663</v>
      </c>
      <c r="AJ333" s="86">
        <f>AVERAGEIFS($D$2:D333, $B$2:B333, B333)</f>
        <v>0.66666666666666663</v>
      </c>
    </row>
    <row r="334" spans="1:36" x14ac:dyDescent="0.25">
      <c r="A334" s="85">
        <v>46086</v>
      </c>
      <c r="B334" t="s">
        <v>28</v>
      </c>
      <c r="C334">
        <v>17</v>
      </c>
      <c r="D334">
        <v>0</v>
      </c>
      <c r="E334">
        <v>4</v>
      </c>
      <c r="F334">
        <v>1</v>
      </c>
      <c r="G334">
        <v>15</v>
      </c>
      <c r="H334">
        <v>6</v>
      </c>
      <c r="I334">
        <v>0.25</v>
      </c>
      <c r="J334">
        <v>0.4</v>
      </c>
      <c r="K334">
        <v>0</v>
      </c>
      <c r="L334">
        <v>1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 s="86">
        <f>AVERAGEIFS($C$2:C334, $B$2:B334, B334)</f>
        <v>16.46153846153846</v>
      </c>
      <c r="AH334" s="86">
        <f>AVERAGEIFS($I$2:I334, $B$2:B334, B334)</f>
        <v>0.43692307692307691</v>
      </c>
      <c r="AI334" s="86">
        <f>AVERAGEIFS($J$2:J334, $B$2:B334, B334)</f>
        <v>0.48153846153846147</v>
      </c>
      <c r="AJ334" s="86">
        <f>AVERAGEIFS($D$2:D334, $B$2:B334, B334)</f>
        <v>0.38461538461538464</v>
      </c>
    </row>
    <row r="335" spans="1:36" x14ac:dyDescent="0.25">
      <c r="A335" s="85">
        <v>46086</v>
      </c>
      <c r="B335" t="s">
        <v>42</v>
      </c>
      <c r="C335">
        <v>16</v>
      </c>
      <c r="D335">
        <v>0</v>
      </c>
      <c r="E335">
        <v>4</v>
      </c>
      <c r="F335">
        <v>1</v>
      </c>
      <c r="G335">
        <v>15</v>
      </c>
      <c r="H335">
        <v>6</v>
      </c>
      <c r="I335">
        <v>0.25</v>
      </c>
      <c r="J335">
        <v>0.4</v>
      </c>
      <c r="K335">
        <v>0</v>
      </c>
      <c r="L335">
        <v>1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 s="86">
        <f>AVERAGEIFS($C$2:C335, $B$2:B335, B335)</f>
        <v>16.083333333333332</v>
      </c>
      <c r="AH335" s="86">
        <f>AVERAGEIFS($I$2:I335, $B$2:B335, B335)</f>
        <v>0.43333333333333335</v>
      </c>
      <c r="AI335" s="86">
        <f>AVERAGEIFS($J$2:J335, $B$2:B335, B335)</f>
        <v>0.45249999999999996</v>
      </c>
      <c r="AJ335" s="86">
        <f>AVERAGEIFS($D$2:D335, $B$2:B335, B335)</f>
        <v>0.5</v>
      </c>
    </row>
    <row r="336" spans="1:36" x14ac:dyDescent="0.25">
      <c r="A336" s="85">
        <v>46086</v>
      </c>
      <c r="B336" t="s">
        <v>14</v>
      </c>
      <c r="C336">
        <v>14</v>
      </c>
      <c r="D336">
        <v>0</v>
      </c>
      <c r="E336">
        <v>4</v>
      </c>
      <c r="F336">
        <v>1</v>
      </c>
      <c r="G336">
        <v>15</v>
      </c>
      <c r="H336">
        <v>6</v>
      </c>
      <c r="I336">
        <v>0.25</v>
      </c>
      <c r="J336">
        <v>0.4</v>
      </c>
      <c r="K336">
        <v>0</v>
      </c>
      <c r="L336">
        <v>1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 s="86">
        <f>AVERAGEIFS($C$2:C336, $B$2:B336, B336)</f>
        <v>16.666666666666668</v>
      </c>
      <c r="AH336" s="86">
        <f>AVERAGEIFS($I$2:I336, $B$2:B336, B336)</f>
        <v>0.46833333333333332</v>
      </c>
      <c r="AI336" s="86">
        <f>AVERAGEIFS($J$2:J336, $B$2:B336, B336)</f>
        <v>0.49750000000000005</v>
      </c>
      <c r="AJ336" s="86">
        <f>AVERAGEIFS($D$2:D336, $B$2:B336, B336)</f>
        <v>0.5</v>
      </c>
    </row>
    <row r="337" spans="1:36" x14ac:dyDescent="0.25">
      <c r="A337" s="85">
        <v>46086</v>
      </c>
      <c r="B337" t="s">
        <v>115</v>
      </c>
      <c r="C337">
        <v>11</v>
      </c>
      <c r="D337">
        <v>0</v>
      </c>
      <c r="E337">
        <v>4</v>
      </c>
      <c r="F337">
        <v>1</v>
      </c>
      <c r="G337">
        <v>15</v>
      </c>
      <c r="H337">
        <v>6</v>
      </c>
      <c r="I337">
        <v>0.25</v>
      </c>
      <c r="J337">
        <v>0.4</v>
      </c>
      <c r="K337">
        <v>0</v>
      </c>
      <c r="L337">
        <v>1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 s="86">
        <f>AVERAGEIFS($C$2:C337, $B$2:B337, B337)</f>
        <v>13</v>
      </c>
      <c r="AH337" s="86">
        <f>AVERAGEIFS($I$2:I337, $B$2:B337, B337)</f>
        <v>0.35833333333333334</v>
      </c>
      <c r="AI337" s="86">
        <f>AVERAGEIFS($J$2:J337, $B$2:B337, B337)</f>
        <v>0.42499999999999999</v>
      </c>
      <c r="AJ337" s="86">
        <f>AVERAGEIFS($D$2:D337, $B$2:B337, B337)</f>
        <v>0.16666666666666666</v>
      </c>
    </row>
    <row r="338" spans="1:36" x14ac:dyDescent="0.25">
      <c r="A338" s="85">
        <v>46087</v>
      </c>
      <c r="B338" t="s">
        <v>1</v>
      </c>
      <c r="C338">
        <v>50</v>
      </c>
      <c r="D338">
        <v>1</v>
      </c>
      <c r="E338">
        <v>4</v>
      </c>
      <c r="F338">
        <v>3</v>
      </c>
      <c r="G338">
        <v>19</v>
      </c>
      <c r="H338">
        <v>11</v>
      </c>
      <c r="I338">
        <v>0.75</v>
      </c>
      <c r="J338">
        <v>0.57999999999999996</v>
      </c>
      <c r="K338">
        <v>0</v>
      </c>
      <c r="L338">
        <v>1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1</v>
      </c>
      <c r="AE338">
        <v>1</v>
      </c>
      <c r="AF338">
        <v>0</v>
      </c>
      <c r="AG338" s="86">
        <f>AVERAGEIFS($C$2:C338, $B$2:B338, B338)</f>
        <v>29.545454545454547</v>
      </c>
      <c r="AH338" s="86">
        <f>AVERAGEIFS($I$2:I338, $B$2:B338, B338)</f>
        <v>0.38181818181818183</v>
      </c>
      <c r="AI338" s="86">
        <f>AVERAGEIFS($J$2:J338, $B$2:B338, B338)</f>
        <v>0.43454545454545451</v>
      </c>
      <c r="AJ338" s="86">
        <f>AVERAGEIFS($D$2:D338, $B$2:B338, B338)</f>
        <v>0.45454545454545453</v>
      </c>
    </row>
    <row r="339" spans="1:36" x14ac:dyDescent="0.25">
      <c r="A339" s="85">
        <v>46087</v>
      </c>
      <c r="B339" t="s">
        <v>54</v>
      </c>
      <c r="C339">
        <v>23</v>
      </c>
      <c r="D339">
        <v>1</v>
      </c>
      <c r="E339">
        <v>4</v>
      </c>
      <c r="F339">
        <v>3</v>
      </c>
      <c r="G339">
        <v>19</v>
      </c>
      <c r="H339">
        <v>11</v>
      </c>
      <c r="I339">
        <v>0.75</v>
      </c>
      <c r="J339">
        <v>0.57999999999999996</v>
      </c>
      <c r="K339">
        <v>0</v>
      </c>
      <c r="L339">
        <v>1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1</v>
      </c>
      <c r="AE339">
        <v>1</v>
      </c>
      <c r="AF339">
        <v>0</v>
      </c>
      <c r="AG339" s="86">
        <f>AVERAGEIFS($C$2:C339, $B$2:B339, B339)</f>
        <v>24.869565217391305</v>
      </c>
      <c r="AH339" s="86">
        <f>AVERAGEIFS($I$2:I339, $B$2:B339, B339)</f>
        <v>0.4986956521739131</v>
      </c>
      <c r="AI339" s="86">
        <f>AVERAGEIFS($J$2:J339, $B$2:B339, B339)</f>
        <v>0.47739130434782612</v>
      </c>
      <c r="AJ339" s="86">
        <f>AVERAGEIFS($D$2:D339, $B$2:B339, B339)</f>
        <v>0.47826086956521741</v>
      </c>
    </row>
    <row r="340" spans="1:36" x14ac:dyDescent="0.25">
      <c r="A340" s="85">
        <v>46087</v>
      </c>
      <c r="B340" t="s">
        <v>71</v>
      </c>
      <c r="C340">
        <v>18</v>
      </c>
      <c r="D340">
        <v>1</v>
      </c>
      <c r="E340">
        <v>4</v>
      </c>
      <c r="F340">
        <v>3</v>
      </c>
      <c r="G340">
        <v>19</v>
      </c>
      <c r="H340">
        <v>11</v>
      </c>
      <c r="I340">
        <v>0.75</v>
      </c>
      <c r="J340">
        <v>0.57999999999999996</v>
      </c>
      <c r="K340">
        <v>0</v>
      </c>
      <c r="L340">
        <v>1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1</v>
      </c>
      <c r="AE340">
        <v>1</v>
      </c>
      <c r="AF340">
        <v>0</v>
      </c>
      <c r="AG340" s="86">
        <f>AVERAGEIFS($C$2:C340, $B$2:B340, B340)</f>
        <v>12.333333333333334</v>
      </c>
      <c r="AH340" s="86">
        <f>AVERAGEIFS($I$2:I340, $B$2:B340, B340)</f>
        <v>0.53333333333333333</v>
      </c>
      <c r="AI340" s="86">
        <f>AVERAGEIFS($J$2:J340, $B$2:B340, B340)</f>
        <v>0.47333333333333333</v>
      </c>
      <c r="AJ340" s="86">
        <f>AVERAGEIFS($D$2:D340, $B$2:B340, B340)</f>
        <v>0.66666666666666663</v>
      </c>
    </row>
    <row r="341" spans="1:36" x14ac:dyDescent="0.25">
      <c r="A341" s="85">
        <v>46087</v>
      </c>
      <c r="B341" t="s">
        <v>46</v>
      </c>
      <c r="C341">
        <v>18</v>
      </c>
      <c r="D341">
        <v>1</v>
      </c>
      <c r="E341">
        <v>4</v>
      </c>
      <c r="F341">
        <v>3</v>
      </c>
      <c r="G341">
        <v>19</v>
      </c>
      <c r="H341">
        <v>11</v>
      </c>
      <c r="I341">
        <v>0.75</v>
      </c>
      <c r="J341">
        <v>0.57999999999999996</v>
      </c>
      <c r="K341">
        <v>0</v>
      </c>
      <c r="L341">
        <v>1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1</v>
      </c>
      <c r="AE341">
        <v>1</v>
      </c>
      <c r="AF341">
        <v>0</v>
      </c>
      <c r="AG341" s="86">
        <f>AVERAGEIFS($C$2:C341, $B$2:B341, B341)</f>
        <v>19.857142857142858</v>
      </c>
      <c r="AH341" s="86">
        <f>AVERAGEIFS($I$2:I341, $B$2:B341, B341)</f>
        <v>0.49285714285714283</v>
      </c>
      <c r="AI341" s="86">
        <f>AVERAGEIFS($J$2:J341, $B$2:B341, B341)</f>
        <v>0.49857142857142855</v>
      </c>
      <c r="AJ341" s="86">
        <f>AVERAGEIFS($D$2:D341, $B$2:B341, B341)</f>
        <v>0.42857142857142855</v>
      </c>
    </row>
    <row r="342" spans="1:36" x14ac:dyDescent="0.25">
      <c r="A342" s="85">
        <v>46087</v>
      </c>
      <c r="B342" t="s">
        <v>50</v>
      </c>
      <c r="C342">
        <v>18</v>
      </c>
      <c r="D342">
        <v>1</v>
      </c>
      <c r="E342">
        <v>4</v>
      </c>
      <c r="F342">
        <v>3</v>
      </c>
      <c r="G342">
        <v>19</v>
      </c>
      <c r="H342">
        <v>11</v>
      </c>
      <c r="I342">
        <v>0.75</v>
      </c>
      <c r="J342">
        <v>0.57999999999999996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1</v>
      </c>
      <c r="AE342">
        <v>1</v>
      </c>
      <c r="AF342">
        <v>0</v>
      </c>
      <c r="AG342" s="86">
        <f>AVERAGEIFS($C$2:C342, $B$2:B342, B342)</f>
        <v>19.608695652173914</v>
      </c>
      <c r="AH342" s="86">
        <f>AVERAGEIFS($I$2:I342, $B$2:B342, B342)</f>
        <v>0.5447826086956522</v>
      </c>
      <c r="AI342" s="86">
        <f>AVERAGEIFS($J$2:J342, $B$2:B342, B342)</f>
        <v>0.53695652173913033</v>
      </c>
      <c r="AJ342" s="86">
        <f>AVERAGEIFS($D$2:D342, $B$2:B342, B342)</f>
        <v>0.56521739130434778</v>
      </c>
    </row>
    <row r="343" spans="1:36" x14ac:dyDescent="0.25">
      <c r="A343" s="85">
        <v>46087</v>
      </c>
      <c r="B343" t="s">
        <v>44</v>
      </c>
      <c r="C343">
        <v>15</v>
      </c>
      <c r="D343">
        <v>1</v>
      </c>
      <c r="E343">
        <v>4</v>
      </c>
      <c r="F343">
        <v>3</v>
      </c>
      <c r="G343">
        <v>19</v>
      </c>
      <c r="H343">
        <v>11</v>
      </c>
      <c r="I343">
        <v>0.75</v>
      </c>
      <c r="J343">
        <v>0.57999999999999996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1</v>
      </c>
      <c r="AE343">
        <v>1</v>
      </c>
      <c r="AF343">
        <v>0</v>
      </c>
      <c r="AG343" s="86">
        <f>AVERAGEIFS($C$2:C343, $B$2:B343, B343)</f>
        <v>17.555555555555557</v>
      </c>
      <c r="AH343" s="86">
        <f>AVERAGEIFS($I$2:I343, $B$2:B343, B343)</f>
        <v>0.56666666666666665</v>
      </c>
      <c r="AI343" s="86">
        <f>AVERAGEIFS($J$2:J343, $B$2:B343, B343)</f>
        <v>0.56222222222222229</v>
      </c>
      <c r="AJ343" s="86">
        <f>AVERAGEIFS($D$2:D343, $B$2:B343, B343)</f>
        <v>0.66666666666666663</v>
      </c>
    </row>
    <row r="344" spans="1:36" x14ac:dyDescent="0.25">
      <c r="A344" s="85">
        <v>46087</v>
      </c>
      <c r="B344" t="s">
        <v>2</v>
      </c>
      <c r="C344">
        <v>28</v>
      </c>
      <c r="D344">
        <v>0</v>
      </c>
      <c r="E344">
        <v>4</v>
      </c>
      <c r="F344">
        <v>1</v>
      </c>
      <c r="G344">
        <v>19</v>
      </c>
      <c r="H344">
        <v>8</v>
      </c>
      <c r="I344">
        <v>0.25</v>
      </c>
      <c r="J344">
        <v>0.42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1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 s="86">
        <f>AVERAGEIFS($C$2:C344, $B$2:B344, B344)</f>
        <v>24.388888888888889</v>
      </c>
      <c r="AH344" s="86">
        <f>AVERAGEIFS($I$2:I344, $B$2:B344, B344)</f>
        <v>0.48500000000000004</v>
      </c>
      <c r="AI344" s="86">
        <f>AVERAGEIFS($J$2:J344, $B$2:B344, B344)</f>
        <v>0.51444444444444437</v>
      </c>
      <c r="AJ344" s="86">
        <f>AVERAGEIFS($D$2:D344, $B$2:B344, B344)</f>
        <v>0.44444444444444442</v>
      </c>
    </row>
    <row r="345" spans="1:36" x14ac:dyDescent="0.25">
      <c r="A345" s="85">
        <v>46087</v>
      </c>
      <c r="B345" t="s">
        <v>40</v>
      </c>
      <c r="C345">
        <v>25</v>
      </c>
      <c r="D345">
        <v>0</v>
      </c>
      <c r="E345">
        <v>4</v>
      </c>
      <c r="F345">
        <v>1</v>
      </c>
      <c r="G345">
        <v>19</v>
      </c>
      <c r="H345">
        <v>8</v>
      </c>
      <c r="I345">
        <v>0.25</v>
      </c>
      <c r="J345">
        <v>0.42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 s="86">
        <f>AVERAGEIFS($C$2:C345, $B$2:B345, B345)</f>
        <v>17.684210526315791</v>
      </c>
      <c r="AH345" s="86">
        <f>AVERAGEIFS($I$2:I345, $B$2:B345, B345)</f>
        <v>0.44210526315789483</v>
      </c>
      <c r="AI345" s="86">
        <f>AVERAGEIFS($J$2:J345, $B$2:B345, B345)</f>
        <v>0.46315789473684205</v>
      </c>
      <c r="AJ345" s="86">
        <f>AVERAGEIFS($D$2:D345, $B$2:B345, B345)</f>
        <v>0.42105263157894735</v>
      </c>
    </row>
    <row r="346" spans="1:36" x14ac:dyDescent="0.25">
      <c r="A346" s="85">
        <v>46087</v>
      </c>
      <c r="B346" t="s">
        <v>6</v>
      </c>
      <c r="C346">
        <v>22</v>
      </c>
      <c r="D346">
        <v>0</v>
      </c>
      <c r="E346">
        <v>4</v>
      </c>
      <c r="F346">
        <v>1</v>
      </c>
      <c r="G346">
        <v>19</v>
      </c>
      <c r="H346">
        <v>8</v>
      </c>
      <c r="I346">
        <v>0.25</v>
      </c>
      <c r="J346">
        <v>0.42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 s="86">
        <f>AVERAGEIFS($C$2:C346, $B$2:B346, B346)</f>
        <v>22.875</v>
      </c>
      <c r="AH346" s="86">
        <f>AVERAGEIFS($I$2:I346, $B$2:B346, B346)</f>
        <v>0.65125</v>
      </c>
      <c r="AI346" s="86">
        <f>AVERAGEIFS($J$2:J346, $B$2:B346, B346)</f>
        <v>0.58041666666666658</v>
      </c>
      <c r="AJ346" s="86">
        <f>AVERAGEIFS($D$2:D346, $B$2:B346, B346)</f>
        <v>0.75</v>
      </c>
    </row>
    <row r="347" spans="1:36" x14ac:dyDescent="0.25">
      <c r="A347" s="85">
        <v>46087</v>
      </c>
      <c r="B347" t="s">
        <v>42</v>
      </c>
      <c r="C347">
        <v>21</v>
      </c>
      <c r="D347">
        <v>0</v>
      </c>
      <c r="E347">
        <v>4</v>
      </c>
      <c r="F347">
        <v>1</v>
      </c>
      <c r="G347">
        <v>19</v>
      </c>
      <c r="H347">
        <v>8</v>
      </c>
      <c r="I347">
        <v>0.25</v>
      </c>
      <c r="J347">
        <v>0.42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1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 s="86">
        <f>AVERAGEIFS($C$2:C347, $B$2:B347, B347)</f>
        <v>16.46153846153846</v>
      </c>
      <c r="AH347" s="86">
        <f>AVERAGEIFS($I$2:I347, $B$2:B347, B347)</f>
        <v>0.41923076923076924</v>
      </c>
      <c r="AI347" s="86">
        <f>AVERAGEIFS($J$2:J347, $B$2:B347, B347)</f>
        <v>0.44999999999999996</v>
      </c>
      <c r="AJ347" s="86">
        <f>AVERAGEIFS($D$2:D347, $B$2:B347, B347)</f>
        <v>0.46153846153846156</v>
      </c>
    </row>
    <row r="348" spans="1:36" x14ac:dyDescent="0.25">
      <c r="A348" s="85">
        <v>46087</v>
      </c>
      <c r="B348" t="s">
        <v>28</v>
      </c>
      <c r="C348">
        <v>16</v>
      </c>
      <c r="D348">
        <v>0</v>
      </c>
      <c r="E348">
        <v>4</v>
      </c>
      <c r="F348">
        <v>1</v>
      </c>
      <c r="G348">
        <v>19</v>
      </c>
      <c r="H348">
        <v>8</v>
      </c>
      <c r="I348">
        <v>0.25</v>
      </c>
      <c r="J348">
        <v>0.42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1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 s="86">
        <f>AVERAGEIFS($C$2:C348, $B$2:B348, B348)</f>
        <v>16.428571428571427</v>
      </c>
      <c r="AH348" s="86">
        <f>AVERAGEIFS($I$2:I348, $B$2:B348, B348)</f>
        <v>0.42357142857142854</v>
      </c>
      <c r="AI348" s="86">
        <f>AVERAGEIFS($J$2:J348, $B$2:B348, B348)</f>
        <v>0.47714285714285704</v>
      </c>
      <c r="AJ348" s="86">
        <f>AVERAGEIFS($D$2:D348, $B$2:B348, B348)</f>
        <v>0.35714285714285715</v>
      </c>
    </row>
    <row r="349" spans="1:36" x14ac:dyDescent="0.25">
      <c r="A349" s="85">
        <v>46087</v>
      </c>
      <c r="B349" t="s">
        <v>52</v>
      </c>
      <c r="C349">
        <v>11</v>
      </c>
      <c r="D349">
        <v>0</v>
      </c>
      <c r="E349">
        <v>4</v>
      </c>
      <c r="F349">
        <v>1</v>
      </c>
      <c r="G349">
        <v>19</v>
      </c>
      <c r="H349">
        <v>8</v>
      </c>
      <c r="I349">
        <v>0.25</v>
      </c>
      <c r="J349">
        <v>0.42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1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 s="86">
        <f>AVERAGEIFS($C$2:C349, $B$2:B349, B349)</f>
        <v>13.5</v>
      </c>
      <c r="AH349" s="86">
        <f>AVERAGEIFS($I$2:I349, $B$2:B349, B349)</f>
        <v>0.39374999999999999</v>
      </c>
      <c r="AI349" s="86">
        <f>AVERAGEIFS($J$2:J349, $B$2:B349, B349)</f>
        <v>0.42875000000000002</v>
      </c>
      <c r="AJ349" s="86">
        <f>AVERAGEIFS($D$2:D349, $B$2:B349, B349)</f>
        <v>0.25</v>
      </c>
    </row>
    <row r="350" spans="1:36" x14ac:dyDescent="0.25">
      <c r="A350" s="85">
        <v>46088</v>
      </c>
      <c r="B350" t="s">
        <v>6</v>
      </c>
      <c r="C350">
        <v>26</v>
      </c>
      <c r="D350">
        <v>1</v>
      </c>
      <c r="E350">
        <v>4</v>
      </c>
      <c r="F350">
        <v>3</v>
      </c>
      <c r="G350">
        <v>15</v>
      </c>
      <c r="H350">
        <v>11</v>
      </c>
      <c r="I350">
        <v>0.75</v>
      </c>
      <c r="J350">
        <v>0.73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1</v>
      </c>
      <c r="X350">
        <v>1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1</v>
      </c>
      <c r="AG350" s="86">
        <f>AVERAGEIFS($C$2:C350, $B$2:B350, B350)</f>
        <v>23</v>
      </c>
      <c r="AH350" s="86">
        <f>AVERAGEIFS($I$2:I350, $B$2:B350, B350)</f>
        <v>0.6552</v>
      </c>
      <c r="AI350" s="86">
        <f>AVERAGEIFS($J$2:J350, $B$2:B350, B350)</f>
        <v>0.58639999999999992</v>
      </c>
      <c r="AJ350" s="86">
        <f>AVERAGEIFS($D$2:D350, $B$2:B350, B350)</f>
        <v>0.76</v>
      </c>
    </row>
    <row r="351" spans="1:36" x14ac:dyDescent="0.25">
      <c r="A351" s="85">
        <v>46088</v>
      </c>
      <c r="B351" t="s">
        <v>40</v>
      </c>
      <c r="C351">
        <v>21</v>
      </c>
      <c r="D351">
        <v>1</v>
      </c>
      <c r="E351">
        <v>4</v>
      </c>
      <c r="F351">
        <v>3</v>
      </c>
      <c r="G351">
        <v>15</v>
      </c>
      <c r="H351">
        <v>11</v>
      </c>
      <c r="I351">
        <v>0.75</v>
      </c>
      <c r="J351">
        <v>0.73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1</v>
      </c>
      <c r="X351">
        <v>1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1</v>
      </c>
      <c r="AG351" s="86">
        <f>AVERAGEIFS($C$2:C351, $B$2:B351, B351)</f>
        <v>17.850000000000001</v>
      </c>
      <c r="AH351" s="86">
        <f>AVERAGEIFS($I$2:I351, $B$2:B351, B351)</f>
        <v>0.45750000000000013</v>
      </c>
      <c r="AI351" s="86">
        <f>AVERAGEIFS($J$2:J351, $B$2:B351, B351)</f>
        <v>0.47649999999999998</v>
      </c>
      <c r="AJ351" s="86">
        <f>AVERAGEIFS($D$2:D351, $B$2:B351, B351)</f>
        <v>0.45</v>
      </c>
    </row>
    <row r="352" spans="1:36" x14ac:dyDescent="0.25">
      <c r="A352" s="85">
        <v>46088</v>
      </c>
      <c r="B352" t="s">
        <v>5</v>
      </c>
      <c r="C352">
        <v>17</v>
      </c>
      <c r="D352">
        <v>1</v>
      </c>
      <c r="E352">
        <v>4</v>
      </c>
      <c r="F352">
        <v>3</v>
      </c>
      <c r="G352">
        <v>15</v>
      </c>
      <c r="H352">
        <v>11</v>
      </c>
      <c r="I352">
        <v>0.75</v>
      </c>
      <c r="J352">
        <v>0.73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1</v>
      </c>
      <c r="X352">
        <v>1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1</v>
      </c>
      <c r="AG352" s="86">
        <f>AVERAGEIFS($C$2:C352, $B$2:B352, B352)</f>
        <v>20.625</v>
      </c>
      <c r="AH352" s="86">
        <f>AVERAGEIFS($I$2:I352, $B$2:B352, B352)</f>
        <v>0.59624999999999995</v>
      </c>
      <c r="AI352" s="86">
        <f>AVERAGEIFS($J$2:J352, $B$2:B352, B352)</f>
        <v>0.54250000000000009</v>
      </c>
      <c r="AJ352" s="86">
        <f>AVERAGEIFS($D$2:D352, $B$2:B352, B352)</f>
        <v>0.75</v>
      </c>
    </row>
    <row r="353" spans="1:36" x14ac:dyDescent="0.25">
      <c r="A353" s="85">
        <v>46088</v>
      </c>
      <c r="B353" t="s">
        <v>44</v>
      </c>
      <c r="C353">
        <v>17</v>
      </c>
      <c r="D353">
        <v>1</v>
      </c>
      <c r="E353">
        <v>4</v>
      </c>
      <c r="F353">
        <v>3</v>
      </c>
      <c r="G353">
        <v>15</v>
      </c>
      <c r="H353">
        <v>11</v>
      </c>
      <c r="I353">
        <v>0.75</v>
      </c>
      <c r="J353">
        <v>0.73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1</v>
      </c>
      <c r="X353">
        <v>1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1</v>
      </c>
      <c r="AG353" s="86">
        <f>AVERAGEIFS($C$2:C353, $B$2:B353, B353)</f>
        <v>17.5</v>
      </c>
      <c r="AH353" s="86">
        <f>AVERAGEIFS($I$2:I353, $B$2:B353, B353)</f>
        <v>0.58499999999999996</v>
      </c>
      <c r="AI353" s="86">
        <f>AVERAGEIFS($J$2:J353, $B$2:B353, B353)</f>
        <v>0.57900000000000007</v>
      </c>
      <c r="AJ353" s="86">
        <f>AVERAGEIFS($D$2:D353, $B$2:B353, B353)</f>
        <v>0.7</v>
      </c>
    </row>
    <row r="354" spans="1:36" x14ac:dyDescent="0.25">
      <c r="A354" s="85">
        <v>46088</v>
      </c>
      <c r="B354" t="s">
        <v>115</v>
      </c>
      <c r="C354">
        <v>10</v>
      </c>
      <c r="D354">
        <v>1</v>
      </c>
      <c r="E354">
        <v>4</v>
      </c>
      <c r="F354">
        <v>3</v>
      </c>
      <c r="G354">
        <v>15</v>
      </c>
      <c r="H354">
        <v>11</v>
      </c>
      <c r="I354">
        <v>0.75</v>
      </c>
      <c r="J354">
        <v>0.73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1</v>
      </c>
      <c r="X354">
        <v>1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1</v>
      </c>
      <c r="AG354" s="86">
        <f>AVERAGEIFS($C$2:C354, $B$2:B354, B354)</f>
        <v>12.571428571428571</v>
      </c>
      <c r="AH354" s="86">
        <f>AVERAGEIFS($I$2:I354, $B$2:B354, B354)</f>
        <v>0.41428571428571426</v>
      </c>
      <c r="AI354" s="86">
        <f>AVERAGEIFS($J$2:J354, $B$2:B354, B354)</f>
        <v>0.46857142857142853</v>
      </c>
      <c r="AJ354" s="86">
        <f>AVERAGEIFS($D$2:D354, $B$2:B354, B354)</f>
        <v>0.2857142857142857</v>
      </c>
    </row>
    <row r="355" spans="1:36" x14ac:dyDescent="0.25">
      <c r="A355" s="85">
        <v>46088</v>
      </c>
      <c r="B355" t="s">
        <v>42</v>
      </c>
      <c r="C355">
        <v>19</v>
      </c>
      <c r="D355">
        <v>0</v>
      </c>
      <c r="E355">
        <v>4</v>
      </c>
      <c r="F355">
        <v>1</v>
      </c>
      <c r="G355">
        <v>15</v>
      </c>
      <c r="H355">
        <v>4</v>
      </c>
      <c r="I355">
        <v>0.25</v>
      </c>
      <c r="J355">
        <v>0.27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 s="86">
        <f>AVERAGEIFS($C$2:C355, $B$2:B355, B355)</f>
        <v>16.642857142857142</v>
      </c>
      <c r="AH355" s="86">
        <f>AVERAGEIFS($I$2:I355, $B$2:B355, B355)</f>
        <v>0.40714285714285714</v>
      </c>
      <c r="AI355" s="86">
        <f>AVERAGEIFS($J$2:J355, $B$2:B355, B355)</f>
        <v>0.43714285714285711</v>
      </c>
      <c r="AJ355" s="86">
        <f>AVERAGEIFS($D$2:D355, $B$2:B355, B355)</f>
        <v>0.42857142857142855</v>
      </c>
    </row>
    <row r="356" spans="1:36" x14ac:dyDescent="0.25">
      <c r="A356" s="85">
        <v>46088</v>
      </c>
      <c r="B356" t="s">
        <v>46</v>
      </c>
      <c r="C356">
        <v>19</v>
      </c>
      <c r="D356">
        <v>0</v>
      </c>
      <c r="E356">
        <v>4</v>
      </c>
      <c r="F356">
        <v>1</v>
      </c>
      <c r="G356">
        <v>15</v>
      </c>
      <c r="H356">
        <v>4</v>
      </c>
      <c r="I356">
        <v>0.25</v>
      </c>
      <c r="J356">
        <v>0.27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 s="86">
        <f>AVERAGEIFS($C$2:C356, $B$2:B356, B356)</f>
        <v>19.8</v>
      </c>
      <c r="AH356" s="86">
        <f>AVERAGEIFS($I$2:I356, $B$2:B356, B356)</f>
        <v>0.47666666666666663</v>
      </c>
      <c r="AI356" s="86">
        <f>AVERAGEIFS($J$2:J356, $B$2:B356, B356)</f>
        <v>0.48333333333333334</v>
      </c>
      <c r="AJ356" s="86">
        <f>AVERAGEIFS($D$2:D356, $B$2:B356, B356)</f>
        <v>0.4</v>
      </c>
    </row>
    <row r="357" spans="1:36" x14ac:dyDescent="0.25">
      <c r="A357" s="85">
        <v>46088</v>
      </c>
      <c r="B357" t="s">
        <v>54</v>
      </c>
      <c r="C357">
        <v>14</v>
      </c>
      <c r="D357">
        <v>0</v>
      </c>
      <c r="E357">
        <v>4</v>
      </c>
      <c r="F357">
        <v>1</v>
      </c>
      <c r="G357">
        <v>15</v>
      </c>
      <c r="H357">
        <v>4</v>
      </c>
      <c r="I357">
        <v>0.25</v>
      </c>
      <c r="J357">
        <v>0.27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 s="86">
        <f>AVERAGEIFS($C$2:C357, $B$2:B357, B357)</f>
        <v>24.416666666666668</v>
      </c>
      <c r="AH357" s="86">
        <f>AVERAGEIFS($I$2:I357, $B$2:B357, B357)</f>
        <v>0.48833333333333334</v>
      </c>
      <c r="AI357" s="86">
        <f>AVERAGEIFS($J$2:J357, $B$2:B357, B357)</f>
        <v>0.46875</v>
      </c>
      <c r="AJ357" s="86">
        <f>AVERAGEIFS($D$2:D357, $B$2:B357, B357)</f>
        <v>0.45833333333333331</v>
      </c>
    </row>
    <row r="358" spans="1:36" x14ac:dyDescent="0.25">
      <c r="A358" s="85">
        <v>46088</v>
      </c>
      <c r="B358" t="s">
        <v>35</v>
      </c>
      <c r="C358">
        <v>10</v>
      </c>
      <c r="D358">
        <v>0</v>
      </c>
      <c r="E358">
        <v>4</v>
      </c>
      <c r="F358">
        <v>1</v>
      </c>
      <c r="G358">
        <v>15</v>
      </c>
      <c r="H358">
        <v>4</v>
      </c>
      <c r="I358">
        <v>0.25</v>
      </c>
      <c r="J358">
        <v>0.27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 s="86">
        <f>AVERAGEIFS($C$2:C358, $B$2:B358, B358)</f>
        <v>11.571428571428571</v>
      </c>
      <c r="AH358" s="86">
        <f>AVERAGEIFS($I$2:I358, $B$2:B358, B358)</f>
        <v>0.41809523809523813</v>
      </c>
      <c r="AI358" s="86">
        <f>AVERAGEIFS($J$2:J358, $B$2:B358, B358)</f>
        <v>0.46571428571428575</v>
      </c>
      <c r="AJ358" s="86">
        <f>AVERAGEIFS($D$2:D358, $B$2:B358, B358)</f>
        <v>0.33333333333333331</v>
      </c>
    </row>
    <row r="359" spans="1:36" x14ac:dyDescent="0.25">
      <c r="A359" s="85">
        <v>46088</v>
      </c>
      <c r="B359" t="s">
        <v>103</v>
      </c>
      <c r="C359">
        <v>8</v>
      </c>
      <c r="D359">
        <v>0</v>
      </c>
      <c r="E359">
        <v>4</v>
      </c>
      <c r="F359">
        <v>1</v>
      </c>
      <c r="G359">
        <v>15</v>
      </c>
      <c r="H359">
        <v>4</v>
      </c>
      <c r="I359">
        <v>0.25</v>
      </c>
      <c r="J359">
        <v>0.27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 s="86">
        <f>AVERAGEIFS($C$2:C359, $B$2:B359, B359)</f>
        <v>8.5</v>
      </c>
      <c r="AH359" s="86">
        <f>AVERAGEIFS($I$2:I359, $B$2:B359, B359)</f>
        <v>0.32500000000000001</v>
      </c>
      <c r="AI359" s="86">
        <f>AVERAGEIFS($J$2:J359, $B$2:B359, B359)</f>
        <v>0.38500000000000001</v>
      </c>
      <c r="AJ359" s="86">
        <f>AVERAGEIFS($D$2:D359, $B$2:B359, B359)</f>
        <v>0</v>
      </c>
    </row>
    <row r="360" spans="1:36" x14ac:dyDescent="0.25">
      <c r="A360" s="85">
        <v>46089</v>
      </c>
      <c r="B360" t="s">
        <v>54</v>
      </c>
      <c r="C360">
        <v>35</v>
      </c>
      <c r="D360">
        <v>1</v>
      </c>
      <c r="E360">
        <v>4</v>
      </c>
      <c r="F360">
        <v>3</v>
      </c>
      <c r="G360">
        <v>17</v>
      </c>
      <c r="H360">
        <v>10</v>
      </c>
      <c r="I360">
        <v>0.75</v>
      </c>
      <c r="J360">
        <v>0.59</v>
      </c>
      <c r="K360">
        <v>1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1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1</v>
      </c>
      <c r="AE360">
        <v>0</v>
      </c>
      <c r="AF360">
        <v>0</v>
      </c>
      <c r="AG360" s="86">
        <f>AVERAGEIFS($C$2:C360, $B$2:B360, B360)</f>
        <v>24.84</v>
      </c>
      <c r="AH360" s="86">
        <f>AVERAGEIFS($I$2:I360, $B$2:B360, B360)</f>
        <v>0.49880000000000002</v>
      </c>
      <c r="AI360" s="86">
        <f>AVERAGEIFS($J$2:J360, $B$2:B360, B360)</f>
        <v>0.47360000000000002</v>
      </c>
      <c r="AJ360" s="86">
        <f>AVERAGEIFS($D$2:D360, $B$2:B360, B360)</f>
        <v>0.48</v>
      </c>
    </row>
    <row r="361" spans="1:36" x14ac:dyDescent="0.25">
      <c r="A361" s="85">
        <v>46089</v>
      </c>
      <c r="B361" t="s">
        <v>44</v>
      </c>
      <c r="C361">
        <v>27</v>
      </c>
      <c r="D361">
        <v>1</v>
      </c>
      <c r="E361">
        <v>4</v>
      </c>
      <c r="F361">
        <v>3</v>
      </c>
      <c r="G361">
        <v>17</v>
      </c>
      <c r="H361">
        <v>10</v>
      </c>
      <c r="I361">
        <v>0.75</v>
      </c>
      <c r="J361">
        <v>0.59</v>
      </c>
      <c r="K361">
        <v>1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1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1</v>
      </c>
      <c r="AE361">
        <v>0</v>
      </c>
      <c r="AF361">
        <v>0</v>
      </c>
      <c r="AG361" s="86">
        <f>AVERAGEIFS($C$2:C361, $B$2:B361, B361)</f>
        <v>18.363636363636363</v>
      </c>
      <c r="AH361" s="86">
        <f>AVERAGEIFS($I$2:I361, $B$2:B361, B361)</f>
        <v>0.6</v>
      </c>
      <c r="AI361" s="86">
        <f>AVERAGEIFS($J$2:J361, $B$2:B361, B361)</f>
        <v>0.58000000000000007</v>
      </c>
      <c r="AJ361" s="86">
        <f>AVERAGEIFS($D$2:D361, $B$2:B361, B361)</f>
        <v>0.72727272727272729</v>
      </c>
    </row>
    <row r="362" spans="1:36" x14ac:dyDescent="0.25">
      <c r="A362" s="85">
        <v>46089</v>
      </c>
      <c r="B362" t="s">
        <v>6</v>
      </c>
      <c r="C362">
        <v>26</v>
      </c>
      <c r="D362">
        <v>1</v>
      </c>
      <c r="E362">
        <v>4</v>
      </c>
      <c r="F362">
        <v>3</v>
      </c>
      <c r="G362">
        <v>17</v>
      </c>
      <c r="H362">
        <v>10</v>
      </c>
      <c r="I362">
        <v>0.75</v>
      </c>
      <c r="J362">
        <v>0.59</v>
      </c>
      <c r="K362">
        <v>1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1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1</v>
      </c>
      <c r="AE362">
        <v>0</v>
      </c>
      <c r="AF362">
        <v>0</v>
      </c>
      <c r="AG362" s="86">
        <f>AVERAGEIFS($C$2:C362, $B$2:B362, B362)</f>
        <v>23.115384615384617</v>
      </c>
      <c r="AH362" s="86">
        <f>AVERAGEIFS($I$2:I362, $B$2:B362, B362)</f>
        <v>0.65884615384615386</v>
      </c>
      <c r="AI362" s="86">
        <f>AVERAGEIFS($J$2:J362, $B$2:B362, B362)</f>
        <v>0.58653846153846145</v>
      </c>
      <c r="AJ362" s="86">
        <f>AVERAGEIFS($D$2:D362, $B$2:B362, B362)</f>
        <v>0.76923076923076927</v>
      </c>
    </row>
    <row r="363" spans="1:36" x14ac:dyDescent="0.25">
      <c r="A363" s="85">
        <v>46089</v>
      </c>
      <c r="B363" t="s">
        <v>5</v>
      </c>
      <c r="C363">
        <v>23</v>
      </c>
      <c r="D363">
        <v>1</v>
      </c>
      <c r="E363">
        <v>4</v>
      </c>
      <c r="F363">
        <v>3</v>
      </c>
      <c r="G363">
        <v>17</v>
      </c>
      <c r="H363">
        <v>10</v>
      </c>
      <c r="I363">
        <v>0.75</v>
      </c>
      <c r="J363">
        <v>0.59</v>
      </c>
      <c r="K363">
        <v>1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1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1</v>
      </c>
      <c r="AE363">
        <v>0</v>
      </c>
      <c r="AF363">
        <v>0</v>
      </c>
      <c r="AG363" s="86">
        <f>AVERAGEIFS($C$2:C363, $B$2:B363, B363)</f>
        <v>20.888888888888889</v>
      </c>
      <c r="AH363" s="86">
        <f>AVERAGEIFS($I$2:I363, $B$2:B363, B363)</f>
        <v>0.61333333333333329</v>
      </c>
      <c r="AI363" s="86">
        <f>AVERAGEIFS($J$2:J363, $B$2:B363, B363)</f>
        <v>0.54777777777777781</v>
      </c>
      <c r="AJ363" s="86">
        <f>AVERAGEIFS($D$2:D363, $B$2:B363, B363)</f>
        <v>0.77777777777777779</v>
      </c>
    </row>
    <row r="364" spans="1:36" x14ac:dyDescent="0.25">
      <c r="A364" s="85">
        <v>46089</v>
      </c>
      <c r="B364" t="s">
        <v>115</v>
      </c>
      <c r="C364">
        <v>21</v>
      </c>
      <c r="D364">
        <v>1</v>
      </c>
      <c r="E364">
        <v>4</v>
      </c>
      <c r="F364">
        <v>3</v>
      </c>
      <c r="G364">
        <v>17</v>
      </c>
      <c r="H364">
        <v>10</v>
      </c>
      <c r="I364">
        <v>0.75</v>
      </c>
      <c r="J364">
        <v>0.59</v>
      </c>
      <c r="K364">
        <v>1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1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1</v>
      </c>
      <c r="AE364">
        <v>0</v>
      </c>
      <c r="AF364">
        <v>0</v>
      </c>
      <c r="AG364" s="86">
        <f>AVERAGEIFS($C$2:C364, $B$2:B364, B364)</f>
        <v>13.625</v>
      </c>
      <c r="AH364" s="86">
        <f>AVERAGEIFS($I$2:I364, $B$2:B364, B364)</f>
        <v>0.45624999999999999</v>
      </c>
      <c r="AI364" s="86">
        <f>AVERAGEIFS($J$2:J364, $B$2:B364, B364)</f>
        <v>0.48374999999999996</v>
      </c>
      <c r="AJ364" s="86">
        <f>AVERAGEIFS($D$2:D364, $B$2:B364, B364)</f>
        <v>0.375</v>
      </c>
    </row>
    <row r="365" spans="1:36" x14ac:dyDescent="0.25">
      <c r="A365" s="85">
        <v>46089</v>
      </c>
      <c r="B365" t="s">
        <v>46</v>
      </c>
      <c r="C365">
        <v>20</v>
      </c>
      <c r="D365">
        <v>1</v>
      </c>
      <c r="E365">
        <v>4</v>
      </c>
      <c r="F365">
        <v>3</v>
      </c>
      <c r="G365">
        <v>17</v>
      </c>
      <c r="H365">
        <v>10</v>
      </c>
      <c r="I365">
        <v>0.75</v>
      </c>
      <c r="J365">
        <v>0.59</v>
      </c>
      <c r="K365">
        <v>1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1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1</v>
      </c>
      <c r="AE365">
        <v>0</v>
      </c>
      <c r="AF365">
        <v>0</v>
      </c>
      <c r="AG365" s="86">
        <f>AVERAGEIFS($C$2:C365, $B$2:B365, B365)</f>
        <v>19.8125</v>
      </c>
      <c r="AH365" s="86">
        <f>AVERAGEIFS($I$2:I365, $B$2:B365, B365)</f>
        <v>0.49374999999999997</v>
      </c>
      <c r="AI365" s="86">
        <f>AVERAGEIFS($J$2:J365, $B$2:B365, B365)</f>
        <v>0.49</v>
      </c>
      <c r="AJ365" s="86">
        <f>AVERAGEIFS($D$2:D365, $B$2:B365, B365)</f>
        <v>0.4375</v>
      </c>
    </row>
    <row r="366" spans="1:36" x14ac:dyDescent="0.25">
      <c r="A366" s="85">
        <v>46089</v>
      </c>
      <c r="B366" t="s">
        <v>71</v>
      </c>
      <c r="C366">
        <v>19</v>
      </c>
      <c r="D366">
        <v>1</v>
      </c>
      <c r="E366">
        <v>4</v>
      </c>
      <c r="F366">
        <v>3</v>
      </c>
      <c r="G366">
        <v>17</v>
      </c>
      <c r="H366">
        <v>10</v>
      </c>
      <c r="I366">
        <v>0.75</v>
      </c>
      <c r="J366">
        <v>0.59</v>
      </c>
      <c r="K366">
        <v>1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1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1</v>
      </c>
      <c r="AE366">
        <v>0</v>
      </c>
      <c r="AF366">
        <v>0</v>
      </c>
      <c r="AG366" s="86">
        <f>AVERAGEIFS($C$2:C366, $B$2:B366, B366)</f>
        <v>14</v>
      </c>
      <c r="AH366" s="86">
        <f>AVERAGEIFS($I$2:I366, $B$2:B366, B366)</f>
        <v>0.58750000000000002</v>
      </c>
      <c r="AI366" s="86">
        <f>AVERAGEIFS($J$2:J366, $B$2:B366, B366)</f>
        <v>0.50249999999999995</v>
      </c>
      <c r="AJ366" s="86">
        <f>AVERAGEIFS($D$2:D366, $B$2:B366, B366)</f>
        <v>0.75</v>
      </c>
    </row>
    <row r="367" spans="1:36" x14ac:dyDescent="0.25">
      <c r="A367" s="85">
        <v>46089</v>
      </c>
      <c r="B367" t="s">
        <v>35</v>
      </c>
      <c r="C367">
        <v>16</v>
      </c>
      <c r="D367">
        <v>1</v>
      </c>
      <c r="E367">
        <v>4</v>
      </c>
      <c r="F367">
        <v>3</v>
      </c>
      <c r="G367">
        <v>17</v>
      </c>
      <c r="H367">
        <v>10</v>
      </c>
      <c r="I367">
        <v>0.75</v>
      </c>
      <c r="J367">
        <v>0.59</v>
      </c>
      <c r="K367">
        <v>1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1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1</v>
      </c>
      <c r="AE367">
        <v>0</v>
      </c>
      <c r="AF367">
        <v>0</v>
      </c>
      <c r="AG367" s="86">
        <f>AVERAGEIFS($C$2:C367, $B$2:B367, B367)</f>
        <v>11.772727272727273</v>
      </c>
      <c r="AH367" s="86">
        <f>AVERAGEIFS($I$2:I367, $B$2:B367, B367)</f>
        <v>0.43318181818181822</v>
      </c>
      <c r="AI367" s="86">
        <f>AVERAGEIFS($J$2:J367, $B$2:B367, B367)</f>
        <v>0.47136363636363643</v>
      </c>
      <c r="AJ367" s="86">
        <f>AVERAGEIFS($D$2:D367, $B$2:B367, B367)</f>
        <v>0.36363636363636365</v>
      </c>
    </row>
    <row r="368" spans="1:36" x14ac:dyDescent="0.25">
      <c r="A368" s="85">
        <v>46089</v>
      </c>
      <c r="B368" t="s">
        <v>42</v>
      </c>
      <c r="C368">
        <v>34</v>
      </c>
      <c r="D368">
        <v>0</v>
      </c>
      <c r="E368">
        <v>4</v>
      </c>
      <c r="F368">
        <v>1</v>
      </c>
      <c r="G368">
        <v>17</v>
      </c>
      <c r="H368">
        <v>7</v>
      </c>
      <c r="I368">
        <v>0.25</v>
      </c>
      <c r="J368">
        <v>0.41</v>
      </c>
      <c r="K368">
        <v>0</v>
      </c>
      <c r="L368">
        <v>0</v>
      </c>
      <c r="M368">
        <v>0</v>
      </c>
      <c r="N368">
        <v>1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 s="86">
        <f>AVERAGEIFS($C$2:C368, $B$2:B368, B368)</f>
        <v>17.8</v>
      </c>
      <c r="AH368" s="86">
        <f>AVERAGEIFS($I$2:I368, $B$2:B368, B368)</f>
        <v>0.39666666666666667</v>
      </c>
      <c r="AI368" s="86">
        <f>AVERAGEIFS($J$2:J368, $B$2:B368, B368)</f>
        <v>0.43533333333333329</v>
      </c>
      <c r="AJ368" s="86">
        <f>AVERAGEIFS($D$2:D368, $B$2:B368, B368)</f>
        <v>0.4</v>
      </c>
    </row>
    <row r="369" spans="1:36" x14ac:dyDescent="0.25">
      <c r="A369" s="85">
        <v>46089</v>
      </c>
      <c r="B369" t="s">
        <v>2</v>
      </c>
      <c r="C369">
        <v>29</v>
      </c>
      <c r="D369">
        <v>0</v>
      </c>
      <c r="E369">
        <v>4</v>
      </c>
      <c r="F369">
        <v>1</v>
      </c>
      <c r="G369">
        <v>17</v>
      </c>
      <c r="H369">
        <v>7</v>
      </c>
      <c r="I369">
        <v>0.25</v>
      </c>
      <c r="J369">
        <v>0.41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 s="86">
        <f>AVERAGEIFS($C$2:C369, $B$2:B369, B369)</f>
        <v>24.631578947368421</v>
      </c>
      <c r="AH369" s="86">
        <f>AVERAGEIFS($I$2:I369, $B$2:B369, B369)</f>
        <v>0.47263157894736846</v>
      </c>
      <c r="AI369" s="86">
        <f>AVERAGEIFS($J$2:J369, $B$2:B369, B369)</f>
        <v>0.50894736842105248</v>
      </c>
      <c r="AJ369" s="86">
        <f>AVERAGEIFS($D$2:D369, $B$2:B369, B369)</f>
        <v>0.42105263157894735</v>
      </c>
    </row>
    <row r="370" spans="1:36" x14ac:dyDescent="0.25">
      <c r="A370" s="85">
        <v>46089</v>
      </c>
      <c r="B370" t="s">
        <v>4</v>
      </c>
      <c r="C370">
        <v>25</v>
      </c>
      <c r="D370">
        <v>0</v>
      </c>
      <c r="E370">
        <v>4</v>
      </c>
      <c r="F370">
        <v>1</v>
      </c>
      <c r="G370">
        <v>17</v>
      </c>
      <c r="H370">
        <v>7</v>
      </c>
      <c r="I370">
        <v>0.25</v>
      </c>
      <c r="J370">
        <v>0.41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 s="86">
        <f>AVERAGEIFS($C$2:C370, $B$2:B370, B370)</f>
        <v>25.666666666666668</v>
      </c>
      <c r="AH370" s="86">
        <f>AVERAGEIFS($I$2:I370, $B$2:B370, B370)</f>
        <v>0.39166666666666666</v>
      </c>
      <c r="AI370" s="86">
        <f>AVERAGEIFS($J$2:J370, $B$2:B370, B370)</f>
        <v>0.45083333333333336</v>
      </c>
      <c r="AJ370" s="86">
        <f>AVERAGEIFS($D$2:D370, $B$2:B370, B370)</f>
        <v>0.25</v>
      </c>
    </row>
    <row r="371" spans="1:36" x14ac:dyDescent="0.25">
      <c r="A371" s="85">
        <v>46089</v>
      </c>
      <c r="B371" t="s">
        <v>17</v>
      </c>
      <c r="C371">
        <v>23</v>
      </c>
      <c r="D371">
        <v>0</v>
      </c>
      <c r="E371">
        <v>4</v>
      </c>
      <c r="F371">
        <v>1</v>
      </c>
      <c r="G371">
        <v>17</v>
      </c>
      <c r="H371">
        <v>7</v>
      </c>
      <c r="I371">
        <v>0.25</v>
      </c>
      <c r="J371">
        <v>0.41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 s="86">
        <f>AVERAGEIFS($C$2:C371, $B$2:B371, B371)</f>
        <v>21.157894736842106</v>
      </c>
      <c r="AH371" s="86">
        <f>AVERAGEIFS($I$2:I371, $B$2:B371, B371)</f>
        <v>0.44842105263157894</v>
      </c>
      <c r="AI371" s="86">
        <f>AVERAGEIFS($J$2:J371, $B$2:B371, B371)</f>
        <v>0.45842105263157901</v>
      </c>
      <c r="AJ371" s="86">
        <f>AVERAGEIFS($D$2:D371, $B$2:B371, B371)</f>
        <v>0.36842105263157893</v>
      </c>
    </row>
    <row r="372" spans="1:36" x14ac:dyDescent="0.25">
      <c r="A372" s="85">
        <v>46089</v>
      </c>
      <c r="B372" t="s">
        <v>107</v>
      </c>
      <c r="C372">
        <v>19</v>
      </c>
      <c r="D372">
        <v>0</v>
      </c>
      <c r="E372">
        <v>4</v>
      </c>
      <c r="F372">
        <v>1</v>
      </c>
      <c r="G372">
        <v>17</v>
      </c>
      <c r="H372">
        <v>7</v>
      </c>
      <c r="I372">
        <v>0.25</v>
      </c>
      <c r="J372">
        <v>0.41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 s="86">
        <f>AVERAGEIFS($C$2:C372, $B$2:B372, B372)</f>
        <v>16.5</v>
      </c>
      <c r="AH372" s="86">
        <f>AVERAGEIFS($I$2:I372, $B$2:B372, B372)</f>
        <v>0.53749999999999998</v>
      </c>
      <c r="AI372" s="86">
        <f>AVERAGEIFS($J$2:J372, $B$2:B372, B372)</f>
        <v>0.51624999999999999</v>
      </c>
      <c r="AJ372" s="86">
        <f>AVERAGEIFS($D$2:D372, $B$2:B372, B372)</f>
        <v>0.5</v>
      </c>
    </row>
    <row r="373" spans="1:36" x14ac:dyDescent="0.25">
      <c r="A373" s="85">
        <v>46089</v>
      </c>
      <c r="B373" t="s">
        <v>28</v>
      </c>
      <c r="C373">
        <v>18</v>
      </c>
      <c r="D373">
        <v>0</v>
      </c>
      <c r="E373">
        <v>4</v>
      </c>
      <c r="F373">
        <v>1</v>
      </c>
      <c r="G373">
        <v>17</v>
      </c>
      <c r="H373">
        <v>7</v>
      </c>
      <c r="I373">
        <v>0.25</v>
      </c>
      <c r="J373">
        <v>0.41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 s="86">
        <f>AVERAGEIFS($C$2:C373, $B$2:B373, B373)</f>
        <v>16.533333333333335</v>
      </c>
      <c r="AH373" s="86">
        <f>AVERAGEIFS($I$2:I373, $B$2:B373, B373)</f>
        <v>0.41199999999999998</v>
      </c>
      <c r="AI373" s="86">
        <f>AVERAGEIFS($J$2:J373, $B$2:B373, B373)</f>
        <v>0.47266666666666662</v>
      </c>
      <c r="AJ373" s="86">
        <f>AVERAGEIFS($D$2:D373, $B$2:B373, B373)</f>
        <v>0.33333333333333331</v>
      </c>
    </row>
    <row r="374" spans="1:36" x14ac:dyDescent="0.25">
      <c r="A374" s="85">
        <v>46089</v>
      </c>
      <c r="B374" t="s">
        <v>40</v>
      </c>
      <c r="C374">
        <v>18</v>
      </c>
      <c r="D374">
        <v>0</v>
      </c>
      <c r="E374">
        <v>4</v>
      </c>
      <c r="F374">
        <v>1</v>
      </c>
      <c r="G374">
        <v>17</v>
      </c>
      <c r="H374">
        <v>7</v>
      </c>
      <c r="I374">
        <v>0.25</v>
      </c>
      <c r="J374">
        <v>0.41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 s="86">
        <f>AVERAGEIFS($C$2:C374, $B$2:B374, B374)</f>
        <v>17.857142857142858</v>
      </c>
      <c r="AH374" s="86">
        <f>AVERAGEIFS($I$2:I374, $B$2:B374, B374)</f>
        <v>0.44761904761904769</v>
      </c>
      <c r="AI374" s="86">
        <f>AVERAGEIFS($J$2:J374, $B$2:B374, B374)</f>
        <v>0.47333333333333333</v>
      </c>
      <c r="AJ374" s="86">
        <f>AVERAGEIFS($D$2:D374, $B$2:B374, B374)</f>
        <v>0.42857142857142855</v>
      </c>
    </row>
    <row r="375" spans="1:36" x14ac:dyDescent="0.25">
      <c r="A375" s="85">
        <v>46089</v>
      </c>
      <c r="B375" t="s">
        <v>148</v>
      </c>
      <c r="C375">
        <v>12</v>
      </c>
      <c r="D375">
        <v>0</v>
      </c>
      <c r="E375">
        <v>4</v>
      </c>
      <c r="F375">
        <v>1</v>
      </c>
      <c r="G375">
        <v>17</v>
      </c>
      <c r="H375">
        <v>7</v>
      </c>
      <c r="I375">
        <v>0.25</v>
      </c>
      <c r="J375">
        <v>0.41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 s="86">
        <f>AVERAGEIFS($C$2:C375, $B$2:B375, B375)</f>
        <v>12</v>
      </c>
      <c r="AH375" s="86">
        <f>AVERAGEIFS($I$2:I375, $B$2:B375, B375)</f>
        <v>0.25</v>
      </c>
      <c r="AI375" s="86">
        <f>AVERAGEIFS($J$2:J375, $B$2:B375, B375)</f>
        <v>0.41</v>
      </c>
      <c r="AJ375" s="86">
        <f>AVERAGEIFS($D$2:D375, $B$2:B375, B375)</f>
        <v>0</v>
      </c>
    </row>
    <row r="376" spans="1:36" x14ac:dyDescent="0.25">
      <c r="A376" s="85">
        <v>46090</v>
      </c>
      <c r="B376" t="s">
        <v>35</v>
      </c>
      <c r="C376">
        <v>15</v>
      </c>
      <c r="D376">
        <v>0</v>
      </c>
      <c r="E376">
        <v>5</v>
      </c>
      <c r="F376">
        <v>2</v>
      </c>
      <c r="G376">
        <v>22</v>
      </c>
      <c r="H376">
        <v>10</v>
      </c>
      <c r="I376">
        <v>0.4</v>
      </c>
      <c r="J376">
        <v>0.45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1</v>
      </c>
      <c r="AB376">
        <v>1</v>
      </c>
      <c r="AC376">
        <v>0</v>
      </c>
      <c r="AD376">
        <v>0</v>
      </c>
      <c r="AE376">
        <v>0</v>
      </c>
      <c r="AF376">
        <v>0</v>
      </c>
      <c r="AG376" s="86">
        <f>AVERAGEIFS($C$2:C376, $B$2:B376, B376)</f>
        <v>11.913043478260869</v>
      </c>
      <c r="AH376" s="86">
        <f>AVERAGEIFS($I$2:I376, $B$2:B376, B376)</f>
        <v>0.43173913043478268</v>
      </c>
      <c r="AI376" s="86">
        <f>AVERAGEIFS($J$2:J376, $B$2:B376, B376)</f>
        <v>0.47043478260869565</v>
      </c>
      <c r="AJ376" s="86">
        <f>AVERAGEIFS($D$2:D376, $B$2:B376, B376)</f>
        <v>0.34782608695652173</v>
      </c>
    </row>
    <row r="377" spans="1:36" x14ac:dyDescent="0.25">
      <c r="A377" s="85">
        <v>46090</v>
      </c>
      <c r="B377" t="s">
        <v>54</v>
      </c>
      <c r="C377">
        <v>24</v>
      </c>
      <c r="D377">
        <v>0</v>
      </c>
      <c r="E377">
        <v>5</v>
      </c>
      <c r="F377">
        <v>2</v>
      </c>
      <c r="G377">
        <v>22</v>
      </c>
      <c r="H377">
        <v>10</v>
      </c>
      <c r="I377">
        <v>0.4</v>
      </c>
      <c r="J377">
        <v>0.45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1</v>
      </c>
      <c r="AB377">
        <v>1</v>
      </c>
      <c r="AC377">
        <v>0</v>
      </c>
      <c r="AD377">
        <v>0</v>
      </c>
      <c r="AE377">
        <v>0</v>
      </c>
      <c r="AF377">
        <v>0</v>
      </c>
      <c r="AG377" s="86">
        <f>AVERAGEIFS($C$2:C377, $B$2:B377, B377)</f>
        <v>24.807692307692307</v>
      </c>
      <c r="AH377" s="86">
        <f>AVERAGEIFS($I$2:I377, $B$2:B377, B377)</f>
        <v>0.49500000000000005</v>
      </c>
      <c r="AI377" s="86">
        <f>AVERAGEIFS($J$2:J377, $B$2:B377, B377)</f>
        <v>0.47269230769230763</v>
      </c>
      <c r="AJ377" s="86">
        <f>AVERAGEIFS($D$2:D377, $B$2:B377, B377)</f>
        <v>0.46153846153846156</v>
      </c>
    </row>
    <row r="378" spans="1:36" x14ac:dyDescent="0.25">
      <c r="A378" s="85">
        <v>46090</v>
      </c>
      <c r="B378" t="s">
        <v>5</v>
      </c>
      <c r="C378">
        <v>19</v>
      </c>
      <c r="D378">
        <v>0</v>
      </c>
      <c r="E378">
        <v>5</v>
      </c>
      <c r="F378">
        <v>2</v>
      </c>
      <c r="G378">
        <v>22</v>
      </c>
      <c r="H378">
        <v>10</v>
      </c>
      <c r="I378">
        <v>0.4</v>
      </c>
      <c r="J378">
        <v>0.45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1</v>
      </c>
      <c r="AB378">
        <v>1</v>
      </c>
      <c r="AC378">
        <v>0</v>
      </c>
      <c r="AD378">
        <v>0</v>
      </c>
      <c r="AE378">
        <v>0</v>
      </c>
      <c r="AF378">
        <v>0</v>
      </c>
      <c r="AG378" s="86">
        <f>AVERAGEIFS($C$2:C378, $B$2:B378, B378)</f>
        <v>20.7</v>
      </c>
      <c r="AH378" s="86">
        <f>AVERAGEIFS($I$2:I378, $B$2:B378, B378)</f>
        <v>0.59199999999999997</v>
      </c>
      <c r="AI378" s="86">
        <f>AVERAGEIFS($J$2:J378, $B$2:B378, B378)</f>
        <v>0.53800000000000003</v>
      </c>
      <c r="AJ378" s="86">
        <f>AVERAGEIFS($D$2:D378, $B$2:B378, B378)</f>
        <v>0.7</v>
      </c>
    </row>
    <row r="379" spans="1:36" x14ac:dyDescent="0.25">
      <c r="A379" s="85">
        <v>46090</v>
      </c>
      <c r="B379" t="s">
        <v>46</v>
      </c>
      <c r="C379">
        <v>14</v>
      </c>
      <c r="D379">
        <v>0</v>
      </c>
      <c r="E379">
        <v>5</v>
      </c>
      <c r="F379">
        <v>2</v>
      </c>
      <c r="G379">
        <v>22</v>
      </c>
      <c r="H379">
        <v>10</v>
      </c>
      <c r="I379">
        <v>0.4</v>
      </c>
      <c r="J379">
        <v>0.45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1</v>
      </c>
      <c r="AB379">
        <v>1</v>
      </c>
      <c r="AC379">
        <v>0</v>
      </c>
      <c r="AD379">
        <v>0</v>
      </c>
      <c r="AE379">
        <v>0</v>
      </c>
      <c r="AF379">
        <v>0</v>
      </c>
      <c r="AG379" s="86">
        <f>AVERAGEIFS($C$2:C379, $B$2:B379, B379)</f>
        <v>19.470588235294116</v>
      </c>
      <c r="AH379" s="86">
        <f>AVERAGEIFS($I$2:I379, $B$2:B379, B379)</f>
        <v>0.48823529411764699</v>
      </c>
      <c r="AI379" s="86">
        <f>AVERAGEIFS($J$2:J379, $B$2:B379, B379)</f>
        <v>0.48764705882352938</v>
      </c>
      <c r="AJ379" s="86">
        <f>AVERAGEIFS($D$2:D379, $B$2:B379, B379)</f>
        <v>0.41176470588235292</v>
      </c>
    </row>
    <row r="380" spans="1:36" x14ac:dyDescent="0.25">
      <c r="A380" s="85">
        <v>46090</v>
      </c>
      <c r="B380" t="s">
        <v>45</v>
      </c>
      <c r="C380">
        <v>11</v>
      </c>
      <c r="D380">
        <v>0</v>
      </c>
      <c r="E380">
        <v>5</v>
      </c>
      <c r="F380">
        <v>2</v>
      </c>
      <c r="G380">
        <v>22</v>
      </c>
      <c r="H380">
        <v>10</v>
      </c>
      <c r="I380">
        <v>0.4</v>
      </c>
      <c r="J380">
        <v>0.45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1</v>
      </c>
      <c r="AB380">
        <v>1</v>
      </c>
      <c r="AC380">
        <v>0</v>
      </c>
      <c r="AD380">
        <v>0</v>
      </c>
      <c r="AE380">
        <v>0</v>
      </c>
      <c r="AF380">
        <v>0</v>
      </c>
      <c r="AG380" s="86">
        <f>AVERAGEIFS($C$2:C380, $B$2:B380, B380)</f>
        <v>9</v>
      </c>
      <c r="AH380" s="86">
        <f>AVERAGEIFS($I$2:I380, $B$2:B380, B380)</f>
        <v>0.59399999999999997</v>
      </c>
      <c r="AI380" s="86">
        <f>AVERAGEIFS($J$2:J380, $B$2:B380, B380)</f>
        <v>0.52800000000000002</v>
      </c>
      <c r="AJ380" s="86">
        <f>AVERAGEIFS($D$2:D380, $B$2:B380, B380)</f>
        <v>0.6</v>
      </c>
    </row>
    <row r="381" spans="1:36" x14ac:dyDescent="0.25">
      <c r="A381" s="85">
        <v>46090</v>
      </c>
      <c r="B381" t="s">
        <v>139</v>
      </c>
      <c r="C381">
        <v>10</v>
      </c>
      <c r="D381">
        <v>0</v>
      </c>
      <c r="E381">
        <v>5</v>
      </c>
      <c r="F381">
        <v>2</v>
      </c>
      <c r="G381">
        <v>22</v>
      </c>
      <c r="H381">
        <v>10</v>
      </c>
      <c r="I381">
        <v>0.4</v>
      </c>
      <c r="J381">
        <v>0.45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1</v>
      </c>
      <c r="AB381">
        <v>1</v>
      </c>
      <c r="AC381">
        <v>0</v>
      </c>
      <c r="AD381">
        <v>0</v>
      </c>
      <c r="AE381">
        <v>0</v>
      </c>
      <c r="AF381">
        <v>0</v>
      </c>
      <c r="AG381" s="86">
        <f>AVERAGEIFS($C$2:C381, $B$2:B381, B381)</f>
        <v>10</v>
      </c>
      <c r="AH381" s="86">
        <f>AVERAGEIFS($I$2:I381, $B$2:B381, B381)</f>
        <v>0.4</v>
      </c>
      <c r="AI381" s="86">
        <f>AVERAGEIFS($J$2:J381, $B$2:B381, B381)</f>
        <v>0.45</v>
      </c>
      <c r="AJ381" s="86">
        <f>AVERAGEIFS($D$2:D381, $B$2:B381, B381)</f>
        <v>0</v>
      </c>
    </row>
    <row r="382" spans="1:36" x14ac:dyDescent="0.25">
      <c r="A382" s="85">
        <v>46090</v>
      </c>
      <c r="B382" t="s">
        <v>71</v>
      </c>
      <c r="C382">
        <v>19</v>
      </c>
      <c r="D382">
        <v>1</v>
      </c>
      <c r="E382">
        <v>5</v>
      </c>
      <c r="F382">
        <v>3</v>
      </c>
      <c r="G382">
        <v>22</v>
      </c>
      <c r="H382">
        <v>12</v>
      </c>
      <c r="I382">
        <v>0.6</v>
      </c>
      <c r="J382">
        <v>0.55000000000000004</v>
      </c>
      <c r="K382">
        <v>0</v>
      </c>
      <c r="L382">
        <v>0</v>
      </c>
      <c r="M382">
        <v>1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1</v>
      </c>
      <c r="AG382" s="86">
        <f>AVERAGEIFS($C$2:C382, $B$2:B382, B382)</f>
        <v>15</v>
      </c>
      <c r="AH382" s="86">
        <f>AVERAGEIFS($I$2:I382, $B$2:B382, B382)</f>
        <v>0.59000000000000008</v>
      </c>
      <c r="AI382" s="86">
        <f>AVERAGEIFS($J$2:J382, $B$2:B382, B382)</f>
        <v>0.5119999999999999</v>
      </c>
      <c r="AJ382" s="86">
        <f>AVERAGEIFS($D$2:D382, $B$2:B382, B382)</f>
        <v>0.8</v>
      </c>
    </row>
    <row r="383" spans="1:36" x14ac:dyDescent="0.25">
      <c r="A383" s="85">
        <v>46090</v>
      </c>
      <c r="B383" t="s">
        <v>44</v>
      </c>
      <c r="C383">
        <v>18</v>
      </c>
      <c r="D383">
        <v>1</v>
      </c>
      <c r="E383">
        <v>5</v>
      </c>
      <c r="F383">
        <v>3</v>
      </c>
      <c r="G383">
        <v>22</v>
      </c>
      <c r="H383">
        <v>12</v>
      </c>
      <c r="I383">
        <v>0.6</v>
      </c>
      <c r="J383">
        <v>0.55000000000000004</v>
      </c>
      <c r="K383">
        <v>0</v>
      </c>
      <c r="L383">
        <v>0</v>
      </c>
      <c r="M383">
        <v>1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1</v>
      </c>
      <c r="AG383" s="86">
        <f>AVERAGEIFS($C$2:C383, $B$2:B383, B383)</f>
        <v>18.333333333333332</v>
      </c>
      <c r="AH383" s="86">
        <f>AVERAGEIFS($I$2:I383, $B$2:B383, B383)</f>
        <v>0.6</v>
      </c>
      <c r="AI383" s="86">
        <f>AVERAGEIFS($J$2:J383, $B$2:B383, B383)</f>
        <v>0.57750000000000001</v>
      </c>
      <c r="AJ383" s="86">
        <f>AVERAGEIFS($D$2:D383, $B$2:B383, B383)</f>
        <v>0.75</v>
      </c>
    </row>
    <row r="384" spans="1:36" x14ac:dyDescent="0.25">
      <c r="A384" s="85">
        <v>46090</v>
      </c>
      <c r="B384" t="s">
        <v>2</v>
      </c>
      <c r="C384">
        <v>22</v>
      </c>
      <c r="D384">
        <v>1</v>
      </c>
      <c r="E384">
        <v>5</v>
      </c>
      <c r="F384">
        <v>3</v>
      </c>
      <c r="G384">
        <v>22</v>
      </c>
      <c r="H384">
        <v>12</v>
      </c>
      <c r="I384">
        <v>0.6</v>
      </c>
      <c r="J384">
        <v>0.55000000000000004</v>
      </c>
      <c r="K384">
        <v>0</v>
      </c>
      <c r="L384">
        <v>0</v>
      </c>
      <c r="M384">
        <v>1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1</v>
      </c>
      <c r="AG384" s="86">
        <f>AVERAGEIFS($C$2:C384, $B$2:B384, B384)</f>
        <v>24.5</v>
      </c>
      <c r="AH384" s="86">
        <f>AVERAGEIFS($I$2:I384, $B$2:B384, B384)</f>
        <v>0.47899999999999998</v>
      </c>
      <c r="AI384" s="86">
        <f>AVERAGEIFS($J$2:J384, $B$2:B384, B384)</f>
        <v>0.5109999999999999</v>
      </c>
      <c r="AJ384" s="86">
        <f>AVERAGEIFS($D$2:D384, $B$2:B384, B384)</f>
        <v>0.45</v>
      </c>
    </row>
    <row r="385" spans="1:36" x14ac:dyDescent="0.25">
      <c r="A385" s="85">
        <v>46090</v>
      </c>
      <c r="B385" t="s">
        <v>6</v>
      </c>
      <c r="C385">
        <v>15</v>
      </c>
      <c r="D385">
        <v>1</v>
      </c>
      <c r="E385">
        <v>5</v>
      </c>
      <c r="F385">
        <v>3</v>
      </c>
      <c r="G385">
        <v>22</v>
      </c>
      <c r="H385">
        <v>12</v>
      </c>
      <c r="I385">
        <v>0.6</v>
      </c>
      <c r="J385">
        <v>0.55000000000000004</v>
      </c>
      <c r="K385">
        <v>0</v>
      </c>
      <c r="L385">
        <v>0</v>
      </c>
      <c r="M385">
        <v>1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1</v>
      </c>
      <c r="AG385" s="86">
        <f>AVERAGEIFS($C$2:C385, $B$2:B385, B385)</f>
        <v>22.814814814814813</v>
      </c>
      <c r="AH385" s="86">
        <f>AVERAGEIFS($I$2:I385, $B$2:B385, B385)</f>
        <v>0.65666666666666673</v>
      </c>
      <c r="AI385" s="86">
        <f>AVERAGEIFS($J$2:J385, $B$2:B385, B385)</f>
        <v>0.58518518518518514</v>
      </c>
      <c r="AJ385" s="86">
        <f>AVERAGEIFS($D$2:D385, $B$2:B385, B385)</f>
        <v>0.77777777777777779</v>
      </c>
    </row>
    <row r="386" spans="1:36" x14ac:dyDescent="0.25">
      <c r="A386" s="85">
        <v>46090</v>
      </c>
      <c r="B386" t="s">
        <v>107</v>
      </c>
      <c r="C386">
        <v>16</v>
      </c>
      <c r="D386">
        <v>1</v>
      </c>
      <c r="E386">
        <v>5</v>
      </c>
      <c r="F386">
        <v>3</v>
      </c>
      <c r="G386">
        <v>22</v>
      </c>
      <c r="H386">
        <v>12</v>
      </c>
      <c r="I386">
        <v>0.6</v>
      </c>
      <c r="J386">
        <v>0.55000000000000004</v>
      </c>
      <c r="K386">
        <v>0</v>
      </c>
      <c r="L386">
        <v>0</v>
      </c>
      <c r="M386">
        <v>1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1</v>
      </c>
      <c r="AG386" s="86">
        <f>AVERAGEIFS($C$2:C386, $B$2:B386, B386)</f>
        <v>16.444444444444443</v>
      </c>
      <c r="AH386" s="86">
        <f>AVERAGEIFS($I$2:I386, $B$2:B386, B386)</f>
        <v>0.5444444444444444</v>
      </c>
      <c r="AI386" s="86">
        <f>AVERAGEIFS($J$2:J386, $B$2:B386, B386)</f>
        <v>0.52</v>
      </c>
      <c r="AJ386" s="86">
        <f>AVERAGEIFS($D$2:D386, $B$2:B386, B386)</f>
        <v>0.55555555555555558</v>
      </c>
    </row>
    <row r="387" spans="1:36" x14ac:dyDescent="0.25">
      <c r="A387" s="85">
        <v>46090</v>
      </c>
      <c r="B387" t="s">
        <v>148</v>
      </c>
      <c r="C387">
        <v>8</v>
      </c>
      <c r="D387">
        <v>1</v>
      </c>
      <c r="E387">
        <v>5</v>
      </c>
      <c r="F387">
        <v>3</v>
      </c>
      <c r="G387">
        <v>22</v>
      </c>
      <c r="H387">
        <v>12</v>
      </c>
      <c r="I387">
        <v>0.6</v>
      </c>
      <c r="J387">
        <v>0.55000000000000004</v>
      </c>
      <c r="K387">
        <v>0</v>
      </c>
      <c r="L387">
        <v>0</v>
      </c>
      <c r="M387">
        <v>1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1</v>
      </c>
      <c r="AG387" s="86">
        <f>AVERAGEIFS($C$2:C387, $B$2:B387, B387)</f>
        <v>10</v>
      </c>
      <c r="AH387" s="86">
        <f>AVERAGEIFS($I$2:I387, $B$2:B387, B387)</f>
        <v>0.42499999999999999</v>
      </c>
      <c r="AI387" s="86">
        <f>AVERAGEIFS($J$2:J387, $B$2:B387, B387)</f>
        <v>0.48</v>
      </c>
      <c r="AJ387" s="86">
        <f>AVERAGEIFS($D$2:D387, $B$2:B387, B387)</f>
        <v>0.5</v>
      </c>
    </row>
    <row r="388" spans="1:36" x14ac:dyDescent="0.25">
      <c r="A388" s="85">
        <v>46091</v>
      </c>
      <c r="B388" t="s">
        <v>5</v>
      </c>
      <c r="C388">
        <v>35</v>
      </c>
      <c r="D388">
        <v>1</v>
      </c>
      <c r="E388">
        <v>4</v>
      </c>
      <c r="F388">
        <v>3</v>
      </c>
      <c r="G388">
        <v>16</v>
      </c>
      <c r="H388">
        <v>11</v>
      </c>
      <c r="I388">
        <v>0.75</v>
      </c>
      <c r="J388">
        <v>0.69</v>
      </c>
      <c r="K388">
        <v>0</v>
      </c>
      <c r="L388">
        <v>0</v>
      </c>
      <c r="M388">
        <v>0</v>
      </c>
      <c r="N388">
        <v>1</v>
      </c>
      <c r="O388">
        <v>1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 s="86">
        <f>AVERAGEIFS($C$2:C388, $B$2:B388, B388)</f>
        <v>22</v>
      </c>
      <c r="AH388" s="86">
        <f>AVERAGEIFS($I$2:I388, $B$2:B388, B388)</f>
        <v>0.60636363636363633</v>
      </c>
      <c r="AI388" s="86">
        <f>AVERAGEIFS($J$2:J388, $B$2:B388, B388)</f>
        <v>0.55181818181818187</v>
      </c>
      <c r="AJ388" s="86">
        <f>AVERAGEIFS($D$2:D388, $B$2:B388, B388)</f>
        <v>0.72727272727272729</v>
      </c>
    </row>
    <row r="389" spans="1:36" x14ac:dyDescent="0.25">
      <c r="A389" s="85">
        <v>46091</v>
      </c>
      <c r="B389" t="s">
        <v>40</v>
      </c>
      <c r="C389">
        <v>28</v>
      </c>
      <c r="D389">
        <v>1</v>
      </c>
      <c r="E389">
        <v>4</v>
      </c>
      <c r="F389">
        <v>3</v>
      </c>
      <c r="G389">
        <v>16</v>
      </c>
      <c r="H389">
        <v>11</v>
      </c>
      <c r="I389">
        <v>0.75</v>
      </c>
      <c r="J389">
        <v>0.69</v>
      </c>
      <c r="K389">
        <v>0</v>
      </c>
      <c r="L389">
        <v>0</v>
      </c>
      <c r="M389">
        <v>0</v>
      </c>
      <c r="N389">
        <v>1</v>
      </c>
      <c r="O389">
        <v>1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 s="86">
        <f>AVERAGEIFS($C$2:C389, $B$2:B389, B389)</f>
        <v>18.318181818181817</v>
      </c>
      <c r="AH389" s="86">
        <f>AVERAGEIFS($I$2:I389, $B$2:B389, B389)</f>
        <v>0.46136363636363648</v>
      </c>
      <c r="AI389" s="86">
        <f>AVERAGEIFS($J$2:J389, $B$2:B389, B389)</f>
        <v>0.48318181818181816</v>
      </c>
      <c r="AJ389" s="86">
        <f>AVERAGEIFS($D$2:D389, $B$2:B389, B389)</f>
        <v>0.45454545454545453</v>
      </c>
    </row>
    <row r="390" spans="1:36" x14ac:dyDescent="0.25">
      <c r="A390" s="85">
        <v>46091</v>
      </c>
      <c r="B390" t="s">
        <v>6</v>
      </c>
      <c r="C390">
        <v>27</v>
      </c>
      <c r="D390">
        <v>1</v>
      </c>
      <c r="E390">
        <v>4</v>
      </c>
      <c r="F390">
        <v>3</v>
      </c>
      <c r="G390">
        <v>16</v>
      </c>
      <c r="H390">
        <v>11</v>
      </c>
      <c r="I390">
        <v>0.75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1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 s="86">
        <f>AVERAGEIFS($C$2:C390, $B$2:B390, B390)</f>
        <v>22.964285714285715</v>
      </c>
      <c r="AH390" s="86">
        <f>AVERAGEIFS($I$2:I390, $B$2:B390, B390)</f>
        <v>0.66</v>
      </c>
      <c r="AI390" s="86">
        <f>AVERAGEIFS($J$2:J390, $B$2:B390, B390)</f>
        <v>0.58892857142857136</v>
      </c>
      <c r="AJ390" s="86">
        <f>AVERAGEIFS($D$2:D390, $B$2:B390, B390)</f>
        <v>0.7857142857142857</v>
      </c>
    </row>
    <row r="391" spans="1:36" x14ac:dyDescent="0.25">
      <c r="A391" s="85">
        <v>46091</v>
      </c>
      <c r="B391" t="s">
        <v>53</v>
      </c>
      <c r="C391">
        <v>22</v>
      </c>
      <c r="D391">
        <v>1</v>
      </c>
      <c r="E391">
        <v>4</v>
      </c>
      <c r="F391">
        <v>3</v>
      </c>
      <c r="G391">
        <v>16</v>
      </c>
      <c r="H391">
        <v>11</v>
      </c>
      <c r="I391">
        <v>0.75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1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 s="86">
        <f>AVERAGEIFS($C$2:C391, $B$2:B391, B391)</f>
        <v>18.181818181818183</v>
      </c>
      <c r="AH391" s="86">
        <f>AVERAGEIFS($I$2:I391, $B$2:B391, B391)</f>
        <v>0.5818181818181819</v>
      </c>
      <c r="AI391" s="86">
        <f>AVERAGEIFS($J$2:J391, $B$2:B391, B391)</f>
        <v>0.5436363636363637</v>
      </c>
      <c r="AJ391" s="86">
        <f>AVERAGEIFS($D$2:D391, $B$2:B391, B391)</f>
        <v>0.54545454545454541</v>
      </c>
    </row>
    <row r="392" spans="1:36" x14ac:dyDescent="0.25">
      <c r="A392" s="85">
        <v>46091</v>
      </c>
      <c r="B392" t="s">
        <v>2</v>
      </c>
      <c r="C392">
        <v>22</v>
      </c>
      <c r="D392">
        <v>1</v>
      </c>
      <c r="E392">
        <v>4</v>
      </c>
      <c r="F392">
        <v>3</v>
      </c>
      <c r="G392">
        <v>16</v>
      </c>
      <c r="H392">
        <v>11</v>
      </c>
      <c r="I392">
        <v>0.75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1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 s="86">
        <f>AVERAGEIFS($C$2:C392, $B$2:B392, B392)</f>
        <v>24.38095238095238</v>
      </c>
      <c r="AH392" s="86">
        <f>AVERAGEIFS($I$2:I392, $B$2:B392, B392)</f>
        <v>0.4919047619047619</v>
      </c>
      <c r="AI392" s="86">
        <f>AVERAGEIFS($J$2:J392, $B$2:B392, B392)</f>
        <v>0.5195238095238095</v>
      </c>
      <c r="AJ392" s="86">
        <f>AVERAGEIFS($D$2:D392, $B$2:B392, B392)</f>
        <v>0.47619047619047616</v>
      </c>
    </row>
    <row r="393" spans="1:36" x14ac:dyDescent="0.25">
      <c r="A393" s="85">
        <v>46091</v>
      </c>
      <c r="B393" t="s">
        <v>107</v>
      </c>
      <c r="C393">
        <v>13</v>
      </c>
      <c r="D393">
        <v>1</v>
      </c>
      <c r="E393">
        <v>4</v>
      </c>
      <c r="F393">
        <v>3</v>
      </c>
      <c r="G393">
        <v>16</v>
      </c>
      <c r="H393">
        <v>11</v>
      </c>
      <c r="I393">
        <v>0.75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1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 s="86">
        <f>AVERAGEIFS($C$2:C393, $B$2:B393, B393)</f>
        <v>16.100000000000001</v>
      </c>
      <c r="AH393" s="86">
        <f>AVERAGEIFS($I$2:I393, $B$2:B393, B393)</f>
        <v>0.56499999999999995</v>
      </c>
      <c r="AI393" s="86">
        <f>AVERAGEIFS($J$2:J393, $B$2:B393, B393)</f>
        <v>0.53699999999999992</v>
      </c>
      <c r="AJ393" s="86">
        <f>AVERAGEIFS($D$2:D393, $B$2:B393, B393)</f>
        <v>0.6</v>
      </c>
    </row>
    <row r="394" spans="1:36" x14ac:dyDescent="0.25">
      <c r="A394" s="85">
        <v>46091</v>
      </c>
      <c r="B394" t="s">
        <v>4</v>
      </c>
      <c r="C394">
        <v>30</v>
      </c>
      <c r="D394">
        <v>0</v>
      </c>
      <c r="E394">
        <v>4</v>
      </c>
      <c r="F394">
        <v>1</v>
      </c>
      <c r="G394">
        <v>16</v>
      </c>
      <c r="H394">
        <v>5</v>
      </c>
      <c r="I394">
        <v>0.25</v>
      </c>
      <c r="J394">
        <v>0.31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1</v>
      </c>
      <c r="AD394">
        <v>0</v>
      </c>
      <c r="AE394">
        <v>0</v>
      </c>
      <c r="AF394">
        <v>0</v>
      </c>
      <c r="AG394" s="86">
        <f>AVERAGEIFS($C$2:C394, $B$2:B394, B394)</f>
        <v>26</v>
      </c>
      <c r="AH394" s="86">
        <f>AVERAGEIFS($I$2:I394, $B$2:B394, B394)</f>
        <v>0.3807692307692308</v>
      </c>
      <c r="AI394" s="86">
        <f>AVERAGEIFS($J$2:J394, $B$2:B394, B394)</f>
        <v>0.44</v>
      </c>
      <c r="AJ394" s="86">
        <f>AVERAGEIFS($D$2:D394, $B$2:B394, B394)</f>
        <v>0.23076923076923078</v>
      </c>
    </row>
    <row r="395" spans="1:36" x14ac:dyDescent="0.25">
      <c r="A395" s="85">
        <v>46091</v>
      </c>
      <c r="B395" t="s">
        <v>1</v>
      </c>
      <c r="C395">
        <v>25</v>
      </c>
      <c r="D395">
        <v>0</v>
      </c>
      <c r="E395">
        <v>4</v>
      </c>
      <c r="F395">
        <v>1</v>
      </c>
      <c r="G395">
        <v>16</v>
      </c>
      <c r="H395">
        <v>5</v>
      </c>
      <c r="I395">
        <v>0.25</v>
      </c>
      <c r="J395">
        <v>0.31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1</v>
      </c>
      <c r="AD395">
        <v>0</v>
      </c>
      <c r="AE395">
        <v>0</v>
      </c>
      <c r="AF395">
        <v>0</v>
      </c>
      <c r="AG395" s="86">
        <f>AVERAGEIFS($C$2:C395, $B$2:B395, B395)</f>
        <v>29.166666666666668</v>
      </c>
      <c r="AH395" s="86">
        <f>AVERAGEIFS($I$2:I395, $B$2:B395, B395)</f>
        <v>0.37083333333333335</v>
      </c>
      <c r="AI395" s="86">
        <f>AVERAGEIFS($J$2:J395, $B$2:B395, B395)</f>
        <v>0.42416666666666658</v>
      </c>
      <c r="AJ395" s="86">
        <f>AVERAGEIFS($D$2:D395, $B$2:B395, B395)</f>
        <v>0.41666666666666669</v>
      </c>
    </row>
    <row r="396" spans="1:36" x14ac:dyDescent="0.25">
      <c r="A396" s="85">
        <v>46091</v>
      </c>
      <c r="B396" t="s">
        <v>44</v>
      </c>
      <c r="C396">
        <v>20</v>
      </c>
      <c r="D396">
        <v>0</v>
      </c>
      <c r="E396">
        <v>4</v>
      </c>
      <c r="F396">
        <v>1</v>
      </c>
      <c r="G396">
        <v>16</v>
      </c>
      <c r="H396">
        <v>5</v>
      </c>
      <c r="I396">
        <v>0.25</v>
      </c>
      <c r="J396">
        <v>0.31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1</v>
      </c>
      <c r="AD396">
        <v>0</v>
      </c>
      <c r="AE396">
        <v>0</v>
      </c>
      <c r="AF396">
        <v>0</v>
      </c>
      <c r="AG396" s="86">
        <f>AVERAGEIFS($C$2:C396, $B$2:B396, B396)</f>
        <v>18.46153846153846</v>
      </c>
      <c r="AH396" s="86">
        <f>AVERAGEIFS($I$2:I396, $B$2:B396, B396)</f>
        <v>0.57307692307692304</v>
      </c>
      <c r="AI396" s="86">
        <f>AVERAGEIFS($J$2:J396, $B$2:B396, B396)</f>
        <v>0.55692307692307697</v>
      </c>
      <c r="AJ396" s="86">
        <f>AVERAGEIFS($D$2:D396, $B$2:B396, B396)</f>
        <v>0.69230769230769229</v>
      </c>
    </row>
    <row r="397" spans="1:36" x14ac:dyDescent="0.25">
      <c r="A397" s="85">
        <v>46091</v>
      </c>
      <c r="B397" t="s">
        <v>17</v>
      </c>
      <c r="C397">
        <v>18</v>
      </c>
      <c r="D397">
        <v>0</v>
      </c>
      <c r="E397">
        <v>4</v>
      </c>
      <c r="F397">
        <v>1</v>
      </c>
      <c r="G397">
        <v>16</v>
      </c>
      <c r="H397">
        <v>5</v>
      </c>
      <c r="I397">
        <v>0.25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1</v>
      </c>
      <c r="AD397">
        <v>0</v>
      </c>
      <c r="AE397">
        <v>0</v>
      </c>
      <c r="AF397">
        <v>0</v>
      </c>
      <c r="AG397" s="86">
        <f>AVERAGEIFS($C$2:C397, $B$2:B397, B397)</f>
        <v>21</v>
      </c>
      <c r="AH397" s="86">
        <f>AVERAGEIFS($I$2:I397, $B$2:B397, B397)</f>
        <v>0.4385</v>
      </c>
      <c r="AI397" s="86">
        <f>AVERAGEIFS($J$2:J397, $B$2:B397, B397)</f>
        <v>0.45100000000000007</v>
      </c>
      <c r="AJ397" s="86">
        <f>AVERAGEIFS($D$2:D397, $B$2:B397, B397)</f>
        <v>0.35</v>
      </c>
    </row>
    <row r="398" spans="1:36" x14ac:dyDescent="0.25">
      <c r="A398" s="85">
        <v>46091</v>
      </c>
      <c r="B398" t="s">
        <v>113</v>
      </c>
      <c r="C398">
        <v>15</v>
      </c>
      <c r="D398">
        <v>0</v>
      </c>
      <c r="E398">
        <v>4</v>
      </c>
      <c r="F398">
        <v>1</v>
      </c>
      <c r="G398">
        <v>16</v>
      </c>
      <c r="H398">
        <v>5</v>
      </c>
      <c r="I398">
        <v>0.25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1</v>
      </c>
      <c r="AD398">
        <v>0</v>
      </c>
      <c r="AE398">
        <v>0</v>
      </c>
      <c r="AF398">
        <v>0</v>
      </c>
      <c r="AG398" s="86">
        <f>AVERAGEIFS($C$2:C398, $B$2:B398, B398)</f>
        <v>19.166666666666668</v>
      </c>
      <c r="AH398" s="86">
        <f>AVERAGEIFS($I$2:I398, $B$2:B398, B398)</f>
        <v>0.5</v>
      </c>
      <c r="AI398" s="86">
        <f>AVERAGEIFS($J$2:J398, $B$2:B398, B398)</f>
        <v>0.46833333333333332</v>
      </c>
      <c r="AJ398" s="86">
        <f>AVERAGEIFS($D$2:D398, $B$2:B398, B398)</f>
        <v>0.5</v>
      </c>
    </row>
    <row r="399" spans="1:36" x14ac:dyDescent="0.25">
      <c r="A399" s="85">
        <v>46091</v>
      </c>
      <c r="B399" t="s">
        <v>42</v>
      </c>
      <c r="C399">
        <v>13</v>
      </c>
      <c r="D399">
        <v>0</v>
      </c>
      <c r="E399">
        <v>4</v>
      </c>
      <c r="F399">
        <v>1</v>
      </c>
      <c r="G399">
        <v>16</v>
      </c>
      <c r="H399">
        <v>5</v>
      </c>
      <c r="I399">
        <v>0.25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1</v>
      </c>
      <c r="AD399">
        <v>0</v>
      </c>
      <c r="AE399">
        <v>0</v>
      </c>
      <c r="AF399">
        <v>0</v>
      </c>
      <c r="AG399" s="86">
        <f>AVERAGEIFS($C$2:C399, $B$2:B399, B399)</f>
        <v>17.5</v>
      </c>
      <c r="AH399" s="86">
        <f>AVERAGEIFS($I$2:I399, $B$2:B399, B399)</f>
        <v>0.38750000000000001</v>
      </c>
      <c r="AI399" s="86">
        <f>AVERAGEIFS($J$2:J399, $B$2:B399, B399)</f>
        <v>0.42749999999999994</v>
      </c>
      <c r="AJ399" s="86">
        <f>AVERAGEIFS($D$2:D399, $B$2:B399, B399)</f>
        <v>0.375</v>
      </c>
    </row>
    <row r="400" spans="1:36" x14ac:dyDescent="0.25">
      <c r="A400" s="85">
        <v>46092</v>
      </c>
      <c r="B400" t="s">
        <v>40</v>
      </c>
      <c r="C400">
        <v>19</v>
      </c>
      <c r="D400">
        <v>1</v>
      </c>
      <c r="E400">
        <v>3</v>
      </c>
      <c r="F400">
        <v>3</v>
      </c>
      <c r="G400">
        <v>11</v>
      </c>
      <c r="H400">
        <v>9</v>
      </c>
      <c r="I400">
        <v>1</v>
      </c>
      <c r="J400">
        <v>0.82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1</v>
      </c>
      <c r="Z400">
        <v>0</v>
      </c>
      <c r="AA400">
        <v>0</v>
      </c>
      <c r="AB400">
        <v>1</v>
      </c>
      <c r="AC400">
        <v>0</v>
      </c>
      <c r="AD400">
        <v>0</v>
      </c>
      <c r="AE400">
        <v>0</v>
      </c>
      <c r="AF400">
        <v>0</v>
      </c>
      <c r="AG400" s="86">
        <f>AVERAGEIFS($C$2:C400, $B$2:B400, B400)</f>
        <v>18.347826086956523</v>
      </c>
      <c r="AH400" s="86">
        <f>AVERAGEIFS($I$2:I400, $B$2:B400, B400)</f>
        <v>0.48478260869565226</v>
      </c>
      <c r="AI400" s="86">
        <f>AVERAGEIFS($J$2:J400, $B$2:B400, B400)</f>
        <v>0.4978260869565217</v>
      </c>
      <c r="AJ400" s="86">
        <f>AVERAGEIFS($D$2:D400, $B$2:B400, B400)</f>
        <v>0.47826086956521741</v>
      </c>
    </row>
    <row r="401" spans="1:36" x14ac:dyDescent="0.25">
      <c r="A401" s="85">
        <v>46092</v>
      </c>
      <c r="B401" t="s">
        <v>54</v>
      </c>
      <c r="C401">
        <v>24</v>
      </c>
      <c r="D401">
        <v>1</v>
      </c>
      <c r="E401">
        <v>3</v>
      </c>
      <c r="F401">
        <v>3</v>
      </c>
      <c r="G401">
        <v>11</v>
      </c>
      <c r="H401">
        <v>9</v>
      </c>
      <c r="I401">
        <v>1</v>
      </c>
      <c r="J401">
        <v>0.82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1</v>
      </c>
      <c r="Z401">
        <v>0</v>
      </c>
      <c r="AA401">
        <v>0</v>
      </c>
      <c r="AB401">
        <v>1</v>
      </c>
      <c r="AC401">
        <v>0</v>
      </c>
      <c r="AD401">
        <v>0</v>
      </c>
      <c r="AE401">
        <v>0</v>
      </c>
      <c r="AF401">
        <v>0</v>
      </c>
      <c r="AG401" s="86">
        <f>AVERAGEIFS($C$2:C401, $B$2:B401, B401)</f>
        <v>24.777777777777779</v>
      </c>
      <c r="AH401" s="86">
        <f>AVERAGEIFS($I$2:I401, $B$2:B401, B401)</f>
        <v>0.51370370370370377</v>
      </c>
      <c r="AI401" s="86">
        <f>AVERAGEIFS($J$2:J401, $B$2:B401, B401)</f>
        <v>0.48555555555555552</v>
      </c>
      <c r="AJ401" s="86">
        <f>AVERAGEIFS($D$2:D401, $B$2:B401, B401)</f>
        <v>0.48148148148148145</v>
      </c>
    </row>
    <row r="402" spans="1:36" x14ac:dyDescent="0.25">
      <c r="A402" s="85">
        <v>46092</v>
      </c>
      <c r="B402" t="s">
        <v>2</v>
      </c>
      <c r="C402">
        <v>17</v>
      </c>
      <c r="D402">
        <v>1</v>
      </c>
      <c r="E402">
        <v>3</v>
      </c>
      <c r="F402">
        <v>3</v>
      </c>
      <c r="G402">
        <v>11</v>
      </c>
      <c r="H402">
        <v>9</v>
      </c>
      <c r="I402">
        <v>1</v>
      </c>
      <c r="J402">
        <v>0.82</v>
      </c>
      <c r="K402">
        <v>0</v>
      </c>
      <c r="L402">
        <v>0</v>
      </c>
      <c r="M402">
        <v>1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1</v>
      </c>
      <c r="Z402">
        <v>0</v>
      </c>
      <c r="AA402">
        <v>0</v>
      </c>
      <c r="AB402">
        <v>1</v>
      </c>
      <c r="AC402">
        <v>0</v>
      </c>
      <c r="AD402">
        <v>0</v>
      </c>
      <c r="AE402">
        <v>0</v>
      </c>
      <c r="AF402">
        <v>0</v>
      </c>
      <c r="AG402" s="86">
        <f>AVERAGEIFS($C$2:C402, $B$2:B402, B402)</f>
        <v>24.045454545454547</v>
      </c>
      <c r="AH402" s="86">
        <f>AVERAGEIFS($I$2:I402, $B$2:B402, B402)</f>
        <v>0.51500000000000001</v>
      </c>
      <c r="AI402" s="86">
        <f>AVERAGEIFS($J$2:J402, $B$2:B402, B402)</f>
        <v>0.53318181818181809</v>
      </c>
      <c r="AJ402" s="86">
        <f>AVERAGEIFS($D$2:D402, $B$2:B402, B402)</f>
        <v>0.5</v>
      </c>
    </row>
    <row r="403" spans="1:36" x14ac:dyDescent="0.25">
      <c r="A403" s="85">
        <v>46092</v>
      </c>
      <c r="B403" t="s">
        <v>113</v>
      </c>
      <c r="C403">
        <v>16</v>
      </c>
      <c r="D403">
        <v>1</v>
      </c>
      <c r="E403">
        <v>3</v>
      </c>
      <c r="F403">
        <v>3</v>
      </c>
      <c r="G403">
        <v>11</v>
      </c>
      <c r="H403">
        <v>9</v>
      </c>
      <c r="I403">
        <v>1</v>
      </c>
      <c r="J403">
        <v>0.82</v>
      </c>
      <c r="K403">
        <v>0</v>
      </c>
      <c r="L403">
        <v>0</v>
      </c>
      <c r="M403">
        <v>1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1</v>
      </c>
      <c r="Z403">
        <v>0</v>
      </c>
      <c r="AA403">
        <v>0</v>
      </c>
      <c r="AB403">
        <v>1</v>
      </c>
      <c r="AC403">
        <v>0</v>
      </c>
      <c r="AD403">
        <v>0</v>
      </c>
      <c r="AE403">
        <v>0</v>
      </c>
      <c r="AF403">
        <v>0</v>
      </c>
      <c r="AG403" s="86">
        <f>AVERAGEIFS($C$2:C403, $B$2:B403, B403)</f>
        <v>18.714285714285715</v>
      </c>
      <c r="AH403" s="86">
        <f>AVERAGEIFS($I$2:I403, $B$2:B403, B403)</f>
        <v>0.5714285714285714</v>
      </c>
      <c r="AI403" s="86">
        <f>AVERAGEIFS($J$2:J403, $B$2:B403, B403)</f>
        <v>0.51857142857142857</v>
      </c>
      <c r="AJ403" s="86">
        <f>AVERAGEIFS($D$2:D403, $B$2:B403, B403)</f>
        <v>0.5714285714285714</v>
      </c>
    </row>
    <row r="404" spans="1:36" x14ac:dyDescent="0.25">
      <c r="A404" s="85">
        <v>46092</v>
      </c>
      <c r="B404" t="s">
        <v>35</v>
      </c>
      <c r="C404">
        <v>9</v>
      </c>
      <c r="D404">
        <v>1</v>
      </c>
      <c r="E404">
        <v>3</v>
      </c>
      <c r="F404">
        <v>3</v>
      </c>
      <c r="G404">
        <v>11</v>
      </c>
      <c r="H404">
        <v>9</v>
      </c>
      <c r="I404">
        <v>1</v>
      </c>
      <c r="J404">
        <v>0.82</v>
      </c>
      <c r="K404">
        <v>0</v>
      </c>
      <c r="L404">
        <v>0</v>
      </c>
      <c r="M404">
        <v>1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0</v>
      </c>
      <c r="AA404">
        <v>0</v>
      </c>
      <c r="AB404">
        <v>1</v>
      </c>
      <c r="AC404">
        <v>0</v>
      </c>
      <c r="AD404">
        <v>0</v>
      </c>
      <c r="AE404">
        <v>0</v>
      </c>
      <c r="AF404">
        <v>0</v>
      </c>
      <c r="AG404" s="86">
        <f>AVERAGEIFS($C$2:C404, $B$2:B404, B404)</f>
        <v>11.791666666666666</v>
      </c>
      <c r="AH404" s="86">
        <f>AVERAGEIFS($I$2:I404, $B$2:B404, B404)</f>
        <v>0.45541666666666675</v>
      </c>
      <c r="AI404" s="86">
        <f>AVERAGEIFS($J$2:J404, $B$2:B404, B404)</f>
        <v>0.48500000000000004</v>
      </c>
      <c r="AJ404" s="86">
        <f>AVERAGEIFS($D$2:D404, $B$2:B404, B404)</f>
        <v>0.375</v>
      </c>
    </row>
    <row r="405" spans="1:36" x14ac:dyDescent="0.25">
      <c r="A405" s="85">
        <v>46092</v>
      </c>
      <c r="B405" t="s">
        <v>148</v>
      </c>
      <c r="C405">
        <v>3</v>
      </c>
      <c r="D405">
        <v>1</v>
      </c>
      <c r="E405">
        <v>3</v>
      </c>
      <c r="F405">
        <v>3</v>
      </c>
      <c r="G405">
        <v>11</v>
      </c>
      <c r="H405">
        <v>9</v>
      </c>
      <c r="I405">
        <v>1</v>
      </c>
      <c r="J405">
        <v>0.82</v>
      </c>
      <c r="K405">
        <v>0</v>
      </c>
      <c r="L405">
        <v>0</v>
      </c>
      <c r="M405">
        <v>1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0</v>
      </c>
      <c r="AA405">
        <v>0</v>
      </c>
      <c r="AB405">
        <v>1</v>
      </c>
      <c r="AC405">
        <v>0</v>
      </c>
      <c r="AD405">
        <v>0</v>
      </c>
      <c r="AE405">
        <v>0</v>
      </c>
      <c r="AF405">
        <v>0</v>
      </c>
      <c r="AG405" s="86">
        <f>AVERAGEIFS($C$2:C405, $B$2:B405, B405)</f>
        <v>7.666666666666667</v>
      </c>
      <c r="AH405" s="86">
        <f>AVERAGEIFS($I$2:I405, $B$2:B405, B405)</f>
        <v>0.6166666666666667</v>
      </c>
      <c r="AI405" s="86">
        <f>AVERAGEIFS($J$2:J405, $B$2:B405, B405)</f>
        <v>0.59333333333333327</v>
      </c>
      <c r="AJ405" s="86">
        <f>AVERAGEIFS($D$2:D405, $B$2:B405, B405)</f>
        <v>0.66666666666666663</v>
      </c>
    </row>
    <row r="406" spans="1:36" x14ac:dyDescent="0.25">
      <c r="A406" s="85">
        <v>46092</v>
      </c>
      <c r="B406" t="s">
        <v>44</v>
      </c>
      <c r="C406">
        <v>10</v>
      </c>
      <c r="D406">
        <v>0</v>
      </c>
      <c r="E406">
        <v>3</v>
      </c>
      <c r="F406">
        <v>0</v>
      </c>
      <c r="G406">
        <v>11</v>
      </c>
      <c r="H406">
        <v>2</v>
      </c>
      <c r="I406">
        <v>0</v>
      </c>
      <c r="J406">
        <v>0.18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 s="86">
        <f>AVERAGEIFS($C$2:C406, $B$2:B406, B406)</f>
        <v>17.857142857142858</v>
      </c>
      <c r="AH406" s="86">
        <f>AVERAGEIFS($I$2:I406, $B$2:B406, B406)</f>
        <v>0.53214285714285714</v>
      </c>
      <c r="AI406" s="86">
        <f>AVERAGEIFS($J$2:J406, $B$2:B406, B406)</f>
        <v>0.53</v>
      </c>
      <c r="AJ406" s="86">
        <f>AVERAGEIFS($D$2:D406, $B$2:B406, B406)</f>
        <v>0.6428571428571429</v>
      </c>
    </row>
    <row r="407" spans="1:36" x14ac:dyDescent="0.25">
      <c r="A407" s="85">
        <v>46092</v>
      </c>
      <c r="B407" t="s">
        <v>6</v>
      </c>
      <c r="C407">
        <v>17</v>
      </c>
      <c r="D407">
        <v>0</v>
      </c>
      <c r="E407">
        <v>3</v>
      </c>
      <c r="F407">
        <v>0</v>
      </c>
      <c r="G407">
        <v>11</v>
      </c>
      <c r="H407">
        <v>2</v>
      </c>
      <c r="I407">
        <v>0</v>
      </c>
      <c r="J407">
        <v>0.18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 s="86">
        <f>AVERAGEIFS($C$2:C407, $B$2:B407, B407)</f>
        <v>22.758620689655171</v>
      </c>
      <c r="AH407" s="86">
        <f>AVERAGEIFS($I$2:I407, $B$2:B407, B407)</f>
        <v>0.63724137931034486</v>
      </c>
      <c r="AI407" s="86">
        <f>AVERAGEIFS($J$2:J407, $B$2:B407, B407)</f>
        <v>0.57482758620689645</v>
      </c>
      <c r="AJ407" s="86">
        <f>AVERAGEIFS($D$2:D407, $B$2:B407, B407)</f>
        <v>0.75862068965517238</v>
      </c>
    </row>
    <row r="408" spans="1:36" x14ac:dyDescent="0.25">
      <c r="A408" s="85">
        <v>46092</v>
      </c>
      <c r="B408" t="s">
        <v>71</v>
      </c>
      <c r="C408">
        <v>13</v>
      </c>
      <c r="D408">
        <v>0</v>
      </c>
      <c r="E408">
        <v>3</v>
      </c>
      <c r="F408">
        <v>0</v>
      </c>
      <c r="G408">
        <v>11</v>
      </c>
      <c r="H408">
        <v>2</v>
      </c>
      <c r="I408">
        <v>0</v>
      </c>
      <c r="J408">
        <v>0.18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 s="86">
        <f>AVERAGEIFS($C$2:C408, $B$2:B408, B408)</f>
        <v>14.666666666666666</v>
      </c>
      <c r="AH408" s="86">
        <f>AVERAGEIFS($I$2:I408, $B$2:B408, B408)</f>
        <v>0.4916666666666667</v>
      </c>
      <c r="AI408" s="86">
        <f>AVERAGEIFS($J$2:J408, $B$2:B408, B408)</f>
        <v>0.45666666666666661</v>
      </c>
      <c r="AJ408" s="86">
        <f>AVERAGEIFS($D$2:D408, $B$2:B408, B408)</f>
        <v>0.66666666666666663</v>
      </c>
    </row>
    <row r="409" spans="1:36" x14ac:dyDescent="0.25">
      <c r="A409" s="85">
        <v>46092</v>
      </c>
      <c r="B409" t="s">
        <v>53</v>
      </c>
      <c r="C409">
        <v>10</v>
      </c>
      <c r="D409">
        <v>0</v>
      </c>
      <c r="E409">
        <v>3</v>
      </c>
      <c r="F409">
        <v>0</v>
      </c>
      <c r="G409">
        <v>11</v>
      </c>
      <c r="H409">
        <v>2</v>
      </c>
      <c r="I409">
        <v>0</v>
      </c>
      <c r="J409">
        <v>0.18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 s="86">
        <f>AVERAGEIFS($C$2:C409, $B$2:B409, B409)</f>
        <v>17.5</v>
      </c>
      <c r="AH409" s="86">
        <f>AVERAGEIFS($I$2:I409, $B$2:B409, B409)</f>
        <v>0.53333333333333333</v>
      </c>
      <c r="AI409" s="86">
        <f>AVERAGEIFS($J$2:J409, $B$2:B409, B409)</f>
        <v>0.51333333333333331</v>
      </c>
      <c r="AJ409" s="86">
        <f>AVERAGEIFS($D$2:D409, $B$2:B409, B409)</f>
        <v>0.5</v>
      </c>
    </row>
    <row r="410" spans="1:36" x14ac:dyDescent="0.25">
      <c r="A410" s="85">
        <v>46092</v>
      </c>
      <c r="B410" t="s">
        <v>28</v>
      </c>
      <c r="C410">
        <v>5</v>
      </c>
      <c r="D410">
        <v>0</v>
      </c>
      <c r="E410">
        <v>3</v>
      </c>
      <c r="F410">
        <v>0</v>
      </c>
      <c r="G410">
        <v>11</v>
      </c>
      <c r="H410">
        <v>2</v>
      </c>
      <c r="I410">
        <v>0</v>
      </c>
      <c r="J410">
        <v>0.18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 s="86">
        <f>AVERAGEIFS($C$2:C410, $B$2:B410, B410)</f>
        <v>15.8125</v>
      </c>
      <c r="AH410" s="86">
        <f>AVERAGEIFS($I$2:I410, $B$2:B410, B410)</f>
        <v>0.38624999999999998</v>
      </c>
      <c r="AI410" s="86">
        <f>AVERAGEIFS($J$2:J410, $B$2:B410, B410)</f>
        <v>0.45437499999999992</v>
      </c>
      <c r="AJ410" s="86">
        <f>AVERAGEIFS($D$2:D410, $B$2:B410, B410)</f>
        <v>0.3125</v>
      </c>
    </row>
    <row r="411" spans="1:36" x14ac:dyDescent="0.25">
      <c r="A411" s="85">
        <v>46092</v>
      </c>
      <c r="B411" t="s">
        <v>27</v>
      </c>
      <c r="C411">
        <v>10</v>
      </c>
      <c r="D411">
        <v>0</v>
      </c>
      <c r="E411">
        <v>3</v>
      </c>
      <c r="F411">
        <v>0</v>
      </c>
      <c r="G411">
        <v>11</v>
      </c>
      <c r="H411">
        <v>2</v>
      </c>
      <c r="I411">
        <v>0</v>
      </c>
      <c r="J411">
        <v>0.18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 s="86">
        <f>AVERAGEIFS($C$2:C411, $B$2:B411, B411)</f>
        <v>13.5</v>
      </c>
      <c r="AH411" s="86">
        <f>AVERAGEIFS($I$2:I411, $B$2:B411, B411)</f>
        <v>0.39999999999999997</v>
      </c>
      <c r="AI411" s="86">
        <f>AVERAGEIFS($J$2:J411, $B$2:B411, B411)</f>
        <v>0.39500000000000002</v>
      </c>
      <c r="AJ411" s="86">
        <f>AVERAGEIFS($D$2:D411, $B$2:B411, B411)</f>
        <v>0.33333333333333331</v>
      </c>
    </row>
    <row r="412" spans="1:36" x14ac:dyDescent="0.25">
      <c r="A412" s="85">
        <v>46093</v>
      </c>
      <c r="B412" t="s">
        <v>142</v>
      </c>
      <c r="C412">
        <v>4</v>
      </c>
      <c r="D412">
        <v>1</v>
      </c>
      <c r="E412">
        <v>4</v>
      </c>
      <c r="F412">
        <v>3</v>
      </c>
      <c r="G412">
        <v>14</v>
      </c>
      <c r="H412">
        <v>9</v>
      </c>
      <c r="I412">
        <v>0.75</v>
      </c>
      <c r="J412">
        <v>0.64</v>
      </c>
      <c r="K412">
        <v>0</v>
      </c>
      <c r="L412">
        <v>1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1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1</v>
      </c>
      <c r="AC412">
        <v>0</v>
      </c>
      <c r="AD412">
        <v>0</v>
      </c>
      <c r="AE412">
        <v>0</v>
      </c>
      <c r="AF412">
        <v>0</v>
      </c>
      <c r="AG412" s="86">
        <f>AVERAGEIFS($C$2:C412, $B$2:B412, B412)</f>
        <v>4</v>
      </c>
      <c r="AH412" s="86">
        <f>AVERAGEIFS($I$2:I412, $B$2:B412, B412)</f>
        <v>0.75</v>
      </c>
      <c r="AI412" s="86">
        <f>AVERAGEIFS($J$2:J412, $B$2:B412, B412)</f>
        <v>0.64</v>
      </c>
      <c r="AJ412" s="86">
        <f>AVERAGEIFS($D$2:D412, $B$2:B412, B412)</f>
        <v>1</v>
      </c>
    </row>
    <row r="413" spans="1:36" x14ac:dyDescent="0.25">
      <c r="A413" s="85">
        <v>46093</v>
      </c>
      <c r="B413" t="s">
        <v>1</v>
      </c>
      <c r="C413">
        <v>23</v>
      </c>
      <c r="D413">
        <v>1</v>
      </c>
      <c r="E413">
        <v>4</v>
      </c>
      <c r="F413">
        <v>3</v>
      </c>
      <c r="G413">
        <v>14</v>
      </c>
      <c r="H413">
        <v>9</v>
      </c>
      <c r="I413">
        <v>0.75</v>
      </c>
      <c r="J413">
        <v>0.64</v>
      </c>
      <c r="K413">
        <v>0</v>
      </c>
      <c r="L413">
        <v>1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1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1</v>
      </c>
      <c r="AC413">
        <v>0</v>
      </c>
      <c r="AD413">
        <v>0</v>
      </c>
      <c r="AE413">
        <v>0</v>
      </c>
      <c r="AF413">
        <v>0</v>
      </c>
      <c r="AG413" s="86">
        <f>AVERAGEIFS($C$2:C413, $B$2:B413, B413)</f>
        <v>28.692307692307693</v>
      </c>
      <c r="AH413" s="86">
        <f>AVERAGEIFS($I$2:I413, $B$2:B413, B413)</f>
        <v>0.4</v>
      </c>
      <c r="AI413" s="86">
        <f>AVERAGEIFS($J$2:J413, $B$2:B413, B413)</f>
        <v>0.44076923076923069</v>
      </c>
      <c r="AJ413" s="86">
        <f>AVERAGEIFS($D$2:D413, $B$2:B413, B413)</f>
        <v>0.46153846153846156</v>
      </c>
    </row>
    <row r="414" spans="1:36" x14ac:dyDescent="0.25">
      <c r="A414" s="85">
        <v>46093</v>
      </c>
      <c r="B414" t="s">
        <v>54</v>
      </c>
      <c r="C414">
        <v>24</v>
      </c>
      <c r="D414">
        <v>1</v>
      </c>
      <c r="E414">
        <v>4</v>
      </c>
      <c r="F414">
        <v>3</v>
      </c>
      <c r="G414">
        <v>14</v>
      </c>
      <c r="H414">
        <v>9</v>
      </c>
      <c r="I414">
        <v>0.75</v>
      </c>
      <c r="J414">
        <v>0.64</v>
      </c>
      <c r="K414">
        <v>0</v>
      </c>
      <c r="L414">
        <v>1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1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1</v>
      </c>
      <c r="AC414">
        <v>0</v>
      </c>
      <c r="AD414">
        <v>0</v>
      </c>
      <c r="AE414">
        <v>0</v>
      </c>
      <c r="AF414">
        <v>0</v>
      </c>
      <c r="AG414" s="86">
        <f>AVERAGEIFS($C$2:C414, $B$2:B414, B414)</f>
        <v>24.75</v>
      </c>
      <c r="AH414" s="86">
        <f>AVERAGEIFS($I$2:I414, $B$2:B414, B414)</f>
        <v>0.52214285714285713</v>
      </c>
      <c r="AI414" s="86">
        <f>AVERAGEIFS($J$2:J414, $B$2:B414, B414)</f>
        <v>0.49107142857142855</v>
      </c>
      <c r="AJ414" s="86">
        <f>AVERAGEIFS($D$2:D414, $B$2:B414, B414)</f>
        <v>0.5</v>
      </c>
    </row>
    <row r="415" spans="1:36" x14ac:dyDescent="0.25">
      <c r="A415" s="85">
        <v>46093</v>
      </c>
      <c r="B415" t="s">
        <v>151</v>
      </c>
      <c r="C415">
        <v>9</v>
      </c>
      <c r="D415">
        <v>1</v>
      </c>
      <c r="E415">
        <v>4</v>
      </c>
      <c r="F415">
        <v>3</v>
      </c>
      <c r="G415">
        <v>14</v>
      </c>
      <c r="H415">
        <v>9</v>
      </c>
      <c r="I415">
        <v>0.75</v>
      </c>
      <c r="J415">
        <v>0.64</v>
      </c>
      <c r="K415">
        <v>0</v>
      </c>
      <c r="L415">
        <v>1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1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1</v>
      </c>
      <c r="AC415">
        <v>0</v>
      </c>
      <c r="AD415">
        <v>0</v>
      </c>
      <c r="AE415">
        <v>0</v>
      </c>
      <c r="AF415">
        <v>0</v>
      </c>
      <c r="AG415" s="86">
        <f>AVERAGEIFS($C$2:C415, $B$2:B415, B415)</f>
        <v>9</v>
      </c>
      <c r="AH415" s="86">
        <f>AVERAGEIFS($I$2:I415, $B$2:B415, B415)</f>
        <v>0.75</v>
      </c>
      <c r="AI415" s="86">
        <f>AVERAGEIFS($J$2:J415, $B$2:B415, B415)</f>
        <v>0.64</v>
      </c>
      <c r="AJ415" s="86">
        <f>AVERAGEIFS($D$2:D415, $B$2:B415, B415)</f>
        <v>1</v>
      </c>
    </row>
    <row r="416" spans="1:36" x14ac:dyDescent="0.25">
      <c r="A416" s="85">
        <v>46093</v>
      </c>
      <c r="B416" t="s">
        <v>148</v>
      </c>
      <c r="C416">
        <v>3</v>
      </c>
      <c r="D416">
        <v>1</v>
      </c>
      <c r="E416">
        <v>4</v>
      </c>
      <c r="F416">
        <v>3</v>
      </c>
      <c r="G416">
        <v>14</v>
      </c>
      <c r="H416">
        <v>9</v>
      </c>
      <c r="I416">
        <v>0.75</v>
      </c>
      <c r="J416">
        <v>0.64</v>
      </c>
      <c r="K416">
        <v>0</v>
      </c>
      <c r="L416">
        <v>1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1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1</v>
      </c>
      <c r="AC416">
        <v>0</v>
      </c>
      <c r="AD416">
        <v>0</v>
      </c>
      <c r="AE416">
        <v>0</v>
      </c>
      <c r="AF416">
        <v>0</v>
      </c>
      <c r="AG416" s="86">
        <f>AVERAGEIFS($C$2:C416, $B$2:B416, B416)</f>
        <v>6.5</v>
      </c>
      <c r="AH416" s="86">
        <f>AVERAGEIFS($I$2:I416, $B$2:B416, B416)</f>
        <v>0.65</v>
      </c>
      <c r="AI416" s="86">
        <f>AVERAGEIFS($J$2:J416, $B$2:B416, B416)</f>
        <v>0.60499999999999998</v>
      </c>
      <c r="AJ416" s="86">
        <f>AVERAGEIFS($D$2:D416, $B$2:B416, B416)</f>
        <v>0.75</v>
      </c>
    </row>
    <row r="417" spans="1:36" x14ac:dyDescent="0.25">
      <c r="A417" s="85">
        <v>46093</v>
      </c>
      <c r="B417" t="s">
        <v>50</v>
      </c>
      <c r="C417">
        <v>15</v>
      </c>
      <c r="D417">
        <v>1</v>
      </c>
      <c r="E417">
        <v>4</v>
      </c>
      <c r="F417">
        <v>3</v>
      </c>
      <c r="G417">
        <v>14</v>
      </c>
      <c r="H417">
        <v>9</v>
      </c>
      <c r="I417">
        <v>0.75</v>
      </c>
      <c r="J417">
        <v>0.64</v>
      </c>
      <c r="K417">
        <v>0</v>
      </c>
      <c r="L417">
        <v>1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1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1</v>
      </c>
      <c r="AC417">
        <v>0</v>
      </c>
      <c r="AD417">
        <v>0</v>
      </c>
      <c r="AE417">
        <v>0</v>
      </c>
      <c r="AF417">
        <v>0</v>
      </c>
      <c r="AG417" s="86">
        <f>AVERAGEIFS($C$2:C417, $B$2:B417, B417)</f>
        <v>19.416666666666668</v>
      </c>
      <c r="AH417" s="86">
        <f>AVERAGEIFS($I$2:I417, $B$2:B417, B417)</f>
        <v>0.55333333333333334</v>
      </c>
      <c r="AI417" s="86">
        <f>AVERAGEIFS($J$2:J417, $B$2:B417, B417)</f>
        <v>0.5412499999999999</v>
      </c>
      <c r="AJ417" s="86">
        <f>AVERAGEIFS($D$2:D417, $B$2:B417, B417)</f>
        <v>0.58333333333333337</v>
      </c>
    </row>
    <row r="418" spans="1:36" x14ac:dyDescent="0.25">
      <c r="A418" s="85">
        <v>46093</v>
      </c>
      <c r="B418" t="s">
        <v>71</v>
      </c>
      <c r="C418">
        <v>1</v>
      </c>
      <c r="D418">
        <v>1</v>
      </c>
      <c r="E418">
        <v>4</v>
      </c>
      <c r="F418">
        <v>3</v>
      </c>
      <c r="G418">
        <v>14</v>
      </c>
      <c r="H418">
        <v>9</v>
      </c>
      <c r="I418">
        <v>0.75</v>
      </c>
      <c r="J418">
        <v>0.64</v>
      </c>
      <c r="K418">
        <v>0</v>
      </c>
      <c r="L418">
        <v>1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1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1</v>
      </c>
      <c r="AC418">
        <v>0</v>
      </c>
      <c r="AD418">
        <v>0</v>
      </c>
      <c r="AE418">
        <v>0</v>
      </c>
      <c r="AF418">
        <v>0</v>
      </c>
      <c r="AG418" s="86">
        <f>AVERAGEIFS($C$2:C418, $B$2:B418, B418)</f>
        <v>12.714285714285714</v>
      </c>
      <c r="AH418" s="86">
        <f>AVERAGEIFS($I$2:I418, $B$2:B418, B418)</f>
        <v>0.52857142857142858</v>
      </c>
      <c r="AI418" s="86">
        <f>AVERAGEIFS($J$2:J418, $B$2:B418, B418)</f>
        <v>0.48285714285714282</v>
      </c>
      <c r="AJ418" s="86">
        <f>AVERAGEIFS($D$2:D418, $B$2:B418, B418)</f>
        <v>0.7142857142857143</v>
      </c>
    </row>
    <row r="419" spans="1:36" x14ac:dyDescent="0.25">
      <c r="A419" s="85">
        <v>46093</v>
      </c>
      <c r="B419" t="s">
        <v>141</v>
      </c>
      <c r="C419">
        <v>12</v>
      </c>
      <c r="D419">
        <v>0</v>
      </c>
      <c r="E419">
        <v>4</v>
      </c>
      <c r="F419">
        <v>1</v>
      </c>
      <c r="G419">
        <v>14</v>
      </c>
      <c r="H419">
        <v>5</v>
      </c>
      <c r="I419">
        <v>0.25</v>
      </c>
      <c r="J419">
        <v>0.36</v>
      </c>
      <c r="K419">
        <v>0</v>
      </c>
      <c r="L419">
        <v>0</v>
      </c>
      <c r="M419">
        <v>0</v>
      </c>
      <c r="N419">
        <v>1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 s="86">
        <f>AVERAGEIFS($C$2:C419, $B$2:B419, B419)</f>
        <v>12</v>
      </c>
      <c r="AH419" s="86">
        <f>AVERAGEIFS($I$2:I419, $B$2:B419, B419)</f>
        <v>0.25</v>
      </c>
      <c r="AI419" s="86">
        <f>AVERAGEIFS($J$2:J419, $B$2:B419, B419)</f>
        <v>0.36</v>
      </c>
      <c r="AJ419" s="86">
        <f>AVERAGEIFS($D$2:D419, $B$2:B419, B419)</f>
        <v>0</v>
      </c>
    </row>
    <row r="420" spans="1:36" x14ac:dyDescent="0.25">
      <c r="A420" s="85">
        <v>46093</v>
      </c>
      <c r="B420" t="s">
        <v>113</v>
      </c>
      <c r="C420">
        <v>15</v>
      </c>
      <c r="D420">
        <v>0</v>
      </c>
      <c r="E420">
        <v>4</v>
      </c>
      <c r="F420">
        <v>1</v>
      </c>
      <c r="G420">
        <v>14</v>
      </c>
      <c r="H420">
        <v>5</v>
      </c>
      <c r="I420">
        <v>0.25</v>
      </c>
      <c r="J420">
        <v>0.36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 s="86">
        <f>AVERAGEIFS($C$2:C420, $B$2:B420, B420)</f>
        <v>18.25</v>
      </c>
      <c r="AH420" s="86">
        <f>AVERAGEIFS($I$2:I420, $B$2:B420, B420)</f>
        <v>0.53125</v>
      </c>
      <c r="AI420" s="86">
        <f>AVERAGEIFS($J$2:J420, $B$2:B420, B420)</f>
        <v>0.49874999999999997</v>
      </c>
      <c r="AJ420" s="86">
        <f>AVERAGEIFS($D$2:D420, $B$2:B420, B420)</f>
        <v>0.5</v>
      </c>
    </row>
    <row r="421" spans="1:36" x14ac:dyDescent="0.25">
      <c r="A421" s="85">
        <v>46093</v>
      </c>
      <c r="B421" t="s">
        <v>52</v>
      </c>
      <c r="C421">
        <v>17</v>
      </c>
      <c r="D421">
        <v>0</v>
      </c>
      <c r="E421">
        <v>4</v>
      </c>
      <c r="F421">
        <v>1</v>
      </c>
      <c r="G421">
        <v>14</v>
      </c>
      <c r="H421">
        <v>5</v>
      </c>
      <c r="I421">
        <v>0.25</v>
      </c>
      <c r="J421">
        <v>0.36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 s="86">
        <f>AVERAGEIFS($C$2:C421, $B$2:B421, B421)</f>
        <v>13.888888888888889</v>
      </c>
      <c r="AH421" s="86">
        <f>AVERAGEIFS($I$2:I421, $B$2:B421, B421)</f>
        <v>0.37777777777777777</v>
      </c>
      <c r="AI421" s="86">
        <f>AVERAGEIFS($J$2:J421, $B$2:B421, B421)</f>
        <v>0.4211111111111111</v>
      </c>
      <c r="AJ421" s="86">
        <f>AVERAGEIFS($D$2:D421, $B$2:B421, B421)</f>
        <v>0.22222222222222221</v>
      </c>
    </row>
    <row r="422" spans="1:36" x14ac:dyDescent="0.25">
      <c r="A422" s="85">
        <v>46093</v>
      </c>
      <c r="B422" t="s">
        <v>40</v>
      </c>
      <c r="C422">
        <v>9</v>
      </c>
      <c r="D422">
        <v>0</v>
      </c>
      <c r="E422">
        <v>4</v>
      </c>
      <c r="F422">
        <v>1</v>
      </c>
      <c r="G422">
        <v>14</v>
      </c>
      <c r="H422">
        <v>5</v>
      </c>
      <c r="I422">
        <v>0.25</v>
      </c>
      <c r="J422">
        <v>0.36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 s="86">
        <f>AVERAGEIFS($C$2:C422, $B$2:B422, B422)</f>
        <v>17.958333333333332</v>
      </c>
      <c r="AH422" s="86">
        <f>AVERAGEIFS($I$2:I422, $B$2:B422, B422)</f>
        <v>0.47500000000000009</v>
      </c>
      <c r="AI422" s="86">
        <f>AVERAGEIFS($J$2:J422, $B$2:B422, B422)</f>
        <v>0.49208333333333326</v>
      </c>
      <c r="AJ422" s="86">
        <f>AVERAGEIFS($D$2:D422, $B$2:B422, B422)</f>
        <v>0.45833333333333331</v>
      </c>
    </row>
    <row r="423" spans="1:36" x14ac:dyDescent="0.25">
      <c r="A423" s="85">
        <v>46093</v>
      </c>
      <c r="B423" t="s">
        <v>4</v>
      </c>
      <c r="C423">
        <v>16</v>
      </c>
      <c r="D423">
        <v>0</v>
      </c>
      <c r="E423">
        <v>4</v>
      </c>
      <c r="F423">
        <v>1</v>
      </c>
      <c r="G423">
        <v>14</v>
      </c>
      <c r="H423">
        <v>5</v>
      </c>
      <c r="I423">
        <v>0.25</v>
      </c>
      <c r="J423">
        <v>0.36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 s="86">
        <f>AVERAGEIFS($C$2:C423, $B$2:B423, B423)</f>
        <v>25.285714285714285</v>
      </c>
      <c r="AH423" s="86">
        <f>AVERAGEIFS($I$2:I423, $B$2:B423, B423)</f>
        <v>0.37142857142857144</v>
      </c>
      <c r="AI423" s="86">
        <f>AVERAGEIFS($J$2:J423, $B$2:B423, B423)</f>
        <v>0.43428571428571427</v>
      </c>
      <c r="AJ423" s="86">
        <f>AVERAGEIFS($D$2:D423, $B$2:B423, B423)</f>
        <v>0.21428571428571427</v>
      </c>
    </row>
    <row r="424" spans="1:36" x14ac:dyDescent="0.25">
      <c r="A424" s="85">
        <v>46093</v>
      </c>
      <c r="B424" t="s">
        <v>107</v>
      </c>
      <c r="C424">
        <v>5</v>
      </c>
      <c r="D424">
        <v>0</v>
      </c>
      <c r="E424">
        <v>4</v>
      </c>
      <c r="F424">
        <v>1</v>
      </c>
      <c r="G424">
        <v>14</v>
      </c>
      <c r="H424">
        <v>5</v>
      </c>
      <c r="I424">
        <v>0.25</v>
      </c>
      <c r="J424">
        <v>0.36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 s="86">
        <f>AVERAGEIFS($C$2:C424, $B$2:B424, B424)</f>
        <v>15.090909090909092</v>
      </c>
      <c r="AH424" s="86">
        <f>AVERAGEIFS($I$2:I424, $B$2:B424, B424)</f>
        <v>0.53636363636363626</v>
      </c>
      <c r="AI424" s="86">
        <f>AVERAGEIFS($J$2:J424, $B$2:B424, B424)</f>
        <v>0.52090909090909088</v>
      </c>
      <c r="AJ424" s="86">
        <f>AVERAGEIFS($D$2:D424, $B$2:B424, B424)</f>
        <v>0.54545454545454541</v>
      </c>
    </row>
    <row r="425" spans="1:36" x14ac:dyDescent="0.25">
      <c r="A425" s="85">
        <v>46094</v>
      </c>
      <c r="B425" t="s">
        <v>54</v>
      </c>
      <c r="C425">
        <v>27</v>
      </c>
      <c r="D425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1</v>
      </c>
      <c r="Z425">
        <v>1</v>
      </c>
      <c r="AA425">
        <v>0</v>
      </c>
      <c r="AB425">
        <v>1</v>
      </c>
      <c r="AC425">
        <v>0</v>
      </c>
      <c r="AD425">
        <v>0</v>
      </c>
      <c r="AE425">
        <v>0</v>
      </c>
      <c r="AF425">
        <v>0</v>
      </c>
      <c r="AG425" s="86">
        <f>AVERAGEIFS($C$2:C425, $B$2:B425, B425)</f>
        <v>24.827586206896552</v>
      </c>
      <c r="AH425" s="86">
        <f>AVERAGEIFS($I$2:I425, $B$2:B425, B425)</f>
        <v>0.53</v>
      </c>
      <c r="AI425" s="86">
        <f>AVERAGEIFS($J$2:J425, $B$2:B425, B425)</f>
        <v>0.49586206896551727</v>
      </c>
      <c r="AJ425" s="86">
        <f>AVERAGEIFS($D$2:D425, $B$2:B425, B425)</f>
        <v>0.51724137931034486</v>
      </c>
    </row>
    <row r="426" spans="1:36" x14ac:dyDescent="0.25">
      <c r="A426" s="85">
        <v>46094</v>
      </c>
      <c r="B426" t="s">
        <v>2</v>
      </c>
      <c r="C426">
        <v>19</v>
      </c>
      <c r="D42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1</v>
      </c>
      <c r="Z426">
        <v>1</v>
      </c>
      <c r="AA426">
        <v>0</v>
      </c>
      <c r="AB426">
        <v>1</v>
      </c>
      <c r="AC426">
        <v>0</v>
      </c>
      <c r="AD426">
        <v>0</v>
      </c>
      <c r="AE426">
        <v>0</v>
      </c>
      <c r="AF426">
        <v>0</v>
      </c>
      <c r="AG426" s="86">
        <f>AVERAGEIFS($C$2:C426, $B$2:B426, B426)</f>
        <v>23.826086956521738</v>
      </c>
      <c r="AH426" s="86">
        <f>AVERAGEIFS($I$2:I426, $B$2:B426, B426)</f>
        <v>0.52521739130434786</v>
      </c>
      <c r="AI426" s="86">
        <f>AVERAGEIFS($J$2:J426, $B$2:B426, B426)</f>
        <v>0.53739130434782612</v>
      </c>
      <c r="AJ426" s="86">
        <f>AVERAGEIFS($D$2:D426, $B$2:B426, B426)</f>
        <v>0.52173913043478259</v>
      </c>
    </row>
    <row r="427" spans="1:36" x14ac:dyDescent="0.25">
      <c r="A427" s="85">
        <v>46094</v>
      </c>
      <c r="B427" t="s">
        <v>113</v>
      </c>
      <c r="C427">
        <v>11</v>
      </c>
      <c r="D427">
        <v>1</v>
      </c>
      <c r="E427">
        <v>4</v>
      </c>
      <c r="F427">
        <v>3</v>
      </c>
      <c r="G427">
        <v>16</v>
      </c>
      <c r="H427">
        <v>10</v>
      </c>
      <c r="I427">
        <v>0.75</v>
      </c>
      <c r="J427">
        <v>0.63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1</v>
      </c>
      <c r="Z427">
        <v>1</v>
      </c>
      <c r="AA427">
        <v>0</v>
      </c>
      <c r="AB427">
        <v>1</v>
      </c>
      <c r="AC427">
        <v>0</v>
      </c>
      <c r="AD427">
        <v>0</v>
      </c>
      <c r="AE427">
        <v>0</v>
      </c>
      <c r="AF427">
        <v>0</v>
      </c>
      <c r="AG427" s="86">
        <f>AVERAGEIFS($C$2:C427, $B$2:B427, B427)</f>
        <v>17.444444444444443</v>
      </c>
      <c r="AH427" s="86">
        <f>AVERAGEIFS($I$2:I427, $B$2:B427, B427)</f>
        <v>0.55555555555555558</v>
      </c>
      <c r="AI427" s="86">
        <f>AVERAGEIFS($J$2:J427, $B$2:B427, B427)</f>
        <v>0.51333333333333331</v>
      </c>
      <c r="AJ427" s="86">
        <f>AVERAGEIFS($D$2:D427, $B$2:B427, B427)</f>
        <v>0.55555555555555558</v>
      </c>
    </row>
    <row r="428" spans="1:36" x14ac:dyDescent="0.25">
      <c r="A428" s="85">
        <v>46094</v>
      </c>
      <c r="B428" t="s">
        <v>53</v>
      </c>
      <c r="C428">
        <v>18</v>
      </c>
      <c r="D428">
        <v>1</v>
      </c>
      <c r="E428">
        <v>4</v>
      </c>
      <c r="F428">
        <v>3</v>
      </c>
      <c r="G428">
        <v>16</v>
      </c>
      <c r="H428">
        <v>10</v>
      </c>
      <c r="I428">
        <v>0.75</v>
      </c>
      <c r="J428">
        <v>0.63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1</v>
      </c>
      <c r="Z428">
        <v>1</v>
      </c>
      <c r="AA428">
        <v>0</v>
      </c>
      <c r="AB428">
        <v>1</v>
      </c>
      <c r="AC428">
        <v>0</v>
      </c>
      <c r="AD428">
        <v>0</v>
      </c>
      <c r="AE428">
        <v>0</v>
      </c>
      <c r="AF428">
        <v>0</v>
      </c>
      <c r="AG428" s="86">
        <f>AVERAGEIFS($C$2:C428, $B$2:B428, B428)</f>
        <v>17.53846153846154</v>
      </c>
      <c r="AH428" s="86">
        <f>AVERAGEIFS($I$2:I428, $B$2:B428, B428)</f>
        <v>0.55000000000000004</v>
      </c>
      <c r="AI428" s="86">
        <f>AVERAGEIFS($J$2:J428, $B$2:B428, B428)</f>
        <v>0.52230769230769236</v>
      </c>
      <c r="AJ428" s="86">
        <f>AVERAGEIFS($D$2:D428, $B$2:B428, B428)</f>
        <v>0.53846153846153844</v>
      </c>
    </row>
    <row r="429" spans="1:36" x14ac:dyDescent="0.25">
      <c r="A429" s="85">
        <v>46094</v>
      </c>
      <c r="B429" t="s">
        <v>35</v>
      </c>
      <c r="C429">
        <v>6</v>
      </c>
      <c r="D429">
        <v>1</v>
      </c>
      <c r="E429">
        <v>4</v>
      </c>
      <c r="F429">
        <v>3</v>
      </c>
      <c r="G429">
        <v>16</v>
      </c>
      <c r="H429">
        <v>10</v>
      </c>
      <c r="I429">
        <v>0.75</v>
      </c>
      <c r="J429">
        <v>0.63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1</v>
      </c>
      <c r="Z429">
        <v>1</v>
      </c>
      <c r="AA429">
        <v>0</v>
      </c>
      <c r="AB429">
        <v>1</v>
      </c>
      <c r="AC429">
        <v>0</v>
      </c>
      <c r="AD429">
        <v>0</v>
      </c>
      <c r="AE429">
        <v>0</v>
      </c>
      <c r="AF429">
        <v>0</v>
      </c>
      <c r="AG429" s="86">
        <f>AVERAGEIFS($C$2:C429, $B$2:B429, B429)</f>
        <v>11.56</v>
      </c>
      <c r="AH429" s="86">
        <f>AVERAGEIFS($I$2:I429, $B$2:B429, B429)</f>
        <v>0.46720000000000006</v>
      </c>
      <c r="AI429" s="86">
        <f>AVERAGEIFS($J$2:J429, $B$2:B429, B429)</f>
        <v>0.49080000000000007</v>
      </c>
      <c r="AJ429" s="86">
        <f>AVERAGEIFS($D$2:D429, $B$2:B429, B429)</f>
        <v>0.4</v>
      </c>
    </row>
    <row r="430" spans="1:36" x14ac:dyDescent="0.25">
      <c r="A430" s="85">
        <v>46094</v>
      </c>
      <c r="B430" t="s">
        <v>148</v>
      </c>
      <c r="C430">
        <v>6</v>
      </c>
      <c r="D430">
        <v>1</v>
      </c>
      <c r="E430">
        <v>4</v>
      </c>
      <c r="F430">
        <v>3</v>
      </c>
      <c r="G430">
        <v>16</v>
      </c>
      <c r="H430">
        <v>10</v>
      </c>
      <c r="I430">
        <v>0.75</v>
      </c>
      <c r="J430">
        <v>0.63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1</v>
      </c>
      <c r="Z430">
        <v>1</v>
      </c>
      <c r="AA430">
        <v>0</v>
      </c>
      <c r="AB430">
        <v>1</v>
      </c>
      <c r="AC430">
        <v>0</v>
      </c>
      <c r="AD430">
        <v>0</v>
      </c>
      <c r="AE430">
        <v>0</v>
      </c>
      <c r="AF430">
        <v>0</v>
      </c>
      <c r="AG430" s="86">
        <f>AVERAGEIFS($C$2:C430, $B$2:B430, B430)</f>
        <v>6.4</v>
      </c>
      <c r="AH430" s="86">
        <f>AVERAGEIFS($I$2:I430, $B$2:B430, B430)</f>
        <v>0.67</v>
      </c>
      <c r="AI430" s="86">
        <f>AVERAGEIFS($J$2:J430, $B$2:B430, B430)</f>
        <v>0.61</v>
      </c>
      <c r="AJ430" s="86">
        <f>AVERAGEIFS($D$2:D430, $B$2:B430, B430)</f>
        <v>0.8</v>
      </c>
    </row>
    <row r="431" spans="1:36" x14ac:dyDescent="0.25">
      <c r="A431" s="85">
        <v>46094</v>
      </c>
      <c r="B431" t="s">
        <v>1</v>
      </c>
      <c r="C431">
        <v>24</v>
      </c>
      <c r="D431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1</v>
      </c>
      <c r="AE431">
        <v>0</v>
      </c>
      <c r="AF431">
        <v>0</v>
      </c>
      <c r="AG431" s="86">
        <f>AVERAGEIFS($C$2:C431, $B$2:B431, B431)</f>
        <v>28.357142857142858</v>
      </c>
      <c r="AH431" s="86">
        <f>AVERAGEIFS($I$2:I431, $B$2:B431, B431)</f>
        <v>0.38928571428571429</v>
      </c>
      <c r="AI431" s="86">
        <f>AVERAGEIFS($J$2:J431, $B$2:B431, B431)</f>
        <v>0.43642857142857133</v>
      </c>
      <c r="AJ431" s="86">
        <f>AVERAGEIFS($D$2:D431, $B$2:B431, B431)</f>
        <v>0.42857142857142855</v>
      </c>
    </row>
    <row r="432" spans="1:36" x14ac:dyDescent="0.25">
      <c r="A432" s="85">
        <v>46094</v>
      </c>
      <c r="B432" t="s">
        <v>4</v>
      </c>
      <c r="C432">
        <v>13</v>
      </c>
      <c r="D432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1</v>
      </c>
      <c r="AE432">
        <v>0</v>
      </c>
      <c r="AF432">
        <v>0</v>
      </c>
      <c r="AG432" s="86">
        <f>AVERAGEIFS($C$2:C432, $B$2:B432, B432)</f>
        <v>24.466666666666665</v>
      </c>
      <c r="AH432" s="86">
        <f>AVERAGEIFS($I$2:I432, $B$2:B432, B432)</f>
        <v>0.36333333333333334</v>
      </c>
      <c r="AI432" s="86">
        <f>AVERAGEIFS($J$2:J432, $B$2:B432, B432)</f>
        <v>0.43066666666666664</v>
      </c>
      <c r="AJ432" s="86">
        <f>AVERAGEIFS($D$2:D432, $B$2:B432, B432)</f>
        <v>0.2</v>
      </c>
    </row>
    <row r="433" spans="1:36" x14ac:dyDescent="0.25">
      <c r="A433" s="85">
        <v>46094</v>
      </c>
      <c r="B433" t="s">
        <v>40</v>
      </c>
      <c r="C433">
        <v>8</v>
      </c>
      <c r="D433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1</v>
      </c>
      <c r="AE433">
        <v>0</v>
      </c>
      <c r="AF433">
        <v>0</v>
      </c>
      <c r="AG433" s="86">
        <f>AVERAGEIFS($C$2:C433, $B$2:B433, B433)</f>
        <v>17.559999999999999</v>
      </c>
      <c r="AH433" s="86">
        <f>AVERAGEIFS($I$2:I433, $B$2:B433, B433)</f>
        <v>0.46600000000000008</v>
      </c>
      <c r="AI433" s="86">
        <f>AVERAGEIFS($J$2:J433, $B$2:B433, B433)</f>
        <v>0.48759999999999998</v>
      </c>
      <c r="AJ433" s="86">
        <f>AVERAGEIFS($D$2:D433, $B$2:B433, B433)</f>
        <v>0.44</v>
      </c>
    </row>
    <row r="434" spans="1:36" x14ac:dyDescent="0.25">
      <c r="A434" s="85">
        <v>46094</v>
      </c>
      <c r="B434" t="s">
        <v>143</v>
      </c>
      <c r="C434">
        <v>8</v>
      </c>
      <c r="D434">
        <v>0</v>
      </c>
      <c r="E434">
        <v>4</v>
      </c>
      <c r="F434">
        <v>1</v>
      </c>
      <c r="G434">
        <v>16</v>
      </c>
      <c r="H434">
        <v>6</v>
      </c>
      <c r="I434">
        <v>0.25</v>
      </c>
      <c r="J434">
        <v>0.38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1</v>
      </c>
      <c r="AE434">
        <v>0</v>
      </c>
      <c r="AF434">
        <v>0</v>
      </c>
      <c r="AG434" s="86">
        <f>AVERAGEIFS($C$2:C434, $B$2:B434, B434)</f>
        <v>8</v>
      </c>
      <c r="AH434" s="86">
        <f>AVERAGEIFS($I$2:I434, $B$2:B434, B434)</f>
        <v>0.25</v>
      </c>
      <c r="AI434" s="86">
        <f>AVERAGEIFS($J$2:J434, $B$2:B434, B434)</f>
        <v>0.38</v>
      </c>
      <c r="AJ434" s="86">
        <f>AVERAGEIFS($D$2:D434, $B$2:B434, B434)</f>
        <v>0</v>
      </c>
    </row>
    <row r="435" spans="1:36" x14ac:dyDescent="0.25">
      <c r="A435" s="85">
        <v>46094</v>
      </c>
      <c r="B435" t="s">
        <v>28</v>
      </c>
      <c r="C435">
        <v>10</v>
      </c>
      <c r="D435">
        <v>0</v>
      </c>
      <c r="E435">
        <v>4</v>
      </c>
      <c r="F435">
        <v>1</v>
      </c>
      <c r="G435">
        <v>16</v>
      </c>
      <c r="H435">
        <v>6</v>
      </c>
      <c r="I435">
        <v>0.25</v>
      </c>
      <c r="J435">
        <v>0.38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1</v>
      </c>
      <c r="AE435">
        <v>0</v>
      </c>
      <c r="AF435">
        <v>0</v>
      </c>
      <c r="AG435" s="86">
        <f>AVERAGEIFS($C$2:C435, $B$2:B435, B435)</f>
        <v>15.470588235294118</v>
      </c>
      <c r="AH435" s="86">
        <f>AVERAGEIFS($I$2:I435, $B$2:B435, B435)</f>
        <v>0.37823529411764706</v>
      </c>
      <c r="AI435" s="86">
        <f>AVERAGEIFS($J$2:J435, $B$2:B435, B435)</f>
        <v>0.4499999999999999</v>
      </c>
      <c r="AJ435" s="86">
        <f>AVERAGEIFS($D$2:D435, $B$2:B435, B435)</f>
        <v>0.29411764705882354</v>
      </c>
    </row>
    <row r="436" spans="1:36" x14ac:dyDescent="0.25">
      <c r="A436" s="85">
        <v>46094</v>
      </c>
      <c r="B436" t="s">
        <v>118</v>
      </c>
      <c r="C436">
        <v>20</v>
      </c>
      <c r="D436">
        <v>0</v>
      </c>
      <c r="E436">
        <v>4</v>
      </c>
      <c r="F436">
        <v>1</v>
      </c>
      <c r="G436">
        <v>16</v>
      </c>
      <c r="H436">
        <v>6</v>
      </c>
      <c r="I436">
        <v>0.25</v>
      </c>
      <c r="J436">
        <v>0.38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1</v>
      </c>
      <c r="AE436">
        <v>0</v>
      </c>
      <c r="AF436">
        <v>0</v>
      </c>
      <c r="AG436" s="86">
        <f>AVERAGEIFS($C$2:C436, $B$2:B436, B436)</f>
        <v>15</v>
      </c>
      <c r="AH436" s="86">
        <f>AVERAGEIFS($I$2:I436, $B$2:B436, B436)</f>
        <v>0.5</v>
      </c>
      <c r="AI436" s="86">
        <f>AVERAGEIFS($J$2:J436, $B$2:B436, B436)</f>
        <v>0.51</v>
      </c>
      <c r="AJ436" s="86">
        <f>AVERAGEIFS($D$2:D436, $B$2:B436, B436)</f>
        <v>0.5</v>
      </c>
    </row>
    <row r="437" spans="1:36" x14ac:dyDescent="0.25">
      <c r="A437" s="85">
        <v>46094</v>
      </c>
      <c r="B437" t="s">
        <v>54</v>
      </c>
      <c r="C437">
        <v>15</v>
      </c>
      <c r="D437">
        <v>1</v>
      </c>
      <c r="E437">
        <v>3</v>
      </c>
      <c r="F437">
        <v>3</v>
      </c>
      <c r="G437">
        <v>10</v>
      </c>
      <c r="H437">
        <v>9</v>
      </c>
      <c r="I437">
        <v>1</v>
      </c>
      <c r="J437">
        <v>0.9</v>
      </c>
      <c r="K437">
        <v>1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1</v>
      </c>
      <c r="AG437" s="86">
        <f>AVERAGEIFS($C$2:C437, $B$2:B437, B437)</f>
        <v>24.5</v>
      </c>
      <c r="AH437" s="86">
        <f>AVERAGEIFS($I$2:I437, $B$2:B437, B437)</f>
        <v>0.54566666666666674</v>
      </c>
      <c r="AI437" s="86">
        <f>AVERAGEIFS($J$2:J437, $B$2:B437, B437)</f>
        <v>0.50933333333333342</v>
      </c>
      <c r="AJ437" s="86">
        <f>AVERAGEIFS($D$2:D437, $B$2:B437, B437)</f>
        <v>0.53333333333333333</v>
      </c>
    </row>
    <row r="438" spans="1:36" x14ac:dyDescent="0.25">
      <c r="A438" s="85">
        <v>46094</v>
      </c>
      <c r="B438" t="s">
        <v>2</v>
      </c>
      <c r="C438">
        <v>11</v>
      </c>
      <c r="D438">
        <v>1</v>
      </c>
      <c r="E438">
        <v>3</v>
      </c>
      <c r="F438">
        <v>3</v>
      </c>
      <c r="G438">
        <v>10</v>
      </c>
      <c r="H438">
        <v>9</v>
      </c>
      <c r="I438">
        <v>1</v>
      </c>
      <c r="J438">
        <v>0.9</v>
      </c>
      <c r="K438">
        <v>1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1</v>
      </c>
      <c r="AG438" s="86">
        <f>AVERAGEIFS($C$2:C438, $B$2:B438, B438)</f>
        <v>23.291666666666668</v>
      </c>
      <c r="AH438" s="86">
        <f>AVERAGEIFS($I$2:I438, $B$2:B438, B438)</f>
        <v>0.54500000000000004</v>
      </c>
      <c r="AI438" s="86">
        <f>AVERAGEIFS($J$2:J438, $B$2:B438, B438)</f>
        <v>0.55249999999999999</v>
      </c>
      <c r="AJ438" s="86">
        <f>AVERAGEIFS($D$2:D438, $B$2:B438, B438)</f>
        <v>0.54166666666666663</v>
      </c>
    </row>
    <row r="439" spans="1:36" x14ac:dyDescent="0.25">
      <c r="A439" s="85">
        <v>46094</v>
      </c>
      <c r="B439" t="s">
        <v>107</v>
      </c>
      <c r="C439">
        <v>5</v>
      </c>
      <c r="D439">
        <v>1</v>
      </c>
      <c r="E439">
        <v>3</v>
      </c>
      <c r="F439">
        <v>3</v>
      </c>
      <c r="G439">
        <v>10</v>
      </c>
      <c r="H439">
        <v>9</v>
      </c>
      <c r="I439">
        <v>1</v>
      </c>
      <c r="J439">
        <v>0.9</v>
      </c>
      <c r="K439">
        <v>1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1</v>
      </c>
      <c r="AG439" s="86">
        <f>AVERAGEIFS($C$2:C439, $B$2:B439, B439)</f>
        <v>14.25</v>
      </c>
      <c r="AH439" s="86">
        <f>AVERAGEIFS($I$2:I439, $B$2:B439, B439)</f>
        <v>0.57499999999999996</v>
      </c>
      <c r="AI439" s="86">
        <f>AVERAGEIFS($J$2:J439, $B$2:B439, B439)</f>
        <v>0.55249999999999999</v>
      </c>
      <c r="AJ439" s="86">
        <f>AVERAGEIFS($D$2:D439, $B$2:B439, B439)</f>
        <v>0.58333333333333337</v>
      </c>
    </row>
    <row r="440" spans="1:36" x14ac:dyDescent="0.25">
      <c r="A440" s="85">
        <v>46094</v>
      </c>
      <c r="B440" t="s">
        <v>40</v>
      </c>
      <c r="C440">
        <v>13</v>
      </c>
      <c r="D440">
        <v>1</v>
      </c>
      <c r="E440">
        <v>3</v>
      </c>
      <c r="F440">
        <v>3</v>
      </c>
      <c r="G440">
        <v>10</v>
      </c>
      <c r="H440">
        <v>9</v>
      </c>
      <c r="I440">
        <v>1</v>
      </c>
      <c r="J440">
        <v>0.9</v>
      </c>
      <c r="K440">
        <v>1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1</v>
      </c>
      <c r="AG440" s="86">
        <f>AVERAGEIFS($C$2:C440, $B$2:B440, B440)</f>
        <v>17.384615384615383</v>
      </c>
      <c r="AH440" s="86">
        <f>AVERAGEIFS($I$2:I440, $B$2:B440, B440)</f>
        <v>0.48653846153846164</v>
      </c>
      <c r="AI440" s="86">
        <f>AVERAGEIFS($J$2:J440, $B$2:B440, B440)</f>
        <v>0.5034615384615384</v>
      </c>
      <c r="AJ440" s="86">
        <f>AVERAGEIFS($D$2:D440, $B$2:B440, B440)</f>
        <v>0.46153846153846156</v>
      </c>
    </row>
    <row r="441" spans="1:36" x14ac:dyDescent="0.25">
      <c r="A441" s="85">
        <v>46094</v>
      </c>
      <c r="B441" t="s">
        <v>148</v>
      </c>
      <c r="C441">
        <v>5</v>
      </c>
      <c r="D441">
        <v>1</v>
      </c>
      <c r="E441">
        <v>3</v>
      </c>
      <c r="F441">
        <v>3</v>
      </c>
      <c r="G441">
        <v>10</v>
      </c>
      <c r="H441">
        <v>9</v>
      </c>
      <c r="I441">
        <v>1</v>
      </c>
      <c r="J441">
        <v>0.9</v>
      </c>
      <c r="K441">
        <v>1</v>
      </c>
      <c r="L441">
        <v>0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1</v>
      </c>
      <c r="AG441" s="86">
        <f>AVERAGEIFS($C$2:C441, $B$2:B441, B441)</f>
        <v>6.166666666666667</v>
      </c>
      <c r="AH441" s="86">
        <f>AVERAGEIFS($I$2:I441, $B$2:B441, B441)</f>
        <v>0.72499999999999998</v>
      </c>
      <c r="AI441" s="86">
        <f>AVERAGEIFS($J$2:J441, $B$2:B441, B441)</f>
        <v>0.65833333333333333</v>
      </c>
      <c r="AJ441" s="86">
        <f>AVERAGEIFS($D$2:D441, $B$2:B441, B441)</f>
        <v>0.83333333333333337</v>
      </c>
    </row>
    <row r="442" spans="1:36" x14ac:dyDescent="0.25">
      <c r="A442" s="85">
        <v>46094</v>
      </c>
      <c r="B442" t="s">
        <v>28</v>
      </c>
      <c r="C442">
        <v>8</v>
      </c>
      <c r="D442">
        <v>1</v>
      </c>
      <c r="E442">
        <v>3</v>
      </c>
      <c r="F442">
        <v>3</v>
      </c>
      <c r="G442">
        <v>10</v>
      </c>
      <c r="H442">
        <v>9</v>
      </c>
      <c r="I442">
        <v>1</v>
      </c>
      <c r="J442">
        <v>0.9</v>
      </c>
      <c r="K442">
        <v>1</v>
      </c>
      <c r="L442">
        <v>0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1</v>
      </c>
      <c r="AG442" s="86">
        <f>AVERAGEIFS($C$2:C442, $B$2:B442, B442)</f>
        <v>15.055555555555555</v>
      </c>
      <c r="AH442" s="86">
        <f>AVERAGEIFS($I$2:I442, $B$2:B442, B442)</f>
        <v>0.41277777777777774</v>
      </c>
      <c r="AI442" s="86">
        <f>AVERAGEIFS($J$2:J442, $B$2:B442, B442)</f>
        <v>0.47499999999999992</v>
      </c>
      <c r="AJ442" s="86">
        <f>AVERAGEIFS($D$2:D442, $B$2:B442, B442)</f>
        <v>0.33333333333333331</v>
      </c>
    </row>
    <row r="443" spans="1:36" x14ac:dyDescent="0.25">
      <c r="A443" s="85">
        <v>46095</v>
      </c>
      <c r="B443" t="s">
        <v>1</v>
      </c>
      <c r="C443">
        <v>4</v>
      </c>
      <c r="D443">
        <v>0</v>
      </c>
      <c r="E443">
        <v>3</v>
      </c>
      <c r="F443">
        <v>0</v>
      </c>
      <c r="G443">
        <v>10</v>
      </c>
      <c r="H443">
        <v>1</v>
      </c>
      <c r="I443">
        <v>0</v>
      </c>
      <c r="J443">
        <v>0.1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 s="86">
        <f>AVERAGEIFS($C$2:C443, $B$2:B443, B443)</f>
        <v>26.733333333333334</v>
      </c>
      <c r="AH443" s="86">
        <f>AVERAGEIFS($I$2:I443, $B$2:B443, B443)</f>
        <v>0.36333333333333334</v>
      </c>
      <c r="AI443" s="86">
        <f>AVERAGEIFS($J$2:J443, $B$2:B443, B443)</f>
        <v>0.41399999999999987</v>
      </c>
      <c r="AJ443" s="86">
        <f>AVERAGEIFS($D$2:D443, $B$2:B443, B443)</f>
        <v>0.4</v>
      </c>
    </row>
    <row r="444" spans="1:36" x14ac:dyDescent="0.25">
      <c r="A444" s="85">
        <v>46095</v>
      </c>
      <c r="B444" t="s">
        <v>4</v>
      </c>
      <c r="C444">
        <v>5</v>
      </c>
      <c r="D444">
        <v>0</v>
      </c>
      <c r="E444">
        <v>3</v>
      </c>
      <c r="F444">
        <v>0</v>
      </c>
      <c r="G444">
        <v>10</v>
      </c>
      <c r="H444">
        <v>1</v>
      </c>
      <c r="I444">
        <v>0</v>
      </c>
      <c r="J444">
        <v>0.1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 s="86">
        <f>AVERAGEIFS($C$2:C444, $B$2:B444, B444)</f>
        <v>23.25</v>
      </c>
      <c r="AH444" s="86">
        <f>AVERAGEIFS($I$2:I444, $B$2:B444, B444)</f>
        <v>0.34062500000000001</v>
      </c>
      <c r="AI444" s="86">
        <f>AVERAGEIFS($J$2:J444, $B$2:B444, B444)</f>
        <v>0.41</v>
      </c>
      <c r="AJ444" s="86">
        <f>AVERAGEIFS($D$2:D444, $B$2:B444, B444)</f>
        <v>0.1875</v>
      </c>
    </row>
    <row r="445" spans="1:36" x14ac:dyDescent="0.25">
      <c r="A445" s="85">
        <v>46095</v>
      </c>
      <c r="B445" t="s">
        <v>53</v>
      </c>
      <c r="C445">
        <v>3</v>
      </c>
      <c r="D445">
        <v>0</v>
      </c>
      <c r="E445">
        <v>3</v>
      </c>
      <c r="F445">
        <v>0</v>
      </c>
      <c r="G445">
        <v>10</v>
      </c>
      <c r="H445">
        <v>1</v>
      </c>
      <c r="I445">
        <v>0</v>
      </c>
      <c r="J445">
        <v>0.1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 s="86">
        <f>AVERAGEIFS($C$2:C445, $B$2:B445, B445)</f>
        <v>16.5</v>
      </c>
      <c r="AH445" s="86">
        <f>AVERAGEIFS($I$2:I445, $B$2:B445, B445)</f>
        <v>0.51071428571428579</v>
      </c>
      <c r="AI445" s="86">
        <f>AVERAGEIFS($J$2:J445, $B$2:B445, B445)</f>
        <v>0.4921428571428571</v>
      </c>
      <c r="AJ445" s="86">
        <f>AVERAGEIFS($D$2:D445, $B$2:B445, B445)</f>
        <v>0.5</v>
      </c>
    </row>
    <row r="446" spans="1:36" x14ac:dyDescent="0.25">
      <c r="A446" s="85">
        <v>46095</v>
      </c>
      <c r="B446" t="s">
        <v>113</v>
      </c>
      <c r="C446">
        <v>2</v>
      </c>
      <c r="D446">
        <v>0</v>
      </c>
      <c r="E446">
        <v>3</v>
      </c>
      <c r="F446">
        <v>0</v>
      </c>
      <c r="G446">
        <v>10</v>
      </c>
      <c r="H446">
        <v>1</v>
      </c>
      <c r="I446">
        <v>0</v>
      </c>
      <c r="J446">
        <v>0.1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 s="86">
        <f>AVERAGEIFS($C$2:C446, $B$2:B446, B446)</f>
        <v>15.9</v>
      </c>
      <c r="AH446" s="86">
        <f>AVERAGEIFS($I$2:I446, $B$2:B446, B446)</f>
        <v>0.5</v>
      </c>
      <c r="AI446" s="86">
        <f>AVERAGEIFS($J$2:J446, $B$2:B446, B446)</f>
        <v>0.47199999999999998</v>
      </c>
      <c r="AJ446" s="86">
        <f>AVERAGEIFS($D$2:D446, $B$2:B446, B446)</f>
        <v>0.5</v>
      </c>
    </row>
    <row r="447" spans="1:36" x14ac:dyDescent="0.25">
      <c r="A447" s="85">
        <v>46095</v>
      </c>
      <c r="B447" t="s">
        <v>147</v>
      </c>
      <c r="C447">
        <v>6</v>
      </c>
      <c r="D447">
        <v>0</v>
      </c>
      <c r="E447">
        <v>3</v>
      </c>
      <c r="F447">
        <v>0</v>
      </c>
      <c r="G447">
        <v>10</v>
      </c>
      <c r="H447">
        <v>1</v>
      </c>
      <c r="I447">
        <v>0</v>
      </c>
      <c r="J447">
        <v>0.1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 s="86">
        <f>AVERAGEIFS($C$2:C447, $B$2:B447, B447)</f>
        <v>6</v>
      </c>
      <c r="AH447" s="86">
        <f>AVERAGEIFS($I$2:I447, $B$2:B447, B447)</f>
        <v>0</v>
      </c>
      <c r="AI447" s="86">
        <f>AVERAGEIFS($J$2:J447, $B$2:B447, B447)</f>
        <v>0.1</v>
      </c>
      <c r="AJ447" s="86">
        <f>AVERAGEIFS($D$2:D447, $B$2:B447, B447)</f>
        <v>0</v>
      </c>
    </row>
    <row r="448" spans="1:36" x14ac:dyDescent="0.25">
      <c r="A448" s="85">
        <v>46095</v>
      </c>
      <c r="B448" t="s">
        <v>35</v>
      </c>
      <c r="C448">
        <v>3</v>
      </c>
      <c r="D448">
        <v>0</v>
      </c>
      <c r="E448">
        <v>3</v>
      </c>
      <c r="F448">
        <v>0</v>
      </c>
      <c r="G448">
        <v>10</v>
      </c>
      <c r="H448">
        <v>1</v>
      </c>
      <c r="I448">
        <v>0</v>
      </c>
      <c r="J448">
        <v>0.1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 s="86">
        <f>AVERAGEIFS($C$2:C448, $B$2:B448, B448)</f>
        <v>11.23076923076923</v>
      </c>
      <c r="AH448" s="86">
        <f>AVERAGEIFS($I$2:I448, $B$2:B448, B448)</f>
        <v>0.44923076923076927</v>
      </c>
      <c r="AI448" s="86">
        <f>AVERAGEIFS($J$2:J448, $B$2:B448, B448)</f>
        <v>0.47576923076923083</v>
      </c>
      <c r="AJ448" s="86">
        <f>AVERAGEIFS($D$2:D448, $B$2:B448, B448)</f>
        <v>0.38461538461538464</v>
      </c>
    </row>
    <row r="449" spans="1:36" x14ac:dyDescent="0.25">
      <c r="A449" s="85">
        <v>46095</v>
      </c>
      <c r="B449" t="s">
        <v>6</v>
      </c>
      <c r="C449">
        <v>21</v>
      </c>
      <c r="D449">
        <v>0</v>
      </c>
      <c r="E449">
        <v>3</v>
      </c>
      <c r="F449">
        <v>0</v>
      </c>
      <c r="G449">
        <v>13</v>
      </c>
      <c r="H449">
        <v>4</v>
      </c>
      <c r="I449">
        <v>0</v>
      </c>
      <c r="J449">
        <v>0.31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 s="86">
        <f>AVERAGEIFS($C$2:C449, $B$2:B449, B449)</f>
        <v>22.7</v>
      </c>
      <c r="AH449" s="86">
        <f>AVERAGEIFS($I$2:I449, $B$2:B449, B449)</f>
        <v>0.61599999999999999</v>
      </c>
      <c r="AI449" s="86">
        <f>AVERAGEIFS($J$2:J449, $B$2:B449, B449)</f>
        <v>0.56599999999999995</v>
      </c>
      <c r="AJ449" s="86">
        <f>AVERAGEIFS($D$2:D449, $B$2:B449, B449)</f>
        <v>0.73333333333333328</v>
      </c>
    </row>
    <row r="450" spans="1:36" x14ac:dyDescent="0.25">
      <c r="A450" s="85">
        <v>46095</v>
      </c>
      <c r="B450" t="s">
        <v>71</v>
      </c>
      <c r="C450">
        <v>10</v>
      </c>
      <c r="D450">
        <v>0</v>
      </c>
      <c r="E450">
        <v>3</v>
      </c>
      <c r="F450">
        <v>0</v>
      </c>
      <c r="G450">
        <v>13</v>
      </c>
      <c r="H450">
        <v>4</v>
      </c>
      <c r="I450">
        <v>0</v>
      </c>
      <c r="J450">
        <v>0.31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 s="86">
        <f>AVERAGEIFS($C$2:C450, $B$2:B450, B450)</f>
        <v>12.375</v>
      </c>
      <c r="AH450" s="86">
        <f>AVERAGEIFS($I$2:I450, $B$2:B450, B450)</f>
        <v>0.46250000000000002</v>
      </c>
      <c r="AI450" s="86">
        <f>AVERAGEIFS($J$2:J450, $B$2:B450, B450)</f>
        <v>0.46124999999999999</v>
      </c>
      <c r="AJ450" s="86">
        <f>AVERAGEIFS($D$2:D450, $B$2:B450, B450)</f>
        <v>0.625</v>
      </c>
    </row>
    <row r="451" spans="1:36" x14ac:dyDescent="0.25">
      <c r="A451" s="85">
        <v>46095</v>
      </c>
      <c r="B451" t="s">
        <v>35</v>
      </c>
      <c r="C451">
        <v>8</v>
      </c>
      <c r="D451">
        <v>0</v>
      </c>
      <c r="E451">
        <v>3</v>
      </c>
      <c r="F451">
        <v>0</v>
      </c>
      <c r="G451">
        <v>13</v>
      </c>
      <c r="H451">
        <v>4</v>
      </c>
      <c r="I451">
        <v>0</v>
      </c>
      <c r="J451">
        <v>0.31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 s="86">
        <f>AVERAGEIFS($C$2:C451, $B$2:B451, B451)</f>
        <v>11.111111111111111</v>
      </c>
      <c r="AH451" s="86">
        <f>AVERAGEIFS($I$2:I451, $B$2:B451, B451)</f>
        <v>0.43259259259259264</v>
      </c>
      <c r="AI451" s="86">
        <f>AVERAGEIFS($J$2:J451, $B$2:B451, B451)</f>
        <v>0.46962962962962967</v>
      </c>
      <c r="AJ451" s="86">
        <f>AVERAGEIFS($D$2:D451, $B$2:B451, B451)</f>
        <v>0.37037037037037035</v>
      </c>
    </row>
    <row r="452" spans="1:36" x14ac:dyDescent="0.25">
      <c r="A452" s="85">
        <v>46095</v>
      </c>
      <c r="B452" t="s">
        <v>148</v>
      </c>
      <c r="C452">
        <v>3</v>
      </c>
      <c r="D452">
        <v>0</v>
      </c>
      <c r="E452">
        <v>3</v>
      </c>
      <c r="F452">
        <v>0</v>
      </c>
      <c r="G452">
        <v>13</v>
      </c>
      <c r="H452">
        <v>4</v>
      </c>
      <c r="I452">
        <v>0</v>
      </c>
      <c r="J452">
        <v>0.31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 s="86">
        <f>AVERAGEIFS($C$2:C452, $B$2:B452, B452)</f>
        <v>5.7142857142857144</v>
      </c>
      <c r="AH452" s="86">
        <f>AVERAGEIFS($I$2:I452, $B$2:B452, B452)</f>
        <v>0.62142857142857133</v>
      </c>
      <c r="AI452" s="86">
        <f>AVERAGEIFS($J$2:J452, $B$2:B452, B452)</f>
        <v>0.60857142857142854</v>
      </c>
      <c r="AJ452" s="86">
        <f>AVERAGEIFS($D$2:D452, $B$2:B452, B452)</f>
        <v>0.7142857142857143</v>
      </c>
    </row>
    <row r="453" spans="1:36" x14ac:dyDescent="0.25">
      <c r="A453" s="85">
        <v>46095</v>
      </c>
      <c r="B453" t="s">
        <v>143</v>
      </c>
      <c r="C453">
        <v>9</v>
      </c>
      <c r="D453">
        <v>0</v>
      </c>
      <c r="E453">
        <v>3</v>
      </c>
      <c r="F453">
        <v>0</v>
      </c>
      <c r="G453">
        <v>13</v>
      </c>
      <c r="H453">
        <v>4</v>
      </c>
      <c r="I453">
        <v>0</v>
      </c>
      <c r="J453">
        <v>0.31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 s="86">
        <f>AVERAGEIFS($C$2:C453, $B$2:B453, B453)</f>
        <v>8.5</v>
      </c>
      <c r="AH453" s="86">
        <f>AVERAGEIFS($I$2:I453, $B$2:B453, B453)</f>
        <v>0.125</v>
      </c>
      <c r="AI453" s="86">
        <f>AVERAGEIFS($J$2:J453, $B$2:B453, B453)</f>
        <v>0.34499999999999997</v>
      </c>
      <c r="AJ453" s="86">
        <f>AVERAGEIFS($D$2:D453, $B$2:B453, B453)</f>
        <v>0</v>
      </c>
    </row>
    <row r="454" spans="1:36" x14ac:dyDescent="0.25">
      <c r="A454" s="85">
        <v>46095</v>
      </c>
      <c r="B454" t="s">
        <v>54</v>
      </c>
      <c r="C454">
        <v>20</v>
      </c>
      <c r="D454">
        <v>0</v>
      </c>
      <c r="E454">
        <v>3</v>
      </c>
      <c r="F454">
        <v>0</v>
      </c>
      <c r="G454">
        <v>13</v>
      </c>
      <c r="H454">
        <v>4</v>
      </c>
      <c r="I454">
        <v>0</v>
      </c>
      <c r="J454">
        <v>0.31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 s="86">
        <f>AVERAGEIFS($C$2:C454, $B$2:B454, B454)</f>
        <v>24.35483870967742</v>
      </c>
      <c r="AH454" s="86">
        <f>AVERAGEIFS($I$2:I454, $B$2:B454, B454)</f>
        <v>0.52806451612903227</v>
      </c>
      <c r="AI454" s="86">
        <f>AVERAGEIFS($J$2:J454, $B$2:B454, B454)</f>
        <v>0.50290322580645164</v>
      </c>
      <c r="AJ454" s="86">
        <f>AVERAGEIFS($D$2:D454, $B$2:B454, B454)</f>
        <v>0.5161290322580645</v>
      </c>
    </row>
    <row r="455" spans="1:36" x14ac:dyDescent="0.25">
      <c r="A455" s="85">
        <v>46095</v>
      </c>
      <c r="B455" t="s">
        <v>28</v>
      </c>
      <c r="C455">
        <v>12</v>
      </c>
      <c r="D455">
        <v>1</v>
      </c>
      <c r="E455">
        <v>3</v>
      </c>
      <c r="F455">
        <v>3</v>
      </c>
      <c r="G455">
        <v>13</v>
      </c>
      <c r="H455">
        <v>9</v>
      </c>
      <c r="I455">
        <v>1</v>
      </c>
      <c r="J455">
        <v>0.69</v>
      </c>
      <c r="K455">
        <v>0</v>
      </c>
      <c r="L455">
        <v>0</v>
      </c>
      <c r="M455">
        <v>1</v>
      </c>
      <c r="N455">
        <v>0</v>
      </c>
      <c r="O455">
        <v>1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1</v>
      </c>
      <c r="AD455">
        <v>0</v>
      </c>
      <c r="AE455">
        <v>0</v>
      </c>
      <c r="AF455">
        <v>0</v>
      </c>
      <c r="AG455" s="86">
        <f>AVERAGEIFS($C$2:C455, $B$2:B455, B455)</f>
        <v>14.894736842105264</v>
      </c>
      <c r="AH455" s="86">
        <f>AVERAGEIFS($I$2:I455, $B$2:B455, B455)</f>
        <v>0.44368421052631579</v>
      </c>
      <c r="AI455" s="86">
        <f>AVERAGEIFS($J$2:J455, $B$2:B455, B455)</f>
        <v>0.48631578947368415</v>
      </c>
      <c r="AJ455" s="86">
        <f>AVERAGEIFS($D$2:D455, $B$2:B455, B455)</f>
        <v>0.36842105263157893</v>
      </c>
    </row>
    <row r="456" spans="1:36" x14ac:dyDescent="0.25">
      <c r="A456" s="85">
        <v>46095</v>
      </c>
      <c r="B456" t="s">
        <v>1</v>
      </c>
      <c r="C456">
        <v>22</v>
      </c>
      <c r="D456">
        <v>1</v>
      </c>
      <c r="E456">
        <v>3</v>
      </c>
      <c r="F456">
        <v>3</v>
      </c>
      <c r="G456">
        <v>13</v>
      </c>
      <c r="H456">
        <v>9</v>
      </c>
      <c r="I456">
        <v>1</v>
      </c>
      <c r="J456">
        <v>0.69</v>
      </c>
      <c r="K456">
        <v>0</v>
      </c>
      <c r="L456">
        <v>0</v>
      </c>
      <c r="M456">
        <v>1</v>
      </c>
      <c r="N456">
        <v>0</v>
      </c>
      <c r="O456">
        <v>1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1</v>
      </c>
      <c r="AD456">
        <v>0</v>
      </c>
      <c r="AE456">
        <v>0</v>
      </c>
      <c r="AF456">
        <v>0</v>
      </c>
      <c r="AG456" s="86">
        <f>AVERAGEIFS($C$2:C456, $B$2:B456, B456)</f>
        <v>26.4375</v>
      </c>
      <c r="AH456" s="86">
        <f>AVERAGEIFS($I$2:I456, $B$2:B456, B456)</f>
        <v>0.40312500000000001</v>
      </c>
      <c r="AI456" s="86">
        <f>AVERAGEIFS($J$2:J456, $B$2:B456, B456)</f>
        <v>0.43124999999999991</v>
      </c>
      <c r="AJ456" s="86">
        <f>AVERAGEIFS($D$2:D456, $B$2:B456, B456)</f>
        <v>0.4375</v>
      </c>
    </row>
    <row r="457" spans="1:36" x14ac:dyDescent="0.25">
      <c r="A457" s="85">
        <v>46095</v>
      </c>
      <c r="B457" t="s">
        <v>147</v>
      </c>
      <c r="C457">
        <v>9</v>
      </c>
      <c r="D457">
        <v>1</v>
      </c>
      <c r="E457">
        <v>3</v>
      </c>
      <c r="F457">
        <v>3</v>
      </c>
      <c r="G457">
        <v>13</v>
      </c>
      <c r="H457">
        <v>9</v>
      </c>
      <c r="I457">
        <v>1</v>
      </c>
      <c r="J457">
        <v>0.69</v>
      </c>
      <c r="K457">
        <v>0</v>
      </c>
      <c r="L457">
        <v>0</v>
      </c>
      <c r="M457">
        <v>1</v>
      </c>
      <c r="N457">
        <v>0</v>
      </c>
      <c r="O457">
        <v>1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1</v>
      </c>
      <c r="AD457">
        <v>0</v>
      </c>
      <c r="AE457">
        <v>0</v>
      </c>
      <c r="AF457">
        <v>0</v>
      </c>
      <c r="AG457" s="86">
        <f>AVERAGEIFS($C$2:C457, $B$2:B457, B457)</f>
        <v>7.5</v>
      </c>
      <c r="AH457" s="86">
        <f>AVERAGEIFS($I$2:I457, $B$2:B457, B457)</f>
        <v>0.5</v>
      </c>
      <c r="AI457" s="86">
        <f>AVERAGEIFS($J$2:J457, $B$2:B457, B457)</f>
        <v>0.39499999999999996</v>
      </c>
      <c r="AJ457" s="86">
        <f>AVERAGEIFS($D$2:D457, $B$2:B457, B457)</f>
        <v>0.5</v>
      </c>
    </row>
    <row r="458" spans="1:36" x14ac:dyDescent="0.25">
      <c r="A458" s="85">
        <v>46095</v>
      </c>
      <c r="B458" t="s">
        <v>113</v>
      </c>
      <c r="C458">
        <v>15</v>
      </c>
      <c r="D458">
        <v>1</v>
      </c>
      <c r="E458">
        <v>3</v>
      </c>
      <c r="F458">
        <v>3</v>
      </c>
      <c r="G458">
        <v>13</v>
      </c>
      <c r="H458">
        <v>9</v>
      </c>
      <c r="I458">
        <v>1</v>
      </c>
      <c r="J458">
        <v>0.69</v>
      </c>
      <c r="K458">
        <v>0</v>
      </c>
      <c r="L458">
        <v>0</v>
      </c>
      <c r="M458">
        <v>1</v>
      </c>
      <c r="N458">
        <v>0</v>
      </c>
      <c r="O458">
        <v>1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1</v>
      </c>
      <c r="AD458">
        <v>0</v>
      </c>
      <c r="AE458">
        <v>0</v>
      </c>
      <c r="AF458">
        <v>0</v>
      </c>
      <c r="AG458" s="86">
        <f>AVERAGEIFS($C$2:C458, $B$2:B458, B458)</f>
        <v>15.818181818181818</v>
      </c>
      <c r="AH458" s="86">
        <f>AVERAGEIFS($I$2:I458, $B$2:B458, B458)</f>
        <v>0.54545454545454541</v>
      </c>
      <c r="AI458" s="86">
        <f>AVERAGEIFS($J$2:J458, $B$2:B458, B458)</f>
        <v>0.49181818181818182</v>
      </c>
      <c r="AJ458" s="86">
        <f>AVERAGEIFS($D$2:D458, $B$2:B458, B458)</f>
        <v>0.54545454545454541</v>
      </c>
    </row>
    <row r="459" spans="1:36" x14ac:dyDescent="0.25">
      <c r="A459" s="85">
        <v>46095</v>
      </c>
      <c r="B459" t="s">
        <v>107</v>
      </c>
      <c r="C459">
        <v>12</v>
      </c>
      <c r="D459">
        <v>1</v>
      </c>
      <c r="E459">
        <v>3</v>
      </c>
      <c r="F459">
        <v>3</v>
      </c>
      <c r="G459">
        <v>13</v>
      </c>
      <c r="H459">
        <v>9</v>
      </c>
      <c r="I459">
        <v>1</v>
      </c>
      <c r="J459">
        <v>0.69</v>
      </c>
      <c r="K459">
        <v>0</v>
      </c>
      <c r="L459">
        <v>0</v>
      </c>
      <c r="M459">
        <v>1</v>
      </c>
      <c r="N459">
        <v>0</v>
      </c>
      <c r="O459">
        <v>1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1</v>
      </c>
      <c r="AD459">
        <v>0</v>
      </c>
      <c r="AE459">
        <v>0</v>
      </c>
      <c r="AF459">
        <v>0</v>
      </c>
      <c r="AG459" s="86">
        <f>AVERAGEIFS($C$2:C459, $B$2:B459, B459)</f>
        <v>14.076923076923077</v>
      </c>
      <c r="AH459" s="86">
        <f>AVERAGEIFS($I$2:I459, $B$2:B459, B459)</f>
        <v>0.60769230769230764</v>
      </c>
      <c r="AI459" s="86">
        <f>AVERAGEIFS($J$2:J459, $B$2:B459, B459)</f>
        <v>0.56307692307692314</v>
      </c>
      <c r="AJ459" s="86">
        <f>AVERAGEIFS($D$2:D459, $B$2:B459, B459)</f>
        <v>0.61538461538461542</v>
      </c>
    </row>
    <row r="460" spans="1:36" x14ac:dyDescent="0.25">
      <c r="A460" s="85">
        <v>46095</v>
      </c>
      <c r="B460" t="s">
        <v>40</v>
      </c>
      <c r="C460">
        <v>16</v>
      </c>
      <c r="D460">
        <v>1</v>
      </c>
      <c r="E460">
        <v>3</v>
      </c>
      <c r="F460">
        <v>3</v>
      </c>
      <c r="G460">
        <v>13</v>
      </c>
      <c r="H460">
        <v>9</v>
      </c>
      <c r="I460">
        <v>1</v>
      </c>
      <c r="J460">
        <v>0.69</v>
      </c>
      <c r="K460">
        <v>0</v>
      </c>
      <c r="L460">
        <v>0</v>
      </c>
      <c r="M460">
        <v>1</v>
      </c>
      <c r="N460">
        <v>0</v>
      </c>
      <c r="O460">
        <v>1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1</v>
      </c>
      <c r="AD460">
        <v>0</v>
      </c>
      <c r="AE460">
        <v>0</v>
      </c>
      <c r="AF460">
        <v>0</v>
      </c>
      <c r="AG460" s="86">
        <f>AVERAGEIFS($C$2:C460, $B$2:B460, B460)</f>
        <v>17.333333333333332</v>
      </c>
      <c r="AH460" s="86">
        <f>AVERAGEIFS($I$2:I460, $B$2:B460, B460)</f>
        <v>0.50555555555555565</v>
      </c>
      <c r="AI460" s="86">
        <f>AVERAGEIFS($J$2:J460, $B$2:B460, B460)</f>
        <v>0.51037037037037036</v>
      </c>
      <c r="AJ460" s="86">
        <f>AVERAGEIFS($D$2:D460, $B$2:B460, B460)</f>
        <v>0.48148148148148145</v>
      </c>
    </row>
    <row r="461" spans="1:36" x14ac:dyDescent="0.25">
      <c r="A461" s="85">
        <v>46095</v>
      </c>
      <c r="B461" t="s">
        <v>54</v>
      </c>
      <c r="C461">
        <v>18</v>
      </c>
      <c r="D461">
        <v>1</v>
      </c>
      <c r="E461">
        <v>4</v>
      </c>
      <c r="F461">
        <v>3</v>
      </c>
      <c r="G461">
        <v>14</v>
      </c>
      <c r="H461">
        <v>10</v>
      </c>
      <c r="I461">
        <v>0.75</v>
      </c>
      <c r="J461">
        <v>0.71</v>
      </c>
      <c r="K461">
        <v>0</v>
      </c>
      <c r="L461">
        <v>1</v>
      </c>
      <c r="M461">
        <v>0</v>
      </c>
      <c r="N461">
        <v>0</v>
      </c>
      <c r="O461">
        <v>0</v>
      </c>
      <c r="P461">
        <v>1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1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 s="86">
        <f>AVERAGEIFS($C$2:C461, $B$2:B461, B461)</f>
        <v>24.15625</v>
      </c>
      <c r="AH461" s="86">
        <f>AVERAGEIFS($I$2:I461, $B$2:B461, B461)</f>
        <v>0.53500000000000003</v>
      </c>
      <c r="AI461" s="86">
        <f>AVERAGEIFS($J$2:J461, $B$2:B461, B461)</f>
        <v>0.50937500000000002</v>
      </c>
      <c r="AJ461" s="86">
        <f>AVERAGEIFS($D$2:D461, $B$2:B461, B461)</f>
        <v>0.53125</v>
      </c>
    </row>
    <row r="462" spans="1:36" x14ac:dyDescent="0.25">
      <c r="A462" s="85">
        <v>46095</v>
      </c>
      <c r="B462" t="s">
        <v>28</v>
      </c>
      <c r="C462">
        <v>5</v>
      </c>
      <c r="D462">
        <v>1</v>
      </c>
      <c r="E462">
        <v>4</v>
      </c>
      <c r="F462">
        <v>3</v>
      </c>
      <c r="G462">
        <v>14</v>
      </c>
      <c r="H462">
        <v>10</v>
      </c>
      <c r="I462">
        <v>0.75</v>
      </c>
      <c r="J462">
        <v>0.71</v>
      </c>
      <c r="K462">
        <v>0</v>
      </c>
      <c r="L462">
        <v>1</v>
      </c>
      <c r="M462">
        <v>0</v>
      </c>
      <c r="N462">
        <v>0</v>
      </c>
      <c r="O462">
        <v>0</v>
      </c>
      <c r="P462">
        <v>1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1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 s="86">
        <f>AVERAGEIFS($C$2:C462, $B$2:B462, B462)</f>
        <v>14.4</v>
      </c>
      <c r="AH462" s="86">
        <f>AVERAGEIFS($I$2:I462, $B$2:B462, B462)</f>
        <v>0.45899999999999996</v>
      </c>
      <c r="AI462" s="86">
        <f>AVERAGEIFS($J$2:J462, $B$2:B462, B462)</f>
        <v>0.49749999999999994</v>
      </c>
      <c r="AJ462" s="86">
        <f>AVERAGEIFS($D$2:D462, $B$2:B462, B462)</f>
        <v>0.4</v>
      </c>
    </row>
    <row r="463" spans="1:36" x14ac:dyDescent="0.25">
      <c r="A463" s="85">
        <v>46095</v>
      </c>
      <c r="B463" t="s">
        <v>107</v>
      </c>
      <c r="C463">
        <v>9</v>
      </c>
      <c r="D463">
        <v>1</v>
      </c>
      <c r="E463">
        <v>4</v>
      </c>
      <c r="F463">
        <v>3</v>
      </c>
      <c r="G463">
        <v>14</v>
      </c>
      <c r="H463">
        <v>10</v>
      </c>
      <c r="I463">
        <v>0.75</v>
      </c>
      <c r="J463">
        <v>0.71</v>
      </c>
      <c r="K463">
        <v>0</v>
      </c>
      <c r="L463">
        <v>1</v>
      </c>
      <c r="M463">
        <v>0</v>
      </c>
      <c r="N463">
        <v>0</v>
      </c>
      <c r="O463">
        <v>0</v>
      </c>
      <c r="P463">
        <v>1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1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 s="86">
        <f>AVERAGEIFS($C$2:C463, $B$2:B463, B463)</f>
        <v>13.714285714285714</v>
      </c>
      <c r="AH463" s="86">
        <f>AVERAGEIFS($I$2:I463, $B$2:B463, B463)</f>
        <v>0.61785714285714277</v>
      </c>
      <c r="AI463" s="86">
        <f>AVERAGEIFS($J$2:J463, $B$2:B463, B463)</f>
        <v>0.57357142857142862</v>
      </c>
      <c r="AJ463" s="86">
        <f>AVERAGEIFS($D$2:D463, $B$2:B463, B463)</f>
        <v>0.6428571428571429</v>
      </c>
    </row>
    <row r="464" spans="1:36" x14ac:dyDescent="0.25">
      <c r="A464" s="85">
        <v>46095</v>
      </c>
      <c r="B464" t="s">
        <v>71</v>
      </c>
      <c r="C464">
        <v>14</v>
      </c>
      <c r="D464">
        <v>1</v>
      </c>
      <c r="E464">
        <v>4</v>
      </c>
      <c r="F464">
        <v>3</v>
      </c>
      <c r="G464">
        <v>14</v>
      </c>
      <c r="H464">
        <v>10</v>
      </c>
      <c r="I464">
        <v>0.75</v>
      </c>
      <c r="J464">
        <v>0.71</v>
      </c>
      <c r="K464">
        <v>0</v>
      </c>
      <c r="L464">
        <v>1</v>
      </c>
      <c r="M464">
        <v>0</v>
      </c>
      <c r="N464">
        <v>0</v>
      </c>
      <c r="O464">
        <v>0</v>
      </c>
      <c r="P464">
        <v>1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1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 s="86">
        <f>AVERAGEIFS($C$2:C464, $B$2:B464, B464)</f>
        <v>12.555555555555555</v>
      </c>
      <c r="AH464" s="86">
        <f>AVERAGEIFS($I$2:I464, $B$2:B464, B464)</f>
        <v>0.49444444444444446</v>
      </c>
      <c r="AI464" s="86">
        <f>AVERAGEIFS($J$2:J464, $B$2:B464, B464)</f>
        <v>0.48888888888888893</v>
      </c>
      <c r="AJ464" s="86">
        <f>AVERAGEIFS($D$2:D464, $B$2:B464, B464)</f>
        <v>0.66666666666666663</v>
      </c>
    </row>
    <row r="465" spans="1:36" x14ac:dyDescent="0.25">
      <c r="A465" s="85">
        <v>46095</v>
      </c>
      <c r="B465" t="s">
        <v>35</v>
      </c>
      <c r="C465">
        <v>16</v>
      </c>
      <c r="D465">
        <v>1</v>
      </c>
      <c r="E465">
        <v>4</v>
      </c>
      <c r="F465">
        <v>3</v>
      </c>
      <c r="G465">
        <v>14</v>
      </c>
      <c r="H465">
        <v>10</v>
      </c>
      <c r="I465">
        <v>0.75</v>
      </c>
      <c r="J465">
        <v>0.71</v>
      </c>
      <c r="K465">
        <v>0</v>
      </c>
      <c r="L465">
        <v>1</v>
      </c>
      <c r="M465">
        <v>0</v>
      </c>
      <c r="N465">
        <v>0</v>
      </c>
      <c r="O465">
        <v>0</v>
      </c>
      <c r="P465">
        <v>1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1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 s="86">
        <f>AVERAGEIFS($C$2:C465, $B$2:B465, B465)</f>
        <v>11.285714285714286</v>
      </c>
      <c r="AH465" s="86">
        <f>AVERAGEIFS($I$2:I465, $B$2:B465, B465)</f>
        <v>0.44392857142857151</v>
      </c>
      <c r="AI465" s="86">
        <f>AVERAGEIFS($J$2:J465, $B$2:B465, B465)</f>
        <v>0.47821428571428576</v>
      </c>
      <c r="AJ465" s="86">
        <f>AVERAGEIFS($D$2:D465, $B$2:B465, B465)</f>
        <v>0.39285714285714285</v>
      </c>
    </row>
    <row r="466" spans="1:36" x14ac:dyDescent="0.25">
      <c r="A466" s="85">
        <v>46095</v>
      </c>
      <c r="B466" t="s">
        <v>147</v>
      </c>
      <c r="C466">
        <v>2</v>
      </c>
      <c r="D466">
        <v>0</v>
      </c>
      <c r="E466">
        <v>4</v>
      </c>
      <c r="F466">
        <v>1</v>
      </c>
      <c r="G466">
        <v>14</v>
      </c>
      <c r="H466">
        <v>4</v>
      </c>
      <c r="I466">
        <v>0.25</v>
      </c>
      <c r="J466">
        <v>0.28999999999999998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1</v>
      </c>
      <c r="AE466">
        <v>0</v>
      </c>
      <c r="AF466">
        <v>0</v>
      </c>
      <c r="AG466" s="86">
        <f>AVERAGEIFS($C$2:C466, $B$2:B466, B466)</f>
        <v>5.666666666666667</v>
      </c>
      <c r="AH466" s="86">
        <f>AVERAGEIFS($I$2:I466, $B$2:B466, B466)</f>
        <v>0.41666666666666669</v>
      </c>
      <c r="AI466" s="86">
        <f>AVERAGEIFS($J$2:J466, $B$2:B466, B466)</f>
        <v>0.35999999999999993</v>
      </c>
      <c r="AJ466" s="86">
        <f>AVERAGEIFS($D$2:D466, $B$2:B466, B466)</f>
        <v>0.33333333333333331</v>
      </c>
    </row>
    <row r="467" spans="1:36" x14ac:dyDescent="0.25">
      <c r="A467" s="85">
        <v>46095</v>
      </c>
      <c r="B467" t="s">
        <v>143</v>
      </c>
      <c r="C467">
        <v>8</v>
      </c>
      <c r="D467">
        <v>0</v>
      </c>
      <c r="E467">
        <v>4</v>
      </c>
      <c r="F467">
        <v>1</v>
      </c>
      <c r="G467">
        <v>14</v>
      </c>
      <c r="H467">
        <v>4</v>
      </c>
      <c r="I467">
        <v>0.25</v>
      </c>
      <c r="J467">
        <v>0.28999999999999998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1</v>
      </c>
      <c r="AE467">
        <v>0</v>
      </c>
      <c r="AF467">
        <v>0</v>
      </c>
      <c r="AG467" s="86">
        <f>AVERAGEIFS($C$2:C467, $B$2:B467, B467)</f>
        <v>8.3333333333333339</v>
      </c>
      <c r="AH467" s="86">
        <f>AVERAGEIFS($I$2:I467, $B$2:B467, B467)</f>
        <v>0.16666666666666666</v>
      </c>
      <c r="AI467" s="86">
        <f>AVERAGEIFS($J$2:J467, $B$2:B467, B467)</f>
        <v>0.32666666666666666</v>
      </c>
      <c r="AJ467" s="86">
        <f>AVERAGEIFS($D$2:D467, $B$2:B467, B467)</f>
        <v>0</v>
      </c>
    </row>
    <row r="468" spans="1:36" x14ac:dyDescent="0.25">
      <c r="A468" s="85">
        <v>46095</v>
      </c>
      <c r="B468" t="s">
        <v>40</v>
      </c>
      <c r="C468">
        <v>7</v>
      </c>
      <c r="D468">
        <v>0</v>
      </c>
      <c r="E468">
        <v>4</v>
      </c>
      <c r="F468">
        <v>1</v>
      </c>
      <c r="G468">
        <v>14</v>
      </c>
      <c r="H468">
        <v>4</v>
      </c>
      <c r="I468">
        <v>0.25</v>
      </c>
      <c r="J468">
        <v>0.28999999999999998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1</v>
      </c>
      <c r="AE468">
        <v>0</v>
      </c>
      <c r="AF468">
        <v>0</v>
      </c>
      <c r="AG468" s="86">
        <f>AVERAGEIFS($C$2:C468, $B$2:B468, B468)</f>
        <v>16.964285714285715</v>
      </c>
      <c r="AH468" s="86">
        <f>AVERAGEIFS($I$2:I468, $B$2:B468, B468)</f>
        <v>0.4964285714285715</v>
      </c>
      <c r="AI468" s="86">
        <f>AVERAGEIFS($J$2:J468, $B$2:B468, B468)</f>
        <v>0.50249999999999995</v>
      </c>
      <c r="AJ468" s="86">
        <f>AVERAGEIFS($D$2:D468, $B$2:B468, B468)</f>
        <v>0.4642857142857143</v>
      </c>
    </row>
    <row r="469" spans="1:36" x14ac:dyDescent="0.25">
      <c r="A469" s="85">
        <v>46095</v>
      </c>
      <c r="B469" t="s">
        <v>6</v>
      </c>
      <c r="C469">
        <v>16</v>
      </c>
      <c r="D469">
        <v>0</v>
      </c>
      <c r="E469">
        <v>4</v>
      </c>
      <c r="F469">
        <v>1</v>
      </c>
      <c r="G469">
        <v>14</v>
      </c>
      <c r="H469">
        <v>4</v>
      </c>
      <c r="I469">
        <v>0.25</v>
      </c>
      <c r="J469">
        <v>0.28999999999999998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1</v>
      </c>
      <c r="AE469">
        <v>0</v>
      </c>
      <c r="AF469">
        <v>0</v>
      </c>
      <c r="AG469" s="86">
        <f>AVERAGEIFS($C$2:C469, $B$2:B469, B469)</f>
        <v>22.483870967741936</v>
      </c>
      <c r="AH469" s="86">
        <f>AVERAGEIFS($I$2:I469, $B$2:B469, B469)</f>
        <v>0.60419354838709682</v>
      </c>
      <c r="AI469" s="86">
        <f>AVERAGEIFS($J$2:J469, $B$2:B469, B469)</f>
        <v>0.55709677419354831</v>
      </c>
      <c r="AJ469" s="86">
        <f>AVERAGEIFS($D$2:D469, $B$2:B469, B469)</f>
        <v>0.70967741935483875</v>
      </c>
    </row>
    <row r="470" spans="1:36" x14ac:dyDescent="0.25">
      <c r="A470" s="85">
        <v>46095</v>
      </c>
      <c r="B470" t="s">
        <v>113</v>
      </c>
      <c r="C470">
        <v>16</v>
      </c>
      <c r="D470">
        <v>0</v>
      </c>
      <c r="E470">
        <v>4</v>
      </c>
      <c r="F470">
        <v>1</v>
      </c>
      <c r="G470">
        <v>14</v>
      </c>
      <c r="H470">
        <v>4</v>
      </c>
      <c r="I470">
        <v>0.25</v>
      </c>
      <c r="J470">
        <v>0.28999999999999998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1</v>
      </c>
      <c r="AE470">
        <v>0</v>
      </c>
      <c r="AF470">
        <v>0</v>
      </c>
      <c r="AG470" s="86">
        <f>AVERAGEIFS($C$2:C470, $B$2:B470, B470)</f>
        <v>15.833333333333334</v>
      </c>
      <c r="AH470" s="86">
        <f>AVERAGEIFS($I$2:I470, $B$2:B470, B470)</f>
        <v>0.52083333333333337</v>
      </c>
      <c r="AI470" s="86">
        <f>AVERAGEIFS($J$2:J470, $B$2:B470, B470)</f>
        <v>0.47500000000000003</v>
      </c>
      <c r="AJ470" s="86">
        <f>AVERAGEIFS($D$2:D470, $B$2:B470, B470)</f>
        <v>0.5</v>
      </c>
    </row>
    <row r="471" spans="1:36" x14ac:dyDescent="0.25">
      <c r="A471" s="85">
        <v>46096</v>
      </c>
      <c r="B471" t="s">
        <v>50</v>
      </c>
      <c r="C471">
        <v>12</v>
      </c>
      <c r="D471">
        <v>0</v>
      </c>
      <c r="E471">
        <v>4</v>
      </c>
      <c r="F471">
        <v>1</v>
      </c>
      <c r="G471">
        <v>16</v>
      </c>
      <c r="H471">
        <v>7</v>
      </c>
      <c r="I471">
        <v>0.25</v>
      </c>
      <c r="J471">
        <v>0.44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1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 s="86">
        <f>AVERAGEIFS($C$2:C471, $B$2:B471, B471)</f>
        <v>19.12</v>
      </c>
      <c r="AH471" s="86">
        <f>AVERAGEIFS($I$2:I471, $B$2:B471, B471)</f>
        <v>0.54120000000000001</v>
      </c>
      <c r="AI471" s="86">
        <f>AVERAGEIFS($J$2:J471, $B$2:B471, B471)</f>
        <v>0.5371999999999999</v>
      </c>
      <c r="AJ471" s="86">
        <f>AVERAGEIFS($D$2:D471, $B$2:B471, B471)</f>
        <v>0.56000000000000005</v>
      </c>
    </row>
    <row r="472" spans="1:36" x14ac:dyDescent="0.25">
      <c r="A472" s="85">
        <v>46096</v>
      </c>
      <c r="B472" t="s">
        <v>54</v>
      </c>
      <c r="C472">
        <v>26</v>
      </c>
      <c r="D472">
        <v>0</v>
      </c>
      <c r="E472">
        <v>4</v>
      </c>
      <c r="F472">
        <v>1</v>
      </c>
      <c r="G472">
        <v>16</v>
      </c>
      <c r="H472">
        <v>7</v>
      </c>
      <c r="I472">
        <v>0.25</v>
      </c>
      <c r="J472">
        <v>0.44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1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 s="86">
        <f>AVERAGEIFS($C$2:C472, $B$2:B472, B472)</f>
        <v>24.212121212121211</v>
      </c>
      <c r="AH472" s="86">
        <f>AVERAGEIFS($I$2:I472, $B$2:B472, B472)</f>
        <v>0.52636363636363637</v>
      </c>
      <c r="AI472" s="86">
        <f>AVERAGEIFS($J$2:J472, $B$2:B472, B472)</f>
        <v>0.50727272727272732</v>
      </c>
      <c r="AJ472" s="86">
        <f>AVERAGEIFS($D$2:D472, $B$2:B472, B472)</f>
        <v>0.51515151515151514</v>
      </c>
    </row>
    <row r="473" spans="1:36" x14ac:dyDescent="0.25">
      <c r="A473" s="85">
        <v>46096</v>
      </c>
      <c r="B473" t="s">
        <v>71</v>
      </c>
      <c r="C473">
        <v>13</v>
      </c>
      <c r="D473">
        <v>0</v>
      </c>
      <c r="E473">
        <v>4</v>
      </c>
      <c r="F473">
        <v>1</v>
      </c>
      <c r="G473">
        <v>16</v>
      </c>
      <c r="H473">
        <v>7</v>
      </c>
      <c r="I473">
        <v>0.25</v>
      </c>
      <c r="J473">
        <v>0.44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1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 s="86">
        <f>AVERAGEIFS($C$2:C473, $B$2:B473, B473)</f>
        <v>12.6</v>
      </c>
      <c r="AH473" s="86">
        <f>AVERAGEIFS($I$2:I473, $B$2:B473, B473)</f>
        <v>0.47000000000000003</v>
      </c>
      <c r="AI473" s="86">
        <f>AVERAGEIFS($J$2:J473, $B$2:B473, B473)</f>
        <v>0.4840000000000001</v>
      </c>
      <c r="AJ473" s="86">
        <f>AVERAGEIFS($D$2:D473, $B$2:B473, B473)</f>
        <v>0.6</v>
      </c>
    </row>
    <row r="474" spans="1:36" x14ac:dyDescent="0.25">
      <c r="A474" s="85">
        <v>46096</v>
      </c>
      <c r="B474" t="s">
        <v>113</v>
      </c>
      <c r="C474">
        <v>16</v>
      </c>
      <c r="D474">
        <v>0</v>
      </c>
      <c r="E474">
        <v>4</v>
      </c>
      <c r="F474">
        <v>1</v>
      </c>
      <c r="G474">
        <v>16</v>
      </c>
      <c r="H474">
        <v>7</v>
      </c>
      <c r="I474">
        <v>0.25</v>
      </c>
      <c r="J474">
        <v>0.44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1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 s="86">
        <f>AVERAGEIFS($C$2:C474, $B$2:B474, B474)</f>
        <v>15.846153846153847</v>
      </c>
      <c r="AH474" s="86">
        <f>AVERAGEIFS($I$2:I474, $B$2:B474, B474)</f>
        <v>0.5</v>
      </c>
      <c r="AI474" s="86">
        <f>AVERAGEIFS($J$2:J474, $B$2:B474, B474)</f>
        <v>0.47230769230769237</v>
      </c>
      <c r="AJ474" s="86">
        <f>AVERAGEIFS($D$2:D474, $B$2:B474, B474)</f>
        <v>0.46153846153846156</v>
      </c>
    </row>
    <row r="475" spans="1:36" x14ac:dyDescent="0.25">
      <c r="A475" s="85">
        <v>46096</v>
      </c>
      <c r="B475" t="s">
        <v>35</v>
      </c>
      <c r="C475">
        <v>9</v>
      </c>
      <c r="D475">
        <v>0</v>
      </c>
      <c r="E475">
        <v>4</v>
      </c>
      <c r="F475">
        <v>1</v>
      </c>
      <c r="G475">
        <v>16</v>
      </c>
      <c r="H475">
        <v>7</v>
      </c>
      <c r="I475">
        <v>0.25</v>
      </c>
      <c r="J475">
        <v>0.44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1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 s="86">
        <f>AVERAGEIFS($C$2:C475, $B$2:B475, B475)</f>
        <v>11.206896551724139</v>
      </c>
      <c r="AH475" s="86">
        <f>AVERAGEIFS($I$2:I475, $B$2:B475, B475)</f>
        <v>0.4372413793103449</v>
      </c>
      <c r="AI475" s="86">
        <f>AVERAGEIFS($J$2:J475, $B$2:B475, B475)</f>
        <v>0.47689655172413792</v>
      </c>
      <c r="AJ475" s="86">
        <f>AVERAGEIFS($D$2:D475, $B$2:B475, B475)</f>
        <v>0.37931034482758619</v>
      </c>
    </row>
    <row r="476" spans="1:36" x14ac:dyDescent="0.25">
      <c r="A476" s="85">
        <v>46096</v>
      </c>
      <c r="B476" t="s">
        <v>144</v>
      </c>
      <c r="C476">
        <v>4</v>
      </c>
      <c r="D476">
        <v>0</v>
      </c>
      <c r="E476">
        <v>4</v>
      </c>
      <c r="F476">
        <v>1</v>
      </c>
      <c r="G476">
        <v>16</v>
      </c>
      <c r="H476">
        <v>7</v>
      </c>
      <c r="I476">
        <v>0.25</v>
      </c>
      <c r="J476">
        <v>0.44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1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 s="86">
        <f>AVERAGEIFS($C$2:C476, $B$2:B476, B476)</f>
        <v>4</v>
      </c>
      <c r="AH476" s="86">
        <f>AVERAGEIFS($I$2:I476, $B$2:B476, B476)</f>
        <v>0.25</v>
      </c>
      <c r="AI476" s="86">
        <f>AVERAGEIFS($J$2:J476, $B$2:B476, B476)</f>
        <v>0.44</v>
      </c>
      <c r="AJ476" s="86">
        <f>AVERAGEIFS($D$2:D476, $B$2:B476, B476)</f>
        <v>0</v>
      </c>
    </row>
    <row r="477" spans="1:36" x14ac:dyDescent="0.25">
      <c r="A477" s="85">
        <v>46096</v>
      </c>
      <c r="B477" t="s">
        <v>2</v>
      </c>
      <c r="C477">
        <v>22</v>
      </c>
      <c r="D477">
        <v>1</v>
      </c>
      <c r="E477">
        <v>4</v>
      </c>
      <c r="F477">
        <v>3</v>
      </c>
      <c r="G477">
        <v>16</v>
      </c>
      <c r="H477">
        <v>9</v>
      </c>
      <c r="I477">
        <v>0.75</v>
      </c>
      <c r="J477">
        <v>0.56000000000000005</v>
      </c>
      <c r="K477">
        <v>1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1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1</v>
      </c>
      <c r="AE477">
        <v>0</v>
      </c>
      <c r="AF477">
        <v>0</v>
      </c>
      <c r="AG477" s="86">
        <f>AVERAGEIFS($C$2:C477, $B$2:B477, B477)</f>
        <v>23.24</v>
      </c>
      <c r="AH477" s="86">
        <f>AVERAGEIFS($I$2:I477, $B$2:B477, B477)</f>
        <v>0.55320000000000003</v>
      </c>
      <c r="AI477" s="86">
        <f>AVERAGEIFS($J$2:J477, $B$2:B477, B477)</f>
        <v>0.55279999999999996</v>
      </c>
      <c r="AJ477" s="86">
        <f>AVERAGEIFS($D$2:D477, $B$2:B477, B477)</f>
        <v>0.56000000000000005</v>
      </c>
    </row>
    <row r="478" spans="1:36" x14ac:dyDescent="0.25">
      <c r="A478" s="85">
        <v>46096</v>
      </c>
      <c r="B478" t="s">
        <v>107</v>
      </c>
      <c r="C478">
        <v>22</v>
      </c>
      <c r="D478">
        <v>1</v>
      </c>
      <c r="E478">
        <v>4</v>
      </c>
      <c r="F478">
        <v>3</v>
      </c>
      <c r="G478">
        <v>16</v>
      </c>
      <c r="H478">
        <v>9</v>
      </c>
      <c r="I478">
        <v>0.75</v>
      </c>
      <c r="J478">
        <v>0.56000000000000005</v>
      </c>
      <c r="K478">
        <v>1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1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1</v>
      </c>
      <c r="AE478">
        <v>0</v>
      </c>
      <c r="AF478">
        <v>0</v>
      </c>
      <c r="AG478" s="86">
        <f>AVERAGEIFS($C$2:C478, $B$2:B478, B478)</f>
        <v>14.266666666666667</v>
      </c>
      <c r="AH478" s="86">
        <f>AVERAGEIFS($I$2:I478, $B$2:B478, B478)</f>
        <v>0.62666666666666659</v>
      </c>
      <c r="AI478" s="86">
        <f>AVERAGEIFS($J$2:J478, $B$2:B478, B478)</f>
        <v>0.57266666666666677</v>
      </c>
      <c r="AJ478" s="86">
        <f>AVERAGEIFS($D$2:D478, $B$2:B478, B478)</f>
        <v>0.66666666666666663</v>
      </c>
    </row>
    <row r="479" spans="1:36" x14ac:dyDescent="0.25">
      <c r="A479" s="85">
        <v>46096</v>
      </c>
      <c r="B479" t="s">
        <v>40</v>
      </c>
      <c r="C479">
        <v>15</v>
      </c>
      <c r="D479">
        <v>1</v>
      </c>
      <c r="E479">
        <v>4</v>
      </c>
      <c r="F479">
        <v>3</v>
      </c>
      <c r="G479">
        <v>16</v>
      </c>
      <c r="H479">
        <v>9</v>
      </c>
      <c r="I479">
        <v>0.75</v>
      </c>
      <c r="J479">
        <v>0.56000000000000005</v>
      </c>
      <c r="K479">
        <v>1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1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1</v>
      </c>
      <c r="AE479">
        <v>0</v>
      </c>
      <c r="AF479">
        <v>0</v>
      </c>
      <c r="AG479" s="86">
        <f>AVERAGEIFS($C$2:C479, $B$2:B479, B479)</f>
        <v>16.896551724137932</v>
      </c>
      <c r="AH479" s="86">
        <f>AVERAGEIFS($I$2:I479, $B$2:B479, B479)</f>
        <v>0.50517241379310351</v>
      </c>
      <c r="AI479" s="86">
        <f>AVERAGEIFS($J$2:J479, $B$2:B479, B479)</f>
        <v>0.50448275862068959</v>
      </c>
      <c r="AJ479" s="86">
        <f>AVERAGEIFS($D$2:D479, $B$2:B479, B479)</f>
        <v>0.48275862068965519</v>
      </c>
    </row>
    <row r="480" spans="1:36" x14ac:dyDescent="0.25">
      <c r="A480" s="85">
        <v>46096</v>
      </c>
      <c r="B480" t="s">
        <v>42</v>
      </c>
      <c r="C480">
        <v>15</v>
      </c>
      <c r="D480">
        <v>1</v>
      </c>
      <c r="E480">
        <v>4</v>
      </c>
      <c r="F480">
        <v>3</v>
      </c>
      <c r="G480">
        <v>16</v>
      </c>
      <c r="H480">
        <v>9</v>
      </c>
      <c r="I480">
        <v>0.75</v>
      </c>
      <c r="J480">
        <v>0.56000000000000005</v>
      </c>
      <c r="K480">
        <v>1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1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1</v>
      </c>
      <c r="AE480">
        <v>0</v>
      </c>
      <c r="AF480">
        <v>0</v>
      </c>
      <c r="AG480" s="86">
        <f>AVERAGEIFS($C$2:C480, $B$2:B480, B480)</f>
        <v>17.352941176470587</v>
      </c>
      <c r="AH480" s="86">
        <f>AVERAGEIFS($I$2:I480, $B$2:B480, B480)</f>
        <v>0.4088235294117647</v>
      </c>
      <c r="AI480" s="86">
        <f>AVERAGEIFS($J$2:J480, $B$2:B480, B480)</f>
        <v>0.43529411764705872</v>
      </c>
      <c r="AJ480" s="86">
        <f>AVERAGEIFS($D$2:D480, $B$2:B480, B480)</f>
        <v>0.41176470588235292</v>
      </c>
    </row>
    <row r="481" spans="1:36" x14ac:dyDescent="0.25">
      <c r="A481" s="85">
        <v>46096</v>
      </c>
      <c r="B481" t="s">
        <v>103</v>
      </c>
      <c r="C481">
        <v>13</v>
      </c>
      <c r="D481">
        <v>1</v>
      </c>
      <c r="E481">
        <v>4</v>
      </c>
      <c r="F481">
        <v>3</v>
      </c>
      <c r="G481">
        <v>16</v>
      </c>
      <c r="H481">
        <v>9</v>
      </c>
      <c r="I481">
        <v>0.75</v>
      </c>
      <c r="J481">
        <v>0.56000000000000005</v>
      </c>
      <c r="K481">
        <v>1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1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1</v>
      </c>
      <c r="AE481">
        <v>0</v>
      </c>
      <c r="AF481">
        <v>0</v>
      </c>
      <c r="AG481" s="86">
        <f>AVERAGEIFS($C$2:C481, $B$2:B481, B481)</f>
        <v>10</v>
      </c>
      <c r="AH481" s="86">
        <f>AVERAGEIFS($I$2:I481, $B$2:B481, B481)</f>
        <v>0.46666666666666662</v>
      </c>
      <c r="AI481" s="86">
        <f>AVERAGEIFS($J$2:J481, $B$2:B481, B481)</f>
        <v>0.44333333333333336</v>
      </c>
      <c r="AJ481" s="86">
        <f>AVERAGEIFS($D$2:D481, $B$2:B481, B481)</f>
        <v>0.33333333333333331</v>
      </c>
    </row>
    <row r="482" spans="1:36" x14ac:dyDescent="0.25">
      <c r="A482" s="85">
        <v>46096</v>
      </c>
      <c r="B482" t="s">
        <v>141</v>
      </c>
      <c r="C482">
        <v>10</v>
      </c>
      <c r="D482">
        <v>1</v>
      </c>
      <c r="E482">
        <v>4</v>
      </c>
      <c r="F482">
        <v>3</v>
      </c>
      <c r="G482">
        <v>16</v>
      </c>
      <c r="H482">
        <v>9</v>
      </c>
      <c r="I482">
        <v>0.75</v>
      </c>
      <c r="J482">
        <v>0.56000000000000005</v>
      </c>
      <c r="K482">
        <v>1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1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1</v>
      </c>
      <c r="AE482">
        <v>0</v>
      </c>
      <c r="AF482">
        <v>0</v>
      </c>
      <c r="AG482" s="86">
        <f>AVERAGEIFS($C$2:C482, $B$2:B482, B482)</f>
        <v>11</v>
      </c>
      <c r="AH482" s="86">
        <f>AVERAGEIFS($I$2:I482, $B$2:B482, B482)</f>
        <v>0.5</v>
      </c>
      <c r="AI482" s="86">
        <f>AVERAGEIFS($J$2:J482, $B$2:B482, B482)</f>
        <v>0.46</v>
      </c>
      <c r="AJ482" s="86">
        <f>AVERAGEIFS($D$2:D482, $B$2:B482, B482)</f>
        <v>0.5</v>
      </c>
    </row>
    <row r="483" spans="1:36" x14ac:dyDescent="0.25">
      <c r="A483" s="85">
        <v>46098</v>
      </c>
      <c r="B483" t="s">
        <v>40</v>
      </c>
      <c r="C483">
        <v>24</v>
      </c>
      <c r="D483">
        <v>1</v>
      </c>
      <c r="E483">
        <v>3</v>
      </c>
      <c r="F483">
        <v>3</v>
      </c>
      <c r="G483">
        <v>13</v>
      </c>
      <c r="H483">
        <v>9</v>
      </c>
      <c r="I483">
        <v>1</v>
      </c>
      <c r="J483">
        <v>0.69</v>
      </c>
      <c r="K483">
        <v>0</v>
      </c>
      <c r="L483">
        <v>0</v>
      </c>
      <c r="M483">
        <v>1</v>
      </c>
      <c r="N483">
        <v>0</v>
      </c>
      <c r="O483">
        <v>0</v>
      </c>
      <c r="P483">
        <v>0</v>
      </c>
      <c r="Q483">
        <v>1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1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 s="86">
        <f>AVERAGEIFS($C$2:C483, $B$2:B483, B483)</f>
        <v>17.133333333333333</v>
      </c>
      <c r="AH483" s="86">
        <f>AVERAGEIFS($I$2:I483, $B$2:B483, B483)</f>
        <v>0.52166666666666672</v>
      </c>
      <c r="AI483" s="86">
        <f>AVERAGEIFS($J$2:J483, $B$2:B483, B483)</f>
        <v>0.5106666666666666</v>
      </c>
      <c r="AJ483" s="86">
        <f>AVERAGEIFS($D$2:D483, $B$2:B483, B483)</f>
        <v>0.5</v>
      </c>
    </row>
    <row r="484" spans="1:36" x14ac:dyDescent="0.25">
      <c r="A484" s="85">
        <v>46098</v>
      </c>
      <c r="B484" t="s">
        <v>6</v>
      </c>
      <c r="C484">
        <v>21</v>
      </c>
      <c r="D484">
        <v>1</v>
      </c>
      <c r="E484">
        <v>3</v>
      </c>
      <c r="F484">
        <v>3</v>
      </c>
      <c r="G484">
        <v>13</v>
      </c>
      <c r="H484">
        <v>9</v>
      </c>
      <c r="I484">
        <v>1</v>
      </c>
      <c r="J484">
        <v>0.69</v>
      </c>
      <c r="K484">
        <v>0</v>
      </c>
      <c r="L484">
        <v>0</v>
      </c>
      <c r="M484">
        <v>1</v>
      </c>
      <c r="N484">
        <v>0</v>
      </c>
      <c r="O484">
        <v>0</v>
      </c>
      <c r="P484">
        <v>0</v>
      </c>
      <c r="Q484">
        <v>1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1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 s="86">
        <f>AVERAGEIFS($C$2:C484, $B$2:B484, B484)</f>
        <v>22.4375</v>
      </c>
      <c r="AH484" s="86">
        <f>AVERAGEIFS($I$2:I484, $B$2:B484, B484)</f>
        <v>0.61656250000000001</v>
      </c>
      <c r="AI484" s="86">
        <f>AVERAGEIFS($J$2:J484, $B$2:B484, B484)</f>
        <v>0.56124999999999992</v>
      </c>
      <c r="AJ484" s="86">
        <f>AVERAGEIFS($D$2:D484, $B$2:B484, B484)</f>
        <v>0.71875</v>
      </c>
    </row>
    <row r="485" spans="1:36" x14ac:dyDescent="0.25">
      <c r="A485" s="85">
        <v>46098</v>
      </c>
      <c r="B485" t="s">
        <v>107</v>
      </c>
      <c r="C485">
        <v>16</v>
      </c>
      <c r="D485">
        <v>1</v>
      </c>
      <c r="E485">
        <v>3</v>
      </c>
      <c r="F485">
        <v>3</v>
      </c>
      <c r="G485">
        <v>13</v>
      </c>
      <c r="H485">
        <v>9</v>
      </c>
      <c r="I485">
        <v>1</v>
      </c>
      <c r="J485">
        <v>0.69</v>
      </c>
      <c r="K485">
        <v>0</v>
      </c>
      <c r="L485">
        <v>0</v>
      </c>
      <c r="M485">
        <v>1</v>
      </c>
      <c r="N485">
        <v>0</v>
      </c>
      <c r="O485">
        <v>0</v>
      </c>
      <c r="P485">
        <v>0</v>
      </c>
      <c r="Q485">
        <v>1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1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 s="86">
        <f>AVERAGEIFS($C$2:C485, $B$2:B485, B485)</f>
        <v>14.375</v>
      </c>
      <c r="AH485" s="86">
        <f>AVERAGEIFS($I$2:I485, $B$2:B485, B485)</f>
        <v>0.64999999999999991</v>
      </c>
      <c r="AI485" s="86">
        <f>AVERAGEIFS($J$2:J485, $B$2:B485, B485)</f>
        <v>0.58000000000000007</v>
      </c>
      <c r="AJ485" s="86">
        <f>AVERAGEIFS($D$2:D485, $B$2:B485, B485)</f>
        <v>0.6875</v>
      </c>
    </row>
    <row r="486" spans="1:36" x14ac:dyDescent="0.25">
      <c r="A486" s="85">
        <v>46098</v>
      </c>
      <c r="B486" t="s">
        <v>52</v>
      </c>
      <c r="C486">
        <v>10</v>
      </c>
      <c r="D486">
        <v>1</v>
      </c>
      <c r="E486">
        <v>3</v>
      </c>
      <c r="F486">
        <v>3</v>
      </c>
      <c r="G486">
        <v>13</v>
      </c>
      <c r="H486">
        <v>9</v>
      </c>
      <c r="I486">
        <v>1</v>
      </c>
      <c r="J486">
        <v>0.69</v>
      </c>
      <c r="K486">
        <v>0</v>
      </c>
      <c r="L486">
        <v>0</v>
      </c>
      <c r="M486">
        <v>1</v>
      </c>
      <c r="N486">
        <v>0</v>
      </c>
      <c r="O486">
        <v>0</v>
      </c>
      <c r="P486">
        <v>0</v>
      </c>
      <c r="Q486">
        <v>1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1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 s="86">
        <f>AVERAGEIFS($C$2:C486, $B$2:B486, B486)</f>
        <v>13.5</v>
      </c>
      <c r="AH486" s="86">
        <f>AVERAGEIFS($I$2:I486, $B$2:B486, B486)</f>
        <v>0.44000000000000006</v>
      </c>
      <c r="AI486" s="86">
        <f>AVERAGEIFS($J$2:J486, $B$2:B486, B486)</f>
        <v>0.44800000000000006</v>
      </c>
      <c r="AJ486" s="86">
        <f>AVERAGEIFS($D$2:D486, $B$2:B486, B486)</f>
        <v>0.3</v>
      </c>
    </row>
    <row r="487" spans="1:36" x14ac:dyDescent="0.25">
      <c r="A487" s="85">
        <v>46098</v>
      </c>
      <c r="B487" t="s">
        <v>25</v>
      </c>
      <c r="C487">
        <v>9</v>
      </c>
      <c r="D487">
        <v>1</v>
      </c>
      <c r="E487">
        <v>3</v>
      </c>
      <c r="F487">
        <v>3</v>
      </c>
      <c r="G487">
        <v>13</v>
      </c>
      <c r="H487">
        <v>9</v>
      </c>
      <c r="I487">
        <v>1</v>
      </c>
      <c r="J487">
        <v>0.69</v>
      </c>
      <c r="K487">
        <v>0</v>
      </c>
      <c r="L487">
        <v>0</v>
      </c>
      <c r="M487">
        <v>1</v>
      </c>
      <c r="N487">
        <v>0</v>
      </c>
      <c r="O487">
        <v>0</v>
      </c>
      <c r="P487">
        <v>0</v>
      </c>
      <c r="Q487">
        <v>1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1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 s="86">
        <f>AVERAGEIFS($C$2:C487, $B$2:B487, B487)</f>
        <v>8.6</v>
      </c>
      <c r="AH487" s="86">
        <f>AVERAGEIFS($I$2:I487, $B$2:B487, B487)</f>
        <v>0.75</v>
      </c>
      <c r="AI487" s="86">
        <f>AVERAGEIFS($J$2:J487, $B$2:B487, B487)</f>
        <v>0.68200000000000005</v>
      </c>
      <c r="AJ487" s="86">
        <f>AVERAGEIFS($D$2:D487, $B$2:B487, B487)</f>
        <v>0.8</v>
      </c>
    </row>
    <row r="488" spans="1:36" x14ac:dyDescent="0.25">
      <c r="A488" s="85">
        <v>46098</v>
      </c>
      <c r="B488" t="s">
        <v>46</v>
      </c>
      <c r="C488">
        <v>22</v>
      </c>
      <c r="D488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 s="86">
        <f>AVERAGEIFS($C$2:C488, $B$2:B488, B488)</f>
        <v>19.611111111111111</v>
      </c>
      <c r="AH488" s="86">
        <f>AVERAGEIFS($I$2:I488, $B$2:B488, B488)</f>
        <v>0.46111111111111103</v>
      </c>
      <c r="AI488" s="86">
        <f>AVERAGEIFS($J$2:J488, $B$2:B488, B488)</f>
        <v>0.47777777777777775</v>
      </c>
      <c r="AJ488" s="86">
        <f>AVERAGEIFS($D$2:D488, $B$2:B488, B488)</f>
        <v>0.3888888888888889</v>
      </c>
    </row>
    <row r="489" spans="1:36" x14ac:dyDescent="0.25">
      <c r="A489" s="85">
        <v>46098</v>
      </c>
      <c r="B489" t="s">
        <v>54</v>
      </c>
      <c r="C489">
        <v>19</v>
      </c>
      <c r="D489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 s="86">
        <f>AVERAGEIFS($C$2:C489, $B$2:B489, B489)</f>
        <v>24.058823529411764</v>
      </c>
      <c r="AH489" s="86">
        <f>AVERAGEIFS($I$2:I489, $B$2:B489, B489)</f>
        <v>0.51088235294117645</v>
      </c>
      <c r="AI489" s="86">
        <f>AVERAGEIFS($J$2:J489, $B$2:B489, B489)</f>
        <v>0.50147058823529411</v>
      </c>
      <c r="AJ489" s="86">
        <f>AVERAGEIFS($D$2:D489, $B$2:B489, B489)</f>
        <v>0.5</v>
      </c>
    </row>
    <row r="490" spans="1:36" x14ac:dyDescent="0.25">
      <c r="A490" s="85">
        <v>46098</v>
      </c>
      <c r="B490" t="s">
        <v>17</v>
      </c>
      <c r="C490">
        <v>15</v>
      </c>
      <c r="D490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 s="86">
        <f>AVERAGEIFS($C$2:C490, $B$2:B490, B490)</f>
        <v>20.714285714285715</v>
      </c>
      <c r="AH490" s="86">
        <f>AVERAGEIFS($I$2:I490, $B$2:B490, B490)</f>
        <v>0.41761904761904761</v>
      </c>
      <c r="AI490" s="86">
        <f>AVERAGEIFS($J$2:J490, $B$2:B490, B490)</f>
        <v>0.44428571428571439</v>
      </c>
      <c r="AJ490" s="86">
        <f>AVERAGEIFS($D$2:D490, $B$2:B490, B490)</f>
        <v>0.33333333333333331</v>
      </c>
    </row>
    <row r="491" spans="1:36" x14ac:dyDescent="0.25">
      <c r="A491" s="85">
        <v>46098</v>
      </c>
      <c r="B491" t="s">
        <v>45</v>
      </c>
      <c r="C491">
        <v>7</v>
      </c>
      <c r="D491">
        <v>0</v>
      </c>
      <c r="E491">
        <v>3</v>
      </c>
      <c r="F491">
        <v>0</v>
      </c>
      <c r="G491">
        <v>13</v>
      </c>
      <c r="H491">
        <v>4</v>
      </c>
      <c r="I491">
        <v>0</v>
      </c>
      <c r="J491">
        <v>0.31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 s="86">
        <f>AVERAGEIFS($C$2:C491, $B$2:B491, B491)</f>
        <v>8.6666666666666661</v>
      </c>
      <c r="AH491" s="86">
        <f>AVERAGEIFS($I$2:I491, $B$2:B491, B491)</f>
        <v>0.49499999999999994</v>
      </c>
      <c r="AI491" s="86">
        <f>AVERAGEIFS($J$2:J491, $B$2:B491, B491)</f>
        <v>0.4916666666666667</v>
      </c>
      <c r="AJ491" s="86">
        <f>AVERAGEIFS($D$2:D491, $B$2:B491, B491)</f>
        <v>0.5</v>
      </c>
    </row>
    <row r="492" spans="1:36" x14ac:dyDescent="0.25">
      <c r="A492" s="85">
        <v>46098</v>
      </c>
      <c r="B492" t="s">
        <v>44</v>
      </c>
      <c r="C492">
        <v>5</v>
      </c>
      <c r="D492">
        <v>0</v>
      </c>
      <c r="E492">
        <v>3</v>
      </c>
      <c r="F492">
        <v>0</v>
      </c>
      <c r="G492">
        <v>13</v>
      </c>
      <c r="H492">
        <v>4</v>
      </c>
      <c r="I492">
        <v>0</v>
      </c>
      <c r="J492">
        <v>0.31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 s="86">
        <f>AVERAGEIFS($C$2:C492, $B$2:B492, B492)</f>
        <v>17</v>
      </c>
      <c r="AH492" s="86">
        <f>AVERAGEIFS($I$2:I492, $B$2:B492, B492)</f>
        <v>0.49666666666666665</v>
      </c>
      <c r="AI492" s="86">
        <f>AVERAGEIFS($J$2:J492, $B$2:B492, B492)</f>
        <v>0.51533333333333331</v>
      </c>
      <c r="AJ492" s="86">
        <f>AVERAGEIFS($D$2:D492, $B$2:B492, B492)</f>
        <v>0.6</v>
      </c>
    </row>
    <row r="493" spans="1:36" x14ac:dyDescent="0.25">
      <c r="A493" s="85">
        <v>46099</v>
      </c>
      <c r="B493" t="s">
        <v>18</v>
      </c>
      <c r="C493">
        <v>18</v>
      </c>
      <c r="D493">
        <v>1</v>
      </c>
      <c r="E493">
        <v>3</v>
      </c>
      <c r="F493">
        <v>3</v>
      </c>
      <c r="G493">
        <v>10</v>
      </c>
      <c r="H493">
        <v>9</v>
      </c>
      <c r="I493">
        <v>1</v>
      </c>
      <c r="J493">
        <v>0.9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0</v>
      </c>
      <c r="Q493">
        <v>1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 s="86">
        <f>AVERAGEIFS($C$2:C493, $B$2:B493, B493)</f>
        <v>18.25</v>
      </c>
      <c r="AH493" s="86">
        <f>AVERAGEIFS($I$2:I493, $B$2:B493, B493)</f>
        <v>0.71250000000000002</v>
      </c>
      <c r="AI493" s="86">
        <f>AVERAGEIFS($J$2:J493, $B$2:B493, B493)</f>
        <v>0.62749999999999995</v>
      </c>
      <c r="AJ493" s="86">
        <f>AVERAGEIFS($D$2:D493, $B$2:B493, B493)</f>
        <v>0.75</v>
      </c>
    </row>
    <row r="494" spans="1:36" x14ac:dyDescent="0.25">
      <c r="A494" s="85">
        <v>46099</v>
      </c>
      <c r="B494" t="s">
        <v>50</v>
      </c>
      <c r="C494">
        <v>18</v>
      </c>
      <c r="D494">
        <v>1</v>
      </c>
      <c r="E494">
        <v>3</v>
      </c>
      <c r="F494">
        <v>3</v>
      </c>
      <c r="G494">
        <v>10</v>
      </c>
      <c r="H494">
        <v>9</v>
      </c>
      <c r="I494">
        <v>1</v>
      </c>
      <c r="J494">
        <v>0.9</v>
      </c>
      <c r="K494">
        <v>0</v>
      </c>
      <c r="L494">
        <v>1</v>
      </c>
      <c r="M494">
        <v>0</v>
      </c>
      <c r="N494">
        <v>0</v>
      </c>
      <c r="O494">
        <v>0</v>
      </c>
      <c r="P494">
        <v>0</v>
      </c>
      <c r="Q494">
        <v>1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 s="86">
        <f>AVERAGEIFS($C$2:C494, $B$2:B494, B494)</f>
        <v>19.076923076923077</v>
      </c>
      <c r="AH494" s="86">
        <f>AVERAGEIFS($I$2:I494, $B$2:B494, B494)</f>
        <v>0.55884615384615388</v>
      </c>
      <c r="AI494" s="86">
        <f>AVERAGEIFS($J$2:J494, $B$2:B494, B494)</f>
        <v>0.55115384615384611</v>
      </c>
      <c r="AJ494" s="86">
        <f>AVERAGEIFS($D$2:D494, $B$2:B494, B494)</f>
        <v>0.57692307692307687</v>
      </c>
    </row>
    <row r="495" spans="1:36" x14ac:dyDescent="0.25">
      <c r="A495" s="85">
        <v>46099</v>
      </c>
      <c r="B495" t="s">
        <v>5</v>
      </c>
      <c r="C495">
        <v>15</v>
      </c>
      <c r="D495">
        <v>1</v>
      </c>
      <c r="E495">
        <v>3</v>
      </c>
      <c r="F495">
        <v>3</v>
      </c>
      <c r="G495">
        <v>10</v>
      </c>
      <c r="H495">
        <v>9</v>
      </c>
      <c r="I495">
        <v>1</v>
      </c>
      <c r="J495">
        <v>0.9</v>
      </c>
      <c r="K495">
        <v>0</v>
      </c>
      <c r="L495">
        <v>1</v>
      </c>
      <c r="M495">
        <v>0</v>
      </c>
      <c r="N495">
        <v>0</v>
      </c>
      <c r="O495">
        <v>0</v>
      </c>
      <c r="P495">
        <v>0</v>
      </c>
      <c r="Q495">
        <v>1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 s="86">
        <f>AVERAGEIFS($C$2:C495, $B$2:B495, B495)</f>
        <v>21.416666666666668</v>
      </c>
      <c r="AH495" s="86">
        <f>AVERAGEIFS($I$2:I495, $B$2:B495, B495)</f>
        <v>0.63916666666666666</v>
      </c>
      <c r="AI495" s="86">
        <f>AVERAGEIFS($J$2:J495, $B$2:B495, B495)</f>
        <v>0.58083333333333342</v>
      </c>
      <c r="AJ495" s="86">
        <f>AVERAGEIFS($D$2:D495, $B$2:B495, B495)</f>
        <v>0.75</v>
      </c>
    </row>
    <row r="496" spans="1:36" x14ac:dyDescent="0.25">
      <c r="A496" s="85">
        <v>46099</v>
      </c>
      <c r="B496" t="s">
        <v>14</v>
      </c>
      <c r="C496">
        <v>14</v>
      </c>
      <c r="D496">
        <v>1</v>
      </c>
      <c r="E496">
        <v>3</v>
      </c>
      <c r="F496">
        <v>3</v>
      </c>
      <c r="G496">
        <v>10</v>
      </c>
      <c r="H496">
        <v>9</v>
      </c>
      <c r="I496">
        <v>1</v>
      </c>
      <c r="J496">
        <v>0.9</v>
      </c>
      <c r="K496">
        <v>0</v>
      </c>
      <c r="L496">
        <v>1</v>
      </c>
      <c r="M496">
        <v>0</v>
      </c>
      <c r="N496">
        <v>0</v>
      </c>
      <c r="O496">
        <v>0</v>
      </c>
      <c r="P496">
        <v>0</v>
      </c>
      <c r="Q496">
        <v>1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 s="86">
        <f>AVERAGEIFS($C$2:C496, $B$2:B496, B496)</f>
        <v>16.46153846153846</v>
      </c>
      <c r="AH496" s="86">
        <f>AVERAGEIFS($I$2:I496, $B$2:B496, B496)</f>
        <v>0.50923076923076926</v>
      </c>
      <c r="AI496" s="86">
        <f>AVERAGEIFS($J$2:J496, $B$2:B496, B496)</f>
        <v>0.52846153846153854</v>
      </c>
      <c r="AJ496" s="86">
        <f>AVERAGEIFS($D$2:D496, $B$2:B496, B496)</f>
        <v>0.53846153846153844</v>
      </c>
    </row>
    <row r="497" spans="1:36" x14ac:dyDescent="0.25">
      <c r="A497" s="85">
        <v>46099</v>
      </c>
      <c r="B497" t="s">
        <v>53</v>
      </c>
      <c r="C497">
        <v>10</v>
      </c>
      <c r="D497">
        <v>1</v>
      </c>
      <c r="E497">
        <v>3</v>
      </c>
      <c r="F497">
        <v>3</v>
      </c>
      <c r="G497">
        <v>10</v>
      </c>
      <c r="H497">
        <v>9</v>
      </c>
      <c r="I497">
        <v>1</v>
      </c>
      <c r="J497">
        <v>0.9</v>
      </c>
      <c r="K497">
        <v>0</v>
      </c>
      <c r="L497">
        <v>1</v>
      </c>
      <c r="M497">
        <v>0</v>
      </c>
      <c r="N497">
        <v>0</v>
      </c>
      <c r="O497">
        <v>0</v>
      </c>
      <c r="P497">
        <v>0</v>
      </c>
      <c r="Q497">
        <v>1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 s="86">
        <f>AVERAGEIFS($C$2:C497, $B$2:B497, B497)</f>
        <v>16.066666666666666</v>
      </c>
      <c r="AH497" s="86">
        <f>AVERAGEIFS($I$2:I497, $B$2:B497, B497)</f>
        <v>0.54333333333333333</v>
      </c>
      <c r="AI497" s="86">
        <f>AVERAGEIFS($J$2:J497, $B$2:B497, B497)</f>
        <v>0.51933333333333331</v>
      </c>
      <c r="AJ497" s="86">
        <f>AVERAGEIFS($D$2:D497, $B$2:B497, B497)</f>
        <v>0.53333333333333333</v>
      </c>
    </row>
    <row r="498" spans="1:36" x14ac:dyDescent="0.25">
      <c r="A498" s="85">
        <v>46099</v>
      </c>
      <c r="B498" t="s">
        <v>113</v>
      </c>
      <c r="C498">
        <v>16</v>
      </c>
      <c r="D498">
        <v>0</v>
      </c>
      <c r="E498">
        <v>3</v>
      </c>
      <c r="F498">
        <v>0</v>
      </c>
      <c r="G498">
        <v>10</v>
      </c>
      <c r="H498">
        <v>1</v>
      </c>
      <c r="I498">
        <v>0</v>
      </c>
      <c r="J498">
        <v>0.1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 s="86">
        <f>AVERAGEIFS($C$2:C498, $B$2:B498, B498)</f>
        <v>15.857142857142858</v>
      </c>
      <c r="AH498" s="86">
        <f>AVERAGEIFS($I$2:I498, $B$2:B498, B498)</f>
        <v>0.4642857142857143</v>
      </c>
      <c r="AI498" s="86">
        <f>AVERAGEIFS($J$2:J498, $B$2:B498, B498)</f>
        <v>0.44571428571428573</v>
      </c>
      <c r="AJ498" s="86">
        <f>AVERAGEIFS($D$2:D498, $B$2:B498, B498)</f>
        <v>0.42857142857142855</v>
      </c>
    </row>
    <row r="499" spans="1:36" x14ac:dyDescent="0.25">
      <c r="A499" s="85">
        <v>46099</v>
      </c>
      <c r="B499" t="s">
        <v>4</v>
      </c>
      <c r="C499">
        <v>15</v>
      </c>
      <c r="D499">
        <v>0</v>
      </c>
      <c r="E499">
        <v>3</v>
      </c>
      <c r="F499">
        <v>0</v>
      </c>
      <c r="G499">
        <v>10</v>
      </c>
      <c r="H499">
        <v>1</v>
      </c>
      <c r="I499">
        <v>0</v>
      </c>
      <c r="J499">
        <v>0.1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 s="86">
        <f>AVERAGEIFS($C$2:C499, $B$2:B499, B499)</f>
        <v>22.764705882352942</v>
      </c>
      <c r="AH499" s="86">
        <f>AVERAGEIFS($I$2:I499, $B$2:B499, B499)</f>
        <v>0.32058823529411767</v>
      </c>
      <c r="AI499" s="86">
        <f>AVERAGEIFS($J$2:J499, $B$2:B499, B499)</f>
        <v>0.3917647058823529</v>
      </c>
      <c r="AJ499" s="86">
        <f>AVERAGEIFS($D$2:D499, $B$2:B499, B499)</f>
        <v>0.17647058823529413</v>
      </c>
    </row>
    <row r="500" spans="1:36" x14ac:dyDescent="0.25">
      <c r="A500" s="85">
        <v>46099</v>
      </c>
      <c r="B500" t="s">
        <v>42</v>
      </c>
      <c r="C500">
        <v>9</v>
      </c>
      <c r="D500">
        <v>0</v>
      </c>
      <c r="E500">
        <v>3</v>
      </c>
      <c r="F500">
        <v>0</v>
      </c>
      <c r="G500">
        <v>10</v>
      </c>
      <c r="H500">
        <v>1</v>
      </c>
      <c r="I500">
        <v>0</v>
      </c>
      <c r="J500">
        <v>0.1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 s="86">
        <f>AVERAGEIFS($C$2:C500, $B$2:B500, B500)</f>
        <v>16.888888888888889</v>
      </c>
      <c r="AH500" s="86">
        <f>AVERAGEIFS($I$2:I500, $B$2:B500, B500)</f>
        <v>0.38611111111111113</v>
      </c>
      <c r="AI500" s="86">
        <f>AVERAGEIFS($J$2:J500, $B$2:B500, B500)</f>
        <v>0.41666666666666657</v>
      </c>
      <c r="AJ500" s="86">
        <f>AVERAGEIFS($D$2:D500, $B$2:B500, B500)</f>
        <v>0.3888888888888889</v>
      </c>
    </row>
    <row r="501" spans="1:36" x14ac:dyDescent="0.25">
      <c r="A501" s="85">
        <v>46099</v>
      </c>
      <c r="B501" t="s">
        <v>148</v>
      </c>
      <c r="C501">
        <v>8</v>
      </c>
      <c r="D501">
        <v>0</v>
      </c>
      <c r="E501">
        <v>3</v>
      </c>
      <c r="F501">
        <v>0</v>
      </c>
      <c r="G501">
        <v>10</v>
      </c>
      <c r="H501">
        <v>1</v>
      </c>
      <c r="I501">
        <v>0</v>
      </c>
      <c r="J501">
        <v>0.1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 s="86">
        <f>AVERAGEIFS($C$2:C501, $B$2:B501, B501)</f>
        <v>6</v>
      </c>
      <c r="AH501" s="86">
        <f>AVERAGEIFS($I$2:I501, $B$2:B501, B501)</f>
        <v>0.54374999999999996</v>
      </c>
      <c r="AI501" s="86">
        <f>AVERAGEIFS($J$2:J501, $B$2:B501, B501)</f>
        <v>0.54499999999999993</v>
      </c>
      <c r="AJ501" s="86">
        <f>AVERAGEIFS($D$2:D501, $B$2:B501, B501)</f>
        <v>0.625</v>
      </c>
    </row>
    <row r="502" spans="1:36" ht="14.25" customHeight="1" x14ac:dyDescent="0.25">
      <c r="A502" s="85">
        <v>46099</v>
      </c>
      <c r="B502" t="s">
        <v>37</v>
      </c>
      <c r="C502">
        <v>6</v>
      </c>
      <c r="D502">
        <v>0</v>
      </c>
      <c r="E502">
        <v>3</v>
      </c>
      <c r="F502">
        <v>0</v>
      </c>
      <c r="G502">
        <v>10</v>
      </c>
      <c r="H502">
        <v>1</v>
      </c>
      <c r="I502">
        <v>0</v>
      </c>
      <c r="J502">
        <v>0.1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 s="86">
        <f>AVERAGEIFS($C$2:C502, $B$2:B502, B502)</f>
        <v>12.625</v>
      </c>
      <c r="AH502" s="86">
        <f>AVERAGEIFS($I$2:I502, $B$2:B502, B502)</f>
        <v>0.51249999999999996</v>
      </c>
      <c r="AI502" s="86">
        <f>AVERAGEIFS($J$2:J502, $B$2:B502, B502)</f>
        <v>0.48375000000000001</v>
      </c>
      <c r="AJ502" s="86">
        <f>AVERAGEIFS($D$2:D502, $B$2:B502, B502)</f>
        <v>0.375</v>
      </c>
    </row>
    <row r="503" spans="1:36" x14ac:dyDescent="0.25">
      <c r="A503" s="85">
        <v>46099</v>
      </c>
      <c r="B503" t="s">
        <v>54</v>
      </c>
      <c r="C503">
        <v>32</v>
      </c>
      <c r="D503">
        <v>1</v>
      </c>
      <c r="E503">
        <v>4</v>
      </c>
      <c r="F503">
        <v>3</v>
      </c>
      <c r="G503">
        <v>19</v>
      </c>
      <c r="H503">
        <v>11</v>
      </c>
      <c r="I503">
        <v>0.75</v>
      </c>
      <c r="J503">
        <v>0.57999999999999996</v>
      </c>
      <c r="K503">
        <v>0</v>
      </c>
      <c r="L503">
        <v>0</v>
      </c>
      <c r="M503">
        <v>0</v>
      </c>
      <c r="N503">
        <v>1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1</v>
      </c>
      <c r="AB503">
        <v>0</v>
      </c>
      <c r="AC503">
        <v>0</v>
      </c>
      <c r="AD503">
        <v>1</v>
      </c>
      <c r="AE503">
        <v>0</v>
      </c>
      <c r="AF503">
        <v>0</v>
      </c>
      <c r="AG503" s="86">
        <f>AVERAGEIFS($C$2:C503, $B$2:B503, B503)</f>
        <v>24.285714285714285</v>
      </c>
      <c r="AH503" s="86">
        <f>AVERAGEIFS($I$2:I503, $B$2:B503, B503)</f>
        <v>0.51771428571428579</v>
      </c>
      <c r="AI503" s="86">
        <f>AVERAGEIFS($J$2:J503, $B$2:B503, B503)</f>
        <v>0.50371428571428567</v>
      </c>
      <c r="AJ503" s="86">
        <f>AVERAGEIFS($D$2:D503, $B$2:B503, B503)</f>
        <v>0.51428571428571423</v>
      </c>
    </row>
    <row r="504" spans="1:36" x14ac:dyDescent="0.25">
      <c r="A504" s="85">
        <v>46099</v>
      </c>
      <c r="B504" t="s">
        <v>17</v>
      </c>
      <c r="C504">
        <v>30</v>
      </c>
      <c r="D504">
        <v>1</v>
      </c>
      <c r="E504">
        <v>4</v>
      </c>
      <c r="F504">
        <v>3</v>
      </c>
      <c r="G504">
        <v>19</v>
      </c>
      <c r="H504">
        <v>11</v>
      </c>
      <c r="I504">
        <v>0.75</v>
      </c>
      <c r="J504">
        <v>0.57999999999999996</v>
      </c>
      <c r="K504">
        <v>0</v>
      </c>
      <c r="L504">
        <v>0</v>
      </c>
      <c r="M504">
        <v>0</v>
      </c>
      <c r="N504">
        <v>1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1</v>
      </c>
      <c r="AB504">
        <v>0</v>
      </c>
      <c r="AC504">
        <v>0</v>
      </c>
      <c r="AD504">
        <v>1</v>
      </c>
      <c r="AE504">
        <v>0</v>
      </c>
      <c r="AF504">
        <v>0</v>
      </c>
      <c r="AG504" s="86">
        <f>AVERAGEIFS($C$2:C504, $B$2:B504, B504)</f>
        <v>21.136363636363637</v>
      </c>
      <c r="AH504" s="86">
        <f>AVERAGEIFS($I$2:I504, $B$2:B504, B504)</f>
        <v>0.43272727272727268</v>
      </c>
      <c r="AI504" s="86">
        <f>AVERAGEIFS($J$2:J504, $B$2:B504, B504)</f>
        <v>0.45045454545454555</v>
      </c>
      <c r="AJ504" s="86">
        <f>AVERAGEIFS($D$2:D504, $B$2:B504, B504)</f>
        <v>0.36363636363636365</v>
      </c>
    </row>
    <row r="505" spans="1:36" x14ac:dyDescent="0.25">
      <c r="A505" s="85">
        <v>46099</v>
      </c>
      <c r="B505" t="s">
        <v>5</v>
      </c>
      <c r="C505">
        <v>19</v>
      </c>
      <c r="D505">
        <v>1</v>
      </c>
      <c r="E505">
        <v>4</v>
      </c>
      <c r="F505">
        <v>3</v>
      </c>
      <c r="G505">
        <v>19</v>
      </c>
      <c r="H505">
        <v>11</v>
      </c>
      <c r="I505">
        <v>0.75</v>
      </c>
      <c r="J505">
        <v>0.57999999999999996</v>
      </c>
      <c r="K505">
        <v>0</v>
      </c>
      <c r="L505">
        <v>0</v>
      </c>
      <c r="M505">
        <v>0</v>
      </c>
      <c r="N505">
        <v>1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1</v>
      </c>
      <c r="AB505">
        <v>0</v>
      </c>
      <c r="AC505">
        <v>0</v>
      </c>
      <c r="AD505">
        <v>1</v>
      </c>
      <c r="AE505">
        <v>0</v>
      </c>
      <c r="AF505">
        <v>0</v>
      </c>
      <c r="AG505" s="86">
        <f>AVERAGEIFS($C$2:C505, $B$2:B505, B505)</f>
        <v>21.23076923076923</v>
      </c>
      <c r="AH505" s="86">
        <f>AVERAGEIFS($I$2:I505, $B$2:B505, B505)</f>
        <v>0.64769230769230768</v>
      </c>
      <c r="AI505" s="86">
        <f>AVERAGEIFS($J$2:J505, $B$2:B505, B505)</f>
        <v>0.58076923076923082</v>
      </c>
      <c r="AJ505" s="86">
        <f>AVERAGEIFS($D$2:D505, $B$2:B505, B505)</f>
        <v>0.76923076923076927</v>
      </c>
    </row>
    <row r="506" spans="1:36" x14ac:dyDescent="0.25">
      <c r="A506" s="85">
        <v>46099</v>
      </c>
      <c r="B506" t="s">
        <v>107</v>
      </c>
      <c r="C506">
        <v>19</v>
      </c>
      <c r="D506">
        <v>1</v>
      </c>
      <c r="E506">
        <v>4</v>
      </c>
      <c r="F506">
        <v>3</v>
      </c>
      <c r="G506">
        <v>19</v>
      </c>
      <c r="H506">
        <v>11</v>
      </c>
      <c r="I506">
        <v>0.75</v>
      </c>
      <c r="J506">
        <v>0.57999999999999996</v>
      </c>
      <c r="K506">
        <v>0</v>
      </c>
      <c r="L506">
        <v>0</v>
      </c>
      <c r="M506">
        <v>0</v>
      </c>
      <c r="N506">
        <v>1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1</v>
      </c>
      <c r="AB506">
        <v>0</v>
      </c>
      <c r="AC506">
        <v>0</v>
      </c>
      <c r="AD506">
        <v>1</v>
      </c>
      <c r="AE506">
        <v>0</v>
      </c>
      <c r="AF506">
        <v>0</v>
      </c>
      <c r="AG506" s="86">
        <f>AVERAGEIFS($C$2:C506, $B$2:B506, B506)</f>
        <v>14.647058823529411</v>
      </c>
      <c r="AH506" s="86">
        <f>AVERAGEIFS($I$2:I506, $B$2:B506, B506)</f>
        <v>0.65588235294117636</v>
      </c>
      <c r="AI506" s="86">
        <f>AVERAGEIFS($J$2:J506, $B$2:B506, B506)</f>
        <v>0.58000000000000007</v>
      </c>
      <c r="AJ506" s="86">
        <f>AVERAGEIFS($D$2:D506, $B$2:B506, B506)</f>
        <v>0.70588235294117652</v>
      </c>
    </row>
    <row r="507" spans="1:36" x14ac:dyDescent="0.25">
      <c r="A507" s="85">
        <v>46099</v>
      </c>
      <c r="B507" t="s">
        <v>40</v>
      </c>
      <c r="C507">
        <v>16</v>
      </c>
      <c r="D507">
        <v>1</v>
      </c>
      <c r="E507">
        <v>4</v>
      </c>
      <c r="F507">
        <v>3</v>
      </c>
      <c r="G507">
        <v>19</v>
      </c>
      <c r="H507">
        <v>11</v>
      </c>
      <c r="I507">
        <v>0.75</v>
      </c>
      <c r="J507">
        <v>0.57999999999999996</v>
      </c>
      <c r="K507">
        <v>0</v>
      </c>
      <c r="L507">
        <v>0</v>
      </c>
      <c r="M507">
        <v>0</v>
      </c>
      <c r="N507">
        <v>1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1</v>
      </c>
      <c r="AB507">
        <v>0</v>
      </c>
      <c r="AC507">
        <v>0</v>
      </c>
      <c r="AD507">
        <v>1</v>
      </c>
      <c r="AE507">
        <v>0</v>
      </c>
      <c r="AF507">
        <v>0</v>
      </c>
      <c r="AG507" s="86">
        <f>AVERAGEIFS($C$2:C507, $B$2:B507, B507)</f>
        <v>17.096774193548388</v>
      </c>
      <c r="AH507" s="86">
        <f>AVERAGEIFS($I$2:I507, $B$2:B507, B507)</f>
        <v>0.52903225806451615</v>
      </c>
      <c r="AI507" s="86">
        <f>AVERAGEIFS($J$2:J507, $B$2:B507, B507)</f>
        <v>0.51290322580645153</v>
      </c>
      <c r="AJ507" s="86">
        <f>AVERAGEIFS($D$2:D507, $B$2:B507, B507)</f>
        <v>0.5161290322580645</v>
      </c>
    </row>
    <row r="508" spans="1:36" x14ac:dyDescent="0.25">
      <c r="A508" s="85">
        <v>46099</v>
      </c>
      <c r="B508" t="s">
        <v>18</v>
      </c>
      <c r="C508">
        <v>10</v>
      </c>
      <c r="D508">
        <v>1</v>
      </c>
      <c r="E508">
        <v>4</v>
      </c>
      <c r="F508">
        <v>3</v>
      </c>
      <c r="G508">
        <v>19</v>
      </c>
      <c r="H508">
        <v>11</v>
      </c>
      <c r="I508">
        <v>0.75</v>
      </c>
      <c r="J508">
        <v>0.57999999999999996</v>
      </c>
      <c r="K508">
        <v>0</v>
      </c>
      <c r="L508">
        <v>0</v>
      </c>
      <c r="M508">
        <v>0</v>
      </c>
      <c r="N508">
        <v>1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1</v>
      </c>
      <c r="AB508">
        <v>0</v>
      </c>
      <c r="AC508">
        <v>0</v>
      </c>
      <c r="AD508">
        <v>1</v>
      </c>
      <c r="AE508">
        <v>0</v>
      </c>
      <c r="AF508">
        <v>0</v>
      </c>
      <c r="AG508" s="86">
        <f>AVERAGEIFS($C$2:C508, $B$2:B508, B508)</f>
        <v>16.600000000000001</v>
      </c>
      <c r="AH508" s="86">
        <f>AVERAGEIFS($I$2:I508, $B$2:B508, B508)</f>
        <v>0.72</v>
      </c>
      <c r="AI508" s="86">
        <f>AVERAGEIFS($J$2:J508, $B$2:B508, B508)</f>
        <v>0.61799999999999999</v>
      </c>
      <c r="AJ508" s="86">
        <f>AVERAGEIFS($D$2:D508, $B$2:B508, B508)</f>
        <v>0.8</v>
      </c>
    </row>
    <row r="509" spans="1:36" x14ac:dyDescent="0.25">
      <c r="A509" s="85">
        <v>46099</v>
      </c>
      <c r="B509" t="s">
        <v>35</v>
      </c>
      <c r="C509">
        <v>9</v>
      </c>
      <c r="D509">
        <v>1</v>
      </c>
      <c r="E509">
        <v>4</v>
      </c>
      <c r="F509">
        <v>3</v>
      </c>
      <c r="G509">
        <v>19</v>
      </c>
      <c r="H509">
        <v>11</v>
      </c>
      <c r="I509">
        <v>0.75</v>
      </c>
      <c r="J509">
        <v>0.57999999999999996</v>
      </c>
      <c r="K509">
        <v>0</v>
      </c>
      <c r="L509">
        <v>0</v>
      </c>
      <c r="M509">
        <v>0</v>
      </c>
      <c r="N509">
        <v>1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1</v>
      </c>
      <c r="AB509">
        <v>0</v>
      </c>
      <c r="AC509">
        <v>0</v>
      </c>
      <c r="AD509">
        <v>1</v>
      </c>
      <c r="AE509">
        <v>0</v>
      </c>
      <c r="AF509">
        <v>0</v>
      </c>
      <c r="AG509" s="86">
        <f>AVERAGEIFS($C$2:C509, $B$2:B509, B509)</f>
        <v>11.133333333333333</v>
      </c>
      <c r="AH509" s="86">
        <f>AVERAGEIFS($I$2:I509, $B$2:B509, B509)</f>
        <v>0.44766666666666671</v>
      </c>
      <c r="AI509" s="86">
        <f>AVERAGEIFS($J$2:J509, $B$2:B509, B509)</f>
        <v>0.48033333333333333</v>
      </c>
      <c r="AJ509" s="86">
        <f>AVERAGEIFS($D$2:D509, $B$2:B509, B509)</f>
        <v>0.4</v>
      </c>
    </row>
    <row r="510" spans="1:36" x14ac:dyDescent="0.25">
      <c r="A510" s="85">
        <v>46099</v>
      </c>
      <c r="B510" t="s">
        <v>28</v>
      </c>
      <c r="C510">
        <v>6</v>
      </c>
      <c r="D510">
        <v>1</v>
      </c>
      <c r="E510">
        <v>4</v>
      </c>
      <c r="F510">
        <v>3</v>
      </c>
      <c r="G510">
        <v>19</v>
      </c>
      <c r="H510">
        <v>11</v>
      </c>
      <c r="I510">
        <v>0.75</v>
      </c>
      <c r="J510">
        <v>0.57999999999999996</v>
      </c>
      <c r="K510">
        <v>0</v>
      </c>
      <c r="L510">
        <v>0</v>
      </c>
      <c r="M510">
        <v>0</v>
      </c>
      <c r="N510">
        <v>1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1</v>
      </c>
      <c r="AB510">
        <v>0</v>
      </c>
      <c r="AC510">
        <v>0</v>
      </c>
      <c r="AD510">
        <v>1</v>
      </c>
      <c r="AE510">
        <v>0</v>
      </c>
      <c r="AF510">
        <v>0</v>
      </c>
      <c r="AG510" s="86">
        <f>AVERAGEIFS($C$2:C510, $B$2:B510, B510)</f>
        <v>14</v>
      </c>
      <c r="AH510" s="86">
        <f>AVERAGEIFS($I$2:I510, $B$2:B510, B510)</f>
        <v>0.47285714285714286</v>
      </c>
      <c r="AI510" s="86">
        <f>AVERAGEIFS($J$2:J510, $B$2:B510, B510)</f>
        <v>0.50142857142857145</v>
      </c>
      <c r="AJ510" s="86">
        <f>AVERAGEIFS($D$2:D510, $B$2:B510, B510)</f>
        <v>0.42857142857142855</v>
      </c>
    </row>
    <row r="511" spans="1:36" x14ac:dyDescent="0.25">
      <c r="A511" s="85">
        <v>46099</v>
      </c>
      <c r="B511" t="s">
        <v>6</v>
      </c>
      <c r="C511">
        <v>27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0</v>
      </c>
      <c r="O511">
        <v>1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 s="86">
        <f>AVERAGEIFS($C$2:C511, $B$2:B511, B511)</f>
        <v>22.575757575757574</v>
      </c>
      <c r="AH511" s="86">
        <f>AVERAGEIFS($I$2:I511, $B$2:B511, B511)</f>
        <v>0.60545454545454547</v>
      </c>
      <c r="AI511" s="86">
        <f>AVERAGEIFS($J$2:J511, $B$2:B511, B511)</f>
        <v>0.55696969696969689</v>
      </c>
      <c r="AJ511" s="86">
        <f>AVERAGEIFS($D$2:D511, $B$2:B511, B511)</f>
        <v>0.69696969696969702</v>
      </c>
    </row>
    <row r="512" spans="1:36" x14ac:dyDescent="0.25">
      <c r="A512" s="85">
        <v>46099</v>
      </c>
      <c r="B512" t="s">
        <v>42</v>
      </c>
      <c r="C512">
        <v>25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0</v>
      </c>
      <c r="O512">
        <v>1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 s="86">
        <f>AVERAGEIFS($C$2:C512, $B$2:B512, B512)</f>
        <v>17.315789473684209</v>
      </c>
      <c r="AH512" s="86">
        <f>AVERAGEIFS($I$2:I512, $B$2:B512, B512)</f>
        <v>0.37894736842105264</v>
      </c>
      <c r="AI512" s="86">
        <f>AVERAGEIFS($J$2:J512, $B$2:B512, B512)</f>
        <v>0.41684210526315779</v>
      </c>
      <c r="AJ512" s="86">
        <f>AVERAGEIFS($D$2:D512, $B$2:B512, B512)</f>
        <v>0.36842105263157893</v>
      </c>
    </row>
    <row r="513" spans="1:36" x14ac:dyDescent="0.25">
      <c r="A513" s="85">
        <v>46099</v>
      </c>
      <c r="B513" t="s">
        <v>147</v>
      </c>
      <c r="C513">
        <v>18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0</v>
      </c>
      <c r="O513">
        <v>1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 s="86">
        <f>AVERAGEIFS($C$2:C513, $B$2:B513, B513)</f>
        <v>8.75</v>
      </c>
      <c r="AH513" s="86">
        <f>AVERAGEIFS($I$2:I513, $B$2:B513, B513)</f>
        <v>0.375</v>
      </c>
      <c r="AI513" s="86">
        <f>AVERAGEIFS($J$2:J513, $B$2:B513, B513)</f>
        <v>0.37499999999999994</v>
      </c>
      <c r="AJ513" s="86">
        <f>AVERAGEIFS($D$2:D513, $B$2:B513, B513)</f>
        <v>0.25</v>
      </c>
    </row>
    <row r="514" spans="1:36" x14ac:dyDescent="0.25">
      <c r="A514" s="85">
        <v>46099</v>
      </c>
      <c r="B514" t="s">
        <v>44</v>
      </c>
      <c r="C514">
        <v>16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0</v>
      </c>
      <c r="O514">
        <v>1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 s="86">
        <f>AVERAGEIFS($C$2:C514, $B$2:B514, B514)</f>
        <v>16.9375</v>
      </c>
      <c r="AH514" s="86">
        <f>AVERAGEIFS($I$2:I514, $B$2:B514, B514)</f>
        <v>0.48124999999999996</v>
      </c>
      <c r="AI514" s="86">
        <f>AVERAGEIFS($J$2:J514, $B$2:B514, B514)</f>
        <v>0.50937500000000002</v>
      </c>
      <c r="AJ514" s="86">
        <f>AVERAGEIFS($D$2:D514, $B$2:B514, B514)</f>
        <v>0.5625</v>
      </c>
    </row>
    <row r="515" spans="1:36" x14ac:dyDescent="0.25">
      <c r="A515" s="85">
        <v>46099</v>
      </c>
      <c r="B515" t="s">
        <v>25</v>
      </c>
      <c r="C515">
        <v>15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0</v>
      </c>
      <c r="O515">
        <v>1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 s="86">
        <f>AVERAGEIFS($C$2:C515, $B$2:B515, B515)</f>
        <v>9.6666666666666661</v>
      </c>
      <c r="AH515" s="86">
        <f>AVERAGEIFS($I$2:I515, $B$2:B515, B515)</f>
        <v>0.66666666666666663</v>
      </c>
      <c r="AI515" s="86">
        <f>AVERAGEIFS($J$2:J515, $B$2:B515, B515)</f>
        <v>0.63833333333333331</v>
      </c>
      <c r="AJ515" s="86">
        <f>AVERAGEIFS($D$2:D515, $B$2:B515, B515)</f>
        <v>0.66666666666666663</v>
      </c>
    </row>
    <row r="516" spans="1:36" x14ac:dyDescent="0.25">
      <c r="A516" s="85">
        <v>46099</v>
      </c>
      <c r="B516" t="s">
        <v>45</v>
      </c>
      <c r="C516">
        <v>14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0</v>
      </c>
      <c r="O516">
        <v>1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 s="86">
        <f>AVERAGEIFS($C$2:C516, $B$2:B516, B516)</f>
        <v>9.4285714285714288</v>
      </c>
      <c r="AH516" s="86">
        <f>AVERAGEIFS($I$2:I516, $B$2:B516, B516)</f>
        <v>0.45999999999999996</v>
      </c>
      <c r="AI516" s="86">
        <f>AVERAGEIFS($J$2:J516, $B$2:B516, B516)</f>
        <v>0.48142857142857143</v>
      </c>
      <c r="AJ516" s="86">
        <f>AVERAGEIFS($D$2:D516, $B$2:B516, B516)</f>
        <v>0.42857142857142855</v>
      </c>
    </row>
    <row r="517" spans="1:36" x14ac:dyDescent="0.25">
      <c r="A517" s="85">
        <v>46099</v>
      </c>
      <c r="B517" t="s">
        <v>151</v>
      </c>
      <c r="C517">
        <v>14</v>
      </c>
      <c r="D517">
        <v>0</v>
      </c>
      <c r="E517">
        <v>4</v>
      </c>
      <c r="F517">
        <v>1</v>
      </c>
      <c r="G517">
        <v>19</v>
      </c>
      <c r="H517">
        <v>8</v>
      </c>
      <c r="I517">
        <v>0.25</v>
      </c>
      <c r="J517">
        <v>0.42</v>
      </c>
      <c r="K517">
        <v>0</v>
      </c>
      <c r="L517">
        <v>0</v>
      </c>
      <c r="M517">
        <v>0</v>
      </c>
      <c r="N517">
        <v>0</v>
      </c>
      <c r="O517">
        <v>1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 s="86">
        <f>AVERAGEIFS($C$2:C517, $B$2:B517, B517)</f>
        <v>11.5</v>
      </c>
      <c r="AH517" s="86">
        <f>AVERAGEIFS($I$2:I517, $B$2:B517, B517)</f>
        <v>0.5</v>
      </c>
      <c r="AI517" s="86">
        <f>AVERAGEIFS($J$2:J517, $B$2:B517, B517)</f>
        <v>0.53</v>
      </c>
      <c r="AJ517" s="86">
        <f>AVERAGEIFS($D$2:D517, $B$2:B517, B517)</f>
        <v>0.5</v>
      </c>
    </row>
    <row r="518" spans="1:36" x14ac:dyDescent="0.25">
      <c r="A518" s="85">
        <v>46099</v>
      </c>
      <c r="B518" t="s">
        <v>50</v>
      </c>
      <c r="C518">
        <v>11</v>
      </c>
      <c r="D518">
        <v>0</v>
      </c>
      <c r="E518">
        <v>4</v>
      </c>
      <c r="F518">
        <v>1</v>
      </c>
      <c r="G518">
        <v>19</v>
      </c>
      <c r="H518">
        <v>8</v>
      </c>
      <c r="I518">
        <v>0.25</v>
      </c>
      <c r="J518">
        <v>0.42</v>
      </c>
      <c r="K518">
        <v>0</v>
      </c>
      <c r="L518">
        <v>0</v>
      </c>
      <c r="M518">
        <v>0</v>
      </c>
      <c r="N518">
        <v>0</v>
      </c>
      <c r="O518">
        <v>1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 s="86">
        <f>AVERAGEIFS($C$2:C518, $B$2:B518, B518)</f>
        <v>18.777777777777779</v>
      </c>
      <c r="AH518" s="86">
        <f>AVERAGEIFS($I$2:I518, $B$2:B518, B518)</f>
        <v>0.54740740740740745</v>
      </c>
      <c r="AI518" s="86">
        <f>AVERAGEIFS($J$2:J518, $B$2:B518, B518)</f>
        <v>0.54629629629629628</v>
      </c>
      <c r="AJ518" s="86">
        <f>AVERAGEIFS($D$2:D518, $B$2:B518, B518)</f>
        <v>0.55555555555555558</v>
      </c>
    </row>
    <row r="519" spans="1:36" x14ac:dyDescent="0.25">
      <c r="A519" s="85">
        <v>46100</v>
      </c>
      <c r="B519" t="s">
        <v>54</v>
      </c>
      <c r="C519">
        <v>27</v>
      </c>
      <c r="D519">
        <v>1</v>
      </c>
      <c r="E519">
        <v>5</v>
      </c>
      <c r="F519">
        <v>3</v>
      </c>
      <c r="G519">
        <v>20</v>
      </c>
      <c r="H519">
        <v>11</v>
      </c>
      <c r="I519">
        <v>0.6</v>
      </c>
      <c r="J519">
        <v>0.55000000000000004</v>
      </c>
      <c r="K519">
        <v>0</v>
      </c>
      <c r="L519">
        <v>0</v>
      </c>
      <c r="M519">
        <v>0</v>
      </c>
      <c r="N519">
        <v>1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1</v>
      </c>
      <c r="AA519">
        <v>0</v>
      </c>
      <c r="AB519">
        <v>1</v>
      </c>
      <c r="AC519">
        <v>0</v>
      </c>
      <c r="AD519">
        <v>0</v>
      </c>
      <c r="AE519">
        <v>0</v>
      </c>
      <c r="AF519">
        <v>0</v>
      </c>
      <c r="AG519" s="86">
        <f>AVERAGEIFS($C$2:C519, $B$2:B519, B519)</f>
        <v>24.361111111111111</v>
      </c>
      <c r="AH519" s="86">
        <f>AVERAGEIFS($I$2:I519, $B$2:B519, B519)</f>
        <v>0.52</v>
      </c>
      <c r="AI519" s="86">
        <f>AVERAGEIFS($J$2:J519, $B$2:B519, B519)</f>
        <v>0.505</v>
      </c>
      <c r="AJ519" s="86">
        <f>AVERAGEIFS($D$2:D519, $B$2:B519, B519)</f>
        <v>0.52777777777777779</v>
      </c>
    </row>
    <row r="520" spans="1:36" x14ac:dyDescent="0.25">
      <c r="A520" s="85">
        <v>46100</v>
      </c>
      <c r="B520" t="s">
        <v>6</v>
      </c>
      <c r="C520">
        <v>19</v>
      </c>
      <c r="D520">
        <v>1</v>
      </c>
      <c r="E520">
        <v>5</v>
      </c>
      <c r="F520">
        <v>3</v>
      </c>
      <c r="G520">
        <v>20</v>
      </c>
      <c r="H520">
        <v>11</v>
      </c>
      <c r="I520">
        <v>0.6</v>
      </c>
      <c r="J520">
        <v>0.55000000000000004</v>
      </c>
      <c r="K520">
        <v>0</v>
      </c>
      <c r="L520">
        <v>0</v>
      </c>
      <c r="M520">
        <v>0</v>
      </c>
      <c r="N520">
        <v>1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1</v>
      </c>
      <c r="AA520">
        <v>0</v>
      </c>
      <c r="AB520">
        <v>1</v>
      </c>
      <c r="AC520">
        <v>0</v>
      </c>
      <c r="AD520">
        <v>0</v>
      </c>
      <c r="AE520">
        <v>0</v>
      </c>
      <c r="AF520">
        <v>0</v>
      </c>
      <c r="AG520" s="86">
        <f>AVERAGEIFS($C$2:C520, $B$2:B520, B520)</f>
        <v>22.470588235294116</v>
      </c>
      <c r="AH520" s="86">
        <f>AVERAGEIFS($I$2:I520, $B$2:B520, B520)</f>
        <v>0.60529411764705887</v>
      </c>
      <c r="AI520" s="86">
        <f>AVERAGEIFS($J$2:J520, $B$2:B520, B520)</f>
        <v>0.55676470588235294</v>
      </c>
      <c r="AJ520" s="86">
        <f>AVERAGEIFS($D$2:D520, $B$2:B520, B520)</f>
        <v>0.70588235294117652</v>
      </c>
    </row>
    <row r="521" spans="1:36" x14ac:dyDescent="0.25">
      <c r="A521" s="85">
        <v>46100</v>
      </c>
      <c r="B521" t="s">
        <v>107</v>
      </c>
      <c r="C521">
        <v>21</v>
      </c>
      <c r="D521">
        <v>1</v>
      </c>
      <c r="E521">
        <v>5</v>
      </c>
      <c r="F521">
        <v>3</v>
      </c>
      <c r="G521">
        <v>20</v>
      </c>
      <c r="H521">
        <v>11</v>
      </c>
      <c r="I521">
        <v>0.6</v>
      </c>
      <c r="J521">
        <v>0.55000000000000004</v>
      </c>
      <c r="K521">
        <v>0</v>
      </c>
      <c r="L521">
        <v>0</v>
      </c>
      <c r="M521">
        <v>0</v>
      </c>
      <c r="N521">
        <v>1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1</v>
      </c>
      <c r="AA521">
        <v>0</v>
      </c>
      <c r="AB521">
        <v>1</v>
      </c>
      <c r="AC521">
        <v>0</v>
      </c>
      <c r="AD521">
        <v>0</v>
      </c>
      <c r="AE521">
        <v>0</v>
      </c>
      <c r="AF521">
        <v>0</v>
      </c>
      <c r="AG521" s="86">
        <f>AVERAGEIFS($C$2:C521, $B$2:B521, B521)</f>
        <v>15</v>
      </c>
      <c r="AH521" s="86">
        <f>AVERAGEIFS($I$2:I521, $B$2:B521, B521)</f>
        <v>0.65277777777777768</v>
      </c>
      <c r="AI521" s="86">
        <f>AVERAGEIFS($J$2:J521, $B$2:B521, B521)</f>
        <v>0.57833333333333348</v>
      </c>
      <c r="AJ521" s="86">
        <f>AVERAGEIFS($D$2:D521, $B$2:B521, B521)</f>
        <v>0.72222222222222221</v>
      </c>
    </row>
    <row r="522" spans="1:36" x14ac:dyDescent="0.25">
      <c r="A522" s="85">
        <v>46100</v>
      </c>
      <c r="B522" t="s">
        <v>42</v>
      </c>
      <c r="C522">
        <v>19</v>
      </c>
      <c r="D522">
        <v>1</v>
      </c>
      <c r="E522">
        <v>5</v>
      </c>
      <c r="F522">
        <v>3</v>
      </c>
      <c r="G522">
        <v>20</v>
      </c>
      <c r="H522">
        <v>11</v>
      </c>
      <c r="I522">
        <v>0.6</v>
      </c>
      <c r="J522">
        <v>0.55000000000000004</v>
      </c>
      <c r="K522">
        <v>0</v>
      </c>
      <c r="L522">
        <v>0</v>
      </c>
      <c r="M522">
        <v>0</v>
      </c>
      <c r="N522">
        <v>1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1</v>
      </c>
      <c r="AA522">
        <v>0</v>
      </c>
      <c r="AB522">
        <v>1</v>
      </c>
      <c r="AC522">
        <v>0</v>
      </c>
      <c r="AD522">
        <v>0</v>
      </c>
      <c r="AE522">
        <v>0</v>
      </c>
      <c r="AF522">
        <v>0</v>
      </c>
      <c r="AG522" s="86">
        <f>AVERAGEIFS($C$2:C522, $B$2:B522, B522)</f>
        <v>17.399999999999999</v>
      </c>
      <c r="AH522" s="86">
        <f>AVERAGEIFS($I$2:I522, $B$2:B522, B522)</f>
        <v>0.39</v>
      </c>
      <c r="AI522" s="86">
        <f>AVERAGEIFS($J$2:J522, $B$2:B522, B522)</f>
        <v>0.42349999999999993</v>
      </c>
      <c r="AJ522" s="86">
        <f>AVERAGEIFS($D$2:D522, $B$2:B522, B522)</f>
        <v>0.4</v>
      </c>
    </row>
    <row r="523" spans="1:36" x14ac:dyDescent="0.25">
      <c r="A523" s="85">
        <v>46100</v>
      </c>
      <c r="B523" t="s">
        <v>141</v>
      </c>
      <c r="C523">
        <v>18</v>
      </c>
      <c r="D523">
        <v>1</v>
      </c>
      <c r="E523">
        <v>5</v>
      </c>
      <c r="F523">
        <v>3</v>
      </c>
      <c r="G523">
        <v>20</v>
      </c>
      <c r="H523">
        <v>11</v>
      </c>
      <c r="I523">
        <v>0.6</v>
      </c>
      <c r="J523">
        <v>0.55000000000000004</v>
      </c>
      <c r="K523">
        <v>0</v>
      </c>
      <c r="L523">
        <v>0</v>
      </c>
      <c r="M523">
        <v>0</v>
      </c>
      <c r="N523">
        <v>1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1</v>
      </c>
      <c r="AA523">
        <v>0</v>
      </c>
      <c r="AB523">
        <v>1</v>
      </c>
      <c r="AC523">
        <v>0</v>
      </c>
      <c r="AD523">
        <v>0</v>
      </c>
      <c r="AE523">
        <v>0</v>
      </c>
      <c r="AF523">
        <v>0</v>
      </c>
      <c r="AG523" s="86">
        <f>AVERAGEIFS($C$2:C523, $B$2:B523, B523)</f>
        <v>13.333333333333334</v>
      </c>
      <c r="AH523" s="86">
        <f>AVERAGEIFS($I$2:I523, $B$2:B523, B523)</f>
        <v>0.53333333333333333</v>
      </c>
      <c r="AI523" s="86">
        <f>AVERAGEIFS($J$2:J523, $B$2:B523, B523)</f>
        <v>0.49000000000000005</v>
      </c>
      <c r="AJ523" s="86">
        <f>AVERAGEIFS($D$2:D523, $B$2:B523, B523)</f>
        <v>0.66666666666666663</v>
      </c>
    </row>
    <row r="524" spans="1:36" x14ac:dyDescent="0.25">
      <c r="A524" s="85">
        <v>46100</v>
      </c>
      <c r="B524" t="s">
        <v>148</v>
      </c>
      <c r="C524">
        <v>17</v>
      </c>
      <c r="D524">
        <v>1</v>
      </c>
      <c r="E524">
        <v>5</v>
      </c>
      <c r="F524">
        <v>3</v>
      </c>
      <c r="G524">
        <v>20</v>
      </c>
      <c r="H524">
        <v>11</v>
      </c>
      <c r="I524">
        <v>0.6</v>
      </c>
      <c r="J524">
        <v>0.55000000000000004</v>
      </c>
      <c r="K524">
        <v>0</v>
      </c>
      <c r="L524">
        <v>0</v>
      </c>
      <c r="M524">
        <v>0</v>
      </c>
      <c r="N524">
        <v>1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1</v>
      </c>
      <c r="AA524">
        <v>0</v>
      </c>
      <c r="AB524">
        <v>1</v>
      </c>
      <c r="AC524">
        <v>0</v>
      </c>
      <c r="AD524">
        <v>0</v>
      </c>
      <c r="AE524">
        <v>0</v>
      </c>
      <c r="AF524">
        <v>0</v>
      </c>
      <c r="AG524" s="86">
        <f>AVERAGEIFS($C$2:C524, $B$2:B524, B524)</f>
        <v>7.2222222222222223</v>
      </c>
      <c r="AH524" s="86">
        <f>AVERAGEIFS($I$2:I524, $B$2:B524, B524)</f>
        <v>0.54999999999999993</v>
      </c>
      <c r="AI524" s="86">
        <f>AVERAGEIFS($J$2:J524, $B$2:B524, B524)</f>
        <v>0.54555555555555546</v>
      </c>
      <c r="AJ524" s="86">
        <f>AVERAGEIFS($D$2:D524, $B$2:B524, B524)</f>
        <v>0.66666666666666663</v>
      </c>
    </row>
    <row r="525" spans="1:36" x14ac:dyDescent="0.25">
      <c r="A525" s="85">
        <v>46100</v>
      </c>
      <c r="B525" t="s">
        <v>1</v>
      </c>
      <c r="C525">
        <v>26</v>
      </c>
      <c r="D525">
        <v>0</v>
      </c>
      <c r="E525">
        <v>5</v>
      </c>
      <c r="F525">
        <v>2</v>
      </c>
      <c r="G525">
        <v>20</v>
      </c>
      <c r="H525">
        <v>9</v>
      </c>
      <c r="I525">
        <v>0.4</v>
      </c>
      <c r="J525">
        <v>0.45</v>
      </c>
      <c r="K525">
        <v>0</v>
      </c>
      <c r="L525">
        <v>0</v>
      </c>
      <c r="M525">
        <v>0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1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 s="86">
        <f>AVERAGEIFS($C$2:C525, $B$2:B525, B525)</f>
        <v>26.411764705882351</v>
      </c>
      <c r="AH525" s="86">
        <f>AVERAGEIFS($I$2:I525, $B$2:B525, B525)</f>
        <v>0.40294117647058825</v>
      </c>
      <c r="AI525" s="86">
        <f>AVERAGEIFS($J$2:J525, $B$2:B525, B525)</f>
        <v>0.4323529411764705</v>
      </c>
      <c r="AJ525" s="86">
        <f>AVERAGEIFS($D$2:D525, $B$2:B525, B525)</f>
        <v>0.41176470588235292</v>
      </c>
    </row>
    <row r="526" spans="1:36" x14ac:dyDescent="0.25">
      <c r="A526" s="85">
        <v>46100</v>
      </c>
      <c r="B526" t="s">
        <v>52</v>
      </c>
      <c r="C526">
        <v>29</v>
      </c>
      <c r="D526">
        <v>0</v>
      </c>
      <c r="E526">
        <v>5</v>
      </c>
      <c r="F526">
        <v>2</v>
      </c>
      <c r="G526">
        <v>20</v>
      </c>
      <c r="H526">
        <v>9</v>
      </c>
      <c r="I526">
        <v>0.4</v>
      </c>
      <c r="J526">
        <v>0.45</v>
      </c>
      <c r="K526">
        <v>0</v>
      </c>
      <c r="L526">
        <v>0</v>
      </c>
      <c r="M526">
        <v>0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1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 s="86">
        <f>AVERAGEIFS($C$2:C526, $B$2:B526, B526)</f>
        <v>14.909090909090908</v>
      </c>
      <c r="AH526" s="86">
        <f>AVERAGEIFS($I$2:I526, $B$2:B526, B526)</f>
        <v>0.43636363636363645</v>
      </c>
      <c r="AI526" s="86">
        <f>AVERAGEIFS($J$2:J526, $B$2:B526, B526)</f>
        <v>0.44818181818181824</v>
      </c>
      <c r="AJ526" s="86">
        <f>AVERAGEIFS($D$2:D526, $B$2:B526, B526)</f>
        <v>0.27272727272727271</v>
      </c>
    </row>
    <row r="527" spans="1:36" x14ac:dyDescent="0.25">
      <c r="A527" s="85">
        <v>46100</v>
      </c>
      <c r="B527" t="s">
        <v>38</v>
      </c>
      <c r="C527">
        <v>11</v>
      </c>
      <c r="D527">
        <v>0</v>
      </c>
      <c r="E527">
        <v>5</v>
      </c>
      <c r="F527">
        <v>2</v>
      </c>
      <c r="G527">
        <v>20</v>
      </c>
      <c r="H527">
        <v>9</v>
      </c>
      <c r="I527">
        <v>0.4</v>
      </c>
      <c r="J527">
        <v>0.45</v>
      </c>
      <c r="K527">
        <v>0</v>
      </c>
      <c r="L527">
        <v>0</v>
      </c>
      <c r="M527">
        <v>0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1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 s="86">
        <f>AVERAGEIFS($C$2:C527, $B$2:B527, B527)</f>
        <v>4.5999999999999996</v>
      </c>
      <c r="AH527" s="86">
        <f>AVERAGEIFS($I$2:I527, $B$2:B527, B527)</f>
        <v>0.43</v>
      </c>
      <c r="AI527" s="86">
        <f>AVERAGEIFS($J$2:J527, $B$2:B527, B527)</f>
        <v>0.43600000000000005</v>
      </c>
      <c r="AJ527" s="86">
        <f>AVERAGEIFS($D$2:D527, $B$2:B527, B527)</f>
        <v>0.4</v>
      </c>
    </row>
    <row r="528" spans="1:36" x14ac:dyDescent="0.25">
      <c r="A528" s="85">
        <v>46100</v>
      </c>
      <c r="B528" t="s">
        <v>28</v>
      </c>
      <c r="C528">
        <v>16</v>
      </c>
      <c r="D528">
        <v>0</v>
      </c>
      <c r="E528">
        <v>5</v>
      </c>
      <c r="F528">
        <v>2</v>
      </c>
      <c r="G528">
        <v>20</v>
      </c>
      <c r="H528">
        <v>9</v>
      </c>
      <c r="I528">
        <v>0.4</v>
      </c>
      <c r="J528">
        <v>0.45</v>
      </c>
      <c r="K528">
        <v>0</v>
      </c>
      <c r="L528">
        <v>0</v>
      </c>
      <c r="M528">
        <v>0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1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 s="86">
        <f>AVERAGEIFS($C$2:C528, $B$2:B528, B528)</f>
        <v>14.090909090909092</v>
      </c>
      <c r="AH528" s="86">
        <f>AVERAGEIFS($I$2:I528, $B$2:B528, B528)</f>
        <v>0.46954545454545454</v>
      </c>
      <c r="AI528" s="86">
        <f>AVERAGEIFS($J$2:J528, $B$2:B528, B528)</f>
        <v>0.49909090909090903</v>
      </c>
      <c r="AJ528" s="86">
        <f>AVERAGEIFS($D$2:D528, $B$2:B528, B528)</f>
        <v>0.40909090909090912</v>
      </c>
    </row>
    <row r="529" spans="1:36" x14ac:dyDescent="0.25">
      <c r="A529" s="85">
        <v>46100</v>
      </c>
      <c r="B529" t="s">
        <v>4</v>
      </c>
      <c r="C529">
        <v>31</v>
      </c>
      <c r="D529">
        <v>0</v>
      </c>
      <c r="E529">
        <v>5</v>
      </c>
      <c r="F529">
        <v>2</v>
      </c>
      <c r="G529">
        <v>20</v>
      </c>
      <c r="H529">
        <v>9</v>
      </c>
      <c r="I529">
        <v>0.4</v>
      </c>
      <c r="J529">
        <v>0.45</v>
      </c>
      <c r="K529">
        <v>0</v>
      </c>
      <c r="L529">
        <v>0</v>
      </c>
      <c r="M529">
        <v>0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1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 s="86">
        <f>AVERAGEIFS($C$2:C529, $B$2:B529, B529)</f>
        <v>23.222222222222221</v>
      </c>
      <c r="AH529" s="86">
        <f>AVERAGEIFS($I$2:I529, $B$2:B529, B529)</f>
        <v>0.32500000000000001</v>
      </c>
      <c r="AI529" s="86">
        <f>AVERAGEIFS($J$2:J529, $B$2:B529, B529)</f>
        <v>0.39499999999999996</v>
      </c>
      <c r="AJ529" s="86">
        <f>AVERAGEIFS($D$2:D529, $B$2:B529, B529)</f>
        <v>0.16666666666666666</v>
      </c>
    </row>
    <row r="530" spans="1:36" x14ac:dyDescent="0.25">
      <c r="A530" s="85">
        <v>46100</v>
      </c>
      <c r="B530" t="s">
        <v>40</v>
      </c>
      <c r="C530">
        <v>16</v>
      </c>
      <c r="D530">
        <v>0</v>
      </c>
      <c r="E530">
        <v>5</v>
      </c>
      <c r="F530">
        <v>2</v>
      </c>
      <c r="G530">
        <v>20</v>
      </c>
      <c r="H530">
        <v>9</v>
      </c>
      <c r="I530">
        <v>0.4</v>
      </c>
      <c r="J530">
        <v>0.45</v>
      </c>
      <c r="K530">
        <v>0</v>
      </c>
      <c r="L530">
        <v>0</v>
      </c>
      <c r="M530">
        <v>0</v>
      </c>
      <c r="N530">
        <v>0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1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 s="86">
        <f>AVERAGEIFS($C$2:C530, $B$2:B530, B530)</f>
        <v>17.0625</v>
      </c>
      <c r="AH530" s="86">
        <f>AVERAGEIFS($I$2:I530, $B$2:B530, B530)</f>
        <v>0.52500000000000002</v>
      </c>
      <c r="AI530" s="86">
        <f>AVERAGEIFS($J$2:J530, $B$2:B530, B530)</f>
        <v>0.51093749999999993</v>
      </c>
      <c r="AJ530" s="86">
        <f>AVERAGEIFS($D$2:D530, $B$2:B530, B530)</f>
        <v>0.5</v>
      </c>
    </row>
    <row r="531" spans="1:36" x14ac:dyDescent="0.25">
      <c r="A531" s="85">
        <v>46101</v>
      </c>
      <c r="B531" t="s">
        <v>40</v>
      </c>
      <c r="C531">
        <v>24</v>
      </c>
      <c r="D531">
        <v>0</v>
      </c>
      <c r="E531">
        <v>5</v>
      </c>
      <c r="F531">
        <v>2</v>
      </c>
      <c r="G531">
        <v>17</v>
      </c>
      <c r="H531">
        <v>6</v>
      </c>
      <c r="I531">
        <v>0.4</v>
      </c>
      <c r="J531">
        <v>0.35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1</v>
      </c>
      <c r="Z531">
        <v>0</v>
      </c>
      <c r="AA531">
        <v>0</v>
      </c>
      <c r="AB531">
        <v>0</v>
      </c>
      <c r="AC531">
        <v>0</v>
      </c>
      <c r="AD531">
        <v>1</v>
      </c>
      <c r="AE531">
        <v>0</v>
      </c>
      <c r="AF531">
        <v>0</v>
      </c>
      <c r="AG531" s="86">
        <f>AVERAGEIFS($C$2:C531, $B$2:B531, B531)</f>
        <v>17.272727272727273</v>
      </c>
      <c r="AH531" s="86">
        <f>AVERAGEIFS($I$2:I531, $B$2:B531, B531)</f>
        <v>0.52121212121212124</v>
      </c>
      <c r="AI531" s="86">
        <f>AVERAGEIFS($J$2:J531, $B$2:B531, B531)</f>
        <v>0.50606060606060599</v>
      </c>
      <c r="AJ531" s="86">
        <f>AVERAGEIFS($D$2:D531, $B$2:B531, B531)</f>
        <v>0.48484848484848486</v>
      </c>
    </row>
    <row r="532" spans="1:36" x14ac:dyDescent="0.25">
      <c r="A532" s="85">
        <v>46101</v>
      </c>
      <c r="B532" t="s">
        <v>54</v>
      </c>
      <c r="C532">
        <v>25</v>
      </c>
      <c r="D532">
        <v>0</v>
      </c>
      <c r="E532">
        <v>5</v>
      </c>
      <c r="F532">
        <v>2</v>
      </c>
      <c r="G532">
        <v>17</v>
      </c>
      <c r="H532">
        <v>6</v>
      </c>
      <c r="I532">
        <v>0.4</v>
      </c>
      <c r="J532">
        <v>0.35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1</v>
      </c>
      <c r="Z532">
        <v>0</v>
      </c>
      <c r="AA532">
        <v>0</v>
      </c>
      <c r="AB532">
        <v>0</v>
      </c>
      <c r="AC532">
        <v>0</v>
      </c>
      <c r="AD532">
        <v>1</v>
      </c>
      <c r="AE532">
        <v>0</v>
      </c>
      <c r="AF532">
        <v>0</v>
      </c>
      <c r="AG532" s="86">
        <f>AVERAGEIFS($C$2:C532, $B$2:B532, B532)</f>
        <v>24.378378378378379</v>
      </c>
      <c r="AH532" s="86">
        <f>AVERAGEIFS($I$2:I532, $B$2:B532, B532)</f>
        <v>0.51675675675675681</v>
      </c>
      <c r="AI532" s="86">
        <f>AVERAGEIFS($J$2:J532, $B$2:B532, B532)</f>
        <v>0.5008108108108108</v>
      </c>
      <c r="AJ532" s="86">
        <f>AVERAGEIFS($D$2:D532, $B$2:B532, B532)</f>
        <v>0.51351351351351349</v>
      </c>
    </row>
    <row r="533" spans="1:36" x14ac:dyDescent="0.25">
      <c r="A533" s="85">
        <v>46101</v>
      </c>
      <c r="B533" t="s">
        <v>42</v>
      </c>
      <c r="C533">
        <v>21</v>
      </c>
      <c r="D533">
        <v>0</v>
      </c>
      <c r="E533">
        <v>5</v>
      </c>
      <c r="F533">
        <v>2</v>
      </c>
      <c r="G533">
        <v>17</v>
      </c>
      <c r="H533">
        <v>6</v>
      </c>
      <c r="I533">
        <v>0.4</v>
      </c>
      <c r="J533">
        <v>0.35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1</v>
      </c>
      <c r="Z533">
        <v>0</v>
      </c>
      <c r="AA533">
        <v>0</v>
      </c>
      <c r="AB533">
        <v>0</v>
      </c>
      <c r="AC533">
        <v>0</v>
      </c>
      <c r="AD533">
        <v>1</v>
      </c>
      <c r="AE533">
        <v>0</v>
      </c>
      <c r="AF533">
        <v>0</v>
      </c>
      <c r="AG533" s="86">
        <f>AVERAGEIFS($C$2:C533, $B$2:B533, B533)</f>
        <v>17.571428571428573</v>
      </c>
      <c r="AH533" s="86">
        <f>AVERAGEIFS($I$2:I533, $B$2:B533, B533)</f>
        <v>0.39047619047619042</v>
      </c>
      <c r="AI533" s="86">
        <f>AVERAGEIFS($J$2:J533, $B$2:B533, B533)</f>
        <v>0.41999999999999993</v>
      </c>
      <c r="AJ533" s="86">
        <f>AVERAGEIFS($D$2:D533, $B$2:B533, B533)</f>
        <v>0.38095238095238093</v>
      </c>
    </row>
    <row r="534" spans="1:36" x14ac:dyDescent="0.25">
      <c r="A534" s="85">
        <v>46101</v>
      </c>
      <c r="B534" t="s">
        <v>71</v>
      </c>
      <c r="C534">
        <v>15</v>
      </c>
      <c r="D534">
        <v>0</v>
      </c>
      <c r="E534">
        <v>5</v>
      </c>
      <c r="F534">
        <v>2</v>
      </c>
      <c r="G534">
        <v>17</v>
      </c>
      <c r="H534">
        <v>6</v>
      </c>
      <c r="I534">
        <v>0.4</v>
      </c>
      <c r="J534">
        <v>0.35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1</v>
      </c>
      <c r="Z534">
        <v>0</v>
      </c>
      <c r="AA534">
        <v>0</v>
      </c>
      <c r="AB534">
        <v>0</v>
      </c>
      <c r="AC534">
        <v>0</v>
      </c>
      <c r="AD534">
        <v>1</v>
      </c>
      <c r="AE534">
        <v>0</v>
      </c>
      <c r="AF534">
        <v>0</v>
      </c>
      <c r="AG534" s="86">
        <f>AVERAGEIFS($C$2:C534, $B$2:B534, B534)</f>
        <v>12.818181818181818</v>
      </c>
      <c r="AH534" s="86">
        <f>AVERAGEIFS($I$2:I534, $B$2:B534, B534)</f>
        <v>0.46363636363636368</v>
      </c>
      <c r="AI534" s="86">
        <f>AVERAGEIFS($J$2:J534, $B$2:B534, B534)</f>
        <v>0.47181818181818186</v>
      </c>
      <c r="AJ534" s="86">
        <f>AVERAGEIFS($D$2:D534, $B$2:B534, B534)</f>
        <v>0.54545454545454541</v>
      </c>
    </row>
    <row r="535" spans="1:36" x14ac:dyDescent="0.25">
      <c r="A535" s="85">
        <v>46101</v>
      </c>
      <c r="B535" t="s">
        <v>151</v>
      </c>
      <c r="C535">
        <v>12</v>
      </c>
      <c r="D535">
        <v>0</v>
      </c>
      <c r="E535">
        <v>5</v>
      </c>
      <c r="F535">
        <v>2</v>
      </c>
      <c r="G535">
        <v>17</v>
      </c>
      <c r="H535">
        <v>6</v>
      </c>
      <c r="I535">
        <v>0.4</v>
      </c>
      <c r="J535">
        <v>0.35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1</v>
      </c>
      <c r="Z535">
        <v>0</v>
      </c>
      <c r="AA535">
        <v>0</v>
      </c>
      <c r="AB535">
        <v>0</v>
      </c>
      <c r="AC535">
        <v>0</v>
      </c>
      <c r="AD535">
        <v>1</v>
      </c>
      <c r="AE535">
        <v>0</v>
      </c>
      <c r="AF535">
        <v>0</v>
      </c>
      <c r="AG535" s="86">
        <f>AVERAGEIFS($C$2:C535, $B$2:B535, B535)</f>
        <v>11.666666666666666</v>
      </c>
      <c r="AH535" s="86">
        <f>AVERAGEIFS($I$2:I535, $B$2:B535, B535)</f>
        <v>0.46666666666666662</v>
      </c>
      <c r="AI535" s="86">
        <f>AVERAGEIFS($J$2:J535, $B$2:B535, B535)</f>
        <v>0.47000000000000003</v>
      </c>
      <c r="AJ535" s="86">
        <f>AVERAGEIFS($D$2:D535, $B$2:B535, B535)</f>
        <v>0.33333333333333331</v>
      </c>
    </row>
    <row r="536" spans="1:36" x14ac:dyDescent="0.25">
      <c r="A536" s="85">
        <v>46101</v>
      </c>
      <c r="B536" t="s">
        <v>148</v>
      </c>
      <c r="C536">
        <v>14</v>
      </c>
      <c r="D536">
        <v>0</v>
      </c>
      <c r="E536">
        <v>5</v>
      </c>
      <c r="F536">
        <v>2</v>
      </c>
      <c r="G536">
        <v>17</v>
      </c>
      <c r="H536">
        <v>6</v>
      </c>
      <c r="I536">
        <v>0.4</v>
      </c>
      <c r="J536">
        <v>0.35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1</v>
      </c>
      <c r="Z536">
        <v>0</v>
      </c>
      <c r="AA536">
        <v>0</v>
      </c>
      <c r="AB536">
        <v>0</v>
      </c>
      <c r="AC536">
        <v>0</v>
      </c>
      <c r="AD536">
        <v>1</v>
      </c>
      <c r="AE536">
        <v>0</v>
      </c>
      <c r="AF536">
        <v>0</v>
      </c>
      <c r="AG536" s="86">
        <f>AVERAGEIFS($C$2:C536, $B$2:B536, B536)</f>
        <v>7.9</v>
      </c>
      <c r="AH536" s="86">
        <f>AVERAGEIFS($I$2:I536, $B$2:B536, B536)</f>
        <v>0.53499999999999992</v>
      </c>
      <c r="AI536" s="86">
        <f>AVERAGEIFS($J$2:J536, $B$2:B536, B536)</f>
        <v>0.52599999999999991</v>
      </c>
      <c r="AJ536" s="86">
        <f>AVERAGEIFS($D$2:D536, $B$2:B536, B536)</f>
        <v>0.6</v>
      </c>
    </row>
    <row r="537" spans="1:36" x14ac:dyDescent="0.25">
      <c r="A537" s="85">
        <v>46101</v>
      </c>
      <c r="B537" t="s">
        <v>1</v>
      </c>
      <c r="C537">
        <v>21</v>
      </c>
      <c r="D537">
        <v>1</v>
      </c>
      <c r="E537">
        <v>5</v>
      </c>
      <c r="F537">
        <v>3</v>
      </c>
      <c r="G537">
        <v>17</v>
      </c>
      <c r="H537">
        <v>11</v>
      </c>
      <c r="I537">
        <v>0.6</v>
      </c>
      <c r="J537">
        <v>0.65</v>
      </c>
      <c r="K537">
        <v>0</v>
      </c>
      <c r="L537">
        <v>1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1</v>
      </c>
      <c r="AG537" s="86">
        <f>AVERAGEIFS($C$2:C537, $B$2:B537, B537)</f>
        <v>26.111111111111111</v>
      </c>
      <c r="AH537" s="86">
        <f>AVERAGEIFS($I$2:I537, $B$2:B537, B537)</f>
        <v>0.41388888888888892</v>
      </c>
      <c r="AI537" s="86">
        <f>AVERAGEIFS($J$2:J537, $B$2:B537, B537)</f>
        <v>0.44444444444444442</v>
      </c>
      <c r="AJ537" s="86">
        <f>AVERAGEIFS($D$2:D537, $B$2:B537, B537)</f>
        <v>0.44444444444444442</v>
      </c>
    </row>
    <row r="538" spans="1:36" x14ac:dyDescent="0.25">
      <c r="A538" s="85">
        <v>46101</v>
      </c>
      <c r="B538" t="s">
        <v>6</v>
      </c>
      <c r="C538">
        <v>31</v>
      </c>
      <c r="D538">
        <v>1</v>
      </c>
      <c r="E538">
        <v>5</v>
      </c>
      <c r="F538">
        <v>3</v>
      </c>
      <c r="G538">
        <v>17</v>
      </c>
      <c r="H538">
        <v>11</v>
      </c>
      <c r="I538">
        <v>0.6</v>
      </c>
      <c r="J538">
        <v>0.65</v>
      </c>
      <c r="K538">
        <v>0</v>
      </c>
      <c r="L538">
        <v>1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1</v>
      </c>
      <c r="AG538" s="86">
        <f>AVERAGEIFS($C$2:C538, $B$2:B538, B538)</f>
        <v>22.714285714285715</v>
      </c>
      <c r="AH538" s="86">
        <f>AVERAGEIFS($I$2:I538, $B$2:B538, B538)</f>
        <v>0.6051428571428572</v>
      </c>
      <c r="AI538" s="86">
        <f>AVERAGEIFS($J$2:J538, $B$2:B538, B538)</f>
        <v>0.55942857142857139</v>
      </c>
      <c r="AJ538" s="86">
        <f>AVERAGEIFS($D$2:D538, $B$2:B538, B538)</f>
        <v>0.7142857142857143</v>
      </c>
    </row>
    <row r="539" spans="1:36" x14ac:dyDescent="0.25">
      <c r="A539" s="85">
        <v>46101</v>
      </c>
      <c r="B539" t="s">
        <v>46</v>
      </c>
      <c r="C539">
        <v>23</v>
      </c>
      <c r="D539">
        <v>1</v>
      </c>
      <c r="E539">
        <v>5</v>
      </c>
      <c r="F539">
        <v>3</v>
      </c>
      <c r="G539">
        <v>17</v>
      </c>
      <c r="H539">
        <v>11</v>
      </c>
      <c r="I539">
        <v>0.6</v>
      </c>
      <c r="J539">
        <v>0.65</v>
      </c>
      <c r="K539">
        <v>0</v>
      </c>
      <c r="L539">
        <v>1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1</v>
      </c>
      <c r="AG539" s="86">
        <f>AVERAGEIFS($C$2:C539, $B$2:B539, B539)</f>
        <v>19.789473684210527</v>
      </c>
      <c r="AH539" s="86">
        <f>AVERAGEIFS($I$2:I539, $B$2:B539, B539)</f>
        <v>0.46842105263157885</v>
      </c>
      <c r="AI539" s="86">
        <f>AVERAGEIFS($J$2:J539, $B$2:B539, B539)</f>
        <v>0.48684210526315791</v>
      </c>
      <c r="AJ539" s="86">
        <f>AVERAGEIFS($D$2:D539, $B$2:B539, B539)</f>
        <v>0.42105263157894735</v>
      </c>
    </row>
    <row r="540" spans="1:36" x14ac:dyDescent="0.25">
      <c r="A540" s="85">
        <v>46101</v>
      </c>
      <c r="B540" t="s">
        <v>141</v>
      </c>
      <c r="C540">
        <v>23</v>
      </c>
      <c r="D540">
        <v>1</v>
      </c>
      <c r="E540">
        <v>5</v>
      </c>
      <c r="F540">
        <v>3</v>
      </c>
      <c r="G540">
        <v>17</v>
      </c>
      <c r="H540">
        <v>11</v>
      </c>
      <c r="I540">
        <v>0.6</v>
      </c>
      <c r="J540">
        <v>0.65</v>
      </c>
      <c r="K540">
        <v>0</v>
      </c>
      <c r="L540">
        <v>1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1</v>
      </c>
      <c r="AG540" s="86">
        <f>AVERAGEIFS($C$2:C540, $B$2:B540, B540)</f>
        <v>15.75</v>
      </c>
      <c r="AH540" s="86">
        <f>AVERAGEIFS($I$2:I540, $B$2:B540, B540)</f>
        <v>0.55000000000000004</v>
      </c>
      <c r="AI540" s="86">
        <f>AVERAGEIFS($J$2:J540, $B$2:B540, B540)</f>
        <v>0.53</v>
      </c>
      <c r="AJ540" s="86">
        <f>AVERAGEIFS($D$2:D540, $B$2:B540, B540)</f>
        <v>0.75</v>
      </c>
    </row>
    <row r="541" spans="1:36" x14ac:dyDescent="0.25">
      <c r="A541" s="85">
        <v>46101</v>
      </c>
      <c r="B541" t="s">
        <v>44</v>
      </c>
      <c r="C541">
        <v>9</v>
      </c>
      <c r="D541">
        <v>1</v>
      </c>
      <c r="E541">
        <v>5</v>
      </c>
      <c r="F541">
        <v>3</v>
      </c>
      <c r="G541">
        <v>17</v>
      </c>
      <c r="H541">
        <v>11</v>
      </c>
      <c r="I541">
        <v>0.6</v>
      </c>
      <c r="J541">
        <v>0.65</v>
      </c>
      <c r="K541">
        <v>0</v>
      </c>
      <c r="L541">
        <v>1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1</v>
      </c>
      <c r="AG541" s="86">
        <f>AVERAGEIFS($C$2:C541, $B$2:B541, B541)</f>
        <v>16.470588235294116</v>
      </c>
      <c r="AH541" s="86">
        <f>AVERAGEIFS($I$2:I541, $B$2:B541, B541)</f>
        <v>0.48823529411764699</v>
      </c>
      <c r="AI541" s="86">
        <f>AVERAGEIFS($J$2:J541, $B$2:B541, B541)</f>
        <v>0.51764705882352946</v>
      </c>
      <c r="AJ541" s="86">
        <f>AVERAGEIFS($D$2:D541, $B$2:B541, B541)</f>
        <v>0.58823529411764708</v>
      </c>
    </row>
    <row r="542" spans="1:36" x14ac:dyDescent="0.25">
      <c r="A542" s="85">
        <v>46101</v>
      </c>
      <c r="B542" t="s">
        <v>107</v>
      </c>
      <c r="C542">
        <v>16</v>
      </c>
      <c r="D542">
        <v>1</v>
      </c>
      <c r="E542">
        <v>5</v>
      </c>
      <c r="F542">
        <v>3</v>
      </c>
      <c r="G542">
        <v>17</v>
      </c>
      <c r="H542">
        <v>11</v>
      </c>
      <c r="I542">
        <v>0.6</v>
      </c>
      <c r="J542">
        <v>0.65</v>
      </c>
      <c r="K542">
        <v>0</v>
      </c>
      <c r="L542">
        <v>1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1</v>
      </c>
      <c r="AG542" s="86">
        <f>AVERAGEIFS($C$2:C542, $B$2:B542, B542)</f>
        <v>15.052631578947368</v>
      </c>
      <c r="AH542" s="86">
        <f>AVERAGEIFS($I$2:I542, $B$2:B542, B542)</f>
        <v>0.64999999999999991</v>
      </c>
      <c r="AI542" s="86">
        <f>AVERAGEIFS($J$2:J542, $B$2:B542, B542)</f>
        <v>0.5821052631578949</v>
      </c>
      <c r="AJ542" s="86">
        <f>AVERAGEIFS($D$2:D542, $B$2:B542, B542)</f>
        <v>0.73684210526315785</v>
      </c>
    </row>
    <row r="543" spans="1:36" x14ac:dyDescent="0.25">
      <c r="A543" s="85">
        <v>46102</v>
      </c>
      <c r="B543" t="s">
        <v>42</v>
      </c>
      <c r="C543">
        <v>29</v>
      </c>
      <c r="D543">
        <v>1</v>
      </c>
      <c r="E543">
        <v>5</v>
      </c>
      <c r="F543">
        <v>3</v>
      </c>
      <c r="G543">
        <v>24</v>
      </c>
      <c r="H543">
        <v>13</v>
      </c>
      <c r="I543">
        <v>0.6</v>
      </c>
      <c r="J543">
        <v>0.54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1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1</v>
      </c>
      <c r="AE543">
        <v>0</v>
      </c>
      <c r="AF543">
        <v>0</v>
      </c>
      <c r="AG543" s="86">
        <f>AVERAGEIFS($C$2:C543, $B$2:B543, B543)</f>
        <v>18.09090909090909</v>
      </c>
      <c r="AH543" s="86">
        <f>AVERAGEIFS($I$2:I543, $B$2:B543, B543)</f>
        <v>0.39999999999999997</v>
      </c>
      <c r="AI543" s="86">
        <f>AVERAGEIFS($J$2:J543, $B$2:B543, B543)</f>
        <v>0.42545454545454542</v>
      </c>
      <c r="AJ543" s="86">
        <f>AVERAGEIFS($D$2:D543, $B$2:B543, B543)</f>
        <v>0.40909090909090912</v>
      </c>
    </row>
    <row r="544" spans="1:36" x14ac:dyDescent="0.25">
      <c r="A544" s="85">
        <v>46102</v>
      </c>
      <c r="B544" t="s">
        <v>5</v>
      </c>
      <c r="C544">
        <v>26</v>
      </c>
      <c r="D544">
        <v>1</v>
      </c>
      <c r="E544">
        <v>5</v>
      </c>
      <c r="F544">
        <v>3</v>
      </c>
      <c r="G544">
        <v>24</v>
      </c>
      <c r="H544">
        <v>13</v>
      </c>
      <c r="I544">
        <v>0.6</v>
      </c>
      <c r="J544">
        <v>0.54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1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1</v>
      </c>
      <c r="AE544">
        <v>0</v>
      </c>
      <c r="AF544">
        <v>0</v>
      </c>
      <c r="AG544" s="86">
        <f>AVERAGEIFS($C$2:C544, $B$2:B544, B544)</f>
        <v>21.571428571428573</v>
      </c>
      <c r="AH544" s="86">
        <f>AVERAGEIFS($I$2:I544, $B$2:B544, B544)</f>
        <v>0.64428571428571424</v>
      </c>
      <c r="AI544" s="86">
        <f>AVERAGEIFS($J$2:J544, $B$2:B544, B544)</f>
        <v>0.57785714285714285</v>
      </c>
      <c r="AJ544" s="86">
        <f>AVERAGEIFS($D$2:D544, $B$2:B544, B544)</f>
        <v>0.7857142857142857</v>
      </c>
    </row>
    <row r="545" spans="1:36" x14ac:dyDescent="0.25">
      <c r="A545" s="85">
        <v>46102</v>
      </c>
      <c r="B545" t="s">
        <v>54</v>
      </c>
      <c r="C545">
        <v>23</v>
      </c>
      <c r="D545">
        <v>1</v>
      </c>
      <c r="E545">
        <v>5</v>
      </c>
      <c r="F545">
        <v>3</v>
      </c>
      <c r="G545">
        <v>24</v>
      </c>
      <c r="H545">
        <v>13</v>
      </c>
      <c r="I545">
        <v>0.6</v>
      </c>
      <c r="J545">
        <v>0.54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1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1</v>
      </c>
      <c r="AE545">
        <v>0</v>
      </c>
      <c r="AF545">
        <v>0</v>
      </c>
      <c r="AG545" s="86">
        <f>AVERAGEIFS($C$2:C545, $B$2:B545, B545)</f>
        <v>24.342105263157894</v>
      </c>
      <c r="AH545" s="86">
        <f>AVERAGEIFS($I$2:I545, $B$2:B545, B545)</f>
        <v>0.51894736842105271</v>
      </c>
      <c r="AI545" s="86">
        <f>AVERAGEIFS($J$2:J545, $B$2:B545, B545)</f>
        <v>0.50184210526315787</v>
      </c>
      <c r="AJ545" s="86">
        <f>AVERAGEIFS($D$2:D545, $B$2:B545, B545)</f>
        <v>0.52631578947368418</v>
      </c>
    </row>
    <row r="546" spans="1:36" x14ac:dyDescent="0.25">
      <c r="A546" s="85">
        <v>46102</v>
      </c>
      <c r="B546" t="s">
        <v>17</v>
      </c>
      <c r="C546">
        <v>19</v>
      </c>
      <c r="D546">
        <v>1</v>
      </c>
      <c r="E546">
        <v>5</v>
      </c>
      <c r="F546">
        <v>3</v>
      </c>
      <c r="G546">
        <v>24</v>
      </c>
      <c r="H546">
        <v>13</v>
      </c>
      <c r="I546">
        <v>0.6</v>
      </c>
      <c r="J546">
        <v>0.54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1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1</v>
      </c>
      <c r="AE546">
        <v>0</v>
      </c>
      <c r="AF546">
        <v>0</v>
      </c>
      <c r="AG546" s="86">
        <f>AVERAGEIFS($C$2:C546, $B$2:B546, B546)</f>
        <v>21.043478260869566</v>
      </c>
      <c r="AH546" s="86">
        <f>AVERAGEIFS($I$2:I546, $B$2:B546, B546)</f>
        <v>0.43999999999999995</v>
      </c>
      <c r="AI546" s="86">
        <f>AVERAGEIFS($J$2:J546, $B$2:B546, B546)</f>
        <v>0.45434782608695662</v>
      </c>
      <c r="AJ546" s="86">
        <f>AVERAGEIFS($D$2:D546, $B$2:B546, B546)</f>
        <v>0.39130434782608697</v>
      </c>
    </row>
    <row r="547" spans="1:36" x14ac:dyDescent="0.25">
      <c r="A547" s="85">
        <v>46102</v>
      </c>
      <c r="B547" t="s">
        <v>142</v>
      </c>
      <c r="C547">
        <v>14</v>
      </c>
      <c r="D547">
        <v>1</v>
      </c>
      <c r="E547">
        <v>5</v>
      </c>
      <c r="F547">
        <v>3</v>
      </c>
      <c r="G547">
        <v>24</v>
      </c>
      <c r="H547">
        <v>13</v>
      </c>
      <c r="I547">
        <v>0.6</v>
      </c>
      <c r="J547">
        <v>0.54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1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1</v>
      </c>
      <c r="AE547">
        <v>0</v>
      </c>
      <c r="AF547">
        <v>0</v>
      </c>
      <c r="AG547" s="86">
        <f>AVERAGEIFS($C$2:C547, $B$2:B547, B547)</f>
        <v>9</v>
      </c>
      <c r="AH547" s="86">
        <f>AVERAGEIFS($I$2:I547, $B$2:B547, B547)</f>
        <v>0.67500000000000004</v>
      </c>
      <c r="AI547" s="86">
        <f>AVERAGEIFS($J$2:J547, $B$2:B547, B547)</f>
        <v>0.59000000000000008</v>
      </c>
      <c r="AJ547" s="86">
        <f>AVERAGEIFS($D$2:D547, $B$2:B547, B547)</f>
        <v>1</v>
      </c>
    </row>
    <row r="548" spans="1:36" x14ac:dyDescent="0.25">
      <c r="A548" s="85">
        <v>46102</v>
      </c>
      <c r="B548" t="s">
        <v>44</v>
      </c>
      <c r="C548">
        <v>11</v>
      </c>
      <c r="D548">
        <v>1</v>
      </c>
      <c r="E548">
        <v>5</v>
      </c>
      <c r="F548">
        <v>3</v>
      </c>
      <c r="G548">
        <v>24</v>
      </c>
      <c r="H548">
        <v>13</v>
      </c>
      <c r="I548">
        <v>0.6</v>
      </c>
      <c r="J548">
        <v>0.54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1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1</v>
      </c>
      <c r="AE548">
        <v>0</v>
      </c>
      <c r="AF548">
        <v>0</v>
      </c>
      <c r="AG548" s="86">
        <f>AVERAGEIFS($C$2:C548, $B$2:B548, B548)</f>
        <v>16.166666666666668</v>
      </c>
      <c r="AH548" s="86">
        <f>AVERAGEIFS($I$2:I548, $B$2:B548, B548)</f>
        <v>0.49444444444444435</v>
      </c>
      <c r="AI548" s="86">
        <f>AVERAGEIFS($J$2:J548, $B$2:B548, B548)</f>
        <v>0.51888888888888884</v>
      </c>
      <c r="AJ548" s="86">
        <f>AVERAGEIFS($D$2:D548, $B$2:B548, B548)</f>
        <v>0.61111111111111116</v>
      </c>
    </row>
    <row r="549" spans="1:36" x14ac:dyDescent="0.25">
      <c r="A549" s="85">
        <v>46102</v>
      </c>
      <c r="B549" t="s">
        <v>35</v>
      </c>
      <c r="C549">
        <v>1</v>
      </c>
      <c r="D549">
        <v>1</v>
      </c>
      <c r="E549">
        <v>5</v>
      </c>
      <c r="F549">
        <v>3</v>
      </c>
      <c r="G549">
        <v>24</v>
      </c>
      <c r="H549">
        <v>13</v>
      </c>
      <c r="I549">
        <v>0.6</v>
      </c>
      <c r="J549">
        <v>0.54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1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1</v>
      </c>
      <c r="AE549">
        <v>0</v>
      </c>
      <c r="AF549">
        <v>0</v>
      </c>
      <c r="AG549" s="86">
        <f>AVERAGEIFS($C$2:C549, $B$2:B549, B549)</f>
        <v>10.806451612903226</v>
      </c>
      <c r="AH549" s="86">
        <f>AVERAGEIFS($I$2:I549, $B$2:B549, B549)</f>
        <v>0.45258064516129037</v>
      </c>
      <c r="AI549" s="86">
        <f>AVERAGEIFS($J$2:J549, $B$2:B549, B549)</f>
        <v>0.48225806451612901</v>
      </c>
      <c r="AJ549" s="86">
        <f>AVERAGEIFS($D$2:D549, $B$2:B549, B549)</f>
        <v>0.41935483870967744</v>
      </c>
    </row>
    <row r="550" spans="1:36" x14ac:dyDescent="0.25">
      <c r="A550" s="85">
        <v>46102</v>
      </c>
      <c r="B550" t="s">
        <v>4</v>
      </c>
      <c r="C550">
        <v>31</v>
      </c>
      <c r="D550">
        <v>0</v>
      </c>
      <c r="E550">
        <v>5</v>
      </c>
      <c r="F550">
        <v>2</v>
      </c>
      <c r="G550">
        <v>24</v>
      </c>
      <c r="H550">
        <v>11</v>
      </c>
      <c r="I550">
        <v>0.4</v>
      </c>
      <c r="J550">
        <v>0.46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1</v>
      </c>
      <c r="Z550">
        <v>1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 s="86">
        <f>AVERAGEIFS($C$2:C550, $B$2:B550, B550)</f>
        <v>23.631578947368421</v>
      </c>
      <c r="AH550" s="86">
        <f>AVERAGEIFS($I$2:I550, $B$2:B550, B550)</f>
        <v>0.32894736842105265</v>
      </c>
      <c r="AI550" s="86">
        <f>AVERAGEIFS($J$2:J550, $B$2:B550, B550)</f>
        <v>0.3984210526315789</v>
      </c>
      <c r="AJ550" s="86">
        <f>AVERAGEIFS($D$2:D550, $B$2:B550, B550)</f>
        <v>0.15789473684210525</v>
      </c>
    </row>
    <row r="551" spans="1:36" x14ac:dyDescent="0.25">
      <c r="A551" s="85">
        <v>46102</v>
      </c>
      <c r="B551" t="s">
        <v>13</v>
      </c>
      <c r="C551">
        <v>21</v>
      </c>
      <c r="D551">
        <v>0</v>
      </c>
      <c r="E551">
        <v>5</v>
      </c>
      <c r="F551">
        <v>2</v>
      </c>
      <c r="G551">
        <v>24</v>
      </c>
      <c r="H551">
        <v>11</v>
      </c>
      <c r="I551">
        <v>0.4</v>
      </c>
      <c r="J551">
        <v>0.46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1</v>
      </c>
      <c r="Z551">
        <v>1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 s="86">
        <f>AVERAGEIFS($C$2:C551, $B$2:B551, B551)</f>
        <v>11</v>
      </c>
      <c r="AH551" s="86">
        <f>AVERAGEIFS($I$2:I551, $B$2:B551, B551)</f>
        <v>0.55999999999999994</v>
      </c>
      <c r="AI551" s="86">
        <f>AVERAGEIFS($J$2:J551, $B$2:B551, B551)</f>
        <v>0.53</v>
      </c>
      <c r="AJ551" s="86">
        <f>AVERAGEIFS($D$2:D551, $B$2:B551, B551)</f>
        <v>0.4</v>
      </c>
    </row>
    <row r="552" spans="1:36" x14ac:dyDescent="0.25">
      <c r="A552" s="85">
        <v>46102</v>
      </c>
      <c r="B552" t="s">
        <v>14</v>
      </c>
      <c r="C552">
        <v>21</v>
      </c>
      <c r="D552">
        <v>0</v>
      </c>
      <c r="E552">
        <v>5</v>
      </c>
      <c r="F552">
        <v>2</v>
      </c>
      <c r="G552">
        <v>24</v>
      </c>
      <c r="H552">
        <v>11</v>
      </c>
      <c r="I552">
        <v>0.4</v>
      </c>
      <c r="J552">
        <v>0.46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1</v>
      </c>
      <c r="Z552">
        <v>1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 s="86">
        <f>AVERAGEIFS($C$2:C552, $B$2:B552, B552)</f>
        <v>16.785714285714285</v>
      </c>
      <c r="AH552" s="86">
        <f>AVERAGEIFS($I$2:I552, $B$2:B552, B552)</f>
        <v>0.50142857142857145</v>
      </c>
      <c r="AI552" s="86">
        <f>AVERAGEIFS($J$2:J552, $B$2:B552, B552)</f>
        <v>0.52357142857142869</v>
      </c>
      <c r="AJ552" s="86">
        <f>AVERAGEIFS($D$2:D552, $B$2:B552, B552)</f>
        <v>0.5</v>
      </c>
    </row>
    <row r="553" spans="1:36" x14ac:dyDescent="0.25">
      <c r="A553" s="85">
        <v>46102</v>
      </c>
      <c r="B553" t="s">
        <v>40</v>
      </c>
      <c r="C553">
        <v>20</v>
      </c>
      <c r="D553">
        <v>0</v>
      </c>
      <c r="E553">
        <v>5</v>
      </c>
      <c r="F553">
        <v>2</v>
      </c>
      <c r="G553">
        <v>24</v>
      </c>
      <c r="H553">
        <v>11</v>
      </c>
      <c r="I553">
        <v>0.4</v>
      </c>
      <c r="J553">
        <v>0.46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1</v>
      </c>
      <c r="Z553">
        <v>1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 s="86">
        <f>AVERAGEIFS($C$2:C553, $B$2:B553, B553)</f>
        <v>17.352941176470587</v>
      </c>
      <c r="AH553" s="86">
        <f>AVERAGEIFS($I$2:I553, $B$2:B553, B553)</f>
        <v>0.51764705882352935</v>
      </c>
      <c r="AI553" s="86">
        <f>AVERAGEIFS($J$2:J553, $B$2:B553, B553)</f>
        <v>0.50470588235294123</v>
      </c>
      <c r="AJ553" s="86">
        <f>AVERAGEIFS($D$2:D553, $B$2:B553, B553)</f>
        <v>0.47058823529411764</v>
      </c>
    </row>
    <row r="554" spans="1:36" x14ac:dyDescent="0.25">
      <c r="A554" s="85">
        <v>46102</v>
      </c>
      <c r="B554" t="s">
        <v>6</v>
      </c>
      <c r="C554">
        <v>16</v>
      </c>
      <c r="D554">
        <v>0</v>
      </c>
      <c r="E554">
        <v>5</v>
      </c>
      <c r="F554">
        <v>2</v>
      </c>
      <c r="G554">
        <v>24</v>
      </c>
      <c r="H554">
        <v>11</v>
      </c>
      <c r="I554">
        <v>0.4</v>
      </c>
      <c r="J554">
        <v>0.46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1</v>
      </c>
      <c r="Z554">
        <v>1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 s="86">
        <f>AVERAGEIFS($C$2:C554, $B$2:B554, B554)</f>
        <v>22.527777777777779</v>
      </c>
      <c r="AH554" s="86">
        <f>AVERAGEIFS($I$2:I554, $B$2:B554, B554)</f>
        <v>0.59944444444444445</v>
      </c>
      <c r="AI554" s="86">
        <f>AVERAGEIFS($J$2:J554, $B$2:B554, B554)</f>
        <v>0.55666666666666664</v>
      </c>
      <c r="AJ554" s="86">
        <f>AVERAGEIFS($D$2:D554, $B$2:B554, B554)</f>
        <v>0.69444444444444442</v>
      </c>
    </row>
    <row r="555" spans="1:36" x14ac:dyDescent="0.25">
      <c r="A555" s="85">
        <v>46102</v>
      </c>
      <c r="B555" t="s">
        <v>148</v>
      </c>
      <c r="C555">
        <v>12</v>
      </c>
      <c r="D555">
        <v>0</v>
      </c>
      <c r="E555">
        <v>5</v>
      </c>
      <c r="F555">
        <v>2</v>
      </c>
      <c r="G555">
        <v>24</v>
      </c>
      <c r="H555">
        <v>11</v>
      </c>
      <c r="I555">
        <v>0.4</v>
      </c>
      <c r="J555">
        <v>0.46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1</v>
      </c>
      <c r="Z555">
        <v>1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 s="86">
        <f>AVERAGEIFS($C$2:C555, $B$2:B555, B555)</f>
        <v>8.2727272727272734</v>
      </c>
      <c r="AH555" s="86">
        <f>AVERAGEIFS($I$2:I555, $B$2:B555, B555)</f>
        <v>0.52272727272727271</v>
      </c>
      <c r="AI555" s="86">
        <f>AVERAGEIFS($J$2:J555, $B$2:B555, B555)</f>
        <v>0.51999999999999991</v>
      </c>
      <c r="AJ555" s="86">
        <f>AVERAGEIFS($D$2:D555, $B$2:B555, B555)</f>
        <v>0.54545454545454541</v>
      </c>
    </row>
    <row r="556" spans="1:36" x14ac:dyDescent="0.25">
      <c r="A556" s="85">
        <v>46102</v>
      </c>
      <c r="B556" t="s">
        <v>40</v>
      </c>
      <c r="C556">
        <v>19</v>
      </c>
      <c r="D556">
        <v>1</v>
      </c>
      <c r="E556">
        <v>3</v>
      </c>
      <c r="F556">
        <v>3</v>
      </c>
      <c r="G556">
        <v>13</v>
      </c>
      <c r="H556">
        <v>9</v>
      </c>
      <c r="I556">
        <v>1</v>
      </c>
      <c r="J556">
        <v>0.69</v>
      </c>
      <c r="K556">
        <v>1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1</v>
      </c>
      <c r="AC556">
        <v>0</v>
      </c>
      <c r="AD556">
        <v>0</v>
      </c>
      <c r="AE556">
        <v>0</v>
      </c>
      <c r="AF556">
        <v>1</v>
      </c>
      <c r="AG556" s="86">
        <f>AVERAGEIFS($C$2:C556, $B$2:B556, B556)</f>
        <v>17.399999999999999</v>
      </c>
      <c r="AH556" s="86">
        <f>AVERAGEIFS($I$2:I556, $B$2:B556, B556)</f>
        <v>0.53142857142857136</v>
      </c>
      <c r="AI556" s="86">
        <f>AVERAGEIFS($J$2:J556, $B$2:B556, B556)</f>
        <v>0.51</v>
      </c>
      <c r="AJ556" s="86">
        <f>AVERAGEIFS($D$2:D556, $B$2:B556, B556)</f>
        <v>0.48571428571428571</v>
      </c>
    </row>
    <row r="557" spans="1:36" x14ac:dyDescent="0.25">
      <c r="A557" s="85">
        <v>46102</v>
      </c>
      <c r="B557" t="s">
        <v>13</v>
      </c>
      <c r="C557">
        <v>16</v>
      </c>
      <c r="D557">
        <v>1</v>
      </c>
      <c r="E557">
        <v>3</v>
      </c>
      <c r="F557">
        <v>3</v>
      </c>
      <c r="G557">
        <v>13</v>
      </c>
      <c r="H557">
        <v>9</v>
      </c>
      <c r="I557">
        <v>1</v>
      </c>
      <c r="J557">
        <v>0.69</v>
      </c>
      <c r="K557">
        <v>1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1</v>
      </c>
      <c r="AC557">
        <v>0</v>
      </c>
      <c r="AD557">
        <v>0</v>
      </c>
      <c r="AE557">
        <v>0</v>
      </c>
      <c r="AF557">
        <v>1</v>
      </c>
      <c r="AG557" s="86">
        <f>AVERAGEIFS($C$2:C557, $B$2:B557, B557)</f>
        <v>11.833333333333334</v>
      </c>
      <c r="AH557" s="86">
        <f>AVERAGEIFS($I$2:I557, $B$2:B557, B557)</f>
        <v>0.6333333333333333</v>
      </c>
      <c r="AI557" s="86">
        <f>AVERAGEIFS($J$2:J557, $B$2:B557, B557)</f>
        <v>0.55666666666666664</v>
      </c>
      <c r="AJ557" s="86">
        <f>AVERAGEIFS($D$2:D557, $B$2:B557, B557)</f>
        <v>0.5</v>
      </c>
    </row>
    <row r="558" spans="1:36" x14ac:dyDescent="0.25">
      <c r="A558" s="85">
        <v>46102</v>
      </c>
      <c r="B558" t="s">
        <v>54</v>
      </c>
      <c r="C558">
        <v>16</v>
      </c>
      <c r="D558">
        <v>1</v>
      </c>
      <c r="E558">
        <v>3</v>
      </c>
      <c r="F558">
        <v>3</v>
      </c>
      <c r="G558">
        <v>13</v>
      </c>
      <c r="H558">
        <v>9</v>
      </c>
      <c r="I558">
        <v>1</v>
      </c>
      <c r="J558">
        <v>0.69</v>
      </c>
      <c r="K558">
        <v>1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1</v>
      </c>
      <c r="AC558">
        <v>0</v>
      </c>
      <c r="AD558">
        <v>0</v>
      </c>
      <c r="AE558">
        <v>0</v>
      </c>
      <c r="AF558">
        <v>1</v>
      </c>
      <c r="AG558" s="86">
        <f>AVERAGEIFS($C$2:C558, $B$2:B558, B558)</f>
        <v>24.128205128205128</v>
      </c>
      <c r="AH558" s="86">
        <f>AVERAGEIFS($I$2:I558, $B$2:B558, B558)</f>
        <v>0.5312820512820513</v>
      </c>
      <c r="AI558" s="86">
        <f>AVERAGEIFS($J$2:J558, $B$2:B558, B558)</f>
        <v>0.50666666666666671</v>
      </c>
      <c r="AJ558" s="86">
        <f>AVERAGEIFS($D$2:D558, $B$2:B558, B558)</f>
        <v>0.53846153846153844</v>
      </c>
    </row>
    <row r="559" spans="1:36" x14ac:dyDescent="0.25">
      <c r="A559" s="85">
        <v>46102</v>
      </c>
      <c r="B559" t="s">
        <v>148</v>
      </c>
      <c r="C559">
        <v>14</v>
      </c>
      <c r="D559">
        <v>1</v>
      </c>
      <c r="E559">
        <v>3</v>
      </c>
      <c r="F559">
        <v>3</v>
      </c>
      <c r="G559">
        <v>13</v>
      </c>
      <c r="H559">
        <v>9</v>
      </c>
      <c r="I559">
        <v>1</v>
      </c>
      <c r="J559">
        <v>0.69</v>
      </c>
      <c r="K559">
        <v>1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1</v>
      </c>
      <c r="AC559">
        <v>0</v>
      </c>
      <c r="AD559">
        <v>0</v>
      </c>
      <c r="AE559">
        <v>0</v>
      </c>
      <c r="AF559">
        <v>1</v>
      </c>
      <c r="AG559" s="86">
        <f>AVERAGEIFS($C$2:C559, $B$2:B559, B559)</f>
        <v>8.75</v>
      </c>
      <c r="AH559" s="86">
        <f>AVERAGEIFS($I$2:I559, $B$2:B559, B559)</f>
        <v>0.5625</v>
      </c>
      <c r="AI559" s="86">
        <f>AVERAGEIFS($J$2:J559, $B$2:B559, B559)</f>
        <v>0.53416666666666657</v>
      </c>
      <c r="AJ559" s="86">
        <f>AVERAGEIFS($D$2:D559, $B$2:B559, B559)</f>
        <v>0.58333333333333337</v>
      </c>
    </row>
    <row r="560" spans="1:36" x14ac:dyDescent="0.25">
      <c r="A560" s="85">
        <v>46102</v>
      </c>
      <c r="B560" t="s">
        <v>17</v>
      </c>
      <c r="C560">
        <v>12</v>
      </c>
      <c r="D560">
        <v>1</v>
      </c>
      <c r="E560">
        <v>3</v>
      </c>
      <c r="F560">
        <v>3</v>
      </c>
      <c r="G560">
        <v>13</v>
      </c>
      <c r="H560">
        <v>9</v>
      </c>
      <c r="I560">
        <v>1</v>
      </c>
      <c r="J560">
        <v>0.69</v>
      </c>
      <c r="K560">
        <v>1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1</v>
      </c>
      <c r="AC560">
        <v>0</v>
      </c>
      <c r="AD560">
        <v>0</v>
      </c>
      <c r="AE560">
        <v>0</v>
      </c>
      <c r="AF560">
        <v>1</v>
      </c>
      <c r="AG560" s="86">
        <f>AVERAGEIFS($C$2:C560, $B$2:B560, B560)</f>
        <v>20.666666666666668</v>
      </c>
      <c r="AH560" s="86">
        <f>AVERAGEIFS($I$2:I560, $B$2:B560, B560)</f>
        <v>0.46333333333333332</v>
      </c>
      <c r="AI560" s="86">
        <f>AVERAGEIFS($J$2:J560, $B$2:B560, B560)</f>
        <v>0.46416666666666678</v>
      </c>
      <c r="AJ560" s="86">
        <f>AVERAGEIFS($D$2:D560, $B$2:B560, B560)</f>
        <v>0.41666666666666669</v>
      </c>
    </row>
    <row r="561" spans="1:36" x14ac:dyDescent="0.25">
      <c r="A561" s="85">
        <v>46102</v>
      </c>
      <c r="B561" t="s">
        <v>44</v>
      </c>
      <c r="C561">
        <v>17</v>
      </c>
      <c r="D561">
        <v>0</v>
      </c>
      <c r="E561">
        <v>3</v>
      </c>
      <c r="F561">
        <v>0</v>
      </c>
      <c r="G561">
        <v>13</v>
      </c>
      <c r="H561">
        <v>4</v>
      </c>
      <c r="I561">
        <v>0</v>
      </c>
      <c r="J561">
        <v>0.31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 s="86">
        <f>AVERAGEIFS($C$2:C561, $B$2:B561, B561)</f>
        <v>16.210526315789473</v>
      </c>
      <c r="AH561" s="86">
        <f>AVERAGEIFS($I$2:I561, $B$2:B561, B561)</f>
        <v>0.46842105263157885</v>
      </c>
      <c r="AI561" s="86">
        <f>AVERAGEIFS($J$2:J561, $B$2:B561, B561)</f>
        <v>0.50789473684210529</v>
      </c>
      <c r="AJ561" s="86">
        <f>AVERAGEIFS($D$2:D561, $B$2:B561, B561)</f>
        <v>0.57894736842105265</v>
      </c>
    </row>
    <row r="562" spans="1:36" x14ac:dyDescent="0.25">
      <c r="A562" s="85">
        <v>46102</v>
      </c>
      <c r="B562" t="s">
        <v>107</v>
      </c>
      <c r="C562">
        <v>17</v>
      </c>
      <c r="D562">
        <v>0</v>
      </c>
      <c r="E562">
        <v>3</v>
      </c>
      <c r="F562">
        <v>0</v>
      </c>
      <c r="G562">
        <v>13</v>
      </c>
      <c r="H562">
        <v>4</v>
      </c>
      <c r="I562">
        <v>0</v>
      </c>
      <c r="J562">
        <v>0.31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 s="86">
        <f>AVERAGEIFS($C$2:C562, $B$2:B562, B562)</f>
        <v>15.15</v>
      </c>
      <c r="AH562" s="86">
        <f>AVERAGEIFS($I$2:I562, $B$2:B562, B562)</f>
        <v>0.61749999999999994</v>
      </c>
      <c r="AI562" s="86">
        <f>AVERAGEIFS($J$2:J562, $B$2:B562, B562)</f>
        <v>0.56850000000000012</v>
      </c>
      <c r="AJ562" s="86">
        <f>AVERAGEIFS($D$2:D562, $B$2:B562, B562)</f>
        <v>0.7</v>
      </c>
    </row>
    <row r="563" spans="1:36" x14ac:dyDescent="0.25">
      <c r="A563" s="85">
        <v>46102</v>
      </c>
      <c r="B563" t="s">
        <v>6</v>
      </c>
      <c r="C563">
        <v>12</v>
      </c>
      <c r="D563">
        <v>0</v>
      </c>
      <c r="E563">
        <v>3</v>
      </c>
      <c r="F563">
        <v>0</v>
      </c>
      <c r="G563">
        <v>13</v>
      </c>
      <c r="H563">
        <v>4</v>
      </c>
      <c r="I563">
        <v>0</v>
      </c>
      <c r="J563">
        <v>0.31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 s="86">
        <f>AVERAGEIFS($C$2:C563, $B$2:B563, B563)</f>
        <v>22.243243243243242</v>
      </c>
      <c r="AH563" s="86">
        <f>AVERAGEIFS($I$2:I563, $B$2:B563, B563)</f>
        <v>0.58324324324324328</v>
      </c>
      <c r="AI563" s="86">
        <f>AVERAGEIFS($J$2:J563, $B$2:B563, B563)</f>
        <v>0.54999999999999993</v>
      </c>
      <c r="AJ563" s="86">
        <f>AVERAGEIFS($D$2:D563, $B$2:B563, B563)</f>
        <v>0.67567567567567566</v>
      </c>
    </row>
    <row r="564" spans="1:36" x14ac:dyDescent="0.25">
      <c r="A564" s="85">
        <v>46102</v>
      </c>
      <c r="B564" t="s">
        <v>70</v>
      </c>
      <c r="C564">
        <v>10</v>
      </c>
      <c r="D564">
        <v>0</v>
      </c>
      <c r="E564">
        <v>3</v>
      </c>
      <c r="F564">
        <v>0</v>
      </c>
      <c r="G564">
        <v>13</v>
      </c>
      <c r="H564">
        <v>4</v>
      </c>
      <c r="I564">
        <v>0</v>
      </c>
      <c r="J564">
        <v>0.31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 s="86">
        <f>AVERAGEIFS($C$2:C564, $B$2:B564, B564)</f>
        <v>12.166666666666666</v>
      </c>
      <c r="AH564" s="86">
        <f>AVERAGEIFS($I$2:I564, $B$2:B564, B564)</f>
        <v>0.59166666666666667</v>
      </c>
      <c r="AI564" s="86">
        <f>AVERAGEIFS($J$2:J564, $B$2:B564, B564)</f>
        <v>0.53500000000000003</v>
      </c>
      <c r="AJ564" s="86">
        <f>AVERAGEIFS($D$2:D564, $B$2:B564, B564)</f>
        <v>0.83333333333333337</v>
      </c>
    </row>
    <row r="565" spans="1:36" x14ac:dyDescent="0.25">
      <c r="A565" s="85">
        <v>46102</v>
      </c>
      <c r="B565" t="s">
        <v>147</v>
      </c>
      <c r="C565">
        <v>8</v>
      </c>
      <c r="D565">
        <v>0</v>
      </c>
      <c r="E565">
        <v>3</v>
      </c>
      <c r="F565">
        <v>0</v>
      </c>
      <c r="G565">
        <v>13</v>
      </c>
      <c r="H565">
        <v>4</v>
      </c>
      <c r="I565">
        <v>0</v>
      </c>
      <c r="J565">
        <v>0.31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 s="86">
        <f>AVERAGEIFS($C$2:C565, $B$2:B565, B565)</f>
        <v>8.6</v>
      </c>
      <c r="AH565" s="86">
        <f>AVERAGEIFS($I$2:I565, $B$2:B565, B565)</f>
        <v>0.3</v>
      </c>
      <c r="AI565" s="86">
        <f>AVERAGEIFS($J$2:J565, $B$2:B565, B565)</f>
        <v>0.36199999999999999</v>
      </c>
      <c r="AJ565" s="86">
        <f>AVERAGEIFS($D$2:D565, $B$2:B565, B565)</f>
        <v>0.2</v>
      </c>
    </row>
    <row r="566" spans="1:36" x14ac:dyDescent="0.25">
      <c r="A566" s="85">
        <v>46104</v>
      </c>
      <c r="B566" t="s">
        <v>40</v>
      </c>
      <c r="C566">
        <v>28</v>
      </c>
      <c r="D566">
        <v>0</v>
      </c>
      <c r="E566">
        <v>5</v>
      </c>
      <c r="F566">
        <v>1</v>
      </c>
      <c r="G566">
        <v>19</v>
      </c>
      <c r="H566">
        <v>5</v>
      </c>
      <c r="I566">
        <v>0.2</v>
      </c>
      <c r="J566">
        <v>0.26</v>
      </c>
      <c r="K566">
        <v>0</v>
      </c>
      <c r="L566">
        <v>1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 s="86">
        <f>AVERAGEIFS($C$2:C566, $B$2:B566, B566)</f>
        <v>17.694444444444443</v>
      </c>
      <c r="AH566" s="86">
        <f>AVERAGEIFS($I$2:I566, $B$2:B566, B566)</f>
        <v>0.52222222222222214</v>
      </c>
      <c r="AI566" s="86">
        <f>AVERAGEIFS($J$2:J566, $B$2:B566, B566)</f>
        <v>0.50305555555555559</v>
      </c>
      <c r="AJ566" s="86">
        <f>AVERAGEIFS($D$2:D566, $B$2:B566, B566)</f>
        <v>0.47222222222222221</v>
      </c>
    </row>
    <row r="567" spans="1:36" x14ac:dyDescent="0.25">
      <c r="A567" s="85">
        <v>46104</v>
      </c>
      <c r="B567" t="s">
        <v>28</v>
      </c>
      <c r="C567">
        <v>17</v>
      </c>
      <c r="D567">
        <v>0</v>
      </c>
      <c r="E567">
        <v>5</v>
      </c>
      <c r="F567">
        <v>1</v>
      </c>
      <c r="G567">
        <v>19</v>
      </c>
      <c r="H567">
        <v>5</v>
      </c>
      <c r="I567">
        <v>0.2</v>
      </c>
      <c r="J567">
        <v>0.26</v>
      </c>
      <c r="K567">
        <v>0</v>
      </c>
      <c r="L567">
        <v>1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 s="86">
        <f>AVERAGEIFS($C$2:C567, $B$2:B567, B567)</f>
        <v>14.217391304347826</v>
      </c>
      <c r="AH567" s="86">
        <f>AVERAGEIFS($I$2:I567, $B$2:B567, B567)</f>
        <v>0.45782608695652172</v>
      </c>
      <c r="AI567" s="86">
        <f>AVERAGEIFS($J$2:J567, $B$2:B567, B567)</f>
        <v>0.48869565217391298</v>
      </c>
      <c r="AJ567" s="86">
        <f>AVERAGEIFS($D$2:D567, $B$2:B567, B567)</f>
        <v>0.39130434782608697</v>
      </c>
    </row>
    <row r="568" spans="1:36" x14ac:dyDescent="0.25">
      <c r="A568" s="85">
        <v>46104</v>
      </c>
      <c r="B568" t="s">
        <v>50</v>
      </c>
      <c r="C568">
        <v>12</v>
      </c>
      <c r="D568">
        <v>0</v>
      </c>
      <c r="E568">
        <v>5</v>
      </c>
      <c r="F568">
        <v>1</v>
      </c>
      <c r="G568">
        <v>19</v>
      </c>
      <c r="H568">
        <v>5</v>
      </c>
      <c r="I568">
        <v>0.2</v>
      </c>
      <c r="J568">
        <v>0.26</v>
      </c>
      <c r="K568">
        <v>0</v>
      </c>
      <c r="L568">
        <v>1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 s="86">
        <f>AVERAGEIFS($C$2:C568, $B$2:B568, B568)</f>
        <v>18.535714285714285</v>
      </c>
      <c r="AH568" s="86">
        <f>AVERAGEIFS($I$2:I568, $B$2:B568, B568)</f>
        <v>0.53500000000000003</v>
      </c>
      <c r="AI568" s="86">
        <f>AVERAGEIFS($J$2:J568, $B$2:B568, B568)</f>
        <v>0.53607142857142853</v>
      </c>
      <c r="AJ568" s="86">
        <f>AVERAGEIFS($D$2:D568, $B$2:B568, B568)</f>
        <v>0.5357142857142857</v>
      </c>
    </row>
    <row r="569" spans="1:36" x14ac:dyDescent="0.25">
      <c r="A569" s="85">
        <v>46104</v>
      </c>
      <c r="B569" t="s">
        <v>148</v>
      </c>
      <c r="C569">
        <v>10</v>
      </c>
      <c r="D569">
        <v>0</v>
      </c>
      <c r="E569">
        <v>5</v>
      </c>
      <c r="F569">
        <v>1</v>
      </c>
      <c r="G569">
        <v>19</v>
      </c>
      <c r="H569">
        <v>5</v>
      </c>
      <c r="I569">
        <v>0.2</v>
      </c>
      <c r="J569">
        <v>0.26</v>
      </c>
      <c r="K569">
        <v>0</v>
      </c>
      <c r="L569">
        <v>1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 s="86">
        <f>AVERAGEIFS($C$2:C569, $B$2:B569, B569)</f>
        <v>8.8461538461538467</v>
      </c>
      <c r="AH569" s="86">
        <f>AVERAGEIFS($I$2:I569, $B$2:B569, B569)</f>
        <v>0.5346153846153846</v>
      </c>
      <c r="AI569" s="86">
        <f>AVERAGEIFS($J$2:J569, $B$2:B569, B569)</f>
        <v>0.51307692307692299</v>
      </c>
      <c r="AJ569" s="86">
        <f>AVERAGEIFS($D$2:D569, $B$2:B569, B569)</f>
        <v>0.53846153846153844</v>
      </c>
    </row>
    <row r="570" spans="1:36" x14ac:dyDescent="0.25">
      <c r="A570" s="85">
        <v>46104</v>
      </c>
      <c r="B570" t="s">
        <v>27</v>
      </c>
      <c r="C570">
        <v>7</v>
      </c>
      <c r="D570">
        <v>0</v>
      </c>
      <c r="E570">
        <v>5</v>
      </c>
      <c r="F570">
        <v>1</v>
      </c>
      <c r="G570">
        <v>19</v>
      </c>
      <c r="H570">
        <v>5</v>
      </c>
      <c r="I570">
        <v>0.2</v>
      </c>
      <c r="J570">
        <v>0.26</v>
      </c>
      <c r="K570">
        <v>0</v>
      </c>
      <c r="L570">
        <v>1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 s="86">
        <f>AVERAGEIFS($C$2:C570, $B$2:B570, B570)</f>
        <v>12.571428571428571</v>
      </c>
      <c r="AH570" s="86">
        <f>AVERAGEIFS($I$2:I570, $B$2:B570, B570)</f>
        <v>0.37142857142857144</v>
      </c>
      <c r="AI570" s="86">
        <f>AVERAGEIFS($J$2:J570, $B$2:B570, B570)</f>
        <v>0.37571428571428572</v>
      </c>
      <c r="AJ570" s="86">
        <f>AVERAGEIFS($D$2:D570, $B$2:B570, B570)</f>
        <v>0.2857142857142857</v>
      </c>
    </row>
    <row r="571" spans="1:36" x14ac:dyDescent="0.25">
      <c r="A571" s="85">
        <v>46104</v>
      </c>
      <c r="B571" t="s">
        <v>152</v>
      </c>
      <c r="C571">
        <v>7</v>
      </c>
      <c r="D571">
        <v>0</v>
      </c>
      <c r="E571">
        <v>5</v>
      </c>
      <c r="F571">
        <v>1</v>
      </c>
      <c r="G571">
        <v>19</v>
      </c>
      <c r="H571">
        <v>5</v>
      </c>
      <c r="I571">
        <v>0.2</v>
      </c>
      <c r="J571">
        <v>0.26</v>
      </c>
      <c r="K571">
        <v>0</v>
      </c>
      <c r="L571">
        <v>1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 s="86">
        <f>AVERAGEIFS($C$2:C571, $B$2:B571, B571)</f>
        <v>7</v>
      </c>
      <c r="AH571" s="86">
        <f>AVERAGEIFS($I$2:I571, $B$2:B571, B571)</f>
        <v>0.2</v>
      </c>
      <c r="AI571" s="86">
        <f>AVERAGEIFS($J$2:J571, $B$2:B571, B571)</f>
        <v>0.26</v>
      </c>
      <c r="AJ571" s="86">
        <f>AVERAGEIFS($D$2:D571, $B$2:B571, B571)</f>
        <v>0</v>
      </c>
    </row>
    <row r="572" spans="1:36" x14ac:dyDescent="0.25">
      <c r="A572" s="85">
        <v>46104</v>
      </c>
      <c r="B572" t="s">
        <v>54</v>
      </c>
      <c r="C572">
        <v>20</v>
      </c>
      <c r="D572">
        <v>1</v>
      </c>
      <c r="E572">
        <v>5</v>
      </c>
      <c r="F572">
        <v>4</v>
      </c>
      <c r="G572">
        <v>19</v>
      </c>
      <c r="H572">
        <v>14</v>
      </c>
      <c r="I572">
        <v>0.8</v>
      </c>
      <c r="J572">
        <v>0.74</v>
      </c>
      <c r="K572">
        <v>0</v>
      </c>
      <c r="L572">
        <v>0</v>
      </c>
      <c r="M572">
        <v>1</v>
      </c>
      <c r="N572">
        <v>1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1</v>
      </c>
      <c r="AC572">
        <v>1</v>
      </c>
      <c r="AD572">
        <v>0</v>
      </c>
      <c r="AE572">
        <v>0</v>
      </c>
      <c r="AF572">
        <v>0</v>
      </c>
      <c r="AG572" s="86">
        <f>AVERAGEIFS($C$2:C572, $B$2:B572, B572)</f>
        <v>24.024999999999999</v>
      </c>
      <c r="AH572" s="86">
        <f>AVERAGEIFS($I$2:I572, $B$2:B572, B572)</f>
        <v>0.53800000000000003</v>
      </c>
      <c r="AI572" s="86">
        <f>AVERAGEIFS($J$2:J572, $B$2:B572, B572)</f>
        <v>0.51249999999999996</v>
      </c>
      <c r="AJ572" s="86">
        <f>AVERAGEIFS($D$2:D572, $B$2:B572, B572)</f>
        <v>0.55000000000000004</v>
      </c>
    </row>
    <row r="573" spans="1:36" x14ac:dyDescent="0.25">
      <c r="A573" s="85">
        <v>46104</v>
      </c>
      <c r="B573" t="s">
        <v>71</v>
      </c>
      <c r="C573">
        <v>19</v>
      </c>
      <c r="D573">
        <v>1</v>
      </c>
      <c r="E573">
        <v>5</v>
      </c>
      <c r="F573">
        <v>4</v>
      </c>
      <c r="G573">
        <v>19</v>
      </c>
      <c r="H573">
        <v>14</v>
      </c>
      <c r="I573">
        <v>0.8</v>
      </c>
      <c r="J573">
        <v>0.74</v>
      </c>
      <c r="K573">
        <v>0</v>
      </c>
      <c r="L573">
        <v>0</v>
      </c>
      <c r="M573">
        <v>1</v>
      </c>
      <c r="N573">
        <v>1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1</v>
      </c>
      <c r="AC573">
        <v>1</v>
      </c>
      <c r="AD573">
        <v>0</v>
      </c>
      <c r="AE573">
        <v>0</v>
      </c>
      <c r="AF573">
        <v>0</v>
      </c>
      <c r="AG573" s="86">
        <f>AVERAGEIFS($C$2:C573, $B$2:B573, B573)</f>
        <v>13.333333333333334</v>
      </c>
      <c r="AH573" s="86">
        <f>AVERAGEIFS($I$2:I573, $B$2:B573, B573)</f>
        <v>0.4916666666666667</v>
      </c>
      <c r="AI573" s="86">
        <f>AVERAGEIFS($J$2:J573, $B$2:B573, B573)</f>
        <v>0.4941666666666667</v>
      </c>
      <c r="AJ573" s="86">
        <f>AVERAGEIFS($D$2:D573, $B$2:B573, B573)</f>
        <v>0.58333333333333337</v>
      </c>
    </row>
    <row r="574" spans="1:36" x14ac:dyDescent="0.25">
      <c r="A574" s="85">
        <v>46104</v>
      </c>
      <c r="B574" t="s">
        <v>44</v>
      </c>
      <c r="C574">
        <v>24</v>
      </c>
      <c r="D574">
        <v>1</v>
      </c>
      <c r="E574">
        <v>5</v>
      </c>
      <c r="F574">
        <v>4</v>
      </c>
      <c r="G574">
        <v>19</v>
      </c>
      <c r="H574">
        <v>14</v>
      </c>
      <c r="I574">
        <v>0.8</v>
      </c>
      <c r="J574">
        <v>0.74</v>
      </c>
      <c r="K574">
        <v>0</v>
      </c>
      <c r="L574">
        <v>0</v>
      </c>
      <c r="M574">
        <v>1</v>
      </c>
      <c r="N574">
        <v>1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1</v>
      </c>
      <c r="AC574">
        <v>1</v>
      </c>
      <c r="AD574">
        <v>0</v>
      </c>
      <c r="AE574">
        <v>0</v>
      </c>
      <c r="AF574">
        <v>0</v>
      </c>
      <c r="AG574" s="86">
        <f>AVERAGEIFS($C$2:C574, $B$2:B574, B574)</f>
        <v>16.600000000000001</v>
      </c>
      <c r="AH574" s="86">
        <f>AVERAGEIFS($I$2:I574, $B$2:B574, B574)</f>
        <v>0.48499999999999999</v>
      </c>
      <c r="AI574" s="86">
        <f>AVERAGEIFS($J$2:J574, $B$2:B574, B574)</f>
        <v>0.51950000000000007</v>
      </c>
      <c r="AJ574" s="86">
        <f>AVERAGEIFS($D$2:D574, $B$2:B574, B574)</f>
        <v>0.6</v>
      </c>
    </row>
    <row r="575" spans="1:36" x14ac:dyDescent="0.25">
      <c r="A575" s="85">
        <v>46104</v>
      </c>
      <c r="B575" t="s">
        <v>153</v>
      </c>
      <c r="C575">
        <v>12</v>
      </c>
      <c r="D575">
        <v>1</v>
      </c>
      <c r="E575">
        <v>5</v>
      </c>
      <c r="F575">
        <v>4</v>
      </c>
      <c r="G575">
        <v>19</v>
      </c>
      <c r="H575">
        <v>14</v>
      </c>
      <c r="I575">
        <v>0.8</v>
      </c>
      <c r="J575">
        <v>0.74</v>
      </c>
      <c r="K575">
        <v>0</v>
      </c>
      <c r="L575">
        <v>0</v>
      </c>
      <c r="M575">
        <v>1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1</v>
      </c>
      <c r="AC575">
        <v>1</v>
      </c>
      <c r="AD575">
        <v>0</v>
      </c>
      <c r="AE575">
        <v>0</v>
      </c>
      <c r="AF575">
        <v>0</v>
      </c>
      <c r="AG575" s="86">
        <f>AVERAGEIFS($C$2:C575, $B$2:B575, B575)</f>
        <v>12</v>
      </c>
      <c r="AH575" s="86">
        <f>AVERAGEIFS($I$2:I575, $B$2:B575, B575)</f>
        <v>0.8</v>
      </c>
      <c r="AI575" s="86">
        <f>AVERAGEIFS($J$2:J575, $B$2:B575, B575)</f>
        <v>0.74</v>
      </c>
      <c r="AJ575" s="86">
        <f>AVERAGEIFS($D$2:D575, $B$2:B575, B575)</f>
        <v>1</v>
      </c>
    </row>
    <row r="576" spans="1:36" x14ac:dyDescent="0.25">
      <c r="A576" s="85">
        <v>46104</v>
      </c>
      <c r="B576" t="s">
        <v>113</v>
      </c>
      <c r="C576">
        <v>17</v>
      </c>
      <c r="D576">
        <v>1</v>
      </c>
      <c r="E576">
        <v>5</v>
      </c>
      <c r="F576">
        <v>4</v>
      </c>
      <c r="G576">
        <v>19</v>
      </c>
      <c r="H576">
        <v>14</v>
      </c>
      <c r="I576">
        <v>0.8</v>
      </c>
      <c r="J576">
        <v>0.74</v>
      </c>
      <c r="K576">
        <v>0</v>
      </c>
      <c r="L576">
        <v>0</v>
      </c>
      <c r="M576">
        <v>1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1</v>
      </c>
      <c r="AC576">
        <v>1</v>
      </c>
      <c r="AD576">
        <v>0</v>
      </c>
      <c r="AE576">
        <v>0</v>
      </c>
      <c r="AF576">
        <v>0</v>
      </c>
      <c r="AG576" s="86">
        <f>AVERAGEIFS($C$2:C576, $B$2:B576, B576)</f>
        <v>15.933333333333334</v>
      </c>
      <c r="AH576" s="86">
        <f>AVERAGEIFS($I$2:I576, $B$2:B576, B576)</f>
        <v>0.48666666666666664</v>
      </c>
      <c r="AI576" s="86">
        <f>AVERAGEIFS($J$2:J576, $B$2:B576, B576)</f>
        <v>0.46533333333333338</v>
      </c>
      <c r="AJ576" s="86">
        <f>AVERAGEIFS($D$2:D576, $B$2:B576, B576)</f>
        <v>0.46666666666666667</v>
      </c>
    </row>
    <row r="577" spans="1:36" x14ac:dyDescent="0.25">
      <c r="A577" s="85">
        <v>46104</v>
      </c>
      <c r="B577" t="s">
        <v>35</v>
      </c>
      <c r="C577">
        <v>7</v>
      </c>
      <c r="D577">
        <v>1</v>
      </c>
      <c r="E577">
        <v>5</v>
      </c>
      <c r="F577">
        <v>4</v>
      </c>
      <c r="G577">
        <v>19</v>
      </c>
      <c r="H577">
        <v>14</v>
      </c>
      <c r="I577">
        <v>0.8</v>
      </c>
      <c r="J577">
        <v>0.74</v>
      </c>
      <c r="K577">
        <v>0</v>
      </c>
      <c r="L577">
        <v>0</v>
      </c>
      <c r="M577">
        <v>1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1</v>
      </c>
      <c r="AC577">
        <v>1</v>
      </c>
      <c r="AD577">
        <v>0</v>
      </c>
      <c r="AE577">
        <v>0</v>
      </c>
      <c r="AF577">
        <v>0</v>
      </c>
      <c r="AG577" s="86">
        <f>AVERAGEIFS($C$2:C577, $B$2:B577, B577)</f>
        <v>10.6875</v>
      </c>
      <c r="AH577" s="86">
        <f>AVERAGEIFS($I$2:I577, $B$2:B577, B577)</f>
        <v>0.46343750000000006</v>
      </c>
      <c r="AI577" s="86">
        <f>AVERAGEIFS($J$2:J577, $B$2:B577, B577)</f>
        <v>0.49031249999999998</v>
      </c>
      <c r="AJ577" s="86">
        <f>AVERAGEIFS($D$2:D577, $B$2:B577, B577)</f>
        <v>0.4375</v>
      </c>
    </row>
    <row r="578" spans="1:36" x14ac:dyDescent="0.25">
      <c r="A578" s="85">
        <v>46105</v>
      </c>
      <c r="B578" t="s">
        <v>4</v>
      </c>
      <c r="C578">
        <v>17</v>
      </c>
      <c r="D578">
        <v>1</v>
      </c>
      <c r="E578">
        <v>3</v>
      </c>
      <c r="F578">
        <v>3</v>
      </c>
      <c r="G578">
        <v>12</v>
      </c>
      <c r="H578">
        <v>9</v>
      </c>
      <c r="I578">
        <v>1</v>
      </c>
      <c r="J578">
        <v>0.75</v>
      </c>
      <c r="K578">
        <v>0</v>
      </c>
      <c r="L578">
        <v>0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1</v>
      </c>
      <c r="W578">
        <v>0</v>
      </c>
      <c r="X578">
        <v>0</v>
      </c>
      <c r="Y578">
        <v>1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 s="86">
        <f>AVERAGEIFS($C$2:C578, $B$2:B578, B578)</f>
        <v>23.3</v>
      </c>
      <c r="AH578" s="86">
        <f>AVERAGEIFS($I$2:I578, $B$2:B578, B578)</f>
        <v>0.36250000000000004</v>
      </c>
      <c r="AI578" s="86">
        <f>AVERAGEIFS($J$2:J578, $B$2:B578, B578)</f>
        <v>0.41600000000000004</v>
      </c>
      <c r="AJ578" s="86">
        <f>AVERAGEIFS($D$2:D578, $B$2:B578, B578)</f>
        <v>0.2</v>
      </c>
    </row>
    <row r="579" spans="1:36" x14ac:dyDescent="0.25">
      <c r="A579" s="85">
        <v>46105</v>
      </c>
      <c r="B579" t="s">
        <v>6</v>
      </c>
      <c r="C579">
        <v>20</v>
      </c>
      <c r="D579">
        <v>1</v>
      </c>
      <c r="E579">
        <v>3</v>
      </c>
      <c r="F579">
        <v>3</v>
      </c>
      <c r="G579">
        <v>12</v>
      </c>
      <c r="H579">
        <v>9</v>
      </c>
      <c r="I579">
        <v>1</v>
      </c>
      <c r="J579">
        <v>0.75</v>
      </c>
      <c r="K579">
        <v>0</v>
      </c>
      <c r="L579">
        <v>0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1</v>
      </c>
      <c r="W579">
        <v>0</v>
      </c>
      <c r="X579">
        <v>0</v>
      </c>
      <c r="Y579">
        <v>1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 s="86">
        <f>AVERAGEIFS($C$2:C579, $B$2:B579, B579)</f>
        <v>22.184210526315791</v>
      </c>
      <c r="AH579" s="86">
        <f>AVERAGEIFS($I$2:I579, $B$2:B579, B579)</f>
        <v>0.59421052631578952</v>
      </c>
      <c r="AI579" s="86">
        <f>AVERAGEIFS($J$2:J579, $B$2:B579, B579)</f>
        <v>0.55526315789473679</v>
      </c>
      <c r="AJ579" s="86">
        <f>AVERAGEIFS($D$2:D579, $B$2:B579, B579)</f>
        <v>0.68421052631578949</v>
      </c>
    </row>
    <row r="580" spans="1:36" x14ac:dyDescent="0.25">
      <c r="A580" s="85">
        <v>46105</v>
      </c>
      <c r="B580" t="s">
        <v>5</v>
      </c>
      <c r="C580">
        <v>10</v>
      </c>
      <c r="D580">
        <v>1</v>
      </c>
      <c r="E580">
        <v>3</v>
      </c>
      <c r="F580">
        <v>3</v>
      </c>
      <c r="G580">
        <v>12</v>
      </c>
      <c r="H580">
        <v>9</v>
      </c>
      <c r="I580">
        <v>1</v>
      </c>
      <c r="J580">
        <v>0.75</v>
      </c>
      <c r="K580">
        <v>0</v>
      </c>
      <c r="L580">
        <v>0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1</v>
      </c>
      <c r="W580">
        <v>0</v>
      </c>
      <c r="X580">
        <v>0</v>
      </c>
      <c r="Y580">
        <v>1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 s="86">
        <f>AVERAGEIFS($C$2:C580, $B$2:B580, B580)</f>
        <v>20.8</v>
      </c>
      <c r="AH580" s="86">
        <f>AVERAGEIFS($I$2:I580, $B$2:B580, B580)</f>
        <v>0.66799999999999993</v>
      </c>
      <c r="AI580" s="86">
        <f>AVERAGEIFS($J$2:J580, $B$2:B580, B580)</f>
        <v>0.58933333333333338</v>
      </c>
      <c r="AJ580" s="86">
        <f>AVERAGEIFS($D$2:D580, $B$2:B580, B580)</f>
        <v>0.8</v>
      </c>
    </row>
    <row r="581" spans="1:36" x14ac:dyDescent="0.25">
      <c r="A581" s="85">
        <v>46105</v>
      </c>
      <c r="B581" t="s">
        <v>42</v>
      </c>
      <c r="C581">
        <v>18</v>
      </c>
      <c r="D581">
        <v>1</v>
      </c>
      <c r="E581">
        <v>3</v>
      </c>
      <c r="F581">
        <v>3</v>
      </c>
      <c r="G581">
        <v>12</v>
      </c>
      <c r="H581">
        <v>9</v>
      </c>
      <c r="I581">
        <v>1</v>
      </c>
      <c r="J581">
        <v>0.75</v>
      </c>
      <c r="K581">
        <v>0</v>
      </c>
      <c r="L581">
        <v>0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1</v>
      </c>
      <c r="W581">
        <v>0</v>
      </c>
      <c r="X581">
        <v>0</v>
      </c>
      <c r="Y581">
        <v>1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 s="86">
        <f>AVERAGEIFS($C$2:C581, $B$2:B581, B581)</f>
        <v>18.086956521739129</v>
      </c>
      <c r="AH581" s="86">
        <f>AVERAGEIFS($I$2:I581, $B$2:B581, B581)</f>
        <v>0.42608695652173906</v>
      </c>
      <c r="AI581" s="86">
        <f>AVERAGEIFS($J$2:J581, $B$2:B581, B581)</f>
        <v>0.43956521739130433</v>
      </c>
      <c r="AJ581" s="86">
        <f>AVERAGEIFS($D$2:D581, $B$2:B581, B581)</f>
        <v>0.43478260869565216</v>
      </c>
    </row>
    <row r="582" spans="1:36" x14ac:dyDescent="0.25">
      <c r="A582" s="85">
        <v>46105</v>
      </c>
      <c r="B582" t="s">
        <v>71</v>
      </c>
      <c r="C582">
        <v>8</v>
      </c>
      <c r="D582">
        <v>1</v>
      </c>
      <c r="E582">
        <v>3</v>
      </c>
      <c r="F582">
        <v>3</v>
      </c>
      <c r="G582">
        <v>12</v>
      </c>
      <c r="H582">
        <v>9</v>
      </c>
      <c r="I582">
        <v>1</v>
      </c>
      <c r="J582">
        <v>0.75</v>
      </c>
      <c r="K582">
        <v>0</v>
      </c>
      <c r="L582">
        <v>0</v>
      </c>
      <c r="M582">
        <v>0</v>
      </c>
      <c r="N582">
        <v>1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1</v>
      </c>
      <c r="W582">
        <v>0</v>
      </c>
      <c r="X582">
        <v>0</v>
      </c>
      <c r="Y582">
        <v>1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 s="86">
        <f>AVERAGEIFS($C$2:C582, $B$2:B582, B582)</f>
        <v>12.923076923076923</v>
      </c>
      <c r="AH582" s="86">
        <f>AVERAGEIFS($I$2:I582, $B$2:B582, B582)</f>
        <v>0.53076923076923077</v>
      </c>
      <c r="AI582" s="86">
        <f>AVERAGEIFS($J$2:J582, $B$2:B582, B582)</f>
        <v>0.51384615384615384</v>
      </c>
      <c r="AJ582" s="86">
        <f>AVERAGEIFS($D$2:D582, $B$2:B582, B582)</f>
        <v>0.61538461538461542</v>
      </c>
    </row>
    <row r="583" spans="1:36" x14ac:dyDescent="0.25">
      <c r="A583" s="85">
        <v>46105</v>
      </c>
      <c r="B583" t="s">
        <v>113</v>
      </c>
      <c r="C583">
        <v>22</v>
      </c>
      <c r="D583">
        <v>1</v>
      </c>
      <c r="E583">
        <v>3</v>
      </c>
      <c r="F583">
        <v>3</v>
      </c>
      <c r="G583">
        <v>12</v>
      </c>
      <c r="H583">
        <v>9</v>
      </c>
      <c r="I583">
        <v>1</v>
      </c>
      <c r="J583">
        <v>0.75</v>
      </c>
      <c r="K583">
        <v>0</v>
      </c>
      <c r="L583">
        <v>0</v>
      </c>
      <c r="M583">
        <v>0</v>
      </c>
      <c r="N583">
        <v>1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1</v>
      </c>
      <c r="W583">
        <v>0</v>
      </c>
      <c r="X583">
        <v>0</v>
      </c>
      <c r="Y583">
        <v>1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 s="86">
        <f>AVERAGEIFS($C$2:C583, $B$2:B583, B583)</f>
        <v>16.3125</v>
      </c>
      <c r="AH583" s="86">
        <f>AVERAGEIFS($I$2:I583, $B$2:B583, B583)</f>
        <v>0.51875000000000004</v>
      </c>
      <c r="AI583" s="86">
        <f>AVERAGEIFS($J$2:J583, $B$2:B583, B583)</f>
        <v>0.48312500000000003</v>
      </c>
      <c r="AJ583" s="86">
        <f>AVERAGEIFS($D$2:D583, $B$2:B583, B583)</f>
        <v>0.5</v>
      </c>
    </row>
    <row r="584" spans="1:36" x14ac:dyDescent="0.25">
      <c r="A584" s="85">
        <v>46105</v>
      </c>
      <c r="B584" t="s">
        <v>44</v>
      </c>
      <c r="C584">
        <v>16</v>
      </c>
      <c r="D584">
        <v>1</v>
      </c>
      <c r="E584">
        <v>3</v>
      </c>
      <c r="F584">
        <v>3</v>
      </c>
      <c r="G584">
        <v>12</v>
      </c>
      <c r="H584">
        <v>9</v>
      </c>
      <c r="I584">
        <v>1</v>
      </c>
      <c r="J584">
        <v>0.75</v>
      </c>
      <c r="K584">
        <v>0</v>
      </c>
      <c r="L584">
        <v>0</v>
      </c>
      <c r="M584">
        <v>0</v>
      </c>
      <c r="N584">
        <v>1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1</v>
      </c>
      <c r="W584">
        <v>0</v>
      </c>
      <c r="X584">
        <v>0</v>
      </c>
      <c r="Y584">
        <v>1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 s="86">
        <f>AVERAGEIFS($C$2:C584, $B$2:B584, B584)</f>
        <v>16.571428571428573</v>
      </c>
      <c r="AH584" s="86">
        <f>AVERAGEIFS($I$2:I584, $B$2:B584, B584)</f>
        <v>0.50952380952380949</v>
      </c>
      <c r="AI584" s="86">
        <f>AVERAGEIFS($J$2:J584, $B$2:B584, B584)</f>
        <v>0.53047619047619055</v>
      </c>
      <c r="AJ584" s="86">
        <f>AVERAGEIFS($D$2:D584, $B$2:B584, B584)</f>
        <v>0.61904761904761907</v>
      </c>
    </row>
    <row r="585" spans="1:36" x14ac:dyDescent="0.25">
      <c r="A585" s="85">
        <v>46105</v>
      </c>
      <c r="B585" t="s">
        <v>28</v>
      </c>
      <c r="C585">
        <v>13</v>
      </c>
      <c r="D585">
        <v>1</v>
      </c>
      <c r="E585">
        <v>3</v>
      </c>
      <c r="F585">
        <v>3</v>
      </c>
      <c r="G585">
        <v>12</v>
      </c>
      <c r="H585">
        <v>9</v>
      </c>
      <c r="I585">
        <v>1</v>
      </c>
      <c r="J585">
        <v>0.75</v>
      </c>
      <c r="K585">
        <v>0</v>
      </c>
      <c r="L585">
        <v>0</v>
      </c>
      <c r="M585">
        <v>0</v>
      </c>
      <c r="N585">
        <v>1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1</v>
      </c>
      <c r="W585">
        <v>0</v>
      </c>
      <c r="X585">
        <v>0</v>
      </c>
      <c r="Y585">
        <v>1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 s="86">
        <f>AVERAGEIFS($C$2:C585, $B$2:B585, B585)</f>
        <v>14.166666666666666</v>
      </c>
      <c r="AH585" s="86">
        <f>AVERAGEIFS($I$2:I585, $B$2:B585, B585)</f>
        <v>0.48041666666666666</v>
      </c>
      <c r="AI585" s="86">
        <f>AVERAGEIFS($J$2:J585, $B$2:B585, B585)</f>
        <v>0.49958333333333327</v>
      </c>
      <c r="AJ585" s="86">
        <f>AVERAGEIFS($D$2:D585, $B$2:B585, B585)</f>
        <v>0.41666666666666669</v>
      </c>
    </row>
    <row r="586" spans="1:36" x14ac:dyDescent="0.25">
      <c r="A586" s="85">
        <v>46105</v>
      </c>
      <c r="B586" t="s">
        <v>2</v>
      </c>
      <c r="C586">
        <v>17</v>
      </c>
      <c r="D586">
        <v>0</v>
      </c>
      <c r="E586">
        <v>3</v>
      </c>
      <c r="F586">
        <v>0</v>
      </c>
      <c r="G586">
        <v>12</v>
      </c>
      <c r="H586">
        <v>3</v>
      </c>
      <c r="I586">
        <v>0</v>
      </c>
      <c r="J586">
        <v>0.25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 s="86">
        <f>AVERAGEIFS($C$2:C586, $B$2:B586, B586)</f>
        <v>23</v>
      </c>
      <c r="AH586" s="86">
        <f>AVERAGEIFS($I$2:I586, $B$2:B586, B586)</f>
        <v>0.53192307692307694</v>
      </c>
      <c r="AI586" s="86">
        <f>AVERAGEIFS($J$2:J586, $B$2:B586, B586)</f>
        <v>0.54115384615384621</v>
      </c>
      <c r="AJ586" s="86">
        <f>AVERAGEIFS($D$2:D586, $B$2:B586, B586)</f>
        <v>0.53846153846153844</v>
      </c>
    </row>
    <row r="587" spans="1:36" x14ac:dyDescent="0.25">
      <c r="A587" s="85">
        <v>46105</v>
      </c>
      <c r="B587" t="s">
        <v>54</v>
      </c>
      <c r="C587">
        <v>17</v>
      </c>
      <c r="D587">
        <v>0</v>
      </c>
      <c r="E587">
        <v>3</v>
      </c>
      <c r="F587">
        <v>0</v>
      </c>
      <c r="G587">
        <v>12</v>
      </c>
      <c r="H587">
        <v>3</v>
      </c>
      <c r="I587">
        <v>0</v>
      </c>
      <c r="J587">
        <v>0.25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 s="86">
        <f>AVERAGEIFS($C$2:C587, $B$2:B587, B587)</f>
        <v>23.853658536585368</v>
      </c>
      <c r="AH587" s="86">
        <f>AVERAGEIFS($I$2:I587, $B$2:B587, B587)</f>
        <v>0.52487804878048783</v>
      </c>
      <c r="AI587" s="86">
        <f>AVERAGEIFS($J$2:J587, $B$2:B587, B587)</f>
        <v>0.50609756097560976</v>
      </c>
      <c r="AJ587" s="86">
        <f>AVERAGEIFS($D$2:D587, $B$2:B587, B587)</f>
        <v>0.53658536585365857</v>
      </c>
    </row>
    <row r="588" spans="1:36" x14ac:dyDescent="0.25">
      <c r="A588" s="85">
        <v>46105</v>
      </c>
      <c r="B588" t="s">
        <v>40</v>
      </c>
      <c r="C588">
        <v>14</v>
      </c>
      <c r="D588">
        <v>0</v>
      </c>
      <c r="E588">
        <v>3</v>
      </c>
      <c r="F588">
        <v>0</v>
      </c>
      <c r="G588">
        <v>12</v>
      </c>
      <c r="H588">
        <v>3</v>
      </c>
      <c r="I588">
        <v>0</v>
      </c>
      <c r="J588">
        <v>0.25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 s="86">
        <f>AVERAGEIFS($C$2:C588, $B$2:B588, B588)</f>
        <v>17.594594594594593</v>
      </c>
      <c r="AH588" s="86">
        <f>AVERAGEIFS($I$2:I588, $B$2:B588, B588)</f>
        <v>0.50810810810810803</v>
      </c>
      <c r="AI588" s="86">
        <f>AVERAGEIFS($J$2:J588, $B$2:B588, B588)</f>
        <v>0.49621621621621631</v>
      </c>
      <c r="AJ588" s="86">
        <f>AVERAGEIFS($D$2:D588, $B$2:B588, B588)</f>
        <v>0.45945945945945948</v>
      </c>
    </row>
    <row r="589" spans="1:36" x14ac:dyDescent="0.25">
      <c r="A589" s="85">
        <v>46105</v>
      </c>
      <c r="B589" t="s">
        <v>46</v>
      </c>
      <c r="C589">
        <v>13</v>
      </c>
      <c r="D589">
        <v>0</v>
      </c>
      <c r="E589">
        <v>3</v>
      </c>
      <c r="F589">
        <v>0</v>
      </c>
      <c r="G589">
        <v>12</v>
      </c>
      <c r="H589">
        <v>3</v>
      </c>
      <c r="I589">
        <v>0</v>
      </c>
      <c r="J589">
        <v>0.25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 s="86">
        <f>AVERAGEIFS($C$2:C589, $B$2:B589, B589)</f>
        <v>19.45</v>
      </c>
      <c r="AH589" s="86">
        <f>AVERAGEIFS($I$2:I589, $B$2:B589, B589)</f>
        <v>0.44499999999999995</v>
      </c>
      <c r="AI589" s="86">
        <f>AVERAGEIFS($J$2:J589, $B$2:B589, B589)</f>
        <v>0.47499999999999998</v>
      </c>
      <c r="AJ589" s="86">
        <f>AVERAGEIFS($D$2:D589, $B$2:B589, B589)</f>
        <v>0.4</v>
      </c>
    </row>
    <row r="590" spans="1:36" x14ac:dyDescent="0.25">
      <c r="A590" s="85">
        <v>46105</v>
      </c>
      <c r="B590" t="s">
        <v>107</v>
      </c>
      <c r="C590">
        <v>17</v>
      </c>
      <c r="D590">
        <v>0</v>
      </c>
      <c r="E590">
        <v>3</v>
      </c>
      <c r="F590">
        <v>0</v>
      </c>
      <c r="G590">
        <v>12</v>
      </c>
      <c r="H590">
        <v>3</v>
      </c>
      <c r="I590">
        <v>0</v>
      </c>
      <c r="J590">
        <v>0.25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 s="86">
        <f>AVERAGEIFS($C$2:C590, $B$2:B590, B590)</f>
        <v>15.238095238095237</v>
      </c>
      <c r="AH590" s="86">
        <f>AVERAGEIFS($I$2:I590, $B$2:B590, B590)</f>
        <v>0.588095238095238</v>
      </c>
      <c r="AI590" s="86">
        <f>AVERAGEIFS($J$2:J590, $B$2:B590, B590)</f>
        <v>0.55333333333333345</v>
      </c>
      <c r="AJ590" s="86">
        <f>AVERAGEIFS($D$2:D590, $B$2:B590, B590)</f>
        <v>0.66666666666666663</v>
      </c>
    </row>
    <row r="591" spans="1:36" x14ac:dyDescent="0.25">
      <c r="A591" s="85">
        <v>46105</v>
      </c>
      <c r="B591" t="s">
        <v>13</v>
      </c>
      <c r="C591">
        <v>5</v>
      </c>
      <c r="D591">
        <v>0</v>
      </c>
      <c r="E591">
        <v>3</v>
      </c>
      <c r="F591">
        <v>0</v>
      </c>
      <c r="G591">
        <v>12</v>
      </c>
      <c r="H591">
        <v>3</v>
      </c>
      <c r="I591">
        <v>0</v>
      </c>
      <c r="J591">
        <v>0.25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 s="86">
        <f>AVERAGEIFS($C$2:C591, $B$2:B591, B591)</f>
        <v>10.857142857142858</v>
      </c>
      <c r="AH591" s="86">
        <f>AVERAGEIFS($I$2:I591, $B$2:B591, B591)</f>
        <v>0.54285714285714282</v>
      </c>
      <c r="AI591" s="86">
        <f>AVERAGEIFS($J$2:J591, $B$2:B591, B591)</f>
        <v>0.51285714285714279</v>
      </c>
      <c r="AJ591" s="86">
        <f>AVERAGEIFS($D$2:D591, $B$2:B591, B591)</f>
        <v>0.42857142857142855</v>
      </c>
    </row>
    <row r="592" spans="1:36" x14ac:dyDescent="0.25">
      <c r="A592" s="85">
        <v>46105</v>
      </c>
      <c r="B592" t="s">
        <v>141</v>
      </c>
      <c r="C592">
        <v>11</v>
      </c>
      <c r="D592">
        <v>0</v>
      </c>
      <c r="E592">
        <v>3</v>
      </c>
      <c r="F592">
        <v>0</v>
      </c>
      <c r="G592">
        <v>12</v>
      </c>
      <c r="H592">
        <v>3</v>
      </c>
      <c r="I592">
        <v>0</v>
      </c>
      <c r="J592">
        <v>0.25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 s="86">
        <f>AVERAGEIFS($C$2:C592, $B$2:B592, B592)</f>
        <v>14.8</v>
      </c>
      <c r="AH592" s="86">
        <f>AVERAGEIFS($I$2:I592, $B$2:B592, B592)</f>
        <v>0.44000000000000006</v>
      </c>
      <c r="AI592" s="86">
        <f>AVERAGEIFS($J$2:J592, $B$2:B592, B592)</f>
        <v>0.47400000000000003</v>
      </c>
      <c r="AJ592" s="86">
        <f>AVERAGEIFS($D$2:D592, $B$2:B592, B592)</f>
        <v>0.6</v>
      </c>
    </row>
    <row r="593" spans="1:36" x14ac:dyDescent="0.25">
      <c r="A593" s="85">
        <v>46105</v>
      </c>
      <c r="B593" t="s">
        <v>27</v>
      </c>
      <c r="C593">
        <v>5</v>
      </c>
      <c r="D593">
        <v>0</v>
      </c>
      <c r="E593">
        <v>3</v>
      </c>
      <c r="F593">
        <v>0</v>
      </c>
      <c r="G593">
        <v>12</v>
      </c>
      <c r="H593">
        <v>3</v>
      </c>
      <c r="I593">
        <v>0</v>
      </c>
      <c r="J593">
        <v>0.25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 s="86">
        <f>AVERAGEIFS($C$2:C593, $B$2:B593, B593)</f>
        <v>11.625</v>
      </c>
      <c r="AH593" s="86">
        <f>AVERAGEIFS($I$2:I593, $B$2:B593, B593)</f>
        <v>0.32500000000000001</v>
      </c>
      <c r="AI593" s="86">
        <f>AVERAGEIFS($J$2:J593, $B$2:B593, B593)</f>
        <v>0.36</v>
      </c>
      <c r="AJ593" s="86">
        <f>AVERAGEIFS($D$2:D593, $B$2:B593, B593)</f>
        <v>0.25</v>
      </c>
    </row>
    <row r="594" spans="1:36" x14ac:dyDescent="0.25">
      <c r="A594" s="85">
        <v>46106</v>
      </c>
      <c r="B594" t="s">
        <v>5</v>
      </c>
      <c r="C594">
        <v>25</v>
      </c>
      <c r="D594">
        <v>1</v>
      </c>
      <c r="E594">
        <v>5</v>
      </c>
      <c r="F594">
        <v>3</v>
      </c>
      <c r="G594">
        <v>21</v>
      </c>
      <c r="H594">
        <v>9</v>
      </c>
      <c r="I594">
        <v>0.6</v>
      </c>
      <c r="J594">
        <v>0.43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1</v>
      </c>
      <c r="AA594">
        <v>1</v>
      </c>
      <c r="AB594">
        <v>0</v>
      </c>
      <c r="AC594">
        <v>1</v>
      </c>
      <c r="AD594">
        <v>0</v>
      </c>
      <c r="AE594">
        <v>0</v>
      </c>
      <c r="AF594">
        <v>0</v>
      </c>
      <c r="AG594" s="86">
        <f>AVERAGEIFS($C$2:C594, $B$2:B594, B594)</f>
        <v>21.0625</v>
      </c>
      <c r="AH594" s="86">
        <f>AVERAGEIFS($I$2:I594, $B$2:B594, B594)</f>
        <v>0.66374999999999995</v>
      </c>
      <c r="AI594" s="86">
        <f>AVERAGEIFS($J$2:J594, $B$2:B594, B594)</f>
        <v>0.57937499999999997</v>
      </c>
      <c r="AJ594" s="86">
        <f>AVERAGEIFS($D$2:D594, $B$2:B594, B594)</f>
        <v>0.8125</v>
      </c>
    </row>
    <row r="595" spans="1:36" x14ac:dyDescent="0.25">
      <c r="A595" s="85">
        <v>46106</v>
      </c>
      <c r="B595" t="s">
        <v>54</v>
      </c>
      <c r="C595">
        <v>34</v>
      </c>
      <c r="D595">
        <v>1</v>
      </c>
      <c r="E595">
        <v>5</v>
      </c>
      <c r="F595">
        <v>3</v>
      </c>
      <c r="G595">
        <v>21</v>
      </c>
      <c r="H595">
        <v>9</v>
      </c>
      <c r="I595">
        <v>0.6</v>
      </c>
      <c r="J595">
        <v>0.43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1</v>
      </c>
      <c r="AA595">
        <v>1</v>
      </c>
      <c r="AB595">
        <v>0</v>
      </c>
      <c r="AC595">
        <v>1</v>
      </c>
      <c r="AD595">
        <v>0</v>
      </c>
      <c r="AE595">
        <v>0</v>
      </c>
      <c r="AF595">
        <v>0</v>
      </c>
      <c r="AG595" s="86">
        <f>AVERAGEIFS($C$2:C595, $B$2:B595, B595)</f>
        <v>24.095238095238095</v>
      </c>
      <c r="AH595" s="86">
        <f>AVERAGEIFS($I$2:I595, $B$2:B595, B595)</f>
        <v>0.52666666666666673</v>
      </c>
      <c r="AI595" s="86">
        <f>AVERAGEIFS($J$2:J595, $B$2:B595, B595)</f>
        <v>0.50428571428571423</v>
      </c>
      <c r="AJ595" s="86">
        <f>AVERAGEIFS($D$2:D595, $B$2:B595, B595)</f>
        <v>0.54761904761904767</v>
      </c>
    </row>
    <row r="596" spans="1:36" x14ac:dyDescent="0.25">
      <c r="A596" s="85">
        <v>46106</v>
      </c>
      <c r="B596" t="s">
        <v>42</v>
      </c>
      <c r="C596">
        <v>17</v>
      </c>
      <c r="D596">
        <v>1</v>
      </c>
      <c r="E596">
        <v>5</v>
      </c>
      <c r="F596">
        <v>3</v>
      </c>
      <c r="G596">
        <v>21</v>
      </c>
      <c r="H596">
        <v>9</v>
      </c>
      <c r="I596">
        <v>0.6</v>
      </c>
      <c r="J596">
        <v>0.43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1</v>
      </c>
      <c r="AA596">
        <v>1</v>
      </c>
      <c r="AB596">
        <v>0</v>
      </c>
      <c r="AC596">
        <v>1</v>
      </c>
      <c r="AD596">
        <v>0</v>
      </c>
      <c r="AE596">
        <v>0</v>
      </c>
      <c r="AF596">
        <v>0</v>
      </c>
      <c r="AG596" s="86">
        <f>AVERAGEIFS($C$2:C596, $B$2:B596, B596)</f>
        <v>18.041666666666668</v>
      </c>
      <c r="AH596" s="86">
        <f>AVERAGEIFS($I$2:I596, $B$2:B596, B596)</f>
        <v>0.43333333333333329</v>
      </c>
      <c r="AI596" s="86">
        <f>AVERAGEIFS($J$2:J596, $B$2:B596, B596)</f>
        <v>0.43916666666666665</v>
      </c>
      <c r="AJ596" s="86">
        <f>AVERAGEIFS($D$2:D596, $B$2:B596, B596)</f>
        <v>0.45833333333333331</v>
      </c>
    </row>
    <row r="597" spans="1:36" x14ac:dyDescent="0.25">
      <c r="A597" s="85">
        <v>46106</v>
      </c>
      <c r="B597" t="s">
        <v>28</v>
      </c>
      <c r="C597">
        <v>10</v>
      </c>
      <c r="D597">
        <v>1</v>
      </c>
      <c r="E597">
        <v>5</v>
      </c>
      <c r="F597">
        <v>3</v>
      </c>
      <c r="G597">
        <v>21</v>
      </c>
      <c r="H597">
        <v>9</v>
      </c>
      <c r="I597">
        <v>0.6</v>
      </c>
      <c r="J597">
        <v>0.43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1</v>
      </c>
      <c r="AA597">
        <v>1</v>
      </c>
      <c r="AB597">
        <v>0</v>
      </c>
      <c r="AC597">
        <v>1</v>
      </c>
      <c r="AD597">
        <v>0</v>
      </c>
      <c r="AE597">
        <v>0</v>
      </c>
      <c r="AF597">
        <v>0</v>
      </c>
      <c r="AG597" s="86">
        <f>AVERAGEIFS($C$2:C597, $B$2:B597, B597)</f>
        <v>14</v>
      </c>
      <c r="AH597" s="86">
        <f>AVERAGEIFS($I$2:I597, $B$2:B597, B597)</f>
        <v>0.48519999999999996</v>
      </c>
      <c r="AI597" s="86">
        <f>AVERAGEIFS($J$2:J597, $B$2:B597, B597)</f>
        <v>0.49679999999999991</v>
      </c>
      <c r="AJ597" s="86">
        <f>AVERAGEIFS($D$2:D597, $B$2:B597, B597)</f>
        <v>0.44</v>
      </c>
    </row>
    <row r="598" spans="1:36" x14ac:dyDescent="0.25">
      <c r="A598" s="85">
        <v>46106</v>
      </c>
      <c r="B598" t="s">
        <v>44</v>
      </c>
      <c r="C598">
        <v>2</v>
      </c>
      <c r="D598">
        <v>1</v>
      </c>
      <c r="E598">
        <v>5</v>
      </c>
      <c r="F598">
        <v>3</v>
      </c>
      <c r="G598">
        <v>21</v>
      </c>
      <c r="H598">
        <v>9</v>
      </c>
      <c r="I598">
        <v>0.6</v>
      </c>
      <c r="J598">
        <v>0.43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1</v>
      </c>
      <c r="AA598">
        <v>1</v>
      </c>
      <c r="AB598">
        <v>0</v>
      </c>
      <c r="AC598">
        <v>1</v>
      </c>
      <c r="AD598">
        <v>0</v>
      </c>
      <c r="AE598">
        <v>0</v>
      </c>
      <c r="AF598">
        <v>0</v>
      </c>
      <c r="AG598" s="86">
        <f>AVERAGEIFS($C$2:C598, $B$2:B598, B598)</f>
        <v>15.909090909090908</v>
      </c>
      <c r="AH598" s="86">
        <f>AVERAGEIFS($I$2:I598, $B$2:B598, B598)</f>
        <v>0.51363636363636356</v>
      </c>
      <c r="AI598" s="86">
        <f>AVERAGEIFS($J$2:J598, $B$2:B598, B598)</f>
        <v>0.52590909090909088</v>
      </c>
      <c r="AJ598" s="86">
        <f>AVERAGEIFS($D$2:D598, $B$2:B598, B598)</f>
        <v>0.63636363636363635</v>
      </c>
    </row>
    <row r="599" spans="1:36" x14ac:dyDescent="0.25">
      <c r="A599" s="85">
        <v>46106</v>
      </c>
      <c r="B599" t="s">
        <v>71</v>
      </c>
      <c r="C599">
        <v>12</v>
      </c>
      <c r="D599">
        <v>1</v>
      </c>
      <c r="E599">
        <v>5</v>
      </c>
      <c r="F599">
        <v>3</v>
      </c>
      <c r="G599">
        <v>21</v>
      </c>
      <c r="H599">
        <v>9</v>
      </c>
      <c r="I599">
        <v>0.6</v>
      </c>
      <c r="J599">
        <v>0.43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1</v>
      </c>
      <c r="AA599">
        <v>1</v>
      </c>
      <c r="AB599">
        <v>0</v>
      </c>
      <c r="AC599">
        <v>1</v>
      </c>
      <c r="AD599">
        <v>0</v>
      </c>
      <c r="AE599">
        <v>0</v>
      </c>
      <c r="AF599">
        <v>0</v>
      </c>
      <c r="AG599" s="86">
        <f>AVERAGEIFS($C$2:C599, $B$2:B599, B599)</f>
        <v>12.857142857142858</v>
      </c>
      <c r="AH599" s="86">
        <f>AVERAGEIFS($I$2:I599, $B$2:B599, B599)</f>
        <v>0.5357142857142857</v>
      </c>
      <c r="AI599" s="86">
        <f>AVERAGEIFS($J$2:J599, $B$2:B599, B599)</f>
        <v>0.5078571428571429</v>
      </c>
      <c r="AJ599" s="86">
        <f>AVERAGEIFS($D$2:D599, $B$2:B599, B599)</f>
        <v>0.6428571428571429</v>
      </c>
    </row>
    <row r="600" spans="1:36" x14ac:dyDescent="0.25">
      <c r="A600" s="85">
        <v>46106</v>
      </c>
      <c r="B600" t="s">
        <v>46</v>
      </c>
      <c r="C600">
        <v>11</v>
      </c>
      <c r="D600">
        <v>1</v>
      </c>
      <c r="E600">
        <v>5</v>
      </c>
      <c r="F600">
        <v>3</v>
      </c>
      <c r="G600">
        <v>21</v>
      </c>
      <c r="H600">
        <v>9</v>
      </c>
      <c r="I600">
        <v>0.6</v>
      </c>
      <c r="J600">
        <v>0.43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1</v>
      </c>
      <c r="AA600">
        <v>1</v>
      </c>
      <c r="AB600">
        <v>0</v>
      </c>
      <c r="AC600">
        <v>1</v>
      </c>
      <c r="AD600">
        <v>0</v>
      </c>
      <c r="AE600">
        <v>0</v>
      </c>
      <c r="AF600">
        <v>0</v>
      </c>
      <c r="AG600" s="86">
        <f>AVERAGEIFS($C$2:C600, $B$2:B600, B600)</f>
        <v>19.047619047619047</v>
      </c>
      <c r="AH600" s="86">
        <f>AVERAGEIFS($I$2:I600, $B$2:B600, B600)</f>
        <v>0.45238095238095227</v>
      </c>
      <c r="AI600" s="86">
        <f>AVERAGEIFS($J$2:J600, $B$2:B600, B600)</f>
        <v>0.47285714285714286</v>
      </c>
      <c r="AJ600" s="86">
        <f>AVERAGEIFS($D$2:D600, $B$2:B600, B600)</f>
        <v>0.42857142857142855</v>
      </c>
    </row>
    <row r="601" spans="1:36" x14ac:dyDescent="0.25">
      <c r="A601" s="85">
        <v>46106</v>
      </c>
      <c r="B601" t="s">
        <v>40</v>
      </c>
      <c r="C601">
        <v>18</v>
      </c>
      <c r="D601">
        <v>0</v>
      </c>
      <c r="E601">
        <v>5</v>
      </c>
      <c r="F601">
        <v>2</v>
      </c>
      <c r="G601">
        <v>21</v>
      </c>
      <c r="H601">
        <v>12</v>
      </c>
      <c r="I601">
        <v>0.4</v>
      </c>
      <c r="J601">
        <v>0.56999999999999995</v>
      </c>
      <c r="K601">
        <v>0</v>
      </c>
      <c r="L601">
        <v>0</v>
      </c>
      <c r="M601">
        <v>1</v>
      </c>
      <c r="N601">
        <v>0</v>
      </c>
      <c r="O601">
        <v>0</v>
      </c>
      <c r="P601">
        <v>0</v>
      </c>
      <c r="Q601">
        <v>1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 s="86">
        <f>AVERAGEIFS($C$2:C601, $B$2:B601, B601)</f>
        <v>17.605263157894736</v>
      </c>
      <c r="AH601" s="86">
        <f>AVERAGEIFS($I$2:I601, $B$2:B601, B601)</f>
        <v>0.50526315789473675</v>
      </c>
      <c r="AI601" s="86">
        <f>AVERAGEIFS($J$2:J601, $B$2:B601, B601)</f>
        <v>0.49815789473684219</v>
      </c>
      <c r="AJ601" s="86">
        <f>AVERAGEIFS($D$2:D601, $B$2:B601, B601)</f>
        <v>0.44736842105263158</v>
      </c>
    </row>
    <row r="602" spans="1:36" x14ac:dyDescent="0.25">
      <c r="A602" s="85">
        <v>46106</v>
      </c>
      <c r="B602" t="s">
        <v>6</v>
      </c>
      <c r="C602">
        <v>24</v>
      </c>
      <c r="D602">
        <v>0</v>
      </c>
      <c r="E602">
        <v>5</v>
      </c>
      <c r="F602">
        <v>2</v>
      </c>
      <c r="G602">
        <v>21</v>
      </c>
      <c r="H602">
        <v>12</v>
      </c>
      <c r="I602">
        <v>0.4</v>
      </c>
      <c r="J602">
        <v>0.56999999999999995</v>
      </c>
      <c r="K602">
        <v>0</v>
      </c>
      <c r="L602">
        <v>0</v>
      </c>
      <c r="M602">
        <v>1</v>
      </c>
      <c r="N602">
        <v>0</v>
      </c>
      <c r="O602">
        <v>0</v>
      </c>
      <c r="P602">
        <v>0</v>
      </c>
      <c r="Q602">
        <v>1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 s="86">
        <f>AVERAGEIFS($C$2:C602, $B$2:B602, B602)</f>
        <v>22.23076923076923</v>
      </c>
      <c r="AH602" s="86">
        <f>AVERAGEIFS($I$2:I602, $B$2:B602, B602)</f>
        <v>0.58923076923076922</v>
      </c>
      <c r="AI602" s="86">
        <f>AVERAGEIFS($J$2:J602, $B$2:B602, B602)</f>
        <v>0.55564102564102558</v>
      </c>
      <c r="AJ602" s="86">
        <f>AVERAGEIFS($D$2:D602, $B$2:B602, B602)</f>
        <v>0.66666666666666663</v>
      </c>
    </row>
    <row r="603" spans="1:36" x14ac:dyDescent="0.25">
      <c r="A603" s="85">
        <v>46106</v>
      </c>
      <c r="B603" t="s">
        <v>113</v>
      </c>
      <c r="C603">
        <v>17</v>
      </c>
      <c r="D603">
        <v>0</v>
      </c>
      <c r="E603">
        <v>5</v>
      </c>
      <c r="F603">
        <v>2</v>
      </c>
      <c r="G603">
        <v>21</v>
      </c>
      <c r="H603">
        <v>12</v>
      </c>
      <c r="I603">
        <v>0.4</v>
      </c>
      <c r="J603">
        <v>0.56999999999999995</v>
      </c>
      <c r="K603">
        <v>0</v>
      </c>
      <c r="L603">
        <v>0</v>
      </c>
      <c r="M603">
        <v>1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 s="86">
        <f>AVERAGEIFS($C$2:C603, $B$2:B603, B603)</f>
        <v>16.352941176470587</v>
      </c>
      <c r="AH603" s="86">
        <f>AVERAGEIFS($I$2:I603, $B$2:B603, B603)</f>
        <v>0.51176470588235301</v>
      </c>
      <c r="AI603" s="86">
        <f>AVERAGEIFS($J$2:J603, $B$2:B603, B603)</f>
        <v>0.4882352941176471</v>
      </c>
      <c r="AJ603" s="86">
        <f>AVERAGEIFS($D$2:D603, $B$2:B603, B603)</f>
        <v>0.47058823529411764</v>
      </c>
    </row>
    <row r="604" spans="1:36" x14ac:dyDescent="0.25">
      <c r="A604" s="85">
        <v>46106</v>
      </c>
      <c r="B604" t="s">
        <v>107</v>
      </c>
      <c r="C604">
        <v>20</v>
      </c>
      <c r="D604">
        <v>0</v>
      </c>
      <c r="E604">
        <v>5</v>
      </c>
      <c r="F604">
        <v>2</v>
      </c>
      <c r="G604">
        <v>21</v>
      </c>
      <c r="H604">
        <v>12</v>
      </c>
      <c r="I604">
        <v>0.4</v>
      </c>
      <c r="J604">
        <v>0.56999999999999995</v>
      </c>
      <c r="K604">
        <v>0</v>
      </c>
      <c r="L604">
        <v>0</v>
      </c>
      <c r="M604">
        <v>1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 s="86">
        <f>AVERAGEIFS($C$2:C604, $B$2:B604, B604)</f>
        <v>15.454545454545455</v>
      </c>
      <c r="AH604" s="86">
        <f>AVERAGEIFS($I$2:I604, $B$2:B604, B604)</f>
        <v>0.57954545454545447</v>
      </c>
      <c r="AI604" s="86">
        <f>AVERAGEIFS($J$2:J604, $B$2:B604, B604)</f>
        <v>0.55409090909090919</v>
      </c>
      <c r="AJ604" s="86">
        <f>AVERAGEIFS($D$2:D604, $B$2:B604, B604)</f>
        <v>0.63636363636363635</v>
      </c>
    </row>
    <row r="605" spans="1:36" x14ac:dyDescent="0.25">
      <c r="A605" s="85">
        <v>46106</v>
      </c>
      <c r="B605" t="s">
        <v>141</v>
      </c>
      <c r="C605">
        <v>14</v>
      </c>
      <c r="D605">
        <v>0</v>
      </c>
      <c r="E605">
        <v>5</v>
      </c>
      <c r="F605">
        <v>2</v>
      </c>
      <c r="G605">
        <v>21</v>
      </c>
      <c r="H605">
        <v>12</v>
      </c>
      <c r="I605">
        <v>0.4</v>
      </c>
      <c r="J605">
        <v>0.56999999999999995</v>
      </c>
      <c r="K605">
        <v>0</v>
      </c>
      <c r="L605">
        <v>0</v>
      </c>
      <c r="M605">
        <v>1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 s="86">
        <f>AVERAGEIFS($C$2:C605, $B$2:B605, B605)</f>
        <v>14.666666666666666</v>
      </c>
      <c r="AH605" s="86">
        <f>AVERAGEIFS($I$2:I605, $B$2:B605, B605)</f>
        <v>0.43333333333333335</v>
      </c>
      <c r="AI605" s="86">
        <f>AVERAGEIFS($J$2:J605, $B$2:B605, B605)</f>
        <v>0.49</v>
      </c>
      <c r="AJ605" s="86">
        <f>AVERAGEIFS($D$2:D605, $B$2:B605, B605)</f>
        <v>0.5</v>
      </c>
    </row>
    <row r="606" spans="1:36" x14ac:dyDescent="0.25">
      <c r="A606" s="85">
        <v>46106</v>
      </c>
      <c r="B606" t="s">
        <v>151</v>
      </c>
      <c r="C606">
        <v>13</v>
      </c>
      <c r="D606">
        <v>0</v>
      </c>
      <c r="E606">
        <v>5</v>
      </c>
      <c r="F606">
        <v>2</v>
      </c>
      <c r="G606">
        <v>21</v>
      </c>
      <c r="H606">
        <v>12</v>
      </c>
      <c r="I606">
        <v>0.4</v>
      </c>
      <c r="J606">
        <v>0.56999999999999995</v>
      </c>
      <c r="K606">
        <v>0</v>
      </c>
      <c r="L606">
        <v>0</v>
      </c>
      <c r="M606">
        <v>1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 s="86">
        <f>AVERAGEIFS($C$2:C606, $B$2:B606, B606)</f>
        <v>12</v>
      </c>
      <c r="AH606" s="86">
        <f>AVERAGEIFS($I$2:I606, $B$2:B606, B606)</f>
        <v>0.44999999999999996</v>
      </c>
      <c r="AI606" s="86">
        <f>AVERAGEIFS($J$2:J606, $B$2:B606, B606)</f>
        <v>0.495</v>
      </c>
      <c r="AJ606" s="86">
        <f>AVERAGEIFS($D$2:D606, $B$2:B606, B606)</f>
        <v>0.25</v>
      </c>
    </row>
    <row r="607" spans="1:36" x14ac:dyDescent="0.25">
      <c r="A607" s="85">
        <v>46107</v>
      </c>
      <c r="B607" t="s">
        <v>52</v>
      </c>
      <c r="C607">
        <v>31</v>
      </c>
      <c r="D607">
        <v>1</v>
      </c>
      <c r="E607">
        <v>5</v>
      </c>
      <c r="F607">
        <v>3</v>
      </c>
      <c r="G607">
        <v>21</v>
      </c>
      <c r="H607">
        <v>12</v>
      </c>
      <c r="I607">
        <v>0.6</v>
      </c>
      <c r="J607">
        <v>0.56999999999999995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1</v>
      </c>
      <c r="X607">
        <v>0</v>
      </c>
      <c r="Y607">
        <v>0</v>
      </c>
      <c r="Z607">
        <v>1</v>
      </c>
      <c r="AA607">
        <v>0</v>
      </c>
      <c r="AB607">
        <v>1</v>
      </c>
      <c r="AC607">
        <v>0</v>
      </c>
      <c r="AD607">
        <v>0</v>
      </c>
      <c r="AE607">
        <v>0</v>
      </c>
      <c r="AF607">
        <v>0</v>
      </c>
      <c r="AG607" s="86">
        <f>AVERAGEIFS($C$2:C607, $B$2:B607, B607)</f>
        <v>16.25</v>
      </c>
      <c r="AH607" s="86">
        <f>AVERAGEIFS($I$2:I607, $B$2:B607, B607)</f>
        <v>0.45</v>
      </c>
      <c r="AI607" s="86">
        <f>AVERAGEIFS($J$2:J607, $B$2:B607, B607)</f>
        <v>0.45833333333333343</v>
      </c>
      <c r="AJ607" s="86">
        <f>AVERAGEIFS($D$2:D607, $B$2:B607, B607)</f>
        <v>0.33333333333333331</v>
      </c>
    </row>
    <row r="608" spans="1:36" x14ac:dyDescent="0.25">
      <c r="A608" s="85">
        <v>46107</v>
      </c>
      <c r="B608" t="s">
        <v>107</v>
      </c>
      <c r="C608">
        <v>29</v>
      </c>
      <c r="D608">
        <v>1</v>
      </c>
      <c r="E608">
        <v>5</v>
      </c>
      <c r="F608">
        <v>3</v>
      </c>
      <c r="G608">
        <v>21</v>
      </c>
      <c r="H608">
        <v>12</v>
      </c>
      <c r="I608">
        <v>0.6</v>
      </c>
      <c r="J608">
        <v>0.56999999999999995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1</v>
      </c>
      <c r="X608">
        <v>0</v>
      </c>
      <c r="Y608">
        <v>0</v>
      </c>
      <c r="Z608">
        <v>1</v>
      </c>
      <c r="AA608">
        <v>0</v>
      </c>
      <c r="AB608">
        <v>1</v>
      </c>
      <c r="AC608">
        <v>0</v>
      </c>
      <c r="AD608">
        <v>0</v>
      </c>
      <c r="AE608">
        <v>0</v>
      </c>
      <c r="AF608">
        <v>0</v>
      </c>
      <c r="AG608" s="86">
        <f>AVERAGEIFS($C$2:C608, $B$2:B608, B608)</f>
        <v>16.043478260869566</v>
      </c>
      <c r="AH608" s="86">
        <f>AVERAGEIFS($I$2:I608, $B$2:B608, B608)</f>
        <v>0.58043478260869552</v>
      </c>
      <c r="AI608" s="86">
        <f>AVERAGEIFS($J$2:J608, $B$2:B608, B608)</f>
        <v>0.55478260869565232</v>
      </c>
      <c r="AJ608" s="86">
        <f>AVERAGEIFS($D$2:D608, $B$2:B608, B608)</f>
        <v>0.65217391304347827</v>
      </c>
    </row>
    <row r="609" spans="1:36" x14ac:dyDescent="0.25">
      <c r="A609" s="85">
        <v>46107</v>
      </c>
      <c r="B609" t="s">
        <v>6</v>
      </c>
      <c r="C609">
        <v>27</v>
      </c>
      <c r="D609">
        <v>1</v>
      </c>
      <c r="E609">
        <v>5</v>
      </c>
      <c r="F609">
        <v>3</v>
      </c>
      <c r="G609">
        <v>21</v>
      </c>
      <c r="H609">
        <v>12</v>
      </c>
      <c r="I609">
        <v>0.6</v>
      </c>
      <c r="J609">
        <v>0.56999999999999995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1</v>
      </c>
      <c r="X609">
        <v>0</v>
      </c>
      <c r="Y609">
        <v>0</v>
      </c>
      <c r="Z609">
        <v>1</v>
      </c>
      <c r="AA609">
        <v>0</v>
      </c>
      <c r="AB609">
        <v>1</v>
      </c>
      <c r="AC609">
        <v>0</v>
      </c>
      <c r="AD609">
        <v>0</v>
      </c>
      <c r="AE609">
        <v>0</v>
      </c>
      <c r="AF609">
        <v>0</v>
      </c>
      <c r="AG609" s="86">
        <f>AVERAGEIFS($C$2:C609, $B$2:B609, B609)</f>
        <v>22.35</v>
      </c>
      <c r="AH609" s="86">
        <f>AVERAGEIFS($I$2:I609, $B$2:B609, B609)</f>
        <v>0.58950000000000002</v>
      </c>
      <c r="AI609" s="86">
        <f>AVERAGEIFS($J$2:J609, $B$2:B609, B609)</f>
        <v>0.55599999999999994</v>
      </c>
      <c r="AJ609" s="86">
        <f>AVERAGEIFS($D$2:D609, $B$2:B609, B609)</f>
        <v>0.67500000000000004</v>
      </c>
    </row>
    <row r="610" spans="1:36" x14ac:dyDescent="0.25">
      <c r="A610" s="85">
        <v>46107</v>
      </c>
      <c r="B610" t="s">
        <v>151</v>
      </c>
      <c r="C610">
        <v>15</v>
      </c>
      <c r="D610">
        <v>1</v>
      </c>
      <c r="E610">
        <v>5</v>
      </c>
      <c r="F610">
        <v>3</v>
      </c>
      <c r="G610">
        <v>21</v>
      </c>
      <c r="H610">
        <v>12</v>
      </c>
      <c r="I610">
        <v>0.6</v>
      </c>
      <c r="J610">
        <v>0.56999999999999995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1</v>
      </c>
      <c r="X610">
        <v>0</v>
      </c>
      <c r="Y610">
        <v>0</v>
      </c>
      <c r="Z610">
        <v>1</v>
      </c>
      <c r="AA610">
        <v>0</v>
      </c>
      <c r="AB610">
        <v>1</v>
      </c>
      <c r="AC610">
        <v>0</v>
      </c>
      <c r="AD610">
        <v>0</v>
      </c>
      <c r="AE610">
        <v>0</v>
      </c>
      <c r="AF610">
        <v>0</v>
      </c>
      <c r="AG610" s="86">
        <f>AVERAGEIFS($C$2:C610, $B$2:B610, B610)</f>
        <v>12.6</v>
      </c>
      <c r="AH610" s="86">
        <f>AVERAGEIFS($I$2:I610, $B$2:B610, B610)</f>
        <v>0.48</v>
      </c>
      <c r="AI610" s="86">
        <f>AVERAGEIFS($J$2:J610, $B$2:B610, B610)</f>
        <v>0.51</v>
      </c>
      <c r="AJ610" s="86">
        <f>AVERAGEIFS($D$2:D610, $B$2:B610, B610)</f>
        <v>0.4</v>
      </c>
    </row>
    <row r="611" spans="1:36" x14ac:dyDescent="0.25">
      <c r="A611" s="85">
        <v>46107</v>
      </c>
      <c r="B611" t="s">
        <v>71</v>
      </c>
      <c r="C611">
        <v>13</v>
      </c>
      <c r="D611">
        <v>1</v>
      </c>
      <c r="E611">
        <v>5</v>
      </c>
      <c r="F611">
        <v>3</v>
      </c>
      <c r="G611">
        <v>21</v>
      </c>
      <c r="H611">
        <v>12</v>
      </c>
      <c r="I611">
        <v>0.6</v>
      </c>
      <c r="J611">
        <v>0.56999999999999995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1</v>
      </c>
      <c r="X611">
        <v>0</v>
      </c>
      <c r="Y611">
        <v>0</v>
      </c>
      <c r="Z611">
        <v>1</v>
      </c>
      <c r="AA611">
        <v>0</v>
      </c>
      <c r="AB611">
        <v>1</v>
      </c>
      <c r="AC611">
        <v>0</v>
      </c>
      <c r="AD611">
        <v>0</v>
      </c>
      <c r="AE611">
        <v>0</v>
      </c>
      <c r="AF611">
        <v>0</v>
      </c>
      <c r="AG611" s="86">
        <f>AVERAGEIFS($C$2:C611, $B$2:B611, B611)</f>
        <v>12.866666666666667</v>
      </c>
      <c r="AH611" s="86">
        <f>AVERAGEIFS($I$2:I611, $B$2:B611, B611)</f>
        <v>0.53999999999999992</v>
      </c>
      <c r="AI611" s="86">
        <f>AVERAGEIFS($J$2:J611, $B$2:B611, B611)</f>
        <v>0.51200000000000001</v>
      </c>
      <c r="AJ611" s="86">
        <f>AVERAGEIFS($D$2:D611, $B$2:B611, B611)</f>
        <v>0.66666666666666663</v>
      </c>
    </row>
    <row r="612" spans="1:36" x14ac:dyDescent="0.25">
      <c r="A612" s="85">
        <v>46107</v>
      </c>
      <c r="B612" t="s">
        <v>154</v>
      </c>
      <c r="C612">
        <v>8</v>
      </c>
      <c r="D612">
        <v>1</v>
      </c>
      <c r="E612">
        <v>5</v>
      </c>
      <c r="F612">
        <v>3</v>
      </c>
      <c r="G612">
        <v>21</v>
      </c>
      <c r="H612">
        <v>12</v>
      </c>
      <c r="I612">
        <v>0.6</v>
      </c>
      <c r="J612">
        <v>0.56999999999999995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1</v>
      </c>
      <c r="X612">
        <v>0</v>
      </c>
      <c r="Y612">
        <v>0</v>
      </c>
      <c r="Z612">
        <v>1</v>
      </c>
      <c r="AA612">
        <v>0</v>
      </c>
      <c r="AB612">
        <v>1</v>
      </c>
      <c r="AC612">
        <v>0</v>
      </c>
      <c r="AD612">
        <v>0</v>
      </c>
      <c r="AE612">
        <v>0</v>
      </c>
      <c r="AF612">
        <v>0</v>
      </c>
      <c r="AG612" s="86">
        <f>AVERAGEIFS($C$2:C612, $B$2:B612, B612)</f>
        <v>8</v>
      </c>
      <c r="AH612" s="86">
        <f>AVERAGEIFS($I$2:I612, $B$2:B612, B612)</f>
        <v>0.6</v>
      </c>
      <c r="AI612" s="86">
        <f>AVERAGEIFS($J$2:J612, $B$2:B612, B612)</f>
        <v>0.56999999999999995</v>
      </c>
      <c r="AJ612" s="86">
        <f>AVERAGEIFS($D$2:D612, $B$2:B612, B612)</f>
        <v>1</v>
      </c>
    </row>
    <row r="613" spans="1:36" x14ac:dyDescent="0.25">
      <c r="A613" s="85">
        <v>46107</v>
      </c>
      <c r="B613" t="s">
        <v>1</v>
      </c>
      <c r="C613">
        <v>46</v>
      </c>
      <c r="D613">
        <v>0</v>
      </c>
      <c r="E613">
        <v>5</v>
      </c>
      <c r="F613">
        <v>2</v>
      </c>
      <c r="G613">
        <v>21</v>
      </c>
      <c r="H613">
        <v>9</v>
      </c>
      <c r="I613">
        <v>0.4</v>
      </c>
      <c r="J613">
        <v>0.43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1</v>
      </c>
      <c r="AE613">
        <v>0</v>
      </c>
      <c r="AF613">
        <v>1</v>
      </c>
      <c r="AG613" s="86">
        <f>AVERAGEIFS($C$2:C613, $B$2:B613, B613)</f>
        <v>27.157894736842106</v>
      </c>
      <c r="AH613" s="86">
        <f>AVERAGEIFS($I$2:I613, $B$2:B613, B613)</f>
        <v>0.41315789473684211</v>
      </c>
      <c r="AI613" s="86">
        <f>AVERAGEIFS($J$2:J613, $B$2:B613, B613)</f>
        <v>0.44368421052631579</v>
      </c>
      <c r="AJ613" s="86">
        <f>AVERAGEIFS($D$2:D613, $B$2:B613, B613)</f>
        <v>0.42105263157894735</v>
      </c>
    </row>
    <row r="614" spans="1:36" x14ac:dyDescent="0.25">
      <c r="A614" s="85">
        <v>46107</v>
      </c>
      <c r="B614" t="s">
        <v>13</v>
      </c>
      <c r="C614">
        <v>19</v>
      </c>
      <c r="D614">
        <v>0</v>
      </c>
      <c r="E614">
        <v>5</v>
      </c>
      <c r="F614">
        <v>2</v>
      </c>
      <c r="G614">
        <v>21</v>
      </c>
      <c r="H614">
        <v>9</v>
      </c>
      <c r="I614">
        <v>0.4</v>
      </c>
      <c r="J614">
        <v>0.43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1</v>
      </c>
      <c r="AE614">
        <v>0</v>
      </c>
      <c r="AF614">
        <v>1</v>
      </c>
      <c r="AG614" s="86">
        <f>AVERAGEIFS($C$2:C614, $B$2:B614, B614)</f>
        <v>11.875</v>
      </c>
      <c r="AH614" s="86">
        <f>AVERAGEIFS($I$2:I614, $B$2:B614, B614)</f>
        <v>0.52500000000000002</v>
      </c>
      <c r="AI614" s="86">
        <f>AVERAGEIFS($J$2:J614, $B$2:B614, B614)</f>
        <v>0.50249999999999995</v>
      </c>
      <c r="AJ614" s="86">
        <f>AVERAGEIFS($D$2:D614, $B$2:B614, B614)</f>
        <v>0.375</v>
      </c>
    </row>
    <row r="615" spans="1:36" x14ac:dyDescent="0.25">
      <c r="A615" s="85">
        <v>46107</v>
      </c>
      <c r="B615" t="s">
        <v>50</v>
      </c>
      <c r="C615">
        <v>16</v>
      </c>
      <c r="D615">
        <v>0</v>
      </c>
      <c r="E615">
        <v>5</v>
      </c>
      <c r="F615">
        <v>2</v>
      </c>
      <c r="G615">
        <v>21</v>
      </c>
      <c r="H615">
        <v>9</v>
      </c>
      <c r="I615">
        <v>0.4</v>
      </c>
      <c r="J615">
        <v>0.43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1</v>
      </c>
      <c r="AE615">
        <v>0</v>
      </c>
      <c r="AF615">
        <v>1</v>
      </c>
      <c r="AG615" s="86">
        <f>AVERAGEIFS($C$2:C615, $B$2:B615, B615)</f>
        <v>18.448275862068964</v>
      </c>
      <c r="AH615" s="86">
        <f>AVERAGEIFS($I$2:I615, $B$2:B615, B615)</f>
        <v>0.53034482758620693</v>
      </c>
      <c r="AI615" s="86">
        <f>AVERAGEIFS($J$2:J615, $B$2:B615, B615)</f>
        <v>0.53241379310344816</v>
      </c>
      <c r="AJ615" s="86">
        <f>AVERAGEIFS($D$2:D615, $B$2:B615, B615)</f>
        <v>0.51724137931034486</v>
      </c>
    </row>
    <row r="616" spans="1:36" x14ac:dyDescent="0.25">
      <c r="A616" s="85">
        <v>46107</v>
      </c>
      <c r="B616" t="s">
        <v>141</v>
      </c>
      <c r="C616">
        <v>14</v>
      </c>
      <c r="D616">
        <v>0</v>
      </c>
      <c r="E616">
        <v>5</v>
      </c>
      <c r="F616">
        <v>2</v>
      </c>
      <c r="G616">
        <v>21</v>
      </c>
      <c r="H616">
        <v>9</v>
      </c>
      <c r="I616">
        <v>0.4</v>
      </c>
      <c r="J616">
        <v>0.43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1</v>
      </c>
      <c r="AE616">
        <v>0</v>
      </c>
      <c r="AF616">
        <v>1</v>
      </c>
      <c r="AG616" s="86">
        <f>AVERAGEIFS($C$2:C616, $B$2:B616, B616)</f>
        <v>14.571428571428571</v>
      </c>
      <c r="AH616" s="86">
        <f>AVERAGEIFS($I$2:I616, $B$2:B616, B616)</f>
        <v>0.42857142857142855</v>
      </c>
      <c r="AI616" s="86">
        <f>AVERAGEIFS($J$2:J616, $B$2:B616, B616)</f>
        <v>0.48142857142857143</v>
      </c>
      <c r="AJ616" s="86">
        <f>AVERAGEIFS($D$2:D616, $B$2:B616, B616)</f>
        <v>0.42857142857142855</v>
      </c>
    </row>
    <row r="617" spans="1:36" x14ac:dyDescent="0.25">
      <c r="A617" s="85">
        <v>46107</v>
      </c>
      <c r="B617" t="s">
        <v>40</v>
      </c>
      <c r="C617">
        <v>12</v>
      </c>
      <c r="D617">
        <v>0</v>
      </c>
      <c r="E617">
        <v>5</v>
      </c>
      <c r="F617">
        <v>2</v>
      </c>
      <c r="G617">
        <v>21</v>
      </c>
      <c r="H617">
        <v>9</v>
      </c>
      <c r="I617">
        <v>0.4</v>
      </c>
      <c r="J617">
        <v>0.43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1</v>
      </c>
      <c r="AE617">
        <v>0</v>
      </c>
      <c r="AF617">
        <v>1</v>
      </c>
      <c r="AG617" s="86">
        <f>AVERAGEIFS($C$2:C617, $B$2:B617, B617)</f>
        <v>17.46153846153846</v>
      </c>
      <c r="AH617" s="86">
        <f>AVERAGEIFS($I$2:I617, $B$2:B617, B617)</f>
        <v>0.50256410256410244</v>
      </c>
      <c r="AI617" s="86">
        <f>AVERAGEIFS($J$2:J617, $B$2:B617, B617)</f>
        <v>0.49641025641025649</v>
      </c>
      <c r="AJ617" s="86">
        <f>AVERAGEIFS($D$2:D617, $B$2:B617, B617)</f>
        <v>0.4358974358974359</v>
      </c>
    </row>
    <row r="618" spans="1:36" x14ac:dyDescent="0.25">
      <c r="A618" s="85">
        <v>46107</v>
      </c>
      <c r="B618" t="s">
        <v>35</v>
      </c>
      <c r="C618">
        <v>5</v>
      </c>
      <c r="D618">
        <v>0</v>
      </c>
      <c r="E618">
        <v>5</v>
      </c>
      <c r="F618">
        <v>2</v>
      </c>
      <c r="G618">
        <v>21</v>
      </c>
      <c r="H618">
        <v>9</v>
      </c>
      <c r="I618">
        <v>0.4</v>
      </c>
      <c r="J618">
        <v>0.43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1</v>
      </c>
      <c r="AE618">
        <v>0</v>
      </c>
      <c r="AF618">
        <v>1</v>
      </c>
      <c r="AG618" s="86">
        <f>AVERAGEIFS($C$2:C618, $B$2:B618, B618)</f>
        <v>10.515151515151516</v>
      </c>
      <c r="AH618" s="86">
        <f>AVERAGEIFS($I$2:I618, $B$2:B618, B618)</f>
        <v>0.4615151515151516</v>
      </c>
      <c r="AI618" s="86">
        <f>AVERAGEIFS($J$2:J618, $B$2:B618, B618)</f>
        <v>0.48848484848484852</v>
      </c>
      <c r="AJ618" s="86">
        <f>AVERAGEIFS($D$2:D618, $B$2:B618, B618)</f>
        <v>0.42424242424242425</v>
      </c>
    </row>
    <row r="619" spans="1:36" x14ac:dyDescent="0.25">
      <c r="A619" s="85">
        <v>46107</v>
      </c>
      <c r="B619" t="s">
        <v>1</v>
      </c>
      <c r="C619">
        <v>20</v>
      </c>
      <c r="D619">
        <v>1</v>
      </c>
      <c r="E619">
        <v>3</v>
      </c>
      <c r="F619">
        <v>3</v>
      </c>
      <c r="G619">
        <v>10</v>
      </c>
      <c r="H619">
        <v>9</v>
      </c>
      <c r="I619">
        <v>1</v>
      </c>
      <c r="J619">
        <v>0.9</v>
      </c>
      <c r="K619">
        <v>1</v>
      </c>
      <c r="L619">
        <v>0</v>
      </c>
      <c r="M619">
        <v>1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1</v>
      </c>
      <c r="AC619">
        <v>0</v>
      </c>
      <c r="AD619">
        <v>0</v>
      </c>
      <c r="AE619">
        <v>0</v>
      </c>
      <c r="AF619">
        <v>0</v>
      </c>
      <c r="AG619" s="86">
        <f>AVERAGEIFS($C$2:C619, $B$2:B619, B619)</f>
        <v>26.8</v>
      </c>
      <c r="AH619" s="86">
        <f>AVERAGEIFS($I$2:I619, $B$2:B619, B619)</f>
        <v>0.44250000000000006</v>
      </c>
      <c r="AI619" s="86">
        <f>AVERAGEIFS($J$2:J619, $B$2:B619, B619)</f>
        <v>0.46650000000000003</v>
      </c>
      <c r="AJ619" s="86">
        <f>AVERAGEIFS($D$2:D619, $B$2:B619, B619)</f>
        <v>0.45</v>
      </c>
    </row>
    <row r="620" spans="1:36" x14ac:dyDescent="0.25">
      <c r="A620" s="85">
        <v>46107</v>
      </c>
      <c r="B620" t="s">
        <v>50</v>
      </c>
      <c r="C620">
        <v>19</v>
      </c>
      <c r="D620">
        <v>1</v>
      </c>
      <c r="E620">
        <v>3</v>
      </c>
      <c r="F620">
        <v>3</v>
      </c>
      <c r="G620">
        <v>10</v>
      </c>
      <c r="H620">
        <v>9</v>
      </c>
      <c r="I620">
        <v>1</v>
      </c>
      <c r="J620">
        <v>0.9</v>
      </c>
      <c r="K620">
        <v>1</v>
      </c>
      <c r="L620">
        <v>0</v>
      </c>
      <c r="M620">
        <v>1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1</v>
      </c>
      <c r="AC620">
        <v>0</v>
      </c>
      <c r="AD620">
        <v>0</v>
      </c>
      <c r="AE620">
        <v>0</v>
      </c>
      <c r="AF620">
        <v>0</v>
      </c>
      <c r="AG620" s="86">
        <f>AVERAGEIFS($C$2:C620, $B$2:B620, B620)</f>
        <v>18.466666666666665</v>
      </c>
      <c r="AH620" s="86">
        <f>AVERAGEIFS($I$2:I620, $B$2:B620, B620)</f>
        <v>0.54600000000000004</v>
      </c>
      <c r="AI620" s="86">
        <f>AVERAGEIFS($J$2:J620, $B$2:B620, B620)</f>
        <v>0.54466666666666652</v>
      </c>
      <c r="AJ620" s="86">
        <f>AVERAGEIFS($D$2:D620, $B$2:B620, B620)</f>
        <v>0.53333333333333333</v>
      </c>
    </row>
    <row r="621" spans="1:36" x14ac:dyDescent="0.25">
      <c r="A621" s="85">
        <v>46107</v>
      </c>
      <c r="B621" t="s">
        <v>52</v>
      </c>
      <c r="C621">
        <v>13</v>
      </c>
      <c r="D621">
        <v>1</v>
      </c>
      <c r="E621">
        <v>3</v>
      </c>
      <c r="F621">
        <v>3</v>
      </c>
      <c r="G621">
        <v>10</v>
      </c>
      <c r="H621">
        <v>9</v>
      </c>
      <c r="I621">
        <v>1</v>
      </c>
      <c r="J621">
        <v>0.9</v>
      </c>
      <c r="K621">
        <v>1</v>
      </c>
      <c r="L621">
        <v>0</v>
      </c>
      <c r="M621">
        <v>1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1</v>
      </c>
      <c r="AC621">
        <v>0</v>
      </c>
      <c r="AD621">
        <v>0</v>
      </c>
      <c r="AE621">
        <v>0</v>
      </c>
      <c r="AF621">
        <v>0</v>
      </c>
      <c r="AG621" s="86">
        <f>AVERAGEIFS($C$2:C621, $B$2:B621, B621)</f>
        <v>16</v>
      </c>
      <c r="AH621" s="86">
        <f>AVERAGEIFS($I$2:I621, $B$2:B621, B621)</f>
        <v>0.49230769230769234</v>
      </c>
      <c r="AI621" s="86">
        <f>AVERAGEIFS($J$2:J621, $B$2:B621, B621)</f>
        <v>0.49230769230769239</v>
      </c>
      <c r="AJ621" s="86">
        <f>AVERAGEIFS($D$2:D621, $B$2:B621, B621)</f>
        <v>0.38461538461538464</v>
      </c>
    </row>
    <row r="622" spans="1:36" x14ac:dyDescent="0.25">
      <c r="A622" s="85">
        <v>46107</v>
      </c>
      <c r="B622" t="s">
        <v>113</v>
      </c>
      <c r="C622">
        <v>15</v>
      </c>
      <c r="D622">
        <v>1</v>
      </c>
      <c r="E622">
        <v>3</v>
      </c>
      <c r="F622">
        <v>3</v>
      </c>
      <c r="G622">
        <v>10</v>
      </c>
      <c r="H622">
        <v>9</v>
      </c>
      <c r="I622">
        <v>1</v>
      </c>
      <c r="J622">
        <v>0.9</v>
      </c>
      <c r="K622">
        <v>1</v>
      </c>
      <c r="L622">
        <v>0</v>
      </c>
      <c r="M622">
        <v>1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1</v>
      </c>
      <c r="AC622">
        <v>0</v>
      </c>
      <c r="AD622">
        <v>0</v>
      </c>
      <c r="AE622">
        <v>0</v>
      </c>
      <c r="AF622">
        <v>0</v>
      </c>
      <c r="AG622" s="86">
        <f>AVERAGEIFS($C$2:C622, $B$2:B622, B622)</f>
        <v>16.277777777777779</v>
      </c>
      <c r="AH622" s="86">
        <f>AVERAGEIFS($I$2:I622, $B$2:B622, B622)</f>
        <v>0.53888888888888897</v>
      </c>
      <c r="AI622" s="86">
        <f>AVERAGEIFS($J$2:J622, $B$2:B622, B622)</f>
        <v>0.51111111111111118</v>
      </c>
      <c r="AJ622" s="86">
        <f>AVERAGEIFS($D$2:D622, $B$2:B622, B622)</f>
        <v>0.5</v>
      </c>
    </row>
    <row r="623" spans="1:36" x14ac:dyDescent="0.25">
      <c r="A623" s="85">
        <v>46107</v>
      </c>
      <c r="B623" t="s">
        <v>13</v>
      </c>
      <c r="C623">
        <v>11</v>
      </c>
      <c r="D623">
        <v>1</v>
      </c>
      <c r="E623">
        <v>3</v>
      </c>
      <c r="F623">
        <v>3</v>
      </c>
      <c r="G623">
        <v>10</v>
      </c>
      <c r="H623">
        <v>9</v>
      </c>
      <c r="I623">
        <v>1</v>
      </c>
      <c r="J623">
        <v>0.9</v>
      </c>
      <c r="K623">
        <v>1</v>
      </c>
      <c r="L623">
        <v>0</v>
      </c>
      <c r="M623">
        <v>1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1</v>
      </c>
      <c r="AC623">
        <v>0</v>
      </c>
      <c r="AD623">
        <v>0</v>
      </c>
      <c r="AE623">
        <v>0</v>
      </c>
      <c r="AF623">
        <v>0</v>
      </c>
      <c r="AG623" s="86">
        <f>AVERAGEIFS($C$2:C623, $B$2:B623, B623)</f>
        <v>11.777777777777779</v>
      </c>
      <c r="AH623" s="86">
        <f>AVERAGEIFS($I$2:I623, $B$2:B623, B623)</f>
        <v>0.57777777777777783</v>
      </c>
      <c r="AI623" s="86">
        <f>AVERAGEIFS($J$2:J623, $B$2:B623, B623)</f>
        <v>0.54666666666666663</v>
      </c>
      <c r="AJ623" s="86">
        <f>AVERAGEIFS($D$2:D623, $B$2:B623, B623)</f>
        <v>0.44444444444444442</v>
      </c>
    </row>
    <row r="624" spans="1:36" x14ac:dyDescent="0.25">
      <c r="A624" s="85">
        <v>46107</v>
      </c>
      <c r="B624" t="s">
        <v>142</v>
      </c>
      <c r="C624">
        <v>16</v>
      </c>
      <c r="D624">
        <v>1</v>
      </c>
      <c r="E624">
        <v>3</v>
      </c>
      <c r="F624">
        <v>3</v>
      </c>
      <c r="G624">
        <v>10</v>
      </c>
      <c r="H624">
        <v>9</v>
      </c>
      <c r="I624">
        <v>1</v>
      </c>
      <c r="J624">
        <v>0.9</v>
      </c>
      <c r="K624">
        <v>1</v>
      </c>
      <c r="L624">
        <v>0</v>
      </c>
      <c r="M624">
        <v>1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1</v>
      </c>
      <c r="AC624">
        <v>0</v>
      </c>
      <c r="AD624">
        <v>0</v>
      </c>
      <c r="AE624">
        <v>0</v>
      </c>
      <c r="AF624">
        <v>0</v>
      </c>
      <c r="AG624" s="86">
        <f>AVERAGEIFS($C$2:C624, $B$2:B624, B624)</f>
        <v>11.333333333333334</v>
      </c>
      <c r="AH624" s="86">
        <f>AVERAGEIFS($I$2:I624, $B$2:B624, B624)</f>
        <v>0.78333333333333333</v>
      </c>
      <c r="AI624" s="86">
        <f>AVERAGEIFS($J$2:J624, $B$2:B624, B624)</f>
        <v>0.69333333333333336</v>
      </c>
      <c r="AJ624" s="86">
        <f>AVERAGEIFS($D$2:D624, $B$2:B624, B624)</f>
        <v>1</v>
      </c>
    </row>
    <row r="625" spans="1:36" x14ac:dyDescent="0.25">
      <c r="A625" s="85">
        <v>46107</v>
      </c>
      <c r="B625" t="s">
        <v>137</v>
      </c>
      <c r="C625">
        <v>11</v>
      </c>
      <c r="D625">
        <v>1</v>
      </c>
      <c r="E625">
        <v>3</v>
      </c>
      <c r="F625">
        <v>3</v>
      </c>
      <c r="G625">
        <v>10</v>
      </c>
      <c r="H625">
        <v>9</v>
      </c>
      <c r="I625">
        <v>1</v>
      </c>
      <c r="J625">
        <v>0.9</v>
      </c>
      <c r="K625">
        <v>1</v>
      </c>
      <c r="L625">
        <v>0</v>
      </c>
      <c r="M625">
        <v>1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1</v>
      </c>
      <c r="AC625">
        <v>0</v>
      </c>
      <c r="AD625">
        <v>0</v>
      </c>
      <c r="AE625">
        <v>0</v>
      </c>
      <c r="AF625">
        <v>0</v>
      </c>
      <c r="AG625" s="86">
        <f>AVERAGEIFS($C$2:C625, $B$2:B625, B625)</f>
        <v>6.4</v>
      </c>
      <c r="AH625" s="86">
        <f>AVERAGEIFS($I$2:I625, $B$2:B625, B625)</f>
        <v>0.53</v>
      </c>
      <c r="AI625" s="86">
        <f>AVERAGEIFS($J$2:J625, $B$2:B625, B625)</f>
        <v>0.52399999999999991</v>
      </c>
      <c r="AJ625" s="86">
        <f>AVERAGEIFS($D$2:D625, $B$2:B625, B625)</f>
        <v>0.4</v>
      </c>
    </row>
    <row r="626" spans="1:36" x14ac:dyDescent="0.25">
      <c r="A626" s="85">
        <v>46107</v>
      </c>
      <c r="B626" t="s">
        <v>6</v>
      </c>
      <c r="C626">
        <v>16</v>
      </c>
      <c r="D626">
        <v>0</v>
      </c>
      <c r="E626">
        <v>3</v>
      </c>
      <c r="F626">
        <v>0</v>
      </c>
      <c r="G626">
        <v>10</v>
      </c>
      <c r="H626">
        <v>1</v>
      </c>
      <c r="I626">
        <v>0</v>
      </c>
      <c r="J626">
        <v>0.1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 s="86">
        <f>AVERAGEIFS($C$2:C626, $B$2:B626, B626)</f>
        <v>22.195121951219512</v>
      </c>
      <c r="AH626" s="86">
        <f>AVERAGEIFS($I$2:I626, $B$2:B626, B626)</f>
        <v>0.57512195121951226</v>
      </c>
      <c r="AI626" s="86">
        <f>AVERAGEIFS($J$2:J626, $B$2:B626, B626)</f>
        <v>0.54487804878048784</v>
      </c>
      <c r="AJ626" s="86">
        <f>AVERAGEIFS($D$2:D626, $B$2:B626, B626)</f>
        <v>0.65853658536585369</v>
      </c>
    </row>
    <row r="627" spans="1:36" x14ac:dyDescent="0.25">
      <c r="A627" s="85">
        <v>46107</v>
      </c>
      <c r="B627" t="s">
        <v>71</v>
      </c>
      <c r="C627">
        <v>12</v>
      </c>
      <c r="D627">
        <v>0</v>
      </c>
      <c r="E627">
        <v>3</v>
      </c>
      <c r="F627">
        <v>0</v>
      </c>
      <c r="G627">
        <v>10</v>
      </c>
      <c r="H627">
        <v>1</v>
      </c>
      <c r="I627">
        <v>0</v>
      </c>
      <c r="J627">
        <v>0.1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 s="86">
        <f>AVERAGEIFS($C$2:C627, $B$2:B627, B627)</f>
        <v>12.8125</v>
      </c>
      <c r="AH627" s="86">
        <f>AVERAGEIFS($I$2:I627, $B$2:B627, B627)</f>
        <v>0.50624999999999998</v>
      </c>
      <c r="AI627" s="86">
        <f>AVERAGEIFS($J$2:J627, $B$2:B627, B627)</f>
        <v>0.48625000000000002</v>
      </c>
      <c r="AJ627" s="86">
        <f>AVERAGEIFS($D$2:D627, $B$2:B627, B627)</f>
        <v>0.625</v>
      </c>
    </row>
    <row r="628" spans="1:36" x14ac:dyDescent="0.25">
      <c r="A628" s="85">
        <v>46107</v>
      </c>
      <c r="B628" t="s">
        <v>107</v>
      </c>
      <c r="C628">
        <v>14</v>
      </c>
      <c r="D628">
        <v>0</v>
      </c>
      <c r="E628">
        <v>3</v>
      </c>
      <c r="F628">
        <v>0</v>
      </c>
      <c r="G628">
        <v>10</v>
      </c>
      <c r="H628">
        <v>1</v>
      </c>
      <c r="I628">
        <v>0</v>
      </c>
      <c r="J628">
        <v>0.1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 s="86">
        <f>AVERAGEIFS($C$2:C628, $B$2:B628, B628)</f>
        <v>15.958333333333334</v>
      </c>
      <c r="AH628" s="86">
        <f>AVERAGEIFS($I$2:I628, $B$2:B628, B628)</f>
        <v>0.55624999999999991</v>
      </c>
      <c r="AI628" s="86">
        <f>AVERAGEIFS($J$2:J628, $B$2:B628, B628)</f>
        <v>0.53583333333333349</v>
      </c>
      <c r="AJ628" s="86">
        <f>AVERAGEIFS($D$2:D628, $B$2:B628, B628)</f>
        <v>0.625</v>
      </c>
    </row>
    <row r="629" spans="1:36" x14ac:dyDescent="0.25">
      <c r="A629" s="85">
        <v>46107</v>
      </c>
      <c r="B629" t="s">
        <v>141</v>
      </c>
      <c r="C629">
        <v>6</v>
      </c>
      <c r="D629">
        <v>0</v>
      </c>
      <c r="E629">
        <v>3</v>
      </c>
      <c r="F629">
        <v>0</v>
      </c>
      <c r="G629">
        <v>10</v>
      </c>
      <c r="H629">
        <v>1</v>
      </c>
      <c r="I629">
        <v>0</v>
      </c>
      <c r="J629">
        <v>0.1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 s="86">
        <f>AVERAGEIFS($C$2:C629, $B$2:B629, B629)</f>
        <v>13.5</v>
      </c>
      <c r="AH629" s="86">
        <f>AVERAGEIFS($I$2:I629, $B$2:B629, B629)</f>
        <v>0.375</v>
      </c>
      <c r="AI629" s="86">
        <f>AVERAGEIFS($J$2:J629, $B$2:B629, B629)</f>
        <v>0.43375000000000002</v>
      </c>
      <c r="AJ629" s="86">
        <f>AVERAGEIFS($D$2:D629, $B$2:B629, B629)</f>
        <v>0.375</v>
      </c>
    </row>
    <row r="630" spans="1:36" x14ac:dyDescent="0.25">
      <c r="A630" s="85">
        <v>46107</v>
      </c>
      <c r="B630" t="s">
        <v>28</v>
      </c>
      <c r="C630">
        <v>7</v>
      </c>
      <c r="D630">
        <v>0</v>
      </c>
      <c r="E630">
        <v>3</v>
      </c>
      <c r="F630">
        <v>0</v>
      </c>
      <c r="G630">
        <v>10</v>
      </c>
      <c r="H630">
        <v>1</v>
      </c>
      <c r="I630">
        <v>0</v>
      </c>
      <c r="J630">
        <v>0.1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 s="86">
        <f>AVERAGEIFS($C$2:C630, $B$2:B630, B630)</f>
        <v>13.73076923076923</v>
      </c>
      <c r="AH630" s="86">
        <f>AVERAGEIFS($I$2:I630, $B$2:B630, B630)</f>
        <v>0.46653846153846151</v>
      </c>
      <c r="AI630" s="86">
        <f>AVERAGEIFS($J$2:J630, $B$2:B630, B630)</f>
        <v>0.48153846153846147</v>
      </c>
      <c r="AJ630" s="86">
        <f>AVERAGEIFS($D$2:D630, $B$2:B630, B630)</f>
        <v>0.42307692307692307</v>
      </c>
    </row>
    <row r="631" spans="1:36" x14ac:dyDescent="0.25">
      <c r="A631" s="85">
        <v>46107</v>
      </c>
      <c r="B631" t="s">
        <v>154</v>
      </c>
      <c r="C631">
        <v>11</v>
      </c>
      <c r="D631">
        <v>0</v>
      </c>
      <c r="E631">
        <v>3</v>
      </c>
      <c r="F631">
        <v>0</v>
      </c>
      <c r="G631">
        <v>10</v>
      </c>
      <c r="H631">
        <v>1</v>
      </c>
      <c r="I631">
        <v>0</v>
      </c>
      <c r="J631">
        <v>0.1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 s="86">
        <f>AVERAGEIFS($C$2:C631, $B$2:B631, B631)</f>
        <v>9.5</v>
      </c>
      <c r="AH631" s="86">
        <f>AVERAGEIFS($I$2:I631, $B$2:B631, B631)</f>
        <v>0.3</v>
      </c>
      <c r="AI631" s="86">
        <f>AVERAGEIFS($J$2:J631, $B$2:B631, B631)</f>
        <v>0.33499999999999996</v>
      </c>
      <c r="AJ631" s="86">
        <f>AVERAGEIFS($D$2:D631, $B$2:B631, B631)</f>
        <v>0.5</v>
      </c>
    </row>
    <row r="632" spans="1:36" x14ac:dyDescent="0.25">
      <c r="A632" s="85">
        <v>46107</v>
      </c>
      <c r="B632" t="s">
        <v>40</v>
      </c>
      <c r="C632">
        <v>16</v>
      </c>
      <c r="D632">
        <v>0</v>
      </c>
      <c r="E632">
        <v>3</v>
      </c>
      <c r="F632">
        <v>0</v>
      </c>
      <c r="G632">
        <v>10</v>
      </c>
      <c r="H632">
        <v>1</v>
      </c>
      <c r="I632">
        <v>0</v>
      </c>
      <c r="J632">
        <v>0.1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 s="86">
        <f>AVERAGEIFS($C$2:C632, $B$2:B632, B632)</f>
        <v>17.425000000000001</v>
      </c>
      <c r="AH632" s="86">
        <f>AVERAGEIFS($I$2:I632, $B$2:B632, B632)</f>
        <v>0.48999999999999988</v>
      </c>
      <c r="AI632" s="86">
        <f>AVERAGEIFS($J$2:J632, $B$2:B632, B632)</f>
        <v>0.4865000000000001</v>
      </c>
      <c r="AJ632" s="86">
        <f>AVERAGEIFS($D$2:D632, $B$2:B632, B632)</f>
        <v>0.42499999999999999</v>
      </c>
    </row>
    <row r="633" spans="1:36" x14ac:dyDescent="0.25">
      <c r="A633" s="85">
        <v>46107</v>
      </c>
      <c r="B633" t="s">
        <v>54</v>
      </c>
      <c r="C633">
        <v>9</v>
      </c>
      <c r="D633">
        <v>1</v>
      </c>
      <c r="E633">
        <v>3</v>
      </c>
      <c r="F633">
        <v>3</v>
      </c>
      <c r="G633">
        <v>11</v>
      </c>
      <c r="H633">
        <v>9</v>
      </c>
      <c r="I633">
        <v>1</v>
      </c>
      <c r="J633">
        <v>0.82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1</v>
      </c>
      <c r="Z633">
        <v>0</v>
      </c>
      <c r="AA633">
        <v>0</v>
      </c>
      <c r="AB633">
        <v>1</v>
      </c>
      <c r="AC633">
        <v>0</v>
      </c>
      <c r="AD633">
        <v>1</v>
      </c>
      <c r="AE633">
        <v>0</v>
      </c>
      <c r="AF633">
        <v>0</v>
      </c>
      <c r="AG633" s="86">
        <f>AVERAGEIFS($C$2:C633, $B$2:B633, B633)</f>
        <v>23.744186046511629</v>
      </c>
      <c r="AH633" s="86">
        <f>AVERAGEIFS($I$2:I633, $B$2:B633, B633)</f>
        <v>0.53767441860465126</v>
      </c>
      <c r="AI633" s="86">
        <f>AVERAGEIFS($J$2:J633, $B$2:B633, B633)</f>
        <v>0.51162790697674421</v>
      </c>
      <c r="AJ633" s="86">
        <f>AVERAGEIFS($D$2:D633, $B$2:B633, B633)</f>
        <v>0.55813953488372092</v>
      </c>
    </row>
    <row r="634" spans="1:36" x14ac:dyDescent="0.25">
      <c r="A634" s="85">
        <v>46107</v>
      </c>
      <c r="B634" t="s">
        <v>2</v>
      </c>
      <c r="C634">
        <v>30</v>
      </c>
      <c r="D634">
        <v>1</v>
      </c>
      <c r="E634">
        <v>3</v>
      </c>
      <c r="F634">
        <v>3</v>
      </c>
      <c r="G634">
        <v>11</v>
      </c>
      <c r="H634">
        <v>9</v>
      </c>
      <c r="I634">
        <v>1</v>
      </c>
      <c r="J634">
        <v>0.82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1</v>
      </c>
      <c r="Z634">
        <v>0</v>
      </c>
      <c r="AA634">
        <v>0</v>
      </c>
      <c r="AB634">
        <v>1</v>
      </c>
      <c r="AC634">
        <v>0</v>
      </c>
      <c r="AD634">
        <v>1</v>
      </c>
      <c r="AE634">
        <v>0</v>
      </c>
      <c r="AF634">
        <v>0</v>
      </c>
      <c r="AG634" s="86">
        <f>AVERAGEIFS($C$2:C634, $B$2:B634, B634)</f>
        <v>23.25925925925926</v>
      </c>
      <c r="AH634" s="86">
        <f>AVERAGEIFS($I$2:I634, $B$2:B634, B634)</f>
        <v>0.54925925925925922</v>
      </c>
      <c r="AI634" s="86">
        <f>AVERAGEIFS($J$2:J634, $B$2:B634, B634)</f>
        <v>0.55148148148148146</v>
      </c>
      <c r="AJ634" s="86">
        <f>AVERAGEIFS($D$2:D634, $B$2:B634, B634)</f>
        <v>0.55555555555555558</v>
      </c>
    </row>
    <row r="635" spans="1:36" x14ac:dyDescent="0.25">
      <c r="A635" s="85">
        <v>46107</v>
      </c>
      <c r="B635" t="s">
        <v>4</v>
      </c>
      <c r="C635">
        <v>19</v>
      </c>
      <c r="D635">
        <v>1</v>
      </c>
      <c r="E635">
        <v>3</v>
      </c>
      <c r="F635">
        <v>3</v>
      </c>
      <c r="G635">
        <v>11</v>
      </c>
      <c r="H635">
        <v>9</v>
      </c>
      <c r="I635">
        <v>1</v>
      </c>
      <c r="J635">
        <v>0.82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1</v>
      </c>
      <c r="Z635">
        <v>0</v>
      </c>
      <c r="AA635">
        <v>0</v>
      </c>
      <c r="AB635">
        <v>1</v>
      </c>
      <c r="AC635">
        <v>0</v>
      </c>
      <c r="AD635">
        <v>1</v>
      </c>
      <c r="AE635">
        <v>0</v>
      </c>
      <c r="AF635">
        <v>0</v>
      </c>
      <c r="AG635" s="86">
        <f>AVERAGEIFS($C$2:C635, $B$2:B635, B635)</f>
        <v>23.095238095238095</v>
      </c>
      <c r="AH635" s="86">
        <f>AVERAGEIFS($I$2:I635, $B$2:B635, B635)</f>
        <v>0.39285714285714285</v>
      </c>
      <c r="AI635" s="86">
        <f>AVERAGEIFS($J$2:J635, $B$2:B635, B635)</f>
        <v>0.43523809523809526</v>
      </c>
      <c r="AJ635" s="86">
        <f>AVERAGEIFS($D$2:D635, $B$2:B635, B635)</f>
        <v>0.23809523809523808</v>
      </c>
    </row>
    <row r="636" spans="1:36" x14ac:dyDescent="0.25">
      <c r="A636" s="85">
        <v>46107</v>
      </c>
      <c r="B636" t="s">
        <v>44</v>
      </c>
      <c r="C636">
        <v>14</v>
      </c>
      <c r="D636">
        <v>1</v>
      </c>
      <c r="E636">
        <v>3</v>
      </c>
      <c r="F636">
        <v>3</v>
      </c>
      <c r="G636">
        <v>11</v>
      </c>
      <c r="H636">
        <v>9</v>
      </c>
      <c r="I636">
        <v>1</v>
      </c>
      <c r="J636">
        <v>0.82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1</v>
      </c>
      <c r="Z636">
        <v>0</v>
      </c>
      <c r="AA636">
        <v>0</v>
      </c>
      <c r="AB636">
        <v>1</v>
      </c>
      <c r="AC636">
        <v>0</v>
      </c>
      <c r="AD636">
        <v>1</v>
      </c>
      <c r="AE636">
        <v>0</v>
      </c>
      <c r="AF636">
        <v>0</v>
      </c>
      <c r="AG636" s="86">
        <f>AVERAGEIFS($C$2:C636, $B$2:B636, B636)</f>
        <v>15.826086956521738</v>
      </c>
      <c r="AH636" s="86">
        <f>AVERAGEIFS($I$2:I636, $B$2:B636, B636)</f>
        <v>0.53478260869565208</v>
      </c>
      <c r="AI636" s="86">
        <f>AVERAGEIFS($J$2:J636, $B$2:B636, B636)</f>
        <v>0.53869565217391302</v>
      </c>
      <c r="AJ636" s="86">
        <f>AVERAGEIFS($D$2:D636, $B$2:B636, B636)</f>
        <v>0.65217391304347827</v>
      </c>
    </row>
    <row r="637" spans="1:36" x14ac:dyDescent="0.25">
      <c r="A637" s="85">
        <v>46107</v>
      </c>
      <c r="B637" t="s">
        <v>42</v>
      </c>
      <c r="C637">
        <v>24</v>
      </c>
      <c r="D637">
        <v>1</v>
      </c>
      <c r="E637">
        <v>3</v>
      </c>
      <c r="F637">
        <v>3</v>
      </c>
      <c r="G637">
        <v>11</v>
      </c>
      <c r="H637">
        <v>9</v>
      </c>
      <c r="I637">
        <v>1</v>
      </c>
      <c r="J637">
        <v>0.82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1</v>
      </c>
      <c r="Z637">
        <v>0</v>
      </c>
      <c r="AA637">
        <v>0</v>
      </c>
      <c r="AB637">
        <v>1</v>
      </c>
      <c r="AC637">
        <v>0</v>
      </c>
      <c r="AD637">
        <v>1</v>
      </c>
      <c r="AE637">
        <v>0</v>
      </c>
      <c r="AF637">
        <v>0</v>
      </c>
      <c r="AG637" s="86">
        <f>AVERAGEIFS($C$2:C637, $B$2:B637, B637)</f>
        <v>18.28</v>
      </c>
      <c r="AH637" s="86">
        <f>AVERAGEIFS($I$2:I637, $B$2:B637, B637)</f>
        <v>0.45599999999999996</v>
      </c>
      <c r="AI637" s="86">
        <f>AVERAGEIFS($J$2:J637, $B$2:B637, B637)</f>
        <v>0.45439999999999997</v>
      </c>
      <c r="AJ637" s="86">
        <f>AVERAGEIFS($D$2:D637, $B$2:B637, B637)</f>
        <v>0.48</v>
      </c>
    </row>
    <row r="638" spans="1:36" x14ac:dyDescent="0.25">
      <c r="A638" s="85">
        <v>46107</v>
      </c>
      <c r="B638" t="s">
        <v>107</v>
      </c>
      <c r="C638">
        <v>19</v>
      </c>
      <c r="D638">
        <v>1</v>
      </c>
      <c r="E638">
        <v>3</v>
      </c>
      <c r="F638">
        <v>3</v>
      </c>
      <c r="G638">
        <v>11</v>
      </c>
      <c r="H638">
        <v>9</v>
      </c>
      <c r="I638">
        <v>1</v>
      </c>
      <c r="J638">
        <v>0.82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1</v>
      </c>
      <c r="Z638">
        <v>0</v>
      </c>
      <c r="AA638">
        <v>0</v>
      </c>
      <c r="AB638">
        <v>1</v>
      </c>
      <c r="AC638">
        <v>0</v>
      </c>
      <c r="AD638">
        <v>1</v>
      </c>
      <c r="AE638">
        <v>0</v>
      </c>
      <c r="AF638">
        <v>0</v>
      </c>
      <c r="AG638" s="86">
        <f>AVERAGEIFS($C$2:C638, $B$2:B638, B638)</f>
        <v>16.079999999999998</v>
      </c>
      <c r="AH638" s="86">
        <f>AVERAGEIFS($I$2:I638, $B$2:B638, B638)</f>
        <v>0.57399999999999995</v>
      </c>
      <c r="AI638" s="86">
        <f>AVERAGEIFS($J$2:J638, $B$2:B638, B638)</f>
        <v>0.54720000000000013</v>
      </c>
      <c r="AJ638" s="86">
        <f>AVERAGEIFS($D$2:D638, $B$2:B638, B638)</f>
        <v>0.64</v>
      </c>
    </row>
    <row r="639" spans="1:36" x14ac:dyDescent="0.25">
      <c r="A639" s="85">
        <v>46107</v>
      </c>
      <c r="B639" t="s">
        <v>17</v>
      </c>
      <c r="C639">
        <v>11</v>
      </c>
      <c r="D639">
        <v>1</v>
      </c>
      <c r="E639">
        <v>3</v>
      </c>
      <c r="F639">
        <v>3</v>
      </c>
      <c r="G639">
        <v>11</v>
      </c>
      <c r="H639">
        <v>9</v>
      </c>
      <c r="I639">
        <v>1</v>
      </c>
      <c r="J639">
        <v>0.82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1</v>
      </c>
      <c r="Z639">
        <v>0</v>
      </c>
      <c r="AA639">
        <v>0</v>
      </c>
      <c r="AB639">
        <v>1</v>
      </c>
      <c r="AC639">
        <v>0</v>
      </c>
      <c r="AD639">
        <v>1</v>
      </c>
      <c r="AE639">
        <v>0</v>
      </c>
      <c r="AF639">
        <v>0</v>
      </c>
      <c r="AG639" s="86">
        <f>AVERAGEIFS($C$2:C639, $B$2:B639, B639)</f>
        <v>20.28</v>
      </c>
      <c r="AH639" s="86">
        <f>AVERAGEIFS($I$2:I639, $B$2:B639, B639)</f>
        <v>0.48479999999999995</v>
      </c>
      <c r="AI639" s="86">
        <f>AVERAGEIFS($J$2:J639, $B$2:B639, B639)</f>
        <v>0.4784000000000001</v>
      </c>
      <c r="AJ639" s="86">
        <f>AVERAGEIFS($D$2:D639, $B$2:B639, B639)</f>
        <v>0.44</v>
      </c>
    </row>
    <row r="640" spans="1:36" x14ac:dyDescent="0.25">
      <c r="A640" s="85">
        <v>46107</v>
      </c>
      <c r="B640" t="s">
        <v>148</v>
      </c>
      <c r="C640">
        <v>10</v>
      </c>
      <c r="D640">
        <v>1</v>
      </c>
      <c r="E640">
        <v>3</v>
      </c>
      <c r="F640">
        <v>3</v>
      </c>
      <c r="G640">
        <v>11</v>
      </c>
      <c r="H640">
        <v>9</v>
      </c>
      <c r="I640">
        <v>1</v>
      </c>
      <c r="J640">
        <v>0.82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1</v>
      </c>
      <c r="Z640">
        <v>0</v>
      </c>
      <c r="AA640">
        <v>0</v>
      </c>
      <c r="AB640">
        <v>1</v>
      </c>
      <c r="AC640">
        <v>0</v>
      </c>
      <c r="AD640">
        <v>1</v>
      </c>
      <c r="AE640">
        <v>0</v>
      </c>
      <c r="AF640">
        <v>0</v>
      </c>
      <c r="AG640" s="86">
        <f>AVERAGEIFS($C$2:C640, $B$2:B640, B640)</f>
        <v>8.9285714285714288</v>
      </c>
      <c r="AH640" s="86">
        <f>AVERAGEIFS($I$2:I640, $B$2:B640, B640)</f>
        <v>0.56785714285714284</v>
      </c>
      <c r="AI640" s="86">
        <f>AVERAGEIFS($J$2:J640, $B$2:B640, B640)</f>
        <v>0.53499999999999992</v>
      </c>
      <c r="AJ640" s="86">
        <f>AVERAGEIFS($D$2:D640, $B$2:B640, B640)</f>
        <v>0.5714285714285714</v>
      </c>
    </row>
    <row r="641" spans="1:36" x14ac:dyDescent="0.25">
      <c r="A641" s="85">
        <v>46107</v>
      </c>
      <c r="B641" t="s">
        <v>1</v>
      </c>
      <c r="C641">
        <v>26</v>
      </c>
      <c r="D641">
        <v>0</v>
      </c>
      <c r="E641">
        <v>3</v>
      </c>
      <c r="F641">
        <v>0</v>
      </c>
      <c r="G641">
        <v>11</v>
      </c>
      <c r="H641">
        <v>2</v>
      </c>
      <c r="I641">
        <v>0</v>
      </c>
      <c r="J641">
        <v>0.18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 s="86">
        <f>AVERAGEIFS($C$2:C641, $B$2:B641, B641)</f>
        <v>26.761904761904763</v>
      </c>
      <c r="AH641" s="86">
        <f>AVERAGEIFS($I$2:I641, $B$2:B641, B641)</f>
        <v>0.42142857142857149</v>
      </c>
      <c r="AI641" s="86">
        <f>AVERAGEIFS($J$2:J641, $B$2:B641, B641)</f>
        <v>0.45285714285714285</v>
      </c>
      <c r="AJ641" s="86">
        <f>AVERAGEIFS($D$2:D641, $B$2:B641, B641)</f>
        <v>0.42857142857142855</v>
      </c>
    </row>
    <row r="642" spans="1:36" x14ac:dyDescent="0.25">
      <c r="A642" s="85">
        <v>46107</v>
      </c>
      <c r="B642" t="s">
        <v>6</v>
      </c>
      <c r="C642">
        <v>8</v>
      </c>
      <c r="D642">
        <v>0</v>
      </c>
      <c r="E642">
        <v>3</v>
      </c>
      <c r="F642">
        <v>0</v>
      </c>
      <c r="G642">
        <v>11</v>
      </c>
      <c r="H642">
        <v>2</v>
      </c>
      <c r="I642">
        <v>0</v>
      </c>
      <c r="J642">
        <v>0.18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 s="86">
        <f>AVERAGEIFS($C$2:C642, $B$2:B642, B642)</f>
        <v>21.857142857142858</v>
      </c>
      <c r="AH642" s="86">
        <f>AVERAGEIFS($I$2:I642, $B$2:B642, B642)</f>
        <v>0.5614285714285715</v>
      </c>
      <c r="AI642" s="86">
        <f>AVERAGEIFS($J$2:J642, $B$2:B642, B642)</f>
        <v>0.53619047619047622</v>
      </c>
      <c r="AJ642" s="86">
        <f>AVERAGEIFS($D$2:D642, $B$2:B642, B642)</f>
        <v>0.6428571428571429</v>
      </c>
    </row>
    <row r="643" spans="1:36" x14ac:dyDescent="0.25">
      <c r="A643" s="85">
        <v>46107</v>
      </c>
      <c r="B643" t="s">
        <v>40</v>
      </c>
      <c r="C643">
        <v>19</v>
      </c>
      <c r="D643">
        <v>0</v>
      </c>
      <c r="E643">
        <v>3</v>
      </c>
      <c r="F643">
        <v>0</v>
      </c>
      <c r="G643">
        <v>11</v>
      </c>
      <c r="H643">
        <v>2</v>
      </c>
      <c r="I643">
        <v>0</v>
      </c>
      <c r="J643">
        <v>0.18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0</v>
      </c>
      <c r="AG643" s="86">
        <f>AVERAGEIFS($C$2:C643, $B$2:B643, B643)</f>
        <v>17.463414634146343</v>
      </c>
      <c r="AH643" s="86">
        <f>AVERAGEIFS($I$2:I643, $B$2:B643, B643)</f>
        <v>0.47804878048780475</v>
      </c>
      <c r="AI643" s="86">
        <f>AVERAGEIFS($J$2:J643, $B$2:B643, B643)</f>
        <v>0.47902439024390253</v>
      </c>
      <c r="AJ643" s="86">
        <f>AVERAGEIFS($D$2:D643, $B$2:B643, B643)</f>
        <v>0.41463414634146339</v>
      </c>
    </row>
    <row r="644" spans="1:36" x14ac:dyDescent="0.25">
      <c r="A644" s="85">
        <v>46107</v>
      </c>
      <c r="B644" t="s">
        <v>46</v>
      </c>
      <c r="C644">
        <v>12</v>
      </c>
      <c r="D644">
        <v>0</v>
      </c>
      <c r="E644">
        <v>3</v>
      </c>
      <c r="F644">
        <v>0</v>
      </c>
      <c r="G644">
        <v>11</v>
      </c>
      <c r="H644">
        <v>2</v>
      </c>
      <c r="I644">
        <v>0</v>
      </c>
      <c r="J644">
        <v>0.18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 s="86">
        <f>AVERAGEIFS($C$2:C644, $B$2:B644, B644)</f>
        <v>18.727272727272727</v>
      </c>
      <c r="AH644" s="86">
        <f>AVERAGEIFS($I$2:I644, $B$2:B644, B644)</f>
        <v>0.43181818181818171</v>
      </c>
      <c r="AI644" s="86">
        <f>AVERAGEIFS($J$2:J644, $B$2:B644, B644)</f>
        <v>0.45954545454545453</v>
      </c>
      <c r="AJ644" s="86">
        <f>AVERAGEIFS($D$2:D644, $B$2:B644, B644)</f>
        <v>0.40909090909090912</v>
      </c>
    </row>
    <row r="645" spans="1:36" x14ac:dyDescent="0.25">
      <c r="A645" s="85">
        <v>46107</v>
      </c>
      <c r="B645" t="s">
        <v>113</v>
      </c>
      <c r="C645">
        <v>13</v>
      </c>
      <c r="D645">
        <v>0</v>
      </c>
      <c r="E645">
        <v>3</v>
      </c>
      <c r="F645">
        <v>0</v>
      </c>
      <c r="G645">
        <v>11</v>
      </c>
      <c r="H645">
        <v>2</v>
      </c>
      <c r="I645">
        <v>0</v>
      </c>
      <c r="J645">
        <v>0.18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  <c r="AG645" s="86">
        <f>AVERAGEIFS($C$2:C645, $B$2:B645, B645)</f>
        <v>16.105263157894736</v>
      </c>
      <c r="AH645" s="86">
        <f>AVERAGEIFS($I$2:I645, $B$2:B645, B645)</f>
        <v>0.51052631578947372</v>
      </c>
      <c r="AI645" s="86">
        <f>AVERAGEIFS($J$2:J645, $B$2:B645, B645)</f>
        <v>0.49368421052631584</v>
      </c>
      <c r="AJ645" s="86">
        <f>AVERAGEIFS($D$2:D645, $B$2:B645, B645)</f>
        <v>0.47368421052631576</v>
      </c>
    </row>
    <row r="646" spans="1:36" x14ac:dyDescent="0.25">
      <c r="A646" s="85">
        <v>46107</v>
      </c>
      <c r="B646" t="s">
        <v>142</v>
      </c>
      <c r="C646">
        <v>11</v>
      </c>
      <c r="D646">
        <v>0</v>
      </c>
      <c r="E646">
        <v>3</v>
      </c>
      <c r="F646">
        <v>0</v>
      </c>
      <c r="G646">
        <v>11</v>
      </c>
      <c r="H646">
        <v>2</v>
      </c>
      <c r="I646">
        <v>0</v>
      </c>
      <c r="J646">
        <v>0.18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 s="86">
        <f>AVERAGEIFS($C$2:C646, $B$2:B646, B646)</f>
        <v>11.25</v>
      </c>
      <c r="AH646" s="86">
        <f>AVERAGEIFS($I$2:I646, $B$2:B646, B646)</f>
        <v>0.58750000000000002</v>
      </c>
      <c r="AI646" s="86">
        <f>AVERAGEIFS($J$2:J646, $B$2:B646, B646)</f>
        <v>0.56500000000000006</v>
      </c>
      <c r="AJ646" s="86">
        <f>AVERAGEIFS($D$2:D646, $B$2:B646, B646)</f>
        <v>0.75</v>
      </c>
    </row>
    <row r="647" spans="1:36" x14ac:dyDescent="0.25">
      <c r="A647" s="85">
        <v>46107</v>
      </c>
      <c r="B647" t="s">
        <v>50</v>
      </c>
      <c r="C647">
        <v>21</v>
      </c>
      <c r="D647">
        <v>0</v>
      </c>
      <c r="E647">
        <v>3</v>
      </c>
      <c r="F647">
        <v>0</v>
      </c>
      <c r="G647">
        <v>11</v>
      </c>
      <c r="H647">
        <v>2</v>
      </c>
      <c r="I647">
        <v>0</v>
      </c>
      <c r="J647">
        <v>0.18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 s="86">
        <f>AVERAGEIFS($C$2:C647, $B$2:B647, B647)</f>
        <v>18.548387096774192</v>
      </c>
      <c r="AH647" s="86">
        <f>AVERAGEIFS($I$2:I647, $B$2:B647, B647)</f>
        <v>0.5283870967741936</v>
      </c>
      <c r="AI647" s="86">
        <f>AVERAGEIFS($J$2:J647, $B$2:B647, B647)</f>
        <v>0.53290322580645144</v>
      </c>
      <c r="AJ647" s="86">
        <f>AVERAGEIFS($D$2:D647, $B$2:B647, B647)</f>
        <v>0.5161290322580645</v>
      </c>
    </row>
    <row r="648" spans="1:36" x14ac:dyDescent="0.25">
      <c r="A648" s="85">
        <v>46107</v>
      </c>
      <c r="B648" t="s">
        <v>28</v>
      </c>
      <c r="C648">
        <v>15</v>
      </c>
      <c r="D648">
        <v>0</v>
      </c>
      <c r="E648">
        <v>3</v>
      </c>
      <c r="F648">
        <v>0</v>
      </c>
      <c r="G648">
        <v>11</v>
      </c>
      <c r="H648">
        <v>2</v>
      </c>
      <c r="I648">
        <v>0</v>
      </c>
      <c r="J648">
        <v>0.18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 s="86">
        <f>AVERAGEIFS($C$2:C648, $B$2:B648, B648)</f>
        <v>13.777777777777779</v>
      </c>
      <c r="AH648" s="86">
        <f>AVERAGEIFS($I$2:I648, $B$2:B648, B648)</f>
        <v>0.44925925925925925</v>
      </c>
      <c r="AI648" s="86">
        <f>AVERAGEIFS($J$2:J648, $B$2:B648, B648)</f>
        <v>0.47037037037037027</v>
      </c>
      <c r="AJ648" s="86">
        <f>AVERAGEIFS($D$2:D648, $B$2:B648, B648)</f>
        <v>0.40740740740740738</v>
      </c>
    </row>
    <row r="649" spans="1:36" x14ac:dyDescent="0.25">
      <c r="A649" s="85">
        <v>46108</v>
      </c>
      <c r="B649" t="s">
        <v>40</v>
      </c>
      <c r="C649">
        <v>35</v>
      </c>
      <c r="D649">
        <v>0</v>
      </c>
      <c r="E649">
        <v>5</v>
      </c>
      <c r="F649">
        <v>2</v>
      </c>
      <c r="G649">
        <v>23</v>
      </c>
      <c r="H649">
        <v>11</v>
      </c>
      <c r="I649">
        <v>0.4</v>
      </c>
      <c r="J649">
        <v>0.48</v>
      </c>
      <c r="K649">
        <v>0</v>
      </c>
      <c r="L649">
        <v>0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1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 s="86">
        <f>AVERAGEIFS($C$2:C649, $B$2:B649, B649)</f>
        <v>17.88095238095238</v>
      </c>
      <c r="AH649" s="86">
        <f>AVERAGEIFS($I$2:I649, $B$2:B649, B649)</f>
        <v>0.476190476190476</v>
      </c>
      <c r="AI649" s="86">
        <f>AVERAGEIFS($J$2:J649, $B$2:B649, B649)</f>
        <v>0.47904761904761917</v>
      </c>
      <c r="AJ649" s="86">
        <f>AVERAGEIFS($D$2:D649, $B$2:B649, B649)</f>
        <v>0.40476190476190477</v>
      </c>
    </row>
    <row r="650" spans="1:36" x14ac:dyDescent="0.25">
      <c r="A650" s="85">
        <v>46108</v>
      </c>
      <c r="B650" t="s">
        <v>54</v>
      </c>
      <c r="C650">
        <v>32</v>
      </c>
      <c r="D650">
        <v>0</v>
      </c>
      <c r="E650">
        <v>5</v>
      </c>
      <c r="F650">
        <v>2</v>
      </c>
      <c r="G650">
        <v>23</v>
      </c>
      <c r="H650">
        <v>11</v>
      </c>
      <c r="I650">
        <v>0.4</v>
      </c>
      <c r="J650">
        <v>0.48</v>
      </c>
      <c r="K650">
        <v>0</v>
      </c>
      <c r="L650">
        <v>0</v>
      </c>
      <c r="M650">
        <v>1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1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 s="86">
        <f>AVERAGEIFS($C$2:C650, $B$2:B650, B650)</f>
        <v>23.931818181818183</v>
      </c>
      <c r="AH650" s="86">
        <f>AVERAGEIFS($I$2:I650, $B$2:B650, B650)</f>
        <v>0.53454545454545466</v>
      </c>
      <c r="AI650" s="86">
        <f>AVERAGEIFS($J$2:J650, $B$2:B650, B650)</f>
        <v>0.51090909090909087</v>
      </c>
      <c r="AJ650" s="86">
        <f>AVERAGEIFS($D$2:D650, $B$2:B650, B650)</f>
        <v>0.54545454545454541</v>
      </c>
    </row>
    <row r="651" spans="1:36" x14ac:dyDescent="0.25">
      <c r="A651" s="85">
        <v>46108</v>
      </c>
      <c r="B651" t="s">
        <v>107</v>
      </c>
      <c r="C651">
        <v>22</v>
      </c>
      <c r="D651">
        <v>0</v>
      </c>
      <c r="E651">
        <v>5</v>
      </c>
      <c r="F651">
        <v>2</v>
      </c>
      <c r="G651">
        <v>23</v>
      </c>
      <c r="H651">
        <v>11</v>
      </c>
      <c r="I651">
        <v>0.4</v>
      </c>
      <c r="J651">
        <v>0.48</v>
      </c>
      <c r="K651">
        <v>0</v>
      </c>
      <c r="L651">
        <v>0</v>
      </c>
      <c r="M651">
        <v>1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1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 s="86">
        <f>AVERAGEIFS($C$2:C651, $B$2:B651, B651)</f>
        <v>16.307692307692307</v>
      </c>
      <c r="AH651" s="86">
        <f>AVERAGEIFS($I$2:I651, $B$2:B651, B651)</f>
        <v>0.56730769230769229</v>
      </c>
      <c r="AI651" s="86">
        <f>AVERAGEIFS($J$2:J651, $B$2:B651, B651)</f>
        <v>0.54461538461538472</v>
      </c>
      <c r="AJ651" s="86">
        <f>AVERAGEIFS($D$2:D651, $B$2:B651, B651)</f>
        <v>0.61538461538461542</v>
      </c>
    </row>
    <row r="652" spans="1:36" x14ac:dyDescent="0.25">
      <c r="A652" s="85">
        <v>46108</v>
      </c>
      <c r="B652" t="s">
        <v>151</v>
      </c>
      <c r="C652">
        <v>17</v>
      </c>
      <c r="D652">
        <v>0</v>
      </c>
      <c r="E652">
        <v>5</v>
      </c>
      <c r="F652">
        <v>2</v>
      </c>
      <c r="G652">
        <v>23</v>
      </c>
      <c r="H652">
        <v>11</v>
      </c>
      <c r="I652">
        <v>0.4</v>
      </c>
      <c r="J652">
        <v>0.48</v>
      </c>
      <c r="K652">
        <v>0</v>
      </c>
      <c r="L652">
        <v>0</v>
      </c>
      <c r="M652">
        <v>1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1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 s="86">
        <f>AVERAGEIFS($C$2:C652, $B$2:B652, B652)</f>
        <v>13.333333333333334</v>
      </c>
      <c r="AH652" s="86">
        <f>AVERAGEIFS($I$2:I652, $B$2:B652, B652)</f>
        <v>0.46666666666666662</v>
      </c>
      <c r="AI652" s="86">
        <f>AVERAGEIFS($J$2:J652, $B$2:B652, B652)</f>
        <v>0.505</v>
      </c>
      <c r="AJ652" s="86">
        <f>AVERAGEIFS($D$2:D652, $B$2:B652, B652)</f>
        <v>0.33333333333333331</v>
      </c>
    </row>
    <row r="653" spans="1:36" x14ac:dyDescent="0.25">
      <c r="A653" s="85">
        <v>46108</v>
      </c>
      <c r="B653" t="s">
        <v>141</v>
      </c>
      <c r="C653">
        <v>15</v>
      </c>
      <c r="D653">
        <v>0</v>
      </c>
      <c r="E653">
        <v>5</v>
      </c>
      <c r="F653">
        <v>2</v>
      </c>
      <c r="G653">
        <v>23</v>
      </c>
      <c r="H653">
        <v>11</v>
      </c>
      <c r="I653">
        <v>0.4</v>
      </c>
      <c r="J653">
        <v>0.48</v>
      </c>
      <c r="K653">
        <v>0</v>
      </c>
      <c r="L653">
        <v>0</v>
      </c>
      <c r="M653">
        <v>1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1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 s="86">
        <f>AVERAGEIFS($C$2:C653, $B$2:B653, B653)</f>
        <v>13.666666666666666</v>
      </c>
      <c r="AH653" s="86">
        <f>AVERAGEIFS($I$2:I653, $B$2:B653, B653)</f>
        <v>0.37777777777777777</v>
      </c>
      <c r="AI653" s="86">
        <f>AVERAGEIFS($J$2:J653, $B$2:B653, B653)</f>
        <v>0.43888888888888888</v>
      </c>
      <c r="AJ653" s="86">
        <f>AVERAGEIFS($D$2:D653, $B$2:B653, B653)</f>
        <v>0.33333333333333331</v>
      </c>
    </row>
    <row r="654" spans="1:36" x14ac:dyDescent="0.25">
      <c r="A654" s="85">
        <v>46108</v>
      </c>
      <c r="B654" t="s">
        <v>137</v>
      </c>
      <c r="C654">
        <v>8</v>
      </c>
      <c r="D654">
        <v>0</v>
      </c>
      <c r="E654">
        <v>5</v>
      </c>
      <c r="F654">
        <v>2</v>
      </c>
      <c r="G654">
        <v>23</v>
      </c>
      <c r="H654">
        <v>11</v>
      </c>
      <c r="I654">
        <v>0.4</v>
      </c>
      <c r="J654">
        <v>0.48</v>
      </c>
      <c r="K654">
        <v>0</v>
      </c>
      <c r="L654">
        <v>0</v>
      </c>
      <c r="M654">
        <v>1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1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 s="86">
        <f>AVERAGEIFS($C$2:C654, $B$2:B654, B654)</f>
        <v>6.666666666666667</v>
      </c>
      <c r="AH654" s="86">
        <f>AVERAGEIFS($I$2:I654, $B$2:B654, B654)</f>
        <v>0.5083333333333333</v>
      </c>
      <c r="AI654" s="86">
        <f>AVERAGEIFS($J$2:J654, $B$2:B654, B654)</f>
        <v>0.51666666666666661</v>
      </c>
      <c r="AJ654" s="86">
        <f>AVERAGEIFS($D$2:D654, $B$2:B654, B654)</f>
        <v>0.33333333333333331</v>
      </c>
    </row>
    <row r="655" spans="1:36" x14ac:dyDescent="0.25">
      <c r="A655" s="85">
        <v>46108</v>
      </c>
      <c r="B655" t="s">
        <v>42</v>
      </c>
      <c r="C655">
        <v>25</v>
      </c>
      <c r="D655">
        <v>1</v>
      </c>
      <c r="E655">
        <v>5</v>
      </c>
      <c r="F655">
        <v>3</v>
      </c>
      <c r="G655">
        <v>23</v>
      </c>
      <c r="H655">
        <v>12</v>
      </c>
      <c r="I655">
        <v>0.6</v>
      </c>
      <c r="J655">
        <v>0.52</v>
      </c>
      <c r="K655">
        <v>0</v>
      </c>
      <c r="L655">
        <v>1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1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1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 s="86">
        <f>AVERAGEIFS($C$2:C655, $B$2:B655, B655)</f>
        <v>18.53846153846154</v>
      </c>
      <c r="AH655" s="86">
        <f>AVERAGEIFS($I$2:I655, $B$2:B655, B655)</f>
        <v>0.46153846153846145</v>
      </c>
      <c r="AI655" s="86">
        <f>AVERAGEIFS($J$2:J655, $B$2:B655, B655)</f>
        <v>0.45692307692307688</v>
      </c>
      <c r="AJ655" s="86">
        <f>AVERAGEIFS($D$2:D655, $B$2:B655, B655)</f>
        <v>0.5</v>
      </c>
    </row>
    <row r="656" spans="1:36" x14ac:dyDescent="0.25">
      <c r="A656" s="85">
        <v>46108</v>
      </c>
      <c r="B656" t="s">
        <v>1</v>
      </c>
      <c r="C656">
        <v>28</v>
      </c>
      <c r="D656">
        <v>1</v>
      </c>
      <c r="E656">
        <v>5</v>
      </c>
      <c r="F656">
        <v>3</v>
      </c>
      <c r="G656">
        <v>23</v>
      </c>
      <c r="H656">
        <v>12</v>
      </c>
      <c r="I656">
        <v>0.6</v>
      </c>
      <c r="J656">
        <v>0.52</v>
      </c>
      <c r="K656">
        <v>0</v>
      </c>
      <c r="L656">
        <v>1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1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1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 s="86">
        <f>AVERAGEIFS($C$2:C656, $B$2:B656, B656)</f>
        <v>26.818181818181817</v>
      </c>
      <c r="AH656" s="86">
        <f>AVERAGEIFS($I$2:I656, $B$2:B656, B656)</f>
        <v>0.42954545454545462</v>
      </c>
      <c r="AI656" s="86">
        <f>AVERAGEIFS($J$2:J656, $B$2:B656, B656)</f>
        <v>0.45590909090909087</v>
      </c>
      <c r="AJ656" s="86">
        <f>AVERAGEIFS($D$2:D656, $B$2:B656, B656)</f>
        <v>0.45454545454545453</v>
      </c>
    </row>
    <row r="657" spans="1:36" x14ac:dyDescent="0.25">
      <c r="A657" s="85">
        <v>46108</v>
      </c>
      <c r="B657" t="s">
        <v>6</v>
      </c>
      <c r="C657">
        <v>25</v>
      </c>
      <c r="D657">
        <v>1</v>
      </c>
      <c r="E657">
        <v>5</v>
      </c>
      <c r="F657">
        <v>3</v>
      </c>
      <c r="G657">
        <v>23</v>
      </c>
      <c r="H657">
        <v>12</v>
      </c>
      <c r="I657">
        <v>0.6</v>
      </c>
      <c r="J657">
        <v>0.52</v>
      </c>
      <c r="K657">
        <v>0</v>
      </c>
      <c r="L657">
        <v>1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1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1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 s="86">
        <f>AVERAGEIFS($C$2:C657, $B$2:B657, B657)</f>
        <v>21.930232558139537</v>
      </c>
      <c r="AH657" s="86">
        <f>AVERAGEIFS($I$2:I657, $B$2:B657, B657)</f>
        <v>0.56232558139534894</v>
      </c>
      <c r="AI657" s="86">
        <f>AVERAGEIFS($J$2:J657, $B$2:B657, B657)</f>
        <v>0.53581395348837202</v>
      </c>
      <c r="AJ657" s="86">
        <f>AVERAGEIFS($D$2:D657, $B$2:B657, B657)</f>
        <v>0.65116279069767447</v>
      </c>
    </row>
    <row r="658" spans="1:36" x14ac:dyDescent="0.25">
      <c r="A658" s="85">
        <v>46108</v>
      </c>
      <c r="B658" t="s">
        <v>44</v>
      </c>
      <c r="C658">
        <v>22</v>
      </c>
      <c r="D658">
        <v>1</v>
      </c>
      <c r="E658">
        <v>5</v>
      </c>
      <c r="F658">
        <v>3</v>
      </c>
      <c r="G658">
        <v>23</v>
      </c>
      <c r="H658">
        <v>12</v>
      </c>
      <c r="I658">
        <v>0.6</v>
      </c>
      <c r="J658">
        <v>0.52</v>
      </c>
      <c r="K658">
        <v>0</v>
      </c>
      <c r="L658">
        <v>1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1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1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 s="86">
        <f>AVERAGEIFS($C$2:C658, $B$2:B658, B658)</f>
        <v>16.083333333333332</v>
      </c>
      <c r="AH658" s="86">
        <f>AVERAGEIFS($I$2:I658, $B$2:B658, B658)</f>
        <v>0.53749999999999998</v>
      </c>
      <c r="AI658" s="86">
        <f>AVERAGEIFS($J$2:J658, $B$2:B658, B658)</f>
        <v>0.53791666666666671</v>
      </c>
      <c r="AJ658" s="86">
        <f>AVERAGEIFS($D$2:D658, $B$2:B658, B658)</f>
        <v>0.66666666666666663</v>
      </c>
    </row>
    <row r="659" spans="1:36" x14ac:dyDescent="0.25">
      <c r="A659" s="85">
        <v>46108</v>
      </c>
      <c r="B659" t="s">
        <v>35</v>
      </c>
      <c r="C659">
        <v>17</v>
      </c>
      <c r="D659">
        <v>1</v>
      </c>
      <c r="E659">
        <v>5</v>
      </c>
      <c r="F659">
        <v>3</v>
      </c>
      <c r="G659">
        <v>23</v>
      </c>
      <c r="H659">
        <v>12</v>
      </c>
      <c r="I659">
        <v>0.6</v>
      </c>
      <c r="J659">
        <v>0.52</v>
      </c>
      <c r="K659">
        <v>0</v>
      </c>
      <c r="L659">
        <v>1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1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1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 s="86">
        <f>AVERAGEIFS($C$2:C659, $B$2:B659, B659)</f>
        <v>10.705882352941176</v>
      </c>
      <c r="AH659" s="86">
        <f>AVERAGEIFS($I$2:I659, $B$2:B659, B659)</f>
        <v>0.46558823529411769</v>
      </c>
      <c r="AI659" s="86">
        <f>AVERAGEIFS($J$2:J659, $B$2:B659, B659)</f>
        <v>0.48941176470588238</v>
      </c>
      <c r="AJ659" s="86">
        <f>AVERAGEIFS($D$2:D659, $B$2:B659, B659)</f>
        <v>0.44117647058823528</v>
      </c>
    </row>
    <row r="660" spans="1:36" x14ac:dyDescent="0.25">
      <c r="A660" s="85">
        <v>46108</v>
      </c>
      <c r="B660" t="s">
        <v>154</v>
      </c>
      <c r="C660">
        <v>13</v>
      </c>
      <c r="D660">
        <v>1</v>
      </c>
      <c r="E660">
        <v>5</v>
      </c>
      <c r="F660">
        <v>3</v>
      </c>
      <c r="G660">
        <v>23</v>
      </c>
      <c r="H660">
        <v>12</v>
      </c>
      <c r="I660">
        <v>0.6</v>
      </c>
      <c r="J660">
        <v>0.52</v>
      </c>
      <c r="K660">
        <v>0</v>
      </c>
      <c r="L660">
        <v>1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1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1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 s="86">
        <f>AVERAGEIFS($C$2:C660, $B$2:B660, B660)</f>
        <v>10.666666666666666</v>
      </c>
      <c r="AH660" s="86">
        <f>AVERAGEIFS($I$2:I660, $B$2:B660, B660)</f>
        <v>0.39999999999999997</v>
      </c>
      <c r="AI660" s="86">
        <f>AVERAGEIFS($J$2:J660, $B$2:B660, B660)</f>
        <v>0.39666666666666667</v>
      </c>
      <c r="AJ660" s="86">
        <f>AVERAGEIFS($D$2:D660, $B$2:B660, B660)</f>
        <v>0.66666666666666663</v>
      </c>
    </row>
    <row r="661" spans="1:36" x14ac:dyDescent="0.25">
      <c r="A661" s="85">
        <v>46109</v>
      </c>
      <c r="B661" t="s">
        <v>4</v>
      </c>
      <c r="C661">
        <v>31</v>
      </c>
      <c r="D661">
        <v>0</v>
      </c>
      <c r="E661">
        <v>4</v>
      </c>
      <c r="F661">
        <v>1</v>
      </c>
      <c r="G661">
        <v>18</v>
      </c>
      <c r="H661">
        <v>7</v>
      </c>
      <c r="I661">
        <v>0.25</v>
      </c>
      <c r="J661">
        <v>0.39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 s="86">
        <f>AVERAGEIFS($C$2:C661, $B$2:B661, B661)</f>
        <v>23.454545454545453</v>
      </c>
      <c r="AH661" s="86">
        <f>AVERAGEIFS($I$2:I661, $B$2:B661, B661)</f>
        <v>0.38636363636363635</v>
      </c>
      <c r="AI661" s="86">
        <f>AVERAGEIFS($J$2:J661, $B$2:B661, B661)</f>
        <v>0.43318181818181822</v>
      </c>
      <c r="AJ661" s="86">
        <f>AVERAGEIFS($D$2:D661, $B$2:B661, B661)</f>
        <v>0.22727272727272727</v>
      </c>
    </row>
    <row r="662" spans="1:36" x14ac:dyDescent="0.25">
      <c r="A662" s="85">
        <v>46109</v>
      </c>
      <c r="B662" t="s">
        <v>42</v>
      </c>
      <c r="C662">
        <v>29</v>
      </c>
      <c r="D662">
        <v>0</v>
      </c>
      <c r="E662">
        <v>4</v>
      </c>
      <c r="F662">
        <v>1</v>
      </c>
      <c r="G662">
        <v>18</v>
      </c>
      <c r="H662">
        <v>7</v>
      </c>
      <c r="I662">
        <v>0.25</v>
      </c>
      <c r="J662">
        <v>0.39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 s="86">
        <f>AVERAGEIFS($C$2:C662, $B$2:B662, B662)</f>
        <v>18.925925925925927</v>
      </c>
      <c r="AH662" s="86">
        <f>AVERAGEIFS($I$2:I662, $B$2:B662, B662)</f>
        <v>0.45370370370370366</v>
      </c>
      <c r="AI662" s="86">
        <f>AVERAGEIFS($J$2:J662, $B$2:B662, B662)</f>
        <v>0.45444444444444443</v>
      </c>
      <c r="AJ662" s="86">
        <f>AVERAGEIFS($D$2:D662, $B$2:B662, B662)</f>
        <v>0.48148148148148145</v>
      </c>
    </row>
    <row r="663" spans="1:36" x14ac:dyDescent="0.25">
      <c r="A663" s="85">
        <v>46109</v>
      </c>
      <c r="B663" t="s">
        <v>40</v>
      </c>
      <c r="C663">
        <v>27</v>
      </c>
      <c r="D663">
        <v>0</v>
      </c>
      <c r="E663">
        <v>4</v>
      </c>
      <c r="F663">
        <v>1</v>
      </c>
      <c r="G663">
        <v>18</v>
      </c>
      <c r="H663">
        <v>7</v>
      </c>
      <c r="I663">
        <v>0.25</v>
      </c>
      <c r="J663">
        <v>0.39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 s="86">
        <f>AVERAGEIFS($C$2:C663, $B$2:B663, B663)</f>
        <v>18.093023255813954</v>
      </c>
      <c r="AH663" s="86">
        <f>AVERAGEIFS($I$2:I663, $B$2:B663, B663)</f>
        <v>0.47093023255813937</v>
      </c>
      <c r="AI663" s="86">
        <f>AVERAGEIFS($J$2:J663, $B$2:B663, B663)</f>
        <v>0.47697674418604663</v>
      </c>
      <c r="AJ663" s="86">
        <f>AVERAGEIFS($D$2:D663, $B$2:B663, B663)</f>
        <v>0.39534883720930231</v>
      </c>
    </row>
    <row r="664" spans="1:36" x14ac:dyDescent="0.25">
      <c r="A664" s="85">
        <v>46109</v>
      </c>
      <c r="B664" t="s">
        <v>142</v>
      </c>
      <c r="C664">
        <v>22</v>
      </c>
      <c r="D664">
        <v>0</v>
      </c>
      <c r="E664">
        <v>4</v>
      </c>
      <c r="F664">
        <v>1</v>
      </c>
      <c r="G664">
        <v>18</v>
      </c>
      <c r="H664">
        <v>7</v>
      </c>
      <c r="I664">
        <v>0.25</v>
      </c>
      <c r="J664">
        <v>0.39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 s="86">
        <f>AVERAGEIFS($C$2:C664, $B$2:B664, B664)</f>
        <v>13.4</v>
      </c>
      <c r="AH664" s="86">
        <f>AVERAGEIFS($I$2:I664, $B$2:B664, B664)</f>
        <v>0.52</v>
      </c>
      <c r="AI664" s="86">
        <f>AVERAGEIFS($J$2:J664, $B$2:B664, B664)</f>
        <v>0.53</v>
      </c>
      <c r="AJ664" s="86">
        <f>AVERAGEIFS($D$2:D664, $B$2:B664, B664)</f>
        <v>0.6</v>
      </c>
    </row>
    <row r="665" spans="1:36" x14ac:dyDescent="0.25">
      <c r="A665" s="85">
        <v>46109</v>
      </c>
      <c r="B665" t="s">
        <v>148</v>
      </c>
      <c r="C665">
        <v>21</v>
      </c>
      <c r="D665">
        <v>0</v>
      </c>
      <c r="E665">
        <v>4</v>
      </c>
      <c r="F665">
        <v>1</v>
      </c>
      <c r="G665">
        <v>18</v>
      </c>
      <c r="H665">
        <v>7</v>
      </c>
      <c r="I665">
        <v>0.25</v>
      </c>
      <c r="J665">
        <v>0.39</v>
      </c>
      <c r="K665">
        <v>1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 s="86">
        <f>AVERAGEIFS($C$2:C665, $B$2:B665, B665)</f>
        <v>9.7333333333333325</v>
      </c>
      <c r="AH665" s="86">
        <f>AVERAGEIFS($I$2:I665, $B$2:B665, B665)</f>
        <v>0.54666666666666663</v>
      </c>
      <c r="AI665" s="86">
        <f>AVERAGEIFS($J$2:J665, $B$2:B665, B665)</f>
        <v>0.52533333333333321</v>
      </c>
      <c r="AJ665" s="86">
        <f>AVERAGEIFS($D$2:D665, $B$2:B665, B665)</f>
        <v>0.53333333333333333</v>
      </c>
    </row>
    <row r="666" spans="1:36" x14ac:dyDescent="0.25">
      <c r="A666" s="85">
        <v>46109</v>
      </c>
      <c r="B666" t="s">
        <v>113</v>
      </c>
      <c r="C666">
        <v>20</v>
      </c>
      <c r="D666">
        <v>0</v>
      </c>
      <c r="E666">
        <v>4</v>
      </c>
      <c r="F666">
        <v>1</v>
      </c>
      <c r="G666">
        <v>18</v>
      </c>
      <c r="H666">
        <v>7</v>
      </c>
      <c r="I666">
        <v>0.25</v>
      </c>
      <c r="J666">
        <v>0.39</v>
      </c>
      <c r="K666">
        <v>1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 s="86">
        <f>AVERAGEIFS($C$2:C666, $B$2:B666, B666)</f>
        <v>16.3</v>
      </c>
      <c r="AH666" s="86">
        <f>AVERAGEIFS($I$2:I666, $B$2:B666, B666)</f>
        <v>0.49750000000000005</v>
      </c>
      <c r="AI666" s="86">
        <f>AVERAGEIFS($J$2:J666, $B$2:B666, B666)</f>
        <v>0.48850000000000005</v>
      </c>
      <c r="AJ666" s="86">
        <f>AVERAGEIFS($D$2:D666, $B$2:B666, B666)</f>
        <v>0.45</v>
      </c>
    </row>
    <row r="667" spans="1:36" x14ac:dyDescent="0.25">
      <c r="A667" s="85">
        <v>46109</v>
      </c>
      <c r="B667" t="s">
        <v>13</v>
      </c>
      <c r="C667">
        <v>20</v>
      </c>
      <c r="D667">
        <v>0</v>
      </c>
      <c r="E667">
        <v>4</v>
      </c>
      <c r="F667">
        <v>1</v>
      </c>
      <c r="G667">
        <v>18</v>
      </c>
      <c r="H667">
        <v>7</v>
      </c>
      <c r="I667">
        <v>0.25</v>
      </c>
      <c r="J667">
        <v>0.39</v>
      </c>
      <c r="K667">
        <v>1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 s="86">
        <f>AVERAGEIFS($C$2:C667, $B$2:B667, B667)</f>
        <v>12.6</v>
      </c>
      <c r="AH667" s="86">
        <f>AVERAGEIFS($I$2:I667, $B$2:B667, B667)</f>
        <v>0.54500000000000004</v>
      </c>
      <c r="AI667" s="86">
        <f>AVERAGEIFS($J$2:J667, $B$2:B667, B667)</f>
        <v>0.53099999999999992</v>
      </c>
      <c r="AJ667" s="86">
        <f>AVERAGEIFS($D$2:D667, $B$2:B667, B667)</f>
        <v>0.4</v>
      </c>
    </row>
    <row r="668" spans="1:36" x14ac:dyDescent="0.25">
      <c r="A668" s="85">
        <v>46109</v>
      </c>
      <c r="B668" t="s">
        <v>46</v>
      </c>
      <c r="C668">
        <v>13</v>
      </c>
      <c r="D668">
        <v>0</v>
      </c>
      <c r="E668">
        <v>4</v>
      </c>
      <c r="F668">
        <v>1</v>
      </c>
      <c r="G668">
        <v>18</v>
      </c>
      <c r="H668">
        <v>7</v>
      </c>
      <c r="I668">
        <v>0.25</v>
      </c>
      <c r="J668">
        <v>0.39</v>
      </c>
      <c r="K668">
        <v>1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 s="86">
        <f>AVERAGEIFS($C$2:C668, $B$2:B668, B668)</f>
        <v>18.478260869565219</v>
      </c>
      <c r="AH668" s="86">
        <f>AVERAGEIFS($I$2:I668, $B$2:B668, B668)</f>
        <v>0.42391304347826081</v>
      </c>
      <c r="AI668" s="86">
        <f>AVERAGEIFS($J$2:J668, $B$2:B668, B668)</f>
        <v>0.45652173913043476</v>
      </c>
      <c r="AJ668" s="86">
        <f>AVERAGEIFS($D$2:D668, $B$2:B668, B668)</f>
        <v>0.39130434782608697</v>
      </c>
    </row>
    <row r="669" spans="1:36" x14ac:dyDescent="0.25">
      <c r="A669" s="85">
        <v>46109</v>
      </c>
      <c r="B669" t="s">
        <v>50</v>
      </c>
      <c r="C669">
        <v>13</v>
      </c>
      <c r="D669">
        <v>1</v>
      </c>
      <c r="E669">
        <v>4</v>
      </c>
      <c r="F669">
        <v>3</v>
      </c>
      <c r="G669">
        <v>18</v>
      </c>
      <c r="H669">
        <v>11</v>
      </c>
      <c r="I669">
        <v>0.75</v>
      </c>
      <c r="J669">
        <v>0.61</v>
      </c>
      <c r="K669">
        <v>0</v>
      </c>
      <c r="L669">
        <v>0</v>
      </c>
      <c r="M669">
        <v>0</v>
      </c>
      <c r="N669">
        <v>1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1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1</v>
      </c>
      <c r="AC669">
        <v>0</v>
      </c>
      <c r="AD669">
        <v>0</v>
      </c>
      <c r="AE669">
        <v>0</v>
      </c>
      <c r="AF669">
        <v>0</v>
      </c>
      <c r="AG669" s="86">
        <f>AVERAGEIFS($C$2:C669, $B$2:B669, B669)</f>
        <v>18.375</v>
      </c>
      <c r="AH669" s="86">
        <f>AVERAGEIFS($I$2:I669, $B$2:B669, B669)</f>
        <v>0.53531250000000008</v>
      </c>
      <c r="AI669" s="86">
        <f>AVERAGEIFS($J$2:J669, $B$2:B669, B669)</f>
        <v>0.53531249999999986</v>
      </c>
      <c r="AJ669" s="86">
        <f>AVERAGEIFS($D$2:D669, $B$2:B669, B669)</f>
        <v>0.53125</v>
      </c>
    </row>
    <row r="670" spans="1:36" x14ac:dyDescent="0.25">
      <c r="A670" s="85">
        <v>46109</v>
      </c>
      <c r="B670" t="s">
        <v>6</v>
      </c>
      <c r="C670">
        <v>32</v>
      </c>
      <c r="D670">
        <v>1</v>
      </c>
      <c r="E670">
        <v>4</v>
      </c>
      <c r="F670">
        <v>3</v>
      </c>
      <c r="G670">
        <v>18</v>
      </c>
      <c r="H670">
        <v>11</v>
      </c>
      <c r="I670">
        <v>0.75</v>
      </c>
      <c r="J670">
        <v>0.61</v>
      </c>
      <c r="K670">
        <v>0</v>
      </c>
      <c r="L670">
        <v>0</v>
      </c>
      <c r="M670">
        <v>0</v>
      </c>
      <c r="N670">
        <v>1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1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1</v>
      </c>
      <c r="AC670">
        <v>0</v>
      </c>
      <c r="AD670">
        <v>0</v>
      </c>
      <c r="AE670">
        <v>0</v>
      </c>
      <c r="AF670">
        <v>0</v>
      </c>
      <c r="AG670" s="86">
        <f>AVERAGEIFS($C$2:C670, $B$2:B670, B670)</f>
        <v>22.15909090909091</v>
      </c>
      <c r="AH670" s="86">
        <f>AVERAGEIFS($I$2:I670, $B$2:B670, B670)</f>
        <v>0.56659090909090915</v>
      </c>
      <c r="AI670" s="86">
        <f>AVERAGEIFS($J$2:J670, $B$2:B670, B670)</f>
        <v>0.53749999999999998</v>
      </c>
      <c r="AJ670" s="86">
        <f>AVERAGEIFS($D$2:D670, $B$2:B670, B670)</f>
        <v>0.65909090909090906</v>
      </c>
    </row>
    <row r="671" spans="1:36" x14ac:dyDescent="0.25">
      <c r="A671" s="85">
        <v>46109</v>
      </c>
      <c r="B671" t="s">
        <v>54</v>
      </c>
      <c r="C671">
        <v>31</v>
      </c>
      <c r="D671">
        <v>1</v>
      </c>
      <c r="E671">
        <v>4</v>
      </c>
      <c r="F671">
        <v>3</v>
      </c>
      <c r="G671">
        <v>18</v>
      </c>
      <c r="H671">
        <v>11</v>
      </c>
      <c r="I671">
        <v>0.75</v>
      </c>
      <c r="J671">
        <v>0.61</v>
      </c>
      <c r="K671">
        <v>0</v>
      </c>
      <c r="L671">
        <v>0</v>
      </c>
      <c r="M671">
        <v>0</v>
      </c>
      <c r="N671">
        <v>1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1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1</v>
      </c>
      <c r="AC671">
        <v>0</v>
      </c>
      <c r="AD671">
        <v>0</v>
      </c>
      <c r="AE671">
        <v>0</v>
      </c>
      <c r="AF671">
        <v>0</v>
      </c>
      <c r="AG671" s="86">
        <f>AVERAGEIFS($C$2:C671, $B$2:B671, B671)</f>
        <v>24.088888888888889</v>
      </c>
      <c r="AH671" s="86">
        <f>AVERAGEIFS($I$2:I671, $B$2:B671, B671)</f>
        <v>0.53933333333333344</v>
      </c>
      <c r="AI671" s="86">
        <f>AVERAGEIFS($J$2:J671, $B$2:B671, B671)</f>
        <v>0.51311111111111107</v>
      </c>
      <c r="AJ671" s="86">
        <f>AVERAGEIFS($D$2:D671, $B$2:B671, B671)</f>
        <v>0.55555555555555558</v>
      </c>
    </row>
    <row r="672" spans="1:36" x14ac:dyDescent="0.25">
      <c r="A672" s="85">
        <v>46109</v>
      </c>
      <c r="B672" t="s">
        <v>44</v>
      </c>
      <c r="C672">
        <v>15</v>
      </c>
      <c r="D672">
        <v>1</v>
      </c>
      <c r="E672">
        <v>4</v>
      </c>
      <c r="F672">
        <v>3</v>
      </c>
      <c r="G672">
        <v>18</v>
      </c>
      <c r="H672">
        <v>11</v>
      </c>
      <c r="I672">
        <v>0.75</v>
      </c>
      <c r="J672">
        <v>0.61</v>
      </c>
      <c r="K672">
        <v>0</v>
      </c>
      <c r="L672">
        <v>0</v>
      </c>
      <c r="M672">
        <v>0</v>
      </c>
      <c r="N672">
        <v>1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1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1</v>
      </c>
      <c r="AC672">
        <v>0</v>
      </c>
      <c r="AD672">
        <v>0</v>
      </c>
      <c r="AE672">
        <v>0</v>
      </c>
      <c r="AF672">
        <v>0</v>
      </c>
      <c r="AG672" s="86">
        <f>AVERAGEIFS($C$2:C672, $B$2:B672, B672)</f>
        <v>16.04</v>
      </c>
      <c r="AH672" s="86">
        <f>AVERAGEIFS($I$2:I672, $B$2:B672, B672)</f>
        <v>0.54599999999999993</v>
      </c>
      <c r="AI672" s="86">
        <f>AVERAGEIFS($J$2:J672, $B$2:B672, B672)</f>
        <v>0.54079999999999995</v>
      </c>
      <c r="AJ672" s="86">
        <f>AVERAGEIFS($D$2:D672, $B$2:B672, B672)</f>
        <v>0.68</v>
      </c>
    </row>
    <row r="673" spans="1:36" x14ac:dyDescent="0.25">
      <c r="A673" s="85">
        <v>46109</v>
      </c>
      <c r="B673" t="s">
        <v>14</v>
      </c>
      <c r="C673">
        <v>21</v>
      </c>
      <c r="D673">
        <v>1</v>
      </c>
      <c r="E673">
        <v>4</v>
      </c>
      <c r="F673">
        <v>3</v>
      </c>
      <c r="G673">
        <v>18</v>
      </c>
      <c r="H673">
        <v>11</v>
      </c>
      <c r="I673">
        <v>0.75</v>
      </c>
      <c r="J673">
        <v>0.61</v>
      </c>
      <c r="K673">
        <v>0</v>
      </c>
      <c r="L673">
        <v>0</v>
      </c>
      <c r="M673">
        <v>0</v>
      </c>
      <c r="N673">
        <v>1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1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1</v>
      </c>
      <c r="AC673">
        <v>0</v>
      </c>
      <c r="AD673">
        <v>0</v>
      </c>
      <c r="AE673">
        <v>0</v>
      </c>
      <c r="AF673">
        <v>0</v>
      </c>
      <c r="AG673" s="86">
        <f>AVERAGEIFS($C$2:C673, $B$2:B673, B673)</f>
        <v>17.066666666666666</v>
      </c>
      <c r="AH673" s="86">
        <f>AVERAGEIFS($I$2:I673, $B$2:B673, B673)</f>
        <v>0.51800000000000002</v>
      </c>
      <c r="AI673" s="86">
        <f>AVERAGEIFS($J$2:J673, $B$2:B673, B673)</f>
        <v>0.52933333333333343</v>
      </c>
      <c r="AJ673" s="86">
        <f>AVERAGEIFS($D$2:D673, $B$2:B673, B673)</f>
        <v>0.53333333333333333</v>
      </c>
    </row>
    <row r="674" spans="1:36" x14ac:dyDescent="0.25">
      <c r="A674" s="85">
        <v>46109</v>
      </c>
      <c r="B674" t="s">
        <v>2</v>
      </c>
      <c r="C674">
        <v>43</v>
      </c>
      <c r="D674">
        <v>1</v>
      </c>
      <c r="E674">
        <v>4</v>
      </c>
      <c r="F674">
        <v>3</v>
      </c>
      <c r="G674">
        <v>18</v>
      </c>
      <c r="H674">
        <v>11</v>
      </c>
      <c r="I674">
        <v>0.75</v>
      </c>
      <c r="J674">
        <v>0.61</v>
      </c>
      <c r="K674">
        <v>0</v>
      </c>
      <c r="L674">
        <v>0</v>
      </c>
      <c r="M674">
        <v>0</v>
      </c>
      <c r="N674">
        <v>1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1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1</v>
      </c>
      <c r="AC674">
        <v>0</v>
      </c>
      <c r="AD674">
        <v>0</v>
      </c>
      <c r="AE674">
        <v>0</v>
      </c>
      <c r="AF674">
        <v>0</v>
      </c>
      <c r="AG674" s="86">
        <f>AVERAGEIFS($C$2:C674, $B$2:B674, B674)</f>
        <v>23.964285714285715</v>
      </c>
      <c r="AH674" s="86">
        <f>AVERAGEIFS($I$2:I674, $B$2:B674, B674)</f>
        <v>0.55642857142857138</v>
      </c>
      <c r="AI674" s="86">
        <f>AVERAGEIFS($J$2:J674, $B$2:B674, B674)</f>
        <v>0.5535714285714286</v>
      </c>
      <c r="AJ674" s="86">
        <f>AVERAGEIFS($D$2:D674, $B$2:B674, B674)</f>
        <v>0.5714285714285714</v>
      </c>
    </row>
    <row r="675" spans="1:36" x14ac:dyDescent="0.25">
      <c r="A675" s="85">
        <v>46109</v>
      </c>
      <c r="B675" t="s">
        <v>154</v>
      </c>
      <c r="C675">
        <v>11</v>
      </c>
      <c r="D675">
        <v>1</v>
      </c>
      <c r="E675">
        <v>4</v>
      </c>
      <c r="F675">
        <v>3</v>
      </c>
      <c r="G675">
        <v>18</v>
      </c>
      <c r="H675">
        <v>11</v>
      </c>
      <c r="I675">
        <v>0.75</v>
      </c>
      <c r="J675">
        <v>0.61</v>
      </c>
      <c r="K675">
        <v>0</v>
      </c>
      <c r="L675">
        <v>0</v>
      </c>
      <c r="M675">
        <v>0</v>
      </c>
      <c r="N675">
        <v>1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1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1</v>
      </c>
      <c r="AC675">
        <v>0</v>
      </c>
      <c r="AD675">
        <v>0</v>
      </c>
      <c r="AE675">
        <v>0</v>
      </c>
      <c r="AF675">
        <v>0</v>
      </c>
      <c r="AG675" s="86">
        <f>AVERAGEIFS($C$2:C675, $B$2:B675, B675)</f>
        <v>10.75</v>
      </c>
      <c r="AH675" s="86">
        <f>AVERAGEIFS($I$2:I675, $B$2:B675, B675)</f>
        <v>0.48749999999999999</v>
      </c>
      <c r="AI675" s="86">
        <f>AVERAGEIFS($J$2:J675, $B$2:B675, B675)</f>
        <v>0.44999999999999996</v>
      </c>
      <c r="AJ675" s="86">
        <f>AVERAGEIFS($D$2:D675, $B$2:B675, B675)</f>
        <v>0.75</v>
      </c>
    </row>
    <row r="676" spans="1:36" x14ac:dyDescent="0.25">
      <c r="A676" s="85">
        <v>46109</v>
      </c>
      <c r="B676" t="s">
        <v>18</v>
      </c>
      <c r="C676">
        <v>20</v>
      </c>
      <c r="D676">
        <v>1</v>
      </c>
      <c r="E676">
        <v>4</v>
      </c>
      <c r="F676">
        <v>3</v>
      </c>
      <c r="G676">
        <v>18</v>
      </c>
      <c r="H676">
        <v>11</v>
      </c>
      <c r="I676">
        <v>0.75</v>
      </c>
      <c r="J676">
        <v>0.61</v>
      </c>
      <c r="K676">
        <v>0</v>
      </c>
      <c r="L676">
        <v>0</v>
      </c>
      <c r="M676">
        <v>0</v>
      </c>
      <c r="N676">
        <v>1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1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1</v>
      </c>
      <c r="AC676">
        <v>0</v>
      </c>
      <c r="AD676">
        <v>0</v>
      </c>
      <c r="AE676">
        <v>0</v>
      </c>
      <c r="AF676">
        <v>0</v>
      </c>
      <c r="AG676" s="86">
        <f>AVERAGEIFS($C$2:C676, $B$2:B676, B676)</f>
        <v>17.166666666666668</v>
      </c>
      <c r="AH676" s="86">
        <f>AVERAGEIFS($I$2:I676, $B$2:B676, B676)</f>
        <v>0.72499999999999998</v>
      </c>
      <c r="AI676" s="86">
        <f>AVERAGEIFS($J$2:J676, $B$2:B676, B676)</f>
        <v>0.61666666666666659</v>
      </c>
      <c r="AJ676" s="86">
        <f>AVERAGEIFS($D$2:D676, $B$2:B676, B676)</f>
        <v>0.83333333333333337</v>
      </c>
    </row>
    <row r="677" spans="1:36" x14ac:dyDescent="0.25">
      <c r="A677" s="85">
        <v>46109</v>
      </c>
      <c r="B677" t="s">
        <v>141</v>
      </c>
      <c r="C677">
        <v>16</v>
      </c>
      <c r="D677">
        <v>1</v>
      </c>
      <c r="E677">
        <v>4</v>
      </c>
      <c r="F677">
        <v>3</v>
      </c>
      <c r="G677">
        <v>18</v>
      </c>
      <c r="H677">
        <v>11</v>
      </c>
      <c r="I677">
        <v>0.75</v>
      </c>
      <c r="J677">
        <v>0.61</v>
      </c>
      <c r="K677">
        <v>0</v>
      </c>
      <c r="L677">
        <v>0</v>
      </c>
      <c r="M677">
        <v>0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1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1</v>
      </c>
      <c r="AC677">
        <v>0</v>
      </c>
      <c r="AD677">
        <v>0</v>
      </c>
      <c r="AE677">
        <v>0</v>
      </c>
      <c r="AF677">
        <v>0</v>
      </c>
      <c r="AG677" s="86">
        <f>AVERAGEIFS($C$2:C677, $B$2:B677, B677)</f>
        <v>13.9</v>
      </c>
      <c r="AH677" s="86">
        <f>AVERAGEIFS($I$2:I677, $B$2:B677, B677)</f>
        <v>0.41500000000000004</v>
      </c>
      <c r="AI677" s="86">
        <f>AVERAGEIFS($J$2:J677, $B$2:B677, B677)</f>
        <v>0.45600000000000007</v>
      </c>
      <c r="AJ677" s="86">
        <f>AVERAGEIFS($D$2:D677, $B$2:B677, B677)</f>
        <v>0.4</v>
      </c>
    </row>
    <row r="678" spans="1:36" x14ac:dyDescent="0.25">
      <c r="A678" s="85">
        <v>46110</v>
      </c>
      <c r="B678" t="s">
        <v>18</v>
      </c>
      <c r="C678">
        <v>26</v>
      </c>
      <c r="D678">
        <v>1</v>
      </c>
      <c r="E678">
        <v>3</v>
      </c>
      <c r="F678">
        <v>3</v>
      </c>
      <c r="G678">
        <v>14</v>
      </c>
      <c r="H678">
        <v>9</v>
      </c>
      <c r="I678">
        <v>1</v>
      </c>
      <c r="J678">
        <v>0.64</v>
      </c>
      <c r="K678">
        <v>0</v>
      </c>
      <c r="L678">
        <v>0</v>
      </c>
      <c r="M678">
        <v>1</v>
      </c>
      <c r="N678">
        <v>0</v>
      </c>
      <c r="O678">
        <v>0</v>
      </c>
      <c r="P678">
        <v>0</v>
      </c>
      <c r="Q678">
        <v>0</v>
      </c>
      <c r="R678">
        <v>1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1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  <c r="AG678" s="86">
        <f>AVERAGEIFS($C$2:C678, $B$2:B678, B678)</f>
        <v>18.428571428571427</v>
      </c>
      <c r="AH678" s="86">
        <f>AVERAGEIFS($I$2:I678, $B$2:B678, B678)</f>
        <v>0.76428571428571423</v>
      </c>
      <c r="AI678" s="86">
        <f>AVERAGEIFS($J$2:J678, $B$2:B678, B678)</f>
        <v>0.62</v>
      </c>
      <c r="AJ678" s="86">
        <f>AVERAGEIFS($D$2:D678, $B$2:B678, B678)</f>
        <v>0.8571428571428571</v>
      </c>
    </row>
    <row r="679" spans="1:36" x14ac:dyDescent="0.25">
      <c r="A679" s="85">
        <v>46110</v>
      </c>
      <c r="B679" t="s">
        <v>2</v>
      </c>
      <c r="C679">
        <v>25</v>
      </c>
      <c r="D679">
        <v>1</v>
      </c>
      <c r="E679">
        <v>3</v>
      </c>
      <c r="F679">
        <v>3</v>
      </c>
      <c r="G679">
        <v>14</v>
      </c>
      <c r="H679">
        <v>9</v>
      </c>
      <c r="I679">
        <v>1</v>
      </c>
      <c r="J679">
        <v>0.64</v>
      </c>
      <c r="K679">
        <v>0</v>
      </c>
      <c r="L679">
        <v>0</v>
      </c>
      <c r="M679">
        <v>1</v>
      </c>
      <c r="N679">
        <v>0</v>
      </c>
      <c r="O679">
        <v>0</v>
      </c>
      <c r="P679">
        <v>0</v>
      </c>
      <c r="Q679">
        <v>0</v>
      </c>
      <c r="R679">
        <v>1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1</v>
      </c>
      <c r="AA679">
        <v>0</v>
      </c>
      <c r="AB679">
        <v>0</v>
      </c>
      <c r="AC679">
        <v>0</v>
      </c>
      <c r="AD679">
        <v>0</v>
      </c>
      <c r="AE679">
        <v>0</v>
      </c>
      <c r="AF679">
        <v>0</v>
      </c>
      <c r="AG679" s="86">
        <f>AVERAGEIFS($C$2:C679, $B$2:B679, B679)</f>
        <v>24</v>
      </c>
      <c r="AH679" s="86">
        <f>AVERAGEIFS($I$2:I679, $B$2:B679, B679)</f>
        <v>0.57172413793103438</v>
      </c>
      <c r="AI679" s="86">
        <f>AVERAGEIFS($J$2:J679, $B$2:B679, B679)</f>
        <v>0.55655172413793108</v>
      </c>
      <c r="AJ679" s="86">
        <f>AVERAGEIFS($D$2:D679, $B$2:B679, B679)</f>
        <v>0.58620689655172409</v>
      </c>
    </row>
    <row r="680" spans="1:36" x14ac:dyDescent="0.25">
      <c r="A680" s="85">
        <v>46110</v>
      </c>
      <c r="B680" t="s">
        <v>40</v>
      </c>
      <c r="C680">
        <v>18</v>
      </c>
      <c r="D680">
        <v>1</v>
      </c>
      <c r="E680">
        <v>3</v>
      </c>
      <c r="F680">
        <v>3</v>
      </c>
      <c r="G680">
        <v>14</v>
      </c>
      <c r="H680">
        <v>9</v>
      </c>
      <c r="I680">
        <v>1</v>
      </c>
      <c r="J680">
        <v>0.64</v>
      </c>
      <c r="K680">
        <v>0</v>
      </c>
      <c r="L680">
        <v>0</v>
      </c>
      <c r="M680">
        <v>1</v>
      </c>
      <c r="N680">
        <v>0</v>
      </c>
      <c r="O680">
        <v>0</v>
      </c>
      <c r="P680">
        <v>0</v>
      </c>
      <c r="Q680">
        <v>0</v>
      </c>
      <c r="R680">
        <v>1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1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 s="86">
        <f>AVERAGEIFS($C$2:C680, $B$2:B680, B680)</f>
        <v>18.09090909090909</v>
      </c>
      <c r="AH680" s="86">
        <f>AVERAGEIFS($I$2:I680, $B$2:B680, B680)</f>
        <v>0.4829545454545453</v>
      </c>
      <c r="AI680" s="86">
        <f>AVERAGEIFS($J$2:J680, $B$2:B680, B680)</f>
        <v>0.48068181818181832</v>
      </c>
      <c r="AJ680" s="86">
        <f>AVERAGEIFS($D$2:D680, $B$2:B680, B680)</f>
        <v>0.40909090909090912</v>
      </c>
    </row>
    <row r="681" spans="1:36" x14ac:dyDescent="0.25">
      <c r="A681" s="85">
        <v>46110</v>
      </c>
      <c r="B681" t="s">
        <v>148</v>
      </c>
      <c r="C681">
        <v>15</v>
      </c>
      <c r="D681">
        <v>1</v>
      </c>
      <c r="E681">
        <v>3</v>
      </c>
      <c r="F681">
        <v>3</v>
      </c>
      <c r="G681">
        <v>14</v>
      </c>
      <c r="H681">
        <v>9</v>
      </c>
      <c r="I681">
        <v>1</v>
      </c>
      <c r="J681">
        <v>0.64</v>
      </c>
      <c r="K681">
        <v>0</v>
      </c>
      <c r="L681">
        <v>0</v>
      </c>
      <c r="M681">
        <v>1</v>
      </c>
      <c r="N681">
        <v>0</v>
      </c>
      <c r="O681">
        <v>0</v>
      </c>
      <c r="P681">
        <v>0</v>
      </c>
      <c r="Q681">
        <v>0</v>
      </c>
      <c r="R681">
        <v>1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1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 s="86">
        <f>AVERAGEIFS($C$2:C681, $B$2:B681, B681)</f>
        <v>10.0625</v>
      </c>
      <c r="AH681" s="86">
        <f>AVERAGEIFS($I$2:I681, $B$2:B681, B681)</f>
        <v>0.57499999999999996</v>
      </c>
      <c r="AI681" s="86">
        <f>AVERAGEIFS($J$2:J681, $B$2:B681, B681)</f>
        <v>0.53249999999999986</v>
      </c>
      <c r="AJ681" s="86">
        <f>AVERAGEIFS($D$2:D681, $B$2:B681, B681)</f>
        <v>0.5625</v>
      </c>
    </row>
    <row r="682" spans="1:36" x14ac:dyDescent="0.25">
      <c r="A682" s="85">
        <v>46110</v>
      </c>
      <c r="B682" t="s">
        <v>113</v>
      </c>
      <c r="C682">
        <v>12</v>
      </c>
      <c r="D682">
        <v>1</v>
      </c>
      <c r="E682">
        <v>3</v>
      </c>
      <c r="F682">
        <v>3</v>
      </c>
      <c r="G682">
        <v>14</v>
      </c>
      <c r="H682">
        <v>9</v>
      </c>
      <c r="I682">
        <v>1</v>
      </c>
      <c r="J682">
        <v>0.64</v>
      </c>
      <c r="K682">
        <v>0</v>
      </c>
      <c r="L682">
        <v>0</v>
      </c>
      <c r="M682">
        <v>1</v>
      </c>
      <c r="N682">
        <v>0</v>
      </c>
      <c r="O682">
        <v>0</v>
      </c>
      <c r="P682">
        <v>0</v>
      </c>
      <c r="Q682">
        <v>0</v>
      </c>
      <c r="R682">
        <v>1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1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 s="86">
        <f>AVERAGEIFS($C$2:C682, $B$2:B682, B682)</f>
        <v>16.095238095238095</v>
      </c>
      <c r="AH682" s="86">
        <f>AVERAGEIFS($I$2:I682, $B$2:B682, B682)</f>
        <v>0.52142857142857146</v>
      </c>
      <c r="AI682" s="86">
        <f>AVERAGEIFS($J$2:J682, $B$2:B682, B682)</f>
        <v>0.49571428571428583</v>
      </c>
      <c r="AJ682" s="86">
        <f>AVERAGEIFS($D$2:D682, $B$2:B682, B682)</f>
        <v>0.47619047619047616</v>
      </c>
    </row>
    <row r="683" spans="1:36" x14ac:dyDescent="0.25">
      <c r="A683" s="85">
        <v>46110</v>
      </c>
      <c r="B683" t="s">
        <v>141</v>
      </c>
      <c r="C683">
        <v>7</v>
      </c>
      <c r="D683">
        <v>1</v>
      </c>
      <c r="E683">
        <v>3</v>
      </c>
      <c r="F683">
        <v>3</v>
      </c>
      <c r="G683">
        <v>14</v>
      </c>
      <c r="H683">
        <v>9</v>
      </c>
      <c r="I683">
        <v>1</v>
      </c>
      <c r="J683">
        <v>0.64</v>
      </c>
      <c r="K683">
        <v>0</v>
      </c>
      <c r="L683">
        <v>0</v>
      </c>
      <c r="M683">
        <v>1</v>
      </c>
      <c r="N683">
        <v>0</v>
      </c>
      <c r="O683">
        <v>0</v>
      </c>
      <c r="P683">
        <v>0</v>
      </c>
      <c r="Q683">
        <v>0</v>
      </c>
      <c r="R683">
        <v>1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1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 s="86">
        <f>AVERAGEIFS($C$2:C683, $B$2:B683, B683)</f>
        <v>13.272727272727273</v>
      </c>
      <c r="AH683" s="86">
        <f>AVERAGEIFS($I$2:I683, $B$2:B683, B683)</f>
        <v>0.4681818181818182</v>
      </c>
      <c r="AI683" s="86">
        <f>AVERAGEIFS($J$2:J683, $B$2:B683, B683)</f>
        <v>0.47272727272727272</v>
      </c>
      <c r="AJ683" s="86">
        <f>AVERAGEIFS($D$2:D683, $B$2:B683, B683)</f>
        <v>0.45454545454545453</v>
      </c>
    </row>
    <row r="684" spans="1:36" x14ac:dyDescent="0.25">
      <c r="A684" s="85">
        <v>46110</v>
      </c>
      <c r="B684" t="s">
        <v>54</v>
      </c>
      <c r="C684">
        <v>20</v>
      </c>
      <c r="D684">
        <v>0</v>
      </c>
      <c r="E684">
        <v>3</v>
      </c>
      <c r="F684">
        <v>0</v>
      </c>
      <c r="G684">
        <v>14</v>
      </c>
      <c r="H684">
        <v>5</v>
      </c>
      <c r="I684">
        <v>0</v>
      </c>
      <c r="J684">
        <v>0.36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 s="86">
        <f>AVERAGEIFS($C$2:C684, $B$2:B684, B684)</f>
        <v>24</v>
      </c>
      <c r="AH684" s="86">
        <f>AVERAGEIFS($I$2:I684, $B$2:B684, B684)</f>
        <v>0.52760869565217394</v>
      </c>
      <c r="AI684" s="86">
        <f>AVERAGEIFS($J$2:J684, $B$2:B684, B684)</f>
        <v>0.50978260869565217</v>
      </c>
      <c r="AJ684" s="86">
        <f>AVERAGEIFS($D$2:D684, $B$2:B684, B684)</f>
        <v>0.54347826086956519</v>
      </c>
    </row>
    <row r="685" spans="1:36" x14ac:dyDescent="0.25">
      <c r="A685" s="85">
        <v>46110</v>
      </c>
      <c r="B685" t="s">
        <v>6</v>
      </c>
      <c r="C685">
        <v>20</v>
      </c>
      <c r="D685">
        <v>0</v>
      </c>
      <c r="E685">
        <v>3</v>
      </c>
      <c r="F685">
        <v>0</v>
      </c>
      <c r="G685">
        <v>14</v>
      </c>
      <c r="H685">
        <v>5</v>
      </c>
      <c r="I685">
        <v>0</v>
      </c>
      <c r="J685">
        <v>0.36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 s="86">
        <f>AVERAGEIFS($C$2:C685, $B$2:B685, B685)</f>
        <v>22.111111111111111</v>
      </c>
      <c r="AH685" s="86">
        <f>AVERAGEIFS($I$2:I685, $B$2:B685, B685)</f>
        <v>0.55400000000000005</v>
      </c>
      <c r="AI685" s="86">
        <f>AVERAGEIFS($J$2:J685, $B$2:B685, B685)</f>
        <v>0.53355555555555556</v>
      </c>
      <c r="AJ685" s="86">
        <f>AVERAGEIFS($D$2:D685, $B$2:B685, B685)</f>
        <v>0.64444444444444449</v>
      </c>
    </row>
    <row r="686" spans="1:36" x14ac:dyDescent="0.25">
      <c r="A686" s="85">
        <v>46110</v>
      </c>
      <c r="B686" t="s">
        <v>71</v>
      </c>
      <c r="C686">
        <v>13</v>
      </c>
      <c r="D686">
        <v>0</v>
      </c>
      <c r="E686">
        <v>3</v>
      </c>
      <c r="F686">
        <v>0</v>
      </c>
      <c r="G686">
        <v>14</v>
      </c>
      <c r="H686">
        <v>5</v>
      </c>
      <c r="I686">
        <v>0</v>
      </c>
      <c r="J686">
        <v>0.36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 s="86">
        <f>AVERAGEIFS($C$2:C686, $B$2:B686, B686)</f>
        <v>12.823529411764707</v>
      </c>
      <c r="AH686" s="86">
        <f>AVERAGEIFS($I$2:I686, $B$2:B686, B686)</f>
        <v>0.47647058823529409</v>
      </c>
      <c r="AI686" s="86">
        <f>AVERAGEIFS($J$2:J686, $B$2:B686, B686)</f>
        <v>0.47882352941176476</v>
      </c>
      <c r="AJ686" s="86">
        <f>AVERAGEIFS($D$2:D686, $B$2:B686, B686)</f>
        <v>0.58823529411764708</v>
      </c>
    </row>
    <row r="687" spans="1:36" x14ac:dyDescent="0.25">
      <c r="A687" s="85">
        <v>46110</v>
      </c>
      <c r="B687" t="s">
        <v>44</v>
      </c>
      <c r="C687">
        <v>10</v>
      </c>
      <c r="D687">
        <v>0</v>
      </c>
      <c r="E687">
        <v>3</v>
      </c>
      <c r="F687">
        <v>0</v>
      </c>
      <c r="G687">
        <v>14</v>
      </c>
      <c r="H687">
        <v>5</v>
      </c>
      <c r="I687">
        <v>0</v>
      </c>
      <c r="J687">
        <v>0.36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 s="86">
        <f>AVERAGEIFS($C$2:C687, $B$2:B687, B687)</f>
        <v>15.807692307692308</v>
      </c>
      <c r="AH687" s="86">
        <f>AVERAGEIFS($I$2:I687, $B$2:B687, B687)</f>
        <v>0.52499999999999991</v>
      </c>
      <c r="AI687" s="86">
        <f>AVERAGEIFS($J$2:J687, $B$2:B687, B687)</f>
        <v>0.53384615384615386</v>
      </c>
      <c r="AJ687" s="86">
        <f>AVERAGEIFS($D$2:D687, $B$2:B687, B687)</f>
        <v>0.65384615384615385</v>
      </c>
    </row>
    <row r="688" spans="1:36" x14ac:dyDescent="0.25">
      <c r="A688" s="85">
        <v>46110</v>
      </c>
      <c r="B688" t="s">
        <v>142</v>
      </c>
      <c r="C688">
        <v>15</v>
      </c>
      <c r="D688">
        <v>0</v>
      </c>
      <c r="E688">
        <v>3</v>
      </c>
      <c r="F688">
        <v>0</v>
      </c>
      <c r="G688">
        <v>14</v>
      </c>
      <c r="H688">
        <v>5</v>
      </c>
      <c r="I688">
        <v>0</v>
      </c>
      <c r="J688">
        <v>0.36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 s="86">
        <f>AVERAGEIFS($C$2:C688, $B$2:B688, B688)</f>
        <v>13.666666666666666</v>
      </c>
      <c r="AH688" s="86">
        <f>AVERAGEIFS($I$2:I688, $B$2:B688, B688)</f>
        <v>0.43333333333333335</v>
      </c>
      <c r="AI688" s="86">
        <f>AVERAGEIFS($J$2:J688, $B$2:B688, B688)</f>
        <v>0.50166666666666671</v>
      </c>
      <c r="AJ688" s="86">
        <f>AVERAGEIFS($D$2:D688, $B$2:B688, B688)</f>
        <v>0.5</v>
      </c>
    </row>
    <row r="689" spans="1:36" x14ac:dyDescent="0.25">
      <c r="A689" s="85">
        <v>46110</v>
      </c>
      <c r="B689" t="s">
        <v>13</v>
      </c>
      <c r="C689">
        <v>20</v>
      </c>
      <c r="D689">
        <v>0</v>
      </c>
      <c r="E689">
        <v>3</v>
      </c>
      <c r="F689">
        <v>0</v>
      </c>
      <c r="G689">
        <v>14</v>
      </c>
      <c r="H689">
        <v>5</v>
      </c>
      <c r="I689">
        <v>0</v>
      </c>
      <c r="J689">
        <v>0.36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 s="86">
        <f>AVERAGEIFS($C$2:C689, $B$2:B689, B689)</f>
        <v>13.272727272727273</v>
      </c>
      <c r="AH689" s="86">
        <f>AVERAGEIFS($I$2:I689, $B$2:B689, B689)</f>
        <v>0.49545454545454548</v>
      </c>
      <c r="AI689" s="86">
        <f>AVERAGEIFS($J$2:J689, $B$2:B689, B689)</f>
        <v>0.5154545454545455</v>
      </c>
      <c r="AJ689" s="86">
        <f>AVERAGEIFS($D$2:D689, $B$2:B689, B689)</f>
        <v>0.36363636363636365</v>
      </c>
    </row>
    <row r="690" spans="1:36" x14ac:dyDescent="0.25">
      <c r="A690" s="85">
        <v>46112</v>
      </c>
      <c r="B690" t="s">
        <v>1</v>
      </c>
      <c r="C690">
        <v>38</v>
      </c>
      <c r="D690">
        <v>1</v>
      </c>
      <c r="E690">
        <v>4</v>
      </c>
      <c r="F690">
        <v>3</v>
      </c>
      <c r="G690">
        <v>18</v>
      </c>
      <c r="H690">
        <v>10</v>
      </c>
      <c r="I690">
        <v>0.75</v>
      </c>
      <c r="J690">
        <v>0.56000000000000005</v>
      </c>
      <c r="K690">
        <v>0</v>
      </c>
      <c r="L690">
        <v>0</v>
      </c>
      <c r="M690">
        <v>0</v>
      </c>
      <c r="N690">
        <v>1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1</v>
      </c>
      <c r="W690">
        <v>0</v>
      </c>
      <c r="X690">
        <v>0</v>
      </c>
      <c r="Y690">
        <v>0</v>
      </c>
      <c r="Z690">
        <v>1</v>
      </c>
      <c r="AA690">
        <v>0</v>
      </c>
      <c r="AB690">
        <v>0</v>
      </c>
      <c r="AC690">
        <v>0</v>
      </c>
      <c r="AD690">
        <v>0</v>
      </c>
      <c r="AE690">
        <v>0</v>
      </c>
      <c r="AF690">
        <v>0</v>
      </c>
      <c r="AG690" s="86">
        <f>AVERAGEIFS($C$2:C690, $B$2:B690, B690)</f>
        <v>27.304347826086957</v>
      </c>
      <c r="AH690" s="86">
        <f>AVERAGEIFS($I$2:I690, $B$2:B690, B690)</f>
        <v>0.44347826086956527</v>
      </c>
      <c r="AI690" s="86">
        <f>AVERAGEIFS($J$2:J690, $B$2:B690, B690)</f>
        <v>0.46043478260869564</v>
      </c>
      <c r="AJ690" s="86">
        <f>AVERAGEIFS($D$2:D690, $B$2:B690, B690)</f>
        <v>0.47826086956521741</v>
      </c>
    </row>
    <row r="691" spans="1:36" x14ac:dyDescent="0.25">
      <c r="A691" s="85">
        <v>46112</v>
      </c>
      <c r="B691" t="s">
        <v>148</v>
      </c>
      <c r="C691">
        <v>33</v>
      </c>
      <c r="D691">
        <v>1</v>
      </c>
      <c r="E691">
        <v>4</v>
      </c>
      <c r="F691">
        <v>3</v>
      </c>
      <c r="G691">
        <v>18</v>
      </c>
      <c r="H691">
        <v>10</v>
      </c>
      <c r="I691">
        <v>0.75</v>
      </c>
      <c r="J691">
        <v>0.56000000000000005</v>
      </c>
      <c r="K691">
        <v>0</v>
      </c>
      <c r="L691">
        <v>0</v>
      </c>
      <c r="M691">
        <v>0</v>
      </c>
      <c r="N691">
        <v>1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1</v>
      </c>
      <c r="W691">
        <v>0</v>
      </c>
      <c r="X691">
        <v>0</v>
      </c>
      <c r="Y691">
        <v>0</v>
      </c>
      <c r="Z691">
        <v>1</v>
      </c>
      <c r="AA691">
        <v>0</v>
      </c>
      <c r="AB691">
        <v>0</v>
      </c>
      <c r="AC691">
        <v>0</v>
      </c>
      <c r="AD691">
        <v>0</v>
      </c>
      <c r="AE691">
        <v>0</v>
      </c>
      <c r="AF691">
        <v>0</v>
      </c>
      <c r="AG691" s="86">
        <f>AVERAGEIFS($C$2:C691, $B$2:B691, B691)</f>
        <v>11.411764705882353</v>
      </c>
      <c r="AH691" s="86">
        <f>AVERAGEIFS($I$2:I691, $B$2:B691, B691)</f>
        <v>0.58529411764705874</v>
      </c>
      <c r="AI691" s="86">
        <f>AVERAGEIFS($J$2:J691, $B$2:B691, B691)</f>
        <v>0.53411764705882347</v>
      </c>
      <c r="AJ691" s="86">
        <f>AVERAGEIFS($D$2:D691, $B$2:B691, B691)</f>
        <v>0.58823529411764708</v>
      </c>
    </row>
    <row r="692" spans="1:36" x14ac:dyDescent="0.25">
      <c r="A692" s="85">
        <v>46112</v>
      </c>
      <c r="B692" t="s">
        <v>17</v>
      </c>
      <c r="C692">
        <v>32</v>
      </c>
      <c r="D692">
        <v>1</v>
      </c>
      <c r="E692">
        <v>4</v>
      </c>
      <c r="F692">
        <v>3</v>
      </c>
      <c r="G692">
        <v>18</v>
      </c>
      <c r="H692">
        <v>10</v>
      </c>
      <c r="I692">
        <v>0.75</v>
      </c>
      <c r="J692">
        <v>0.56000000000000005</v>
      </c>
      <c r="K692">
        <v>0</v>
      </c>
      <c r="L692">
        <v>0</v>
      </c>
      <c r="M692">
        <v>0</v>
      </c>
      <c r="N692">
        <v>1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1</v>
      </c>
      <c r="W692">
        <v>0</v>
      </c>
      <c r="X692">
        <v>0</v>
      </c>
      <c r="Y692">
        <v>0</v>
      </c>
      <c r="Z692">
        <v>1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 s="86">
        <f>AVERAGEIFS($C$2:C692, $B$2:B692, B692)</f>
        <v>20.73076923076923</v>
      </c>
      <c r="AH692" s="86">
        <f>AVERAGEIFS($I$2:I692, $B$2:B692, B692)</f>
        <v>0.495</v>
      </c>
      <c r="AI692" s="86">
        <f>AVERAGEIFS($J$2:J692, $B$2:B692, B692)</f>
        <v>0.48153846153846164</v>
      </c>
      <c r="AJ692" s="86">
        <f>AVERAGEIFS($D$2:D692, $B$2:B692, B692)</f>
        <v>0.46153846153846156</v>
      </c>
    </row>
    <row r="693" spans="1:36" x14ac:dyDescent="0.25">
      <c r="A693" s="85">
        <v>46112</v>
      </c>
      <c r="B693" t="s">
        <v>54</v>
      </c>
      <c r="C693">
        <v>29</v>
      </c>
      <c r="D693">
        <v>1</v>
      </c>
      <c r="E693">
        <v>4</v>
      </c>
      <c r="F693">
        <v>3</v>
      </c>
      <c r="G693">
        <v>18</v>
      </c>
      <c r="H693">
        <v>10</v>
      </c>
      <c r="I693">
        <v>0.75</v>
      </c>
      <c r="J693">
        <v>0.56000000000000005</v>
      </c>
      <c r="K693">
        <v>0</v>
      </c>
      <c r="L693">
        <v>0</v>
      </c>
      <c r="M693">
        <v>0</v>
      </c>
      <c r="N693">
        <v>1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1</v>
      </c>
      <c r="W693">
        <v>0</v>
      </c>
      <c r="X693">
        <v>0</v>
      </c>
      <c r="Y693">
        <v>0</v>
      </c>
      <c r="Z693">
        <v>1</v>
      </c>
      <c r="AA693">
        <v>0</v>
      </c>
      <c r="AB693">
        <v>0</v>
      </c>
      <c r="AC693">
        <v>0</v>
      </c>
      <c r="AD693">
        <v>0</v>
      </c>
      <c r="AE693">
        <v>0</v>
      </c>
      <c r="AF693">
        <v>0</v>
      </c>
      <c r="AG693" s="86">
        <f>AVERAGEIFS($C$2:C693, $B$2:B693, B693)</f>
        <v>24.106382978723403</v>
      </c>
      <c r="AH693" s="86">
        <f>AVERAGEIFS($I$2:I693, $B$2:B693, B693)</f>
        <v>0.53234042553191496</v>
      </c>
      <c r="AI693" s="86">
        <f>AVERAGEIFS($J$2:J693, $B$2:B693, B693)</f>
        <v>0.51085106382978718</v>
      </c>
      <c r="AJ693" s="86">
        <f>AVERAGEIFS($D$2:D693, $B$2:B693, B693)</f>
        <v>0.55319148936170215</v>
      </c>
    </row>
    <row r="694" spans="1:36" x14ac:dyDescent="0.25">
      <c r="A694" s="85">
        <v>46112</v>
      </c>
      <c r="B694" t="s">
        <v>35</v>
      </c>
      <c r="C694">
        <v>24</v>
      </c>
      <c r="D694">
        <v>1</v>
      </c>
      <c r="E694">
        <v>4</v>
      </c>
      <c r="F694">
        <v>3</v>
      </c>
      <c r="G694">
        <v>18</v>
      </c>
      <c r="H694">
        <v>10</v>
      </c>
      <c r="I694">
        <v>0.75</v>
      </c>
      <c r="J694">
        <v>0.56000000000000005</v>
      </c>
      <c r="K694">
        <v>0</v>
      </c>
      <c r="L694">
        <v>0</v>
      </c>
      <c r="M694">
        <v>0</v>
      </c>
      <c r="N694">
        <v>1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1</v>
      </c>
      <c r="W694">
        <v>0</v>
      </c>
      <c r="X694">
        <v>0</v>
      </c>
      <c r="Y694">
        <v>0</v>
      </c>
      <c r="Z694">
        <v>1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G694" s="86">
        <f>AVERAGEIFS($C$2:C694, $B$2:B694, B694)</f>
        <v>11.085714285714285</v>
      </c>
      <c r="AH694" s="86">
        <f>AVERAGEIFS($I$2:I694, $B$2:B694, B694)</f>
        <v>0.47371428571428575</v>
      </c>
      <c r="AI694" s="86">
        <f>AVERAGEIFS($J$2:J694, $B$2:B694, B694)</f>
        <v>0.49142857142857138</v>
      </c>
      <c r="AJ694" s="86">
        <f>AVERAGEIFS($D$2:D694, $B$2:B694, B694)</f>
        <v>0.45714285714285713</v>
      </c>
    </row>
    <row r="695" spans="1:36" x14ac:dyDescent="0.25">
      <c r="A695" s="85">
        <v>46112</v>
      </c>
      <c r="B695" t="s">
        <v>50</v>
      </c>
      <c r="C695">
        <v>24</v>
      </c>
      <c r="D695">
        <v>1</v>
      </c>
      <c r="E695">
        <v>4</v>
      </c>
      <c r="F695">
        <v>3</v>
      </c>
      <c r="G695">
        <v>18</v>
      </c>
      <c r="H695">
        <v>10</v>
      </c>
      <c r="I695">
        <v>0.75</v>
      </c>
      <c r="J695">
        <v>0.56000000000000005</v>
      </c>
      <c r="K695">
        <v>0</v>
      </c>
      <c r="L695">
        <v>0</v>
      </c>
      <c r="M695">
        <v>0</v>
      </c>
      <c r="N695">
        <v>1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1</v>
      </c>
      <c r="W695">
        <v>0</v>
      </c>
      <c r="X695">
        <v>0</v>
      </c>
      <c r="Y695">
        <v>0</v>
      </c>
      <c r="Z695">
        <v>1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 s="86">
        <f>AVERAGEIFS($C$2:C695, $B$2:B695, B695)</f>
        <v>18.545454545454547</v>
      </c>
      <c r="AH695" s="86">
        <f>AVERAGEIFS($I$2:I695, $B$2:B695, B695)</f>
        <v>0.54181818181818187</v>
      </c>
      <c r="AI695" s="86">
        <f>AVERAGEIFS($J$2:J695, $B$2:B695, B695)</f>
        <v>0.5360606060606059</v>
      </c>
      <c r="AJ695" s="86">
        <f>AVERAGEIFS($D$2:D695, $B$2:B695, B695)</f>
        <v>0.54545454545454541</v>
      </c>
    </row>
    <row r="696" spans="1:36" x14ac:dyDescent="0.25">
      <c r="A696" s="85">
        <v>46112</v>
      </c>
      <c r="B696" t="s">
        <v>113</v>
      </c>
      <c r="C696">
        <v>23</v>
      </c>
      <c r="D696">
        <v>1</v>
      </c>
      <c r="E696">
        <v>4</v>
      </c>
      <c r="F696">
        <v>3</v>
      </c>
      <c r="G696">
        <v>18</v>
      </c>
      <c r="H696">
        <v>10</v>
      </c>
      <c r="I696">
        <v>0.75</v>
      </c>
      <c r="J696">
        <v>0.56000000000000005</v>
      </c>
      <c r="K696">
        <v>0</v>
      </c>
      <c r="L696">
        <v>0</v>
      </c>
      <c r="M696">
        <v>0</v>
      </c>
      <c r="N696">
        <v>1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1</v>
      </c>
      <c r="W696">
        <v>0</v>
      </c>
      <c r="X696">
        <v>0</v>
      </c>
      <c r="Y696">
        <v>0</v>
      </c>
      <c r="Z696">
        <v>1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 s="86">
        <f>AVERAGEIFS($C$2:C696, $B$2:B696, B696)</f>
        <v>16.40909090909091</v>
      </c>
      <c r="AH696" s="86">
        <f>AVERAGEIFS($I$2:I696, $B$2:B696, B696)</f>
        <v>0.53181818181818186</v>
      </c>
      <c r="AI696" s="86">
        <f>AVERAGEIFS($J$2:J696, $B$2:B696, B696)</f>
        <v>0.49863636363636377</v>
      </c>
      <c r="AJ696" s="86">
        <f>AVERAGEIFS($D$2:D696, $B$2:B696, B696)</f>
        <v>0.5</v>
      </c>
    </row>
    <row r="697" spans="1:36" x14ac:dyDescent="0.25">
      <c r="A697" s="85">
        <v>46112</v>
      </c>
      <c r="B697" t="s">
        <v>40</v>
      </c>
      <c r="C697">
        <v>18</v>
      </c>
      <c r="D697">
        <v>1</v>
      </c>
      <c r="E697">
        <v>4</v>
      </c>
      <c r="F697">
        <v>3</v>
      </c>
      <c r="G697">
        <v>18</v>
      </c>
      <c r="H697">
        <v>10</v>
      </c>
      <c r="I697">
        <v>0.75</v>
      </c>
      <c r="J697">
        <v>0.56000000000000005</v>
      </c>
      <c r="K697">
        <v>0</v>
      </c>
      <c r="L697">
        <v>0</v>
      </c>
      <c r="M697">
        <v>0</v>
      </c>
      <c r="N697">
        <v>1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1</v>
      </c>
      <c r="W697">
        <v>0</v>
      </c>
      <c r="X697">
        <v>0</v>
      </c>
      <c r="Y697">
        <v>0</v>
      </c>
      <c r="Z697">
        <v>1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 s="86">
        <f>AVERAGEIFS($C$2:C697, $B$2:B697, B697)</f>
        <v>18.088888888888889</v>
      </c>
      <c r="AH697" s="86">
        <f>AVERAGEIFS($I$2:I697, $B$2:B697, B697)</f>
        <v>0.48888888888888871</v>
      </c>
      <c r="AI697" s="86">
        <f>AVERAGEIFS($J$2:J697, $B$2:B697, B697)</f>
        <v>0.48244444444444456</v>
      </c>
      <c r="AJ697" s="86">
        <f>AVERAGEIFS($D$2:D697, $B$2:B697, B697)</f>
        <v>0.42222222222222222</v>
      </c>
    </row>
    <row r="698" spans="1:36" x14ac:dyDescent="0.25">
      <c r="A698" s="85">
        <v>46112</v>
      </c>
      <c r="B698" t="s">
        <v>44</v>
      </c>
      <c r="C698">
        <v>36</v>
      </c>
      <c r="D698">
        <v>0</v>
      </c>
      <c r="E698">
        <v>4</v>
      </c>
      <c r="F698">
        <v>1</v>
      </c>
      <c r="G698">
        <v>18</v>
      </c>
      <c r="H698">
        <v>8</v>
      </c>
      <c r="I698">
        <v>0.25</v>
      </c>
      <c r="J698">
        <v>0.44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1</v>
      </c>
      <c r="AC698">
        <v>0</v>
      </c>
      <c r="AD698">
        <v>0</v>
      </c>
      <c r="AE698">
        <v>0</v>
      </c>
      <c r="AF698">
        <v>0</v>
      </c>
      <c r="AG698" s="86">
        <f>AVERAGEIFS($C$2:C698, $B$2:B698, B698)</f>
        <v>16.555555555555557</v>
      </c>
      <c r="AH698" s="86">
        <f>AVERAGEIFS($I$2:I698, $B$2:B698, B698)</f>
        <v>0.51481481481481473</v>
      </c>
      <c r="AI698" s="86">
        <f>AVERAGEIFS($J$2:J698, $B$2:B698, B698)</f>
        <v>0.53037037037037027</v>
      </c>
      <c r="AJ698" s="86">
        <f>AVERAGEIFS($D$2:D698, $B$2:B698, B698)</f>
        <v>0.62962962962962965</v>
      </c>
    </row>
    <row r="699" spans="1:36" x14ac:dyDescent="0.25">
      <c r="A699" s="85">
        <v>46112</v>
      </c>
      <c r="B699" t="s">
        <v>107</v>
      </c>
      <c r="C699">
        <v>35</v>
      </c>
      <c r="D699">
        <v>0</v>
      </c>
      <c r="E699">
        <v>4</v>
      </c>
      <c r="F699">
        <v>1</v>
      </c>
      <c r="G699">
        <v>18</v>
      </c>
      <c r="H699">
        <v>8</v>
      </c>
      <c r="I699">
        <v>0.25</v>
      </c>
      <c r="J699">
        <v>0.44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1</v>
      </c>
      <c r="AC699">
        <v>0</v>
      </c>
      <c r="AD699">
        <v>0</v>
      </c>
      <c r="AE699">
        <v>0</v>
      </c>
      <c r="AF699">
        <v>0</v>
      </c>
      <c r="AG699" s="86">
        <f>AVERAGEIFS($C$2:C699, $B$2:B699, B699)</f>
        <v>17</v>
      </c>
      <c r="AH699" s="86">
        <f>AVERAGEIFS($I$2:I699, $B$2:B699, B699)</f>
        <v>0.55555555555555547</v>
      </c>
      <c r="AI699" s="86">
        <f>AVERAGEIFS($J$2:J699, $B$2:B699, B699)</f>
        <v>0.54074074074074086</v>
      </c>
      <c r="AJ699" s="86">
        <f>AVERAGEIFS($D$2:D699, $B$2:B699, B699)</f>
        <v>0.59259259259259256</v>
      </c>
    </row>
    <row r="700" spans="1:36" x14ac:dyDescent="0.25">
      <c r="A700" s="85">
        <v>46112</v>
      </c>
      <c r="B700" t="s">
        <v>2</v>
      </c>
      <c r="C700">
        <v>34</v>
      </c>
      <c r="D700">
        <v>0</v>
      </c>
      <c r="E700">
        <v>4</v>
      </c>
      <c r="F700">
        <v>1</v>
      </c>
      <c r="G700">
        <v>18</v>
      </c>
      <c r="H700">
        <v>8</v>
      </c>
      <c r="I700">
        <v>0.25</v>
      </c>
      <c r="J700">
        <v>0.44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1</v>
      </c>
      <c r="AC700">
        <v>0</v>
      </c>
      <c r="AD700">
        <v>0</v>
      </c>
      <c r="AE700">
        <v>0</v>
      </c>
      <c r="AF700">
        <v>0</v>
      </c>
      <c r="AG700" s="86">
        <f>AVERAGEIFS($C$2:C700, $B$2:B700, B700)</f>
        <v>24.333333333333332</v>
      </c>
      <c r="AH700" s="86">
        <f>AVERAGEIFS($I$2:I700, $B$2:B700, B700)</f>
        <v>0.56099999999999994</v>
      </c>
      <c r="AI700" s="86">
        <f>AVERAGEIFS($J$2:J700, $B$2:B700, B700)</f>
        <v>0.55266666666666675</v>
      </c>
      <c r="AJ700" s="86">
        <f>AVERAGEIFS($D$2:D700, $B$2:B700, B700)</f>
        <v>0.56666666666666665</v>
      </c>
    </row>
    <row r="701" spans="1:36" x14ac:dyDescent="0.25">
      <c r="A701" s="85">
        <v>46112</v>
      </c>
      <c r="B701" t="s">
        <v>4</v>
      </c>
      <c r="C701">
        <v>31</v>
      </c>
      <c r="D701">
        <v>0</v>
      </c>
      <c r="E701">
        <v>4</v>
      </c>
      <c r="F701">
        <v>1</v>
      </c>
      <c r="G701">
        <v>18</v>
      </c>
      <c r="H701">
        <v>8</v>
      </c>
      <c r="I701">
        <v>0.25</v>
      </c>
      <c r="J701">
        <v>0.44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1</v>
      </c>
      <c r="AC701">
        <v>0</v>
      </c>
      <c r="AD701">
        <v>0</v>
      </c>
      <c r="AE701">
        <v>0</v>
      </c>
      <c r="AF701">
        <v>0</v>
      </c>
      <c r="AG701" s="86">
        <f>AVERAGEIFS($C$2:C701, $B$2:B701, B701)</f>
        <v>23.782608695652176</v>
      </c>
      <c r="AH701" s="86">
        <f>AVERAGEIFS($I$2:I701, $B$2:B701, B701)</f>
        <v>0.38043478260869568</v>
      </c>
      <c r="AI701" s="86">
        <f>AVERAGEIFS($J$2:J701, $B$2:B701, B701)</f>
        <v>0.43347826086956526</v>
      </c>
      <c r="AJ701" s="86">
        <f>AVERAGEIFS($D$2:D701, $B$2:B701, B701)</f>
        <v>0.21739130434782608</v>
      </c>
    </row>
    <row r="702" spans="1:36" x14ac:dyDescent="0.25">
      <c r="A702" s="85">
        <v>46112</v>
      </c>
      <c r="B702" t="s">
        <v>14</v>
      </c>
      <c r="C702">
        <v>30</v>
      </c>
      <c r="D702">
        <v>0</v>
      </c>
      <c r="E702">
        <v>4</v>
      </c>
      <c r="F702">
        <v>1</v>
      </c>
      <c r="G702">
        <v>18</v>
      </c>
      <c r="H702">
        <v>8</v>
      </c>
      <c r="I702">
        <v>0.25</v>
      </c>
      <c r="J702">
        <v>0.44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1</v>
      </c>
      <c r="AC702">
        <v>0</v>
      </c>
      <c r="AD702">
        <v>0</v>
      </c>
      <c r="AE702">
        <v>0</v>
      </c>
      <c r="AF702">
        <v>0</v>
      </c>
      <c r="AG702" s="86">
        <f>AVERAGEIFS($C$2:C702, $B$2:B702, B702)</f>
        <v>17.875</v>
      </c>
      <c r="AH702" s="86">
        <f>AVERAGEIFS($I$2:I702, $B$2:B702, B702)</f>
        <v>0.50124999999999997</v>
      </c>
      <c r="AI702" s="86">
        <f>AVERAGEIFS($J$2:J702, $B$2:B702, B702)</f>
        <v>0.52375000000000005</v>
      </c>
      <c r="AJ702" s="86">
        <f>AVERAGEIFS($D$2:D702, $B$2:B702, B702)</f>
        <v>0.5</v>
      </c>
    </row>
    <row r="703" spans="1:36" x14ac:dyDescent="0.25">
      <c r="A703" s="85">
        <v>46112</v>
      </c>
      <c r="B703" t="s">
        <v>6</v>
      </c>
      <c r="C703">
        <v>29</v>
      </c>
      <c r="D703">
        <v>0</v>
      </c>
      <c r="E703">
        <v>4</v>
      </c>
      <c r="F703">
        <v>1</v>
      </c>
      <c r="G703">
        <v>18</v>
      </c>
      <c r="H703">
        <v>8</v>
      </c>
      <c r="I703">
        <v>0.25</v>
      </c>
      <c r="J703">
        <v>0.44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1</v>
      </c>
      <c r="AC703">
        <v>0</v>
      </c>
      <c r="AD703">
        <v>0</v>
      </c>
      <c r="AE703">
        <v>0</v>
      </c>
      <c r="AF703">
        <v>0</v>
      </c>
      <c r="AG703" s="86">
        <f>AVERAGEIFS($C$2:C703, $B$2:B703, B703)</f>
        <v>22.260869565217391</v>
      </c>
      <c r="AH703" s="86">
        <f>AVERAGEIFS($I$2:I703, $B$2:B703, B703)</f>
        <v>0.54739130434782612</v>
      </c>
      <c r="AI703" s="86">
        <f>AVERAGEIFS($J$2:J703, $B$2:B703, B703)</f>
        <v>0.53152173913043477</v>
      </c>
      <c r="AJ703" s="86">
        <f>AVERAGEIFS($D$2:D703, $B$2:B703, B703)</f>
        <v>0.63043478260869568</v>
      </c>
    </row>
    <row r="704" spans="1:36" x14ac:dyDescent="0.25">
      <c r="A704" s="85">
        <v>46112</v>
      </c>
      <c r="B704" t="s">
        <v>42</v>
      </c>
      <c r="C704">
        <v>19</v>
      </c>
      <c r="D704">
        <v>0</v>
      </c>
      <c r="E704">
        <v>4</v>
      </c>
      <c r="F704">
        <v>1</v>
      </c>
      <c r="G704">
        <v>18</v>
      </c>
      <c r="H704">
        <v>8</v>
      </c>
      <c r="I704">
        <v>0.25</v>
      </c>
      <c r="J704">
        <v>0.44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1</v>
      </c>
      <c r="AC704">
        <v>0</v>
      </c>
      <c r="AD704">
        <v>0</v>
      </c>
      <c r="AE704">
        <v>0</v>
      </c>
      <c r="AF704">
        <v>0</v>
      </c>
      <c r="AG704" s="86">
        <f>AVERAGEIFS($C$2:C704, $B$2:B704, B704)</f>
        <v>18.928571428571427</v>
      </c>
      <c r="AH704" s="86">
        <f>AVERAGEIFS($I$2:I704, $B$2:B704, B704)</f>
        <v>0.44642857142857134</v>
      </c>
      <c r="AI704" s="86">
        <f>AVERAGEIFS($J$2:J704, $B$2:B704, B704)</f>
        <v>0.4539285714285714</v>
      </c>
      <c r="AJ704" s="86">
        <f>AVERAGEIFS($D$2:D704, $B$2:B704, B704)</f>
        <v>0.4642857142857143</v>
      </c>
    </row>
    <row r="705" spans="1:36" x14ac:dyDescent="0.25">
      <c r="A705" s="85">
        <v>46112</v>
      </c>
      <c r="B705" t="s">
        <v>154</v>
      </c>
      <c r="C705">
        <v>14</v>
      </c>
      <c r="D705">
        <v>0</v>
      </c>
      <c r="E705">
        <v>4</v>
      </c>
      <c r="F705">
        <v>1</v>
      </c>
      <c r="G705">
        <v>18</v>
      </c>
      <c r="H705">
        <v>8</v>
      </c>
      <c r="I705">
        <v>0.25</v>
      </c>
      <c r="J705">
        <v>0.44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1</v>
      </c>
      <c r="AC705">
        <v>0</v>
      </c>
      <c r="AD705">
        <v>0</v>
      </c>
      <c r="AE705">
        <v>0</v>
      </c>
      <c r="AF705">
        <v>0</v>
      </c>
      <c r="AG705" s="86">
        <f>AVERAGEIFS($C$2:C705, $B$2:B705, B705)</f>
        <v>11.4</v>
      </c>
      <c r="AH705" s="86">
        <f>AVERAGEIFS($I$2:I705, $B$2:B705, B705)</f>
        <v>0.44000000000000006</v>
      </c>
      <c r="AI705" s="86">
        <f>AVERAGEIFS($J$2:J705, $B$2:B705, B705)</f>
        <v>0.44799999999999995</v>
      </c>
      <c r="AJ705" s="86">
        <f>AVERAGEIFS($D$2:D705, $B$2:B705, B705)</f>
        <v>0.6</v>
      </c>
    </row>
    <row r="706" spans="1:36" x14ac:dyDescent="0.25">
      <c r="A706" s="85">
        <v>46114</v>
      </c>
      <c r="B706" t="s">
        <v>160</v>
      </c>
      <c r="C706">
        <v>22</v>
      </c>
      <c r="D706">
        <v>0</v>
      </c>
      <c r="E706">
        <v>3</v>
      </c>
      <c r="F706">
        <v>0</v>
      </c>
      <c r="G706">
        <v>13</v>
      </c>
      <c r="H706">
        <v>4</v>
      </c>
      <c r="I706">
        <v>0</v>
      </c>
      <c r="J706">
        <v>0.31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 s="86">
        <f>AVERAGEIFS($C$2:C706, $B$2:B706, B706)</f>
        <v>27.083333333333332</v>
      </c>
      <c r="AH706" s="86">
        <f>AVERAGEIFS($I$2:I706, $B$2:B706, B706)</f>
        <v>0.42500000000000004</v>
      </c>
      <c r="AI706" s="86">
        <f>AVERAGEIFS($J$2:J706, $B$2:B706, B706)</f>
        <v>0.45416666666666666</v>
      </c>
      <c r="AJ706" s="86">
        <f>AVERAGEIFS($D$2:D706, $B$2:B706, B706)</f>
        <v>0.45833333333333331</v>
      </c>
    </row>
    <row r="707" spans="1:36" x14ac:dyDescent="0.25">
      <c r="A707" s="85">
        <v>46114</v>
      </c>
      <c r="B707" t="s">
        <v>46</v>
      </c>
      <c r="C707">
        <v>5</v>
      </c>
      <c r="D707">
        <v>0</v>
      </c>
      <c r="E707">
        <v>3</v>
      </c>
      <c r="F707">
        <v>0</v>
      </c>
      <c r="G707">
        <v>13</v>
      </c>
      <c r="H707">
        <v>4</v>
      </c>
      <c r="I707">
        <v>0</v>
      </c>
      <c r="J707">
        <v>0.31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G707" s="86">
        <f>AVERAGEIFS($C$2:C707, $B$2:B707, B707)</f>
        <v>17.916666666666668</v>
      </c>
      <c r="AH707" s="86">
        <f>AVERAGEIFS($I$2:I707, $B$2:B707, B707)</f>
        <v>0.40624999999999994</v>
      </c>
      <c r="AI707" s="86">
        <f>AVERAGEIFS($J$2:J707, $B$2:B707, B707)</f>
        <v>0.45041666666666669</v>
      </c>
      <c r="AJ707" s="86">
        <f>AVERAGEIFS($D$2:D707, $B$2:B707, B707)</f>
        <v>0.375</v>
      </c>
    </row>
    <row r="708" spans="1:36" x14ac:dyDescent="0.25">
      <c r="A708" s="85">
        <v>46114</v>
      </c>
      <c r="B708" t="s">
        <v>107</v>
      </c>
      <c r="C708">
        <v>7</v>
      </c>
      <c r="D708">
        <v>0</v>
      </c>
      <c r="E708">
        <v>3</v>
      </c>
      <c r="F708">
        <v>0</v>
      </c>
      <c r="G708">
        <v>13</v>
      </c>
      <c r="H708">
        <v>4</v>
      </c>
      <c r="I708">
        <v>0</v>
      </c>
      <c r="J708">
        <v>0.31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 s="86">
        <f>AVERAGEIFS($C$2:C708, $B$2:B708, B708)</f>
        <v>16.642857142857142</v>
      </c>
      <c r="AH708" s="86">
        <f>AVERAGEIFS($I$2:I708, $B$2:B708, B708)</f>
        <v>0.5357142857142857</v>
      </c>
      <c r="AI708" s="86">
        <f>AVERAGEIFS($J$2:J708, $B$2:B708, B708)</f>
        <v>0.53250000000000008</v>
      </c>
      <c r="AJ708" s="86">
        <f>AVERAGEIFS($D$2:D708, $B$2:B708, B708)</f>
        <v>0.5714285714285714</v>
      </c>
    </row>
    <row r="709" spans="1:36" x14ac:dyDescent="0.25">
      <c r="A709" s="85">
        <v>46114</v>
      </c>
      <c r="B709" t="s">
        <v>142</v>
      </c>
      <c r="C709">
        <v>1</v>
      </c>
      <c r="D709">
        <v>0</v>
      </c>
      <c r="E709">
        <v>3</v>
      </c>
      <c r="F709">
        <v>0</v>
      </c>
      <c r="G709">
        <v>13</v>
      </c>
      <c r="H709">
        <v>4</v>
      </c>
      <c r="I709">
        <v>0</v>
      </c>
      <c r="J709">
        <v>0.31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 s="86">
        <f>AVERAGEIFS($C$2:C709, $B$2:B709, B709)</f>
        <v>11.857142857142858</v>
      </c>
      <c r="AH709" s="86">
        <f>AVERAGEIFS($I$2:I709, $B$2:B709, B709)</f>
        <v>0.37142857142857144</v>
      </c>
      <c r="AI709" s="86">
        <f>AVERAGEIFS($J$2:J709, $B$2:B709, B709)</f>
        <v>0.47428571428571431</v>
      </c>
      <c r="AJ709" s="86">
        <f>AVERAGEIFS($D$2:D709, $B$2:B709, B709)</f>
        <v>0.42857142857142855</v>
      </c>
    </row>
    <row r="710" spans="1:36" x14ac:dyDescent="0.25">
      <c r="A710" s="85">
        <v>46114</v>
      </c>
      <c r="B710" t="s">
        <v>141</v>
      </c>
      <c r="C710">
        <v>9</v>
      </c>
      <c r="D710">
        <v>0</v>
      </c>
      <c r="E710">
        <v>3</v>
      </c>
      <c r="F710">
        <v>0</v>
      </c>
      <c r="G710">
        <v>13</v>
      </c>
      <c r="H710">
        <v>4</v>
      </c>
      <c r="I710">
        <v>0</v>
      </c>
      <c r="J710">
        <v>0.31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 s="86">
        <f>AVERAGEIFS($C$2:C710, $B$2:B710, B710)</f>
        <v>12.916666666666666</v>
      </c>
      <c r="AH710" s="86">
        <f>AVERAGEIFS($I$2:I710, $B$2:B710, B710)</f>
        <v>0.4291666666666667</v>
      </c>
      <c r="AI710" s="86">
        <f>AVERAGEIFS($J$2:J710, $B$2:B710, B710)</f>
        <v>0.45916666666666667</v>
      </c>
      <c r="AJ710" s="86">
        <f>AVERAGEIFS($D$2:D710, $B$2:B710, B710)</f>
        <v>0.41666666666666669</v>
      </c>
    </row>
    <row r="711" spans="1:36" x14ac:dyDescent="0.25">
      <c r="A711" s="85">
        <v>46114</v>
      </c>
      <c r="B711" t="s">
        <v>54</v>
      </c>
      <c r="C711">
        <v>16</v>
      </c>
      <c r="D711">
        <v>1</v>
      </c>
      <c r="E711">
        <v>3</v>
      </c>
      <c r="F711">
        <v>3</v>
      </c>
      <c r="G711">
        <v>13</v>
      </c>
      <c r="H711">
        <v>9</v>
      </c>
      <c r="I711">
        <v>1</v>
      </c>
      <c r="J711">
        <v>0.69</v>
      </c>
      <c r="K711">
        <v>0</v>
      </c>
      <c r="L711">
        <v>1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1</v>
      </c>
      <c r="AD711">
        <v>0</v>
      </c>
      <c r="AE711">
        <v>0</v>
      </c>
      <c r="AF711">
        <v>1</v>
      </c>
      <c r="AG711" s="86">
        <f>AVERAGEIFS($C$2:C711, $B$2:B711, B711)</f>
        <v>23.9375</v>
      </c>
      <c r="AH711" s="86">
        <f>AVERAGEIFS($I$2:I711, $B$2:B711, B711)</f>
        <v>0.54208333333333336</v>
      </c>
      <c r="AI711" s="86">
        <f>AVERAGEIFS($J$2:J711, $B$2:B711, B711)</f>
        <v>0.51458333333333328</v>
      </c>
      <c r="AJ711" s="86">
        <f>AVERAGEIFS($D$2:D711, $B$2:B711, B711)</f>
        <v>0.5625</v>
      </c>
    </row>
    <row r="712" spans="1:36" x14ac:dyDescent="0.25">
      <c r="A712" s="85">
        <v>46114</v>
      </c>
      <c r="B712" t="s">
        <v>4</v>
      </c>
      <c r="C712">
        <v>16</v>
      </c>
      <c r="D712">
        <v>1</v>
      </c>
      <c r="E712">
        <v>3</v>
      </c>
      <c r="F712">
        <v>3</v>
      </c>
      <c r="G712">
        <v>13</v>
      </c>
      <c r="H712">
        <v>9</v>
      </c>
      <c r="I712">
        <v>1</v>
      </c>
      <c r="J712">
        <v>0.69</v>
      </c>
      <c r="K712">
        <v>0</v>
      </c>
      <c r="L712">
        <v>1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1</v>
      </c>
      <c r="AD712">
        <v>0</v>
      </c>
      <c r="AE712">
        <v>0</v>
      </c>
      <c r="AF712">
        <v>1</v>
      </c>
      <c r="AG712" s="86">
        <f>AVERAGEIFS($C$2:C712, $B$2:B712, B712)</f>
        <v>23.458333333333332</v>
      </c>
      <c r="AH712" s="86">
        <f>AVERAGEIFS($I$2:I712, $B$2:B712, B712)</f>
        <v>0.40625</v>
      </c>
      <c r="AI712" s="86">
        <f>AVERAGEIFS($J$2:J712, $B$2:B712, B712)</f>
        <v>0.44416666666666665</v>
      </c>
      <c r="AJ712" s="86">
        <f>AVERAGEIFS($D$2:D712, $B$2:B712, B712)</f>
        <v>0.25</v>
      </c>
    </row>
    <row r="713" spans="1:36" x14ac:dyDescent="0.25">
      <c r="A713" s="85">
        <v>46114</v>
      </c>
      <c r="B713" t="s">
        <v>113</v>
      </c>
      <c r="C713">
        <v>11</v>
      </c>
      <c r="D713">
        <v>1</v>
      </c>
      <c r="E713">
        <v>3</v>
      </c>
      <c r="F713">
        <v>3</v>
      </c>
      <c r="G713">
        <v>13</v>
      </c>
      <c r="H713">
        <v>9</v>
      </c>
      <c r="I713">
        <v>1</v>
      </c>
      <c r="J713">
        <v>0.69</v>
      </c>
      <c r="K713">
        <v>0</v>
      </c>
      <c r="L713">
        <v>1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1</v>
      </c>
      <c r="AD713">
        <v>0</v>
      </c>
      <c r="AE713">
        <v>0</v>
      </c>
      <c r="AF713">
        <v>1</v>
      </c>
      <c r="AG713" s="86">
        <f>AVERAGEIFS($C$2:C713, $B$2:B713, B713)</f>
        <v>16.173913043478262</v>
      </c>
      <c r="AH713" s="86">
        <f>AVERAGEIFS($I$2:I713, $B$2:B713, B713)</f>
        <v>0.55217391304347829</v>
      </c>
      <c r="AI713" s="86">
        <f>AVERAGEIFS($J$2:J713, $B$2:B713, B713)</f>
        <v>0.50695652173913053</v>
      </c>
      <c r="AJ713" s="86">
        <f>AVERAGEIFS($D$2:D713, $B$2:B713, B713)</f>
        <v>0.52173913043478259</v>
      </c>
    </row>
    <row r="714" spans="1:36" x14ac:dyDescent="0.25">
      <c r="A714" s="85">
        <v>46114</v>
      </c>
      <c r="B714" t="s">
        <v>53</v>
      </c>
      <c r="C714">
        <v>11</v>
      </c>
      <c r="D714">
        <v>1</v>
      </c>
      <c r="E714">
        <v>3</v>
      </c>
      <c r="F714">
        <v>3</v>
      </c>
      <c r="G714">
        <v>13</v>
      </c>
      <c r="H714">
        <v>9</v>
      </c>
      <c r="I714">
        <v>1</v>
      </c>
      <c r="J714">
        <v>0.69</v>
      </c>
      <c r="K714">
        <v>0</v>
      </c>
      <c r="L714">
        <v>1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1</v>
      </c>
      <c r="AD714">
        <v>0</v>
      </c>
      <c r="AE714">
        <v>0</v>
      </c>
      <c r="AF714">
        <v>1</v>
      </c>
      <c r="AG714" s="86">
        <f>AVERAGEIFS($C$2:C714, $B$2:B714, B714)</f>
        <v>15.75</v>
      </c>
      <c r="AH714" s="86">
        <f>AVERAGEIFS($I$2:I714, $B$2:B714, B714)</f>
        <v>0.57187500000000002</v>
      </c>
      <c r="AI714" s="86">
        <f>AVERAGEIFS($J$2:J714, $B$2:B714, B714)</f>
        <v>0.53</v>
      </c>
      <c r="AJ714" s="86">
        <f>AVERAGEIFS($D$2:D714, $B$2:B714, B714)</f>
        <v>0.5625</v>
      </c>
    </row>
    <row r="715" spans="1:36" x14ac:dyDescent="0.25">
      <c r="A715" s="85">
        <v>46114</v>
      </c>
      <c r="B715" t="s">
        <v>13</v>
      </c>
      <c r="C715">
        <v>14</v>
      </c>
      <c r="D715">
        <v>1</v>
      </c>
      <c r="E715">
        <v>3</v>
      </c>
      <c r="F715">
        <v>3</v>
      </c>
      <c r="G715">
        <v>13</v>
      </c>
      <c r="H715">
        <v>9</v>
      </c>
      <c r="I715">
        <v>1</v>
      </c>
      <c r="J715">
        <v>0.69</v>
      </c>
      <c r="K715">
        <v>0</v>
      </c>
      <c r="L715">
        <v>1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1</v>
      </c>
      <c r="AD715">
        <v>0</v>
      </c>
      <c r="AE715">
        <v>0</v>
      </c>
      <c r="AF715">
        <v>1</v>
      </c>
      <c r="AG715" s="86">
        <f>AVERAGEIFS($C$2:C715, $B$2:B715, B715)</f>
        <v>13.333333333333334</v>
      </c>
      <c r="AH715" s="86">
        <f>AVERAGEIFS($I$2:I715, $B$2:B715, B715)</f>
        <v>0.53749999999999998</v>
      </c>
      <c r="AI715" s="86">
        <f>AVERAGEIFS($J$2:J715, $B$2:B715, B715)</f>
        <v>0.52999999999999992</v>
      </c>
      <c r="AJ715" s="86">
        <f>AVERAGEIFS($D$2:D715, $B$2:B715, B715)</f>
        <v>0.41666666666666669</v>
      </c>
    </row>
    <row r="716" spans="1:36" x14ac:dyDescent="0.25">
      <c r="A716" s="85">
        <v>46114</v>
      </c>
      <c r="B716" t="s">
        <v>40</v>
      </c>
      <c r="C716">
        <v>25</v>
      </c>
      <c r="D716">
        <v>1</v>
      </c>
      <c r="E716">
        <v>4</v>
      </c>
      <c r="F716">
        <v>3</v>
      </c>
      <c r="G716">
        <v>18</v>
      </c>
      <c r="H716">
        <v>10</v>
      </c>
      <c r="I716">
        <v>0.75</v>
      </c>
      <c r="J716">
        <v>0.56000000000000005</v>
      </c>
      <c r="K716">
        <v>0</v>
      </c>
      <c r="L716">
        <v>0</v>
      </c>
      <c r="M716">
        <v>1</v>
      </c>
      <c r="N716">
        <v>0</v>
      </c>
      <c r="O716">
        <v>0</v>
      </c>
      <c r="P716">
        <v>0</v>
      </c>
      <c r="Q716">
        <v>1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1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  <c r="AG716" s="86">
        <f>AVERAGEIFS($C$2:C716, $B$2:B716, B716)</f>
        <v>18.239130434782609</v>
      </c>
      <c r="AH716" s="86">
        <f>AVERAGEIFS($I$2:I716, $B$2:B716, B716)</f>
        <v>0.49456521739130421</v>
      </c>
      <c r="AI716" s="86">
        <f>AVERAGEIFS($J$2:J716, $B$2:B716, B716)</f>
        <v>0.48413043478260875</v>
      </c>
      <c r="AJ716" s="86">
        <f>AVERAGEIFS($D$2:D716, $B$2:B716, B716)</f>
        <v>0.43478260869565216</v>
      </c>
    </row>
    <row r="717" spans="1:36" x14ac:dyDescent="0.25">
      <c r="A717" s="85">
        <v>46114</v>
      </c>
      <c r="B717" t="s">
        <v>6</v>
      </c>
      <c r="C717">
        <v>22</v>
      </c>
      <c r="D717">
        <v>1</v>
      </c>
      <c r="E717">
        <v>4</v>
      </c>
      <c r="F717">
        <v>3</v>
      </c>
      <c r="G717">
        <v>18</v>
      </c>
      <c r="H717">
        <v>10</v>
      </c>
      <c r="I717">
        <v>0.75</v>
      </c>
      <c r="J717">
        <v>0.56000000000000005</v>
      </c>
      <c r="K717">
        <v>0</v>
      </c>
      <c r="L717">
        <v>0</v>
      </c>
      <c r="M717">
        <v>1</v>
      </c>
      <c r="N717">
        <v>0</v>
      </c>
      <c r="O717">
        <v>0</v>
      </c>
      <c r="P717">
        <v>0</v>
      </c>
      <c r="Q717">
        <v>1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1</v>
      </c>
      <c r="AA717">
        <v>0</v>
      </c>
      <c r="AB717">
        <v>0</v>
      </c>
      <c r="AC717">
        <v>0</v>
      </c>
      <c r="AD717">
        <v>0</v>
      </c>
      <c r="AE717">
        <v>0</v>
      </c>
      <c r="AF717">
        <v>0</v>
      </c>
      <c r="AG717" s="86">
        <f>AVERAGEIFS($C$2:C717, $B$2:B717, B717)</f>
        <v>22.25531914893617</v>
      </c>
      <c r="AH717" s="86">
        <f>AVERAGEIFS($I$2:I717, $B$2:B717, B717)</f>
        <v>0.55170212765957449</v>
      </c>
      <c r="AI717" s="86">
        <f>AVERAGEIFS($J$2:J717, $B$2:B717, B717)</f>
        <v>0.53212765957446806</v>
      </c>
      <c r="AJ717" s="86">
        <f>AVERAGEIFS($D$2:D717, $B$2:B717, B717)</f>
        <v>0.63829787234042556</v>
      </c>
    </row>
    <row r="718" spans="1:36" x14ac:dyDescent="0.25">
      <c r="A718" s="85">
        <v>46114</v>
      </c>
      <c r="B718" t="s">
        <v>17</v>
      </c>
      <c r="C718">
        <v>19</v>
      </c>
      <c r="D718">
        <v>1</v>
      </c>
      <c r="E718">
        <v>4</v>
      </c>
      <c r="F718">
        <v>3</v>
      </c>
      <c r="G718">
        <v>18</v>
      </c>
      <c r="H718">
        <v>10</v>
      </c>
      <c r="I718">
        <v>0.75</v>
      </c>
      <c r="J718">
        <v>0.56000000000000005</v>
      </c>
      <c r="K718">
        <v>0</v>
      </c>
      <c r="L718">
        <v>0</v>
      </c>
      <c r="M718">
        <v>1</v>
      </c>
      <c r="N718">
        <v>0</v>
      </c>
      <c r="O718">
        <v>0</v>
      </c>
      <c r="P718">
        <v>0</v>
      </c>
      <c r="Q718">
        <v>1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1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 s="86">
        <f>AVERAGEIFS($C$2:C718, $B$2:B718, B718)</f>
        <v>20.666666666666668</v>
      </c>
      <c r="AH718" s="86">
        <f>AVERAGEIFS($I$2:I718, $B$2:B718, B718)</f>
        <v>0.50444444444444436</v>
      </c>
      <c r="AI718" s="86">
        <f>AVERAGEIFS($J$2:J718, $B$2:B718, B718)</f>
        <v>0.48444444444444457</v>
      </c>
      <c r="AJ718" s="86">
        <f>AVERAGEIFS($D$2:D718, $B$2:B718, B718)</f>
        <v>0.48148148148148145</v>
      </c>
    </row>
    <row r="719" spans="1:36" x14ac:dyDescent="0.25">
      <c r="A719" s="85">
        <v>46114</v>
      </c>
      <c r="B719" t="s">
        <v>44</v>
      </c>
      <c r="C719">
        <v>18</v>
      </c>
      <c r="D719">
        <v>1</v>
      </c>
      <c r="E719">
        <v>4</v>
      </c>
      <c r="F719">
        <v>3</v>
      </c>
      <c r="G719">
        <v>18</v>
      </c>
      <c r="H719">
        <v>10</v>
      </c>
      <c r="I719">
        <v>0.75</v>
      </c>
      <c r="J719">
        <v>0.56000000000000005</v>
      </c>
      <c r="K719">
        <v>0</v>
      </c>
      <c r="L719">
        <v>0</v>
      </c>
      <c r="M719">
        <v>1</v>
      </c>
      <c r="N719">
        <v>0</v>
      </c>
      <c r="O719">
        <v>0</v>
      </c>
      <c r="P719">
        <v>0</v>
      </c>
      <c r="Q719">
        <v>1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1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 s="86">
        <f>AVERAGEIFS($C$2:C719, $B$2:B719, B719)</f>
        <v>16.607142857142858</v>
      </c>
      <c r="AH719" s="86">
        <f>AVERAGEIFS($I$2:I719, $B$2:B719, B719)</f>
        <v>0.52321428571428563</v>
      </c>
      <c r="AI719" s="86">
        <f>AVERAGEIFS($J$2:J719, $B$2:B719, B719)</f>
        <v>0.53142857142857136</v>
      </c>
      <c r="AJ719" s="86">
        <f>AVERAGEIFS($D$2:D719, $B$2:B719, B719)</f>
        <v>0.6428571428571429</v>
      </c>
    </row>
    <row r="720" spans="1:36" x14ac:dyDescent="0.25">
      <c r="A720" s="85">
        <v>46114</v>
      </c>
      <c r="B720" t="s">
        <v>37</v>
      </c>
      <c r="C720">
        <v>14</v>
      </c>
      <c r="D720">
        <v>1</v>
      </c>
      <c r="E720">
        <v>4</v>
      </c>
      <c r="F720">
        <v>3</v>
      </c>
      <c r="G720">
        <v>18</v>
      </c>
      <c r="H720">
        <v>10</v>
      </c>
      <c r="I720">
        <v>0.75</v>
      </c>
      <c r="J720">
        <v>0.56000000000000005</v>
      </c>
      <c r="K720">
        <v>0</v>
      </c>
      <c r="L720">
        <v>0</v>
      </c>
      <c r="M720">
        <v>1</v>
      </c>
      <c r="N720">
        <v>0</v>
      </c>
      <c r="O720">
        <v>0</v>
      </c>
      <c r="P720">
        <v>0</v>
      </c>
      <c r="Q720">
        <v>1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1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 s="86">
        <f>AVERAGEIFS($C$2:C720, $B$2:B720, B720)</f>
        <v>12.777777777777779</v>
      </c>
      <c r="AH720" s="86">
        <f>AVERAGEIFS($I$2:I720, $B$2:B720, B720)</f>
        <v>0.53888888888888886</v>
      </c>
      <c r="AI720" s="86">
        <f>AVERAGEIFS($J$2:J720, $B$2:B720, B720)</f>
        <v>0.49222222222222217</v>
      </c>
      <c r="AJ720" s="86">
        <f>AVERAGEIFS($D$2:D720, $B$2:B720, B720)</f>
        <v>0.44444444444444442</v>
      </c>
    </row>
    <row r="721" spans="1:36" x14ac:dyDescent="0.25">
      <c r="A721" s="85">
        <v>46114</v>
      </c>
      <c r="B721" t="s">
        <v>2</v>
      </c>
      <c r="C721">
        <v>33</v>
      </c>
      <c r="D721">
        <v>0</v>
      </c>
      <c r="E721">
        <v>4</v>
      </c>
      <c r="F721">
        <v>1</v>
      </c>
      <c r="G721">
        <v>18</v>
      </c>
      <c r="H721">
        <v>8</v>
      </c>
      <c r="I721">
        <v>0.25</v>
      </c>
      <c r="J721">
        <v>0.44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1</v>
      </c>
      <c r="AC721">
        <v>0</v>
      </c>
      <c r="AD721">
        <v>0</v>
      </c>
      <c r="AE721">
        <v>0</v>
      </c>
      <c r="AF721">
        <v>0</v>
      </c>
      <c r="AG721" s="86">
        <f>AVERAGEIFS($C$2:C721, $B$2:B721, B721)</f>
        <v>24.612903225806452</v>
      </c>
      <c r="AH721" s="86">
        <f>AVERAGEIFS($I$2:I721, $B$2:B721, B721)</f>
        <v>0.55096774193548381</v>
      </c>
      <c r="AI721" s="86">
        <f>AVERAGEIFS($J$2:J721, $B$2:B721, B721)</f>
        <v>0.54903225806451628</v>
      </c>
      <c r="AJ721" s="86">
        <f>AVERAGEIFS($D$2:D721, $B$2:B721, B721)</f>
        <v>0.54838709677419351</v>
      </c>
    </row>
    <row r="722" spans="1:36" x14ac:dyDescent="0.25">
      <c r="A722" s="85">
        <v>46114</v>
      </c>
      <c r="B722" t="s">
        <v>42</v>
      </c>
      <c r="C722">
        <v>25</v>
      </c>
      <c r="D722">
        <v>0</v>
      </c>
      <c r="E722">
        <v>4</v>
      </c>
      <c r="F722">
        <v>1</v>
      </c>
      <c r="G722">
        <v>18</v>
      </c>
      <c r="H722">
        <v>8</v>
      </c>
      <c r="I722">
        <v>0.25</v>
      </c>
      <c r="J722">
        <v>0.44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1</v>
      </c>
      <c r="AC722">
        <v>0</v>
      </c>
      <c r="AD722">
        <v>0</v>
      </c>
      <c r="AE722">
        <v>0</v>
      </c>
      <c r="AF722">
        <v>0</v>
      </c>
      <c r="AG722" s="86">
        <f>AVERAGEIFS($C$2:C722, $B$2:B722, B722)</f>
        <v>19.137931034482758</v>
      </c>
      <c r="AH722" s="86">
        <f>AVERAGEIFS($I$2:I722, $B$2:B722, B722)</f>
        <v>0.43965517241379304</v>
      </c>
      <c r="AI722" s="86">
        <f>AVERAGEIFS($J$2:J722, $B$2:B722, B722)</f>
        <v>0.45344827586206893</v>
      </c>
      <c r="AJ722" s="86">
        <f>AVERAGEIFS($D$2:D722, $B$2:B722, B722)</f>
        <v>0.44827586206896552</v>
      </c>
    </row>
    <row r="723" spans="1:36" x14ac:dyDescent="0.25">
      <c r="A723" s="85">
        <v>46114</v>
      </c>
      <c r="B723" t="s">
        <v>148</v>
      </c>
      <c r="C723">
        <v>15</v>
      </c>
      <c r="D723">
        <v>0</v>
      </c>
      <c r="E723">
        <v>4</v>
      </c>
      <c r="F723">
        <v>1</v>
      </c>
      <c r="G723">
        <v>18</v>
      </c>
      <c r="H723">
        <v>8</v>
      </c>
      <c r="I723">
        <v>0.25</v>
      </c>
      <c r="J723">
        <v>0.44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1</v>
      </c>
      <c r="AC723">
        <v>0</v>
      </c>
      <c r="AD723">
        <v>0</v>
      </c>
      <c r="AE723">
        <v>0</v>
      </c>
      <c r="AF723">
        <v>0</v>
      </c>
      <c r="AG723" s="86">
        <f>AVERAGEIFS($C$2:C723, $B$2:B723, B723)</f>
        <v>11.611111111111111</v>
      </c>
      <c r="AH723" s="86">
        <f>AVERAGEIFS($I$2:I723, $B$2:B723, B723)</f>
        <v>0.56666666666666665</v>
      </c>
      <c r="AI723" s="86">
        <f>AVERAGEIFS($J$2:J723, $B$2:B723, B723)</f>
        <v>0.52888888888888874</v>
      </c>
      <c r="AJ723" s="86">
        <f>AVERAGEIFS($D$2:D723, $B$2:B723, B723)</f>
        <v>0.55555555555555558</v>
      </c>
    </row>
    <row r="724" spans="1:36" x14ac:dyDescent="0.25">
      <c r="A724" s="85">
        <v>46114</v>
      </c>
      <c r="B724" t="s">
        <v>14</v>
      </c>
      <c r="C724">
        <v>10</v>
      </c>
      <c r="D724">
        <v>0</v>
      </c>
      <c r="E724">
        <v>4</v>
      </c>
      <c r="F724">
        <v>1</v>
      </c>
      <c r="G724">
        <v>18</v>
      </c>
      <c r="H724">
        <v>8</v>
      </c>
      <c r="I724">
        <v>0.25</v>
      </c>
      <c r="J724">
        <v>0.44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1</v>
      </c>
      <c r="AC724">
        <v>0</v>
      </c>
      <c r="AD724">
        <v>0</v>
      </c>
      <c r="AE724">
        <v>0</v>
      </c>
      <c r="AF724">
        <v>0</v>
      </c>
      <c r="AG724" s="86">
        <f>AVERAGEIFS($C$2:C724, $B$2:B724, B724)</f>
        <v>17.411764705882351</v>
      </c>
      <c r="AH724" s="86">
        <f>AVERAGEIFS($I$2:I724, $B$2:B724, B724)</f>
        <v>0.4864705882352941</v>
      </c>
      <c r="AI724" s="86">
        <f>AVERAGEIFS($J$2:J724, $B$2:B724, B724)</f>
        <v>0.51882352941176468</v>
      </c>
      <c r="AJ724" s="86">
        <f>AVERAGEIFS($D$2:D724, $B$2:B724, B724)</f>
        <v>0.47058823529411764</v>
      </c>
    </row>
    <row r="725" spans="1:36" x14ac:dyDescent="0.25">
      <c r="A725" s="85">
        <v>46114</v>
      </c>
      <c r="B725" t="s">
        <v>71</v>
      </c>
      <c r="C725">
        <v>9</v>
      </c>
      <c r="D725">
        <v>0</v>
      </c>
      <c r="E725">
        <v>4</v>
      </c>
      <c r="F725">
        <v>1</v>
      </c>
      <c r="G725">
        <v>18</v>
      </c>
      <c r="H725">
        <v>8</v>
      </c>
      <c r="I725">
        <v>0.25</v>
      </c>
      <c r="J725">
        <v>0.44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1</v>
      </c>
      <c r="AC725">
        <v>0</v>
      </c>
      <c r="AD725">
        <v>0</v>
      </c>
      <c r="AE725">
        <v>0</v>
      </c>
      <c r="AF725">
        <v>0</v>
      </c>
      <c r="AG725" s="86">
        <f>AVERAGEIFS($C$2:C725, $B$2:B725, B725)</f>
        <v>12.611111111111111</v>
      </c>
      <c r="AH725" s="86">
        <f>AVERAGEIFS($I$2:I725, $B$2:B725, B725)</f>
        <v>0.46388888888888885</v>
      </c>
      <c r="AI725" s="86">
        <f>AVERAGEIFS($J$2:J725, $B$2:B725, B725)</f>
        <v>0.47666666666666668</v>
      </c>
      <c r="AJ725" s="86">
        <f>AVERAGEIFS($D$2:D725, $B$2:B725, B725)</f>
        <v>0.55555555555555558</v>
      </c>
    </row>
    <row r="726" spans="1:36" x14ac:dyDescent="0.25">
      <c r="A726" s="85">
        <v>46115</v>
      </c>
      <c r="B726" t="s">
        <v>151</v>
      </c>
      <c r="C726">
        <v>21</v>
      </c>
      <c r="D726">
        <v>1</v>
      </c>
      <c r="E726">
        <v>4</v>
      </c>
      <c r="F726">
        <v>3</v>
      </c>
      <c r="G726">
        <v>18</v>
      </c>
      <c r="H726">
        <v>11</v>
      </c>
      <c r="I726">
        <v>0.75</v>
      </c>
      <c r="J726">
        <v>0.61</v>
      </c>
      <c r="K726">
        <v>0</v>
      </c>
      <c r="L726">
        <v>0</v>
      </c>
      <c r="M726">
        <v>1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1</v>
      </c>
      <c r="AC726">
        <v>0</v>
      </c>
      <c r="AD726">
        <v>1</v>
      </c>
      <c r="AE726">
        <v>0</v>
      </c>
      <c r="AF726">
        <v>0</v>
      </c>
      <c r="AG726" s="86">
        <f>AVERAGEIFS($C$2:C726, $B$2:B726, B726)</f>
        <v>14.428571428571429</v>
      </c>
      <c r="AH726" s="86">
        <f>AVERAGEIFS($I$2:I726, $B$2:B726, B726)</f>
        <v>0.50714285714285712</v>
      </c>
      <c r="AI726" s="86">
        <f>AVERAGEIFS($J$2:J726, $B$2:B726, B726)</f>
        <v>0.51999999999999991</v>
      </c>
      <c r="AJ726" s="86">
        <f>AVERAGEIFS($D$2:D726, $B$2:B726, B726)</f>
        <v>0.42857142857142855</v>
      </c>
    </row>
    <row r="727" spans="1:36" x14ac:dyDescent="0.25">
      <c r="A727" s="85">
        <v>46115</v>
      </c>
      <c r="B727" t="s">
        <v>17</v>
      </c>
      <c r="C727">
        <v>19</v>
      </c>
      <c r="D727">
        <v>1</v>
      </c>
      <c r="E727">
        <v>4</v>
      </c>
      <c r="F727">
        <v>3</v>
      </c>
      <c r="G727">
        <v>18</v>
      </c>
      <c r="H727">
        <v>11</v>
      </c>
      <c r="I727">
        <v>0.75</v>
      </c>
      <c r="J727">
        <v>0.61</v>
      </c>
      <c r="K727">
        <v>0</v>
      </c>
      <c r="L727">
        <v>0</v>
      </c>
      <c r="M727">
        <v>1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1</v>
      </c>
      <c r="AC727">
        <v>0</v>
      </c>
      <c r="AD727">
        <v>1</v>
      </c>
      <c r="AE727">
        <v>0</v>
      </c>
      <c r="AF727">
        <v>0</v>
      </c>
      <c r="AG727" s="86">
        <f>AVERAGEIFS($C$2:C727, $B$2:B727, B727)</f>
        <v>20.607142857142858</v>
      </c>
      <c r="AH727" s="86">
        <f>AVERAGEIFS($I$2:I727, $B$2:B727, B727)</f>
        <v>0.51321428571428573</v>
      </c>
      <c r="AI727" s="86">
        <f>AVERAGEIFS($J$2:J727, $B$2:B727, B727)</f>
        <v>0.48892857142857155</v>
      </c>
      <c r="AJ727" s="86">
        <f>AVERAGEIFS($D$2:D727, $B$2:B727, B727)</f>
        <v>0.5</v>
      </c>
    </row>
    <row r="728" spans="1:36" x14ac:dyDescent="0.25">
      <c r="A728" s="85">
        <v>46115</v>
      </c>
      <c r="B728" t="s">
        <v>107</v>
      </c>
      <c r="C728">
        <v>19</v>
      </c>
      <c r="D728">
        <v>1</v>
      </c>
      <c r="E728">
        <v>4</v>
      </c>
      <c r="F728">
        <v>3</v>
      </c>
      <c r="G728">
        <v>18</v>
      </c>
      <c r="H728">
        <v>11</v>
      </c>
      <c r="I728">
        <v>0.75</v>
      </c>
      <c r="J728">
        <v>0.61</v>
      </c>
      <c r="K728">
        <v>0</v>
      </c>
      <c r="L728">
        <v>0</v>
      </c>
      <c r="M728">
        <v>1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1</v>
      </c>
      <c r="AC728">
        <v>0</v>
      </c>
      <c r="AD728">
        <v>1</v>
      </c>
      <c r="AE728">
        <v>0</v>
      </c>
      <c r="AF728">
        <v>0</v>
      </c>
      <c r="AG728" s="86">
        <f>AVERAGEIFS($C$2:C728, $B$2:B728, B728)</f>
        <v>16.724137931034484</v>
      </c>
      <c r="AH728" s="86">
        <f>AVERAGEIFS($I$2:I728, $B$2:B728, B728)</f>
        <v>0.54310344827586199</v>
      </c>
      <c r="AI728" s="86">
        <f>AVERAGEIFS($J$2:J728, $B$2:B728, B728)</f>
        <v>0.53517241379310354</v>
      </c>
      <c r="AJ728" s="86">
        <f>AVERAGEIFS($D$2:D728, $B$2:B728, B728)</f>
        <v>0.58620689655172409</v>
      </c>
    </row>
    <row r="729" spans="1:36" x14ac:dyDescent="0.25">
      <c r="A729" s="85">
        <v>46115</v>
      </c>
      <c r="B729" t="s">
        <v>6</v>
      </c>
      <c r="C729">
        <v>17</v>
      </c>
      <c r="D729">
        <v>1</v>
      </c>
      <c r="E729">
        <v>4</v>
      </c>
      <c r="F729">
        <v>3</v>
      </c>
      <c r="G729">
        <v>18</v>
      </c>
      <c r="H729">
        <v>11</v>
      </c>
      <c r="I729">
        <v>0.75</v>
      </c>
      <c r="J729">
        <v>0.61</v>
      </c>
      <c r="K729">
        <v>0</v>
      </c>
      <c r="L729">
        <v>0</v>
      </c>
      <c r="M729">
        <v>1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1</v>
      </c>
      <c r="AC729">
        <v>0</v>
      </c>
      <c r="AD729">
        <v>1</v>
      </c>
      <c r="AE729">
        <v>0</v>
      </c>
      <c r="AF729">
        <v>0</v>
      </c>
      <c r="AG729" s="86">
        <f>AVERAGEIFS($C$2:C729, $B$2:B729, B729)</f>
        <v>22.145833333333332</v>
      </c>
      <c r="AH729" s="86">
        <f>AVERAGEIFS($I$2:I729, $B$2:B729, B729)</f>
        <v>0.5558333333333334</v>
      </c>
      <c r="AI729" s="86">
        <f>AVERAGEIFS($J$2:J729, $B$2:B729, B729)</f>
        <v>0.53374999999999995</v>
      </c>
      <c r="AJ729" s="86">
        <f>AVERAGEIFS($D$2:D729, $B$2:B729, B729)</f>
        <v>0.64583333333333337</v>
      </c>
    </row>
    <row r="730" spans="1:36" x14ac:dyDescent="0.25">
      <c r="A730" s="85">
        <v>46115</v>
      </c>
      <c r="B730" t="s">
        <v>40</v>
      </c>
      <c r="C730">
        <v>17</v>
      </c>
      <c r="D730">
        <v>1</v>
      </c>
      <c r="E730">
        <v>4</v>
      </c>
      <c r="F730">
        <v>3</v>
      </c>
      <c r="G730">
        <v>18</v>
      </c>
      <c r="H730">
        <v>11</v>
      </c>
      <c r="I730">
        <v>0.75</v>
      </c>
      <c r="J730">
        <v>0.61</v>
      </c>
      <c r="K730">
        <v>0</v>
      </c>
      <c r="L730">
        <v>0</v>
      </c>
      <c r="M730">
        <v>1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1</v>
      </c>
      <c r="AC730">
        <v>0</v>
      </c>
      <c r="AD730">
        <v>1</v>
      </c>
      <c r="AE730">
        <v>0</v>
      </c>
      <c r="AF730">
        <v>0</v>
      </c>
      <c r="AG730" s="86">
        <f>AVERAGEIFS($C$2:C730, $B$2:B730, B730)</f>
        <v>18.212765957446809</v>
      </c>
      <c r="AH730" s="86">
        <f>AVERAGEIFS($I$2:I730, $B$2:B730, B730)</f>
        <v>0.49999999999999983</v>
      </c>
      <c r="AI730" s="86">
        <f>AVERAGEIFS($J$2:J730, $B$2:B730, B730)</f>
        <v>0.48680851063829794</v>
      </c>
      <c r="AJ730" s="86">
        <f>AVERAGEIFS($D$2:D730, $B$2:B730, B730)</f>
        <v>0.44680851063829785</v>
      </c>
    </row>
    <row r="731" spans="1:36" x14ac:dyDescent="0.25">
      <c r="A731" s="85">
        <v>46115</v>
      </c>
      <c r="B731" t="s">
        <v>141</v>
      </c>
      <c r="C731">
        <v>15</v>
      </c>
      <c r="D731">
        <v>1</v>
      </c>
      <c r="E731">
        <v>4</v>
      </c>
      <c r="F731">
        <v>3</v>
      </c>
      <c r="G731">
        <v>18</v>
      </c>
      <c r="H731">
        <v>11</v>
      </c>
      <c r="I731">
        <v>0.75</v>
      </c>
      <c r="J731">
        <v>0.61</v>
      </c>
      <c r="K731">
        <v>0</v>
      </c>
      <c r="L731">
        <v>0</v>
      </c>
      <c r="M731">
        <v>1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1</v>
      </c>
      <c r="AC731">
        <v>0</v>
      </c>
      <c r="AD731">
        <v>1</v>
      </c>
      <c r="AE731">
        <v>0</v>
      </c>
      <c r="AF731">
        <v>0</v>
      </c>
      <c r="AG731" s="86">
        <f>AVERAGEIFS($C$2:C731, $B$2:B731, B731)</f>
        <v>13.076923076923077</v>
      </c>
      <c r="AH731" s="86">
        <f>AVERAGEIFS($I$2:I731, $B$2:B731, B731)</f>
        <v>0.4538461538461539</v>
      </c>
      <c r="AI731" s="86">
        <f>AVERAGEIFS($J$2:J731, $B$2:B731, B731)</f>
        <v>0.47076923076923077</v>
      </c>
      <c r="AJ731" s="86">
        <f>AVERAGEIFS($D$2:D731, $B$2:B731, B731)</f>
        <v>0.46153846153846156</v>
      </c>
    </row>
    <row r="732" spans="1:36" x14ac:dyDescent="0.25">
      <c r="A732" s="85">
        <v>46115</v>
      </c>
      <c r="B732" t="s">
        <v>1</v>
      </c>
      <c r="C732">
        <v>24</v>
      </c>
      <c r="D732">
        <v>0</v>
      </c>
      <c r="E732">
        <v>4</v>
      </c>
      <c r="F732">
        <v>1</v>
      </c>
      <c r="G732">
        <v>18</v>
      </c>
      <c r="H732">
        <v>7</v>
      </c>
      <c r="I732">
        <v>0.25</v>
      </c>
      <c r="J732">
        <v>0.39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1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 s="86">
        <f>AVERAGEIFS($C$2:C732, $B$2:B732, B732)</f>
        <v>26.96</v>
      </c>
      <c r="AH732" s="86">
        <f>AVERAGEIFS($I$2:I732, $B$2:B732, B732)</f>
        <v>0.41800000000000004</v>
      </c>
      <c r="AI732" s="86">
        <f>AVERAGEIFS($J$2:J732, $B$2:B732, B732)</f>
        <v>0.45160000000000006</v>
      </c>
      <c r="AJ732" s="86">
        <f>AVERAGEIFS($D$2:D732, $B$2:B732, B732)</f>
        <v>0.44</v>
      </c>
    </row>
    <row r="733" spans="1:36" x14ac:dyDescent="0.25">
      <c r="A733" s="85">
        <v>46115</v>
      </c>
      <c r="B733" t="s">
        <v>44</v>
      </c>
      <c r="C733">
        <v>20</v>
      </c>
      <c r="D733">
        <v>0</v>
      </c>
      <c r="E733">
        <v>4</v>
      </c>
      <c r="F733">
        <v>1</v>
      </c>
      <c r="G733">
        <v>18</v>
      </c>
      <c r="H733">
        <v>7</v>
      </c>
      <c r="I733">
        <v>0.25</v>
      </c>
      <c r="J733">
        <v>0.39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1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 s="86">
        <f>AVERAGEIFS($C$2:C733, $B$2:B733, B733)</f>
        <v>16.724137931034484</v>
      </c>
      <c r="AH733" s="86">
        <f>AVERAGEIFS($I$2:I733, $B$2:B733, B733)</f>
        <v>0.51379310344827578</v>
      </c>
      <c r="AI733" s="86">
        <f>AVERAGEIFS($J$2:J733, $B$2:B733, B733)</f>
        <v>0.52655172413793105</v>
      </c>
      <c r="AJ733" s="86">
        <f>AVERAGEIFS($D$2:D733, $B$2:B733, B733)</f>
        <v>0.62068965517241381</v>
      </c>
    </row>
    <row r="734" spans="1:36" x14ac:dyDescent="0.25">
      <c r="A734" s="85">
        <v>46115</v>
      </c>
      <c r="B734" t="s">
        <v>13</v>
      </c>
      <c r="C734">
        <v>20</v>
      </c>
      <c r="D734">
        <v>0</v>
      </c>
      <c r="E734">
        <v>4</v>
      </c>
      <c r="F734">
        <v>1</v>
      </c>
      <c r="G734">
        <v>18</v>
      </c>
      <c r="H734">
        <v>7</v>
      </c>
      <c r="I734">
        <v>0.25</v>
      </c>
      <c r="J734">
        <v>0.39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1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 s="86">
        <f>AVERAGEIFS($C$2:C734, $B$2:B734, B734)</f>
        <v>13.846153846153847</v>
      </c>
      <c r="AH734" s="86">
        <f>AVERAGEIFS($I$2:I734, $B$2:B734, B734)</f>
        <v>0.51538461538461544</v>
      </c>
      <c r="AI734" s="86">
        <f>AVERAGEIFS($J$2:J734, $B$2:B734, B734)</f>
        <v>0.51923076923076916</v>
      </c>
      <c r="AJ734" s="86">
        <f>AVERAGEIFS($D$2:D734, $B$2:B734, B734)</f>
        <v>0.38461538461538464</v>
      </c>
    </row>
    <row r="735" spans="1:36" x14ac:dyDescent="0.25">
      <c r="A735" s="85">
        <v>46115</v>
      </c>
      <c r="B735" t="s">
        <v>50</v>
      </c>
      <c r="C735">
        <v>14</v>
      </c>
      <c r="D735">
        <v>0</v>
      </c>
      <c r="E735">
        <v>4</v>
      </c>
      <c r="F735">
        <v>1</v>
      </c>
      <c r="G735">
        <v>18</v>
      </c>
      <c r="H735">
        <v>7</v>
      </c>
      <c r="I735">
        <v>0.25</v>
      </c>
      <c r="J735">
        <v>0.39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1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 s="86">
        <f>AVERAGEIFS($C$2:C735, $B$2:B735, B735)</f>
        <v>18.411764705882351</v>
      </c>
      <c r="AH735" s="86">
        <f>AVERAGEIFS($I$2:I735, $B$2:B735, B735)</f>
        <v>0.53323529411764714</v>
      </c>
      <c r="AI735" s="86">
        <f>AVERAGEIFS($J$2:J735, $B$2:B735, B735)</f>
        <v>0.53176470588235281</v>
      </c>
      <c r="AJ735" s="86">
        <f>AVERAGEIFS($D$2:D735, $B$2:B735, B735)</f>
        <v>0.52941176470588236</v>
      </c>
    </row>
    <row r="736" spans="1:36" x14ac:dyDescent="0.25">
      <c r="A736" s="85">
        <v>46115</v>
      </c>
      <c r="B736" t="s">
        <v>71</v>
      </c>
      <c r="C736">
        <v>8</v>
      </c>
      <c r="D736">
        <v>0</v>
      </c>
      <c r="E736">
        <v>4</v>
      </c>
      <c r="F736">
        <v>1</v>
      </c>
      <c r="G736">
        <v>18</v>
      </c>
      <c r="H736">
        <v>7</v>
      </c>
      <c r="I736">
        <v>0.25</v>
      </c>
      <c r="J736">
        <v>0.39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1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 s="86">
        <f>AVERAGEIFS($C$2:C736, $B$2:B736, B736)</f>
        <v>12.368421052631579</v>
      </c>
      <c r="AH736" s="86">
        <f>AVERAGEIFS($I$2:I736, $B$2:B736, B736)</f>
        <v>0.45263157894736838</v>
      </c>
      <c r="AI736" s="86">
        <f>AVERAGEIFS($J$2:J736, $B$2:B736, B736)</f>
        <v>0.47210526315789475</v>
      </c>
      <c r="AJ736" s="86">
        <f>AVERAGEIFS($D$2:D736, $B$2:B736, B736)</f>
        <v>0.52631578947368418</v>
      </c>
    </row>
    <row r="737" spans="1:36" x14ac:dyDescent="0.25">
      <c r="A737" s="85">
        <v>46115</v>
      </c>
      <c r="B737" t="s">
        <v>46</v>
      </c>
      <c r="C737">
        <v>7</v>
      </c>
      <c r="D737">
        <v>0</v>
      </c>
      <c r="E737">
        <v>4</v>
      </c>
      <c r="F737">
        <v>1</v>
      </c>
      <c r="G737">
        <v>18</v>
      </c>
      <c r="H737">
        <v>7</v>
      </c>
      <c r="I737">
        <v>0.25</v>
      </c>
      <c r="J737">
        <v>0.39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1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 s="86">
        <f>AVERAGEIFS($C$2:C737, $B$2:B737, B737)</f>
        <v>17.48</v>
      </c>
      <c r="AH737" s="86">
        <f>AVERAGEIFS($I$2:I737, $B$2:B737, B737)</f>
        <v>0.39999999999999991</v>
      </c>
      <c r="AI737" s="86">
        <f>AVERAGEIFS($J$2:J737, $B$2:B737, B737)</f>
        <v>0.44800000000000006</v>
      </c>
      <c r="AJ737" s="86">
        <f>AVERAGEIFS($D$2:D737, $B$2:B737, B737)</f>
        <v>0.36</v>
      </c>
    </row>
    <row r="738" spans="1:36" x14ac:dyDescent="0.25">
      <c r="A738" s="85">
        <v>46115</v>
      </c>
      <c r="B738" t="s">
        <v>35</v>
      </c>
      <c r="C738">
        <v>3</v>
      </c>
      <c r="D738">
        <v>0</v>
      </c>
      <c r="E738">
        <v>4</v>
      </c>
      <c r="F738">
        <v>1</v>
      </c>
      <c r="G738">
        <v>18</v>
      </c>
      <c r="H738">
        <v>7</v>
      </c>
      <c r="I738">
        <v>0.25</v>
      </c>
      <c r="J738">
        <v>0.39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1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 s="86">
        <f>AVERAGEIFS($C$2:C738, $B$2:B738, B738)</f>
        <v>10.861111111111111</v>
      </c>
      <c r="AH738" s="86">
        <f>AVERAGEIFS($I$2:I738, $B$2:B738, B738)</f>
        <v>0.46750000000000003</v>
      </c>
      <c r="AI738" s="86">
        <f>AVERAGEIFS($J$2:J738, $B$2:B738, B738)</f>
        <v>0.48861111111111111</v>
      </c>
      <c r="AJ738" s="86">
        <f>AVERAGEIFS($D$2:D738, $B$2:B738, B738)</f>
        <v>0.44444444444444442</v>
      </c>
    </row>
    <row r="739" spans="1:36" x14ac:dyDescent="0.25">
      <c r="A739" s="85">
        <v>46118</v>
      </c>
      <c r="B739" t="s">
        <v>6</v>
      </c>
      <c r="C739">
        <v>27</v>
      </c>
      <c r="D739">
        <v>1</v>
      </c>
      <c r="E739">
        <v>5</v>
      </c>
      <c r="F739">
        <v>3</v>
      </c>
      <c r="G739">
        <v>20</v>
      </c>
      <c r="H739">
        <v>12</v>
      </c>
      <c r="I739">
        <v>0.6</v>
      </c>
      <c r="J739">
        <v>0.6</v>
      </c>
      <c r="K739">
        <v>0</v>
      </c>
      <c r="L739">
        <v>1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1</v>
      </c>
      <c r="AD739">
        <v>0</v>
      </c>
      <c r="AE739">
        <v>0</v>
      </c>
      <c r="AF739">
        <v>0</v>
      </c>
      <c r="AG739" s="86">
        <f>AVERAGEIFS($C$2:C739, $B$2:B739, B739)</f>
        <v>22.244897959183675</v>
      </c>
      <c r="AH739" s="86">
        <f>AVERAGEIFS($I$2:I739, $B$2:B739, B739)</f>
        <v>0.55673469387755115</v>
      </c>
      <c r="AI739" s="86">
        <f>AVERAGEIFS($J$2:J739, $B$2:B739, B739)</f>
        <v>0.53510204081632651</v>
      </c>
      <c r="AJ739" s="86">
        <f>AVERAGEIFS($D$2:D739, $B$2:B739, B739)</f>
        <v>0.65306122448979587</v>
      </c>
    </row>
    <row r="740" spans="1:36" x14ac:dyDescent="0.25">
      <c r="A740" s="85">
        <v>46118</v>
      </c>
      <c r="B740" t="s">
        <v>40</v>
      </c>
      <c r="C740">
        <v>14</v>
      </c>
      <c r="D740">
        <v>1</v>
      </c>
      <c r="E740">
        <v>5</v>
      </c>
      <c r="F740">
        <v>3</v>
      </c>
      <c r="G740">
        <v>20</v>
      </c>
      <c r="H740">
        <v>12</v>
      </c>
      <c r="I740">
        <v>0.6</v>
      </c>
      <c r="J740">
        <v>0.6</v>
      </c>
      <c r="K740">
        <v>0</v>
      </c>
      <c r="L740">
        <v>1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1</v>
      </c>
      <c r="AD740">
        <v>0</v>
      </c>
      <c r="AE740">
        <v>0</v>
      </c>
      <c r="AF740">
        <v>0</v>
      </c>
      <c r="AG740" s="86">
        <f>AVERAGEIFS($C$2:C740, $B$2:B740, B740)</f>
        <v>18.125</v>
      </c>
      <c r="AH740" s="86">
        <f>AVERAGEIFS($I$2:I740, $B$2:B740, B740)</f>
        <v>0.50208333333333321</v>
      </c>
      <c r="AI740" s="86">
        <f>AVERAGEIFS($J$2:J740, $B$2:B740, B740)</f>
        <v>0.48916666666666675</v>
      </c>
      <c r="AJ740" s="86">
        <f>AVERAGEIFS($D$2:D740, $B$2:B740, B740)</f>
        <v>0.45833333333333331</v>
      </c>
    </row>
    <row r="741" spans="1:36" x14ac:dyDescent="0.25">
      <c r="A741" s="85">
        <v>46118</v>
      </c>
      <c r="B741" t="s">
        <v>113</v>
      </c>
      <c r="C741">
        <v>21</v>
      </c>
      <c r="D741">
        <v>1</v>
      </c>
      <c r="E741">
        <v>5</v>
      </c>
      <c r="F741">
        <v>3</v>
      </c>
      <c r="G741">
        <v>20</v>
      </c>
      <c r="H741">
        <v>12</v>
      </c>
      <c r="I741">
        <v>0.6</v>
      </c>
      <c r="J741">
        <v>0.6</v>
      </c>
      <c r="K741">
        <v>0</v>
      </c>
      <c r="L741">
        <v>1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1</v>
      </c>
      <c r="AD741">
        <v>0</v>
      </c>
      <c r="AE741">
        <v>0</v>
      </c>
      <c r="AF741">
        <v>0</v>
      </c>
      <c r="AG741" s="86">
        <f>AVERAGEIFS($C$2:C741, $B$2:B741, B741)</f>
        <v>16.375</v>
      </c>
      <c r="AH741" s="86">
        <f>AVERAGEIFS($I$2:I741, $B$2:B741, B741)</f>
        <v>0.5541666666666667</v>
      </c>
      <c r="AI741" s="86">
        <f>AVERAGEIFS($J$2:J741, $B$2:B741, B741)</f>
        <v>0.51083333333333336</v>
      </c>
      <c r="AJ741" s="86">
        <f>AVERAGEIFS($D$2:D741, $B$2:B741, B741)</f>
        <v>0.54166666666666663</v>
      </c>
    </row>
    <row r="742" spans="1:36" x14ac:dyDescent="0.25">
      <c r="A742" s="85">
        <v>46118</v>
      </c>
      <c r="B742" t="s">
        <v>4</v>
      </c>
      <c r="C742">
        <v>25</v>
      </c>
      <c r="D742">
        <v>1</v>
      </c>
      <c r="E742">
        <v>5</v>
      </c>
      <c r="F742">
        <v>3</v>
      </c>
      <c r="G742">
        <v>20</v>
      </c>
      <c r="H742">
        <v>12</v>
      </c>
      <c r="I742">
        <v>0.6</v>
      </c>
      <c r="J742">
        <v>0.6</v>
      </c>
      <c r="K742">
        <v>0</v>
      </c>
      <c r="L742">
        <v>1</v>
      </c>
      <c r="M742">
        <v>0</v>
      </c>
      <c r="N742">
        <v>1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1</v>
      </c>
      <c r="AD742">
        <v>0</v>
      </c>
      <c r="AE742">
        <v>0</v>
      </c>
      <c r="AF742">
        <v>0</v>
      </c>
      <c r="AG742" s="86">
        <f>AVERAGEIFS($C$2:C742, $B$2:B742, B742)</f>
        <v>23.52</v>
      </c>
      <c r="AH742" s="86">
        <f>AVERAGEIFS($I$2:I742, $B$2:B742, B742)</f>
        <v>0.41399999999999998</v>
      </c>
      <c r="AI742" s="86">
        <f>AVERAGEIFS($J$2:J742, $B$2:B742, B742)</f>
        <v>0.45039999999999997</v>
      </c>
      <c r="AJ742" s="86">
        <f>AVERAGEIFS($D$2:D742, $B$2:B742, B742)</f>
        <v>0.28000000000000003</v>
      </c>
    </row>
    <row r="743" spans="1:36" x14ac:dyDescent="0.25">
      <c r="A743" s="85">
        <v>46118</v>
      </c>
      <c r="B743" t="s">
        <v>44</v>
      </c>
      <c r="C743">
        <v>17</v>
      </c>
      <c r="D743">
        <v>1</v>
      </c>
      <c r="E743">
        <v>5</v>
      </c>
      <c r="F743">
        <v>3</v>
      </c>
      <c r="G743">
        <v>20</v>
      </c>
      <c r="H743">
        <v>12</v>
      </c>
      <c r="I743">
        <v>0.6</v>
      </c>
      <c r="J743">
        <v>0.6</v>
      </c>
      <c r="K743">
        <v>0</v>
      </c>
      <c r="L743">
        <v>1</v>
      </c>
      <c r="M743">
        <v>0</v>
      </c>
      <c r="N743">
        <v>1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1</v>
      </c>
      <c r="AD743">
        <v>0</v>
      </c>
      <c r="AE743">
        <v>0</v>
      </c>
      <c r="AF743">
        <v>0</v>
      </c>
      <c r="AG743" s="86">
        <f>AVERAGEIFS($C$2:C743, $B$2:B743, B743)</f>
        <v>16.733333333333334</v>
      </c>
      <c r="AH743" s="86">
        <f>AVERAGEIFS($I$2:I743, $B$2:B743, B743)</f>
        <v>0.51666666666666661</v>
      </c>
      <c r="AI743" s="86">
        <f>AVERAGEIFS($J$2:J743, $B$2:B743, B743)</f>
        <v>0.52900000000000003</v>
      </c>
      <c r="AJ743" s="86">
        <f>AVERAGEIFS($D$2:D743, $B$2:B743, B743)</f>
        <v>0.6333333333333333</v>
      </c>
    </row>
    <row r="744" spans="1:36" x14ac:dyDescent="0.25">
      <c r="A744" s="85">
        <v>46118</v>
      </c>
      <c r="B744" t="s">
        <v>142</v>
      </c>
      <c r="C744">
        <v>14</v>
      </c>
      <c r="D744">
        <v>1</v>
      </c>
      <c r="E744">
        <v>5</v>
      </c>
      <c r="F744">
        <v>3</v>
      </c>
      <c r="G744">
        <v>20</v>
      </c>
      <c r="H744">
        <v>12</v>
      </c>
      <c r="I744">
        <v>0.6</v>
      </c>
      <c r="J744">
        <v>0.6</v>
      </c>
      <c r="K744">
        <v>0</v>
      </c>
      <c r="L744">
        <v>1</v>
      </c>
      <c r="M744">
        <v>0</v>
      </c>
      <c r="N744">
        <v>1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1</v>
      </c>
      <c r="AD744">
        <v>0</v>
      </c>
      <c r="AE744">
        <v>0</v>
      </c>
      <c r="AF744">
        <v>0</v>
      </c>
      <c r="AG744" s="86">
        <f>AVERAGEIFS($C$2:C744, $B$2:B744, B744)</f>
        <v>12.125</v>
      </c>
      <c r="AH744" s="86">
        <f>AVERAGEIFS($I$2:I744, $B$2:B744, B744)</f>
        <v>0.4</v>
      </c>
      <c r="AI744" s="86">
        <f>AVERAGEIFS($J$2:J744, $B$2:B744, B744)</f>
        <v>0.49000000000000005</v>
      </c>
      <c r="AJ744" s="86">
        <f>AVERAGEIFS($D$2:D744, $B$2:B744, B744)</f>
        <v>0.5</v>
      </c>
    </row>
    <row r="745" spans="1:36" x14ac:dyDescent="0.25">
      <c r="A745" s="85">
        <v>46118</v>
      </c>
      <c r="B745" t="s">
        <v>1</v>
      </c>
      <c r="C745">
        <v>22</v>
      </c>
      <c r="D745">
        <v>0</v>
      </c>
      <c r="E745">
        <v>5</v>
      </c>
      <c r="F745">
        <v>2</v>
      </c>
      <c r="G745">
        <v>20</v>
      </c>
      <c r="H745">
        <v>8</v>
      </c>
      <c r="I745">
        <v>0.4</v>
      </c>
      <c r="J745">
        <v>0.4</v>
      </c>
      <c r="K745">
        <v>1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1</v>
      </c>
      <c r="Z745">
        <v>0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 s="86">
        <f>AVERAGEIFS($C$2:C745, $B$2:B745, B745)</f>
        <v>26.76923076923077</v>
      </c>
      <c r="AH745" s="86">
        <f>AVERAGEIFS($I$2:I745, $B$2:B745, B745)</f>
        <v>0.41730769230769238</v>
      </c>
      <c r="AI745" s="86">
        <f>AVERAGEIFS($J$2:J745, $B$2:B745, B745)</f>
        <v>0.44961538461538464</v>
      </c>
      <c r="AJ745" s="86">
        <f>AVERAGEIFS($D$2:D745, $B$2:B745, B745)</f>
        <v>0.42307692307692307</v>
      </c>
    </row>
    <row r="746" spans="1:36" x14ac:dyDescent="0.25">
      <c r="A746" s="85">
        <v>46118</v>
      </c>
      <c r="B746" t="s">
        <v>107</v>
      </c>
      <c r="C746">
        <v>22</v>
      </c>
      <c r="D746">
        <v>0</v>
      </c>
      <c r="E746">
        <v>5</v>
      </c>
      <c r="F746">
        <v>2</v>
      </c>
      <c r="G746">
        <v>20</v>
      </c>
      <c r="H746">
        <v>8</v>
      </c>
      <c r="I746">
        <v>0.4</v>
      </c>
      <c r="J746">
        <v>0.4</v>
      </c>
      <c r="K746">
        <v>1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1</v>
      </c>
      <c r="Z746">
        <v>0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 s="86">
        <f>AVERAGEIFS($C$2:C746, $B$2:B746, B746)</f>
        <v>16.899999999999999</v>
      </c>
      <c r="AH746" s="86">
        <f>AVERAGEIFS($I$2:I746, $B$2:B746, B746)</f>
        <v>0.53833333333333333</v>
      </c>
      <c r="AI746" s="86">
        <f>AVERAGEIFS($J$2:J746, $B$2:B746, B746)</f>
        <v>0.53066666666666673</v>
      </c>
      <c r="AJ746" s="86">
        <f>AVERAGEIFS($D$2:D746, $B$2:B746, B746)</f>
        <v>0.56666666666666665</v>
      </c>
    </row>
    <row r="747" spans="1:36" x14ac:dyDescent="0.25">
      <c r="A747" s="85">
        <v>46118</v>
      </c>
      <c r="B747" t="s">
        <v>71</v>
      </c>
      <c r="C747">
        <v>8</v>
      </c>
      <c r="D747">
        <v>0</v>
      </c>
      <c r="E747">
        <v>5</v>
      </c>
      <c r="F747">
        <v>2</v>
      </c>
      <c r="G747">
        <v>20</v>
      </c>
      <c r="H747">
        <v>8</v>
      </c>
      <c r="I747">
        <v>0.4</v>
      </c>
      <c r="J747">
        <v>0.4</v>
      </c>
      <c r="K747">
        <v>1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1</v>
      </c>
      <c r="Z747">
        <v>0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 s="86">
        <f>AVERAGEIFS($C$2:C747, $B$2:B747, B747)</f>
        <v>12.15</v>
      </c>
      <c r="AH747" s="86">
        <f>AVERAGEIFS($I$2:I747, $B$2:B747, B747)</f>
        <v>0.45</v>
      </c>
      <c r="AI747" s="86">
        <f>AVERAGEIFS($J$2:J747, $B$2:B747, B747)</f>
        <v>0.46850000000000003</v>
      </c>
      <c r="AJ747" s="86">
        <f>AVERAGEIFS($D$2:D747, $B$2:B747, B747)</f>
        <v>0.5</v>
      </c>
    </row>
    <row r="748" spans="1:36" x14ac:dyDescent="0.25">
      <c r="A748" s="85">
        <v>46118</v>
      </c>
      <c r="B748" t="s">
        <v>46</v>
      </c>
      <c r="C748">
        <v>23</v>
      </c>
      <c r="D748">
        <v>0</v>
      </c>
      <c r="E748">
        <v>5</v>
      </c>
      <c r="F748">
        <v>2</v>
      </c>
      <c r="G748">
        <v>20</v>
      </c>
      <c r="H748">
        <v>8</v>
      </c>
      <c r="I748">
        <v>0.4</v>
      </c>
      <c r="J748">
        <v>0.4</v>
      </c>
      <c r="K748">
        <v>1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1</v>
      </c>
      <c r="Z748">
        <v>0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 s="86">
        <f>AVERAGEIFS($C$2:C748, $B$2:B748, B748)</f>
        <v>17.692307692307693</v>
      </c>
      <c r="AH748" s="86">
        <f>AVERAGEIFS($I$2:I748, $B$2:B748, B748)</f>
        <v>0.39999999999999997</v>
      </c>
      <c r="AI748" s="86">
        <f>AVERAGEIFS($J$2:J748, $B$2:B748, B748)</f>
        <v>0.44615384615384623</v>
      </c>
      <c r="AJ748" s="86">
        <f>AVERAGEIFS($D$2:D748, $B$2:B748, B748)</f>
        <v>0.34615384615384615</v>
      </c>
    </row>
    <row r="749" spans="1:36" x14ac:dyDescent="0.25">
      <c r="A749" s="85">
        <v>46118</v>
      </c>
      <c r="B749" t="s">
        <v>53</v>
      </c>
      <c r="C749">
        <v>11</v>
      </c>
      <c r="D749">
        <v>0</v>
      </c>
      <c r="E749">
        <v>5</v>
      </c>
      <c r="F749">
        <v>2</v>
      </c>
      <c r="G749">
        <v>20</v>
      </c>
      <c r="H749">
        <v>8</v>
      </c>
      <c r="I749">
        <v>0.4</v>
      </c>
      <c r="J749">
        <v>0.4</v>
      </c>
      <c r="K749">
        <v>1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1</v>
      </c>
      <c r="Z749">
        <v>0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 s="86">
        <f>AVERAGEIFS($C$2:C749, $B$2:B749, B749)</f>
        <v>15.470588235294118</v>
      </c>
      <c r="AH749" s="86">
        <f>AVERAGEIFS($I$2:I749, $B$2:B749, B749)</f>
        <v>0.56176470588235294</v>
      </c>
      <c r="AI749" s="86">
        <f>AVERAGEIFS($J$2:J749, $B$2:B749, B749)</f>
        <v>0.52235294117647069</v>
      </c>
      <c r="AJ749" s="86">
        <f>AVERAGEIFS($D$2:D749, $B$2:B749, B749)</f>
        <v>0.52941176470588236</v>
      </c>
    </row>
    <row r="750" spans="1:36" x14ac:dyDescent="0.25">
      <c r="A750" s="85">
        <v>46118</v>
      </c>
      <c r="B750" t="s">
        <v>42</v>
      </c>
      <c r="C750">
        <v>21</v>
      </c>
      <c r="D750">
        <v>0</v>
      </c>
      <c r="E750">
        <v>5</v>
      </c>
      <c r="F750">
        <v>2</v>
      </c>
      <c r="G750">
        <v>20</v>
      </c>
      <c r="H750">
        <v>8</v>
      </c>
      <c r="I750">
        <v>0.4</v>
      </c>
      <c r="J750">
        <v>0.4</v>
      </c>
      <c r="K750">
        <v>1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1</v>
      </c>
      <c r="Z750">
        <v>0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 s="86">
        <f>AVERAGEIFS($C$2:C750, $B$2:B750, B750)</f>
        <v>19.2</v>
      </c>
      <c r="AH750" s="86">
        <f>AVERAGEIFS($I$2:I750, $B$2:B750, B750)</f>
        <v>0.4383333333333333</v>
      </c>
      <c r="AI750" s="86">
        <f>AVERAGEIFS($J$2:J750, $B$2:B750, B750)</f>
        <v>0.45166666666666661</v>
      </c>
      <c r="AJ750" s="86">
        <f>AVERAGEIFS($D$2:D750, $B$2:B750, B750)</f>
        <v>0.43333333333333335</v>
      </c>
    </row>
  </sheetData>
  <autoFilter ref="A1:AJ750" xr:uid="{2920E10D-1157-4164-84BC-1BB5367BF023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2520A-F4B9-4C92-B069-EFC8D5397B6F}">
  <dimension ref="A1:AJ2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G44" sqref="G44"/>
    </sheetView>
  </sheetViews>
  <sheetFormatPr defaultRowHeight="15" x14ac:dyDescent="0.25"/>
  <cols>
    <col min="1" max="1" width="13.140625" customWidth="1"/>
    <col min="2" max="2" width="11.5703125" customWidth="1"/>
    <col min="5" max="5" width="17.140625" customWidth="1"/>
    <col min="6" max="16" width="9.140625" style="1"/>
    <col min="17" max="17" width="12" style="1" customWidth="1"/>
    <col min="18" max="20" width="9.140625" style="1"/>
    <col min="21" max="21" width="11.7109375" style="1" bestFit="1" customWidth="1"/>
    <col min="22" max="23" width="14.5703125" style="1" customWidth="1"/>
    <col min="24" max="26" width="9.140625" style="1"/>
    <col min="27" max="27" width="11.85546875" style="1" bestFit="1" customWidth="1"/>
    <col min="28" max="28" width="9.140625" style="1"/>
    <col min="29" max="29" width="13" style="1" customWidth="1"/>
    <col min="30" max="30" width="13.140625" style="1" customWidth="1"/>
    <col min="31" max="31" width="9.140625" style="1"/>
    <col min="32" max="32" width="12.85546875" style="1" customWidth="1"/>
    <col min="33" max="33" width="9.140625" style="1"/>
    <col min="34" max="34" width="12.42578125" style="1" bestFit="1" customWidth="1"/>
    <col min="35" max="35" width="12.42578125" style="1" customWidth="1"/>
    <col min="36" max="36" width="9.140625" style="1"/>
  </cols>
  <sheetData>
    <row r="1" spans="1:36" ht="30.75" thickBot="1" x14ac:dyDescent="0.3">
      <c r="A1" s="3" t="s">
        <v>0</v>
      </c>
      <c r="B1" s="3" t="s">
        <v>59</v>
      </c>
      <c r="C1" s="31" t="s">
        <v>7</v>
      </c>
      <c r="D1" s="32" t="s">
        <v>36</v>
      </c>
      <c r="E1" s="33" t="s">
        <v>49</v>
      </c>
      <c r="F1" s="51" t="s">
        <v>97</v>
      </c>
      <c r="G1" s="52" t="s">
        <v>98</v>
      </c>
      <c r="H1" s="46" t="s">
        <v>123</v>
      </c>
      <c r="I1" s="51" t="s">
        <v>64</v>
      </c>
      <c r="J1" s="52" t="s">
        <v>101</v>
      </c>
      <c r="K1" s="46" t="s">
        <v>121</v>
      </c>
      <c r="L1" s="51" t="s">
        <v>99</v>
      </c>
      <c r="M1" s="52" t="s">
        <v>100</v>
      </c>
      <c r="N1" s="46" t="s">
        <v>122</v>
      </c>
      <c r="O1" s="90" t="s">
        <v>93</v>
      </c>
      <c r="P1" s="91" t="s">
        <v>41</v>
      </c>
      <c r="Q1" s="91" t="s">
        <v>69</v>
      </c>
      <c r="R1" s="92" t="s">
        <v>63</v>
      </c>
      <c r="S1" s="92" t="s">
        <v>116</v>
      </c>
      <c r="T1" s="91" t="s">
        <v>112</v>
      </c>
      <c r="U1" s="92" t="s">
        <v>32</v>
      </c>
      <c r="V1" s="91" t="s">
        <v>106</v>
      </c>
      <c r="W1" s="91" t="s">
        <v>145</v>
      </c>
      <c r="X1" s="92" t="s">
        <v>62</v>
      </c>
      <c r="Y1" s="91" t="s">
        <v>73</v>
      </c>
      <c r="Z1" s="91" t="s">
        <v>91</v>
      </c>
      <c r="AA1" s="92" t="s">
        <v>95</v>
      </c>
      <c r="AB1" s="91" t="s">
        <v>92</v>
      </c>
      <c r="AC1" s="92" t="s">
        <v>67</v>
      </c>
      <c r="AD1" s="92" t="s">
        <v>56</v>
      </c>
      <c r="AE1" s="91" t="s">
        <v>104</v>
      </c>
      <c r="AF1" s="91" t="s">
        <v>66</v>
      </c>
      <c r="AG1" s="91" t="s">
        <v>72</v>
      </c>
      <c r="AH1" s="92" t="s">
        <v>68</v>
      </c>
      <c r="AI1" s="92" t="s">
        <v>135</v>
      </c>
      <c r="AJ1" s="93" t="s">
        <v>96</v>
      </c>
    </row>
    <row r="2" spans="1:36" x14ac:dyDescent="0.25">
      <c r="A2" s="2" t="s">
        <v>141</v>
      </c>
      <c r="B2" s="3" t="s">
        <v>79</v>
      </c>
      <c r="C2" s="34">
        <f>SUMIFS('BA History S2'!C:C,'BA History S2'!B:B,A2)</f>
        <v>24</v>
      </c>
      <c r="D2" s="66">
        <f>AVERAGEIFS('BA History S2'!C:C,'BA History S2'!B:B,A2)</f>
        <v>12</v>
      </c>
      <c r="E2" s="35">
        <f t="array" ref="E2">MAX(IF('BA History S2'!B:B=A2, 'BA History S2'!C:C))</f>
        <v>15</v>
      </c>
      <c r="F2" s="34">
        <f>COUNTIFS('BA History S2'!B:B,A2,'BA History S2'!D:D, 1)</f>
        <v>1</v>
      </c>
      <c r="G2" s="2">
        <f>COUNTIFS('BA History S2'!B:B,A2,'BA History S2'!D:D, 0)</f>
        <v>1</v>
      </c>
      <c r="H2" s="75">
        <f>LOOKUP(2, 1/('BA History S2'!$B:$B=A2), 'BA History S2'!$AJ:$AJ)</f>
        <v>0.5</v>
      </c>
      <c r="I2" s="34">
        <f>SUMIFS('BA History S2'!F:F,'BA History S2'!B:B,A2)</f>
        <v>3</v>
      </c>
      <c r="J2" s="2">
        <f>SUMIFS('BA History S2'!E:E,'BA History S2'!B:B,A2)-I2</f>
        <v>4</v>
      </c>
      <c r="K2" s="75">
        <f>LOOKUP(2, 1/('BA History S2'!$B:$B=A2), 'BA History S2'!$AH:$AH)</f>
        <v>0.375</v>
      </c>
      <c r="L2" s="34">
        <f>SUMIFS('BA History S2'!H:H,'BA History S2'!B:B,A2)</f>
        <v>15</v>
      </c>
      <c r="M2" s="2">
        <f>SUMIFS('BA History S2'!G:G,'BA History S2'!B:B,A2)-L2</f>
        <v>16</v>
      </c>
      <c r="N2" s="89">
        <f>LOOKUP(2, 1/('BA History S2'!$B:$B=A2), 'BA History S2'!$AI:$AI)</f>
        <v>0.45999999999999996</v>
      </c>
      <c r="O2" s="2">
        <f>COUNTIFS('BA History S2'!$B:$B,$A$2,'BA History S2'!K:K, 1)</f>
        <v>0</v>
      </c>
      <c r="P2" s="2">
        <f>COUNTIFS('BA History S2'!$B:$B,$A$2,'BA History S2'!L:L, 1)</f>
        <v>0</v>
      </c>
      <c r="Q2" s="2">
        <f>COUNTIFS('BA History S2'!$B:$B,$A$2,'BA History S2'!M:M, 1)</f>
        <v>1</v>
      </c>
      <c r="R2" s="2">
        <f>COUNTIFS('BA History S2'!$B:$B,$A$2,'BA History S2'!N:N, 1)</f>
        <v>0</v>
      </c>
      <c r="S2" s="2">
        <f>COUNTIFS('BA History S2'!$B:$B,$A$2,'BA History S2'!O:O, 1)</f>
        <v>0</v>
      </c>
      <c r="T2" s="2">
        <f>COUNTIFS('BA History S2'!$B:$B,$A$2,'BA History S2'!P:P, 1)</f>
        <v>0</v>
      </c>
      <c r="U2" s="2">
        <f>COUNTIFS('BA History S2'!$B:$B,$A$2,'BA History S2'!Q:Q, 1)</f>
        <v>0</v>
      </c>
      <c r="V2" s="2">
        <f>COUNTIFS('BA History S2'!$B:$B,$A$2,'BA History S2'!R:R, 1)</f>
        <v>0</v>
      </c>
      <c r="W2" s="2">
        <f>COUNTIFS('BA History S2'!$B:$B,$A$2,'BA History S2'!S:S, 1)</f>
        <v>0</v>
      </c>
      <c r="X2" s="2">
        <f>COUNTIFS('BA History S2'!$B:$B,$A$2,'BA History S2'!T:T, 1)</f>
        <v>0</v>
      </c>
      <c r="Y2" s="2">
        <f>COUNTIFS('BA History S2'!$B:$B,$A$2,'BA History S2'!U:U, 1)</f>
        <v>0</v>
      </c>
      <c r="Z2" s="2">
        <f>COUNTIFS('BA History S2'!$B:$B,$A$2,'BA History S2'!V:V, 1)</f>
        <v>0</v>
      </c>
      <c r="AA2" s="2">
        <f>COUNTIFS('BA History S2'!$B:$B,$A$2,'BA History S2'!W:W, 1)</f>
        <v>0</v>
      </c>
      <c r="AB2" s="2">
        <f>COUNTIFS('BA History S2'!$B:$B,$A$2,'BA History S2'!X:X, 1)</f>
        <v>0</v>
      </c>
      <c r="AC2" s="2">
        <f>COUNTIFS('BA History S2'!$B:$B,$A$2,'BA History S2'!Y:Y, 1)</f>
        <v>0</v>
      </c>
      <c r="AD2" s="2">
        <f>COUNTIFS('BA History S2'!$B:$B,$A$2,'BA History S2'!Z:Z, 1)</f>
        <v>0</v>
      </c>
      <c r="AE2" s="2">
        <f>COUNTIFS('BA History S2'!$B:$B,$A$2,'BA History S2'!AA:AA, 1)</f>
        <v>0</v>
      </c>
      <c r="AF2" s="2">
        <f>COUNTIFS('BA History S2'!$B:$B,$A$2,'BA History S2'!AB:AB, 1)</f>
        <v>1</v>
      </c>
      <c r="AG2" s="2">
        <f>COUNTIFS('BA History S2'!$B:$B,$A$2,'BA History S2'!AC:AC, 1)</f>
        <v>0</v>
      </c>
      <c r="AH2" s="2">
        <f>COUNTIFS('BA History S2'!$B:$B,$A$2,'BA History S2'!AD:AD, 1)</f>
        <v>1</v>
      </c>
      <c r="AI2" s="2">
        <f>COUNTIFS('BA History S2'!$B:$B,$A$2,'BA History S2'!AE:AE, 1)</f>
        <v>0</v>
      </c>
      <c r="AJ2" s="2">
        <f>COUNTIFS('BA History S2'!$B:$B,$A$2,'BA History S2'!AF:AF, 1)</f>
        <v>0</v>
      </c>
    </row>
    <row r="3" spans="1:36" x14ac:dyDescent="0.25">
      <c r="A3" s="2" t="s">
        <v>37</v>
      </c>
      <c r="B3" s="2" t="s">
        <v>79</v>
      </c>
      <c r="C3" s="34">
        <f>SUMIFS('BA History S2'!C:C,'BA History S2'!B:B,A3)</f>
        <v>14</v>
      </c>
      <c r="D3" s="66">
        <f>AVERAGEIFS('BA History S2'!C:C,'BA History S2'!B:B,A3)</f>
        <v>14</v>
      </c>
      <c r="E3" s="35">
        <f t="array" ref="E3">MAX(IF('BA History S2'!B:B=A3, 'BA History S2'!C:C))</f>
        <v>14</v>
      </c>
      <c r="F3" s="34">
        <f>COUNTIFS('BA History S2'!B:B,A3,'BA History S2'!D:D, 1)</f>
        <v>1</v>
      </c>
      <c r="G3" s="2">
        <f>COUNTIFS('BA History S2'!B:B,A3,'BA History S2'!D:D, 0)</f>
        <v>0</v>
      </c>
      <c r="H3" s="75">
        <f>LOOKUP(2, 1/('BA History S2'!$B:$B=A3), 'BA History S2'!$AJ:$AJ)</f>
        <v>1</v>
      </c>
      <c r="I3" s="34">
        <f>SUMIFS('BA History S2'!F:F,'BA History S2'!B:B,A3)</f>
        <v>3</v>
      </c>
      <c r="J3" s="2">
        <f>SUMIFS('BA History S2'!E:E,'BA History S2'!B:B,A3)-I3</f>
        <v>1</v>
      </c>
      <c r="K3" s="75">
        <f>LOOKUP(2, 1/('BA History S2'!$B:$B=A3), 'BA History S2'!$AH:$AH)</f>
        <v>0.75</v>
      </c>
      <c r="L3" s="34">
        <f>SUMIFS('BA History S2'!H:H,'BA History S2'!B:B,A3)</f>
        <v>10</v>
      </c>
      <c r="M3" s="2">
        <f>SUMIFS('BA History S2'!G:G,'BA History S2'!B:B,A3)-L3</f>
        <v>8</v>
      </c>
      <c r="N3" s="89">
        <f>LOOKUP(2, 1/('BA History S2'!$B:$B=A3), 'BA History S2'!$AI:$AI)</f>
        <v>0.56000000000000005</v>
      </c>
      <c r="O3" s="2">
        <f>COUNTIFS('BA History S2'!$B:$B,$A$3,'BA History S2'!K:K, 1)</f>
        <v>0</v>
      </c>
      <c r="P3" s="2">
        <f>COUNTIFS('BA History S2'!$B:$B,$A$3,'BA History S2'!L:L, 1)</f>
        <v>0</v>
      </c>
      <c r="Q3" s="2">
        <f>COUNTIFS('BA History S2'!$B:$B,$A$3,'BA History S2'!M:M, 1)</f>
        <v>1</v>
      </c>
      <c r="R3" s="2">
        <f>COUNTIFS('BA History S2'!$B:$B,$A$3,'BA History S2'!N:N, 1)</f>
        <v>0</v>
      </c>
      <c r="S3" s="2">
        <f>COUNTIFS('BA History S2'!$B:$B,$A$3,'BA History S2'!O:O, 1)</f>
        <v>0</v>
      </c>
      <c r="T3" s="2">
        <f>COUNTIFS('BA History S2'!$B:$B,$A$3,'BA History S2'!P:P, 1)</f>
        <v>0</v>
      </c>
      <c r="U3" s="2">
        <f>COUNTIFS('BA History S2'!$B:$B,$A$3,'BA History S2'!Q:Q, 1)</f>
        <v>1</v>
      </c>
      <c r="V3" s="2">
        <f>COUNTIFS('BA History S2'!$B:$B,$A$3,'BA History S2'!R:R, 1)</f>
        <v>0</v>
      </c>
      <c r="W3" s="2">
        <f>COUNTIFS('BA History S2'!$B:$B,$A$3,'BA History S2'!S:S, 1)</f>
        <v>0</v>
      </c>
      <c r="X3" s="2">
        <f>COUNTIFS('BA History S2'!$B:$B,$A$3,'BA History S2'!T:T, 1)</f>
        <v>0</v>
      </c>
      <c r="Y3" s="2">
        <f>COUNTIFS('BA History S2'!$B:$B,$A$3,'BA History S2'!U:U, 1)</f>
        <v>0</v>
      </c>
      <c r="Z3" s="2">
        <f>COUNTIFS('BA History S2'!$B:$B,$A$3,'BA History S2'!V:V, 1)</f>
        <v>0</v>
      </c>
      <c r="AA3" s="2">
        <f>COUNTIFS('BA History S2'!$B:$B,$A$3,'BA History S2'!W:W, 1)</f>
        <v>0</v>
      </c>
      <c r="AB3" s="2">
        <f>COUNTIFS('BA History S2'!$B:$B,$A$3,'BA History S2'!X:X, 1)</f>
        <v>0</v>
      </c>
      <c r="AC3" s="2">
        <f>COUNTIFS('BA History S2'!$B:$B,$A$3,'BA History S2'!Y:Y, 1)</f>
        <v>0</v>
      </c>
      <c r="AD3" s="2">
        <f>COUNTIFS('BA History S2'!$B:$B,$A$3,'BA History S2'!Z:Z, 1)</f>
        <v>1</v>
      </c>
      <c r="AE3" s="2">
        <f>COUNTIFS('BA History S2'!$B:$B,$A$3,'BA History S2'!AA:AA, 1)</f>
        <v>0</v>
      </c>
      <c r="AF3" s="2">
        <f>COUNTIFS('BA History S2'!$B:$B,$A$3,'BA History S2'!AB:AB, 1)</f>
        <v>0</v>
      </c>
      <c r="AG3" s="2">
        <f>COUNTIFS('BA History S2'!$B:$B,$A$3,'BA History S2'!AC:AC, 1)</f>
        <v>0</v>
      </c>
      <c r="AH3" s="2">
        <f>COUNTIFS('BA History S2'!$B:$B,$A$3,'BA History S2'!AD:AD, 1)</f>
        <v>0</v>
      </c>
      <c r="AI3" s="2">
        <f>COUNTIFS('BA History S2'!$B:$B,$A$3,'BA History S2'!AE:AE, 1)</f>
        <v>0</v>
      </c>
      <c r="AJ3" s="2">
        <f>COUNTIFS('BA History S2'!$B:$B,$A$3,'BA History S2'!AF:AF, 1)</f>
        <v>0</v>
      </c>
    </row>
    <row r="4" spans="1:36" x14ac:dyDescent="0.25">
      <c r="A4" s="2" t="s">
        <v>71</v>
      </c>
      <c r="B4" s="2" t="s">
        <v>79</v>
      </c>
      <c r="C4" s="34">
        <f>SUMIFS('BA History S2'!C:C,'BA History S2'!B:B,A4)</f>
        <v>25</v>
      </c>
      <c r="D4" s="66">
        <f>AVERAGEIFS('BA History S2'!C:C,'BA History S2'!B:B,A4)</f>
        <v>8.3333333333333339</v>
      </c>
      <c r="E4" s="35">
        <f t="array" ref="E4">MAX(IF('BA History S2'!B:B=A4, 'BA History S2'!C:C))</f>
        <v>9</v>
      </c>
      <c r="F4" s="34">
        <f>COUNTIFS('BA History S2'!B:B,A4,'BA History S2'!D:D, 1)</f>
        <v>0</v>
      </c>
      <c r="G4" s="2">
        <f>COUNTIFS('BA History S2'!B:B,A4,'BA History S2'!D:D, 0)</f>
        <v>3</v>
      </c>
      <c r="H4" s="75">
        <f>LOOKUP(2, 1/('BA History S2'!$B:$B=A4), 'BA History S2'!$AJ:$AJ)</f>
        <v>0</v>
      </c>
      <c r="I4" s="34">
        <f>SUMIFS('BA History S2'!F:F,'BA History S2'!B:B,A4)</f>
        <v>4</v>
      </c>
      <c r="J4" s="2">
        <f>SUMIFS('BA History S2'!E:E,'BA History S2'!B:B,A4)-I4</f>
        <v>9</v>
      </c>
      <c r="K4" s="75">
        <f>LOOKUP(2, 1/('BA History S2'!$B:$B=A4), 'BA History S2'!$AH:$AH)</f>
        <v>0.3</v>
      </c>
      <c r="L4" s="34">
        <f>SUMIFS('BA History S2'!H:H,'BA History S2'!B:B,A4)</f>
        <v>23</v>
      </c>
      <c r="M4" s="2">
        <f>SUMIFS('BA History S2'!G:G,'BA History S2'!B:B,A4)-L4</f>
        <v>33</v>
      </c>
      <c r="N4" s="89">
        <f>LOOKUP(2, 1/('BA History S2'!$B:$B=A4), 'BA History S2'!$AI:$AI)</f>
        <v>0.41</v>
      </c>
      <c r="O4" s="2">
        <f>COUNTIFS('BA History S2'!$B:$B,$A$4,'BA History S2'!K:K, 1)</f>
        <v>1</v>
      </c>
      <c r="P4" s="2">
        <f>COUNTIFS('BA History S2'!$B:$B,$A$4,'BA History S2'!L:L, 1)</f>
        <v>0</v>
      </c>
      <c r="Q4" s="2">
        <f>COUNTIFS('BA History S2'!$B:$B,$A$4,'BA History S2'!M:M, 1)</f>
        <v>0</v>
      </c>
      <c r="R4" s="2">
        <f>COUNTIFS('BA History S2'!$B:$B,$A$4,'BA History S2'!N:N, 1)</f>
        <v>0</v>
      </c>
      <c r="S4" s="2">
        <f>COUNTIFS('BA History S2'!$B:$B,$A$4,'BA History S2'!O:O, 1)</f>
        <v>0</v>
      </c>
      <c r="T4" s="2">
        <f>COUNTIFS('BA History S2'!$B:$B,$A$4,'BA History S2'!P:P, 1)</f>
        <v>0</v>
      </c>
      <c r="U4" s="2">
        <f>COUNTIFS('BA History S2'!$B:$B,$A$4,'BA History S2'!Q:Q, 1)</f>
        <v>0</v>
      </c>
      <c r="V4" s="2">
        <f>COUNTIFS('BA History S2'!$B:$B,$A$4,'BA History S2'!R:R, 1)</f>
        <v>0</v>
      </c>
      <c r="W4" s="2">
        <f>COUNTIFS('BA History S2'!$B:$B,$A$4,'BA History S2'!S:S, 1)</f>
        <v>0</v>
      </c>
      <c r="X4" s="2">
        <f>COUNTIFS('BA History S2'!$B:$B,$A$4,'BA History S2'!T:T, 1)</f>
        <v>0</v>
      </c>
      <c r="Y4" s="2">
        <f>COUNTIFS('BA History S2'!$B:$B,$A$4,'BA History S2'!U:U, 1)</f>
        <v>0</v>
      </c>
      <c r="Z4" s="2">
        <f>COUNTIFS('BA History S2'!$B:$B,$A$4,'BA History S2'!V:V, 1)</f>
        <v>0</v>
      </c>
      <c r="AA4" s="2">
        <f>COUNTIFS('BA History S2'!$B:$B,$A$4,'BA History S2'!W:W, 1)</f>
        <v>1</v>
      </c>
      <c r="AB4" s="2">
        <f>COUNTIFS('BA History S2'!$B:$B,$A$4,'BA History S2'!X:X, 1)</f>
        <v>0</v>
      </c>
      <c r="AC4" s="2">
        <f>COUNTIFS('BA History S2'!$B:$B,$A$4,'BA History S2'!Y:Y, 1)</f>
        <v>1</v>
      </c>
      <c r="AD4" s="2">
        <f>COUNTIFS('BA History S2'!$B:$B,$A$4,'BA History S2'!Z:Z, 1)</f>
        <v>0</v>
      </c>
      <c r="AE4" s="2">
        <f>COUNTIFS('BA History S2'!$B:$B,$A$4,'BA History S2'!AA:AA, 1)</f>
        <v>0</v>
      </c>
      <c r="AF4" s="2">
        <f>COUNTIFS('BA History S2'!$B:$B,$A$4,'BA History S2'!AB:AB, 1)</f>
        <v>1</v>
      </c>
      <c r="AG4" s="2">
        <f>COUNTIFS('BA History S2'!$B:$B,$A$4,'BA History S2'!AC:AC, 1)</f>
        <v>0</v>
      </c>
      <c r="AH4" s="2">
        <f>COUNTIFS('BA History S2'!$B:$B,$A$4,'BA History S2'!AD:AD, 1)</f>
        <v>0</v>
      </c>
      <c r="AI4" s="2">
        <f>COUNTIFS('BA History S2'!$B:$B,$A$4,'BA History S2'!AE:AE, 1)</f>
        <v>0</v>
      </c>
      <c r="AJ4" s="2">
        <f>COUNTIFS('BA History S2'!$B:$B,$A$4,'BA History S2'!AF:AF, 1)</f>
        <v>0</v>
      </c>
    </row>
    <row r="5" spans="1:36" x14ac:dyDescent="0.25">
      <c r="A5" s="2" t="s">
        <v>35</v>
      </c>
      <c r="B5" s="2" t="s">
        <v>79</v>
      </c>
      <c r="C5" s="34">
        <f>SUMIFS('BA History S2'!C:C,'BA History S2'!B:B,A5)</f>
        <v>3</v>
      </c>
      <c r="D5" s="66">
        <f>AVERAGEIFS('BA History S2'!C:C,'BA History S2'!B:B,A5)</f>
        <v>3</v>
      </c>
      <c r="E5" s="35">
        <f t="array" ref="E5">MAX(IF('BA History S2'!B:B=A5, 'BA History S2'!C:C))</f>
        <v>3</v>
      </c>
      <c r="F5" s="34">
        <f>COUNTIFS('BA History S2'!B:B,A5,'BA History S2'!D:D, 1)</f>
        <v>0</v>
      </c>
      <c r="G5" s="2">
        <f>COUNTIFS('BA History S2'!B:B,A5,'BA History S2'!D:D, 0)</f>
        <v>1</v>
      </c>
      <c r="H5" s="75">
        <f>LOOKUP(2, 1/('BA History S2'!$B:$B=A5), 'BA History S2'!$AJ:$AJ)</f>
        <v>0</v>
      </c>
      <c r="I5" s="34">
        <f>SUMIFS('BA History S2'!F:F,'BA History S2'!B:B,A5)</f>
        <v>1</v>
      </c>
      <c r="J5" s="2">
        <f>SUMIFS('BA History S2'!E:E,'BA History S2'!B:B,A5)-I5</f>
        <v>3</v>
      </c>
      <c r="K5" s="75">
        <f>LOOKUP(2, 1/('BA History S2'!$B:$B=A5), 'BA History S2'!$AH:$AH)</f>
        <v>0.25</v>
      </c>
      <c r="L5" s="34">
        <f>SUMIFS('BA History S2'!H:H,'BA History S2'!B:B,A5)</f>
        <v>7</v>
      </c>
      <c r="M5" s="2">
        <f>SUMIFS('BA History S2'!G:G,'BA History S2'!B:B,A5)-L5</f>
        <v>11</v>
      </c>
      <c r="N5" s="89">
        <f>LOOKUP(2, 1/('BA History S2'!$B:$B=A5), 'BA History S2'!$AI:$AI)</f>
        <v>0.39</v>
      </c>
      <c r="O5" s="2">
        <f>COUNTIFS('BA History S2'!$B:$B,$A$5,'BA History S2'!K:K, 1)</f>
        <v>0</v>
      </c>
      <c r="P5" s="2">
        <f>COUNTIFS('BA History S2'!$B:$B,$A$5,'BA History S2'!L:L, 1)</f>
        <v>0</v>
      </c>
      <c r="Q5" s="2">
        <f>COUNTIFS('BA History S2'!$B:$B,$A$5,'BA History S2'!M:M, 1)</f>
        <v>0</v>
      </c>
      <c r="R5" s="2">
        <f>COUNTIFS('BA History S2'!$B:$B,$A$5,'BA History S2'!N:N, 1)</f>
        <v>0</v>
      </c>
      <c r="S5" s="2">
        <f>COUNTIFS('BA History S2'!$B:$B,$A$5,'BA History S2'!O:O, 1)</f>
        <v>0</v>
      </c>
      <c r="T5" s="2">
        <f>COUNTIFS('BA History S2'!$B:$B,$A$5,'BA History S2'!P:P, 1)</f>
        <v>0</v>
      </c>
      <c r="U5" s="2">
        <f>COUNTIFS('BA History S2'!$B:$B,$A$5,'BA History S2'!Q:Q, 1)</f>
        <v>0</v>
      </c>
      <c r="V5" s="2">
        <f>COUNTIFS('BA History S2'!$B:$B,$A$5,'BA History S2'!R:R, 1)</f>
        <v>0</v>
      </c>
      <c r="W5" s="2">
        <f>COUNTIFS('BA History S2'!$B:$B,$A$5,'BA History S2'!S:S, 1)</f>
        <v>0</v>
      </c>
      <c r="X5" s="2">
        <f>COUNTIFS('BA History S2'!$B:$B,$A$5,'BA History S2'!T:T, 1)</f>
        <v>0</v>
      </c>
      <c r="Y5" s="2">
        <f>COUNTIFS('BA History S2'!$B:$B,$A$5,'BA History S2'!U:U, 1)</f>
        <v>0</v>
      </c>
      <c r="Z5" s="2">
        <f>COUNTIFS('BA History S2'!$B:$B,$A$5,'BA History S2'!V:V, 1)</f>
        <v>0</v>
      </c>
      <c r="AA5" s="2">
        <f>COUNTIFS('BA History S2'!$B:$B,$A$5,'BA History S2'!W:W, 1)</f>
        <v>1</v>
      </c>
      <c r="AB5" s="2">
        <f>COUNTIFS('BA History S2'!$B:$B,$A$5,'BA History S2'!X:X, 1)</f>
        <v>0</v>
      </c>
      <c r="AC5" s="2">
        <f>COUNTIFS('BA History S2'!$B:$B,$A$5,'BA History S2'!Y:Y, 1)</f>
        <v>0</v>
      </c>
      <c r="AD5" s="2">
        <f>COUNTIFS('BA History S2'!$B:$B,$A$5,'BA History S2'!Z:Z, 1)</f>
        <v>0</v>
      </c>
      <c r="AE5" s="2">
        <f>COUNTIFS('BA History S2'!$B:$B,$A$5,'BA History S2'!AA:AA, 1)</f>
        <v>0</v>
      </c>
      <c r="AF5" s="2">
        <f>COUNTIFS('BA History S2'!$B:$B,$A$5,'BA History S2'!AB:AB, 1)</f>
        <v>0</v>
      </c>
      <c r="AG5" s="2">
        <f>COUNTIFS('BA History S2'!$B:$B,$A$5,'BA History S2'!AC:AC, 1)</f>
        <v>0</v>
      </c>
      <c r="AH5" s="2">
        <f>COUNTIFS('BA History S2'!$B:$B,$A$5,'BA History S2'!AD:AD, 1)</f>
        <v>0</v>
      </c>
      <c r="AI5" s="2">
        <f>COUNTIFS('BA History S2'!$B:$B,$A$5,'BA History S2'!AE:AE, 1)</f>
        <v>0</v>
      </c>
      <c r="AJ5" s="2">
        <f>COUNTIFS('BA History S2'!$B:$B,$A$5,'BA History S2'!AF:AF, 1)</f>
        <v>0</v>
      </c>
    </row>
    <row r="6" spans="1:36" x14ac:dyDescent="0.25">
      <c r="A6" s="2" t="s">
        <v>42</v>
      </c>
      <c r="B6" s="2" t="s">
        <v>79</v>
      </c>
      <c r="C6" s="34">
        <f>SUMIFS('BA History S2'!C:C,'BA History S2'!B:B,A6)</f>
        <v>46</v>
      </c>
      <c r="D6" s="66">
        <f>AVERAGEIFS('BA History S2'!C:C,'BA History S2'!B:B,A6)</f>
        <v>23</v>
      </c>
      <c r="E6" s="35">
        <f t="array" ref="E6">MAX(IF('BA History S2'!B:B=A6, 'BA History S2'!C:C))</f>
        <v>25</v>
      </c>
      <c r="F6" s="34">
        <f>COUNTIFS('BA History S2'!B:B,A6,'BA History S2'!D:D, 1)</f>
        <v>0</v>
      </c>
      <c r="G6" s="2">
        <f>COUNTIFS('BA History S2'!B:B,A6,'BA History S2'!D:D, 0)</f>
        <v>2</v>
      </c>
      <c r="H6" s="75">
        <f>LOOKUP(2, 1/('BA History S2'!$B:$B=A6), 'BA History S2'!$AJ:$AJ)</f>
        <v>0</v>
      </c>
      <c r="I6" s="34">
        <f>SUMIFS('BA History S2'!F:F,'BA History S2'!B:B,A6)</f>
        <v>3</v>
      </c>
      <c r="J6" s="2">
        <f>SUMIFS('BA History S2'!E:E,'BA History S2'!B:B,A6)-I6</f>
        <v>6</v>
      </c>
      <c r="K6" s="75">
        <f>LOOKUP(2, 1/('BA History S2'!$B:$B=A6), 'BA History S2'!$AH:$AH)</f>
        <v>0.32500000000000001</v>
      </c>
      <c r="L6" s="34">
        <f>SUMIFS('BA History S2'!H:H,'BA History S2'!B:B,A6)</f>
        <v>16</v>
      </c>
      <c r="M6" s="2">
        <f>SUMIFS('BA History S2'!G:G,'BA History S2'!B:B,A6)-L6</f>
        <v>22</v>
      </c>
      <c r="N6" s="89">
        <f>LOOKUP(2, 1/('BA History S2'!$B:$B=A6), 'BA History S2'!$AI:$AI)</f>
        <v>0.42000000000000004</v>
      </c>
      <c r="O6" s="2">
        <f>COUNTIFS('BA History S2'!$B:$B,$A$6,'BA History S2'!K:K, 1)</f>
        <v>1</v>
      </c>
      <c r="P6" s="2">
        <f>COUNTIFS('BA History S2'!$B:$B,$A$6,'BA History S2'!L:L, 1)</f>
        <v>0</v>
      </c>
      <c r="Q6" s="2">
        <f>COUNTIFS('BA History S2'!$B:$B,$A$6,'BA History S2'!M:M, 1)</f>
        <v>0</v>
      </c>
      <c r="R6" s="2">
        <f>COUNTIFS('BA History S2'!$B:$B,$A$6,'BA History S2'!N:N, 1)</f>
        <v>0</v>
      </c>
      <c r="S6" s="2">
        <f>COUNTIFS('BA History S2'!$B:$B,$A$6,'BA History S2'!O:O, 1)</f>
        <v>0</v>
      </c>
      <c r="T6" s="2">
        <f>COUNTIFS('BA History S2'!$B:$B,$A$6,'BA History S2'!P:P, 1)</f>
        <v>0</v>
      </c>
      <c r="U6" s="2">
        <f>COUNTIFS('BA History S2'!$B:$B,$A$6,'BA History S2'!Q:Q, 1)</f>
        <v>0</v>
      </c>
      <c r="V6" s="2">
        <f>COUNTIFS('BA History S2'!$B:$B,$A$6,'BA History S2'!R:R, 1)</f>
        <v>0</v>
      </c>
      <c r="W6" s="2">
        <f>COUNTIFS('BA History S2'!$B:$B,$A$6,'BA History S2'!S:S, 1)</f>
        <v>0</v>
      </c>
      <c r="X6" s="2">
        <f>COUNTIFS('BA History S2'!$B:$B,$A$6,'BA History S2'!T:T, 1)</f>
        <v>0</v>
      </c>
      <c r="Y6" s="2">
        <f>COUNTIFS('BA History S2'!$B:$B,$A$6,'BA History S2'!U:U, 1)</f>
        <v>0</v>
      </c>
      <c r="Z6" s="2">
        <f>COUNTIFS('BA History S2'!$B:$B,$A$6,'BA History S2'!V:V, 1)</f>
        <v>0</v>
      </c>
      <c r="AA6" s="2">
        <f>COUNTIFS('BA History S2'!$B:$B,$A$6,'BA History S2'!W:W, 1)</f>
        <v>0</v>
      </c>
      <c r="AB6" s="2">
        <f>COUNTIFS('BA History S2'!$B:$B,$A$6,'BA History S2'!X:X, 1)</f>
        <v>0</v>
      </c>
      <c r="AC6" s="2">
        <f>COUNTIFS('BA History S2'!$B:$B,$A$6,'BA History S2'!Y:Y, 1)</f>
        <v>1</v>
      </c>
      <c r="AD6" s="2">
        <f>COUNTIFS('BA History S2'!$B:$B,$A$6,'BA History S2'!Z:Z, 1)</f>
        <v>0</v>
      </c>
      <c r="AE6" s="2">
        <f>COUNTIFS('BA History S2'!$B:$B,$A$6,'BA History S2'!AA:AA, 1)</f>
        <v>0</v>
      </c>
      <c r="AF6" s="2">
        <f>COUNTIFS('BA History S2'!$B:$B,$A$6,'BA History S2'!AB:AB, 1)</f>
        <v>1</v>
      </c>
      <c r="AG6" s="2">
        <f>COUNTIFS('BA History S2'!$B:$B,$A$6,'BA History S2'!AC:AC, 1)</f>
        <v>0</v>
      </c>
      <c r="AH6" s="2">
        <f>COUNTIFS('BA History S2'!$B:$B,$A$6,'BA History S2'!AD:AD, 1)</f>
        <v>0</v>
      </c>
      <c r="AI6" s="2">
        <f>COUNTIFS('BA History S2'!$B:$B,$A$6,'BA History S2'!AE:AE, 1)</f>
        <v>0</v>
      </c>
      <c r="AJ6" s="2">
        <f>COUNTIFS('BA History S2'!$B:$B,$A$6,'BA History S2'!AF:AF, 1)</f>
        <v>0</v>
      </c>
    </row>
    <row r="7" spans="1:36" x14ac:dyDescent="0.25">
      <c r="A7" s="2" t="s">
        <v>50</v>
      </c>
      <c r="B7" s="2" t="s">
        <v>79</v>
      </c>
      <c r="C7" s="34">
        <f>SUMIFS('BA History S2'!C:C,'BA History S2'!B:B,A7)</f>
        <v>14</v>
      </c>
      <c r="D7" s="66">
        <f>AVERAGEIFS('BA History S2'!C:C,'BA History S2'!B:B,A7)</f>
        <v>14</v>
      </c>
      <c r="E7" s="35">
        <f t="array" ref="E7">MAX(IF('BA History S2'!B:B=A7, 'BA History S2'!C:C))</f>
        <v>14</v>
      </c>
      <c r="F7" s="34">
        <f>COUNTIFS('BA History S2'!B:B,A7,'BA History S2'!D:D, 1)</f>
        <v>0</v>
      </c>
      <c r="G7" s="2">
        <f>COUNTIFS('BA History S2'!B:B,A7,'BA History S2'!D:D, 0)</f>
        <v>1</v>
      </c>
      <c r="H7" s="75">
        <f>LOOKUP(2, 1/('BA History S2'!$B:$B=A7), 'BA History S2'!$AJ:$AJ)</f>
        <v>0</v>
      </c>
      <c r="I7" s="34">
        <f>SUMIFS('BA History S2'!F:F,'BA History S2'!B:B,A7)</f>
        <v>1</v>
      </c>
      <c r="J7" s="2">
        <f>SUMIFS('BA History S2'!E:E,'BA History S2'!B:B,A7)-I7</f>
        <v>3</v>
      </c>
      <c r="K7" s="75">
        <f>LOOKUP(2, 1/('BA History S2'!$B:$B=A7), 'BA History S2'!$AH:$AH)</f>
        <v>0.25</v>
      </c>
      <c r="L7" s="34">
        <f>SUMIFS('BA History S2'!H:H,'BA History S2'!B:B,A7)</f>
        <v>7</v>
      </c>
      <c r="M7" s="2">
        <f>SUMIFS('BA History S2'!G:G,'BA History S2'!B:B,A7)-L7</f>
        <v>11</v>
      </c>
      <c r="N7" s="89">
        <f>LOOKUP(2, 1/('BA History S2'!$B:$B=A7), 'BA History S2'!$AI:$AI)</f>
        <v>0.39</v>
      </c>
      <c r="O7" s="2">
        <f>COUNTIFS('BA History S2'!$B:$B,$A$7,'BA History S2'!K:K, 1)</f>
        <v>0</v>
      </c>
      <c r="P7" s="2">
        <f>COUNTIFS('BA History S2'!$B:$B,$A$7,'BA History S2'!L:L, 1)</f>
        <v>0</v>
      </c>
      <c r="Q7" s="2">
        <f>COUNTIFS('BA History S2'!$B:$B,$A$7,'BA History S2'!M:M, 1)</f>
        <v>0</v>
      </c>
      <c r="R7" s="2">
        <f>COUNTIFS('BA History S2'!$B:$B,$A$7,'BA History S2'!N:N, 1)</f>
        <v>0</v>
      </c>
      <c r="S7" s="2">
        <f>COUNTIFS('BA History S2'!$B:$B,$A$7,'BA History S2'!O:O, 1)</f>
        <v>0</v>
      </c>
      <c r="T7" s="2">
        <f>COUNTIFS('BA History S2'!$B:$B,$A$7,'BA History S2'!P:P, 1)</f>
        <v>0</v>
      </c>
      <c r="U7" s="2">
        <f>COUNTIFS('BA History S2'!$B:$B,$A$7,'BA History S2'!Q:Q, 1)</f>
        <v>0</v>
      </c>
      <c r="V7" s="2">
        <f>COUNTIFS('BA History S2'!$B:$B,$A$7,'BA History S2'!R:R, 1)</f>
        <v>0</v>
      </c>
      <c r="W7" s="2">
        <f>COUNTIFS('BA History S2'!$B:$B,$A$7,'BA History S2'!S:S, 1)</f>
        <v>0</v>
      </c>
      <c r="X7" s="2">
        <f>COUNTIFS('BA History S2'!$B:$B,$A$7,'BA History S2'!T:T, 1)</f>
        <v>0</v>
      </c>
      <c r="Y7" s="2">
        <f>COUNTIFS('BA History S2'!$B:$B,$A$7,'BA History S2'!U:U, 1)</f>
        <v>0</v>
      </c>
      <c r="Z7" s="2">
        <f>COUNTIFS('BA History S2'!$B:$B,$A$7,'BA History S2'!V:V, 1)</f>
        <v>0</v>
      </c>
      <c r="AA7" s="2">
        <f>COUNTIFS('BA History S2'!$B:$B,$A$7,'BA History S2'!W:W, 1)</f>
        <v>1</v>
      </c>
      <c r="AB7" s="2">
        <f>COUNTIFS('BA History S2'!$B:$B,$A$7,'BA History S2'!X:X, 1)</f>
        <v>0</v>
      </c>
      <c r="AC7" s="2">
        <f>COUNTIFS('BA History S2'!$B:$B,$A$7,'BA History S2'!Y:Y, 1)</f>
        <v>0</v>
      </c>
      <c r="AD7" s="2">
        <f>COUNTIFS('BA History S2'!$B:$B,$A$7,'BA History S2'!Z:Z, 1)</f>
        <v>0</v>
      </c>
      <c r="AE7" s="2">
        <f>COUNTIFS('BA History S2'!$B:$B,$A$7,'BA History S2'!AA:AA, 1)</f>
        <v>0</v>
      </c>
      <c r="AF7" s="2">
        <f>COUNTIFS('BA History S2'!$B:$B,$A$7,'BA History S2'!AB:AB, 1)</f>
        <v>0</v>
      </c>
      <c r="AG7" s="2">
        <f>COUNTIFS('BA History S2'!$B:$B,$A$7,'BA History S2'!AC:AC, 1)</f>
        <v>0</v>
      </c>
      <c r="AH7" s="2">
        <f>COUNTIFS('BA History S2'!$B:$B,$A$7,'BA History S2'!AD:AD, 1)</f>
        <v>0</v>
      </c>
      <c r="AI7" s="2">
        <f>COUNTIFS('BA History S2'!$B:$B,$A$7,'BA History S2'!AE:AE, 1)</f>
        <v>0</v>
      </c>
      <c r="AJ7" s="2">
        <f>COUNTIFS('BA History S2'!$B:$B,$A$7,'BA History S2'!AF:AF, 1)</f>
        <v>0</v>
      </c>
    </row>
    <row r="8" spans="1:36" x14ac:dyDescent="0.25">
      <c r="A8" s="2" t="s">
        <v>44</v>
      </c>
      <c r="B8" s="2" t="s">
        <v>79</v>
      </c>
      <c r="C8" s="34">
        <f>SUMIFS('BA History S2'!C:C,'BA History S2'!B:B,A8)</f>
        <v>55</v>
      </c>
      <c r="D8" s="66">
        <f>AVERAGEIFS('BA History S2'!C:C,'BA History S2'!B:B,A8)</f>
        <v>18.333333333333332</v>
      </c>
      <c r="E8" s="35">
        <f t="array" ref="E8">MAX(IF('BA History S2'!B:B=A8, 'BA History S2'!C:C))</f>
        <v>20</v>
      </c>
      <c r="F8" s="34">
        <f>COUNTIFS('BA History S2'!B:B,A8,'BA History S2'!D:D, 1)</f>
        <v>2</v>
      </c>
      <c r="G8" s="2">
        <f>COUNTIFS('BA History S2'!B:B,A8,'BA History S2'!D:D, 0)</f>
        <v>1</v>
      </c>
      <c r="H8" s="75">
        <f>LOOKUP(2, 1/('BA History S2'!$B:$B=A8), 'BA History S2'!$AJ:$AJ)</f>
        <v>0.66666666666666663</v>
      </c>
      <c r="I8" s="34">
        <f>SUMIFS('BA History S2'!F:F,'BA History S2'!B:B,A8)</f>
        <v>7</v>
      </c>
      <c r="J8" s="2">
        <f>SUMIFS('BA History S2'!E:E,'BA History S2'!B:B,A8)-I8</f>
        <v>6</v>
      </c>
      <c r="K8" s="75">
        <f>LOOKUP(2, 1/('BA History S2'!$B:$B=A8), 'BA History S2'!$AH:$AH)</f>
        <v>0.53333333333333333</v>
      </c>
      <c r="L8" s="34">
        <f>SUMIFS('BA History S2'!H:H,'BA History S2'!B:B,A8)</f>
        <v>29</v>
      </c>
      <c r="M8" s="2">
        <f>SUMIFS('BA History S2'!G:G,'BA History S2'!B:B,A8)-L8</f>
        <v>27</v>
      </c>
      <c r="N8" s="89">
        <f>LOOKUP(2, 1/('BA History S2'!$B:$B=A8), 'BA History S2'!$AI:$AI)</f>
        <v>0.51666666666666672</v>
      </c>
      <c r="O8" s="2">
        <f>COUNTIFS('BA History S2'!$B:$B,$A$8,'BA History S2'!K:K, 1)</f>
        <v>0</v>
      </c>
      <c r="P8" s="2">
        <f>COUNTIFS('BA History S2'!$B:$B,$A$8,'BA History S2'!L:L, 1)</f>
        <v>1</v>
      </c>
      <c r="Q8" s="2">
        <f>COUNTIFS('BA History S2'!$B:$B,$A$8,'BA History S2'!M:M, 1)</f>
        <v>1</v>
      </c>
      <c r="R8" s="2">
        <f>COUNTIFS('BA History S2'!$B:$B,$A$8,'BA History S2'!N:N, 1)</f>
        <v>1</v>
      </c>
      <c r="S8" s="2">
        <f>COUNTIFS('BA History S2'!$B:$B,$A$8,'BA History S2'!O:O, 1)</f>
        <v>0</v>
      </c>
      <c r="T8" s="2">
        <f>COUNTIFS('BA History S2'!$B:$B,$A$8,'BA History S2'!P:P, 1)</f>
        <v>0</v>
      </c>
      <c r="U8" s="2">
        <f>COUNTIFS('BA History S2'!$B:$B,$A$8,'BA History S2'!Q:Q, 1)</f>
        <v>1</v>
      </c>
      <c r="V8" s="2">
        <f>COUNTIFS('BA History S2'!$B:$B,$A$8,'BA History S2'!R:R, 1)</f>
        <v>0</v>
      </c>
      <c r="W8" s="2">
        <f>COUNTIFS('BA History S2'!$B:$B,$A$8,'BA History S2'!S:S, 1)</f>
        <v>0</v>
      </c>
      <c r="X8" s="2">
        <f>COUNTIFS('BA History S2'!$B:$B,$A$8,'BA History S2'!T:T, 1)</f>
        <v>0</v>
      </c>
      <c r="Y8" s="2">
        <f>COUNTIFS('BA History S2'!$B:$B,$A$8,'BA History S2'!U:U, 1)</f>
        <v>0</v>
      </c>
      <c r="Z8" s="2">
        <f>COUNTIFS('BA History S2'!$B:$B,$A$8,'BA History S2'!V:V, 1)</f>
        <v>0</v>
      </c>
      <c r="AA8" s="2">
        <f>COUNTIFS('BA History S2'!$B:$B,$A$8,'BA History S2'!W:W, 1)</f>
        <v>1</v>
      </c>
      <c r="AB8" s="2">
        <f>COUNTIFS('BA History S2'!$B:$B,$A$8,'BA History S2'!X:X, 1)</f>
        <v>0</v>
      </c>
      <c r="AC8" s="2">
        <f>COUNTIFS('BA History S2'!$B:$B,$A$8,'BA History S2'!Y:Y, 1)</f>
        <v>0</v>
      </c>
      <c r="AD8" s="2">
        <f>COUNTIFS('BA History S2'!$B:$B,$A$8,'BA History S2'!Z:Z, 1)</f>
        <v>1</v>
      </c>
      <c r="AE8" s="2">
        <f>COUNTIFS('BA History S2'!$B:$B,$A$8,'BA History S2'!AA:AA, 1)</f>
        <v>0</v>
      </c>
      <c r="AF8" s="2">
        <f>COUNTIFS('BA History S2'!$B:$B,$A$8,'BA History S2'!AB:AB, 1)</f>
        <v>0</v>
      </c>
      <c r="AG8" s="2">
        <f>COUNTIFS('BA History S2'!$B:$B,$A$8,'BA History S2'!AC:AC, 1)</f>
        <v>1</v>
      </c>
      <c r="AH8" s="2">
        <f>COUNTIFS('BA History S2'!$B:$B,$A$8,'BA History S2'!AD:AD, 1)</f>
        <v>0</v>
      </c>
      <c r="AI8" s="2">
        <f>COUNTIFS('BA History S2'!$B:$B,$A$8,'BA History S2'!AE:AE, 1)</f>
        <v>0</v>
      </c>
      <c r="AJ8" s="2">
        <f>COUNTIFS('BA History S2'!$B:$B,$A$8,'BA History S2'!AF:AF, 1)</f>
        <v>0</v>
      </c>
    </row>
    <row r="9" spans="1:36" ht="15.75" x14ac:dyDescent="0.25">
      <c r="A9" s="2" t="s">
        <v>1</v>
      </c>
      <c r="B9" s="80" t="s">
        <v>60</v>
      </c>
      <c r="C9" s="34">
        <f>SUMIFS('BA History S2'!C:C,'BA History S2'!B:B,A9)</f>
        <v>68</v>
      </c>
      <c r="D9" s="66">
        <f>AVERAGEIFS('BA History S2'!C:C,'BA History S2'!B:B,A9)</f>
        <v>22.666666666666668</v>
      </c>
      <c r="E9" s="35">
        <f t="array" ref="E9">MAX(IF('BA History S2'!B:B=A9, 'BA History S2'!C:C))</f>
        <v>24</v>
      </c>
      <c r="F9" s="34">
        <f>COUNTIFS('BA History S2'!B:B,A9,'BA History S2'!D:D, 1)</f>
        <v>0</v>
      </c>
      <c r="G9" s="2">
        <f>COUNTIFS('BA History S2'!B:B,A9,'BA History S2'!D:D, 0)</f>
        <v>3</v>
      </c>
      <c r="H9" s="75">
        <f>LOOKUP(2, 1/('BA History S2'!$B:$B=A9), 'BA History S2'!$AJ:$AJ)</f>
        <v>0</v>
      </c>
      <c r="I9" s="34">
        <f>SUMIFS('BA History S2'!F:F,'BA History S2'!B:B,A9)</f>
        <v>3</v>
      </c>
      <c r="J9" s="2">
        <f>SUMIFS('BA History S2'!E:E,'BA History S2'!B:B,A9)-I9</f>
        <v>9</v>
      </c>
      <c r="K9" s="75">
        <f>LOOKUP(2, 1/('BA History S2'!$B:$B=A9), 'BA History S2'!$AH:$AH)</f>
        <v>0.21666666666666667</v>
      </c>
      <c r="L9" s="34">
        <f>SUMIFS('BA History S2'!H:H,'BA History S2'!B:B,A9)</f>
        <v>19</v>
      </c>
      <c r="M9" s="2">
        <f>SUMIFS('BA History S2'!G:G,'BA History S2'!B:B,A9)-L9</f>
        <v>32</v>
      </c>
      <c r="N9" s="89">
        <f>LOOKUP(2, 1/('BA History S2'!$B:$B=A9), 'BA History S2'!$AI:$AI)</f>
        <v>0.3666666666666667</v>
      </c>
      <c r="O9" s="2">
        <f>COUNTIFS('BA History S2'!$B:$B,$A$9,'BA History S2'!K:K, 1)</f>
        <v>1</v>
      </c>
      <c r="P9" s="2">
        <f>COUNTIFS('BA History S2'!$B:$B,$A$9,'BA History S2'!L:L, 1)</f>
        <v>0</v>
      </c>
      <c r="Q9" s="2">
        <f>COUNTIFS('BA History S2'!$B:$B,$A$9,'BA History S2'!M:M, 1)</f>
        <v>0</v>
      </c>
      <c r="R9" s="2">
        <f>COUNTIFS('BA History S2'!$B:$B,$A$9,'BA History S2'!N:N, 1)</f>
        <v>0</v>
      </c>
      <c r="S9" s="2">
        <f>COUNTIFS('BA History S2'!$B:$B,$A$9,'BA History S2'!O:O, 1)</f>
        <v>0</v>
      </c>
      <c r="T9" s="2">
        <f>COUNTIFS('BA History S2'!$B:$B,$A$9,'BA History S2'!P:P, 1)</f>
        <v>0</v>
      </c>
      <c r="U9" s="2">
        <f>COUNTIFS('BA History S2'!$B:$B,$A$9,'BA History S2'!Q:Q, 1)</f>
        <v>0</v>
      </c>
      <c r="V9" s="2">
        <f>COUNTIFS('BA History S2'!$B:$B,$A$9,'BA History S2'!R:R, 1)</f>
        <v>0</v>
      </c>
      <c r="W9" s="2">
        <f>COUNTIFS('BA History S2'!$B:$B,$A$9,'BA History S2'!S:S, 1)</f>
        <v>0</v>
      </c>
      <c r="X9" s="2">
        <f>COUNTIFS('BA History S2'!$B:$B,$A$9,'BA History S2'!T:T, 1)</f>
        <v>0</v>
      </c>
      <c r="Y9" s="2">
        <f>COUNTIFS('BA History S2'!$B:$B,$A$9,'BA History S2'!U:U, 1)</f>
        <v>0</v>
      </c>
      <c r="Z9" s="2">
        <f>COUNTIFS('BA History S2'!$B:$B,$A$9,'BA History S2'!V:V, 1)</f>
        <v>0</v>
      </c>
      <c r="AA9" s="2">
        <f>COUNTIFS('BA History S2'!$B:$B,$A$9,'BA History S2'!W:W, 1)</f>
        <v>1</v>
      </c>
      <c r="AB9" s="2">
        <f>COUNTIFS('BA History S2'!$B:$B,$A$9,'BA History S2'!X:X, 1)</f>
        <v>0</v>
      </c>
      <c r="AC9" s="2">
        <f>COUNTIFS('BA History S2'!$B:$B,$A$9,'BA History S2'!Y:Y, 1)</f>
        <v>1</v>
      </c>
      <c r="AD9" s="2">
        <f>COUNTIFS('BA History S2'!$B:$B,$A$9,'BA History S2'!Z:Z, 1)</f>
        <v>0</v>
      </c>
      <c r="AE9" s="2">
        <f>COUNTIFS('BA History S2'!$B:$B,$A$9,'BA History S2'!AA:AA, 1)</f>
        <v>0</v>
      </c>
      <c r="AF9" s="2">
        <f>COUNTIFS('BA History S2'!$B:$B,$A$9,'BA History S2'!AB:AB, 1)</f>
        <v>0</v>
      </c>
      <c r="AG9" s="2">
        <f>COUNTIFS('BA History S2'!$B:$B,$A$9,'BA History S2'!AC:AC, 1)</f>
        <v>0</v>
      </c>
      <c r="AH9" s="2">
        <f>COUNTIFS('BA History S2'!$B:$B,$A$9,'BA History S2'!AD:AD, 1)</f>
        <v>0</v>
      </c>
      <c r="AI9" s="2">
        <f>COUNTIFS('BA History S2'!$B:$B,$A$9,'BA History S2'!AE:AE, 1)</f>
        <v>0</v>
      </c>
      <c r="AJ9" s="2">
        <f>COUNTIFS('BA History S2'!$B:$B,$A$9,'BA History S2'!AF:AF, 1)</f>
        <v>0</v>
      </c>
    </row>
    <row r="10" spans="1:36" ht="15.75" x14ac:dyDescent="0.25">
      <c r="A10" s="2" t="s">
        <v>151</v>
      </c>
      <c r="B10" s="95" t="s">
        <v>79</v>
      </c>
      <c r="C10" s="34">
        <f>SUMIFS('BA History S2'!C:C,'BA History S2'!B:B,A10)</f>
        <v>21</v>
      </c>
      <c r="D10" s="66">
        <f>AVERAGEIFS('BA History S2'!C:C,'BA History S2'!B:B,A10)</f>
        <v>21</v>
      </c>
      <c r="E10" s="35">
        <f t="array" ref="E10">MAX(IF('BA History S2'!B:B=A10, 'BA History S2'!C:C))</f>
        <v>21</v>
      </c>
      <c r="F10" s="34">
        <f>COUNTIFS('BA History S2'!B:B,A10,'BA History S2'!D:D, 1)</f>
        <v>1</v>
      </c>
      <c r="G10" s="2">
        <f>COUNTIFS('BA History S2'!B:B,A10,'BA History S2'!D:D, 0)</f>
        <v>0</v>
      </c>
      <c r="H10" s="75">
        <f>LOOKUP(2, 1/('BA History S2'!$B:$B=A10), 'BA History S2'!$AJ:$AJ)</f>
        <v>1</v>
      </c>
      <c r="I10" s="34">
        <f>SUMIFS('BA History S2'!F:F,'BA History S2'!B:B,A10)</f>
        <v>3</v>
      </c>
      <c r="J10" s="2">
        <f>SUMIFS('BA History S2'!E:E,'BA History S2'!B:B,A10)-I10</f>
        <v>1</v>
      </c>
      <c r="K10" s="75">
        <f>LOOKUP(2, 1/('BA History S2'!$B:$B=A10), 'BA History S2'!$AH:$AH)</f>
        <v>0.75</v>
      </c>
      <c r="L10" s="34">
        <f>SUMIFS('BA History S2'!H:H,'BA History S2'!B:B,A10)</f>
        <v>11</v>
      </c>
      <c r="M10" s="2">
        <f>SUMIFS('BA History S2'!G:G,'BA History S2'!B:B,A10)-L10</f>
        <v>7</v>
      </c>
      <c r="N10" s="89">
        <f>LOOKUP(2, 1/('BA History S2'!$B:$B=A10), 'BA History S2'!$AI:$AI)</f>
        <v>0.61</v>
      </c>
      <c r="O10" s="2">
        <f>COUNTIFS('BA History S2'!$B:$B,$A$10,'BA History S2'!K:K, 1)</f>
        <v>0</v>
      </c>
      <c r="P10" s="2">
        <f>COUNTIFS('BA History S2'!$B:$B,$A$10,'BA History S2'!L:L, 1)</f>
        <v>0</v>
      </c>
      <c r="Q10" s="2">
        <f>COUNTIFS('BA History S2'!$B:$B,$A$10,'BA History S2'!M:M, 1)</f>
        <v>1</v>
      </c>
      <c r="R10" s="2">
        <f>COUNTIFS('BA History S2'!$B:$B,$A$10,'BA History S2'!N:N, 1)</f>
        <v>0</v>
      </c>
      <c r="S10" s="2">
        <f>COUNTIFS('BA History S2'!$B:$B,$A$10,'BA History S2'!O:O, 1)</f>
        <v>0</v>
      </c>
      <c r="T10" s="2">
        <f>COUNTIFS('BA History S2'!$B:$B,$A$10,'BA History S2'!P:P, 1)</f>
        <v>0</v>
      </c>
      <c r="U10" s="2">
        <f>COUNTIFS('BA History S2'!$B:$B,$A$10,'BA History S2'!Q:Q, 1)</f>
        <v>0</v>
      </c>
      <c r="V10" s="2">
        <f>COUNTIFS('BA History S2'!$B:$B,$A$10,'BA History S2'!R:R, 1)</f>
        <v>0</v>
      </c>
      <c r="W10" s="2">
        <f>COUNTIFS('BA History S2'!$B:$B,$A$10,'BA History S2'!S:S, 1)</f>
        <v>0</v>
      </c>
      <c r="X10" s="2">
        <f>COUNTIFS('BA History S2'!$B:$B,$A$10,'BA History S2'!T:T, 1)</f>
        <v>0</v>
      </c>
      <c r="Y10" s="2">
        <f>COUNTIFS('BA History S2'!$B:$B,$A$10,'BA History S2'!U:U, 1)</f>
        <v>0</v>
      </c>
      <c r="Z10" s="2">
        <f>COUNTIFS('BA History S2'!$B:$B,$A$10,'BA History S2'!V:V, 1)</f>
        <v>0</v>
      </c>
      <c r="AA10" s="2">
        <f>COUNTIFS('BA History S2'!$B:$B,$A$10,'BA History S2'!W:W, 1)</f>
        <v>0</v>
      </c>
      <c r="AB10" s="2">
        <f>COUNTIFS('BA History S2'!$B:$B,$A$10,'BA History S2'!X:X, 1)</f>
        <v>0</v>
      </c>
      <c r="AC10" s="2">
        <f>COUNTIFS('BA History S2'!$B:$B,$A$10,'BA History S2'!Y:Y, 1)</f>
        <v>0</v>
      </c>
      <c r="AD10" s="2">
        <f>COUNTIFS('BA History S2'!$B:$B,$A$10,'BA History S2'!Z:Z, 1)</f>
        <v>0</v>
      </c>
      <c r="AE10" s="2">
        <f>COUNTIFS('BA History S2'!$B:$B,$A$10,'BA History S2'!AA:AA, 1)</f>
        <v>0</v>
      </c>
      <c r="AF10" s="2">
        <f>COUNTIFS('BA History S2'!$B:$B,$A$10,'BA History S2'!AB:AB, 1)</f>
        <v>1</v>
      </c>
      <c r="AG10" s="2">
        <f>COUNTIFS('BA History S2'!$B:$B,$A$10,'BA History S2'!AC:AC, 1)</f>
        <v>0</v>
      </c>
      <c r="AH10" s="2">
        <f>COUNTIFS('BA History S2'!$B:$B,$A$10,'BA History S2'!AD:AD, 1)</f>
        <v>1</v>
      </c>
      <c r="AI10" s="2">
        <f>COUNTIFS('BA History S2'!$B:$B,$A$10,'BA History S2'!AE:AE, 1)</f>
        <v>0</v>
      </c>
      <c r="AJ10" s="2">
        <f>COUNTIFS('BA History S2'!$B:$B,$A$10,'BA History S2'!AF:AF, 1)</f>
        <v>0</v>
      </c>
    </row>
    <row r="11" spans="1:36" ht="15.75" x14ac:dyDescent="0.25">
      <c r="A11" s="2" t="s">
        <v>46</v>
      </c>
      <c r="B11" s="80" t="s">
        <v>60</v>
      </c>
      <c r="C11" s="34">
        <f>SUMIFS('BA History S2'!C:C,'BA History S2'!B:B,A11)</f>
        <v>35</v>
      </c>
      <c r="D11" s="66">
        <f>AVERAGEIFS('BA History S2'!C:C,'BA History S2'!B:B,A11)</f>
        <v>11.666666666666666</v>
      </c>
      <c r="E11" s="35">
        <f t="array" ref="E11">MAX(IF('BA History S2'!B:B=A11, 'BA History S2'!C:C))</f>
        <v>23</v>
      </c>
      <c r="F11" s="34">
        <f>COUNTIFS('BA History S2'!B:B,A11,'BA History S2'!D:D, 1)</f>
        <v>0</v>
      </c>
      <c r="G11" s="2">
        <f>COUNTIFS('BA History S2'!B:B,A11,'BA History S2'!D:D, 0)</f>
        <v>3</v>
      </c>
      <c r="H11" s="75">
        <f>LOOKUP(2, 1/('BA History S2'!$B:$B=A11), 'BA History S2'!$AJ:$AJ)</f>
        <v>0</v>
      </c>
      <c r="I11" s="34">
        <f>SUMIFS('BA History S2'!F:F,'BA History S2'!B:B,A11)</f>
        <v>3</v>
      </c>
      <c r="J11" s="2">
        <f>SUMIFS('BA History S2'!E:E,'BA History S2'!B:B,A11)-I11</f>
        <v>9</v>
      </c>
      <c r="K11" s="75">
        <f>LOOKUP(2, 1/('BA History S2'!$B:$B=A11), 'BA History S2'!$AH:$AH)</f>
        <v>0.21666666666666667</v>
      </c>
      <c r="L11" s="34">
        <f>SUMIFS('BA History S2'!H:H,'BA History S2'!B:B,A11)</f>
        <v>19</v>
      </c>
      <c r="M11" s="2">
        <f>SUMIFS('BA History S2'!G:G,'BA History S2'!B:B,A11)-L11</f>
        <v>32</v>
      </c>
      <c r="N11" s="89">
        <f>LOOKUP(2, 1/('BA History S2'!$B:$B=A11), 'BA History S2'!$AI:$AI)</f>
        <v>0.3666666666666667</v>
      </c>
      <c r="O11" s="2">
        <f>COUNTIFS('BA History S2'!$B:$B,$A$11,'BA History S2'!K:K, 1)</f>
        <v>1</v>
      </c>
      <c r="P11" s="2">
        <f>COUNTIFS('BA History S2'!$B:$B,$A$11,'BA History S2'!L:L, 1)</f>
        <v>0</v>
      </c>
      <c r="Q11" s="2">
        <f>COUNTIFS('BA History S2'!$B:$B,$A$11,'BA History S2'!M:M, 1)</f>
        <v>0</v>
      </c>
      <c r="R11" s="2">
        <f>COUNTIFS('BA History S2'!$B:$B,$A$11,'BA History S2'!N:N, 1)</f>
        <v>0</v>
      </c>
      <c r="S11" s="2">
        <f>COUNTIFS('BA History S2'!$B:$B,$A$11,'BA History S2'!O:O, 1)</f>
        <v>0</v>
      </c>
      <c r="T11" s="2">
        <f>COUNTIFS('BA History S2'!$B:$B,$A$11,'BA History S2'!P:P, 1)</f>
        <v>0</v>
      </c>
      <c r="U11" s="2">
        <f>COUNTIFS('BA History S2'!$B:$B,$A$11,'BA History S2'!Q:Q, 1)</f>
        <v>0</v>
      </c>
      <c r="V11" s="2">
        <f>COUNTIFS('BA History S2'!$B:$B,$A$11,'BA History S2'!R:R, 1)</f>
        <v>0</v>
      </c>
      <c r="W11" s="2">
        <f>COUNTIFS('BA History S2'!$B:$B,$A$11,'BA History S2'!S:S, 1)</f>
        <v>0</v>
      </c>
      <c r="X11" s="2">
        <f>COUNTIFS('BA History S2'!$B:$B,$A$11,'BA History S2'!T:T, 1)</f>
        <v>0</v>
      </c>
      <c r="Y11" s="2">
        <f>COUNTIFS('BA History S2'!$B:$B,$A$11,'BA History S2'!U:U, 1)</f>
        <v>0</v>
      </c>
      <c r="Z11" s="2">
        <f>COUNTIFS('BA History S2'!$B:$B,$A$11,'BA History S2'!V:V, 1)</f>
        <v>0</v>
      </c>
      <c r="AA11" s="2">
        <f>COUNTIFS('BA History S2'!$B:$B,$A$11,'BA History S2'!W:W, 1)</f>
        <v>1</v>
      </c>
      <c r="AB11" s="2">
        <f>COUNTIFS('BA History S2'!$B:$B,$A$11,'BA History S2'!X:X, 1)</f>
        <v>0</v>
      </c>
      <c r="AC11" s="2">
        <f>COUNTIFS('BA History S2'!$B:$B,$A$11,'BA History S2'!Y:Y, 1)</f>
        <v>1</v>
      </c>
      <c r="AD11" s="2">
        <f>COUNTIFS('BA History S2'!$B:$B,$A$11,'BA History S2'!Z:Z, 1)</f>
        <v>0</v>
      </c>
      <c r="AE11" s="2">
        <f>COUNTIFS('BA History S2'!$B:$B,$A$11,'BA History S2'!AA:AA, 1)</f>
        <v>0</v>
      </c>
      <c r="AF11" s="2">
        <f>COUNTIFS('BA History S2'!$B:$B,$A$11,'BA History S2'!AB:AB, 1)</f>
        <v>0</v>
      </c>
      <c r="AG11" s="2">
        <f>COUNTIFS('BA History S2'!$B:$B,$A$11,'BA History S2'!AC:AC, 1)</f>
        <v>0</v>
      </c>
      <c r="AH11" s="2">
        <f>COUNTIFS('BA History S2'!$B:$B,$A$11,'BA History S2'!AD:AD, 1)</f>
        <v>0</v>
      </c>
      <c r="AI11" s="2">
        <f>COUNTIFS('BA History S2'!$B:$B,$A$11,'BA History S2'!AE:AE, 1)</f>
        <v>0</v>
      </c>
      <c r="AJ11" s="2">
        <f>COUNTIFS('BA History S2'!$B:$B,$A$11,'BA History S2'!AF:AF, 1)</f>
        <v>0</v>
      </c>
    </row>
    <row r="12" spans="1:36" x14ac:dyDescent="0.25">
      <c r="A12" s="2" t="s">
        <v>53</v>
      </c>
      <c r="B12" s="2" t="s">
        <v>79</v>
      </c>
      <c r="C12" s="34">
        <f>SUMIFS('BA History S2'!C:C,'BA History S2'!B:B,A12)</f>
        <v>22</v>
      </c>
      <c r="D12" s="66">
        <f>AVERAGEIFS('BA History S2'!C:C,'BA History S2'!B:B,A12)</f>
        <v>11</v>
      </c>
      <c r="E12" s="35">
        <f t="array" ref="E12">MAX(IF('BA History S2'!B:B=A12, 'BA History S2'!C:C))</f>
        <v>11</v>
      </c>
      <c r="F12" s="34">
        <f>COUNTIFS('BA History S2'!B:B,A12,'BA History S2'!D:D, 1)</f>
        <v>1</v>
      </c>
      <c r="G12" s="2">
        <f>COUNTIFS('BA History S2'!B:B,A12,'BA History S2'!D:D, 0)</f>
        <v>1</v>
      </c>
      <c r="H12" s="75">
        <f>LOOKUP(2, 1/('BA History S2'!$B:$B=A12), 'BA History S2'!$AJ:$AJ)</f>
        <v>0.5</v>
      </c>
      <c r="I12" s="34">
        <f>SUMIFS('BA History S2'!F:F,'BA History S2'!B:B,A12)</f>
        <v>5</v>
      </c>
      <c r="J12" s="2">
        <f>SUMIFS('BA History S2'!E:E,'BA History S2'!B:B,A12)-I12</f>
        <v>3</v>
      </c>
      <c r="K12" s="75">
        <f>LOOKUP(2, 1/('BA History S2'!$B:$B=A12), 'BA History S2'!$AH:$AH)</f>
        <v>0.7</v>
      </c>
      <c r="L12" s="34">
        <f>SUMIFS('BA History S2'!H:H,'BA History S2'!B:B,A12)</f>
        <v>17</v>
      </c>
      <c r="M12" s="2">
        <f>SUMIFS('BA History S2'!G:G,'BA History S2'!B:B,A12)-L12</f>
        <v>16</v>
      </c>
      <c r="N12" s="89">
        <f>LOOKUP(2, 1/('BA History S2'!$B:$B=A12), 'BA History S2'!$AI:$AI)</f>
        <v>0.54499999999999993</v>
      </c>
      <c r="O12" s="2">
        <f>COUNTIFS('BA History S2'!$B:$B,$A$12,'BA History S2'!K:K, 1)</f>
        <v>1</v>
      </c>
      <c r="P12" s="2">
        <f>COUNTIFS('BA History S2'!$B:$B,$A$12,'BA History S2'!L:L, 1)</f>
        <v>1</v>
      </c>
      <c r="Q12" s="2">
        <f>COUNTIFS('BA History S2'!$B:$B,$A$12,'BA History S2'!M:M, 1)</f>
        <v>0</v>
      </c>
      <c r="R12" s="2">
        <f>COUNTIFS('BA History S2'!$B:$B,$A$12,'BA History S2'!N:N, 1)</f>
        <v>0</v>
      </c>
      <c r="S12" s="2">
        <f>COUNTIFS('BA History S2'!$B:$B,$A$12,'BA History S2'!O:O, 1)</f>
        <v>0</v>
      </c>
      <c r="T12" s="2">
        <f>COUNTIFS('BA History S2'!$B:$B,$A$12,'BA History S2'!P:P, 1)</f>
        <v>0</v>
      </c>
      <c r="U12" s="2">
        <f>COUNTIFS('BA History S2'!$B:$B,$A$12,'BA History S2'!Q:Q, 1)</f>
        <v>0</v>
      </c>
      <c r="V12" s="2">
        <f>COUNTIFS('BA History S2'!$B:$B,$A$12,'BA History S2'!R:R, 1)</f>
        <v>0</v>
      </c>
      <c r="W12" s="2">
        <f>COUNTIFS('BA History S2'!$B:$B,$A$12,'BA History S2'!S:S, 1)</f>
        <v>0</v>
      </c>
      <c r="X12" s="2">
        <f>COUNTIFS('BA History S2'!$B:$B,$A$12,'BA History S2'!T:T, 1)</f>
        <v>0</v>
      </c>
      <c r="Y12" s="2">
        <f>COUNTIFS('BA History S2'!$B:$B,$A$12,'BA History S2'!U:U, 1)</f>
        <v>0</v>
      </c>
      <c r="Z12" s="2">
        <f>COUNTIFS('BA History S2'!$B:$B,$A$12,'BA History S2'!V:V, 1)</f>
        <v>0</v>
      </c>
      <c r="AA12" s="2">
        <f>COUNTIFS('BA History S2'!$B:$B,$A$12,'BA History S2'!W:W, 1)</f>
        <v>0</v>
      </c>
      <c r="AB12" s="2">
        <f>COUNTIFS('BA History S2'!$B:$B,$A$12,'BA History S2'!X:X, 1)</f>
        <v>0</v>
      </c>
      <c r="AC12" s="2">
        <f>COUNTIFS('BA History S2'!$B:$B,$A$12,'BA History S2'!Y:Y, 1)</f>
        <v>1</v>
      </c>
      <c r="AD12" s="2">
        <f>COUNTIFS('BA History S2'!$B:$B,$A$12,'BA History S2'!Z:Z, 1)</f>
        <v>0</v>
      </c>
      <c r="AE12" s="2">
        <f>COUNTIFS('BA History S2'!$B:$B,$A$12,'BA History S2'!AA:AA, 1)</f>
        <v>0</v>
      </c>
      <c r="AF12" s="2">
        <f>COUNTIFS('BA History S2'!$B:$B,$A$12,'BA History S2'!AB:AB, 1)</f>
        <v>0</v>
      </c>
      <c r="AG12" s="2">
        <f>COUNTIFS('BA History S2'!$B:$B,$A$12,'BA History S2'!AC:AC, 1)</f>
        <v>1</v>
      </c>
      <c r="AH12" s="2">
        <f>COUNTIFS('BA History S2'!$B:$B,$A$12,'BA History S2'!AD:AD, 1)</f>
        <v>0</v>
      </c>
      <c r="AI12" s="2">
        <f>COUNTIFS('BA History S2'!$B:$B,$A$12,'BA History S2'!AE:AE, 1)</f>
        <v>0</v>
      </c>
      <c r="AJ12" s="2">
        <f>COUNTIFS('BA History S2'!$B:$B,$A$12,'BA History S2'!AF:AF, 1)</f>
        <v>1</v>
      </c>
    </row>
    <row r="13" spans="1:36" x14ac:dyDescent="0.25">
      <c r="A13" s="2" t="s">
        <v>13</v>
      </c>
      <c r="B13" s="2" t="s">
        <v>79</v>
      </c>
      <c r="C13" s="34">
        <f>SUMIFS('BA History S2'!C:C,'BA History S2'!B:B,A13)</f>
        <v>34</v>
      </c>
      <c r="D13" s="66">
        <f>AVERAGEIFS('BA History S2'!C:C,'BA History S2'!B:B,A13)</f>
        <v>17</v>
      </c>
      <c r="E13" s="35">
        <f t="array" ref="E13">MAX(IF('BA History S2'!B:B=A13, 'BA History S2'!C:C))</f>
        <v>20</v>
      </c>
      <c r="F13" s="34">
        <f>COUNTIFS('BA History S2'!B:B,A13,'BA History S2'!D:D, 1)</f>
        <v>1</v>
      </c>
      <c r="G13" s="2">
        <f>COUNTIFS('BA History S2'!B:B,A13,'BA History S2'!D:D, 0)</f>
        <v>1</v>
      </c>
      <c r="H13" s="75">
        <f>LOOKUP(2, 1/('BA History S2'!$B:$B=A13), 'BA History S2'!$AJ:$AJ)</f>
        <v>0.5</v>
      </c>
      <c r="I13" s="34">
        <f>SUMIFS('BA History S2'!F:F,'BA History S2'!B:B,A13)</f>
        <v>4</v>
      </c>
      <c r="J13" s="2">
        <f>SUMIFS('BA History S2'!E:E,'BA History S2'!B:B,A13)-I13</f>
        <v>3</v>
      </c>
      <c r="K13" s="75">
        <f>LOOKUP(2, 1/('BA History S2'!$B:$B=A13), 'BA History S2'!$AH:$AH)</f>
        <v>0.625</v>
      </c>
      <c r="L13" s="34">
        <f>SUMIFS('BA History S2'!H:H,'BA History S2'!B:B,A13)</f>
        <v>16</v>
      </c>
      <c r="M13" s="2">
        <f>SUMIFS('BA History S2'!G:G,'BA History S2'!B:B,A13)-L13</f>
        <v>15</v>
      </c>
      <c r="N13" s="89">
        <f>LOOKUP(2, 1/('BA History S2'!$B:$B=A13), 'BA History S2'!$AI:$AI)</f>
        <v>0.54</v>
      </c>
      <c r="O13" s="2">
        <f>COUNTIFS('BA History S2'!$B:$B,$A$13,'BA History S2'!K:K, 1)</f>
        <v>0</v>
      </c>
      <c r="P13" s="2">
        <f>COUNTIFS('BA History S2'!$B:$B,$A$13,'BA History S2'!L:L, 1)</f>
        <v>1</v>
      </c>
      <c r="Q13" s="2">
        <f>COUNTIFS('BA History S2'!$B:$B,$A$13,'BA History S2'!M:M, 1)</f>
        <v>0</v>
      </c>
      <c r="R13" s="2">
        <f>COUNTIFS('BA History S2'!$B:$B,$A$13,'BA History S2'!N:N, 1)</f>
        <v>0</v>
      </c>
      <c r="S13" s="2">
        <f>COUNTIFS('BA History S2'!$B:$B,$A$13,'BA History S2'!O:O, 1)</f>
        <v>0</v>
      </c>
      <c r="T13" s="2">
        <f>COUNTIFS('BA History S2'!$B:$B,$A$13,'BA History S2'!P:P, 1)</f>
        <v>0</v>
      </c>
      <c r="U13" s="2">
        <f>COUNTIFS('BA History S2'!$B:$B,$A$13,'BA History S2'!Q:Q, 1)</f>
        <v>0</v>
      </c>
      <c r="V13" s="2">
        <f>COUNTIFS('BA History S2'!$B:$B,$A$13,'BA History S2'!R:R, 1)</f>
        <v>0</v>
      </c>
      <c r="W13" s="2">
        <f>COUNTIFS('BA History S2'!$B:$B,$A$13,'BA History S2'!S:S, 1)</f>
        <v>0</v>
      </c>
      <c r="X13" s="2">
        <f>COUNTIFS('BA History S2'!$B:$B,$A$13,'BA History S2'!T:T, 1)</f>
        <v>0</v>
      </c>
      <c r="Y13" s="2">
        <f>COUNTIFS('BA History S2'!$B:$B,$A$13,'BA History S2'!U:U, 1)</f>
        <v>0</v>
      </c>
      <c r="Z13" s="2">
        <f>COUNTIFS('BA History S2'!$B:$B,$A$13,'BA History S2'!V:V, 1)</f>
        <v>0</v>
      </c>
      <c r="AA13" s="2">
        <f>COUNTIFS('BA History S2'!$B:$B,$A$13,'BA History S2'!W:W, 1)</f>
        <v>1</v>
      </c>
      <c r="AB13" s="2">
        <f>COUNTIFS('BA History S2'!$B:$B,$A$13,'BA History S2'!X:X, 1)</f>
        <v>0</v>
      </c>
      <c r="AC13" s="2">
        <f>COUNTIFS('BA History S2'!$B:$B,$A$13,'BA History S2'!Y:Y, 1)</f>
        <v>0</v>
      </c>
      <c r="AD13" s="2">
        <f>COUNTIFS('BA History S2'!$B:$B,$A$13,'BA History S2'!Z:Z, 1)</f>
        <v>0</v>
      </c>
      <c r="AE13" s="2">
        <f>COUNTIFS('BA History S2'!$B:$B,$A$13,'BA History S2'!AA:AA, 1)</f>
        <v>0</v>
      </c>
      <c r="AF13" s="2">
        <f>COUNTIFS('BA History S2'!$B:$B,$A$13,'BA History S2'!AB:AB, 1)</f>
        <v>0</v>
      </c>
      <c r="AG13" s="2">
        <f>COUNTIFS('BA History S2'!$B:$B,$A$13,'BA History S2'!AC:AC, 1)</f>
        <v>1</v>
      </c>
      <c r="AH13" s="2">
        <f>COUNTIFS('BA History S2'!$B:$B,$A$13,'BA History S2'!AD:AD, 1)</f>
        <v>0</v>
      </c>
      <c r="AI13" s="2">
        <f>COUNTIFS('BA History S2'!$B:$B,$A$13,'BA History S2'!AE:AE, 1)</f>
        <v>0</v>
      </c>
      <c r="AJ13" s="2">
        <f>COUNTIFS('BA History S2'!$B:$B,$A$13,'BA History S2'!AF:AF, 1)</f>
        <v>1</v>
      </c>
    </row>
    <row r="14" spans="1:36" ht="15.75" x14ac:dyDescent="0.25">
      <c r="A14" s="2" t="s">
        <v>2</v>
      </c>
      <c r="B14" s="80" t="s">
        <v>60</v>
      </c>
      <c r="C14" s="34">
        <f>SUMIFS('BA History S2'!C:C,'BA History S2'!B:B,A14)</f>
        <v>33</v>
      </c>
      <c r="D14" s="66">
        <f>AVERAGEIFS('BA History S2'!C:C,'BA History S2'!B:B,A14)</f>
        <v>33</v>
      </c>
      <c r="E14" s="35">
        <f t="array" ref="E14">MAX(IF('BA History S2'!B:B=A14, 'BA History S2'!C:C))</f>
        <v>33</v>
      </c>
      <c r="F14" s="34">
        <f>COUNTIFS('BA History S2'!B:B,A14,'BA History S2'!D:D, 1)</f>
        <v>0</v>
      </c>
      <c r="G14" s="2">
        <f>COUNTIFS('BA History S2'!B:B,A14,'BA History S2'!D:D, 0)</f>
        <v>1</v>
      </c>
      <c r="H14" s="75">
        <f>LOOKUP(2, 1/('BA History S2'!$B:$B=A14), 'BA History S2'!$AJ:$AJ)</f>
        <v>0</v>
      </c>
      <c r="I14" s="34">
        <f>SUMIFS('BA History S2'!F:F,'BA History S2'!B:B,A14)</f>
        <v>1</v>
      </c>
      <c r="J14" s="2">
        <f>SUMIFS('BA History S2'!E:E,'BA History S2'!B:B,A14)-I14</f>
        <v>3</v>
      </c>
      <c r="K14" s="75">
        <f>LOOKUP(2, 1/('BA History S2'!$B:$B=A14), 'BA History S2'!$AH:$AH)</f>
        <v>0.25</v>
      </c>
      <c r="L14" s="34">
        <f>SUMIFS('BA History S2'!H:H,'BA History S2'!B:B,A14)</f>
        <v>8</v>
      </c>
      <c r="M14" s="2">
        <f>SUMIFS('BA History S2'!G:G,'BA History S2'!B:B,A14)-L14</f>
        <v>10</v>
      </c>
      <c r="N14" s="89">
        <f>LOOKUP(2, 1/('BA History S2'!$B:$B=A14), 'BA History S2'!$AI:$AI)</f>
        <v>0.44</v>
      </c>
      <c r="O14" s="2">
        <f>COUNTIFS('BA History S2'!$B:$B,$A$14,'BA History S2'!K:K, 1)</f>
        <v>0</v>
      </c>
      <c r="P14" s="2">
        <f>COUNTIFS('BA History S2'!$B:$B,$A$14,'BA History S2'!L:L, 1)</f>
        <v>0</v>
      </c>
      <c r="Q14" s="2">
        <f>COUNTIFS('BA History S2'!$B:$B,$A$14,'BA History S2'!M:M, 1)</f>
        <v>0</v>
      </c>
      <c r="R14" s="2">
        <f>COUNTIFS('BA History S2'!$B:$B,$A$14,'BA History S2'!N:N, 1)</f>
        <v>0</v>
      </c>
      <c r="S14" s="2">
        <f>COUNTIFS('BA History S2'!$B:$B,$A$14,'BA History S2'!O:O, 1)</f>
        <v>0</v>
      </c>
      <c r="T14" s="2">
        <f>COUNTIFS('BA History S2'!$B:$B,$A$14,'BA History S2'!P:P, 1)</f>
        <v>0</v>
      </c>
      <c r="U14" s="2">
        <f>COUNTIFS('BA History S2'!$B:$B,$A$14,'BA History S2'!Q:Q, 1)</f>
        <v>0</v>
      </c>
      <c r="V14" s="2">
        <f>COUNTIFS('BA History S2'!$B:$B,$A$14,'BA History S2'!R:R, 1)</f>
        <v>0</v>
      </c>
      <c r="W14" s="2">
        <f>COUNTIFS('BA History S2'!$B:$B,$A$14,'BA History S2'!S:S, 1)</f>
        <v>0</v>
      </c>
      <c r="X14" s="2">
        <f>COUNTIFS('BA History S2'!$B:$B,$A$14,'BA History S2'!T:T, 1)</f>
        <v>0</v>
      </c>
      <c r="Y14" s="2">
        <f>COUNTIFS('BA History S2'!$B:$B,$A$14,'BA History S2'!U:U, 1)</f>
        <v>0</v>
      </c>
      <c r="Z14" s="2">
        <f>COUNTIFS('BA History S2'!$B:$B,$A$14,'BA History S2'!V:V, 1)</f>
        <v>0</v>
      </c>
      <c r="AA14" s="2">
        <f>COUNTIFS('BA History S2'!$B:$B,$A$14,'BA History S2'!W:W, 1)</f>
        <v>0</v>
      </c>
      <c r="AB14" s="2">
        <f>COUNTIFS('BA History S2'!$B:$B,$A$14,'BA History S2'!X:X, 1)</f>
        <v>0</v>
      </c>
      <c r="AC14" s="2">
        <f>COUNTIFS('BA History S2'!$B:$B,$A$14,'BA History S2'!Y:Y, 1)</f>
        <v>0</v>
      </c>
      <c r="AD14" s="2">
        <f>COUNTIFS('BA History S2'!$B:$B,$A$14,'BA History S2'!Z:Z, 1)</f>
        <v>0</v>
      </c>
      <c r="AE14" s="2">
        <f>COUNTIFS('BA History S2'!$B:$B,$A$14,'BA History S2'!AA:AA, 1)</f>
        <v>0</v>
      </c>
      <c r="AF14" s="2">
        <f>COUNTIFS('BA History S2'!$B:$B,$A$14,'BA History S2'!AB:AB, 1)</f>
        <v>1</v>
      </c>
      <c r="AG14" s="2">
        <f>COUNTIFS('BA History S2'!$B:$B,$A$14,'BA History S2'!AC:AC, 1)</f>
        <v>0</v>
      </c>
      <c r="AH14" s="2">
        <f>COUNTIFS('BA History S2'!$B:$B,$A$14,'BA History S2'!AD:AD, 1)</f>
        <v>0</v>
      </c>
      <c r="AI14" s="2">
        <f>COUNTIFS('BA History S2'!$B:$B,$A$14,'BA History S2'!AE:AE, 1)</f>
        <v>0</v>
      </c>
      <c r="AJ14" s="2">
        <f>COUNTIFS('BA History S2'!$B:$B,$A$14,'BA History S2'!AF:AF, 1)</f>
        <v>0</v>
      </c>
    </row>
    <row r="15" spans="1:36" x14ac:dyDescent="0.25">
      <c r="A15" s="2" t="s">
        <v>54</v>
      </c>
      <c r="B15" s="2" t="s">
        <v>79</v>
      </c>
      <c r="C15" s="34">
        <f>SUMIFS('BA History S2'!C:C,'BA History S2'!B:B,A15)</f>
        <v>16</v>
      </c>
      <c r="D15" s="66">
        <f>AVERAGEIFS('BA History S2'!C:C,'BA History S2'!B:B,A15)</f>
        <v>16</v>
      </c>
      <c r="E15" s="35">
        <f t="array" ref="E15">MAX(IF('BA History S2'!B:B=A15, 'BA History S2'!C:C))</f>
        <v>16</v>
      </c>
      <c r="F15" s="34">
        <f>COUNTIFS('BA History S2'!B:B,A15,'BA History S2'!D:D, 1)</f>
        <v>1</v>
      </c>
      <c r="G15" s="2">
        <f>COUNTIFS('BA History S2'!B:B,A15,'BA History S2'!D:D, 0)</f>
        <v>0</v>
      </c>
      <c r="H15" s="75">
        <f>LOOKUP(2, 1/('BA History S2'!$B:$B=A15), 'BA History S2'!$AJ:$AJ)</f>
        <v>1</v>
      </c>
      <c r="I15" s="34">
        <f>SUMIFS('BA History S2'!F:F,'BA History S2'!B:B,A15)</f>
        <v>3</v>
      </c>
      <c r="J15" s="2">
        <f>SUMIFS('BA History S2'!E:E,'BA History S2'!B:B,A15)-I15</f>
        <v>0</v>
      </c>
      <c r="K15" s="75">
        <f>LOOKUP(2, 1/('BA History S2'!$B:$B=A15), 'BA History S2'!$AH:$AH)</f>
        <v>1</v>
      </c>
      <c r="L15" s="34">
        <f>SUMIFS('BA History S2'!H:H,'BA History S2'!B:B,A15)</f>
        <v>9</v>
      </c>
      <c r="M15" s="2">
        <f>SUMIFS('BA History S2'!G:G,'BA History S2'!B:B,A15)-L15</f>
        <v>4</v>
      </c>
      <c r="N15" s="89">
        <f>LOOKUP(2, 1/('BA History S2'!$B:$B=A15), 'BA History S2'!$AI:$AI)</f>
        <v>0.69</v>
      </c>
      <c r="O15" s="2">
        <f>COUNTIFS('BA History S2'!$B:$B,$A$15,'BA History S2'!K:K, 1)</f>
        <v>0</v>
      </c>
      <c r="P15" s="2">
        <f>COUNTIFS('BA History S2'!$B:$B,$A$15,'BA History S2'!L:L, 1)</f>
        <v>1</v>
      </c>
      <c r="Q15" s="2">
        <f>COUNTIFS('BA History S2'!$B:$B,$A$15,'BA History S2'!M:M, 1)</f>
        <v>0</v>
      </c>
      <c r="R15" s="2">
        <f>COUNTIFS('BA History S2'!$B:$B,$A$15,'BA History S2'!N:N, 1)</f>
        <v>0</v>
      </c>
      <c r="S15" s="2">
        <f>COUNTIFS('BA History S2'!$B:$B,$A$15,'BA History S2'!O:O, 1)</f>
        <v>0</v>
      </c>
      <c r="T15" s="2">
        <f>COUNTIFS('BA History S2'!$B:$B,$A$15,'BA History S2'!P:P, 1)</f>
        <v>0</v>
      </c>
      <c r="U15" s="2">
        <f>COUNTIFS('BA History S2'!$B:$B,$A$15,'BA History S2'!Q:Q, 1)</f>
        <v>0</v>
      </c>
      <c r="V15" s="2">
        <f>COUNTIFS('BA History S2'!$B:$B,$A$15,'BA History S2'!R:R, 1)</f>
        <v>0</v>
      </c>
      <c r="W15" s="2">
        <f>COUNTIFS('BA History S2'!$B:$B,$A$15,'BA History S2'!S:S, 1)</f>
        <v>0</v>
      </c>
      <c r="X15" s="2">
        <f>COUNTIFS('BA History S2'!$B:$B,$A$15,'BA History S2'!T:T, 1)</f>
        <v>0</v>
      </c>
      <c r="Y15" s="2">
        <f>COUNTIFS('BA History S2'!$B:$B,$A$15,'BA History S2'!U:U, 1)</f>
        <v>0</v>
      </c>
      <c r="Z15" s="2">
        <f>COUNTIFS('BA History S2'!$B:$B,$A$15,'BA History S2'!V:V, 1)</f>
        <v>0</v>
      </c>
      <c r="AA15" s="2">
        <f>COUNTIFS('BA History S2'!$B:$B,$A$15,'BA History S2'!W:W, 1)</f>
        <v>0</v>
      </c>
      <c r="AB15" s="2">
        <f>COUNTIFS('BA History S2'!$B:$B,$A$15,'BA History S2'!X:X, 1)</f>
        <v>0</v>
      </c>
      <c r="AC15" s="2">
        <f>COUNTIFS('BA History S2'!$B:$B,$A$15,'BA History S2'!Y:Y, 1)</f>
        <v>0</v>
      </c>
      <c r="AD15" s="2">
        <f>COUNTIFS('BA History S2'!$B:$B,$A$15,'BA History S2'!Z:Z, 1)</f>
        <v>0</v>
      </c>
      <c r="AE15" s="2">
        <f>COUNTIFS('BA History S2'!$B:$B,$A$15,'BA History S2'!AA:AA, 1)</f>
        <v>0</v>
      </c>
      <c r="AF15" s="2">
        <f>COUNTIFS('BA History S2'!$B:$B,$A$15,'BA History S2'!AB:AB, 1)</f>
        <v>0</v>
      </c>
      <c r="AG15" s="2">
        <f>COUNTIFS('BA History S2'!$B:$B,$A$15,'BA History S2'!AC:AC, 1)</f>
        <v>1</v>
      </c>
      <c r="AH15" s="2">
        <f>COUNTIFS('BA History S2'!$B:$B,$A$15,'BA History S2'!AD:AD, 1)</f>
        <v>0</v>
      </c>
      <c r="AI15" s="2">
        <f>COUNTIFS('BA History S2'!$B:$B,$A$15,'BA History S2'!AE:AE, 1)</f>
        <v>0</v>
      </c>
      <c r="AJ15" s="2">
        <f>COUNTIFS('BA History S2'!$B:$B,$A$15,'BA History S2'!AF:AF, 1)</f>
        <v>1</v>
      </c>
    </row>
    <row r="16" spans="1:36" x14ac:dyDescent="0.25">
      <c r="A16" s="2" t="s">
        <v>142</v>
      </c>
      <c r="B16" s="2" t="s">
        <v>79</v>
      </c>
      <c r="C16" s="34">
        <f>SUMIFS('BA History S2'!C:C,'BA History S2'!B:B,A16)</f>
        <v>15</v>
      </c>
      <c r="D16" s="66">
        <f>AVERAGEIFS('BA History S2'!C:C,'BA History S2'!B:B,A16)</f>
        <v>7.5</v>
      </c>
      <c r="E16" s="35">
        <f t="array" ref="E16">MAX(IF('BA History S2'!B:B=A16, 'BA History S2'!C:C))</f>
        <v>14</v>
      </c>
      <c r="F16" s="34">
        <f>COUNTIFS('BA History S2'!B:B,A16,'BA History S2'!D:D, 1)</f>
        <v>1</v>
      </c>
      <c r="G16" s="2">
        <f>COUNTIFS('BA History S2'!B:B,A16,'BA History S2'!D:D, 0)</f>
        <v>1</v>
      </c>
      <c r="H16" s="75">
        <f>LOOKUP(2, 1/('BA History S2'!$B:$B=A16), 'BA History S2'!$AJ:$AJ)</f>
        <v>0.5</v>
      </c>
      <c r="I16" s="34">
        <f>SUMIFS('BA History S2'!F:F,'BA History S2'!B:B,A16)</f>
        <v>3</v>
      </c>
      <c r="J16" s="2">
        <f>SUMIFS('BA History S2'!E:E,'BA History S2'!B:B,A16)-I16</f>
        <v>5</v>
      </c>
      <c r="K16" s="75">
        <f>LOOKUP(2, 1/('BA History S2'!$B:$B=A16), 'BA History S2'!$AH:$AH)</f>
        <v>0.3</v>
      </c>
      <c r="L16" s="34">
        <f>SUMIFS('BA History S2'!H:H,'BA History S2'!B:B,A16)</f>
        <v>16</v>
      </c>
      <c r="M16" s="2">
        <f>SUMIFS('BA History S2'!G:G,'BA History S2'!B:B,A16)-L16</f>
        <v>17</v>
      </c>
      <c r="N16" s="89">
        <f>LOOKUP(2, 1/('BA History S2'!$B:$B=A16), 'BA History S2'!$AI:$AI)</f>
        <v>0.45499999999999996</v>
      </c>
      <c r="O16" s="2">
        <f>COUNTIFS('BA History S2'!$B:$B,$A$16,'BA History S2'!K:K, 1)</f>
        <v>0</v>
      </c>
      <c r="P16" s="2">
        <f>COUNTIFS('BA History S2'!$B:$B,$A$16,'BA History S2'!L:L, 1)</f>
        <v>1</v>
      </c>
      <c r="Q16" s="2">
        <f>COUNTIFS('BA History S2'!$B:$B,$A$16,'BA History S2'!M:M, 1)</f>
        <v>0</v>
      </c>
      <c r="R16" s="2">
        <f>COUNTIFS('BA History S2'!$B:$B,$A$16,'BA History S2'!N:N, 1)</f>
        <v>1</v>
      </c>
      <c r="S16" s="2">
        <f>COUNTIFS('BA History S2'!$B:$B,$A$16,'BA History S2'!O:O, 1)</f>
        <v>0</v>
      </c>
      <c r="T16" s="2">
        <f>COUNTIFS('BA History S2'!$B:$B,$A$16,'BA History S2'!P:P, 1)</f>
        <v>0</v>
      </c>
      <c r="U16" s="2">
        <f>COUNTIFS('BA History S2'!$B:$B,$A$16,'BA History S2'!Q:Q, 1)</f>
        <v>0</v>
      </c>
      <c r="V16" s="2">
        <f>COUNTIFS('BA History S2'!$B:$B,$A$16,'BA History S2'!R:R, 1)</f>
        <v>0</v>
      </c>
      <c r="W16" s="2">
        <f>COUNTIFS('BA History S2'!$B:$B,$A$16,'BA History S2'!S:S, 1)</f>
        <v>0</v>
      </c>
      <c r="X16" s="2">
        <f>COUNTIFS('BA History S2'!$B:$B,$A$16,'BA History S2'!T:T, 1)</f>
        <v>0</v>
      </c>
      <c r="Y16" s="2">
        <f>COUNTIFS('BA History S2'!$B:$B,$A$16,'BA History S2'!U:U, 1)</f>
        <v>0</v>
      </c>
      <c r="Z16" s="2">
        <f>COUNTIFS('BA History S2'!$B:$B,$A$16,'BA History S2'!V:V, 1)</f>
        <v>0</v>
      </c>
      <c r="AA16" s="2">
        <f>COUNTIFS('BA History S2'!$B:$B,$A$16,'BA History S2'!W:W, 1)</f>
        <v>0</v>
      </c>
      <c r="AB16" s="2">
        <f>COUNTIFS('BA History S2'!$B:$B,$A$16,'BA History S2'!X:X, 1)</f>
        <v>0</v>
      </c>
      <c r="AC16" s="2">
        <f>COUNTIFS('BA History S2'!$B:$B,$A$16,'BA History S2'!Y:Y, 1)</f>
        <v>0</v>
      </c>
      <c r="AD16" s="2">
        <f>COUNTIFS('BA History S2'!$B:$B,$A$16,'BA History S2'!Z:Z, 1)</f>
        <v>0</v>
      </c>
      <c r="AE16" s="2">
        <f>COUNTIFS('BA History S2'!$B:$B,$A$16,'BA History S2'!AA:AA, 1)</f>
        <v>0</v>
      </c>
      <c r="AF16" s="2">
        <f>COUNTIFS('BA History S2'!$B:$B,$A$16,'BA History S2'!AB:AB, 1)</f>
        <v>0</v>
      </c>
      <c r="AG16" s="2">
        <f>COUNTIFS('BA History S2'!$B:$B,$A$16,'BA History S2'!AC:AC, 1)</f>
        <v>1</v>
      </c>
      <c r="AH16" s="2">
        <f>COUNTIFS('BA History S2'!$B:$B,$A$16,'BA History S2'!AD:AD, 1)</f>
        <v>0</v>
      </c>
      <c r="AI16" s="2">
        <f>COUNTIFS('BA History S2'!$B:$B,$A$16,'BA History S2'!AE:AE, 1)</f>
        <v>0</v>
      </c>
      <c r="AJ16" s="2">
        <f>COUNTIFS('BA History S2'!$B:$B,$A$16,'BA History S2'!AF:AF, 1)</f>
        <v>0</v>
      </c>
    </row>
    <row r="17" spans="1:36" x14ac:dyDescent="0.25">
      <c r="A17" s="2" t="s">
        <v>40</v>
      </c>
      <c r="B17" s="2" t="s">
        <v>79</v>
      </c>
      <c r="C17" s="34">
        <f>SUMIFS('BA History S2'!C:C,'BA History S2'!B:B,A17)</f>
        <v>56</v>
      </c>
      <c r="D17" s="66">
        <f>AVERAGEIFS('BA History S2'!C:C,'BA History S2'!B:B,A17)</f>
        <v>18.666666666666668</v>
      </c>
      <c r="E17" s="35">
        <f t="array" ref="E17">MAX(IF('BA History S2'!B:B=A17, 'BA History S2'!C:C))</f>
        <v>25</v>
      </c>
      <c r="F17" s="34">
        <f>COUNTIFS('BA History S2'!B:B,A17,'BA History S2'!D:D, 1)</f>
        <v>3</v>
      </c>
      <c r="G17" s="2">
        <f>COUNTIFS('BA History S2'!B:B,A17,'BA History S2'!D:D, 0)</f>
        <v>0</v>
      </c>
      <c r="H17" s="75">
        <f>LOOKUP(2, 1/('BA History S2'!$B:$B=A17), 'BA History S2'!$AJ:$AJ)</f>
        <v>1</v>
      </c>
      <c r="I17" s="34">
        <f>SUMIFS('BA History S2'!F:F,'BA History S2'!B:B,A17)</f>
        <v>9</v>
      </c>
      <c r="J17" s="2">
        <f>SUMIFS('BA History S2'!E:E,'BA History S2'!B:B,A17)-I17</f>
        <v>4</v>
      </c>
      <c r="K17" s="75">
        <f>LOOKUP(2, 1/('BA History S2'!$B:$B=A17), 'BA History S2'!$AH:$AH)</f>
        <v>0.70000000000000007</v>
      </c>
      <c r="L17" s="34">
        <f>SUMIFS('BA History S2'!H:H,'BA History S2'!B:B,A17)</f>
        <v>33</v>
      </c>
      <c r="M17" s="2">
        <f>SUMIFS('BA History S2'!G:G,'BA History S2'!B:B,A17)-L17</f>
        <v>23</v>
      </c>
      <c r="N17" s="89">
        <f>LOOKUP(2, 1/('BA History S2'!$B:$B=A17), 'BA History S2'!$AI:$AI)</f>
        <v>0.59</v>
      </c>
      <c r="O17" s="2">
        <f>COUNTIFS('BA History S2'!$B:$B,$A$17,'BA History S2'!K:K, 1)</f>
        <v>0</v>
      </c>
      <c r="P17" s="2">
        <f>COUNTIFS('BA History S2'!$B:$B,$A$17,'BA History S2'!L:L, 1)</f>
        <v>1</v>
      </c>
      <c r="Q17" s="2">
        <f>COUNTIFS('BA History S2'!$B:$B,$A$17,'BA History S2'!M:M, 1)</f>
        <v>2</v>
      </c>
      <c r="R17" s="2">
        <f>COUNTIFS('BA History S2'!$B:$B,$A$17,'BA History S2'!N:N, 1)</f>
        <v>1</v>
      </c>
      <c r="S17" s="2">
        <f>COUNTIFS('BA History S2'!$B:$B,$A$17,'BA History S2'!O:O, 1)</f>
        <v>0</v>
      </c>
      <c r="T17" s="2">
        <f>COUNTIFS('BA History S2'!$B:$B,$A$17,'BA History S2'!P:P, 1)</f>
        <v>0</v>
      </c>
      <c r="U17" s="2">
        <f>COUNTIFS('BA History S2'!$B:$B,$A$17,'BA History S2'!Q:Q, 1)</f>
        <v>1</v>
      </c>
      <c r="V17" s="2">
        <f>COUNTIFS('BA History S2'!$B:$B,$A$17,'BA History S2'!R:R, 1)</f>
        <v>0</v>
      </c>
      <c r="W17" s="2">
        <f>COUNTIFS('BA History S2'!$B:$B,$A$17,'BA History S2'!S:S, 1)</f>
        <v>0</v>
      </c>
      <c r="X17" s="2">
        <f>COUNTIFS('BA History S2'!$B:$B,$A$17,'BA History S2'!T:T, 1)</f>
        <v>0</v>
      </c>
      <c r="Y17" s="2">
        <f>COUNTIFS('BA History S2'!$B:$B,$A$17,'BA History S2'!U:U, 1)</f>
        <v>0</v>
      </c>
      <c r="Z17" s="2">
        <f>COUNTIFS('BA History S2'!$B:$B,$A$17,'BA History S2'!V:V, 1)</f>
        <v>0</v>
      </c>
      <c r="AA17" s="2">
        <f>COUNTIFS('BA History S2'!$B:$B,$A$17,'BA History S2'!W:W, 1)</f>
        <v>0</v>
      </c>
      <c r="AB17" s="2">
        <f>COUNTIFS('BA History S2'!$B:$B,$A$17,'BA History S2'!X:X, 1)</f>
        <v>0</v>
      </c>
      <c r="AC17" s="2">
        <f>COUNTIFS('BA History S2'!$B:$B,$A$17,'BA History S2'!Y:Y, 1)</f>
        <v>0</v>
      </c>
      <c r="AD17" s="2">
        <f>COUNTIFS('BA History S2'!$B:$B,$A$17,'BA History S2'!Z:Z, 1)</f>
        <v>1</v>
      </c>
      <c r="AE17" s="2">
        <f>COUNTIFS('BA History S2'!$B:$B,$A$17,'BA History S2'!AA:AA, 1)</f>
        <v>0</v>
      </c>
      <c r="AF17" s="2">
        <f>COUNTIFS('BA History S2'!$B:$B,$A$17,'BA History S2'!AB:AB, 1)</f>
        <v>1</v>
      </c>
      <c r="AG17" s="2">
        <f>COUNTIFS('BA History S2'!$B:$B,$A$17,'BA History S2'!AC:AC, 1)</f>
        <v>1</v>
      </c>
      <c r="AH17" s="2">
        <f>COUNTIFS('BA History S2'!$B:$B,$A$17,'BA History S2'!AD:AD, 1)</f>
        <v>1</v>
      </c>
      <c r="AI17" s="2">
        <f>COUNTIFS('BA History S2'!$B:$B,$A$17,'BA History S2'!AE:AE, 1)</f>
        <v>0</v>
      </c>
      <c r="AJ17" s="2">
        <f>COUNTIFS('BA History S2'!$B:$B,$A$17,'BA History S2'!AF:AF, 1)</f>
        <v>0</v>
      </c>
    </row>
    <row r="18" spans="1:36" x14ac:dyDescent="0.25">
      <c r="A18" s="2" t="s">
        <v>148</v>
      </c>
      <c r="B18" s="2" t="s">
        <v>79</v>
      </c>
      <c r="C18" s="34">
        <f>SUMIFS('BA History S2'!C:C,'BA History S2'!B:B,A18)</f>
        <v>15</v>
      </c>
      <c r="D18" s="66">
        <f>AVERAGEIFS('BA History S2'!C:C,'BA History S2'!B:B,A18)</f>
        <v>15</v>
      </c>
      <c r="E18" s="35">
        <f t="array" ref="E18">MAX(IF('BA History S2'!B:B=A18, 'BA History S2'!C:C))</f>
        <v>15</v>
      </c>
      <c r="F18" s="34">
        <f>COUNTIFS('BA History S2'!B:B,A18,'BA History S2'!D:D, 1)</f>
        <v>0</v>
      </c>
      <c r="G18" s="2">
        <f>COUNTIFS('BA History S2'!B:B,A18,'BA History S2'!D:D, 0)</f>
        <v>1</v>
      </c>
      <c r="H18" s="75">
        <f>LOOKUP(2, 1/('BA History S2'!$B:$B=A18), 'BA History S2'!$AJ:$AJ)</f>
        <v>0</v>
      </c>
      <c r="I18" s="34">
        <f>SUMIFS('BA History S2'!F:F,'BA History S2'!B:B,A18)</f>
        <v>1</v>
      </c>
      <c r="J18" s="2">
        <f>SUMIFS('BA History S2'!E:E,'BA History S2'!B:B,A18)-I18</f>
        <v>3</v>
      </c>
      <c r="K18" s="75">
        <f>LOOKUP(2, 1/('BA History S2'!$B:$B=A18), 'BA History S2'!$AH:$AH)</f>
        <v>0.25</v>
      </c>
      <c r="L18" s="34">
        <f>SUMIFS('BA History S2'!H:H,'BA History S2'!B:B,A18)</f>
        <v>8</v>
      </c>
      <c r="M18" s="2">
        <f>SUMIFS('BA History S2'!G:G,'BA History S2'!B:B,A18)-L18</f>
        <v>10</v>
      </c>
      <c r="N18" s="89">
        <f>LOOKUP(2, 1/('BA History S2'!$B:$B=A18), 'BA History S2'!$AI:$AI)</f>
        <v>0.44</v>
      </c>
      <c r="O18" s="2">
        <f>COUNTIFS('BA History S2'!$B:$B,$A$18,'BA History S2'!K:K, 1)</f>
        <v>0</v>
      </c>
      <c r="P18" s="2">
        <f>COUNTIFS('BA History S2'!$B:$B,$A$18,'BA History S2'!L:L, 1)</f>
        <v>0</v>
      </c>
      <c r="Q18" s="2">
        <f>COUNTIFS('BA History S2'!$B:$B,$A$18,'BA History S2'!M:M, 1)</f>
        <v>0</v>
      </c>
      <c r="R18" s="2">
        <f>COUNTIFS('BA History S2'!$B:$B,$A$18,'BA History S2'!N:N, 1)</f>
        <v>0</v>
      </c>
      <c r="S18" s="2">
        <f>COUNTIFS('BA History S2'!$B:$B,$A$18,'BA History S2'!O:O, 1)</f>
        <v>0</v>
      </c>
      <c r="T18" s="2">
        <f>COUNTIFS('BA History S2'!$B:$B,$A$18,'BA History S2'!P:P, 1)</f>
        <v>0</v>
      </c>
      <c r="U18" s="2">
        <f>COUNTIFS('BA History S2'!$B:$B,$A$18,'BA History S2'!Q:Q, 1)</f>
        <v>0</v>
      </c>
      <c r="V18" s="2">
        <f>COUNTIFS('BA History S2'!$B:$B,$A$18,'BA History S2'!R:R, 1)</f>
        <v>0</v>
      </c>
      <c r="W18" s="2">
        <f>COUNTIFS('BA History S2'!$B:$B,$A$18,'BA History S2'!S:S, 1)</f>
        <v>0</v>
      </c>
      <c r="X18" s="2">
        <f>COUNTIFS('BA History S2'!$B:$B,$A$18,'BA History S2'!T:T, 1)</f>
        <v>0</v>
      </c>
      <c r="Y18" s="2">
        <f>COUNTIFS('BA History S2'!$B:$B,$A$18,'BA History S2'!U:U, 1)</f>
        <v>0</v>
      </c>
      <c r="Z18" s="2">
        <f>COUNTIFS('BA History S2'!$B:$B,$A$18,'BA History S2'!V:V, 1)</f>
        <v>0</v>
      </c>
      <c r="AA18" s="2">
        <f>COUNTIFS('BA History S2'!$B:$B,$A$18,'BA History S2'!W:W, 1)</f>
        <v>0</v>
      </c>
      <c r="AB18" s="2">
        <f>COUNTIFS('BA History S2'!$B:$B,$A$18,'BA History S2'!X:X, 1)</f>
        <v>0</v>
      </c>
      <c r="AC18" s="2">
        <f>COUNTIFS('BA History S2'!$B:$B,$A$18,'BA History S2'!Y:Y, 1)</f>
        <v>0</v>
      </c>
      <c r="AD18" s="2">
        <f>COUNTIFS('BA History S2'!$B:$B,$A$18,'BA History S2'!Z:Z, 1)</f>
        <v>0</v>
      </c>
      <c r="AE18" s="2">
        <f>COUNTIFS('BA History S2'!$B:$B,$A$18,'BA History S2'!AA:AA, 1)</f>
        <v>0</v>
      </c>
      <c r="AF18" s="2">
        <f>COUNTIFS('BA History S2'!$B:$B,$A$18,'BA History S2'!AB:AB, 1)</f>
        <v>1</v>
      </c>
      <c r="AG18" s="2">
        <f>COUNTIFS('BA History S2'!$B:$B,$A$18,'BA History S2'!AC:AC, 1)</f>
        <v>0</v>
      </c>
      <c r="AH18" s="2">
        <f>COUNTIFS('BA History S2'!$B:$B,$A$18,'BA History S2'!AD:AD, 1)</f>
        <v>0</v>
      </c>
      <c r="AI18" s="2">
        <f>COUNTIFS('BA History S2'!$B:$B,$A$18,'BA History S2'!AE:AE, 1)</f>
        <v>0</v>
      </c>
      <c r="AJ18" s="2">
        <f>COUNTIFS('BA History S2'!$B:$B,$A$18,'BA History S2'!AF:AF, 1)</f>
        <v>0</v>
      </c>
    </row>
    <row r="19" spans="1:36" x14ac:dyDescent="0.25">
      <c r="A19" s="2" t="s">
        <v>17</v>
      </c>
      <c r="B19" s="2" t="s">
        <v>79</v>
      </c>
      <c r="C19" s="34">
        <f>SUMIFS('BA History S2'!C:C,'BA History S2'!B:B,A19)</f>
        <v>38</v>
      </c>
      <c r="D19" s="66">
        <f>AVERAGEIFS('BA History S2'!C:C,'BA History S2'!B:B,A19)</f>
        <v>19</v>
      </c>
      <c r="E19" s="35">
        <f t="array" ref="E19">MAX(IF('BA History S2'!B:B=A19, 'BA History S2'!C:C))</f>
        <v>19</v>
      </c>
      <c r="F19" s="34">
        <f>COUNTIFS('BA History S2'!B:B,A19,'BA History S2'!D:D, 1)</f>
        <v>2</v>
      </c>
      <c r="G19" s="2">
        <f>COUNTIFS('BA History S2'!B:B,A19,'BA History S2'!D:D, 0)</f>
        <v>0</v>
      </c>
      <c r="H19" s="75">
        <f>LOOKUP(2, 1/('BA History S2'!$B:$B=A19), 'BA History S2'!$AJ:$AJ)</f>
        <v>1</v>
      </c>
      <c r="I19" s="34">
        <f>SUMIFS('BA History S2'!F:F,'BA History S2'!B:B,A19)</f>
        <v>6</v>
      </c>
      <c r="J19" s="2">
        <f>SUMIFS('BA History S2'!E:E,'BA History S2'!B:B,A19)-I19</f>
        <v>2</v>
      </c>
      <c r="K19" s="75">
        <f>LOOKUP(2, 1/('BA History S2'!$B:$B=A19), 'BA History S2'!$AH:$AH)</f>
        <v>0.75</v>
      </c>
      <c r="L19" s="34">
        <f>SUMIFS('BA History S2'!H:H,'BA History S2'!B:B,A19)</f>
        <v>21</v>
      </c>
      <c r="M19" s="2">
        <f>SUMIFS('BA History S2'!G:G,'BA History S2'!B:B,A19)-L19</f>
        <v>15</v>
      </c>
      <c r="N19" s="89">
        <f>LOOKUP(2, 1/('BA History S2'!$B:$B=A19), 'BA History S2'!$AI:$AI)</f>
        <v>0.58499999999999996</v>
      </c>
      <c r="O19" s="2">
        <f>COUNTIFS('BA History S2'!$B:$B,$A$19,'BA History S2'!K:K, 1)</f>
        <v>0</v>
      </c>
      <c r="P19" s="2">
        <f>COUNTIFS('BA History S2'!$B:$B,$A$19,'BA History S2'!L:L, 1)</f>
        <v>0</v>
      </c>
      <c r="Q19" s="2">
        <f>COUNTIFS('BA History S2'!$B:$B,$A$19,'BA History S2'!M:M, 1)</f>
        <v>2</v>
      </c>
      <c r="R19" s="2">
        <f>COUNTIFS('BA History S2'!$B:$B,$A$19,'BA History S2'!N:N, 1)</f>
        <v>0</v>
      </c>
      <c r="S19" s="2">
        <f>COUNTIFS('BA History S2'!$B:$B,$A$19,'BA History S2'!O:O, 1)</f>
        <v>0</v>
      </c>
      <c r="T19" s="2">
        <f>COUNTIFS('BA History S2'!$B:$B,$A$19,'BA History S2'!P:P, 1)</f>
        <v>0</v>
      </c>
      <c r="U19" s="2">
        <f>COUNTIFS('BA History S2'!$B:$B,$A$19,'BA History S2'!Q:Q, 1)</f>
        <v>1</v>
      </c>
      <c r="V19" s="2">
        <f>COUNTIFS('BA History S2'!$B:$B,$A$19,'BA History S2'!R:R, 1)</f>
        <v>0</v>
      </c>
      <c r="W19" s="2">
        <f>COUNTIFS('BA History S2'!$B:$B,$A$19,'BA History S2'!S:S, 1)</f>
        <v>0</v>
      </c>
      <c r="X19" s="2">
        <f>COUNTIFS('BA History S2'!$B:$B,$A$19,'BA History S2'!T:T, 1)</f>
        <v>0</v>
      </c>
      <c r="Y19" s="2">
        <f>COUNTIFS('BA History S2'!$B:$B,$A$19,'BA History S2'!U:U, 1)</f>
        <v>0</v>
      </c>
      <c r="Z19" s="2">
        <f>COUNTIFS('BA History S2'!$B:$B,$A$19,'BA History S2'!V:V, 1)</f>
        <v>0</v>
      </c>
      <c r="AA19" s="2">
        <f>COUNTIFS('BA History S2'!$B:$B,$A$19,'BA History S2'!W:W, 1)</f>
        <v>0</v>
      </c>
      <c r="AB19" s="2">
        <f>COUNTIFS('BA History S2'!$B:$B,$A$19,'BA History S2'!X:X, 1)</f>
        <v>0</v>
      </c>
      <c r="AC19" s="2">
        <f>COUNTIFS('BA History S2'!$B:$B,$A$19,'BA History S2'!Y:Y, 1)</f>
        <v>0</v>
      </c>
      <c r="AD19" s="2">
        <f>COUNTIFS('BA History S2'!$B:$B,$A$19,'BA History S2'!Z:Z, 1)</f>
        <v>1</v>
      </c>
      <c r="AE19" s="2">
        <f>COUNTIFS('BA History S2'!$B:$B,$A$19,'BA History S2'!AA:AA, 1)</f>
        <v>0</v>
      </c>
      <c r="AF19" s="2">
        <f>COUNTIFS('BA History S2'!$B:$B,$A$19,'BA History S2'!AB:AB, 1)</f>
        <v>1</v>
      </c>
      <c r="AG19" s="2">
        <f>COUNTIFS('BA History S2'!$B:$B,$A$19,'BA History S2'!AC:AC, 1)</f>
        <v>0</v>
      </c>
      <c r="AH19" s="2">
        <f>COUNTIFS('BA History S2'!$B:$B,$A$19,'BA History S2'!AD:AD, 1)</f>
        <v>1</v>
      </c>
      <c r="AI19" s="2">
        <f>COUNTIFS('BA History S2'!$B:$B,$A$19,'BA History S2'!AE:AE, 1)</f>
        <v>0</v>
      </c>
      <c r="AJ19" s="2">
        <f>COUNTIFS('BA History S2'!$B:$B,$A$19,'BA History S2'!AF:AF, 1)</f>
        <v>0</v>
      </c>
    </row>
    <row r="20" spans="1:36" ht="15.75" x14ac:dyDescent="0.25">
      <c r="A20" s="2" t="s">
        <v>6</v>
      </c>
      <c r="B20" s="80" t="s">
        <v>60</v>
      </c>
      <c r="C20" s="34">
        <f>SUMIFS('BA History S2'!C:C,'BA History S2'!B:B,A20)</f>
        <v>66</v>
      </c>
      <c r="D20" s="66">
        <f>AVERAGEIFS('BA History S2'!C:C,'BA History S2'!B:B,A20)</f>
        <v>22</v>
      </c>
      <c r="E20" s="35">
        <f t="array" ref="E20">MAX(IF('BA History S2'!B:B=A20, 'BA History S2'!C:C))</f>
        <v>27</v>
      </c>
      <c r="F20" s="34">
        <f>COUNTIFS('BA History S2'!B:B,A20,'BA History S2'!D:D, 1)</f>
        <v>3</v>
      </c>
      <c r="G20" s="2">
        <f>COUNTIFS('BA History S2'!B:B,A20,'BA History S2'!D:D, 0)</f>
        <v>0</v>
      </c>
      <c r="H20" s="75">
        <f>LOOKUP(2, 1/('BA History S2'!$B:$B=A20), 'BA History S2'!$AJ:$AJ)</f>
        <v>1</v>
      </c>
      <c r="I20" s="34">
        <f>SUMIFS('BA History S2'!F:F,'BA History S2'!B:B,A20)</f>
        <v>9</v>
      </c>
      <c r="J20" s="2">
        <f>SUMIFS('BA History S2'!E:E,'BA History S2'!B:B,A20)-I20</f>
        <v>4</v>
      </c>
      <c r="K20" s="75">
        <f>LOOKUP(2, 1/('BA History S2'!$B:$B=A20), 'BA History S2'!$AH:$AH)</f>
        <v>0.70000000000000007</v>
      </c>
      <c r="L20" s="34">
        <f>SUMIFS('BA History S2'!H:H,'BA History S2'!B:B,A20)</f>
        <v>33</v>
      </c>
      <c r="M20" s="2">
        <f>SUMIFS('BA History S2'!G:G,'BA History S2'!B:B,A20)-L20</f>
        <v>23</v>
      </c>
      <c r="N20" s="89">
        <f>LOOKUP(2, 1/('BA History S2'!$B:$B=A20), 'BA History S2'!$AI:$AI)</f>
        <v>0.59</v>
      </c>
      <c r="O20" s="2">
        <f>COUNTIFS('BA History S2'!$B:$B,$A$20,'BA History S2'!K:K, 1)</f>
        <v>0</v>
      </c>
      <c r="P20" s="2">
        <f>COUNTIFS('BA History S2'!$B:$B,$A$20,'BA History S2'!L:L, 1)</f>
        <v>1</v>
      </c>
      <c r="Q20" s="2">
        <f>COUNTIFS('BA History S2'!$B:$B,$A$20,'BA History S2'!M:M, 1)</f>
        <v>2</v>
      </c>
      <c r="R20" s="2">
        <f>COUNTIFS('BA History S2'!$B:$B,$A$20,'BA History S2'!N:N, 1)</f>
        <v>1</v>
      </c>
      <c r="S20" s="2">
        <f>COUNTIFS('BA History S2'!$B:$B,$A$20,'BA History S2'!O:O, 1)</f>
        <v>0</v>
      </c>
      <c r="T20" s="2">
        <f>COUNTIFS('BA History S2'!$B:$B,$A$20,'BA History S2'!P:P, 1)</f>
        <v>0</v>
      </c>
      <c r="U20" s="2">
        <f>COUNTIFS('BA History S2'!$B:$B,$A$20,'BA History S2'!Q:Q, 1)</f>
        <v>1</v>
      </c>
      <c r="V20" s="2">
        <f>COUNTIFS('BA History S2'!$B:$B,$A$20,'BA History S2'!R:R, 1)</f>
        <v>0</v>
      </c>
      <c r="W20" s="2">
        <f>COUNTIFS('BA History S2'!$B:$B,$A$20,'BA History S2'!S:S, 1)</f>
        <v>0</v>
      </c>
      <c r="X20" s="2">
        <f>COUNTIFS('BA History S2'!$B:$B,$A$20,'BA History S2'!T:T, 1)</f>
        <v>0</v>
      </c>
      <c r="Y20" s="2">
        <f>COUNTIFS('BA History S2'!$B:$B,$A$20,'BA History S2'!U:U, 1)</f>
        <v>0</v>
      </c>
      <c r="Z20" s="2">
        <f>COUNTIFS('BA History S2'!$B:$B,$A$20,'BA History S2'!V:V, 1)</f>
        <v>0</v>
      </c>
      <c r="AA20" s="2">
        <f>COUNTIFS('BA History S2'!$B:$B,$A$20,'BA History S2'!W:W, 1)</f>
        <v>0</v>
      </c>
      <c r="AB20" s="2">
        <f>COUNTIFS('BA History S2'!$B:$B,$A$20,'BA History S2'!X:X, 1)</f>
        <v>0</v>
      </c>
      <c r="AC20" s="2">
        <f>COUNTIFS('BA History S2'!$B:$B,$A$20,'BA History S2'!Y:Y, 1)</f>
        <v>0</v>
      </c>
      <c r="AD20" s="2">
        <f>COUNTIFS('BA History S2'!$B:$B,$A$20,'BA History S2'!Z:Z, 1)</f>
        <v>1</v>
      </c>
      <c r="AE20" s="2">
        <f>COUNTIFS('BA History S2'!$B:$B,$A$20,'BA History S2'!AA:AA, 1)</f>
        <v>0</v>
      </c>
      <c r="AF20" s="2">
        <f>COUNTIFS('BA History S2'!$B:$B,$A$20,'BA History S2'!AB:AB, 1)</f>
        <v>1</v>
      </c>
      <c r="AG20" s="2">
        <f>COUNTIFS('BA History S2'!$B:$B,$A$20,'BA History S2'!AC:AC, 1)</f>
        <v>1</v>
      </c>
      <c r="AH20" s="2">
        <f>COUNTIFS('BA History S2'!$B:$B,$A$20,'BA History S2'!AD:AD, 1)</f>
        <v>1</v>
      </c>
      <c r="AI20" s="2">
        <f>COUNTIFS('BA History S2'!$B:$B,$A$20,'BA History S2'!AE:AE, 1)</f>
        <v>0</v>
      </c>
      <c r="AJ20" s="2">
        <f>COUNTIFS('BA History S2'!$B:$B,$A$20,'BA History S2'!AF:AF, 1)</f>
        <v>0</v>
      </c>
    </row>
    <row r="21" spans="1:36" x14ac:dyDescent="0.25">
      <c r="A21" s="2" t="s">
        <v>113</v>
      </c>
      <c r="B21" s="2" t="s">
        <v>79</v>
      </c>
      <c r="C21" s="34">
        <f>SUMIFS('BA History S2'!C:C,'BA History S2'!B:B,A21)</f>
        <v>32</v>
      </c>
      <c r="D21" s="66">
        <f>AVERAGEIFS('BA History S2'!C:C,'BA History S2'!B:B,A21)</f>
        <v>16</v>
      </c>
      <c r="E21" s="35">
        <f t="array" ref="E21">MAX(IF('BA History S2'!B:B=A21, 'BA History S2'!C:C))</f>
        <v>21</v>
      </c>
      <c r="F21" s="34">
        <f>COUNTIFS('BA History S2'!B:B,A21,'BA History S2'!D:D, 1)</f>
        <v>2</v>
      </c>
      <c r="G21" s="2">
        <f>COUNTIFS('BA History S2'!B:B,A21,'BA History S2'!D:D, 0)</f>
        <v>0</v>
      </c>
      <c r="H21" s="75">
        <f>LOOKUP(2, 1/('BA History S2'!$B:$B=A21), 'BA History S2'!$AJ:$AJ)</f>
        <v>1</v>
      </c>
      <c r="I21" s="34">
        <f>SUMIFS('BA History S2'!F:F,'BA History S2'!B:B,A21)</f>
        <v>6</v>
      </c>
      <c r="J21" s="2">
        <f>SUMIFS('BA History S2'!E:E,'BA History S2'!B:B,A21)-I21</f>
        <v>2</v>
      </c>
      <c r="K21" s="75">
        <f>LOOKUP(2, 1/('BA History S2'!$B:$B=A21), 'BA History S2'!$AH:$AH)</f>
        <v>0.8</v>
      </c>
      <c r="L21" s="34">
        <f>SUMIFS('BA History S2'!H:H,'BA History S2'!B:B,A21)</f>
        <v>21</v>
      </c>
      <c r="M21" s="2">
        <f>SUMIFS('BA History S2'!G:G,'BA History S2'!B:B,A21)-L21</f>
        <v>12</v>
      </c>
      <c r="N21" s="89">
        <f>LOOKUP(2, 1/('BA History S2'!$B:$B=A21), 'BA History S2'!$AI:$AI)</f>
        <v>0.64500000000000002</v>
      </c>
      <c r="O21" s="2">
        <f>COUNTIFS('BA History S2'!$B:$B,$A$21,'BA History S2'!K:K, 1)</f>
        <v>0</v>
      </c>
      <c r="P21" s="2">
        <f>COUNTIFS('BA History S2'!$B:$B,$A$21,'BA History S2'!L:L, 1)</f>
        <v>2</v>
      </c>
      <c r="Q21" s="2">
        <f>COUNTIFS('BA History S2'!$B:$B,$A$21,'BA History S2'!M:M, 1)</f>
        <v>0</v>
      </c>
      <c r="R21" s="2">
        <f>COUNTIFS('BA History S2'!$B:$B,$A$21,'BA History S2'!N:N, 1)</f>
        <v>1</v>
      </c>
      <c r="S21" s="2">
        <f>COUNTIFS('BA History S2'!$B:$B,$A$21,'BA History S2'!O:O, 1)</f>
        <v>0</v>
      </c>
      <c r="T21" s="2">
        <f>COUNTIFS('BA History S2'!$B:$B,$A$21,'BA History S2'!P:P, 1)</f>
        <v>0</v>
      </c>
      <c r="U21" s="2">
        <f>COUNTIFS('BA History S2'!$B:$B,$A$21,'BA History S2'!Q:Q, 1)</f>
        <v>0</v>
      </c>
      <c r="V21" s="2">
        <f>COUNTIFS('BA History S2'!$B:$B,$A$21,'BA History S2'!R:R, 1)</f>
        <v>0</v>
      </c>
      <c r="W21" s="2">
        <f>COUNTIFS('BA History S2'!$B:$B,$A$21,'BA History S2'!S:S, 1)</f>
        <v>0</v>
      </c>
      <c r="X21" s="2">
        <f>COUNTIFS('BA History S2'!$B:$B,$A$21,'BA History S2'!T:T, 1)</f>
        <v>0</v>
      </c>
      <c r="Y21" s="2">
        <f>COUNTIFS('BA History S2'!$B:$B,$A$21,'BA History S2'!U:U, 1)</f>
        <v>0</v>
      </c>
      <c r="Z21" s="2">
        <f>COUNTIFS('BA History S2'!$B:$B,$A$21,'BA History S2'!V:V, 1)</f>
        <v>0</v>
      </c>
      <c r="AA21" s="2">
        <f>COUNTIFS('BA History S2'!$B:$B,$A$21,'BA History S2'!W:W, 1)</f>
        <v>0</v>
      </c>
      <c r="AB21" s="2">
        <f>COUNTIFS('BA History S2'!$B:$B,$A$21,'BA History S2'!X:X, 1)</f>
        <v>0</v>
      </c>
      <c r="AC21" s="2">
        <f>COUNTIFS('BA History S2'!$B:$B,$A$21,'BA History S2'!Y:Y, 1)</f>
        <v>0</v>
      </c>
      <c r="AD21" s="2">
        <f>COUNTIFS('BA History S2'!$B:$B,$A$21,'BA History S2'!Z:Z, 1)</f>
        <v>0</v>
      </c>
      <c r="AE21" s="2">
        <f>COUNTIFS('BA History S2'!$B:$B,$A$21,'BA History S2'!AA:AA, 1)</f>
        <v>0</v>
      </c>
      <c r="AF21" s="2">
        <f>COUNTIFS('BA History S2'!$B:$B,$A$21,'BA History S2'!AB:AB, 1)</f>
        <v>0</v>
      </c>
      <c r="AG21" s="2">
        <f>COUNTIFS('BA History S2'!$B:$B,$A$21,'BA History S2'!AC:AC, 1)</f>
        <v>2</v>
      </c>
      <c r="AH21" s="2">
        <f>COUNTIFS('BA History S2'!$B:$B,$A$21,'BA History S2'!AD:AD, 1)</f>
        <v>0</v>
      </c>
      <c r="AI21" s="2">
        <f>COUNTIFS('BA History S2'!$B:$B,$A$21,'BA History S2'!AE:AE, 1)</f>
        <v>0</v>
      </c>
      <c r="AJ21" s="2">
        <f>COUNTIFS('BA History S2'!$B:$B,$A$21,'BA History S2'!AF:AF, 1)</f>
        <v>1</v>
      </c>
    </row>
    <row r="22" spans="1:36" x14ac:dyDescent="0.25">
      <c r="A22" s="2" t="s">
        <v>14</v>
      </c>
      <c r="B22" s="2" t="s">
        <v>79</v>
      </c>
      <c r="C22" s="34">
        <f>SUMIFS('BA History S2'!C:C,'BA History S2'!B:B,A22)</f>
        <v>10</v>
      </c>
      <c r="D22" s="66">
        <f>AVERAGEIFS('BA History S2'!C:C,'BA History S2'!B:B,A22)</f>
        <v>10</v>
      </c>
      <c r="E22" s="35">
        <f t="array" ref="E22">MAX(IF('BA History S2'!B:B=A22, 'BA History S2'!C:C))</f>
        <v>10</v>
      </c>
      <c r="F22" s="34">
        <f>COUNTIFS('BA History S2'!B:B,A22,'BA History S2'!D:D, 1)</f>
        <v>0</v>
      </c>
      <c r="G22" s="2">
        <f>COUNTIFS('BA History S2'!B:B,A22,'BA History S2'!D:D, 0)</f>
        <v>1</v>
      </c>
      <c r="H22" s="75">
        <f>LOOKUP(2, 1/('BA History S2'!$B:$B=A22), 'BA History S2'!$AJ:$AJ)</f>
        <v>0</v>
      </c>
      <c r="I22" s="34">
        <f>SUMIFS('BA History S2'!F:F,'BA History S2'!B:B,A22)</f>
        <v>1</v>
      </c>
      <c r="J22" s="2">
        <f>SUMIFS('BA History S2'!E:E,'BA History S2'!B:B,A22)-I22</f>
        <v>3</v>
      </c>
      <c r="K22" s="75">
        <f>LOOKUP(2, 1/('BA History S2'!$B:$B=A22), 'BA History S2'!$AH:$AH)</f>
        <v>0.25</v>
      </c>
      <c r="L22" s="34">
        <f>SUMIFS('BA History S2'!H:H,'BA History S2'!B:B,A22)</f>
        <v>8</v>
      </c>
      <c r="M22" s="2">
        <f>SUMIFS('BA History S2'!G:G,'BA History S2'!B:B,A22)-L22</f>
        <v>10</v>
      </c>
      <c r="N22" s="89">
        <f>LOOKUP(2, 1/('BA History S2'!$B:$B=A22), 'BA History S2'!$AI:$AI)</f>
        <v>0.44</v>
      </c>
      <c r="O22" s="2">
        <f>COUNTIFS('BA History S2'!$B:$B,$A$22,'BA History S2'!K:K, 1)</f>
        <v>0</v>
      </c>
      <c r="P22" s="2">
        <f>COUNTIFS('BA History S2'!$B:$B,$A$22,'BA History S2'!L:L, 1)</f>
        <v>0</v>
      </c>
      <c r="Q22" s="2">
        <f>COUNTIFS('BA History S2'!$B:$B,$A$22,'BA History S2'!M:M, 1)</f>
        <v>0</v>
      </c>
      <c r="R22" s="2">
        <f>COUNTIFS('BA History S2'!$B:$B,$A$22,'BA History S2'!N:N, 1)</f>
        <v>0</v>
      </c>
      <c r="S22" s="2">
        <f>COUNTIFS('BA History S2'!$B:$B,$A$22,'BA History S2'!O:O, 1)</f>
        <v>0</v>
      </c>
      <c r="T22" s="2">
        <f>COUNTIFS('BA History S2'!$B:$B,$A$22,'BA History S2'!P:P, 1)</f>
        <v>0</v>
      </c>
      <c r="U22" s="2">
        <f>COUNTIFS('BA History S2'!$B:$B,$A$22,'BA History S2'!Q:Q, 1)</f>
        <v>0</v>
      </c>
      <c r="V22" s="2">
        <f>COUNTIFS('BA History S2'!$B:$B,$A$22,'BA History S2'!R:R, 1)</f>
        <v>0</v>
      </c>
      <c r="W22" s="2">
        <f>COUNTIFS('BA History S2'!$B:$B,$A$22,'BA History S2'!S:S, 1)</f>
        <v>0</v>
      </c>
      <c r="X22" s="2">
        <f>COUNTIFS('BA History S2'!$B:$B,$A$22,'BA History S2'!T:T, 1)</f>
        <v>0</v>
      </c>
      <c r="Y22" s="2">
        <f>COUNTIFS('BA History S2'!$B:$B,$A$22,'BA History S2'!U:U, 1)</f>
        <v>0</v>
      </c>
      <c r="Z22" s="2">
        <f>COUNTIFS('BA History S2'!$B:$B,$A$22,'BA History S2'!V:V, 1)</f>
        <v>0</v>
      </c>
      <c r="AA22" s="2">
        <f>COUNTIFS('BA History S2'!$B:$B,$A$22,'BA History S2'!W:W, 1)</f>
        <v>0</v>
      </c>
      <c r="AB22" s="2">
        <f>COUNTIFS('BA History S2'!$B:$B,$A$22,'BA History S2'!X:X, 1)</f>
        <v>0</v>
      </c>
      <c r="AC22" s="2">
        <f>COUNTIFS('BA History S2'!$B:$B,$A$22,'BA History S2'!Y:Y, 1)</f>
        <v>0</v>
      </c>
      <c r="AD22" s="2">
        <f>COUNTIFS('BA History S2'!$B:$B,$A$22,'BA History S2'!Z:Z, 1)</f>
        <v>0</v>
      </c>
      <c r="AE22" s="2">
        <f>COUNTIFS('BA History S2'!$B:$B,$A$22,'BA History S2'!AA:AA, 1)</f>
        <v>0</v>
      </c>
      <c r="AF22" s="2">
        <f>COUNTIFS('BA History S2'!$B:$B,$A$22,'BA History S2'!AB:AB, 1)</f>
        <v>1</v>
      </c>
      <c r="AG22" s="2">
        <f>COUNTIFS('BA History S2'!$B:$B,$A$22,'BA History S2'!AC:AC, 1)</f>
        <v>0</v>
      </c>
      <c r="AH22" s="2">
        <f>COUNTIFS('BA History S2'!$B:$B,$A$22,'BA History S2'!AD:AD, 1)</f>
        <v>0</v>
      </c>
      <c r="AI22" s="2">
        <f>COUNTIFS('BA History S2'!$B:$B,$A$22,'BA History S2'!AE:AE, 1)</f>
        <v>0</v>
      </c>
      <c r="AJ22" s="2">
        <f>COUNTIFS('BA History S2'!$B:$B,$A$22,'BA History S2'!AF:AF, 1)</f>
        <v>0</v>
      </c>
    </row>
    <row r="23" spans="1:36" ht="15.75" x14ac:dyDescent="0.25">
      <c r="A23" s="2" t="s">
        <v>4</v>
      </c>
      <c r="B23" s="80" t="s">
        <v>60</v>
      </c>
      <c r="C23" s="34">
        <f>SUMIFS('BA History S2'!C:C,'BA History S2'!B:B,A23)</f>
        <v>41</v>
      </c>
      <c r="D23" s="66">
        <f>AVERAGEIFS('BA History S2'!C:C,'BA History S2'!B:B,A23)</f>
        <v>20.5</v>
      </c>
      <c r="E23" s="35">
        <f t="array" ref="E23">MAX(IF('BA History S2'!B:B=A23, 'BA History S2'!C:C))</f>
        <v>25</v>
      </c>
      <c r="F23" s="34">
        <f>COUNTIFS('BA History S2'!B:B,A23,'BA History S2'!D:D, 1)</f>
        <v>2</v>
      </c>
      <c r="G23" s="2">
        <f>COUNTIFS('BA History S2'!B:B,A23,'BA History S2'!D:D, 0)</f>
        <v>0</v>
      </c>
      <c r="H23" s="75">
        <f>LOOKUP(2, 1/('BA History S2'!$B:$B=A23), 'BA History S2'!$AJ:$AJ)</f>
        <v>1</v>
      </c>
      <c r="I23" s="34">
        <f>SUMIFS('BA History S2'!F:F,'BA History S2'!B:B,A23)</f>
        <v>6</v>
      </c>
      <c r="J23" s="2">
        <f>SUMIFS('BA History S2'!E:E,'BA History S2'!B:B,A23)-I23</f>
        <v>2</v>
      </c>
      <c r="K23" s="75">
        <f>LOOKUP(2, 1/('BA History S2'!$B:$B=A23), 'BA History S2'!$AH:$AH)</f>
        <v>0.8</v>
      </c>
      <c r="L23" s="34">
        <f>SUMIFS('BA History S2'!H:H,'BA History S2'!B:B,A23)</f>
        <v>21</v>
      </c>
      <c r="M23" s="2">
        <f>SUMIFS('BA History S2'!G:G,'BA History S2'!B:B,A23)-L23</f>
        <v>12</v>
      </c>
      <c r="N23" s="89">
        <f>LOOKUP(2, 1/('BA History S2'!$B:$B=A23), 'BA History S2'!$AI:$AI)</f>
        <v>0.64500000000000002</v>
      </c>
      <c r="O23" s="2">
        <f>COUNTIFS('BA History S2'!$B:$B,$A$23,'BA History S2'!K:K, 1)</f>
        <v>0</v>
      </c>
      <c r="P23" s="2">
        <f>COUNTIFS('BA History S2'!$B:$B,$A$23,'BA History S2'!L:L, 1)</f>
        <v>2</v>
      </c>
      <c r="Q23" s="2">
        <f>COUNTIFS('BA History S2'!$B:$B,$A$23,'BA History S2'!M:M, 1)</f>
        <v>0</v>
      </c>
      <c r="R23" s="2">
        <f>COUNTIFS('BA History S2'!$B:$B,$A$23,'BA History S2'!N:N, 1)</f>
        <v>1</v>
      </c>
      <c r="S23" s="2">
        <f>COUNTIFS('BA History S2'!$B:$B,$A$23,'BA History S2'!O:O, 1)</f>
        <v>0</v>
      </c>
      <c r="T23" s="2">
        <f>COUNTIFS('BA History S2'!$B:$B,$A$23,'BA History S2'!P:P, 1)</f>
        <v>0</v>
      </c>
      <c r="U23" s="2">
        <f>COUNTIFS('BA History S2'!$B:$B,$A$23,'BA History S2'!Q:Q, 1)</f>
        <v>0</v>
      </c>
      <c r="V23" s="2">
        <f>COUNTIFS('BA History S2'!$B:$B,$A$23,'BA History S2'!R:R, 1)</f>
        <v>0</v>
      </c>
      <c r="W23" s="2">
        <f>COUNTIFS('BA History S2'!$B:$B,$A$23,'BA History S2'!S:S, 1)</f>
        <v>0</v>
      </c>
      <c r="X23" s="2">
        <f>COUNTIFS('BA History S2'!$B:$B,$A$23,'BA History S2'!T:T, 1)</f>
        <v>0</v>
      </c>
      <c r="Y23" s="2">
        <f>COUNTIFS('BA History S2'!$B:$B,$A$23,'BA History S2'!U:U, 1)</f>
        <v>0</v>
      </c>
      <c r="Z23" s="2">
        <f>COUNTIFS('BA History S2'!$B:$B,$A$23,'BA History S2'!V:V, 1)</f>
        <v>0</v>
      </c>
      <c r="AA23" s="2">
        <f>COUNTIFS('BA History S2'!$B:$B,$A$23,'BA History S2'!W:W, 1)</f>
        <v>0</v>
      </c>
      <c r="AB23" s="2">
        <f>COUNTIFS('BA History S2'!$B:$B,$A$23,'BA History S2'!X:X, 1)</f>
        <v>0</v>
      </c>
      <c r="AC23" s="2">
        <f>COUNTIFS('BA History S2'!$B:$B,$A$23,'BA History S2'!Y:Y, 1)</f>
        <v>0</v>
      </c>
      <c r="AD23" s="2">
        <f>COUNTIFS('BA History S2'!$B:$B,$A$23,'BA History S2'!Z:Z, 1)</f>
        <v>0</v>
      </c>
      <c r="AE23" s="2">
        <f>COUNTIFS('BA History S2'!$B:$B,$A$23,'BA History S2'!AA:AA, 1)</f>
        <v>0</v>
      </c>
      <c r="AF23" s="2">
        <f>COUNTIFS('BA History S2'!$B:$B,$A$23,'BA History S2'!AB:AB, 1)</f>
        <v>0</v>
      </c>
      <c r="AG23" s="2">
        <f>COUNTIFS('BA History S2'!$B:$B,$A$23,'BA History S2'!AC:AC, 1)</f>
        <v>2</v>
      </c>
      <c r="AH23" s="2">
        <f>COUNTIFS('BA History S2'!$B:$B,$A$23,'BA History S2'!AD:AD, 1)</f>
        <v>0</v>
      </c>
      <c r="AI23" s="2">
        <f>COUNTIFS('BA History S2'!$B:$B,$A$23,'BA History S2'!AE:AE, 1)</f>
        <v>0</v>
      </c>
      <c r="AJ23" s="2">
        <f>COUNTIFS('BA History S2'!$B:$B,$A$23,'BA History S2'!AF:AF, 1)</f>
        <v>1</v>
      </c>
    </row>
    <row r="24" spans="1:36" x14ac:dyDescent="0.25">
      <c r="A24" s="1" t="s">
        <v>107</v>
      </c>
      <c r="B24" s="2" t="s">
        <v>79</v>
      </c>
      <c r="C24" s="34">
        <f>SUMIFS('BA History S2'!C:C,'BA History S2'!B:B,A24)</f>
        <v>48</v>
      </c>
      <c r="D24" s="66">
        <f>AVERAGEIFS('BA History S2'!C:C,'BA History S2'!B:B,A24)</f>
        <v>16</v>
      </c>
      <c r="E24" s="35">
        <f t="array" ref="E24">MAX(IF('BA History S2'!B:B=A24, 'BA History S2'!C:C))</f>
        <v>22</v>
      </c>
      <c r="F24" s="34">
        <f>COUNTIFS('BA History S2'!B:B,A24,'BA History S2'!D:D, 1)</f>
        <v>1</v>
      </c>
      <c r="G24" s="2">
        <f>COUNTIFS('BA History S2'!B:B,A24,'BA History S2'!D:D, 0)</f>
        <v>2</v>
      </c>
      <c r="H24" s="75">
        <f>LOOKUP(2, 1/('BA History S2'!$B:$B=A24), 'BA History S2'!$AJ:$AJ)</f>
        <v>0.33333333333333331</v>
      </c>
      <c r="I24" s="34">
        <f>SUMIFS('BA History S2'!F:F,'BA History S2'!B:B,A24)</f>
        <v>5</v>
      </c>
      <c r="J24" s="2">
        <f>SUMIFS('BA History S2'!E:E,'BA History S2'!B:B,A24)-I24</f>
        <v>7</v>
      </c>
      <c r="K24" s="75">
        <f>LOOKUP(2, 1/('BA History S2'!$B:$B=A24), 'BA History S2'!$AH:$AH)</f>
        <v>0.3833333333333333</v>
      </c>
      <c r="L24" s="34">
        <f>SUMIFS('BA History S2'!H:H,'BA History S2'!B:B,A24)</f>
        <v>23</v>
      </c>
      <c r="M24" s="2">
        <f>SUMIFS('BA History S2'!G:G,'BA History S2'!B:B,A24)-L24</f>
        <v>28</v>
      </c>
      <c r="N24" s="89">
        <f>LOOKUP(2, 1/('BA History S2'!$B:$B=A24), 'BA History S2'!$AI:$AI)</f>
        <v>0.43999999999999995</v>
      </c>
      <c r="O24" s="2">
        <f>COUNTIFS('BA History S2'!$B:$B,$A$24,'BA History S2'!K:K, 1)</f>
        <v>1</v>
      </c>
      <c r="P24" s="2">
        <f>COUNTIFS('BA History S2'!$B:$B,$A$24,'BA History S2'!L:L, 1)</f>
        <v>0</v>
      </c>
      <c r="Q24" s="2">
        <f>COUNTIFS('BA History S2'!$B:$B,$A$24,'BA History S2'!M:M, 1)</f>
        <v>1</v>
      </c>
      <c r="R24" s="2">
        <f>COUNTIFS('BA History S2'!$B:$B,$A$24,'BA History S2'!N:N, 1)</f>
        <v>0</v>
      </c>
      <c r="S24" s="2">
        <f>COUNTIFS('BA History S2'!$B:$B,$A$24,'BA History S2'!O:O, 1)</f>
        <v>0</v>
      </c>
      <c r="T24" s="2">
        <f>COUNTIFS('BA History S2'!$B:$B,$A$24,'BA History S2'!P:P, 1)</f>
        <v>0</v>
      </c>
      <c r="U24" s="2">
        <f>COUNTIFS('BA History S2'!$B:$B,$A$24,'BA History S2'!Q:Q, 1)</f>
        <v>0</v>
      </c>
      <c r="V24" s="2">
        <f>COUNTIFS('BA History S2'!$B:$B,$A$24,'BA History S2'!R:R, 1)</f>
        <v>0</v>
      </c>
      <c r="W24" s="2">
        <f>COUNTIFS('BA History S2'!$B:$B,$A$24,'BA History S2'!S:S, 1)</f>
        <v>0</v>
      </c>
      <c r="X24" s="2">
        <f>COUNTIFS('BA History S2'!$B:$B,$A$24,'BA History S2'!T:T, 1)</f>
        <v>0</v>
      </c>
      <c r="Y24" s="2">
        <f>COUNTIFS('BA History S2'!$B:$B,$A$24,'BA History S2'!U:U, 1)</f>
        <v>0</v>
      </c>
      <c r="Z24" s="2">
        <f>COUNTIFS('BA History S2'!$B:$B,$A$24,'BA History S2'!V:V, 1)</f>
        <v>0</v>
      </c>
      <c r="AA24" s="2">
        <f>COUNTIFS('BA History S2'!$B:$B,$A$24,'BA History S2'!W:W, 1)</f>
        <v>0</v>
      </c>
      <c r="AB24" s="2">
        <f>COUNTIFS('BA History S2'!$B:$B,$A$24,'BA History S2'!X:X, 1)</f>
        <v>0</v>
      </c>
      <c r="AC24" s="2">
        <f>COUNTIFS('BA History S2'!$B:$B,$A$24,'BA History S2'!Y:Y, 1)</f>
        <v>1</v>
      </c>
      <c r="AD24" s="2">
        <f>COUNTIFS('BA History S2'!$B:$B,$A$24,'BA History S2'!Z:Z, 1)</f>
        <v>0</v>
      </c>
      <c r="AE24" s="2">
        <f>COUNTIFS('BA History S2'!$B:$B,$A$24,'BA History S2'!AA:AA, 1)</f>
        <v>0</v>
      </c>
      <c r="AF24" s="2">
        <f>COUNTIFS('BA History S2'!$B:$B,$A$24,'BA History S2'!AB:AB, 1)</f>
        <v>1</v>
      </c>
      <c r="AG24" s="2">
        <f>COUNTIFS('BA History S2'!$B:$B,$A$24,'BA History S2'!AC:AC, 1)</f>
        <v>0</v>
      </c>
      <c r="AH24" s="2">
        <f>COUNTIFS('BA History S2'!$B:$B,$A$24,'BA History S2'!AD:AD, 1)</f>
        <v>1</v>
      </c>
      <c r="AI24" s="2">
        <f>COUNTIFS('BA History S2'!$B:$B,$A$24,'BA History S2'!AE:AE, 1)</f>
        <v>0</v>
      </c>
      <c r="AJ24" s="2">
        <f>COUNTIFS('BA History S2'!$B:$B,$A$24,'BA History S2'!AF:AF, 1)</f>
        <v>0</v>
      </c>
    </row>
  </sheetData>
  <autoFilter ref="A1:AJ24" xr:uid="{DA548192-1F03-46EA-8AB8-115EB9A7CE5D}">
    <sortState xmlns:xlrd2="http://schemas.microsoft.com/office/spreadsheetml/2017/richdata2" ref="A2:AJ24">
      <sortCondition ref="A1:A24"/>
    </sortState>
  </autoFilter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B625A-2AFF-41CF-8CA7-7487C63BC2AE}">
  <dimension ref="A1:AJ4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H49" sqref="H49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3" max="33" width="14.140625" bestFit="1" customWidth="1"/>
    <col min="34" max="34" width="10.85546875" customWidth="1"/>
    <col min="35" max="35" width="9" customWidth="1"/>
    <col min="36" max="36" width="13.28515625" bestFit="1" customWidth="1"/>
  </cols>
  <sheetData>
    <row r="1" spans="1:36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145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69" t="s">
        <v>104</v>
      </c>
      <c r="AB1" s="69" t="s">
        <v>66</v>
      </c>
      <c r="AC1" s="69" t="s">
        <v>72</v>
      </c>
      <c r="AD1" s="70" t="s">
        <v>68</v>
      </c>
      <c r="AE1" s="70" t="s">
        <v>135</v>
      </c>
      <c r="AF1" s="71" t="s">
        <v>96</v>
      </c>
      <c r="AG1" s="83" t="s">
        <v>134</v>
      </c>
      <c r="AH1" s="83" t="s">
        <v>132</v>
      </c>
      <c r="AI1" s="83" t="s">
        <v>133</v>
      </c>
      <c r="AJ1" s="83" t="s">
        <v>136</v>
      </c>
    </row>
    <row r="2" spans="1:36" x14ac:dyDescent="0.25">
      <c r="A2" s="85">
        <v>46114</v>
      </c>
      <c r="B2" t="s">
        <v>1</v>
      </c>
      <c r="C2">
        <v>22</v>
      </c>
      <c r="D2">
        <v>0</v>
      </c>
      <c r="E2">
        <v>3</v>
      </c>
      <c r="F2">
        <v>0</v>
      </c>
      <c r="G2">
        <v>13</v>
      </c>
      <c r="H2">
        <v>4</v>
      </c>
      <c r="I2">
        <v>0</v>
      </c>
      <c r="J2">
        <v>0.31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86">
        <f>AVERAGEIFS($C$2:C2, $B$2:B2, B2)</f>
        <v>22</v>
      </c>
      <c r="AH2" s="86">
        <f>AVERAGEIFS($I$2:I2, $B$2:B2, B2)</f>
        <v>0</v>
      </c>
      <c r="AI2" s="86">
        <f>AVERAGEIFS($J$2:J2, $B$2:B2, B2)</f>
        <v>0.31</v>
      </c>
      <c r="AJ2" s="86">
        <f>AVERAGEIFS($D$2:D2, $B$2:B2, B2)</f>
        <v>0</v>
      </c>
    </row>
    <row r="3" spans="1:36" x14ac:dyDescent="0.25">
      <c r="A3" s="85">
        <v>46114</v>
      </c>
      <c r="B3" t="s">
        <v>46</v>
      </c>
      <c r="C3">
        <v>5</v>
      </c>
      <c r="D3">
        <v>0</v>
      </c>
      <c r="E3">
        <v>3</v>
      </c>
      <c r="F3">
        <v>0</v>
      </c>
      <c r="G3">
        <v>13</v>
      </c>
      <c r="H3">
        <v>4</v>
      </c>
      <c r="I3">
        <v>0</v>
      </c>
      <c r="J3">
        <v>0.31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86">
        <f>AVERAGEIFS($C$2:C3, $B$2:B3, B3)</f>
        <v>5</v>
      </c>
      <c r="AH3" s="86">
        <f>AVERAGEIFS($I$2:I3, $B$2:B3, B3)</f>
        <v>0</v>
      </c>
      <c r="AI3" s="86">
        <f>AVERAGEIFS($J$2:J3, $B$2:B3, B3)</f>
        <v>0.31</v>
      </c>
      <c r="AJ3" s="86">
        <f>AVERAGEIFS($D$2:D3, $B$2:B3, B3)</f>
        <v>0</v>
      </c>
    </row>
    <row r="4" spans="1:36" x14ac:dyDescent="0.25">
      <c r="A4" s="85">
        <v>46114</v>
      </c>
      <c r="B4" t="s">
        <v>107</v>
      </c>
      <c r="C4">
        <v>7</v>
      </c>
      <c r="D4">
        <v>0</v>
      </c>
      <c r="E4">
        <v>3</v>
      </c>
      <c r="F4">
        <v>0</v>
      </c>
      <c r="G4">
        <v>13</v>
      </c>
      <c r="H4">
        <v>4</v>
      </c>
      <c r="I4">
        <v>0</v>
      </c>
      <c r="J4">
        <v>0.31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86">
        <f>AVERAGEIFS($C$2:C4, $B$2:B4, B4)</f>
        <v>7</v>
      </c>
      <c r="AH4" s="86">
        <f>AVERAGEIFS($I$2:I4, $B$2:B4, B4)</f>
        <v>0</v>
      </c>
      <c r="AI4" s="86">
        <f>AVERAGEIFS($J$2:J4, $B$2:B4, B4)</f>
        <v>0.31</v>
      </c>
      <c r="AJ4" s="86">
        <f>AVERAGEIFS($D$2:D4, $B$2:B4, B4)</f>
        <v>0</v>
      </c>
    </row>
    <row r="5" spans="1:36" x14ac:dyDescent="0.25">
      <c r="A5" s="85">
        <v>46114</v>
      </c>
      <c r="B5" t="s">
        <v>142</v>
      </c>
      <c r="C5">
        <v>1</v>
      </c>
      <c r="D5">
        <v>0</v>
      </c>
      <c r="E5">
        <v>3</v>
      </c>
      <c r="F5">
        <v>0</v>
      </c>
      <c r="G5">
        <v>13</v>
      </c>
      <c r="H5">
        <v>4</v>
      </c>
      <c r="I5">
        <v>0</v>
      </c>
      <c r="J5">
        <v>0.31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86">
        <f>AVERAGEIFS($C$2:C5, $B$2:B5, B5)</f>
        <v>1</v>
      </c>
      <c r="AH5" s="86">
        <f>AVERAGEIFS($I$2:I5, $B$2:B5, B5)</f>
        <v>0</v>
      </c>
      <c r="AI5" s="86">
        <f>AVERAGEIFS($J$2:J5, $B$2:B5, B5)</f>
        <v>0.31</v>
      </c>
      <c r="AJ5" s="86">
        <f>AVERAGEIFS($D$2:D5, $B$2:B5, B5)</f>
        <v>0</v>
      </c>
    </row>
    <row r="6" spans="1:36" x14ac:dyDescent="0.25">
      <c r="A6" s="85">
        <v>46114</v>
      </c>
      <c r="B6" t="s">
        <v>141</v>
      </c>
      <c r="C6">
        <v>9</v>
      </c>
      <c r="D6">
        <v>0</v>
      </c>
      <c r="E6">
        <v>3</v>
      </c>
      <c r="F6">
        <v>0</v>
      </c>
      <c r="G6">
        <v>13</v>
      </c>
      <c r="H6">
        <v>4</v>
      </c>
      <c r="I6">
        <v>0</v>
      </c>
      <c r="J6">
        <v>0.31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86">
        <f>AVERAGEIFS($C$2:C6, $B$2:B6, B6)</f>
        <v>9</v>
      </c>
      <c r="AH6" s="86">
        <f>AVERAGEIFS($I$2:I6, $B$2:B6, B6)</f>
        <v>0</v>
      </c>
      <c r="AI6" s="86">
        <f>AVERAGEIFS($J$2:J6, $B$2:B6, B6)</f>
        <v>0.31</v>
      </c>
      <c r="AJ6" s="86">
        <f>AVERAGEIFS($D$2:D6, $B$2:B6, B6)</f>
        <v>0</v>
      </c>
    </row>
    <row r="7" spans="1:36" x14ac:dyDescent="0.25">
      <c r="A7" s="85">
        <v>46114</v>
      </c>
      <c r="B7" t="s">
        <v>54</v>
      </c>
      <c r="C7">
        <v>16</v>
      </c>
      <c r="D7">
        <v>1</v>
      </c>
      <c r="E7">
        <v>3</v>
      </c>
      <c r="F7">
        <v>3</v>
      </c>
      <c r="G7">
        <v>13</v>
      </c>
      <c r="H7">
        <v>9</v>
      </c>
      <c r="I7">
        <v>1</v>
      </c>
      <c r="J7">
        <v>0.69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1</v>
      </c>
      <c r="AD7">
        <v>0</v>
      </c>
      <c r="AE7">
        <v>0</v>
      </c>
      <c r="AF7">
        <v>1</v>
      </c>
      <c r="AG7" s="86">
        <f>AVERAGEIFS($C$2:C7, $B$2:B7, B7)</f>
        <v>16</v>
      </c>
      <c r="AH7" s="86">
        <f>AVERAGEIFS($I$2:I7, $B$2:B7, B7)</f>
        <v>1</v>
      </c>
      <c r="AI7" s="86">
        <f>AVERAGEIFS($J$2:J7, $B$2:B7, B7)</f>
        <v>0.69</v>
      </c>
      <c r="AJ7" s="86">
        <f>AVERAGEIFS($D$2:D7, $B$2:B7, B7)</f>
        <v>1</v>
      </c>
    </row>
    <row r="8" spans="1:36" x14ac:dyDescent="0.25">
      <c r="A8" s="85">
        <v>46114</v>
      </c>
      <c r="B8" t="s">
        <v>4</v>
      </c>
      <c r="C8">
        <v>16</v>
      </c>
      <c r="D8">
        <v>1</v>
      </c>
      <c r="E8">
        <v>3</v>
      </c>
      <c r="F8">
        <v>3</v>
      </c>
      <c r="G8">
        <v>13</v>
      </c>
      <c r="H8">
        <v>9</v>
      </c>
      <c r="I8">
        <v>1</v>
      </c>
      <c r="J8">
        <v>0.69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1</v>
      </c>
      <c r="AD8">
        <v>0</v>
      </c>
      <c r="AE8">
        <v>0</v>
      </c>
      <c r="AF8">
        <v>1</v>
      </c>
      <c r="AG8" s="86">
        <f>AVERAGEIFS($C$2:C8, $B$2:B8, B8)</f>
        <v>16</v>
      </c>
      <c r="AH8" s="86">
        <f>AVERAGEIFS($I$2:I8, $B$2:B8, B8)</f>
        <v>1</v>
      </c>
      <c r="AI8" s="86">
        <f>AVERAGEIFS($J$2:J8, $B$2:B8, B8)</f>
        <v>0.69</v>
      </c>
      <c r="AJ8" s="86">
        <f>AVERAGEIFS($D$2:D8, $B$2:B8, B8)</f>
        <v>1</v>
      </c>
    </row>
    <row r="9" spans="1:36" x14ac:dyDescent="0.25">
      <c r="A9" s="85">
        <v>46114</v>
      </c>
      <c r="B9" t="s">
        <v>113</v>
      </c>
      <c r="C9">
        <v>11</v>
      </c>
      <c r="D9">
        <v>1</v>
      </c>
      <c r="E9">
        <v>3</v>
      </c>
      <c r="F9">
        <v>3</v>
      </c>
      <c r="G9">
        <v>13</v>
      </c>
      <c r="H9">
        <v>9</v>
      </c>
      <c r="I9">
        <v>1</v>
      </c>
      <c r="J9">
        <v>0.69</v>
      </c>
      <c r="K9">
        <v>0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1</v>
      </c>
      <c r="AD9">
        <v>0</v>
      </c>
      <c r="AE9">
        <v>0</v>
      </c>
      <c r="AF9">
        <v>1</v>
      </c>
      <c r="AG9" s="86">
        <f>AVERAGEIFS($C$2:C9, $B$2:B9, B9)</f>
        <v>11</v>
      </c>
      <c r="AH9" s="86">
        <f>AVERAGEIFS($I$2:I9, $B$2:B9, B9)</f>
        <v>1</v>
      </c>
      <c r="AI9" s="86">
        <f>AVERAGEIFS($J$2:J9, $B$2:B9, B9)</f>
        <v>0.69</v>
      </c>
      <c r="AJ9" s="86">
        <f>AVERAGEIFS($D$2:D9, $B$2:B9, B9)</f>
        <v>1</v>
      </c>
    </row>
    <row r="10" spans="1:36" x14ac:dyDescent="0.25">
      <c r="A10" s="85">
        <v>46114</v>
      </c>
      <c r="B10" t="s">
        <v>53</v>
      </c>
      <c r="C10">
        <v>11</v>
      </c>
      <c r="D10">
        <v>1</v>
      </c>
      <c r="E10">
        <v>3</v>
      </c>
      <c r="F10">
        <v>3</v>
      </c>
      <c r="G10">
        <v>13</v>
      </c>
      <c r="H10">
        <v>9</v>
      </c>
      <c r="I10">
        <v>1</v>
      </c>
      <c r="J10">
        <v>0.69</v>
      </c>
      <c r="K10">
        <v>0</v>
      </c>
      <c r="L10">
        <v>1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1</v>
      </c>
      <c r="AD10">
        <v>0</v>
      </c>
      <c r="AE10">
        <v>0</v>
      </c>
      <c r="AF10">
        <v>1</v>
      </c>
      <c r="AG10" s="86">
        <f>AVERAGEIFS($C$2:C10, $B$2:B10, B10)</f>
        <v>11</v>
      </c>
      <c r="AH10" s="86">
        <f>AVERAGEIFS($I$2:I10, $B$2:B10, B10)</f>
        <v>1</v>
      </c>
      <c r="AI10" s="86">
        <f>AVERAGEIFS($J$2:J10, $B$2:B10, B10)</f>
        <v>0.69</v>
      </c>
      <c r="AJ10" s="86">
        <f>AVERAGEIFS($D$2:D10, $B$2:B10, B10)</f>
        <v>1</v>
      </c>
    </row>
    <row r="11" spans="1:36" ht="14.25" customHeight="1" x14ac:dyDescent="0.25">
      <c r="A11" s="85">
        <v>46114</v>
      </c>
      <c r="B11" t="s">
        <v>13</v>
      </c>
      <c r="C11">
        <v>14</v>
      </c>
      <c r="D11">
        <v>1</v>
      </c>
      <c r="E11">
        <v>3</v>
      </c>
      <c r="F11">
        <v>3</v>
      </c>
      <c r="G11">
        <v>13</v>
      </c>
      <c r="H11">
        <v>9</v>
      </c>
      <c r="I11">
        <v>1</v>
      </c>
      <c r="J11">
        <v>0.69</v>
      </c>
      <c r="K11">
        <v>0</v>
      </c>
      <c r="L11">
        <v>1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1</v>
      </c>
      <c r="AD11">
        <v>0</v>
      </c>
      <c r="AE11">
        <v>0</v>
      </c>
      <c r="AF11">
        <v>1</v>
      </c>
      <c r="AG11" s="86">
        <f>AVERAGEIFS($C$2:C11, $B$2:B11, B11)</f>
        <v>14</v>
      </c>
      <c r="AH11" s="86">
        <f>AVERAGEIFS($I$2:I11, $B$2:B11, B11)</f>
        <v>1</v>
      </c>
      <c r="AI11" s="86">
        <f>AVERAGEIFS($J$2:J11, $B$2:B11, B11)</f>
        <v>0.69</v>
      </c>
      <c r="AJ11" s="86">
        <f>AVERAGEIFS($D$2:D11, $B$2:B11, B11)</f>
        <v>1</v>
      </c>
    </row>
    <row r="12" spans="1:36" x14ac:dyDescent="0.25">
      <c r="A12" s="85">
        <v>46114</v>
      </c>
      <c r="B12" t="s">
        <v>40</v>
      </c>
      <c r="C12">
        <v>25</v>
      </c>
      <c r="D12">
        <v>1</v>
      </c>
      <c r="E12">
        <v>4</v>
      </c>
      <c r="F12">
        <v>3</v>
      </c>
      <c r="G12">
        <v>18</v>
      </c>
      <c r="H12">
        <v>10</v>
      </c>
      <c r="I12">
        <v>0.75</v>
      </c>
      <c r="J12">
        <v>0.56000000000000005</v>
      </c>
      <c r="K12">
        <v>0</v>
      </c>
      <c r="L12">
        <v>0</v>
      </c>
      <c r="M12">
        <v>1</v>
      </c>
      <c r="N12">
        <v>0</v>
      </c>
      <c r="O12">
        <v>0</v>
      </c>
      <c r="P12">
        <v>0</v>
      </c>
      <c r="Q12">
        <v>1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s="86">
        <f>AVERAGEIFS($C$2:C12, $B$2:B12, B12)</f>
        <v>25</v>
      </c>
      <c r="AH12" s="86">
        <f>AVERAGEIFS($I$2:I12, $B$2:B12, B12)</f>
        <v>0.75</v>
      </c>
      <c r="AI12" s="86">
        <f>AVERAGEIFS($J$2:J12, $B$2:B12, B12)</f>
        <v>0.56000000000000005</v>
      </c>
      <c r="AJ12" s="86">
        <f>AVERAGEIFS($D$2:D12, $B$2:B12, B12)</f>
        <v>1</v>
      </c>
    </row>
    <row r="13" spans="1:36" x14ac:dyDescent="0.25">
      <c r="A13" s="85">
        <v>46114</v>
      </c>
      <c r="B13" t="s">
        <v>6</v>
      </c>
      <c r="C13">
        <v>22</v>
      </c>
      <c r="D13">
        <v>1</v>
      </c>
      <c r="E13">
        <v>4</v>
      </c>
      <c r="F13">
        <v>3</v>
      </c>
      <c r="G13">
        <v>18</v>
      </c>
      <c r="H13">
        <v>10</v>
      </c>
      <c r="I13">
        <v>0.75</v>
      </c>
      <c r="J13">
        <v>0.56000000000000005</v>
      </c>
      <c r="K13">
        <v>0</v>
      </c>
      <c r="L13">
        <v>0</v>
      </c>
      <c r="M13">
        <v>1</v>
      </c>
      <c r="N13">
        <v>0</v>
      </c>
      <c r="O13">
        <v>0</v>
      </c>
      <c r="P13">
        <v>0</v>
      </c>
      <c r="Q13">
        <v>1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s="86">
        <f>AVERAGEIFS($C$2:C13, $B$2:B13, B13)</f>
        <v>22</v>
      </c>
      <c r="AH13" s="86">
        <f>AVERAGEIFS($I$2:I13, $B$2:B13, B13)</f>
        <v>0.75</v>
      </c>
      <c r="AI13" s="86">
        <f>AVERAGEIFS($J$2:J13, $B$2:B13, B13)</f>
        <v>0.56000000000000005</v>
      </c>
      <c r="AJ13" s="86">
        <f>AVERAGEIFS($D$2:D13, $B$2:B13, B13)</f>
        <v>1</v>
      </c>
    </row>
    <row r="14" spans="1:36" x14ac:dyDescent="0.25">
      <c r="A14" s="85">
        <v>46114</v>
      </c>
      <c r="B14" t="s">
        <v>17</v>
      </c>
      <c r="C14">
        <v>19</v>
      </c>
      <c r="D14">
        <v>1</v>
      </c>
      <c r="E14">
        <v>4</v>
      </c>
      <c r="F14">
        <v>3</v>
      </c>
      <c r="G14">
        <v>18</v>
      </c>
      <c r="H14">
        <v>10</v>
      </c>
      <c r="I14">
        <v>0.75</v>
      </c>
      <c r="J14">
        <v>0.56000000000000005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 s="86">
        <f>AVERAGEIFS($C$2:C14, $B$2:B14, B14)</f>
        <v>19</v>
      </c>
      <c r="AH14" s="86">
        <f>AVERAGEIFS($I$2:I14, $B$2:B14, B14)</f>
        <v>0.75</v>
      </c>
      <c r="AI14" s="86">
        <f>AVERAGEIFS($J$2:J14, $B$2:B14, B14)</f>
        <v>0.56000000000000005</v>
      </c>
      <c r="AJ14" s="86">
        <f>AVERAGEIFS($D$2:D14, $B$2:B14, B14)</f>
        <v>1</v>
      </c>
    </row>
    <row r="15" spans="1:36" x14ac:dyDescent="0.25">
      <c r="A15" s="85">
        <v>46114</v>
      </c>
      <c r="B15" t="s">
        <v>44</v>
      </c>
      <c r="C15">
        <v>18</v>
      </c>
      <c r="D15">
        <v>1</v>
      </c>
      <c r="E15">
        <v>4</v>
      </c>
      <c r="F15">
        <v>3</v>
      </c>
      <c r="G15">
        <v>18</v>
      </c>
      <c r="H15">
        <v>10</v>
      </c>
      <c r="I15">
        <v>0.75</v>
      </c>
      <c r="J15">
        <v>0.56000000000000005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 s="86">
        <f>AVERAGEIFS($C$2:C15, $B$2:B15, B15)</f>
        <v>18</v>
      </c>
      <c r="AH15" s="86">
        <f>AVERAGEIFS($I$2:I15, $B$2:B15, B15)</f>
        <v>0.75</v>
      </c>
      <c r="AI15" s="86">
        <f>AVERAGEIFS($J$2:J15, $B$2:B15, B15)</f>
        <v>0.56000000000000005</v>
      </c>
      <c r="AJ15" s="86">
        <f>AVERAGEIFS($D$2:D15, $B$2:B15, B15)</f>
        <v>1</v>
      </c>
    </row>
    <row r="16" spans="1:36" x14ac:dyDescent="0.25">
      <c r="A16" s="85">
        <v>46114</v>
      </c>
      <c r="B16" t="s">
        <v>37</v>
      </c>
      <c r="C16">
        <v>14</v>
      </c>
      <c r="D16">
        <v>1</v>
      </c>
      <c r="E16">
        <v>4</v>
      </c>
      <c r="F16">
        <v>3</v>
      </c>
      <c r="G16">
        <v>18</v>
      </c>
      <c r="H16">
        <v>10</v>
      </c>
      <c r="I16">
        <v>0.75</v>
      </c>
      <c r="J16">
        <v>0.56000000000000005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 s="86">
        <f>AVERAGEIFS($C$2:C16, $B$2:B16, B16)</f>
        <v>14</v>
      </c>
      <c r="AH16" s="86">
        <f>AVERAGEIFS($I$2:I16, $B$2:B16, B16)</f>
        <v>0.75</v>
      </c>
      <c r="AI16" s="86">
        <f>AVERAGEIFS($J$2:J16, $B$2:B16, B16)</f>
        <v>0.56000000000000005</v>
      </c>
      <c r="AJ16" s="86">
        <f>AVERAGEIFS($D$2:D16, $B$2:B16, B16)</f>
        <v>1</v>
      </c>
    </row>
    <row r="17" spans="1:36" x14ac:dyDescent="0.25">
      <c r="A17" s="85">
        <v>46114</v>
      </c>
      <c r="B17" t="s">
        <v>2</v>
      </c>
      <c r="C17">
        <v>33</v>
      </c>
      <c r="D17">
        <v>0</v>
      </c>
      <c r="E17">
        <v>4</v>
      </c>
      <c r="F17">
        <v>1</v>
      </c>
      <c r="G17">
        <v>18</v>
      </c>
      <c r="H17">
        <v>8</v>
      </c>
      <c r="I17">
        <v>0.25</v>
      </c>
      <c r="J17">
        <v>0.44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1</v>
      </c>
      <c r="AC17">
        <v>0</v>
      </c>
      <c r="AD17">
        <v>0</v>
      </c>
      <c r="AE17">
        <v>0</v>
      </c>
      <c r="AF17">
        <v>0</v>
      </c>
      <c r="AG17" s="86">
        <f>AVERAGEIFS($C$2:C17, $B$2:B17, B17)</f>
        <v>33</v>
      </c>
      <c r="AH17" s="86">
        <f>AVERAGEIFS($I$2:I17, $B$2:B17, B17)</f>
        <v>0.25</v>
      </c>
      <c r="AI17" s="86">
        <f>AVERAGEIFS($J$2:J17, $B$2:B17, B17)</f>
        <v>0.44</v>
      </c>
      <c r="AJ17" s="86">
        <f>AVERAGEIFS($D$2:D17, $B$2:B17, B17)</f>
        <v>0</v>
      </c>
    </row>
    <row r="18" spans="1:36" x14ac:dyDescent="0.25">
      <c r="A18" s="85">
        <v>46114</v>
      </c>
      <c r="B18" t="s">
        <v>42</v>
      </c>
      <c r="C18">
        <v>25</v>
      </c>
      <c r="D18">
        <v>0</v>
      </c>
      <c r="E18">
        <v>4</v>
      </c>
      <c r="F18">
        <v>1</v>
      </c>
      <c r="G18">
        <v>18</v>
      </c>
      <c r="H18">
        <v>8</v>
      </c>
      <c r="I18">
        <v>0.25</v>
      </c>
      <c r="J18">
        <v>0.44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1</v>
      </c>
      <c r="AC18">
        <v>0</v>
      </c>
      <c r="AD18">
        <v>0</v>
      </c>
      <c r="AE18">
        <v>0</v>
      </c>
      <c r="AF18">
        <v>0</v>
      </c>
      <c r="AG18" s="86">
        <f>AVERAGEIFS($C$2:C18, $B$2:B18, B18)</f>
        <v>25</v>
      </c>
      <c r="AH18" s="86">
        <f>AVERAGEIFS($I$2:I18, $B$2:B18, B18)</f>
        <v>0.25</v>
      </c>
      <c r="AI18" s="86">
        <f>AVERAGEIFS($J$2:J18, $B$2:B18, B18)</f>
        <v>0.44</v>
      </c>
      <c r="AJ18" s="86">
        <f>AVERAGEIFS($D$2:D18, $B$2:B18, B18)</f>
        <v>0</v>
      </c>
    </row>
    <row r="19" spans="1:36" x14ac:dyDescent="0.25">
      <c r="A19" s="85">
        <v>46114</v>
      </c>
      <c r="B19" t="s">
        <v>148</v>
      </c>
      <c r="C19">
        <v>15</v>
      </c>
      <c r="D19">
        <v>0</v>
      </c>
      <c r="E19">
        <v>4</v>
      </c>
      <c r="F19">
        <v>1</v>
      </c>
      <c r="G19">
        <v>18</v>
      </c>
      <c r="H19">
        <v>8</v>
      </c>
      <c r="I19">
        <v>0.25</v>
      </c>
      <c r="J19">
        <v>0.44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1</v>
      </c>
      <c r="AC19">
        <v>0</v>
      </c>
      <c r="AD19">
        <v>0</v>
      </c>
      <c r="AE19">
        <v>0</v>
      </c>
      <c r="AF19">
        <v>0</v>
      </c>
      <c r="AG19" s="86">
        <f>AVERAGEIFS($C$2:C19, $B$2:B19, B19)</f>
        <v>15</v>
      </c>
      <c r="AH19" s="86">
        <f>AVERAGEIFS($I$2:I19, $B$2:B19, B19)</f>
        <v>0.25</v>
      </c>
      <c r="AI19" s="86">
        <f>AVERAGEIFS($J$2:J19, $B$2:B19, B19)</f>
        <v>0.44</v>
      </c>
      <c r="AJ19" s="86">
        <f>AVERAGEIFS($D$2:D19, $B$2:B19, B19)</f>
        <v>0</v>
      </c>
    </row>
    <row r="20" spans="1:36" x14ac:dyDescent="0.25">
      <c r="A20" s="85">
        <v>46114</v>
      </c>
      <c r="B20" t="s">
        <v>14</v>
      </c>
      <c r="C20">
        <v>10</v>
      </c>
      <c r="D20">
        <v>0</v>
      </c>
      <c r="E20">
        <v>4</v>
      </c>
      <c r="F20">
        <v>1</v>
      </c>
      <c r="G20">
        <v>18</v>
      </c>
      <c r="H20">
        <v>8</v>
      </c>
      <c r="I20">
        <v>0.25</v>
      </c>
      <c r="J20">
        <v>0.44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1</v>
      </c>
      <c r="AC20">
        <v>0</v>
      </c>
      <c r="AD20">
        <v>0</v>
      </c>
      <c r="AE20">
        <v>0</v>
      </c>
      <c r="AF20">
        <v>0</v>
      </c>
      <c r="AG20" s="86">
        <f>AVERAGEIFS($C$2:C20, $B$2:B20, B20)</f>
        <v>10</v>
      </c>
      <c r="AH20" s="86">
        <f>AVERAGEIFS($I$2:I20, $B$2:B20, B20)</f>
        <v>0.25</v>
      </c>
      <c r="AI20" s="86">
        <f>AVERAGEIFS($J$2:J20, $B$2:B20, B20)</f>
        <v>0.44</v>
      </c>
      <c r="AJ20" s="86">
        <f>AVERAGEIFS($D$2:D20, $B$2:B20, B20)</f>
        <v>0</v>
      </c>
    </row>
    <row r="21" spans="1:36" x14ac:dyDescent="0.25">
      <c r="A21" s="85">
        <v>46114</v>
      </c>
      <c r="B21" t="s">
        <v>71</v>
      </c>
      <c r="C21">
        <v>9</v>
      </c>
      <c r="D21">
        <v>0</v>
      </c>
      <c r="E21">
        <v>4</v>
      </c>
      <c r="F21">
        <v>1</v>
      </c>
      <c r="G21">
        <v>18</v>
      </c>
      <c r="H21">
        <v>8</v>
      </c>
      <c r="I21">
        <v>0.25</v>
      </c>
      <c r="J21">
        <v>0.44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1</v>
      </c>
      <c r="AC21">
        <v>0</v>
      </c>
      <c r="AD21">
        <v>0</v>
      </c>
      <c r="AE21">
        <v>0</v>
      </c>
      <c r="AF21">
        <v>0</v>
      </c>
      <c r="AG21" s="86">
        <f>AVERAGEIFS($C$2:C21, $B$2:B21, B21)</f>
        <v>9</v>
      </c>
      <c r="AH21" s="86">
        <f>AVERAGEIFS($I$2:I21, $B$2:B21, B21)</f>
        <v>0.25</v>
      </c>
      <c r="AI21" s="86">
        <f>AVERAGEIFS($J$2:J21, $B$2:B21, B21)</f>
        <v>0.44</v>
      </c>
      <c r="AJ21" s="86">
        <f>AVERAGEIFS($D$2:D21, $B$2:B21, B21)</f>
        <v>0</v>
      </c>
    </row>
    <row r="22" spans="1:36" x14ac:dyDescent="0.25">
      <c r="A22" s="85">
        <v>46115</v>
      </c>
      <c r="B22" t="s">
        <v>151</v>
      </c>
      <c r="C22">
        <v>21</v>
      </c>
      <c r="D22">
        <v>1</v>
      </c>
      <c r="E22">
        <v>4</v>
      </c>
      <c r="F22">
        <v>3</v>
      </c>
      <c r="G22">
        <v>18</v>
      </c>
      <c r="H22">
        <v>11</v>
      </c>
      <c r="I22">
        <v>0.75</v>
      </c>
      <c r="J22">
        <v>0.61</v>
      </c>
      <c r="K22">
        <v>0</v>
      </c>
      <c r="L22">
        <v>0</v>
      </c>
      <c r="M22">
        <v>1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1</v>
      </c>
      <c r="AC22">
        <v>0</v>
      </c>
      <c r="AD22">
        <v>1</v>
      </c>
      <c r="AE22">
        <v>0</v>
      </c>
      <c r="AF22">
        <v>0</v>
      </c>
      <c r="AG22" s="86">
        <f>AVERAGEIFS($C$2:C22, $B$2:B22, B22)</f>
        <v>21</v>
      </c>
      <c r="AH22" s="86">
        <f>AVERAGEIFS($I$2:I22, $B$2:B22, B22)</f>
        <v>0.75</v>
      </c>
      <c r="AI22" s="86">
        <f>AVERAGEIFS($J$2:J22, $B$2:B22, B22)</f>
        <v>0.61</v>
      </c>
      <c r="AJ22" s="86">
        <f>AVERAGEIFS($D$2:D22, $B$2:B22, B22)</f>
        <v>1</v>
      </c>
    </row>
    <row r="23" spans="1:36" x14ac:dyDescent="0.25">
      <c r="A23" s="85">
        <v>46115</v>
      </c>
      <c r="B23" t="s">
        <v>17</v>
      </c>
      <c r="C23">
        <v>19</v>
      </c>
      <c r="D23">
        <v>1</v>
      </c>
      <c r="E23">
        <v>4</v>
      </c>
      <c r="F23">
        <v>3</v>
      </c>
      <c r="G23">
        <v>18</v>
      </c>
      <c r="H23">
        <v>11</v>
      </c>
      <c r="I23">
        <v>0.75</v>
      </c>
      <c r="J23">
        <v>0.61</v>
      </c>
      <c r="K23">
        <v>0</v>
      </c>
      <c r="L23">
        <v>0</v>
      </c>
      <c r="M23">
        <v>1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1</v>
      </c>
      <c r="AC23">
        <v>0</v>
      </c>
      <c r="AD23">
        <v>1</v>
      </c>
      <c r="AE23">
        <v>0</v>
      </c>
      <c r="AF23">
        <v>0</v>
      </c>
      <c r="AG23" s="86">
        <f>AVERAGEIFS($C$2:C23, $B$2:B23, B23)</f>
        <v>19</v>
      </c>
      <c r="AH23" s="86">
        <f>AVERAGEIFS($I$2:I23, $B$2:B23, B23)</f>
        <v>0.75</v>
      </c>
      <c r="AI23" s="86">
        <f>AVERAGEIFS($J$2:J23, $B$2:B23, B23)</f>
        <v>0.58499999999999996</v>
      </c>
      <c r="AJ23" s="86">
        <f>AVERAGEIFS($D$2:D23, $B$2:B23, B23)</f>
        <v>1</v>
      </c>
    </row>
    <row r="24" spans="1:36" x14ac:dyDescent="0.25">
      <c r="A24" s="85">
        <v>46115</v>
      </c>
      <c r="B24" t="s">
        <v>107</v>
      </c>
      <c r="C24">
        <v>19</v>
      </c>
      <c r="D24">
        <v>1</v>
      </c>
      <c r="E24">
        <v>4</v>
      </c>
      <c r="F24">
        <v>3</v>
      </c>
      <c r="G24">
        <v>18</v>
      </c>
      <c r="H24">
        <v>11</v>
      </c>
      <c r="I24">
        <v>0.75</v>
      </c>
      <c r="J24">
        <v>0.61</v>
      </c>
      <c r="K24">
        <v>0</v>
      </c>
      <c r="L24">
        <v>0</v>
      </c>
      <c r="M24">
        <v>1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1</v>
      </c>
      <c r="AC24">
        <v>0</v>
      </c>
      <c r="AD24">
        <v>1</v>
      </c>
      <c r="AE24">
        <v>0</v>
      </c>
      <c r="AF24">
        <v>0</v>
      </c>
      <c r="AG24" s="86">
        <f>AVERAGEIFS($C$2:C24, $B$2:B24, B24)</f>
        <v>13</v>
      </c>
      <c r="AH24" s="86">
        <f>AVERAGEIFS($I$2:I24, $B$2:B24, B24)</f>
        <v>0.375</v>
      </c>
      <c r="AI24" s="86">
        <f>AVERAGEIFS($J$2:J24, $B$2:B24, B24)</f>
        <v>0.45999999999999996</v>
      </c>
      <c r="AJ24" s="86">
        <f>AVERAGEIFS($D$2:D24, $B$2:B24, B24)</f>
        <v>0.5</v>
      </c>
    </row>
    <row r="25" spans="1:36" x14ac:dyDescent="0.25">
      <c r="A25" s="85">
        <v>46115</v>
      </c>
      <c r="B25" t="s">
        <v>6</v>
      </c>
      <c r="C25">
        <v>17</v>
      </c>
      <c r="D25">
        <v>1</v>
      </c>
      <c r="E25">
        <v>4</v>
      </c>
      <c r="F25">
        <v>3</v>
      </c>
      <c r="G25">
        <v>18</v>
      </c>
      <c r="H25">
        <v>11</v>
      </c>
      <c r="I25">
        <v>0.75</v>
      </c>
      <c r="J25">
        <v>0.61</v>
      </c>
      <c r="K25">
        <v>0</v>
      </c>
      <c r="L25">
        <v>0</v>
      </c>
      <c r="M25">
        <v>1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1</v>
      </c>
      <c r="AC25">
        <v>0</v>
      </c>
      <c r="AD25">
        <v>1</v>
      </c>
      <c r="AE25">
        <v>0</v>
      </c>
      <c r="AF25">
        <v>0</v>
      </c>
      <c r="AG25" s="86">
        <f>AVERAGEIFS($C$2:C25, $B$2:B25, B25)</f>
        <v>19.5</v>
      </c>
      <c r="AH25" s="86">
        <f>AVERAGEIFS($I$2:I25, $B$2:B25, B25)</f>
        <v>0.75</v>
      </c>
      <c r="AI25" s="86">
        <f>AVERAGEIFS($J$2:J25, $B$2:B25, B25)</f>
        <v>0.58499999999999996</v>
      </c>
      <c r="AJ25" s="86">
        <f>AVERAGEIFS($D$2:D25, $B$2:B25, B25)</f>
        <v>1</v>
      </c>
    </row>
    <row r="26" spans="1:36" x14ac:dyDescent="0.25">
      <c r="A26" s="85">
        <v>46115</v>
      </c>
      <c r="B26" t="s">
        <v>40</v>
      </c>
      <c r="C26">
        <v>17</v>
      </c>
      <c r="D26">
        <v>1</v>
      </c>
      <c r="E26">
        <v>4</v>
      </c>
      <c r="F26">
        <v>3</v>
      </c>
      <c r="G26">
        <v>18</v>
      </c>
      <c r="H26">
        <v>11</v>
      </c>
      <c r="I26">
        <v>0.75</v>
      </c>
      <c r="J26">
        <v>0.61</v>
      </c>
      <c r="K26">
        <v>0</v>
      </c>
      <c r="L26">
        <v>0</v>
      </c>
      <c r="M26">
        <v>1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1</v>
      </c>
      <c r="AC26">
        <v>0</v>
      </c>
      <c r="AD26">
        <v>1</v>
      </c>
      <c r="AE26">
        <v>0</v>
      </c>
      <c r="AF26">
        <v>0</v>
      </c>
      <c r="AG26" s="86">
        <f>AVERAGEIFS($C$2:C26, $B$2:B26, B26)</f>
        <v>21</v>
      </c>
      <c r="AH26" s="86">
        <f>AVERAGEIFS($I$2:I26, $B$2:B26, B26)</f>
        <v>0.75</v>
      </c>
      <c r="AI26" s="86">
        <f>AVERAGEIFS($J$2:J26, $B$2:B26, B26)</f>
        <v>0.58499999999999996</v>
      </c>
      <c r="AJ26" s="86">
        <f>AVERAGEIFS($D$2:D26, $B$2:B26, B26)</f>
        <v>1</v>
      </c>
    </row>
    <row r="27" spans="1:36" x14ac:dyDescent="0.25">
      <c r="A27" s="85">
        <v>46115</v>
      </c>
      <c r="B27" t="s">
        <v>141</v>
      </c>
      <c r="C27">
        <v>15</v>
      </c>
      <c r="D27">
        <v>1</v>
      </c>
      <c r="E27">
        <v>4</v>
      </c>
      <c r="F27">
        <v>3</v>
      </c>
      <c r="G27">
        <v>18</v>
      </c>
      <c r="H27">
        <v>11</v>
      </c>
      <c r="I27">
        <v>0.75</v>
      </c>
      <c r="J27">
        <v>0.61</v>
      </c>
      <c r="K27">
        <v>0</v>
      </c>
      <c r="L27">
        <v>0</v>
      </c>
      <c r="M27">
        <v>1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1</v>
      </c>
      <c r="AC27">
        <v>0</v>
      </c>
      <c r="AD27">
        <v>1</v>
      </c>
      <c r="AE27">
        <v>0</v>
      </c>
      <c r="AF27">
        <v>0</v>
      </c>
      <c r="AG27" s="86">
        <f>AVERAGEIFS($C$2:C27, $B$2:B27, B27)</f>
        <v>12</v>
      </c>
      <c r="AH27" s="86">
        <f>AVERAGEIFS($I$2:I27, $B$2:B27, B27)</f>
        <v>0.375</v>
      </c>
      <c r="AI27" s="86">
        <f>AVERAGEIFS($J$2:J27, $B$2:B27, B27)</f>
        <v>0.45999999999999996</v>
      </c>
      <c r="AJ27" s="86">
        <f>AVERAGEIFS($D$2:D27, $B$2:B27, B27)</f>
        <v>0.5</v>
      </c>
    </row>
    <row r="28" spans="1:36" x14ac:dyDescent="0.25">
      <c r="A28" s="85">
        <v>46115</v>
      </c>
      <c r="B28" t="s">
        <v>1</v>
      </c>
      <c r="C28">
        <v>24</v>
      </c>
      <c r="D28">
        <v>0</v>
      </c>
      <c r="E28">
        <v>4</v>
      </c>
      <c r="F28">
        <v>1</v>
      </c>
      <c r="G28">
        <v>18</v>
      </c>
      <c r="H28">
        <v>7</v>
      </c>
      <c r="I28">
        <v>0.25</v>
      </c>
      <c r="J28">
        <v>0.39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1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 s="86">
        <f>AVERAGEIFS($C$2:C28, $B$2:B28, B28)</f>
        <v>23</v>
      </c>
      <c r="AH28" s="86">
        <f>AVERAGEIFS($I$2:I28, $B$2:B28, B28)</f>
        <v>0.125</v>
      </c>
      <c r="AI28" s="86">
        <f>AVERAGEIFS($J$2:J28, $B$2:B28, B28)</f>
        <v>0.35</v>
      </c>
      <c r="AJ28" s="86">
        <f>AVERAGEIFS($D$2:D28, $B$2:B28, B28)</f>
        <v>0</v>
      </c>
    </row>
    <row r="29" spans="1:36" x14ac:dyDescent="0.25">
      <c r="A29" s="85">
        <v>46115</v>
      </c>
      <c r="B29" t="s">
        <v>44</v>
      </c>
      <c r="C29">
        <v>20</v>
      </c>
      <c r="D29">
        <v>0</v>
      </c>
      <c r="E29">
        <v>4</v>
      </c>
      <c r="F29">
        <v>1</v>
      </c>
      <c r="G29">
        <v>18</v>
      </c>
      <c r="H29">
        <v>7</v>
      </c>
      <c r="I29">
        <v>0.25</v>
      </c>
      <c r="J29">
        <v>0.39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1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 s="86">
        <f>AVERAGEIFS($C$2:C29, $B$2:B29, B29)</f>
        <v>19</v>
      </c>
      <c r="AH29" s="86">
        <f>AVERAGEIFS($I$2:I29, $B$2:B29, B29)</f>
        <v>0.5</v>
      </c>
      <c r="AI29" s="86">
        <f>AVERAGEIFS($J$2:J29, $B$2:B29, B29)</f>
        <v>0.47500000000000003</v>
      </c>
      <c r="AJ29" s="86">
        <f>AVERAGEIFS($D$2:D29, $B$2:B29, B29)</f>
        <v>0.5</v>
      </c>
    </row>
    <row r="30" spans="1:36" x14ac:dyDescent="0.25">
      <c r="A30" s="85">
        <v>46115</v>
      </c>
      <c r="B30" t="s">
        <v>13</v>
      </c>
      <c r="C30">
        <v>20</v>
      </c>
      <c r="D30">
        <v>0</v>
      </c>
      <c r="E30">
        <v>4</v>
      </c>
      <c r="F30">
        <v>1</v>
      </c>
      <c r="G30">
        <v>18</v>
      </c>
      <c r="H30">
        <v>7</v>
      </c>
      <c r="I30">
        <v>0.25</v>
      </c>
      <c r="J30">
        <v>0.39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1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 s="86">
        <f>AVERAGEIFS($C$2:C30, $B$2:B30, B30)</f>
        <v>17</v>
      </c>
      <c r="AH30" s="86">
        <f>AVERAGEIFS($I$2:I30, $B$2:B30, B30)</f>
        <v>0.625</v>
      </c>
      <c r="AI30" s="86">
        <f>AVERAGEIFS($J$2:J30, $B$2:B30, B30)</f>
        <v>0.54</v>
      </c>
      <c r="AJ30" s="86">
        <f>AVERAGEIFS($D$2:D30, $B$2:B30, B30)</f>
        <v>0.5</v>
      </c>
    </row>
    <row r="31" spans="1:36" x14ac:dyDescent="0.25">
      <c r="A31" s="85">
        <v>46115</v>
      </c>
      <c r="B31" t="s">
        <v>50</v>
      </c>
      <c r="C31">
        <v>14</v>
      </c>
      <c r="D31">
        <v>0</v>
      </c>
      <c r="E31">
        <v>4</v>
      </c>
      <c r="F31">
        <v>1</v>
      </c>
      <c r="G31">
        <v>18</v>
      </c>
      <c r="H31">
        <v>7</v>
      </c>
      <c r="I31">
        <v>0.25</v>
      </c>
      <c r="J31">
        <v>0.39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1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 s="86">
        <f>AVERAGEIFS($C$2:C31, $B$2:B31, B31)</f>
        <v>14</v>
      </c>
      <c r="AH31" s="86">
        <f>AVERAGEIFS($I$2:I31, $B$2:B31, B31)</f>
        <v>0.25</v>
      </c>
      <c r="AI31" s="86">
        <f>AVERAGEIFS($J$2:J31, $B$2:B31, B31)</f>
        <v>0.39</v>
      </c>
      <c r="AJ31" s="86">
        <f>AVERAGEIFS($D$2:D31, $B$2:B31, B31)</f>
        <v>0</v>
      </c>
    </row>
    <row r="32" spans="1:36" x14ac:dyDescent="0.25">
      <c r="A32" s="85">
        <v>46115</v>
      </c>
      <c r="B32" t="s">
        <v>71</v>
      </c>
      <c r="C32">
        <v>8</v>
      </c>
      <c r="D32">
        <v>0</v>
      </c>
      <c r="E32">
        <v>4</v>
      </c>
      <c r="F32">
        <v>1</v>
      </c>
      <c r="G32">
        <v>18</v>
      </c>
      <c r="H32">
        <v>7</v>
      </c>
      <c r="I32">
        <v>0.25</v>
      </c>
      <c r="J32">
        <v>0.39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1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 s="86">
        <f>AVERAGEIFS($C$2:C32, $B$2:B32, B32)</f>
        <v>8.5</v>
      </c>
      <c r="AH32" s="86">
        <f>AVERAGEIFS($I$2:I32, $B$2:B32, B32)</f>
        <v>0.25</v>
      </c>
      <c r="AI32" s="86">
        <f>AVERAGEIFS($J$2:J32, $B$2:B32, B32)</f>
        <v>0.41500000000000004</v>
      </c>
      <c r="AJ32" s="86">
        <f>AVERAGEIFS($D$2:D32, $B$2:B32, B32)</f>
        <v>0</v>
      </c>
    </row>
    <row r="33" spans="1:36" x14ac:dyDescent="0.25">
      <c r="A33" s="85">
        <v>46115</v>
      </c>
      <c r="B33" t="s">
        <v>46</v>
      </c>
      <c r="C33">
        <v>7</v>
      </c>
      <c r="D33">
        <v>0</v>
      </c>
      <c r="E33">
        <v>4</v>
      </c>
      <c r="F33">
        <v>1</v>
      </c>
      <c r="G33">
        <v>18</v>
      </c>
      <c r="H33">
        <v>7</v>
      </c>
      <c r="I33">
        <v>0.25</v>
      </c>
      <c r="J33">
        <v>0.39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1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 s="86">
        <f>AVERAGEIFS($C$2:C33, $B$2:B33, B33)</f>
        <v>6</v>
      </c>
      <c r="AH33" s="86">
        <f>AVERAGEIFS($I$2:I33, $B$2:B33, B33)</f>
        <v>0.125</v>
      </c>
      <c r="AI33" s="86">
        <f>AVERAGEIFS($J$2:J33, $B$2:B33, B33)</f>
        <v>0.35</v>
      </c>
      <c r="AJ33" s="86">
        <f>AVERAGEIFS($D$2:D33, $B$2:B33, B33)</f>
        <v>0</v>
      </c>
    </row>
    <row r="34" spans="1:36" x14ac:dyDescent="0.25">
      <c r="A34" s="85">
        <v>46115</v>
      </c>
      <c r="B34" t="s">
        <v>35</v>
      </c>
      <c r="C34">
        <v>3</v>
      </c>
      <c r="D34">
        <v>0</v>
      </c>
      <c r="E34">
        <v>4</v>
      </c>
      <c r="F34">
        <v>1</v>
      </c>
      <c r="G34">
        <v>18</v>
      </c>
      <c r="H34">
        <v>7</v>
      </c>
      <c r="I34">
        <v>0.25</v>
      </c>
      <c r="J34">
        <v>0.39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1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 s="86">
        <f>AVERAGEIFS($C$2:C34, $B$2:B34, B34)</f>
        <v>3</v>
      </c>
      <c r="AH34" s="86">
        <f>AVERAGEIFS($I$2:I34, $B$2:B34, B34)</f>
        <v>0.25</v>
      </c>
      <c r="AI34" s="86">
        <f>AVERAGEIFS($J$2:J34, $B$2:B34, B34)</f>
        <v>0.39</v>
      </c>
      <c r="AJ34" s="86">
        <f>AVERAGEIFS($D$2:D34, $B$2:B34, B34)</f>
        <v>0</v>
      </c>
    </row>
    <row r="35" spans="1:36" x14ac:dyDescent="0.25">
      <c r="A35" s="85">
        <v>46118</v>
      </c>
      <c r="B35" t="s">
        <v>6</v>
      </c>
      <c r="C35">
        <v>27</v>
      </c>
      <c r="D35">
        <v>1</v>
      </c>
      <c r="E35">
        <v>5</v>
      </c>
      <c r="F35">
        <v>3</v>
      </c>
      <c r="G35">
        <v>20</v>
      </c>
      <c r="H35">
        <v>12</v>
      </c>
      <c r="I35">
        <v>0.6</v>
      </c>
      <c r="J35">
        <v>0.6</v>
      </c>
      <c r="K35">
        <v>0</v>
      </c>
      <c r="L35">
        <v>1</v>
      </c>
      <c r="M35">
        <v>0</v>
      </c>
      <c r="N35">
        <v>1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1</v>
      </c>
      <c r="AD35">
        <v>0</v>
      </c>
      <c r="AE35">
        <v>0</v>
      </c>
      <c r="AF35">
        <v>0</v>
      </c>
      <c r="AG35" s="86">
        <f>AVERAGEIFS($C$2:C35, $B$2:B35, B35)</f>
        <v>22</v>
      </c>
      <c r="AH35" s="86">
        <f>AVERAGEIFS($I$2:I35, $B$2:B35, B35)</f>
        <v>0.70000000000000007</v>
      </c>
      <c r="AI35" s="86">
        <f>AVERAGEIFS($J$2:J35, $B$2:B35, B35)</f>
        <v>0.59</v>
      </c>
      <c r="AJ35" s="86">
        <f>AVERAGEIFS($D$2:D35, $B$2:B35, B35)</f>
        <v>1</v>
      </c>
    </row>
    <row r="36" spans="1:36" x14ac:dyDescent="0.25">
      <c r="A36" s="85">
        <v>46118</v>
      </c>
      <c r="B36" t="s">
        <v>40</v>
      </c>
      <c r="C36">
        <v>14</v>
      </c>
      <c r="D36">
        <v>1</v>
      </c>
      <c r="E36">
        <v>5</v>
      </c>
      <c r="F36">
        <v>3</v>
      </c>
      <c r="G36">
        <v>20</v>
      </c>
      <c r="H36">
        <v>12</v>
      </c>
      <c r="I36">
        <v>0.6</v>
      </c>
      <c r="J36">
        <v>0.6</v>
      </c>
      <c r="K36">
        <v>0</v>
      </c>
      <c r="L36">
        <v>1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1</v>
      </c>
      <c r="AD36">
        <v>0</v>
      </c>
      <c r="AE36">
        <v>0</v>
      </c>
      <c r="AF36">
        <v>0</v>
      </c>
      <c r="AG36" s="86">
        <f>AVERAGEIFS($C$2:C36, $B$2:B36, B36)</f>
        <v>18.666666666666668</v>
      </c>
      <c r="AH36" s="86">
        <f>AVERAGEIFS($I$2:I36, $B$2:B36, B36)</f>
        <v>0.70000000000000007</v>
      </c>
      <c r="AI36" s="86">
        <f>AVERAGEIFS($J$2:J36, $B$2:B36, B36)</f>
        <v>0.59</v>
      </c>
      <c r="AJ36" s="86">
        <f>AVERAGEIFS($D$2:D36, $B$2:B36, B36)</f>
        <v>1</v>
      </c>
    </row>
    <row r="37" spans="1:36" x14ac:dyDescent="0.25">
      <c r="A37" s="85">
        <v>46118</v>
      </c>
      <c r="B37" t="s">
        <v>113</v>
      </c>
      <c r="C37">
        <v>21</v>
      </c>
      <c r="D37">
        <v>1</v>
      </c>
      <c r="E37">
        <v>5</v>
      </c>
      <c r="F37">
        <v>3</v>
      </c>
      <c r="G37">
        <v>20</v>
      </c>
      <c r="H37">
        <v>12</v>
      </c>
      <c r="I37">
        <v>0.6</v>
      </c>
      <c r="J37">
        <v>0.6</v>
      </c>
      <c r="K37">
        <v>0</v>
      </c>
      <c r="L37">
        <v>1</v>
      </c>
      <c r="M37">
        <v>0</v>
      </c>
      <c r="N37">
        <v>1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1</v>
      </c>
      <c r="AD37">
        <v>0</v>
      </c>
      <c r="AE37">
        <v>0</v>
      </c>
      <c r="AF37">
        <v>0</v>
      </c>
      <c r="AG37" s="86">
        <f>AVERAGEIFS($C$2:C37, $B$2:B37, B37)</f>
        <v>16</v>
      </c>
      <c r="AH37" s="86">
        <f>AVERAGEIFS($I$2:I37, $B$2:B37, B37)</f>
        <v>0.8</v>
      </c>
      <c r="AI37" s="86">
        <f>AVERAGEIFS($J$2:J37, $B$2:B37, B37)</f>
        <v>0.64500000000000002</v>
      </c>
      <c r="AJ37" s="86">
        <f>AVERAGEIFS($D$2:D37, $B$2:B37, B37)</f>
        <v>1</v>
      </c>
    </row>
    <row r="38" spans="1:36" x14ac:dyDescent="0.25">
      <c r="A38" s="85">
        <v>46118</v>
      </c>
      <c r="B38" t="s">
        <v>4</v>
      </c>
      <c r="C38">
        <v>25</v>
      </c>
      <c r="D38">
        <v>1</v>
      </c>
      <c r="E38">
        <v>5</v>
      </c>
      <c r="F38">
        <v>3</v>
      </c>
      <c r="G38">
        <v>20</v>
      </c>
      <c r="H38">
        <v>12</v>
      </c>
      <c r="I38">
        <v>0.6</v>
      </c>
      <c r="J38">
        <v>0.6</v>
      </c>
      <c r="K38">
        <v>0</v>
      </c>
      <c r="L38">
        <v>1</v>
      </c>
      <c r="M38">
        <v>0</v>
      </c>
      <c r="N38">
        <v>1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1</v>
      </c>
      <c r="AD38">
        <v>0</v>
      </c>
      <c r="AE38">
        <v>0</v>
      </c>
      <c r="AF38">
        <v>0</v>
      </c>
      <c r="AG38" s="86">
        <f>AVERAGEIFS($C$2:C38, $B$2:B38, B38)</f>
        <v>20.5</v>
      </c>
      <c r="AH38" s="86">
        <f>AVERAGEIFS($I$2:I38, $B$2:B38, B38)</f>
        <v>0.8</v>
      </c>
      <c r="AI38" s="86">
        <f>AVERAGEIFS($J$2:J38, $B$2:B38, B38)</f>
        <v>0.64500000000000002</v>
      </c>
      <c r="AJ38" s="86">
        <f>AVERAGEIFS($D$2:D38, $B$2:B38, B38)</f>
        <v>1</v>
      </c>
    </row>
    <row r="39" spans="1:36" x14ac:dyDescent="0.25">
      <c r="A39" s="85">
        <v>46118</v>
      </c>
      <c r="B39" t="s">
        <v>44</v>
      </c>
      <c r="C39">
        <v>17</v>
      </c>
      <c r="D39">
        <v>1</v>
      </c>
      <c r="E39">
        <v>5</v>
      </c>
      <c r="F39">
        <v>3</v>
      </c>
      <c r="G39">
        <v>20</v>
      </c>
      <c r="H39">
        <v>12</v>
      </c>
      <c r="I39">
        <v>0.6</v>
      </c>
      <c r="J39">
        <v>0.6</v>
      </c>
      <c r="K39">
        <v>0</v>
      </c>
      <c r="L39">
        <v>1</v>
      </c>
      <c r="M39">
        <v>0</v>
      </c>
      <c r="N39">
        <v>1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1</v>
      </c>
      <c r="AD39">
        <v>0</v>
      </c>
      <c r="AE39">
        <v>0</v>
      </c>
      <c r="AF39">
        <v>0</v>
      </c>
      <c r="AG39" s="86">
        <f>AVERAGEIFS($C$2:C39, $B$2:B39, B39)</f>
        <v>18.333333333333332</v>
      </c>
      <c r="AH39" s="86">
        <f>AVERAGEIFS($I$2:I39, $B$2:B39, B39)</f>
        <v>0.53333333333333333</v>
      </c>
      <c r="AI39" s="86">
        <f>AVERAGEIFS($J$2:J39, $B$2:B39, B39)</f>
        <v>0.51666666666666672</v>
      </c>
      <c r="AJ39" s="86">
        <f>AVERAGEIFS($D$2:D39, $B$2:B39, B39)</f>
        <v>0.66666666666666663</v>
      </c>
    </row>
    <row r="40" spans="1:36" x14ac:dyDescent="0.25">
      <c r="A40" s="85">
        <v>46118</v>
      </c>
      <c r="B40" t="s">
        <v>142</v>
      </c>
      <c r="C40">
        <v>14</v>
      </c>
      <c r="D40">
        <v>1</v>
      </c>
      <c r="E40">
        <v>5</v>
      </c>
      <c r="F40">
        <v>3</v>
      </c>
      <c r="G40">
        <v>20</v>
      </c>
      <c r="H40">
        <v>12</v>
      </c>
      <c r="I40">
        <v>0.6</v>
      </c>
      <c r="J40">
        <v>0.6</v>
      </c>
      <c r="K40">
        <v>0</v>
      </c>
      <c r="L40">
        <v>1</v>
      </c>
      <c r="M40">
        <v>0</v>
      </c>
      <c r="N40">
        <v>1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1</v>
      </c>
      <c r="AD40">
        <v>0</v>
      </c>
      <c r="AE40">
        <v>0</v>
      </c>
      <c r="AF40">
        <v>0</v>
      </c>
      <c r="AG40" s="86">
        <f>AVERAGEIFS($C$2:C40, $B$2:B40, B40)</f>
        <v>7.5</v>
      </c>
      <c r="AH40" s="86">
        <f>AVERAGEIFS($I$2:I40, $B$2:B40, B40)</f>
        <v>0.3</v>
      </c>
      <c r="AI40" s="86">
        <f>AVERAGEIFS($J$2:J40, $B$2:B40, B40)</f>
        <v>0.45499999999999996</v>
      </c>
      <c r="AJ40" s="86">
        <f>AVERAGEIFS($D$2:D40, $B$2:B40, B40)</f>
        <v>0.5</v>
      </c>
    </row>
    <row r="41" spans="1:36" x14ac:dyDescent="0.25">
      <c r="A41" s="85">
        <v>46118</v>
      </c>
      <c r="B41" t="s">
        <v>1</v>
      </c>
      <c r="C41">
        <v>22</v>
      </c>
      <c r="D41">
        <v>0</v>
      </c>
      <c r="E41">
        <v>5</v>
      </c>
      <c r="F41">
        <v>2</v>
      </c>
      <c r="G41">
        <v>20</v>
      </c>
      <c r="H41">
        <v>8</v>
      </c>
      <c r="I41">
        <v>0.4</v>
      </c>
      <c r="J41">
        <v>0.4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1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 s="86">
        <f>AVERAGEIFS($C$2:C41, $B$2:B41, B41)</f>
        <v>22.666666666666668</v>
      </c>
      <c r="AH41" s="86">
        <f>AVERAGEIFS($I$2:I41, $B$2:B41, B41)</f>
        <v>0.21666666666666667</v>
      </c>
      <c r="AI41" s="86">
        <f>AVERAGEIFS($J$2:J41, $B$2:B41, B41)</f>
        <v>0.3666666666666667</v>
      </c>
      <c r="AJ41" s="86">
        <f>AVERAGEIFS($D$2:D41, $B$2:B41, B41)</f>
        <v>0</v>
      </c>
    </row>
    <row r="42" spans="1:36" x14ac:dyDescent="0.25">
      <c r="A42" s="85">
        <v>46118</v>
      </c>
      <c r="B42" t="s">
        <v>107</v>
      </c>
      <c r="C42">
        <v>22</v>
      </c>
      <c r="D42">
        <v>0</v>
      </c>
      <c r="E42">
        <v>5</v>
      </c>
      <c r="F42">
        <v>2</v>
      </c>
      <c r="G42">
        <v>20</v>
      </c>
      <c r="H42">
        <v>8</v>
      </c>
      <c r="I42">
        <v>0.4</v>
      </c>
      <c r="J42">
        <v>0.4</v>
      </c>
      <c r="K42">
        <v>1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 s="86">
        <f>AVERAGEIFS($C$2:C42, $B$2:B42, B42)</f>
        <v>16</v>
      </c>
      <c r="AH42" s="86">
        <f>AVERAGEIFS($I$2:I42, $B$2:B42, B42)</f>
        <v>0.3833333333333333</v>
      </c>
      <c r="AI42" s="86">
        <f>AVERAGEIFS($J$2:J42, $B$2:B42, B42)</f>
        <v>0.43999999999999995</v>
      </c>
      <c r="AJ42" s="86">
        <f>AVERAGEIFS($D$2:D42, $B$2:B42, B42)</f>
        <v>0.33333333333333331</v>
      </c>
    </row>
    <row r="43" spans="1:36" x14ac:dyDescent="0.25">
      <c r="A43" s="85">
        <v>46118</v>
      </c>
      <c r="B43" t="s">
        <v>71</v>
      </c>
      <c r="C43">
        <v>8</v>
      </c>
      <c r="D43">
        <v>0</v>
      </c>
      <c r="E43">
        <v>5</v>
      </c>
      <c r="F43">
        <v>2</v>
      </c>
      <c r="G43">
        <v>20</v>
      </c>
      <c r="H43">
        <v>8</v>
      </c>
      <c r="I43">
        <v>0.4</v>
      </c>
      <c r="J43">
        <v>0.4</v>
      </c>
      <c r="K43">
        <v>1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s="86">
        <f>AVERAGEIFS($C$2:C43, $B$2:B43, B43)</f>
        <v>8.3333333333333339</v>
      </c>
      <c r="AH43" s="86">
        <f>AVERAGEIFS($I$2:I43, $B$2:B43, B43)</f>
        <v>0.3</v>
      </c>
      <c r="AI43" s="86">
        <f>AVERAGEIFS($J$2:J43, $B$2:B43, B43)</f>
        <v>0.41</v>
      </c>
      <c r="AJ43" s="86">
        <f>AVERAGEIFS($D$2:D43, $B$2:B43, B43)</f>
        <v>0</v>
      </c>
    </row>
    <row r="44" spans="1:36" x14ac:dyDescent="0.25">
      <c r="A44" s="85">
        <v>46118</v>
      </c>
      <c r="B44" t="s">
        <v>46</v>
      </c>
      <c r="C44">
        <v>23</v>
      </c>
      <c r="D44">
        <v>0</v>
      </c>
      <c r="E44">
        <v>5</v>
      </c>
      <c r="F44">
        <v>2</v>
      </c>
      <c r="G44">
        <v>20</v>
      </c>
      <c r="H44">
        <v>8</v>
      </c>
      <c r="I44">
        <v>0.4</v>
      </c>
      <c r="J44">
        <v>0.4</v>
      </c>
      <c r="K44">
        <v>1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1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 s="86">
        <f>AVERAGEIFS($C$2:C44, $B$2:B44, B44)</f>
        <v>11.666666666666666</v>
      </c>
      <c r="AH44" s="86">
        <f>AVERAGEIFS($I$2:I44, $B$2:B44, B44)</f>
        <v>0.21666666666666667</v>
      </c>
      <c r="AI44" s="86">
        <f>AVERAGEIFS($J$2:J44, $B$2:B44, B44)</f>
        <v>0.3666666666666667</v>
      </c>
      <c r="AJ44" s="86">
        <f>AVERAGEIFS($D$2:D44, $B$2:B44, B44)</f>
        <v>0</v>
      </c>
    </row>
    <row r="45" spans="1:36" x14ac:dyDescent="0.25">
      <c r="A45" s="85">
        <v>46118</v>
      </c>
      <c r="B45" t="s">
        <v>53</v>
      </c>
      <c r="C45">
        <v>11</v>
      </c>
      <c r="D45">
        <v>0</v>
      </c>
      <c r="E45">
        <v>5</v>
      </c>
      <c r="F45">
        <v>2</v>
      </c>
      <c r="G45">
        <v>20</v>
      </c>
      <c r="H45">
        <v>8</v>
      </c>
      <c r="I45">
        <v>0.4</v>
      </c>
      <c r="J45">
        <v>0.4</v>
      </c>
      <c r="K45">
        <v>1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 s="86">
        <f>AVERAGEIFS($C$2:C45, $B$2:B45, B45)</f>
        <v>11</v>
      </c>
      <c r="AH45" s="86">
        <f>AVERAGEIFS($I$2:I45, $B$2:B45, B45)</f>
        <v>0.7</v>
      </c>
      <c r="AI45" s="86">
        <f>AVERAGEIFS($J$2:J45, $B$2:B45, B45)</f>
        <v>0.54499999999999993</v>
      </c>
      <c r="AJ45" s="86">
        <f>AVERAGEIFS($D$2:D45, $B$2:B45, B45)</f>
        <v>0.5</v>
      </c>
    </row>
    <row r="46" spans="1:36" x14ac:dyDescent="0.25">
      <c r="A46" s="85">
        <v>46118</v>
      </c>
      <c r="B46" t="s">
        <v>42</v>
      </c>
      <c r="C46">
        <v>21</v>
      </c>
      <c r="D46">
        <v>0</v>
      </c>
      <c r="E46">
        <v>5</v>
      </c>
      <c r="F46">
        <v>2</v>
      </c>
      <c r="G46">
        <v>20</v>
      </c>
      <c r="H46">
        <v>8</v>
      </c>
      <c r="I46">
        <v>0.4</v>
      </c>
      <c r="J46">
        <v>0.4</v>
      </c>
      <c r="K46">
        <v>1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1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 s="86">
        <f>AVERAGEIFS($C$2:C46, $B$2:B46, B46)</f>
        <v>23</v>
      </c>
      <c r="AH46" s="86">
        <f>AVERAGEIFS($I$2:I46, $B$2:B46, B46)</f>
        <v>0.32500000000000001</v>
      </c>
      <c r="AI46" s="86">
        <f>AVERAGEIFS($J$2:J46, $B$2:B46, B46)</f>
        <v>0.42000000000000004</v>
      </c>
      <c r="AJ46" s="86">
        <f>AVERAGEIFS($D$2:D46, $B$2:B46, B46)</f>
        <v>0</v>
      </c>
    </row>
  </sheetData>
  <autoFilter ref="A1:AJ1" xr:uid="{2920E10D-1157-4164-84BC-1BB5367BF023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C13F5-AE6A-44E6-924D-3936AA002E17}">
  <dimension ref="A1:AD159"/>
  <sheetViews>
    <sheetView workbookViewId="0">
      <selection activeCell="C1" sqref="C1"/>
    </sheetView>
  </sheetViews>
  <sheetFormatPr defaultRowHeight="15" x14ac:dyDescent="0.25"/>
  <cols>
    <col min="1" max="1" width="10.140625" bestFit="1" customWidth="1"/>
    <col min="2" max="2" width="10.7109375" bestFit="1" customWidth="1"/>
    <col min="26" max="26" width="11.42578125" bestFit="1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146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46033</v>
      </c>
      <c r="B2" t="s">
        <v>13</v>
      </c>
      <c r="C2">
        <v>50</v>
      </c>
      <c r="D2">
        <v>1</v>
      </c>
      <c r="E2">
        <v>5</v>
      </c>
      <c r="F2">
        <v>3</v>
      </c>
      <c r="G2">
        <v>21</v>
      </c>
      <c r="H2">
        <v>12</v>
      </c>
      <c r="I2">
        <v>0.6</v>
      </c>
      <c r="J2">
        <v>0.56999999999999995</v>
      </c>
      <c r="K2">
        <v>0</v>
      </c>
      <c r="L2">
        <v>0</v>
      </c>
      <c r="M2">
        <v>0</v>
      </c>
      <c r="N2">
        <v>1</v>
      </c>
      <c r="O2">
        <v>1</v>
      </c>
      <c r="P2">
        <v>0</v>
      </c>
      <c r="Q2">
        <v>1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 s="86">
        <f>AVERAGEIFS($C$2:C2, $B$2:B2, B2)</f>
        <v>50</v>
      </c>
      <c r="AB2" s="86">
        <f>AVERAGEIFS($I$2:I2, $B$2:B2, B2)</f>
        <v>0.6</v>
      </c>
      <c r="AC2" s="86">
        <f>AVERAGEIFS($J$2:J2, $B$2:B2, B2)</f>
        <v>0.56999999999999995</v>
      </c>
      <c r="AD2" s="86">
        <f>AVERAGEIFS($D$2:D2, $B$2:B2, B2)</f>
        <v>1</v>
      </c>
    </row>
    <row r="3" spans="1:30" x14ac:dyDescent="0.25">
      <c r="A3" s="85">
        <v>46033</v>
      </c>
      <c r="B3" t="s">
        <v>54</v>
      </c>
      <c r="C3">
        <v>29</v>
      </c>
      <c r="D3">
        <v>1</v>
      </c>
      <c r="E3">
        <v>5</v>
      </c>
      <c r="F3">
        <v>3</v>
      </c>
      <c r="G3">
        <v>21</v>
      </c>
      <c r="H3">
        <v>12</v>
      </c>
      <c r="I3">
        <v>0.6</v>
      </c>
      <c r="J3">
        <v>0.56999999999999995</v>
      </c>
      <c r="K3">
        <v>0</v>
      </c>
      <c r="L3">
        <v>0</v>
      </c>
      <c r="M3">
        <v>0</v>
      </c>
      <c r="N3">
        <v>1</v>
      </c>
      <c r="O3">
        <v>1</v>
      </c>
      <c r="P3">
        <v>0</v>
      </c>
      <c r="Q3">
        <v>1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 s="86">
        <f>AVERAGEIFS($C$2:C3, $B$2:B3, B3)</f>
        <v>29</v>
      </c>
      <c r="AB3" s="86">
        <f>AVERAGEIFS($I$2:I3, $B$2:B3, B3)</f>
        <v>0.6</v>
      </c>
      <c r="AC3" s="86">
        <f>AVERAGEIFS($J$2:J3, $B$2:B3, B3)</f>
        <v>0.56999999999999995</v>
      </c>
      <c r="AD3" s="86">
        <f>AVERAGEIFS($D$2:D3, $B$2:B3, B3)</f>
        <v>1</v>
      </c>
    </row>
    <row r="4" spans="1:30" x14ac:dyDescent="0.25">
      <c r="A4" s="85">
        <v>46033</v>
      </c>
      <c r="B4" t="s">
        <v>3</v>
      </c>
      <c r="C4">
        <v>26</v>
      </c>
      <c r="D4">
        <v>1</v>
      </c>
      <c r="E4">
        <v>5</v>
      </c>
      <c r="F4">
        <v>3</v>
      </c>
      <c r="G4">
        <v>21</v>
      </c>
      <c r="H4">
        <v>12</v>
      </c>
      <c r="I4">
        <v>0.6</v>
      </c>
      <c r="J4">
        <v>0.56999999999999995</v>
      </c>
      <c r="K4">
        <v>0</v>
      </c>
      <c r="L4">
        <v>0</v>
      </c>
      <c r="M4">
        <v>0</v>
      </c>
      <c r="N4">
        <v>1</v>
      </c>
      <c r="O4">
        <v>1</v>
      </c>
      <c r="P4">
        <v>0</v>
      </c>
      <c r="Q4">
        <v>1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 s="86">
        <f>AVERAGEIFS($C$2:C4, $B$2:B4, B4)</f>
        <v>26</v>
      </c>
      <c r="AB4" s="86">
        <f>AVERAGEIFS($I$2:I4, $B$2:B4, B4)</f>
        <v>0.6</v>
      </c>
      <c r="AC4" s="86">
        <f>AVERAGEIFS($J$2:J4, $B$2:B4, B4)</f>
        <v>0.56999999999999995</v>
      </c>
      <c r="AD4" s="86">
        <f>AVERAGEIFS($D$2:D4, $B$2:B4, B4)</f>
        <v>1</v>
      </c>
    </row>
    <row r="5" spans="1:30" x14ac:dyDescent="0.25">
      <c r="A5" s="85">
        <v>46033</v>
      </c>
      <c r="B5" t="s">
        <v>53</v>
      </c>
      <c r="C5">
        <v>25</v>
      </c>
      <c r="D5">
        <v>1</v>
      </c>
      <c r="E5">
        <v>5</v>
      </c>
      <c r="F5">
        <v>3</v>
      </c>
      <c r="G5">
        <v>21</v>
      </c>
      <c r="H5">
        <v>12</v>
      </c>
      <c r="I5">
        <v>0.6</v>
      </c>
      <c r="J5">
        <v>0.56999999999999995</v>
      </c>
      <c r="K5">
        <v>0</v>
      </c>
      <c r="L5">
        <v>0</v>
      </c>
      <c r="M5">
        <v>0</v>
      </c>
      <c r="N5">
        <v>1</v>
      </c>
      <c r="O5">
        <v>1</v>
      </c>
      <c r="P5">
        <v>0</v>
      </c>
      <c r="Q5">
        <v>1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 s="86">
        <f>AVERAGEIFS($C$2:C5, $B$2:B5, B5)</f>
        <v>25</v>
      </c>
      <c r="AB5" s="86">
        <f>AVERAGEIFS($I$2:I5, $B$2:B5, B5)</f>
        <v>0.6</v>
      </c>
      <c r="AC5" s="86">
        <f>AVERAGEIFS($J$2:J5, $B$2:B5, B5)</f>
        <v>0.56999999999999995</v>
      </c>
      <c r="AD5" s="86">
        <f>AVERAGEIFS($D$2:D5, $B$2:B5, B5)</f>
        <v>1</v>
      </c>
    </row>
    <row r="6" spans="1:30" x14ac:dyDescent="0.25">
      <c r="A6" s="85">
        <v>46033</v>
      </c>
      <c r="B6" t="s">
        <v>55</v>
      </c>
      <c r="C6">
        <v>12</v>
      </c>
      <c r="D6">
        <v>1</v>
      </c>
      <c r="E6">
        <v>5</v>
      </c>
      <c r="F6">
        <v>3</v>
      </c>
      <c r="G6">
        <v>21</v>
      </c>
      <c r="H6">
        <v>12</v>
      </c>
      <c r="I6">
        <v>0.6</v>
      </c>
      <c r="J6">
        <v>0.56999999999999995</v>
      </c>
      <c r="K6">
        <v>0</v>
      </c>
      <c r="L6">
        <v>0</v>
      </c>
      <c r="M6">
        <v>0</v>
      </c>
      <c r="N6">
        <v>1</v>
      </c>
      <c r="O6">
        <v>1</v>
      </c>
      <c r="P6">
        <v>0</v>
      </c>
      <c r="Q6">
        <v>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 s="86">
        <f>AVERAGEIFS($C$2:C6, $B$2:B6, B6)</f>
        <v>12</v>
      </c>
      <c r="AB6" s="86">
        <f>AVERAGEIFS($I$2:I6, $B$2:B6, B6)</f>
        <v>0.6</v>
      </c>
      <c r="AC6" s="86">
        <f>AVERAGEIFS($J$2:J6, $B$2:B6, B6)</f>
        <v>0.56999999999999995</v>
      </c>
      <c r="AD6" s="86">
        <f>AVERAGEIFS($D$2:D6, $B$2:B6, B6)</f>
        <v>1</v>
      </c>
    </row>
    <row r="7" spans="1:30" x14ac:dyDescent="0.25">
      <c r="A7" s="85">
        <v>46033</v>
      </c>
      <c r="B7" t="s">
        <v>26</v>
      </c>
      <c r="C7">
        <v>8</v>
      </c>
      <c r="D7">
        <v>1</v>
      </c>
      <c r="E7">
        <v>5</v>
      </c>
      <c r="F7">
        <v>3</v>
      </c>
      <c r="G7">
        <v>21</v>
      </c>
      <c r="H7">
        <v>12</v>
      </c>
      <c r="I7">
        <v>0.6</v>
      </c>
      <c r="J7">
        <v>0.56999999999999995</v>
      </c>
      <c r="K7">
        <v>0</v>
      </c>
      <c r="L7">
        <v>0</v>
      </c>
      <c r="M7">
        <v>0</v>
      </c>
      <c r="N7">
        <v>1</v>
      </c>
      <c r="O7">
        <v>1</v>
      </c>
      <c r="P7">
        <v>0</v>
      </c>
      <c r="Q7">
        <v>1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 s="86">
        <f>AVERAGEIFS($C$2:C7, $B$2:B7, B7)</f>
        <v>8</v>
      </c>
      <c r="AB7" s="86">
        <f>AVERAGEIFS($I$2:I7, $B$2:B7, B7)</f>
        <v>0.6</v>
      </c>
      <c r="AC7" s="86">
        <f>AVERAGEIFS($J$2:J7, $B$2:B7, B7)</f>
        <v>0.56999999999999995</v>
      </c>
      <c r="AD7" s="86">
        <f>AVERAGEIFS($D$2:D7, $B$2:B7, B7)</f>
        <v>1</v>
      </c>
    </row>
    <row r="8" spans="1:30" x14ac:dyDescent="0.25">
      <c r="A8" s="85">
        <v>46033</v>
      </c>
      <c r="B8" t="s">
        <v>17</v>
      </c>
      <c r="C8">
        <v>33</v>
      </c>
      <c r="D8">
        <v>0</v>
      </c>
      <c r="E8">
        <v>5</v>
      </c>
      <c r="F8">
        <v>2</v>
      </c>
      <c r="G8">
        <v>21</v>
      </c>
      <c r="H8">
        <v>9</v>
      </c>
      <c r="I8">
        <v>0.4</v>
      </c>
      <c r="J8">
        <v>0.43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1</v>
      </c>
      <c r="Z8">
        <v>1</v>
      </c>
      <c r="AA8" s="86">
        <f>AVERAGEIFS($C$2:C8, $B$2:B8, B8)</f>
        <v>33</v>
      </c>
      <c r="AB8" s="86">
        <f>AVERAGEIFS($I$2:I8, $B$2:B8, B8)</f>
        <v>0.4</v>
      </c>
      <c r="AC8" s="86">
        <f>AVERAGEIFS($J$2:J8, $B$2:B8, B8)</f>
        <v>0.43</v>
      </c>
      <c r="AD8" s="86">
        <f>AVERAGEIFS($D$2:D8, $B$2:B8, B8)</f>
        <v>0</v>
      </c>
    </row>
    <row r="9" spans="1:30" x14ac:dyDescent="0.25">
      <c r="A9" s="85">
        <v>46033</v>
      </c>
      <c r="B9" t="s">
        <v>2</v>
      </c>
      <c r="C9">
        <v>32</v>
      </c>
      <c r="D9">
        <v>0</v>
      </c>
      <c r="E9">
        <v>5</v>
      </c>
      <c r="F9">
        <v>2</v>
      </c>
      <c r="G9">
        <v>21</v>
      </c>
      <c r="H9">
        <v>9</v>
      </c>
      <c r="I9">
        <v>0.4</v>
      </c>
      <c r="J9">
        <v>0.43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1</v>
      </c>
      <c r="Z9">
        <v>1</v>
      </c>
      <c r="AA9" s="86">
        <f>AVERAGEIFS($C$2:C9, $B$2:B9, B9)</f>
        <v>32</v>
      </c>
      <c r="AB9" s="86">
        <f>AVERAGEIFS($I$2:I9, $B$2:B9, B9)</f>
        <v>0.4</v>
      </c>
      <c r="AC9" s="86">
        <f>AVERAGEIFS($J$2:J9, $B$2:B9, B9)</f>
        <v>0.43</v>
      </c>
      <c r="AD9" s="86">
        <f>AVERAGEIFS($D$2:D9, $B$2:B9, B9)</f>
        <v>0</v>
      </c>
    </row>
    <row r="10" spans="1:30" x14ac:dyDescent="0.25">
      <c r="A10" s="85">
        <v>46033</v>
      </c>
      <c r="B10" t="s">
        <v>1</v>
      </c>
      <c r="C10">
        <v>24</v>
      </c>
      <c r="D10">
        <v>0</v>
      </c>
      <c r="E10">
        <v>5</v>
      </c>
      <c r="F10">
        <v>2</v>
      </c>
      <c r="G10">
        <v>21</v>
      </c>
      <c r="H10">
        <v>9</v>
      </c>
      <c r="I10">
        <v>0.4</v>
      </c>
      <c r="J10">
        <v>0.43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1</v>
      </c>
      <c r="Z10">
        <v>1</v>
      </c>
      <c r="AA10" s="86">
        <f>AVERAGEIFS($C$2:C10, $B$2:B10, B10)</f>
        <v>24</v>
      </c>
      <c r="AB10" s="86">
        <f>AVERAGEIFS($I$2:I10, $B$2:B10, B10)</f>
        <v>0.4</v>
      </c>
      <c r="AC10" s="86">
        <f>AVERAGEIFS($J$2:J10, $B$2:B10, B10)</f>
        <v>0.43</v>
      </c>
      <c r="AD10" s="86">
        <f>AVERAGEIFS($D$2:D10, $B$2:B10, B10)</f>
        <v>0</v>
      </c>
    </row>
    <row r="11" spans="1:30" x14ac:dyDescent="0.25">
      <c r="A11" s="85">
        <v>46033</v>
      </c>
      <c r="B11" t="s">
        <v>25</v>
      </c>
      <c r="C11">
        <v>20</v>
      </c>
      <c r="D11">
        <v>0</v>
      </c>
      <c r="E11">
        <v>5</v>
      </c>
      <c r="F11">
        <v>2</v>
      </c>
      <c r="G11">
        <v>21</v>
      </c>
      <c r="H11">
        <v>9</v>
      </c>
      <c r="I11">
        <v>0.4</v>
      </c>
      <c r="J11">
        <v>0.43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  <c r="Z11">
        <v>1</v>
      </c>
      <c r="AA11" s="86">
        <f>AVERAGEIFS($C$2:C11, $B$2:B11, B11)</f>
        <v>20</v>
      </c>
      <c r="AB11" s="86">
        <f>AVERAGEIFS($I$2:I11, $B$2:B11, B11)</f>
        <v>0.4</v>
      </c>
      <c r="AC11" s="86">
        <f>AVERAGEIFS($J$2:J11, $B$2:B11, B11)</f>
        <v>0.43</v>
      </c>
      <c r="AD11" s="86">
        <f>AVERAGEIFS($D$2:D11, $B$2:B11, B11)</f>
        <v>0</v>
      </c>
    </row>
    <row r="12" spans="1:30" x14ac:dyDescent="0.25">
      <c r="A12" s="85">
        <v>46033</v>
      </c>
      <c r="B12" t="s">
        <v>28</v>
      </c>
      <c r="C12">
        <v>17</v>
      </c>
      <c r="D12">
        <v>0</v>
      </c>
      <c r="E12">
        <v>5</v>
      </c>
      <c r="F12">
        <v>2</v>
      </c>
      <c r="G12">
        <v>21</v>
      </c>
      <c r="H12">
        <v>9</v>
      </c>
      <c r="I12">
        <v>0.4</v>
      </c>
      <c r="J12">
        <v>0.43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1</v>
      </c>
      <c r="Z12">
        <v>1</v>
      </c>
      <c r="AA12" s="86">
        <f>AVERAGEIFS($C$2:C12, $B$2:B12, B12)</f>
        <v>17</v>
      </c>
      <c r="AB12" s="86">
        <f>AVERAGEIFS($I$2:I12, $B$2:B12, B12)</f>
        <v>0.4</v>
      </c>
      <c r="AC12" s="86">
        <f>AVERAGEIFS($J$2:J12, $B$2:B12, B12)</f>
        <v>0.43</v>
      </c>
      <c r="AD12" s="86">
        <f>AVERAGEIFS($D$2:D12, $B$2:B12, B12)</f>
        <v>0</v>
      </c>
    </row>
    <row r="13" spans="1:30" x14ac:dyDescent="0.25">
      <c r="A13" s="85">
        <v>46033</v>
      </c>
      <c r="B13" t="s">
        <v>27</v>
      </c>
      <c r="C13">
        <v>7</v>
      </c>
      <c r="D13">
        <v>0</v>
      </c>
      <c r="E13">
        <v>5</v>
      </c>
      <c r="F13">
        <v>2</v>
      </c>
      <c r="G13">
        <v>21</v>
      </c>
      <c r="H13">
        <v>9</v>
      </c>
      <c r="I13">
        <v>0.4</v>
      </c>
      <c r="J13">
        <v>0.43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1</v>
      </c>
      <c r="Z13">
        <v>1</v>
      </c>
      <c r="AA13" s="86">
        <f>AVERAGEIFS($C$2:C13, $B$2:B13, B13)</f>
        <v>7</v>
      </c>
      <c r="AB13" s="86">
        <f>AVERAGEIFS($I$2:I13, $B$2:B13, B13)</f>
        <v>0.4</v>
      </c>
      <c r="AC13" s="86">
        <f>AVERAGEIFS($J$2:J13, $B$2:B13, B13)</f>
        <v>0.43</v>
      </c>
      <c r="AD13" s="86">
        <f>AVERAGEIFS($D$2:D13, $B$2:B13, B13)</f>
        <v>0</v>
      </c>
    </row>
    <row r="14" spans="1:30" x14ac:dyDescent="0.25">
      <c r="A14" s="85">
        <v>46034</v>
      </c>
      <c r="B14" t="s">
        <v>18</v>
      </c>
      <c r="C14">
        <v>24</v>
      </c>
      <c r="D14">
        <v>1</v>
      </c>
      <c r="E14">
        <v>4</v>
      </c>
      <c r="F14">
        <v>3</v>
      </c>
      <c r="G14">
        <v>15</v>
      </c>
      <c r="H14">
        <v>9</v>
      </c>
      <c r="I14">
        <v>0.75</v>
      </c>
      <c r="J14">
        <v>0.6</v>
      </c>
      <c r="K14">
        <v>1</v>
      </c>
      <c r="L14">
        <v>0</v>
      </c>
      <c r="M14">
        <v>0</v>
      </c>
      <c r="N14">
        <v>1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1</v>
      </c>
      <c r="Y14">
        <v>0</v>
      </c>
      <c r="Z14">
        <v>0</v>
      </c>
      <c r="AA14" s="86">
        <f>AVERAGEIFS($C$2:C14, $B$2:B14, B14)</f>
        <v>24</v>
      </c>
      <c r="AB14" s="86">
        <f>AVERAGEIFS($I$2:I14, $B$2:B14, B14)</f>
        <v>0.75</v>
      </c>
      <c r="AC14" s="86">
        <f>AVERAGEIFS($J$2:J14, $B$2:B14, B14)</f>
        <v>0.6</v>
      </c>
      <c r="AD14" s="86">
        <f>AVERAGEIFS($D$2:D14, $B$2:B14, B14)</f>
        <v>1</v>
      </c>
    </row>
    <row r="15" spans="1:30" x14ac:dyDescent="0.25">
      <c r="A15" s="85">
        <v>46034</v>
      </c>
      <c r="B15" t="s">
        <v>37</v>
      </c>
      <c r="C15">
        <v>21</v>
      </c>
      <c r="D15">
        <v>1</v>
      </c>
      <c r="E15">
        <v>4</v>
      </c>
      <c r="F15">
        <v>3</v>
      </c>
      <c r="G15">
        <v>15</v>
      </c>
      <c r="H15">
        <v>9</v>
      </c>
      <c r="I15">
        <v>0.75</v>
      </c>
      <c r="J15">
        <v>0.6</v>
      </c>
      <c r="K15">
        <v>1</v>
      </c>
      <c r="L15">
        <v>0</v>
      </c>
      <c r="M15">
        <v>0</v>
      </c>
      <c r="N15">
        <v>1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1</v>
      </c>
      <c r="Y15">
        <v>0</v>
      </c>
      <c r="Z15">
        <v>0</v>
      </c>
      <c r="AA15" s="86">
        <f>AVERAGEIFS($C$2:C15, $B$2:B15, B15)</f>
        <v>21</v>
      </c>
      <c r="AB15" s="86">
        <f>AVERAGEIFS($I$2:I15, $B$2:B15, B15)</f>
        <v>0.75</v>
      </c>
      <c r="AC15" s="86">
        <f>AVERAGEIFS($J$2:J15, $B$2:B15, B15)</f>
        <v>0.6</v>
      </c>
      <c r="AD15" s="86">
        <f>AVERAGEIFS($D$2:D15, $B$2:B15, B15)</f>
        <v>1</v>
      </c>
    </row>
    <row r="16" spans="1:30" x14ac:dyDescent="0.25">
      <c r="A16" s="85">
        <v>46034</v>
      </c>
      <c r="B16" t="s">
        <v>15</v>
      </c>
      <c r="C16">
        <v>20</v>
      </c>
      <c r="D16">
        <v>1</v>
      </c>
      <c r="E16">
        <v>4</v>
      </c>
      <c r="F16">
        <v>3</v>
      </c>
      <c r="G16">
        <v>15</v>
      </c>
      <c r="H16">
        <v>9</v>
      </c>
      <c r="I16">
        <v>0.75</v>
      </c>
      <c r="J16">
        <v>0.6</v>
      </c>
      <c r="K16">
        <v>1</v>
      </c>
      <c r="L16">
        <v>0</v>
      </c>
      <c r="M16">
        <v>0</v>
      </c>
      <c r="N16">
        <v>1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1</v>
      </c>
      <c r="Y16">
        <v>0</v>
      </c>
      <c r="Z16">
        <v>0</v>
      </c>
      <c r="AA16" s="86">
        <f>AVERAGEIFS($C$2:C16, $B$2:B16, B16)</f>
        <v>20</v>
      </c>
      <c r="AB16" s="86">
        <f>AVERAGEIFS($I$2:I16, $B$2:B16, B16)</f>
        <v>0.75</v>
      </c>
      <c r="AC16" s="86">
        <f>AVERAGEIFS($J$2:J16, $B$2:B16, B16)</f>
        <v>0.6</v>
      </c>
      <c r="AD16" s="86">
        <f>AVERAGEIFS($D$2:D16, $B$2:B16, B16)</f>
        <v>1</v>
      </c>
    </row>
    <row r="17" spans="1:30" x14ac:dyDescent="0.25">
      <c r="A17" s="85">
        <v>46034</v>
      </c>
      <c r="B17" t="s">
        <v>51</v>
      </c>
      <c r="C17">
        <v>18</v>
      </c>
      <c r="D17">
        <v>1</v>
      </c>
      <c r="E17">
        <v>4</v>
      </c>
      <c r="F17">
        <v>3</v>
      </c>
      <c r="G17">
        <v>15</v>
      </c>
      <c r="H17">
        <v>9</v>
      </c>
      <c r="I17">
        <v>0.75</v>
      </c>
      <c r="J17">
        <v>0.6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18</v>
      </c>
      <c r="AB17" s="86">
        <f>AVERAGEIFS($I$2:I17, $B$2:B17, B17)</f>
        <v>0.75</v>
      </c>
      <c r="AC17" s="86">
        <f>AVERAGEIFS($J$2:J17, $B$2:B17, B17)</f>
        <v>0.6</v>
      </c>
      <c r="AD17" s="86">
        <f>AVERAGEIFS($D$2:D17, $B$2:B17, B17)</f>
        <v>1</v>
      </c>
    </row>
    <row r="18" spans="1:30" x14ac:dyDescent="0.25">
      <c r="A18" s="85">
        <v>46034</v>
      </c>
      <c r="B18" t="s">
        <v>19</v>
      </c>
      <c r="C18">
        <v>13</v>
      </c>
      <c r="D18">
        <v>1</v>
      </c>
      <c r="E18">
        <v>4</v>
      </c>
      <c r="F18">
        <v>3</v>
      </c>
      <c r="G18">
        <v>15</v>
      </c>
      <c r="H18">
        <v>9</v>
      </c>
      <c r="I18">
        <v>0.75</v>
      </c>
      <c r="J18">
        <v>0.6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13</v>
      </c>
      <c r="AB18" s="86">
        <f>AVERAGEIFS($I$2:I18, $B$2:B18, B18)</f>
        <v>0.75</v>
      </c>
      <c r="AC18" s="86">
        <f>AVERAGEIFS($J$2:J18, $B$2:B18, B18)</f>
        <v>0.6</v>
      </c>
      <c r="AD18" s="86">
        <f>AVERAGEIFS($D$2:D18, $B$2:B18, B18)</f>
        <v>1</v>
      </c>
    </row>
    <row r="19" spans="1:30" x14ac:dyDescent="0.25">
      <c r="A19" s="85">
        <v>46034</v>
      </c>
      <c r="B19" t="s">
        <v>20</v>
      </c>
      <c r="C19">
        <v>7</v>
      </c>
      <c r="D19">
        <v>1</v>
      </c>
      <c r="E19">
        <v>4</v>
      </c>
      <c r="F19">
        <v>3</v>
      </c>
      <c r="G19">
        <v>15</v>
      </c>
      <c r="H19">
        <v>9</v>
      </c>
      <c r="I19">
        <v>0.75</v>
      </c>
      <c r="J19">
        <v>0.6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7</v>
      </c>
      <c r="AB19" s="86">
        <f>AVERAGEIFS($I$2:I19, $B$2:B19, B19)</f>
        <v>0.75</v>
      </c>
      <c r="AC19" s="86">
        <f>AVERAGEIFS($J$2:J19, $B$2:B19, B19)</f>
        <v>0.6</v>
      </c>
      <c r="AD19" s="86">
        <f>AVERAGEIFS($D$2:D19, $B$2:B19, B19)</f>
        <v>1</v>
      </c>
    </row>
    <row r="20" spans="1:30" x14ac:dyDescent="0.25">
      <c r="A20" s="85">
        <v>46034</v>
      </c>
      <c r="B20" t="s">
        <v>14</v>
      </c>
      <c r="C20">
        <v>24</v>
      </c>
      <c r="D20">
        <v>0</v>
      </c>
      <c r="E20">
        <v>4</v>
      </c>
      <c r="F20">
        <v>1</v>
      </c>
      <c r="G20">
        <v>15</v>
      </c>
      <c r="H20">
        <v>6</v>
      </c>
      <c r="I20">
        <v>0.25</v>
      </c>
      <c r="J20">
        <v>0.4</v>
      </c>
      <c r="K20">
        <v>0</v>
      </c>
      <c r="L20">
        <v>0</v>
      </c>
      <c r="M20">
        <v>0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 s="86">
        <f>AVERAGEIFS($C$2:C20, $B$2:B20, B20)</f>
        <v>24</v>
      </c>
      <c r="AB20" s="86">
        <f>AVERAGEIFS($I$2:I20, $B$2:B20, B20)</f>
        <v>0.25</v>
      </c>
      <c r="AC20" s="86">
        <f>AVERAGEIFS($J$2:J20, $B$2:B20, B20)</f>
        <v>0.4</v>
      </c>
      <c r="AD20" s="86">
        <f>AVERAGEIFS($D$2:D20, $B$2:B20, B20)</f>
        <v>0</v>
      </c>
    </row>
    <row r="21" spans="1:30" x14ac:dyDescent="0.25">
      <c r="A21" s="85">
        <v>46034</v>
      </c>
      <c r="B21" t="s">
        <v>5</v>
      </c>
      <c r="C21">
        <v>24</v>
      </c>
      <c r="D21">
        <v>0</v>
      </c>
      <c r="E21">
        <v>4</v>
      </c>
      <c r="F21">
        <v>1</v>
      </c>
      <c r="G21">
        <v>15</v>
      </c>
      <c r="H21">
        <v>6</v>
      </c>
      <c r="I21">
        <v>0.25</v>
      </c>
      <c r="J21">
        <v>0.4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 s="86">
        <f>AVERAGEIFS($C$2:C21, $B$2:B21, B21)</f>
        <v>24</v>
      </c>
      <c r="AB21" s="86">
        <f>AVERAGEIFS($I$2:I21, $B$2:B21, B21)</f>
        <v>0.25</v>
      </c>
      <c r="AC21" s="86">
        <f>AVERAGEIFS($J$2:J21, $B$2:B21, B21)</f>
        <v>0.4</v>
      </c>
      <c r="AD21" s="86">
        <f>AVERAGEIFS($D$2:D21, $B$2:B21, B21)</f>
        <v>0</v>
      </c>
    </row>
    <row r="22" spans="1:30" x14ac:dyDescent="0.25">
      <c r="A22" s="85">
        <v>46034</v>
      </c>
      <c r="B22" t="s">
        <v>46</v>
      </c>
      <c r="C22">
        <v>16</v>
      </c>
      <c r="D22">
        <v>0</v>
      </c>
      <c r="E22">
        <v>4</v>
      </c>
      <c r="F22">
        <v>1</v>
      </c>
      <c r="G22">
        <v>15</v>
      </c>
      <c r="H22">
        <v>6</v>
      </c>
      <c r="I22">
        <v>0.25</v>
      </c>
      <c r="J22">
        <v>0.4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16</v>
      </c>
      <c r="AB22" s="86">
        <f>AVERAGEIFS($I$2:I22, $B$2:B22, B22)</f>
        <v>0.25</v>
      </c>
      <c r="AC22" s="86">
        <f>AVERAGEIFS($J$2:J22, $B$2:B22, B22)</f>
        <v>0.4</v>
      </c>
      <c r="AD22" s="86">
        <f>AVERAGEIFS($D$2:D22, $B$2:B22, B22)</f>
        <v>0</v>
      </c>
    </row>
    <row r="23" spans="1:30" x14ac:dyDescent="0.25">
      <c r="A23" s="85">
        <v>46034</v>
      </c>
      <c r="B23" t="s">
        <v>45</v>
      </c>
      <c r="C23">
        <v>14</v>
      </c>
      <c r="D23" s="103">
        <v>0</v>
      </c>
      <c r="E23">
        <v>4</v>
      </c>
      <c r="F23">
        <v>1</v>
      </c>
      <c r="G23">
        <v>15</v>
      </c>
      <c r="H23">
        <v>6</v>
      </c>
      <c r="I23">
        <v>0.25</v>
      </c>
      <c r="J23">
        <v>0.4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14</v>
      </c>
      <c r="AB23" s="86">
        <f>AVERAGEIFS($I$2:I23, $B$2:B23, B23)</f>
        <v>0.25</v>
      </c>
      <c r="AC23" s="86">
        <f>AVERAGEIFS($J$2:J23, $B$2:B23, B23)</f>
        <v>0.4</v>
      </c>
      <c r="AD23" s="86">
        <f>AVERAGEIFS($D$2:D23, $B$2:B23, B23)</f>
        <v>0</v>
      </c>
    </row>
    <row r="24" spans="1:30" x14ac:dyDescent="0.25">
      <c r="A24" s="85">
        <v>46034</v>
      </c>
      <c r="B24" t="s">
        <v>29</v>
      </c>
      <c r="C24">
        <v>8</v>
      </c>
      <c r="D24">
        <v>0</v>
      </c>
      <c r="E24">
        <v>4</v>
      </c>
      <c r="F24">
        <v>1</v>
      </c>
      <c r="G24">
        <v>15</v>
      </c>
      <c r="H24">
        <v>6</v>
      </c>
      <c r="I24">
        <v>0.25</v>
      </c>
      <c r="J24">
        <v>0.4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8</v>
      </c>
      <c r="AB24" s="86">
        <f>AVERAGEIFS($I$2:I24, $B$2:B24, B24)</f>
        <v>0.25</v>
      </c>
      <c r="AC24" s="86">
        <f>AVERAGEIFS($J$2:J24, $B$2:B24, B24)</f>
        <v>0.4</v>
      </c>
      <c r="AD24" s="86">
        <f>AVERAGEIFS($D$2:D24, $B$2:B24, B24)</f>
        <v>0</v>
      </c>
    </row>
    <row r="25" spans="1:30" x14ac:dyDescent="0.25">
      <c r="A25" s="85">
        <v>46034</v>
      </c>
      <c r="B25" t="s">
        <v>35</v>
      </c>
      <c r="C25">
        <v>6</v>
      </c>
      <c r="D25">
        <v>0</v>
      </c>
      <c r="E25">
        <v>4</v>
      </c>
      <c r="F25">
        <v>1</v>
      </c>
      <c r="G25">
        <v>15</v>
      </c>
      <c r="H25">
        <v>6</v>
      </c>
      <c r="I25">
        <v>0.25</v>
      </c>
      <c r="J25">
        <v>0.4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6</v>
      </c>
      <c r="AB25" s="86">
        <f>AVERAGEIFS($I$2:I25, $B$2:B25, B25)</f>
        <v>0.25</v>
      </c>
      <c r="AC25" s="86">
        <f>AVERAGEIFS($J$2:J25, $B$2:B25, B25)</f>
        <v>0.4</v>
      </c>
      <c r="AD25" s="86">
        <f>AVERAGEIFS($D$2:D25, $B$2:B25, B25)</f>
        <v>0</v>
      </c>
    </row>
    <row r="26" spans="1:30" x14ac:dyDescent="0.25">
      <c r="A26" s="85">
        <v>46040</v>
      </c>
      <c r="B26" t="s">
        <v>3</v>
      </c>
      <c r="C26">
        <v>44</v>
      </c>
      <c r="D26" s="86">
        <v>1</v>
      </c>
      <c r="E26">
        <v>5</v>
      </c>
      <c r="F26">
        <v>3</v>
      </c>
      <c r="G26">
        <v>19</v>
      </c>
      <c r="H26">
        <v>11</v>
      </c>
      <c r="I26">
        <v>0.6</v>
      </c>
      <c r="J26">
        <v>0.57999999999999996</v>
      </c>
      <c r="K26">
        <v>0</v>
      </c>
      <c r="L26">
        <v>0</v>
      </c>
      <c r="M26">
        <v>0</v>
      </c>
      <c r="N26">
        <v>0</v>
      </c>
      <c r="O26">
        <v>1</v>
      </c>
      <c r="P26">
        <v>1</v>
      </c>
      <c r="Q26">
        <v>1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35</v>
      </c>
      <c r="AB26" s="86">
        <f>AVERAGEIFS($I$2:I26, $B$2:B26, B26)</f>
        <v>0.6</v>
      </c>
      <c r="AC26" s="86">
        <f>AVERAGEIFS($J$2:J26, $B$2:B26, B26)</f>
        <v>0.57499999999999996</v>
      </c>
      <c r="AD26" s="86">
        <f>AVERAGEIFS($D$2:D26, $B$2:B26, B26)</f>
        <v>1</v>
      </c>
    </row>
    <row r="27" spans="1:30" x14ac:dyDescent="0.25">
      <c r="A27" s="85">
        <v>46040</v>
      </c>
      <c r="B27" t="s">
        <v>13</v>
      </c>
      <c r="C27">
        <v>29</v>
      </c>
      <c r="D27" s="86">
        <v>1</v>
      </c>
      <c r="E27">
        <v>5</v>
      </c>
      <c r="F27">
        <v>3</v>
      </c>
      <c r="G27">
        <v>19</v>
      </c>
      <c r="H27">
        <v>11</v>
      </c>
      <c r="I27">
        <v>0.6</v>
      </c>
      <c r="J27">
        <v>0.57999999999999996</v>
      </c>
      <c r="K27">
        <v>0</v>
      </c>
      <c r="L27">
        <v>0</v>
      </c>
      <c r="M27">
        <v>0</v>
      </c>
      <c r="N27">
        <v>0</v>
      </c>
      <c r="O27">
        <v>1</v>
      </c>
      <c r="P27">
        <v>1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 s="86">
        <f>AVERAGEIFS($C$2:C27, $B$2:B27, B27)</f>
        <v>39.5</v>
      </c>
      <c r="AB27" s="86">
        <f>AVERAGEIFS($I$2:I27, $B$2:B27, B27)</f>
        <v>0.6</v>
      </c>
      <c r="AC27" s="86">
        <f>AVERAGEIFS($J$2:J27, $B$2:B27, B27)</f>
        <v>0.57499999999999996</v>
      </c>
      <c r="AD27" s="86">
        <f>AVERAGEIFS($D$2:D27, $B$2:B27, B27)</f>
        <v>1</v>
      </c>
    </row>
    <row r="28" spans="1:30" x14ac:dyDescent="0.25">
      <c r="A28" s="85">
        <v>46040</v>
      </c>
      <c r="B28" t="s">
        <v>54</v>
      </c>
      <c r="C28">
        <v>24</v>
      </c>
      <c r="D28" s="86">
        <v>1</v>
      </c>
      <c r="E28">
        <v>5</v>
      </c>
      <c r="F28">
        <v>3</v>
      </c>
      <c r="G28">
        <v>19</v>
      </c>
      <c r="H28">
        <v>11</v>
      </c>
      <c r="I28">
        <v>0.6</v>
      </c>
      <c r="J28">
        <v>0.57999999999999996</v>
      </c>
      <c r="K28">
        <v>0</v>
      </c>
      <c r="L28">
        <v>0</v>
      </c>
      <c r="M28">
        <v>0</v>
      </c>
      <c r="N28">
        <v>0</v>
      </c>
      <c r="O28">
        <v>1</v>
      </c>
      <c r="P28">
        <v>1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 s="86">
        <f>AVERAGEIFS($C$2:C28, $B$2:B28, B28)</f>
        <v>26.5</v>
      </c>
      <c r="AB28" s="86">
        <f>AVERAGEIFS($I$2:I28, $B$2:B28, B28)</f>
        <v>0.6</v>
      </c>
      <c r="AC28" s="86">
        <f>AVERAGEIFS($J$2:J28, $B$2:B28, B28)</f>
        <v>0.57499999999999996</v>
      </c>
      <c r="AD28" s="86">
        <f>AVERAGEIFS($D$2:D28, $B$2:B28, B28)</f>
        <v>1</v>
      </c>
    </row>
    <row r="29" spans="1:30" x14ac:dyDescent="0.25">
      <c r="A29" s="85">
        <v>46040</v>
      </c>
      <c r="B29" t="s">
        <v>26</v>
      </c>
      <c r="C29">
        <v>19</v>
      </c>
      <c r="D29" s="86">
        <v>1</v>
      </c>
      <c r="E29">
        <v>5</v>
      </c>
      <c r="F29">
        <v>3</v>
      </c>
      <c r="G29">
        <v>19</v>
      </c>
      <c r="H29">
        <v>11</v>
      </c>
      <c r="I29">
        <v>0.6</v>
      </c>
      <c r="J29">
        <v>0.57999999999999996</v>
      </c>
      <c r="K29">
        <v>0</v>
      </c>
      <c r="L29">
        <v>0</v>
      </c>
      <c r="M29">
        <v>0</v>
      </c>
      <c r="N29">
        <v>0</v>
      </c>
      <c r="O29">
        <v>1</v>
      </c>
      <c r="P29">
        <v>1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 s="86">
        <f>AVERAGEIFS($C$2:C29, $B$2:B29, B29)</f>
        <v>13.5</v>
      </c>
      <c r="AB29" s="86">
        <f>AVERAGEIFS($I$2:I29, $B$2:B29, B29)</f>
        <v>0.6</v>
      </c>
      <c r="AC29" s="86">
        <f>AVERAGEIFS($J$2:J29, $B$2:B29, B29)</f>
        <v>0.57499999999999996</v>
      </c>
      <c r="AD29" s="86">
        <f>AVERAGEIFS($D$2:D29, $B$2:B29, B29)</f>
        <v>1</v>
      </c>
    </row>
    <row r="30" spans="1:30" x14ac:dyDescent="0.25">
      <c r="A30" s="85">
        <v>46040</v>
      </c>
      <c r="B30" t="s">
        <v>27</v>
      </c>
      <c r="C30">
        <v>17</v>
      </c>
      <c r="D30" s="86">
        <v>1</v>
      </c>
      <c r="E30">
        <v>5</v>
      </c>
      <c r="F30">
        <v>3</v>
      </c>
      <c r="G30">
        <v>19</v>
      </c>
      <c r="H30">
        <v>11</v>
      </c>
      <c r="I30">
        <v>0.6</v>
      </c>
      <c r="J30">
        <v>0.57999999999999996</v>
      </c>
      <c r="K30">
        <v>0</v>
      </c>
      <c r="L30">
        <v>0</v>
      </c>
      <c r="M30">
        <v>0</v>
      </c>
      <c r="N30">
        <v>0</v>
      </c>
      <c r="O30">
        <v>1</v>
      </c>
      <c r="P30">
        <v>1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 s="86">
        <f>AVERAGEIFS($C$2:C30, $B$2:B30, B30)</f>
        <v>12</v>
      </c>
      <c r="AB30" s="86">
        <f>AVERAGEIFS($I$2:I30, $B$2:B30, B30)</f>
        <v>0.5</v>
      </c>
      <c r="AC30" s="86">
        <f>AVERAGEIFS($J$2:J30, $B$2:B30, B30)</f>
        <v>0.505</v>
      </c>
      <c r="AD30" s="86">
        <f>AVERAGEIFS($D$2:D30, $B$2:B30, B30)</f>
        <v>0.5</v>
      </c>
    </row>
    <row r="31" spans="1:30" x14ac:dyDescent="0.25">
      <c r="A31" s="85">
        <v>46040</v>
      </c>
      <c r="B31" t="s">
        <v>53</v>
      </c>
      <c r="C31">
        <v>11</v>
      </c>
      <c r="D31" s="86">
        <v>1</v>
      </c>
      <c r="E31">
        <v>5</v>
      </c>
      <c r="F31">
        <v>3</v>
      </c>
      <c r="G31">
        <v>19</v>
      </c>
      <c r="H31">
        <v>11</v>
      </c>
      <c r="I31">
        <v>0.6</v>
      </c>
      <c r="J31">
        <v>0.57999999999999996</v>
      </c>
      <c r="K31">
        <v>0</v>
      </c>
      <c r="L31">
        <v>0</v>
      </c>
      <c r="M31">
        <v>0</v>
      </c>
      <c r="N31">
        <v>0</v>
      </c>
      <c r="O31">
        <v>1</v>
      </c>
      <c r="P31">
        <v>1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 s="86">
        <f>AVERAGEIFS($C$2:C31, $B$2:B31, B31)</f>
        <v>18</v>
      </c>
      <c r="AB31" s="86">
        <f>AVERAGEIFS($I$2:I31, $B$2:B31, B31)</f>
        <v>0.6</v>
      </c>
      <c r="AC31" s="86">
        <f>AVERAGEIFS($J$2:J31, $B$2:B31, B31)</f>
        <v>0.57499999999999996</v>
      </c>
      <c r="AD31" s="86">
        <f>AVERAGEIFS($D$2:D31, $B$2:B31, B31)</f>
        <v>1</v>
      </c>
    </row>
    <row r="32" spans="1:30" x14ac:dyDescent="0.25">
      <c r="A32" s="85">
        <v>46040</v>
      </c>
      <c r="B32" t="s">
        <v>18</v>
      </c>
      <c r="C32">
        <v>35</v>
      </c>
      <c r="D32" s="86">
        <v>0</v>
      </c>
      <c r="E32">
        <v>5</v>
      </c>
      <c r="F32">
        <v>2</v>
      </c>
      <c r="G32">
        <v>19</v>
      </c>
      <c r="H32">
        <v>8</v>
      </c>
      <c r="I32">
        <v>0.4</v>
      </c>
      <c r="J32">
        <v>0.42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1</v>
      </c>
      <c r="Y32">
        <v>0</v>
      </c>
      <c r="Z32">
        <v>1</v>
      </c>
      <c r="AA32" s="86">
        <f>AVERAGEIFS($C$2:C32, $B$2:B32, B32)</f>
        <v>29.5</v>
      </c>
      <c r="AB32" s="86">
        <f>AVERAGEIFS($I$2:I32, $B$2:B32, B32)</f>
        <v>0.57499999999999996</v>
      </c>
      <c r="AC32" s="86">
        <f>AVERAGEIFS($J$2:J32, $B$2:B32, B32)</f>
        <v>0.51</v>
      </c>
      <c r="AD32" s="86">
        <f>AVERAGEIFS($D$2:D32, $B$2:B32, B32)</f>
        <v>0.5</v>
      </c>
    </row>
    <row r="33" spans="1:30" x14ac:dyDescent="0.25">
      <c r="A33" s="85">
        <v>46040</v>
      </c>
      <c r="B33" t="s">
        <v>15</v>
      </c>
      <c r="C33">
        <v>33</v>
      </c>
      <c r="D33" s="86">
        <v>0</v>
      </c>
      <c r="E33">
        <v>5</v>
      </c>
      <c r="F33">
        <v>2</v>
      </c>
      <c r="G33">
        <v>19</v>
      </c>
      <c r="H33">
        <v>8</v>
      </c>
      <c r="I33">
        <v>0.4</v>
      </c>
      <c r="J33">
        <v>0.42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1</v>
      </c>
      <c r="Y33">
        <v>0</v>
      </c>
      <c r="Z33">
        <v>1</v>
      </c>
      <c r="AA33" s="86">
        <f>AVERAGEIFS($C$2:C33, $B$2:B33, B33)</f>
        <v>26.5</v>
      </c>
      <c r="AB33" s="86">
        <f>AVERAGEIFS($I$2:I33, $B$2:B33, B33)</f>
        <v>0.57499999999999996</v>
      </c>
      <c r="AC33" s="86">
        <f>AVERAGEIFS($J$2:J33, $B$2:B33, B33)</f>
        <v>0.51</v>
      </c>
      <c r="AD33" s="86">
        <f>AVERAGEIFS($D$2:D33, $B$2:B33, B33)</f>
        <v>0.5</v>
      </c>
    </row>
    <row r="34" spans="1:30" x14ac:dyDescent="0.25">
      <c r="A34" s="85">
        <v>46040</v>
      </c>
      <c r="B34" t="s">
        <v>51</v>
      </c>
      <c r="C34">
        <v>19</v>
      </c>
      <c r="D34" s="86">
        <v>0</v>
      </c>
      <c r="E34">
        <v>5</v>
      </c>
      <c r="F34">
        <v>2</v>
      </c>
      <c r="G34">
        <v>19</v>
      </c>
      <c r="H34">
        <v>8</v>
      </c>
      <c r="I34">
        <v>0.4</v>
      </c>
      <c r="J34">
        <v>0.42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1</v>
      </c>
      <c r="Y34">
        <v>0</v>
      </c>
      <c r="Z34">
        <v>1</v>
      </c>
      <c r="AA34" s="86">
        <f>AVERAGEIFS($C$2:C34, $B$2:B34, B34)</f>
        <v>18.5</v>
      </c>
      <c r="AB34" s="86">
        <f>AVERAGEIFS($I$2:I34, $B$2:B34, B34)</f>
        <v>0.57499999999999996</v>
      </c>
      <c r="AC34" s="86">
        <f>AVERAGEIFS($J$2:J34, $B$2:B34, B34)</f>
        <v>0.51</v>
      </c>
      <c r="AD34" s="86">
        <f>AVERAGEIFS($D$2:D34, $B$2:B34, B34)</f>
        <v>0.5</v>
      </c>
    </row>
    <row r="35" spans="1:30" x14ac:dyDescent="0.25">
      <c r="A35" s="85">
        <v>46040</v>
      </c>
      <c r="B35" t="s">
        <v>37</v>
      </c>
      <c r="C35">
        <v>17</v>
      </c>
      <c r="D35" s="86">
        <v>0</v>
      </c>
      <c r="E35">
        <v>5</v>
      </c>
      <c r="F35">
        <v>2</v>
      </c>
      <c r="G35">
        <v>19</v>
      </c>
      <c r="H35">
        <v>8</v>
      </c>
      <c r="I35">
        <v>0.4</v>
      </c>
      <c r="J35">
        <v>0.42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1</v>
      </c>
      <c r="Y35">
        <v>0</v>
      </c>
      <c r="Z35">
        <v>1</v>
      </c>
      <c r="AA35" s="86">
        <f>AVERAGEIFS($C$2:C35, $B$2:B35, B35)</f>
        <v>19</v>
      </c>
      <c r="AB35" s="86">
        <f>AVERAGEIFS($I$2:I35, $B$2:B35, B35)</f>
        <v>0.57499999999999996</v>
      </c>
      <c r="AC35" s="86">
        <f>AVERAGEIFS($J$2:J35, $B$2:B35, B35)</f>
        <v>0.51</v>
      </c>
      <c r="AD35" s="86">
        <f>AVERAGEIFS($D$2:D35, $B$2:B35, B35)</f>
        <v>0.5</v>
      </c>
    </row>
    <row r="36" spans="1:30" x14ac:dyDescent="0.25">
      <c r="A36" s="85">
        <v>46040</v>
      </c>
      <c r="B36" t="s">
        <v>20</v>
      </c>
      <c r="C36">
        <v>17</v>
      </c>
      <c r="D36" s="86">
        <v>0</v>
      </c>
      <c r="E36">
        <v>5</v>
      </c>
      <c r="F36">
        <v>2</v>
      </c>
      <c r="G36">
        <v>19</v>
      </c>
      <c r="H36">
        <v>8</v>
      </c>
      <c r="I36">
        <v>0.4</v>
      </c>
      <c r="J36">
        <v>0.42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1</v>
      </c>
      <c r="Y36">
        <v>0</v>
      </c>
      <c r="Z36">
        <v>1</v>
      </c>
      <c r="AA36" s="86">
        <f>AVERAGEIFS($C$2:C36, $B$2:B36, B36)</f>
        <v>12</v>
      </c>
      <c r="AB36" s="86">
        <f>AVERAGEIFS($I$2:I36, $B$2:B36, B36)</f>
        <v>0.57499999999999996</v>
      </c>
      <c r="AC36" s="86">
        <f>AVERAGEIFS($J$2:J36, $B$2:B36, B36)</f>
        <v>0.51</v>
      </c>
      <c r="AD36" s="86">
        <f>AVERAGEIFS($D$2:D36, $B$2:B36, B36)</f>
        <v>0.5</v>
      </c>
    </row>
    <row r="37" spans="1:30" x14ac:dyDescent="0.25">
      <c r="A37" s="85">
        <v>46040</v>
      </c>
      <c r="B37" t="s">
        <v>19</v>
      </c>
      <c r="C37">
        <v>16</v>
      </c>
      <c r="D37" s="86">
        <v>0</v>
      </c>
      <c r="E37">
        <v>5</v>
      </c>
      <c r="F37">
        <v>2</v>
      </c>
      <c r="G37">
        <v>19</v>
      </c>
      <c r="H37">
        <v>8</v>
      </c>
      <c r="I37">
        <v>0.4</v>
      </c>
      <c r="J37">
        <v>0.42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1</v>
      </c>
      <c r="Y37">
        <v>0</v>
      </c>
      <c r="Z37">
        <v>1</v>
      </c>
      <c r="AA37" s="86">
        <f>AVERAGEIFS($C$2:C37, $B$2:B37, B37)</f>
        <v>14.5</v>
      </c>
      <c r="AB37" s="86">
        <f>AVERAGEIFS($I$2:I37, $B$2:B37, B37)</f>
        <v>0.57499999999999996</v>
      </c>
      <c r="AC37" s="86">
        <f>AVERAGEIFS($J$2:J37, $B$2:B37, B37)</f>
        <v>0.51</v>
      </c>
      <c r="AD37" s="86">
        <f>AVERAGEIFS($D$2:D37, $B$2:B37, B37)</f>
        <v>0.5</v>
      </c>
    </row>
    <row r="38" spans="1:30" x14ac:dyDescent="0.25">
      <c r="A38" s="85">
        <v>46047</v>
      </c>
      <c r="B38" t="s">
        <v>15</v>
      </c>
      <c r="C38">
        <v>24</v>
      </c>
      <c r="D38" s="86">
        <v>1</v>
      </c>
      <c r="E38">
        <v>3</v>
      </c>
      <c r="F38">
        <v>3</v>
      </c>
      <c r="G38">
        <v>13</v>
      </c>
      <c r="H38">
        <v>9</v>
      </c>
      <c r="I38">
        <v>1</v>
      </c>
      <c r="J38">
        <v>0.69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1</v>
      </c>
      <c r="Y38">
        <v>0</v>
      </c>
      <c r="Z38">
        <v>1</v>
      </c>
      <c r="AA38" s="86">
        <f>AVERAGEIFS($C$2:C38, $B$2:B38, B38)</f>
        <v>25.666666666666668</v>
      </c>
      <c r="AB38" s="86">
        <f>AVERAGEIFS($I$2:I38, $B$2:B38, B38)</f>
        <v>0.71666666666666667</v>
      </c>
      <c r="AC38" s="86">
        <f>AVERAGEIFS($J$2:J38, $B$2:B38, B38)</f>
        <v>0.56999999999999995</v>
      </c>
      <c r="AD38" s="86">
        <f>AVERAGEIFS($D$2:D38, $B$2:B38, B38)</f>
        <v>0.66666666666666663</v>
      </c>
    </row>
    <row r="39" spans="1:30" x14ac:dyDescent="0.25">
      <c r="A39" s="85">
        <v>46047</v>
      </c>
      <c r="B39" t="s">
        <v>17</v>
      </c>
      <c r="C39">
        <v>22</v>
      </c>
      <c r="D39" s="86">
        <v>1</v>
      </c>
      <c r="E39">
        <v>3</v>
      </c>
      <c r="F39">
        <v>3</v>
      </c>
      <c r="G39">
        <v>13</v>
      </c>
      <c r="H39">
        <v>9</v>
      </c>
      <c r="I39">
        <v>1</v>
      </c>
      <c r="J39">
        <v>0.69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1</v>
      </c>
      <c r="Y39">
        <v>0</v>
      </c>
      <c r="Z39">
        <v>1</v>
      </c>
      <c r="AA39" s="86">
        <f>AVERAGEIFS($C$2:C39, $B$2:B39, B39)</f>
        <v>27.5</v>
      </c>
      <c r="AB39" s="86">
        <f>AVERAGEIFS($I$2:I39, $B$2:B39, B39)</f>
        <v>0.7</v>
      </c>
      <c r="AC39" s="86">
        <f>AVERAGEIFS($J$2:J39, $B$2:B39, B39)</f>
        <v>0.55999999999999994</v>
      </c>
      <c r="AD39" s="86">
        <f>AVERAGEIFS($D$2:D39, $B$2:B39, B39)</f>
        <v>0.5</v>
      </c>
    </row>
    <row r="40" spans="1:30" x14ac:dyDescent="0.25">
      <c r="A40" s="85">
        <v>46047</v>
      </c>
      <c r="B40" t="s">
        <v>6</v>
      </c>
      <c r="C40">
        <v>17</v>
      </c>
      <c r="D40" s="86">
        <v>1</v>
      </c>
      <c r="E40">
        <v>3</v>
      </c>
      <c r="F40">
        <v>3</v>
      </c>
      <c r="G40">
        <v>13</v>
      </c>
      <c r="H40">
        <v>9</v>
      </c>
      <c r="I40">
        <v>1</v>
      </c>
      <c r="J40">
        <v>0.69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1</v>
      </c>
      <c r="Y40">
        <v>0</v>
      </c>
      <c r="Z40">
        <v>1</v>
      </c>
      <c r="AA40" s="86">
        <f>AVERAGEIFS($C$2:C40, $B$2:B40, B40)</f>
        <v>17</v>
      </c>
      <c r="AB40" s="86">
        <f>AVERAGEIFS($I$2:I40, $B$2:B40, B40)</f>
        <v>1</v>
      </c>
      <c r="AC40" s="86">
        <f>AVERAGEIFS($J$2:J40, $B$2:B40, B40)</f>
        <v>0.69</v>
      </c>
      <c r="AD40" s="86">
        <f>AVERAGEIFS($D$2:D40, $B$2:B40, B40)</f>
        <v>1</v>
      </c>
    </row>
    <row r="41" spans="1:30" x14ac:dyDescent="0.25">
      <c r="A41" s="85">
        <v>46047</v>
      </c>
      <c r="B41" t="s">
        <v>19</v>
      </c>
      <c r="C41">
        <v>11</v>
      </c>
      <c r="D41" s="86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1</v>
      </c>
      <c r="Y41">
        <v>0</v>
      </c>
      <c r="Z41">
        <v>1</v>
      </c>
      <c r="AA41" s="86">
        <f>AVERAGEIFS($C$2:C41, $B$2:B41, B41)</f>
        <v>13.333333333333334</v>
      </c>
      <c r="AB41" s="86">
        <f>AVERAGEIFS($I$2:I41, $B$2:B41, B41)</f>
        <v>0.71666666666666667</v>
      </c>
      <c r="AC41" s="86">
        <f>AVERAGEIFS($J$2:J41, $B$2:B41, B41)</f>
        <v>0.56999999999999995</v>
      </c>
      <c r="AD41" s="86">
        <f>AVERAGEIFS($D$2:D41, $B$2:B41, B41)</f>
        <v>0.66666666666666663</v>
      </c>
    </row>
    <row r="42" spans="1:30" x14ac:dyDescent="0.25">
      <c r="A42" s="85">
        <v>46047</v>
      </c>
      <c r="B42" t="s">
        <v>51</v>
      </c>
      <c r="C42">
        <v>8</v>
      </c>
      <c r="D42" s="86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1</v>
      </c>
      <c r="Y42">
        <v>0</v>
      </c>
      <c r="Z42">
        <v>1</v>
      </c>
      <c r="AA42" s="86">
        <f>AVERAGEIFS($C$2:C42, $B$2:B42, B42)</f>
        <v>15</v>
      </c>
      <c r="AB42" s="86">
        <f>AVERAGEIFS($I$2:I42, $B$2:B42, B42)</f>
        <v>0.71666666666666667</v>
      </c>
      <c r="AC42" s="86">
        <f>AVERAGEIFS($J$2:J42, $B$2:B42, B42)</f>
        <v>0.56999999999999995</v>
      </c>
      <c r="AD42" s="86">
        <f>AVERAGEIFS($D$2:D42, $B$2:B42, B42)</f>
        <v>0.66666666666666663</v>
      </c>
    </row>
    <row r="43" spans="1:30" x14ac:dyDescent="0.25">
      <c r="A43" s="85">
        <v>46047</v>
      </c>
      <c r="B43" t="s">
        <v>137</v>
      </c>
      <c r="C43">
        <v>7</v>
      </c>
      <c r="D43" s="86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1</v>
      </c>
      <c r="X43">
        <v>1</v>
      </c>
      <c r="Y43">
        <v>0</v>
      </c>
      <c r="Z43">
        <v>1</v>
      </c>
      <c r="AA43" s="86">
        <f>AVERAGEIFS($C$2:C43, $B$2:B43, B43)</f>
        <v>7</v>
      </c>
      <c r="AB43" s="86">
        <f>AVERAGEIFS($I$2:I43, $B$2:B43, B43)</f>
        <v>1</v>
      </c>
      <c r="AC43" s="86">
        <f>AVERAGEIFS($J$2:J43, $B$2:B43, B43)</f>
        <v>0.69</v>
      </c>
      <c r="AD43" s="86">
        <f>AVERAGEIFS($D$2:D43, $B$2:B43, B43)</f>
        <v>1</v>
      </c>
    </row>
    <row r="44" spans="1:30" x14ac:dyDescent="0.25">
      <c r="A44" s="85">
        <v>46047</v>
      </c>
      <c r="B44" t="s">
        <v>13</v>
      </c>
      <c r="C44">
        <v>26</v>
      </c>
      <c r="D44" s="86">
        <v>0</v>
      </c>
      <c r="E44">
        <v>3</v>
      </c>
      <c r="F44">
        <v>0</v>
      </c>
      <c r="G44">
        <v>13</v>
      </c>
      <c r="H44">
        <v>4</v>
      </c>
      <c r="I44">
        <v>0</v>
      </c>
      <c r="J44">
        <v>0.31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 s="86">
        <f>AVERAGEIFS($C$2:C44, $B$2:B44, B44)</f>
        <v>35</v>
      </c>
      <c r="AB44" s="86">
        <f>AVERAGEIFS($I$2:I44, $B$2:B44, B44)</f>
        <v>0.39999999999999997</v>
      </c>
      <c r="AC44" s="86">
        <f>AVERAGEIFS($J$2:J44, $B$2:B44, B44)</f>
        <v>0.48666666666666664</v>
      </c>
      <c r="AD44" s="86">
        <f>AVERAGEIFS($D$2:D44, $B$2:B44, B44)</f>
        <v>0.66666666666666663</v>
      </c>
    </row>
    <row r="45" spans="1:30" x14ac:dyDescent="0.25">
      <c r="A45" s="85">
        <v>46047</v>
      </c>
      <c r="B45" t="s">
        <v>46</v>
      </c>
      <c r="C45">
        <v>17</v>
      </c>
      <c r="D45" s="86">
        <v>0</v>
      </c>
      <c r="E45">
        <v>3</v>
      </c>
      <c r="F45">
        <v>0</v>
      </c>
      <c r="G45">
        <v>13</v>
      </c>
      <c r="H45">
        <v>4</v>
      </c>
      <c r="I45">
        <v>0</v>
      </c>
      <c r="J45">
        <v>0.31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 s="86">
        <f>AVERAGEIFS($C$2:C45, $B$2:B45, B45)</f>
        <v>16.5</v>
      </c>
      <c r="AB45" s="86">
        <f>AVERAGEIFS($I$2:I45, $B$2:B45, B45)</f>
        <v>0.125</v>
      </c>
      <c r="AC45" s="86">
        <f>AVERAGEIFS($J$2:J45, $B$2:B45, B45)</f>
        <v>0.35499999999999998</v>
      </c>
      <c r="AD45" s="86">
        <f>AVERAGEIFS($D$2:D45, $B$2:B45, B45)</f>
        <v>0</v>
      </c>
    </row>
    <row r="46" spans="1:30" x14ac:dyDescent="0.25">
      <c r="A46" s="85">
        <v>46047</v>
      </c>
      <c r="B46" t="s">
        <v>45</v>
      </c>
      <c r="C46">
        <v>10</v>
      </c>
      <c r="D46" s="86">
        <v>0</v>
      </c>
      <c r="E46">
        <v>3</v>
      </c>
      <c r="F46">
        <v>0</v>
      </c>
      <c r="G46">
        <v>13</v>
      </c>
      <c r="H46">
        <v>4</v>
      </c>
      <c r="I46">
        <v>0</v>
      </c>
      <c r="J46">
        <v>0.31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 s="86">
        <f>AVERAGEIFS($C$2:C46, $B$2:B46, B46)</f>
        <v>12</v>
      </c>
      <c r="AB46" s="86">
        <f>AVERAGEIFS($I$2:I46, $B$2:B46, B46)</f>
        <v>0.125</v>
      </c>
      <c r="AC46" s="86">
        <f>AVERAGEIFS($J$2:J46, $B$2:B46, B46)</f>
        <v>0.35499999999999998</v>
      </c>
      <c r="AD46" s="86">
        <f>AVERAGEIFS($D$2:D46, $B$2:B46, B46)</f>
        <v>0</v>
      </c>
    </row>
    <row r="47" spans="1:30" x14ac:dyDescent="0.25">
      <c r="A47" s="85">
        <v>46047</v>
      </c>
      <c r="B47" t="s">
        <v>53</v>
      </c>
      <c r="C47">
        <v>7</v>
      </c>
      <c r="D47" s="86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 s="86">
        <f>AVERAGEIFS($C$2:C47, $B$2:B47, B47)</f>
        <v>14.333333333333334</v>
      </c>
      <c r="AB47" s="86">
        <f>AVERAGEIFS($I$2:I47, $B$2:B47, B47)</f>
        <v>0.39999999999999997</v>
      </c>
      <c r="AC47" s="86">
        <f>AVERAGEIFS($J$2:J47, $B$2:B47, B47)</f>
        <v>0.48666666666666664</v>
      </c>
      <c r="AD47" s="86">
        <f>AVERAGEIFS($D$2:D47, $B$2:B47, B47)</f>
        <v>0.66666666666666663</v>
      </c>
    </row>
    <row r="48" spans="1:30" x14ac:dyDescent="0.25">
      <c r="A48" s="85">
        <v>46047</v>
      </c>
      <c r="B48" t="s">
        <v>35</v>
      </c>
      <c r="C48">
        <v>5</v>
      </c>
      <c r="D48" s="86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5.5</v>
      </c>
      <c r="AB48" s="86">
        <f>AVERAGEIFS($I$2:I48, $B$2:B48, B48)</f>
        <v>0.125</v>
      </c>
      <c r="AC48" s="86">
        <f>AVERAGEIFS($J$2:J48, $B$2:B48, B48)</f>
        <v>0.35499999999999998</v>
      </c>
      <c r="AD48" s="86">
        <f>AVERAGEIFS($D$2:D48, $B$2:B48, B48)</f>
        <v>0</v>
      </c>
    </row>
    <row r="49" spans="1:30" x14ac:dyDescent="0.25">
      <c r="A49" s="85">
        <v>46047</v>
      </c>
      <c r="B49" t="s">
        <v>52</v>
      </c>
      <c r="C49">
        <v>5</v>
      </c>
      <c r="D49" s="86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5</v>
      </c>
      <c r="AB49" s="86">
        <f>AVERAGEIFS($I$2:I49, $B$2:B49, B49)</f>
        <v>0</v>
      </c>
      <c r="AC49" s="86">
        <f>AVERAGEIFS($J$2:J49, $B$2:B49, B49)</f>
        <v>0.31</v>
      </c>
      <c r="AD49" s="86">
        <f>AVERAGEIFS($D$2:D49, $B$2:B49, B49)</f>
        <v>0</v>
      </c>
    </row>
    <row r="50" spans="1:30" x14ac:dyDescent="0.25">
      <c r="A50" s="85">
        <v>46047</v>
      </c>
      <c r="B50" t="s">
        <v>14</v>
      </c>
      <c r="C50">
        <v>47</v>
      </c>
      <c r="D50" s="86">
        <v>1</v>
      </c>
      <c r="E50">
        <v>4</v>
      </c>
      <c r="F50">
        <v>3</v>
      </c>
      <c r="G50">
        <v>19</v>
      </c>
      <c r="H50">
        <v>11</v>
      </c>
      <c r="I50">
        <v>0.75</v>
      </c>
      <c r="J50">
        <v>0.57999999999999996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1</v>
      </c>
      <c r="X50">
        <v>1</v>
      </c>
      <c r="Y50">
        <v>0</v>
      </c>
      <c r="Z50">
        <v>1</v>
      </c>
      <c r="AA50" s="86">
        <f>AVERAGEIFS($C$2:C50, $B$2:B50, B50)</f>
        <v>35.5</v>
      </c>
      <c r="AB50" s="86">
        <f>AVERAGEIFS($I$2:I50, $B$2:B50, B50)</f>
        <v>0.5</v>
      </c>
      <c r="AC50" s="86">
        <f>AVERAGEIFS($J$2:J50, $B$2:B50, B50)</f>
        <v>0.49</v>
      </c>
      <c r="AD50" s="86">
        <f>AVERAGEIFS($D$2:D50, $B$2:B50, B50)</f>
        <v>0.5</v>
      </c>
    </row>
    <row r="51" spans="1:30" x14ac:dyDescent="0.25">
      <c r="A51" s="85">
        <v>46047</v>
      </c>
      <c r="B51" t="s">
        <v>1</v>
      </c>
      <c r="C51">
        <v>22</v>
      </c>
      <c r="D51" s="86">
        <v>1</v>
      </c>
      <c r="E51">
        <v>4</v>
      </c>
      <c r="F51">
        <v>3</v>
      </c>
      <c r="G51">
        <v>19</v>
      </c>
      <c r="H51">
        <v>11</v>
      </c>
      <c r="I51">
        <v>0.75</v>
      </c>
      <c r="J51">
        <v>0.57999999999999996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1</v>
      </c>
      <c r="X51">
        <v>1</v>
      </c>
      <c r="Y51">
        <v>0</v>
      </c>
      <c r="Z51">
        <v>1</v>
      </c>
      <c r="AA51" s="86">
        <f>AVERAGEIFS($C$2:C51, $B$2:B51, B51)</f>
        <v>23</v>
      </c>
      <c r="AB51" s="86">
        <f>AVERAGEIFS($I$2:I51, $B$2:B51, B51)</f>
        <v>0.57499999999999996</v>
      </c>
      <c r="AC51" s="86">
        <f>AVERAGEIFS($J$2:J51, $B$2:B51, B51)</f>
        <v>0.505</v>
      </c>
      <c r="AD51" s="86">
        <f>AVERAGEIFS($D$2:D51, $B$2:B51, B51)</f>
        <v>0.5</v>
      </c>
    </row>
    <row r="52" spans="1:30" x14ac:dyDescent="0.25">
      <c r="A52" s="85">
        <v>46047</v>
      </c>
      <c r="B52" t="s">
        <v>5</v>
      </c>
      <c r="C52">
        <v>21</v>
      </c>
      <c r="D52" s="86">
        <v>1</v>
      </c>
      <c r="E52">
        <v>4</v>
      </c>
      <c r="F52">
        <v>3</v>
      </c>
      <c r="G52">
        <v>19</v>
      </c>
      <c r="H52">
        <v>11</v>
      </c>
      <c r="I52">
        <v>0.75</v>
      </c>
      <c r="J52">
        <v>0.57999999999999996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1</v>
      </c>
      <c r="X52">
        <v>1</v>
      </c>
      <c r="Y52">
        <v>0</v>
      </c>
      <c r="Z52">
        <v>1</v>
      </c>
      <c r="AA52" s="86">
        <f>AVERAGEIFS($C$2:C52, $B$2:B52, B52)</f>
        <v>22.5</v>
      </c>
      <c r="AB52" s="86">
        <f>AVERAGEIFS($I$2:I52, $B$2:B52, B52)</f>
        <v>0.5</v>
      </c>
      <c r="AC52" s="86">
        <f>AVERAGEIFS($J$2:J52, $B$2:B52, B52)</f>
        <v>0.49</v>
      </c>
      <c r="AD52" s="86">
        <f>AVERAGEIFS($D$2:D52, $B$2:B52, B52)</f>
        <v>0.5</v>
      </c>
    </row>
    <row r="53" spans="1:30" x14ac:dyDescent="0.25">
      <c r="A53" s="85">
        <v>46047</v>
      </c>
      <c r="B53" t="s">
        <v>28</v>
      </c>
      <c r="C53">
        <v>18</v>
      </c>
      <c r="D53" s="86">
        <v>1</v>
      </c>
      <c r="E53">
        <v>4</v>
      </c>
      <c r="F53">
        <v>3</v>
      </c>
      <c r="G53">
        <v>19</v>
      </c>
      <c r="H53">
        <v>11</v>
      </c>
      <c r="I53">
        <v>0.75</v>
      </c>
      <c r="J53">
        <v>0.57999999999999996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1</v>
      </c>
      <c r="X53">
        <v>1</v>
      </c>
      <c r="Y53">
        <v>0</v>
      </c>
      <c r="Z53">
        <v>1</v>
      </c>
      <c r="AA53" s="86">
        <f>AVERAGEIFS($C$2:C53, $B$2:B53, B53)</f>
        <v>17.5</v>
      </c>
      <c r="AB53" s="86">
        <f>AVERAGEIFS($I$2:I53, $B$2:B53, B53)</f>
        <v>0.57499999999999996</v>
      </c>
      <c r="AC53" s="86">
        <f>AVERAGEIFS($J$2:J53, $B$2:B53, B53)</f>
        <v>0.505</v>
      </c>
      <c r="AD53" s="86">
        <f>AVERAGEIFS($D$2:D53, $B$2:B53, B53)</f>
        <v>0.5</v>
      </c>
    </row>
    <row r="54" spans="1:30" x14ac:dyDescent="0.25">
      <c r="A54" s="85">
        <v>46047</v>
      </c>
      <c r="B54" t="s">
        <v>29</v>
      </c>
      <c r="C54">
        <v>13</v>
      </c>
      <c r="D54" s="86">
        <v>1</v>
      </c>
      <c r="E54">
        <v>4</v>
      </c>
      <c r="F54">
        <v>3</v>
      </c>
      <c r="G54">
        <v>19</v>
      </c>
      <c r="H54">
        <v>11</v>
      </c>
      <c r="I54">
        <v>0.75</v>
      </c>
      <c r="J54">
        <v>0.57999999999999996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1</v>
      </c>
      <c r="X54">
        <v>1</v>
      </c>
      <c r="Y54">
        <v>0</v>
      </c>
      <c r="Z54">
        <v>1</v>
      </c>
      <c r="AA54" s="86">
        <f>AVERAGEIFS($C$2:C54, $B$2:B54, B54)</f>
        <v>10.5</v>
      </c>
      <c r="AB54" s="86">
        <f>AVERAGEIFS($I$2:I54, $B$2:B54, B54)</f>
        <v>0.5</v>
      </c>
      <c r="AC54" s="86">
        <f>AVERAGEIFS($J$2:J54, $B$2:B54, B54)</f>
        <v>0.49</v>
      </c>
      <c r="AD54" s="86">
        <f>AVERAGEIFS($D$2:D54, $B$2:B54, B54)</f>
        <v>0.5</v>
      </c>
    </row>
    <row r="55" spans="1:30" x14ac:dyDescent="0.25">
      <c r="A55" s="85">
        <v>46047</v>
      </c>
      <c r="B55" t="s">
        <v>27</v>
      </c>
      <c r="C55">
        <v>12</v>
      </c>
      <c r="D55" s="86">
        <v>1</v>
      </c>
      <c r="E55">
        <v>4</v>
      </c>
      <c r="F55">
        <v>3</v>
      </c>
      <c r="G55">
        <v>19</v>
      </c>
      <c r="H55">
        <v>11</v>
      </c>
      <c r="I55">
        <v>0.75</v>
      </c>
      <c r="J55">
        <v>0.57999999999999996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1</v>
      </c>
      <c r="X55">
        <v>1</v>
      </c>
      <c r="Y55">
        <v>0</v>
      </c>
      <c r="Z55">
        <v>1</v>
      </c>
      <c r="AA55" s="86">
        <f>AVERAGEIFS($C$2:C55, $B$2:B55, B55)</f>
        <v>12</v>
      </c>
      <c r="AB55" s="86">
        <f>AVERAGEIFS($I$2:I55, $B$2:B55, B55)</f>
        <v>0.58333333333333337</v>
      </c>
      <c r="AC55" s="86">
        <f>AVERAGEIFS($J$2:J55, $B$2:B55, B55)</f>
        <v>0.52999999999999992</v>
      </c>
      <c r="AD55" s="86">
        <f>AVERAGEIFS($D$2:D55, $B$2:B55, B55)</f>
        <v>0.66666666666666663</v>
      </c>
    </row>
    <row r="56" spans="1:30" x14ac:dyDescent="0.25">
      <c r="A56" s="85">
        <v>46047</v>
      </c>
      <c r="B56" t="s">
        <v>18</v>
      </c>
      <c r="C56">
        <v>41</v>
      </c>
      <c r="D56" s="86">
        <v>0</v>
      </c>
      <c r="E56">
        <v>4</v>
      </c>
      <c r="F56">
        <v>1</v>
      </c>
      <c r="G56">
        <v>19</v>
      </c>
      <c r="H56">
        <v>8</v>
      </c>
      <c r="I56">
        <v>0.25</v>
      </c>
      <c r="J56">
        <v>0.42</v>
      </c>
      <c r="K56">
        <v>0</v>
      </c>
      <c r="L56">
        <v>0</v>
      </c>
      <c r="M56">
        <v>0</v>
      </c>
      <c r="N56">
        <v>0</v>
      </c>
      <c r="O56">
        <v>0</v>
      </c>
      <c r="P56">
        <v>1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33.333333333333336</v>
      </c>
      <c r="AB56" s="86">
        <f>AVERAGEIFS($I$2:I56, $B$2:B56, B56)</f>
        <v>0.46666666666666662</v>
      </c>
      <c r="AC56" s="86">
        <f>AVERAGEIFS($J$2:J56, $B$2:B56, B56)</f>
        <v>0.48</v>
      </c>
      <c r="AD56" s="86">
        <f>AVERAGEIFS($D$2:D56, $B$2:B56, B56)</f>
        <v>0.33333333333333331</v>
      </c>
    </row>
    <row r="57" spans="1:30" x14ac:dyDescent="0.25">
      <c r="A57" s="85">
        <v>46047</v>
      </c>
      <c r="B57" t="s">
        <v>2</v>
      </c>
      <c r="C57">
        <v>26</v>
      </c>
      <c r="D57" s="86">
        <v>0</v>
      </c>
      <c r="E57">
        <v>4</v>
      </c>
      <c r="F57">
        <v>1</v>
      </c>
      <c r="G57">
        <v>19</v>
      </c>
      <c r="H57">
        <v>8</v>
      </c>
      <c r="I57">
        <v>0.25</v>
      </c>
      <c r="J57">
        <v>0.42</v>
      </c>
      <c r="K57">
        <v>0</v>
      </c>
      <c r="L57">
        <v>0</v>
      </c>
      <c r="M57">
        <v>0</v>
      </c>
      <c r="N57">
        <v>0</v>
      </c>
      <c r="O57">
        <v>0</v>
      </c>
      <c r="P57">
        <v>1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29</v>
      </c>
      <c r="AB57" s="86">
        <f>AVERAGEIFS($I$2:I57, $B$2:B57, B57)</f>
        <v>0.32500000000000001</v>
      </c>
      <c r="AC57" s="86">
        <f>AVERAGEIFS($J$2:J57, $B$2:B57, B57)</f>
        <v>0.42499999999999999</v>
      </c>
      <c r="AD57" s="86">
        <f>AVERAGEIFS($D$2:D57, $B$2:B57, B57)</f>
        <v>0</v>
      </c>
    </row>
    <row r="58" spans="1:30" x14ac:dyDescent="0.25">
      <c r="A58" s="85">
        <v>46047</v>
      </c>
      <c r="B58" t="s">
        <v>37</v>
      </c>
      <c r="C58">
        <v>25</v>
      </c>
      <c r="D58" s="86">
        <v>0</v>
      </c>
      <c r="E58">
        <v>4</v>
      </c>
      <c r="F58">
        <v>1</v>
      </c>
      <c r="G58">
        <v>19</v>
      </c>
      <c r="H58">
        <v>8</v>
      </c>
      <c r="I58">
        <v>0.25</v>
      </c>
      <c r="J58">
        <v>0.42</v>
      </c>
      <c r="K58">
        <v>0</v>
      </c>
      <c r="L58">
        <v>0</v>
      </c>
      <c r="M58">
        <v>0</v>
      </c>
      <c r="N58">
        <v>0</v>
      </c>
      <c r="O58">
        <v>0</v>
      </c>
      <c r="P58">
        <v>1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 s="86">
        <f>AVERAGEIFS($C$2:C58, $B$2:B58, B58)</f>
        <v>21</v>
      </c>
      <c r="AB58" s="86">
        <f>AVERAGEIFS($I$2:I58, $B$2:B58, B58)</f>
        <v>0.46666666666666662</v>
      </c>
      <c r="AC58" s="86">
        <f>AVERAGEIFS($J$2:J58, $B$2:B58, B58)</f>
        <v>0.48</v>
      </c>
      <c r="AD58" s="86">
        <f>AVERAGEIFS($D$2:D58, $B$2:B58, B58)</f>
        <v>0.33333333333333331</v>
      </c>
    </row>
    <row r="59" spans="1:30" x14ac:dyDescent="0.25">
      <c r="A59" s="85">
        <v>46047</v>
      </c>
      <c r="B59" t="s">
        <v>26</v>
      </c>
      <c r="C59">
        <v>16</v>
      </c>
      <c r="D59" s="86">
        <v>0</v>
      </c>
      <c r="E59">
        <v>4</v>
      </c>
      <c r="F59">
        <v>1</v>
      </c>
      <c r="G59">
        <v>19</v>
      </c>
      <c r="H59">
        <v>8</v>
      </c>
      <c r="I59">
        <v>0.25</v>
      </c>
      <c r="J59">
        <v>0.42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 s="86">
        <f>AVERAGEIFS($C$2:C59, $B$2:B59, B59)</f>
        <v>14.333333333333334</v>
      </c>
      <c r="AB59" s="86">
        <f>AVERAGEIFS($I$2:I59, $B$2:B59, B59)</f>
        <v>0.48333333333333334</v>
      </c>
      <c r="AC59" s="86">
        <f>AVERAGEIFS($J$2:J59, $B$2:B59, B59)</f>
        <v>0.52333333333333332</v>
      </c>
      <c r="AD59" s="86">
        <f>AVERAGEIFS($D$2:D59, $B$2:B59, B59)</f>
        <v>0.66666666666666663</v>
      </c>
    </row>
    <row r="60" spans="1:30" x14ac:dyDescent="0.25">
      <c r="A60" s="85">
        <v>46047</v>
      </c>
      <c r="B60" t="s">
        <v>20</v>
      </c>
      <c r="C60">
        <v>14</v>
      </c>
      <c r="D60" s="86">
        <v>0</v>
      </c>
      <c r="E60">
        <v>4</v>
      </c>
      <c r="F60">
        <v>1</v>
      </c>
      <c r="G60">
        <v>19</v>
      </c>
      <c r="H60">
        <v>8</v>
      </c>
      <c r="I60">
        <v>0.25</v>
      </c>
      <c r="J60">
        <v>0.42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 s="86">
        <f>AVERAGEIFS($C$2:C60, $B$2:B60, B60)</f>
        <v>12.666666666666666</v>
      </c>
      <c r="AB60" s="86">
        <f>AVERAGEIFS($I$2:I60, $B$2:B60, B60)</f>
        <v>0.46666666666666662</v>
      </c>
      <c r="AC60" s="86">
        <f>AVERAGEIFS($J$2:J60, $B$2:B60, B60)</f>
        <v>0.48</v>
      </c>
      <c r="AD60" s="86">
        <f>AVERAGEIFS($D$2:D60, $B$2:B60, B60)</f>
        <v>0.33333333333333331</v>
      </c>
    </row>
    <row r="61" spans="1:30" x14ac:dyDescent="0.25">
      <c r="A61" s="85">
        <v>46047</v>
      </c>
      <c r="B61" t="s">
        <v>50</v>
      </c>
      <c r="C61">
        <v>14</v>
      </c>
      <c r="D61" s="86">
        <v>0</v>
      </c>
      <c r="E61">
        <v>4</v>
      </c>
      <c r="F61">
        <v>1</v>
      </c>
      <c r="G61">
        <v>19</v>
      </c>
      <c r="H61">
        <v>8</v>
      </c>
      <c r="I61">
        <v>0.25</v>
      </c>
      <c r="J61">
        <v>0.42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0.25</v>
      </c>
      <c r="AC61" s="86">
        <f>AVERAGEIFS($J$2:J61, $B$2:B61, B61)</f>
        <v>0.42</v>
      </c>
      <c r="AD61" s="86">
        <f>AVERAGEIFS($D$2:D61, $B$2:B61, B61)</f>
        <v>0</v>
      </c>
    </row>
    <row r="62" spans="1:30" x14ac:dyDescent="0.25">
      <c r="A62" s="85">
        <v>46055</v>
      </c>
      <c r="B62" t="s">
        <v>14</v>
      </c>
      <c r="C62">
        <v>56</v>
      </c>
      <c r="D62" s="86">
        <v>1</v>
      </c>
      <c r="E62">
        <v>5</v>
      </c>
      <c r="F62">
        <v>3</v>
      </c>
      <c r="G62">
        <v>24</v>
      </c>
      <c r="H62">
        <v>13</v>
      </c>
      <c r="I62">
        <v>0.6</v>
      </c>
      <c r="J62">
        <v>0.54</v>
      </c>
      <c r="K62">
        <v>0</v>
      </c>
      <c r="L62">
        <v>0</v>
      </c>
      <c r="M62">
        <v>1</v>
      </c>
      <c r="N62">
        <v>0</v>
      </c>
      <c r="O62">
        <v>1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42.333333333333336</v>
      </c>
      <c r="AB62" s="86">
        <f>AVERAGEIFS($I$2:I62, $B$2:B62, B62)</f>
        <v>0.53333333333333333</v>
      </c>
      <c r="AC62" s="86">
        <f>AVERAGEIFS($J$2:J62, $B$2:B62, B62)</f>
        <v>0.50666666666666671</v>
      </c>
      <c r="AD62" s="86">
        <f>AVERAGEIFS($D$2:D62, $B$2:B62, B62)</f>
        <v>0.66666666666666663</v>
      </c>
    </row>
    <row r="63" spans="1:30" x14ac:dyDescent="0.25">
      <c r="A63" s="85">
        <v>46055</v>
      </c>
      <c r="B63" t="s">
        <v>1</v>
      </c>
      <c r="C63">
        <v>33</v>
      </c>
      <c r="D63" s="86">
        <v>1</v>
      </c>
      <c r="E63">
        <v>5</v>
      </c>
      <c r="F63">
        <v>3</v>
      </c>
      <c r="G63">
        <v>24</v>
      </c>
      <c r="H63">
        <v>13</v>
      </c>
      <c r="I63">
        <v>0.6</v>
      </c>
      <c r="J63">
        <v>0.54</v>
      </c>
      <c r="K63">
        <v>0</v>
      </c>
      <c r="L63">
        <v>0</v>
      </c>
      <c r="M63">
        <v>1</v>
      </c>
      <c r="N63">
        <v>0</v>
      </c>
      <c r="O63">
        <v>1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26.333333333333332</v>
      </c>
      <c r="AB63" s="86">
        <f>AVERAGEIFS($I$2:I63, $B$2:B63, B63)</f>
        <v>0.58333333333333337</v>
      </c>
      <c r="AC63" s="86">
        <f>AVERAGEIFS($J$2:J63, $B$2:B63, B63)</f>
        <v>0.51666666666666672</v>
      </c>
      <c r="AD63" s="86">
        <f>AVERAGEIFS($D$2:D63, $B$2:B63, B63)</f>
        <v>0.66666666666666663</v>
      </c>
    </row>
    <row r="64" spans="1:30" x14ac:dyDescent="0.25">
      <c r="A64" s="85">
        <v>46055</v>
      </c>
      <c r="B64" t="s">
        <v>5</v>
      </c>
      <c r="C64">
        <v>33</v>
      </c>
      <c r="D64" s="86">
        <v>1</v>
      </c>
      <c r="E64">
        <v>5</v>
      </c>
      <c r="F64">
        <v>3</v>
      </c>
      <c r="G64">
        <v>24</v>
      </c>
      <c r="H64">
        <v>13</v>
      </c>
      <c r="I64">
        <v>0.6</v>
      </c>
      <c r="J64">
        <v>0.54</v>
      </c>
      <c r="K64">
        <v>0</v>
      </c>
      <c r="L64">
        <v>0</v>
      </c>
      <c r="M64">
        <v>1</v>
      </c>
      <c r="N64">
        <v>0</v>
      </c>
      <c r="O64">
        <v>1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26</v>
      </c>
      <c r="AB64" s="86">
        <f>AVERAGEIFS($I$2:I64, $B$2:B64, B64)</f>
        <v>0.53333333333333333</v>
      </c>
      <c r="AC64" s="86">
        <f>AVERAGEIFS($J$2:J64, $B$2:B64, B64)</f>
        <v>0.50666666666666671</v>
      </c>
      <c r="AD64" s="86">
        <f>AVERAGEIFS($D$2:D64, $B$2:B64, B64)</f>
        <v>0.66666666666666663</v>
      </c>
    </row>
    <row r="65" spans="1:30" x14ac:dyDescent="0.25">
      <c r="A65" s="85">
        <v>46055</v>
      </c>
      <c r="B65" t="s">
        <v>27</v>
      </c>
      <c r="C65">
        <v>24</v>
      </c>
      <c r="D65" s="86">
        <v>1</v>
      </c>
      <c r="E65">
        <v>5</v>
      </c>
      <c r="F65">
        <v>3</v>
      </c>
      <c r="G65">
        <v>24</v>
      </c>
      <c r="H65">
        <v>13</v>
      </c>
      <c r="I65">
        <v>0.6</v>
      </c>
      <c r="J65">
        <v>0.54</v>
      </c>
      <c r="K65">
        <v>0</v>
      </c>
      <c r="L65">
        <v>0</v>
      </c>
      <c r="M65">
        <v>1</v>
      </c>
      <c r="N65">
        <v>0</v>
      </c>
      <c r="O65">
        <v>1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0.58750000000000002</v>
      </c>
      <c r="AC65" s="86">
        <f>AVERAGEIFS($J$2:J65, $B$2:B65, B65)</f>
        <v>0.53249999999999997</v>
      </c>
      <c r="AD65" s="86">
        <f>AVERAGEIFS($D$2:D65, $B$2:B65, B65)</f>
        <v>0.75</v>
      </c>
    </row>
    <row r="66" spans="1:30" x14ac:dyDescent="0.25">
      <c r="A66" s="85">
        <v>46055</v>
      </c>
      <c r="B66" t="s">
        <v>28</v>
      </c>
      <c r="C66">
        <v>23</v>
      </c>
      <c r="D66" s="86">
        <v>1</v>
      </c>
      <c r="E66">
        <v>5</v>
      </c>
      <c r="F66">
        <v>3</v>
      </c>
      <c r="G66">
        <v>24</v>
      </c>
      <c r="H66">
        <v>13</v>
      </c>
      <c r="I66">
        <v>0.6</v>
      </c>
      <c r="J66">
        <v>0.54</v>
      </c>
      <c r="K66">
        <v>0</v>
      </c>
      <c r="L66">
        <v>0</v>
      </c>
      <c r="M66">
        <v>1</v>
      </c>
      <c r="N66">
        <v>0</v>
      </c>
      <c r="O66">
        <v>1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0</v>
      </c>
      <c r="AA66" s="86">
        <f>AVERAGEIFS($C$2:C66, $B$2:B66, B66)</f>
        <v>19.333333333333332</v>
      </c>
      <c r="AB66" s="86">
        <f>AVERAGEIFS($I$2:I66, $B$2:B66, B66)</f>
        <v>0.58333333333333337</v>
      </c>
      <c r="AC66" s="86">
        <f>AVERAGEIFS($J$2:J66, $B$2:B66, B66)</f>
        <v>0.51666666666666672</v>
      </c>
      <c r="AD66" s="86">
        <f>AVERAGEIFS($D$2:D66, $B$2:B66, B66)</f>
        <v>0.66666666666666663</v>
      </c>
    </row>
    <row r="67" spans="1:30" x14ac:dyDescent="0.25">
      <c r="A67" s="85">
        <v>46055</v>
      </c>
      <c r="B67" t="s">
        <v>29</v>
      </c>
      <c r="C67">
        <v>21</v>
      </c>
      <c r="D67" s="86">
        <v>1</v>
      </c>
      <c r="E67">
        <v>5</v>
      </c>
      <c r="F67">
        <v>3</v>
      </c>
      <c r="G67">
        <v>24</v>
      </c>
      <c r="H67">
        <v>13</v>
      </c>
      <c r="I67">
        <v>0.6</v>
      </c>
      <c r="J67">
        <v>0.54</v>
      </c>
      <c r="K67">
        <v>0</v>
      </c>
      <c r="L67">
        <v>0</v>
      </c>
      <c r="M67">
        <v>1</v>
      </c>
      <c r="N67">
        <v>0</v>
      </c>
      <c r="O67">
        <v>1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0</v>
      </c>
      <c r="AA67" s="86">
        <f>AVERAGEIFS($C$2:C67, $B$2:B67, B67)</f>
        <v>14</v>
      </c>
      <c r="AB67" s="86">
        <f>AVERAGEIFS($I$2:I67, $B$2:B67, B67)</f>
        <v>0.53333333333333333</v>
      </c>
      <c r="AC67" s="86">
        <f>AVERAGEIFS($J$2:J67, $B$2:B67, B67)</f>
        <v>0.50666666666666671</v>
      </c>
      <c r="AD67" s="86">
        <f>AVERAGEIFS($D$2:D67, $B$2:B67, B67)</f>
        <v>0.66666666666666663</v>
      </c>
    </row>
    <row r="68" spans="1:30" x14ac:dyDescent="0.25">
      <c r="A68" s="85">
        <v>46055</v>
      </c>
      <c r="B68" t="s">
        <v>15</v>
      </c>
      <c r="C68">
        <v>55</v>
      </c>
      <c r="D68" s="86">
        <v>0</v>
      </c>
      <c r="E68">
        <v>5</v>
      </c>
      <c r="F68">
        <v>2</v>
      </c>
      <c r="G68">
        <v>24</v>
      </c>
      <c r="H68">
        <v>11</v>
      </c>
      <c r="I68">
        <v>0.4</v>
      </c>
      <c r="J68">
        <v>0.46</v>
      </c>
      <c r="K68">
        <v>0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1</v>
      </c>
      <c r="X68">
        <v>0</v>
      </c>
      <c r="Y68">
        <v>0</v>
      </c>
      <c r="Z68">
        <v>0</v>
      </c>
      <c r="AA68" s="86">
        <f>AVERAGEIFS($C$2:C68, $B$2:B68, B68)</f>
        <v>33</v>
      </c>
      <c r="AB68" s="86">
        <f>AVERAGEIFS($I$2:I68, $B$2:B68, B68)</f>
        <v>0.63749999999999996</v>
      </c>
      <c r="AC68" s="86">
        <f>AVERAGEIFS($J$2:J68, $B$2:B68, B68)</f>
        <v>0.54249999999999998</v>
      </c>
      <c r="AD68" s="86">
        <f>AVERAGEIFS($D$2:D68, $B$2:B68, B68)</f>
        <v>0.5</v>
      </c>
    </row>
    <row r="69" spans="1:30" x14ac:dyDescent="0.25">
      <c r="A69" s="85">
        <v>46055</v>
      </c>
      <c r="B69" t="s">
        <v>17</v>
      </c>
      <c r="C69">
        <v>36</v>
      </c>
      <c r="D69" s="86">
        <v>0</v>
      </c>
      <c r="E69">
        <v>5</v>
      </c>
      <c r="F69">
        <v>2</v>
      </c>
      <c r="G69">
        <v>24</v>
      </c>
      <c r="H69">
        <v>11</v>
      </c>
      <c r="I69">
        <v>0.4</v>
      </c>
      <c r="J69">
        <v>0.46</v>
      </c>
      <c r="K69">
        <v>0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1</v>
      </c>
      <c r="X69">
        <v>0</v>
      </c>
      <c r="Y69">
        <v>0</v>
      </c>
      <c r="Z69">
        <v>0</v>
      </c>
      <c r="AA69" s="86">
        <f>AVERAGEIFS($C$2:C69, $B$2:B69, B69)</f>
        <v>30.333333333333332</v>
      </c>
      <c r="AB69" s="86">
        <f>AVERAGEIFS($I$2:I69, $B$2:B69, B69)</f>
        <v>0.6</v>
      </c>
      <c r="AC69" s="86">
        <f>AVERAGEIFS($J$2:J69, $B$2:B69, B69)</f>
        <v>0.52666666666666662</v>
      </c>
      <c r="AD69" s="86">
        <f>AVERAGEIFS($D$2:D69, $B$2:B69, B69)</f>
        <v>0.33333333333333331</v>
      </c>
    </row>
    <row r="70" spans="1:30" x14ac:dyDescent="0.25">
      <c r="A70" s="85">
        <v>46055</v>
      </c>
      <c r="B70" t="s">
        <v>6</v>
      </c>
      <c r="C70">
        <v>33</v>
      </c>
      <c r="D70" s="86">
        <v>0</v>
      </c>
      <c r="E70">
        <v>5</v>
      </c>
      <c r="F70">
        <v>2</v>
      </c>
      <c r="G70">
        <v>24</v>
      </c>
      <c r="H70">
        <v>11</v>
      </c>
      <c r="I70">
        <v>0.4</v>
      </c>
      <c r="J70">
        <v>0.46</v>
      </c>
      <c r="K70">
        <v>0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1</v>
      </c>
      <c r="X70">
        <v>0</v>
      </c>
      <c r="Y70">
        <v>0</v>
      </c>
      <c r="Z70">
        <v>0</v>
      </c>
      <c r="AA70" s="86">
        <f>AVERAGEIFS($C$2:C70, $B$2:B70, B70)</f>
        <v>25</v>
      </c>
      <c r="AB70" s="86">
        <f>AVERAGEIFS($I$2:I70, $B$2:B70, B70)</f>
        <v>0.7</v>
      </c>
      <c r="AC70" s="86">
        <f>AVERAGEIFS($J$2:J70, $B$2:B70, B70)</f>
        <v>0.57499999999999996</v>
      </c>
      <c r="AD70" s="86">
        <f>AVERAGEIFS($D$2:D70, $B$2:B70, B70)</f>
        <v>0.5</v>
      </c>
    </row>
    <row r="71" spans="1:30" x14ac:dyDescent="0.25">
      <c r="A71" s="85">
        <v>46055</v>
      </c>
      <c r="B71" t="s">
        <v>20</v>
      </c>
      <c r="C71">
        <v>28</v>
      </c>
      <c r="D71" s="86">
        <v>0</v>
      </c>
      <c r="E71">
        <v>5</v>
      </c>
      <c r="F71">
        <v>2</v>
      </c>
      <c r="G71">
        <v>24</v>
      </c>
      <c r="H71">
        <v>11</v>
      </c>
      <c r="I71">
        <v>0.4</v>
      </c>
      <c r="J71">
        <v>0.46</v>
      </c>
      <c r="K71">
        <v>0</v>
      </c>
      <c r="L71">
        <v>0</v>
      </c>
      <c r="M71">
        <v>0</v>
      </c>
      <c r="N71">
        <v>0</v>
      </c>
      <c r="O71">
        <v>0</v>
      </c>
      <c r="P71">
        <v>1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1</v>
      </c>
      <c r="X71">
        <v>0</v>
      </c>
      <c r="Y71">
        <v>0</v>
      </c>
      <c r="Z71">
        <v>0</v>
      </c>
      <c r="AA71" s="86">
        <f>AVERAGEIFS($C$2:C71, $B$2:B71, B71)</f>
        <v>16.5</v>
      </c>
      <c r="AB71" s="86">
        <f>AVERAGEIFS($I$2:I71, $B$2:B71, B71)</f>
        <v>0.44999999999999996</v>
      </c>
      <c r="AC71" s="86">
        <f>AVERAGEIFS($J$2:J71, $B$2:B71, B71)</f>
        <v>0.47499999999999998</v>
      </c>
      <c r="AD71" s="86">
        <f>AVERAGEIFS($D$2:D71, $B$2:B71, B71)</f>
        <v>0.25</v>
      </c>
    </row>
    <row r="72" spans="1:30" x14ac:dyDescent="0.25">
      <c r="A72" s="85">
        <v>46055</v>
      </c>
      <c r="B72" t="s">
        <v>19</v>
      </c>
      <c r="C72">
        <v>26</v>
      </c>
      <c r="D72" s="86">
        <v>0</v>
      </c>
      <c r="E72">
        <v>5</v>
      </c>
      <c r="F72">
        <v>2</v>
      </c>
      <c r="G72">
        <v>24</v>
      </c>
      <c r="H72">
        <v>11</v>
      </c>
      <c r="I72">
        <v>0.4</v>
      </c>
      <c r="J72">
        <v>0.46</v>
      </c>
      <c r="K72">
        <v>0</v>
      </c>
      <c r="L72">
        <v>0</v>
      </c>
      <c r="M72">
        <v>0</v>
      </c>
      <c r="N72">
        <v>0</v>
      </c>
      <c r="O72">
        <v>0</v>
      </c>
      <c r="P72">
        <v>1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1</v>
      </c>
      <c r="X72">
        <v>0</v>
      </c>
      <c r="Y72">
        <v>0</v>
      </c>
      <c r="Z72">
        <v>0</v>
      </c>
      <c r="AA72" s="86">
        <f>AVERAGEIFS($C$2:C72, $B$2:B72, B72)</f>
        <v>16.5</v>
      </c>
      <c r="AB72" s="86">
        <f>AVERAGEIFS($I$2:I72, $B$2:B72, B72)</f>
        <v>0.63749999999999996</v>
      </c>
      <c r="AC72" s="86">
        <f>AVERAGEIFS($J$2:J72, $B$2:B72, B72)</f>
        <v>0.54249999999999998</v>
      </c>
      <c r="AD72" s="86">
        <f>AVERAGEIFS($D$2:D72, $B$2:B72, B72)</f>
        <v>0.5</v>
      </c>
    </row>
    <row r="73" spans="1:30" x14ac:dyDescent="0.25">
      <c r="A73" s="85">
        <v>46055</v>
      </c>
      <c r="B73" t="s">
        <v>137</v>
      </c>
      <c r="C73">
        <v>13</v>
      </c>
      <c r="D73" s="86">
        <v>0</v>
      </c>
      <c r="E73">
        <v>5</v>
      </c>
      <c r="F73">
        <v>2</v>
      </c>
      <c r="G73">
        <v>24</v>
      </c>
      <c r="H73">
        <v>11</v>
      </c>
      <c r="I73">
        <v>0.4</v>
      </c>
      <c r="J73">
        <v>0.46</v>
      </c>
      <c r="K73">
        <v>0</v>
      </c>
      <c r="L73">
        <v>0</v>
      </c>
      <c r="M73">
        <v>0</v>
      </c>
      <c r="N73">
        <v>0</v>
      </c>
      <c r="O73">
        <v>0</v>
      </c>
      <c r="P73">
        <v>1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1</v>
      </c>
      <c r="X73">
        <v>0</v>
      </c>
      <c r="Y73">
        <v>0</v>
      </c>
      <c r="Z73">
        <v>0</v>
      </c>
      <c r="AA73" s="86">
        <f>AVERAGEIFS($C$2:C73, $B$2:B73, B73)</f>
        <v>10</v>
      </c>
      <c r="AB73" s="86">
        <f>AVERAGEIFS($I$2:I73, $B$2:B73, B73)</f>
        <v>0.7</v>
      </c>
      <c r="AC73" s="86">
        <f>AVERAGEIFS($J$2:J73, $B$2:B73, B73)</f>
        <v>0.57499999999999996</v>
      </c>
      <c r="AD73" s="86">
        <f>AVERAGEIFS($D$2:D73, $B$2:B73, B73)</f>
        <v>0.5</v>
      </c>
    </row>
    <row r="74" spans="1:30" x14ac:dyDescent="0.25">
      <c r="A74" s="85">
        <v>46074</v>
      </c>
      <c r="B74" t="s">
        <v>1</v>
      </c>
      <c r="C74">
        <v>32</v>
      </c>
      <c r="D74" s="86">
        <v>1</v>
      </c>
      <c r="E74">
        <v>4</v>
      </c>
      <c r="F74">
        <v>3</v>
      </c>
      <c r="G74">
        <v>18</v>
      </c>
      <c r="H74">
        <v>10</v>
      </c>
      <c r="I74">
        <v>0.75</v>
      </c>
      <c r="J74">
        <v>0.56000000000000005</v>
      </c>
      <c r="K74">
        <v>0</v>
      </c>
      <c r="L74">
        <v>1</v>
      </c>
      <c r="M74">
        <v>1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1</v>
      </c>
      <c r="Z74">
        <v>0</v>
      </c>
      <c r="AA74" s="86">
        <f>AVERAGEIFS($C$2:C74, $B$2:B74, B74)</f>
        <v>27.75</v>
      </c>
      <c r="AB74" s="86">
        <f>AVERAGEIFS($I$2:I74, $B$2:B74, B74)</f>
        <v>0.625</v>
      </c>
      <c r="AC74" s="86">
        <f>AVERAGEIFS($J$2:J74, $B$2:B74, B74)</f>
        <v>0.52750000000000008</v>
      </c>
      <c r="AD74" s="86">
        <f>AVERAGEIFS($D$2:D74, $B$2:B74, B74)</f>
        <v>0.75</v>
      </c>
    </row>
    <row r="75" spans="1:30" x14ac:dyDescent="0.25">
      <c r="A75" s="85">
        <v>46074</v>
      </c>
      <c r="B75" t="s">
        <v>2</v>
      </c>
      <c r="C75">
        <v>32</v>
      </c>
      <c r="D75" s="86">
        <v>1</v>
      </c>
      <c r="E75">
        <v>4</v>
      </c>
      <c r="F75">
        <v>3</v>
      </c>
      <c r="G75">
        <v>18</v>
      </c>
      <c r="H75">
        <v>10</v>
      </c>
      <c r="I75">
        <v>0.75</v>
      </c>
      <c r="J75">
        <v>0.56000000000000005</v>
      </c>
      <c r="K75">
        <v>0</v>
      </c>
      <c r="L75">
        <v>1</v>
      </c>
      <c r="M75">
        <v>1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1</v>
      </c>
      <c r="Z75">
        <v>0</v>
      </c>
      <c r="AA75" s="86">
        <f>AVERAGEIFS($C$2:C75, $B$2:B75, B75)</f>
        <v>30</v>
      </c>
      <c r="AB75" s="86">
        <f>AVERAGEIFS($I$2:I75, $B$2:B75, B75)</f>
        <v>0.46666666666666662</v>
      </c>
      <c r="AC75" s="86">
        <f>AVERAGEIFS($J$2:J75, $B$2:B75, B75)</f>
        <v>0.47000000000000003</v>
      </c>
      <c r="AD75" s="86">
        <f>AVERAGEIFS($D$2:D75, $B$2:B75, B75)</f>
        <v>0.33333333333333331</v>
      </c>
    </row>
    <row r="76" spans="1:30" x14ac:dyDescent="0.25">
      <c r="A76" s="85">
        <v>46074</v>
      </c>
      <c r="B76" t="s">
        <v>3</v>
      </c>
      <c r="C76">
        <v>29</v>
      </c>
      <c r="D76" s="86">
        <v>1</v>
      </c>
      <c r="E76">
        <v>4</v>
      </c>
      <c r="F76">
        <v>3</v>
      </c>
      <c r="G76">
        <v>18</v>
      </c>
      <c r="H76">
        <v>10</v>
      </c>
      <c r="I76">
        <v>0.75</v>
      </c>
      <c r="J76">
        <v>0.56000000000000005</v>
      </c>
      <c r="K76">
        <v>0</v>
      </c>
      <c r="L76">
        <v>1</v>
      </c>
      <c r="M76">
        <v>1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1</v>
      </c>
      <c r="Z76">
        <v>0</v>
      </c>
      <c r="AA76" s="86">
        <f>AVERAGEIFS($C$2:C76, $B$2:B76, B76)</f>
        <v>33</v>
      </c>
      <c r="AB76" s="86">
        <f>AVERAGEIFS($I$2:I76, $B$2:B76, B76)</f>
        <v>0.65</v>
      </c>
      <c r="AC76" s="86">
        <f>AVERAGEIFS($J$2:J76, $B$2:B76, B76)</f>
        <v>0.56999999999999995</v>
      </c>
      <c r="AD76" s="86">
        <f>AVERAGEIFS($D$2:D76, $B$2:B76, B76)</f>
        <v>1</v>
      </c>
    </row>
    <row r="77" spans="1:30" x14ac:dyDescent="0.25">
      <c r="A77" s="85">
        <v>46074</v>
      </c>
      <c r="B77" t="s">
        <v>4</v>
      </c>
      <c r="C77">
        <v>24</v>
      </c>
      <c r="D77" s="86">
        <v>1</v>
      </c>
      <c r="E77">
        <v>4</v>
      </c>
      <c r="F77">
        <v>3</v>
      </c>
      <c r="G77">
        <v>18</v>
      </c>
      <c r="H77">
        <v>10</v>
      </c>
      <c r="I77">
        <v>0.75</v>
      </c>
      <c r="J77">
        <v>0.56000000000000005</v>
      </c>
      <c r="K77">
        <v>0</v>
      </c>
      <c r="L77">
        <v>1</v>
      </c>
      <c r="M77">
        <v>1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 s="86">
        <f>AVERAGEIFS($C$2:C77, $B$2:B77, B77)</f>
        <v>24</v>
      </c>
      <c r="AB77" s="86">
        <f>AVERAGEIFS($I$2:I77, $B$2:B77, B77)</f>
        <v>0.75</v>
      </c>
      <c r="AC77" s="86">
        <f>AVERAGEIFS($J$2:J77, $B$2:B77, B77)</f>
        <v>0.56000000000000005</v>
      </c>
      <c r="AD77" s="86">
        <f>AVERAGEIFS($D$2:D77, $B$2:B77, B77)</f>
        <v>1</v>
      </c>
    </row>
    <row r="78" spans="1:30" x14ac:dyDescent="0.25">
      <c r="A78" s="85">
        <v>46074</v>
      </c>
      <c r="B78" t="s">
        <v>5</v>
      </c>
      <c r="C78">
        <v>23</v>
      </c>
      <c r="D78" s="86">
        <v>1</v>
      </c>
      <c r="E78">
        <v>4</v>
      </c>
      <c r="F78">
        <v>3</v>
      </c>
      <c r="G78">
        <v>18</v>
      </c>
      <c r="H78">
        <v>10</v>
      </c>
      <c r="I78">
        <v>0.75</v>
      </c>
      <c r="J78">
        <v>0.56000000000000005</v>
      </c>
      <c r="K78">
        <v>0</v>
      </c>
      <c r="L78">
        <v>1</v>
      </c>
      <c r="M78">
        <v>1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 s="86">
        <f>AVERAGEIFS($C$2:C78, $B$2:B78, B78)</f>
        <v>25.25</v>
      </c>
      <c r="AB78" s="86">
        <f>AVERAGEIFS($I$2:I78, $B$2:B78, B78)</f>
        <v>0.58750000000000002</v>
      </c>
      <c r="AC78" s="86">
        <f>AVERAGEIFS($J$2:J78, $B$2:B78, B78)</f>
        <v>0.52</v>
      </c>
      <c r="AD78" s="86">
        <f>AVERAGEIFS($D$2:D78, $B$2:B78, B78)</f>
        <v>0.75</v>
      </c>
    </row>
    <row r="79" spans="1:30" x14ac:dyDescent="0.25">
      <c r="A79" s="85">
        <v>46074</v>
      </c>
      <c r="B79" t="s">
        <v>6</v>
      </c>
      <c r="C79">
        <v>19</v>
      </c>
      <c r="D79" s="86">
        <v>1</v>
      </c>
      <c r="E79">
        <v>4</v>
      </c>
      <c r="F79">
        <v>3</v>
      </c>
      <c r="G79">
        <v>18</v>
      </c>
      <c r="H79">
        <v>10</v>
      </c>
      <c r="I79">
        <v>0.75</v>
      </c>
      <c r="J79">
        <v>0.56000000000000005</v>
      </c>
      <c r="K79">
        <v>0</v>
      </c>
      <c r="L79">
        <v>1</v>
      </c>
      <c r="M79">
        <v>1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 s="86">
        <f>AVERAGEIFS($C$2:C79, $B$2:B79, B79)</f>
        <v>23</v>
      </c>
      <c r="AB79" s="86">
        <f>AVERAGEIFS($I$2:I79, $B$2:B79, B79)</f>
        <v>0.71666666666666667</v>
      </c>
      <c r="AC79" s="86">
        <f>AVERAGEIFS($J$2:J79, $B$2:B79, B79)</f>
        <v>0.56999999999999995</v>
      </c>
      <c r="AD79" s="86">
        <f>AVERAGEIFS($D$2:D79, $B$2:B79, B79)</f>
        <v>0.66666666666666663</v>
      </c>
    </row>
    <row r="80" spans="1:30" x14ac:dyDescent="0.25">
      <c r="A80" s="85">
        <v>46074</v>
      </c>
      <c r="B80" t="s">
        <v>46</v>
      </c>
      <c r="C80">
        <v>14</v>
      </c>
      <c r="D80" s="86">
        <v>1</v>
      </c>
      <c r="E80">
        <v>4</v>
      </c>
      <c r="F80">
        <v>3</v>
      </c>
      <c r="G80">
        <v>18</v>
      </c>
      <c r="H80">
        <v>10</v>
      </c>
      <c r="I80">
        <v>0.75</v>
      </c>
      <c r="J80">
        <v>0.56000000000000005</v>
      </c>
      <c r="K80">
        <v>0</v>
      </c>
      <c r="L80">
        <v>1</v>
      </c>
      <c r="M80">
        <v>1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 s="86">
        <f>AVERAGEIFS($C$2:C80, $B$2:B80, B80)</f>
        <v>15.666666666666666</v>
      </c>
      <c r="AB80" s="86">
        <f>AVERAGEIFS($I$2:I80, $B$2:B80, B80)</f>
        <v>0.33333333333333331</v>
      </c>
      <c r="AC80" s="86">
        <f>AVERAGEIFS($J$2:J80, $B$2:B80, B80)</f>
        <v>0.42333333333333334</v>
      </c>
      <c r="AD80" s="86">
        <f>AVERAGEIFS($D$2:D80, $B$2:B80, B80)</f>
        <v>0.33333333333333331</v>
      </c>
    </row>
    <row r="81" spans="1:30" x14ac:dyDescent="0.25">
      <c r="A81" s="85">
        <v>46074</v>
      </c>
      <c r="B81" t="s">
        <v>13</v>
      </c>
      <c r="C81">
        <v>35</v>
      </c>
      <c r="D81" s="86">
        <v>0</v>
      </c>
      <c r="E81">
        <v>4</v>
      </c>
      <c r="F81">
        <v>1</v>
      </c>
      <c r="G81">
        <v>18</v>
      </c>
      <c r="H81">
        <v>8</v>
      </c>
      <c r="I81">
        <v>0.25</v>
      </c>
      <c r="J81">
        <v>0.44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0</v>
      </c>
      <c r="Z81">
        <v>0</v>
      </c>
      <c r="AA81" s="86">
        <f>AVERAGEIFS($C$2:C81, $B$2:B81, B81)</f>
        <v>35</v>
      </c>
      <c r="AB81" s="86">
        <f>AVERAGEIFS($I$2:I81, $B$2:B81, B81)</f>
        <v>0.36249999999999999</v>
      </c>
      <c r="AC81" s="86">
        <f>AVERAGEIFS($J$2:J81, $B$2:B81, B81)</f>
        <v>0.47499999999999998</v>
      </c>
      <c r="AD81" s="86">
        <f>AVERAGEIFS($D$2:D81, $B$2:B81, B81)</f>
        <v>0.5</v>
      </c>
    </row>
    <row r="82" spans="1:30" x14ac:dyDescent="0.25">
      <c r="A82" s="85">
        <v>46074</v>
      </c>
      <c r="B82" t="s">
        <v>14</v>
      </c>
      <c r="C82">
        <v>32</v>
      </c>
      <c r="D82" s="86">
        <v>0</v>
      </c>
      <c r="E82">
        <v>4</v>
      </c>
      <c r="F82">
        <v>1</v>
      </c>
      <c r="G82">
        <v>18</v>
      </c>
      <c r="H82">
        <v>8</v>
      </c>
      <c r="I82">
        <v>0.25</v>
      </c>
      <c r="J82">
        <v>0.44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1</v>
      </c>
      <c r="X82">
        <v>0</v>
      </c>
      <c r="Y82">
        <v>0</v>
      </c>
      <c r="Z82">
        <v>0</v>
      </c>
      <c r="AA82" s="86">
        <f>AVERAGEIFS($C$2:C82, $B$2:B82, B82)</f>
        <v>39.75</v>
      </c>
      <c r="AB82" s="86">
        <f>AVERAGEIFS($I$2:I82, $B$2:B82, B82)</f>
        <v>0.46250000000000002</v>
      </c>
      <c r="AC82" s="86">
        <f>AVERAGEIFS($J$2:J82, $B$2:B82, B82)</f>
        <v>0.49</v>
      </c>
      <c r="AD82" s="86">
        <f>AVERAGEIFS($D$2:D82, $B$2:B82, B82)</f>
        <v>0.5</v>
      </c>
    </row>
    <row r="83" spans="1:30" x14ac:dyDescent="0.25">
      <c r="A83" s="85">
        <v>46074</v>
      </c>
      <c r="B83" t="s">
        <v>15</v>
      </c>
      <c r="C83">
        <v>31</v>
      </c>
      <c r="D83" s="86">
        <v>0</v>
      </c>
      <c r="E83">
        <v>4</v>
      </c>
      <c r="F83">
        <v>1</v>
      </c>
      <c r="G83">
        <v>18</v>
      </c>
      <c r="H83">
        <v>8</v>
      </c>
      <c r="I83">
        <v>0.25</v>
      </c>
      <c r="J83">
        <v>0.44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1</v>
      </c>
      <c r="X83">
        <v>0</v>
      </c>
      <c r="Y83">
        <v>0</v>
      </c>
      <c r="Z83">
        <v>0</v>
      </c>
      <c r="AA83" s="86">
        <f>AVERAGEIFS($C$2:C83, $B$2:B83, B83)</f>
        <v>32.6</v>
      </c>
      <c r="AB83" s="86">
        <f>AVERAGEIFS($I$2:I83, $B$2:B83, B83)</f>
        <v>0.55999999999999994</v>
      </c>
      <c r="AC83" s="86">
        <f>AVERAGEIFS($J$2:J83, $B$2:B83, B83)</f>
        <v>0.52200000000000002</v>
      </c>
      <c r="AD83" s="86">
        <f>AVERAGEIFS($D$2:D83, $B$2:B83, B83)</f>
        <v>0.4</v>
      </c>
    </row>
    <row r="84" spans="1:30" x14ac:dyDescent="0.25">
      <c r="A84" s="85">
        <v>46074</v>
      </c>
      <c r="B84" t="s">
        <v>17</v>
      </c>
      <c r="C84">
        <v>27</v>
      </c>
      <c r="D84" s="86">
        <v>0</v>
      </c>
      <c r="E84">
        <v>4</v>
      </c>
      <c r="F84">
        <v>1</v>
      </c>
      <c r="G84">
        <v>18</v>
      </c>
      <c r="H84">
        <v>8</v>
      </c>
      <c r="I84">
        <v>0.25</v>
      </c>
      <c r="J84">
        <v>0.44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1</v>
      </c>
      <c r="X84">
        <v>0</v>
      </c>
      <c r="Y84">
        <v>0</v>
      </c>
      <c r="Z84">
        <v>0</v>
      </c>
      <c r="AA84" s="86">
        <f>AVERAGEIFS($C$2:C84, $B$2:B84, B84)</f>
        <v>29.5</v>
      </c>
      <c r="AB84" s="86">
        <f>AVERAGEIFS($I$2:I84, $B$2:B84, B84)</f>
        <v>0.51249999999999996</v>
      </c>
      <c r="AC84" s="86">
        <f>AVERAGEIFS($J$2:J84, $B$2:B84, B84)</f>
        <v>0.505</v>
      </c>
      <c r="AD84" s="86">
        <f>AVERAGEIFS($D$2:D84, $B$2:B84, B84)</f>
        <v>0.25</v>
      </c>
    </row>
    <row r="85" spans="1:30" x14ac:dyDescent="0.25">
      <c r="A85" s="85">
        <v>46074</v>
      </c>
      <c r="B85" t="s">
        <v>18</v>
      </c>
      <c r="C85">
        <v>20</v>
      </c>
      <c r="D85" s="86">
        <v>0</v>
      </c>
      <c r="E85">
        <v>4</v>
      </c>
      <c r="F85">
        <v>1</v>
      </c>
      <c r="G85">
        <v>18</v>
      </c>
      <c r="H85">
        <v>8</v>
      </c>
      <c r="I85">
        <v>0.25</v>
      </c>
      <c r="J85">
        <v>0.44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1</v>
      </c>
      <c r="X85">
        <v>0</v>
      </c>
      <c r="Y85">
        <v>0</v>
      </c>
      <c r="Z85">
        <v>0</v>
      </c>
      <c r="AA85" s="86">
        <f>AVERAGEIFS($C$2:C85, $B$2:B85, B85)</f>
        <v>30</v>
      </c>
      <c r="AB85" s="86">
        <f>AVERAGEIFS($I$2:I85, $B$2:B85, B85)</f>
        <v>0.41249999999999998</v>
      </c>
      <c r="AC85" s="86">
        <f>AVERAGEIFS($J$2:J85, $B$2:B85, B85)</f>
        <v>0.47</v>
      </c>
      <c r="AD85" s="86">
        <f>AVERAGEIFS($D$2:D85, $B$2:B85, B85)</f>
        <v>0.25</v>
      </c>
    </row>
    <row r="86" spans="1:30" x14ac:dyDescent="0.25">
      <c r="A86" s="85">
        <v>46074</v>
      </c>
      <c r="B86" t="s">
        <v>19</v>
      </c>
      <c r="C86">
        <v>15</v>
      </c>
      <c r="D86" s="86">
        <v>0</v>
      </c>
      <c r="E86">
        <v>4</v>
      </c>
      <c r="F86">
        <v>1</v>
      </c>
      <c r="G86">
        <v>18</v>
      </c>
      <c r="H86">
        <v>8</v>
      </c>
      <c r="I86">
        <v>0.25</v>
      </c>
      <c r="J86">
        <v>0.44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1</v>
      </c>
      <c r="X86">
        <v>0</v>
      </c>
      <c r="Y86">
        <v>0</v>
      </c>
      <c r="Z86">
        <v>0</v>
      </c>
      <c r="AA86" s="86">
        <f>AVERAGEIFS($C$2:C86, $B$2:B86, B86)</f>
        <v>16.2</v>
      </c>
      <c r="AB86" s="86">
        <f>AVERAGEIFS($I$2:I86, $B$2:B86, B86)</f>
        <v>0.55999999999999994</v>
      </c>
      <c r="AC86" s="86">
        <f>AVERAGEIFS($J$2:J86, $B$2:B86, B86)</f>
        <v>0.52200000000000002</v>
      </c>
      <c r="AD86" s="86">
        <f>AVERAGEIFS($D$2:D86, $B$2:B86, B86)</f>
        <v>0.4</v>
      </c>
    </row>
    <row r="87" spans="1:30" x14ac:dyDescent="0.25">
      <c r="A87" s="85">
        <v>46074</v>
      </c>
      <c r="B87" t="s">
        <v>20</v>
      </c>
      <c r="C87">
        <v>14</v>
      </c>
      <c r="D87" s="86">
        <v>0</v>
      </c>
      <c r="E87">
        <v>4</v>
      </c>
      <c r="F87">
        <v>1</v>
      </c>
      <c r="G87">
        <v>18</v>
      </c>
      <c r="H87">
        <v>8</v>
      </c>
      <c r="I87">
        <v>0.25</v>
      </c>
      <c r="J87">
        <v>0.44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1</v>
      </c>
      <c r="X87">
        <v>0</v>
      </c>
      <c r="Y87">
        <v>0</v>
      </c>
      <c r="Z87">
        <v>0</v>
      </c>
      <c r="AA87" s="86">
        <f>AVERAGEIFS($C$2:C87, $B$2:B87, B87)</f>
        <v>16</v>
      </c>
      <c r="AB87" s="86">
        <f>AVERAGEIFS($I$2:I87, $B$2:B87, B87)</f>
        <v>0.41</v>
      </c>
      <c r="AC87" s="86">
        <f>AVERAGEIFS($J$2:J87, $B$2:B87, B87)</f>
        <v>0.46799999999999997</v>
      </c>
      <c r="AD87" s="86">
        <f>AVERAGEIFS($D$2:D87, $B$2:B87, B87)</f>
        <v>0.2</v>
      </c>
    </row>
    <row r="88" spans="1:30" x14ac:dyDescent="0.25">
      <c r="A88" s="85">
        <v>46075</v>
      </c>
      <c r="B88" t="s">
        <v>18</v>
      </c>
      <c r="C88">
        <v>36</v>
      </c>
      <c r="D88" s="86">
        <v>1</v>
      </c>
      <c r="E88">
        <v>4</v>
      </c>
      <c r="F88">
        <v>3</v>
      </c>
      <c r="G88">
        <v>18</v>
      </c>
      <c r="H88">
        <v>10</v>
      </c>
      <c r="I88">
        <v>0.75</v>
      </c>
      <c r="J88">
        <v>0.56000000000000005</v>
      </c>
      <c r="K88">
        <v>0</v>
      </c>
      <c r="L88">
        <v>0</v>
      </c>
      <c r="M88">
        <v>0</v>
      </c>
      <c r="N88">
        <v>1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1</v>
      </c>
      <c r="X88">
        <v>0</v>
      </c>
      <c r="Y88">
        <v>0</v>
      </c>
      <c r="Z88">
        <v>0</v>
      </c>
      <c r="AA88" s="86">
        <f>AVERAGEIFS($C$2:C88, $B$2:B88, B88)</f>
        <v>31.2</v>
      </c>
      <c r="AB88" s="86">
        <f>AVERAGEIFS($I$2:I88, $B$2:B88, B88)</f>
        <v>0.48</v>
      </c>
      <c r="AC88" s="86">
        <f>AVERAGEIFS($J$2:J88, $B$2:B88, B88)</f>
        <v>0.48799999999999999</v>
      </c>
      <c r="AD88" s="86">
        <f>AVERAGEIFS($D$2:D88, $B$2:B88, B88)</f>
        <v>0.4</v>
      </c>
    </row>
    <row r="89" spans="1:30" x14ac:dyDescent="0.25">
      <c r="A89" s="85">
        <v>46075</v>
      </c>
      <c r="B89" t="s">
        <v>46</v>
      </c>
      <c r="C89">
        <v>36</v>
      </c>
      <c r="D89" s="86">
        <v>1</v>
      </c>
      <c r="E89">
        <v>4</v>
      </c>
      <c r="F89">
        <v>3</v>
      </c>
      <c r="G89">
        <v>18</v>
      </c>
      <c r="H89">
        <v>10</v>
      </c>
      <c r="I89">
        <v>0.75</v>
      </c>
      <c r="J89">
        <v>0.56000000000000005</v>
      </c>
      <c r="K89">
        <v>0</v>
      </c>
      <c r="L89">
        <v>0</v>
      </c>
      <c r="M89">
        <v>0</v>
      </c>
      <c r="N89">
        <v>1</v>
      </c>
      <c r="O89">
        <v>0</v>
      </c>
      <c r="P89">
        <v>1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1</v>
      </c>
      <c r="X89">
        <v>0</v>
      </c>
      <c r="Y89">
        <v>0</v>
      </c>
      <c r="Z89">
        <v>0</v>
      </c>
      <c r="AA89" s="86">
        <f>AVERAGEIFS($C$2:C89, $B$2:B89, B89)</f>
        <v>20.75</v>
      </c>
      <c r="AB89" s="86">
        <f>AVERAGEIFS($I$2:I89, $B$2:B89, B89)</f>
        <v>0.4375</v>
      </c>
      <c r="AC89" s="86">
        <f>AVERAGEIFS($J$2:J89, $B$2:B89, B89)</f>
        <v>0.45750000000000002</v>
      </c>
      <c r="AD89" s="86">
        <f>AVERAGEIFS($D$2:D89, $B$2:B89, B89)</f>
        <v>0.5</v>
      </c>
    </row>
    <row r="90" spans="1:30" x14ac:dyDescent="0.25">
      <c r="A90" s="85">
        <v>46075</v>
      </c>
      <c r="B90" t="s">
        <v>6</v>
      </c>
      <c r="C90">
        <v>25</v>
      </c>
      <c r="D90" s="86">
        <v>1</v>
      </c>
      <c r="E90">
        <v>4</v>
      </c>
      <c r="F90">
        <v>3</v>
      </c>
      <c r="G90">
        <v>18</v>
      </c>
      <c r="H90">
        <v>10</v>
      </c>
      <c r="I90">
        <v>0.75</v>
      </c>
      <c r="J90">
        <v>0.56000000000000005</v>
      </c>
      <c r="K90">
        <v>0</v>
      </c>
      <c r="L90">
        <v>0</v>
      </c>
      <c r="M90">
        <v>0</v>
      </c>
      <c r="N90">
        <v>1</v>
      </c>
      <c r="O90">
        <v>0</v>
      </c>
      <c r="P90">
        <v>1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1</v>
      </c>
      <c r="X90">
        <v>0</v>
      </c>
      <c r="Y90">
        <v>0</v>
      </c>
      <c r="Z90">
        <v>0</v>
      </c>
      <c r="AA90" s="86">
        <f>AVERAGEIFS($C$2:C90, $B$2:B90, B90)</f>
        <v>23.5</v>
      </c>
      <c r="AB90" s="86">
        <f>AVERAGEIFS($I$2:I90, $B$2:B90, B90)</f>
        <v>0.72499999999999998</v>
      </c>
      <c r="AC90" s="86">
        <f>AVERAGEIFS($J$2:J90, $B$2:B90, B90)</f>
        <v>0.5675</v>
      </c>
      <c r="AD90" s="86">
        <f>AVERAGEIFS($D$2:D90, $B$2:B90, B90)</f>
        <v>0.75</v>
      </c>
    </row>
    <row r="91" spans="1:30" x14ac:dyDescent="0.25">
      <c r="A91" s="85">
        <v>46075</v>
      </c>
      <c r="B91" t="s">
        <v>51</v>
      </c>
      <c r="C91">
        <v>22</v>
      </c>
      <c r="D91" s="86">
        <v>1</v>
      </c>
      <c r="E91">
        <v>4</v>
      </c>
      <c r="F91">
        <v>3</v>
      </c>
      <c r="G91">
        <v>18</v>
      </c>
      <c r="H91">
        <v>10</v>
      </c>
      <c r="I91">
        <v>0.75</v>
      </c>
      <c r="J91">
        <v>0.56000000000000005</v>
      </c>
      <c r="K91">
        <v>0</v>
      </c>
      <c r="L91">
        <v>0</v>
      </c>
      <c r="M91">
        <v>0</v>
      </c>
      <c r="N91">
        <v>1</v>
      </c>
      <c r="O91">
        <v>0</v>
      </c>
      <c r="P91">
        <v>1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1</v>
      </c>
      <c r="X91">
        <v>0</v>
      </c>
      <c r="Y91">
        <v>0</v>
      </c>
      <c r="Z91">
        <v>0</v>
      </c>
      <c r="AA91" s="86">
        <f>AVERAGEIFS($C$2:C91, $B$2:B91, B91)</f>
        <v>16.75</v>
      </c>
      <c r="AB91" s="86">
        <f>AVERAGEIFS($I$2:I91, $B$2:B91, B91)</f>
        <v>0.72499999999999998</v>
      </c>
      <c r="AC91" s="86">
        <f>AVERAGEIFS($J$2:J91, $B$2:B91, B91)</f>
        <v>0.5675</v>
      </c>
      <c r="AD91" s="86">
        <f>AVERAGEIFS($D$2:D91, $B$2:B91, B91)</f>
        <v>0.75</v>
      </c>
    </row>
    <row r="92" spans="1:30" x14ac:dyDescent="0.25">
      <c r="A92" s="85">
        <v>46075</v>
      </c>
      <c r="B92" t="s">
        <v>26</v>
      </c>
      <c r="C92">
        <v>17</v>
      </c>
      <c r="D92" s="86">
        <v>1</v>
      </c>
      <c r="E92">
        <v>4</v>
      </c>
      <c r="F92">
        <v>3</v>
      </c>
      <c r="G92">
        <v>18</v>
      </c>
      <c r="H92">
        <v>10</v>
      </c>
      <c r="I92">
        <v>0.75</v>
      </c>
      <c r="J92">
        <v>0.56000000000000005</v>
      </c>
      <c r="K92">
        <v>0</v>
      </c>
      <c r="L92">
        <v>0</v>
      </c>
      <c r="M92">
        <v>0</v>
      </c>
      <c r="N92">
        <v>1</v>
      </c>
      <c r="O92">
        <v>0</v>
      </c>
      <c r="P92">
        <v>1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1</v>
      </c>
      <c r="X92">
        <v>0</v>
      </c>
      <c r="Y92">
        <v>0</v>
      </c>
      <c r="Z92">
        <v>0</v>
      </c>
      <c r="AA92" s="86">
        <f>AVERAGEIFS($C$2:C92, $B$2:B92, B92)</f>
        <v>15</v>
      </c>
      <c r="AB92" s="86">
        <f>AVERAGEIFS($I$2:I92, $B$2:B92, B92)</f>
        <v>0.55000000000000004</v>
      </c>
      <c r="AC92" s="86">
        <f>AVERAGEIFS($J$2:J92, $B$2:B92, B92)</f>
        <v>0.53249999999999997</v>
      </c>
      <c r="AD92" s="86">
        <f>AVERAGEIFS($D$2:D92, $B$2:B92, B92)</f>
        <v>0.75</v>
      </c>
    </row>
    <row r="93" spans="1:30" x14ac:dyDescent="0.25">
      <c r="A93" s="85">
        <v>46075</v>
      </c>
      <c r="B93" t="s">
        <v>38</v>
      </c>
      <c r="C93">
        <v>6</v>
      </c>
      <c r="D93" s="86">
        <v>1</v>
      </c>
      <c r="E93">
        <v>4</v>
      </c>
      <c r="F93">
        <v>3</v>
      </c>
      <c r="G93">
        <v>18</v>
      </c>
      <c r="H93">
        <v>10</v>
      </c>
      <c r="I93">
        <v>0.75</v>
      </c>
      <c r="J93">
        <v>0.56000000000000005</v>
      </c>
      <c r="K93">
        <v>0</v>
      </c>
      <c r="L93">
        <v>0</v>
      </c>
      <c r="M93">
        <v>0</v>
      </c>
      <c r="N93">
        <v>1</v>
      </c>
      <c r="O93">
        <v>0</v>
      </c>
      <c r="P93">
        <v>1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1</v>
      </c>
      <c r="X93">
        <v>0</v>
      </c>
      <c r="Y93">
        <v>0</v>
      </c>
      <c r="Z93">
        <v>0</v>
      </c>
      <c r="AA93" s="86">
        <f>AVERAGEIFS($C$2:C93, $B$2:B93, B93)</f>
        <v>6</v>
      </c>
      <c r="AB93" s="86">
        <f>AVERAGEIFS($I$2:I93, $B$2:B93, B93)</f>
        <v>0.75</v>
      </c>
      <c r="AC93" s="86">
        <f>AVERAGEIFS($J$2:J93, $B$2:B93, B93)</f>
        <v>0.56000000000000005</v>
      </c>
      <c r="AD93" s="86">
        <f>AVERAGEIFS($D$2:D93, $B$2:B93, B93)</f>
        <v>1</v>
      </c>
    </row>
    <row r="94" spans="1:30" x14ac:dyDescent="0.25">
      <c r="A94" s="85">
        <v>46075</v>
      </c>
      <c r="B94" t="s">
        <v>17</v>
      </c>
      <c r="C94">
        <v>42</v>
      </c>
      <c r="D94" s="86">
        <v>0</v>
      </c>
      <c r="E94">
        <v>4</v>
      </c>
      <c r="F94">
        <v>1</v>
      </c>
      <c r="G94">
        <v>18</v>
      </c>
      <c r="H94">
        <v>8</v>
      </c>
      <c r="I94">
        <v>0.25</v>
      </c>
      <c r="J94">
        <v>0.44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32</v>
      </c>
      <c r="AB94" s="86">
        <f>AVERAGEIFS($I$2:I94, $B$2:B94, B94)</f>
        <v>0.45999999999999996</v>
      </c>
      <c r="AC94" s="86">
        <f>AVERAGEIFS($J$2:J94, $B$2:B94, B94)</f>
        <v>0.49199999999999999</v>
      </c>
      <c r="AD94" s="86">
        <f>AVERAGEIFS($D$2:D94, $B$2:B94, B94)</f>
        <v>0.2</v>
      </c>
    </row>
    <row r="95" spans="1:30" x14ac:dyDescent="0.25">
      <c r="A95" s="85">
        <v>46075</v>
      </c>
      <c r="B95" t="s">
        <v>15</v>
      </c>
      <c r="C95">
        <v>35</v>
      </c>
      <c r="D95" s="86">
        <v>0</v>
      </c>
      <c r="E95">
        <v>4</v>
      </c>
      <c r="F95">
        <v>1</v>
      </c>
      <c r="G95">
        <v>18</v>
      </c>
      <c r="H95">
        <v>8</v>
      </c>
      <c r="I95">
        <v>0.25</v>
      </c>
      <c r="J95">
        <v>0.44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33</v>
      </c>
      <c r="AB95" s="86">
        <f>AVERAGEIFS($I$2:I95, $B$2:B95, B95)</f>
        <v>0.5083333333333333</v>
      </c>
      <c r="AC95" s="86">
        <f>AVERAGEIFS($J$2:J95, $B$2:B95, B95)</f>
        <v>0.5083333333333333</v>
      </c>
      <c r="AD95" s="86">
        <f>AVERAGEIFS($D$2:D95, $B$2:B95, B95)</f>
        <v>0.33333333333333331</v>
      </c>
    </row>
    <row r="96" spans="1:30" x14ac:dyDescent="0.25">
      <c r="A96" s="85">
        <v>46075</v>
      </c>
      <c r="B96" t="s">
        <v>28</v>
      </c>
      <c r="C96">
        <v>18</v>
      </c>
      <c r="D96" s="86">
        <v>0</v>
      </c>
      <c r="E96">
        <v>4</v>
      </c>
      <c r="F96">
        <v>1</v>
      </c>
      <c r="G96">
        <v>18</v>
      </c>
      <c r="H96">
        <v>8</v>
      </c>
      <c r="I96">
        <v>0.25</v>
      </c>
      <c r="J96">
        <v>0.44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19</v>
      </c>
      <c r="AB96" s="86">
        <f>AVERAGEIFS($I$2:I96, $B$2:B96, B96)</f>
        <v>0.5</v>
      </c>
      <c r="AC96" s="86">
        <f>AVERAGEIFS($J$2:J96, $B$2:B96, B96)</f>
        <v>0.4975</v>
      </c>
      <c r="AD96" s="86">
        <f>AVERAGEIFS($D$2:D96, $B$2:B96, B96)</f>
        <v>0.5</v>
      </c>
    </row>
    <row r="97" spans="1:30" x14ac:dyDescent="0.25">
      <c r="A97" s="85">
        <v>46075</v>
      </c>
      <c r="B97" t="s">
        <v>25</v>
      </c>
      <c r="C97">
        <v>16</v>
      </c>
      <c r="D97" s="86">
        <v>0</v>
      </c>
      <c r="E97">
        <v>4</v>
      </c>
      <c r="F97">
        <v>1</v>
      </c>
      <c r="G97">
        <v>18</v>
      </c>
      <c r="H97">
        <v>8</v>
      </c>
      <c r="I97">
        <v>0.25</v>
      </c>
      <c r="J97">
        <v>0.44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1</v>
      </c>
      <c r="AA97" s="86">
        <f>AVERAGEIFS($C$2:C97, $B$2:B97, B97)</f>
        <v>18</v>
      </c>
      <c r="AB97" s="86">
        <f>AVERAGEIFS($I$2:I97, $B$2:B97, B97)</f>
        <v>0.32500000000000001</v>
      </c>
      <c r="AC97" s="86">
        <f>AVERAGEIFS($J$2:J97, $B$2:B97, B97)</f>
        <v>0.435</v>
      </c>
      <c r="AD97" s="86">
        <f>AVERAGEIFS($D$2:D97, $B$2:B97, B97)</f>
        <v>0</v>
      </c>
    </row>
    <row r="98" spans="1:30" x14ac:dyDescent="0.25">
      <c r="A98" s="85">
        <v>46075</v>
      </c>
      <c r="B98" t="s">
        <v>40</v>
      </c>
      <c r="C98">
        <v>16</v>
      </c>
      <c r="D98" s="86">
        <v>0</v>
      </c>
      <c r="E98">
        <v>4</v>
      </c>
      <c r="F98">
        <v>1</v>
      </c>
      <c r="G98">
        <v>18</v>
      </c>
      <c r="H98">
        <v>8</v>
      </c>
      <c r="I98">
        <v>0.25</v>
      </c>
      <c r="J98">
        <v>0.44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1</v>
      </c>
      <c r="AA98" s="86">
        <f>AVERAGEIFS($C$2:C98, $B$2:B98, B98)</f>
        <v>16</v>
      </c>
      <c r="AB98" s="86">
        <f>AVERAGEIFS($I$2:I98, $B$2:B98, B98)</f>
        <v>0.25</v>
      </c>
      <c r="AC98" s="86">
        <f>AVERAGEIFS($J$2:J98, $B$2:B98, B98)</f>
        <v>0.44</v>
      </c>
      <c r="AD98" s="86">
        <f>AVERAGEIFS($D$2:D98, $B$2:B98, B98)</f>
        <v>0</v>
      </c>
    </row>
    <row r="99" spans="1:30" x14ac:dyDescent="0.25">
      <c r="A99" s="85">
        <v>46075</v>
      </c>
      <c r="B99" t="s">
        <v>137</v>
      </c>
      <c r="C99">
        <v>13</v>
      </c>
      <c r="D99" s="86">
        <v>0</v>
      </c>
      <c r="E99">
        <v>4</v>
      </c>
      <c r="F99">
        <v>1</v>
      </c>
      <c r="G99">
        <v>18</v>
      </c>
      <c r="H99">
        <v>8</v>
      </c>
      <c r="I99">
        <v>0.25</v>
      </c>
      <c r="J99">
        <v>0.44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</v>
      </c>
      <c r="AA99" s="86">
        <f>AVERAGEIFS($C$2:C99, $B$2:B99, B99)</f>
        <v>11</v>
      </c>
      <c r="AB99" s="86">
        <f>AVERAGEIFS($I$2:I99, $B$2:B99, B99)</f>
        <v>0.54999999999999993</v>
      </c>
      <c r="AC99" s="86">
        <f>AVERAGEIFS($J$2:J99, $B$2:B99, B99)</f>
        <v>0.52999999999999992</v>
      </c>
      <c r="AD99" s="86">
        <f>AVERAGEIFS($D$2:D99, $B$2:B99, B99)</f>
        <v>0.33333333333333331</v>
      </c>
    </row>
    <row r="100" spans="1:30" x14ac:dyDescent="0.25">
      <c r="A100" s="85">
        <v>46075</v>
      </c>
      <c r="B100" t="s">
        <v>13</v>
      </c>
      <c r="C100">
        <v>38</v>
      </c>
      <c r="D100" s="86">
        <v>1</v>
      </c>
      <c r="E100">
        <v>4</v>
      </c>
      <c r="F100">
        <v>3</v>
      </c>
      <c r="G100">
        <v>16</v>
      </c>
      <c r="H100">
        <v>10</v>
      </c>
      <c r="I100">
        <v>0.75</v>
      </c>
      <c r="J100">
        <v>0.63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1</v>
      </c>
      <c r="X100">
        <v>0</v>
      </c>
      <c r="Y100">
        <v>0</v>
      </c>
      <c r="Z100">
        <v>0</v>
      </c>
      <c r="AA100" s="86">
        <f>AVERAGEIFS($C$2:C100, $B$2:B100, B100)</f>
        <v>35.6</v>
      </c>
      <c r="AB100" s="86">
        <f>AVERAGEIFS($I$2:I100, $B$2:B100, B100)</f>
        <v>0.44000000000000006</v>
      </c>
      <c r="AC100" s="86">
        <f>AVERAGEIFS($J$2:J100, $B$2:B100, B100)</f>
        <v>0.50600000000000001</v>
      </c>
      <c r="AD100" s="86">
        <f>AVERAGEIFS($D$2:D100, $B$2:B100, B100)</f>
        <v>0.6</v>
      </c>
    </row>
    <row r="101" spans="1:30" x14ac:dyDescent="0.25">
      <c r="A101" s="85">
        <v>46075</v>
      </c>
      <c r="B101" t="s">
        <v>2</v>
      </c>
      <c r="C101">
        <v>29</v>
      </c>
      <c r="D101" s="86">
        <v>1</v>
      </c>
      <c r="E101">
        <v>4</v>
      </c>
      <c r="F101">
        <v>3</v>
      </c>
      <c r="G101">
        <v>16</v>
      </c>
      <c r="H101">
        <v>10</v>
      </c>
      <c r="I101">
        <v>0.75</v>
      </c>
      <c r="J101">
        <v>0.63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0</v>
      </c>
      <c r="Y101">
        <v>0</v>
      </c>
      <c r="Z101">
        <v>0</v>
      </c>
      <c r="AA101" s="86">
        <f>AVERAGEIFS($C$2:C101, $B$2:B101, B101)</f>
        <v>29.75</v>
      </c>
      <c r="AB101" s="86">
        <f>AVERAGEIFS($I$2:I101, $B$2:B101, B101)</f>
        <v>0.53749999999999998</v>
      </c>
      <c r="AC101" s="86">
        <f>AVERAGEIFS($J$2:J101, $B$2:B101, B101)</f>
        <v>0.51</v>
      </c>
      <c r="AD101" s="86">
        <f>AVERAGEIFS($D$2:D101, $B$2:B101, B101)</f>
        <v>0.5</v>
      </c>
    </row>
    <row r="102" spans="1:30" x14ac:dyDescent="0.25">
      <c r="A102" s="85">
        <v>46075</v>
      </c>
      <c r="B102" t="s">
        <v>45</v>
      </c>
      <c r="C102">
        <v>17</v>
      </c>
      <c r="D102" s="86">
        <v>1</v>
      </c>
      <c r="E102">
        <v>4</v>
      </c>
      <c r="F102">
        <v>3</v>
      </c>
      <c r="G102">
        <v>16</v>
      </c>
      <c r="H102">
        <v>10</v>
      </c>
      <c r="I102">
        <v>0.75</v>
      </c>
      <c r="J102">
        <v>0.63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0</v>
      </c>
      <c r="Y102">
        <v>0</v>
      </c>
      <c r="Z102">
        <v>0</v>
      </c>
      <c r="AA102" s="86">
        <f>AVERAGEIFS($C$2:C102, $B$2:B102, B102)</f>
        <v>13.666666666666666</v>
      </c>
      <c r="AB102" s="86">
        <f>AVERAGEIFS($I$2:I102, $B$2:B102, B102)</f>
        <v>0.33333333333333331</v>
      </c>
      <c r="AC102" s="86">
        <f>AVERAGEIFS($J$2:J102, $B$2:B102, B102)</f>
        <v>0.4466666666666666</v>
      </c>
      <c r="AD102" s="86">
        <f>AVERAGEIFS($D$2:D102, $B$2:B102, B102)</f>
        <v>0.33333333333333331</v>
      </c>
    </row>
    <row r="103" spans="1:30" x14ac:dyDescent="0.25">
      <c r="A103" s="85">
        <v>46075</v>
      </c>
      <c r="B103" t="s">
        <v>20</v>
      </c>
      <c r="C103">
        <v>15</v>
      </c>
      <c r="D103" s="86">
        <v>1</v>
      </c>
      <c r="E103">
        <v>4</v>
      </c>
      <c r="F103">
        <v>3</v>
      </c>
      <c r="G103">
        <v>16</v>
      </c>
      <c r="H103">
        <v>10</v>
      </c>
      <c r="I103">
        <v>0.75</v>
      </c>
      <c r="J103">
        <v>0.63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0</v>
      </c>
      <c r="Y103">
        <v>0</v>
      </c>
      <c r="Z103">
        <v>0</v>
      </c>
      <c r="AA103" s="86">
        <f>AVERAGEIFS($C$2:C103, $B$2:B103, B103)</f>
        <v>15.833333333333334</v>
      </c>
      <c r="AB103" s="86">
        <f>AVERAGEIFS($I$2:I103, $B$2:B103, B103)</f>
        <v>0.46666666666666662</v>
      </c>
      <c r="AC103" s="86">
        <f>AVERAGEIFS($J$2:J103, $B$2:B103, B103)</f>
        <v>0.49499999999999994</v>
      </c>
      <c r="AD103" s="86">
        <f>AVERAGEIFS($D$2:D103, $B$2:B103, B103)</f>
        <v>0.33333333333333331</v>
      </c>
    </row>
    <row r="104" spans="1:30" x14ac:dyDescent="0.25">
      <c r="A104" s="85">
        <v>46075</v>
      </c>
      <c r="B104" t="s">
        <v>35</v>
      </c>
      <c r="C104">
        <v>13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0</v>
      </c>
      <c r="Y104">
        <v>0</v>
      </c>
      <c r="Z104">
        <v>0</v>
      </c>
      <c r="AA104" s="86">
        <f>AVERAGEIFS($C$2:C104, $B$2:B104, B104)</f>
        <v>8</v>
      </c>
      <c r="AB104" s="86">
        <f>AVERAGEIFS($I$2:I104, $B$2:B104, B104)</f>
        <v>0.33333333333333331</v>
      </c>
      <c r="AC104" s="86">
        <f>AVERAGEIFS($J$2:J104, $B$2:B104, B104)</f>
        <v>0.4466666666666666</v>
      </c>
      <c r="AD104" s="86">
        <f>AVERAGEIFS($D$2:D104, $B$2:B104, B104)</f>
        <v>0.33333333333333331</v>
      </c>
    </row>
    <row r="105" spans="1:30" x14ac:dyDescent="0.25">
      <c r="A105" s="85">
        <v>46075</v>
      </c>
      <c r="B105" t="s">
        <v>29</v>
      </c>
      <c r="C105">
        <v>9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0</v>
      </c>
      <c r="Y105">
        <v>0</v>
      </c>
      <c r="Z105">
        <v>0</v>
      </c>
      <c r="AA105" s="86">
        <f>AVERAGEIFS($C$2:C105, $B$2:B105, B105)</f>
        <v>12.75</v>
      </c>
      <c r="AB105" s="86">
        <f>AVERAGEIFS($I$2:I105, $B$2:B105, B105)</f>
        <v>0.58750000000000002</v>
      </c>
      <c r="AC105" s="86">
        <f>AVERAGEIFS($J$2:J105, $B$2:B105, B105)</f>
        <v>0.53749999999999998</v>
      </c>
      <c r="AD105" s="86">
        <f>AVERAGEIFS($D$2:D105, $B$2:B105, B105)</f>
        <v>0.75</v>
      </c>
    </row>
    <row r="106" spans="1:30" x14ac:dyDescent="0.25">
      <c r="A106" s="85">
        <v>46075</v>
      </c>
      <c r="B106" t="s">
        <v>14</v>
      </c>
      <c r="C106">
        <v>33</v>
      </c>
      <c r="D106" s="86">
        <v>0</v>
      </c>
      <c r="E106">
        <v>4</v>
      </c>
      <c r="F106">
        <v>1</v>
      </c>
      <c r="G106">
        <v>16</v>
      </c>
      <c r="H106">
        <v>6</v>
      </c>
      <c r="I106">
        <v>0.25</v>
      </c>
      <c r="J106">
        <v>0.38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38.4</v>
      </c>
      <c r="AB106" s="86">
        <f>AVERAGEIFS($I$2:I106, $B$2:B106, B106)</f>
        <v>0.42000000000000004</v>
      </c>
      <c r="AC106" s="86">
        <f>AVERAGEIFS($J$2:J106, $B$2:B106, B106)</f>
        <v>0.46799999999999997</v>
      </c>
      <c r="AD106" s="86">
        <f>AVERAGEIFS($D$2:D106, $B$2:B106, B106)</f>
        <v>0.4</v>
      </c>
    </row>
    <row r="107" spans="1:30" x14ac:dyDescent="0.25">
      <c r="A107" s="85">
        <v>46075</v>
      </c>
      <c r="B107" t="s">
        <v>3</v>
      </c>
      <c r="C107">
        <v>18</v>
      </c>
      <c r="D107" s="86">
        <v>0</v>
      </c>
      <c r="E107">
        <v>4</v>
      </c>
      <c r="F107">
        <v>1</v>
      </c>
      <c r="G107">
        <v>16</v>
      </c>
      <c r="H107">
        <v>6</v>
      </c>
      <c r="I107">
        <v>0.25</v>
      </c>
      <c r="J107">
        <v>0.38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1</v>
      </c>
      <c r="Y107">
        <v>0</v>
      </c>
      <c r="Z107">
        <v>0</v>
      </c>
      <c r="AA107" s="86">
        <f>AVERAGEIFS($C$2:C107, $B$2:B107, B107)</f>
        <v>29.25</v>
      </c>
      <c r="AB107" s="86">
        <f>AVERAGEIFS($I$2:I107, $B$2:B107, B107)</f>
        <v>0.55000000000000004</v>
      </c>
      <c r="AC107" s="86">
        <f>AVERAGEIFS($J$2:J107, $B$2:B107, B107)</f>
        <v>0.52249999999999996</v>
      </c>
      <c r="AD107" s="86">
        <f>AVERAGEIFS($D$2:D107, $B$2:B107, B107)</f>
        <v>0.75</v>
      </c>
    </row>
    <row r="108" spans="1:30" x14ac:dyDescent="0.25">
      <c r="A108" s="85">
        <v>46075</v>
      </c>
      <c r="B108" t="s">
        <v>27</v>
      </c>
      <c r="C108">
        <v>18</v>
      </c>
      <c r="D108" s="86">
        <v>0</v>
      </c>
      <c r="E108">
        <v>4</v>
      </c>
      <c r="F108">
        <v>1</v>
      </c>
      <c r="G108">
        <v>16</v>
      </c>
      <c r="H108">
        <v>6</v>
      </c>
      <c r="I108">
        <v>0.25</v>
      </c>
      <c r="J108">
        <v>0.38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1</v>
      </c>
      <c r="Y108">
        <v>0</v>
      </c>
      <c r="Z108">
        <v>0</v>
      </c>
      <c r="AA108" s="86">
        <f>AVERAGEIFS($C$2:C108, $B$2:B108, B108)</f>
        <v>15.6</v>
      </c>
      <c r="AB108" s="86">
        <f>AVERAGEIFS($I$2:I108, $B$2:B108, B108)</f>
        <v>0.52</v>
      </c>
      <c r="AC108" s="86">
        <f>AVERAGEIFS($J$2:J108, $B$2:B108, B108)</f>
        <v>0.502</v>
      </c>
      <c r="AD108" s="86">
        <f>AVERAGEIFS($D$2:D108, $B$2:B108, B108)</f>
        <v>0.6</v>
      </c>
    </row>
    <row r="109" spans="1:30" x14ac:dyDescent="0.25">
      <c r="A109" s="85">
        <v>46075</v>
      </c>
      <c r="B109" t="s">
        <v>37</v>
      </c>
      <c r="C109">
        <v>17</v>
      </c>
      <c r="D109" s="86">
        <v>0</v>
      </c>
      <c r="E109">
        <v>4</v>
      </c>
      <c r="F109">
        <v>1</v>
      </c>
      <c r="G109">
        <v>16</v>
      </c>
      <c r="H109">
        <v>6</v>
      </c>
      <c r="I109">
        <v>0.25</v>
      </c>
      <c r="J109">
        <v>0.38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1</v>
      </c>
      <c r="Y109">
        <v>0</v>
      </c>
      <c r="Z109">
        <v>0</v>
      </c>
      <c r="AA109" s="86">
        <f>AVERAGEIFS($C$2:C109, $B$2:B109, B109)</f>
        <v>20</v>
      </c>
      <c r="AB109" s="86">
        <f>AVERAGEIFS($I$2:I109, $B$2:B109, B109)</f>
        <v>0.41249999999999998</v>
      </c>
      <c r="AC109" s="86">
        <f>AVERAGEIFS($J$2:J109, $B$2:B109, B109)</f>
        <v>0.45499999999999996</v>
      </c>
      <c r="AD109" s="86">
        <f>AVERAGEIFS($D$2:D109, $B$2:B109, B109)</f>
        <v>0.25</v>
      </c>
    </row>
    <row r="110" spans="1:30" x14ac:dyDescent="0.25">
      <c r="A110" s="85">
        <v>46075</v>
      </c>
      <c r="B110" t="s">
        <v>19</v>
      </c>
      <c r="C110">
        <v>11</v>
      </c>
      <c r="D110" s="86">
        <v>0</v>
      </c>
      <c r="E110">
        <v>4</v>
      </c>
      <c r="F110">
        <v>1</v>
      </c>
      <c r="G110">
        <v>16</v>
      </c>
      <c r="H110">
        <v>6</v>
      </c>
      <c r="I110">
        <v>0.25</v>
      </c>
      <c r="J110">
        <v>0.38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1</v>
      </c>
      <c r="Y110">
        <v>0</v>
      </c>
      <c r="Z110">
        <v>0</v>
      </c>
      <c r="AA110" s="86">
        <f>AVERAGEIFS($C$2:C110, $B$2:B110, B110)</f>
        <v>15.333333333333334</v>
      </c>
      <c r="AB110" s="86">
        <f>AVERAGEIFS($I$2:I110, $B$2:B110, B110)</f>
        <v>0.5083333333333333</v>
      </c>
      <c r="AC110" s="86">
        <f>AVERAGEIFS($J$2:J110, $B$2:B110, B110)</f>
        <v>0.49833333333333329</v>
      </c>
      <c r="AD110" s="86">
        <f>AVERAGEIFS($D$2:D110, $B$2:B110, B110)</f>
        <v>0.33333333333333331</v>
      </c>
    </row>
    <row r="111" spans="1:30" x14ac:dyDescent="0.25">
      <c r="A111" s="85">
        <v>46075</v>
      </c>
      <c r="B111" t="s">
        <v>55</v>
      </c>
      <c r="C111">
        <v>6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9</v>
      </c>
      <c r="AB111" s="86">
        <f>AVERAGEIFS($I$2:I111, $B$2:B111, B111)</f>
        <v>0.42499999999999999</v>
      </c>
      <c r="AC111" s="86">
        <f>AVERAGEIFS($J$2:J111, $B$2:B111, B111)</f>
        <v>0.47499999999999998</v>
      </c>
      <c r="AD111" s="86">
        <f>AVERAGEIFS($D$2:D111, $B$2:B111, B111)</f>
        <v>0.5</v>
      </c>
    </row>
    <row r="112" spans="1:30" x14ac:dyDescent="0.25">
      <c r="A112" s="85">
        <v>46083</v>
      </c>
      <c r="B112" t="s">
        <v>13</v>
      </c>
      <c r="C112">
        <v>43</v>
      </c>
      <c r="D112" s="86">
        <v>1</v>
      </c>
      <c r="E112">
        <v>4</v>
      </c>
      <c r="F112">
        <v>3</v>
      </c>
      <c r="G112">
        <v>16</v>
      </c>
      <c r="H112">
        <v>11</v>
      </c>
      <c r="I112">
        <v>0.75</v>
      </c>
      <c r="J112">
        <v>0.69</v>
      </c>
      <c r="K112">
        <v>0</v>
      </c>
      <c r="L112">
        <v>0</v>
      </c>
      <c r="M112">
        <v>0</v>
      </c>
      <c r="N112">
        <v>1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1</v>
      </c>
      <c r="X112">
        <v>0</v>
      </c>
      <c r="Y112">
        <v>0</v>
      </c>
      <c r="Z112">
        <v>1</v>
      </c>
      <c r="AA112" s="86">
        <f>AVERAGEIFS($C$2:C112, $B$2:B112, B112)</f>
        <v>36.833333333333336</v>
      </c>
      <c r="AB112" s="86">
        <f>AVERAGEIFS($I$2:I112, $B$2:B112, B112)</f>
        <v>0.4916666666666667</v>
      </c>
      <c r="AC112" s="86">
        <f>AVERAGEIFS($J$2:J112, $B$2:B112, B112)</f>
        <v>0.53666666666666663</v>
      </c>
      <c r="AD112" s="86">
        <f>AVERAGEIFS($D$2:D112, $B$2:B112, B112)</f>
        <v>0.66666666666666663</v>
      </c>
    </row>
    <row r="113" spans="1:30" x14ac:dyDescent="0.25">
      <c r="A113" s="85">
        <v>46083</v>
      </c>
      <c r="B113" t="s">
        <v>2</v>
      </c>
      <c r="C113">
        <v>37</v>
      </c>
      <c r="D113" s="86">
        <v>1</v>
      </c>
      <c r="E113">
        <v>4</v>
      </c>
      <c r="F113">
        <v>3</v>
      </c>
      <c r="G113">
        <v>16</v>
      </c>
      <c r="H113">
        <v>11</v>
      </c>
      <c r="I113">
        <v>0.75</v>
      </c>
      <c r="J113">
        <v>0.69</v>
      </c>
      <c r="K113">
        <v>0</v>
      </c>
      <c r="L113">
        <v>0</v>
      </c>
      <c r="M113">
        <v>0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1</v>
      </c>
      <c r="AA113" s="86">
        <f>AVERAGEIFS($C$2:C113, $B$2:B113, B113)</f>
        <v>31.2</v>
      </c>
      <c r="AB113" s="86">
        <f>AVERAGEIFS($I$2:I113, $B$2:B113, B113)</f>
        <v>0.57999999999999996</v>
      </c>
      <c r="AC113" s="86">
        <f>AVERAGEIFS($J$2:J113, $B$2:B113, B113)</f>
        <v>0.54600000000000004</v>
      </c>
      <c r="AD113" s="86">
        <f>AVERAGEIFS($D$2:D113, $B$2:B113, B113)</f>
        <v>0.6</v>
      </c>
    </row>
    <row r="114" spans="1:30" x14ac:dyDescent="0.25">
      <c r="A114" s="85">
        <v>46083</v>
      </c>
      <c r="B114" t="s">
        <v>20</v>
      </c>
      <c r="C114">
        <v>17</v>
      </c>
      <c r="D114" s="86">
        <v>1</v>
      </c>
      <c r="E114">
        <v>4</v>
      </c>
      <c r="F114">
        <v>3</v>
      </c>
      <c r="G114">
        <v>16</v>
      </c>
      <c r="H114">
        <v>11</v>
      </c>
      <c r="I114">
        <v>0.75</v>
      </c>
      <c r="J114">
        <v>0.69</v>
      </c>
      <c r="K114">
        <v>0</v>
      </c>
      <c r="L114">
        <v>0</v>
      </c>
      <c r="M114">
        <v>0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1</v>
      </c>
      <c r="AA114" s="86">
        <f>AVERAGEIFS($C$2:C114, $B$2:B114, B114)</f>
        <v>16</v>
      </c>
      <c r="AB114" s="86">
        <f>AVERAGEIFS($I$2:I114, $B$2:B114, B114)</f>
        <v>0.50714285714285712</v>
      </c>
      <c r="AC114" s="86">
        <f>AVERAGEIFS($J$2:J114, $B$2:B114, B114)</f>
        <v>0.5228571428571428</v>
      </c>
      <c r="AD114" s="86">
        <f>AVERAGEIFS($D$2:D114, $B$2:B114, B114)</f>
        <v>0.42857142857142855</v>
      </c>
    </row>
    <row r="115" spans="1:30" x14ac:dyDescent="0.25">
      <c r="A115" s="85">
        <v>46083</v>
      </c>
      <c r="B115" t="s">
        <v>35</v>
      </c>
      <c r="C115">
        <v>17</v>
      </c>
      <c r="D115" s="86">
        <v>1</v>
      </c>
      <c r="E115">
        <v>4</v>
      </c>
      <c r="F115">
        <v>3</v>
      </c>
      <c r="G115">
        <v>16</v>
      </c>
      <c r="H115">
        <v>11</v>
      </c>
      <c r="I115">
        <v>0.75</v>
      </c>
      <c r="J115">
        <v>0.69</v>
      </c>
      <c r="K115">
        <v>0</v>
      </c>
      <c r="L115">
        <v>0</v>
      </c>
      <c r="M115">
        <v>0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1</v>
      </c>
      <c r="AA115" s="86">
        <f>AVERAGEIFS($C$2:C115, $B$2:B115, B115)</f>
        <v>10.25</v>
      </c>
      <c r="AB115" s="86">
        <f>AVERAGEIFS($I$2:I115, $B$2:B115, B115)</f>
        <v>0.4375</v>
      </c>
      <c r="AC115" s="86">
        <f>AVERAGEIFS($J$2:J115, $B$2:B115, B115)</f>
        <v>0.50749999999999995</v>
      </c>
      <c r="AD115" s="86">
        <f>AVERAGEIFS($D$2:D115, $B$2:B115, B115)</f>
        <v>0.5</v>
      </c>
    </row>
    <row r="116" spans="1:30" x14ac:dyDescent="0.25">
      <c r="A116" s="85">
        <v>46083</v>
      </c>
      <c r="B116" t="s">
        <v>29</v>
      </c>
      <c r="C116">
        <v>14</v>
      </c>
      <c r="D116" s="86">
        <v>1</v>
      </c>
      <c r="E116">
        <v>4</v>
      </c>
      <c r="F116">
        <v>3</v>
      </c>
      <c r="G116">
        <v>16</v>
      </c>
      <c r="H116">
        <v>11</v>
      </c>
      <c r="I116">
        <v>0.75</v>
      </c>
      <c r="J116">
        <v>0.69</v>
      </c>
      <c r="K116">
        <v>0</v>
      </c>
      <c r="L116">
        <v>0</v>
      </c>
      <c r="M116">
        <v>0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1</v>
      </c>
      <c r="AA116" s="86">
        <f>AVERAGEIFS($C$2:C116, $B$2:B116, B116)</f>
        <v>13</v>
      </c>
      <c r="AB116" s="86">
        <f>AVERAGEIFS($I$2:I116, $B$2:B116, B116)</f>
        <v>0.62</v>
      </c>
      <c r="AC116" s="86">
        <f>AVERAGEIFS($J$2:J116, $B$2:B116, B116)</f>
        <v>0.56799999999999995</v>
      </c>
      <c r="AD116" s="86">
        <f>AVERAGEIFS($D$2:D116, $B$2:B116, B116)</f>
        <v>0.8</v>
      </c>
    </row>
    <row r="117" spans="1:30" x14ac:dyDescent="0.25">
      <c r="A117" s="85">
        <v>46083</v>
      </c>
      <c r="B117" t="s">
        <v>45</v>
      </c>
      <c r="C117">
        <v>13</v>
      </c>
      <c r="D117" s="86">
        <v>1</v>
      </c>
      <c r="E117">
        <v>4</v>
      </c>
      <c r="F117">
        <v>3</v>
      </c>
      <c r="G117">
        <v>16</v>
      </c>
      <c r="H117">
        <v>11</v>
      </c>
      <c r="I117">
        <v>0.75</v>
      </c>
      <c r="J117">
        <v>0.69</v>
      </c>
      <c r="K117">
        <v>0</v>
      </c>
      <c r="L117">
        <v>0</v>
      </c>
      <c r="M117">
        <v>0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1</v>
      </c>
      <c r="AA117" s="86">
        <f>AVERAGEIFS($C$2:C117, $B$2:B117, B117)</f>
        <v>13.5</v>
      </c>
      <c r="AB117" s="86">
        <f>AVERAGEIFS($I$2:I117, $B$2:B117, B117)</f>
        <v>0.4375</v>
      </c>
      <c r="AC117" s="86">
        <f>AVERAGEIFS($J$2:J117, $B$2:B117, B117)</f>
        <v>0.50749999999999995</v>
      </c>
      <c r="AD117" s="86">
        <f>AVERAGEIFS($D$2:D117, $B$2:B117, B117)</f>
        <v>0.5</v>
      </c>
    </row>
    <row r="118" spans="1:30" x14ac:dyDescent="0.25">
      <c r="A118" s="85">
        <v>46083</v>
      </c>
      <c r="B118" t="s">
        <v>6</v>
      </c>
      <c r="C118">
        <v>32</v>
      </c>
      <c r="D118" s="86">
        <v>0</v>
      </c>
      <c r="E118">
        <v>4</v>
      </c>
      <c r="F118">
        <v>1</v>
      </c>
      <c r="G118">
        <v>16</v>
      </c>
      <c r="H118">
        <v>5</v>
      </c>
      <c r="I118">
        <v>0.25</v>
      </c>
      <c r="J118">
        <v>0.31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1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 s="86">
        <f>AVERAGEIFS($C$2:C118, $B$2:B118, B118)</f>
        <v>25.2</v>
      </c>
      <c r="AB118" s="86">
        <f>AVERAGEIFS($I$2:I118, $B$2:B118, B118)</f>
        <v>0.63</v>
      </c>
      <c r="AC118" s="86">
        <f>AVERAGEIFS($J$2:J118, $B$2:B118, B118)</f>
        <v>0.51600000000000001</v>
      </c>
      <c r="AD118" s="86">
        <f>AVERAGEIFS($D$2:D118, $B$2:B118, B118)</f>
        <v>0.6</v>
      </c>
    </row>
    <row r="119" spans="1:30" x14ac:dyDescent="0.25">
      <c r="A119" s="85">
        <v>46083</v>
      </c>
      <c r="B119" t="s">
        <v>18</v>
      </c>
      <c r="C119">
        <v>25</v>
      </c>
      <c r="D119" s="86">
        <v>0</v>
      </c>
      <c r="E119">
        <v>4</v>
      </c>
      <c r="F119">
        <v>1</v>
      </c>
      <c r="G119">
        <v>16</v>
      </c>
      <c r="H119">
        <v>5</v>
      </c>
      <c r="I119">
        <v>0.25</v>
      </c>
      <c r="J119">
        <v>0.31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1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 s="86">
        <f>AVERAGEIFS($C$2:C119, $B$2:B119, B119)</f>
        <v>30.166666666666668</v>
      </c>
      <c r="AB119" s="86">
        <f>AVERAGEIFS($I$2:I119, $B$2:B119, B119)</f>
        <v>0.44166666666666665</v>
      </c>
      <c r="AC119" s="86">
        <f>AVERAGEIFS($J$2:J119, $B$2:B119, B119)</f>
        <v>0.45833333333333331</v>
      </c>
      <c r="AD119" s="86">
        <f>AVERAGEIFS($D$2:D119, $B$2:B119, B119)</f>
        <v>0.33333333333333331</v>
      </c>
    </row>
    <row r="120" spans="1:30" x14ac:dyDescent="0.25">
      <c r="A120" s="85">
        <v>46083</v>
      </c>
      <c r="B120" t="s">
        <v>26</v>
      </c>
      <c r="C120">
        <v>24</v>
      </c>
      <c r="D120" s="86">
        <v>0</v>
      </c>
      <c r="E120">
        <v>4</v>
      </c>
      <c r="F120">
        <v>1</v>
      </c>
      <c r="G120">
        <v>16</v>
      </c>
      <c r="H120">
        <v>5</v>
      </c>
      <c r="I120">
        <v>0.25</v>
      </c>
      <c r="J120">
        <v>0.31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1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 s="86">
        <f>AVERAGEIFS($C$2:C120, $B$2:B120, B120)</f>
        <v>16.8</v>
      </c>
      <c r="AB120" s="86">
        <f>AVERAGEIFS($I$2:I120, $B$2:B120, B120)</f>
        <v>0.49000000000000005</v>
      </c>
      <c r="AC120" s="86">
        <f>AVERAGEIFS($J$2:J120, $B$2:B120, B120)</f>
        <v>0.48799999999999999</v>
      </c>
      <c r="AD120" s="86">
        <f>AVERAGEIFS($D$2:D120, $B$2:B120, B120)</f>
        <v>0.6</v>
      </c>
    </row>
    <row r="121" spans="1:30" x14ac:dyDescent="0.25">
      <c r="A121" s="85">
        <v>46083</v>
      </c>
      <c r="B121" t="s">
        <v>46</v>
      </c>
      <c r="C121">
        <v>23</v>
      </c>
      <c r="D121" s="86">
        <v>0</v>
      </c>
      <c r="E121">
        <v>4</v>
      </c>
      <c r="F121">
        <v>1</v>
      </c>
      <c r="G121">
        <v>16</v>
      </c>
      <c r="H121">
        <v>5</v>
      </c>
      <c r="I121">
        <v>0.25</v>
      </c>
      <c r="J121">
        <v>0.31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1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 s="86">
        <f>AVERAGEIFS($C$2:C121, $B$2:B121, B121)</f>
        <v>21.2</v>
      </c>
      <c r="AB121" s="86">
        <f>AVERAGEIFS($I$2:I121, $B$2:B121, B121)</f>
        <v>0.4</v>
      </c>
      <c r="AC121" s="86">
        <f>AVERAGEIFS($J$2:J121, $B$2:B121, B121)</f>
        <v>0.42800000000000005</v>
      </c>
      <c r="AD121" s="86">
        <f>AVERAGEIFS($D$2:D121, $B$2:B121, B121)</f>
        <v>0.4</v>
      </c>
    </row>
    <row r="122" spans="1:30" x14ac:dyDescent="0.25">
      <c r="A122" s="85">
        <v>46083</v>
      </c>
      <c r="B122" t="s">
        <v>51</v>
      </c>
      <c r="C122">
        <v>17</v>
      </c>
      <c r="D122" s="86">
        <v>0</v>
      </c>
      <c r="E122">
        <v>4</v>
      </c>
      <c r="F122">
        <v>1</v>
      </c>
      <c r="G122">
        <v>16</v>
      </c>
      <c r="H122">
        <v>5</v>
      </c>
      <c r="I122">
        <v>0.25</v>
      </c>
      <c r="J122">
        <v>0.31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1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 s="86">
        <f>AVERAGEIFS($C$2:C122, $B$2:B122, B122)</f>
        <v>16.8</v>
      </c>
      <c r="AB122" s="86">
        <f>AVERAGEIFS($I$2:I122, $B$2:B122, B122)</f>
        <v>0.63</v>
      </c>
      <c r="AC122" s="86">
        <f>AVERAGEIFS($J$2:J122, $B$2:B122, B122)</f>
        <v>0.51600000000000001</v>
      </c>
      <c r="AD122" s="86">
        <f>AVERAGEIFS($D$2:D122, $B$2:B122, B122)</f>
        <v>0.6</v>
      </c>
    </row>
    <row r="123" spans="1:30" x14ac:dyDescent="0.25">
      <c r="A123" s="85">
        <v>46083</v>
      </c>
      <c r="B123" t="s">
        <v>38</v>
      </c>
      <c r="C123">
        <v>4</v>
      </c>
      <c r="D123" s="86">
        <v>0</v>
      </c>
      <c r="E123">
        <v>4</v>
      </c>
      <c r="F123">
        <v>1</v>
      </c>
      <c r="G123">
        <v>16</v>
      </c>
      <c r="H123">
        <v>5</v>
      </c>
      <c r="I123">
        <v>0.25</v>
      </c>
      <c r="J123">
        <v>0.31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1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 s="86">
        <f>AVERAGEIFS($C$2:C123, $B$2:B123, B123)</f>
        <v>5</v>
      </c>
      <c r="AB123" s="86">
        <f>AVERAGEIFS($I$2:I123, $B$2:B123, B123)</f>
        <v>0.5</v>
      </c>
      <c r="AC123" s="86">
        <f>AVERAGEIFS($J$2:J123, $B$2:B123, B123)</f>
        <v>0.43500000000000005</v>
      </c>
      <c r="AD123" s="86">
        <f>AVERAGEIFS($D$2:D123, $B$2:B123, B123)</f>
        <v>0.5</v>
      </c>
    </row>
    <row r="124" spans="1:30" x14ac:dyDescent="0.25">
      <c r="A124" s="85">
        <v>46103</v>
      </c>
      <c r="B124" t="s">
        <v>40</v>
      </c>
      <c r="C124">
        <v>28</v>
      </c>
      <c r="D124" s="86">
        <v>0</v>
      </c>
      <c r="E124">
        <v>5</v>
      </c>
      <c r="F124">
        <v>2</v>
      </c>
      <c r="G124">
        <v>20</v>
      </c>
      <c r="H124">
        <v>8</v>
      </c>
      <c r="I124">
        <v>0.4</v>
      </c>
      <c r="J124">
        <v>0.4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1</v>
      </c>
      <c r="Y124">
        <v>1</v>
      </c>
      <c r="Z124">
        <v>0</v>
      </c>
      <c r="AA124" s="86">
        <f>AVERAGEIFS($C$2:C124, $B$2:B124, B124)</f>
        <v>22</v>
      </c>
      <c r="AB124" s="86">
        <f>AVERAGEIFS($I$2:I124, $B$2:B124, B124)</f>
        <v>0.32500000000000001</v>
      </c>
      <c r="AC124" s="86">
        <f>AVERAGEIFS($J$2:J124, $B$2:B124, B124)</f>
        <v>0.42000000000000004</v>
      </c>
      <c r="AD124" s="86">
        <f>AVERAGEIFS($D$2:D124, $B$2:B124, B124)</f>
        <v>0</v>
      </c>
    </row>
    <row r="125" spans="1:30" x14ac:dyDescent="0.25">
      <c r="A125" s="85">
        <v>46103</v>
      </c>
      <c r="B125" t="s">
        <v>17</v>
      </c>
      <c r="C125">
        <v>31</v>
      </c>
      <c r="D125" s="86">
        <v>0</v>
      </c>
      <c r="E125">
        <v>5</v>
      </c>
      <c r="F125">
        <v>2</v>
      </c>
      <c r="G125">
        <v>20</v>
      </c>
      <c r="H125">
        <v>8</v>
      </c>
      <c r="I125">
        <v>0.4</v>
      </c>
      <c r="J125">
        <v>0.4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1</v>
      </c>
      <c r="Y125">
        <v>1</v>
      </c>
      <c r="Z125">
        <v>0</v>
      </c>
      <c r="AA125" s="86">
        <f>AVERAGEIFS($C$2:C125, $B$2:B125, B125)</f>
        <v>31.833333333333332</v>
      </c>
      <c r="AB125" s="86">
        <f>AVERAGEIFS($I$2:I125, $B$2:B125, B125)</f>
        <v>0.44999999999999996</v>
      </c>
      <c r="AC125" s="86">
        <f>AVERAGEIFS($J$2:J125, $B$2:B125, B125)</f>
        <v>0.47666666666666663</v>
      </c>
      <c r="AD125" s="86">
        <f>AVERAGEIFS($D$2:D125, $B$2:B125, B125)</f>
        <v>0.16666666666666666</v>
      </c>
    </row>
    <row r="126" spans="1:30" x14ac:dyDescent="0.25">
      <c r="A126" s="85">
        <v>46103</v>
      </c>
      <c r="B126" t="s">
        <v>148</v>
      </c>
      <c r="C126">
        <v>22</v>
      </c>
      <c r="D126" s="86">
        <v>0</v>
      </c>
      <c r="E126">
        <v>5</v>
      </c>
      <c r="F126">
        <v>2</v>
      </c>
      <c r="G126">
        <v>20</v>
      </c>
      <c r="H126">
        <v>8</v>
      </c>
      <c r="I126">
        <v>0.4</v>
      </c>
      <c r="J126">
        <v>0.4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</v>
      </c>
      <c r="Y126">
        <v>1</v>
      </c>
      <c r="Z126">
        <v>0</v>
      </c>
      <c r="AA126" s="86">
        <f>AVERAGEIFS($C$2:C126, $B$2:B126, B126)</f>
        <v>22</v>
      </c>
      <c r="AB126" s="86">
        <f>AVERAGEIFS($I$2:I126, $B$2:B126, B126)</f>
        <v>0.4</v>
      </c>
      <c r="AC126" s="86">
        <f>AVERAGEIFS($J$2:J126, $B$2:B126, B126)</f>
        <v>0.4</v>
      </c>
      <c r="AD126" s="86">
        <f>AVERAGEIFS($D$2:D126, $B$2:B126, B126)</f>
        <v>0</v>
      </c>
    </row>
    <row r="127" spans="1:30" x14ac:dyDescent="0.25">
      <c r="A127" s="85">
        <v>46103</v>
      </c>
      <c r="B127" t="s">
        <v>45</v>
      </c>
      <c r="C127">
        <v>17</v>
      </c>
      <c r="D127" s="86">
        <v>0</v>
      </c>
      <c r="E127">
        <v>5</v>
      </c>
      <c r="F127">
        <v>2</v>
      </c>
      <c r="G127">
        <v>20</v>
      </c>
      <c r="H127">
        <v>8</v>
      </c>
      <c r="I127">
        <v>0.4</v>
      </c>
      <c r="J127">
        <v>0.4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1</v>
      </c>
      <c r="Y127">
        <v>1</v>
      </c>
      <c r="Z127">
        <v>0</v>
      </c>
      <c r="AA127" s="86">
        <f>AVERAGEIFS($C$2:C127, $B$2:B127, B127)</f>
        <v>14.2</v>
      </c>
      <c r="AB127" s="86">
        <f>AVERAGEIFS($I$2:I127, $B$2:B127, B127)</f>
        <v>0.43</v>
      </c>
      <c r="AC127" s="86">
        <f>AVERAGEIFS($J$2:J127, $B$2:B127, B127)</f>
        <v>0.48599999999999993</v>
      </c>
      <c r="AD127" s="86">
        <f>AVERAGEIFS($D$2:D127, $B$2:B127, B127)</f>
        <v>0.4</v>
      </c>
    </row>
    <row r="128" spans="1:30" x14ac:dyDescent="0.25">
      <c r="A128" s="85">
        <v>46103</v>
      </c>
      <c r="B128" t="s">
        <v>147</v>
      </c>
      <c r="C128">
        <v>21</v>
      </c>
      <c r="D128" s="86">
        <v>0</v>
      </c>
      <c r="E128">
        <v>5</v>
      </c>
      <c r="F128">
        <v>2</v>
      </c>
      <c r="G128">
        <v>20</v>
      </c>
      <c r="H128">
        <v>8</v>
      </c>
      <c r="I128">
        <v>0.4</v>
      </c>
      <c r="J128">
        <v>0.4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1</v>
      </c>
      <c r="Y128">
        <v>1</v>
      </c>
      <c r="Z128">
        <v>0</v>
      </c>
      <c r="AA128" s="86">
        <f>AVERAGEIFS($C$2:C128, $B$2:B128, B128)</f>
        <v>21</v>
      </c>
      <c r="AB128" s="86">
        <f>AVERAGEIFS($I$2:I128, $B$2:B128, B128)</f>
        <v>0.4</v>
      </c>
      <c r="AC128" s="86">
        <f>AVERAGEIFS($J$2:J128, $B$2:B128, B128)</f>
        <v>0.4</v>
      </c>
      <c r="AD128" s="86">
        <f>AVERAGEIFS($D$2:D128, $B$2:B128, B128)</f>
        <v>0</v>
      </c>
    </row>
    <row r="129" spans="1:30" x14ac:dyDescent="0.25">
      <c r="A129" s="85">
        <v>46103</v>
      </c>
      <c r="B129" t="s">
        <v>15</v>
      </c>
      <c r="C129">
        <v>33</v>
      </c>
      <c r="D129" s="86">
        <v>0</v>
      </c>
      <c r="E129">
        <v>5</v>
      </c>
      <c r="F129">
        <v>2</v>
      </c>
      <c r="G129">
        <v>20</v>
      </c>
      <c r="H129">
        <v>8</v>
      </c>
      <c r="I129">
        <v>0.4</v>
      </c>
      <c r="J129">
        <v>0.4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1</v>
      </c>
      <c r="Y129">
        <v>1</v>
      </c>
      <c r="Z129">
        <v>0</v>
      </c>
      <c r="AA129" s="86">
        <f>AVERAGEIFS($C$2:C129, $B$2:B129, B129)</f>
        <v>33</v>
      </c>
      <c r="AB129" s="86">
        <f>AVERAGEIFS($I$2:I129, $B$2:B129, B129)</f>
        <v>0.49285714285714283</v>
      </c>
      <c r="AC129" s="86">
        <f>AVERAGEIFS($J$2:J129, $B$2:B129, B129)</f>
        <v>0.49285714285714283</v>
      </c>
      <c r="AD129" s="86">
        <f>AVERAGEIFS($D$2:D129, $B$2:B129, B129)</f>
        <v>0.2857142857142857</v>
      </c>
    </row>
    <row r="130" spans="1:30" x14ac:dyDescent="0.25">
      <c r="A130" s="85">
        <v>46103</v>
      </c>
      <c r="B130" t="s">
        <v>19</v>
      </c>
      <c r="C130">
        <v>10</v>
      </c>
      <c r="D130" s="86">
        <v>1</v>
      </c>
      <c r="E130">
        <v>5</v>
      </c>
      <c r="F130">
        <v>3</v>
      </c>
      <c r="G130">
        <v>20</v>
      </c>
      <c r="H130">
        <v>12</v>
      </c>
      <c r="I130">
        <v>0.6</v>
      </c>
      <c r="J130">
        <v>0.6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 s="86">
        <f>AVERAGEIFS($C$2:C130, $B$2:B130, B130)</f>
        <v>14.571428571428571</v>
      </c>
      <c r="AB130" s="86">
        <f>AVERAGEIFS($I$2:I130, $B$2:B130, B130)</f>
        <v>0.52142857142857146</v>
      </c>
      <c r="AC130" s="86">
        <f>AVERAGEIFS($J$2:J130, $B$2:B130, B130)</f>
        <v>0.51285714285714279</v>
      </c>
      <c r="AD130" s="86">
        <f>AVERAGEIFS($D$2:D130, $B$2:B130, B130)</f>
        <v>0.42857142857142855</v>
      </c>
    </row>
    <row r="131" spans="1:30" x14ac:dyDescent="0.25">
      <c r="A131" s="85">
        <v>46103</v>
      </c>
      <c r="B131" t="s">
        <v>37</v>
      </c>
      <c r="C131">
        <v>33</v>
      </c>
      <c r="D131" s="86">
        <v>1</v>
      </c>
      <c r="E131">
        <v>5</v>
      </c>
      <c r="F131">
        <v>3</v>
      </c>
      <c r="G131">
        <v>20</v>
      </c>
      <c r="H131">
        <v>12</v>
      </c>
      <c r="I131">
        <v>0.6</v>
      </c>
      <c r="J131">
        <v>0.6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1</v>
      </c>
      <c r="AA131" s="86">
        <f>AVERAGEIFS($C$2:C131, $B$2:B131, B131)</f>
        <v>22.6</v>
      </c>
      <c r="AB131" s="86">
        <f>AVERAGEIFS($I$2:I131, $B$2:B131, B131)</f>
        <v>0.45</v>
      </c>
      <c r="AC131" s="86">
        <f>AVERAGEIFS($J$2:J131, $B$2:B131, B131)</f>
        <v>0.48399999999999999</v>
      </c>
      <c r="AD131" s="86">
        <f>AVERAGEIFS($D$2:D131, $B$2:B131, B131)</f>
        <v>0.4</v>
      </c>
    </row>
    <row r="132" spans="1:30" x14ac:dyDescent="0.25">
      <c r="A132" s="85">
        <v>46103</v>
      </c>
      <c r="B132" t="s">
        <v>13</v>
      </c>
      <c r="C132">
        <v>35</v>
      </c>
      <c r="D132" s="86">
        <v>1</v>
      </c>
      <c r="E132">
        <v>5</v>
      </c>
      <c r="F132">
        <v>3</v>
      </c>
      <c r="G132">
        <v>20</v>
      </c>
      <c r="H132">
        <v>12</v>
      </c>
      <c r="I132">
        <v>0.6</v>
      </c>
      <c r="J132">
        <v>0.6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1</v>
      </c>
      <c r="AA132" s="86">
        <f>AVERAGEIFS($C$2:C132, $B$2:B132, B132)</f>
        <v>36.571428571428569</v>
      </c>
      <c r="AB132" s="86">
        <f>AVERAGEIFS($I$2:I132, $B$2:B132, B132)</f>
        <v>0.50714285714285723</v>
      </c>
      <c r="AC132" s="86">
        <f>AVERAGEIFS($J$2:J132, $B$2:B132, B132)</f>
        <v>0.54571428571428571</v>
      </c>
      <c r="AD132" s="86">
        <f>AVERAGEIFS($D$2:D132, $B$2:B132, B132)</f>
        <v>0.7142857142857143</v>
      </c>
    </row>
    <row r="133" spans="1:30" x14ac:dyDescent="0.25">
      <c r="A133" s="85">
        <v>46103</v>
      </c>
      <c r="B133" t="s">
        <v>27</v>
      </c>
      <c r="C133">
        <v>29</v>
      </c>
      <c r="D133" s="86">
        <v>1</v>
      </c>
      <c r="E133">
        <v>5</v>
      </c>
      <c r="F133">
        <v>3</v>
      </c>
      <c r="G133">
        <v>20</v>
      </c>
      <c r="H133">
        <v>12</v>
      </c>
      <c r="I133">
        <v>0.6</v>
      </c>
      <c r="J133">
        <v>0.6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1</v>
      </c>
      <c r="AA133" s="86">
        <f>AVERAGEIFS($C$2:C133, $B$2:B133, B133)</f>
        <v>17.833333333333332</v>
      </c>
      <c r="AB133" s="86">
        <f>AVERAGEIFS($I$2:I133, $B$2:B133, B133)</f>
        <v>0.53333333333333333</v>
      </c>
      <c r="AC133" s="86">
        <f>AVERAGEIFS($J$2:J133, $B$2:B133, B133)</f>
        <v>0.51833333333333331</v>
      </c>
      <c r="AD133" s="86">
        <f>AVERAGEIFS($D$2:D133, $B$2:B133, B133)</f>
        <v>0.66666666666666663</v>
      </c>
    </row>
    <row r="134" spans="1:30" x14ac:dyDescent="0.25">
      <c r="A134" s="85">
        <v>46103</v>
      </c>
      <c r="B134" t="s">
        <v>4</v>
      </c>
      <c r="C134">
        <v>20</v>
      </c>
      <c r="D134" s="86">
        <v>1</v>
      </c>
      <c r="E134">
        <v>5</v>
      </c>
      <c r="F134">
        <v>3</v>
      </c>
      <c r="G134">
        <v>20</v>
      </c>
      <c r="H134">
        <v>12</v>
      </c>
      <c r="I134">
        <v>0.6</v>
      </c>
      <c r="J134">
        <v>0.6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1</v>
      </c>
      <c r="AA134" s="86">
        <f>AVERAGEIFS($C$2:C134, $B$2:B134, B134)</f>
        <v>22</v>
      </c>
      <c r="AB134" s="86">
        <f>AVERAGEIFS($I$2:I134, $B$2:B134, B134)</f>
        <v>0.67500000000000004</v>
      </c>
      <c r="AC134" s="86">
        <f>AVERAGEIFS($J$2:J134, $B$2:B134, B134)</f>
        <v>0.58000000000000007</v>
      </c>
      <c r="AD134" s="86">
        <f>AVERAGEIFS($D$2:D134, $B$2:B134, B134)</f>
        <v>1</v>
      </c>
    </row>
    <row r="135" spans="1:30" x14ac:dyDescent="0.25">
      <c r="A135" s="85">
        <v>46103</v>
      </c>
      <c r="B135" t="s">
        <v>137</v>
      </c>
      <c r="C135">
        <v>11</v>
      </c>
      <c r="D135" s="86">
        <v>1</v>
      </c>
      <c r="E135">
        <v>5</v>
      </c>
      <c r="F135">
        <v>3</v>
      </c>
      <c r="G135">
        <v>20</v>
      </c>
      <c r="H135">
        <v>12</v>
      </c>
      <c r="I135">
        <v>0.6</v>
      </c>
      <c r="J135">
        <v>0.6</v>
      </c>
      <c r="K135">
        <v>0</v>
      </c>
      <c r="L135">
        <v>0</v>
      </c>
      <c r="M135">
        <v>0</v>
      </c>
      <c r="N135">
        <v>0</v>
      </c>
      <c r="O135">
        <v>1</v>
      </c>
      <c r="P135">
        <v>1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1</v>
      </c>
      <c r="AA135" s="86">
        <f>AVERAGEIFS($C$2:C135, $B$2:B135, B135)</f>
        <v>11</v>
      </c>
      <c r="AB135" s="86">
        <f>AVERAGEIFS($I$2:I135, $B$2:B135, B135)</f>
        <v>0.5625</v>
      </c>
      <c r="AC135" s="86">
        <f>AVERAGEIFS($J$2:J135, $B$2:B135, B135)</f>
        <v>0.54749999999999999</v>
      </c>
      <c r="AD135" s="86">
        <f>AVERAGEIFS($D$2:D135, $B$2:B135, B135)</f>
        <v>0.5</v>
      </c>
    </row>
    <row r="136" spans="1:30" x14ac:dyDescent="0.25">
      <c r="A136" s="85">
        <v>46103</v>
      </c>
      <c r="B136" t="s">
        <v>14</v>
      </c>
      <c r="C136">
        <v>35</v>
      </c>
      <c r="D136" s="86">
        <v>1</v>
      </c>
      <c r="E136">
        <v>5</v>
      </c>
      <c r="F136">
        <v>3</v>
      </c>
      <c r="G136">
        <v>21</v>
      </c>
      <c r="H136">
        <v>11</v>
      </c>
      <c r="I136">
        <v>0.6</v>
      </c>
      <c r="J136">
        <v>0.52</v>
      </c>
      <c r="K136">
        <v>0</v>
      </c>
      <c r="L136">
        <v>1</v>
      </c>
      <c r="M136">
        <v>0</v>
      </c>
      <c r="N136">
        <v>0</v>
      </c>
      <c r="O136">
        <v>1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f>AVERAGEIFS($C$2:C136, $B$2:B136, B136)</f>
        <v>37.833333333333336</v>
      </c>
      <c r="AB136" s="86">
        <f>AVERAGEIFS($I$2:I136, $B$2:B136, B136)</f>
        <v>0.45</v>
      </c>
      <c r="AC136" s="86">
        <f>AVERAGEIFS($J$2:J136, $B$2:B136, B136)</f>
        <v>0.47666666666666663</v>
      </c>
      <c r="AD136" s="86">
        <f>AVERAGEIFS($D$2:D136, $B$2:B136, B136)</f>
        <v>0.5</v>
      </c>
    </row>
    <row r="137" spans="1:30" x14ac:dyDescent="0.25">
      <c r="A137" s="85">
        <v>46103</v>
      </c>
      <c r="B137" t="s">
        <v>6</v>
      </c>
      <c r="C137">
        <v>33</v>
      </c>
      <c r="D137" s="86">
        <v>1</v>
      </c>
      <c r="E137">
        <v>5</v>
      </c>
      <c r="F137">
        <v>3</v>
      </c>
      <c r="G137">
        <v>21</v>
      </c>
      <c r="H137">
        <v>11</v>
      </c>
      <c r="I137">
        <v>0.6</v>
      </c>
      <c r="J137">
        <v>0.52</v>
      </c>
      <c r="K137">
        <v>0</v>
      </c>
      <c r="L137">
        <v>1</v>
      </c>
      <c r="M137">
        <v>0</v>
      </c>
      <c r="N137">
        <v>0</v>
      </c>
      <c r="O137">
        <v>1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f>AVERAGEIFS($C$2:C137, $B$2:B137, B137)</f>
        <v>26.5</v>
      </c>
      <c r="AB137" s="86">
        <f>AVERAGEIFS($I$2:I137, $B$2:B137, B137)</f>
        <v>0.625</v>
      </c>
      <c r="AC137" s="86">
        <f>AVERAGEIFS($J$2:J137, $B$2:B137, B137)</f>
        <v>0.51666666666666672</v>
      </c>
      <c r="AD137" s="86">
        <f>AVERAGEIFS($D$2:D137, $B$2:B137, B137)</f>
        <v>0.66666666666666663</v>
      </c>
    </row>
    <row r="138" spans="1:30" x14ac:dyDescent="0.25">
      <c r="A138" s="85">
        <v>46103</v>
      </c>
      <c r="B138" t="s">
        <v>1</v>
      </c>
      <c r="C138">
        <v>32</v>
      </c>
      <c r="D138" s="86">
        <v>1</v>
      </c>
      <c r="E138">
        <v>5</v>
      </c>
      <c r="F138">
        <v>3</v>
      </c>
      <c r="G138">
        <v>21</v>
      </c>
      <c r="H138">
        <v>11</v>
      </c>
      <c r="I138">
        <v>0.6</v>
      </c>
      <c r="J138">
        <v>0.52</v>
      </c>
      <c r="K138">
        <v>0</v>
      </c>
      <c r="L138">
        <v>1</v>
      </c>
      <c r="M138">
        <v>0</v>
      </c>
      <c r="N138">
        <v>0</v>
      </c>
      <c r="O138">
        <v>1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f>AVERAGEIFS($C$2:C138, $B$2:B138, B138)</f>
        <v>28.6</v>
      </c>
      <c r="AB138" s="86">
        <f>AVERAGEIFS($I$2:I138, $B$2:B138, B138)</f>
        <v>0.62</v>
      </c>
      <c r="AC138" s="86">
        <f>AVERAGEIFS($J$2:J138, $B$2:B138, B138)</f>
        <v>0.52600000000000002</v>
      </c>
      <c r="AD138" s="86">
        <f>AVERAGEIFS($D$2:D138, $B$2:B138, B138)</f>
        <v>0.8</v>
      </c>
    </row>
    <row r="139" spans="1:30" x14ac:dyDescent="0.25">
      <c r="A139" s="85">
        <v>46103</v>
      </c>
      <c r="B139" t="s">
        <v>26</v>
      </c>
      <c r="C139">
        <v>16</v>
      </c>
      <c r="D139" s="86">
        <v>1</v>
      </c>
      <c r="E139">
        <v>5</v>
      </c>
      <c r="F139">
        <v>3</v>
      </c>
      <c r="G139">
        <v>21</v>
      </c>
      <c r="H139">
        <v>11</v>
      </c>
      <c r="I139">
        <v>0.6</v>
      </c>
      <c r="J139">
        <v>0.52</v>
      </c>
      <c r="K139">
        <v>0</v>
      </c>
      <c r="L139">
        <v>1</v>
      </c>
      <c r="M139">
        <v>0</v>
      </c>
      <c r="N139">
        <v>0</v>
      </c>
      <c r="O139">
        <v>1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f>AVERAGEIFS($C$2:C139, $B$2:B139, B139)</f>
        <v>16.666666666666668</v>
      </c>
      <c r="AB139" s="86">
        <f>AVERAGEIFS($I$2:I139, $B$2:B139, B139)</f>
        <v>0.50833333333333341</v>
      </c>
      <c r="AC139" s="86">
        <f>AVERAGEIFS($J$2:J139, $B$2:B139, B139)</f>
        <v>0.49333333333333335</v>
      </c>
      <c r="AD139" s="86">
        <f>AVERAGEIFS($D$2:D139, $B$2:B139, B139)</f>
        <v>0.66666666666666663</v>
      </c>
    </row>
    <row r="140" spans="1:30" x14ac:dyDescent="0.25">
      <c r="A140" s="85">
        <v>46103</v>
      </c>
      <c r="B140" t="s">
        <v>42</v>
      </c>
      <c r="C140">
        <v>12</v>
      </c>
      <c r="D140" s="86">
        <v>1</v>
      </c>
      <c r="E140">
        <v>5</v>
      </c>
      <c r="F140">
        <v>3</v>
      </c>
      <c r="G140">
        <v>21</v>
      </c>
      <c r="H140">
        <v>11</v>
      </c>
      <c r="I140">
        <v>0.6</v>
      </c>
      <c r="J140">
        <v>0.52</v>
      </c>
      <c r="K140">
        <v>0</v>
      </c>
      <c r="L140">
        <v>1</v>
      </c>
      <c r="M140">
        <v>0</v>
      </c>
      <c r="N140">
        <v>0</v>
      </c>
      <c r="O140">
        <v>1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f>AVERAGEIFS($C$2:C140, $B$2:B140, B140)</f>
        <v>12</v>
      </c>
      <c r="AB140" s="86">
        <f>AVERAGEIFS($I$2:I140, $B$2:B140, B140)</f>
        <v>0.6</v>
      </c>
      <c r="AC140" s="86">
        <f>AVERAGEIFS($J$2:J140, $B$2:B140, B140)</f>
        <v>0.52</v>
      </c>
      <c r="AD140" s="86">
        <f>AVERAGEIFS($D$2:D140, $B$2:B140, B140)</f>
        <v>1</v>
      </c>
    </row>
    <row r="141" spans="1:30" x14ac:dyDescent="0.25">
      <c r="A141" s="85">
        <v>46103</v>
      </c>
      <c r="B141" t="s">
        <v>29</v>
      </c>
      <c r="C141">
        <v>12</v>
      </c>
      <c r="D141" s="86">
        <v>1</v>
      </c>
      <c r="E141">
        <v>5</v>
      </c>
      <c r="F141">
        <v>3</v>
      </c>
      <c r="G141">
        <v>21</v>
      </c>
      <c r="H141">
        <v>11</v>
      </c>
      <c r="I141">
        <v>0.6</v>
      </c>
      <c r="J141">
        <v>0.52</v>
      </c>
      <c r="K141">
        <v>0</v>
      </c>
      <c r="L141">
        <v>1</v>
      </c>
      <c r="M141">
        <v>0</v>
      </c>
      <c r="N141">
        <v>0</v>
      </c>
      <c r="O141">
        <v>1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f>AVERAGEIFS($C$2:C141, $B$2:B141, B141)</f>
        <v>12.833333333333334</v>
      </c>
      <c r="AB141" s="86">
        <f>AVERAGEIFS($I$2:I141, $B$2:B141, B141)</f>
        <v>0.6166666666666667</v>
      </c>
      <c r="AC141" s="86">
        <f>AVERAGEIFS($J$2:J141, $B$2:B141, B141)</f>
        <v>0.55999999999999994</v>
      </c>
      <c r="AD141" s="86">
        <f>AVERAGEIFS($D$2:D141, $B$2:B141, B141)</f>
        <v>0.83333333333333337</v>
      </c>
    </row>
    <row r="142" spans="1:30" x14ac:dyDescent="0.25">
      <c r="A142" s="85">
        <v>46103</v>
      </c>
      <c r="B142" t="s">
        <v>2</v>
      </c>
      <c r="C142">
        <v>33</v>
      </c>
      <c r="D142" s="86">
        <v>0</v>
      </c>
      <c r="E142">
        <v>5</v>
      </c>
      <c r="F142">
        <v>2</v>
      </c>
      <c r="G142">
        <v>21</v>
      </c>
      <c r="H142">
        <v>10</v>
      </c>
      <c r="I142">
        <v>0.4</v>
      </c>
      <c r="J142">
        <v>0.48</v>
      </c>
      <c r="K142">
        <v>0</v>
      </c>
      <c r="L142">
        <v>0</v>
      </c>
      <c r="M142">
        <v>0</v>
      </c>
      <c r="N142">
        <v>1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 s="86">
        <f>AVERAGEIFS($C$2:C142, $B$2:B142, B142)</f>
        <v>31.5</v>
      </c>
      <c r="AB142" s="86">
        <f>AVERAGEIFS($I$2:I142, $B$2:B142, B142)</f>
        <v>0.54999999999999993</v>
      </c>
      <c r="AC142" s="86">
        <f>AVERAGEIFS($J$2:J142, $B$2:B142, B142)</f>
        <v>0.53500000000000003</v>
      </c>
      <c r="AD142" s="86">
        <f>AVERAGEIFS($D$2:D142, $B$2:B142, B142)</f>
        <v>0.5</v>
      </c>
    </row>
    <row r="143" spans="1:30" x14ac:dyDescent="0.25">
      <c r="A143" s="85">
        <v>46103</v>
      </c>
      <c r="B143" t="s">
        <v>18</v>
      </c>
      <c r="C143">
        <v>31</v>
      </c>
      <c r="D143" s="86">
        <v>0</v>
      </c>
      <c r="E143">
        <v>5</v>
      </c>
      <c r="F143">
        <v>2</v>
      </c>
      <c r="G143">
        <v>21</v>
      </c>
      <c r="H143">
        <v>10</v>
      </c>
      <c r="I143">
        <v>0.4</v>
      </c>
      <c r="J143">
        <v>0.48</v>
      </c>
      <c r="K143">
        <v>0</v>
      </c>
      <c r="L143">
        <v>0</v>
      </c>
      <c r="M143">
        <v>0</v>
      </c>
      <c r="N143">
        <v>1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 s="86">
        <f>AVERAGEIFS($C$2:C143, $B$2:B143, B143)</f>
        <v>30.285714285714285</v>
      </c>
      <c r="AB143" s="86">
        <f>AVERAGEIFS($I$2:I143, $B$2:B143, B143)</f>
        <v>0.43571428571428567</v>
      </c>
      <c r="AC143" s="86">
        <f>AVERAGEIFS($J$2:J143, $B$2:B143, B143)</f>
        <v>0.46142857142857141</v>
      </c>
      <c r="AD143" s="86">
        <f>AVERAGEIFS($D$2:D143, $B$2:B143, B143)</f>
        <v>0.2857142857142857</v>
      </c>
    </row>
    <row r="144" spans="1:30" x14ac:dyDescent="0.25">
      <c r="A144" s="85">
        <v>46103</v>
      </c>
      <c r="B144" t="s">
        <v>25</v>
      </c>
      <c r="C144">
        <v>31</v>
      </c>
      <c r="D144" s="86">
        <v>0</v>
      </c>
      <c r="E144">
        <v>5</v>
      </c>
      <c r="F144">
        <v>2</v>
      </c>
      <c r="G144">
        <v>21</v>
      </c>
      <c r="H144">
        <v>10</v>
      </c>
      <c r="I144">
        <v>0.4</v>
      </c>
      <c r="J144">
        <v>0.48</v>
      </c>
      <c r="K144">
        <v>0</v>
      </c>
      <c r="L144">
        <v>0</v>
      </c>
      <c r="M144">
        <v>0</v>
      </c>
      <c r="N144">
        <v>1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 s="86">
        <f>AVERAGEIFS($C$2:C144, $B$2:B144, B144)</f>
        <v>22.333333333333332</v>
      </c>
      <c r="AB144" s="86">
        <f>AVERAGEIFS($I$2:I144, $B$2:B144, B144)</f>
        <v>0.35000000000000003</v>
      </c>
      <c r="AC144" s="86">
        <f>AVERAGEIFS($J$2:J144, $B$2:B144, B144)</f>
        <v>0.45</v>
      </c>
      <c r="AD144" s="86">
        <f>AVERAGEIFS($D$2:D144, $B$2:B144, B144)</f>
        <v>0</v>
      </c>
    </row>
    <row r="145" spans="1:30" x14ac:dyDescent="0.25">
      <c r="A145" s="85">
        <v>46103</v>
      </c>
      <c r="B145" t="s">
        <v>70</v>
      </c>
      <c r="C145">
        <v>25</v>
      </c>
      <c r="D145" s="86">
        <v>0</v>
      </c>
      <c r="E145">
        <v>5</v>
      </c>
      <c r="F145">
        <v>2</v>
      </c>
      <c r="G145">
        <v>21</v>
      </c>
      <c r="H145">
        <v>10</v>
      </c>
      <c r="I145">
        <v>0.4</v>
      </c>
      <c r="J145">
        <v>0.48</v>
      </c>
      <c r="K145">
        <v>0</v>
      </c>
      <c r="L145">
        <v>0</v>
      </c>
      <c r="M145">
        <v>0</v>
      </c>
      <c r="N145">
        <v>1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 s="86">
        <f>AVERAGEIFS($C$2:C145, $B$2:B145, B145)</f>
        <v>25</v>
      </c>
      <c r="AB145" s="86">
        <f>AVERAGEIFS($I$2:I145, $B$2:B145, B145)</f>
        <v>0.4</v>
      </c>
      <c r="AC145" s="86">
        <f>AVERAGEIFS($J$2:J145, $B$2:B145, B145)</f>
        <v>0.48</v>
      </c>
      <c r="AD145" s="86">
        <f>AVERAGEIFS($D$2:D145, $B$2:B145, B145)</f>
        <v>0</v>
      </c>
    </row>
    <row r="146" spans="1:30" x14ac:dyDescent="0.25">
      <c r="A146" s="85">
        <v>46103</v>
      </c>
      <c r="B146" t="s">
        <v>20</v>
      </c>
      <c r="C146">
        <v>15</v>
      </c>
      <c r="D146" s="86">
        <v>0</v>
      </c>
      <c r="E146">
        <v>5</v>
      </c>
      <c r="F146">
        <v>2</v>
      </c>
      <c r="G146">
        <v>21</v>
      </c>
      <c r="H146">
        <v>10</v>
      </c>
      <c r="I146">
        <v>0.4</v>
      </c>
      <c r="J146">
        <v>0.48</v>
      </c>
      <c r="K146">
        <v>0</v>
      </c>
      <c r="L146">
        <v>0</v>
      </c>
      <c r="M146">
        <v>0</v>
      </c>
      <c r="N146">
        <v>1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 s="86">
        <f>AVERAGEIFS($C$2:C146, $B$2:B146, B146)</f>
        <v>15.875</v>
      </c>
      <c r="AB146" s="86">
        <f>AVERAGEIFS($I$2:I146, $B$2:B146, B146)</f>
        <v>0.49374999999999997</v>
      </c>
      <c r="AC146" s="86">
        <f>AVERAGEIFS($J$2:J146, $B$2:B146, B146)</f>
        <v>0.51749999999999996</v>
      </c>
      <c r="AD146" s="86">
        <f>AVERAGEIFS($D$2:D146, $B$2:B146, B146)</f>
        <v>0.375</v>
      </c>
    </row>
    <row r="147" spans="1:30" x14ac:dyDescent="0.25">
      <c r="A147" s="85">
        <v>46103</v>
      </c>
      <c r="B147" t="s">
        <v>28</v>
      </c>
      <c r="C147">
        <v>14</v>
      </c>
      <c r="D147" s="86">
        <v>0</v>
      </c>
      <c r="E147">
        <v>5</v>
      </c>
      <c r="F147">
        <v>2</v>
      </c>
      <c r="G147">
        <v>21</v>
      </c>
      <c r="H147">
        <v>10</v>
      </c>
      <c r="I147">
        <v>0.4</v>
      </c>
      <c r="J147">
        <v>0.48</v>
      </c>
      <c r="K147">
        <v>0</v>
      </c>
      <c r="L147">
        <v>0</v>
      </c>
      <c r="M147">
        <v>0</v>
      </c>
      <c r="N147">
        <v>1</v>
      </c>
      <c r="O147">
        <v>0</v>
      </c>
      <c r="P147">
        <v>0</v>
      </c>
      <c r="Q147">
        <v>0</v>
      </c>
      <c r="R147">
        <v>1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86">
        <f>AVERAGEIFS($C$2:C147, $B$2:B147, B147)</f>
        <v>18</v>
      </c>
      <c r="AB147" s="86">
        <f>AVERAGEIFS($I$2:I147, $B$2:B147, B147)</f>
        <v>0.48</v>
      </c>
      <c r="AC147" s="86">
        <f>AVERAGEIFS($J$2:J147, $B$2:B147, B147)</f>
        <v>0.49399999999999994</v>
      </c>
      <c r="AD147" s="86">
        <f>AVERAGEIFS($D$2:D147, $B$2:B147, B147)</f>
        <v>0.4</v>
      </c>
    </row>
    <row r="148" spans="1:30" x14ac:dyDescent="0.25">
      <c r="A148" s="85">
        <v>46110</v>
      </c>
      <c r="B148" t="s">
        <v>14</v>
      </c>
      <c r="C148">
        <v>34</v>
      </c>
      <c r="D148" s="86">
        <v>1</v>
      </c>
      <c r="E148">
        <v>3</v>
      </c>
      <c r="F148">
        <v>3</v>
      </c>
      <c r="G148">
        <v>11</v>
      </c>
      <c r="H148">
        <v>9</v>
      </c>
      <c r="I148">
        <v>1</v>
      </c>
      <c r="J148">
        <v>0.82</v>
      </c>
      <c r="K148">
        <v>0</v>
      </c>
      <c r="L148">
        <v>1</v>
      </c>
      <c r="M148">
        <v>1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1</v>
      </c>
      <c r="AA148" s="86">
        <f>AVERAGEIFS($C$2:C148, $B$2:B148, B148)</f>
        <v>37.285714285714285</v>
      </c>
      <c r="AB148" s="86">
        <f>AVERAGEIFS($I$2:I148, $B$2:B148, B148)</f>
        <v>0.52857142857142858</v>
      </c>
      <c r="AC148" s="86">
        <f>AVERAGEIFS($J$2:J148, $B$2:B148, B148)</f>
        <v>0.52571428571428569</v>
      </c>
      <c r="AD148" s="86">
        <f>AVERAGEIFS($D$2:D148, $B$2:B148, B148)</f>
        <v>0.5714285714285714</v>
      </c>
    </row>
    <row r="149" spans="1:30" x14ac:dyDescent="0.25">
      <c r="A149" s="85">
        <v>46110</v>
      </c>
      <c r="B149" t="s">
        <v>1</v>
      </c>
      <c r="C149">
        <v>17</v>
      </c>
      <c r="D149" s="86">
        <v>1</v>
      </c>
      <c r="E149">
        <v>3</v>
      </c>
      <c r="F149">
        <v>3</v>
      </c>
      <c r="G149">
        <v>11</v>
      </c>
      <c r="H149">
        <v>9</v>
      </c>
      <c r="I149">
        <v>1</v>
      </c>
      <c r="J149">
        <v>0.82</v>
      </c>
      <c r="K149">
        <v>0</v>
      </c>
      <c r="L149">
        <v>1</v>
      </c>
      <c r="M149">
        <v>1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1</v>
      </c>
      <c r="AA149" s="86">
        <f>AVERAGEIFS($C$2:C149, $B$2:B149, B149)</f>
        <v>26.666666666666668</v>
      </c>
      <c r="AB149" s="86">
        <f>AVERAGEIFS($I$2:I149, $B$2:B149, B149)</f>
        <v>0.68333333333333324</v>
      </c>
      <c r="AC149" s="86">
        <f>AVERAGEIFS($J$2:J149, $B$2:B149, B149)</f>
        <v>0.57500000000000007</v>
      </c>
      <c r="AD149" s="86">
        <f>AVERAGEIFS($D$2:D149, $B$2:B149, B149)</f>
        <v>0.83333333333333337</v>
      </c>
    </row>
    <row r="150" spans="1:30" x14ac:dyDescent="0.25">
      <c r="A150" s="85">
        <v>46110</v>
      </c>
      <c r="B150" t="s">
        <v>6</v>
      </c>
      <c r="C150">
        <v>17</v>
      </c>
      <c r="D150" s="86">
        <v>1</v>
      </c>
      <c r="E150">
        <v>3</v>
      </c>
      <c r="F150">
        <v>3</v>
      </c>
      <c r="G150">
        <v>11</v>
      </c>
      <c r="H150">
        <v>9</v>
      </c>
      <c r="I150">
        <v>1</v>
      </c>
      <c r="J150">
        <v>0.82</v>
      </c>
      <c r="K150">
        <v>0</v>
      </c>
      <c r="L150">
        <v>1</v>
      </c>
      <c r="M150">
        <v>1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 s="86">
        <f>AVERAGEIFS($C$2:C150, $B$2:B150, B150)</f>
        <v>25.142857142857142</v>
      </c>
      <c r="AB150" s="86">
        <f>AVERAGEIFS($I$2:I150, $B$2:B150, B150)</f>
        <v>0.6785714285714286</v>
      </c>
      <c r="AC150" s="86">
        <f>AVERAGEIFS($J$2:J150, $B$2:B150, B150)</f>
        <v>0.55999999999999994</v>
      </c>
      <c r="AD150" s="86">
        <f>AVERAGEIFS($D$2:D150, $B$2:B150, B150)</f>
        <v>0.7142857142857143</v>
      </c>
    </row>
    <row r="151" spans="1:30" x14ac:dyDescent="0.25">
      <c r="A151" s="85">
        <v>46110</v>
      </c>
      <c r="B151" t="s">
        <v>26</v>
      </c>
      <c r="C151">
        <v>8</v>
      </c>
      <c r="D151" s="86">
        <v>1</v>
      </c>
      <c r="E151">
        <v>3</v>
      </c>
      <c r="F151">
        <v>3</v>
      </c>
      <c r="G151">
        <v>11</v>
      </c>
      <c r="H151">
        <v>9</v>
      </c>
      <c r="I151">
        <v>1</v>
      </c>
      <c r="J151">
        <v>0.82</v>
      </c>
      <c r="K151">
        <v>0</v>
      </c>
      <c r="L151">
        <v>1</v>
      </c>
      <c r="M151">
        <v>1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 s="86">
        <f>AVERAGEIFS($C$2:C151, $B$2:B151, B151)</f>
        <v>15.428571428571429</v>
      </c>
      <c r="AB151" s="86">
        <f>AVERAGEIFS($I$2:I151, $B$2:B151, B151)</f>
        <v>0.57857142857142863</v>
      </c>
      <c r="AC151" s="86">
        <f>AVERAGEIFS($J$2:J151, $B$2:B151, B151)</f>
        <v>0.53999999999999992</v>
      </c>
      <c r="AD151" s="86">
        <f>AVERAGEIFS($D$2:D151, $B$2:B151, B151)</f>
        <v>0.7142857142857143</v>
      </c>
    </row>
    <row r="152" spans="1:30" x14ac:dyDescent="0.25">
      <c r="A152" s="85">
        <v>46110</v>
      </c>
      <c r="B152" t="s">
        <v>29</v>
      </c>
      <c r="C152">
        <v>6</v>
      </c>
      <c r="D152" s="86">
        <v>1</v>
      </c>
      <c r="E152">
        <v>3</v>
      </c>
      <c r="F152">
        <v>3</v>
      </c>
      <c r="G152">
        <v>11</v>
      </c>
      <c r="H152">
        <v>9</v>
      </c>
      <c r="I152">
        <v>1</v>
      </c>
      <c r="J152">
        <v>0.82</v>
      </c>
      <c r="K152">
        <v>0</v>
      </c>
      <c r="L152">
        <v>1</v>
      </c>
      <c r="M152">
        <v>1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 s="86">
        <f>AVERAGEIFS($C$2:C152, $B$2:B152, B152)</f>
        <v>11.857142857142858</v>
      </c>
      <c r="AB152" s="86">
        <f>AVERAGEIFS($I$2:I152, $B$2:B152, B152)</f>
        <v>0.67142857142857149</v>
      </c>
      <c r="AC152" s="86">
        <f>AVERAGEIFS($J$2:J152, $B$2:B152, B152)</f>
        <v>0.59714285714285709</v>
      </c>
      <c r="AD152" s="86">
        <f>AVERAGEIFS($D$2:D152, $B$2:B152, B152)</f>
        <v>0.8571428571428571</v>
      </c>
    </row>
    <row r="153" spans="1:30" x14ac:dyDescent="0.25">
      <c r="A153" s="85">
        <v>46110</v>
      </c>
      <c r="B153" t="s">
        <v>42</v>
      </c>
      <c r="C153">
        <v>6</v>
      </c>
      <c r="D153" s="86">
        <v>1</v>
      </c>
      <c r="E153">
        <v>3</v>
      </c>
      <c r="F153">
        <v>3</v>
      </c>
      <c r="G153">
        <v>11</v>
      </c>
      <c r="H153">
        <v>9</v>
      </c>
      <c r="I153">
        <v>1</v>
      </c>
      <c r="J153">
        <v>0.82</v>
      </c>
      <c r="K153">
        <v>0</v>
      </c>
      <c r="L153">
        <v>1</v>
      </c>
      <c r="M153">
        <v>1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 s="86">
        <f>AVERAGEIFS($C$2:C153, $B$2:B153, B153)</f>
        <v>9</v>
      </c>
      <c r="AB153" s="86">
        <f>AVERAGEIFS($I$2:I153, $B$2:B153, B153)</f>
        <v>0.8</v>
      </c>
      <c r="AC153" s="86">
        <f>AVERAGEIFS($J$2:J153, $B$2:B153, B153)</f>
        <v>0.66999999999999993</v>
      </c>
      <c r="AD153" s="86">
        <f>AVERAGEIFS($D$2:D153, $B$2:B153, B153)</f>
        <v>1</v>
      </c>
    </row>
    <row r="154" spans="1:30" x14ac:dyDescent="0.25">
      <c r="A154" s="85">
        <v>46110</v>
      </c>
      <c r="B154" t="s">
        <v>4</v>
      </c>
      <c r="C154">
        <v>17</v>
      </c>
      <c r="D154" s="86">
        <v>0</v>
      </c>
      <c r="E154">
        <v>3</v>
      </c>
      <c r="F154">
        <v>0</v>
      </c>
      <c r="G154">
        <v>11</v>
      </c>
      <c r="H154">
        <v>2</v>
      </c>
      <c r="I154">
        <v>0</v>
      </c>
      <c r="J154">
        <v>0.18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86">
        <f>AVERAGEIFS($C$2:C154, $B$2:B154, B154)</f>
        <v>20.333333333333332</v>
      </c>
      <c r="AB154" s="86">
        <f>AVERAGEIFS($I$2:I154, $B$2:B154, B154)</f>
        <v>0.45</v>
      </c>
      <c r="AC154" s="86">
        <f>AVERAGEIFS($J$2:J154, $B$2:B154, B154)</f>
        <v>0.44666666666666671</v>
      </c>
      <c r="AD154" s="86">
        <f>AVERAGEIFS($D$2:D154, $B$2:B154, B154)</f>
        <v>0.66666666666666663</v>
      </c>
    </row>
    <row r="155" spans="1:30" x14ac:dyDescent="0.25">
      <c r="A155" s="85">
        <v>46110</v>
      </c>
      <c r="B155" t="s">
        <v>37</v>
      </c>
      <c r="C155">
        <v>13</v>
      </c>
      <c r="D155" s="86">
        <v>0</v>
      </c>
      <c r="E155">
        <v>3</v>
      </c>
      <c r="F155">
        <v>0</v>
      </c>
      <c r="G155">
        <v>11</v>
      </c>
      <c r="H155">
        <v>2</v>
      </c>
      <c r="I155">
        <v>0</v>
      </c>
      <c r="J155">
        <v>0.18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86">
        <f>AVERAGEIFS($C$2:C155, $B$2:B155, B155)</f>
        <v>21</v>
      </c>
      <c r="AB155" s="86">
        <f>AVERAGEIFS($I$2:I155, $B$2:B155, B155)</f>
        <v>0.375</v>
      </c>
      <c r="AC155" s="86">
        <f>AVERAGEIFS($J$2:J155, $B$2:B155, B155)</f>
        <v>0.43333333333333335</v>
      </c>
      <c r="AD155" s="86">
        <f>AVERAGEIFS($D$2:D155, $B$2:B155, B155)</f>
        <v>0.33333333333333331</v>
      </c>
    </row>
    <row r="156" spans="1:30" x14ac:dyDescent="0.25">
      <c r="A156" s="85">
        <v>46110</v>
      </c>
      <c r="B156" t="s">
        <v>13</v>
      </c>
      <c r="C156">
        <v>11</v>
      </c>
      <c r="D156" s="86">
        <v>0</v>
      </c>
      <c r="E156">
        <v>3</v>
      </c>
      <c r="F156">
        <v>0</v>
      </c>
      <c r="G156">
        <v>11</v>
      </c>
      <c r="H156">
        <v>2</v>
      </c>
      <c r="I156">
        <v>0</v>
      </c>
      <c r="J156">
        <v>0.18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86">
        <f>AVERAGEIFS($C$2:C156, $B$2:B156, B156)</f>
        <v>33.375</v>
      </c>
      <c r="AB156" s="86">
        <f>AVERAGEIFS($I$2:I156, $B$2:B156, B156)</f>
        <v>0.44375000000000003</v>
      </c>
      <c r="AC156" s="86">
        <f>AVERAGEIFS($J$2:J156, $B$2:B156, B156)</f>
        <v>0.5</v>
      </c>
      <c r="AD156" s="86">
        <f>AVERAGEIFS($D$2:D156, $B$2:B156, B156)</f>
        <v>0.625</v>
      </c>
    </row>
    <row r="157" spans="1:30" x14ac:dyDescent="0.25">
      <c r="A157" s="85">
        <v>46110</v>
      </c>
      <c r="B157" t="s">
        <v>19</v>
      </c>
      <c r="C157">
        <v>9</v>
      </c>
      <c r="D157" s="86">
        <v>0</v>
      </c>
      <c r="E157">
        <v>3</v>
      </c>
      <c r="F157">
        <v>0</v>
      </c>
      <c r="G157">
        <v>11</v>
      </c>
      <c r="H157">
        <v>2</v>
      </c>
      <c r="I157">
        <v>0</v>
      </c>
      <c r="J157">
        <v>0.18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86">
        <f>AVERAGEIFS($C$2:C157, $B$2:B157, B157)</f>
        <v>13.875</v>
      </c>
      <c r="AB157" s="86">
        <f>AVERAGEIFS($I$2:I157, $B$2:B157, B157)</f>
        <v>0.45624999999999999</v>
      </c>
      <c r="AC157" s="86">
        <f>AVERAGEIFS($J$2:J157, $B$2:B157, B157)</f>
        <v>0.47125</v>
      </c>
      <c r="AD157" s="86">
        <f>AVERAGEIFS($D$2:D157, $B$2:B157, B157)</f>
        <v>0.375</v>
      </c>
    </row>
    <row r="158" spans="1:30" x14ac:dyDescent="0.25">
      <c r="A158" s="85">
        <v>46110</v>
      </c>
      <c r="B158" t="s">
        <v>27</v>
      </c>
      <c r="C158">
        <v>5</v>
      </c>
      <c r="D158" s="86">
        <v>0</v>
      </c>
      <c r="E158">
        <v>3</v>
      </c>
      <c r="F158">
        <v>0</v>
      </c>
      <c r="G158">
        <v>11</v>
      </c>
      <c r="H158">
        <v>2</v>
      </c>
      <c r="I158">
        <v>0</v>
      </c>
      <c r="J158">
        <v>0.18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 s="86">
        <f>AVERAGEIFS($C$2:C158, $B$2:B158, B158)</f>
        <v>16</v>
      </c>
      <c r="AB158" s="86">
        <f>AVERAGEIFS($I$2:I158, $B$2:B158, B158)</f>
        <v>0.45714285714285718</v>
      </c>
      <c r="AC158" s="86">
        <f>AVERAGEIFS($J$2:J158, $B$2:B158, B158)</f>
        <v>0.47000000000000003</v>
      </c>
      <c r="AD158" s="86">
        <f>AVERAGEIFS($D$2:D158, $B$2:B158, B158)</f>
        <v>0.5714285714285714</v>
      </c>
    </row>
    <row r="159" spans="1:30" x14ac:dyDescent="0.25">
      <c r="A159" s="85">
        <v>46110</v>
      </c>
      <c r="B159" t="s">
        <v>137</v>
      </c>
      <c r="C159">
        <v>4</v>
      </c>
      <c r="D159" s="86">
        <v>0</v>
      </c>
      <c r="E159">
        <v>3</v>
      </c>
      <c r="F159">
        <v>0</v>
      </c>
      <c r="G159">
        <v>11</v>
      </c>
      <c r="H159">
        <v>2</v>
      </c>
      <c r="I159">
        <v>0</v>
      </c>
      <c r="J159">
        <v>0.18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 s="86">
        <f>AVERAGEIFS($C$2:C159, $B$2:B159, B159)</f>
        <v>9.6</v>
      </c>
      <c r="AB159" s="86">
        <f>AVERAGEIFS($I$2:I159, $B$2:B159, B159)</f>
        <v>0.45</v>
      </c>
      <c r="AC159" s="86">
        <f>AVERAGEIFS($J$2:J159, $B$2:B159, B159)</f>
        <v>0.47400000000000003</v>
      </c>
      <c r="AD159" s="86">
        <f>AVERAGEIFS($D$2:D159, $B$2:B159, B159)</f>
        <v>0.4</v>
      </c>
    </row>
  </sheetData>
  <autoFilter ref="A1:AD159" xr:uid="{683C13F5-AE6A-44E6-924D-3936AA002E17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7B1FA-2AF5-405E-8A74-F6C83AC8FBE8}">
  <dimension ref="A1:AE3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H44" sqref="H44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1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146</v>
      </c>
      <c r="Z1" s="32" t="s">
        <v>57</v>
      </c>
      <c r="AA1" s="32" t="s">
        <v>56</v>
      </c>
      <c r="AB1" s="32" t="s">
        <v>9</v>
      </c>
      <c r="AC1" s="32" t="s">
        <v>30</v>
      </c>
      <c r="AD1" s="32" t="s">
        <v>11</v>
      </c>
      <c r="AE1" s="46" t="s">
        <v>39</v>
      </c>
    </row>
    <row r="2" spans="1:31" x14ac:dyDescent="0.25">
      <c r="A2" s="2" t="s">
        <v>37</v>
      </c>
      <c r="B2" s="2" t="s">
        <v>79</v>
      </c>
      <c r="C2" s="2" t="s">
        <v>79</v>
      </c>
      <c r="D2" s="34">
        <f>SUMIFS('Tourney History'!C:C,'Tourney History'!B:B,A2)</f>
        <v>126</v>
      </c>
      <c r="E2" s="4">
        <f>AVERAGEIFS('Tourney History'!C:C,'Tourney History'!B:B,A2)</f>
        <v>21</v>
      </c>
      <c r="F2" s="35">
        <f t="array" ref="F2">MAX(IF('Tourney History'!B:B=A2, 'Tourney History'!C:C))</f>
        <v>33</v>
      </c>
      <c r="G2" s="34">
        <f>COUNTIFS('Tourney History'!B:B,A2,'Tourney History'!D:D, 1)</f>
        <v>2</v>
      </c>
      <c r="H2" s="2">
        <f>COUNTIFS('Tourney History'!B:B,A2,'Tourney History'!D:D, 0)</f>
        <v>4</v>
      </c>
      <c r="I2" s="88">
        <f>LOOKUP(2, 1/('Tourney History'!$B:$B=A2), 'Tourney History'!$AD:$AD)</f>
        <v>0.33333333333333331</v>
      </c>
      <c r="J2" s="34">
        <f>SUMIFS('Tourney History'!F:F,'Tourney History'!B:B,A2)</f>
        <v>10</v>
      </c>
      <c r="K2" s="2">
        <f>SUMIFS('Tourney History'!E:E,'Tourney History'!B:B,A2)-J2</f>
        <v>15</v>
      </c>
      <c r="L2" s="88">
        <f>LOOKUP(2, 1/('Tourney History'!$B:$B=A2), 'Tourney History'!$AB:$AB)</f>
        <v>0.375</v>
      </c>
      <c r="M2" s="34">
        <f>SUMIFS('Tourney History'!H:H,'Tourney History'!B:B,A2)</f>
        <v>45</v>
      </c>
      <c r="N2" s="2">
        <f>SUMIFS('Tourney History'!G:G,'Tourney History'!B:B,A2)-M2</f>
        <v>55</v>
      </c>
      <c r="O2" s="88">
        <f>LOOKUP(2, 1/('Tourney History'!$B:$B=A2), 'Tourney History'!$AC:$AC)</f>
        <v>0.43333333333333335</v>
      </c>
      <c r="P2" s="2">
        <f>COUNTIFS('Tourney History'!$B:$B,$A$2,'Tourney History'!K:K, 1)</f>
        <v>1</v>
      </c>
      <c r="Q2" s="2">
        <f>COUNTIFS('Tourney History'!$B:$B,$A$2,'Tourney History'!L:L, 1)</f>
        <v>0</v>
      </c>
      <c r="R2" s="2">
        <f>COUNTIFS('Tourney History'!$B:$B,$A$2,'Tourney History'!M:M, 1)</f>
        <v>0</v>
      </c>
      <c r="S2" s="2">
        <f>COUNTIFS('Tourney History'!$B:$B,$A$2,'Tourney History'!N:N, 1)</f>
        <v>1</v>
      </c>
      <c r="T2" s="2">
        <f>COUNTIFS('Tourney History'!$B:$B,$A$2,'Tourney History'!O:O, 1)</f>
        <v>1</v>
      </c>
      <c r="U2" s="2">
        <f>COUNTIFS('Tourney History'!$B:$B,$A$2,'Tourney History'!P:P, 1)</f>
        <v>2</v>
      </c>
      <c r="V2" s="2">
        <f>COUNTIFS('Tourney History'!$B:$B,$A$2,'Tourney History'!Q:Q, 1)</f>
        <v>0</v>
      </c>
      <c r="W2" s="2">
        <f>COUNTIFS('Tourney History'!$B:$B,$A$2,'Tourney History'!R:R, 1)</f>
        <v>0</v>
      </c>
      <c r="X2" s="2">
        <f>COUNTIFS('Tourney History'!$B:$B,$A$2,'Tourney History'!S:S, 1)</f>
        <v>0</v>
      </c>
      <c r="Y2" s="2">
        <f>COUNTIFS('Tourney History'!$B:$B,$A$2,'Tourney History'!T:T, 1)</f>
        <v>0</v>
      </c>
      <c r="Z2" s="2">
        <f>COUNTIFS('Tourney History'!$B:$B,$A$2,'Tourney History'!U:U, 1)</f>
        <v>0</v>
      </c>
      <c r="AA2" s="2">
        <f>COUNTIFS('Tourney History'!$B:$B,$A$2,'Tourney History'!V:V, 1)</f>
        <v>0</v>
      </c>
      <c r="AB2" s="2">
        <f>COUNTIFS('Tourney History'!$B:$B,$A$2,'Tourney History'!W:W, 1)</f>
        <v>0</v>
      </c>
      <c r="AC2" s="2">
        <f>COUNTIFS('Tourney History'!$B:$B,$A$2,'Tourney History'!X:X, 1)</f>
        <v>3</v>
      </c>
      <c r="AD2" s="2">
        <f>COUNTIFS('Tourney History'!$B:$B,$A$2,'Tourney History'!Y:Y, 1)</f>
        <v>0</v>
      </c>
      <c r="AE2" s="2">
        <f>COUNTIFS('Tourney History'!$B:$B,$A$2,'Tourney History'!Z:Z, 1)</f>
        <v>2</v>
      </c>
    </row>
    <row r="3" spans="1:31" ht="15.75" x14ac:dyDescent="0.25">
      <c r="A3" s="2" t="s">
        <v>35</v>
      </c>
      <c r="B3" s="80" t="s">
        <v>60</v>
      </c>
      <c r="C3" s="2" t="s">
        <v>79</v>
      </c>
      <c r="D3" s="34">
        <f>SUMIFS('Tourney History'!C:C,'Tourney History'!B:B,A3)</f>
        <v>41</v>
      </c>
      <c r="E3" s="4">
        <f>AVERAGEIFS('Tourney History'!C:C,'Tourney History'!B:B,A3)</f>
        <v>10.25</v>
      </c>
      <c r="F3" s="35">
        <f t="array" ref="F3">MAX(IF('Tourney History'!B:B=A3, 'Tourney History'!C:C))</f>
        <v>17</v>
      </c>
      <c r="G3" s="34">
        <f>COUNTIFS('Tourney History'!B:B,A3,'Tourney History'!D:D, 1)</f>
        <v>2</v>
      </c>
      <c r="H3" s="2">
        <f>COUNTIFS('Tourney History'!B:B,A3,'Tourney History'!D:D, 0)</f>
        <v>2</v>
      </c>
      <c r="I3" s="88">
        <f>LOOKUP(2, 1/('Tourney History'!$B:$B=A3), 'Tourney History'!$AD:$AD)</f>
        <v>0.5</v>
      </c>
      <c r="J3" s="34">
        <f>SUMIFS('Tourney History'!F:F,'Tourney History'!B:B,A3)</f>
        <v>7</v>
      </c>
      <c r="K3" s="2">
        <f>SUMIFS('Tourney History'!E:E,'Tourney History'!B:B,A3)-J3</f>
        <v>8</v>
      </c>
      <c r="L3" s="88">
        <f>LOOKUP(2, 1/('Tourney History'!$B:$B=A3), 'Tourney History'!$AB:$AB)</f>
        <v>0.4375</v>
      </c>
      <c r="M3" s="34">
        <f>SUMIFS('Tourney History'!H:H,'Tourney History'!B:B,A3)</f>
        <v>31</v>
      </c>
      <c r="N3" s="2">
        <f>SUMIFS('Tourney History'!G:G,'Tourney History'!B:B,A3)-M3</f>
        <v>29</v>
      </c>
      <c r="O3" s="88">
        <f>LOOKUP(2, 1/('Tourney History'!$B:$B=A3), 'Tourney History'!$AC:$AC)</f>
        <v>0.50749999999999995</v>
      </c>
      <c r="P3" s="2">
        <f>COUNTIFS('Tourney History'!$B:$B,$A$3,'Tourney History'!K:K, 1)</f>
        <v>0</v>
      </c>
      <c r="Q3" s="2">
        <f>COUNTIFS('Tourney History'!$B:$B,$A$3,'Tourney History'!L:L, 1)</f>
        <v>1</v>
      </c>
      <c r="R3" s="2">
        <f>COUNTIFS('Tourney History'!$B:$B,$A$3,'Tourney History'!M:M, 1)</f>
        <v>0</v>
      </c>
      <c r="S3" s="2">
        <f>COUNTIFS('Tourney History'!$B:$B,$A$3,'Tourney History'!N:N, 1)</f>
        <v>2</v>
      </c>
      <c r="T3" s="2">
        <f>COUNTIFS('Tourney History'!$B:$B,$A$3,'Tourney History'!O:O, 1)</f>
        <v>0</v>
      </c>
      <c r="U3" s="2">
        <f>COUNTIFS('Tourney History'!$B:$B,$A$3,'Tourney History'!P:P, 1)</f>
        <v>1</v>
      </c>
      <c r="V3" s="2">
        <f>COUNTIFS('Tourney History'!$B:$B,$A$3,'Tourney History'!Q:Q, 1)</f>
        <v>0</v>
      </c>
      <c r="W3" s="2">
        <f>COUNTIFS('Tourney History'!$B:$B,$A$3,'Tourney History'!R:R, 1)</f>
        <v>0</v>
      </c>
      <c r="X3" s="2">
        <f>COUNTIFS('Tourney History'!$B:$B,$A$3,'Tourney History'!S:S, 1)</f>
        <v>0</v>
      </c>
      <c r="Y3" s="2">
        <f>COUNTIFS('Tourney History'!$B:$B,$A$3,'Tourney History'!T:T, 1)</f>
        <v>0</v>
      </c>
      <c r="Z3" s="2">
        <f>COUNTIFS('Tourney History'!$B:$B,$A$3,'Tourney History'!U:U, 1)</f>
        <v>0</v>
      </c>
      <c r="AA3" s="2">
        <f>COUNTIFS('Tourney History'!$B:$B,$A$3,'Tourney History'!V:V, 1)</f>
        <v>0</v>
      </c>
      <c r="AB3" s="2">
        <f>COUNTIFS('Tourney History'!$B:$B,$A$3,'Tourney History'!W:W, 1)</f>
        <v>2</v>
      </c>
      <c r="AC3" s="2">
        <f>COUNTIFS('Tourney History'!$B:$B,$A$3,'Tourney History'!X:X, 1)</f>
        <v>0</v>
      </c>
      <c r="AD3" s="2">
        <f>COUNTIFS('Tourney History'!$B:$B,$A$3,'Tourney History'!Y:Y, 1)</f>
        <v>0</v>
      </c>
      <c r="AE3" s="2">
        <f>COUNTIFS('Tourney History'!$B:$B,$A$3,'Tourney History'!Z:Z, 1)</f>
        <v>1</v>
      </c>
    </row>
    <row r="4" spans="1:31" ht="15.75" x14ac:dyDescent="0.25">
      <c r="A4" s="2" t="s">
        <v>19</v>
      </c>
      <c r="B4" s="95" t="s">
        <v>79</v>
      </c>
      <c r="C4" s="2" t="s">
        <v>79</v>
      </c>
      <c r="D4" s="34">
        <f>SUMIFS('Tourney History'!C:C,'Tourney History'!B:B,A4)</f>
        <v>111</v>
      </c>
      <c r="E4" s="4">
        <f>AVERAGEIFS('Tourney History'!C:C,'Tourney History'!B:B,A4)</f>
        <v>13.875</v>
      </c>
      <c r="F4" s="35">
        <f t="array" ref="F4">MAX(IF('Tourney History'!B:B=A4, 'Tourney History'!C:C))</f>
        <v>26</v>
      </c>
      <c r="G4" s="34">
        <f>COUNTIFS('Tourney History'!B:B,A4,'Tourney History'!D:D, 1)</f>
        <v>3</v>
      </c>
      <c r="H4" s="2">
        <f>COUNTIFS('Tourney History'!B:B,A4,'Tourney History'!D:D, 0)</f>
        <v>5</v>
      </c>
      <c r="I4" s="88">
        <f>LOOKUP(2, 1/('Tourney History'!$B:$B=A4), 'Tourney History'!$AD:$AD)</f>
        <v>0.375</v>
      </c>
      <c r="J4" s="34">
        <f>SUMIFS('Tourney History'!F:F,'Tourney History'!B:B,A4)</f>
        <v>15</v>
      </c>
      <c r="K4" s="2">
        <f>SUMIFS('Tourney History'!E:E,'Tourney History'!B:B,A4)-J4</f>
        <v>18</v>
      </c>
      <c r="L4" s="88">
        <f>LOOKUP(2, 1/('Tourney History'!$B:$B=A4), 'Tourney History'!$AB:$AB)</f>
        <v>0.45624999999999999</v>
      </c>
      <c r="M4" s="34">
        <f>SUMIFS('Tourney History'!H:H,'Tourney History'!B:B,A4)</f>
        <v>65</v>
      </c>
      <c r="N4" s="2">
        <f>SUMIFS('Tourney History'!G:G,'Tourney History'!B:B,A4)-M4</f>
        <v>71</v>
      </c>
      <c r="O4" s="88">
        <f>LOOKUP(2, 1/('Tourney History'!$B:$B=A4), 'Tourney History'!$AC:$AC)</f>
        <v>0.47125</v>
      </c>
      <c r="P4" s="2">
        <f>COUNTIFS('Tourney History'!$B:$B,$A$4,'Tourney History'!K:K, 1)</f>
        <v>1</v>
      </c>
      <c r="Q4" s="2">
        <f>COUNTIFS('Tourney History'!$B:$B,$A$4,'Tourney History'!L:L, 1)</f>
        <v>0</v>
      </c>
      <c r="R4" s="2">
        <f>COUNTIFS('Tourney History'!$B:$B,$A$4,'Tourney History'!M:M, 1)</f>
        <v>0</v>
      </c>
      <c r="S4" s="2">
        <f>COUNTIFS('Tourney History'!$B:$B,$A$4,'Tourney History'!N:N, 1)</f>
        <v>1</v>
      </c>
      <c r="T4" s="2">
        <f>COUNTIFS('Tourney History'!$B:$B,$A$4,'Tourney History'!O:O, 1)</f>
        <v>1</v>
      </c>
      <c r="U4" s="2">
        <f>COUNTIFS('Tourney History'!$B:$B,$A$4,'Tourney History'!P:P, 1)</f>
        <v>2</v>
      </c>
      <c r="V4" s="2">
        <f>COUNTIFS('Tourney History'!$B:$B,$A$4,'Tourney History'!Q:Q, 1)</f>
        <v>0</v>
      </c>
      <c r="W4" s="2">
        <f>COUNTIFS('Tourney History'!$B:$B,$A$4,'Tourney History'!R:R, 1)</f>
        <v>0</v>
      </c>
      <c r="X4" s="2">
        <f>COUNTIFS('Tourney History'!$B:$B,$A$4,'Tourney History'!S:S, 1)</f>
        <v>0</v>
      </c>
      <c r="Y4" s="2">
        <f>COUNTIFS('Tourney History'!$B:$B,$A$4,'Tourney History'!T:T, 1)</f>
        <v>0</v>
      </c>
      <c r="Z4" s="2">
        <f>COUNTIFS('Tourney History'!$B:$B,$A$4,'Tourney History'!U:U, 1)</f>
        <v>0</v>
      </c>
      <c r="AA4" s="2">
        <f>COUNTIFS('Tourney History'!$B:$B,$A$4,'Tourney History'!V:V, 1)</f>
        <v>0</v>
      </c>
      <c r="AB4" s="2">
        <f>COUNTIFS('Tourney History'!$B:$B,$A$4,'Tourney History'!W:W, 1)</f>
        <v>3</v>
      </c>
      <c r="AC4" s="2">
        <f>COUNTIFS('Tourney History'!$B:$B,$A$4,'Tourney History'!X:X, 1)</f>
        <v>4</v>
      </c>
      <c r="AD4" s="2">
        <f>COUNTIFS('Tourney History'!$B:$B,$A$4,'Tourney History'!Y:Y, 1)</f>
        <v>0</v>
      </c>
      <c r="AE4" s="2">
        <f>COUNTIFS('Tourney History'!$B:$B,$A$4,'Tourney History'!Z:Z, 1)</f>
        <v>3</v>
      </c>
    </row>
    <row r="5" spans="1:31" x14ac:dyDescent="0.25">
      <c r="A5" s="1" t="s">
        <v>42</v>
      </c>
      <c r="B5" s="6" t="s">
        <v>60</v>
      </c>
      <c r="C5" s="2" t="s">
        <v>79</v>
      </c>
      <c r="D5" s="34">
        <f>SUMIFS('Tourney History'!C:C,'Tourney History'!B:B,A5)</f>
        <v>18</v>
      </c>
      <c r="E5" s="4">
        <f>AVERAGEIFS('Tourney History'!C:C,'Tourney History'!B:B,A5)</f>
        <v>9</v>
      </c>
      <c r="F5" s="35">
        <f t="array" ref="F5">MAX(IF('Tourney History'!B:B=A5, 'Tourney History'!C:C))</f>
        <v>12</v>
      </c>
      <c r="G5" s="34">
        <f>COUNTIFS('Tourney History'!B:B,A5,'Tourney History'!D:D, 1)</f>
        <v>2</v>
      </c>
      <c r="H5" s="2">
        <f>COUNTIFS('Tourney History'!B:B,A5,'Tourney History'!D:D, 0)</f>
        <v>0</v>
      </c>
      <c r="I5" s="88">
        <f>LOOKUP(2, 1/('Tourney History'!$B:$B=A5), 'Tourney History'!$AD:$AD)</f>
        <v>1</v>
      </c>
      <c r="J5" s="34">
        <f>SUMIFS('Tourney History'!F:F,'Tourney History'!B:B,A5)</f>
        <v>6</v>
      </c>
      <c r="K5" s="2">
        <f>SUMIFS('Tourney History'!E:E,'Tourney History'!B:B,A5)-J5</f>
        <v>2</v>
      </c>
      <c r="L5" s="88">
        <f>LOOKUP(2, 1/('Tourney History'!$B:$B=A5), 'Tourney History'!$AB:$AB)</f>
        <v>0.8</v>
      </c>
      <c r="M5" s="34">
        <f>SUMIFS('Tourney History'!H:H,'Tourney History'!B:B,A5)</f>
        <v>20</v>
      </c>
      <c r="N5" s="2">
        <f>SUMIFS('Tourney History'!G:G,'Tourney History'!B:B,A5)-M5</f>
        <v>12</v>
      </c>
      <c r="O5" s="88">
        <f>LOOKUP(2, 1/('Tourney History'!$B:$B=A5), 'Tourney History'!$AC:$AC)</f>
        <v>0.66999999999999993</v>
      </c>
      <c r="P5" s="2">
        <f>COUNTIFS('Tourney History'!$B:$B,$A$5,'Tourney History'!K:K, 1)</f>
        <v>0</v>
      </c>
      <c r="Q5" s="2">
        <f>COUNTIFS('Tourney History'!$B:$B,$A$5,'Tourney History'!L:L, 1)</f>
        <v>2</v>
      </c>
      <c r="R5" s="2">
        <f>COUNTIFS('Tourney History'!$B:$B,$A$5,'Tourney History'!M:M, 1)</f>
        <v>1</v>
      </c>
      <c r="S5" s="2">
        <f>COUNTIFS('Tourney History'!$B:$B,$A$5,'Tourney History'!N:N, 1)</f>
        <v>0</v>
      </c>
      <c r="T5" s="2">
        <f>COUNTIFS('Tourney History'!$B:$B,$A$5,'Tourney History'!O:O, 1)</f>
        <v>1</v>
      </c>
      <c r="U5" s="2">
        <f>COUNTIFS('Tourney History'!$B:$B,$A$5,'Tourney History'!P:P, 1)</f>
        <v>0</v>
      </c>
      <c r="V5" s="2">
        <f>COUNTIFS('Tourney History'!$B:$B,$A$5,'Tourney History'!Q:Q, 1)</f>
        <v>0</v>
      </c>
      <c r="W5" s="2">
        <f>COUNTIFS('Tourney History'!$B:$B,$A$5,'Tourney History'!R:R, 1)</f>
        <v>0</v>
      </c>
      <c r="X5" s="2">
        <f>COUNTIFS('Tourney History'!$B:$B,$A$5,'Tourney History'!S:S, 1)</f>
        <v>0</v>
      </c>
      <c r="Y5" s="2">
        <f>COUNTIFS('Tourney History'!$B:$B,$A$5,'Tourney History'!T:T, 1)</f>
        <v>0</v>
      </c>
      <c r="Z5" s="2">
        <f>COUNTIFS('Tourney History'!$B:$B,$A$5,'Tourney History'!U:U, 1)</f>
        <v>0</v>
      </c>
      <c r="AA5" s="2">
        <f>COUNTIFS('Tourney History'!$B:$B,$A$5,'Tourney History'!V:V, 1)</f>
        <v>0</v>
      </c>
      <c r="AB5" s="2">
        <f>COUNTIFS('Tourney History'!$B:$B,$A$5,'Tourney History'!W:W, 1)</f>
        <v>1</v>
      </c>
      <c r="AC5" s="2">
        <f>COUNTIFS('Tourney History'!$B:$B,$A$5,'Tourney History'!X:X, 1)</f>
        <v>0</v>
      </c>
      <c r="AD5" s="2">
        <f>COUNTIFS('Tourney History'!$B:$B,$A$5,'Tourney History'!Y:Y, 1)</f>
        <v>0</v>
      </c>
      <c r="AE5" s="2">
        <f>COUNTIFS('Tourney History'!$B:$B,$A$5,'Tourney History'!Z:Z, 1)</f>
        <v>1</v>
      </c>
    </row>
    <row r="6" spans="1:31" x14ac:dyDescent="0.25">
      <c r="A6" s="1" t="s">
        <v>25</v>
      </c>
      <c r="B6" s="6" t="s">
        <v>79</v>
      </c>
      <c r="C6" s="2" t="s">
        <v>79</v>
      </c>
      <c r="D6" s="34">
        <f>SUMIFS('Tourney History'!C:C,'Tourney History'!B:B,A6)</f>
        <v>67</v>
      </c>
      <c r="E6" s="4">
        <f>AVERAGEIFS('Tourney History'!C:C,'Tourney History'!B:B,A6)</f>
        <v>22.333333333333332</v>
      </c>
      <c r="F6" s="35">
        <f t="array" ref="F6">MAX(IF('Tourney History'!B:B=A6, 'Tourney History'!C:C))</f>
        <v>31</v>
      </c>
      <c r="G6" s="34">
        <f>COUNTIFS('Tourney History'!B:B,A6,'Tourney History'!D:D, 1)</f>
        <v>0</v>
      </c>
      <c r="H6" s="2">
        <f>COUNTIFS('Tourney History'!B:B,A6,'Tourney History'!D:D, 0)</f>
        <v>3</v>
      </c>
      <c r="I6" s="88">
        <f>LOOKUP(2, 1/('Tourney History'!$B:$B=A6), 'Tourney History'!$AD:$AD)</f>
        <v>0</v>
      </c>
      <c r="J6" s="34">
        <f>SUMIFS('Tourney History'!F:F,'Tourney History'!B:B,A6)</f>
        <v>5</v>
      </c>
      <c r="K6" s="2">
        <f>SUMIFS('Tourney History'!E:E,'Tourney History'!B:B,A6)-J6</f>
        <v>9</v>
      </c>
      <c r="L6" s="88">
        <f>LOOKUP(2, 1/('Tourney History'!$B:$B=A6), 'Tourney History'!$AB:$AB)</f>
        <v>0.35000000000000003</v>
      </c>
      <c r="M6" s="34">
        <f>SUMIFS('Tourney History'!H:H,'Tourney History'!B:B,A6)</f>
        <v>27</v>
      </c>
      <c r="N6" s="2">
        <f>SUMIFS('Tourney History'!G:G,'Tourney History'!B:B,A6)-M6</f>
        <v>33</v>
      </c>
      <c r="O6" s="88">
        <f>LOOKUP(2, 1/('Tourney History'!$B:$B=A6), 'Tourney History'!$AC:$AC)</f>
        <v>0.45</v>
      </c>
      <c r="P6" s="2">
        <f>COUNTIFS('Tourney History'!$B:$B,$A$6,'Tourney History'!K:K, 1)</f>
        <v>0</v>
      </c>
      <c r="Q6" s="2">
        <f>COUNTIFS('Tourney History'!$B:$B,$A$6,'Tourney History'!L:L, 1)</f>
        <v>0</v>
      </c>
      <c r="R6" s="2">
        <f>COUNTIFS('Tourney History'!$B:$B,$A$6,'Tourney History'!M:M, 1)</f>
        <v>0</v>
      </c>
      <c r="S6" s="2">
        <f>COUNTIFS('Tourney History'!$B:$B,$A$6,'Tourney History'!N:N, 1)</f>
        <v>1</v>
      </c>
      <c r="T6" s="2">
        <f>COUNTIFS('Tourney History'!$B:$B,$A$6,'Tourney History'!O:O, 1)</f>
        <v>0</v>
      </c>
      <c r="U6" s="2">
        <f>COUNTIFS('Tourney History'!$B:$B,$A$6,'Tourney History'!P:P, 1)</f>
        <v>0</v>
      </c>
      <c r="V6" s="2">
        <f>COUNTIFS('Tourney History'!$B:$B,$A$6,'Tourney History'!Q:Q, 1)</f>
        <v>0</v>
      </c>
      <c r="W6" s="2">
        <f>COUNTIFS('Tourney History'!$B:$B,$A$6,'Tourney History'!R:R, 1)</f>
        <v>1</v>
      </c>
      <c r="X6" s="2">
        <f>COUNTIFS('Tourney History'!$B:$B,$A$6,'Tourney History'!S:S, 1)</f>
        <v>0</v>
      </c>
      <c r="Y6" s="2">
        <f>COUNTIFS('Tourney History'!$B:$B,$A$6,'Tourney History'!T:T, 1)</f>
        <v>0</v>
      </c>
      <c r="Z6" s="2">
        <f>COUNTIFS('Tourney History'!$B:$B,$A$6,'Tourney History'!U:U, 1)</f>
        <v>0</v>
      </c>
      <c r="AA6" s="2">
        <f>COUNTIFS('Tourney History'!$B:$B,$A$6,'Tourney History'!V:V, 1)</f>
        <v>0</v>
      </c>
      <c r="AB6" s="2">
        <f>COUNTIFS('Tourney History'!$B:$B,$A$6,'Tourney History'!W:W, 1)</f>
        <v>0</v>
      </c>
      <c r="AC6" s="2">
        <f>COUNTIFS('Tourney History'!$B:$B,$A$6,'Tourney History'!X:X, 1)</f>
        <v>0</v>
      </c>
      <c r="AD6" s="2">
        <f>COUNTIFS('Tourney History'!$B:$B,$A$6,'Tourney History'!Y:Y, 1)</f>
        <v>1</v>
      </c>
      <c r="AE6" s="2">
        <f>COUNTIFS('Tourney History'!$B:$B,$A$6,'Tourney History'!Z:Z, 1)</f>
        <v>2</v>
      </c>
    </row>
    <row r="7" spans="1:31" x14ac:dyDescent="0.25">
      <c r="A7" s="1" t="s">
        <v>147</v>
      </c>
      <c r="B7" s="6" t="s">
        <v>79</v>
      </c>
      <c r="C7" s="2" t="s">
        <v>79</v>
      </c>
      <c r="D7" s="34">
        <f>SUMIFS('Tourney History'!C:C,'Tourney History'!B:B,A7)</f>
        <v>21</v>
      </c>
      <c r="E7" s="4">
        <f>AVERAGEIFS('Tourney History'!C:C,'Tourney History'!B:B,A7)</f>
        <v>21</v>
      </c>
      <c r="F7" s="35">
        <f t="array" ref="F7">MAX(IF('Tourney History'!B:B=A7, 'Tourney History'!C:C))</f>
        <v>21</v>
      </c>
      <c r="G7" s="34">
        <f>COUNTIFS('Tourney History'!B:B,A7,'Tourney History'!D:D, 1)</f>
        <v>0</v>
      </c>
      <c r="H7" s="2">
        <f>COUNTIFS('Tourney History'!B:B,A7,'Tourney History'!D:D, 0)</f>
        <v>1</v>
      </c>
      <c r="I7" s="88">
        <f>LOOKUP(2, 1/('Tourney History'!$B:$B=A7), 'Tourney History'!$AD:$AD)</f>
        <v>0</v>
      </c>
      <c r="J7" s="34">
        <f>SUMIFS('Tourney History'!F:F,'Tourney History'!B:B,A7)</f>
        <v>2</v>
      </c>
      <c r="K7" s="2">
        <f>SUMIFS('Tourney History'!E:E,'Tourney History'!B:B,A7)-J7</f>
        <v>3</v>
      </c>
      <c r="L7" s="88">
        <f>LOOKUP(2, 1/('Tourney History'!$B:$B=A7), 'Tourney History'!$AB:$AB)</f>
        <v>0.4</v>
      </c>
      <c r="M7" s="34">
        <f>SUMIFS('Tourney History'!H:H,'Tourney History'!B:B,A7)</f>
        <v>8</v>
      </c>
      <c r="N7" s="2">
        <f>SUMIFS('Tourney History'!G:G,'Tourney History'!B:B,A7)-M7</f>
        <v>12</v>
      </c>
      <c r="O7" s="88">
        <f>LOOKUP(2, 1/('Tourney History'!$B:$B=A7), 'Tourney History'!$AC:$AC)</f>
        <v>0.4</v>
      </c>
      <c r="P7" s="2">
        <f>COUNTIFS('Tourney History'!$B:$B,$A$7,'Tourney History'!K:K, 1)</f>
        <v>0</v>
      </c>
      <c r="Q7" s="2">
        <f>COUNTIFS('Tourney History'!$B:$B,$A$7,'Tourney History'!L:L, 1)</f>
        <v>0</v>
      </c>
      <c r="R7" s="2">
        <f>COUNTIFS('Tourney History'!$B:$B,$A$7,'Tourney History'!M:M, 1)</f>
        <v>0</v>
      </c>
      <c r="S7" s="2">
        <f>COUNTIFS('Tourney History'!$B:$B,$A$7,'Tourney History'!N:N, 1)</f>
        <v>0</v>
      </c>
      <c r="T7" s="2">
        <f>COUNTIFS('Tourney History'!$B:$B,$A$7,'Tourney History'!O:O, 1)</f>
        <v>0</v>
      </c>
      <c r="U7" s="2">
        <f>COUNTIFS('Tourney History'!$B:$B,$A$7,'Tourney History'!P:P, 1)</f>
        <v>0</v>
      </c>
      <c r="V7" s="2">
        <f>COUNTIFS('Tourney History'!$B:$B,$A$7,'Tourney History'!Q:Q, 1)</f>
        <v>0</v>
      </c>
      <c r="W7" s="2">
        <f>COUNTIFS('Tourney History'!$B:$B,$A$7,'Tourney History'!R:R, 1)</f>
        <v>0</v>
      </c>
      <c r="X7" s="2">
        <f>COUNTIFS('Tourney History'!$B:$B,$A$7,'Tourney History'!S:S, 1)</f>
        <v>0</v>
      </c>
      <c r="Y7" s="2">
        <f>COUNTIFS('Tourney History'!$B:$B,$A$7,'Tourney History'!T:T, 1)</f>
        <v>0</v>
      </c>
      <c r="Z7" s="2">
        <f>COUNTIFS('Tourney History'!$B:$B,$A$7,'Tourney History'!U:U, 1)</f>
        <v>0</v>
      </c>
      <c r="AA7" s="2">
        <f>COUNTIFS('Tourney History'!$B:$B,$A$7,'Tourney History'!V:V, 1)</f>
        <v>0</v>
      </c>
      <c r="AB7" s="2">
        <f>COUNTIFS('Tourney History'!$B:$B,$A$7,'Tourney History'!W:W, 1)</f>
        <v>0</v>
      </c>
      <c r="AC7" s="2">
        <f>COUNTIFS('Tourney History'!$B:$B,$A$7,'Tourney History'!X:X, 1)</f>
        <v>1</v>
      </c>
      <c r="AD7" s="2">
        <f>COUNTIFS('Tourney History'!$B:$B,$A$7,'Tourney History'!Y:Y, 1)</f>
        <v>1</v>
      </c>
      <c r="AE7" s="2">
        <f>COUNTIFS('Tourney History'!$B:$B,$A$7,'Tourney History'!Z:Z, 1)</f>
        <v>0</v>
      </c>
    </row>
    <row r="8" spans="1:31" x14ac:dyDescent="0.25">
      <c r="A8" s="1" t="s">
        <v>27</v>
      </c>
      <c r="B8" s="6" t="s">
        <v>76</v>
      </c>
      <c r="C8" s="6" t="s">
        <v>79</v>
      </c>
      <c r="D8" s="34">
        <f>SUMIFS('Tourney History'!C:C,'Tourney History'!B:B,A8)</f>
        <v>112</v>
      </c>
      <c r="E8" s="4">
        <f>AVERAGEIFS('Tourney History'!C:C,'Tourney History'!B:B,A8)</f>
        <v>16</v>
      </c>
      <c r="F8" s="35">
        <f t="array" ref="F8">MAX(IF('Tourney History'!B:B=A8, 'Tourney History'!C:C))</f>
        <v>29</v>
      </c>
      <c r="G8" s="34">
        <f>COUNTIFS('Tourney History'!B:B,A8,'Tourney History'!D:D, 1)</f>
        <v>4</v>
      </c>
      <c r="H8" s="2">
        <f>COUNTIFS('Tourney History'!B:B,A8,'Tourney History'!D:D, 0)</f>
        <v>3</v>
      </c>
      <c r="I8" s="88">
        <f>LOOKUP(2, 1/('Tourney History'!$B:$B=A8), 'Tourney History'!$AD:$AD)</f>
        <v>0.5714285714285714</v>
      </c>
      <c r="J8" s="34">
        <f>SUMIFS('Tourney History'!F:F,'Tourney History'!B:B,A8)</f>
        <v>15</v>
      </c>
      <c r="K8" s="2">
        <f>SUMIFS('Tourney History'!E:E,'Tourney History'!B:B,A8)-J8</f>
        <v>16</v>
      </c>
      <c r="L8" s="88">
        <f>LOOKUP(2, 1/('Tourney History'!$B:$B=A8), 'Tourney History'!$AB:$AB)</f>
        <v>0.45714285714285718</v>
      </c>
      <c r="M8" s="34">
        <f>SUMIFS('Tourney History'!H:H,'Tourney History'!B:B,A8)</f>
        <v>64</v>
      </c>
      <c r="N8" s="2">
        <f>SUMIFS('Tourney History'!G:G,'Tourney History'!B:B,A8)-M8</f>
        <v>66</v>
      </c>
      <c r="O8" s="88">
        <f>LOOKUP(2, 1/('Tourney History'!$B:$B=A8), 'Tourney History'!$AC:$AC)</f>
        <v>0.47000000000000003</v>
      </c>
      <c r="P8" s="2">
        <f>COUNTIFS('Tourney History'!$B:$B,$A$8,'Tourney History'!K:K, 1)</f>
        <v>0</v>
      </c>
      <c r="Q8" s="2">
        <f>COUNTIFS('Tourney History'!$B:$B,$A$8,'Tourney History'!L:L, 1)</f>
        <v>0</v>
      </c>
      <c r="R8" s="2">
        <f>COUNTIFS('Tourney History'!$B:$B,$A$8,'Tourney History'!M:M, 1)</f>
        <v>1</v>
      </c>
      <c r="S8" s="2">
        <f>COUNTIFS('Tourney History'!$B:$B,$A$8,'Tourney History'!N:N, 1)</f>
        <v>0</v>
      </c>
      <c r="T8" s="2">
        <f>COUNTIFS('Tourney History'!$B:$B,$A$8,'Tourney History'!O:O, 1)</f>
        <v>3</v>
      </c>
      <c r="U8" s="2">
        <f>COUNTIFS('Tourney History'!$B:$B,$A$8,'Tourney History'!P:P, 1)</f>
        <v>2</v>
      </c>
      <c r="V8" s="2">
        <f>COUNTIFS('Tourney History'!$B:$B,$A$8,'Tourney History'!Q:Q, 1)</f>
        <v>1</v>
      </c>
      <c r="W8" s="2">
        <f>COUNTIFS('Tourney History'!$B:$B,$A$8,'Tourney History'!R:R, 1)</f>
        <v>0</v>
      </c>
      <c r="X8" s="2">
        <f>COUNTIFS('Tourney History'!$B:$B,$A$8,'Tourney History'!S:S, 1)</f>
        <v>0</v>
      </c>
      <c r="Y8" s="2">
        <f>COUNTIFS('Tourney History'!$B:$B,$A$8,'Tourney History'!T:T, 1)</f>
        <v>0</v>
      </c>
      <c r="Z8" s="2">
        <f>COUNTIFS('Tourney History'!$B:$B,$A$8,'Tourney History'!U:U, 1)</f>
        <v>0</v>
      </c>
      <c r="AA8" s="2">
        <f>COUNTIFS('Tourney History'!$B:$B,$A$8,'Tourney History'!V:V, 1)</f>
        <v>0</v>
      </c>
      <c r="AB8" s="2">
        <f>COUNTIFS('Tourney History'!$B:$B,$A$8,'Tourney History'!W:W, 1)</f>
        <v>1</v>
      </c>
      <c r="AC8" s="2">
        <f>COUNTIFS('Tourney History'!$B:$B,$A$8,'Tourney History'!X:X, 1)</f>
        <v>3</v>
      </c>
      <c r="AD8" s="2">
        <f>COUNTIFS('Tourney History'!$B:$B,$A$8,'Tourney History'!Y:Y, 1)</f>
        <v>1</v>
      </c>
      <c r="AE8" s="2">
        <f>COUNTIFS('Tourney History'!$B:$B,$A$8,'Tourney History'!Z:Z, 1)</f>
        <v>3</v>
      </c>
    </row>
    <row r="9" spans="1:31" x14ac:dyDescent="0.25">
      <c r="A9" s="1" t="s">
        <v>26</v>
      </c>
      <c r="B9" s="6" t="s">
        <v>124</v>
      </c>
      <c r="C9" s="6" t="s">
        <v>79</v>
      </c>
      <c r="D9" s="34">
        <f>SUMIFS('Tourney History'!C:C,'Tourney History'!B:B,A9)</f>
        <v>108</v>
      </c>
      <c r="E9" s="4">
        <f>AVERAGEIFS('Tourney History'!C:C,'Tourney History'!B:B,A9)</f>
        <v>15.428571428571429</v>
      </c>
      <c r="F9" s="35">
        <f t="array" ref="F9">MAX(IF('Tourney History'!B:B=A9, 'Tourney History'!C:C))</f>
        <v>24</v>
      </c>
      <c r="G9" s="34">
        <f>COUNTIFS('Tourney History'!B:B,A9,'Tourney History'!D:D, 1)</f>
        <v>5</v>
      </c>
      <c r="H9" s="2">
        <f>COUNTIFS('Tourney History'!B:B,A9,'Tourney History'!D:D, 0)</f>
        <v>2</v>
      </c>
      <c r="I9" s="88">
        <f>LOOKUP(2, 1/('Tourney History'!$B:$B=A9), 'Tourney History'!$AD:$AD)</f>
        <v>0.7142857142857143</v>
      </c>
      <c r="J9" s="34">
        <f>SUMIFS('Tourney History'!F:F,'Tourney History'!B:B,A9)</f>
        <v>17</v>
      </c>
      <c r="K9" s="2">
        <f>SUMIFS('Tourney History'!E:E,'Tourney History'!B:B,A9)-J9</f>
        <v>13</v>
      </c>
      <c r="L9" s="88">
        <f>LOOKUP(2, 1/('Tourney History'!$B:$B=A9), 'Tourney History'!$AB:$AB)</f>
        <v>0.57857142857142863</v>
      </c>
      <c r="M9" s="34">
        <f>SUMIFS('Tourney History'!H:H,'Tourney History'!B:B,A9)</f>
        <v>66</v>
      </c>
      <c r="N9" s="2">
        <f>SUMIFS('Tourney History'!G:G,'Tourney History'!B:B,A9)-M9</f>
        <v>59</v>
      </c>
      <c r="O9" s="88">
        <f>LOOKUP(2, 1/('Tourney History'!$B:$B=A9), 'Tourney History'!$AC:$AC)</f>
        <v>0.53999999999999992</v>
      </c>
      <c r="P9" s="2">
        <f>COUNTIFS('Tourney History'!$B:$B,$A$9,'Tourney History'!K:K, 1)</f>
        <v>0</v>
      </c>
      <c r="Q9" s="2">
        <f>COUNTIFS('Tourney History'!$B:$B,$A$9,'Tourney History'!L:L, 1)</f>
        <v>2</v>
      </c>
      <c r="R9" s="2">
        <f>COUNTIFS('Tourney History'!$B:$B,$A$9,'Tourney History'!M:M, 1)</f>
        <v>1</v>
      </c>
      <c r="S9" s="2">
        <f>COUNTIFS('Tourney History'!$B:$B,$A$9,'Tourney History'!N:N, 1)</f>
        <v>2</v>
      </c>
      <c r="T9" s="2">
        <f>COUNTIFS('Tourney History'!$B:$B,$A$9,'Tourney History'!O:O, 1)</f>
        <v>3</v>
      </c>
      <c r="U9" s="2">
        <f>COUNTIFS('Tourney History'!$B:$B,$A$9,'Tourney History'!P:P, 1)</f>
        <v>3</v>
      </c>
      <c r="V9" s="2">
        <f>COUNTIFS('Tourney History'!$B:$B,$A$9,'Tourney History'!Q:Q, 1)</f>
        <v>2</v>
      </c>
      <c r="W9" s="2">
        <f>COUNTIFS('Tourney History'!$B:$B,$A$9,'Tourney History'!R:R, 1)</f>
        <v>1</v>
      </c>
      <c r="X9" s="2">
        <f>COUNTIFS('Tourney History'!$B:$B,$A$9,'Tourney History'!S:S, 1)</f>
        <v>0</v>
      </c>
      <c r="Y9" s="2">
        <f>COUNTIFS('Tourney History'!$B:$B,$A$9,'Tourney History'!T:T, 1)</f>
        <v>0</v>
      </c>
      <c r="Z9" s="2">
        <f>COUNTIFS('Tourney History'!$B:$B,$A$9,'Tourney History'!U:U, 1)</f>
        <v>0</v>
      </c>
      <c r="AA9" s="2">
        <f>COUNTIFS('Tourney History'!$B:$B,$A$9,'Tourney History'!V:V, 1)</f>
        <v>0</v>
      </c>
      <c r="AB9" s="2">
        <f>COUNTIFS('Tourney History'!$B:$B,$A$9,'Tourney History'!W:W, 1)</f>
        <v>2</v>
      </c>
      <c r="AC9" s="2">
        <f>COUNTIFS('Tourney History'!$B:$B,$A$9,'Tourney History'!X:X, 1)</f>
        <v>0</v>
      </c>
      <c r="AD9" s="2">
        <f>COUNTIFS('Tourney History'!$B:$B,$A$9,'Tourney History'!Y:Y, 1)</f>
        <v>0</v>
      </c>
      <c r="AE9" s="2">
        <f>COUNTIFS('Tourney History'!$B:$B,$A$9,'Tourney History'!Z:Z, 1)</f>
        <v>1</v>
      </c>
    </row>
    <row r="10" spans="1:31" ht="15.75" x14ac:dyDescent="0.25">
      <c r="A10" s="1" t="s">
        <v>45</v>
      </c>
      <c r="B10" s="80" t="s">
        <v>60</v>
      </c>
      <c r="C10" s="2" t="s">
        <v>79</v>
      </c>
      <c r="D10" s="34">
        <f>SUMIFS('Tourney History'!C:C,'Tourney History'!B:B,A10)</f>
        <v>71</v>
      </c>
      <c r="E10" s="4">
        <f>AVERAGEIFS('Tourney History'!C:C,'Tourney History'!B:B,A10)</f>
        <v>14.2</v>
      </c>
      <c r="F10" s="35">
        <f t="array" ref="F10">MAX(IF('Tourney History'!B:B=A10, 'Tourney History'!C:C))</f>
        <v>17</v>
      </c>
      <c r="G10" s="34">
        <f>COUNTIFS('Tourney History'!B:B,A10,'Tourney History'!D:D, 1)</f>
        <v>2</v>
      </c>
      <c r="H10" s="2">
        <f>COUNTIFS('Tourney History'!B:B,A10,'Tourney History'!D:D, 0)</f>
        <v>3</v>
      </c>
      <c r="I10" s="88">
        <f>LOOKUP(2, 1/('Tourney History'!$B:$B=A10), 'Tourney History'!$AD:$AD)</f>
        <v>0.4</v>
      </c>
      <c r="J10" s="34">
        <f>SUMIFS('Tourney History'!F:F,'Tourney History'!B:B,A10)</f>
        <v>9</v>
      </c>
      <c r="K10" s="2">
        <f>SUMIFS('Tourney History'!E:E,'Tourney History'!B:B,A10)-J10</f>
        <v>11</v>
      </c>
      <c r="L10" s="88">
        <f>LOOKUP(2, 1/('Tourney History'!$B:$B=A10), 'Tourney History'!$AB:$AB)</f>
        <v>0.43</v>
      </c>
      <c r="M10" s="34">
        <f>SUMIFS('Tourney History'!H:H,'Tourney History'!B:B,A10)</f>
        <v>39</v>
      </c>
      <c r="N10" s="2">
        <f>SUMIFS('Tourney History'!G:G,'Tourney History'!B:B,A10)-M10</f>
        <v>41</v>
      </c>
      <c r="O10" s="88">
        <f>LOOKUP(2, 1/('Tourney History'!$B:$B=A10), 'Tourney History'!$AC:$AC)</f>
        <v>0.48599999999999993</v>
      </c>
      <c r="P10" s="2">
        <f>COUNTIFS('Tourney History'!$B:$B,$A$10,'Tourney History'!K:K, 1)</f>
        <v>0</v>
      </c>
      <c r="Q10" s="2">
        <f>COUNTIFS('Tourney History'!$B:$B,$A$10,'Tourney History'!L:L, 1)</f>
        <v>1</v>
      </c>
      <c r="R10" s="2">
        <f>COUNTIFS('Tourney History'!$B:$B,$A$10,'Tourney History'!M:M, 1)</f>
        <v>0</v>
      </c>
      <c r="S10" s="2">
        <f>COUNTIFS('Tourney History'!$B:$B,$A$10,'Tourney History'!N:N, 1)</f>
        <v>2</v>
      </c>
      <c r="T10" s="2">
        <f>COUNTIFS('Tourney History'!$B:$B,$A$10,'Tourney History'!O:O, 1)</f>
        <v>0</v>
      </c>
      <c r="U10" s="2">
        <f>COUNTIFS('Tourney History'!$B:$B,$A$10,'Tourney History'!P:P, 1)</f>
        <v>1</v>
      </c>
      <c r="V10" s="2">
        <f>COUNTIFS('Tourney History'!$B:$B,$A$10,'Tourney History'!Q:Q, 1)</f>
        <v>0</v>
      </c>
      <c r="W10" s="2">
        <f>COUNTIFS('Tourney History'!$B:$B,$A$10,'Tourney History'!R:R, 1)</f>
        <v>0</v>
      </c>
      <c r="X10" s="2">
        <f>COUNTIFS('Tourney History'!$B:$B,$A$10,'Tourney History'!S:S, 1)</f>
        <v>0</v>
      </c>
      <c r="Y10" s="2">
        <f>COUNTIFS('Tourney History'!$B:$B,$A$10,'Tourney History'!T:T, 1)</f>
        <v>0</v>
      </c>
      <c r="Z10" s="2">
        <f>COUNTIFS('Tourney History'!$B:$B,$A$10,'Tourney History'!U:U, 1)</f>
        <v>0</v>
      </c>
      <c r="AA10" s="2">
        <f>COUNTIFS('Tourney History'!$B:$B,$A$10,'Tourney History'!V:V, 1)</f>
        <v>0</v>
      </c>
      <c r="AB10" s="2">
        <f>COUNTIFS('Tourney History'!$B:$B,$A$10,'Tourney History'!W:W, 1)</f>
        <v>2</v>
      </c>
      <c r="AC10" s="2">
        <f>COUNTIFS('Tourney History'!$B:$B,$A$10,'Tourney History'!X:X, 1)</f>
        <v>1</v>
      </c>
      <c r="AD10" s="2">
        <f>COUNTIFS('Tourney History'!$B:$B,$A$10,'Tourney History'!Y:Y, 1)</f>
        <v>1</v>
      </c>
      <c r="AE10" s="2">
        <f>COUNTIFS('Tourney History'!$B:$B,$A$10,'Tourney History'!Z:Z, 1)</f>
        <v>1</v>
      </c>
    </row>
    <row r="11" spans="1:31" ht="15.75" x14ac:dyDescent="0.25">
      <c r="A11" s="1" t="s">
        <v>50</v>
      </c>
      <c r="B11" s="95" t="s">
        <v>79</v>
      </c>
      <c r="C11" s="2" t="s">
        <v>79</v>
      </c>
      <c r="D11" s="34">
        <f>SUMIFS('Tourney History'!C:C,'Tourney History'!B:B,A11)</f>
        <v>14</v>
      </c>
      <c r="E11" s="4">
        <f>AVERAGEIFS('Tourney History'!C:C,'Tourney History'!B:B,A11)</f>
        <v>14</v>
      </c>
      <c r="F11" s="35">
        <f t="array" ref="F11">MAX(IF('Tourney History'!B:B=A11, 'Tourney History'!C:C))</f>
        <v>14</v>
      </c>
      <c r="G11" s="34">
        <f>COUNTIFS('Tourney History'!B:B,A11,'Tourney History'!D:D, 1)</f>
        <v>0</v>
      </c>
      <c r="H11" s="2">
        <f>COUNTIFS('Tourney History'!B:B,A11,'Tourney History'!D:D, 0)</f>
        <v>1</v>
      </c>
      <c r="I11" s="88">
        <f>LOOKUP(2, 1/('Tourney History'!$B:$B=A11), 'Tourney History'!$AD:$AD)</f>
        <v>0</v>
      </c>
      <c r="J11" s="34">
        <f>SUMIFS('Tourney History'!F:F,'Tourney History'!B:B,A11)</f>
        <v>1</v>
      </c>
      <c r="K11" s="2">
        <f>SUMIFS('Tourney History'!E:E,'Tourney History'!B:B,A11)-J11</f>
        <v>3</v>
      </c>
      <c r="L11" s="88">
        <f>LOOKUP(2, 1/('Tourney History'!$B:$B=A11), 'Tourney History'!$AB:$AB)</f>
        <v>0.25</v>
      </c>
      <c r="M11" s="34">
        <f>SUMIFS('Tourney History'!H:H,'Tourney History'!B:B,A11)</f>
        <v>8</v>
      </c>
      <c r="N11" s="2">
        <f>SUMIFS('Tourney History'!G:G,'Tourney History'!B:B,A11)-M11</f>
        <v>11</v>
      </c>
      <c r="O11" s="88">
        <f>LOOKUP(2, 1/('Tourney History'!$B:$B=A11), 'Tourney History'!$AC:$AC)</f>
        <v>0.42</v>
      </c>
      <c r="P11" s="2">
        <f>COUNTIFS('Tourney History'!$B:$B,$A$11,'Tourney History'!K:K, 1)</f>
        <v>0</v>
      </c>
      <c r="Q11" s="2">
        <f>COUNTIFS('Tourney History'!$B:$B,$A$11,'Tourney History'!L:L, 1)</f>
        <v>0</v>
      </c>
      <c r="R11" s="2">
        <f>COUNTIFS('Tourney History'!$B:$B,$A$11,'Tourney History'!M:M, 1)</f>
        <v>0</v>
      </c>
      <c r="S11" s="2">
        <f>COUNTIFS('Tourney History'!$B:$B,$A$11,'Tourney History'!N:N, 1)</f>
        <v>0</v>
      </c>
      <c r="T11" s="2">
        <f>COUNTIFS('Tourney History'!$B:$B,$A$11,'Tourney History'!O:O, 1)</f>
        <v>0</v>
      </c>
      <c r="U11" s="2">
        <f>COUNTIFS('Tourney History'!$B:$B,$A$11,'Tourney History'!P:P, 1)</f>
        <v>1</v>
      </c>
      <c r="V11" s="2">
        <f>COUNTIFS('Tourney History'!$B:$B,$A$11,'Tourney History'!Q:Q, 1)</f>
        <v>0</v>
      </c>
      <c r="W11" s="2">
        <f>COUNTIFS('Tourney History'!$B:$B,$A$11,'Tourney History'!R:R, 1)</f>
        <v>0</v>
      </c>
      <c r="X11" s="2">
        <f>COUNTIFS('Tourney History'!$B:$B,$A$11,'Tourney History'!S:S, 1)</f>
        <v>0</v>
      </c>
      <c r="Y11" s="2">
        <f>COUNTIFS('Tourney History'!$B:$B,$A$11,'Tourney History'!T:T, 1)</f>
        <v>0</v>
      </c>
      <c r="Z11" s="2">
        <f>COUNTIFS('Tourney History'!$B:$B,$A$11,'Tourney History'!U:U, 1)</f>
        <v>0</v>
      </c>
      <c r="AA11" s="2">
        <f>COUNTIFS('Tourney History'!$B:$B,$A$11,'Tourney History'!V:V, 1)</f>
        <v>0</v>
      </c>
      <c r="AB11" s="2">
        <f>COUNTIFS('Tourney History'!$B:$B,$A$11,'Tourney History'!W:W, 1)</f>
        <v>0</v>
      </c>
      <c r="AC11" s="2">
        <f>COUNTIFS('Tourney History'!$B:$B,$A$11,'Tourney History'!X:X, 1)</f>
        <v>0</v>
      </c>
      <c r="AD11" s="2">
        <f>COUNTIFS('Tourney History'!$B:$B,$A$11,'Tourney History'!Y:Y, 1)</f>
        <v>0</v>
      </c>
      <c r="AE11" s="2">
        <f>COUNTIFS('Tourney History'!$B:$B,$A$11,'Tourney History'!Z:Z, 1)</f>
        <v>0</v>
      </c>
    </row>
    <row r="12" spans="1:31" x14ac:dyDescent="0.25">
      <c r="A12" s="2" t="s">
        <v>52</v>
      </c>
      <c r="B12" s="2" t="s">
        <v>79</v>
      </c>
      <c r="C12" s="2" t="s">
        <v>79</v>
      </c>
      <c r="D12" s="34">
        <f>SUMIFS('Tourney History'!C:C,'Tourney History'!B:B,A12)</f>
        <v>5</v>
      </c>
      <c r="E12" s="4">
        <f>AVERAGEIFS('Tourney History'!C:C,'Tourney History'!B:B,A12)</f>
        <v>5</v>
      </c>
      <c r="F12" s="35">
        <f t="array" ref="F12">MAX(IF('Tourney History'!B:B=A12, 'Tourney History'!C:C))</f>
        <v>5</v>
      </c>
      <c r="G12" s="34">
        <f>COUNTIFS('Tourney History'!B:B,A12,'Tourney History'!D:D, 1)</f>
        <v>0</v>
      </c>
      <c r="H12" s="2">
        <f>COUNTIFS('Tourney History'!B:B,A12,'Tourney History'!D:D, 0)</f>
        <v>1</v>
      </c>
      <c r="I12" s="88">
        <f>LOOKUP(2, 1/('Tourney History'!$B:$B=A12), 'Tourney History'!$AD:$AD)</f>
        <v>0</v>
      </c>
      <c r="J12" s="34">
        <f>SUMIFS('Tourney History'!F:F,'Tourney History'!B:B,A12)</f>
        <v>0</v>
      </c>
      <c r="K12" s="2">
        <f>SUMIFS('Tourney History'!E:E,'Tourney History'!B:B,A12)-J12</f>
        <v>3</v>
      </c>
      <c r="L12" s="88">
        <f>LOOKUP(2, 1/('Tourney History'!$B:$B=A12), 'Tourney History'!$AB:$AB)</f>
        <v>0</v>
      </c>
      <c r="M12" s="34">
        <f>SUMIFS('Tourney History'!H:H,'Tourney History'!B:B,A12)</f>
        <v>4</v>
      </c>
      <c r="N12" s="2">
        <f>SUMIFS('Tourney History'!G:G,'Tourney History'!B:B,A12)-M12</f>
        <v>9</v>
      </c>
      <c r="O12" s="88">
        <f>LOOKUP(2, 1/('Tourney History'!$B:$B=A12), 'Tourney History'!$AC:$AC)</f>
        <v>0.31</v>
      </c>
      <c r="P12" s="2">
        <f>COUNTIFS('Tourney History'!$B:$B,$A$12,'Tourney History'!K:K, 1)</f>
        <v>0</v>
      </c>
      <c r="Q12" s="2">
        <f>COUNTIFS('Tourney History'!$B:$B,$A$12,'Tourney History'!L:L, 1)</f>
        <v>0</v>
      </c>
      <c r="R12" s="2">
        <f>COUNTIFS('Tourney History'!$B:$B,$A$12,'Tourney History'!M:M, 1)</f>
        <v>0</v>
      </c>
      <c r="S12" s="2">
        <f>COUNTIFS('Tourney History'!$B:$B,$A$12,'Tourney History'!N:N, 1)</f>
        <v>0</v>
      </c>
      <c r="T12" s="2">
        <f>COUNTIFS('Tourney History'!$B:$B,$A$12,'Tourney History'!O:O, 1)</f>
        <v>0</v>
      </c>
      <c r="U12" s="2">
        <f>COUNTIFS('Tourney History'!$B:$B,$A$12,'Tourney History'!P:P, 1)</f>
        <v>0</v>
      </c>
      <c r="V12" s="2">
        <f>COUNTIFS('Tourney History'!$B:$B,$A$12,'Tourney History'!Q:Q, 1)</f>
        <v>0</v>
      </c>
      <c r="W12" s="2">
        <f>COUNTIFS('Tourney History'!$B:$B,$A$12,'Tourney History'!R:R, 1)</f>
        <v>0</v>
      </c>
      <c r="X12" s="2">
        <f>COUNTIFS('Tourney History'!$B:$B,$A$12,'Tourney History'!S:S, 1)</f>
        <v>0</v>
      </c>
      <c r="Y12" s="2">
        <f>COUNTIFS('Tourney History'!$B:$B,$A$12,'Tourney History'!T:T, 1)</f>
        <v>0</v>
      </c>
      <c r="Z12" s="2">
        <f>COUNTIFS('Tourney History'!$B:$B,$A$12,'Tourney History'!U:U, 1)</f>
        <v>0</v>
      </c>
      <c r="AA12" s="2">
        <f>COUNTIFS('Tourney History'!$B:$B,$A$12,'Tourney History'!V:V, 1)</f>
        <v>0</v>
      </c>
      <c r="AB12" s="2">
        <f>COUNTIFS('Tourney History'!$B:$B,$A$12,'Tourney History'!W:W, 1)</f>
        <v>0</v>
      </c>
      <c r="AC12" s="2">
        <f>COUNTIFS('Tourney History'!$B:$B,$A$12,'Tourney History'!X:X, 1)</f>
        <v>0</v>
      </c>
      <c r="AD12" s="2">
        <f>COUNTIFS('Tourney History'!$B:$B,$A$12,'Tourney History'!Y:Y, 1)</f>
        <v>0</v>
      </c>
      <c r="AE12" s="2">
        <f>COUNTIFS('Tourney History'!$B:$B,$A$12,'Tourney History'!Z:Z, 1)</f>
        <v>0</v>
      </c>
    </row>
    <row r="13" spans="1:31" x14ac:dyDescent="0.25">
      <c r="A13" s="2" t="s">
        <v>29</v>
      </c>
      <c r="B13" s="6" t="s">
        <v>157</v>
      </c>
      <c r="C13" s="2" t="s">
        <v>79</v>
      </c>
      <c r="D13" s="34">
        <f>SUMIFS('Tourney History'!C:C,'Tourney History'!B:B,A13)</f>
        <v>83</v>
      </c>
      <c r="E13" s="4">
        <f>AVERAGEIFS('Tourney History'!C:C,'Tourney History'!B:B,A13)</f>
        <v>11.857142857142858</v>
      </c>
      <c r="F13" s="35">
        <f t="array" ref="F13">MAX(IF('Tourney History'!B:B=A13, 'Tourney History'!C:C))</f>
        <v>21</v>
      </c>
      <c r="G13" s="34">
        <f>COUNTIFS('Tourney History'!B:B,A13,'Tourney History'!D:D, 1)</f>
        <v>6</v>
      </c>
      <c r="H13" s="2">
        <f>COUNTIFS('Tourney History'!B:B,A13,'Tourney History'!D:D, 0)</f>
        <v>1</v>
      </c>
      <c r="I13" s="88">
        <f>LOOKUP(2, 1/('Tourney History'!$B:$B=A13), 'Tourney History'!$AD:$AD)</f>
        <v>0.8571428571428571</v>
      </c>
      <c r="J13" s="34">
        <f>SUMIFS('Tourney History'!F:F,'Tourney History'!B:B,A13)</f>
        <v>19</v>
      </c>
      <c r="K13" s="2">
        <f>SUMIFS('Tourney History'!E:E,'Tourney History'!B:B,A13)-J13</f>
        <v>10</v>
      </c>
      <c r="L13" s="88">
        <f>LOOKUP(2, 1/('Tourney History'!$B:$B=A13), 'Tourney History'!$AB:$AB)</f>
        <v>0.67142857142857149</v>
      </c>
      <c r="M13" s="34">
        <f>SUMIFS('Tourney History'!H:H,'Tourney History'!B:B,A13)</f>
        <v>71</v>
      </c>
      <c r="N13" s="2">
        <f>SUMIFS('Tourney History'!G:G,'Tourney History'!B:B,A13)-M13</f>
        <v>51</v>
      </c>
      <c r="O13" s="88">
        <f>LOOKUP(2, 1/('Tourney History'!$B:$B=A13), 'Tourney History'!$AC:$AC)</f>
        <v>0.59714285714285709</v>
      </c>
      <c r="P13" s="2">
        <f>COUNTIFS('Tourney History'!$B:$B,$A$13,'Tourney History'!K:K, 1)</f>
        <v>0</v>
      </c>
      <c r="Q13" s="2">
        <f>COUNTIFS('Tourney History'!$B:$B,$A$13,'Tourney History'!L:L, 1)</f>
        <v>3</v>
      </c>
      <c r="R13" s="2">
        <f>COUNTIFS('Tourney History'!$B:$B,$A$13,'Tourney History'!M:M, 1)</f>
        <v>2</v>
      </c>
      <c r="S13" s="2">
        <f>COUNTIFS('Tourney History'!$B:$B,$A$13,'Tourney History'!N:N, 1)</f>
        <v>2</v>
      </c>
      <c r="T13" s="2">
        <f>COUNTIFS('Tourney History'!$B:$B,$A$13,'Tourney History'!O:O, 1)</f>
        <v>2</v>
      </c>
      <c r="U13" s="2">
        <f>COUNTIFS('Tourney History'!$B:$B,$A$13,'Tourney History'!P:P, 1)</f>
        <v>1</v>
      </c>
      <c r="V13" s="2">
        <f>COUNTIFS('Tourney History'!$B:$B,$A$13,'Tourney History'!Q:Q, 1)</f>
        <v>0</v>
      </c>
      <c r="W13" s="2">
        <f>COUNTIFS('Tourney History'!$B:$B,$A$13,'Tourney History'!R:R, 1)</f>
        <v>0</v>
      </c>
      <c r="X13" s="2">
        <f>COUNTIFS('Tourney History'!$B:$B,$A$13,'Tourney History'!S:S, 1)</f>
        <v>0</v>
      </c>
      <c r="Y13" s="2">
        <f>COUNTIFS('Tourney History'!$B:$B,$A$13,'Tourney History'!T:T, 1)</f>
        <v>0</v>
      </c>
      <c r="Z13" s="2">
        <f>COUNTIFS('Tourney History'!$B:$B,$A$13,'Tourney History'!U:U, 1)</f>
        <v>0</v>
      </c>
      <c r="AA13" s="2">
        <f>COUNTIFS('Tourney History'!$B:$B,$A$13,'Tourney History'!V:V, 1)</f>
        <v>0</v>
      </c>
      <c r="AB13" s="2">
        <f>COUNTIFS('Tourney History'!$B:$B,$A$13,'Tourney History'!W:W, 1)</f>
        <v>4</v>
      </c>
      <c r="AC13" s="2">
        <f>COUNTIFS('Tourney History'!$B:$B,$A$13,'Tourney History'!X:X, 1)</f>
        <v>2</v>
      </c>
      <c r="AD13" s="2">
        <f>COUNTIFS('Tourney History'!$B:$B,$A$13,'Tourney History'!Y:Y, 1)</f>
        <v>0</v>
      </c>
      <c r="AE13" s="2">
        <f>COUNTIFS('Tourney History'!$B:$B,$A$13,'Tourney History'!Z:Z, 1)</f>
        <v>3</v>
      </c>
    </row>
    <row r="14" spans="1:31" x14ac:dyDescent="0.25">
      <c r="A14" s="2" t="s">
        <v>1</v>
      </c>
      <c r="B14" s="6" t="s">
        <v>157</v>
      </c>
      <c r="C14" s="2" t="s">
        <v>79</v>
      </c>
      <c r="D14" s="34">
        <f>SUMIFS('Tourney History'!C:C,'Tourney History'!B:B,A14)</f>
        <v>160</v>
      </c>
      <c r="E14" s="4">
        <f>AVERAGEIFS('Tourney History'!C:C,'Tourney History'!B:B,A14)</f>
        <v>26.666666666666668</v>
      </c>
      <c r="F14" s="35">
        <f t="array" ref="F14">MAX(IF('Tourney History'!B:B=A14, 'Tourney History'!C:C))</f>
        <v>33</v>
      </c>
      <c r="G14" s="34">
        <f>COUNTIFS('Tourney History'!B:B,A14,'Tourney History'!D:D, 1)</f>
        <v>5</v>
      </c>
      <c r="H14" s="2">
        <f>COUNTIFS('Tourney History'!B:B,A14,'Tourney History'!D:D, 0)</f>
        <v>1</v>
      </c>
      <c r="I14" s="88">
        <f>LOOKUP(2, 1/('Tourney History'!$B:$B=A14), 'Tourney History'!$AD:$AD)</f>
        <v>0.83333333333333337</v>
      </c>
      <c r="J14" s="34">
        <f>SUMIFS('Tourney History'!F:F,'Tourney History'!B:B,A14)</f>
        <v>17</v>
      </c>
      <c r="K14" s="2">
        <f>SUMIFS('Tourney History'!E:E,'Tourney History'!B:B,A14)-J14</f>
        <v>9</v>
      </c>
      <c r="L14" s="88">
        <f>LOOKUP(2, 1/('Tourney History'!$B:$B=A14), 'Tourney History'!$AB:$AB)</f>
        <v>0.68333333333333324</v>
      </c>
      <c r="M14" s="34">
        <f>SUMIFS('Tourney History'!H:H,'Tourney History'!B:B,A14)</f>
        <v>63</v>
      </c>
      <c r="N14" s="2">
        <f>SUMIFS('Tourney History'!G:G,'Tourney History'!B:B,A14)-M14</f>
        <v>51</v>
      </c>
      <c r="O14" s="88">
        <f>LOOKUP(2, 1/('Tourney History'!$B:$B=A14), 'Tourney History'!$AC:$AC)</f>
        <v>0.57500000000000007</v>
      </c>
      <c r="P14" s="2">
        <f>COUNTIFS('Tourney History'!$B:$B,$A$14,'Tourney History'!K:K, 1)</f>
        <v>0</v>
      </c>
      <c r="Q14" s="2">
        <f>COUNTIFS('Tourney History'!$B:$B,$A$14,'Tourney History'!L:L, 1)</f>
        <v>3</v>
      </c>
      <c r="R14" s="2">
        <f>COUNTIFS('Tourney History'!$B:$B,$A$14,'Tourney History'!M:M, 1)</f>
        <v>3</v>
      </c>
      <c r="S14" s="2">
        <f>COUNTIFS('Tourney History'!$B:$B,$A$14,'Tourney History'!N:N, 1)</f>
        <v>0</v>
      </c>
      <c r="T14" s="2">
        <f>COUNTIFS('Tourney History'!$B:$B,$A$14,'Tourney History'!O:O, 1)</f>
        <v>2</v>
      </c>
      <c r="U14" s="2">
        <f>COUNTIFS('Tourney History'!$B:$B,$A$14,'Tourney History'!P:P, 1)</f>
        <v>0</v>
      </c>
      <c r="V14" s="2">
        <f>COUNTIFS('Tourney History'!$B:$B,$A$14,'Tourney History'!Q:Q, 1)</f>
        <v>0</v>
      </c>
      <c r="W14" s="2">
        <f>COUNTIFS('Tourney History'!$B:$B,$A$14,'Tourney History'!R:R, 1)</f>
        <v>0</v>
      </c>
      <c r="X14" s="2">
        <f>COUNTIFS('Tourney History'!$B:$B,$A$14,'Tourney History'!S:S, 1)</f>
        <v>0</v>
      </c>
      <c r="Y14" s="2">
        <f>COUNTIFS('Tourney History'!$B:$B,$A$14,'Tourney History'!T:T, 1)</f>
        <v>0</v>
      </c>
      <c r="Z14" s="2">
        <f>COUNTIFS('Tourney History'!$B:$B,$A$14,'Tourney History'!U:U, 1)</f>
        <v>0</v>
      </c>
      <c r="AA14" s="2">
        <f>COUNTIFS('Tourney History'!$B:$B,$A$14,'Tourney History'!V:V, 1)</f>
        <v>0</v>
      </c>
      <c r="AB14" s="2">
        <f>COUNTIFS('Tourney History'!$B:$B,$A$14,'Tourney History'!W:W, 1)</f>
        <v>2</v>
      </c>
      <c r="AC14" s="2">
        <f>COUNTIFS('Tourney History'!$B:$B,$A$14,'Tourney History'!X:X, 1)</f>
        <v>2</v>
      </c>
      <c r="AD14" s="2">
        <f>COUNTIFS('Tourney History'!$B:$B,$A$14,'Tourney History'!Y:Y, 1)</f>
        <v>2</v>
      </c>
      <c r="AE14" s="2">
        <f>COUNTIFS('Tourney History'!$B:$B,$A$14,'Tourney History'!Z:Z, 1)</f>
        <v>3</v>
      </c>
    </row>
    <row r="15" spans="1:31" x14ac:dyDescent="0.25">
      <c r="A15" s="2" t="s">
        <v>46</v>
      </c>
      <c r="B15" s="6" t="s">
        <v>60</v>
      </c>
      <c r="C15" s="2" t="s">
        <v>79</v>
      </c>
      <c r="D15" s="34">
        <f>SUMIFS('Tourney History'!C:C,'Tourney History'!B:B,A15)</f>
        <v>106</v>
      </c>
      <c r="E15" s="4">
        <f>AVERAGEIFS('Tourney History'!C:C,'Tourney History'!B:B,A15)</f>
        <v>21.2</v>
      </c>
      <c r="F15" s="35">
        <f t="array" ref="F15">MAX(IF('Tourney History'!B:B=A15, 'Tourney History'!C:C))</f>
        <v>36</v>
      </c>
      <c r="G15" s="34">
        <f>COUNTIFS('Tourney History'!B:B,A15,'Tourney History'!D:D, 1)</f>
        <v>2</v>
      </c>
      <c r="H15" s="2">
        <f>COUNTIFS('Tourney History'!B:B,A15,'Tourney History'!D:D, 0)</f>
        <v>3</v>
      </c>
      <c r="I15" s="88">
        <f>LOOKUP(2, 1/('Tourney History'!$B:$B=A15), 'Tourney History'!$AD:$AD)</f>
        <v>0.4</v>
      </c>
      <c r="J15" s="34">
        <f>SUMIFS('Tourney History'!F:F,'Tourney History'!B:B,A15)</f>
        <v>8</v>
      </c>
      <c r="K15" s="2">
        <f>SUMIFS('Tourney History'!E:E,'Tourney History'!B:B,A15)-J15</f>
        <v>11</v>
      </c>
      <c r="L15" s="88">
        <f>LOOKUP(2, 1/('Tourney History'!$B:$B=A15), 'Tourney History'!$AB:$AB)</f>
        <v>0.4</v>
      </c>
      <c r="M15" s="34">
        <f>SUMIFS('Tourney History'!H:H,'Tourney History'!B:B,A15)</f>
        <v>35</v>
      </c>
      <c r="N15" s="2">
        <f>SUMIFS('Tourney History'!G:G,'Tourney History'!B:B,A15)-M15</f>
        <v>45</v>
      </c>
      <c r="O15" s="88">
        <f>LOOKUP(2, 1/('Tourney History'!$B:$B=A15), 'Tourney History'!$AC:$AC)</f>
        <v>0.42800000000000005</v>
      </c>
      <c r="P15" s="2">
        <f>COUNTIFS('Tourney History'!$B:$B,$A$15,'Tourney History'!K:K, 1)</f>
        <v>0</v>
      </c>
      <c r="Q15" s="2">
        <f>COUNTIFS('Tourney History'!$B:$B,$A$15,'Tourney History'!L:L, 1)</f>
        <v>1</v>
      </c>
      <c r="R15" s="2">
        <f>COUNTIFS('Tourney History'!$B:$B,$A$15,'Tourney History'!M:M, 1)</f>
        <v>1</v>
      </c>
      <c r="S15" s="2">
        <f>COUNTIFS('Tourney History'!$B:$B,$A$15,'Tourney History'!N:N, 1)</f>
        <v>1</v>
      </c>
      <c r="T15" s="2">
        <f>COUNTIFS('Tourney History'!$B:$B,$A$15,'Tourney History'!O:O, 1)</f>
        <v>0</v>
      </c>
      <c r="U15" s="2">
        <f>COUNTIFS('Tourney History'!$B:$B,$A$15,'Tourney History'!P:P, 1)</f>
        <v>2</v>
      </c>
      <c r="V15" s="2">
        <f>COUNTIFS('Tourney History'!$B:$B,$A$15,'Tourney History'!Q:Q, 1)</f>
        <v>0</v>
      </c>
      <c r="W15" s="2">
        <f>COUNTIFS('Tourney History'!$B:$B,$A$15,'Tourney History'!R:R, 1)</f>
        <v>1</v>
      </c>
      <c r="X15" s="2">
        <f>COUNTIFS('Tourney History'!$B:$B,$A$15,'Tourney History'!S:S, 1)</f>
        <v>0</v>
      </c>
      <c r="Y15" s="2">
        <f>COUNTIFS('Tourney History'!$B:$B,$A$15,'Tourney History'!T:T, 1)</f>
        <v>0</v>
      </c>
      <c r="Z15" s="2">
        <f>COUNTIFS('Tourney History'!$B:$B,$A$15,'Tourney History'!U:U, 1)</f>
        <v>0</v>
      </c>
      <c r="AA15" s="2">
        <f>COUNTIFS('Tourney History'!$B:$B,$A$15,'Tourney History'!V:V, 1)</f>
        <v>0</v>
      </c>
      <c r="AB15" s="2">
        <f>COUNTIFS('Tourney History'!$B:$B,$A$15,'Tourney History'!W:W, 1)</f>
        <v>1</v>
      </c>
      <c r="AC15" s="2">
        <f>COUNTIFS('Tourney History'!$B:$B,$A$15,'Tourney History'!X:X, 1)</f>
        <v>0</v>
      </c>
      <c r="AD15" s="2">
        <f>COUNTIFS('Tourney History'!$B:$B,$A$15,'Tourney History'!Y:Y, 1)</f>
        <v>1</v>
      </c>
      <c r="AE15" s="2">
        <f>COUNTIFS('Tourney History'!$B:$B,$A$15,'Tourney History'!Z:Z, 1)</f>
        <v>0</v>
      </c>
    </row>
    <row r="16" spans="1:31" x14ac:dyDescent="0.25">
      <c r="A16" s="2" t="s">
        <v>28</v>
      </c>
      <c r="B16" s="6" t="s">
        <v>60</v>
      </c>
      <c r="C16" s="2" t="s">
        <v>79</v>
      </c>
      <c r="D16" s="34">
        <f>SUMIFS('Tourney History'!C:C,'Tourney History'!B:B,A16)</f>
        <v>90</v>
      </c>
      <c r="E16" s="4">
        <f>AVERAGEIFS('Tourney History'!C:C,'Tourney History'!B:B,A16)</f>
        <v>18</v>
      </c>
      <c r="F16" s="35">
        <f t="array" ref="F16">MAX(IF('Tourney History'!B:B=A16, 'Tourney History'!C:C))</f>
        <v>23</v>
      </c>
      <c r="G16" s="34">
        <f>COUNTIFS('Tourney History'!B:B,A16,'Tourney History'!D:D, 1)</f>
        <v>2</v>
      </c>
      <c r="H16" s="2">
        <f>COUNTIFS('Tourney History'!B:B,A16,'Tourney History'!D:D, 0)</f>
        <v>3</v>
      </c>
      <c r="I16" s="88">
        <f>LOOKUP(2, 1/('Tourney History'!$B:$B=A16), 'Tourney History'!$AD:$AD)</f>
        <v>0.4</v>
      </c>
      <c r="J16" s="34">
        <f>SUMIFS('Tourney History'!F:F,'Tourney History'!B:B,A16)</f>
        <v>11</v>
      </c>
      <c r="K16" s="2">
        <f>SUMIFS('Tourney History'!E:E,'Tourney History'!B:B,A16)-J16</f>
        <v>12</v>
      </c>
      <c r="L16" s="88">
        <f>LOOKUP(2, 1/('Tourney History'!$B:$B=A16), 'Tourney History'!$AB:$AB)</f>
        <v>0.48</v>
      </c>
      <c r="M16" s="34">
        <f>SUMIFS('Tourney History'!H:H,'Tourney History'!B:B,A16)</f>
        <v>51</v>
      </c>
      <c r="N16" s="2">
        <f>SUMIFS('Tourney History'!G:G,'Tourney History'!B:B,A16)-M16</f>
        <v>52</v>
      </c>
      <c r="O16" s="88">
        <f>LOOKUP(2, 1/('Tourney History'!$B:$B=A16), 'Tourney History'!$AC:$AC)</f>
        <v>0.49399999999999994</v>
      </c>
      <c r="P16" s="2">
        <f>COUNTIFS('Tourney History'!$B:$B,$A$16,'Tourney History'!K:K, 1)</f>
        <v>0</v>
      </c>
      <c r="Q16" s="2">
        <f>COUNTIFS('Tourney History'!$B:$B,$A$16,'Tourney History'!L:L, 1)</f>
        <v>0</v>
      </c>
      <c r="R16" s="2">
        <f>COUNTIFS('Tourney History'!$B:$B,$A$16,'Tourney History'!M:M, 1)</f>
        <v>1</v>
      </c>
      <c r="S16" s="2">
        <f>COUNTIFS('Tourney History'!$B:$B,$A$16,'Tourney History'!N:N, 1)</f>
        <v>1</v>
      </c>
      <c r="T16" s="2">
        <f>COUNTIFS('Tourney History'!$B:$B,$A$16,'Tourney History'!O:O, 1)</f>
        <v>1</v>
      </c>
      <c r="U16" s="2">
        <f>COUNTIFS('Tourney History'!$B:$B,$A$16,'Tourney History'!P:P, 1)</f>
        <v>0</v>
      </c>
      <c r="V16" s="2">
        <f>COUNTIFS('Tourney History'!$B:$B,$A$16,'Tourney History'!Q:Q, 1)</f>
        <v>0</v>
      </c>
      <c r="W16" s="2">
        <f>COUNTIFS('Tourney History'!$B:$B,$A$16,'Tourney History'!R:R, 1)</f>
        <v>1</v>
      </c>
      <c r="X16" s="2">
        <f>COUNTIFS('Tourney History'!$B:$B,$A$16,'Tourney History'!S:S, 1)</f>
        <v>0</v>
      </c>
      <c r="Y16" s="2">
        <f>COUNTIFS('Tourney History'!$B:$B,$A$16,'Tourney History'!T:T, 1)</f>
        <v>0</v>
      </c>
      <c r="Z16" s="2">
        <f>COUNTIFS('Tourney History'!$B:$B,$A$16,'Tourney History'!U:U, 1)</f>
        <v>0</v>
      </c>
      <c r="AA16" s="2">
        <f>COUNTIFS('Tourney History'!$B:$B,$A$16,'Tourney History'!V:V, 1)</f>
        <v>0</v>
      </c>
      <c r="AB16" s="2">
        <f>COUNTIFS('Tourney History'!$B:$B,$A$16,'Tourney History'!W:W, 1)</f>
        <v>1</v>
      </c>
      <c r="AC16" s="2">
        <f>COUNTIFS('Tourney History'!$B:$B,$A$16,'Tourney History'!X:X, 1)</f>
        <v>2</v>
      </c>
      <c r="AD16" s="2">
        <f>COUNTIFS('Tourney History'!$B:$B,$A$16,'Tourney History'!Y:Y, 1)</f>
        <v>1</v>
      </c>
      <c r="AE16" s="2">
        <f>COUNTIFS('Tourney History'!$B:$B,$A$16,'Tourney History'!Z:Z, 1)</f>
        <v>3</v>
      </c>
    </row>
    <row r="17" spans="1:31" x14ac:dyDescent="0.25">
      <c r="A17" s="2" t="s">
        <v>53</v>
      </c>
      <c r="B17" s="6" t="s">
        <v>60</v>
      </c>
      <c r="C17" s="2" t="s">
        <v>79</v>
      </c>
      <c r="D17" s="34">
        <f>SUMIFS('Tourney History'!C:C,'Tourney History'!B:B,A17)</f>
        <v>43</v>
      </c>
      <c r="E17" s="4">
        <f>AVERAGEIFS('Tourney History'!C:C,'Tourney History'!B:B,A17)</f>
        <v>14.333333333333334</v>
      </c>
      <c r="F17" s="35">
        <f t="array" ref="F17">MAX(IF('Tourney History'!B:B=A17, 'Tourney History'!C:C))</f>
        <v>25</v>
      </c>
      <c r="G17" s="34">
        <f>COUNTIFS('Tourney History'!B:B,A17,'Tourney History'!D:D, 1)</f>
        <v>2</v>
      </c>
      <c r="H17" s="2">
        <f>COUNTIFS('Tourney History'!B:B,A17,'Tourney History'!D:D, 0)</f>
        <v>1</v>
      </c>
      <c r="I17" s="88">
        <f>LOOKUP(2, 1/('Tourney History'!$B:$B=A17), 'Tourney History'!$AD:$AD)</f>
        <v>0.66666666666666663</v>
      </c>
      <c r="J17" s="34">
        <f>SUMIFS('Tourney History'!F:F,'Tourney History'!B:B,A17)</f>
        <v>6</v>
      </c>
      <c r="K17" s="2">
        <f>SUMIFS('Tourney History'!E:E,'Tourney History'!B:B,A17)-J17</f>
        <v>7</v>
      </c>
      <c r="L17" s="88">
        <f>LOOKUP(2, 1/('Tourney History'!$B:$B=A17), 'Tourney History'!$AB:$AB)</f>
        <v>0.39999999999999997</v>
      </c>
      <c r="M17" s="34">
        <f>SUMIFS('Tourney History'!H:H,'Tourney History'!B:B,A17)</f>
        <v>27</v>
      </c>
      <c r="N17" s="2">
        <f>SUMIFS('Tourney History'!G:G,'Tourney History'!B:B,A17)-M17</f>
        <v>26</v>
      </c>
      <c r="O17" s="88">
        <f>LOOKUP(2, 1/('Tourney History'!$B:$B=A17), 'Tourney History'!$AC:$AC)</f>
        <v>0.48666666666666664</v>
      </c>
      <c r="P17" s="2">
        <f>COUNTIFS('Tourney History'!$B:$B,$A$17,'Tourney History'!K:K, 1)</f>
        <v>0</v>
      </c>
      <c r="Q17" s="2">
        <f>COUNTIFS('Tourney History'!$B:$B,$A$17,'Tourney History'!L:L, 1)</f>
        <v>0</v>
      </c>
      <c r="R17" s="2">
        <f>COUNTIFS('Tourney History'!$B:$B,$A$17,'Tourney History'!M:M, 1)</f>
        <v>0</v>
      </c>
      <c r="S17" s="2">
        <f>COUNTIFS('Tourney History'!$B:$B,$A$17,'Tourney History'!N:N, 1)</f>
        <v>1</v>
      </c>
      <c r="T17" s="2">
        <f>COUNTIFS('Tourney History'!$B:$B,$A$17,'Tourney History'!O:O, 1)</f>
        <v>2</v>
      </c>
      <c r="U17" s="2">
        <f>COUNTIFS('Tourney History'!$B:$B,$A$17,'Tourney History'!P:P, 1)</f>
        <v>1</v>
      </c>
      <c r="V17" s="2">
        <f>COUNTIFS('Tourney History'!$B:$B,$A$17,'Tourney History'!Q:Q, 1)</f>
        <v>2</v>
      </c>
      <c r="W17" s="2">
        <f>COUNTIFS('Tourney History'!$B:$B,$A$17,'Tourney History'!R:R, 1)</f>
        <v>0</v>
      </c>
      <c r="X17" s="2">
        <f>COUNTIFS('Tourney History'!$B:$B,$A$17,'Tourney History'!S:S, 1)</f>
        <v>0</v>
      </c>
      <c r="Y17" s="2">
        <f>COUNTIFS('Tourney History'!$B:$B,$A$17,'Tourney History'!T:T, 1)</f>
        <v>0</v>
      </c>
      <c r="Z17" s="2">
        <f>COUNTIFS('Tourney History'!$B:$B,$A$17,'Tourney History'!U:U, 1)</f>
        <v>0</v>
      </c>
      <c r="AA17" s="2">
        <f>COUNTIFS('Tourney History'!$B:$B,$A$17,'Tourney History'!V:V, 1)</f>
        <v>0</v>
      </c>
      <c r="AB17" s="2">
        <f>COUNTIFS('Tourney History'!$B:$B,$A$17,'Tourney History'!W:W, 1)</f>
        <v>0</v>
      </c>
      <c r="AC17" s="2">
        <f>COUNTIFS('Tourney History'!$B:$B,$A$17,'Tourney History'!X:X, 1)</f>
        <v>0</v>
      </c>
      <c r="AD17" s="2">
        <f>COUNTIFS('Tourney History'!$B:$B,$A$17,'Tourney History'!Y:Y, 1)</f>
        <v>0</v>
      </c>
      <c r="AE17" s="2">
        <f>COUNTIFS('Tourney History'!$B:$B,$A$17,'Tourney History'!Z:Z, 1)</f>
        <v>0</v>
      </c>
    </row>
    <row r="18" spans="1:31" x14ac:dyDescent="0.25">
      <c r="A18" s="2" t="s">
        <v>51</v>
      </c>
      <c r="B18" s="6" t="s">
        <v>79</v>
      </c>
      <c r="C18" s="2" t="s">
        <v>79</v>
      </c>
      <c r="D18" s="34">
        <f>SUMIFS('Tourney History'!C:C,'Tourney History'!B:B,A18)</f>
        <v>84</v>
      </c>
      <c r="E18" s="4">
        <f>AVERAGEIFS('Tourney History'!C:C,'Tourney History'!B:B,A18)</f>
        <v>16.8</v>
      </c>
      <c r="F18" s="35">
        <f t="array" ref="F18">MAX(IF('Tourney History'!B:B=A18, 'Tourney History'!C:C))</f>
        <v>22</v>
      </c>
      <c r="G18" s="34">
        <f>COUNTIFS('Tourney History'!B:B,A18,'Tourney History'!D:D, 1)</f>
        <v>3</v>
      </c>
      <c r="H18" s="2">
        <f>COUNTIFS('Tourney History'!B:B,A18,'Tourney History'!D:D, 0)</f>
        <v>2</v>
      </c>
      <c r="I18" s="88">
        <f>LOOKUP(2, 1/('Tourney History'!$B:$B=A18), 'Tourney History'!$AD:$AD)</f>
        <v>0.6</v>
      </c>
      <c r="J18" s="34">
        <f>SUMIFS('Tourney History'!F:F,'Tourney History'!B:B,A18)</f>
        <v>12</v>
      </c>
      <c r="K18" s="2">
        <f>SUMIFS('Tourney History'!E:E,'Tourney History'!B:B,A18)-J18</f>
        <v>8</v>
      </c>
      <c r="L18" s="88">
        <f>LOOKUP(2, 1/('Tourney History'!$B:$B=A18), 'Tourney History'!$AB:$AB)</f>
        <v>0.63</v>
      </c>
      <c r="M18" s="34">
        <f>SUMIFS('Tourney History'!H:H,'Tourney History'!B:B,A18)</f>
        <v>41</v>
      </c>
      <c r="N18" s="2">
        <f>SUMIFS('Tourney History'!G:G,'Tourney History'!B:B,A18)-M18</f>
        <v>40</v>
      </c>
      <c r="O18" s="88">
        <f>LOOKUP(2, 1/('Tourney History'!$B:$B=A18), 'Tourney History'!$AC:$AC)</f>
        <v>0.51600000000000001</v>
      </c>
      <c r="P18" s="2">
        <f>COUNTIFS('Tourney History'!$B:$B,$A$18,'Tourney History'!K:K, 1)</f>
        <v>1</v>
      </c>
      <c r="Q18" s="2">
        <f>COUNTIFS('Tourney History'!$B:$B,$A$18,'Tourney History'!L:L, 1)</f>
        <v>0</v>
      </c>
      <c r="R18" s="2">
        <f>COUNTIFS('Tourney History'!$B:$B,$A$18,'Tourney History'!M:M, 1)</f>
        <v>0</v>
      </c>
      <c r="S18" s="2">
        <f>COUNTIFS('Tourney History'!$B:$B,$A$18,'Tourney History'!N:N, 1)</f>
        <v>2</v>
      </c>
      <c r="T18" s="2">
        <f>COUNTIFS('Tourney History'!$B:$B,$A$18,'Tourney History'!O:O, 1)</f>
        <v>0</v>
      </c>
      <c r="U18" s="2">
        <f>COUNTIFS('Tourney History'!$B:$B,$A$18,'Tourney History'!P:P, 1)</f>
        <v>1</v>
      </c>
      <c r="V18" s="2">
        <f>COUNTIFS('Tourney History'!$B:$B,$A$18,'Tourney History'!Q:Q, 1)</f>
        <v>0</v>
      </c>
      <c r="W18" s="2">
        <f>COUNTIFS('Tourney History'!$B:$B,$A$18,'Tourney History'!R:R, 1)</f>
        <v>1</v>
      </c>
      <c r="X18" s="2">
        <f>COUNTIFS('Tourney History'!$B:$B,$A$18,'Tourney History'!S:S, 1)</f>
        <v>0</v>
      </c>
      <c r="Y18" s="2">
        <f>COUNTIFS('Tourney History'!$B:$B,$A$18,'Tourney History'!T:T, 1)</f>
        <v>0</v>
      </c>
      <c r="Z18" s="2">
        <f>COUNTIFS('Tourney History'!$B:$B,$A$18,'Tourney History'!U:U, 1)</f>
        <v>0</v>
      </c>
      <c r="AA18" s="2">
        <f>COUNTIFS('Tourney History'!$B:$B,$A$18,'Tourney History'!V:V, 1)</f>
        <v>0</v>
      </c>
      <c r="AB18" s="2">
        <f>COUNTIFS('Tourney History'!$B:$B,$A$18,'Tourney History'!W:W, 1)</f>
        <v>2</v>
      </c>
      <c r="AC18" s="2">
        <f>COUNTIFS('Tourney History'!$B:$B,$A$18,'Tourney History'!X:X, 1)</f>
        <v>3</v>
      </c>
      <c r="AD18" s="2">
        <f>COUNTIFS('Tourney History'!$B:$B,$A$18,'Tourney History'!Y:Y, 1)</f>
        <v>0</v>
      </c>
      <c r="AE18" s="2">
        <f>COUNTIFS('Tourney History'!$B:$B,$A$18,'Tourney History'!Z:Z, 1)</f>
        <v>2</v>
      </c>
    </row>
    <row r="19" spans="1:31" ht="15.75" x14ac:dyDescent="0.25">
      <c r="A19" s="2" t="s">
        <v>20</v>
      </c>
      <c r="B19" s="80" t="s">
        <v>60</v>
      </c>
      <c r="C19" s="2" t="s">
        <v>79</v>
      </c>
      <c r="D19" s="34">
        <f>SUMIFS('Tourney History'!C:C,'Tourney History'!B:B,A19)</f>
        <v>127</v>
      </c>
      <c r="E19" s="4">
        <f>AVERAGEIFS('Tourney History'!C:C,'Tourney History'!B:B,A19)</f>
        <v>15.875</v>
      </c>
      <c r="F19" s="35">
        <f t="array" ref="F19">MAX(IF('Tourney History'!B:B=A19, 'Tourney History'!C:C))</f>
        <v>28</v>
      </c>
      <c r="G19" s="34">
        <f>COUNTIFS('Tourney History'!B:B,A19,'Tourney History'!D:D, 1)</f>
        <v>3</v>
      </c>
      <c r="H19" s="2">
        <f>COUNTIFS('Tourney History'!B:B,A19,'Tourney History'!D:D, 0)</f>
        <v>5</v>
      </c>
      <c r="I19" s="88">
        <f>LOOKUP(2, 1/('Tourney History'!$B:$B=A19), 'Tourney History'!$AD:$AD)</f>
        <v>0.375</v>
      </c>
      <c r="J19" s="34">
        <f>SUMIFS('Tourney History'!F:F,'Tourney History'!B:B,A19)</f>
        <v>17</v>
      </c>
      <c r="K19" s="2">
        <f>SUMIFS('Tourney History'!E:E,'Tourney History'!B:B,A19)-J19</f>
        <v>18</v>
      </c>
      <c r="L19" s="88">
        <f>LOOKUP(2, 1/('Tourney History'!$B:$B=A19), 'Tourney History'!$AB:$AB)</f>
        <v>0.49374999999999997</v>
      </c>
      <c r="M19" s="34">
        <f>SUMIFS('Tourney History'!H:H,'Tourney History'!B:B,A19)</f>
        <v>75</v>
      </c>
      <c r="N19" s="2">
        <f>SUMIFS('Tourney History'!G:G,'Tourney History'!B:B,A19)-M19</f>
        <v>73</v>
      </c>
      <c r="O19" s="88">
        <f>LOOKUP(2, 1/('Tourney History'!$B:$B=A19), 'Tourney History'!$AC:$AC)</f>
        <v>0.51749999999999996</v>
      </c>
      <c r="P19" s="2">
        <f>COUNTIFS('Tourney History'!$B:$B,$A$19,'Tourney History'!K:K, 1)</f>
        <v>1</v>
      </c>
      <c r="Q19" s="2">
        <f>COUNTIFS('Tourney History'!$B:$B,$A$19,'Tourney History'!L:L, 1)</f>
        <v>1</v>
      </c>
      <c r="R19" s="2">
        <f>COUNTIFS('Tourney History'!$B:$B,$A$19,'Tourney History'!M:M, 1)</f>
        <v>0</v>
      </c>
      <c r="S19" s="2">
        <f>COUNTIFS('Tourney History'!$B:$B,$A$19,'Tourney History'!N:N, 1)</f>
        <v>4</v>
      </c>
      <c r="T19" s="2">
        <f>COUNTIFS('Tourney History'!$B:$B,$A$19,'Tourney History'!O:O, 1)</f>
        <v>0</v>
      </c>
      <c r="U19" s="2">
        <f>COUNTIFS('Tourney History'!$B:$B,$A$19,'Tourney History'!P:P, 1)</f>
        <v>2</v>
      </c>
      <c r="V19" s="2">
        <f>COUNTIFS('Tourney History'!$B:$B,$A$19,'Tourney History'!Q:Q, 1)</f>
        <v>0</v>
      </c>
      <c r="W19" s="2">
        <f>COUNTIFS('Tourney History'!$B:$B,$A$19,'Tourney History'!R:R, 1)</f>
        <v>1</v>
      </c>
      <c r="X19" s="2">
        <f>COUNTIFS('Tourney History'!$B:$B,$A$19,'Tourney History'!S:S, 1)</f>
        <v>0</v>
      </c>
      <c r="Y19" s="2">
        <f>COUNTIFS('Tourney History'!$B:$B,$A$19,'Tourney History'!T:T, 1)</f>
        <v>0</v>
      </c>
      <c r="Z19" s="2">
        <f>COUNTIFS('Tourney History'!$B:$B,$A$19,'Tourney History'!U:U, 1)</f>
        <v>0</v>
      </c>
      <c r="AA19" s="2">
        <f>COUNTIFS('Tourney History'!$B:$B,$A$19,'Tourney History'!V:V, 1)</f>
        <v>0</v>
      </c>
      <c r="AB19" s="2">
        <f>COUNTIFS('Tourney History'!$B:$B,$A$19,'Tourney History'!W:W, 1)</f>
        <v>4</v>
      </c>
      <c r="AC19" s="2">
        <f>COUNTIFS('Tourney History'!$B:$B,$A$19,'Tourney History'!X:X, 1)</f>
        <v>2</v>
      </c>
      <c r="AD19" s="2">
        <f>COUNTIFS('Tourney History'!$B:$B,$A$19,'Tourney History'!Y:Y, 1)</f>
        <v>0</v>
      </c>
      <c r="AE19" s="2">
        <f>COUNTIFS('Tourney History'!$B:$B,$A$19,'Tourney History'!Z:Z, 1)</f>
        <v>2</v>
      </c>
    </row>
    <row r="20" spans="1:31" x14ac:dyDescent="0.25">
      <c r="A20" s="1" t="s">
        <v>47</v>
      </c>
      <c r="B20" s="2" t="s">
        <v>79</v>
      </c>
      <c r="C20" s="2" t="s">
        <v>79</v>
      </c>
      <c r="D20" s="34">
        <f>SUMIFS('Tourney History'!C:C,'Tourney History'!B:B,A20)</f>
        <v>48</v>
      </c>
      <c r="E20" s="4">
        <f>AVERAGEIFS('Tourney History'!C:C,'Tourney History'!B:B,A20)</f>
        <v>9.6</v>
      </c>
      <c r="F20" s="35">
        <f t="array" ref="F20">MAX(IF('Tourney History'!B:B=A20, 'Tourney History'!C:C))</f>
        <v>13</v>
      </c>
      <c r="G20" s="34">
        <f>COUNTIFS('Tourney History'!B:B,A20,'Tourney History'!D:D, 1)</f>
        <v>2</v>
      </c>
      <c r="H20" s="2">
        <f>COUNTIFS('Tourney History'!B:B,A20,'Tourney History'!D:D, 0)</f>
        <v>3</v>
      </c>
      <c r="I20" s="88">
        <f>LOOKUP(2, 1/('Tourney History'!$B:$B=A20), 'Tourney History'!$AD:$AD)</f>
        <v>0.4</v>
      </c>
      <c r="J20" s="34">
        <f>SUMIFS('Tourney History'!F:F,'Tourney History'!B:B,A20)</f>
        <v>9</v>
      </c>
      <c r="K20" s="2">
        <f>SUMIFS('Tourney History'!E:E,'Tourney History'!B:B,A20)-J20</f>
        <v>11</v>
      </c>
      <c r="L20" s="88">
        <f>LOOKUP(2, 1/('Tourney History'!$B:$B=A20), 'Tourney History'!$AB:$AB)</f>
        <v>0.45</v>
      </c>
      <c r="M20" s="34">
        <f>SUMIFS('Tourney History'!H:H,'Tourney History'!B:B,A20)</f>
        <v>42</v>
      </c>
      <c r="N20" s="2">
        <f>SUMIFS('Tourney History'!G:G,'Tourney History'!B:B,A20)-M20</f>
        <v>44</v>
      </c>
      <c r="O20" s="88">
        <f>LOOKUP(2, 1/('Tourney History'!$B:$B=A20), 'Tourney History'!$AC:$AC)</f>
        <v>0.47400000000000003</v>
      </c>
      <c r="P20" s="2">
        <f>COUNTIFS('Tourney History'!$B:$B,$A$20,'Tourney History'!K:K, 1)</f>
        <v>0</v>
      </c>
      <c r="Q20" s="2">
        <f>COUNTIFS('Tourney History'!$B:$B,$A$20,'Tourney History'!L:L, 1)</f>
        <v>0</v>
      </c>
      <c r="R20" s="2">
        <f>COUNTIFS('Tourney History'!$B:$B,$A$20,'Tourney History'!M:M, 1)</f>
        <v>0</v>
      </c>
      <c r="S20" s="2">
        <f>COUNTIFS('Tourney History'!$B:$B,$A$20,'Tourney History'!N:N, 1)</f>
        <v>0</v>
      </c>
      <c r="T20" s="2">
        <f>COUNTIFS('Tourney History'!$B:$B,$A$20,'Tourney History'!O:O, 1)</f>
        <v>1</v>
      </c>
      <c r="U20" s="2">
        <f>COUNTIFS('Tourney History'!$B:$B,$A$20,'Tourney History'!P:P, 1)</f>
        <v>2</v>
      </c>
      <c r="V20" s="2">
        <f>COUNTIFS('Tourney History'!$B:$B,$A$20,'Tourney History'!Q:Q, 1)</f>
        <v>0</v>
      </c>
      <c r="W20" s="2">
        <f>COUNTIFS('Tourney History'!$B:$B,$A$20,'Tourney History'!R:R, 1)</f>
        <v>0</v>
      </c>
      <c r="X20" s="2">
        <f>COUNTIFS('Tourney History'!$B:$B,$A$20,'Tourney History'!S:S, 1)</f>
        <v>0</v>
      </c>
      <c r="Y20" s="2">
        <f>COUNTIFS('Tourney History'!$B:$B,$A$20,'Tourney History'!T:T, 1)</f>
        <v>0</v>
      </c>
      <c r="Z20" s="2">
        <f>COUNTIFS('Tourney History'!$B:$B,$A$20,'Tourney History'!U:U, 1)</f>
        <v>0</v>
      </c>
      <c r="AA20" s="2">
        <f>COUNTIFS('Tourney History'!$B:$B,$A$20,'Tourney History'!V:V, 1)</f>
        <v>0</v>
      </c>
      <c r="AB20" s="2">
        <f>COUNTIFS('Tourney History'!$B:$B,$A$20,'Tourney History'!W:W, 1)</f>
        <v>2</v>
      </c>
      <c r="AC20" s="2">
        <f>COUNTIFS('Tourney History'!$B:$B,$A$20,'Tourney History'!X:X, 1)</f>
        <v>1</v>
      </c>
      <c r="AD20" s="2">
        <f>COUNTIFS('Tourney History'!$B:$B,$A$20,'Tourney History'!Y:Y, 1)</f>
        <v>0</v>
      </c>
      <c r="AE20" s="2">
        <f>COUNTIFS('Tourney History'!$B:$B,$A$20,'Tourney History'!Z:Z, 1)</f>
        <v>3</v>
      </c>
    </row>
    <row r="21" spans="1:31" ht="15.75" x14ac:dyDescent="0.25">
      <c r="A21" s="1" t="s">
        <v>3</v>
      </c>
      <c r="B21" s="80" t="s">
        <v>124</v>
      </c>
      <c r="C21" s="80" t="s">
        <v>60</v>
      </c>
      <c r="D21" s="34">
        <f>SUMIFS('Tourney History'!C:C,'Tourney History'!B:B,A21)</f>
        <v>117</v>
      </c>
      <c r="E21" s="4">
        <f>AVERAGEIFS('Tourney History'!C:C,'Tourney History'!B:B,A21)</f>
        <v>29.25</v>
      </c>
      <c r="F21" s="35">
        <f t="array" ref="F21">MAX(IF('Tourney History'!B:B=A21, 'Tourney History'!C:C))</f>
        <v>44</v>
      </c>
      <c r="G21" s="34">
        <f>COUNTIFS('Tourney History'!B:B,A21,'Tourney History'!D:D, 1)</f>
        <v>3</v>
      </c>
      <c r="H21" s="2">
        <f>COUNTIFS('Tourney History'!B:B,A21,'Tourney History'!D:D, 0)</f>
        <v>1</v>
      </c>
      <c r="I21" s="88">
        <f>LOOKUP(2, 1/('Tourney History'!$B:$B=A21), 'Tourney History'!$AD:$AD)</f>
        <v>0.75</v>
      </c>
      <c r="J21" s="34">
        <f>SUMIFS('Tourney History'!F:F,'Tourney History'!B:B,A21)</f>
        <v>10</v>
      </c>
      <c r="K21" s="2">
        <f>SUMIFS('Tourney History'!E:E,'Tourney History'!B:B,A21)-J21</f>
        <v>8</v>
      </c>
      <c r="L21" s="88">
        <f>LOOKUP(2, 1/('Tourney History'!$B:$B=A21), 'Tourney History'!$AB:$AB)</f>
        <v>0.55000000000000004</v>
      </c>
      <c r="M21" s="34">
        <f>SUMIFS('Tourney History'!H:H,'Tourney History'!B:B,A21)</f>
        <v>39</v>
      </c>
      <c r="N21" s="2">
        <f>SUMIFS('Tourney History'!G:G,'Tourney History'!B:B,A21)-M21</f>
        <v>35</v>
      </c>
      <c r="O21" s="88">
        <f>LOOKUP(2, 1/('Tourney History'!$B:$B=A21), 'Tourney History'!$AC:$AC)</f>
        <v>0.52249999999999996</v>
      </c>
      <c r="P21" s="2">
        <f>COUNTIFS('Tourney History'!$B:$B,$A$21,'Tourney History'!K:K, 1)</f>
        <v>0</v>
      </c>
      <c r="Q21" s="2">
        <f>COUNTIFS('Tourney History'!$B:$B,$A$21,'Tourney History'!L:L, 1)</f>
        <v>1</v>
      </c>
      <c r="R21" s="2">
        <f>COUNTIFS('Tourney History'!$B:$B,$A$21,'Tourney History'!M:M, 1)</f>
        <v>1</v>
      </c>
      <c r="S21" s="2">
        <f>COUNTIFS('Tourney History'!$B:$B,$A$21,'Tourney History'!N:N, 1)</f>
        <v>1</v>
      </c>
      <c r="T21" s="2">
        <f>COUNTIFS('Tourney History'!$B:$B,$A$21,'Tourney History'!O:O, 1)</f>
        <v>2</v>
      </c>
      <c r="U21" s="2">
        <f>COUNTIFS('Tourney History'!$B:$B,$A$21,'Tourney History'!P:P, 1)</f>
        <v>1</v>
      </c>
      <c r="V21" s="2">
        <f>COUNTIFS('Tourney History'!$B:$B,$A$21,'Tourney History'!Q:Q, 1)</f>
        <v>2</v>
      </c>
      <c r="W21" s="2">
        <f>COUNTIFS('Tourney History'!$B:$B,$A$21,'Tourney History'!R:R, 1)</f>
        <v>0</v>
      </c>
      <c r="X21" s="2">
        <f>COUNTIFS('Tourney History'!$B:$B,$A$21,'Tourney History'!S:S, 1)</f>
        <v>0</v>
      </c>
      <c r="Y21" s="2">
        <f>COUNTIFS('Tourney History'!$B:$B,$A$21,'Tourney History'!T:T, 1)</f>
        <v>0</v>
      </c>
      <c r="Z21" s="2">
        <f>COUNTIFS('Tourney History'!$B:$B,$A$21,'Tourney History'!U:U, 1)</f>
        <v>0</v>
      </c>
      <c r="AA21" s="2">
        <f>COUNTIFS('Tourney History'!$B:$B,$A$21,'Tourney History'!V:V, 1)</f>
        <v>0</v>
      </c>
      <c r="AB21" s="2">
        <f>COUNTIFS('Tourney History'!$B:$B,$A$21,'Tourney History'!W:W, 1)</f>
        <v>0</v>
      </c>
      <c r="AC21" s="2">
        <f>COUNTIFS('Tourney History'!$B:$B,$A$21,'Tourney History'!X:X, 1)</f>
        <v>1</v>
      </c>
      <c r="AD21" s="2">
        <f>COUNTIFS('Tourney History'!$B:$B,$A$21,'Tourney History'!Y:Y, 1)</f>
        <v>1</v>
      </c>
      <c r="AE21" s="2">
        <f>COUNTIFS('Tourney History'!$B:$B,$A$21,'Tourney History'!Z:Z, 1)</f>
        <v>0</v>
      </c>
    </row>
    <row r="22" spans="1:31" x14ac:dyDescent="0.25">
      <c r="A22" s="2" t="s">
        <v>15</v>
      </c>
      <c r="B22" s="2" t="s">
        <v>79</v>
      </c>
      <c r="C22" s="2" t="s">
        <v>79</v>
      </c>
      <c r="D22" s="34">
        <f>SUMIFS('Tourney History'!C:C,'Tourney History'!B:B,A22)</f>
        <v>231</v>
      </c>
      <c r="E22" s="4">
        <f>AVERAGEIFS('Tourney History'!C:C,'Tourney History'!B:B,A22)</f>
        <v>33</v>
      </c>
      <c r="F22" s="35">
        <f t="array" ref="F22">MAX(IF('Tourney History'!B:B=A22, 'Tourney History'!C:C))</f>
        <v>55</v>
      </c>
      <c r="G22" s="34">
        <f>COUNTIFS('Tourney History'!B:B,A22,'Tourney History'!D:D, 1)</f>
        <v>2</v>
      </c>
      <c r="H22" s="2">
        <f>COUNTIFS('Tourney History'!B:B,A22,'Tourney History'!D:D, 0)</f>
        <v>5</v>
      </c>
      <c r="I22" s="88">
        <f>LOOKUP(2, 1/('Tourney History'!$B:$B=A22), 'Tourney History'!$AD:$AD)</f>
        <v>0.2857142857142857</v>
      </c>
      <c r="J22" s="34">
        <f>SUMIFS('Tourney History'!F:F,'Tourney History'!B:B,A22)</f>
        <v>14</v>
      </c>
      <c r="K22" s="2">
        <f>SUMIFS('Tourney History'!E:E,'Tourney History'!B:B,A22)-J22</f>
        <v>16</v>
      </c>
      <c r="L22" s="88">
        <f>LOOKUP(2, 1/('Tourney History'!$B:$B=A22), 'Tourney History'!$AB:$AB)</f>
        <v>0.49285714285714283</v>
      </c>
      <c r="M22" s="34">
        <f>SUMIFS('Tourney History'!H:H,'Tourney History'!B:B,A22)</f>
        <v>61</v>
      </c>
      <c r="N22" s="2">
        <f>SUMIFS('Tourney History'!G:G,'Tourney History'!B:B,A22)-M22</f>
        <v>66</v>
      </c>
      <c r="O22" s="88">
        <f>LOOKUP(2, 1/('Tourney History'!$B:$B=A22), 'Tourney History'!$AC:$AC)</f>
        <v>0.49285714285714283</v>
      </c>
      <c r="P22" s="2">
        <f>COUNTIFS('Tourney History'!$B:$B,$A$22,'Tourney History'!K:K, 1)</f>
        <v>1</v>
      </c>
      <c r="Q22" s="2">
        <f>COUNTIFS('Tourney History'!$B:$B,$A$22,'Tourney History'!L:L, 1)</f>
        <v>0</v>
      </c>
      <c r="R22" s="2">
        <f>COUNTIFS('Tourney History'!$B:$B,$A$22,'Tourney History'!M:M, 1)</f>
        <v>0</v>
      </c>
      <c r="S22" s="2">
        <f>COUNTIFS('Tourney History'!$B:$B,$A$22,'Tourney History'!N:N, 1)</f>
        <v>1</v>
      </c>
      <c r="T22" s="2">
        <f>COUNTIFS('Tourney History'!$B:$B,$A$22,'Tourney History'!O:O, 1)</f>
        <v>0</v>
      </c>
      <c r="U22" s="2">
        <f>COUNTIFS('Tourney History'!$B:$B,$A$22,'Tourney History'!P:P, 1)</f>
        <v>1</v>
      </c>
      <c r="V22" s="2">
        <f>COUNTIFS('Tourney History'!$B:$B,$A$22,'Tourney History'!Q:Q, 1)</f>
        <v>0</v>
      </c>
      <c r="W22" s="2">
        <f>COUNTIFS('Tourney History'!$B:$B,$A$22,'Tourney History'!R:R, 1)</f>
        <v>0</v>
      </c>
      <c r="X22" s="2">
        <f>COUNTIFS('Tourney History'!$B:$B,$A$22,'Tourney History'!S:S, 1)</f>
        <v>0</v>
      </c>
      <c r="Y22" s="2">
        <f>COUNTIFS('Tourney History'!$B:$B,$A$22,'Tourney History'!T:T, 1)</f>
        <v>0</v>
      </c>
      <c r="Z22" s="2">
        <f>COUNTIFS('Tourney History'!$B:$B,$A$22,'Tourney History'!U:U, 1)</f>
        <v>0</v>
      </c>
      <c r="AA22" s="2">
        <f>COUNTIFS('Tourney History'!$B:$B,$A$22,'Tourney History'!V:V, 1)</f>
        <v>0</v>
      </c>
      <c r="AB22" s="2">
        <f>COUNTIFS('Tourney History'!$B:$B,$A$22,'Tourney History'!W:W, 1)</f>
        <v>3</v>
      </c>
      <c r="AC22" s="2">
        <f>COUNTIFS('Tourney History'!$B:$B,$A$22,'Tourney History'!X:X, 1)</f>
        <v>4</v>
      </c>
      <c r="AD22" s="2">
        <f>COUNTIFS('Tourney History'!$B:$B,$A$22,'Tourney History'!Y:Y, 1)</f>
        <v>1</v>
      </c>
      <c r="AE22" s="2">
        <f>COUNTIFS('Tourney History'!$B:$B,$A$22,'Tourney History'!Z:Z, 1)</f>
        <v>3</v>
      </c>
    </row>
    <row r="23" spans="1:31" x14ac:dyDescent="0.25">
      <c r="A23" s="2" t="s">
        <v>13</v>
      </c>
      <c r="B23" s="6" t="s">
        <v>124</v>
      </c>
      <c r="C23" s="6" t="s">
        <v>60</v>
      </c>
      <c r="D23" s="34">
        <f>SUMIFS('Tourney History'!C:C,'Tourney History'!B:B,A23)</f>
        <v>267</v>
      </c>
      <c r="E23" s="4">
        <f>AVERAGEIFS('Tourney History'!C:C,'Tourney History'!B:B,A23)</f>
        <v>33.375</v>
      </c>
      <c r="F23" s="35">
        <f t="array" ref="F23">MAX(IF('Tourney History'!B:B=A23, 'Tourney History'!C:C))</f>
        <v>50</v>
      </c>
      <c r="G23" s="34">
        <f>COUNTIFS('Tourney History'!B:B,A23,'Tourney History'!D:D, 1)</f>
        <v>5</v>
      </c>
      <c r="H23" s="2">
        <f>COUNTIFS('Tourney History'!B:B,A23,'Tourney History'!D:D, 0)</f>
        <v>3</v>
      </c>
      <c r="I23" s="88">
        <f>LOOKUP(2, 1/('Tourney History'!$B:$B=A23), 'Tourney History'!$AD:$AD)</f>
        <v>0.625</v>
      </c>
      <c r="J23" s="34">
        <f>SUMIFS('Tourney History'!F:F,'Tourney History'!B:B,A23)</f>
        <v>16</v>
      </c>
      <c r="K23" s="2">
        <f>SUMIFS('Tourney History'!E:E,'Tourney History'!B:B,A23)-J23</f>
        <v>17</v>
      </c>
      <c r="L23" s="88">
        <f>LOOKUP(2, 1/('Tourney History'!$B:$B=A23), 'Tourney History'!$AB:$AB)</f>
        <v>0.44375000000000003</v>
      </c>
      <c r="M23" s="34">
        <f>SUMIFS('Tourney History'!H:H,'Tourney History'!B:B,A23)</f>
        <v>70</v>
      </c>
      <c r="N23" s="2">
        <f>SUMIFS('Tourney History'!G:G,'Tourney History'!B:B,A23)-M23</f>
        <v>64</v>
      </c>
      <c r="O23" s="88">
        <f>LOOKUP(2, 1/('Tourney History'!$B:$B=A23), 'Tourney History'!$AC:$AC)</f>
        <v>0.5</v>
      </c>
      <c r="P23" s="2">
        <f>COUNTIFS('Tourney History'!$B:$B,$A$23,'Tourney History'!K:K, 1)</f>
        <v>0</v>
      </c>
      <c r="Q23" s="2">
        <f>COUNTIFS('Tourney History'!$B:$B,$A$23,'Tourney History'!L:L, 1)</f>
        <v>1</v>
      </c>
      <c r="R23" s="2">
        <f>COUNTIFS('Tourney History'!$B:$B,$A$23,'Tourney History'!M:M, 1)</f>
        <v>0</v>
      </c>
      <c r="S23" s="2">
        <f>COUNTIFS('Tourney History'!$B:$B,$A$23,'Tourney History'!N:N, 1)</f>
        <v>3</v>
      </c>
      <c r="T23" s="2">
        <f>COUNTIFS('Tourney History'!$B:$B,$A$23,'Tourney History'!O:O, 1)</f>
        <v>3</v>
      </c>
      <c r="U23" s="2">
        <f>COUNTIFS('Tourney History'!$B:$B,$A$23,'Tourney History'!P:P, 1)</f>
        <v>2</v>
      </c>
      <c r="V23" s="2">
        <f>COUNTIFS('Tourney History'!$B:$B,$A$23,'Tourney History'!Q:Q, 1)</f>
        <v>2</v>
      </c>
      <c r="W23" s="2">
        <f>COUNTIFS('Tourney History'!$B:$B,$A$23,'Tourney History'!R:R, 1)</f>
        <v>0</v>
      </c>
      <c r="X23" s="2">
        <f>COUNTIFS('Tourney History'!$B:$B,$A$23,'Tourney History'!S:S, 1)</f>
        <v>0</v>
      </c>
      <c r="Y23" s="2">
        <f>COUNTIFS('Tourney History'!$B:$B,$A$23,'Tourney History'!T:T, 1)</f>
        <v>0</v>
      </c>
      <c r="Z23" s="2">
        <f>COUNTIFS('Tourney History'!$B:$B,$A$23,'Tourney History'!U:U, 1)</f>
        <v>0</v>
      </c>
      <c r="AA23" s="2">
        <f>COUNTIFS('Tourney History'!$B:$B,$A$23,'Tourney History'!V:V, 1)</f>
        <v>0</v>
      </c>
      <c r="AB23" s="2">
        <f>COUNTIFS('Tourney History'!$B:$B,$A$23,'Tourney History'!W:W, 1)</f>
        <v>3</v>
      </c>
      <c r="AC23" s="2">
        <f>COUNTIFS('Tourney History'!$B:$B,$A$23,'Tourney History'!X:X, 1)</f>
        <v>0</v>
      </c>
      <c r="AD23" s="2">
        <f>COUNTIFS('Tourney History'!$B:$B,$A$23,'Tourney History'!Y:Y, 1)</f>
        <v>0</v>
      </c>
      <c r="AE23" s="2">
        <f>COUNTIFS('Tourney History'!$B:$B,$A$23,'Tourney History'!Z:Z, 1)</f>
        <v>2</v>
      </c>
    </row>
    <row r="24" spans="1:31" x14ac:dyDescent="0.25">
      <c r="A24" s="2" t="s">
        <v>2</v>
      </c>
      <c r="B24" s="6" t="s">
        <v>124</v>
      </c>
      <c r="C24" s="6" t="s">
        <v>79</v>
      </c>
      <c r="D24" s="34">
        <f>SUMIFS('Tourney History'!C:C,'Tourney History'!B:B,A24)</f>
        <v>189</v>
      </c>
      <c r="E24" s="4">
        <f>AVERAGEIFS('Tourney History'!C:C,'Tourney History'!B:B,A24)</f>
        <v>31.5</v>
      </c>
      <c r="F24" s="35">
        <f t="array" ref="F24">MAX(IF('Tourney History'!B:B=A24, 'Tourney History'!C:C))</f>
        <v>37</v>
      </c>
      <c r="G24" s="34">
        <f>COUNTIFS('Tourney History'!B:B,A24,'Tourney History'!D:D, 1)</f>
        <v>3</v>
      </c>
      <c r="H24" s="2">
        <f>COUNTIFS('Tourney History'!B:B,A24,'Tourney History'!D:D, 0)</f>
        <v>3</v>
      </c>
      <c r="I24" s="88">
        <f>LOOKUP(2, 1/('Tourney History'!$B:$B=A24), 'Tourney History'!$AD:$AD)</f>
        <v>0.5</v>
      </c>
      <c r="J24" s="34">
        <f>SUMIFS('Tourney History'!F:F,'Tourney History'!B:B,A24)</f>
        <v>14</v>
      </c>
      <c r="K24" s="2">
        <f>SUMIFS('Tourney History'!E:E,'Tourney History'!B:B,A24)-J24</f>
        <v>12</v>
      </c>
      <c r="L24" s="88">
        <f>LOOKUP(2, 1/('Tourney History'!$B:$B=A24), 'Tourney History'!$AB:$AB)</f>
        <v>0.54999999999999993</v>
      </c>
      <c r="M24" s="34">
        <f>SUMIFS('Tourney History'!H:H,'Tourney History'!B:B,A24)</f>
        <v>58</v>
      </c>
      <c r="N24" s="2">
        <f>SUMIFS('Tourney History'!G:G,'Tourney History'!B:B,A24)-M24</f>
        <v>53</v>
      </c>
      <c r="O24" s="88">
        <f>LOOKUP(2, 1/('Tourney History'!$B:$B=A24), 'Tourney History'!$AC:$AC)</f>
        <v>0.53500000000000003</v>
      </c>
      <c r="P24" s="2">
        <f>COUNTIFS('Tourney History'!$B:$B,$A$24,'Tourney History'!K:K, 1)</f>
        <v>0</v>
      </c>
      <c r="Q24" s="2">
        <f>COUNTIFS('Tourney History'!$B:$B,$A$24,'Tourney History'!L:L, 1)</f>
        <v>2</v>
      </c>
      <c r="R24" s="2">
        <f>COUNTIFS('Tourney History'!$B:$B,$A$24,'Tourney History'!M:M, 1)</f>
        <v>1</v>
      </c>
      <c r="S24" s="2">
        <f>COUNTIFS('Tourney History'!$B:$B,$A$24,'Tourney History'!N:N, 1)</f>
        <v>3</v>
      </c>
      <c r="T24" s="2">
        <f>COUNTIFS('Tourney History'!$B:$B,$A$24,'Tourney History'!O:O, 1)</f>
        <v>0</v>
      </c>
      <c r="U24" s="2">
        <f>COUNTIFS('Tourney History'!$B:$B,$A$24,'Tourney History'!P:P, 1)</f>
        <v>1</v>
      </c>
      <c r="V24" s="2">
        <f>COUNTIFS('Tourney History'!$B:$B,$A$24,'Tourney History'!Q:Q, 1)</f>
        <v>0</v>
      </c>
      <c r="W24" s="2">
        <f>COUNTIFS('Tourney History'!$B:$B,$A$24,'Tourney History'!R:R, 1)</f>
        <v>1</v>
      </c>
      <c r="X24" s="2">
        <f>COUNTIFS('Tourney History'!$B:$B,$A$24,'Tourney History'!S:S, 1)</f>
        <v>0</v>
      </c>
      <c r="Y24" s="2">
        <f>COUNTIFS('Tourney History'!$B:$B,$A$24,'Tourney History'!T:T, 1)</f>
        <v>0</v>
      </c>
      <c r="Z24" s="2">
        <f>COUNTIFS('Tourney History'!$B:$B,$A$24,'Tourney History'!U:U, 1)</f>
        <v>0</v>
      </c>
      <c r="AA24" s="2">
        <f>COUNTIFS('Tourney History'!$B:$B,$A$24,'Tourney History'!V:V, 1)</f>
        <v>0</v>
      </c>
      <c r="AB24" s="2">
        <f>COUNTIFS('Tourney History'!$B:$B,$A$24,'Tourney History'!W:W, 1)</f>
        <v>2</v>
      </c>
      <c r="AC24" s="2">
        <f>COUNTIFS('Tourney History'!$B:$B,$A$24,'Tourney History'!X:X, 1)</f>
        <v>0</v>
      </c>
      <c r="AD24" s="2">
        <f>COUNTIFS('Tourney History'!$B:$B,$A$24,'Tourney History'!Y:Y, 1)</f>
        <v>2</v>
      </c>
      <c r="AE24" s="2">
        <f>COUNTIFS('Tourney History'!$B:$B,$A$24,'Tourney History'!Z:Z, 1)</f>
        <v>2</v>
      </c>
    </row>
    <row r="25" spans="1:31" x14ac:dyDescent="0.25">
      <c r="A25" s="2" t="s">
        <v>54</v>
      </c>
      <c r="B25" s="6" t="s">
        <v>60</v>
      </c>
      <c r="C25" s="6" t="s">
        <v>79</v>
      </c>
      <c r="D25" s="34">
        <f>SUMIFS('Tourney History'!C:C,'Tourney History'!B:B,A25)</f>
        <v>53</v>
      </c>
      <c r="E25" s="4">
        <f>AVERAGEIFS('Tourney History'!C:C,'Tourney History'!B:B,A25)</f>
        <v>26.5</v>
      </c>
      <c r="F25" s="35">
        <f t="array" ref="F25">MAX(IF('Tourney History'!B:B=A25, 'Tourney History'!C:C))</f>
        <v>29</v>
      </c>
      <c r="G25" s="34">
        <f>COUNTIFS('Tourney History'!B:B,A25,'Tourney History'!D:D, 1)</f>
        <v>2</v>
      </c>
      <c r="H25" s="2">
        <f>COUNTIFS('Tourney History'!B:B,A25,'Tourney History'!D:D, 0)</f>
        <v>0</v>
      </c>
      <c r="I25" s="88">
        <f>LOOKUP(2, 1/('Tourney History'!$B:$B=A25), 'Tourney History'!$AD:$AD)</f>
        <v>1</v>
      </c>
      <c r="J25" s="34">
        <f>SUMIFS('Tourney History'!F:F,'Tourney History'!B:B,A25)</f>
        <v>6</v>
      </c>
      <c r="K25" s="2">
        <f>SUMIFS('Tourney History'!E:E,'Tourney History'!B:B,A25)-J25</f>
        <v>4</v>
      </c>
      <c r="L25" s="88">
        <f>LOOKUP(2, 1/('Tourney History'!$B:$B=A25), 'Tourney History'!$AB:$AB)</f>
        <v>0.6</v>
      </c>
      <c r="M25" s="34">
        <f>SUMIFS('Tourney History'!H:H,'Tourney History'!B:B,A25)</f>
        <v>23</v>
      </c>
      <c r="N25" s="2">
        <f>SUMIFS('Tourney History'!G:G,'Tourney History'!B:B,A25)-M25</f>
        <v>17</v>
      </c>
      <c r="O25" s="88">
        <f>LOOKUP(2, 1/('Tourney History'!$B:$B=A25), 'Tourney History'!$AC:$AC)</f>
        <v>0.57499999999999996</v>
      </c>
      <c r="P25" s="2">
        <f>COUNTIFS('Tourney History'!$B:$B,$A$25,'Tourney History'!K:K, 1)</f>
        <v>0</v>
      </c>
      <c r="Q25" s="2">
        <f>COUNTIFS('Tourney History'!$B:$B,$A$25,'Tourney History'!L:L, 1)</f>
        <v>0</v>
      </c>
      <c r="R25" s="2">
        <f>COUNTIFS('Tourney History'!$B:$B,$A$25,'Tourney History'!M:M, 1)</f>
        <v>0</v>
      </c>
      <c r="S25" s="2">
        <f>COUNTIFS('Tourney History'!$B:$B,$A$25,'Tourney History'!N:N, 1)</f>
        <v>1</v>
      </c>
      <c r="T25" s="2">
        <f>COUNTIFS('Tourney History'!$B:$B,$A$25,'Tourney History'!O:O, 1)</f>
        <v>2</v>
      </c>
      <c r="U25" s="2">
        <f>COUNTIFS('Tourney History'!$B:$B,$A$25,'Tourney History'!P:P, 1)</f>
        <v>1</v>
      </c>
      <c r="V25" s="2">
        <f>COUNTIFS('Tourney History'!$B:$B,$A$25,'Tourney History'!Q:Q, 1)</f>
        <v>2</v>
      </c>
      <c r="W25" s="2">
        <f>COUNTIFS('Tourney History'!$B:$B,$A$25,'Tourney History'!R:R, 1)</f>
        <v>0</v>
      </c>
      <c r="X25" s="2">
        <f>COUNTIFS('Tourney History'!$B:$B,$A$25,'Tourney History'!S:S, 1)</f>
        <v>0</v>
      </c>
      <c r="Y25" s="2">
        <f>COUNTIFS('Tourney History'!$B:$B,$A$25,'Tourney History'!T:T, 1)</f>
        <v>0</v>
      </c>
      <c r="Z25" s="2">
        <f>COUNTIFS('Tourney History'!$B:$B,$A$25,'Tourney History'!U:U, 1)</f>
        <v>0</v>
      </c>
      <c r="AA25" s="2">
        <f>COUNTIFS('Tourney History'!$B:$B,$A$25,'Tourney History'!V:V, 1)</f>
        <v>0</v>
      </c>
      <c r="AB25" s="2">
        <f>COUNTIFS('Tourney History'!$B:$B,$A$25,'Tourney History'!W:W, 1)</f>
        <v>0</v>
      </c>
      <c r="AC25" s="2">
        <f>COUNTIFS('Tourney History'!$B:$B,$A$25,'Tourney History'!X:X, 1)</f>
        <v>0</v>
      </c>
      <c r="AD25" s="2">
        <f>COUNTIFS('Tourney History'!$B:$B,$A$25,'Tourney History'!Y:Y, 1)</f>
        <v>0</v>
      </c>
      <c r="AE25" s="2">
        <f>COUNTIFS('Tourney History'!$B:$B,$A$25,'Tourney History'!Z:Z, 1)</f>
        <v>0</v>
      </c>
    </row>
    <row r="26" spans="1:31" x14ac:dyDescent="0.25">
      <c r="A26" s="2" t="s">
        <v>5</v>
      </c>
      <c r="B26" s="6" t="s">
        <v>124</v>
      </c>
      <c r="C26" s="6" t="s">
        <v>79</v>
      </c>
      <c r="D26" s="34">
        <f>SUMIFS('Tourney History'!C:C,'Tourney History'!B:B,A26)</f>
        <v>101</v>
      </c>
      <c r="E26" s="4">
        <f>AVERAGEIFS('Tourney History'!C:C,'Tourney History'!B:B,A26)</f>
        <v>25.25</v>
      </c>
      <c r="F26" s="35">
        <f t="array" ref="F26">MAX(IF('Tourney History'!B:B=A26, 'Tourney History'!C:C))</f>
        <v>33</v>
      </c>
      <c r="G26" s="34">
        <f>COUNTIFS('Tourney History'!B:B,A26,'Tourney History'!D:D, 1)</f>
        <v>3</v>
      </c>
      <c r="H26" s="2">
        <f>COUNTIFS('Tourney History'!B:B,A26,'Tourney History'!D:D, 0)</f>
        <v>1</v>
      </c>
      <c r="I26" s="88">
        <f>LOOKUP(2, 1/('Tourney History'!$B:$B=A26), 'Tourney History'!$AD:$AD)</f>
        <v>0.75</v>
      </c>
      <c r="J26" s="34">
        <f>SUMIFS('Tourney History'!F:F,'Tourney History'!B:B,A26)</f>
        <v>10</v>
      </c>
      <c r="K26" s="2">
        <f>SUMIFS('Tourney History'!E:E,'Tourney History'!B:B,A26)-J26</f>
        <v>7</v>
      </c>
      <c r="L26" s="88">
        <f>LOOKUP(2, 1/('Tourney History'!$B:$B=A26), 'Tourney History'!$AB:$AB)</f>
        <v>0.58750000000000002</v>
      </c>
      <c r="M26" s="34">
        <f>SUMIFS('Tourney History'!H:H,'Tourney History'!B:B,A26)</f>
        <v>40</v>
      </c>
      <c r="N26" s="2">
        <f>SUMIFS('Tourney History'!G:G,'Tourney History'!B:B,A26)-M26</f>
        <v>36</v>
      </c>
      <c r="O26" s="88">
        <f>LOOKUP(2, 1/('Tourney History'!$B:$B=A26), 'Tourney History'!$AC:$AC)</f>
        <v>0.52</v>
      </c>
      <c r="P26" s="2">
        <f>COUNTIFS('Tourney History'!$B:$B,$A$26,'Tourney History'!K:K, 1)</f>
        <v>0</v>
      </c>
      <c r="Q26" s="2">
        <f>COUNTIFS('Tourney History'!$B:$B,$A$26,'Tourney History'!L:L, 1)</f>
        <v>1</v>
      </c>
      <c r="R26" s="2">
        <f>COUNTIFS('Tourney History'!$B:$B,$A$26,'Tourney History'!M:M, 1)</f>
        <v>2</v>
      </c>
      <c r="S26" s="2">
        <f>COUNTIFS('Tourney History'!$B:$B,$A$26,'Tourney History'!N:N, 1)</f>
        <v>0</v>
      </c>
      <c r="T26" s="2">
        <f>COUNTIFS('Tourney History'!$B:$B,$A$26,'Tourney History'!O:O, 1)</f>
        <v>1</v>
      </c>
      <c r="U26" s="2">
        <f>COUNTIFS('Tourney History'!$B:$B,$A$26,'Tourney History'!P:P, 1)</f>
        <v>1</v>
      </c>
      <c r="V26" s="2">
        <f>COUNTIFS('Tourney History'!$B:$B,$A$26,'Tourney History'!Q:Q, 1)</f>
        <v>0</v>
      </c>
      <c r="W26" s="2">
        <f>COUNTIFS('Tourney History'!$B:$B,$A$26,'Tourney History'!R:R, 1)</f>
        <v>0</v>
      </c>
      <c r="X26" s="2">
        <f>COUNTIFS('Tourney History'!$B:$B,$A$26,'Tourney History'!S:S, 1)</f>
        <v>0</v>
      </c>
      <c r="Y26" s="2">
        <f>COUNTIFS('Tourney History'!$B:$B,$A$26,'Tourney History'!T:T, 1)</f>
        <v>0</v>
      </c>
      <c r="Z26" s="2">
        <f>COUNTIFS('Tourney History'!$B:$B,$A$26,'Tourney History'!U:U, 1)</f>
        <v>0</v>
      </c>
      <c r="AA26" s="2">
        <f>COUNTIFS('Tourney History'!$B:$B,$A$26,'Tourney History'!V:V, 1)</f>
        <v>0</v>
      </c>
      <c r="AB26" s="2">
        <f>COUNTIFS('Tourney History'!$B:$B,$A$26,'Tourney History'!W:W, 1)</f>
        <v>1</v>
      </c>
      <c r="AC26" s="2">
        <f>COUNTIFS('Tourney History'!$B:$B,$A$26,'Tourney History'!X:X, 1)</f>
        <v>2</v>
      </c>
      <c r="AD26" s="2">
        <f>COUNTIFS('Tourney History'!$B:$B,$A$26,'Tourney History'!Y:Y, 1)</f>
        <v>1</v>
      </c>
      <c r="AE26" s="2">
        <f>COUNTIFS('Tourney History'!$B:$B,$A$26,'Tourney History'!Z:Z, 1)</f>
        <v>1</v>
      </c>
    </row>
    <row r="27" spans="1:31" x14ac:dyDescent="0.25">
      <c r="A27" s="2" t="s">
        <v>38</v>
      </c>
      <c r="B27" s="6" t="s">
        <v>79</v>
      </c>
      <c r="C27" s="6" t="s">
        <v>79</v>
      </c>
      <c r="D27" s="34">
        <f>SUMIFS('Tourney History'!C:C,'Tourney History'!B:B,A27)</f>
        <v>10</v>
      </c>
      <c r="E27" s="4">
        <f>AVERAGEIFS('Tourney History'!C:C,'Tourney History'!B:B,A27)</f>
        <v>5</v>
      </c>
      <c r="F27" s="35">
        <f t="array" ref="F27">MAX(IF('Tourney History'!B:B=A27, 'Tourney History'!C:C))</f>
        <v>6</v>
      </c>
      <c r="G27" s="34">
        <f>COUNTIFS('Tourney History'!B:B,A27,'Tourney History'!D:D, 1)</f>
        <v>1</v>
      </c>
      <c r="H27" s="2">
        <f>COUNTIFS('Tourney History'!B:B,A27,'Tourney History'!D:D, 0)</f>
        <v>1</v>
      </c>
      <c r="I27" s="88">
        <f>LOOKUP(2, 1/('Tourney History'!$B:$B=A27), 'Tourney History'!$AD:$AD)</f>
        <v>0.5</v>
      </c>
      <c r="J27" s="34">
        <f>SUMIFS('Tourney History'!F:F,'Tourney History'!B:B,A27)</f>
        <v>4</v>
      </c>
      <c r="K27" s="2">
        <f>SUMIFS('Tourney History'!E:E,'Tourney History'!B:B,A27)-J27</f>
        <v>4</v>
      </c>
      <c r="L27" s="88">
        <f>LOOKUP(2, 1/('Tourney History'!$B:$B=A27), 'Tourney History'!$AB:$AB)</f>
        <v>0.5</v>
      </c>
      <c r="M27" s="34">
        <f>SUMIFS('Tourney History'!H:H,'Tourney History'!B:B,A27)</f>
        <v>15</v>
      </c>
      <c r="N27" s="2">
        <f>SUMIFS('Tourney History'!G:G,'Tourney History'!B:B,A27)-M27</f>
        <v>19</v>
      </c>
      <c r="O27" s="88">
        <f>LOOKUP(2, 1/('Tourney History'!$B:$B=A27), 'Tourney History'!$AC:$AC)</f>
        <v>0.43500000000000005</v>
      </c>
      <c r="P27" s="2">
        <f>COUNTIFS('Tourney History'!$B:$B,$A$27,'Tourney History'!K:K, 1)</f>
        <v>0</v>
      </c>
      <c r="Q27" s="2">
        <f>COUNTIFS('Tourney History'!$B:$B,$A$27,'Tourney History'!L:L, 1)</f>
        <v>0</v>
      </c>
      <c r="R27" s="2">
        <f>COUNTIFS('Tourney History'!$B:$B,$A$27,'Tourney History'!M:M, 1)</f>
        <v>0</v>
      </c>
      <c r="S27" s="2">
        <f>COUNTIFS('Tourney History'!$B:$B,$A$27,'Tourney History'!N:N, 1)</f>
        <v>1</v>
      </c>
      <c r="T27" s="2">
        <f>COUNTIFS('Tourney History'!$B:$B,$A$27,'Tourney History'!O:O, 1)</f>
        <v>0</v>
      </c>
      <c r="U27" s="2">
        <f>COUNTIFS('Tourney History'!$B:$B,$A$27,'Tourney History'!P:P, 1)</f>
        <v>1</v>
      </c>
      <c r="V27" s="2">
        <f>COUNTIFS('Tourney History'!$B:$B,$A$27,'Tourney History'!Q:Q, 1)</f>
        <v>0</v>
      </c>
      <c r="W27" s="2">
        <f>COUNTIFS('Tourney History'!$B:$B,$A$27,'Tourney History'!R:R, 1)</f>
        <v>1</v>
      </c>
      <c r="X27" s="2">
        <f>COUNTIFS('Tourney History'!$B:$B,$A$27,'Tourney History'!S:S, 1)</f>
        <v>0</v>
      </c>
      <c r="Y27" s="2">
        <f>COUNTIFS('Tourney History'!$B:$B,$A$27,'Tourney History'!T:T, 1)</f>
        <v>0</v>
      </c>
      <c r="Z27" s="2">
        <f>COUNTIFS('Tourney History'!$B:$B,$A$27,'Tourney History'!U:U, 1)</f>
        <v>0</v>
      </c>
      <c r="AA27" s="2">
        <f>COUNTIFS('Tourney History'!$B:$B,$A$27,'Tourney History'!V:V, 1)</f>
        <v>0</v>
      </c>
      <c r="AB27" s="2">
        <f>COUNTIFS('Tourney History'!$B:$B,$A$27,'Tourney History'!W:W, 1)</f>
        <v>1</v>
      </c>
      <c r="AC27" s="2">
        <f>COUNTIFS('Tourney History'!$B:$B,$A$27,'Tourney History'!X:X, 1)</f>
        <v>0</v>
      </c>
      <c r="AD27" s="2">
        <f>COUNTIFS('Tourney History'!$B:$B,$A$27,'Tourney History'!Y:Y, 1)</f>
        <v>0</v>
      </c>
      <c r="AE27" s="2">
        <f>COUNTIFS('Tourney History'!$B:$B,$A$27,'Tourney History'!Z:Z, 1)</f>
        <v>0</v>
      </c>
    </row>
    <row r="28" spans="1:31" x14ac:dyDescent="0.25">
      <c r="A28" s="2" t="s">
        <v>40</v>
      </c>
      <c r="B28" s="2" t="s">
        <v>79</v>
      </c>
      <c r="C28" s="2" t="s">
        <v>79</v>
      </c>
      <c r="D28" s="34">
        <f>SUMIFS('Tourney History'!C:C,'Tourney History'!B:B,A28)</f>
        <v>44</v>
      </c>
      <c r="E28" s="4">
        <f>AVERAGEIFS('Tourney History'!C:C,'Tourney History'!B:B,A28)</f>
        <v>22</v>
      </c>
      <c r="F28" s="35">
        <f t="array" ref="F28">MAX(IF('Tourney History'!B:B=A28, 'Tourney History'!C:C))</f>
        <v>28</v>
      </c>
      <c r="G28" s="34">
        <f>COUNTIFS('Tourney History'!B:B,A28,'Tourney History'!D:D, 1)</f>
        <v>0</v>
      </c>
      <c r="H28" s="2">
        <f>COUNTIFS('Tourney History'!B:B,A28,'Tourney History'!D:D, 0)</f>
        <v>2</v>
      </c>
      <c r="I28" s="88">
        <f>LOOKUP(2, 1/('Tourney History'!$B:$B=A28), 'Tourney History'!$AD:$AD)</f>
        <v>0</v>
      </c>
      <c r="J28" s="34">
        <f>SUMIFS('Tourney History'!F:F,'Tourney History'!B:B,A28)</f>
        <v>3</v>
      </c>
      <c r="K28" s="2">
        <f>SUMIFS('Tourney History'!E:E,'Tourney History'!B:B,A28)-J28</f>
        <v>6</v>
      </c>
      <c r="L28" s="88">
        <f>LOOKUP(2, 1/('Tourney History'!$B:$B=A28), 'Tourney History'!$AB:$AB)</f>
        <v>0.32500000000000001</v>
      </c>
      <c r="M28" s="34">
        <f>SUMIFS('Tourney History'!H:H,'Tourney History'!B:B,A28)</f>
        <v>16</v>
      </c>
      <c r="N28" s="2">
        <f>SUMIFS('Tourney History'!G:G,'Tourney History'!B:B,A28)-M28</f>
        <v>22</v>
      </c>
      <c r="O28" s="88">
        <f>LOOKUP(2, 1/('Tourney History'!$B:$B=A28), 'Tourney History'!$AC:$AC)</f>
        <v>0.42000000000000004</v>
      </c>
      <c r="P28" s="2">
        <f>COUNTIFS('Tourney History'!$B:$B,$A$28,'Tourney History'!K:K, 1)</f>
        <v>0</v>
      </c>
      <c r="Q28" s="2">
        <f>COUNTIFS('Tourney History'!$B:$B,$A$28,'Tourney History'!L:L, 1)</f>
        <v>0</v>
      </c>
      <c r="R28" s="2">
        <f>COUNTIFS('Tourney History'!$B:$B,$A$28,'Tourney History'!M:M, 1)</f>
        <v>0</v>
      </c>
      <c r="S28" s="2">
        <f>COUNTIFS('Tourney History'!$B:$B,$A$28,'Tourney History'!N:N, 1)</f>
        <v>0</v>
      </c>
      <c r="T28" s="2">
        <f>COUNTIFS('Tourney History'!$B:$B,$A$28,'Tourney History'!O:O, 1)</f>
        <v>0</v>
      </c>
      <c r="U28" s="2">
        <f>COUNTIFS('Tourney History'!$B:$B,$A$28,'Tourney History'!P:P, 1)</f>
        <v>0</v>
      </c>
      <c r="V28" s="2">
        <f>COUNTIFS('Tourney History'!$B:$B,$A$28,'Tourney History'!Q:Q, 1)</f>
        <v>0</v>
      </c>
      <c r="W28" s="2">
        <f>COUNTIFS('Tourney History'!$B:$B,$A$28,'Tourney History'!R:R, 1)</f>
        <v>0</v>
      </c>
      <c r="X28" s="2">
        <f>COUNTIFS('Tourney History'!$B:$B,$A$28,'Tourney History'!S:S, 1)</f>
        <v>0</v>
      </c>
      <c r="Y28" s="2">
        <f>COUNTIFS('Tourney History'!$B:$B,$A$28,'Tourney History'!T:T, 1)</f>
        <v>0</v>
      </c>
      <c r="Z28" s="2">
        <f>COUNTIFS('Tourney History'!$B:$B,$A$28,'Tourney History'!U:U, 1)</f>
        <v>0</v>
      </c>
      <c r="AA28" s="2">
        <f>COUNTIFS('Tourney History'!$B:$B,$A$28,'Tourney History'!V:V, 1)</f>
        <v>0</v>
      </c>
      <c r="AB28" s="2">
        <f>COUNTIFS('Tourney History'!$B:$B,$A$28,'Tourney History'!W:W, 1)</f>
        <v>0</v>
      </c>
      <c r="AC28" s="2">
        <f>COUNTIFS('Tourney History'!$B:$B,$A$28,'Tourney History'!X:X, 1)</f>
        <v>1</v>
      </c>
      <c r="AD28" s="2">
        <f>COUNTIFS('Tourney History'!$B:$B,$A$28,'Tourney History'!Y:Y, 1)</f>
        <v>1</v>
      </c>
      <c r="AE28" s="2">
        <f>COUNTIFS('Tourney History'!$B:$B,$A$28,'Tourney History'!Z:Z, 1)</f>
        <v>1</v>
      </c>
    </row>
    <row r="29" spans="1:31" x14ac:dyDescent="0.25">
      <c r="A29" s="2" t="s">
        <v>148</v>
      </c>
      <c r="B29" s="2" t="s">
        <v>79</v>
      </c>
      <c r="C29" s="2" t="s">
        <v>79</v>
      </c>
      <c r="D29" s="34">
        <f>SUMIFS('Tourney History'!C:C,'Tourney History'!B:B,A29)</f>
        <v>22</v>
      </c>
      <c r="E29" s="4">
        <f>AVERAGEIFS('Tourney History'!C:C,'Tourney History'!B:B,A29)</f>
        <v>22</v>
      </c>
      <c r="F29" s="35">
        <f t="array" ref="F29">MAX(IF('Tourney History'!B:B=A29, 'Tourney History'!C:C))</f>
        <v>22</v>
      </c>
      <c r="G29" s="34">
        <f>COUNTIFS('Tourney History'!B:B,A29,'Tourney History'!D:D, 1)</f>
        <v>0</v>
      </c>
      <c r="H29" s="2">
        <f>COUNTIFS('Tourney History'!B:B,A29,'Tourney History'!D:D, 0)</f>
        <v>1</v>
      </c>
      <c r="I29" s="88">
        <f>LOOKUP(2, 1/('Tourney History'!$B:$B=A29), 'Tourney History'!$AD:$AD)</f>
        <v>0</v>
      </c>
      <c r="J29" s="34">
        <f>SUMIFS('Tourney History'!F:F,'Tourney History'!B:B,A29)</f>
        <v>2</v>
      </c>
      <c r="K29" s="2">
        <f>SUMIFS('Tourney History'!E:E,'Tourney History'!B:B,A29)-J29</f>
        <v>3</v>
      </c>
      <c r="L29" s="88">
        <f>LOOKUP(2, 1/('Tourney History'!$B:$B=A29), 'Tourney History'!$AB:$AB)</f>
        <v>0.4</v>
      </c>
      <c r="M29" s="34">
        <f>SUMIFS('Tourney History'!H:H,'Tourney History'!B:B,A29)</f>
        <v>8</v>
      </c>
      <c r="N29" s="2">
        <f>SUMIFS('Tourney History'!G:G,'Tourney History'!B:B,A29)-M29</f>
        <v>12</v>
      </c>
      <c r="O29" s="88">
        <f>LOOKUP(2, 1/('Tourney History'!$B:$B=A29), 'Tourney History'!$AC:$AC)</f>
        <v>0.4</v>
      </c>
      <c r="P29" s="2">
        <f>COUNTIFS('Tourney History'!$B:$B,$A$29,'Tourney History'!K:K, 1)</f>
        <v>0</v>
      </c>
      <c r="Q29" s="2">
        <f>COUNTIFS('Tourney History'!$B:$B,$A$29,'Tourney History'!L:L, 1)</f>
        <v>0</v>
      </c>
      <c r="R29" s="2">
        <f>COUNTIFS('Tourney History'!$B:$B,$A$29,'Tourney History'!M:M, 1)</f>
        <v>0</v>
      </c>
      <c r="S29" s="2">
        <f>COUNTIFS('Tourney History'!$B:$B,$A$29,'Tourney History'!N:N, 1)</f>
        <v>0</v>
      </c>
      <c r="T29" s="2">
        <f>COUNTIFS('Tourney History'!$B:$B,$A$29,'Tourney History'!O:O, 1)</f>
        <v>0</v>
      </c>
      <c r="U29" s="2">
        <f>COUNTIFS('Tourney History'!$B:$B,$A$29,'Tourney History'!P:P, 1)</f>
        <v>0</v>
      </c>
      <c r="V29" s="2">
        <f>COUNTIFS('Tourney History'!$B:$B,$A$29,'Tourney History'!Q:Q, 1)</f>
        <v>0</v>
      </c>
      <c r="W29" s="2">
        <f>COUNTIFS('Tourney History'!$B:$B,$A$29,'Tourney History'!R:R, 1)</f>
        <v>0</v>
      </c>
      <c r="X29" s="2">
        <f>COUNTIFS('Tourney History'!$B:$B,$A$29,'Tourney History'!S:S, 1)</f>
        <v>0</v>
      </c>
      <c r="Y29" s="2">
        <f>COUNTIFS('Tourney History'!$B:$B,$A$29,'Tourney History'!T:T, 1)</f>
        <v>0</v>
      </c>
      <c r="Z29" s="2">
        <f>COUNTIFS('Tourney History'!$B:$B,$A$29,'Tourney History'!U:U, 1)</f>
        <v>0</v>
      </c>
      <c r="AA29" s="2">
        <f>COUNTIFS('Tourney History'!$B:$B,$A$29,'Tourney History'!V:V, 1)</f>
        <v>0</v>
      </c>
      <c r="AB29" s="2">
        <f>COUNTIFS('Tourney History'!$B:$B,$A$29,'Tourney History'!W:W, 1)</f>
        <v>0</v>
      </c>
      <c r="AC29" s="2">
        <f>COUNTIFS('Tourney History'!$B:$B,$A$29,'Tourney History'!X:X, 1)</f>
        <v>1</v>
      </c>
      <c r="AD29" s="2">
        <f>COUNTIFS('Tourney History'!$B:$B,$A$29,'Tourney History'!Y:Y, 1)</f>
        <v>1</v>
      </c>
      <c r="AE29" s="2">
        <f>COUNTIFS('Tourney History'!$B:$B,$A$29,'Tourney History'!Z:Z, 1)</f>
        <v>0</v>
      </c>
    </row>
    <row r="30" spans="1:31" x14ac:dyDescent="0.25">
      <c r="A30" s="2" t="s">
        <v>17</v>
      </c>
      <c r="B30" s="2" t="s">
        <v>79</v>
      </c>
      <c r="C30" s="2" t="s">
        <v>79</v>
      </c>
      <c r="D30" s="34">
        <f>SUMIFS('Tourney History'!C:C,'Tourney History'!B:B,A30)</f>
        <v>191</v>
      </c>
      <c r="E30" s="4">
        <f>AVERAGEIFS('Tourney History'!C:C,'Tourney History'!B:B,A30)</f>
        <v>31.833333333333332</v>
      </c>
      <c r="F30" s="35">
        <f t="array" ref="F30">MAX(IF('Tourney History'!B:B=A30, 'Tourney History'!C:C))</f>
        <v>42</v>
      </c>
      <c r="G30" s="34">
        <f>COUNTIFS('Tourney History'!B:B,A30,'Tourney History'!D:D, 1)</f>
        <v>1</v>
      </c>
      <c r="H30" s="2">
        <f>COUNTIFS('Tourney History'!B:B,A30,'Tourney History'!D:D, 0)</f>
        <v>5</v>
      </c>
      <c r="I30" s="88">
        <f>LOOKUP(2, 1/('Tourney History'!$B:$B=A30), 'Tourney History'!$AD:$AD)</f>
        <v>0.16666666666666666</v>
      </c>
      <c r="J30" s="34">
        <f>SUMIFS('Tourney History'!F:F,'Tourney History'!B:B,A30)</f>
        <v>11</v>
      </c>
      <c r="K30" s="2">
        <f>SUMIFS('Tourney History'!E:E,'Tourney History'!B:B,A30)-J30</f>
        <v>15</v>
      </c>
      <c r="L30" s="88">
        <f>LOOKUP(2, 1/('Tourney History'!$B:$B=A30), 'Tourney History'!$AB:$AB)</f>
        <v>0.44999999999999996</v>
      </c>
      <c r="M30" s="34">
        <f>SUMIFS('Tourney History'!H:H,'Tourney History'!B:B,A30)</f>
        <v>53</v>
      </c>
      <c r="N30" s="2">
        <f>SUMIFS('Tourney History'!G:G,'Tourney History'!B:B,A30)-M30</f>
        <v>61</v>
      </c>
      <c r="O30" s="88">
        <f>LOOKUP(2, 1/('Tourney History'!$B:$B=A30), 'Tourney History'!$AC:$AC)</f>
        <v>0.47666666666666663</v>
      </c>
      <c r="P30" s="2">
        <f>COUNTIFS('Tourney History'!$B:$B,$A$30,'Tourney History'!K:K, 1)</f>
        <v>0</v>
      </c>
      <c r="Q30" s="2">
        <f>COUNTIFS('Tourney History'!$B:$B,$A$30,'Tourney History'!L:L, 1)</f>
        <v>0</v>
      </c>
      <c r="R30" s="2">
        <f>COUNTIFS('Tourney History'!$B:$B,$A$30,'Tourney History'!M:M, 1)</f>
        <v>0</v>
      </c>
      <c r="S30" s="2">
        <f>COUNTIFS('Tourney History'!$B:$B,$A$30,'Tourney History'!N:N, 1)</f>
        <v>0</v>
      </c>
      <c r="T30" s="2">
        <f>COUNTIFS('Tourney History'!$B:$B,$A$30,'Tourney History'!O:O, 1)</f>
        <v>0</v>
      </c>
      <c r="U30" s="2">
        <f>COUNTIFS('Tourney History'!$B:$B,$A$30,'Tourney History'!P:P, 1)</f>
        <v>1</v>
      </c>
      <c r="V30" s="2">
        <f>COUNTIFS('Tourney History'!$B:$B,$A$30,'Tourney History'!Q:Q, 1)</f>
        <v>0</v>
      </c>
      <c r="W30" s="2">
        <f>COUNTIFS('Tourney History'!$B:$B,$A$30,'Tourney History'!R:R, 1)</f>
        <v>0</v>
      </c>
      <c r="X30" s="2">
        <f>COUNTIFS('Tourney History'!$B:$B,$A$30,'Tourney History'!S:S, 1)</f>
        <v>0</v>
      </c>
      <c r="Y30" s="2">
        <f>COUNTIFS('Tourney History'!$B:$B,$A$30,'Tourney History'!T:T, 1)</f>
        <v>0</v>
      </c>
      <c r="Z30" s="2">
        <f>COUNTIFS('Tourney History'!$B:$B,$A$30,'Tourney History'!U:U, 1)</f>
        <v>0</v>
      </c>
      <c r="AA30" s="2">
        <f>COUNTIFS('Tourney History'!$B:$B,$A$30,'Tourney History'!V:V, 1)</f>
        <v>0</v>
      </c>
      <c r="AB30" s="2">
        <f>COUNTIFS('Tourney History'!$B:$B,$A$30,'Tourney History'!W:W, 1)</f>
        <v>3</v>
      </c>
      <c r="AC30" s="2">
        <f>COUNTIFS('Tourney History'!$B:$B,$A$30,'Tourney History'!X:X, 1)</f>
        <v>2</v>
      </c>
      <c r="AD30" s="2">
        <f>COUNTIFS('Tourney History'!$B:$B,$A$30,'Tourney History'!Y:Y, 1)</f>
        <v>2</v>
      </c>
      <c r="AE30" s="2">
        <f>COUNTIFS('Tourney History'!$B:$B,$A$30,'Tourney History'!Z:Z, 1)</f>
        <v>3</v>
      </c>
    </row>
    <row r="31" spans="1:31" x14ac:dyDescent="0.25">
      <c r="A31" s="2" t="s">
        <v>6</v>
      </c>
      <c r="B31" s="2" t="s">
        <v>124</v>
      </c>
      <c r="C31" s="2" t="s">
        <v>79</v>
      </c>
      <c r="D31" s="34">
        <f>SUMIFS('Tourney History'!C:C,'Tourney History'!B:B,A31)</f>
        <v>176</v>
      </c>
      <c r="E31" s="4">
        <f>AVERAGEIFS('Tourney History'!C:C,'Tourney History'!B:B,A31)</f>
        <v>25.142857142857142</v>
      </c>
      <c r="F31" s="35">
        <f t="array" ref="F31">MAX(IF('Tourney History'!B:B=A31, 'Tourney History'!C:C))</f>
        <v>33</v>
      </c>
      <c r="G31" s="34">
        <f>COUNTIFS('Tourney History'!B:B,A31,'Tourney History'!D:D, 1)</f>
        <v>5</v>
      </c>
      <c r="H31" s="2">
        <f>COUNTIFS('Tourney History'!B:B,A31,'Tourney History'!D:D, 0)</f>
        <v>2</v>
      </c>
      <c r="I31" s="88">
        <f>LOOKUP(2, 1/('Tourney History'!$B:$B=A31), 'Tourney History'!$AD:$AD)</f>
        <v>0.7142857142857143</v>
      </c>
      <c r="J31" s="34">
        <f>SUMIFS('Tourney History'!F:F,'Tourney History'!B:B,A31)</f>
        <v>18</v>
      </c>
      <c r="K31" s="2">
        <f>SUMIFS('Tourney History'!E:E,'Tourney History'!B:B,A31)-J31</f>
        <v>10</v>
      </c>
      <c r="L31" s="88">
        <f>LOOKUP(2, 1/('Tourney History'!$B:$B=A31), 'Tourney History'!$AB:$AB)</f>
        <v>0.6785714285714286</v>
      </c>
      <c r="M31" s="34">
        <f>SUMIFS('Tourney History'!H:H,'Tourney History'!B:B,A31)</f>
        <v>65</v>
      </c>
      <c r="N31" s="2">
        <f>SUMIFS('Tourney History'!G:G,'Tourney History'!B:B,A31)-M31</f>
        <v>56</v>
      </c>
      <c r="O31" s="88">
        <f>LOOKUP(2, 1/('Tourney History'!$B:$B=A31), 'Tourney History'!$AC:$AC)</f>
        <v>0.55999999999999994</v>
      </c>
      <c r="P31" s="2">
        <f>COUNTIFS('Tourney History'!$B:$B,$A$31,'Tourney History'!K:K, 1)</f>
        <v>0</v>
      </c>
      <c r="Q31" s="2">
        <f>COUNTIFS('Tourney History'!$B:$B,$A$31,'Tourney History'!L:L, 1)</f>
        <v>3</v>
      </c>
      <c r="R31" s="2">
        <f>COUNTIFS('Tourney History'!$B:$B,$A$31,'Tourney History'!M:M, 1)</f>
        <v>2</v>
      </c>
      <c r="S31" s="2">
        <f>COUNTIFS('Tourney History'!$B:$B,$A$31,'Tourney History'!N:N, 1)</f>
        <v>1</v>
      </c>
      <c r="T31" s="2">
        <f>COUNTIFS('Tourney History'!$B:$B,$A$31,'Tourney History'!O:O, 1)</f>
        <v>1</v>
      </c>
      <c r="U31" s="2">
        <f>COUNTIFS('Tourney History'!$B:$B,$A$31,'Tourney History'!P:P, 1)</f>
        <v>2</v>
      </c>
      <c r="V31" s="2">
        <f>COUNTIFS('Tourney History'!$B:$B,$A$31,'Tourney History'!Q:Q, 1)</f>
        <v>0</v>
      </c>
      <c r="W31" s="2">
        <f>COUNTIFS('Tourney History'!$B:$B,$A$31,'Tourney History'!R:R, 1)</f>
        <v>1</v>
      </c>
      <c r="X31" s="2">
        <f>COUNTIFS('Tourney History'!$B:$B,$A$31,'Tourney History'!S:S, 1)</f>
        <v>0</v>
      </c>
      <c r="Y31" s="2">
        <f>COUNTIFS('Tourney History'!$B:$B,$A$31,'Tourney History'!T:T, 1)</f>
        <v>0</v>
      </c>
      <c r="Z31" s="2">
        <f>COUNTIFS('Tourney History'!$B:$B,$A$31,'Tourney History'!U:U, 1)</f>
        <v>0</v>
      </c>
      <c r="AA31" s="2">
        <f>COUNTIFS('Tourney History'!$B:$B,$A$31,'Tourney History'!V:V, 1)</f>
        <v>0</v>
      </c>
      <c r="AB31" s="2">
        <f>COUNTIFS('Tourney History'!$B:$B,$A$31,'Tourney History'!W:W, 1)</f>
        <v>4</v>
      </c>
      <c r="AC31" s="2">
        <f>COUNTIFS('Tourney History'!$B:$B,$A$31,'Tourney History'!X:X, 1)</f>
        <v>1</v>
      </c>
      <c r="AD31" s="2">
        <f>COUNTIFS('Tourney History'!$B:$B,$A$31,'Tourney History'!Y:Y, 1)</f>
        <v>1</v>
      </c>
      <c r="AE31" s="2">
        <f>COUNTIFS('Tourney History'!$B:$B,$A$31,'Tourney History'!Z:Z, 1)</f>
        <v>2</v>
      </c>
    </row>
    <row r="32" spans="1:31" x14ac:dyDescent="0.25">
      <c r="A32" s="2" t="s">
        <v>18</v>
      </c>
      <c r="B32" s="2" t="s">
        <v>79</v>
      </c>
      <c r="C32" s="2" t="s">
        <v>79</v>
      </c>
      <c r="D32" s="34">
        <f>SUMIFS('Tourney History'!C:C,'Tourney History'!B:B,A32)</f>
        <v>212</v>
      </c>
      <c r="E32" s="4">
        <f>AVERAGEIFS('Tourney History'!C:C,'Tourney History'!B:B,A32)</f>
        <v>30.285714285714285</v>
      </c>
      <c r="F32" s="35">
        <f t="array" ref="F32">MAX(IF('Tourney History'!B:B=A32, 'Tourney History'!C:C))</f>
        <v>41</v>
      </c>
      <c r="G32" s="34">
        <f>COUNTIFS('Tourney History'!B:B,A32,'Tourney History'!D:D, 1)</f>
        <v>2</v>
      </c>
      <c r="H32" s="2">
        <f>COUNTIFS('Tourney History'!B:B,A32,'Tourney History'!D:D, 0)</f>
        <v>5</v>
      </c>
      <c r="I32" s="88">
        <f>LOOKUP(2, 1/('Tourney History'!$B:$B=A32), 'Tourney History'!$AD:$AD)</f>
        <v>0.2857142857142857</v>
      </c>
      <c r="J32" s="34">
        <f>SUMIFS('Tourney History'!F:F,'Tourney History'!B:B,A32)</f>
        <v>13</v>
      </c>
      <c r="K32" s="2">
        <f>SUMIFS('Tourney History'!E:E,'Tourney History'!B:B,A32)-J32</f>
        <v>17</v>
      </c>
      <c r="L32" s="88">
        <f>LOOKUP(2, 1/('Tourney History'!$B:$B=A32), 'Tourney History'!$AB:$AB)</f>
        <v>0.43571428571428567</v>
      </c>
      <c r="M32" s="34">
        <f>SUMIFS('Tourney History'!H:H,'Tourney History'!B:B,A32)</f>
        <v>58</v>
      </c>
      <c r="N32" s="2">
        <f>SUMIFS('Tourney History'!G:G,'Tourney History'!B:B,A32)-M32</f>
        <v>68</v>
      </c>
      <c r="O32" s="88">
        <f>LOOKUP(2, 1/('Tourney History'!$B:$B=A32), 'Tourney History'!$AC:$AC)</f>
        <v>0.46142857142857141</v>
      </c>
      <c r="P32" s="2">
        <f>COUNTIFS('Tourney History'!$B:$B,$A$32,'Tourney History'!K:K, 1)</f>
        <v>1</v>
      </c>
      <c r="Q32" s="2">
        <f>COUNTIFS('Tourney History'!$B:$B,$A$32,'Tourney History'!L:L, 1)</f>
        <v>0</v>
      </c>
      <c r="R32" s="2">
        <f>COUNTIFS('Tourney History'!$B:$B,$A$32,'Tourney History'!M:M, 1)</f>
        <v>0</v>
      </c>
      <c r="S32" s="2">
        <f>COUNTIFS('Tourney History'!$B:$B,$A$32,'Tourney History'!N:N, 1)</f>
        <v>3</v>
      </c>
      <c r="T32" s="2">
        <f>COUNTIFS('Tourney History'!$B:$B,$A$32,'Tourney History'!O:O, 1)</f>
        <v>0</v>
      </c>
      <c r="U32" s="2">
        <f>COUNTIFS('Tourney History'!$B:$B,$A$32,'Tourney History'!P:P, 1)</f>
        <v>2</v>
      </c>
      <c r="V32" s="2">
        <f>COUNTIFS('Tourney History'!$B:$B,$A$32,'Tourney History'!Q:Q, 1)</f>
        <v>0</v>
      </c>
      <c r="W32" s="2">
        <f>COUNTIFS('Tourney History'!$B:$B,$A$32,'Tourney History'!R:R, 1)</f>
        <v>2</v>
      </c>
      <c r="X32" s="2">
        <f>COUNTIFS('Tourney History'!$B:$B,$A$32,'Tourney History'!S:S, 1)</f>
        <v>0</v>
      </c>
      <c r="Y32" s="2">
        <f>COUNTIFS('Tourney History'!$B:$B,$A$32,'Tourney History'!T:T, 1)</f>
        <v>0</v>
      </c>
      <c r="Z32" s="2">
        <f>COUNTIFS('Tourney History'!$B:$B,$A$32,'Tourney History'!U:U, 1)</f>
        <v>0</v>
      </c>
      <c r="AA32" s="2">
        <f>COUNTIFS('Tourney History'!$B:$B,$A$32,'Tourney History'!V:V, 1)</f>
        <v>0</v>
      </c>
      <c r="AB32" s="2">
        <f>COUNTIFS('Tourney History'!$B:$B,$A$32,'Tourney History'!W:W, 1)</f>
        <v>2</v>
      </c>
      <c r="AC32" s="2">
        <f>COUNTIFS('Tourney History'!$B:$B,$A$32,'Tourney History'!X:X, 1)</f>
        <v>2</v>
      </c>
      <c r="AD32" s="2">
        <f>COUNTIFS('Tourney History'!$B:$B,$A$32,'Tourney History'!Y:Y, 1)</f>
        <v>0</v>
      </c>
      <c r="AE32" s="2">
        <f>COUNTIFS('Tourney History'!$B:$B,$A$32,'Tourney History'!Z:Z, 1)</f>
        <v>1</v>
      </c>
    </row>
    <row r="33" spans="1:31" x14ac:dyDescent="0.25">
      <c r="A33" s="2" t="s">
        <v>14</v>
      </c>
      <c r="B33" s="6" t="s">
        <v>124</v>
      </c>
      <c r="C33" s="6" t="s">
        <v>124</v>
      </c>
      <c r="D33" s="34">
        <f>SUMIFS('Tourney History'!C:C,'Tourney History'!B:B,A33)</f>
        <v>261</v>
      </c>
      <c r="E33" s="4">
        <f>AVERAGEIFS('Tourney History'!C:C,'Tourney History'!B:B,A33)</f>
        <v>37.285714285714285</v>
      </c>
      <c r="F33" s="35">
        <f t="array" ref="F33">MAX(IF('Tourney History'!B:B=A33, 'Tourney History'!C:C))</f>
        <v>56</v>
      </c>
      <c r="G33" s="34">
        <f>COUNTIFS('Tourney History'!B:B,A33,'Tourney History'!D:D, 1)</f>
        <v>4</v>
      </c>
      <c r="H33" s="2">
        <f>COUNTIFS('Tourney History'!B:B,A33,'Tourney History'!D:D, 0)</f>
        <v>3</v>
      </c>
      <c r="I33" s="88">
        <f>LOOKUP(2, 1/('Tourney History'!$B:$B=A33), 'Tourney History'!$AD:$AD)</f>
        <v>0.5714285714285714</v>
      </c>
      <c r="J33" s="34">
        <f>SUMIFS('Tourney History'!F:F,'Tourney History'!B:B,A33)</f>
        <v>15</v>
      </c>
      <c r="K33" s="2">
        <f>SUMIFS('Tourney History'!E:E,'Tourney History'!B:B,A33)-J33</f>
        <v>14</v>
      </c>
      <c r="L33" s="88">
        <f>LOOKUP(2, 1/('Tourney History'!$B:$B=A33), 'Tourney History'!$AB:$AB)</f>
        <v>0.52857142857142858</v>
      </c>
      <c r="M33" s="34">
        <f>SUMIFS('Tourney History'!H:H,'Tourney History'!B:B,A33)</f>
        <v>64</v>
      </c>
      <c r="N33" s="2">
        <f>SUMIFS('Tourney History'!G:G,'Tourney History'!B:B,A33)-M33</f>
        <v>60</v>
      </c>
      <c r="O33" s="88">
        <f>LOOKUP(2, 1/('Tourney History'!$B:$B=A33), 'Tourney History'!$AC:$AC)</f>
        <v>0.52571428571428569</v>
      </c>
      <c r="P33" s="2">
        <f>COUNTIFS('Tourney History'!$B:$B,$A$33,'Tourney History'!K:K, 1)</f>
        <v>0</v>
      </c>
      <c r="Q33" s="2">
        <f>COUNTIFS('Tourney History'!$B:$B,$A$33,'Tourney History'!L:L, 1)</f>
        <v>2</v>
      </c>
      <c r="R33" s="2">
        <f>COUNTIFS('Tourney History'!$B:$B,$A$33,'Tourney History'!M:M, 1)</f>
        <v>2</v>
      </c>
      <c r="S33" s="2">
        <f>COUNTIFS('Tourney History'!$B:$B,$A$33,'Tourney History'!N:N, 1)</f>
        <v>0</v>
      </c>
      <c r="T33" s="2">
        <f>COUNTIFS('Tourney History'!$B:$B,$A$33,'Tourney History'!O:O, 1)</f>
        <v>2</v>
      </c>
      <c r="U33" s="2">
        <f>COUNTIFS('Tourney History'!$B:$B,$A$33,'Tourney History'!P:P, 1)</f>
        <v>1</v>
      </c>
      <c r="V33" s="2">
        <f>COUNTIFS('Tourney History'!$B:$B,$A$33,'Tourney History'!Q:Q, 1)</f>
        <v>0</v>
      </c>
      <c r="W33" s="2">
        <f>COUNTIFS('Tourney History'!$B:$B,$A$33,'Tourney History'!R:R, 1)</f>
        <v>0</v>
      </c>
      <c r="X33" s="2">
        <f>COUNTIFS('Tourney History'!$B:$B,$A$33,'Tourney History'!S:S, 1)</f>
        <v>0</v>
      </c>
      <c r="Y33" s="2">
        <f>COUNTIFS('Tourney History'!$B:$B,$A$33,'Tourney History'!T:T, 1)</f>
        <v>0</v>
      </c>
      <c r="Z33" s="2">
        <f>COUNTIFS('Tourney History'!$B:$B,$A$33,'Tourney History'!U:U, 1)</f>
        <v>0</v>
      </c>
      <c r="AA33" s="2">
        <f>COUNTIFS('Tourney History'!$B:$B,$A$33,'Tourney History'!V:V, 1)</f>
        <v>0</v>
      </c>
      <c r="AB33" s="2">
        <f>COUNTIFS('Tourney History'!$B:$B,$A$33,'Tourney History'!W:W, 1)</f>
        <v>3</v>
      </c>
      <c r="AC33" s="2">
        <f>COUNTIFS('Tourney History'!$B:$B,$A$33,'Tourney History'!X:X, 1)</f>
        <v>3</v>
      </c>
      <c r="AD33" s="2">
        <f>COUNTIFS('Tourney History'!$B:$B,$A$33,'Tourney History'!Y:Y, 1)</f>
        <v>0</v>
      </c>
      <c r="AE33" s="2">
        <f>COUNTIFS('Tourney History'!$B:$B,$A$33,'Tourney History'!Z:Z, 1)</f>
        <v>2</v>
      </c>
    </row>
    <row r="34" spans="1:31" x14ac:dyDescent="0.25">
      <c r="A34" s="2" t="s">
        <v>70</v>
      </c>
      <c r="B34" s="6" t="s">
        <v>79</v>
      </c>
      <c r="C34" s="6" t="s">
        <v>79</v>
      </c>
      <c r="D34" s="34">
        <f>SUMIFS('Tourney History'!C:C,'Tourney History'!B:B,A34)</f>
        <v>25</v>
      </c>
      <c r="E34" s="4">
        <f>AVERAGEIFS('Tourney History'!C:C,'Tourney History'!B:B,A34)</f>
        <v>25</v>
      </c>
      <c r="F34" s="35">
        <f t="array" ref="F34">MAX(IF('Tourney History'!B:B=A34, 'Tourney History'!C:C))</f>
        <v>25</v>
      </c>
      <c r="G34" s="34">
        <f>COUNTIFS('Tourney History'!B:B,A34,'Tourney History'!D:D, 1)</f>
        <v>0</v>
      </c>
      <c r="H34" s="2">
        <f>COUNTIFS('Tourney History'!B:B,A34,'Tourney History'!D:D, 0)</f>
        <v>1</v>
      </c>
      <c r="I34" s="88">
        <f>LOOKUP(2, 1/('Tourney History'!$B:$B=A34), 'Tourney History'!$AD:$AD)</f>
        <v>0</v>
      </c>
      <c r="J34" s="34">
        <f>SUMIFS('Tourney History'!F:F,'Tourney History'!B:B,A34)</f>
        <v>2</v>
      </c>
      <c r="K34" s="2">
        <f>SUMIFS('Tourney History'!E:E,'Tourney History'!B:B,A34)-J34</f>
        <v>3</v>
      </c>
      <c r="L34" s="88">
        <f>LOOKUP(2, 1/('Tourney History'!$B:$B=A34), 'Tourney History'!$AB:$AB)</f>
        <v>0.4</v>
      </c>
      <c r="M34" s="34">
        <f>SUMIFS('Tourney History'!H:H,'Tourney History'!B:B,A34)</f>
        <v>10</v>
      </c>
      <c r="N34" s="2">
        <f>SUMIFS('Tourney History'!G:G,'Tourney History'!B:B,A34)-M34</f>
        <v>11</v>
      </c>
      <c r="O34" s="88">
        <f>LOOKUP(2, 1/('Tourney History'!$B:$B=A34), 'Tourney History'!$AC:$AC)</f>
        <v>0.48</v>
      </c>
      <c r="P34" s="2">
        <f>COUNTIFS('Tourney History'!$B:$B,$A$34,'Tourney History'!K:K, 1)</f>
        <v>0</v>
      </c>
      <c r="Q34" s="2">
        <f>COUNTIFS('Tourney History'!$B:$B,$A$34,'Tourney History'!L:L, 1)</f>
        <v>0</v>
      </c>
      <c r="R34" s="2">
        <f>COUNTIFS('Tourney History'!$B:$B,$A$34,'Tourney History'!M:M, 1)</f>
        <v>0</v>
      </c>
      <c r="S34" s="2">
        <f>COUNTIFS('Tourney History'!$B:$B,$A$34,'Tourney History'!N:N, 1)</f>
        <v>1</v>
      </c>
      <c r="T34" s="2">
        <f>COUNTIFS('Tourney History'!$B:$B,$A$34,'Tourney History'!O:O, 1)</f>
        <v>0</v>
      </c>
      <c r="U34" s="2">
        <f>COUNTIFS('Tourney History'!$B:$B,$A$34,'Tourney History'!P:P, 1)</f>
        <v>0</v>
      </c>
      <c r="V34" s="2">
        <f>COUNTIFS('Tourney History'!$B:$B,$A$34,'Tourney History'!Q:Q, 1)</f>
        <v>0</v>
      </c>
      <c r="W34" s="2">
        <f>COUNTIFS('Tourney History'!$B:$B,$A$34,'Tourney History'!R:R, 1)</f>
        <v>1</v>
      </c>
      <c r="X34" s="2">
        <f>COUNTIFS('Tourney History'!$B:$B,$A$34,'Tourney History'!S:S, 1)</f>
        <v>0</v>
      </c>
      <c r="Y34" s="2">
        <f>COUNTIFS('Tourney History'!$B:$B,$A$34,'Tourney History'!T:T, 1)</f>
        <v>0</v>
      </c>
      <c r="Z34" s="2">
        <f>COUNTIFS('Tourney History'!$B:$B,$A$34,'Tourney History'!U:U, 1)</f>
        <v>0</v>
      </c>
      <c r="AA34" s="2">
        <f>COUNTIFS('Tourney History'!$B:$B,$A$34,'Tourney History'!V:V, 1)</f>
        <v>0</v>
      </c>
      <c r="AB34" s="2">
        <f>COUNTIFS('Tourney History'!$B:$B,$A$34,'Tourney History'!W:W, 1)</f>
        <v>0</v>
      </c>
      <c r="AC34" s="2">
        <f>COUNTIFS('Tourney History'!$B:$B,$A$34,'Tourney History'!X:X, 1)</f>
        <v>0</v>
      </c>
      <c r="AD34" s="2">
        <f>COUNTIFS('Tourney History'!$B:$B,$A$34,'Tourney History'!Y:Y, 1)</f>
        <v>0</v>
      </c>
      <c r="AE34" s="2">
        <f>COUNTIFS('Tourney History'!$B:$B,$A$34,'Tourney History'!Z:Z, 1)</f>
        <v>0</v>
      </c>
    </row>
    <row r="35" spans="1:31" x14ac:dyDescent="0.25">
      <c r="A35" s="2" t="s">
        <v>4</v>
      </c>
      <c r="B35" s="2" t="s">
        <v>60</v>
      </c>
      <c r="C35" s="2" t="s">
        <v>79</v>
      </c>
      <c r="D35" s="34">
        <f>SUMIFS('Tourney History'!C:C,'Tourney History'!B:B,A35)</f>
        <v>61</v>
      </c>
      <c r="E35" s="4">
        <f>AVERAGEIFS('Tourney History'!C:C,'Tourney History'!B:B,A35)</f>
        <v>20.333333333333332</v>
      </c>
      <c r="F35" s="35">
        <f t="array" ref="F35">MAX(IF('Tourney History'!B:B=A35, 'Tourney History'!C:C))</f>
        <v>24</v>
      </c>
      <c r="G35" s="34">
        <f>COUNTIFS('Tourney History'!B:B,A35,'Tourney History'!D:D, 1)</f>
        <v>2</v>
      </c>
      <c r="H35" s="2">
        <f>COUNTIFS('Tourney History'!B:B,A35,'Tourney History'!D:D, 0)</f>
        <v>1</v>
      </c>
      <c r="I35" s="88">
        <f>LOOKUP(2, 1/('Tourney History'!$B:$B=A35), 'Tourney History'!$AD:$AD)</f>
        <v>0.66666666666666663</v>
      </c>
      <c r="J35" s="34">
        <f>SUMIFS('Tourney History'!F:F,'Tourney History'!B:B,A35)</f>
        <v>6</v>
      </c>
      <c r="K35" s="2">
        <f>SUMIFS('Tourney History'!E:E,'Tourney History'!B:B,A35)-J35</f>
        <v>6</v>
      </c>
      <c r="L35" s="88">
        <f>LOOKUP(2, 1/('Tourney History'!$B:$B=A35), 'Tourney History'!$AB:$AB)</f>
        <v>0.45</v>
      </c>
      <c r="M35" s="34">
        <f>SUMIFS('Tourney History'!H:H,'Tourney History'!B:B,A35)</f>
        <v>24</v>
      </c>
      <c r="N35" s="2">
        <f>SUMIFS('Tourney History'!G:G,'Tourney History'!B:B,A35)-M35</f>
        <v>25</v>
      </c>
      <c r="O35" s="88">
        <f>LOOKUP(2, 1/('Tourney History'!$B:$B=A35), 'Tourney History'!$AC:$AC)</f>
        <v>0.44666666666666671</v>
      </c>
      <c r="P35" s="2">
        <f>COUNTIFS('Tourney History'!$B:$B,$A$35,'Tourney History'!K:K, 1)</f>
        <v>0</v>
      </c>
      <c r="Q35" s="2">
        <f>COUNTIFS('Tourney History'!$B:$B,$A$35,'Tourney History'!L:L, 1)</f>
        <v>1</v>
      </c>
      <c r="R35" s="2">
        <f>COUNTIFS('Tourney History'!$B:$B,$A$35,'Tourney History'!M:M, 1)</f>
        <v>1</v>
      </c>
      <c r="S35" s="2">
        <f>COUNTIFS('Tourney History'!$B:$B,$A$35,'Tourney History'!N:N, 1)</f>
        <v>0</v>
      </c>
      <c r="T35" s="2">
        <f>COUNTIFS('Tourney History'!$B:$B,$A$35,'Tourney History'!O:O, 1)</f>
        <v>1</v>
      </c>
      <c r="U35" s="2">
        <f>COUNTIFS('Tourney History'!$B:$B,$A$35,'Tourney History'!P:P, 1)</f>
        <v>1</v>
      </c>
      <c r="V35" s="2">
        <f>COUNTIFS('Tourney History'!$B:$B,$A$35,'Tourney History'!Q:Q, 1)</f>
        <v>0</v>
      </c>
      <c r="W35" s="2">
        <f>COUNTIFS('Tourney History'!$B:$B,$A$35,'Tourney History'!R:R, 1)</f>
        <v>0</v>
      </c>
      <c r="X35" s="2">
        <f>COUNTIFS('Tourney History'!$B:$B,$A$35,'Tourney History'!S:S, 1)</f>
        <v>0</v>
      </c>
      <c r="Y35" s="2">
        <f>COUNTIFS('Tourney History'!$B:$B,$A$35,'Tourney History'!T:T, 1)</f>
        <v>0</v>
      </c>
      <c r="Z35" s="2">
        <f>COUNTIFS('Tourney History'!$B:$B,$A$35,'Tourney History'!U:U, 1)</f>
        <v>0</v>
      </c>
      <c r="AA35" s="2">
        <f>COUNTIFS('Tourney History'!$B:$B,$A$35,'Tourney History'!V:V, 1)</f>
        <v>0</v>
      </c>
      <c r="AB35" s="2">
        <f>COUNTIFS('Tourney History'!$B:$B,$A$35,'Tourney History'!W:W, 1)</f>
        <v>0</v>
      </c>
      <c r="AC35" s="2">
        <f>COUNTIFS('Tourney History'!$B:$B,$A$35,'Tourney History'!X:X, 1)</f>
        <v>0</v>
      </c>
      <c r="AD35" s="2">
        <f>COUNTIFS('Tourney History'!$B:$B,$A$35,'Tourney History'!Y:Y, 1)</f>
        <v>1</v>
      </c>
      <c r="AE35" s="2">
        <f>COUNTIFS('Tourney History'!$B:$B,$A$35,'Tourney History'!Z:Z, 1)</f>
        <v>1</v>
      </c>
    </row>
    <row r="36" spans="1:31" x14ac:dyDescent="0.25">
      <c r="A36" s="2" t="s">
        <v>55</v>
      </c>
      <c r="B36" s="2" t="s">
        <v>79</v>
      </c>
      <c r="C36" s="2" t="s">
        <v>79</v>
      </c>
      <c r="D36" s="34">
        <f>SUMIFS('Tourney History'!C:C,'Tourney History'!B:B,A36)</f>
        <v>18</v>
      </c>
      <c r="E36" s="4">
        <f>AVERAGEIFS('Tourney History'!C:C,'Tourney History'!B:B,A36)</f>
        <v>9</v>
      </c>
      <c r="F36" s="35">
        <f t="array" ref="F36">MAX(IF('Tourney History'!B:B=A36, 'Tourney History'!C:C))</f>
        <v>12</v>
      </c>
      <c r="G36" s="34">
        <f>COUNTIFS('Tourney History'!B:B,A36,'Tourney History'!D:D, 1)</f>
        <v>1</v>
      </c>
      <c r="H36" s="2">
        <f>COUNTIFS('Tourney History'!B:B,A36,'Tourney History'!D:D, 0)</f>
        <v>1</v>
      </c>
      <c r="I36" s="88">
        <f>LOOKUP(2, 1/('Tourney History'!$B:$B=A36), 'Tourney History'!$AD:$AD)</f>
        <v>0.5</v>
      </c>
      <c r="J36" s="34">
        <f>SUMIFS('Tourney History'!F:F,'Tourney History'!B:B,A36)</f>
        <v>4</v>
      </c>
      <c r="K36" s="2">
        <f>SUMIFS('Tourney History'!E:E,'Tourney History'!B:B,A36)-J36</f>
        <v>5</v>
      </c>
      <c r="L36" s="88">
        <f>LOOKUP(2, 1/('Tourney History'!$B:$B=A36), 'Tourney History'!$AB:$AB)</f>
        <v>0.42499999999999999</v>
      </c>
      <c r="M36" s="34">
        <f>SUMIFS('Tourney History'!H:H,'Tourney History'!B:B,A36)</f>
        <v>18</v>
      </c>
      <c r="N36" s="2">
        <f>SUMIFS('Tourney History'!G:G,'Tourney History'!B:B,A36)-M36</f>
        <v>19</v>
      </c>
      <c r="O36" s="88">
        <f>LOOKUP(2, 1/('Tourney History'!$B:$B=A36), 'Tourney History'!$AC:$AC)</f>
        <v>0.47499999999999998</v>
      </c>
      <c r="P36" s="2">
        <f>COUNTIFS('Tourney History'!$B:$B,$A$36,'Tourney History'!K:K, 1)</f>
        <v>0</v>
      </c>
      <c r="Q36" s="2">
        <f>COUNTIFS('Tourney History'!$B:$B,$A$36,'Tourney History'!L:L, 1)</f>
        <v>0</v>
      </c>
      <c r="R36" s="2">
        <f>COUNTIFS('Tourney History'!$B:$B,$A$36,'Tourney History'!M:M, 1)</f>
        <v>0</v>
      </c>
      <c r="S36" s="2">
        <f>COUNTIFS('Tourney History'!$B:$B,$A$36,'Tourney History'!N:N, 1)</f>
        <v>1</v>
      </c>
      <c r="T36" s="2">
        <f>COUNTIFS('Tourney History'!$B:$B,$A$36,'Tourney History'!O:O, 1)</f>
        <v>1</v>
      </c>
      <c r="U36" s="2">
        <f>COUNTIFS('Tourney History'!$B:$B,$A$36,'Tourney History'!P:P, 1)</f>
        <v>0</v>
      </c>
      <c r="V36" s="2">
        <f>COUNTIFS('Tourney History'!$B:$B,$A$36,'Tourney History'!Q:Q, 1)</f>
        <v>1</v>
      </c>
      <c r="W36" s="2">
        <f>COUNTIFS('Tourney History'!$B:$B,$A$36,'Tourney History'!R:R, 1)</f>
        <v>0</v>
      </c>
      <c r="X36" s="2">
        <f>COUNTIFS('Tourney History'!$B:$B,$A$36,'Tourney History'!S:S, 1)</f>
        <v>0</v>
      </c>
      <c r="Y36" s="2">
        <f>COUNTIFS('Tourney History'!$B:$B,$A$36,'Tourney History'!T:T, 1)</f>
        <v>0</v>
      </c>
      <c r="Z36" s="2">
        <f>COUNTIFS('Tourney History'!$B:$B,$A$36,'Tourney History'!U:U, 1)</f>
        <v>0</v>
      </c>
      <c r="AA36" s="2">
        <f>COUNTIFS('Tourney History'!$B:$B,$A$36,'Tourney History'!V:V, 1)</f>
        <v>0</v>
      </c>
      <c r="AB36" s="2">
        <f>COUNTIFS('Tourney History'!$B:$B,$A$36,'Tourney History'!W:W, 1)</f>
        <v>0</v>
      </c>
      <c r="AC36" s="2">
        <f>COUNTIFS('Tourney History'!$B:$B,$A$36,'Tourney History'!X:X, 1)</f>
        <v>1</v>
      </c>
      <c r="AD36" s="2">
        <f>COUNTIFS('Tourney History'!$B:$B,$A$36,'Tourney History'!Y:Y, 1)</f>
        <v>0</v>
      </c>
      <c r="AE36" s="2">
        <f>COUNTIFS('Tourney History'!$B:$B,$A$36,'Tourney History'!Z:Z, 1)</f>
        <v>0</v>
      </c>
    </row>
  </sheetData>
  <autoFilter ref="A1:AE36" xr:uid="{EEC03B8F-669F-4FC0-BA62-50F3D395660C}"/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1B33F-0D7A-4AAD-BD51-99562648A6BB}">
  <dimension ref="A1:E7"/>
  <sheetViews>
    <sheetView workbookViewId="0">
      <selection activeCell="C12" sqref="C12"/>
    </sheetView>
  </sheetViews>
  <sheetFormatPr defaultRowHeight="15" x14ac:dyDescent="0.25"/>
  <cols>
    <col min="1" max="1" width="56.28515625" bestFit="1" customWidth="1"/>
  </cols>
  <sheetData>
    <row r="1" spans="1:5" x14ac:dyDescent="0.25">
      <c r="A1" s="53">
        <v>46082</v>
      </c>
      <c r="E1" s="1"/>
    </row>
    <row r="2" spans="1:5" x14ac:dyDescent="0.25">
      <c r="E2" s="1"/>
    </row>
    <row r="3" spans="1:5" x14ac:dyDescent="0.25">
      <c r="A3" s="54" t="s">
        <v>110</v>
      </c>
      <c r="E3" s="1"/>
    </row>
    <row r="4" spans="1:5" x14ac:dyDescent="0.25">
      <c r="A4" s="54" t="s">
        <v>109</v>
      </c>
      <c r="E4" s="1"/>
    </row>
    <row r="5" spans="1:5" x14ac:dyDescent="0.25">
      <c r="A5" t="s">
        <v>111</v>
      </c>
      <c r="E5" s="1"/>
    </row>
    <row r="6" spans="1:5" x14ac:dyDescent="0.25">
      <c r="A6" t="s">
        <v>117</v>
      </c>
      <c r="E6" s="1"/>
    </row>
    <row r="7" spans="1:5" x14ac:dyDescent="0.25">
      <c r="E7" s="1"/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0A237-5C74-4CF2-9F1D-8BC50443A1F4}">
  <dimension ref="A1:AH36"/>
  <sheetViews>
    <sheetView workbookViewId="0">
      <selection activeCell="K7" sqref="K7:K8"/>
    </sheetView>
  </sheetViews>
  <sheetFormatPr defaultRowHeight="15" x14ac:dyDescent="0.25"/>
  <cols>
    <col min="2" max="2" width="15.28515625" customWidth="1"/>
    <col min="3" max="3" width="16.42578125" customWidth="1"/>
    <col min="4" max="4" width="17.28515625" customWidth="1"/>
    <col min="5" max="5" width="17" customWidth="1"/>
    <col min="16" max="16" width="8.140625" bestFit="1" customWidth="1"/>
    <col min="17" max="17" width="9.5703125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  <col min="30" max="30" width="11.5703125" customWidth="1"/>
  </cols>
  <sheetData>
    <row r="1" spans="1:34" x14ac:dyDescent="0.25">
      <c r="C1" s="99" t="s">
        <v>7</v>
      </c>
      <c r="D1" s="100"/>
      <c r="E1" s="101"/>
      <c r="F1" s="99" t="s">
        <v>22</v>
      </c>
      <c r="G1" s="100"/>
      <c r="H1" s="101"/>
      <c r="I1" s="99" t="s">
        <v>16</v>
      </c>
      <c r="J1" s="100"/>
      <c r="K1" s="101"/>
      <c r="L1" s="99" t="s">
        <v>23</v>
      </c>
      <c r="M1" s="100"/>
      <c r="N1" s="101"/>
      <c r="O1" s="99" t="s">
        <v>64</v>
      </c>
      <c r="P1" s="100"/>
      <c r="Q1" s="100"/>
      <c r="R1" s="100"/>
      <c r="S1" s="100"/>
      <c r="T1" s="100"/>
      <c r="U1" s="100"/>
      <c r="V1" s="100"/>
      <c r="W1" s="100"/>
      <c r="X1" s="100"/>
      <c r="Y1" s="100"/>
      <c r="Z1" s="100"/>
      <c r="AA1" s="100"/>
      <c r="AB1" s="100"/>
      <c r="AC1" s="100"/>
      <c r="AD1" s="55"/>
      <c r="AE1" s="55"/>
      <c r="AF1" s="55"/>
      <c r="AG1" s="55"/>
      <c r="AH1" s="56"/>
    </row>
    <row r="2" spans="1:34" ht="45.75" thickBot="1" x14ac:dyDescent="0.3">
      <c r="B2" s="3" t="s">
        <v>0</v>
      </c>
      <c r="C2" s="20" t="s">
        <v>7</v>
      </c>
      <c r="D2" s="21" t="s">
        <v>36</v>
      </c>
      <c r="E2" s="24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17" t="s">
        <v>62</v>
      </c>
      <c r="P2" s="29" t="s">
        <v>63</v>
      </c>
      <c r="Q2" s="57" t="s">
        <v>106</v>
      </c>
      <c r="R2" s="29" t="s">
        <v>56</v>
      </c>
      <c r="S2" s="29" t="s">
        <v>32</v>
      </c>
      <c r="T2" s="57" t="s">
        <v>66</v>
      </c>
      <c r="U2" s="29" t="s">
        <v>67</v>
      </c>
      <c r="V2" s="29" t="s">
        <v>68</v>
      </c>
      <c r="W2" s="57" t="s">
        <v>69</v>
      </c>
      <c r="X2" s="57" t="s">
        <v>72</v>
      </c>
      <c r="Y2" s="57" t="s">
        <v>73</v>
      </c>
      <c r="Z2" s="57" t="s">
        <v>41</v>
      </c>
      <c r="AA2" s="57" t="s">
        <v>91</v>
      </c>
      <c r="AB2" s="57" t="s">
        <v>92</v>
      </c>
      <c r="AC2" s="57" t="s">
        <v>93</v>
      </c>
      <c r="AD2" s="29" t="s">
        <v>95</v>
      </c>
      <c r="AE2" s="29" t="s">
        <v>96</v>
      </c>
      <c r="AF2" s="57" t="s">
        <v>104</v>
      </c>
      <c r="AG2" s="57" t="s">
        <v>112</v>
      </c>
      <c r="AH2" s="58" t="s">
        <v>116</v>
      </c>
    </row>
    <row r="3" spans="1:34" x14ac:dyDescent="0.25">
      <c r="A3" s="102" t="s">
        <v>75</v>
      </c>
      <c r="B3" s="7" t="s">
        <v>37</v>
      </c>
      <c r="C3" s="13">
        <f>INDEX(BA!B2:B46,MATCH('Match Analyzer BA'!$B$3,BA!$A$2:$A$46,0))</f>
        <v>95</v>
      </c>
      <c r="D3" s="59">
        <f>INDEX(BA!C2:C46,MATCH('Match Analyzer BA'!$B$3,BA!$A$2:$A$46,0))</f>
        <v>13.571428571428571</v>
      </c>
      <c r="E3" s="14">
        <f>INDEX(BA!D2:D46,MATCH('Match Analyzer BA'!$B$3,BA!$A$2:$A$46,0))</f>
        <v>19</v>
      </c>
      <c r="F3" s="13">
        <f>INDEX(BA!E2:E46,MATCH('Match Analyzer BA'!$B$3,BA!$A$2:$A$46,0))</f>
        <v>3</v>
      </c>
      <c r="G3" s="26">
        <f>INDEX(BA!F2:F46,MATCH('Match Analyzer BA'!$B$3,BA!$A$2:$A$46,0))</f>
        <v>4</v>
      </c>
      <c r="H3" s="73">
        <f>INDEX(BA!G2:G46,MATCH('Match Analyzer BA'!$B$3,BA!$A$2:$A$46,0))</f>
        <v>0.42857142857142855</v>
      </c>
      <c r="I3" s="13">
        <f>INDEX(BA!H2:H46,MATCH('Match Analyzer BA'!$B$3,BA!$A$2:$A$46,0))</f>
        <v>17</v>
      </c>
      <c r="J3" s="26">
        <f>INDEX(BA!I2:I46,MATCH('Match Analyzer BA'!$B$3,BA!$A$2:$A$46,0))</f>
        <v>14</v>
      </c>
      <c r="K3" s="73">
        <f>INDEX(BA!J2:J46,MATCH('Match Analyzer BA'!$B$3,BA!$A$2:$A$46,0))</f>
        <v>0.54838709677419351</v>
      </c>
      <c r="L3" s="13">
        <f>INDEX(BA!K2:K46,MATCH('Match Analyzer BA'!$B$3,BA!$A$2:$A$46,0))</f>
        <v>69</v>
      </c>
      <c r="M3" s="26">
        <f>INDEX(BA!L2:L46,MATCH('Match Analyzer BA'!$B$3,BA!$A$2:$A$46,0))</f>
        <v>62</v>
      </c>
      <c r="N3" s="73">
        <f>INDEX(BA!M2:M46,MATCH('Match Analyzer BA'!$B$3,BA!$A$2:$A$46,0))</f>
        <v>0.52671755725190839</v>
      </c>
      <c r="O3" s="13">
        <f>INDEX(BA!V2:V46,MATCH('Match Analyzer BA'!$B$3,BA!$A$2:$A$46,0))</f>
        <v>0</v>
      </c>
      <c r="P3" s="26">
        <f>INDEX(BA!Q2:Q46,MATCH('Match Analyzer BA'!$B$3,BA!$A$2:$A$46,0))</f>
        <v>0</v>
      </c>
      <c r="Q3" s="26">
        <f>INDEX(BA!U2:U46,MATCH('Match Analyzer BA'!$B$3,BA!$A$2:$A$46,0))</f>
        <v>2</v>
      </c>
      <c r="R3" s="26">
        <f>INDEX(BA!AB2:AB46,MATCH('Match Analyzer BA'!$B$3,BA!$A$2:$A$46,0))</f>
        <v>1</v>
      </c>
      <c r="S3" s="26">
        <f>INDEX(BA!T2:T46,MATCH('Match Analyzer BA'!$B$3,BA!$A$2:$A$46,0))</f>
        <v>0</v>
      </c>
      <c r="T3" s="26">
        <f>INDEX(BA!AD2:AD46,MATCH('Match Analyzer BA'!$B$3,BA!$A$2:$A$46,0))</f>
        <v>1</v>
      </c>
      <c r="U3" s="26">
        <f>INDEX(BA!AA2:AA46,MATCH('Match Analyzer BA'!$B$3,BA!$A$2:$A$46,0))</f>
        <v>2</v>
      </c>
      <c r="V3" s="26">
        <f>INDEX(BA!AF2:AF46,MATCH('Match Analyzer BA'!$B$3,BA!$A$2:$A$46,0))</f>
        <v>1</v>
      </c>
      <c r="W3" s="26">
        <f>INDEX(BA!P2:P46,MATCH('Match Analyzer BA'!$B$3,BA!$A$2:$A$46,0))</f>
        <v>2</v>
      </c>
      <c r="X3" s="26">
        <f>INDEX(BA!AE2:AE46,MATCH('Match Analyzer BA'!$B$3,BA!$A$2:$A$46,0))</f>
        <v>2</v>
      </c>
      <c r="Y3" s="26">
        <f>INDEX(BA!W2:W46,MATCH('Match Analyzer BA'!$B$3,BA!$A$2:$A$46,0))</f>
        <v>0</v>
      </c>
      <c r="Z3" s="26">
        <f>INDEX(BA!O2:O46,MATCH('Match Analyzer BA'!$B$3,BA!$A$2:$A$46,0))</f>
        <v>1</v>
      </c>
      <c r="AA3" s="26">
        <f>INDEX(BA!X2:X46,MATCH('Match Analyzer BA'!$B$3,BA!$A$2:$A$46,0))</f>
        <v>2</v>
      </c>
      <c r="AB3" s="26">
        <f>INDEX(BA!Z2:Z46,MATCH('Match Analyzer BA'!$B$3,BA!$A$2:$A$46,0))</f>
        <v>0</v>
      </c>
      <c r="AC3" s="26">
        <f>INDEX(BA!N2:N46,MATCH('Match Analyzer BA'!$B$3,BA!$A$2:$A$46,0))</f>
        <v>1</v>
      </c>
      <c r="AD3" s="26">
        <f>INDEX(BA!Y2:Y46,MATCH('Match Analyzer BA'!$B$3,BA!$A$2:$A$46,0))</f>
        <v>0</v>
      </c>
      <c r="AE3" s="26">
        <f>INDEX(BA!AH2:AH46,MATCH('Match Analyzer BA'!$B$3,BA!$A$2:$A$46,0))</f>
        <v>2</v>
      </c>
      <c r="AF3" s="26">
        <f>INDEX(BA!AC2:AC46,MATCH('Match Analyzer BA'!$B$3,BA!$A$2:$A$46,0))</f>
        <v>0</v>
      </c>
      <c r="AG3" s="26">
        <f>INDEX(BA!S2:S46,MATCH('Match Analyzer BA'!$B$3,BA!$A$2:$A$46,0))</f>
        <v>0</v>
      </c>
      <c r="AH3" s="14">
        <f>INDEX(BA!R2:R46,MATCH('Match Analyzer BA'!$B$3,BA!$A$2:$A$46,0))</f>
        <v>0</v>
      </c>
    </row>
    <row r="4" spans="1:34" x14ac:dyDescent="0.25">
      <c r="A4" s="102"/>
      <c r="B4" s="7" t="s">
        <v>37</v>
      </c>
      <c r="C4" s="13">
        <f>INDEX(BA!B2:B46,MATCH('Match Analyzer BA'!$B$4,BA!$A$2:$A$46,0))</f>
        <v>95</v>
      </c>
      <c r="D4" s="59">
        <f>INDEX(BA!C2:C46,MATCH('Match Analyzer BA'!$B$4,BA!$A$2:$A$46,0))</f>
        <v>13.571428571428571</v>
      </c>
      <c r="E4" s="14">
        <f>INDEX(BA!D2:D46,MATCH('Match Analyzer BA'!$B$4,BA!$A$2:$A$46,0))</f>
        <v>19</v>
      </c>
      <c r="F4" s="13">
        <f>INDEX(BA!E2:E46,MATCH('Match Analyzer BA'!$B$4,BA!$A$2:$A$46,0))</f>
        <v>3</v>
      </c>
      <c r="G4" s="26">
        <f>INDEX(BA!F2:F46,MATCH('Match Analyzer BA'!$B$4,BA!$A$2:$A$46,0))</f>
        <v>4</v>
      </c>
      <c r="H4" s="73">
        <f>INDEX(BA!G2:G46,MATCH('Match Analyzer BA'!$B$4,BA!$A$2:$A$46,0))</f>
        <v>0.42857142857142855</v>
      </c>
      <c r="I4" s="13">
        <f>INDEX(BA!H2:H46,MATCH('Match Analyzer BA'!$B$4,BA!$A$2:$A$46,0))</f>
        <v>17</v>
      </c>
      <c r="J4" s="26">
        <f>INDEX(BA!I2:I46,MATCH('Match Analyzer BA'!$B$4,BA!$A$2:$A$46,0))</f>
        <v>14</v>
      </c>
      <c r="K4" s="73">
        <f>INDEX(BA!J2:J46,MATCH('Match Analyzer BA'!$B$4,BA!$A$2:$A$46,0))</f>
        <v>0.54838709677419351</v>
      </c>
      <c r="L4" s="13">
        <f>INDEX(BA!K2:K46,MATCH('Match Analyzer BA'!$B$4,BA!$A$2:$A$46,0))</f>
        <v>69</v>
      </c>
      <c r="M4" s="26">
        <f>INDEX(BA!L2:L46,MATCH('Match Analyzer BA'!$B$4,BA!$A$2:$A$46,0))</f>
        <v>62</v>
      </c>
      <c r="N4" s="73">
        <f>INDEX(BA!M2:M46,MATCH('Match Analyzer BA'!$B$4,BA!$A$2:$A$46,0))</f>
        <v>0.52671755725190839</v>
      </c>
      <c r="O4" s="13">
        <f>INDEX(BA!V2:V46,MATCH('Match Analyzer BA'!$B$4,BA!$A$2:$A$46,0))</f>
        <v>0</v>
      </c>
      <c r="P4" s="26">
        <f>INDEX(BA!Q2:Q46,MATCH('Match Analyzer BA'!$B$4,BA!$A$2:$A$46,0))</f>
        <v>0</v>
      </c>
      <c r="Q4" s="26">
        <f>INDEX(BA!U2:U46,MATCH('Match Analyzer BA'!$B$4,BA!$A$2:$A$46,0))</f>
        <v>2</v>
      </c>
      <c r="R4" s="26">
        <f>INDEX(BA!AB2:AB46,MATCH('Match Analyzer BA'!$B$4,BA!$A$2:$A$46,0))</f>
        <v>1</v>
      </c>
      <c r="S4" s="26">
        <f>INDEX(BA!T2:T46,MATCH('Match Analyzer BA'!$B$4,BA!$A$2:$A$46,0))</f>
        <v>0</v>
      </c>
      <c r="T4" s="26">
        <f>INDEX(BA!AD2:AD46,MATCH('Match Analyzer BA'!$B$4,BA!$A$2:$A$46,0))</f>
        <v>1</v>
      </c>
      <c r="U4" s="26">
        <f>INDEX(BA!AA2:AA46,MATCH('Match Analyzer BA'!$B$4,BA!$A$2:$A$46,0))</f>
        <v>2</v>
      </c>
      <c r="V4" s="26">
        <f>INDEX(BA!AF2:AF46,MATCH('Match Analyzer BA'!$B$4,BA!$A$2:$A$46,0))</f>
        <v>1</v>
      </c>
      <c r="W4" s="26">
        <f>INDEX(BA!P2:P46,MATCH('Match Analyzer BA'!$B$4,BA!$A$2:$A$46,0))</f>
        <v>2</v>
      </c>
      <c r="X4" s="26">
        <f>INDEX(BA!AE2:AE46,MATCH('Match Analyzer BA'!$B$4,BA!$A$2:$A$46,0))</f>
        <v>2</v>
      </c>
      <c r="Y4" s="26">
        <f>INDEX(BA!W2:W46,MATCH('Match Analyzer BA'!$B$4,BA!$A$2:$A$46,0))</f>
        <v>0</v>
      </c>
      <c r="Z4" s="26">
        <f>INDEX(BA!O2:O46,MATCH('Match Analyzer BA'!$B$4,BA!$A$2:$A$46,0))</f>
        <v>1</v>
      </c>
      <c r="AA4" s="26">
        <f>INDEX(BA!X2:X46,MATCH('Match Analyzer BA'!$B$4,BA!$A$2:$A$46,0))</f>
        <v>2</v>
      </c>
      <c r="AB4" s="26">
        <f>INDEX(BA!Z2:Z46,MATCH('Match Analyzer BA'!$B$4,BA!$A$2:$A$46,0))</f>
        <v>0</v>
      </c>
      <c r="AC4" s="26">
        <f>INDEX(BA!N2:N46,MATCH('Match Analyzer BA'!$B$4,BA!$A$2:$A$46,0))</f>
        <v>1</v>
      </c>
      <c r="AD4" s="26">
        <f>INDEX(BA!Y2:Y46,MATCH('Match Analyzer BA'!$B$4,BA!$A$2:$A$46,0))</f>
        <v>0</v>
      </c>
      <c r="AE4" s="26">
        <f>INDEX(BA!AH2:AH46,MATCH('Match Analyzer BA'!$B$4,BA!$A$2:$A$46,0))</f>
        <v>2</v>
      </c>
      <c r="AF4" s="26">
        <f>INDEX(BA!AC2:AC46,MATCH('Match Analyzer BA'!$B$4,BA!$A$2:$A$46,0))</f>
        <v>0</v>
      </c>
      <c r="AG4" s="26">
        <f>INDEX(BA!S2:S46,MATCH('Match Analyzer BA'!$B$4,BA!$A$2:$A$46,0))</f>
        <v>0</v>
      </c>
      <c r="AH4" s="14">
        <f>INDEX(BA!R2:R46,MATCH('Match Analyzer BA'!$B$4,BA!$A$2:$A$46,0))</f>
        <v>0</v>
      </c>
    </row>
    <row r="5" spans="1:34" x14ac:dyDescent="0.25">
      <c r="A5" s="102"/>
      <c r="B5" s="7" t="s">
        <v>35</v>
      </c>
      <c r="C5" s="13">
        <f>INDEX(BA!B2:B46,MATCH('Match Analyzer BA'!$B$5,BA!$A$2:$A$46,0))</f>
        <v>214</v>
      </c>
      <c r="D5" s="59">
        <f>INDEX(BA!C2:C46,MATCH('Match Analyzer BA'!$B$5,BA!$A$2:$A$46,0))</f>
        <v>11.263157894736842</v>
      </c>
      <c r="E5" s="14">
        <f>INDEX(BA!D2:D46,MATCH('Match Analyzer BA'!$B$5,BA!$A$2:$A$46,0))</f>
        <v>20</v>
      </c>
      <c r="F5" s="13">
        <f>INDEX(BA!E2:E46,MATCH('Match Analyzer BA'!$B$5,BA!$A$2:$A$46,0))</f>
        <v>6</v>
      </c>
      <c r="G5" s="26">
        <f>INDEX(BA!F2:F46,MATCH('Match Analyzer BA'!$B$5,BA!$A$2:$A$46,0))</f>
        <v>13</v>
      </c>
      <c r="H5" s="73">
        <f>INDEX(BA!G2:G46,MATCH('Match Analyzer BA'!$B$5,BA!$A$2:$A$46,0))</f>
        <v>0.31578947368421051</v>
      </c>
      <c r="I5" s="13">
        <f>INDEX(BA!H2:H46,MATCH('Match Analyzer BA'!$B$5,BA!$A$2:$A$46,0))</f>
        <v>33</v>
      </c>
      <c r="J5" s="26">
        <f>INDEX(BA!I2:I46,MATCH('Match Analyzer BA'!$B$5,BA!$A$2:$A$46,0))</f>
        <v>47</v>
      </c>
      <c r="K5" s="73">
        <f>INDEX(BA!J2:J46,MATCH('Match Analyzer BA'!$B$5,BA!$A$2:$A$46,0))</f>
        <v>0.41249999999999998</v>
      </c>
      <c r="L5" s="13">
        <f>INDEX(BA!K2:K46,MATCH('Match Analyzer BA'!$B$5,BA!$A$2:$A$46,0))</f>
        <v>157</v>
      </c>
      <c r="M5" s="26">
        <f>INDEX(BA!L2:L46,MATCH('Match Analyzer BA'!$B$5,BA!$A$2:$A$46,0))</f>
        <v>176</v>
      </c>
      <c r="N5" s="73">
        <f>INDEX(BA!M2:M46,MATCH('Match Analyzer BA'!$B$5,BA!$A$2:$A$46,0))</f>
        <v>0.47147147147147145</v>
      </c>
      <c r="O5" s="13">
        <f>INDEX(BA!V2:V46,MATCH('Match Analyzer BA'!$B$5,BA!$A$2:$A$46,0))</f>
        <v>1</v>
      </c>
      <c r="P5" s="26">
        <f>INDEX(BA!Q2:Q46,MATCH('Match Analyzer BA'!$B$5,BA!$A$2:$A$46,0))</f>
        <v>2</v>
      </c>
      <c r="Q5" s="26">
        <f>INDEX(BA!U2:U46,MATCH('Match Analyzer BA'!$B$5,BA!$A$2:$A$46,0))</f>
        <v>3</v>
      </c>
      <c r="R5" s="26">
        <f>INDEX(BA!AB2:AB46,MATCH('Match Analyzer BA'!$B$5,BA!$A$2:$A$46,0))</f>
        <v>5</v>
      </c>
      <c r="S5" s="26">
        <f>INDEX(BA!T2:T46,MATCH('Match Analyzer BA'!$B$5,BA!$A$2:$A$46,0))</f>
        <v>1</v>
      </c>
      <c r="T5" s="26">
        <f>INDEX(BA!AD2:AD46,MATCH('Match Analyzer BA'!$B$5,BA!$A$2:$A$46,0))</f>
        <v>3</v>
      </c>
      <c r="U5" s="26">
        <f>INDEX(BA!AA2:AA46,MATCH('Match Analyzer BA'!$B$5,BA!$A$2:$A$46,0))</f>
        <v>1</v>
      </c>
      <c r="V5" s="26">
        <f>INDEX(BA!AF2:AF46,MATCH('Match Analyzer BA'!$B$5,BA!$A$2:$A$46,0))</f>
        <v>3</v>
      </c>
      <c r="W5" s="26">
        <f>INDEX(BA!P2:P46,MATCH('Match Analyzer BA'!$B$5,BA!$A$2:$A$46,0))</f>
        <v>2</v>
      </c>
      <c r="X5" s="26">
        <f>INDEX(BA!AE2:AE46,MATCH('Match Analyzer BA'!$B$5,BA!$A$2:$A$46,0))</f>
        <v>4</v>
      </c>
      <c r="Y5" s="26">
        <f>INDEX(BA!W2:W46,MATCH('Match Analyzer BA'!$B$5,BA!$A$2:$A$46,0))</f>
        <v>1</v>
      </c>
      <c r="Z5" s="26">
        <f>INDEX(BA!O2:O46,MATCH('Match Analyzer BA'!$B$5,BA!$A$2:$A$46,0))</f>
        <v>2</v>
      </c>
      <c r="AA5" s="26">
        <f>INDEX(BA!X2:X46,MATCH('Match Analyzer BA'!$B$5,BA!$A$2:$A$46,0))</f>
        <v>2</v>
      </c>
      <c r="AB5" s="26">
        <f>INDEX(BA!Z2:Z46,MATCH('Match Analyzer BA'!$B$5,BA!$A$2:$A$46,0))</f>
        <v>1</v>
      </c>
      <c r="AC5" s="26">
        <f>INDEX(BA!N2:N46,MATCH('Match Analyzer BA'!$B$5,BA!$A$2:$A$46,0))</f>
        <v>0</v>
      </c>
      <c r="AD5" s="26">
        <f>INDEX(BA!Y2:Y46,MATCH('Match Analyzer BA'!$B$5,BA!$A$2:$A$46,0))</f>
        <v>0</v>
      </c>
      <c r="AE5" s="26">
        <f>INDEX(BA!AH2:AH46,MATCH('Match Analyzer BA'!$B$5,BA!$A$2:$A$46,0))</f>
        <v>1</v>
      </c>
      <c r="AF5" s="26">
        <f>INDEX(BA!AC2:AC46,MATCH('Match Analyzer BA'!$B$5,BA!$A$2:$A$46,0))</f>
        <v>0</v>
      </c>
      <c r="AG5" s="26">
        <f>INDEX(BA!S2:S46,MATCH('Match Analyzer BA'!$B$5,BA!$A$2:$A$46,0))</f>
        <v>0</v>
      </c>
      <c r="AH5" s="14">
        <f>INDEX(BA!R2:R46,MATCH('Match Analyzer BA'!$B$5,BA!$A$2:$A$46,0))</f>
        <v>1</v>
      </c>
    </row>
    <row r="6" spans="1:34" x14ac:dyDescent="0.25">
      <c r="A6" s="102"/>
      <c r="B6" s="7" t="s">
        <v>19</v>
      </c>
      <c r="C6" s="13">
        <f>INDEX(BA!B2:B46,MATCH('Match Analyzer BA'!$B$6,BA!$A$2:$A$46,0))</f>
        <v>88</v>
      </c>
      <c r="D6" s="59">
        <f>INDEX(BA!C2:C46,MATCH('Match Analyzer BA'!$B$6,BA!$A$2:$A$46,0))</f>
        <v>8</v>
      </c>
      <c r="E6" s="14">
        <f>INDEX(BA!D2:D46,MATCH('Match Analyzer BA'!$B$6,BA!$A$2:$A$46,0))</f>
        <v>11</v>
      </c>
      <c r="F6" s="13">
        <f>INDEX(BA!E2:E46,MATCH('Match Analyzer BA'!$B$6,BA!$A$2:$A$46,0))</f>
        <v>9</v>
      </c>
      <c r="G6" s="26">
        <f>INDEX(BA!F2:F46,MATCH('Match Analyzer BA'!$B$6,BA!$A$2:$A$46,0))</f>
        <v>2</v>
      </c>
      <c r="H6" s="73">
        <f>INDEX(BA!G2:G46,MATCH('Match Analyzer BA'!$B$6,BA!$A$2:$A$46,0))</f>
        <v>0.81818181818181823</v>
      </c>
      <c r="I6" s="13">
        <f>INDEX(BA!H2:H46,MATCH('Match Analyzer BA'!$B$6,BA!$A$2:$A$46,0))</f>
        <v>30</v>
      </c>
      <c r="J6" s="26">
        <f>INDEX(BA!I2:I46,MATCH('Match Analyzer BA'!$B$6,BA!$A$2:$A$46,0))</f>
        <v>16</v>
      </c>
      <c r="K6" s="73">
        <f>INDEX(BA!J2:J46,MATCH('Match Analyzer BA'!$B$6,BA!$A$2:$A$46,0))</f>
        <v>0.65217391304347827</v>
      </c>
      <c r="L6" s="13">
        <f>INDEX(BA!K2:K46,MATCH('Match Analyzer BA'!$B$6,BA!$A$2:$A$46,0))</f>
        <v>106</v>
      </c>
      <c r="M6" s="26">
        <f>INDEX(BA!L2:L46,MATCH('Match Analyzer BA'!$B$6,BA!$A$2:$A$46,0))</f>
        <v>79</v>
      </c>
      <c r="N6" s="73">
        <f>INDEX(BA!M2:M46,MATCH('Match Analyzer BA'!$B$6,BA!$A$2:$A$46,0))</f>
        <v>0.572972972972973</v>
      </c>
      <c r="O6" s="13">
        <f>INDEX(BA!V2:V46,MATCH('Match Analyzer BA'!$B$6,BA!$A$2:$A$46,0))</f>
        <v>1</v>
      </c>
      <c r="P6" s="26">
        <f>INDEX(BA!Q2:Q46,MATCH('Match Analyzer BA'!$B$6,BA!$A$2:$A$46,0))</f>
        <v>2</v>
      </c>
      <c r="Q6" s="26">
        <f>INDEX(BA!U2:U46,MATCH('Match Analyzer BA'!$B$6,BA!$A$2:$A$46,0))</f>
        <v>1</v>
      </c>
      <c r="R6" s="26">
        <f>INDEX(BA!AB2:AB46,MATCH('Match Analyzer BA'!$B$6,BA!$A$2:$A$46,0))</f>
        <v>3</v>
      </c>
      <c r="S6" s="26">
        <f>INDEX(BA!T2:T46,MATCH('Match Analyzer BA'!$B$6,BA!$A$2:$A$46,0))</f>
        <v>1</v>
      </c>
      <c r="T6" s="26">
        <f>INDEX(BA!AD2:AD46,MATCH('Match Analyzer BA'!$B$6,BA!$A$2:$A$46,0))</f>
        <v>5</v>
      </c>
      <c r="U6" s="26">
        <f>INDEX(BA!AA2:AA46,MATCH('Match Analyzer BA'!$B$6,BA!$A$2:$A$46,0))</f>
        <v>2</v>
      </c>
      <c r="V6" s="26">
        <f>INDEX(BA!AF2:AF46,MATCH('Match Analyzer BA'!$B$6,BA!$A$2:$A$46,0))</f>
        <v>3</v>
      </c>
      <c r="W6" s="26">
        <f>INDEX(BA!P2:P46,MATCH('Match Analyzer BA'!$B$6,BA!$A$2:$A$46,0))</f>
        <v>2</v>
      </c>
      <c r="X6" s="26">
        <f>INDEX(BA!AE2:AE46,MATCH('Match Analyzer BA'!$B$6,BA!$A$2:$A$46,0))</f>
        <v>3</v>
      </c>
      <c r="Y6" s="26">
        <f>INDEX(BA!W2:W46,MATCH('Match Analyzer BA'!$B$6,BA!$A$2:$A$46,0))</f>
        <v>2</v>
      </c>
      <c r="Z6" s="26">
        <f>INDEX(BA!O2:O46,MATCH('Match Analyzer BA'!$B$6,BA!$A$2:$A$46,0))</f>
        <v>1</v>
      </c>
      <c r="AA6" s="26">
        <f>INDEX(BA!X2:X46,MATCH('Match Analyzer BA'!$B$6,BA!$A$2:$A$46,0))</f>
        <v>1</v>
      </c>
      <c r="AB6" s="26">
        <f>INDEX(BA!Z2:Z46,MATCH('Match Analyzer BA'!$B$6,BA!$A$2:$A$46,0))</f>
        <v>1</v>
      </c>
      <c r="AC6" s="26">
        <f>INDEX(BA!N2:N46,MATCH('Match Analyzer BA'!$B$6,BA!$A$2:$A$46,0))</f>
        <v>1</v>
      </c>
      <c r="AD6" s="26">
        <f>INDEX(BA!Y2:Y46,MATCH('Match Analyzer BA'!$B$6,BA!$A$2:$A$46,0))</f>
        <v>0</v>
      </c>
      <c r="AE6" s="26">
        <f>INDEX(BA!AH2:AH46,MATCH('Match Analyzer BA'!$B$6,BA!$A$2:$A$46,0))</f>
        <v>1</v>
      </c>
      <c r="AF6" s="26">
        <f>INDEX(BA!AC2:AC46,MATCH('Match Analyzer BA'!$B$6,BA!$A$2:$A$46,0))</f>
        <v>0</v>
      </c>
      <c r="AG6" s="26">
        <f>INDEX(BA!S2:S46,MATCH('Match Analyzer BA'!$B$6,BA!$A$2:$A$46,0))</f>
        <v>0</v>
      </c>
      <c r="AH6" s="14">
        <f>INDEX(BA!R2:R46,MATCH('Match Analyzer BA'!$B$6,BA!$A$2:$A$46,0))</f>
        <v>0</v>
      </c>
    </row>
    <row r="7" spans="1:34" x14ac:dyDescent="0.25">
      <c r="A7" s="102"/>
      <c r="B7" s="7" t="s">
        <v>25</v>
      </c>
      <c r="C7" s="13">
        <f>INDEX(BA!B2:B46,MATCH('Match Analyzer BA'!$B$7,BA!$A$2:$A$46,0))</f>
        <v>34</v>
      </c>
      <c r="D7" s="59">
        <f>INDEX(BA!C2:C46,MATCH('Match Analyzer BA'!$B$7,BA!$A$2:$A$46,0))</f>
        <v>8.5</v>
      </c>
      <c r="E7" s="14">
        <f>INDEX(BA!D2:D46,MATCH('Match Analyzer BA'!$B$7,BA!$A$2:$A$46,0))</f>
        <v>12</v>
      </c>
      <c r="F7" s="13">
        <f>INDEX(BA!E2:E46,MATCH('Match Analyzer BA'!$B$7,BA!$A$2:$A$46,0))</f>
        <v>3</v>
      </c>
      <c r="G7" s="26">
        <f>INDEX(BA!F2:F46,MATCH('Match Analyzer BA'!$B$7,BA!$A$2:$A$46,0))</f>
        <v>1</v>
      </c>
      <c r="H7" s="73">
        <f>INDEX(BA!G2:G46,MATCH('Match Analyzer BA'!$B$7,BA!$A$2:$A$46,0))</f>
        <v>0.75</v>
      </c>
      <c r="I7" s="13">
        <f>INDEX(BA!H2:H46,MATCH('Match Analyzer BA'!$B$7,BA!$A$2:$A$46,0))</f>
        <v>10</v>
      </c>
      <c r="J7" s="26">
        <f>INDEX(BA!I2:I46,MATCH('Match Analyzer BA'!$B$7,BA!$A$2:$A$46,0))</f>
        <v>5</v>
      </c>
      <c r="K7" s="73">
        <f>INDEX(BA!J2:J46,MATCH('Match Analyzer BA'!$B$7,BA!$A$2:$A$46,0))</f>
        <v>0.66666666666666663</v>
      </c>
      <c r="L7" s="13">
        <f>INDEX(BA!K2:K46,MATCH('Match Analyzer BA'!$B$7,BA!$A$2:$A$46,0))</f>
        <v>36</v>
      </c>
      <c r="M7" s="26">
        <f>INDEX(BA!L2:L46,MATCH('Match Analyzer BA'!$B$7,BA!$A$2:$A$46,0))</f>
        <v>20</v>
      </c>
      <c r="N7" s="73">
        <f>INDEX(BA!M2:M46,MATCH('Match Analyzer BA'!$B$7,BA!$A$2:$A$46,0))</f>
        <v>0.6428571428571429</v>
      </c>
      <c r="O7" s="13">
        <f>INDEX(BA!V2:V46,MATCH('Match Analyzer BA'!$B$7,BA!$A$2:$A$46,0))</f>
        <v>0</v>
      </c>
      <c r="P7" s="26">
        <f>INDEX(BA!Q2:Q46,MATCH('Match Analyzer BA'!$B$7,BA!$A$2:$A$46,0))</f>
        <v>1</v>
      </c>
      <c r="Q7" s="26">
        <f>INDEX(BA!U2:U46,MATCH('Match Analyzer BA'!$B$7,BA!$A$2:$A$46,0))</f>
        <v>0</v>
      </c>
      <c r="R7" s="26">
        <f>INDEX(BA!AB2:AB46,MATCH('Match Analyzer BA'!$B$7,BA!$A$2:$A$46,0))</f>
        <v>2</v>
      </c>
      <c r="S7" s="26">
        <f>INDEX(BA!T2:T46,MATCH('Match Analyzer BA'!$B$7,BA!$A$2:$A$46,0))</f>
        <v>1</v>
      </c>
      <c r="T7" s="26">
        <f>INDEX(BA!AD2:AD46,MATCH('Match Analyzer BA'!$B$7,BA!$A$2:$A$46,0))</f>
        <v>1</v>
      </c>
      <c r="U7" s="26">
        <f>INDEX(BA!AA2:AA46,MATCH('Match Analyzer BA'!$B$7,BA!$A$2:$A$46,0))</f>
        <v>1</v>
      </c>
      <c r="V7" s="26">
        <f>INDEX(BA!AF2:AF46,MATCH('Match Analyzer BA'!$B$7,BA!$A$2:$A$46,0))</f>
        <v>0</v>
      </c>
      <c r="W7" s="26">
        <f>INDEX(BA!P2:P46,MATCH('Match Analyzer BA'!$B$7,BA!$A$2:$A$46,0))</f>
        <v>0</v>
      </c>
      <c r="X7" s="26">
        <f>INDEX(BA!AE2:AE46,MATCH('Match Analyzer BA'!$B$7,BA!$A$2:$A$46,0))</f>
        <v>0</v>
      </c>
      <c r="Y7" s="26">
        <f>INDEX(BA!W2:W46,MATCH('Match Analyzer BA'!$B$7,BA!$A$2:$A$46,0))</f>
        <v>0</v>
      </c>
      <c r="Z7" s="26">
        <f>INDEX(BA!O2:O46,MATCH('Match Analyzer BA'!$B$7,BA!$A$2:$A$46,0))</f>
        <v>0</v>
      </c>
      <c r="AA7" s="26">
        <f>INDEX(BA!X2:X46,MATCH('Match Analyzer BA'!$B$7,BA!$A$2:$A$46,0))</f>
        <v>1</v>
      </c>
      <c r="AB7" s="26">
        <f>INDEX(BA!Z2:Z46,MATCH('Match Analyzer BA'!$B$7,BA!$A$2:$A$46,0))</f>
        <v>0</v>
      </c>
      <c r="AC7" s="26">
        <f>INDEX(BA!N2:N46,MATCH('Match Analyzer BA'!$B$7,BA!$A$2:$A$46,0))</f>
        <v>2</v>
      </c>
      <c r="AD7" s="26">
        <f>INDEX(BA!Y2:Y46,MATCH('Match Analyzer BA'!$B$7,BA!$A$2:$A$46,0))</f>
        <v>0</v>
      </c>
      <c r="AE7" s="26">
        <f>INDEX(BA!AH2:AH46,MATCH('Match Analyzer BA'!$B$7,BA!$A$2:$A$46,0))</f>
        <v>0</v>
      </c>
      <c r="AF7" s="26">
        <f>INDEX(BA!AC2:AC46,MATCH('Match Analyzer BA'!$B$7,BA!$A$2:$A$46,0))</f>
        <v>0</v>
      </c>
      <c r="AG7" s="26">
        <f>INDEX(BA!S2:S46,MATCH('Match Analyzer BA'!$B$7,BA!$A$2:$A$46,0))</f>
        <v>1</v>
      </c>
      <c r="AH7" s="14">
        <f>INDEX(BA!R2:R46,MATCH('Match Analyzer BA'!$B$7,BA!$A$2:$A$46,0))</f>
        <v>0</v>
      </c>
    </row>
    <row r="8" spans="1:34" x14ac:dyDescent="0.25">
      <c r="A8" s="102"/>
      <c r="B8" s="7" t="s">
        <v>27</v>
      </c>
      <c r="C8" s="13">
        <f>INDEX(BA!B2:B46,MATCH('Match Analyzer BA'!$B$8,BA!$A$2:$A$46,0))</f>
        <v>71</v>
      </c>
      <c r="D8" s="59">
        <f>INDEX(BA!C2:C46,MATCH('Match Analyzer BA'!$B$8,BA!$A$2:$A$46,0))</f>
        <v>14.2</v>
      </c>
      <c r="E8" s="14">
        <f>INDEX(BA!D2:D46,MATCH('Match Analyzer BA'!$B$8,BA!$A$2:$A$46,0))</f>
        <v>20</v>
      </c>
      <c r="F8" s="13">
        <f>INDEX(BA!E2:E46,MATCH('Match Analyzer BA'!$B$8,BA!$A$2:$A$46,0))</f>
        <v>2</v>
      </c>
      <c r="G8" s="26">
        <f>INDEX(BA!F2:F46,MATCH('Match Analyzer BA'!$B$8,BA!$A$2:$A$46,0))</f>
        <v>3</v>
      </c>
      <c r="H8" s="73">
        <f>INDEX(BA!G2:G46,MATCH('Match Analyzer BA'!$B$8,BA!$A$2:$A$46,0))</f>
        <v>0.4</v>
      </c>
      <c r="I8" s="13">
        <f>INDEX(BA!H2:H46,MATCH('Match Analyzer BA'!$B$8,BA!$A$2:$A$46,0))</f>
        <v>11</v>
      </c>
      <c r="J8" s="26">
        <f>INDEX(BA!I2:I46,MATCH('Match Analyzer BA'!$B$8,BA!$A$2:$A$46,0))</f>
        <v>12</v>
      </c>
      <c r="K8" s="73">
        <f>INDEX(BA!J2:J46,MATCH('Match Analyzer BA'!$B$8,BA!$A$2:$A$46,0))</f>
        <v>0.47826086956521741</v>
      </c>
      <c r="L8" s="13">
        <f>INDEX(BA!K2:K46,MATCH('Match Analyzer BA'!$B$8,BA!$A$2:$A$46,0))</f>
        <v>43</v>
      </c>
      <c r="M8" s="26">
        <f>INDEX(BA!L2:L46,MATCH('Match Analyzer BA'!$B$8,BA!$A$2:$A$46,0))</f>
        <v>51</v>
      </c>
      <c r="N8" s="73">
        <f>INDEX(BA!M2:M46,MATCH('Match Analyzer BA'!$B$8,BA!$A$2:$A$46,0))</f>
        <v>0.45744680851063829</v>
      </c>
      <c r="O8" s="13">
        <f>INDEX(BA!V2:V46,MATCH('Match Analyzer BA'!$B$8,BA!$A$2:$A$46,0))</f>
        <v>0</v>
      </c>
      <c r="P8" s="26">
        <f>INDEX(BA!Q2:Q46,MATCH('Match Analyzer BA'!$B$8,BA!$A$2:$A$46,0))</f>
        <v>2</v>
      </c>
      <c r="Q8" s="26">
        <f>INDEX(BA!U2:U46,MATCH('Match Analyzer BA'!$B$8,BA!$A$2:$A$46,0))</f>
        <v>0</v>
      </c>
      <c r="R8" s="26">
        <f>INDEX(BA!AB2:AB46,MATCH('Match Analyzer BA'!$B$8,BA!$A$2:$A$46,0))</f>
        <v>2</v>
      </c>
      <c r="S8" s="26">
        <f>INDEX(BA!T2:T46,MATCH('Match Analyzer BA'!$B$8,BA!$A$2:$A$46,0))</f>
        <v>0</v>
      </c>
      <c r="T8" s="26">
        <f>INDEX(BA!AD2:AD46,MATCH('Match Analyzer BA'!$B$8,BA!$A$2:$A$46,0))</f>
        <v>3</v>
      </c>
      <c r="U8" s="26">
        <f>INDEX(BA!AA2:AA46,MATCH('Match Analyzer BA'!$B$8,BA!$A$2:$A$46,0))</f>
        <v>1</v>
      </c>
      <c r="V8" s="26">
        <f>INDEX(BA!AF2:AF46,MATCH('Match Analyzer BA'!$B$8,BA!$A$2:$A$46,0))</f>
        <v>0</v>
      </c>
      <c r="W8" s="26">
        <f>INDEX(BA!P2:P46,MATCH('Match Analyzer BA'!$B$8,BA!$A$2:$A$46,0))</f>
        <v>1</v>
      </c>
      <c r="X8" s="26">
        <f>INDEX(BA!AE2:AE46,MATCH('Match Analyzer BA'!$B$8,BA!$A$2:$A$46,0))</f>
        <v>1</v>
      </c>
      <c r="Y8" s="26">
        <f>INDEX(BA!W2:W46,MATCH('Match Analyzer BA'!$B$8,BA!$A$2:$A$46,0))</f>
        <v>1</v>
      </c>
      <c r="Z8" s="26">
        <f>INDEX(BA!O2:O46,MATCH('Match Analyzer BA'!$B$8,BA!$A$2:$A$46,0))</f>
        <v>0</v>
      </c>
      <c r="AA8" s="26">
        <f>INDEX(BA!X2:X46,MATCH('Match Analyzer BA'!$B$8,BA!$A$2:$A$46,0))</f>
        <v>0</v>
      </c>
      <c r="AB8" s="26">
        <f>INDEX(BA!Z2:Z46,MATCH('Match Analyzer BA'!$B$8,BA!$A$2:$A$46,0))</f>
        <v>0</v>
      </c>
      <c r="AC8" s="26">
        <f>INDEX(BA!N2:N46,MATCH('Match Analyzer BA'!$B$8,BA!$A$2:$A$46,0))</f>
        <v>0</v>
      </c>
      <c r="AD8" s="26">
        <f>INDEX(BA!Y2:Y46,MATCH('Match Analyzer BA'!$B$8,BA!$A$2:$A$46,0))</f>
        <v>0</v>
      </c>
      <c r="AE8" s="26">
        <f>INDEX(BA!AH2:AH46,MATCH('Match Analyzer BA'!$B$8,BA!$A$2:$A$46,0))</f>
        <v>0</v>
      </c>
      <c r="AF8" s="26">
        <f>INDEX(BA!AC2:AC46,MATCH('Match Analyzer BA'!$B$8,BA!$A$2:$A$46,0))</f>
        <v>0</v>
      </c>
      <c r="AG8" s="26">
        <f>INDEX(BA!S2:S46,MATCH('Match Analyzer BA'!$B$8,BA!$A$2:$A$46,0))</f>
        <v>0</v>
      </c>
      <c r="AH8" s="14">
        <f>INDEX(BA!R2:R46,MATCH('Match Analyzer BA'!$B$8,BA!$A$2:$A$46,0))</f>
        <v>0</v>
      </c>
    </row>
    <row r="9" spans="1:34" x14ac:dyDescent="0.25">
      <c r="A9" s="102"/>
      <c r="B9" s="7" t="s">
        <v>78</v>
      </c>
      <c r="C9" s="13">
        <f>INDEX(BA!B2:B46,MATCH('Match Analyzer BA'!$B$9,BA!$A$2:$A$46,0))</f>
        <v>0</v>
      </c>
      <c r="D9" s="59">
        <f>INDEX(BA!C2:C46,MATCH('Match Analyzer BA'!$B$9,BA!$A$2:$A$46,0))</f>
        <v>0</v>
      </c>
      <c r="E9" s="14">
        <f>INDEX(BA!D2:D46,MATCH('Match Analyzer BA'!$B$9,BA!$A$2:$A$46,0))</f>
        <v>0</v>
      </c>
      <c r="F9" s="13">
        <f>INDEX(BA!E2:E46,MATCH('Match Analyzer BA'!$B$9,BA!$A$2:$A$46,0))</f>
        <v>0</v>
      </c>
      <c r="G9" s="26">
        <f>INDEX(BA!F2:F46,MATCH('Match Analyzer BA'!$B$9,BA!$A$2:$A$46,0))</f>
        <v>0</v>
      </c>
      <c r="H9" s="73" t="str">
        <f>INDEX(BA!G2:G46,MATCH('Match Analyzer BA'!$B$9,BA!$A$2:$A$46,0))</f>
        <v>-</v>
      </c>
      <c r="I9" s="13">
        <f>INDEX(BA!H2:H46,MATCH('Match Analyzer BA'!$B$9,BA!$A$2:$A$46,0))</f>
        <v>0</v>
      </c>
      <c r="J9" s="26">
        <f>INDEX(BA!I2:I46,MATCH('Match Analyzer BA'!$B$9,BA!$A$2:$A$46,0))</f>
        <v>0</v>
      </c>
      <c r="K9" s="73" t="str">
        <f>INDEX(BA!J2:J46,MATCH('Match Analyzer BA'!$B$9,BA!$A$2:$A$46,0))</f>
        <v>-</v>
      </c>
      <c r="L9" s="13">
        <f>INDEX(BA!K2:K46,MATCH('Match Analyzer BA'!$B$9,BA!$A$2:$A$46,0))</f>
        <v>0</v>
      </c>
      <c r="M9" s="26">
        <f>INDEX(BA!L2:L46,MATCH('Match Analyzer BA'!$B$9,BA!$A$2:$A$46,0))</f>
        <v>0</v>
      </c>
      <c r="N9" s="73" t="str">
        <f>INDEX(BA!M2:M46,MATCH('Match Analyzer BA'!$B$9,BA!$A$2:$A$46,0))</f>
        <v>-</v>
      </c>
      <c r="O9" s="13">
        <f>INDEX(BA!V2:V46,MATCH('Match Analyzer BA'!$B$9,BA!$A$2:$A$46,0))</f>
        <v>0</v>
      </c>
      <c r="P9" s="26">
        <f>INDEX(BA!Q2:Q46,MATCH('Match Analyzer BA'!$B$9,BA!$A$2:$A$46,0))</f>
        <v>0</v>
      </c>
      <c r="Q9" s="26">
        <f>INDEX(BA!U2:U46,MATCH('Match Analyzer BA'!$B$9,BA!$A$2:$A$46,0))</f>
        <v>0</v>
      </c>
      <c r="R9" s="26">
        <f>INDEX(BA!AB2:AB46,MATCH('Match Analyzer BA'!$B$9,BA!$A$2:$A$46,0))</f>
        <v>0</v>
      </c>
      <c r="S9" s="26">
        <f>INDEX(BA!T2:T46,MATCH('Match Analyzer BA'!$B$9,BA!$A$2:$A$46,0))</f>
        <v>0</v>
      </c>
      <c r="T9" s="26">
        <f>INDEX(BA!AD2:AD46,MATCH('Match Analyzer BA'!$B$9,BA!$A$2:$A$46,0))</f>
        <v>0</v>
      </c>
      <c r="U9" s="26">
        <f>INDEX(BA!AA2:AA46,MATCH('Match Analyzer BA'!$B$9,BA!$A$2:$A$46,0))</f>
        <v>0</v>
      </c>
      <c r="V9" s="26">
        <f>INDEX(BA!AF2:AF46,MATCH('Match Analyzer BA'!$B$9,BA!$A$2:$A$46,0))</f>
        <v>0</v>
      </c>
      <c r="W9" s="26">
        <f>INDEX(BA!P2:P46,MATCH('Match Analyzer BA'!$B$9,BA!$A$2:$A$46,0))</f>
        <v>0</v>
      </c>
      <c r="X9" s="26">
        <f>INDEX(BA!AE2:AE46,MATCH('Match Analyzer BA'!$B$9,BA!$A$2:$A$46,0))</f>
        <v>0</v>
      </c>
      <c r="Y9" s="26">
        <f>INDEX(BA!W2:W46,MATCH('Match Analyzer BA'!$B$9,BA!$A$2:$A$46,0))</f>
        <v>0</v>
      </c>
      <c r="Z9" s="26">
        <f>INDEX(BA!O2:O46,MATCH('Match Analyzer BA'!$B$9,BA!$A$2:$A$46,0))</f>
        <v>0</v>
      </c>
      <c r="AA9" s="26">
        <f>INDEX(BA!X2:X46,MATCH('Match Analyzer BA'!$B$9,BA!$A$2:$A$46,0))</f>
        <v>0</v>
      </c>
      <c r="AB9" s="26">
        <f>INDEX(BA!Z2:Z46,MATCH('Match Analyzer BA'!$B$9,BA!$A$2:$A$46,0))</f>
        <v>0</v>
      </c>
      <c r="AC9" s="26">
        <f>INDEX(BA!N2:N46,MATCH('Match Analyzer BA'!$B$9,BA!$A$2:$A$46,0))</f>
        <v>0</v>
      </c>
      <c r="AD9" s="26">
        <f>INDEX(BA!Y2:Y46,MATCH('Match Analyzer BA'!$B$9,BA!$A$2:$A$46,0))</f>
        <v>0</v>
      </c>
      <c r="AE9" s="26">
        <f>INDEX(BA!AH2:AH46,MATCH('Match Analyzer BA'!$B$9,BA!$A$2:$A$46,0))</f>
        <v>0</v>
      </c>
      <c r="AF9" s="26">
        <f>INDEX(BA!AC2:AC46,MATCH('Match Analyzer BA'!$B$9,BA!$A$2:$A$46,0))</f>
        <v>0</v>
      </c>
      <c r="AG9" s="26">
        <f>INDEX(BA!S2:S46,MATCH('Match Analyzer BA'!$B$9,BA!$A$2:$A$46,0))</f>
        <v>0</v>
      </c>
      <c r="AH9" s="14">
        <f>INDEX(BA!R2:R46,MATCH('Match Analyzer BA'!$B$9,BA!$A$2:$A$46,0))</f>
        <v>0</v>
      </c>
    </row>
    <row r="10" spans="1:34" ht="15.75" thickBot="1" x14ac:dyDescent="0.3">
      <c r="A10" s="102"/>
      <c r="B10" s="7" t="s">
        <v>78</v>
      </c>
      <c r="C10" s="17">
        <f>INDEX(BA!B2:B46,MATCH('Match Analyzer BA'!$B$10,BA!$A$2:$A$46,0))</f>
        <v>0</v>
      </c>
      <c r="D10" s="60">
        <f>INDEX(BA!C2:C46,MATCH('Match Analyzer BA'!$B$10,BA!$A$2:$A$46,0))</f>
        <v>0</v>
      </c>
      <c r="E10" s="18">
        <f>INDEX(BA!D2:D46,MATCH('Match Analyzer BA'!$B$10,BA!$A$2:$A$46,0))</f>
        <v>0</v>
      </c>
      <c r="F10" s="17">
        <f>INDEX(BA!E2:E46,MATCH('Match Analyzer BA'!$B$10,BA!$A$2:$A$46,0))</f>
        <v>0</v>
      </c>
      <c r="G10" s="29">
        <f>INDEX(BA!F2:F46,MATCH('Match Analyzer BA'!$B$10,BA!$A$2:$A$46,0))</f>
        <v>0</v>
      </c>
      <c r="H10" s="74" t="str">
        <f>INDEX(BA!G2:G46,MATCH('Match Analyzer BA'!$B$10,BA!$A$2:$A$46,0))</f>
        <v>-</v>
      </c>
      <c r="I10" s="17">
        <f>INDEX(BA!H2:H46,MATCH('Match Analyzer BA'!$B$10,BA!$A$2:$A$46,0))</f>
        <v>0</v>
      </c>
      <c r="J10" s="29">
        <f>INDEX(BA!I2:I46,MATCH('Match Analyzer BA'!$B$10,BA!$A$2:$A$46,0))</f>
        <v>0</v>
      </c>
      <c r="K10" s="74" t="str">
        <f>INDEX(BA!J2:J46,MATCH('Match Analyzer BA'!$B$10,BA!$A$2:$A$46,0))</f>
        <v>-</v>
      </c>
      <c r="L10" s="17">
        <f>INDEX(BA!K2:K46,MATCH('Match Analyzer BA'!$B$10,BA!$A$2:$A$46,0))</f>
        <v>0</v>
      </c>
      <c r="M10" s="29">
        <f>INDEX(BA!L2:L46,MATCH('Match Analyzer BA'!$B$10,BA!$A$2:$A$46,0))</f>
        <v>0</v>
      </c>
      <c r="N10" s="74" t="str">
        <f>INDEX(BA!M2:M46,MATCH('Match Analyzer BA'!$B$10,BA!$A$2:$A$46,0))</f>
        <v>-</v>
      </c>
      <c r="O10" s="17">
        <f>INDEX(BA!V2:V46,MATCH('Match Analyzer BA'!$B$10,BA!$A$2:$A$46,0))</f>
        <v>0</v>
      </c>
      <c r="P10" s="29">
        <f>INDEX(BA!Q2:Q46,MATCH('Match Analyzer BA'!$B$10,BA!$A$2:$A$46,0))</f>
        <v>0</v>
      </c>
      <c r="Q10" s="29">
        <f>INDEX(BA!U2:U46,MATCH('Match Analyzer BA'!$B$10,BA!$A$2:$A$46,0))</f>
        <v>0</v>
      </c>
      <c r="R10" s="29">
        <f>INDEX(BA!AB2:AB46,MATCH('Match Analyzer BA'!$B$10,BA!$A$2:$A$46,0))</f>
        <v>0</v>
      </c>
      <c r="S10" s="29">
        <f>INDEX(BA!T2:T46,MATCH('Match Analyzer BA'!$B$10,BA!$A$2:$A$46,0))</f>
        <v>0</v>
      </c>
      <c r="T10" s="29">
        <f>INDEX(BA!AD2:AD46,MATCH('Match Analyzer BA'!$B$10,BA!$A$2:$A$46,0))</f>
        <v>0</v>
      </c>
      <c r="U10" s="29">
        <f>INDEX(BA!AA2:AA46,MATCH('Match Analyzer BA'!$B$10,BA!$A$2:$A$46,0))</f>
        <v>0</v>
      </c>
      <c r="V10" s="29">
        <f>INDEX(BA!AF2:AF46,MATCH('Match Analyzer BA'!$B$10,BA!$A$2:$A$46,0))</f>
        <v>0</v>
      </c>
      <c r="W10" s="29">
        <f>INDEX(BA!P2:P46,MATCH('Match Analyzer BA'!$B$10,BA!$A$2:$A$46,0))</f>
        <v>0</v>
      </c>
      <c r="X10" s="29">
        <f>INDEX(BA!AE2:AE46,MATCH('Match Analyzer BA'!$B$10,BA!$A$2:$A$46,0))</f>
        <v>0</v>
      </c>
      <c r="Y10" s="29">
        <f>INDEX(BA!W2:W46,MATCH('Match Analyzer BA'!$B$10,BA!$A$2:$A$46,0))</f>
        <v>0</v>
      </c>
      <c r="Z10" s="29">
        <f>INDEX(BA!O2:O46,MATCH('Match Analyzer BA'!$B$10,BA!$A$2:$A$46,0))</f>
        <v>0</v>
      </c>
      <c r="AA10" s="29">
        <f>INDEX(BA!X2:X46,MATCH('Match Analyzer BA'!$B$10,BA!$A$2:$A$46,0))</f>
        <v>0</v>
      </c>
      <c r="AB10" s="29">
        <f>INDEX(BA!Z2:Z46,MATCH('Match Analyzer BA'!$B$10,BA!$A$2:$A$46,0))</f>
        <v>0</v>
      </c>
      <c r="AC10" s="29">
        <f>INDEX(BA!N2:N46,MATCH('Match Analyzer BA'!$B$10,BA!$A$2:$A$46,0))</f>
        <v>0</v>
      </c>
      <c r="AD10" s="29">
        <f>INDEX(BA!Y2:Y46,MATCH('Match Analyzer BA'!$B$10,BA!$A$2:$A$46,0))</f>
        <v>0</v>
      </c>
      <c r="AE10" s="29">
        <f>INDEX(BA!AH2:AH46,MATCH('Match Analyzer BA'!$B$10,BA!$A$2:$A$46,0))</f>
        <v>0</v>
      </c>
      <c r="AF10" s="29">
        <f>INDEX(BA!AC2:AC46,MATCH('Match Analyzer BA'!$B$10,BA!$A$2:$A$46,0))</f>
        <v>0</v>
      </c>
      <c r="AG10" s="29">
        <f>INDEX(BA!S2:S46,MATCH('Match Analyzer BA'!$B$10,BA!$A$2:$A$46,0))</f>
        <v>0</v>
      </c>
      <c r="AH10" s="18">
        <f>INDEX(BA!R2:R46,MATCH('Match Analyzer BA'!$B$10,BA!$A$2:$A$46,0))</f>
        <v>0</v>
      </c>
    </row>
    <row r="11" spans="1:34" x14ac:dyDescent="0.25">
      <c r="D11" s="8">
        <f>SUM(D3:D10)</f>
        <v>69.106015037593991</v>
      </c>
      <c r="H11" s="9">
        <f>AVERAGE(H3:H10)</f>
        <v>0.52351902483481427</v>
      </c>
      <c r="I11" s="1"/>
      <c r="J11" s="1"/>
      <c r="K11" s="9">
        <f>AVERAGE(K3:K10)</f>
        <v>0.55106260713729149</v>
      </c>
      <c r="N11" s="9">
        <f>AVERAGE(N3:N10)</f>
        <v>0.53303058505267376</v>
      </c>
      <c r="O11" s="5">
        <f>SUM(O3:O10)</f>
        <v>2</v>
      </c>
      <c r="P11" s="5">
        <f t="shared" ref="P11:AH11" si="0">SUM(P3:P10)</f>
        <v>7</v>
      </c>
      <c r="Q11" s="5">
        <f t="shared" si="0"/>
        <v>8</v>
      </c>
      <c r="R11" s="5">
        <f t="shared" si="0"/>
        <v>14</v>
      </c>
      <c r="S11" s="5">
        <f t="shared" si="0"/>
        <v>3</v>
      </c>
      <c r="T11" s="5">
        <f t="shared" si="0"/>
        <v>14</v>
      </c>
      <c r="U11" s="5">
        <f t="shared" si="0"/>
        <v>9</v>
      </c>
      <c r="V11" s="5">
        <f t="shared" si="0"/>
        <v>8</v>
      </c>
      <c r="W11" s="5">
        <f t="shared" si="0"/>
        <v>9</v>
      </c>
      <c r="X11" s="5">
        <f t="shared" si="0"/>
        <v>12</v>
      </c>
      <c r="Y11" s="5">
        <f t="shared" si="0"/>
        <v>4</v>
      </c>
      <c r="Z11" s="5">
        <f t="shared" si="0"/>
        <v>5</v>
      </c>
      <c r="AA11" s="5">
        <f t="shared" si="0"/>
        <v>8</v>
      </c>
      <c r="AB11" s="5">
        <f t="shared" si="0"/>
        <v>2</v>
      </c>
      <c r="AC11" s="5">
        <f t="shared" si="0"/>
        <v>5</v>
      </c>
      <c r="AD11" s="5">
        <f t="shared" si="0"/>
        <v>0</v>
      </c>
      <c r="AE11" s="5">
        <f t="shared" si="0"/>
        <v>6</v>
      </c>
      <c r="AF11" s="5">
        <f t="shared" si="0"/>
        <v>0</v>
      </c>
      <c r="AG11" s="5">
        <f t="shared" si="0"/>
        <v>1</v>
      </c>
      <c r="AH11" s="5">
        <f t="shared" si="0"/>
        <v>1</v>
      </c>
    </row>
    <row r="14" spans="1:34" ht="15.75" thickBot="1" x14ac:dyDescent="0.3"/>
    <row r="15" spans="1:34" x14ac:dyDescent="0.25">
      <c r="C15" s="99" t="s">
        <v>7</v>
      </c>
      <c r="D15" s="100"/>
      <c r="E15" s="101"/>
      <c r="F15" s="99" t="s">
        <v>22</v>
      </c>
      <c r="G15" s="100"/>
      <c r="H15" s="101"/>
      <c r="I15" s="99" t="s">
        <v>16</v>
      </c>
      <c r="J15" s="100"/>
      <c r="K15" s="101"/>
      <c r="L15" s="99" t="s">
        <v>23</v>
      </c>
      <c r="M15" s="100"/>
      <c r="N15" s="101"/>
      <c r="O15" s="99" t="s">
        <v>64</v>
      </c>
      <c r="P15" s="100"/>
      <c r="Q15" s="100"/>
      <c r="R15" s="100"/>
      <c r="S15" s="100"/>
      <c r="T15" s="100"/>
      <c r="U15" s="100"/>
      <c r="V15" s="100"/>
      <c r="W15" s="100"/>
      <c r="X15" s="100"/>
      <c r="Y15" s="100"/>
      <c r="Z15" s="100"/>
      <c r="AA15" s="100"/>
      <c r="AB15" s="100"/>
      <c r="AC15" s="100"/>
      <c r="AD15" s="55"/>
      <c r="AE15" s="55"/>
      <c r="AF15" s="55"/>
      <c r="AG15" s="55"/>
      <c r="AH15" s="56"/>
    </row>
    <row r="16" spans="1:34" ht="45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63" t="s">
        <v>62</v>
      </c>
      <c r="P16" s="57" t="s">
        <v>63</v>
      </c>
      <c r="Q16" s="57" t="s">
        <v>106</v>
      </c>
      <c r="R16" s="57" t="s">
        <v>56</v>
      </c>
      <c r="S16" s="57" t="s">
        <v>32</v>
      </c>
      <c r="T16" s="57" t="s">
        <v>66</v>
      </c>
      <c r="U16" s="57" t="s">
        <v>67</v>
      </c>
      <c r="V16" s="57" t="s">
        <v>68</v>
      </c>
      <c r="W16" s="57" t="s">
        <v>69</v>
      </c>
      <c r="X16" s="57" t="s">
        <v>72</v>
      </c>
      <c r="Y16" s="57" t="s">
        <v>73</v>
      </c>
      <c r="Z16" s="57" t="s">
        <v>41</v>
      </c>
      <c r="AA16" s="57" t="s">
        <v>91</v>
      </c>
      <c r="AB16" s="57" t="s">
        <v>92</v>
      </c>
      <c r="AC16" s="57" t="s">
        <v>93</v>
      </c>
      <c r="AD16" s="57" t="s">
        <v>95</v>
      </c>
      <c r="AE16" s="57" t="s">
        <v>96</v>
      </c>
      <c r="AF16" s="57" t="s">
        <v>104</v>
      </c>
      <c r="AG16" s="57" t="s">
        <v>112</v>
      </c>
      <c r="AH16" s="64" t="s">
        <v>116</v>
      </c>
    </row>
    <row r="17" spans="1:34" x14ac:dyDescent="0.25">
      <c r="A17" s="98" t="s">
        <v>77</v>
      </c>
      <c r="B17" s="7" t="s">
        <v>35</v>
      </c>
      <c r="C17" s="13">
        <f>INDEX(BA!B2:B46,MATCH('Match Analyzer BA'!$B$17,BA!$A$2:$A$46,0))</f>
        <v>214</v>
      </c>
      <c r="D17" s="59">
        <f>INDEX(BA!C2:C46,MATCH('Match Analyzer BA'!$B$17,BA!$A$2:$A$46,0))</f>
        <v>11.263157894736842</v>
      </c>
      <c r="E17" s="14">
        <f>INDEX(BA!D2:D46,MATCH('Match Analyzer BA'!$B$17,BA!$A$2:$A$46,0))</f>
        <v>20</v>
      </c>
      <c r="F17" s="13">
        <f>INDEX(BA!E2:E46,MATCH('Match Analyzer BA'!$B$17,BA!$A$2:$A$46,0))</f>
        <v>6</v>
      </c>
      <c r="G17" s="26">
        <f>INDEX(BA!F2:F46,MATCH('Match Analyzer BA'!$B$17,BA!$A$2:$A$46,0))</f>
        <v>13</v>
      </c>
      <c r="H17" s="27">
        <f>INDEX(BA!G2:G46,MATCH('Match Analyzer BA'!$B$17,BA!$A$2:$A$46,0))</f>
        <v>0.31578947368421051</v>
      </c>
      <c r="I17" s="13">
        <f>INDEX(BA!H2:H46,MATCH('Match Analyzer BA'!$B$17,BA!$A$2:$A$46,0))</f>
        <v>33</v>
      </c>
      <c r="J17" s="26">
        <f>INDEX(BA!I2:I46,MATCH('Match Analyzer BA'!$B$17,BA!$A$2:$A$46,0))</f>
        <v>47</v>
      </c>
      <c r="K17" s="27">
        <f>INDEX(BA!J2:J46,MATCH('Match Analyzer BA'!$B$17,BA!$A$2:$A$46,0))</f>
        <v>0.41249999999999998</v>
      </c>
      <c r="L17" s="13">
        <f>INDEX(BA!K2:K46,MATCH('Match Analyzer BA'!$B$17,BA!$A$2:$A$46,0))</f>
        <v>157</v>
      </c>
      <c r="M17" s="26">
        <f>INDEX(BA!L2:L46,MATCH('Match Analyzer BA'!$B$17,BA!$A$2:$A$46,0))</f>
        <v>176</v>
      </c>
      <c r="N17" s="27">
        <f>INDEX(BA!M2:M46,MATCH('Match Analyzer BA'!$B$17,BA!$A$2:$A$46,0))</f>
        <v>0.47147147147147145</v>
      </c>
      <c r="O17" s="13">
        <f>INDEX(BA!V2:V46,MATCH('Match Analyzer BA'!$B$17,BA!$A$2:$A$46,0))</f>
        <v>1</v>
      </c>
      <c r="P17" s="26">
        <f>INDEX(BA!Q2:Q46,MATCH('Match Analyzer BA'!$B$17,BA!$A$2:$A$46,0))</f>
        <v>2</v>
      </c>
      <c r="Q17" s="26">
        <f>INDEX(BA!U2:U46,MATCH('Match Analyzer BA'!$B$17,BA!$A$2:$A$46,0))</f>
        <v>3</v>
      </c>
      <c r="R17" s="26">
        <f>INDEX(BA!AB2:AB46,MATCH('Match Analyzer BA'!$B$17,BA!$A$2:$A$46,0))</f>
        <v>5</v>
      </c>
      <c r="S17" s="26">
        <f>INDEX(BA!T2:T46,MATCH('Match Analyzer BA'!$B$17,BA!$A$2:$A$46,0))</f>
        <v>1</v>
      </c>
      <c r="T17" s="26">
        <f>INDEX(BA!AD2:AD46,MATCH('Match Analyzer BA'!$B$17,BA!$A$2:$A$46,0))</f>
        <v>3</v>
      </c>
      <c r="U17" s="26">
        <f>INDEX(BA!AA2:AA46,MATCH('Match Analyzer BA'!$B$17,BA!$A$2:$A$46,0))</f>
        <v>1</v>
      </c>
      <c r="V17" s="26">
        <f>INDEX(BA!AF2:AF46,MATCH('Match Analyzer BA'!$B$17,BA!$A$2:$A$46,0))</f>
        <v>3</v>
      </c>
      <c r="W17" s="26">
        <f>INDEX(BA!P2:P46,MATCH('Match Analyzer BA'!$B$17,BA!$A$2:$A$46,0))</f>
        <v>2</v>
      </c>
      <c r="X17" s="26">
        <f>INDEX(BA!AE2:AE46,MATCH('Match Analyzer BA'!$B$17,BA!$A$2:$A$46,0))</f>
        <v>4</v>
      </c>
      <c r="Y17" s="26">
        <f>INDEX(BA!W2:W46,MATCH('Match Analyzer BA'!$B$17,BA!$A$2:$A$46,0))</f>
        <v>1</v>
      </c>
      <c r="Z17" s="26">
        <f>INDEX(BA!O2:O46,MATCH('Match Analyzer BA'!$B$17,BA!$A$2:$A$46,0))</f>
        <v>2</v>
      </c>
      <c r="AA17" s="26">
        <f>INDEX(BA!X2:X46,MATCH('Match Analyzer BA'!$B$17,BA!$A$2:$A$46,0))</f>
        <v>2</v>
      </c>
      <c r="AB17" s="26">
        <f>INDEX(BA!Z2:Z46,MATCH('Match Analyzer BA'!$B$17,BA!$A$2:$A$46,0))</f>
        <v>1</v>
      </c>
      <c r="AC17" s="26">
        <f>INDEX(BA!N2:N46,MATCH('Match Analyzer BA'!$B$17,BA!$A$2:$A$46,0))</f>
        <v>0</v>
      </c>
      <c r="AD17" s="26">
        <f>INDEX(BA!Y2:Y46,MATCH('Match Analyzer BA'!$B$17,BA!$A$2:$A$46,0))</f>
        <v>0</v>
      </c>
      <c r="AE17" s="26">
        <f>INDEX(BA!AH2:AH46,MATCH('Match Analyzer BA'!$B$17,BA!$A$2:$A$46,0))</f>
        <v>1</v>
      </c>
      <c r="AF17" s="26">
        <f>INDEX(BA!AC2:AC46,MATCH('Match Analyzer BA'!$B$17,BA!$A$2:$A$46,0))</f>
        <v>0</v>
      </c>
      <c r="AG17" s="26">
        <f>INDEX(BA!S2:S46,MATCH('Match Analyzer BA'!$B$17,BA!$A$2:$A$46,0))</f>
        <v>0</v>
      </c>
      <c r="AH17" s="14">
        <f>INDEX(BA!R2:R46,MATCH('Match Analyzer BA'!$B$17,BA!$A$2:$A$46,0))</f>
        <v>1</v>
      </c>
    </row>
    <row r="18" spans="1:34" x14ac:dyDescent="0.25">
      <c r="A18" s="98"/>
      <c r="B18" s="7" t="s">
        <v>42</v>
      </c>
      <c r="C18" s="13">
        <f>INDEX(BA!B2:B46,MATCH('Match Analyzer BA'!$B$18,BA!$A$2:$A$46,0))</f>
        <v>233</v>
      </c>
      <c r="D18" s="59">
        <f>INDEX(BA!C2:C46,MATCH('Match Analyzer BA'!$B$18,BA!$A$2:$A$46,0))</f>
        <v>16.642857142857142</v>
      </c>
      <c r="E18" s="14">
        <f>INDEX(BA!D2:D46,MATCH('Match Analyzer BA'!$B$18,BA!$A$2:$A$46,0))</f>
        <v>31</v>
      </c>
      <c r="F18" s="13">
        <f>INDEX(BA!E2:E46,MATCH('Match Analyzer BA'!$B$18,BA!$A$2:$A$46,0))</f>
        <v>6</v>
      </c>
      <c r="G18" s="26">
        <f>INDEX(BA!F2:F46,MATCH('Match Analyzer BA'!$B$18,BA!$A$2:$A$46,0))</f>
        <v>8</v>
      </c>
      <c r="H18" s="27">
        <f>INDEX(BA!G2:G46,MATCH('Match Analyzer BA'!$B$18,BA!$A$2:$A$46,0))</f>
        <v>0.42857142857142855</v>
      </c>
      <c r="I18" s="13">
        <f>INDEX(BA!H2:H46,MATCH('Match Analyzer BA'!$B$18,BA!$A$2:$A$46,0))</f>
        <v>25</v>
      </c>
      <c r="J18" s="26">
        <f>INDEX(BA!I2:I46,MATCH('Match Analyzer BA'!$B$18,BA!$A$2:$A$46,0))</f>
        <v>33</v>
      </c>
      <c r="K18" s="27">
        <f>INDEX(BA!J2:J46,MATCH('Match Analyzer BA'!$B$18,BA!$A$2:$A$46,0))</f>
        <v>0.43103448275862066</v>
      </c>
      <c r="L18" s="13">
        <f>INDEX(BA!K2:K46,MATCH('Match Analyzer BA'!$B$18,BA!$A$2:$A$46,0))</f>
        <v>109</v>
      </c>
      <c r="M18" s="26">
        <f>INDEX(BA!L2:L46,MATCH('Match Analyzer BA'!$B$18,BA!$A$2:$A$46,0))</f>
        <v>128</v>
      </c>
      <c r="N18" s="27">
        <f>INDEX(BA!M2:M46,MATCH('Match Analyzer BA'!$B$18,BA!$A$2:$A$46,0))</f>
        <v>0.45991561181434598</v>
      </c>
      <c r="O18" s="13">
        <f>INDEX(BA!V2:V46,MATCH('Match Analyzer BA'!$B$18,BA!$A$2:$A$46,0))</f>
        <v>0</v>
      </c>
      <c r="P18" s="26">
        <f>INDEX(BA!Q2:Q46,MATCH('Match Analyzer BA'!$B$18,BA!$A$2:$A$46,0))</f>
        <v>2</v>
      </c>
      <c r="Q18" s="26">
        <f>INDEX(BA!U2:U46,MATCH('Match Analyzer BA'!$B$18,BA!$A$2:$A$46,0))</f>
        <v>1</v>
      </c>
      <c r="R18" s="26">
        <f>INDEX(BA!AB2:AB46,MATCH('Match Analyzer BA'!$B$18,BA!$A$2:$A$46,0))</f>
        <v>4</v>
      </c>
      <c r="S18" s="26">
        <f>INDEX(BA!T2:T46,MATCH('Match Analyzer BA'!$B$18,BA!$A$2:$A$46,0))</f>
        <v>1</v>
      </c>
      <c r="T18" s="26">
        <f>INDEX(BA!AD2:AD46,MATCH('Match Analyzer BA'!$B$18,BA!$A$2:$A$46,0))</f>
        <v>0</v>
      </c>
      <c r="U18" s="26">
        <f>INDEX(BA!AA2:AA46,MATCH('Match Analyzer BA'!$B$18,BA!$A$2:$A$46,0))</f>
        <v>2</v>
      </c>
      <c r="V18" s="26">
        <f>INDEX(BA!AF2:AF46,MATCH('Match Analyzer BA'!$B$18,BA!$A$2:$A$46,0))</f>
        <v>2</v>
      </c>
      <c r="W18" s="26">
        <f>INDEX(BA!P2:P46,MATCH('Match Analyzer BA'!$B$18,BA!$A$2:$A$46,0))</f>
        <v>1</v>
      </c>
      <c r="X18" s="26">
        <f>INDEX(BA!AE2:AE46,MATCH('Match Analyzer BA'!$B$18,BA!$A$2:$A$46,0))</f>
        <v>1</v>
      </c>
      <c r="Y18" s="26">
        <f>INDEX(BA!W2:W46,MATCH('Match Analyzer BA'!$B$18,BA!$A$2:$A$46,0))</f>
        <v>1</v>
      </c>
      <c r="Z18" s="26">
        <f>INDEX(BA!O2:O46,MATCH('Match Analyzer BA'!$B$18,BA!$A$2:$A$46,0))</f>
        <v>5</v>
      </c>
      <c r="AA18" s="26">
        <f>INDEX(BA!X2:X46,MATCH('Match Analyzer BA'!$B$18,BA!$A$2:$A$46,0))</f>
        <v>2</v>
      </c>
      <c r="AB18" s="26">
        <f>INDEX(BA!Z2:Z46,MATCH('Match Analyzer BA'!$B$18,BA!$A$2:$A$46,0))</f>
        <v>0</v>
      </c>
      <c r="AC18" s="26">
        <f>INDEX(BA!N2:N46,MATCH('Match Analyzer BA'!$B$18,BA!$A$2:$A$46,0))</f>
        <v>0</v>
      </c>
      <c r="AD18" s="26">
        <f>INDEX(BA!Y2:Y46,MATCH('Match Analyzer BA'!$B$18,BA!$A$2:$A$46,0))</f>
        <v>1</v>
      </c>
      <c r="AE18" s="26">
        <f>INDEX(BA!AH2:AH46,MATCH('Match Analyzer BA'!$B$18,BA!$A$2:$A$46,0))</f>
        <v>1</v>
      </c>
      <c r="AF18" s="26">
        <f>INDEX(BA!AC2:AC46,MATCH('Match Analyzer BA'!$B$18,BA!$A$2:$A$46,0))</f>
        <v>1</v>
      </c>
      <c r="AG18" s="26">
        <f>INDEX(BA!S2:S46,MATCH('Match Analyzer BA'!$B$18,BA!$A$2:$A$46,0))</f>
        <v>0</v>
      </c>
      <c r="AH18" s="14">
        <f>INDEX(BA!R2:R46,MATCH('Match Analyzer BA'!$B$18,BA!$A$2:$A$46,0))</f>
        <v>0</v>
      </c>
    </row>
    <row r="19" spans="1:34" x14ac:dyDescent="0.25">
      <c r="A19" s="98"/>
      <c r="B19" s="7" t="s">
        <v>52</v>
      </c>
      <c r="C19" s="13">
        <f>INDEX(BA!B2:B46,MATCH('Match Analyzer BA'!$B$19,BA!$A$2:$A$46,0))</f>
        <v>98</v>
      </c>
      <c r="D19" s="59">
        <f>INDEX(BA!C2:C46,MATCH('Match Analyzer BA'!$B$19,BA!$A$2:$A$46,0))</f>
        <v>12.25</v>
      </c>
      <c r="E19" s="14">
        <f>INDEX(BA!D2:D46,MATCH('Match Analyzer BA'!$B$19,BA!$A$2:$A$46,0))</f>
        <v>19</v>
      </c>
      <c r="F19" s="13">
        <f>INDEX(BA!E2:E46,MATCH('Match Analyzer BA'!$B$19,BA!$A$2:$A$46,0))</f>
        <v>2</v>
      </c>
      <c r="G19" s="26">
        <f>INDEX(BA!F2:F46,MATCH('Match Analyzer BA'!$B$19,BA!$A$2:$A$46,0))</f>
        <v>6</v>
      </c>
      <c r="H19" s="27">
        <f>INDEX(BA!G2:G46,MATCH('Match Analyzer BA'!$B$19,BA!$A$2:$A$46,0))</f>
        <v>0.25</v>
      </c>
      <c r="I19" s="13">
        <f>INDEX(BA!H2:H46,MATCH('Match Analyzer BA'!$B$19,BA!$A$2:$A$46,0))</f>
        <v>14</v>
      </c>
      <c r="J19" s="26">
        <f>INDEX(BA!I2:I46,MATCH('Match Analyzer BA'!$B$19,BA!$A$2:$A$46,0))</f>
        <v>21</v>
      </c>
      <c r="K19" s="27">
        <f>INDEX(BA!J2:J46,MATCH('Match Analyzer BA'!$B$19,BA!$A$2:$A$46,0))</f>
        <v>0.4</v>
      </c>
      <c r="L19" s="13">
        <f>INDEX(BA!K2:K46,MATCH('Match Analyzer BA'!$B$19,BA!$A$2:$A$46,0))</f>
        <v>60</v>
      </c>
      <c r="M19" s="26">
        <f>INDEX(BA!L2:L46,MATCH('Match Analyzer BA'!$B$19,BA!$A$2:$A$46,0))</f>
        <v>79</v>
      </c>
      <c r="N19" s="27">
        <f>INDEX(BA!M2:M46,MATCH('Match Analyzer BA'!$B$19,BA!$A$2:$A$46,0))</f>
        <v>0.43165467625899279</v>
      </c>
      <c r="O19" s="13">
        <f>INDEX(BA!V2:V46,MATCH('Match Analyzer BA'!$B$19,BA!$A$2:$A$46,0))</f>
        <v>0</v>
      </c>
      <c r="P19" s="26">
        <f>INDEX(BA!Q2:Q46,MATCH('Match Analyzer BA'!$B$19,BA!$A$2:$A$46,0))</f>
        <v>1</v>
      </c>
      <c r="Q19" s="26">
        <f>INDEX(BA!U2:U46,MATCH('Match Analyzer BA'!$B$19,BA!$A$2:$A$46,0))</f>
        <v>0</v>
      </c>
      <c r="R19" s="26">
        <f>INDEX(BA!AB2:AB46,MATCH('Match Analyzer BA'!$B$19,BA!$A$2:$A$46,0))</f>
        <v>2</v>
      </c>
      <c r="S19" s="26">
        <f>INDEX(BA!T2:T46,MATCH('Match Analyzer BA'!$B$19,BA!$A$2:$A$46,0))</f>
        <v>0</v>
      </c>
      <c r="T19" s="26">
        <f>INDEX(BA!AD2:AD46,MATCH('Match Analyzer BA'!$B$19,BA!$A$2:$A$46,0))</f>
        <v>3</v>
      </c>
      <c r="U19" s="26">
        <f>INDEX(BA!AA2:AA46,MATCH('Match Analyzer BA'!$B$19,BA!$A$2:$A$46,0))</f>
        <v>0</v>
      </c>
      <c r="V19" s="26">
        <f>INDEX(BA!AF2:AF46,MATCH('Match Analyzer BA'!$B$19,BA!$A$2:$A$46,0))</f>
        <v>1</v>
      </c>
      <c r="W19" s="26">
        <f>INDEX(BA!P2:P46,MATCH('Match Analyzer BA'!$B$19,BA!$A$2:$A$46,0))</f>
        <v>0</v>
      </c>
      <c r="X19" s="26">
        <f>INDEX(BA!AE2:AE46,MATCH('Match Analyzer BA'!$B$19,BA!$A$2:$A$46,0))</f>
        <v>2</v>
      </c>
      <c r="Y19" s="26">
        <f>INDEX(BA!W2:W46,MATCH('Match Analyzer BA'!$B$19,BA!$A$2:$A$46,0))</f>
        <v>3</v>
      </c>
      <c r="Z19" s="26">
        <f>INDEX(BA!O2:O46,MATCH('Match Analyzer BA'!$B$19,BA!$A$2:$A$46,0))</f>
        <v>2</v>
      </c>
      <c r="AA19" s="26">
        <f>INDEX(BA!X2:X46,MATCH('Match Analyzer BA'!$B$19,BA!$A$2:$A$46,0))</f>
        <v>0</v>
      </c>
      <c r="AB19" s="26">
        <f>INDEX(BA!Z2:Z46,MATCH('Match Analyzer BA'!$B$19,BA!$A$2:$A$46,0))</f>
        <v>0</v>
      </c>
      <c r="AC19" s="26">
        <f>INDEX(BA!N2:N46,MATCH('Match Analyzer BA'!$B$19,BA!$A$2:$A$46,0))</f>
        <v>0</v>
      </c>
      <c r="AD19" s="26">
        <f>INDEX(BA!Y2:Y46,MATCH('Match Analyzer BA'!$B$19,BA!$A$2:$A$46,0))</f>
        <v>0</v>
      </c>
      <c r="AE19" s="26">
        <f>INDEX(BA!AH2:AH46,MATCH('Match Analyzer BA'!$B$19,BA!$A$2:$A$46,0))</f>
        <v>0</v>
      </c>
      <c r="AF19" s="26">
        <f>INDEX(BA!AC2:AC46,MATCH('Match Analyzer BA'!$B$19,BA!$A$2:$A$46,0))</f>
        <v>0</v>
      </c>
      <c r="AG19" s="26">
        <f>INDEX(BA!S2:S46,MATCH('Match Analyzer BA'!$B$19,BA!$A$2:$A$46,0))</f>
        <v>0</v>
      </c>
      <c r="AH19" s="14">
        <f>INDEX(BA!R2:R46,MATCH('Match Analyzer BA'!$B$19,BA!$A$2:$A$46,0))</f>
        <v>0</v>
      </c>
    </row>
    <row r="20" spans="1:34" x14ac:dyDescent="0.25">
      <c r="A20" s="98"/>
      <c r="B20" s="7" t="s">
        <v>19</v>
      </c>
      <c r="C20" s="13">
        <f>INDEX(BA!B2:B46,MATCH('Match Analyzer BA'!$B$20,BA!$A$2:$A$46,0))</f>
        <v>88</v>
      </c>
      <c r="D20" s="59">
        <f>INDEX(BA!C2:C46,MATCH('Match Analyzer BA'!$B$20,BA!$A$2:$A$46,0))</f>
        <v>8</v>
      </c>
      <c r="E20" s="14">
        <f>INDEX(BA!D2:D46,MATCH('Match Analyzer BA'!$B$20,BA!$A$2:$A$46,0))</f>
        <v>11</v>
      </c>
      <c r="F20" s="13">
        <f>INDEX(BA!E2:E46,MATCH('Match Analyzer BA'!$B$20,BA!$A$2:$A$46,0))</f>
        <v>9</v>
      </c>
      <c r="G20" s="26">
        <f>INDEX(BA!F2:F46,MATCH('Match Analyzer BA'!$B$20,BA!$A$2:$A$46,0))</f>
        <v>2</v>
      </c>
      <c r="H20" s="27">
        <f>INDEX(BA!G2:G46,MATCH('Match Analyzer BA'!$B$20,BA!$A$2:$A$46,0))</f>
        <v>0.81818181818181823</v>
      </c>
      <c r="I20" s="13">
        <f>INDEX(BA!H2:H46,MATCH('Match Analyzer BA'!$B$20,BA!$A$2:$A$46,0))</f>
        <v>30</v>
      </c>
      <c r="J20" s="26">
        <f>INDEX(BA!I2:I46,MATCH('Match Analyzer BA'!$B$20,BA!$A$2:$A$46,0))</f>
        <v>16</v>
      </c>
      <c r="K20" s="27">
        <f>INDEX(BA!J2:J46,MATCH('Match Analyzer BA'!$B$20,BA!$A$2:$A$46,0))</f>
        <v>0.65217391304347827</v>
      </c>
      <c r="L20" s="13">
        <f>INDEX(BA!K2:K46,MATCH('Match Analyzer BA'!$B$20,BA!$A$2:$A$46,0))</f>
        <v>106</v>
      </c>
      <c r="M20" s="26">
        <f>INDEX(BA!L2:L46,MATCH('Match Analyzer BA'!$B$20,BA!$A$2:$A$46,0))</f>
        <v>79</v>
      </c>
      <c r="N20" s="27">
        <f>INDEX(BA!M2:M46,MATCH('Match Analyzer BA'!$B$20,BA!$A$2:$A$46,0))</f>
        <v>0.572972972972973</v>
      </c>
      <c r="O20" s="13">
        <f>INDEX(BA!V2:V46,MATCH('Match Analyzer BA'!$B$20,BA!$A$2:$A$46,0))</f>
        <v>1</v>
      </c>
      <c r="P20" s="26">
        <f>INDEX(BA!Q2:Q46,MATCH('Match Analyzer BA'!$B$20,BA!$A$2:$A$46,0))</f>
        <v>2</v>
      </c>
      <c r="Q20" s="26">
        <f>INDEX(BA!U2:U46,MATCH('Match Analyzer BA'!$B$20,BA!$A$2:$A$46,0))</f>
        <v>1</v>
      </c>
      <c r="R20" s="26">
        <f>INDEX(BA!AB2:AB46,MATCH('Match Analyzer BA'!$B$20,BA!$A$2:$A$46,0))</f>
        <v>3</v>
      </c>
      <c r="S20" s="26">
        <f>INDEX(BA!T2:T46,MATCH('Match Analyzer BA'!$B$20,BA!$A$2:$A$46,0))</f>
        <v>1</v>
      </c>
      <c r="T20" s="26">
        <f>INDEX(BA!AD2:AD46,MATCH('Match Analyzer BA'!$B$20,BA!$A$2:$A$46,0))</f>
        <v>5</v>
      </c>
      <c r="U20" s="26">
        <f>INDEX(BA!AA2:AA46,MATCH('Match Analyzer BA'!$B$20,BA!$A$2:$A$46,0))</f>
        <v>2</v>
      </c>
      <c r="V20" s="26">
        <f>INDEX(BA!AF2:AF46,MATCH('Match Analyzer BA'!$B$20,BA!$A$2:$A$46,0))</f>
        <v>3</v>
      </c>
      <c r="W20" s="26">
        <f>INDEX(BA!P2:P46,MATCH('Match Analyzer BA'!$B$20,BA!$A$2:$A$46,0))</f>
        <v>2</v>
      </c>
      <c r="X20" s="26">
        <f>INDEX(BA!AE2:AE46,MATCH('Match Analyzer BA'!$B$20,BA!$A$2:$A$46,0))</f>
        <v>3</v>
      </c>
      <c r="Y20" s="26">
        <f>INDEX(BA!W2:W46,MATCH('Match Analyzer BA'!$B$20,BA!$A$2:$A$46,0))</f>
        <v>2</v>
      </c>
      <c r="Z20" s="26">
        <f>INDEX(BA!O2:O46,MATCH('Match Analyzer BA'!$B$20,BA!$A$2:$A$46,0))</f>
        <v>1</v>
      </c>
      <c r="AA20" s="26">
        <f>INDEX(BA!X2:X46,MATCH('Match Analyzer BA'!$B$20,BA!$A$2:$A$46,0))</f>
        <v>1</v>
      </c>
      <c r="AB20" s="26">
        <f>INDEX(BA!Z2:Z46,MATCH('Match Analyzer BA'!$B$20,BA!$A$2:$A$46,0))</f>
        <v>1</v>
      </c>
      <c r="AC20" s="26">
        <f>INDEX(BA!N2:N46,MATCH('Match Analyzer BA'!$B$20,BA!$A$2:$A$46,0))</f>
        <v>1</v>
      </c>
      <c r="AD20" s="26">
        <f>INDEX(BA!Y2:Y46,MATCH('Match Analyzer BA'!$B$20,BA!$A$2:$A$46,0))</f>
        <v>0</v>
      </c>
      <c r="AE20" s="26">
        <f>INDEX(BA!AH2:AH46,MATCH('Match Analyzer BA'!$B$20,BA!$A$2:$A$46,0))</f>
        <v>1</v>
      </c>
      <c r="AF20" s="26">
        <f>INDEX(BA!AC2:AC46,MATCH('Match Analyzer BA'!$B$20,BA!$A$2:$A$46,0))</f>
        <v>0</v>
      </c>
      <c r="AG20" s="26">
        <f>INDEX(BA!S2:S46,MATCH('Match Analyzer BA'!$B$20,BA!$A$2:$A$46,0))</f>
        <v>0</v>
      </c>
      <c r="AH20" s="14">
        <f>INDEX(BA!R2:R46,MATCH('Match Analyzer BA'!$B$20,BA!$A$2:$A$46,0))</f>
        <v>0</v>
      </c>
    </row>
    <row r="21" spans="1:34" x14ac:dyDescent="0.25">
      <c r="A21" s="98"/>
      <c r="B21" s="7" t="s">
        <v>3</v>
      </c>
      <c r="C21" s="13">
        <f>INDEX(BA!B2:B46,MATCH('Match Analyzer BA'!$B$21,BA!$A$2:$A$46,0))</f>
        <v>166</v>
      </c>
      <c r="D21" s="59">
        <f>INDEX(BA!C2:C46,MATCH('Match Analyzer BA'!$B$21,BA!$A$2:$A$46,0))</f>
        <v>23.714285714285715</v>
      </c>
      <c r="E21" s="14">
        <f>INDEX(BA!D2:D46,MATCH('Match Analyzer BA'!$B$21,BA!$A$2:$A$46,0))</f>
        <v>27</v>
      </c>
      <c r="F21" s="13">
        <f>INDEX(BA!E2:E46,MATCH('Match Analyzer BA'!$B$21,BA!$A$2:$A$46,0))</f>
        <v>2</v>
      </c>
      <c r="G21" s="26">
        <f>INDEX(BA!F2:F46,MATCH('Match Analyzer BA'!$B$21,BA!$A$2:$A$46,0))</f>
        <v>5</v>
      </c>
      <c r="H21" s="27">
        <f>INDEX(BA!G2:G46,MATCH('Match Analyzer BA'!$B$21,BA!$A$2:$A$46,0))</f>
        <v>0.2857142857142857</v>
      </c>
      <c r="I21" s="13">
        <f>INDEX(BA!H2:H46,MATCH('Match Analyzer BA'!$B$21,BA!$A$2:$A$46,0))</f>
        <v>16</v>
      </c>
      <c r="J21" s="26">
        <f>INDEX(BA!I2:I46,MATCH('Match Analyzer BA'!$B$21,BA!$A$2:$A$46,0))</f>
        <v>20</v>
      </c>
      <c r="K21" s="27">
        <f>INDEX(BA!J2:J46,MATCH('Match Analyzer BA'!$B$21,BA!$A$2:$A$46,0))</f>
        <v>0.44444444444444442</v>
      </c>
      <c r="L21" s="13">
        <f>INDEX(BA!K2:K46,MATCH('Match Analyzer BA'!$B$21,BA!$A$2:$A$46,0))</f>
        <v>74</v>
      </c>
      <c r="M21" s="26">
        <f>INDEX(BA!L2:L46,MATCH('Match Analyzer BA'!$B$21,BA!$A$2:$A$46,0))</f>
        <v>83</v>
      </c>
      <c r="N21" s="27">
        <f>INDEX(BA!M2:M46,MATCH('Match Analyzer BA'!$B$21,BA!$A$2:$A$46,0))</f>
        <v>0.4713375796178344</v>
      </c>
      <c r="O21" s="13">
        <f>INDEX(BA!V2:V46,MATCH('Match Analyzer BA'!$B$21,BA!$A$2:$A$46,0))</f>
        <v>0</v>
      </c>
      <c r="P21" s="26">
        <f>INDEX(BA!Q2:Q46,MATCH('Match Analyzer BA'!$B$21,BA!$A$2:$A$46,0))</f>
        <v>1</v>
      </c>
      <c r="Q21" s="26">
        <f>INDEX(BA!U2:U46,MATCH('Match Analyzer BA'!$B$21,BA!$A$2:$A$46,0))</f>
        <v>0</v>
      </c>
      <c r="R21" s="26">
        <f>INDEX(BA!AB2:AB46,MATCH('Match Analyzer BA'!$B$21,BA!$A$2:$A$46,0))</f>
        <v>1</v>
      </c>
      <c r="S21" s="26">
        <f>INDEX(BA!T2:T46,MATCH('Match Analyzer BA'!$B$21,BA!$A$2:$A$46,0))</f>
        <v>0</v>
      </c>
      <c r="T21" s="26">
        <f>INDEX(BA!AD2:AD46,MATCH('Match Analyzer BA'!$B$21,BA!$A$2:$A$46,0))</f>
        <v>1</v>
      </c>
      <c r="U21" s="26">
        <f>INDEX(BA!AA2:AA46,MATCH('Match Analyzer BA'!$B$21,BA!$A$2:$A$46,0))</f>
        <v>2</v>
      </c>
      <c r="V21" s="26">
        <f>INDEX(BA!AF2:AF46,MATCH('Match Analyzer BA'!$B$21,BA!$A$2:$A$46,0))</f>
        <v>2</v>
      </c>
      <c r="W21" s="26">
        <f>INDEX(BA!P2:P46,MATCH('Match Analyzer BA'!$B$21,BA!$A$2:$A$46,0))</f>
        <v>2</v>
      </c>
      <c r="X21" s="26">
        <f>INDEX(BA!AE2:AE46,MATCH('Match Analyzer BA'!$B$21,BA!$A$2:$A$46,0))</f>
        <v>3</v>
      </c>
      <c r="Y21" s="26">
        <f>INDEX(BA!W2:W46,MATCH('Match Analyzer BA'!$B$21,BA!$A$2:$A$46,0))</f>
        <v>1</v>
      </c>
      <c r="Z21" s="26">
        <f>INDEX(BA!O2:O46,MATCH('Match Analyzer BA'!$B$21,BA!$A$2:$A$46,0))</f>
        <v>2</v>
      </c>
      <c r="AA21" s="26">
        <f>INDEX(BA!X2:X46,MATCH('Match Analyzer BA'!$B$21,BA!$A$2:$A$46,0))</f>
        <v>0</v>
      </c>
      <c r="AB21" s="26">
        <f>INDEX(BA!Z2:Z46,MATCH('Match Analyzer BA'!$B$21,BA!$A$2:$A$46,0))</f>
        <v>0</v>
      </c>
      <c r="AC21" s="26">
        <f>INDEX(BA!N2:N46,MATCH('Match Analyzer BA'!$B$21,BA!$A$2:$A$46,0))</f>
        <v>0</v>
      </c>
      <c r="AD21" s="26">
        <f>INDEX(BA!Y2:Y46,MATCH('Match Analyzer BA'!$B$21,BA!$A$2:$A$46,0))</f>
        <v>0</v>
      </c>
      <c r="AE21" s="26">
        <f>INDEX(BA!AH2:AH46,MATCH('Match Analyzer BA'!$B$21,BA!$A$2:$A$46,0))</f>
        <v>0</v>
      </c>
      <c r="AF21" s="26">
        <f>INDEX(BA!AC2:AC46,MATCH('Match Analyzer BA'!$B$21,BA!$A$2:$A$46,0))</f>
        <v>0</v>
      </c>
      <c r="AG21" s="26">
        <f>INDEX(BA!S2:S46,MATCH('Match Analyzer BA'!$B$21,BA!$A$2:$A$46,0))</f>
        <v>1</v>
      </c>
      <c r="AH21" s="14">
        <f>INDEX(BA!R2:R46,MATCH('Match Analyzer BA'!$B$21,BA!$A$2:$A$46,0))</f>
        <v>0</v>
      </c>
    </row>
    <row r="22" spans="1:34" x14ac:dyDescent="0.25">
      <c r="A22" s="98"/>
      <c r="B22" s="7" t="s">
        <v>14</v>
      </c>
      <c r="C22" s="13">
        <f>INDEX(BA!B2:B46,MATCH('Match Analyzer BA'!$B$22,BA!$A$2:$A$46,0))</f>
        <v>183</v>
      </c>
      <c r="D22" s="59">
        <f>INDEX(BA!C2:C46,MATCH('Match Analyzer BA'!$B$22,BA!$A$2:$A$46,0))</f>
        <v>16.636363636363637</v>
      </c>
      <c r="E22" s="14">
        <f>INDEX(BA!D2:D46,MATCH('Match Analyzer BA'!$B$22,BA!$A$2:$A$46,0))</f>
        <v>25</v>
      </c>
      <c r="F22" s="13">
        <f>INDEX(BA!E2:E46,MATCH('Match Analyzer BA'!$B$22,BA!$A$2:$A$46,0))</f>
        <v>5</v>
      </c>
      <c r="G22" s="26">
        <f>INDEX(BA!F2:F46,MATCH('Match Analyzer BA'!$B$22,BA!$A$2:$A$46,0))</f>
        <v>6</v>
      </c>
      <c r="H22" s="27">
        <f>INDEX(BA!G2:G46,MATCH('Match Analyzer BA'!$B$22,BA!$A$2:$A$46,0))</f>
        <v>0.45454545454545453</v>
      </c>
      <c r="I22" s="13">
        <f>INDEX(BA!H2:H46,MATCH('Match Analyzer BA'!$B$22,BA!$A$2:$A$46,0))</f>
        <v>22</v>
      </c>
      <c r="J22" s="26">
        <f>INDEX(BA!I2:I46,MATCH('Match Analyzer BA'!$B$22,BA!$A$2:$A$46,0))</f>
        <v>26</v>
      </c>
      <c r="K22" s="27">
        <f>INDEX(BA!J2:J46,MATCH('Match Analyzer BA'!$B$22,BA!$A$2:$A$46,0))</f>
        <v>0.45833333333333331</v>
      </c>
      <c r="L22" s="13">
        <f>INDEX(BA!K2:K46,MATCH('Match Analyzer BA'!$B$22,BA!$A$2:$A$46,0))</f>
        <v>94</v>
      </c>
      <c r="M22" s="26">
        <f>INDEX(BA!L2:L46,MATCH('Match Analyzer BA'!$B$22,BA!$A$2:$A$46,0))</f>
        <v>96</v>
      </c>
      <c r="N22" s="27">
        <f>INDEX(BA!M2:M46,MATCH('Match Analyzer BA'!$B$22,BA!$A$2:$A$46,0))</f>
        <v>0.49473684210526314</v>
      </c>
      <c r="O22" s="13">
        <f>INDEX(BA!V2:V46,MATCH('Match Analyzer BA'!$B$22,BA!$A$2:$A$46,0))</f>
        <v>1</v>
      </c>
      <c r="P22" s="26">
        <f>INDEX(BA!Q2:Q46,MATCH('Match Analyzer BA'!$B$22,BA!$A$2:$A$46,0))</f>
        <v>0</v>
      </c>
      <c r="Q22" s="26">
        <f>INDEX(BA!U2:U46,MATCH('Match Analyzer BA'!$B$22,BA!$A$2:$A$46,0))</f>
        <v>1</v>
      </c>
      <c r="R22" s="26">
        <f>INDEX(BA!AB2:AB46,MATCH('Match Analyzer BA'!$B$22,BA!$A$2:$A$46,0))</f>
        <v>5</v>
      </c>
      <c r="S22" s="26">
        <f>INDEX(BA!T2:T46,MATCH('Match Analyzer BA'!$B$22,BA!$A$2:$A$46,0))</f>
        <v>2</v>
      </c>
      <c r="T22" s="26">
        <f>INDEX(BA!AD2:AD46,MATCH('Match Analyzer BA'!$B$22,BA!$A$2:$A$46,0))</f>
        <v>3</v>
      </c>
      <c r="U22" s="26">
        <f>INDEX(BA!AA2:AA46,MATCH('Match Analyzer BA'!$B$22,BA!$A$2:$A$46,0))</f>
        <v>1</v>
      </c>
      <c r="V22" s="26">
        <f>INDEX(BA!AF2:AF46,MATCH('Match Analyzer BA'!$B$22,BA!$A$2:$A$46,0))</f>
        <v>0</v>
      </c>
      <c r="W22" s="26">
        <f>INDEX(BA!P2:P46,MATCH('Match Analyzer BA'!$B$22,BA!$A$2:$A$46,0))</f>
        <v>0</v>
      </c>
      <c r="X22" s="26">
        <f>INDEX(BA!AE2:AE46,MATCH('Match Analyzer BA'!$B$22,BA!$A$2:$A$46,0))</f>
        <v>2</v>
      </c>
      <c r="Y22" s="26">
        <f>INDEX(BA!W2:W46,MATCH('Match Analyzer BA'!$B$22,BA!$A$2:$A$46,0))</f>
        <v>1</v>
      </c>
      <c r="Z22" s="26">
        <f>INDEX(BA!O2:O46,MATCH('Match Analyzer BA'!$B$22,BA!$A$2:$A$46,0))</f>
        <v>1</v>
      </c>
      <c r="AA22" s="26">
        <f>INDEX(BA!X2:X46,MATCH('Match Analyzer BA'!$B$22,BA!$A$2:$A$46,0))</f>
        <v>0</v>
      </c>
      <c r="AB22" s="26">
        <f>INDEX(BA!Z2:Z46,MATCH('Match Analyzer BA'!$B$22,BA!$A$2:$A$46,0))</f>
        <v>1</v>
      </c>
      <c r="AC22" s="26">
        <f>INDEX(BA!N2:N46,MATCH('Match Analyzer BA'!$B$22,BA!$A$2:$A$46,0))</f>
        <v>1</v>
      </c>
      <c r="AD22" s="26">
        <f>INDEX(BA!Y2:Y46,MATCH('Match Analyzer BA'!$B$22,BA!$A$2:$A$46,0))</f>
        <v>2</v>
      </c>
      <c r="AE22" s="26">
        <f>INDEX(BA!AH2:AH46,MATCH('Match Analyzer BA'!$B$22,BA!$A$2:$A$46,0))</f>
        <v>0</v>
      </c>
      <c r="AF22" s="26">
        <f>INDEX(BA!AC2:AC46,MATCH('Match Analyzer BA'!$B$22,BA!$A$2:$A$46,0))</f>
        <v>1</v>
      </c>
      <c r="AG22" s="26">
        <f>INDEX(BA!S2:S46,MATCH('Match Analyzer BA'!$B$22,BA!$A$2:$A$46,0))</f>
        <v>0</v>
      </c>
      <c r="AH22" s="14">
        <f>INDEX(BA!R2:R46,MATCH('Match Analyzer BA'!$B$22,BA!$A$2:$A$46,0))</f>
        <v>0</v>
      </c>
    </row>
    <row r="23" spans="1:34" x14ac:dyDescent="0.25">
      <c r="A23" s="98"/>
      <c r="B23" s="7" t="s">
        <v>80</v>
      </c>
      <c r="C23" s="13">
        <f>INDEX(BA!B2:B46,MATCH('Match Analyzer BA'!$B$23,BA!$A$2:$A$46,0))</f>
        <v>0</v>
      </c>
      <c r="D23" s="59">
        <f>INDEX(BA!C2:C46,MATCH('Match Analyzer BA'!$B$23,BA!$A$2:$A$46,0))</f>
        <v>0</v>
      </c>
      <c r="E23" s="14">
        <f>INDEX(BA!D2:D46,MATCH('Match Analyzer BA'!$B$23,BA!$A$2:$A$46,0))</f>
        <v>0</v>
      </c>
      <c r="F23" s="13">
        <f>INDEX(BA!E2:E46,MATCH('Match Analyzer BA'!$B$23,BA!$A$2:$A$46,0))</f>
        <v>0</v>
      </c>
      <c r="G23" s="26">
        <f>INDEX(BA!F2:F46,MATCH('Match Analyzer BA'!$B$23,BA!$A$2:$A$46,0))</f>
        <v>0</v>
      </c>
      <c r="H23" s="27" t="str">
        <f>INDEX(BA!G2:G46,MATCH('Match Analyzer BA'!$B$23,BA!$A$2:$A$46,0))</f>
        <v>-</v>
      </c>
      <c r="I23" s="13">
        <f>INDEX(BA!H2:H46,MATCH('Match Analyzer BA'!$B$23,BA!$A$2:$A$46,0))</f>
        <v>0</v>
      </c>
      <c r="J23" s="26">
        <f>INDEX(BA!I2:I46,MATCH('Match Analyzer BA'!$B$23,BA!$A$2:$A$46,0))</f>
        <v>0</v>
      </c>
      <c r="K23" s="27" t="str">
        <f>INDEX(BA!J2:J46,MATCH('Match Analyzer BA'!$B$23,BA!$A$2:$A$46,0))</f>
        <v>-</v>
      </c>
      <c r="L23" s="13">
        <f>INDEX(BA!K2:K46,MATCH('Match Analyzer BA'!$B$23,BA!$A$2:$A$46,0))</f>
        <v>0</v>
      </c>
      <c r="M23" s="26">
        <f>INDEX(BA!L2:L46,MATCH('Match Analyzer BA'!$B$23,BA!$A$2:$A$46,0))</f>
        <v>0</v>
      </c>
      <c r="N23" s="27" t="str">
        <f>INDEX(BA!M2:M46,MATCH('Match Analyzer BA'!$B$23,BA!$A$2:$A$46,0))</f>
        <v>-</v>
      </c>
      <c r="O23" s="13">
        <f>INDEX(BA!V2:V46,MATCH('Match Analyzer BA'!$B$23,BA!$A$2:$A$46,0))</f>
        <v>0</v>
      </c>
      <c r="P23" s="26">
        <f>INDEX(BA!Q2:Q46,MATCH('Match Analyzer BA'!$B$23,BA!$A$2:$A$46,0))</f>
        <v>0</v>
      </c>
      <c r="Q23" s="26">
        <f>INDEX(BA!U2:U46,MATCH('Match Analyzer BA'!$B$23,BA!$A$2:$A$46,0))</f>
        <v>0</v>
      </c>
      <c r="R23" s="26">
        <f>INDEX(BA!AB2:AB46,MATCH('Match Analyzer BA'!$B$23,BA!$A$2:$A$46,0))</f>
        <v>0</v>
      </c>
      <c r="S23" s="26">
        <f>INDEX(BA!T2:T46,MATCH('Match Analyzer BA'!$B$23,BA!$A$2:$A$46,0))</f>
        <v>0</v>
      </c>
      <c r="T23" s="26">
        <f>INDEX(BA!AD2:AD46,MATCH('Match Analyzer BA'!$B$23,BA!$A$2:$A$46,0))</f>
        <v>0</v>
      </c>
      <c r="U23" s="26">
        <f>INDEX(BA!AA2:AA46,MATCH('Match Analyzer BA'!$B$23,BA!$A$2:$A$46,0))</f>
        <v>0</v>
      </c>
      <c r="V23" s="26">
        <f>INDEX(BA!AF2:AF46,MATCH('Match Analyzer BA'!$B$23,BA!$A$2:$A$46,0))</f>
        <v>0</v>
      </c>
      <c r="W23" s="26">
        <f>INDEX(BA!P2:P46,MATCH('Match Analyzer BA'!$B$23,BA!$A$2:$A$46,0))</f>
        <v>0</v>
      </c>
      <c r="X23" s="26">
        <f>INDEX(BA!AE2:AE46,MATCH('Match Analyzer BA'!$B$23,BA!$A$2:$A$46,0))</f>
        <v>0</v>
      </c>
      <c r="Y23" s="26">
        <f>INDEX(BA!W2:W46,MATCH('Match Analyzer BA'!$B$23,BA!$A$2:$A$46,0))</f>
        <v>0</v>
      </c>
      <c r="Z23" s="26">
        <f>INDEX(BA!O2:O46,MATCH('Match Analyzer BA'!$B$23,BA!$A$2:$A$46,0))</f>
        <v>0</v>
      </c>
      <c r="AA23" s="26">
        <f>INDEX(BA!X2:X46,MATCH('Match Analyzer BA'!$B$23,BA!$A$2:$A$46,0))</f>
        <v>0</v>
      </c>
      <c r="AB23" s="26">
        <f>INDEX(BA!Z2:Z46,MATCH('Match Analyzer BA'!$B$23,BA!$A$2:$A$46,0))</f>
        <v>0</v>
      </c>
      <c r="AC23" s="26">
        <f>INDEX(BA!N2:N46,MATCH('Match Analyzer BA'!$B$23,BA!$A$2:$A$46,0))</f>
        <v>0</v>
      </c>
      <c r="AD23" s="26">
        <f>INDEX(BA!Y2:Y46,MATCH('Match Analyzer BA'!$B$23,BA!$A$2:$A$46,0))</f>
        <v>0</v>
      </c>
      <c r="AE23" s="26">
        <f>INDEX(BA!AH2:AH46,MATCH('Match Analyzer BA'!$B$23,BA!$A$2:$A$46,0))</f>
        <v>0</v>
      </c>
      <c r="AF23" s="26">
        <f>INDEX(BA!AC2:AC46,MATCH('Match Analyzer BA'!$B$23,BA!$A$2:$A$46,0))</f>
        <v>0</v>
      </c>
      <c r="AG23" s="26">
        <f>INDEX(BA!S2:S46,MATCH('Match Analyzer BA'!$B$23,BA!$A$2:$A$46,0))</f>
        <v>0</v>
      </c>
      <c r="AH23" s="14">
        <f>INDEX(BA!R2:R46,MATCH('Match Analyzer BA'!$B$23,BA!$A$2:$A$46,0))</f>
        <v>0</v>
      </c>
    </row>
    <row r="24" spans="1:34" ht="15.75" thickBot="1" x14ac:dyDescent="0.3">
      <c r="A24" s="98"/>
      <c r="B24" s="7" t="s">
        <v>80</v>
      </c>
      <c r="C24" s="17">
        <f>INDEX(BA!B2:B46,MATCH('Match Analyzer BA'!$B$24,BA!$A$2:$A$46,0))</f>
        <v>0</v>
      </c>
      <c r="D24" s="60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29">
        <f>INDEX('Old Bow'!X2:X37, MATCH($B$24, 'Old Bow'!$A$2:$A$37, 0))</f>
        <v>0</v>
      </c>
      <c r="AD24" s="29" t="e">
        <f>INDEX('Old Bow'!#REF!, MATCH($B$24, 'Old Bow'!$A$2:$A$37, 0))</f>
        <v>#REF!</v>
      </c>
      <c r="AE24" s="29">
        <f>INDEX('Old Bow'!AF2:AF37, MATCH($B$24, 'Old Bow'!$A$2:$A$37, 0))</f>
        <v>0</v>
      </c>
      <c r="AF24" s="29">
        <f>INDEX('Old Bow'!AG2:AG37, MATCH($B$24, 'Old Bow'!$A$2:$A$37, 0))</f>
        <v>0</v>
      </c>
      <c r="AG24" s="29">
        <f>INDEX('Old Bow'!AH2:AH37, MATCH($B$24, 'Old Bow'!$A$2:$A$37, 0))</f>
        <v>0</v>
      </c>
      <c r="AH24" s="18">
        <f>INDEX('Old Bow'!AI2:AI37, MATCH($B$24, 'Old Bow'!$A$2:$A$37, 0))</f>
        <v>0</v>
      </c>
    </row>
    <row r="25" spans="1:34" x14ac:dyDescent="0.25">
      <c r="D25" s="8">
        <f>SUM(D17:D24)</f>
        <v>88.506664388243351</v>
      </c>
      <c r="H25" s="9">
        <f>AVERAGE(H17:H24)</f>
        <v>0.42546707678286627</v>
      </c>
      <c r="I25" s="1"/>
      <c r="J25" s="1"/>
      <c r="K25" s="9">
        <f>AVERAGE(K17:K24)</f>
        <v>0.46641436226331279</v>
      </c>
      <c r="N25" s="9">
        <f>AVERAGE(N17:N24)</f>
        <v>0.48368152570681344</v>
      </c>
      <c r="O25" s="5">
        <f>SUM(O17:O24)</f>
        <v>3</v>
      </c>
      <c r="P25" s="5">
        <f t="shared" ref="P25:AH25" si="1">SUM(P17:P24)</f>
        <v>8</v>
      </c>
      <c r="Q25" s="5">
        <f t="shared" si="1"/>
        <v>6</v>
      </c>
      <c r="R25" s="5">
        <f t="shared" si="1"/>
        <v>20</v>
      </c>
      <c r="S25" s="5">
        <f t="shared" si="1"/>
        <v>5</v>
      </c>
      <c r="T25" s="5">
        <f t="shared" si="1"/>
        <v>15</v>
      </c>
      <c r="U25" s="5">
        <f t="shared" si="1"/>
        <v>8</v>
      </c>
      <c r="V25" s="5">
        <f t="shared" si="1"/>
        <v>11</v>
      </c>
      <c r="W25" s="5">
        <f t="shared" si="1"/>
        <v>7</v>
      </c>
      <c r="X25" s="5">
        <f t="shared" si="1"/>
        <v>15</v>
      </c>
      <c r="Y25" s="5">
        <f t="shared" si="1"/>
        <v>9</v>
      </c>
      <c r="Z25" s="5">
        <f t="shared" si="1"/>
        <v>13</v>
      </c>
      <c r="AA25" s="5">
        <f t="shared" si="1"/>
        <v>5</v>
      </c>
      <c r="AB25" s="5">
        <f t="shared" si="1"/>
        <v>3</v>
      </c>
      <c r="AC25" s="5">
        <f t="shared" si="1"/>
        <v>2</v>
      </c>
      <c r="AD25" s="5" t="e">
        <f t="shared" si="1"/>
        <v>#REF!</v>
      </c>
      <c r="AE25" s="5">
        <f t="shared" si="1"/>
        <v>3</v>
      </c>
      <c r="AF25" s="5">
        <f t="shared" si="1"/>
        <v>2</v>
      </c>
      <c r="AG25" s="5">
        <f t="shared" si="1"/>
        <v>1</v>
      </c>
      <c r="AH25" s="5">
        <f t="shared" si="1"/>
        <v>1</v>
      </c>
    </row>
    <row r="28" spans="1:34" x14ac:dyDescent="0.25">
      <c r="B28" s="19"/>
      <c r="C28" s="19"/>
      <c r="D28" s="19"/>
    </row>
    <row r="29" spans="1:34" ht="15.75" thickBot="1" x14ac:dyDescent="0.3">
      <c r="B29" s="2"/>
      <c r="C29" s="61" t="s">
        <v>81</v>
      </c>
      <c r="D29" s="62" t="s">
        <v>82</v>
      </c>
    </row>
    <row r="30" spans="1:34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34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34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>✔</v>
      </c>
      <c r="D33" s="14" t="str">
        <f>IF(C33="✔", "", "✔")</f>
        <v/>
      </c>
    </row>
    <row r="34" spans="2:4" ht="18.75" customHeight="1" x14ac:dyDescent="0.25">
      <c r="B34" s="15" t="s">
        <v>86</v>
      </c>
      <c r="C34" s="13" t="str">
        <f>INDEX(O2:AC2, MATCH(LARGE(O11:AC11, 1), O11:AC11, 0))</f>
        <v>Presidio</v>
      </c>
      <c r="D34" s="14" t="str">
        <f>INDEX(O16:AC16, MATCH(LARGE(O25:AC25, 1), O25:AC25, 0))</f>
        <v>Presidio</v>
      </c>
    </row>
    <row r="35" spans="2:4" x14ac:dyDescent="0.25">
      <c r="B35" s="15" t="s">
        <v>87</v>
      </c>
      <c r="C35" s="13" t="str">
        <f>INDEX(O2:AC2, MATCH(LARGE(O11:AC11, 2), O11:AC11, 0))</f>
        <v>Presidio</v>
      </c>
      <c r="D35" s="14" t="str">
        <f>INDEX(O16:AC16, MATCH(LARGE(O25:AC25, 2), O25:AC25, 0))</f>
        <v>Rocket Facility</v>
      </c>
    </row>
    <row r="36" spans="2:4" ht="15.75" thickBot="1" x14ac:dyDescent="0.3">
      <c r="B36" s="16" t="s">
        <v>88</v>
      </c>
      <c r="C36" s="17" t="str">
        <f>INDEX(O2:AC2, MATCH(LARGE(O11:AC11, 3), O11:AC11, 0))</f>
        <v>Streets of Milan</v>
      </c>
      <c r="D36" s="18" t="str">
        <f>INDEX(O16:AC16, MATCH(LARGE(O25:AC25, 3), O25:AC25, 0))</f>
        <v>Rocket Facility</v>
      </c>
    </row>
  </sheetData>
  <mergeCells count="12">
    <mergeCell ref="O1:AC1"/>
    <mergeCell ref="A3:A10"/>
    <mergeCell ref="A17:A24"/>
    <mergeCell ref="C1:E1"/>
    <mergeCell ref="F1:H1"/>
    <mergeCell ref="I1:K1"/>
    <mergeCell ref="L1:N1"/>
    <mergeCell ref="C15:E15"/>
    <mergeCell ref="F15:H15"/>
    <mergeCell ref="I15:K15"/>
    <mergeCell ref="L15:N15"/>
    <mergeCell ref="O15:AC15"/>
  </mergeCells>
  <conditionalFormatting sqref="O11:AH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H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E3F0B27D-B9F0-4BB5-8456-75066D0F630B}">
          <x14:formula1>
            <xm:f>BA!$A$2:$A$46</xm:f>
          </x14:formula1>
          <xm:sqref>B17:B24</xm:sqref>
        </x14:dataValidation>
        <x14:dataValidation type="list" allowBlank="1" showErrorMessage="1" promptTitle="Select Player Name" prompt="Select Player Name" xr:uid="{7CF85145-1224-4D7F-A47C-6F9DFE0593DF}">
          <x14:formula1>
            <xm:f>BA!$A$2:$A$46</xm:f>
          </x14:formula1>
          <xm:sqref>B3:B10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Old Bow v2</vt:lpstr>
      <vt:lpstr>OB History</vt:lpstr>
      <vt:lpstr>OB Season 2</vt:lpstr>
      <vt:lpstr>OB History S2</vt:lpstr>
      <vt:lpstr>Old Bow</vt:lpstr>
      <vt:lpstr>Old Bow comments</vt:lpstr>
      <vt:lpstr>Match Analyzer Old Bow</vt:lpstr>
      <vt:lpstr>BA v2</vt:lpstr>
      <vt:lpstr>BA</vt:lpstr>
      <vt:lpstr>BA History</vt:lpstr>
      <vt:lpstr>BA S2</vt:lpstr>
      <vt:lpstr>BA History S2</vt:lpstr>
      <vt:lpstr>Tourney History</vt:lpstr>
      <vt:lpstr>Tourney Stats</vt:lpstr>
      <vt:lpstr>BA comments</vt:lpstr>
      <vt:lpstr>Match Analyzer 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 Miller</dc:creator>
  <cp:lastModifiedBy>Brett Miller</cp:lastModifiedBy>
  <dcterms:created xsi:type="dcterms:W3CDTF">2026-02-22T15:52:04Z</dcterms:created>
  <dcterms:modified xsi:type="dcterms:W3CDTF">2026-04-07T02:12:37Z</dcterms:modified>
</cp:coreProperties>
</file>