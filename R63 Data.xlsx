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0A91CF7-A357-4FC7-829A-0E2A3C312009}" xr6:coauthVersionLast="47" xr6:coauthVersionMax="47" xr10:uidLastSave="{00000000-0000-0000-0000-000000000000}"/>
  <bookViews>
    <workbookView xWindow="5490" yWindow="4065" windowWidth="28800" windowHeight="15345" activeTab="1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8" r:id="rId6"/>
  </sheets>
  <definedNames>
    <definedName name="_xlnm._FilterDatabase" localSheetId="3" hidden="1">BA!$A$1:$AG$46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4" i="8" l="1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H25" i="8" s="1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R25" i="8" s="1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H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W11" i="8" s="1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AA11" i="8" s="1"/>
  <c r="Z3" i="8"/>
  <c r="Y3" i="8"/>
  <c r="X3" i="8"/>
  <c r="X11" i="8" s="1"/>
  <c r="W3" i="8"/>
  <c r="V3" i="8"/>
  <c r="U3" i="8"/>
  <c r="U11" i="8" s="1"/>
  <c r="T3" i="8"/>
  <c r="T11" i="8" s="1"/>
  <c r="S3" i="8"/>
  <c r="R3" i="8"/>
  <c r="Q3" i="8"/>
  <c r="P3" i="8"/>
  <c r="O3" i="8"/>
  <c r="M3" i="8"/>
  <c r="L3" i="8"/>
  <c r="J3" i="8"/>
  <c r="I3" i="8"/>
  <c r="G3" i="8"/>
  <c r="F3" i="8"/>
  <c r="E3" i="8"/>
  <c r="C3" i="8"/>
  <c r="M37" i="3"/>
  <c r="J37" i="3"/>
  <c r="G37" i="3"/>
  <c r="C37" i="3"/>
  <c r="M3" i="3"/>
  <c r="M14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8" s="1"/>
  <c r="J9" i="3"/>
  <c r="K7" i="8" s="1"/>
  <c r="G9" i="3"/>
  <c r="H7" i="8" s="1"/>
  <c r="C9" i="3"/>
  <c r="D7" i="8" s="1"/>
  <c r="M43" i="3"/>
  <c r="J43" i="3"/>
  <c r="C43" i="3"/>
  <c r="G43" i="3"/>
  <c r="M34" i="3"/>
  <c r="M8" i="3"/>
  <c r="N18" i="8" s="1"/>
  <c r="J8" i="3"/>
  <c r="K18" i="8" s="1"/>
  <c r="J34" i="3"/>
  <c r="G8" i="3"/>
  <c r="H18" i="8" s="1"/>
  <c r="G27" i="3"/>
  <c r="H21" i="8" s="1"/>
  <c r="G32" i="3"/>
  <c r="G31" i="3"/>
  <c r="G34" i="3"/>
  <c r="C34" i="3"/>
  <c r="C32" i="3"/>
  <c r="C31" i="3"/>
  <c r="C27" i="3"/>
  <c r="D21" i="8" s="1"/>
  <c r="C8" i="3"/>
  <c r="D18" i="8" s="1"/>
  <c r="M45" i="3"/>
  <c r="J45" i="3"/>
  <c r="G45" i="3"/>
  <c r="C45" i="3"/>
  <c r="C41" i="3"/>
  <c r="D22" i="8" s="1"/>
  <c r="M18" i="3"/>
  <c r="N19" i="8" s="1"/>
  <c r="J18" i="3"/>
  <c r="K19" i="8" s="1"/>
  <c r="G18" i="3"/>
  <c r="H19" i="8" s="1"/>
  <c r="C18" i="3"/>
  <c r="D19" i="8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8" s="1"/>
  <c r="M24" i="3"/>
  <c r="M28" i="3"/>
  <c r="J2" i="3"/>
  <c r="K4" i="8" s="1"/>
  <c r="J24" i="3"/>
  <c r="J28" i="3"/>
  <c r="G2" i="3"/>
  <c r="H3" i="8" s="1"/>
  <c r="G24" i="3"/>
  <c r="G28" i="3"/>
  <c r="C2" i="3"/>
  <c r="D4" i="8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8" s="1"/>
  <c r="M16" i="3"/>
  <c r="J27" i="3"/>
  <c r="K21" i="8" s="1"/>
  <c r="J16" i="3"/>
  <c r="G16" i="3"/>
  <c r="C16" i="3"/>
  <c r="M42" i="3"/>
  <c r="M30" i="3"/>
  <c r="M29" i="3"/>
  <c r="M20" i="3"/>
  <c r="M17" i="3"/>
  <c r="M7" i="3"/>
  <c r="N20" i="8" s="1"/>
  <c r="M4" i="3"/>
  <c r="J42" i="3"/>
  <c r="J41" i="3"/>
  <c r="K22" i="8" s="1"/>
  <c r="J30" i="3"/>
  <c r="J29" i="3"/>
  <c r="J20" i="3"/>
  <c r="J17" i="3"/>
  <c r="J7" i="3"/>
  <c r="K20" i="8" s="1"/>
  <c r="J4" i="3"/>
  <c r="G42" i="3"/>
  <c r="G41" i="3"/>
  <c r="H22" i="8" s="1"/>
  <c r="G30" i="3"/>
  <c r="G29" i="3"/>
  <c r="G20" i="3"/>
  <c r="G17" i="3"/>
  <c r="G7" i="3"/>
  <c r="H6" i="8" s="1"/>
  <c r="C42" i="3"/>
  <c r="C30" i="3"/>
  <c r="C29" i="3"/>
  <c r="C20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1" i="3"/>
  <c r="N22" i="8" s="1"/>
  <c r="M23" i="3"/>
  <c r="G23" i="3"/>
  <c r="C23" i="3"/>
  <c r="C17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D21" i="4" s="1"/>
  <c r="E15" i="1"/>
  <c r="O4" i="1"/>
  <c r="L4" i="1"/>
  <c r="I4" i="1"/>
  <c r="O3" i="1"/>
  <c r="L3" i="1"/>
  <c r="I3" i="1"/>
  <c r="O16" i="1"/>
  <c r="O18" i="1"/>
  <c r="O8" i="1"/>
  <c r="N8" i="4" s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H21" i="4" s="1"/>
  <c r="I36" i="1"/>
  <c r="I29" i="1"/>
  <c r="I33" i="1"/>
  <c r="I17" i="1"/>
  <c r="I26" i="1"/>
  <c r="I35" i="1"/>
  <c r="I24" i="1"/>
  <c r="I34" i="1"/>
  <c r="I5" i="1"/>
  <c r="H20" i="4" s="1"/>
  <c r="I21" i="1"/>
  <c r="I15" i="1"/>
  <c r="D8" i="4" l="1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C36" i="8" s="1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C31" i="8" s="1"/>
  <c r="D31" i="8" s="1"/>
  <c r="AE11" i="8"/>
  <c r="Z11" i="8"/>
  <c r="Y25" i="8"/>
  <c r="O11" i="8"/>
  <c r="D3" i="8"/>
  <c r="AB11" i="8"/>
  <c r="P25" i="8"/>
  <c r="AG25" i="8"/>
  <c r="H11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D34" i="8" l="1"/>
  <c r="N11" i="4"/>
  <c r="D11" i="4"/>
  <c r="H25" i="4"/>
  <c r="K25" i="4"/>
  <c r="K11" i="4"/>
  <c r="C32" i="4" s="1"/>
  <c r="D32" i="4" s="1"/>
  <c r="H11" i="4"/>
  <c r="C34" i="8"/>
  <c r="D35" i="8"/>
  <c r="D36" i="8"/>
  <c r="C35" i="8"/>
  <c r="K11" i="8"/>
  <c r="D11" i="8"/>
  <c r="C30" i="8" s="1"/>
  <c r="D30" i="8" s="1"/>
  <c r="N11" i="8"/>
  <c r="C33" i="8" s="1"/>
  <c r="D33" i="8" s="1"/>
  <c r="C32" i="8"/>
  <c r="D32" i="8" s="1"/>
  <c r="N25" i="4"/>
  <c r="C33" i="4" s="1"/>
  <c r="D33" i="4" s="1"/>
  <c r="D25" i="4"/>
  <c r="D36" i="4"/>
  <c r="D35" i="4"/>
  <c r="D34" i="4"/>
  <c r="C36" i="4"/>
  <c r="C35" i="4"/>
  <c r="C34" i="4"/>
  <c r="C30" i="4" l="1"/>
  <c r="D30" i="4" s="1"/>
  <c r="C31" i="4"/>
  <c r="D31" i="4" s="1"/>
</calcChain>
</file>

<file path=xl/sharedStrings.xml><?xml version="1.0" encoding="utf-8"?>
<sst xmlns="http://schemas.openxmlformats.org/spreadsheetml/2006/main" count="424" uniqueCount="127">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</sst>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topLeftCell="A16" workbookViewId="0">
      <selection activeCell="D31" sqref="D31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124</v>
      </c>
      <c r="J1" s="50" t="s">
        <v>64</v>
      </c>
      <c r="K1" s="22" t="s">
        <v>101</v>
      </c>
      <c r="L1" s="23" t="s">
        <v>122</v>
      </c>
      <c r="M1" s="51" t="s">
        <v>99</v>
      </c>
      <c r="N1" s="52" t="s">
        <v>100</v>
      </c>
      <c r="O1" s="46" t="s">
        <v>123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7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177</v>
      </c>
      <c r="E9" s="4">
        <f t="shared" si="0"/>
        <v>12.642857142857142</v>
      </c>
      <c r="F9" s="35">
        <v>24</v>
      </c>
      <c r="G9" s="34">
        <v>10</v>
      </c>
      <c r="H9" s="2">
        <v>4</v>
      </c>
      <c r="I9" s="41">
        <f t="shared" si="1"/>
        <v>0.7142857142857143</v>
      </c>
      <c r="J9" s="34">
        <v>36</v>
      </c>
      <c r="K9" s="2">
        <v>21</v>
      </c>
      <c r="L9" s="41">
        <f t="shared" si="2"/>
        <v>0.63157894736842102</v>
      </c>
      <c r="M9" s="34">
        <v>134</v>
      </c>
      <c r="N9" s="2">
        <v>103</v>
      </c>
      <c r="O9" s="41">
        <f t="shared" si="3"/>
        <v>0.56540084388185652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7" t="s">
        <v>60</v>
      </c>
      <c r="C11" s="2" t="s">
        <v>79</v>
      </c>
      <c r="D11" s="34">
        <v>80</v>
      </c>
      <c r="E11" s="4">
        <f t="shared" si="0"/>
        <v>10</v>
      </c>
      <c r="F11" s="35">
        <v>17</v>
      </c>
      <c r="G11" s="36">
        <v>3</v>
      </c>
      <c r="H11" s="1">
        <v>5</v>
      </c>
      <c r="I11" s="42">
        <f t="shared" si="1"/>
        <v>0.375</v>
      </c>
      <c r="J11" s="36">
        <v>14</v>
      </c>
      <c r="K11" s="1">
        <v>17</v>
      </c>
      <c r="L11" s="42">
        <f t="shared" si="2"/>
        <v>0.45161290322580644</v>
      </c>
      <c r="M11" s="36">
        <v>61</v>
      </c>
      <c r="N11" s="1">
        <v>66</v>
      </c>
      <c r="O11" s="42">
        <f t="shared" si="3"/>
        <v>0.48031496062992124</v>
      </c>
      <c r="P11" s="34">
        <v>0</v>
      </c>
      <c r="Q11" s="2">
        <v>1</v>
      </c>
      <c r="R11" s="2">
        <v>0</v>
      </c>
      <c r="S11" s="2">
        <v>2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125</v>
      </c>
      <c r="C16" s="2" t="s">
        <v>79</v>
      </c>
      <c r="D16" s="34">
        <v>146</v>
      </c>
      <c r="E16" s="4">
        <f t="shared" si="0"/>
        <v>9.7333333333333325</v>
      </c>
      <c r="F16" s="35">
        <v>21</v>
      </c>
      <c r="G16" s="34">
        <v>8</v>
      </c>
      <c r="H16" s="2">
        <v>7</v>
      </c>
      <c r="I16" s="41">
        <f t="shared" si="1"/>
        <v>0.53333333333333333</v>
      </c>
      <c r="J16" s="34">
        <v>30</v>
      </c>
      <c r="K16" s="2">
        <v>30</v>
      </c>
      <c r="L16" s="41">
        <f t="shared" si="2"/>
        <v>0.5</v>
      </c>
      <c r="M16" s="34">
        <v>128</v>
      </c>
      <c r="N16" s="2">
        <v>125</v>
      </c>
      <c r="O16" s="41">
        <f t="shared" si="3"/>
        <v>0.50592885375494068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5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7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125</v>
      </c>
      <c r="C26" s="6" t="s">
        <v>60</v>
      </c>
      <c r="D26" s="34">
        <v>624</v>
      </c>
      <c r="E26" s="4">
        <f t="shared" si="0"/>
        <v>28.363636363636363</v>
      </c>
      <c r="F26" s="35">
        <v>57</v>
      </c>
      <c r="G26" s="34">
        <v>15</v>
      </c>
      <c r="H26" s="2">
        <v>7</v>
      </c>
      <c r="I26" s="41">
        <f t="shared" si="1"/>
        <v>0.68181818181818177</v>
      </c>
      <c r="J26" s="34">
        <v>51</v>
      </c>
      <c r="K26" s="2">
        <v>38</v>
      </c>
      <c r="L26" s="41">
        <f t="shared" si="2"/>
        <v>0.5730337078651685</v>
      </c>
      <c r="M26" s="34">
        <v>199</v>
      </c>
      <c r="N26" s="2">
        <v>168</v>
      </c>
      <c r="O26" s="41">
        <f t="shared" si="3"/>
        <v>0.54223433242506813</v>
      </c>
      <c r="P26" s="34">
        <v>2</v>
      </c>
      <c r="Q26" s="2">
        <v>5</v>
      </c>
      <c r="R26" s="2">
        <v>2</v>
      </c>
      <c r="S26" s="2">
        <v>6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  <row r="43" spans="1:30" x14ac:dyDescent="0.25">
      <c r="F43" s="88"/>
    </row>
    <row r="45" spans="1:30" x14ac:dyDescent="0.25">
      <c r="F45" s="88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tabSelected="1" workbookViewId="0">
      <selection activeCell="A2" sqref="A2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9" t="s">
        <v>126</v>
      </c>
    </row>
    <row r="3" spans="1:3" x14ac:dyDescent="0.25">
      <c r="A3" s="54"/>
      <c r="B3" s="54"/>
      <c r="C3" s="54"/>
    </row>
    <row r="4" spans="1:3" x14ac:dyDescent="0.25">
      <c r="A4" s="80" t="s">
        <v>120</v>
      </c>
      <c r="B4" s="81"/>
      <c r="C4" s="81"/>
    </row>
    <row r="5" spans="1:3" x14ac:dyDescent="0.25">
      <c r="A5" s="80" t="s">
        <v>121</v>
      </c>
      <c r="B5" s="81"/>
      <c r="C5" s="8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83" t="s">
        <v>7</v>
      </c>
      <c r="D1" s="84"/>
      <c r="E1" s="84"/>
      <c r="F1" s="83" t="s">
        <v>22</v>
      </c>
      <c r="G1" s="84"/>
      <c r="H1" s="85"/>
      <c r="I1" s="83" t="s">
        <v>16</v>
      </c>
      <c r="J1" s="84"/>
      <c r="K1" s="85"/>
      <c r="L1" s="83" t="s">
        <v>23</v>
      </c>
      <c r="M1" s="84"/>
      <c r="N1" s="85"/>
      <c r="O1" s="84" t="s">
        <v>64</v>
      </c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8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86"/>
      <c r="B7" s="7" t="s">
        <v>26</v>
      </c>
      <c r="C7" s="13">
        <f>INDEX('Old Bow'!D2:D37, MATCH($B$7, 'Old Bow'!$A$2:$A$37, 0))</f>
        <v>177</v>
      </c>
      <c r="D7" s="25">
        <f>INDEX('Old Bow'!E2:E37, MATCH($B$7, 'Old Bow'!$A$2:$A$37, 0))</f>
        <v>12.642857142857142</v>
      </c>
      <c r="E7" s="26">
        <f>INDEX('Old Bow'!F2:F37, MATCH($B$7, 'Old Bow'!$A$2:$A$37, 0))</f>
        <v>24</v>
      </c>
      <c r="F7" s="13">
        <f>INDEX('Old Bow'!G2:G37, MATCH($B$7, 'Old Bow'!$A$2:$A$37, 0))</f>
        <v>10</v>
      </c>
      <c r="G7" s="26">
        <f>INDEX('Old Bow'!H2:H37, MATCH($B$7, 'Old Bow'!$A$2:$A$37, 0))</f>
        <v>4</v>
      </c>
      <c r="H7" s="27">
        <f>INDEX('Old Bow'!I2:I37, MATCH($B$7, 'Old Bow'!$A$2:$A$37, 0))</f>
        <v>0.7142857142857143</v>
      </c>
      <c r="I7" s="13">
        <f>INDEX('Old Bow'!J2:J37, MATCH($B$7, 'Old Bow'!$A$2:$A$37, 0))</f>
        <v>36</v>
      </c>
      <c r="J7" s="26">
        <f>INDEX('Old Bow'!K2:K37, MATCH($B$7, 'Old Bow'!$A$2:$A$37, 0))</f>
        <v>21</v>
      </c>
      <c r="K7" s="27">
        <f>INDEX('Old Bow'!L2:L37, MATCH($B$7, 'Old Bow'!$A$2:$A$37, 0))</f>
        <v>0.63157894736842102</v>
      </c>
      <c r="L7" s="13">
        <f>INDEX('Old Bow'!M2:M37, MATCH($B$7, 'Old Bow'!$A$2:$A$37, 0))</f>
        <v>134</v>
      </c>
      <c r="M7" s="26">
        <f>INDEX('Old Bow'!N2:N37, MATCH($B$7, 'Old Bow'!$A$2:$A$37, 0))</f>
        <v>103</v>
      </c>
      <c r="N7" s="27">
        <f>INDEX('Old Bow'!O2:O37, MATCH($B$7, 'Old Bow'!$A$2:$A$37, 0))</f>
        <v>0.56540084388185652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1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6</v>
      </c>
      <c r="V7" s="26">
        <f>INDEX('Old Bow'!S2:S37, MATCH($B$7, 'Old Bow'!$A$2:$A$37, 0))</f>
        <v>6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8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90.537379287379281</v>
      </c>
      <c r="H11" s="9">
        <f>AVERAGE(H3:H10)</f>
        <v>0.54966792466792469</v>
      </c>
      <c r="I11" s="1"/>
      <c r="J11" s="1"/>
      <c r="K11" s="9">
        <f>AVERAGE(K3:K10)</f>
        <v>0.52609279296965494</v>
      </c>
      <c r="N11" s="9">
        <f>AVERAGE(N3:N10)</f>
        <v>0.49971146259417837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7</v>
      </c>
      <c r="S11" s="5">
        <f t="shared" si="0"/>
        <v>22</v>
      </c>
      <c r="T11" s="5">
        <f t="shared" si="0"/>
        <v>6</v>
      </c>
      <c r="U11" s="5">
        <f t="shared" si="0"/>
        <v>27</v>
      </c>
      <c r="V11" s="5">
        <f t="shared" si="0"/>
        <v>15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83" t="s">
        <v>7</v>
      </c>
      <c r="D15" s="84"/>
      <c r="E15" s="85"/>
      <c r="F15" s="83" t="s">
        <v>22</v>
      </c>
      <c r="G15" s="84"/>
      <c r="H15" s="85"/>
      <c r="I15" s="83" t="s">
        <v>16</v>
      </c>
      <c r="J15" s="84"/>
      <c r="K15" s="85"/>
      <c r="L15" s="83" t="s">
        <v>23</v>
      </c>
      <c r="M15" s="84"/>
      <c r="N15" s="85"/>
      <c r="O15" s="83" t="s">
        <v>64</v>
      </c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82" t="s">
        <v>77</v>
      </c>
      <c r="B17" s="7" t="s">
        <v>13</v>
      </c>
      <c r="C17" s="13">
        <f>INDEX('Old Bow'!D2:D37, MATCH($B$17, 'Old Bow'!$A$2:$A$37, 0))</f>
        <v>624</v>
      </c>
      <c r="D17" s="25">
        <f>INDEX('Old Bow'!E2:E37, MATCH($B$17, 'Old Bow'!$A$2:$A$37, 0))</f>
        <v>28.363636363636363</v>
      </c>
      <c r="E17" s="14">
        <f>INDEX('Old Bow'!F2:F37, MATCH($B$17, 'Old Bow'!$A$2:$A$37, 0))</f>
        <v>57</v>
      </c>
      <c r="F17" s="13">
        <f>INDEX('Old Bow'!G2:G37, MATCH($B$17, 'Old Bow'!$A$2:$A$37, 0))</f>
        <v>15</v>
      </c>
      <c r="G17" s="26">
        <f>INDEX('Old Bow'!H2:H37, MATCH($B$17, 'Old Bow'!$A$2:$A$37, 0))</f>
        <v>7</v>
      </c>
      <c r="H17" s="27">
        <f>INDEX('Old Bow'!I2:I37, MATCH($B$17, 'Old Bow'!$A$2:$A$37, 0))</f>
        <v>0.68181818181818177</v>
      </c>
      <c r="I17" s="13">
        <f>INDEX('Old Bow'!J2:J37, MATCH($B$17, 'Old Bow'!$A$2:$A$37, 0))</f>
        <v>51</v>
      </c>
      <c r="J17" s="26">
        <f>INDEX('Old Bow'!K2:K37, MATCH($B$17, 'Old Bow'!$A$2:$A$37, 0))</f>
        <v>38</v>
      </c>
      <c r="K17" s="27">
        <f>INDEX('Old Bow'!L2:L37, MATCH($B$17, 'Old Bow'!$A$2:$A$37, 0))</f>
        <v>0.5730337078651685</v>
      </c>
      <c r="L17" s="13">
        <f>INDEX('Old Bow'!M2:M37, MATCH($B$17, 'Old Bow'!$A$2:$A$37, 0))</f>
        <v>199</v>
      </c>
      <c r="M17" s="26">
        <f>INDEX('Old Bow'!N2:N37, MATCH($B$17, 'Old Bow'!$A$2:$A$37, 0))</f>
        <v>168</v>
      </c>
      <c r="N17" s="27">
        <f>INDEX('Old Bow'!O2:O37, MATCH($B$17, 'Old Bow'!$A$2:$A$37, 0))</f>
        <v>0.54223433242506813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5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7</v>
      </c>
      <c r="V17" s="26">
        <f>INDEX('Old Bow'!S2:S37, MATCH($B$17, 'Old Bow'!$A$2:$A$37, 0))</f>
        <v>6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8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82"/>
      <c r="B19" s="7" t="s">
        <v>45</v>
      </c>
      <c r="C19" s="13">
        <f>INDEX('Old Bow'!D2:D37, MATCH($B$19, 'Old Bow'!$A$2:$A$37, 0))</f>
        <v>80</v>
      </c>
      <c r="D19" s="25">
        <f>INDEX('Old Bow'!E2:E37, MATCH($B$19, 'Old Bow'!$A$2:$A$37, 0))</f>
        <v>10</v>
      </c>
      <c r="E19" s="14">
        <f>INDEX('Old Bow'!F2:F37, MATCH($B$19, 'Old Bow'!$A$2:$A$37, 0))</f>
        <v>17</v>
      </c>
      <c r="F19" s="13">
        <f>INDEX('Old Bow'!G2:G37, MATCH($B$19, 'Old Bow'!$A$2:$A$37, 0))</f>
        <v>3</v>
      </c>
      <c r="G19" s="26">
        <f>INDEX('Old Bow'!H2:H37, MATCH($B$19, 'Old Bow'!$A$2:$A$37, 0))</f>
        <v>5</v>
      </c>
      <c r="H19" s="27">
        <f>INDEX('Old Bow'!I2:I37, MATCH($B$19, 'Old Bow'!$A$2:$A$37, 0))</f>
        <v>0.375</v>
      </c>
      <c r="I19" s="13">
        <f>INDEX('Old Bow'!J2:J37, MATCH($B$19, 'Old Bow'!$A$2:$A$37, 0))</f>
        <v>14</v>
      </c>
      <c r="J19" s="26">
        <f>INDEX('Old Bow'!K2:K37, MATCH($B$19, 'Old Bow'!$A$2:$A$37, 0))</f>
        <v>17</v>
      </c>
      <c r="K19" s="27">
        <f>INDEX('Old Bow'!L2:L37, MATCH($B$19, 'Old Bow'!$A$2:$A$37, 0))</f>
        <v>0.45161290322580644</v>
      </c>
      <c r="L19" s="13">
        <f>INDEX('Old Bow'!M2:M37, MATCH($B$19, 'Old Bow'!$A$2:$A$37, 0))</f>
        <v>61</v>
      </c>
      <c r="M19" s="26">
        <f>INDEX('Old Bow'!N2:N37, MATCH($B$19, 'Old Bow'!$A$2:$A$37, 0))</f>
        <v>66</v>
      </c>
      <c r="N19" s="27">
        <f>INDEX('Old Bow'!O2:O37, MATCH($B$19, 'Old Bow'!$A$2:$A$37, 0))</f>
        <v>0.48031496062992124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1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3</v>
      </c>
      <c r="V19" s="26">
        <f>INDEX('Old Bow'!S2:S37, MATCH($B$19, 'Old Bow'!$A$2:$A$37, 0))</f>
        <v>2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8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8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82"/>
      <c r="B22" s="7" t="s">
        <v>29</v>
      </c>
      <c r="C22" s="13">
        <f>INDEX('Old Bow'!D2:D37, MATCH($B$22, 'Old Bow'!$A$2:$A$37, 0))</f>
        <v>146</v>
      </c>
      <c r="D22" s="25">
        <f>INDEX('Old Bow'!E2:E37, MATCH($B$22, 'Old Bow'!$A$2:$A$37, 0))</f>
        <v>9.7333333333333325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7</v>
      </c>
      <c r="H22" s="27">
        <f>INDEX('Old Bow'!I2:I37, MATCH($B$22, 'Old Bow'!$A$2:$A$37, 0))</f>
        <v>0.53333333333333333</v>
      </c>
      <c r="I22" s="13">
        <f>INDEX('Old Bow'!J2:J37, MATCH($B$22, 'Old Bow'!$A$2:$A$37, 0))</f>
        <v>30</v>
      </c>
      <c r="J22" s="26">
        <f>INDEX('Old Bow'!K2:K37, MATCH($B$22, 'Old Bow'!$A$2:$A$37, 0))</f>
        <v>30</v>
      </c>
      <c r="K22" s="27">
        <f>INDEX('Old Bow'!L2:L37, MATCH($B$22, 'Old Bow'!$A$2:$A$37, 0))</f>
        <v>0.5</v>
      </c>
      <c r="L22" s="13">
        <f>INDEX('Old Bow'!M2:M37, MATCH($B$22, 'Old Bow'!$A$2:$A$37, 0))</f>
        <v>128</v>
      </c>
      <c r="M22" s="26">
        <f>INDEX('Old Bow'!N2:N37, MATCH($B$22, 'Old Bow'!$A$2:$A$37, 0))</f>
        <v>125</v>
      </c>
      <c r="N22" s="27">
        <f>INDEX('Old Bow'!O2:O37, MATCH($B$22, 'Old Bow'!$A$2:$A$37, 0))</f>
        <v>0.50592885375494068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5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8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8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98.864015151515147</v>
      </c>
      <c r="H25" s="9">
        <f>AVERAGE(H17:H24)</f>
        <v>0.52449494949494946</v>
      </c>
      <c r="I25" s="1"/>
      <c r="J25" s="1"/>
      <c r="K25" s="9">
        <f>AVERAGE(K17:K24)</f>
        <v>0.51343675553154677</v>
      </c>
      <c r="N25" s="9">
        <f>AVERAGE(N17:N24)</f>
        <v>0.51516695186347239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15</v>
      </c>
      <c r="S25" s="5">
        <f t="shared" ref="S25" si="4">SUM(S17:S24)</f>
        <v>22</v>
      </c>
      <c r="T25" s="5">
        <f t="shared" ref="T25" si="5">SUM(T17:T24)</f>
        <v>2</v>
      </c>
      <c r="U25" s="5">
        <f t="shared" ref="U25" si="6">SUM(U17:U24)</f>
        <v>24</v>
      </c>
      <c r="V25" s="5">
        <f t="shared" ref="V25" si="7">SUM(V17:V24)</f>
        <v>24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" sqref="M1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124</v>
      </c>
      <c r="H1" s="51" t="s">
        <v>64</v>
      </c>
      <c r="I1" s="52" t="s">
        <v>101</v>
      </c>
      <c r="J1" s="46" t="s">
        <v>122</v>
      </c>
      <c r="K1" s="51" t="s">
        <v>99</v>
      </c>
      <c r="L1" s="52" t="s">
        <v>100</v>
      </c>
      <c r="M1" s="46" t="s">
        <v>123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117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1" t="s">
        <v>96</v>
      </c>
    </row>
    <row r="2" spans="1:33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47">
        <v>2</v>
      </c>
    </row>
    <row r="3" spans="1:33" x14ac:dyDescent="0.25">
      <c r="A3" s="2" t="s">
        <v>103</v>
      </c>
      <c r="B3" s="34">
        <v>9</v>
      </c>
      <c r="C3" s="66">
        <f t="shared" si="0"/>
        <v>9</v>
      </c>
      <c r="D3" s="47">
        <v>9</v>
      </c>
      <c r="E3" s="34">
        <v>0</v>
      </c>
      <c r="F3" s="2">
        <v>1</v>
      </c>
      <c r="G3" s="75">
        <f t="shared" si="1"/>
        <v>0</v>
      </c>
      <c r="H3" s="34">
        <v>2</v>
      </c>
      <c r="I3" s="2">
        <v>3</v>
      </c>
      <c r="J3" s="75">
        <f t="shared" si="2"/>
        <v>0.4</v>
      </c>
      <c r="K3" s="34">
        <v>11</v>
      </c>
      <c r="L3" s="2">
        <v>11</v>
      </c>
      <c r="M3" s="75">
        <f t="shared" si="3"/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6">
        <f t="shared" si="0"/>
        <v>10.5</v>
      </c>
      <c r="D4" s="47">
        <v>6</v>
      </c>
      <c r="E4" s="34">
        <v>1</v>
      </c>
      <c r="F4" s="2">
        <v>1</v>
      </c>
      <c r="G4" s="75">
        <f t="shared" si="1"/>
        <v>0.5</v>
      </c>
      <c r="H4" s="34">
        <v>4</v>
      </c>
      <c r="I4" s="2">
        <v>5</v>
      </c>
      <c r="J4" s="75">
        <f t="shared" si="2"/>
        <v>0.44444444444444442</v>
      </c>
      <c r="K4" s="34">
        <v>15</v>
      </c>
      <c r="L4" s="2">
        <v>20</v>
      </c>
      <c r="M4" s="75">
        <f t="shared" si="3"/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5">
        <v>0</v>
      </c>
    </row>
    <row r="6" spans="1:33" x14ac:dyDescent="0.25">
      <c r="A6" s="2" t="s">
        <v>35</v>
      </c>
      <c r="B6" s="34">
        <v>188</v>
      </c>
      <c r="C6" s="66">
        <f t="shared" si="0"/>
        <v>11.75</v>
      </c>
      <c r="D6" s="35">
        <v>20</v>
      </c>
      <c r="E6" s="34">
        <v>6</v>
      </c>
      <c r="F6" s="2">
        <v>10</v>
      </c>
      <c r="G6" s="75">
        <f t="shared" si="1"/>
        <v>0.375</v>
      </c>
      <c r="H6" s="34">
        <v>30</v>
      </c>
      <c r="I6" s="2">
        <v>38</v>
      </c>
      <c r="J6" s="75">
        <f t="shared" si="2"/>
        <v>0.44117647058823528</v>
      </c>
      <c r="K6" s="34">
        <v>144</v>
      </c>
      <c r="L6" s="2">
        <v>144</v>
      </c>
      <c r="M6" s="75">
        <f t="shared" si="3"/>
        <v>0.5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3</v>
      </c>
      <c r="AC6" s="2">
        <v>0</v>
      </c>
      <c r="AD6" s="2">
        <v>3</v>
      </c>
      <c r="AE6" s="2">
        <v>3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143</v>
      </c>
      <c r="C8" s="66">
        <f t="shared" si="0"/>
        <v>15.888888888888889</v>
      </c>
      <c r="D8" s="35">
        <v>31</v>
      </c>
      <c r="E8" s="34">
        <v>5</v>
      </c>
      <c r="F8" s="2">
        <v>4</v>
      </c>
      <c r="G8" s="75">
        <f t="shared" si="1"/>
        <v>0.55555555555555558</v>
      </c>
      <c r="H8" s="34">
        <v>19</v>
      </c>
      <c r="I8" s="2">
        <v>20</v>
      </c>
      <c r="J8" s="75">
        <f t="shared" si="2"/>
        <v>0.48717948717948717</v>
      </c>
      <c r="K8" s="34">
        <v>80</v>
      </c>
      <c r="L8" s="2">
        <v>84</v>
      </c>
      <c r="M8" s="75">
        <f t="shared" si="3"/>
        <v>0.48780487804878048</v>
      </c>
      <c r="N8" s="34">
        <v>0</v>
      </c>
      <c r="O8" s="2">
        <v>3</v>
      </c>
      <c r="P8" s="2">
        <v>1</v>
      </c>
      <c r="Q8" s="2">
        <v>1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1</v>
      </c>
      <c r="AG8" s="47">
        <v>1</v>
      </c>
    </row>
    <row r="9" spans="1:33" x14ac:dyDescent="0.25">
      <c r="A9" s="2" t="s">
        <v>25</v>
      </c>
      <c r="B9" s="34">
        <v>24</v>
      </c>
      <c r="C9" s="66">
        <f t="shared" si="0"/>
        <v>8</v>
      </c>
      <c r="D9" s="35">
        <v>12</v>
      </c>
      <c r="E9" s="34">
        <v>2</v>
      </c>
      <c r="F9" s="2">
        <v>1</v>
      </c>
      <c r="G9" s="75">
        <f t="shared" si="1"/>
        <v>0.66666666666666663</v>
      </c>
      <c r="H9" s="34">
        <v>7</v>
      </c>
      <c r="I9" s="2">
        <v>5</v>
      </c>
      <c r="J9" s="75">
        <f t="shared" si="2"/>
        <v>0.58333333333333337</v>
      </c>
      <c r="K9" s="34">
        <v>27</v>
      </c>
      <c r="L9" s="2">
        <v>19</v>
      </c>
      <c r="M9" s="75">
        <f t="shared" si="3"/>
        <v>0.58695652173913049</v>
      </c>
      <c r="N9" s="34">
        <v>1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0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1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44</v>
      </c>
      <c r="C10" s="66">
        <f t="shared" si="0"/>
        <v>11</v>
      </c>
      <c r="D10" s="65">
        <v>14</v>
      </c>
      <c r="E10" s="36">
        <v>1</v>
      </c>
      <c r="F10" s="1">
        <v>3</v>
      </c>
      <c r="G10" s="75">
        <f t="shared" si="1"/>
        <v>0.25</v>
      </c>
      <c r="H10" s="36">
        <v>7</v>
      </c>
      <c r="I10" s="1">
        <v>11</v>
      </c>
      <c r="J10" s="75">
        <f t="shared" si="2"/>
        <v>0.3888888888888889</v>
      </c>
      <c r="K10" s="36">
        <v>31</v>
      </c>
      <c r="L10" s="1">
        <v>39</v>
      </c>
      <c r="M10" s="75">
        <f t="shared" si="3"/>
        <v>0.44285714285714284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0</v>
      </c>
      <c r="AC10" s="1">
        <v>0</v>
      </c>
      <c r="AD10" s="1">
        <v>0</v>
      </c>
      <c r="AE10" s="1">
        <v>1</v>
      </c>
      <c r="AF10" s="1">
        <v>0</v>
      </c>
      <c r="AG10" s="65">
        <v>0</v>
      </c>
    </row>
    <row r="11" spans="1:33" x14ac:dyDescent="0.25">
      <c r="A11" s="2" t="s">
        <v>27</v>
      </c>
      <c r="B11" s="34">
        <v>61</v>
      </c>
      <c r="C11" s="66">
        <f t="shared" si="0"/>
        <v>15.25</v>
      </c>
      <c r="D11" s="35">
        <v>20</v>
      </c>
      <c r="E11" s="34">
        <v>2</v>
      </c>
      <c r="F11" s="2">
        <v>2</v>
      </c>
      <c r="G11" s="75">
        <f t="shared" si="1"/>
        <v>0.5</v>
      </c>
      <c r="H11" s="34">
        <v>10</v>
      </c>
      <c r="I11" s="2">
        <v>9</v>
      </c>
      <c r="J11" s="75">
        <f t="shared" si="2"/>
        <v>0.52631578947368418</v>
      </c>
      <c r="K11" s="34">
        <v>39</v>
      </c>
      <c r="L11" s="2">
        <v>41</v>
      </c>
      <c r="M11" s="75">
        <f t="shared" si="3"/>
        <v>0.48749999999999999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2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5">
        <v>0</v>
      </c>
    </row>
    <row r="14" spans="1:33" x14ac:dyDescent="0.25">
      <c r="A14" s="2" t="s">
        <v>74</v>
      </c>
      <c r="B14" s="34">
        <v>9</v>
      </c>
      <c r="C14" s="66">
        <f t="shared" ref="C14:C46" si="4">B14/(E14+F14)</f>
        <v>9</v>
      </c>
      <c r="D14" s="47">
        <v>9</v>
      </c>
      <c r="E14" s="34">
        <v>0</v>
      </c>
      <c r="F14" s="2">
        <v>1</v>
      </c>
      <c r="G14" s="75">
        <f t="shared" ref="G14:G46" si="5">E14/(E14+F14)</f>
        <v>0</v>
      </c>
      <c r="H14" s="34">
        <v>1</v>
      </c>
      <c r="I14" s="2">
        <v>3</v>
      </c>
      <c r="J14" s="75">
        <f t="shared" ref="J14:J46" si="6">H14/(H14+I14)</f>
        <v>0.25</v>
      </c>
      <c r="K14" s="34">
        <v>6</v>
      </c>
      <c r="L14" s="2">
        <v>9</v>
      </c>
      <c r="M14" s="75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6">
        <f t="shared" si="4"/>
        <v>3</v>
      </c>
      <c r="D15" s="47">
        <v>3</v>
      </c>
      <c r="E15" s="34">
        <v>0</v>
      </c>
      <c r="F15" s="2">
        <v>1</v>
      </c>
      <c r="G15" s="75">
        <f t="shared" si="5"/>
        <v>0</v>
      </c>
      <c r="H15" s="34">
        <v>0</v>
      </c>
      <c r="I15" s="2">
        <v>3</v>
      </c>
      <c r="J15" s="75">
        <f t="shared" si="6"/>
        <v>0</v>
      </c>
      <c r="K15" s="34">
        <v>4</v>
      </c>
      <c r="L15" s="2">
        <v>9</v>
      </c>
      <c r="M15" s="75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6">
        <f t="shared" si="4"/>
        <v>10.666666666666666</v>
      </c>
      <c r="D16" s="35">
        <v>13</v>
      </c>
      <c r="E16" s="34">
        <v>2</v>
      </c>
      <c r="F16" s="2">
        <v>1</v>
      </c>
      <c r="G16" s="75">
        <f t="shared" si="5"/>
        <v>0.66666666666666663</v>
      </c>
      <c r="H16" s="34">
        <v>8</v>
      </c>
      <c r="I16" s="2">
        <v>5</v>
      </c>
      <c r="J16" s="75">
        <f t="shared" si="6"/>
        <v>0.61538461538461542</v>
      </c>
      <c r="K16" s="34">
        <v>32</v>
      </c>
      <c r="L16" s="2">
        <v>27</v>
      </c>
      <c r="M16" s="75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370</v>
      </c>
      <c r="C17" s="66">
        <f t="shared" si="4"/>
        <v>21.764705882352942</v>
      </c>
      <c r="D17" s="35">
        <v>31</v>
      </c>
      <c r="E17" s="34">
        <v>10</v>
      </c>
      <c r="F17" s="2">
        <v>7</v>
      </c>
      <c r="G17" s="75">
        <f t="shared" si="5"/>
        <v>0.58823529411764708</v>
      </c>
      <c r="H17" s="34">
        <v>39</v>
      </c>
      <c r="I17" s="2">
        <v>33</v>
      </c>
      <c r="J17" s="75">
        <f t="shared" si="6"/>
        <v>0.54166666666666663</v>
      </c>
      <c r="K17" s="34">
        <v>162</v>
      </c>
      <c r="L17" s="2">
        <v>152</v>
      </c>
      <c r="M17" s="75">
        <f t="shared" si="7"/>
        <v>0.51592356687898089</v>
      </c>
      <c r="N17" s="34">
        <v>1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7</v>
      </c>
      <c r="AC17" s="2">
        <v>1</v>
      </c>
      <c r="AD17" s="2">
        <v>4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58</v>
      </c>
      <c r="C18" s="66">
        <f t="shared" si="4"/>
        <v>11.6</v>
      </c>
      <c r="D18" s="35">
        <v>19</v>
      </c>
      <c r="E18" s="34">
        <v>1</v>
      </c>
      <c r="F18" s="2">
        <v>4</v>
      </c>
      <c r="G18" s="75">
        <f t="shared" si="5"/>
        <v>0.2</v>
      </c>
      <c r="H18" s="34">
        <v>8</v>
      </c>
      <c r="I18" s="2">
        <v>14</v>
      </c>
      <c r="J18" s="75">
        <f t="shared" si="6"/>
        <v>0.36363636363636365</v>
      </c>
      <c r="K18" s="34">
        <v>34</v>
      </c>
      <c r="L18" s="2">
        <v>52</v>
      </c>
      <c r="M18" s="75">
        <f t="shared" si="7"/>
        <v>0.39534883720930231</v>
      </c>
      <c r="N18" s="34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1</v>
      </c>
      <c r="AC18" s="2">
        <v>0</v>
      </c>
      <c r="AD18" s="2">
        <v>3</v>
      </c>
      <c r="AE18" s="2">
        <v>1</v>
      </c>
      <c r="AF18" s="2">
        <v>0</v>
      </c>
      <c r="AG18" s="47">
        <v>0</v>
      </c>
    </row>
    <row r="19" spans="1:33" x14ac:dyDescent="0.25">
      <c r="A19" s="2" t="s">
        <v>102</v>
      </c>
      <c r="B19" s="34">
        <v>94</v>
      </c>
      <c r="C19" s="66">
        <f t="shared" si="4"/>
        <v>18.8</v>
      </c>
      <c r="D19" s="35">
        <v>31</v>
      </c>
      <c r="E19" s="34">
        <v>4</v>
      </c>
      <c r="F19" s="2">
        <v>1</v>
      </c>
      <c r="G19" s="75">
        <f t="shared" si="5"/>
        <v>0.8</v>
      </c>
      <c r="H19" s="34">
        <v>14</v>
      </c>
      <c r="I19" s="2">
        <v>9</v>
      </c>
      <c r="J19" s="75">
        <f t="shared" si="6"/>
        <v>0.60869565217391308</v>
      </c>
      <c r="K19" s="34">
        <v>52</v>
      </c>
      <c r="L19" s="2">
        <v>40</v>
      </c>
      <c r="M19" s="75">
        <f t="shared" si="7"/>
        <v>0.56521739130434778</v>
      </c>
      <c r="N19" s="34">
        <v>1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2</v>
      </c>
      <c r="AC19" s="2">
        <v>1</v>
      </c>
      <c r="AD19" s="2">
        <v>0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239</v>
      </c>
      <c r="C20" s="66">
        <f t="shared" si="4"/>
        <v>29.875</v>
      </c>
      <c r="D20" s="35">
        <v>44</v>
      </c>
      <c r="E20" s="34">
        <v>4</v>
      </c>
      <c r="F20" s="2">
        <v>4</v>
      </c>
      <c r="G20" s="75">
        <f t="shared" si="5"/>
        <v>0.5</v>
      </c>
      <c r="H20" s="34">
        <v>15</v>
      </c>
      <c r="I20" s="2">
        <v>19</v>
      </c>
      <c r="J20" s="75">
        <f t="shared" si="6"/>
        <v>0.44117647058823528</v>
      </c>
      <c r="K20" s="34">
        <v>74</v>
      </c>
      <c r="L20" s="2">
        <v>78</v>
      </c>
      <c r="M20" s="75">
        <f t="shared" si="7"/>
        <v>0.48684210526315791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0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6">
        <f t="shared" si="4"/>
        <v>9.5</v>
      </c>
      <c r="D21" s="65">
        <v>11</v>
      </c>
      <c r="E21" s="36">
        <v>2</v>
      </c>
      <c r="F21" s="1">
        <v>0</v>
      </c>
      <c r="G21" s="75">
        <f t="shared" si="5"/>
        <v>1</v>
      </c>
      <c r="H21" s="36">
        <v>6</v>
      </c>
      <c r="I21" s="1">
        <v>4</v>
      </c>
      <c r="J21" s="75">
        <f t="shared" si="6"/>
        <v>0.6</v>
      </c>
      <c r="K21" s="36">
        <v>24</v>
      </c>
      <c r="L21" s="1">
        <v>19</v>
      </c>
      <c r="M21" s="75">
        <f t="shared" si="7"/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5">
        <v>2</v>
      </c>
    </row>
    <row r="22" spans="1:33" x14ac:dyDescent="0.25">
      <c r="A22" s="2" t="s">
        <v>46</v>
      </c>
      <c r="B22" s="34">
        <v>244</v>
      </c>
      <c r="C22" s="66">
        <f t="shared" si="4"/>
        <v>20.333333333333332</v>
      </c>
      <c r="D22" s="35">
        <v>27</v>
      </c>
      <c r="E22" s="34">
        <v>4</v>
      </c>
      <c r="F22" s="2">
        <v>8</v>
      </c>
      <c r="G22" s="75">
        <f t="shared" si="5"/>
        <v>0.33333333333333331</v>
      </c>
      <c r="H22" s="34">
        <v>24</v>
      </c>
      <c r="I22" s="2">
        <v>31</v>
      </c>
      <c r="J22" s="75">
        <f t="shared" si="6"/>
        <v>0.43636363636363634</v>
      </c>
      <c r="K22" s="34">
        <v>112</v>
      </c>
      <c r="L22" s="2">
        <v>116</v>
      </c>
      <c r="M22" s="75">
        <f t="shared" si="7"/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141</v>
      </c>
      <c r="C23" s="66">
        <f t="shared" si="4"/>
        <v>15.666666666666666</v>
      </c>
      <c r="D23" s="35">
        <v>22</v>
      </c>
      <c r="E23" s="34">
        <v>4</v>
      </c>
      <c r="F23" s="2">
        <v>5</v>
      </c>
      <c r="G23" s="75">
        <f t="shared" si="5"/>
        <v>0.44444444444444442</v>
      </c>
      <c r="H23" s="34">
        <v>17</v>
      </c>
      <c r="I23" s="2">
        <v>19</v>
      </c>
      <c r="J23" s="75">
        <f t="shared" si="6"/>
        <v>0.47222222222222221</v>
      </c>
      <c r="K23" s="34">
        <v>76</v>
      </c>
      <c r="L23" s="2">
        <v>78</v>
      </c>
      <c r="M23" s="75">
        <f t="shared" si="7"/>
        <v>0.4935064935064935</v>
      </c>
      <c r="N23" s="34">
        <v>0</v>
      </c>
      <c r="O23" s="2">
        <v>0</v>
      </c>
      <c r="P23" s="2">
        <v>1</v>
      </c>
      <c r="Q23" s="2">
        <v>0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1</v>
      </c>
      <c r="AG23" s="47">
        <v>0</v>
      </c>
    </row>
    <row r="24" spans="1:33" x14ac:dyDescent="0.25">
      <c r="A24" s="2" t="s">
        <v>53</v>
      </c>
      <c r="B24" s="34">
        <v>143</v>
      </c>
      <c r="C24" s="66">
        <f t="shared" si="4"/>
        <v>17.875</v>
      </c>
      <c r="D24" s="35">
        <v>36</v>
      </c>
      <c r="E24" s="34">
        <v>3</v>
      </c>
      <c r="F24" s="2">
        <v>5</v>
      </c>
      <c r="G24" s="75">
        <f t="shared" si="5"/>
        <v>0.375</v>
      </c>
      <c r="H24" s="34">
        <v>15</v>
      </c>
      <c r="I24" s="2">
        <v>17</v>
      </c>
      <c r="J24" s="75">
        <f t="shared" si="6"/>
        <v>0.46875</v>
      </c>
      <c r="K24" s="34">
        <v>68</v>
      </c>
      <c r="L24" s="2">
        <v>68</v>
      </c>
      <c r="M24" s="75">
        <f t="shared" si="7"/>
        <v>0.5</v>
      </c>
      <c r="N24" s="34">
        <v>0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4</v>
      </c>
      <c r="AC24" s="2">
        <v>0</v>
      </c>
      <c r="AD24" s="2">
        <v>3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66">
        <f t="shared" si="4"/>
        <v>3</v>
      </c>
      <c r="D28" s="47">
        <v>3</v>
      </c>
      <c r="E28" s="34">
        <v>1</v>
      </c>
      <c r="F28" s="2">
        <v>0</v>
      </c>
      <c r="G28" s="75">
        <f t="shared" si="5"/>
        <v>1</v>
      </c>
      <c r="H28" s="34">
        <v>3</v>
      </c>
      <c r="I28" s="2">
        <v>0</v>
      </c>
      <c r="J28" s="75">
        <f t="shared" si="6"/>
        <v>1</v>
      </c>
      <c r="K28" s="34">
        <v>9</v>
      </c>
      <c r="L28" s="2">
        <v>5</v>
      </c>
      <c r="M28" s="75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66">
        <f t="shared" si="4"/>
        <v>9.3333333333333339</v>
      </c>
      <c r="D29" s="35">
        <v>12</v>
      </c>
      <c r="E29" s="34">
        <v>1</v>
      </c>
      <c r="F29" s="2">
        <v>2</v>
      </c>
      <c r="G29" s="75">
        <f t="shared" si="5"/>
        <v>0.33333333333333331</v>
      </c>
      <c r="H29" s="34">
        <v>7</v>
      </c>
      <c r="I29" s="2">
        <v>8</v>
      </c>
      <c r="J29" s="75">
        <f t="shared" si="6"/>
        <v>0.46666666666666667</v>
      </c>
      <c r="K29" s="34">
        <v>28</v>
      </c>
      <c r="L29" s="2">
        <v>35</v>
      </c>
      <c r="M29" s="75">
        <f t="shared" si="7"/>
        <v>0.44444444444444442</v>
      </c>
      <c r="N29" s="34">
        <v>0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1</v>
      </c>
      <c r="AC29" s="2">
        <v>0</v>
      </c>
      <c r="AD29" s="2">
        <v>0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2</v>
      </c>
      <c r="B30" s="34">
        <v>354</v>
      </c>
      <c r="C30" s="66">
        <f t="shared" si="4"/>
        <v>23.6</v>
      </c>
      <c r="D30" s="35">
        <v>35</v>
      </c>
      <c r="E30" s="34">
        <v>9</v>
      </c>
      <c r="F30" s="2">
        <v>6</v>
      </c>
      <c r="G30" s="75">
        <f t="shared" si="5"/>
        <v>0.6</v>
      </c>
      <c r="H30" s="34">
        <v>35</v>
      </c>
      <c r="I30" s="2">
        <v>28</v>
      </c>
      <c r="J30" s="75">
        <f t="shared" si="6"/>
        <v>0.55555555555555558</v>
      </c>
      <c r="K30" s="34">
        <v>135</v>
      </c>
      <c r="L30" s="2">
        <v>123</v>
      </c>
      <c r="M30" s="75">
        <f t="shared" si="7"/>
        <v>0.52325581395348841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1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5</v>
      </c>
      <c r="AE30" s="2">
        <v>3</v>
      </c>
      <c r="AF30" s="2">
        <v>3</v>
      </c>
      <c r="AG30" s="47">
        <v>1</v>
      </c>
    </row>
    <row r="31" spans="1:33" x14ac:dyDescent="0.25">
      <c r="A31" s="2" t="s">
        <v>54</v>
      </c>
      <c r="B31" s="34">
        <v>487</v>
      </c>
      <c r="C31" s="66">
        <f t="shared" si="4"/>
        <v>27.055555555555557</v>
      </c>
      <c r="D31" s="35">
        <v>37</v>
      </c>
      <c r="E31" s="34">
        <v>7</v>
      </c>
      <c r="F31" s="2">
        <v>11</v>
      </c>
      <c r="G31" s="75">
        <f t="shared" si="5"/>
        <v>0.3888888888888889</v>
      </c>
      <c r="H31" s="34">
        <v>38</v>
      </c>
      <c r="I31" s="2">
        <v>44</v>
      </c>
      <c r="J31" s="75">
        <f t="shared" si="6"/>
        <v>0.46341463414634149</v>
      </c>
      <c r="K31" s="34">
        <v>163</v>
      </c>
      <c r="L31" s="2">
        <v>177</v>
      </c>
      <c r="M31" s="75">
        <f t="shared" si="7"/>
        <v>0.47941176470588237</v>
      </c>
      <c r="N31" s="34">
        <v>1</v>
      </c>
      <c r="O31" s="2">
        <v>4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3</v>
      </c>
      <c r="AC31" s="2">
        <v>0</v>
      </c>
      <c r="AD31" s="2">
        <v>4</v>
      </c>
      <c r="AE31" s="2">
        <v>4</v>
      </c>
      <c r="AF31" s="2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66">
        <f t="shared" si="4"/>
        <v>27.75</v>
      </c>
      <c r="D32" s="35">
        <v>36</v>
      </c>
      <c r="E32" s="34">
        <v>3</v>
      </c>
      <c r="F32" s="2">
        <v>1</v>
      </c>
      <c r="G32" s="75">
        <f t="shared" si="5"/>
        <v>0.75</v>
      </c>
      <c r="H32" s="34">
        <v>12</v>
      </c>
      <c r="I32" s="2">
        <v>6</v>
      </c>
      <c r="J32" s="75">
        <f t="shared" si="6"/>
        <v>0.66666666666666663</v>
      </c>
      <c r="K32" s="34">
        <v>42</v>
      </c>
      <c r="L32" s="2">
        <v>35</v>
      </c>
      <c r="M32" s="75">
        <f t="shared" si="7"/>
        <v>0.54545454545454541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66">
        <f t="shared" si="4"/>
        <v>3</v>
      </c>
      <c r="D33" s="35">
        <v>4</v>
      </c>
      <c r="E33" s="34">
        <v>2</v>
      </c>
      <c r="F33" s="2">
        <v>1</v>
      </c>
      <c r="G33" s="75">
        <f t="shared" si="5"/>
        <v>0.66666666666666663</v>
      </c>
      <c r="H33" s="34">
        <v>6</v>
      </c>
      <c r="I33" s="2">
        <v>6</v>
      </c>
      <c r="J33" s="75">
        <f t="shared" si="6"/>
        <v>0.5</v>
      </c>
      <c r="K33" s="34">
        <v>22</v>
      </c>
      <c r="L33" s="2">
        <v>25</v>
      </c>
      <c r="M33" s="75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47">
        <v>0</v>
      </c>
    </row>
    <row r="34" spans="1:33" x14ac:dyDescent="0.25">
      <c r="A34" s="2" t="s">
        <v>40</v>
      </c>
      <c r="B34" s="34">
        <v>259</v>
      </c>
      <c r="C34" s="66">
        <f t="shared" si="4"/>
        <v>18.5</v>
      </c>
      <c r="D34" s="35">
        <v>29</v>
      </c>
      <c r="E34" s="34">
        <v>6</v>
      </c>
      <c r="F34" s="2">
        <v>8</v>
      </c>
      <c r="G34" s="75">
        <f t="shared" si="5"/>
        <v>0.42857142857142855</v>
      </c>
      <c r="H34" s="34">
        <v>39</v>
      </c>
      <c r="I34" s="2">
        <v>34</v>
      </c>
      <c r="J34" s="75">
        <f t="shared" si="6"/>
        <v>0.53424657534246578</v>
      </c>
      <c r="K34" s="34">
        <v>129</v>
      </c>
      <c r="L34" s="2">
        <v>139</v>
      </c>
      <c r="M34" s="75">
        <f t="shared" si="7"/>
        <v>0.48134328358208955</v>
      </c>
      <c r="N34" s="34">
        <v>0</v>
      </c>
      <c r="O34" s="2">
        <v>4</v>
      </c>
      <c r="P34" s="2">
        <v>4</v>
      </c>
      <c r="Q34" s="2">
        <v>3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1</v>
      </c>
      <c r="X34" s="2">
        <v>3</v>
      </c>
      <c r="Y34" s="2">
        <v>0</v>
      </c>
      <c r="Z34" s="2">
        <v>0</v>
      </c>
      <c r="AA34" s="2">
        <v>1</v>
      </c>
      <c r="AB34" s="2">
        <v>1</v>
      </c>
      <c r="AC34" s="2">
        <v>0</v>
      </c>
      <c r="AD34" s="2">
        <v>1</v>
      </c>
      <c r="AE34" s="2">
        <v>2</v>
      </c>
      <c r="AF34" s="2">
        <v>4</v>
      </c>
      <c r="AG34" s="47">
        <v>1</v>
      </c>
    </row>
    <row r="35" spans="1:33" x14ac:dyDescent="0.25">
      <c r="A35" s="2" t="s">
        <v>17</v>
      </c>
      <c r="B35" s="34">
        <v>302</v>
      </c>
      <c r="C35" s="66">
        <f t="shared" si="4"/>
        <v>21.571428571428573</v>
      </c>
      <c r="D35" s="35">
        <v>32</v>
      </c>
      <c r="E35" s="34">
        <v>5</v>
      </c>
      <c r="F35" s="2">
        <v>9</v>
      </c>
      <c r="G35" s="75">
        <f t="shared" si="5"/>
        <v>0.35714285714285715</v>
      </c>
      <c r="H35" s="34">
        <v>27</v>
      </c>
      <c r="I35" s="2">
        <v>33</v>
      </c>
      <c r="J35" s="75">
        <f t="shared" si="6"/>
        <v>0.45</v>
      </c>
      <c r="K35" s="34">
        <v>118</v>
      </c>
      <c r="L35" s="2">
        <v>124</v>
      </c>
      <c r="M35" s="75">
        <f t="shared" si="7"/>
        <v>0.48760330578512395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4</v>
      </c>
      <c r="AC35" s="2">
        <v>0</v>
      </c>
      <c r="AD35" s="2">
        <v>4</v>
      </c>
      <c r="AE35" s="2">
        <v>2</v>
      </c>
      <c r="AF35" s="2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66">
        <f t="shared" si="4"/>
        <v>12</v>
      </c>
      <c r="D36" s="65">
        <v>12</v>
      </c>
      <c r="E36" s="36">
        <v>1</v>
      </c>
      <c r="F36" s="1">
        <v>0</v>
      </c>
      <c r="G36" s="75">
        <f t="shared" si="5"/>
        <v>1</v>
      </c>
      <c r="H36" s="36">
        <v>3</v>
      </c>
      <c r="I36" s="1">
        <v>2</v>
      </c>
      <c r="J36" s="75">
        <f t="shared" si="6"/>
        <v>0.6</v>
      </c>
      <c r="K36" s="36">
        <v>9</v>
      </c>
      <c r="L36" s="1">
        <v>10</v>
      </c>
      <c r="M36" s="75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1">
        <f t="shared" si="4"/>
        <v>10</v>
      </c>
      <c r="D37" s="65">
        <v>10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1</v>
      </c>
      <c r="J37" s="75">
        <f t="shared" si="6"/>
        <v>0.75</v>
      </c>
      <c r="K37" s="36">
        <v>9</v>
      </c>
      <c r="L37" s="1">
        <v>5</v>
      </c>
      <c r="M37" s="75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65">
        <v>0</v>
      </c>
    </row>
    <row r="38" spans="1:33" x14ac:dyDescent="0.25">
      <c r="A38" s="2" t="s">
        <v>6</v>
      </c>
      <c r="B38" s="34">
        <v>424</v>
      </c>
      <c r="C38" s="66">
        <f t="shared" si="4"/>
        <v>23.555555555555557</v>
      </c>
      <c r="D38" s="35">
        <v>37</v>
      </c>
      <c r="E38" s="34">
        <v>14</v>
      </c>
      <c r="F38" s="2">
        <v>4</v>
      </c>
      <c r="G38" s="75">
        <f t="shared" si="5"/>
        <v>0.77777777777777779</v>
      </c>
      <c r="H38" s="34">
        <v>48</v>
      </c>
      <c r="I38" s="2">
        <v>29</v>
      </c>
      <c r="J38" s="75">
        <f t="shared" si="6"/>
        <v>0.62337662337662336</v>
      </c>
      <c r="K38" s="34">
        <v>178</v>
      </c>
      <c r="L38" s="2">
        <v>145</v>
      </c>
      <c r="M38" s="75">
        <f t="shared" si="7"/>
        <v>0.55108359133126938</v>
      </c>
      <c r="N38" s="34">
        <v>2</v>
      </c>
      <c r="O38" s="2">
        <v>1</v>
      </c>
      <c r="P38" s="2">
        <v>3</v>
      </c>
      <c r="Q38" s="2">
        <v>2</v>
      </c>
      <c r="R38" s="2">
        <v>0</v>
      </c>
      <c r="S38" s="1">
        <v>0</v>
      </c>
      <c r="T38" s="2">
        <v>0</v>
      </c>
      <c r="U38" s="2">
        <v>3</v>
      </c>
      <c r="V38" s="2">
        <v>0</v>
      </c>
      <c r="W38" s="2">
        <v>1</v>
      </c>
      <c r="X38" s="2">
        <v>5</v>
      </c>
      <c r="Y38" s="2">
        <v>2</v>
      </c>
      <c r="Z38" s="2">
        <v>1</v>
      </c>
      <c r="AA38" s="2">
        <v>2</v>
      </c>
      <c r="AB38" s="2">
        <v>7</v>
      </c>
      <c r="AC38" s="2">
        <v>1</v>
      </c>
      <c r="AD38" s="2">
        <v>7</v>
      </c>
      <c r="AE38" s="2">
        <v>4</v>
      </c>
      <c r="AF38" s="2">
        <v>4</v>
      </c>
      <c r="AG38" s="47">
        <v>3</v>
      </c>
    </row>
    <row r="39" spans="1:33" x14ac:dyDescent="0.25">
      <c r="A39" s="2" t="s">
        <v>18</v>
      </c>
      <c r="B39" s="34">
        <v>38</v>
      </c>
      <c r="C39" s="66">
        <f t="shared" si="4"/>
        <v>19</v>
      </c>
      <c r="D39" s="35">
        <v>24</v>
      </c>
      <c r="E39" s="34">
        <v>2</v>
      </c>
      <c r="F39" s="2">
        <v>0</v>
      </c>
      <c r="G39" s="75">
        <f t="shared" si="5"/>
        <v>1</v>
      </c>
      <c r="H39" s="34">
        <v>6</v>
      </c>
      <c r="I39" s="2">
        <v>2</v>
      </c>
      <c r="J39" s="75">
        <f t="shared" si="6"/>
        <v>0.75</v>
      </c>
      <c r="K39" s="34">
        <v>20</v>
      </c>
      <c r="L39" s="2">
        <v>14</v>
      </c>
      <c r="M39" s="75">
        <f t="shared" si="7"/>
        <v>0.58823529411764708</v>
      </c>
      <c r="N39" s="34">
        <v>0</v>
      </c>
      <c r="O39" s="2">
        <v>1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66">
        <f t="shared" si="4"/>
        <v>20.5</v>
      </c>
      <c r="D40" s="65">
        <v>28</v>
      </c>
      <c r="E40" s="36">
        <v>2</v>
      </c>
      <c r="F40" s="1">
        <v>2</v>
      </c>
      <c r="G40" s="75">
        <f t="shared" si="5"/>
        <v>0.5</v>
      </c>
      <c r="H40" s="36">
        <v>10</v>
      </c>
      <c r="I40" s="1">
        <v>10</v>
      </c>
      <c r="J40" s="75">
        <f t="shared" si="6"/>
        <v>0.5</v>
      </c>
      <c r="K40" s="36">
        <v>39</v>
      </c>
      <c r="L40" s="1">
        <v>42</v>
      </c>
      <c r="M40" s="75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65">
        <v>0</v>
      </c>
    </row>
    <row r="41" spans="1:33" x14ac:dyDescent="0.25">
      <c r="A41" s="2" t="s">
        <v>14</v>
      </c>
      <c r="B41" s="34">
        <v>158</v>
      </c>
      <c r="C41" s="66">
        <f t="shared" si="4"/>
        <v>17.555555555555557</v>
      </c>
      <c r="D41" s="35">
        <v>25</v>
      </c>
      <c r="E41" s="34">
        <v>4</v>
      </c>
      <c r="F41" s="2">
        <v>5</v>
      </c>
      <c r="G41" s="75">
        <f t="shared" si="5"/>
        <v>0.44444444444444442</v>
      </c>
      <c r="H41" s="34">
        <v>18</v>
      </c>
      <c r="I41" s="2">
        <v>23</v>
      </c>
      <c r="J41" s="75">
        <f t="shared" si="6"/>
        <v>0.43902439024390244</v>
      </c>
      <c r="K41" s="34">
        <v>79</v>
      </c>
      <c r="L41" s="2">
        <v>86</v>
      </c>
      <c r="M41" s="75">
        <f t="shared" si="7"/>
        <v>0.47878787878787876</v>
      </c>
      <c r="N41" s="34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1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4</v>
      </c>
      <c r="AC41" s="2">
        <v>1</v>
      </c>
      <c r="AD41" s="2">
        <v>3</v>
      </c>
      <c r="AE41" s="2">
        <v>2</v>
      </c>
      <c r="AF41" s="2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66">
        <f t="shared" si="4"/>
        <v>12.5</v>
      </c>
      <c r="D42" s="47">
        <v>13</v>
      </c>
      <c r="E42" s="34">
        <v>2</v>
      </c>
      <c r="F42" s="2">
        <v>0</v>
      </c>
      <c r="G42" s="75">
        <f t="shared" si="5"/>
        <v>1</v>
      </c>
      <c r="H42" s="34">
        <v>6</v>
      </c>
      <c r="I42" s="2">
        <v>2</v>
      </c>
      <c r="J42" s="75">
        <f t="shared" si="6"/>
        <v>0.75</v>
      </c>
      <c r="K42" s="34">
        <v>19</v>
      </c>
      <c r="L42" s="2">
        <v>15</v>
      </c>
      <c r="M42" s="75">
        <f t="shared" si="7"/>
        <v>0.55882352941176472</v>
      </c>
      <c r="N42" s="34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2</v>
      </c>
      <c r="AG42" s="47">
        <v>0</v>
      </c>
    </row>
    <row r="43" spans="1:33" x14ac:dyDescent="0.25">
      <c r="A43" s="2" t="s">
        <v>4</v>
      </c>
      <c r="B43" s="34">
        <v>238</v>
      </c>
      <c r="C43" s="66">
        <f t="shared" si="4"/>
        <v>26.444444444444443</v>
      </c>
      <c r="D43" s="35">
        <v>41</v>
      </c>
      <c r="E43" s="34">
        <v>2</v>
      </c>
      <c r="F43" s="2">
        <v>7</v>
      </c>
      <c r="G43" s="75">
        <f t="shared" si="5"/>
        <v>0.22222222222222221</v>
      </c>
      <c r="H43" s="34">
        <v>16</v>
      </c>
      <c r="I43" s="2">
        <v>24</v>
      </c>
      <c r="J43" s="75">
        <f t="shared" si="6"/>
        <v>0.4</v>
      </c>
      <c r="K43" s="34">
        <v>76</v>
      </c>
      <c r="L43" s="2">
        <v>93</v>
      </c>
      <c r="M43" s="75">
        <f t="shared" si="7"/>
        <v>0.44970414201183434</v>
      </c>
      <c r="N43" s="34">
        <v>0</v>
      </c>
      <c r="O43" s="2">
        <v>2</v>
      </c>
      <c r="P43" s="2">
        <v>3</v>
      </c>
      <c r="Q43" s="2">
        <v>1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0</v>
      </c>
      <c r="AG43" s="47">
        <v>0</v>
      </c>
    </row>
    <row r="44" spans="1:33" x14ac:dyDescent="0.25">
      <c r="A44" s="1" t="s">
        <v>107</v>
      </c>
      <c r="B44" s="36">
        <v>69</v>
      </c>
      <c r="C44" s="66">
        <f t="shared" si="4"/>
        <v>13.8</v>
      </c>
      <c r="D44" s="65">
        <v>24</v>
      </c>
      <c r="E44" s="36">
        <v>3</v>
      </c>
      <c r="F44" s="1">
        <v>2</v>
      </c>
      <c r="G44" s="75">
        <f t="shared" si="5"/>
        <v>0.6</v>
      </c>
      <c r="H44" s="36">
        <v>13</v>
      </c>
      <c r="I44" s="1">
        <v>10</v>
      </c>
      <c r="J44" s="75">
        <f t="shared" si="6"/>
        <v>0.56521739130434778</v>
      </c>
      <c r="K44" s="36">
        <v>57</v>
      </c>
      <c r="L44" s="1">
        <v>49</v>
      </c>
      <c r="M44" s="75">
        <f t="shared" si="7"/>
        <v>0.53773584905660377</v>
      </c>
      <c r="N44" s="34">
        <v>0</v>
      </c>
      <c r="O44" s="1">
        <v>0</v>
      </c>
      <c r="P44" s="1">
        <v>1</v>
      </c>
      <c r="Q44" s="1">
        <v>3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1</v>
      </c>
      <c r="Y44" s="2">
        <v>0</v>
      </c>
      <c r="Z44" s="1">
        <v>0</v>
      </c>
      <c r="AA44" s="1">
        <v>2</v>
      </c>
      <c r="AB44" s="1">
        <v>2</v>
      </c>
      <c r="AC44" s="2">
        <v>0</v>
      </c>
      <c r="AD44" s="1">
        <v>0</v>
      </c>
      <c r="AE44" s="1">
        <v>1</v>
      </c>
      <c r="AF44" s="1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66">
        <f t="shared" si="4"/>
        <v>18</v>
      </c>
      <c r="D45" s="47">
        <v>18</v>
      </c>
      <c r="E45" s="34">
        <v>1</v>
      </c>
      <c r="F45" s="2">
        <v>0</v>
      </c>
      <c r="G45" s="75">
        <f t="shared" si="5"/>
        <v>1</v>
      </c>
      <c r="H45" s="34">
        <v>3</v>
      </c>
      <c r="I45" s="2">
        <v>2</v>
      </c>
      <c r="J45" s="75">
        <f t="shared" si="6"/>
        <v>0.6</v>
      </c>
      <c r="K45" s="34">
        <v>11</v>
      </c>
      <c r="L45" s="2">
        <v>10</v>
      </c>
      <c r="M45" s="75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67">
        <f t="shared" si="4"/>
        <v>6</v>
      </c>
      <c r="D46" s="40">
        <v>6</v>
      </c>
      <c r="E46" s="38">
        <v>0</v>
      </c>
      <c r="F46" s="48">
        <v>1</v>
      </c>
      <c r="G46" s="76">
        <f t="shared" si="5"/>
        <v>0</v>
      </c>
      <c r="H46" s="38">
        <v>0</v>
      </c>
      <c r="I46" s="48">
        <v>3</v>
      </c>
      <c r="J46" s="76">
        <f t="shared" si="6"/>
        <v>0</v>
      </c>
      <c r="K46" s="38">
        <v>4</v>
      </c>
      <c r="L46" s="48">
        <v>9</v>
      </c>
      <c r="M46" s="76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A33" sqref="A33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N3" sqref="N3:N10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83" t="s">
        <v>7</v>
      </c>
      <c r="D1" s="84"/>
      <c r="E1" s="85"/>
      <c r="F1" s="83" t="s">
        <v>22</v>
      </c>
      <c r="G1" s="84"/>
      <c r="H1" s="85"/>
      <c r="I1" s="83" t="s">
        <v>16</v>
      </c>
      <c r="J1" s="84"/>
      <c r="K1" s="85"/>
      <c r="L1" s="83" t="s">
        <v>23</v>
      </c>
      <c r="M1" s="84"/>
      <c r="N1" s="85"/>
      <c r="O1" s="83" t="s">
        <v>64</v>
      </c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6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73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73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73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86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73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73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73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86"/>
      <c r="B5" s="7" t="s">
        <v>35</v>
      </c>
      <c r="C5" s="13">
        <f>INDEX(BA!B2:B45,MATCH('Match Analyzer BA'!$B$5,BA!$A$2:$A$45,0))</f>
        <v>188</v>
      </c>
      <c r="D5" s="59">
        <f>INDEX(BA!C2:C45,MATCH('Match Analyzer BA'!$B$5,BA!$A$2:$A$45,0))</f>
        <v>11.75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10</v>
      </c>
      <c r="H5" s="73">
        <f>INDEX(BA!G2:G45,MATCH('Match Analyzer BA'!$B$5,BA!$A$2:$A$45,0))</f>
        <v>0.375</v>
      </c>
      <c r="I5" s="13">
        <f>INDEX(BA!H2:H45,MATCH('Match Analyzer BA'!$B$5,BA!$A$2:$A$45,0))</f>
        <v>30</v>
      </c>
      <c r="J5" s="26">
        <f>INDEX(BA!I2:I45,MATCH('Match Analyzer BA'!$B$5,BA!$A$2:$A$45,0))</f>
        <v>38</v>
      </c>
      <c r="K5" s="73">
        <f>INDEX(BA!J2:J45,MATCH('Match Analyzer BA'!$B$5,BA!$A$2:$A$45,0))</f>
        <v>0.44117647058823528</v>
      </c>
      <c r="L5" s="13">
        <f>INDEX(BA!K2:K45,MATCH('Match Analyzer BA'!$B$5,BA!$A$2:$A$45,0))</f>
        <v>144</v>
      </c>
      <c r="M5" s="26">
        <f>INDEX(BA!L2:L45,MATCH('Match Analyzer BA'!$B$5,BA!$A$2:$A$45,0))</f>
        <v>144</v>
      </c>
      <c r="N5" s="73">
        <f>INDEX(BA!M2:M45,MATCH('Match Analyzer BA'!$B$5,BA!$A$2:$A$45,0))</f>
        <v>0.5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3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3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86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73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73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73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86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73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73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73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86"/>
      <c r="B8" s="7" t="s">
        <v>27</v>
      </c>
      <c r="C8" s="13">
        <f>INDEX(BA!B2:B45,MATCH('Match Analyzer BA'!$B$8,BA!$A$2:$A$45,0))</f>
        <v>61</v>
      </c>
      <c r="D8" s="59">
        <f>INDEX(BA!C2:C45,MATCH('Match Analyzer BA'!$B$8,BA!$A$2:$A$45,0))</f>
        <v>15.25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2</v>
      </c>
      <c r="H8" s="73">
        <f>INDEX(BA!G2:G45,MATCH('Match Analyzer BA'!$B$8,BA!$A$2:$A$45,0))</f>
        <v>0.5</v>
      </c>
      <c r="I8" s="13">
        <f>INDEX(BA!H2:H45,MATCH('Match Analyzer BA'!$B$8,BA!$A$2:$A$45,0))</f>
        <v>10</v>
      </c>
      <c r="J8" s="26">
        <f>INDEX(BA!I2:I45,MATCH('Match Analyzer BA'!$B$8,BA!$A$2:$A$45,0))</f>
        <v>9</v>
      </c>
      <c r="K8" s="73">
        <f>INDEX(BA!J2:J45,MATCH('Match Analyzer BA'!$B$8,BA!$A$2:$A$45,0))</f>
        <v>0.52631578947368418</v>
      </c>
      <c r="L8" s="13">
        <f>INDEX(BA!K2:K45,MATCH('Match Analyzer BA'!$B$8,BA!$A$2:$A$45,0))</f>
        <v>39</v>
      </c>
      <c r="M8" s="26">
        <f>INDEX(BA!L2:L45,MATCH('Match Analyzer BA'!$B$8,BA!$A$2:$A$45,0))</f>
        <v>41</v>
      </c>
      <c r="N8" s="73">
        <f>INDEX(BA!M2:M45,MATCH('Match Analyzer BA'!$B$8,BA!$A$2:$A$45,0))</f>
        <v>0.48749999999999999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2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86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73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73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73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86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74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74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74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70.142857142857139</v>
      </c>
      <c r="H11" s="9">
        <f>AVERAGE(H3:H10)</f>
        <v>0.53616522366522368</v>
      </c>
      <c r="I11" s="1"/>
      <c r="J11" s="1"/>
      <c r="K11" s="9">
        <f>AVERAGE(K3:K10)</f>
        <v>0.54996228333118635</v>
      </c>
      <c r="N11" s="9">
        <f>AVERAGE(N3:N10)</f>
        <v>0.53347743486931998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11</v>
      </c>
      <c r="S11" s="5">
        <f t="shared" si="0"/>
        <v>2</v>
      </c>
      <c r="T11" s="5">
        <f t="shared" si="0"/>
        <v>13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11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83" t="s">
        <v>7</v>
      </c>
      <c r="D15" s="84"/>
      <c r="E15" s="85"/>
      <c r="F15" s="83" t="s">
        <v>22</v>
      </c>
      <c r="G15" s="84"/>
      <c r="H15" s="85"/>
      <c r="I15" s="83" t="s">
        <v>16</v>
      </c>
      <c r="J15" s="84"/>
      <c r="K15" s="85"/>
      <c r="L15" s="83" t="s">
        <v>23</v>
      </c>
      <c r="M15" s="84"/>
      <c r="N15" s="85"/>
      <c r="O15" s="83" t="s">
        <v>64</v>
      </c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82" t="s">
        <v>77</v>
      </c>
      <c r="B17" s="7" t="s">
        <v>35</v>
      </c>
      <c r="C17" s="13">
        <f>INDEX(BA!B2:B45,MATCH('Match Analyzer BA'!$B$17,BA!$A$2:$A$45,0))</f>
        <v>188</v>
      </c>
      <c r="D17" s="59">
        <f>INDEX(BA!C2:C45,MATCH('Match Analyzer BA'!$B$17,BA!$A$2:$A$45,0))</f>
        <v>11.75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10</v>
      </c>
      <c r="H17" s="27">
        <f>INDEX(BA!G2:G45,MATCH('Match Analyzer BA'!$B$17,BA!$A$2:$A$45,0))</f>
        <v>0.375</v>
      </c>
      <c r="I17" s="13">
        <f>INDEX(BA!H2:H45,MATCH('Match Analyzer BA'!$B$17,BA!$A$2:$A$45,0))</f>
        <v>30</v>
      </c>
      <c r="J17" s="26">
        <f>INDEX(BA!I2:I45,MATCH('Match Analyzer BA'!$B$17,BA!$A$2:$A$45,0))</f>
        <v>38</v>
      </c>
      <c r="K17" s="27">
        <f>INDEX(BA!J2:J45,MATCH('Match Analyzer BA'!$B$17,BA!$A$2:$A$45,0))</f>
        <v>0.44117647058823528</v>
      </c>
      <c r="L17" s="13">
        <f>INDEX(BA!K2:K45,MATCH('Match Analyzer BA'!$B$17,BA!$A$2:$A$45,0))</f>
        <v>144</v>
      </c>
      <c r="M17" s="26">
        <f>INDEX(BA!L2:L45,MATCH('Match Analyzer BA'!$B$17,BA!$A$2:$A$45,0))</f>
        <v>144</v>
      </c>
      <c r="N17" s="27">
        <f>INDEX(BA!M2:M45,MATCH('Match Analyzer BA'!$B$17,BA!$A$2:$A$45,0))</f>
        <v>0.5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3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3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82"/>
      <c r="B18" s="7" t="s">
        <v>42</v>
      </c>
      <c r="C18" s="13">
        <f>INDEX(BA!B2:B45,MATCH('Match Analyzer BA'!$B$18,BA!$A$2:$A$45,0))</f>
        <v>143</v>
      </c>
      <c r="D18" s="59">
        <f>INDEX(BA!C2:C45,MATCH('Match Analyzer BA'!$B$18,BA!$A$2:$A$45,0))</f>
        <v>15.888888888888889</v>
      </c>
      <c r="E18" s="14">
        <f>INDEX(BA!D2:D45,MATCH('Match Analyzer BA'!$B$18,BA!$A$2:$A$45,0))</f>
        <v>31</v>
      </c>
      <c r="F18" s="13">
        <f>INDEX(BA!E2:E45,MATCH('Match Analyzer BA'!$B$18,BA!$A$2:$A$45,0))</f>
        <v>5</v>
      </c>
      <c r="G18" s="26">
        <f>INDEX(BA!F2:F45,MATCH('Match Analyzer BA'!$B$18,BA!$A$2:$A$45,0))</f>
        <v>4</v>
      </c>
      <c r="H18" s="27">
        <f>INDEX(BA!G2:G45,MATCH('Match Analyzer BA'!$B$18,BA!$A$2:$A$45,0))</f>
        <v>0.55555555555555558</v>
      </c>
      <c r="I18" s="13">
        <f>INDEX(BA!H2:H45,MATCH('Match Analyzer BA'!$B$18,BA!$A$2:$A$45,0))</f>
        <v>19</v>
      </c>
      <c r="J18" s="26">
        <f>INDEX(BA!I2:I45,MATCH('Match Analyzer BA'!$B$18,BA!$A$2:$A$45,0))</f>
        <v>20</v>
      </c>
      <c r="K18" s="27">
        <f>INDEX(BA!J2:J45,MATCH('Match Analyzer BA'!$B$18,BA!$A$2:$A$45,0))</f>
        <v>0.48717948717948717</v>
      </c>
      <c r="L18" s="13">
        <f>INDEX(BA!K2:K45,MATCH('Match Analyzer BA'!$B$18,BA!$A$2:$A$45,0))</f>
        <v>80</v>
      </c>
      <c r="M18" s="26">
        <f>INDEX(BA!L2:L45,MATCH('Match Analyzer BA'!$B$18,BA!$A$2:$A$45,0))</f>
        <v>84</v>
      </c>
      <c r="N18" s="27">
        <f>INDEX(BA!M2:M45,MATCH('Match Analyzer BA'!$B$18,BA!$A$2:$A$45,0))</f>
        <v>0.48780487804878048</v>
      </c>
      <c r="O18" s="13">
        <f>INDEX(BA!V2:V45,MATCH('Match Analyzer BA'!$B$18,BA!$A$2:$A$45,0))</f>
        <v>0</v>
      </c>
      <c r="P18" s="26">
        <f>INDEX(BA!Q2:Q45,MATCH('Match Analyzer BA'!$B$18,BA!$A$2:$A$45,0))</f>
        <v>1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1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3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82"/>
      <c r="B19" s="7" t="s">
        <v>52</v>
      </c>
      <c r="C19" s="13">
        <f>INDEX(BA!B2:B45,MATCH('Match Analyzer BA'!$B$19,BA!$A$2:$A$45,0))</f>
        <v>58</v>
      </c>
      <c r="D19" s="59">
        <f>INDEX(BA!C2:C45,MATCH('Match Analyzer BA'!$B$19,BA!$A$2:$A$45,0))</f>
        <v>11.6</v>
      </c>
      <c r="E19" s="14">
        <f>INDEX(BA!D2:D45,MATCH('Match Analyzer BA'!$B$19,BA!$A$2:$A$45,0))</f>
        <v>19</v>
      </c>
      <c r="F19" s="13">
        <f>INDEX(BA!E2:E45,MATCH('Match Analyzer BA'!$B$19,BA!$A$2:$A$45,0))</f>
        <v>1</v>
      </c>
      <c r="G19" s="26">
        <f>INDEX(BA!F2:F45,MATCH('Match Analyzer BA'!$B$19,BA!$A$2:$A$45,0))</f>
        <v>4</v>
      </c>
      <c r="H19" s="27">
        <f>INDEX(BA!G2:G45,MATCH('Match Analyzer BA'!$B$19,BA!$A$2:$A$45,0))</f>
        <v>0.2</v>
      </c>
      <c r="I19" s="13">
        <f>INDEX(BA!H2:H45,MATCH('Match Analyzer BA'!$B$19,BA!$A$2:$A$45,0))</f>
        <v>8</v>
      </c>
      <c r="J19" s="26">
        <f>INDEX(BA!I2:I45,MATCH('Match Analyzer BA'!$B$19,BA!$A$2:$A$45,0))</f>
        <v>14</v>
      </c>
      <c r="K19" s="27">
        <f>INDEX(BA!J2:J45,MATCH('Match Analyzer BA'!$B$19,BA!$A$2:$A$45,0))</f>
        <v>0.36363636363636365</v>
      </c>
      <c r="L19" s="13">
        <f>INDEX(BA!K2:K45,MATCH('Match Analyzer BA'!$B$19,BA!$A$2:$A$45,0))</f>
        <v>34</v>
      </c>
      <c r="M19" s="26">
        <f>INDEX(BA!L2:L45,MATCH('Match Analyzer BA'!$B$19,BA!$A$2:$A$45,0))</f>
        <v>52</v>
      </c>
      <c r="N19" s="27">
        <f>INDEX(BA!M2:M45,MATCH('Match Analyzer BA'!$B$19,BA!$A$2:$A$45,0))</f>
        <v>0.39534883720930231</v>
      </c>
      <c r="O19" s="13">
        <f>INDEX(BA!V2:V45,MATCH('Match Analyzer BA'!$B$19,BA!$A$2:$A$45,0))</f>
        <v>0</v>
      </c>
      <c r="P19" s="26">
        <f>INDEX(BA!Q2:Q45,MATCH('Match Analyzer BA'!$B$19,BA!$A$2:$A$45,0))</f>
        <v>0</v>
      </c>
      <c r="Q19" s="26">
        <f>INDEX(BA!U2:U45,MATCH('Match Analyzer BA'!$B$19,BA!$A$2:$A$45,0))</f>
        <v>0</v>
      </c>
      <c r="R19" s="26">
        <f>INDEX(BA!AB2:AB45,MATCH('Match Analyzer BA'!$B$19,BA!$A$2:$A$45,0))</f>
        <v>1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0</v>
      </c>
      <c r="W19" s="26">
        <f>INDEX(BA!P2:P45,MATCH('Match Analyzer BA'!$B$19,BA!$A$2:$A$45,0))</f>
        <v>0</v>
      </c>
      <c r="X19" s="26">
        <f>INDEX(BA!AE2:AE45,MATCH('Match Analyzer BA'!$B$19,BA!$A$2:$A$45,0))</f>
        <v>1</v>
      </c>
      <c r="Y19" s="26">
        <f>INDEX(BA!W2:W45,MATCH('Match Analyzer BA'!$B$19,BA!$A$2:$A$45,0))</f>
        <v>2</v>
      </c>
      <c r="Z19" s="26">
        <f>INDEX(BA!O2:O45,MATCH('Match Analyzer BA'!$B$19,BA!$A$2:$A$45,0))</f>
        <v>1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82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82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82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82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82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88.50873015873016</v>
      </c>
      <c r="H25" s="9">
        <f>AVERAGE(H17:H24)</f>
        <v>0.44648268398268404</v>
      </c>
      <c r="I25" s="1"/>
      <c r="J25" s="1"/>
      <c r="K25" s="9">
        <f>AVERAGE(K17:K24)</f>
        <v>0.47127251152265187</v>
      </c>
      <c r="N25" s="9">
        <f>AVERAGE(N17:N24)</f>
        <v>0.48437535777279478</v>
      </c>
      <c r="O25" s="5">
        <f>SUM(O17:O24)</f>
        <v>3</v>
      </c>
      <c r="P25" s="5">
        <f t="shared" ref="P25:AH25" si="1">SUM(P17:P24)</f>
        <v>6</v>
      </c>
      <c r="Q25" s="5">
        <f t="shared" si="1"/>
        <v>6</v>
      </c>
      <c r="R25" s="5">
        <f t="shared" si="1"/>
        <v>15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9</v>
      </c>
      <c r="W25" s="5">
        <f t="shared" si="1"/>
        <v>7</v>
      </c>
      <c r="X25" s="5">
        <f t="shared" si="1"/>
        <v>13</v>
      </c>
      <c r="Y25" s="5">
        <f t="shared" si="1"/>
        <v>7</v>
      </c>
      <c r="Z25" s="5">
        <f t="shared" si="1"/>
        <v>9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Presidio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BA!$A$2:$A$45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BA!$A$2:$A$45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2026-03-02T23:51:48Z</dcterms:modified>
</cp:coreProperties>
</file>