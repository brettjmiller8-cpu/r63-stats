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DB15B26-C094-4883-9B78-2B50A44C03E5}" xr6:coauthVersionLast="47" xr6:coauthVersionMax="47" xr10:uidLastSave="{00000000-0000-0000-0000-000000000000}"/>
  <bookViews>
    <workbookView xWindow="-120" yWindow="-120" windowWidth="38640" windowHeight="21120" activeTab="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43" i="10" l="1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7" i="16" s="1"/>
  <c r="AI241" i="17"/>
  <c r="AJ241" i="17"/>
  <c r="K27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L27" i="16"/>
  <c r="M27" i="16" s="1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Q11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4" i="12"/>
  <c r="G24" i="12"/>
  <c r="H24" i="12" a="1"/>
  <c r="H24" i="12" s="1"/>
  <c r="I24" i="12"/>
  <c r="J24" i="12"/>
  <c r="L24" i="12"/>
  <c r="M24" i="12" s="1"/>
  <c r="O24" i="12"/>
  <c r="P24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30" i="11" l="1"/>
  <c r="M44" i="11"/>
  <c r="P44" i="11"/>
  <c r="S44" i="11"/>
  <c r="S32" i="11"/>
  <c r="S33" i="11"/>
  <c r="S29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5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<sst xmlns="http://schemas.openxmlformats.org/spreadsheetml/2006/main" count="4090" uniqueCount="181">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</sst>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93</v>
      </c>
      <c r="I4" s="4">
        <f>AVERAGEIFS('OB History'!C:C,'OB History'!B:B,A4)</f>
        <v>8.454545454545455</v>
      </c>
      <c r="J4" s="35">
        <f t="array" ref="J4">MAX(IF('OB History'!B:B=A4, 'OB History'!C:C))</f>
        <v>19</v>
      </c>
      <c r="K4" s="34">
        <f>COUNTIFS('OB History'!B:B,A4,'OB History'!D:D, 1)</f>
        <v>7</v>
      </c>
      <c r="L4" s="2">
        <f>COUNTIFS('OB History'!B:B,A4,'OB History'!D:D, 0)</f>
        <v>4</v>
      </c>
      <c r="M4" s="88">
        <f>LOOKUP(2, 1/('OB History'!$B:$B=A4), 'OB History'!$AD:$AD)</f>
        <v>0.63636363636363635</v>
      </c>
      <c r="N4" s="34">
        <f>SUMIFS('OB History'!F:F,'OB History'!B:B,A4)</f>
        <v>23</v>
      </c>
      <c r="O4" s="2">
        <f>SUMIFS('OB History'!E:E,'OB History'!B:B,A4)-N4</f>
        <v>20</v>
      </c>
      <c r="P4" s="88">
        <f>LOOKUP(2, 1/('OB History'!$B:$B=A4), 'OB History'!$AB:$AB)</f>
        <v>0.51818181818181819</v>
      </c>
      <c r="Q4" s="34">
        <f>SUMIFS('OB History'!H:H,'OB History'!B:B,A4)</f>
        <v>94</v>
      </c>
      <c r="R4" s="2">
        <f>SUMIFS('OB History'!G:G,'OB History'!B:B,A4)-Q4</f>
        <v>86</v>
      </c>
      <c r="S4" s="88">
        <f>LOOKUP(2, 1/('OB History'!$B:$B=A4), 'OB History'!$AC:$AC)</f>
        <v>0.51727272727272722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3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523</v>
      </c>
      <c r="I5" s="4">
        <f>AVERAGEIFS('OB History'!C:C,'OB History'!B:B,A5)</f>
        <v>19.37037037037037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15</v>
      </c>
      <c r="M5" s="88">
        <f>LOOKUP(2, 1/('OB History'!$B:$B=A5), 'OB History'!$AD:$AD)</f>
        <v>0.44444444444444442</v>
      </c>
      <c r="N5" s="34">
        <f>SUMIFS('OB History'!F:F,'OB History'!B:B,A5)</f>
        <v>49</v>
      </c>
      <c r="O5" s="2">
        <f>SUMIFS('OB History'!E:E,'OB History'!B:B,A5)-N5</f>
        <v>61</v>
      </c>
      <c r="P5" s="88">
        <f>LOOKUP(2, 1/('OB History'!$B:$B=A5), 'OB History'!$AB:$AB)</f>
        <v>0.42777777777777776</v>
      </c>
      <c r="Q5" s="34">
        <f>SUMIFS('OB History'!H:H,'OB History'!B:B,A5)</f>
        <v>207</v>
      </c>
      <c r="R5" s="2">
        <f>SUMIFS('OB History'!G:G,'OB History'!B:B,A5)-Q5</f>
        <v>240</v>
      </c>
      <c r="S5" s="88">
        <f>LOOKUP(2, 1/('OB History'!$B:$B=A5), 'OB History'!$AC:$AC)</f>
        <v>0.45333333333333337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364</v>
      </c>
      <c r="I7" s="4">
        <f>AVERAGEIFS('OB History'!C:C,'OB History'!B:B,A7)</f>
        <v>12.551724137931034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13</v>
      </c>
      <c r="M7" s="88">
        <f>LOOKUP(2, 1/('OB History'!$B:$B=A7), 'OB History'!$AD:$AD)</f>
        <v>0.55172413793103448</v>
      </c>
      <c r="N7" s="34">
        <f>SUMIFS('OB History'!F:F,'OB History'!B:B,A7)</f>
        <v>56</v>
      </c>
      <c r="O7" s="2">
        <f>SUMIFS('OB History'!E:E,'OB History'!B:B,A7)-N7</f>
        <v>61</v>
      </c>
      <c r="P7" s="88">
        <f>LOOKUP(2, 1/('OB History'!$B:$B=A7), 'OB History'!$AB:$AB)</f>
        <v>0.45517241379310341</v>
      </c>
      <c r="Q7" s="34">
        <f>SUMIFS('OB History'!H:H,'OB History'!B:B,'Old Bow v2'!A7)</f>
        <v>232</v>
      </c>
      <c r="R7" s="2">
        <f>SUMIFS('OB History'!G:G,'OB History'!B:B,'Old Bow v2'!A7)-Q7</f>
        <v>248</v>
      </c>
      <c r="S7" s="88">
        <f>LOOKUP(2, 1/('OB History'!$B:$B=A7), 'OB History'!$AC:$AC)</f>
        <v>0.47241379310344839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27</v>
      </c>
      <c r="I10" s="4">
        <f>AVERAGEIFS('OB History'!C:C,'OB History'!B:B,A10)</f>
        <v>13.5</v>
      </c>
      <c r="J10" s="35">
        <f t="array" ref="J10">MAX(IF('OB History'!B:B=A10, 'OB History'!C:C))</f>
        <v>19</v>
      </c>
      <c r="K10" s="34">
        <f>COUNTIFS('OB History'!B:B,A10,'OB History'!D:D, 1)</f>
        <v>1</v>
      </c>
      <c r="L10" s="2">
        <f>COUNTIFS('OB History'!B:B,A10,'OB History'!D:D, 0)</f>
        <v>1</v>
      </c>
      <c r="M10" s="88">
        <f>LOOKUP(2, 1/('OB History'!$B:$B=A10), 'OB History'!$AD:$AD)</f>
        <v>0.5</v>
      </c>
      <c r="N10" s="34">
        <f>SUMIFS('OB History'!F:F,'OB History'!B:B,A10)</f>
        <v>4</v>
      </c>
      <c r="O10" s="2">
        <f>SUMIFS('OB History'!E:E,'OB History'!B:B,A10)-N10</f>
        <v>3</v>
      </c>
      <c r="P10" s="88">
        <f>LOOKUP(2, 1/('OB History'!$B:$B=A10), 'OB History'!$AB:$AB)</f>
        <v>0.625</v>
      </c>
      <c r="Q10" s="34">
        <f>SUMIFS('OB History'!H:H,'OB History'!B:B,'Old Bow v2'!A10)</f>
        <v>14</v>
      </c>
      <c r="R10" s="2">
        <f>SUMIFS('OB History'!G:G,'OB History'!B:B,'Old Bow v2'!A10)-Q10</f>
        <v>16</v>
      </c>
      <c r="S10" s="88">
        <f>LOOKUP(2, 1/('OB History'!$B:$B=A10), 'OB History'!$AC:$AC)</f>
        <v>0.47499999999999998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0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1</v>
      </c>
    </row>
    <row r="11" spans="1:35" x14ac:dyDescent="0.25">
      <c r="A11" s="2" t="s">
        <v>25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471</v>
      </c>
      <c r="I11" s="4">
        <f>AVERAGEIFS('OB History'!C:C,'OB History'!B:B,A11)</f>
        <v>17.444444444444443</v>
      </c>
      <c r="J11" s="35">
        <f t="array" ref="J11">MAX(IF('OB History'!B:B=A11, 'OB History'!C:C))</f>
        <v>35</v>
      </c>
      <c r="K11" s="34">
        <f>COUNTIFS('OB History'!B:B,A11,'OB History'!D:D, 1)</f>
        <v>16</v>
      </c>
      <c r="L11" s="2">
        <f>COUNTIFS('OB History'!B:B,A11,'OB History'!D:D, 0)</f>
        <v>11</v>
      </c>
      <c r="M11" s="88">
        <f>LOOKUP(2, 1/('OB History'!$B:$B=A11), 'OB History'!$AD:$AD)</f>
        <v>0.59259259259259256</v>
      </c>
      <c r="N11" s="34">
        <f>SUMIFS('OB History'!F:F,'OB History'!B:B,A11)</f>
        <v>64</v>
      </c>
      <c r="O11" s="2">
        <f>SUMIFS('OB History'!E:E,'OB History'!B:B,A11)-N11</f>
        <v>50</v>
      </c>
      <c r="P11" s="88">
        <f>LOOKUP(2, 1/('OB History'!$B:$B=A11), 'OB History'!$AB:$AB)</f>
        <v>0.58333333333333337</v>
      </c>
      <c r="Q11" s="34">
        <f>SUMIFS('OB History'!H:H,'OB History'!B:B,'Old Bow v2'!A11)</f>
        <v>244</v>
      </c>
      <c r="R11" s="2">
        <f>SUMIFS('OB History'!G:G,'OB History'!B:B,'Old Bow v2'!A11)-Q11</f>
        <v>228</v>
      </c>
      <c r="S11" s="88">
        <f>LOOKUP(2, 1/('OB History'!$B:$B=A11), 'OB History'!$AC:$AC)</f>
        <v>0.53074074074074074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5</v>
      </c>
      <c r="AA11" s="2">
        <f>COUNTIFS('OB History'!$B:$B,$A$11,'OB History'!R:R, 1)</f>
        <v>3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10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162</v>
      </c>
      <c r="I12" s="4">
        <f>AVERAGEIFS('OB History'!C:C,'OB History'!B:B,A12)</f>
        <v>13.5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9</v>
      </c>
      <c r="M12" s="88">
        <f>LOOKUP(2, 1/('OB History'!$B:$B=A12), 'OB History'!$AD:$AD)</f>
        <v>0.25</v>
      </c>
      <c r="N12" s="34">
        <f>SUMIFS('OB History'!F:F,'OB History'!B:B,A12)</f>
        <v>20</v>
      </c>
      <c r="O12" s="2">
        <f>SUMIFS('OB History'!E:E,'OB History'!B:B,A12)-N12</f>
        <v>31</v>
      </c>
      <c r="P12" s="88">
        <f>LOOKUP(2, 1/('OB History'!$B:$B=A12), 'OB History'!$AB:$AB)</f>
        <v>0.37916666666666665</v>
      </c>
      <c r="Q12" s="34">
        <f>SUMIFS('OB History'!H:H,'OB History'!B:B,'Old Bow v2'!A12)</f>
        <v>99</v>
      </c>
      <c r="R12" s="2">
        <f>SUMIFS('OB History'!G:G,'OB History'!B:B,'Old Bow v2'!A12)-Q12</f>
        <v>118</v>
      </c>
      <c r="S12" s="88">
        <f>LOOKUP(2, 1/('OB History'!$B:$B=A12), 'OB History'!$AC:$AC)</f>
        <v>0.45249999999999996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363</v>
      </c>
      <c r="I13" s="4">
        <f>AVERAGEIFS('OB History'!C:C,'OB History'!B:B,A13)</f>
        <v>15.125</v>
      </c>
      <c r="J13" s="35">
        <f t="array" ref="J13">MAX(IF('OB History'!B:B=A13, 'OB History'!C:C))</f>
        <v>44</v>
      </c>
      <c r="K13" s="34">
        <f>COUNTIFS('OB History'!B:B,A13,'OB History'!D:D, 1)</f>
        <v>13</v>
      </c>
      <c r="L13" s="2">
        <f>COUNTIFS('OB History'!B:B,A13,'OB History'!D:D, 0)</f>
        <v>11</v>
      </c>
      <c r="M13" s="88">
        <f>LOOKUP(2, 1/('OB History'!$B:$B=A13), 'OB History'!$AD:$AD)</f>
        <v>0.54166666666666663</v>
      </c>
      <c r="N13" s="34">
        <f>SUMIFS('OB History'!F:F,'OB History'!B:B,A13)</f>
        <v>50</v>
      </c>
      <c r="O13" s="2">
        <f>SUMIFS('OB History'!E:E,'OB History'!B:B,A13)-N13</f>
        <v>49</v>
      </c>
      <c r="P13" s="88">
        <f>LOOKUP(2, 1/('OB History'!$B:$B=A13), 'OB History'!$AB:$AB)</f>
        <v>0.49791666666666662</v>
      </c>
      <c r="Q13" s="34">
        <f>SUMIFS('OB History'!H:H,'OB History'!B:B,'Old Bow v2'!A13)</f>
        <v>202</v>
      </c>
      <c r="R13" s="2">
        <f>SUMIFS('OB History'!G:G,'OB History'!B:B,'Old Bow v2'!A13)-Q13</f>
        <v>199</v>
      </c>
      <c r="S13" s="88">
        <f>LOOKUP(2, 1/('OB History'!$B:$B=A13), 'OB History'!$AC:$AC)</f>
        <v>0.50458333333333338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3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3</v>
      </c>
      <c r="AA13" s="2">
        <f>COUNTIFS('OB History'!$B:$B,$A$13,'OB History'!R:R, 1)</f>
        <v>2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5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426</v>
      </c>
      <c r="I14" s="4">
        <f>AVERAGEIFS('OB History'!C:C,'OB History'!B:B,A14)</f>
        <v>13.3125</v>
      </c>
      <c r="J14" s="35">
        <f t="array" ref="J14">MAX(IF('OB History'!B:B=A14, 'OB History'!C:C))</f>
        <v>41</v>
      </c>
      <c r="K14" s="34">
        <f>COUNTIFS('OB History'!B:B,A14,'OB History'!D:D, 1)</f>
        <v>22</v>
      </c>
      <c r="L14" s="2">
        <f>COUNTIFS('OB History'!B:B,A14,'OB History'!D:D, 0)</f>
        <v>10</v>
      </c>
      <c r="M14" s="88">
        <f>LOOKUP(2, 1/('OB History'!$B:$B=A14), 'OB History'!$AD:$AD)</f>
        <v>0.6875</v>
      </c>
      <c r="N14" s="34">
        <f>SUMIFS('OB History'!F:F,'OB History'!B:B,A14)</f>
        <v>80</v>
      </c>
      <c r="O14" s="2">
        <f>SUMIFS('OB History'!E:E,'OB History'!B:B,A14)-N14</f>
        <v>52</v>
      </c>
      <c r="P14" s="88">
        <f>LOOKUP(2, 1/('OB History'!$B:$B=A14), 'OB History'!$AB:$AB)</f>
        <v>0.62812499999999993</v>
      </c>
      <c r="Q14" s="34">
        <f>SUMIFS('OB History'!H:H,'OB History'!B:B,'Old Bow v2'!A14)</f>
        <v>299</v>
      </c>
      <c r="R14" s="2">
        <f>SUMIFS('OB History'!G:G,'OB History'!B:B,'Old Bow v2'!A14)-Q14</f>
        <v>245</v>
      </c>
      <c r="S14" s="88">
        <f>LOOKUP(2, 1/('OB History'!$B:$B=A14), 'OB History'!$AC:$AC)</f>
        <v>0.55843749999999992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9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5</v>
      </c>
      <c r="AI14" s="2">
        <f>COUNTIFS('OB History'!$B:$B,$A$14,'OB History'!Z:Z, 1)</f>
        <v>8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47</v>
      </c>
      <c r="I16" s="4">
        <f>AVERAGEIFS('OB History'!C:C,'OB History'!B:B,A16)</f>
        <v>15.666666666666666</v>
      </c>
      <c r="J16" s="35">
        <f t="array" ref="J16">MAX(IF('OB History'!B:B=A16, 'OB History'!C:C))</f>
        <v>19</v>
      </c>
      <c r="K16" s="34">
        <f>COUNTIFS('OB History'!B:B,A16,'OB History'!D:D, 1)</f>
        <v>0</v>
      </c>
      <c r="L16" s="2">
        <f>COUNTIFS('OB History'!B:B,A16,'OB History'!D:D, 0)</f>
        <v>3</v>
      </c>
      <c r="M16" s="88">
        <f>LOOKUP(2, 1/('OB History'!$B:$B=A16), 'OB History'!$AD:$AD)</f>
        <v>0</v>
      </c>
      <c r="N16" s="34">
        <f>SUMIFS('OB History'!F:F,'OB History'!B:B,A16)</f>
        <v>4</v>
      </c>
      <c r="O16" s="2">
        <f>SUMIFS('OB History'!E:E,'OB History'!B:B,A16)-N16</f>
        <v>9</v>
      </c>
      <c r="P16" s="88">
        <f>LOOKUP(2, 1/('OB History'!$B:$B=A16), 'OB History'!$AB:$AB)</f>
        <v>0.26666666666666666</v>
      </c>
      <c r="Q16" s="34">
        <f>SUMIFS('OB History'!H:H,'OB History'!B:B,'Old Bow v2'!A16)</f>
        <v>22</v>
      </c>
      <c r="R16" s="2">
        <f>SUMIFS('OB History'!G:G,'OB History'!B:B,'Old Bow v2'!A16)-Q16</f>
        <v>33</v>
      </c>
      <c r="S16" s="88">
        <f>LOOKUP(2, 1/('OB History'!$B:$B=A16), 'OB History'!$AC:$AC)</f>
        <v>0.37666666666666665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1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0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167</v>
      </c>
      <c r="I22" s="4">
        <f>AVERAGEIFS('OB History'!C:C,'OB History'!B:B,A22)</f>
        <v>18.555555555555557</v>
      </c>
      <c r="J22" s="35">
        <f t="array" ref="J22">MAX(IF('OB History'!B:B=A22, 'OB History'!C:C))</f>
        <v>26</v>
      </c>
      <c r="K22" s="34">
        <f>COUNTIFS('OB History'!B:B,A22,'OB History'!D:D, 1)</f>
        <v>8</v>
      </c>
      <c r="L22" s="2">
        <f>COUNTIFS('OB History'!B:B,A22,'OB History'!D:D, 0)</f>
        <v>1</v>
      </c>
      <c r="M22" s="88">
        <f>LOOKUP(2, 1/('OB History'!$B:$B=A22), 'OB History'!$AD:$AD)</f>
        <v>0.88888888888888884</v>
      </c>
      <c r="N22" s="34">
        <f>SUMIFS('OB History'!F:F,'OB History'!B:B,A22)</f>
        <v>26</v>
      </c>
      <c r="O22" s="2">
        <f>SUMIFS('OB History'!E:E,'OB History'!B:B,A22)-N22</f>
        <v>11</v>
      </c>
      <c r="P22" s="88">
        <f>LOOKUP(2, 1/('OB History'!$B:$B=A22), 'OB History'!$AB:$AB)</f>
        <v>0.73333333333333328</v>
      </c>
      <c r="Q22" s="34">
        <f>SUMIFS('OB History'!H:H,'OB History'!B:B,'Old Bow v2'!A22)</f>
        <v>96</v>
      </c>
      <c r="R22" s="2">
        <f>SUMIFS('OB History'!G:G,'OB History'!B:B,'Old Bow v2'!A22)-Q22</f>
        <v>53</v>
      </c>
      <c r="S22" s="88">
        <f>LOOKUP(2, 1/('OB History'!$B:$B=A22), 'OB History'!$AC:$AC)</f>
        <v>0.65444444444444427</v>
      </c>
      <c r="T22" s="2">
        <f>COUNTIFS('OB History'!$B:$B,$A$22,'OB History'!K:K, 1)</f>
        <v>0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5</v>
      </c>
      <c r="AI22" s="2">
        <f>COUNTIFS('OB History'!$B:$B,$A$22,'OB History'!Z:Z, 1)</f>
        <v>2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473</v>
      </c>
      <c r="I23" s="4">
        <f>AVERAGEIFS('OB History'!C:C,'OB History'!B:B,A23)</f>
        <v>10.75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25</v>
      </c>
      <c r="M23" s="88">
        <f>LOOKUP(2, 1/('OB History'!$B:$B=A23), 'OB History'!$AD:$AD)</f>
        <v>0.43181818181818182</v>
      </c>
      <c r="N23" s="34">
        <f>SUMIFS('OB History'!F:F,'OB History'!B:B,A23)</f>
        <v>83</v>
      </c>
      <c r="O23" s="2">
        <f>SUMIFS('OB History'!E:E,'OB History'!B:B,A23)-N23</f>
        <v>95</v>
      </c>
      <c r="P23" s="88">
        <f>LOOKUP(2, 1/('OB History'!$B:$B=A23), 'OB History'!$AB:$AB)</f>
        <v>0.45681818181818185</v>
      </c>
      <c r="Q23" s="34">
        <f>SUMIFS('OB History'!H:H,'OB History'!B:B,'Old Bow v2'!A23)</f>
        <v>362</v>
      </c>
      <c r="R23" s="2">
        <f>SUMIFS('OB History'!G:G,'OB History'!B:B,'Old Bow v2'!A23)-Q23</f>
        <v>377</v>
      </c>
      <c r="S23" s="88">
        <f>LOOKUP(2, 1/('OB History'!$B:$B=A23), 'OB History'!$AC:$AC)</f>
        <v>0.49249999999999994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8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181</v>
      </c>
      <c r="I25" s="4">
        <f>AVERAGEIFS('OB History'!C:C,'OB History'!B:B,A25)</f>
        <v>10.647058823529411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6</v>
      </c>
      <c r="M25" s="88">
        <f>LOOKUP(2, 1/('OB History'!$B:$B=A25), 'OB History'!$AD:$AD)</f>
        <v>0.6470588235294118</v>
      </c>
      <c r="N25" s="34">
        <f>SUMIFS('OB History'!F:F,'OB History'!B:B,A25)</f>
        <v>40</v>
      </c>
      <c r="O25" s="2">
        <f>SUMIFS('OB History'!E:E,'OB History'!B:B,A25)-N25</f>
        <v>33</v>
      </c>
      <c r="P25" s="88">
        <f>LOOKUP(2, 1/('OB History'!$B:$B=A25), 'OB History'!$AB:$AB)</f>
        <v>0.54705882352941171</v>
      </c>
      <c r="Q25" s="34">
        <f>SUMIFS('OB History'!H:H,'OB History'!B:B,'Old Bow v2'!A25)</f>
        <v>158</v>
      </c>
      <c r="R25" s="2">
        <f>SUMIFS('OB History'!G:G,'OB History'!B:B,'Old Bow v2'!A25)-Q25</f>
        <v>139</v>
      </c>
      <c r="S25" s="88">
        <f>LOOKUP(2, 1/('OB History'!$B:$B=A25), 'OB History'!$AC:$AC)</f>
        <v>0.53470588235294103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3</v>
      </c>
      <c r="E32" s="3">
        <v>1</v>
      </c>
      <c r="F32" s="3"/>
      <c r="G32" s="3"/>
      <c r="H32" s="34">
        <f>SUMIFS('OB History'!C:C,'OB History'!B:B,A32)</f>
        <v>368</v>
      </c>
      <c r="I32" s="4">
        <f>AVERAGEIFS('OB History'!C:C,'OB History'!B:B,A32)</f>
        <v>13.142857142857142</v>
      </c>
      <c r="J32" s="35">
        <f t="array" ref="J32">MAX(IF('OB History'!B:B=A32, 'OB History'!C:C))</f>
        <v>23</v>
      </c>
      <c r="K32" s="34">
        <f>COUNTIFS('OB History'!B:B,A32,'OB History'!D:D, 1)</f>
        <v>16</v>
      </c>
      <c r="L32" s="2">
        <f>COUNTIFS('OB History'!B:B,A32,'OB History'!D:D, 0)</f>
        <v>12</v>
      </c>
      <c r="M32" s="88">
        <f>LOOKUP(2, 1/('OB History'!$B:$B=A32), 'OB History'!$AD:$AD)</f>
        <v>0.5714285714285714</v>
      </c>
      <c r="N32" s="34">
        <f>SUMIFS('OB History'!F:F,'OB History'!B:B,A32)</f>
        <v>61</v>
      </c>
      <c r="O32" s="2">
        <f>SUMIFS('OB History'!E:E,'OB History'!B:B,A32)-N32</f>
        <v>53</v>
      </c>
      <c r="P32" s="88">
        <f>LOOKUP(2, 1/('OB History'!$B:$B=A32), 'OB History'!$AB:$AB)</f>
        <v>0.54999999999999993</v>
      </c>
      <c r="Q32" s="34">
        <f>SUMIFS('OB History'!H:H,'OB History'!B:B,'Old Bow v2'!A32)</f>
        <v>239</v>
      </c>
      <c r="R32" s="2">
        <f>SUMIFS('OB History'!G:G,'OB History'!B:B,'Old Bow v2'!A32)-Q32</f>
        <v>226</v>
      </c>
      <c r="S32" s="88">
        <f>LOOKUP(2, 1/('OB History'!$B:$B=A32), 'OB History'!$AC:$AC)</f>
        <v>0.52035714285714296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1</v>
      </c>
      <c r="AA32" s="2">
        <f>COUNTIFS('OB History'!$B:$B,$A$32,'OB History'!R:R, 1)</f>
        <v>2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9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1</v>
      </c>
      <c r="E33" s="3"/>
      <c r="F33" s="3"/>
      <c r="G33" s="3"/>
      <c r="H33" s="34">
        <f>SUMIFS('OB History'!C:C,'OB History'!B:B,A33)</f>
        <v>882</v>
      </c>
      <c r="I33" s="4">
        <f>AVERAGEIFS('OB History'!C:C,'OB History'!B:B,A33)</f>
        <v>24.5</v>
      </c>
      <c r="J33" s="35">
        <f t="array" ref="J33">MAX(IF('OB History'!B:B=A33, 'OB History'!C:C))</f>
        <v>55</v>
      </c>
      <c r="K33" s="34">
        <f>COUNTIFS('OB History'!B:B,A33,'OB History'!D:D, 1)</f>
        <v>14</v>
      </c>
      <c r="L33" s="2">
        <f>COUNTIFS('OB History'!B:B,A33,'OB History'!D:D, 0)</f>
        <v>22</v>
      </c>
      <c r="M33" s="88">
        <f>LOOKUP(2, 1/('OB History'!$B:$B=A33), 'OB History'!$AD:$AD)</f>
        <v>0.3888888888888889</v>
      </c>
      <c r="N33" s="34">
        <f>SUMIFS('OB History'!F:F,'OB History'!B:B,A33)</f>
        <v>70</v>
      </c>
      <c r="O33" s="2">
        <f>SUMIFS('OB History'!E:E,'OB History'!B:B,A33)-N33</f>
        <v>80</v>
      </c>
      <c r="P33" s="88">
        <f>LOOKUP(2, 1/('OB History'!$B:$B=A33), 'OB History'!$AB:$AB)</f>
        <v>0.47500000000000003</v>
      </c>
      <c r="Q33" s="34">
        <f>SUMIFS('OB History'!H:H,'OB History'!B:B,'Old Bow v2'!A33)</f>
        <v>307</v>
      </c>
      <c r="R33" s="2">
        <f>SUMIFS('OB History'!G:G,'OB History'!B:B,'Old Bow v2'!A33)-Q33</f>
        <v>319</v>
      </c>
      <c r="S33" s="88">
        <f>LOOKUP(2, 1/('OB History'!$B:$B=A33), 'OB History'!$AC:$AC)</f>
        <v>0.49555555555555553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9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0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9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15</v>
      </c>
      <c r="I34" s="4">
        <f>AVERAGEIFS('OB History'!C:C,'OB History'!B:B,A34)</f>
        <v>15</v>
      </c>
      <c r="J34" s="35">
        <f t="array" ref="J34">MAX(IF('OB History'!B:B=A34, 'OB History'!C:C))</f>
        <v>15</v>
      </c>
      <c r="K34" s="34">
        <f>COUNTIFS('OB History'!B:B,A34,'OB History'!D:D, 1)</f>
        <v>0</v>
      </c>
      <c r="L34" s="2">
        <f>COUNTIFS('OB History'!B:B,A34,'OB History'!D:D, 0)</f>
        <v>1</v>
      </c>
      <c r="M34" s="88">
        <f>LOOKUP(2, 1/('OB History'!$B:$B=A34), 'OB History'!$AD:$AD)</f>
        <v>0</v>
      </c>
      <c r="N34" s="34">
        <f>SUMIFS('OB History'!F:F,'OB History'!B:B,A34)</f>
        <v>1</v>
      </c>
      <c r="O34" s="2">
        <f>SUMIFS('OB History'!E:E,'OB History'!B:B,A34)-N34</f>
        <v>3</v>
      </c>
      <c r="P34" s="88">
        <f>LOOKUP(2, 1/('OB History'!$B:$B=A34), 'OB History'!$AB:$AB)</f>
        <v>0.25</v>
      </c>
      <c r="Q34" s="34">
        <f>SUMIFS('OB History'!H:H,'OB History'!B:B,'Old Bow v2'!A34)</f>
        <v>8</v>
      </c>
      <c r="R34" s="2">
        <f>SUMIFS('OB History'!G:G,'OB History'!B:B,'Old Bow v2'!A34)-Q34</f>
        <v>11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0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5</v>
      </c>
      <c r="E36" s="3">
        <v>1</v>
      </c>
      <c r="F36" s="3">
        <v>1</v>
      </c>
      <c r="G36" s="3"/>
      <c r="H36" s="34">
        <f>SUMIFS('OB History'!C:C,'OB History'!B:B,A36)</f>
        <v>1549</v>
      </c>
      <c r="I36" s="4">
        <f>AVERAGEIFS('OB History'!C:C,'OB History'!B:B,A36)</f>
        <v>26.706896551724139</v>
      </c>
      <c r="J36" s="35">
        <f t="array" ref="J36">MAX(IF('OB History'!B:B=A36, 'OB History'!C:C))</f>
        <v>58</v>
      </c>
      <c r="K36" s="34">
        <f>COUNTIFS('OB History'!B:B,A36,'OB History'!D:D, 1)</f>
        <v>36</v>
      </c>
      <c r="L36" s="2">
        <f>COUNTIFS('OB History'!B:B,A36,'OB History'!D:D, 0)</f>
        <v>22</v>
      </c>
      <c r="M36" s="88">
        <f>LOOKUP(2, 1/('OB History'!$B:$B=A36), 'OB History'!$AD:$AD)</f>
        <v>0.62068965517241381</v>
      </c>
      <c r="N36" s="34">
        <f>SUMIFS('OB History'!F:F,'OB History'!B:B,A36)</f>
        <v>133</v>
      </c>
      <c r="O36" s="2">
        <f>SUMIFS('OB History'!E:E,'OB History'!B:B,A36)-N36</f>
        <v>104</v>
      </c>
      <c r="P36" s="88">
        <f>LOOKUP(2, 1/('OB History'!$B:$B=A36), 'OB History'!$AB:$AB)</f>
        <v>0.56637931034482758</v>
      </c>
      <c r="Q36" s="34">
        <f>SUMIFS('OB History'!H:H,'OB History'!B:B,'Old Bow v2'!A36)</f>
        <v>523</v>
      </c>
      <c r="R36" s="2">
        <f>SUMIFS('OB History'!G:G,'OB History'!B:B,'Old Bow v2'!A36)-Q36</f>
        <v>444</v>
      </c>
      <c r="S36" s="88">
        <f>LOOKUP(2, 1/('OB History'!$B:$B=A36), 'OB History'!$AC:$AC)</f>
        <v>0.54293103448275848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14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3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12</v>
      </c>
      <c r="AI36" s="2">
        <f>COUNTIFS('OB History'!$B:$B,$A$36,'OB History'!Z:Z, 1)</f>
        <v>17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438</v>
      </c>
      <c r="I37" s="4">
        <f>AVERAGEIFS('OB History'!C:C,'OB History'!B:B,A37)</f>
        <v>27.375</v>
      </c>
      <c r="J37" s="35">
        <f t="array" ref="J37">MAX(IF('OB History'!B:B=A37, 'OB History'!C:C))</f>
        <v>52</v>
      </c>
      <c r="K37" s="34">
        <f>COUNTIFS('OB History'!B:B,A37,'OB History'!D:D, 1)</f>
        <v>9</v>
      </c>
      <c r="L37" s="2">
        <f>COUNTIFS('OB History'!B:B,A37,'OB History'!D:D, 0)</f>
        <v>7</v>
      </c>
      <c r="M37" s="88">
        <f>LOOKUP(2, 1/('OB History'!$B:$B=A37), 'OB History'!$AD:$AD)</f>
        <v>0.5625</v>
      </c>
      <c r="N37" s="34">
        <f>SUMIFS('OB History'!F:F,'OB History'!B:B,A37)</f>
        <v>38</v>
      </c>
      <c r="O37" s="2">
        <f>SUMIFS('OB History'!E:E,'OB History'!B:B,A37)-N37</f>
        <v>29</v>
      </c>
      <c r="P37" s="88">
        <f>LOOKUP(2, 1/('OB History'!$B:$B=A37), 'OB History'!$AB:$AB)</f>
        <v>0.59062500000000007</v>
      </c>
      <c r="Q37" s="34">
        <f>SUMIFS('OB History'!H:H,'OB History'!B:B,'Old Bow v2'!A37)</f>
        <v>152</v>
      </c>
      <c r="R37" s="2">
        <f>SUMIFS('OB History'!G:G,'OB History'!B:B,'Old Bow v2'!A37)-Q37</f>
        <v>131</v>
      </c>
      <c r="S37" s="88">
        <f>LOOKUP(2, 1/('OB History'!$B:$B=A37), 'OB History'!$AC:$AC)</f>
        <v>0.54812499999999997</v>
      </c>
      <c r="T37" s="2">
        <f>COUNTIFS('OB History'!$B:$B,$A$37,'OB History'!K:K, 1)</f>
        <v>2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4</v>
      </c>
      <c r="AI37" s="2">
        <f>COUNTIFS('OB History'!$B:$B,$A$37,'OB History'!Z:Z, 1)</f>
        <v>6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428</v>
      </c>
      <c r="I39" s="4">
        <f>AVERAGEIFS('OB History'!C:C,'OB History'!B:B,A39)</f>
        <v>25.176470588235293</v>
      </c>
      <c r="J39" s="35">
        <f t="array" ref="J39">MAX(IF('OB History'!B:B=A39, 'OB History'!C:C))</f>
        <v>51</v>
      </c>
      <c r="K39" s="34">
        <f>COUNTIFS('OB History'!B:B,A39,'OB History'!D:D, 1)</f>
        <v>9</v>
      </c>
      <c r="L39" s="2">
        <f>COUNTIFS('OB History'!B:B,A39,'OB History'!D:D, 0)</f>
        <v>8</v>
      </c>
      <c r="M39" s="88">
        <f>LOOKUP(2, 1/('OB History'!$B:$B=A39), 'OB History'!$AD:$AD)</f>
        <v>0.52941176470588236</v>
      </c>
      <c r="N39" s="34">
        <f>SUMIFS('OB History'!F:F,'OB History'!B:B,A39)</f>
        <v>36</v>
      </c>
      <c r="O39" s="2">
        <f>SUMIFS('OB History'!E:E,'OB History'!B:B,A39)-N39</f>
        <v>37</v>
      </c>
      <c r="P39" s="88">
        <f>LOOKUP(2, 1/('OB History'!$B:$B=A39), 'OB History'!$AB:$AB)</f>
        <v>0.48823529411764699</v>
      </c>
      <c r="Q39" s="34">
        <f>SUMIFS('OB History'!H:H,'OB History'!B:B,'Old Bow v2'!A39)</f>
        <v>152</v>
      </c>
      <c r="R39" s="2">
        <f>SUMIFS('OB History'!G:G,'OB History'!B:B,'Old Bow v2'!A39)-Q39</f>
        <v>152</v>
      </c>
      <c r="S39" s="88">
        <f>LOOKUP(2, 1/('OB History'!$B:$B=A39), 'OB History'!$AC:$AC)</f>
        <v>0.49176470588235288</v>
      </c>
      <c r="T39" s="2">
        <f>COUNTIFS('OB History'!$B:$B,$A$39,'OB History'!K:K, 1)</f>
        <v>2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4</v>
      </c>
      <c r="AI39" s="2">
        <f>COUNTIFS('OB History'!$B:$B,$A$39,'OB History'!Z:Z, 1)</f>
        <v>3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97</v>
      </c>
      <c r="I40" s="4">
        <f>AVERAGEIFS('OB History'!C:C,'OB History'!B:B,A40)</f>
        <v>8.0833333333333339</v>
      </c>
      <c r="J40" s="35">
        <f t="array" ref="J40">MAX(IF('OB History'!B:B=A40, 'OB History'!C:C))</f>
        <v>28</v>
      </c>
      <c r="K40" s="34">
        <f>COUNTIFS('OB History'!B:B,A40,'OB History'!D:D, 1)</f>
        <v>5</v>
      </c>
      <c r="L40" s="2">
        <f>COUNTIFS('OB History'!B:B,A40,'OB History'!D:D, 0)</f>
        <v>7</v>
      </c>
      <c r="M40" s="88">
        <f>LOOKUP(2, 1/('OB History'!$B:$B=A40), 'OB History'!$AD:$AD)</f>
        <v>0.41666666666666669</v>
      </c>
      <c r="N40" s="34">
        <f>SUMIFS('OB History'!F:F,'OB History'!B:B,A40)</f>
        <v>20</v>
      </c>
      <c r="O40" s="2">
        <f>SUMIFS('OB History'!E:E,'OB History'!B:B,A40)-N40</f>
        <v>27</v>
      </c>
      <c r="P40" s="88">
        <f>LOOKUP(2, 1/('OB History'!$B:$B=A40), 'OB History'!$AB:$AB)</f>
        <v>0.40416666666666673</v>
      </c>
      <c r="Q40" s="34">
        <f>SUMIFS('OB History'!H:H,'OB History'!B:B,'Old Bow v2'!A40)</f>
        <v>85</v>
      </c>
      <c r="R40" s="2">
        <f>SUMIFS('OB History'!G:G,'OB History'!B:B,'Old Bow v2'!A40)-Q40</f>
        <v>104</v>
      </c>
      <c r="S40" s="88">
        <f>LOOKUP(2, 1/('OB History'!$B:$B=A40), 'OB History'!$AC:$AC)</f>
        <v>0.44333333333333336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0</v>
      </c>
      <c r="AA40" s="2">
        <f>COUNTIFS('OB History'!$B:$B,$A$40,'OB History'!R:R, 1)</f>
        <v>2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2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75</v>
      </c>
      <c r="I41" s="4">
        <f>AVERAGEIFS('OB History'!C:C,'OB History'!B:B,A41)</f>
        <v>18.75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3</v>
      </c>
      <c r="M41" s="88">
        <f>LOOKUP(2, 1/('OB History'!$B:$B=A41), 'OB History'!$AD:$AD)</f>
        <v>0.25</v>
      </c>
      <c r="N41" s="34">
        <f>SUMIFS('OB History'!F:F,'OB History'!B:B,A41)</f>
        <v>8</v>
      </c>
      <c r="O41" s="2">
        <f>SUMIFS('OB History'!E:E,'OB History'!B:B,A41)-N41</f>
        <v>9</v>
      </c>
      <c r="P41" s="88">
        <f>LOOKUP(2, 1/('OB History'!$B:$B=A41), 'OB History'!$AB:$AB)</f>
        <v>0.51249999999999996</v>
      </c>
      <c r="Q41" s="34">
        <f>SUMIFS('OB History'!H:H,'OB History'!B:B,'Old Bow v2'!A41)</f>
        <v>32</v>
      </c>
      <c r="R41" s="2">
        <f>SUMIFS('OB History'!G:G,'OB History'!B:B,'Old Bow v2'!A41)-Q41</f>
        <v>39</v>
      </c>
      <c r="S41" s="88">
        <f>LOOKUP(2, 1/('OB History'!$B:$B=A41), 'OB History'!$AC:$AC)</f>
        <v>0.46499999999999997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0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10</v>
      </c>
      <c r="E45" s="3">
        <v>3</v>
      </c>
      <c r="F45" s="3"/>
      <c r="G45" s="3"/>
      <c r="H45" s="34">
        <f>SUMIFS('OB History'!C:C,'OB History'!B:B,A45)</f>
        <v>1306</v>
      </c>
      <c r="I45" s="4">
        <f>AVERAGEIFS('OB History'!C:C,'OB History'!B:B,A45)</f>
        <v>25.607843137254903</v>
      </c>
      <c r="J45" s="35">
        <f t="array" ref="J45">MAX(IF('OB History'!B:B=A45, 'OB History'!C:C))</f>
        <v>58</v>
      </c>
      <c r="K45" s="34">
        <f>COUNTIFS('OB History'!B:B,A45,'OB History'!D:D, 1)</f>
        <v>22</v>
      </c>
      <c r="L45" s="2">
        <f>COUNTIFS('OB History'!B:B,A45,'OB History'!D:D, 0)</f>
        <v>29</v>
      </c>
      <c r="M45" s="88">
        <f>LOOKUP(2, 1/('OB History'!$B:$B=A45), 'OB History'!$AD:$AD)</f>
        <v>0.43137254901960786</v>
      </c>
      <c r="N45" s="34">
        <f>SUMIFS('OB History'!F:F,'OB History'!B:B,A45)</f>
        <v>102</v>
      </c>
      <c r="O45" s="2">
        <f>SUMIFS('OB History'!E:E,'OB History'!B:B,A45)-N45</f>
        <v>108</v>
      </c>
      <c r="P45" s="88">
        <f>LOOKUP(2, 1/('OB History'!$B:$B=A45), 'OB History'!$AB:$AB)</f>
        <v>0.4950980392156864</v>
      </c>
      <c r="Q45" s="34">
        <f>SUMIFS('OB History'!H:H,'OB History'!B:B,'Old Bow v2'!A45)</f>
        <v>433</v>
      </c>
      <c r="R45" s="2">
        <f>SUMIFS('OB History'!G:G,'OB History'!B:B,'Old Bow v2'!A45)-Q45</f>
        <v>432</v>
      </c>
      <c r="S45" s="88">
        <f>LOOKUP(2, 1/('OB History'!$B:$B=A45), 'OB History'!$AC:$AC)</f>
        <v>0.50882352941176456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4</v>
      </c>
      <c r="AA45" s="2">
        <f>COUNTIFS('OB History'!$B:$B,$A$45,'OB History'!R:R, 1)</f>
        <v>3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16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6</v>
      </c>
      <c r="E47" s="3">
        <v>1</v>
      </c>
      <c r="F47" s="3"/>
      <c r="G47" s="3"/>
      <c r="H47" s="34">
        <f>SUMIFS('OB History'!C:C,'OB History'!B:B,A47)</f>
        <v>358</v>
      </c>
      <c r="I47" s="4">
        <f>AVERAGEIFS('OB History'!C:C,'OB History'!B:B,A47)</f>
        <v>17.047619047619047</v>
      </c>
      <c r="J47" s="35">
        <f t="array" ref="J47">MAX(IF('OB History'!B:B=A47, 'OB History'!C:C))</f>
        <v>43</v>
      </c>
      <c r="K47" s="34">
        <f>COUNTIFS('OB History'!B:B,A47,'OB History'!D:D, 1)</f>
        <v>6</v>
      </c>
      <c r="L47" s="2">
        <f>COUNTIFS('OB History'!B:B,A47,'OB History'!D:D, 0)</f>
        <v>15</v>
      </c>
      <c r="M47" s="88">
        <f>LOOKUP(2, 1/('OB History'!$B:$B=A47), 'OB History'!$AD:$AD)</f>
        <v>0.2857142857142857</v>
      </c>
      <c r="N47" s="34">
        <f>SUMIFS('OB History'!F:F,'OB History'!B:B,A47)</f>
        <v>35</v>
      </c>
      <c r="O47" s="2">
        <f>SUMIFS('OB History'!E:E,'OB History'!B:B,A47)-N47</f>
        <v>56</v>
      </c>
      <c r="P47" s="88">
        <f>LOOKUP(2, 1/('OB History'!$B:$B=A47), 'OB History'!$AB:$AB)</f>
        <v>0.3571428571428571</v>
      </c>
      <c r="Q47" s="34">
        <f>SUMIFS('OB History'!H:H,'OB History'!B:B,'Old Bow v2'!A47)</f>
        <v>170</v>
      </c>
      <c r="R47" s="2">
        <f>SUMIFS('OB History'!G:G,'OB History'!B:B,'Old Bow v2'!A47)-Q47</f>
        <v>197</v>
      </c>
      <c r="S47" s="88">
        <f>LOOKUP(2, 1/('OB History'!$B:$B=A47), 'OB History'!$AC:$AC)</f>
        <v>0.44523809523809521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5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3</v>
      </c>
      <c r="AI47" s="2">
        <f>COUNTIFS('OB History'!$B:$B,$A$47,'OB History'!Z:Z, 1)</f>
        <v>2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633</v>
      </c>
      <c r="I48" s="4">
        <f>AVERAGEIFS('OB History'!C:C,'OB History'!B:B,A48)</f>
        <v>23.444444444444443</v>
      </c>
      <c r="J48" s="35">
        <f t="array" ref="J48">MAX(IF('OB History'!B:B=A48, 'OB History'!C:C))</f>
        <v>51</v>
      </c>
      <c r="K48" s="34">
        <f>COUNTIFS('OB History'!B:B,A48,'OB History'!D:D, 1)</f>
        <v>19</v>
      </c>
      <c r="L48" s="2">
        <f>COUNTIFS('OB History'!B:B,A48,'OB History'!D:D, 0)</f>
        <v>8</v>
      </c>
      <c r="M48" s="88">
        <f>LOOKUP(2, 1/('OB History'!$B:$B=A48), 'OB History'!$AD:$AD)</f>
        <v>0.70370370370370372</v>
      </c>
      <c r="N48" s="34">
        <f>SUMIFS('OB History'!F:F,'OB History'!B:B,A48)</f>
        <v>67</v>
      </c>
      <c r="O48" s="2">
        <f>SUMIFS('OB History'!E:E,'OB History'!B:B,A48)-N48</f>
        <v>42</v>
      </c>
      <c r="P48" s="88">
        <f>LOOKUP(2, 1/('OB History'!$B:$B=A48), 'OB History'!$AB:$AB)</f>
        <v>0.63703703703703696</v>
      </c>
      <c r="Q48" s="34">
        <f>SUMIFS('OB History'!H:H,'OB History'!B:B,'Old Bow v2'!A48)</f>
        <v>255</v>
      </c>
      <c r="R48" s="2">
        <f>SUMIFS('OB History'!G:G,'OB History'!B:B,'Old Bow v2'!A48)-Q48</f>
        <v>206</v>
      </c>
      <c r="S48" s="88">
        <f>LOOKUP(2, 1/('OB History'!$B:$B=A48), 'OB History'!$AC:$AC)</f>
        <v>0.56370370370370371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3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2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9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2</v>
      </c>
      <c r="E49" s="3">
        <v>3</v>
      </c>
      <c r="F49" s="3"/>
      <c r="G49" s="3">
        <v>1</v>
      </c>
      <c r="H49" s="34">
        <f>SUMIFS('OB History'!C:C,'OB History'!B:B,A49)</f>
        <v>745</v>
      </c>
      <c r="I49" s="4">
        <f>AVERAGEIFS('OB History'!C:C,'OB History'!B:B,A49)</f>
        <v>26.607142857142858</v>
      </c>
      <c r="J49" s="35">
        <f t="array" ref="J49">MAX(IF('OB History'!B:B=A49, 'OB History'!C:C))</f>
        <v>55</v>
      </c>
      <c r="K49" s="34">
        <f>COUNTIFS('OB History'!B:B,A49,'OB History'!D:D, 1)</f>
        <v>13</v>
      </c>
      <c r="L49" s="2">
        <f>COUNTIFS('OB History'!B:B,A49,'OB History'!D:D, 0)</f>
        <v>15</v>
      </c>
      <c r="M49" s="88">
        <f>LOOKUP(2, 1/('OB History'!$B:$B=A49), 'OB History'!$AD:$AD)</f>
        <v>0.4642857142857143</v>
      </c>
      <c r="N49" s="34">
        <f>SUMIFS('OB History'!F:F,'OB History'!B:B,A49)</f>
        <v>56</v>
      </c>
      <c r="O49" s="2">
        <f>SUMIFS('OB History'!E:E,'OB History'!B:B,A49)-N49</f>
        <v>61</v>
      </c>
      <c r="P49" s="88">
        <f>LOOKUP(2, 1/('OB History'!$B:$B=A49), 'OB History'!$AB:$AB)</f>
        <v>0.46964285714285714</v>
      </c>
      <c r="Q49" s="34">
        <f>SUMIFS('OB History'!H:H,'OB History'!B:B,'Old Bow v2'!A49)</f>
        <v>235</v>
      </c>
      <c r="R49" s="2">
        <f>SUMIFS('OB History'!G:G,'OB History'!B:B,'Old Bow v2'!A49)-Q49</f>
        <v>248</v>
      </c>
      <c r="S49" s="88">
        <f>LOOKUP(2, 1/('OB History'!$B:$B=A49), 'OB History'!$AC:$AC)</f>
        <v>0.48392857142857154</v>
      </c>
      <c r="T49" s="2">
        <f>COUNTIFS('OB History'!$B:$B,$A$49,'OB History'!K:K, 1)</f>
        <v>3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3</v>
      </c>
      <c r="AA49" s="2">
        <f>COUNTIFS('OB History'!$B:$B,$A$49,'OB History'!R:R, 1)</f>
        <v>2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3</v>
      </c>
      <c r="AI49" s="2">
        <f>COUNTIFS('OB History'!$B:$B,$A$49,'OB History'!Z:Z, 1)</f>
        <v>6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221</v>
      </c>
      <c r="I50" s="4">
        <f>AVERAGEIFS('OB History'!C:C,'OB History'!B:B,A50)</f>
        <v>18.416666666666668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3</v>
      </c>
      <c r="M50" s="88">
        <f>LOOKUP(2, 1/('OB History'!$B:$B=A50), 'OB History'!$AD:$AD)</f>
        <v>0.75</v>
      </c>
      <c r="N50" s="34">
        <f>SUMIFS('OB History'!F:F,'OB History'!B:B,A50)</f>
        <v>29</v>
      </c>
      <c r="O50" s="2">
        <f>SUMIFS('OB History'!E:E,'OB History'!B:B,A50)-N50</f>
        <v>16</v>
      </c>
      <c r="P50" s="88">
        <f>LOOKUP(2, 1/('OB History'!$B:$B=A50), 'OB History'!$AB:$AB)</f>
        <v>0.65416666666666667</v>
      </c>
      <c r="Q50" s="34">
        <f>SUMIFS('OB History'!H:H,'OB History'!B:B,'Old Bow v2'!A50)</f>
        <v>105</v>
      </c>
      <c r="R50" s="2">
        <f>SUMIFS('OB History'!G:G,'OB History'!B:B,'Old Bow v2'!A50)-Q50</f>
        <v>83</v>
      </c>
      <c r="S50" s="88">
        <f>LOOKUP(2, 1/('OB History'!$B:$B=A50), 'OB History'!$AC:$AC)</f>
        <v>0.55499999999999983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24.727272727272727</v>
      </c>
      <c r="J52" s="35">
        <f t="array" ref="J52">MAX(IF('OB History'!B:B=A52, 'OB History'!C:C))</f>
        <v>56</v>
      </c>
      <c r="K52" s="34">
        <f>COUNTIFS('OB History'!B:B,A52,'OB History'!D:D, 1)</f>
        <v>20</v>
      </c>
      <c r="L52" s="2">
        <f>COUNTIFS('OB History'!B:B,A52,'OB History'!D:D, 0)</f>
        <v>24</v>
      </c>
      <c r="M52" s="88">
        <f>LOOKUP(2, 1/('OB History'!$B:$B=A52), 'OB History'!$AD:$AD)</f>
        <v>0.45454545454545453</v>
      </c>
      <c r="N52" s="34">
        <f>SUMIFS('OB History'!F:F,'OB History'!B:B,A52)</f>
        <v>84</v>
      </c>
      <c r="O52" s="2">
        <f>SUMIFS('OB History'!E:E,'OB History'!B:B,A52)-N52</f>
        <v>96</v>
      </c>
      <c r="P52" s="88">
        <f>LOOKUP(2, 1/('OB History'!$B:$B=A52), 'OB History'!$AB:$AB)</f>
        <v>0.46363636363636362</v>
      </c>
      <c r="Q52" s="34">
        <f>SUMIFS('OB History'!H:H,'OB History'!B:B,'Old Bow v2'!A52)</f>
        <v>357</v>
      </c>
      <c r="R52" s="2">
        <f>SUMIFS('OB History'!G:G,'OB History'!B:B,'Old Bow v2'!A52)-Q52</f>
        <v>391</v>
      </c>
      <c r="S52" s="88">
        <f>LOOKUP(2, 1/('OB History'!$B:$B=A52), 'OB History'!$AC:$AC)</f>
        <v>0.48227272727272735</v>
      </c>
      <c r="T52" s="2">
        <f>COUNTIFS('OB History'!$B:$B,$A$52,'OB History'!K:K, 1)</f>
        <v>4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4</v>
      </c>
      <c r="AI52" s="2">
        <f>COUNTIFS('OB History'!$B:$B,$A$52,'OB History'!Z:Z, 1)</f>
        <v>10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139</v>
      </c>
      <c r="I55" s="4">
        <f>AVERAGEIFS('OB History'!C:C,'OB History'!B:B,A55)</f>
        <v>9.9285714285714288</v>
      </c>
      <c r="J55" s="35">
        <f t="array" ref="J55">MAX(IF('OB History'!B:B=A55, 'OB History'!C:C))</f>
        <v>20</v>
      </c>
      <c r="K55" s="34">
        <f>COUNTIFS('OB History'!B:B,A55,'OB History'!D:D, 1)</f>
        <v>8</v>
      </c>
      <c r="L55" s="2">
        <f>COUNTIFS('OB History'!B:B,A55,'OB History'!D:D, 0)</f>
        <v>6</v>
      </c>
      <c r="M55" s="88">
        <f>LOOKUP(2, 1/('OB History'!$B:$B=A55), 'OB History'!$AD:$AD)</f>
        <v>0.5714285714285714</v>
      </c>
      <c r="N55" s="34">
        <f>SUMIFS('OB History'!F:F,'OB History'!B:B,A55)</f>
        <v>32</v>
      </c>
      <c r="O55" s="2">
        <f>SUMIFS('OB History'!E:E,'OB History'!B:B,A55)-N55</f>
        <v>26</v>
      </c>
      <c r="P55" s="88">
        <f>LOOKUP(2, 1/('OB History'!$B:$B=A55), 'OB History'!$AB:$AB)</f>
        <v>0.5714285714285714</v>
      </c>
      <c r="Q55" s="34">
        <f>SUMIFS('OB History'!H:H,'OB History'!B:B,'Old Bow v2'!A55)</f>
        <v>126</v>
      </c>
      <c r="R55" s="2">
        <f>SUMIFS('OB History'!G:G,'OB History'!B:B,'Old Bow v2'!A55)-Q55</f>
        <v>108</v>
      </c>
      <c r="S55" s="88">
        <f>LOOKUP(2, 1/('OB History'!$B:$B=A55), 'OB History'!$AC:$AC)</f>
        <v>0.54357142857142871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3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58"/>
  <sheetViews>
    <sheetView tabSelected="1" workbookViewId="0">
      <pane ySplit="1" topLeftCell="A822" activePane="bottomLeft" state="frozen"/>
      <selection pane="bottomLeft" activeCell="AG852" sqref="AG85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53</v>
      </c>
      <c r="I4" s="4">
        <f>AVERAGEIFS('OB History S2'!C:C,'OB History S2'!B:B,A4)</f>
        <v>6.625</v>
      </c>
      <c r="J4" s="35">
        <f t="array" ref="J4">MAX(IF('OB History S2'!B:B=A4, 'OB History S2'!C:C))</f>
        <v>14</v>
      </c>
      <c r="K4" s="34">
        <f>COUNTIFS('OB History S2'!B:B,A4,'OB History S2'!D:D, 1)</f>
        <v>4</v>
      </c>
      <c r="L4" s="2">
        <f>COUNTIFS('OB History S2'!B:B,A4,'OB History S2'!D:D, 0)</f>
        <v>4</v>
      </c>
      <c r="M4" s="88">
        <f>LOOKUP(2, 1/('OB History S2'!$B:$B=A4), 'OB History S2'!$AD:$AD)</f>
        <v>0.5</v>
      </c>
      <c r="N4" s="34">
        <f>SUMIFS('OB History S2'!F:F,'OB History S2'!B:B,A4)</f>
        <v>14</v>
      </c>
      <c r="O4" s="2">
        <f>SUMIFS('OB History S2'!E:E,'OB History S2'!B:B,A4)-N4</f>
        <v>15</v>
      </c>
      <c r="P4" s="88">
        <f>LOOKUP(2, 1/('OB History S2'!$B:$B=A4), 'OB History S2'!$AB:$AB)</f>
        <v>0.46875</v>
      </c>
      <c r="Q4" s="34">
        <f>SUMIFS('OB History S2'!H:H,'OB History S2'!B:B,A4)</f>
        <v>61</v>
      </c>
      <c r="R4" s="2">
        <f>SUMIFS('OB History S2'!G:G,'OB History S2'!B:B,A4)-Q4</f>
        <v>60</v>
      </c>
      <c r="S4" s="88">
        <f>LOOKUP(2, 1/('OB History S2'!$B:$B=A4), 'OB History S2'!$AC:$AC)</f>
        <v>0.49874999999999997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2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217</v>
      </c>
      <c r="I5" s="4">
        <f>AVERAGEIFS('OB History S2'!C:C,'OB History S2'!B:B,A5)</f>
        <v>19.727272727272727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5</v>
      </c>
      <c r="M5" s="88">
        <f>LOOKUP(2, 1/('OB History S2'!$B:$B=A5), 'OB History S2'!$AD:$AD)</f>
        <v>0.54545454545454541</v>
      </c>
      <c r="N5" s="34">
        <f>SUMIFS('OB History S2'!F:F,'OB History S2'!B:B,A5)</f>
        <v>21</v>
      </c>
      <c r="O5" s="2">
        <f>SUMIFS('OB History S2'!E:E,'OB History S2'!B:B,A5)-N5</f>
        <v>24</v>
      </c>
      <c r="P5" s="88">
        <f>LOOKUP(2, 1/('OB History S2'!$B:$B=A5), 'OB History S2'!$AB:$AB)</f>
        <v>0.43636363636363634</v>
      </c>
      <c r="Q5" s="34">
        <f>SUMIFS('OB History S2'!H:H,'OB History S2'!B:B,A5)</f>
        <v>86</v>
      </c>
      <c r="R5" s="2">
        <f>SUMIFS('OB History S2'!G:G,'OB History S2'!B:B,A5)-Q5</f>
        <v>100</v>
      </c>
      <c r="S5" s="88">
        <f>LOOKUP(2, 1/('OB History S2'!$B:$B=A5), 'OB History S2'!$AC:$AC)</f>
        <v>0.45363636363636356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219</v>
      </c>
      <c r="I7" s="4">
        <f>AVERAGEIFS('OB History S2'!C:C,'OB History S2'!B:B,A7)</f>
        <v>13.6875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9</v>
      </c>
      <c r="M7" s="88">
        <f>LOOKUP(2, 1/('OB History S2'!$B:$B=A7), 'OB History S2'!$AD:$AD)</f>
        <v>0.4375</v>
      </c>
      <c r="N7" s="34">
        <f>SUMIFS('OB History S2'!F:F,'OB History S2'!B:B,A7)</f>
        <v>27</v>
      </c>
      <c r="O7" s="2">
        <f>SUMIFS('OB History S2'!E:E,'OB History S2'!B:B,A7)-N7</f>
        <v>37</v>
      </c>
      <c r="P7" s="88">
        <f>LOOKUP(2, 1/('OB History S2'!$B:$B=A7), 'OB History S2'!$AB:$AB)</f>
        <v>0.39374999999999993</v>
      </c>
      <c r="Q7" s="34">
        <f>SUMIFS('OB History S2'!H:H,'OB History S2'!B:B,A7)</f>
        <v>115</v>
      </c>
      <c r="R7" s="2">
        <f>SUMIFS('OB History S2'!G:G,'OB History S2'!B:B,A7)-Q7</f>
        <v>146</v>
      </c>
      <c r="S7" s="88">
        <f>LOOKUP(2, 1/('OB History S2'!$B:$B=A7), 'OB History S2'!$AC:$AC)</f>
        <v>0.42124999999999996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27</v>
      </c>
      <c r="I10" s="4">
        <f>AVERAGEIFS('OB History S2'!C:C,'OB History S2'!B:B,A10)</f>
        <v>13.5</v>
      </c>
      <c r="J10" s="35">
        <f t="array" ref="J10">MAX(IF('OB History S2'!B:B=A10, 'OB History S2'!C:C))</f>
        <v>19</v>
      </c>
      <c r="K10" s="34">
        <f>COUNTIFS('OB History S2'!B:B,A10,'OB History S2'!D:D, 1)</f>
        <v>1</v>
      </c>
      <c r="L10" s="2">
        <f>COUNTIFS('OB History S2'!B:B,A10,'OB History S2'!D:D, 0)</f>
        <v>1</v>
      </c>
      <c r="M10" s="88">
        <f>LOOKUP(2, 1/('OB History S2'!$B:$B=A10), 'OB History S2'!$AD:$AD)</f>
        <v>0.5</v>
      </c>
      <c r="N10" s="34">
        <f>SUMIFS('OB History S2'!F:F,'OB History S2'!B:B,A10)</f>
        <v>4</v>
      </c>
      <c r="O10" s="2">
        <f>SUMIFS('OB History S2'!E:E,'OB History S2'!B:B,A10)-N10</f>
        <v>3</v>
      </c>
      <c r="P10" s="88">
        <f>LOOKUP(2, 1/('OB History S2'!$B:$B=A10), 'OB History S2'!$AB:$AB)</f>
        <v>0.625</v>
      </c>
      <c r="Q10" s="34">
        <f>SUMIFS('OB History S2'!H:H,'OB History S2'!B:B,A10)</f>
        <v>14</v>
      </c>
      <c r="R10" s="2">
        <f>SUMIFS('OB History S2'!G:G,'OB History S2'!B:B,A10)-Q10</f>
        <v>16</v>
      </c>
      <c r="S10" s="88">
        <f>LOOKUP(2, 1/('OB History S2'!$B:$B=A10), 'OB History S2'!$AC:$AC)</f>
        <v>0.47499999999999998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1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25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248</v>
      </c>
      <c r="I11" s="4">
        <f>AVERAGEIFS('OB History S2'!C:C,'OB History S2'!B:B,A11)</f>
        <v>19.076923076923077</v>
      </c>
      <c r="J11" s="35">
        <f t="array" ref="J11">MAX(IF('OB History S2'!B:B=A11, 'OB History S2'!C:C))</f>
        <v>35</v>
      </c>
      <c r="K11" s="34">
        <f>COUNTIFS('OB History S2'!B:B,A11,'OB History S2'!D:D, 1)</f>
        <v>8</v>
      </c>
      <c r="L11" s="2">
        <f>COUNTIFS('OB History S2'!B:B,A11,'OB History S2'!D:D, 0)</f>
        <v>5</v>
      </c>
      <c r="M11" s="88">
        <f>LOOKUP(2, 1/('OB History S2'!$B:$B=A11), 'OB History S2'!$AD:$AD)</f>
        <v>0.61538461538461542</v>
      </c>
      <c r="N11" s="34">
        <f>SUMIFS('OB History S2'!F:F,'OB History S2'!B:B,A11)</f>
        <v>30</v>
      </c>
      <c r="O11" s="2">
        <f>SUMIFS('OB History S2'!E:E,'OB History S2'!B:B,A11)-N11</f>
        <v>26</v>
      </c>
      <c r="P11" s="88">
        <f>LOOKUP(2, 1/('OB History S2'!$B:$B=A11), 'OB History S2'!$AB:$AB)</f>
        <v>0.5346153846153846</v>
      </c>
      <c r="Q11" s="34">
        <f>SUMIFS('OB History S2'!H:H,'OB History S2'!B:B,A11)</f>
        <v>113</v>
      </c>
      <c r="R11" s="2">
        <f>SUMIFS('OB History S2'!G:G,'OB History S2'!B:B,A11)-Q11</f>
        <v>116</v>
      </c>
      <c r="S11" s="88">
        <f>LOOKUP(2, 1/('OB History S2'!$B:$B=A11), 'OB History S2'!$AC:$AC)</f>
        <v>0.5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2</v>
      </c>
      <c r="AA11" s="2">
        <f>COUNTIFS('OB History S2'!$B:$B,$A$11,'OB History S2'!R:R, 1)</f>
        <v>1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5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80</v>
      </c>
      <c r="I12" s="4">
        <f>AVERAGEIFS('OB History S2'!C:C,'OB History S2'!B:B,A12)</f>
        <v>13.333333333333334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5</v>
      </c>
      <c r="M12" s="88">
        <f>LOOKUP(2, 1/('OB History S2'!$B:$B=A12), 'OB History S2'!$AD:$AD)</f>
        <v>0.16666666666666666</v>
      </c>
      <c r="N12" s="34">
        <f>SUMIFS('OB History S2'!F:F,'OB History S2'!B:B,A12)</f>
        <v>8</v>
      </c>
      <c r="O12" s="2">
        <f>SUMIFS('OB History S2'!E:E,'OB History S2'!B:B,A12)-N12</f>
        <v>15</v>
      </c>
      <c r="P12" s="88">
        <f>LOOKUP(2, 1/('OB History S2'!$B:$B=A12), 'OB History S2'!$AB:$AB)</f>
        <v>0.34166666666666662</v>
      </c>
      <c r="Q12" s="34">
        <f>SUMIFS('OB History S2'!H:H,'OB History S2'!B:B,A12)</f>
        <v>45</v>
      </c>
      <c r="R12" s="2">
        <f>SUMIFS('OB History S2'!G:G,'OB History S2'!B:B,A12)-Q12</f>
        <v>57</v>
      </c>
      <c r="S12" s="88">
        <f>LOOKUP(2, 1/('OB History S2'!$B:$B=A12), 'OB History S2'!$AC:$AC)</f>
        <v>0.44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127</v>
      </c>
      <c r="I13" s="4">
        <f>AVERAGEIFS('OB History S2'!C:C,'OB History S2'!B:B,A13)</f>
        <v>18.142857142857142</v>
      </c>
      <c r="J13" s="35">
        <f t="array" ref="J13">MAX(IF('OB History S2'!B:B=A13, 'OB History S2'!C:C))</f>
        <v>44</v>
      </c>
      <c r="K13" s="34">
        <f>COUNTIFS('OB History S2'!B:B,A13,'OB History S2'!D:D, 1)</f>
        <v>5</v>
      </c>
      <c r="L13" s="2">
        <f>COUNTIFS('OB History S2'!B:B,A13,'OB History S2'!D:D, 0)</f>
        <v>2</v>
      </c>
      <c r="M13" s="88">
        <f>LOOKUP(2, 1/('OB History S2'!$B:$B=A13), 'OB History S2'!$AD:$AD)</f>
        <v>0.7142857142857143</v>
      </c>
      <c r="N13" s="34">
        <f>SUMIFS('OB History S2'!F:F,'OB History S2'!B:B,A13)</f>
        <v>18</v>
      </c>
      <c r="O13" s="2">
        <f>SUMIFS('OB History S2'!E:E,'OB History S2'!B:B,A13)-N13</f>
        <v>12</v>
      </c>
      <c r="P13" s="88">
        <f>LOOKUP(2, 1/('OB History S2'!$B:$B=A13), 'OB History S2'!$AB:$AB)</f>
        <v>0.6071428571428571</v>
      </c>
      <c r="Q13" s="34">
        <f>SUMIFS('OB History S2'!H:H,'OB History S2'!B:B,A13)</f>
        <v>65</v>
      </c>
      <c r="R13" s="2">
        <f>SUMIFS('OB History S2'!G:G,'OB History S2'!B:B,A13)-Q13</f>
        <v>48</v>
      </c>
      <c r="S13" s="88">
        <f>LOOKUP(2, 1/('OB History S2'!$B:$B=A13), 'OB History S2'!$AC:$AC)</f>
        <v>0.58571428571428574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1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2</v>
      </c>
      <c r="AA13" s="2">
        <f>COUNTIFS('OB History S2'!$B:$B,$A$13,'OB History S2'!R:R, 1)</f>
        <v>2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0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149</v>
      </c>
      <c r="I14" s="4">
        <f>AVERAGEIFS('OB History S2'!C:C,'OB History S2'!B:B,A14)</f>
        <v>16.555555555555557</v>
      </c>
      <c r="J14" s="35">
        <f t="array" ref="J14">MAX(IF('OB History S2'!B:B=A14, 'OB History S2'!C:C))</f>
        <v>41</v>
      </c>
      <c r="K14" s="34">
        <f>COUNTIFS('OB History S2'!B:B,A14,'OB History S2'!D:D, 1)</f>
        <v>4</v>
      </c>
      <c r="L14" s="2">
        <f>COUNTIFS('OB History S2'!B:B,A14,'OB History S2'!D:D, 0)</f>
        <v>5</v>
      </c>
      <c r="M14" s="88">
        <f>LOOKUP(2, 1/('OB History S2'!$B:$B=A14), 'OB History S2'!$AD:$AD)</f>
        <v>0.44444444444444442</v>
      </c>
      <c r="N14" s="34">
        <f>SUMIFS('OB History S2'!F:F,'OB History S2'!B:B,A14)</f>
        <v>18</v>
      </c>
      <c r="O14" s="2">
        <f>SUMIFS('OB History S2'!E:E,'OB History S2'!B:B,A14)-N14</f>
        <v>19</v>
      </c>
      <c r="P14" s="88">
        <f>LOOKUP(2, 1/('OB History S2'!$B:$B=A14), 'OB History S2'!$AB:$AB)</f>
        <v>0.48888888888888893</v>
      </c>
      <c r="Q14" s="34">
        <f>SUMIFS('OB History S2'!H:H,'OB History S2'!B:B,A14)</f>
        <v>73</v>
      </c>
      <c r="R14" s="2">
        <f>SUMIFS('OB History S2'!G:G,'OB History S2'!B:B,A14)-Q14</f>
        <v>80</v>
      </c>
      <c r="S14" s="88">
        <f>LOOKUP(2, 1/('OB History S2'!$B:$B=A14), 'OB History S2'!$AC:$AC)</f>
        <v>0.46555555555555561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47</v>
      </c>
      <c r="I16" s="4">
        <f>AVERAGEIFS('OB History S2'!C:C,'OB History S2'!B:B,A16)</f>
        <v>15.666666666666666</v>
      </c>
      <c r="J16" s="35">
        <f t="array" ref="J16">MAX(IF('OB History S2'!B:B=A16, 'OB History S2'!C:C))</f>
        <v>19</v>
      </c>
      <c r="K16" s="34">
        <f>COUNTIFS('OB History S2'!B:B,A16,'OB History S2'!D:D, 1)</f>
        <v>0</v>
      </c>
      <c r="L16" s="2">
        <f>COUNTIFS('OB History S2'!B:B,A16,'OB History S2'!D:D, 0)</f>
        <v>3</v>
      </c>
      <c r="M16" s="88">
        <f>LOOKUP(2, 1/('OB History S2'!$B:$B=A16), 'OB History S2'!$AD:$AD)</f>
        <v>0</v>
      </c>
      <c r="N16" s="34">
        <f>SUMIFS('OB History S2'!F:F,'OB History S2'!B:B,A16)</f>
        <v>4</v>
      </c>
      <c r="O16" s="2">
        <f>SUMIFS('OB History S2'!E:E,'OB History S2'!B:B,A16)-N16</f>
        <v>9</v>
      </c>
      <c r="P16" s="88">
        <f>LOOKUP(2, 1/('OB History S2'!$B:$B=A16), 'OB History S2'!$AB:$AB)</f>
        <v>0.26666666666666666</v>
      </c>
      <c r="Q16" s="34">
        <f>SUMIFS('OB History S2'!H:H,'OB History S2'!B:B,A16)</f>
        <v>22</v>
      </c>
      <c r="R16" s="2">
        <f>SUMIFS('OB History S2'!G:G,'OB History S2'!B:B,A16)-Q16</f>
        <v>33</v>
      </c>
      <c r="S16" s="88">
        <f>LOOKUP(2, 1/('OB History S2'!$B:$B=A16), 'OB History S2'!$AC:$AC)</f>
        <v>0.37666666666666665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1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0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167</v>
      </c>
      <c r="I21" s="4">
        <f>AVERAGEIFS('OB History S2'!C:C,'OB History S2'!B:B,A21)</f>
        <v>18.555555555555557</v>
      </c>
      <c r="J21" s="35">
        <f t="array" ref="J21">MAX(IF('OB History S2'!B:B=A21, 'OB History S2'!C:C))</f>
        <v>26</v>
      </c>
      <c r="K21" s="34">
        <f>COUNTIFS('OB History S2'!B:B,A21,'OB History S2'!D:D, 1)</f>
        <v>8</v>
      </c>
      <c r="L21" s="2">
        <f>COUNTIFS('OB History S2'!B:B,A21,'OB History S2'!D:D, 0)</f>
        <v>1</v>
      </c>
      <c r="M21" s="88">
        <f>LOOKUP(2, 1/('OB History S2'!$B:$B=A21), 'OB History S2'!$AD:$AD)</f>
        <v>0.88888888888888884</v>
      </c>
      <c r="N21" s="34">
        <f>SUMIFS('OB History S2'!F:F,'OB History S2'!B:B,A21)</f>
        <v>26</v>
      </c>
      <c r="O21" s="2">
        <f>SUMIFS('OB History S2'!E:E,'OB History S2'!B:B,A21)-N21</f>
        <v>11</v>
      </c>
      <c r="P21" s="88">
        <f>LOOKUP(2, 1/('OB History S2'!$B:$B=A21), 'OB History S2'!$AB:$AB)</f>
        <v>0.73333333333333328</v>
      </c>
      <c r="Q21" s="34">
        <f>SUMIFS('OB History S2'!H:H,'OB History S2'!B:B,A21)</f>
        <v>96</v>
      </c>
      <c r="R21" s="2">
        <f>SUMIFS('OB History S2'!G:G,'OB History S2'!B:B,A21)-Q21</f>
        <v>53</v>
      </c>
      <c r="S21" s="88">
        <f>LOOKUP(2, 1/('OB History S2'!$B:$B=A21), 'OB History S2'!$AC:$AC)</f>
        <v>0.65444444444444427</v>
      </c>
      <c r="T21" s="2">
        <f>COUNTIFS('OB History S2'!$B:$B,$A$21,'OB History S2'!K:K, 1)</f>
        <v>0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5</v>
      </c>
      <c r="AI21" s="2">
        <f>COUNTIFS('OB History S2'!$B:$B,$A$21,'OB History S2'!Z:Z, 1)</f>
        <v>2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229</v>
      </c>
      <c r="I22" s="4">
        <f>AVERAGEIFS('OB History S2'!C:C,'OB History S2'!B:B,A22)</f>
        <v>12.052631578947368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13</v>
      </c>
      <c r="M22" s="88">
        <f>LOOKUP(2, 1/('OB History S2'!$B:$B=A22), 'OB History S2'!$AD:$AD)</f>
        <v>0.31578947368421051</v>
      </c>
      <c r="N22" s="34">
        <f>SUMIFS('OB History S2'!F:F,'OB History S2'!B:B,A22)</f>
        <v>30</v>
      </c>
      <c r="O22" s="2">
        <f>SUMIFS('OB History S2'!E:E,'OB History S2'!B:B,A22)-N22</f>
        <v>45</v>
      </c>
      <c r="P22" s="88">
        <f>LOOKUP(2, 1/('OB History S2'!$B:$B=A22), 'OB History S2'!$AB:$AB)</f>
        <v>0.38421052631578939</v>
      </c>
      <c r="Q22" s="34">
        <f>SUMIFS('OB History S2'!H:H,'OB History S2'!B:B,A22)</f>
        <v>141</v>
      </c>
      <c r="R22" s="2">
        <f>SUMIFS('OB History S2'!G:G,'OB History S2'!B:B,A22)-Q22</f>
        <v>166</v>
      </c>
      <c r="S22" s="88">
        <f>LOOKUP(2, 1/('OB History S2'!$B:$B=A22), 'OB History S2'!$AC:$AC)</f>
        <v>0.46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5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127</v>
      </c>
      <c r="I24" s="4">
        <f>AVERAGEIFS('OB History S2'!C:C,'OB History S2'!B:B,A24)</f>
        <v>10.583333333333334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4</v>
      </c>
      <c r="M24" s="88">
        <f>LOOKUP(2, 1/('OB History S2'!$B:$B=A24), 'OB History S2'!$AD:$AD)</f>
        <v>0.66666666666666663</v>
      </c>
      <c r="N24" s="34">
        <f>SUMIFS('OB History S2'!F:F,'OB History S2'!B:B,A24)</f>
        <v>27</v>
      </c>
      <c r="O24" s="2">
        <f>SUMIFS('OB History S2'!E:E,'OB History S2'!B:B,A24)-N24</f>
        <v>23</v>
      </c>
      <c r="P24" s="88">
        <f>LOOKUP(2, 1/('OB History S2'!$B:$B=A24), 'OB History S2'!$AB:$AB)</f>
        <v>0.52500000000000002</v>
      </c>
      <c r="Q24" s="34">
        <f>SUMIFS('OB History S2'!H:H,'OB History S2'!B:B,A24)</f>
        <v>106</v>
      </c>
      <c r="R24" s="2">
        <f>SUMIFS('OB History S2'!G:G,'OB History S2'!B:B,A24)-Q24</f>
        <v>94</v>
      </c>
      <c r="S24" s="88">
        <f>LOOKUP(2, 1/('OB History S2'!$B:$B=A24), 'OB History S2'!$AC:$AC)</f>
        <v>0.52749999999999997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3</v>
      </c>
      <c r="E27" s="6">
        <v>1</v>
      </c>
      <c r="F27" s="6"/>
      <c r="G27" s="6"/>
      <c r="H27" s="34">
        <f>SUMIFS('OB History S2'!C:C,'OB History S2'!B:B,A27)</f>
        <v>318</v>
      </c>
      <c r="I27" s="4">
        <f>AVERAGEIFS('OB History S2'!C:C,'OB History S2'!B:B,A27)</f>
        <v>13.25</v>
      </c>
      <c r="J27" s="35">
        <f t="array" ref="J27">MAX(IF('OB History S2'!B:B=A27, 'OB History S2'!C:C))</f>
        <v>23</v>
      </c>
      <c r="K27" s="34">
        <f>COUNTIFS('OB History S2'!B:B,A27,'OB History S2'!D:D, 1)</f>
        <v>15</v>
      </c>
      <c r="L27" s="2">
        <f>COUNTIFS('OB History S2'!B:B,A27,'OB History S2'!D:D, 0)</f>
        <v>9</v>
      </c>
      <c r="M27" s="88">
        <f>LOOKUP(2, 1/('OB History S2'!$B:$B=A27), 'OB History S2'!$AD:$AD)</f>
        <v>0.625</v>
      </c>
      <c r="N27" s="34">
        <f>SUMIFS('OB History S2'!F:F,'OB History S2'!B:B,A27)</f>
        <v>53</v>
      </c>
      <c r="O27" s="2">
        <f>SUMIFS('OB History S2'!E:E,'OB History S2'!B:B,A27)-N27</f>
        <v>42</v>
      </c>
      <c r="P27" s="88">
        <f>LOOKUP(2, 1/('OB History S2'!$B:$B=A27), 'OB History S2'!$AB:$AB)</f>
        <v>0.57291666666666663</v>
      </c>
      <c r="Q27" s="34">
        <f>SUMIFS('OB History S2'!H:H,'OB History S2'!B:B,A27)</f>
        <v>203</v>
      </c>
      <c r="R27" s="2">
        <f>SUMIFS('OB History S2'!G:G,'OB History S2'!B:B,A27)-Q27</f>
        <v>182</v>
      </c>
      <c r="S27" s="88">
        <f>LOOKUP(2, 1/('OB History S2'!$B:$B=A27), 'OB History S2'!$AC:$AC)</f>
        <v>0.53333333333333333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1</v>
      </c>
      <c r="AA27" s="2">
        <f>COUNTIFS('OB History S2'!$B:$B,$A$27,'OB History S2'!R:R, 1)</f>
        <v>2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9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1</v>
      </c>
      <c r="E28" s="2"/>
      <c r="F28" s="2"/>
      <c r="G28" s="2"/>
      <c r="H28" s="34">
        <f>SUMIFS('OB History S2'!C:C,'OB History S2'!B:B,A28)</f>
        <v>301</v>
      </c>
      <c r="I28" s="4">
        <f>AVERAGEIFS('OB History S2'!C:C,'OB History S2'!B:B,A28)</f>
        <v>23.153846153846153</v>
      </c>
      <c r="J28" s="35">
        <f t="array" ref="J28">MAX(IF('OB History S2'!B:B=A28, 'OB History S2'!C:C))</f>
        <v>39</v>
      </c>
      <c r="K28" s="34">
        <f>COUNTIFS('OB History S2'!B:B,A28,'OB History S2'!D:D, 1)</f>
        <v>7</v>
      </c>
      <c r="L28" s="2">
        <f>COUNTIFS('OB History S2'!B:B,A28,'OB History S2'!D:D, 0)</f>
        <v>6</v>
      </c>
      <c r="M28" s="88">
        <f>LOOKUP(2, 1/('OB History S2'!$B:$B=A28), 'OB History S2'!$AD:$AD)</f>
        <v>0.53846153846153844</v>
      </c>
      <c r="N28" s="34">
        <f>SUMIFS('OB History S2'!F:F,'OB History S2'!B:B,A28)</f>
        <v>29</v>
      </c>
      <c r="O28" s="2">
        <f>SUMIFS('OB History S2'!E:E,'OB History S2'!B:B,A28)-N28</f>
        <v>25</v>
      </c>
      <c r="P28" s="88">
        <f>LOOKUP(2, 1/('OB History S2'!$B:$B=A28), 'OB History S2'!$AB:$AB)</f>
        <v>0.54999999999999993</v>
      </c>
      <c r="Q28" s="34">
        <f>SUMIFS('OB History S2'!H:H,'OB History S2'!B:B,A28)</f>
        <v>119</v>
      </c>
      <c r="R28" s="2">
        <f>SUMIFS('OB History S2'!G:G,'OB History S2'!B:B,A28)-Q28</f>
        <v>105</v>
      </c>
      <c r="S28" s="88">
        <f>LOOKUP(2, 1/('OB History S2'!$B:$B=A28), 'OB History S2'!$AC:$AC)</f>
        <v>0.53846153846153844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0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2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15</v>
      </c>
      <c r="I29" s="4">
        <f>AVERAGEIFS('OB History S2'!C:C,'OB History S2'!B:B,A29)</f>
        <v>15</v>
      </c>
      <c r="J29" s="35">
        <f t="array" ref="J29">MAX(IF('OB History S2'!B:B=A29, 'OB History S2'!C:C))</f>
        <v>15</v>
      </c>
      <c r="K29" s="34">
        <f>COUNTIFS('OB History S2'!B:B,A29,'OB History S2'!D:D, 1)</f>
        <v>0</v>
      </c>
      <c r="L29" s="2">
        <f>COUNTIFS('OB History S2'!B:B,A29,'OB History S2'!D:D, 0)</f>
        <v>1</v>
      </c>
      <c r="M29" s="88">
        <f>LOOKUP(2, 1/('OB History S2'!$B:$B=A29), 'OB History S2'!$AD:$AD)</f>
        <v>0</v>
      </c>
      <c r="N29" s="34">
        <f>SUMIFS('OB History S2'!F:F,'OB History S2'!B:B,A29)</f>
        <v>1</v>
      </c>
      <c r="O29" s="2">
        <f>SUMIFS('OB History S2'!E:E,'OB History S2'!B:B,A29)-N29</f>
        <v>3</v>
      </c>
      <c r="P29" s="88">
        <f>LOOKUP(2, 1/('OB History S2'!$B:$B=A29), 'OB History S2'!$AB:$AB)</f>
        <v>0.25</v>
      </c>
      <c r="Q29" s="34">
        <f>SUMIFS('OB History S2'!H:H,'OB History S2'!B:B,A29)</f>
        <v>8</v>
      </c>
      <c r="R29" s="2">
        <f>SUMIFS('OB History S2'!G:G,'OB History S2'!B:B,A29)-Q29</f>
        <v>11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5</v>
      </c>
      <c r="E30" s="6">
        <v>1</v>
      </c>
      <c r="F30" s="6">
        <v>1</v>
      </c>
      <c r="G30" s="6"/>
      <c r="H30" s="34">
        <f>SUMIFS('OB History S2'!C:C,'OB History S2'!B:B,A30)</f>
        <v>631</v>
      </c>
      <c r="I30" s="4">
        <f>AVERAGEIFS('OB History S2'!C:C,'OB History S2'!B:B,A30)</f>
        <v>25.24</v>
      </c>
      <c r="J30" s="35">
        <f t="array" ref="J30">MAX(IF('OB History S2'!B:B=A30, 'OB History S2'!C:C))</f>
        <v>58</v>
      </c>
      <c r="K30" s="34">
        <f>COUNTIFS('OB History S2'!B:B,A30,'OB History S2'!D:D, 1)</f>
        <v>16</v>
      </c>
      <c r="L30" s="2">
        <f>COUNTIFS('OB History S2'!B:B,A30,'OB History S2'!D:D, 0)</f>
        <v>9</v>
      </c>
      <c r="M30" s="88">
        <f>LOOKUP(2, 1/('OB History S2'!$B:$B=A30), 'OB History S2'!$AD:$AD)</f>
        <v>0.64</v>
      </c>
      <c r="N30" s="34">
        <f>SUMIFS('OB History S2'!F:F,'OB History S2'!B:B,A30)</f>
        <v>59</v>
      </c>
      <c r="O30" s="2">
        <f>SUMIFS('OB History S2'!E:E,'OB History S2'!B:B,A30)-N30</f>
        <v>41</v>
      </c>
      <c r="P30" s="88">
        <f>LOOKUP(2, 1/('OB History S2'!$B:$B=A30), 'OB History S2'!$AB:$AB)</f>
        <v>0.61</v>
      </c>
      <c r="Q30" s="34">
        <f>SUMIFS('OB History S2'!H:H,'OB History S2'!B:B,A30)</f>
        <v>227</v>
      </c>
      <c r="R30" s="2">
        <f>SUMIFS('OB History S2'!G:G,'OB History S2'!B:B,A30)-Q30</f>
        <v>177</v>
      </c>
      <c r="S30" s="88">
        <f>LOOKUP(2, 1/('OB History S2'!$B:$B=A30), 'OB History S2'!$AC:$AC)</f>
        <v>0.56840000000000002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5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2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10</v>
      </c>
      <c r="AI30" s="2">
        <f>COUNTIFS('OB History S2'!$B:$B,$A$30,'OB History S2'!Z:Z, 1)</f>
        <v>8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84</v>
      </c>
      <c r="I31" s="4">
        <f>AVERAGEIFS('OB History S2'!C:C,'OB History S2'!B:B,A31)</f>
        <v>28</v>
      </c>
      <c r="J31" s="35">
        <f t="array" ref="J31">MAX(IF('OB History S2'!B:B=A31, 'OB History S2'!C:C))</f>
        <v>52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8</v>
      </c>
      <c r="O31" s="2">
        <f>SUMIFS('OB History S2'!E:E,'OB History S2'!B:B,A31)-N31</f>
        <v>3</v>
      </c>
      <c r="P31" s="88">
        <f>LOOKUP(2, 1/('OB History S2'!$B:$B=A31), 'OB History S2'!$AB:$AB)</f>
        <v>0.79999999999999993</v>
      </c>
      <c r="Q31" s="34">
        <f>SUMIFS('OB History S2'!H:H,'OB History S2'!B:B,A31)</f>
        <v>28</v>
      </c>
      <c r="R31" s="2">
        <f>SUMIFS('OB History S2'!G:G,'OB History S2'!B:B,A31)-Q31</f>
        <v>22</v>
      </c>
      <c r="S31" s="88">
        <f>LOOKUP(2, 1/('OB History S2'!$B:$B=A31), 'OB History S2'!$AC:$AC)</f>
        <v>0.58666666666666656</v>
      </c>
      <c r="T31" s="2">
        <f>COUNTIFS('OB History S2'!$B:$B,$A$31,'OB History S2'!K:K, 1)</f>
        <v>0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192</v>
      </c>
      <c r="I32" s="4">
        <f>AVERAGEIFS('OB History S2'!C:C,'OB History S2'!B:B,A32)</f>
        <v>27.428571428571427</v>
      </c>
      <c r="J32" s="35">
        <f t="array" ref="J32">MAX(IF('OB History S2'!B:B=A32, 'OB History S2'!C:C))</f>
        <v>51</v>
      </c>
      <c r="K32" s="34">
        <f>COUNTIFS('OB History S2'!B:B,A32,'OB History S2'!D:D, 1)</f>
        <v>4</v>
      </c>
      <c r="L32" s="2">
        <f>COUNTIFS('OB History S2'!B:B,A32,'OB History S2'!D:D, 0)</f>
        <v>3</v>
      </c>
      <c r="M32" s="88">
        <f>LOOKUP(2, 1/('OB History S2'!$B:$B=A32), 'OB History S2'!$AD:$AD)</f>
        <v>0.5714285714285714</v>
      </c>
      <c r="N32" s="34">
        <f>SUMIFS('OB History S2'!F:F,'OB History S2'!B:B,A32)</f>
        <v>15</v>
      </c>
      <c r="O32" s="2">
        <f>SUMIFS('OB History S2'!E:E,'OB History S2'!B:B,A32)-N32</f>
        <v>14</v>
      </c>
      <c r="P32" s="88">
        <f>LOOKUP(2, 1/('OB History S2'!$B:$B=A32), 'OB History S2'!$AB:$AB)</f>
        <v>0.51428571428571435</v>
      </c>
      <c r="Q32" s="34">
        <f>SUMIFS('OB History S2'!H:H,'OB History S2'!B:B,A32)</f>
        <v>61</v>
      </c>
      <c r="R32" s="2">
        <f>SUMIFS('OB History S2'!G:G,'OB History S2'!B:B,A32)-Q32</f>
        <v>57</v>
      </c>
      <c r="S32" s="88">
        <f>LOOKUP(2, 1/('OB History S2'!$B:$B=A32), 'OB History S2'!$AC:$AC)</f>
        <v>0.50857142857142856</v>
      </c>
      <c r="T32" s="2">
        <f>COUNTIFS('OB History S2'!$B:$B,$A$32,'OB History S2'!K:K, 1)</f>
        <v>1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73</v>
      </c>
      <c r="I33" s="4">
        <f>AVERAGEIFS('OB History S2'!C:C,'OB History S2'!B:B,A33)</f>
        <v>12.166666666666666</v>
      </c>
      <c r="J33" s="35">
        <f t="array" ref="J33">MAX(IF('OB History S2'!B:B=A33, 'OB History S2'!C:C))</f>
        <v>28</v>
      </c>
      <c r="K33" s="34">
        <f>COUNTIFS('OB History S2'!B:B,A33,'OB History S2'!D:D, 1)</f>
        <v>3</v>
      </c>
      <c r="L33" s="2">
        <f>COUNTIFS('OB History S2'!B:B,A33,'OB History S2'!D:D, 0)</f>
        <v>3</v>
      </c>
      <c r="M33" s="88">
        <f>LOOKUP(2, 1/('OB History S2'!$B:$B=A33), 'OB History S2'!$AD:$AD)</f>
        <v>0.5</v>
      </c>
      <c r="N33" s="34">
        <f>SUMIFS('OB History S2'!F:F,'OB History S2'!B:B,A33)</f>
        <v>12</v>
      </c>
      <c r="O33" s="2">
        <f>SUMIFS('OB History S2'!E:E,'OB History S2'!B:B,A33)-N33</f>
        <v>14</v>
      </c>
      <c r="P33" s="88">
        <f>LOOKUP(2, 1/('OB History S2'!$B:$B=A33), 'OB History S2'!$AB:$AB)</f>
        <v>0.43333333333333335</v>
      </c>
      <c r="Q33" s="34">
        <f>SUMIFS('OB History S2'!H:H,'OB History S2'!B:B,A33)</f>
        <v>50</v>
      </c>
      <c r="R33" s="2">
        <f>SUMIFS('OB History S2'!G:G,'OB History S2'!B:B,A33)-Q33</f>
        <v>54</v>
      </c>
      <c r="S33" s="88">
        <f>LOOKUP(2, 1/('OB History S2'!$B:$B=A33), 'OB History S2'!$AC:$AC)</f>
        <v>0.47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0</v>
      </c>
      <c r="AA33" s="2">
        <f>COUNTIFS('OB History S2'!$B:$B,$A$33,'OB History S2'!R:R, 1)</f>
        <v>1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2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75</v>
      </c>
      <c r="I34" s="4">
        <f>AVERAGEIFS('OB History S2'!C:C,'OB History S2'!B:B,A34)</f>
        <v>18.75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3</v>
      </c>
      <c r="M34" s="88">
        <f>LOOKUP(2, 1/('OB History S2'!$B:$B=A34), 'OB History S2'!$AD:$AD)</f>
        <v>0.25</v>
      </c>
      <c r="N34" s="34">
        <f>SUMIFS('OB History S2'!F:F,'OB History S2'!B:B,A34)</f>
        <v>8</v>
      </c>
      <c r="O34" s="2">
        <f>SUMIFS('OB History S2'!E:E,'OB History S2'!B:B,A34)-N34</f>
        <v>9</v>
      </c>
      <c r="P34" s="88">
        <f>LOOKUP(2, 1/('OB History S2'!$B:$B=A34), 'OB History S2'!$AB:$AB)</f>
        <v>0.51249999999999996</v>
      </c>
      <c r="Q34" s="34">
        <f>SUMIFS('OB History S2'!H:H,'OB History S2'!B:B,A34)</f>
        <v>32</v>
      </c>
      <c r="R34" s="2">
        <f>SUMIFS('OB History S2'!G:G,'OB History S2'!B:B,A34)-Q34</f>
        <v>39</v>
      </c>
      <c r="S34" s="88">
        <f>LOOKUP(2, 1/('OB History S2'!$B:$B=A34), 'OB History S2'!$AC:$AC)</f>
        <v>0.46499999999999997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0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8</v>
      </c>
      <c r="E37" s="2">
        <v>3</v>
      </c>
      <c r="F37" s="2"/>
      <c r="G37" s="2"/>
      <c r="H37" s="34">
        <f>SUMIFS('OB History S2'!C:C,'OB History S2'!B:B,A37)</f>
        <v>474</v>
      </c>
      <c r="I37" s="4">
        <f>AVERAGEIFS('OB History S2'!C:C,'OB History S2'!B:B,A37)</f>
        <v>23.7</v>
      </c>
      <c r="J37" s="35">
        <f t="array" ref="J37">MAX(IF('OB History S2'!B:B=A37, 'OB History S2'!C:C))</f>
        <v>58</v>
      </c>
      <c r="K37" s="34">
        <f>COUNTIFS('OB History S2'!B:B,A37,'OB History S2'!D:D, 1)</f>
        <v>10</v>
      </c>
      <c r="L37" s="2">
        <f>COUNTIFS('OB History S2'!B:B,A37,'OB History S2'!D:D, 0)</f>
        <v>10</v>
      </c>
      <c r="M37" s="88">
        <f>LOOKUP(2, 1/('OB History S2'!$B:$B=A37), 'OB History S2'!$AD:$AD)</f>
        <v>0.5</v>
      </c>
      <c r="N37" s="34">
        <f>SUMIFS('OB History S2'!F:F,'OB History S2'!B:B,A37)</f>
        <v>38</v>
      </c>
      <c r="O37" s="2">
        <f>SUMIFS('OB History S2'!E:E,'OB History S2'!B:B,A37)-N37</f>
        <v>42</v>
      </c>
      <c r="P37" s="88">
        <f>LOOKUP(2, 1/('OB History S2'!$B:$B=A37), 'OB History S2'!$AB:$AB)</f>
        <v>0.47000000000000003</v>
      </c>
      <c r="Q37" s="34">
        <f>SUMIFS('OB History S2'!H:H,'OB History S2'!B:B,A37)</f>
        <v>161</v>
      </c>
      <c r="R37" s="2">
        <f>SUMIFS('OB History S2'!G:G,'OB History S2'!B:B,A37)-Q37</f>
        <v>164</v>
      </c>
      <c r="S37" s="88">
        <f>LOOKUP(2, 1/('OB History S2'!$B:$B=A37), 'OB History S2'!$AC:$AC)</f>
        <v>0.49599999999999983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2</v>
      </c>
      <c r="AA37" s="2">
        <f>COUNTIFS('OB History S2'!$B:$B,$A$37,'OB History S2'!R:R, 1)</f>
        <v>3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6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5</v>
      </c>
      <c r="E39" s="3">
        <v>1</v>
      </c>
      <c r="F39" s="3"/>
      <c r="G39" s="3"/>
      <c r="H39" s="34">
        <f>SUMIFS('OB History S2'!C:C,'OB History S2'!B:B,A39)</f>
        <v>343</v>
      </c>
      <c r="I39" s="4">
        <f>AVERAGEIFS('OB History S2'!C:C,'OB History S2'!B:B,A39)</f>
        <v>18.05263157894737</v>
      </c>
      <c r="J39" s="35">
        <f t="array" ref="J39">MAX(IF('OB History S2'!B:B=A39, 'OB History S2'!C:C))</f>
        <v>43</v>
      </c>
      <c r="K39" s="34">
        <f>COUNTIFS('OB History S2'!B:B,A39,'OB History S2'!D:D, 1)</f>
        <v>5</v>
      </c>
      <c r="L39" s="2">
        <f>COUNTIFS('OB History S2'!B:B,A39,'OB History S2'!D:D, 0)</f>
        <v>14</v>
      </c>
      <c r="M39" s="88">
        <f>LOOKUP(2, 1/('OB History S2'!$B:$B=A39), 'OB History S2'!$AD:$AD)</f>
        <v>0.26315789473684209</v>
      </c>
      <c r="N39" s="34">
        <f>SUMIFS('OB History S2'!F:F,'OB History S2'!B:B,A39)</f>
        <v>30</v>
      </c>
      <c r="O39" s="2">
        <f>SUMIFS('OB History S2'!E:E,'OB History S2'!B:B,A39)-N39</f>
        <v>52</v>
      </c>
      <c r="P39" s="88">
        <f>LOOKUP(2, 1/('OB History S2'!$B:$B=A39), 'OB History S2'!$AB:$AB)</f>
        <v>0.33421052631578946</v>
      </c>
      <c r="Q39" s="34">
        <f>SUMIFS('OB History S2'!H:H,'OB History S2'!B:B,A39)</f>
        <v>148</v>
      </c>
      <c r="R39" s="2">
        <f>SUMIFS('OB History S2'!G:G,'OB History S2'!B:B,A39)-Q39</f>
        <v>181</v>
      </c>
      <c r="S39" s="88">
        <f>LOOKUP(2, 1/('OB History S2'!$B:$B=A39), 'OB History S2'!$AC:$AC)</f>
        <v>0.43052631578947376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4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2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221</v>
      </c>
      <c r="I40" s="4">
        <f>AVERAGEIFS('OB History S2'!C:C,'OB History S2'!B:B,A40)</f>
        <v>24.555555555555557</v>
      </c>
      <c r="J40" s="35">
        <f t="array" ref="J40">MAX(IF('OB History S2'!B:B=A40, 'OB History S2'!C:C))</f>
        <v>51</v>
      </c>
      <c r="K40" s="34">
        <f>COUNTIFS('OB History S2'!B:B,A40,'OB History S2'!D:D, 1)</f>
        <v>5</v>
      </c>
      <c r="L40" s="2">
        <f>COUNTIFS('OB History S2'!B:B,A40,'OB History S2'!D:D, 0)</f>
        <v>4</v>
      </c>
      <c r="M40" s="88">
        <f>LOOKUP(2, 1/('OB History S2'!$B:$B=A40), 'OB History S2'!$AD:$AD)</f>
        <v>0.55555555555555558</v>
      </c>
      <c r="N40" s="34">
        <f>SUMIFS('OB History S2'!F:F,'OB History S2'!B:B,A40)</f>
        <v>21</v>
      </c>
      <c r="O40" s="2">
        <f>SUMIFS('OB History S2'!E:E,'OB History S2'!B:B,A40)-N40</f>
        <v>15</v>
      </c>
      <c r="P40" s="88">
        <f>LOOKUP(2, 1/('OB History S2'!$B:$B=A40), 'OB History S2'!$AB:$AB)</f>
        <v>0.6166666666666667</v>
      </c>
      <c r="Q40" s="34">
        <f>SUMIFS('OB History S2'!H:H,'OB History S2'!B:B,A40)</f>
        <v>85</v>
      </c>
      <c r="R40" s="2">
        <f>SUMIFS('OB History S2'!G:G,'OB History S2'!B:B,A40)-Q40</f>
        <v>67</v>
      </c>
      <c r="S40" s="88">
        <f>LOOKUP(2, 1/('OB History S2'!$B:$B=A40), 'OB History S2'!$AC:$AC)</f>
        <v>0.57333333333333336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1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2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2</v>
      </c>
      <c r="E41" s="2">
        <v>4</v>
      </c>
      <c r="F41" s="2"/>
      <c r="G41" s="2">
        <v>1</v>
      </c>
      <c r="H41" s="34">
        <f>SUMIFS('OB History S2'!C:C,'OB History S2'!B:B,A41)</f>
        <v>331</v>
      </c>
      <c r="I41" s="4">
        <f>AVERAGEIFS('OB History S2'!C:C,'OB History S2'!B:B,A41)</f>
        <v>27.583333333333332</v>
      </c>
      <c r="J41" s="35">
        <f t="array" ref="J41">MAX(IF('OB History S2'!B:B=A41, 'OB History S2'!C:C))</f>
        <v>55</v>
      </c>
      <c r="K41" s="34">
        <f>COUNTIFS('OB History S2'!B:B,A41,'OB History S2'!D:D, 1)</f>
        <v>7</v>
      </c>
      <c r="L41" s="2">
        <f>COUNTIFS('OB History S2'!B:B,A41,'OB History S2'!D:D, 0)</f>
        <v>5</v>
      </c>
      <c r="M41" s="88">
        <f>LOOKUP(2, 1/('OB History S2'!$B:$B=A41), 'OB History S2'!$AD:$AD)</f>
        <v>0.58333333333333337</v>
      </c>
      <c r="N41" s="34">
        <f>SUMIFS('OB History S2'!F:F,'OB History S2'!B:B,A41)</f>
        <v>26</v>
      </c>
      <c r="O41" s="2">
        <f>SUMIFS('OB History S2'!E:E,'OB History S2'!B:B,A41)-N41</f>
        <v>23</v>
      </c>
      <c r="P41" s="88">
        <f>LOOKUP(2, 1/('OB History S2'!$B:$B=A41), 'OB History S2'!$AB:$AB)</f>
        <v>0.52916666666666667</v>
      </c>
      <c r="Q41" s="34">
        <f>SUMIFS('OB History S2'!H:H,'OB History S2'!B:B,A41)</f>
        <v>102</v>
      </c>
      <c r="R41" s="2">
        <f>SUMIFS('OB History S2'!G:G,'OB History S2'!B:B,A41)-Q41</f>
        <v>97</v>
      </c>
      <c r="S41" s="88">
        <f>LOOKUP(2, 1/('OB History S2'!$B:$B=A41), 'OB History S2'!$AC:$AC)</f>
        <v>0.52083333333333337</v>
      </c>
      <c r="T41" s="2">
        <f>COUNTIFS('OB History S2'!$B:$B,$A$41,'OB History S2'!K:K, 1)</f>
        <v>1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1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2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213</v>
      </c>
      <c r="I42" s="4">
        <f>AVERAGEIFS('OB History S2'!C:C,'OB History S2'!B:B,A42)</f>
        <v>19.363636363636363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3</v>
      </c>
      <c r="M42" s="88">
        <f>LOOKUP(2, 1/('OB History S2'!$B:$B=A42), 'OB History S2'!$AD:$AD)</f>
        <v>0.72727272727272729</v>
      </c>
      <c r="N42" s="34">
        <f>SUMIFS('OB History S2'!F:F,'OB History S2'!B:B,A42)</f>
        <v>26</v>
      </c>
      <c r="O42" s="2">
        <f>SUMIFS('OB History S2'!E:E,'OB History S2'!B:B,A42)-N42</f>
        <v>14</v>
      </c>
      <c r="P42" s="88">
        <f>LOOKUP(2, 1/('OB History S2'!$B:$B=A42), 'OB History S2'!$AB:$AB)</f>
        <v>0.65909090909090906</v>
      </c>
      <c r="Q42" s="34">
        <f>SUMIFS('OB History S2'!H:H,'OB History S2'!B:B,A42)</f>
        <v>93</v>
      </c>
      <c r="R42" s="2">
        <f>SUMIFS('OB History S2'!G:G,'OB History S2'!B:B,A42)-Q42</f>
        <v>74</v>
      </c>
      <c r="S42" s="88">
        <f>LOOKUP(2, 1/('OB History S2'!$B:$B=A42), 'OB History S2'!$AC:$AC)</f>
        <v>0.55363636363636359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391</v>
      </c>
      <c r="I44" s="4">
        <f>AVERAGEIFS('OB History S2'!C:C,'OB History S2'!B:B,A44)</f>
        <v>23</v>
      </c>
      <c r="J44" s="35">
        <f t="array" ref="J44">MAX(IF('OB History S2'!B:B=A44, 'OB History S2'!C:C))</f>
        <v>51</v>
      </c>
      <c r="K44" s="34">
        <f>COUNTIFS('OB History S2'!B:B,A44,'OB History S2'!D:D, 1)</f>
        <v>4</v>
      </c>
      <c r="L44" s="2">
        <f>COUNTIFS('OB History S2'!B:B,A44,'OB History S2'!D:D, 0)</f>
        <v>13</v>
      </c>
      <c r="M44" s="88">
        <f>LOOKUP(2, 1/('OB History S2'!$B:$B=A44), 'OB History S2'!$AD:$AD)</f>
        <v>0.23529411764705882</v>
      </c>
      <c r="N44" s="34">
        <f>SUMIFS('OB History S2'!F:F,'OB History S2'!B:B,A44)</f>
        <v>24</v>
      </c>
      <c r="O44" s="2">
        <f>SUMIFS('OB History S2'!E:E,'OB History S2'!B:B,A44)-N44</f>
        <v>44</v>
      </c>
      <c r="P44" s="88">
        <f>LOOKUP(2, 1/('OB History S2'!$B:$B=A44), 'OB History S2'!$AB:$AB)</f>
        <v>0.32647058823529412</v>
      </c>
      <c r="Q44" s="34">
        <f>SUMIFS('OB History S2'!H:H,'OB History S2'!B:B,A44)</f>
        <v>117</v>
      </c>
      <c r="R44" s="2">
        <f>SUMIFS('OB History S2'!G:G,'OB History S2'!B:B,A44)-Q44</f>
        <v>162</v>
      </c>
      <c r="S44" s="88">
        <f>LOOKUP(2, 1/('OB History S2'!$B:$B=A44), 'OB History S2'!$AC:$AC)</f>
        <v>0.42117647058823526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2</v>
      </c>
      <c r="AI44" s="2">
        <f>COUNTIFS('OB History S2'!$B:$B,$A$44,'OB History S2'!Z:Z, 1)</f>
        <v>2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48</v>
      </c>
      <c r="I47" s="4">
        <f>AVERAGEIFS('OB History S2'!C:C,'OB History S2'!B:B,A47)</f>
        <v>9.6</v>
      </c>
      <c r="J47" s="35">
        <f t="array" ref="J47">MAX(IF('OB History S2'!B:B=A47, 'OB History S2'!C:C))</f>
        <v>20</v>
      </c>
      <c r="K47" s="34">
        <f>COUNTIFS('OB History S2'!B:B,A47,'OB History S2'!D:D, 1)</f>
        <v>3</v>
      </c>
      <c r="L47" s="2">
        <f>COUNTIFS('OB History S2'!B:B,A47,'OB History S2'!D:D, 0)</f>
        <v>2</v>
      </c>
      <c r="M47" s="88">
        <f>LOOKUP(2, 1/('OB History S2'!$B:$B=A47), 'OB History S2'!$AD:$AD)</f>
        <v>0.6</v>
      </c>
      <c r="N47" s="34">
        <f>SUMIFS('OB History S2'!F:F,'OB History S2'!B:B,A47)</f>
        <v>12</v>
      </c>
      <c r="O47" s="2">
        <f>SUMIFS('OB History S2'!E:E,'OB History S2'!B:B,A47)-N47</f>
        <v>7</v>
      </c>
      <c r="P47" s="88">
        <f>LOOKUP(2, 1/('OB History S2'!$B:$B=A47), 'OB History S2'!$AB:$AB)</f>
        <v>0.67999999999999994</v>
      </c>
      <c r="Q47" s="34">
        <f>SUMIFS('OB History S2'!H:H,'OB History S2'!B:B,A47)</f>
        <v>46</v>
      </c>
      <c r="R47" s="2">
        <f>SUMIFS('OB History S2'!G:G,'OB History S2'!B:B,A47)-Q47</f>
        <v>30</v>
      </c>
      <c r="S47" s="88">
        <f>LOOKUP(2, 1/('OB History S2'!$B:$B=A47), 'OB History S2'!$AC:$AC)</f>
        <v>0.62399999999999989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0</v>
      </c>
      <c r="AA47" s="2">
        <f>COUNTIFS('OB History S2'!$B:$B,$A$47,'OB History S2'!R:R, 1)</f>
        <v>0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1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workbookViewId="0">
      <pane ySplit="1" topLeftCell="A335" activePane="bottomLeft" state="frozen"/>
      <selection pane="bottomLeft" activeCell="A358" sqref="A358:Z37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834</v>
      </c>
      <c r="G9" s="66">
        <f>AVERAGEIFS('BA History'!C:C,'BA History'!B:B,A9)</f>
        <v>18.533333333333335</v>
      </c>
      <c r="H9" s="35">
        <f t="array" ref="H9">MAX(IF('BA History'!B:B=A9, 'BA History'!C:C))</f>
        <v>40</v>
      </c>
      <c r="I9" s="34">
        <f>COUNTIFS('BA History'!B:B,A9,'BA History'!D:D, 1)</f>
        <v>21</v>
      </c>
      <c r="J9" s="2">
        <f>COUNTIFS('BA History'!B:B,A9,'BA History'!D:D, 0)</f>
        <v>24</v>
      </c>
      <c r="K9" s="75">
        <f>LOOKUP(2, 1/('BA History'!$B:$B=A9), 'BA History'!$AJ:$AJ)</f>
        <v>0.46666666666666667</v>
      </c>
      <c r="L9" s="34">
        <f>SUMIFS('BA History'!F:F,'BA History'!B:B,A9)</f>
        <v>84</v>
      </c>
      <c r="M9" s="2">
        <f>SUMIFS('BA History'!E:E,'BA History'!B:B,A9)-L9</f>
        <v>99</v>
      </c>
      <c r="N9" s="75">
        <f>LOOKUP(2, 1/('BA History'!$B:$B=A9), 'BA History'!$AH:$AH)</f>
        <v>0.44666666666666671</v>
      </c>
      <c r="O9" s="34">
        <f>SUMIFS('BA History'!H:H,'BA History'!B:B,A9)</f>
        <v>350</v>
      </c>
      <c r="P9" s="2">
        <f>SUMIFS('BA History'!G:G,'BA History'!B:B,A9)-O9</f>
        <v>404</v>
      </c>
      <c r="Q9" s="89">
        <f>LOOKUP(2, 1/('BA History'!$B:$B=A9), 'BA History'!$AI:$AI)</f>
        <v>0.45333333333333314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11</v>
      </c>
      <c r="AJ9" s="2">
        <f>COUNTIFS('BA History'!$B:$B,$A$9,'BA History'!AC:AC, 1)</f>
        <v>3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114</v>
      </c>
      <c r="G13" s="66">
        <f>AVERAGEIFS('BA History'!C:C,'BA History'!B:B,A13)</f>
        <v>11.4</v>
      </c>
      <c r="H13" s="35">
        <f t="array" ref="H13">MAX(IF('BA History'!B:B=A13, 'BA History'!C:C))</f>
        <v>20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History'!$AJ:$AJ)</f>
        <v>0.3</v>
      </c>
      <c r="L13" s="34">
        <f>SUMIFS('BA History'!F:F,'BA History'!B:B,A13)</f>
        <v>17</v>
      </c>
      <c r="M13" s="2">
        <f>SUMIFS('BA History'!E:E,'BA History'!B:B,A13)-L13</f>
        <v>25</v>
      </c>
      <c r="N13" s="75">
        <f>LOOKUP(2, 1/('BA History'!$B:$B=A13), 'BA History'!$AH:$AH)</f>
        <v>0.4</v>
      </c>
      <c r="O13" s="34">
        <f>SUMIFS('BA History'!H:H,'BA History'!B:B,A13)</f>
        <v>72</v>
      </c>
      <c r="P13" s="2">
        <f>SUMIFS('BA History'!G:G,'BA History'!B:B,A13)-O13</f>
        <v>102</v>
      </c>
      <c r="Q13" s="89">
        <f>LOOKUP(2, 1/('BA History'!$B:$B=A13), 'BA History'!$AI:$AI)</f>
        <v>0.39800000000000002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1</v>
      </c>
      <c r="AI13" s="2">
        <f>COUNTIFS('BA History'!$B:$B,$A$13,'BA History'!AB:AB, 1)</f>
        <v>4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1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734</v>
      </c>
      <c r="G18" s="66">
        <f>AVERAGEIFS('BA History'!C:C,'BA History'!B:B,A18)</f>
        <v>17.902439024390244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21</v>
      </c>
      <c r="K18" s="75">
        <f>LOOKUP(2, 1/('BA History'!$B:$B=A18), 'BA History'!$AJ:$AJ)</f>
        <v>0.48780487804878048</v>
      </c>
      <c r="L18" s="34">
        <f>SUMIFS('BA History'!F:F,'BA History'!B:B,A18)</f>
        <v>82</v>
      </c>
      <c r="M18" s="2">
        <f>SUMIFS('BA History'!E:E,'BA History'!B:B,A18)-L18</f>
        <v>84</v>
      </c>
      <c r="N18" s="75">
        <f>LOOKUP(2, 1/('BA History'!$B:$B=A18), 'BA History'!$AH:$AH)</f>
        <v>0.49951219512195133</v>
      </c>
      <c r="O18" s="34">
        <f>SUMIFS('BA History'!H:H,'BA History'!B:B,A18)</f>
        <v>349</v>
      </c>
      <c r="P18" s="2">
        <f>SUMIFS('BA History'!G:G,'BA History'!B:B,A18)-O18</f>
        <v>349</v>
      </c>
      <c r="Q18" s="89">
        <f>LOOKUP(2, 1/('BA History'!$B:$B=A18), 'BA History'!$AI:$AI)</f>
        <v>0.5099999999999999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8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2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731</v>
      </c>
      <c r="G20" s="66">
        <f>AVERAGEIFS('BA History'!C:C,'BA History'!B:B,A20)</f>
        <v>16.613636363636363</v>
      </c>
      <c r="H20" s="35">
        <f t="array" ref="H20">MAX(IF('BA History'!B:B=A20, 'BA History'!C:C))</f>
        <v>36</v>
      </c>
      <c r="I20" s="34">
        <f>COUNTIFS('BA History'!B:B,A20,'BA History'!D:D, 1)</f>
        <v>28</v>
      </c>
      <c r="J20" s="2">
        <f>COUNTIFS('BA History'!B:B,A20,'BA History'!D:D, 0)</f>
        <v>16</v>
      </c>
      <c r="K20" s="75">
        <f>LOOKUP(2, 1/('BA History'!$B:$B=A20), 'BA History'!$AJ:$AJ)</f>
        <v>0.63636363636363635</v>
      </c>
      <c r="L20" s="34">
        <f>SUMIFS('BA History'!F:F,'BA History'!B:B,A20)</f>
        <v>97</v>
      </c>
      <c r="M20" s="2">
        <f>SUMIFS('BA History'!E:E,'BA History'!B:B,A20)-L20</f>
        <v>81</v>
      </c>
      <c r="N20" s="75">
        <f>LOOKUP(2, 1/('BA History'!$B:$B=A20), 'BA History'!$AH:$AH)</f>
        <v>0.53863636363636358</v>
      </c>
      <c r="O20" s="34">
        <f>SUMIFS('BA History'!H:H,'BA History'!B:B,A20)</f>
        <v>394</v>
      </c>
      <c r="P20" s="2">
        <f>SUMIFS('BA History'!G:G,'BA History'!B:B,A20)-O20</f>
        <v>349</v>
      </c>
      <c r="Q20" s="89">
        <f>LOOKUP(2, 1/('BA History'!$B:$B=A20), 'BA History'!$AI:$AI)</f>
        <v>0.53772727272727272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3</v>
      </c>
      <c r="AI20" s="2">
        <f>COUNTIFS('BA History'!$B:$B,$A$20,'BA History'!AB:AB, 1)</f>
        <v>11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9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1036</v>
      </c>
      <c r="G22" s="66">
        <f>AVERAGEIFS('BA History'!C:C,'BA History'!B:B,A22)</f>
        <v>27.263157894736842</v>
      </c>
      <c r="H22" s="35">
        <f t="array" ref="H22">MAX(IF('BA History'!B:B=A22, 'BA History'!C:C))</f>
        <v>50</v>
      </c>
      <c r="I22" s="34">
        <f>COUNTIFS('BA History'!B:B,A22,'BA History'!D:D, 1)</f>
        <v>19</v>
      </c>
      <c r="J22" s="2">
        <f>COUNTIFS('BA History'!B:B,A22,'BA History'!D:D, 0)</f>
        <v>19</v>
      </c>
      <c r="K22" s="75">
        <f>LOOKUP(2, 1/('BA History'!$B:$B=A22), 'BA History'!$AJ:$AJ)</f>
        <v>0.5</v>
      </c>
      <c r="L22" s="34">
        <f>SUMIFS('BA History'!F:F,'BA History'!B:B,A22)</f>
        <v>75</v>
      </c>
      <c r="M22" s="2">
        <f>SUMIFS('BA History'!E:E,'BA History'!B:B,A22)-L22</f>
        <v>78</v>
      </c>
      <c r="N22" s="75">
        <f>LOOKUP(2, 1/('BA History'!$B:$B=A22), 'BA History'!$AH:$AH)</f>
        <v>0.48289473684210532</v>
      </c>
      <c r="O22" s="34">
        <f>SUMIFS('BA History'!H:H,'BA History'!B:B,A22)</f>
        <v>310</v>
      </c>
      <c r="P22" s="2">
        <f>SUMIFS('BA History'!G:G,'BA History'!B:B,A22)-O22</f>
        <v>319</v>
      </c>
      <c r="Q22" s="89">
        <f>LOOKUP(2, 1/('BA History'!$B:$B=A22), 'BA History'!$AI:$AI)</f>
        <v>0.4944736842105264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6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6</v>
      </c>
      <c r="AJ22" s="2">
        <f>COUNTIFS('BA History'!$B:$B,$A$22,'BA History'!AC:AC, 1)</f>
        <v>4</v>
      </c>
      <c r="AK22" s="2">
        <f>COUNTIFS('BA History'!$B:$B,$A$22,'BA History'!AD:AD, 1)</f>
        <v>9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314</v>
      </c>
      <c r="G24" s="66">
        <f>AVERAGEIFS('BA History'!C:C,'BA History'!B:B,A24)</f>
        <v>17.444444444444443</v>
      </c>
      <c r="H24" s="35">
        <f t="array" ref="H24">MAX(IF('BA History'!B:B=A24, 'BA History'!C:C))</f>
        <v>30</v>
      </c>
      <c r="I24" s="34">
        <f>COUNTIFS('BA History'!B:B,A24,'BA History'!D:D, 1)</f>
        <v>12</v>
      </c>
      <c r="J24" s="2">
        <f>COUNTIFS('BA History'!B:B,A24,'BA History'!D:D, 0)</f>
        <v>6</v>
      </c>
      <c r="K24" s="75">
        <f>LOOKUP(2, 1/('BA History'!$B:$B=A24), 'BA History'!$AJ:$AJ)</f>
        <v>0.66666666666666663</v>
      </c>
      <c r="L24" s="34">
        <f>SUMIFS('BA History'!F:F,'BA History'!B:B,A24)</f>
        <v>46</v>
      </c>
      <c r="M24" s="2">
        <f>SUMIFS('BA History'!E:E,'BA History'!B:B,A24)-L24</f>
        <v>28</v>
      </c>
      <c r="N24" s="75">
        <f>LOOKUP(2, 1/('BA History'!$B:$B=A24), 'BA History'!$AH:$AH)</f>
        <v>0.64999999999999991</v>
      </c>
      <c r="O24" s="34">
        <f>SUMIFS('BA History'!H:H,'BA History'!B:B,A24)</f>
        <v>171</v>
      </c>
      <c r="P24" s="2">
        <f>SUMIFS('BA History'!G:G,'BA History'!B:B,A24)-O24</f>
        <v>128</v>
      </c>
      <c r="Q24" s="89">
        <f>LOOKUP(2, 1/('BA History'!$B:$B=A24), 'BA History'!$AI:$AI)</f>
        <v>0.5950000000000002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6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2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8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398</v>
      </c>
      <c r="G26" s="66">
        <f>AVERAGEIFS('BA History'!C:C,'BA History'!B:B,A26)</f>
        <v>13.724137931034482</v>
      </c>
      <c r="H26" s="35">
        <f t="array" ref="H26">MAX(IF('BA History'!B:B=A26, 'BA History'!C:C))</f>
        <v>25</v>
      </c>
      <c r="I26" s="34">
        <f>COUNTIFS('BA History'!B:B,A26,'BA History'!D:D, 1)</f>
        <v>12</v>
      </c>
      <c r="J26" s="2">
        <f>COUNTIFS('BA History'!B:B,A26,'BA History'!D:D, 0)</f>
        <v>17</v>
      </c>
      <c r="K26" s="75">
        <f>LOOKUP(2, 1/('BA History'!$B:$B=A26), 'BA History'!$AJ:$AJ)</f>
        <v>0.41379310344827586</v>
      </c>
      <c r="L26" s="34">
        <f>SUMIFS('BA History'!F:F,'BA History'!B:B,A26)</f>
        <v>49</v>
      </c>
      <c r="M26" s="2">
        <f>SUMIFS('BA History'!E:E,'BA History'!B:B,A26)-L26</f>
        <v>61</v>
      </c>
      <c r="N26" s="75">
        <f>LOOKUP(2, 1/('BA History'!$B:$B=A26), 'BA History'!$AH:$AH)</f>
        <v>0.44413793103448274</v>
      </c>
      <c r="O26" s="34">
        <f>SUMIFS('BA History'!H:H,'BA History'!B:B,A26)</f>
        <v>210</v>
      </c>
      <c r="P26" s="2">
        <f>SUMIFS('BA History'!G:G,'BA History'!B:B,A26)-O26</f>
        <v>236</v>
      </c>
      <c r="Q26" s="89">
        <f>LOOKUP(2, 1/('BA History'!$B:$B=A26), 'BA History'!$AI:$AI)</f>
        <v>0.46379310344827579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1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4</v>
      </c>
      <c r="AJ26" s="2">
        <f>COUNTIFS('BA History'!$B:$B,$A$26,'BA History'!AC:AC, 1)</f>
        <v>3</v>
      </c>
      <c r="AK26" s="2">
        <f>COUNTIFS('BA History'!$B:$B,$A$26,'BA History'!AD:AD, 1)</f>
        <v>5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413</v>
      </c>
      <c r="G27" s="66">
        <f>AVERAGEIFS('BA History'!C:C,'BA History'!B:B,A27)</f>
        <v>14.75</v>
      </c>
      <c r="H27" s="35">
        <f t="array" ref="H27">MAX(IF('BA History'!B:B=A27, 'BA History'!C:C))</f>
        <v>36</v>
      </c>
      <c r="I27" s="34">
        <f>COUNTIFS('BA History'!B:B,A27,'BA History'!D:D, 1)</f>
        <v>11</v>
      </c>
      <c r="J27" s="2">
        <f>COUNTIFS('BA History'!B:B,A27,'BA History'!D:D, 0)</f>
        <v>17</v>
      </c>
      <c r="K27" s="75">
        <f>LOOKUP(2, 1/('BA History'!$B:$B=A27), 'BA History'!$AJ:$AJ)</f>
        <v>0.39285714285714285</v>
      </c>
      <c r="L27" s="34">
        <f>SUMIFS('BA History'!F:F,'BA History'!B:B,A27)</f>
        <v>51</v>
      </c>
      <c r="M27" s="2">
        <f>SUMIFS('BA History'!E:E,'BA History'!B:B,A27)-L27</f>
        <v>56</v>
      </c>
      <c r="N27" s="75">
        <f>LOOKUP(2, 1/('BA History'!$B:$B=A27), 'BA History'!$AH:$AH)</f>
        <v>0.49464285714285722</v>
      </c>
      <c r="O27" s="34">
        <f>SUMIFS('BA History'!H:H,'BA History'!B:B,A27)</f>
        <v>212</v>
      </c>
      <c r="P27" s="2">
        <f>SUMIFS('BA History'!G:G,'BA History'!B:B,A27)-O27</f>
        <v>224</v>
      </c>
      <c r="Q27" s="89">
        <f>LOOKUP(2, 1/('BA History'!$B:$B=A27), 'BA History'!$AI:$AI)</f>
        <v>0.49392857142857149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1</v>
      </c>
      <c r="AI27" s="2">
        <f>COUNTIFS('BA History'!$B:$B,$A$27,'BA History'!AB:AB, 1)</f>
        <v>8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1</v>
      </c>
      <c r="AM27" s="2">
        <f>COUNTIFS('BA History'!$B:$B,$A$27,'BA History'!AF:AF, 1)</f>
        <v>3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72</v>
      </c>
      <c r="G32" s="66">
        <f>AVERAGEIFS('BA History'!C:C,'BA History'!B:B,A32)</f>
        <v>9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4</v>
      </c>
      <c r="K32" s="75">
        <f>LOOKUP(2, 1/('BA History'!$B:$B=A32), 'BA History'!$AJ:$AJ)</f>
        <v>0.5</v>
      </c>
      <c r="L32" s="34">
        <f>SUMIFS('BA History'!F:F,'BA History'!B:B,A32)</f>
        <v>18</v>
      </c>
      <c r="M32" s="2">
        <f>SUMIFS('BA History'!E:E,'BA History'!B:B,A32)-L32</f>
        <v>15</v>
      </c>
      <c r="N32" s="75">
        <f>LOOKUP(2, 1/('BA History'!$B:$B=A32), 'BA History'!$AH:$AH)</f>
        <v>0.56874999999999998</v>
      </c>
      <c r="O32" s="34">
        <f>SUMIFS('BA History'!H:H,'BA History'!B:B,A32)</f>
        <v>71</v>
      </c>
      <c r="P32" s="2">
        <f>SUMIFS('BA History'!G:G,'BA History'!B:B,A32)-O32</f>
        <v>71</v>
      </c>
      <c r="Q32" s="89">
        <f>LOOKUP(2, 1/('BA History'!$B:$B=A32), 'BA History'!$AI:$AI)</f>
        <v>0.51374999999999993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1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240</v>
      </c>
      <c r="G36" s="66">
        <f>AVERAGEIFS('BA History'!C:C,'BA History'!B:B,A36)</f>
        <v>14.117647058823529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10</v>
      </c>
      <c r="K36" s="75">
        <f>LOOKUP(2, 1/('BA History'!$B:$B=A36), 'BA History'!$AJ:$AJ)</f>
        <v>0.41176470588235292</v>
      </c>
      <c r="L36" s="34">
        <f>SUMIFS('BA History'!F:F,'BA History'!B:B,A36)</f>
        <v>32</v>
      </c>
      <c r="M36" s="2">
        <f>SUMIFS('BA History'!E:E,'BA History'!B:B,A36)-L36</f>
        <v>34</v>
      </c>
      <c r="N36" s="75">
        <f>LOOKUP(2, 1/('BA History'!$B:$B=A36), 'BA History'!$AH:$AH)</f>
        <v>0.49705882352941172</v>
      </c>
      <c r="O36" s="34">
        <f>SUMIFS('BA History'!H:H,'BA History'!B:B,A36)</f>
        <v>134</v>
      </c>
      <c r="P36" s="2">
        <f>SUMIFS('BA History'!G:G,'BA History'!B:B,A36)-O36</f>
        <v>146</v>
      </c>
      <c r="Q36" s="89">
        <f>LOOKUP(2, 1/('BA History'!$B:$B=A36), 'BA History'!$AI:$AI)</f>
        <v>0.49705882352941172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1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918</v>
      </c>
      <c r="G37" s="66">
        <f>AVERAGEIFS('BA History'!C:C,'BA History'!B:B,A37)</f>
        <v>22.390243902439025</v>
      </c>
      <c r="H37" s="35">
        <f t="array" ref="H37">MAX(IF('BA History'!B:B=A37, 'BA History'!C:C))</f>
        <v>43</v>
      </c>
      <c r="I37" s="34">
        <f>COUNTIFS('BA History'!B:B,A37,'BA History'!D:D, 1)</f>
        <v>21</v>
      </c>
      <c r="J37" s="2">
        <f>COUNTIFS('BA History'!B:B,A37,'BA History'!D:D, 0)</f>
        <v>20</v>
      </c>
      <c r="K37" s="75">
        <f>LOOKUP(2, 1/('BA History'!$B:$B=A37), 'BA History'!$AJ:$AJ)</f>
        <v>0.51219512195121952</v>
      </c>
      <c r="L37" s="34">
        <f>SUMIFS('BA History'!F:F,'BA History'!B:B,A37)</f>
        <v>83</v>
      </c>
      <c r="M37" s="2">
        <f>SUMIFS('BA History'!E:E,'BA History'!B:B,A37)-L37</f>
        <v>76</v>
      </c>
      <c r="N37" s="75">
        <f>LOOKUP(2, 1/('BA History'!$B:$B=A37), 'BA History'!$AH:$AH)</f>
        <v>0.52756097560975601</v>
      </c>
      <c r="O37" s="34">
        <f>SUMIFS('BA History'!H:H,'BA History'!B:B,A37)</f>
        <v>349</v>
      </c>
      <c r="P37" s="2">
        <f>SUMIFS('BA History'!G:G,'BA History'!B:B,A37)-O37</f>
        <v>312</v>
      </c>
      <c r="Q37" s="89">
        <f>LOOKUP(2, 1/('BA History'!$B:$B=A37), 'BA History'!$AI:$AI)</f>
        <v>0.53756097560975613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2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15</v>
      </c>
      <c r="AJ37" s="2">
        <f>COUNTIFS('BA History'!$B:$B,$A$37,'BA History'!AC:AC, 1)</f>
        <v>5</v>
      </c>
      <c r="AK37" s="2">
        <f>COUNTIFS('BA History'!$B:$B,$A$37,'BA History'!AD:AD, 1)</f>
        <v>7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1359</v>
      </c>
      <c r="G38" s="66">
        <f>AVERAGEIFS('BA History'!C:C,'BA History'!B:B,A38)</f>
        <v>23.842105263157894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26</v>
      </c>
      <c r="K38" s="75">
        <f>LOOKUP(2, 1/('BA History'!$B:$B=A38), 'BA History'!$AJ:$AJ)</f>
        <v>0.54385964912280704</v>
      </c>
      <c r="L38" s="34">
        <f>SUMIFS('BA History'!F:F,'BA History'!B:B,A38)</f>
        <v>121</v>
      </c>
      <c r="M38" s="2">
        <f>SUMIFS('BA History'!E:E,'BA History'!B:B,A38)-L38</f>
        <v>108</v>
      </c>
      <c r="N38" s="75">
        <f>LOOKUP(2, 1/('BA History'!$B:$B=A38), 'BA History'!$AH:$AH)</f>
        <v>0.53105263157894744</v>
      </c>
      <c r="O38" s="34">
        <f>SUMIFS('BA History'!H:H,'BA History'!B:B,A38)</f>
        <v>484</v>
      </c>
      <c r="P38" s="2">
        <f>SUMIFS('BA History'!G:G,'BA History'!B:B,A38)-O38</f>
        <v>466</v>
      </c>
      <c r="Q38" s="89">
        <f>LOOKUP(2, 1/('BA History'!$B:$B=A38), 'BA History'!$AI:$AI)</f>
        <v>0.51070175438596488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596</v>
      </c>
      <c r="G39" s="66">
        <f>AVERAGEIFS('BA History'!C:C,'BA History'!B:B,A39)</f>
        <v>19.866666666666667</v>
      </c>
      <c r="H39" s="35">
        <f t="array" ref="H39">MAX(IF('BA History'!B:B=A39, 'BA History'!C:C))</f>
        <v>37</v>
      </c>
      <c r="I39" s="34">
        <f>COUNTIFS('BA History'!B:B,A39,'BA History'!D:D, 1)</f>
        <v>21</v>
      </c>
      <c r="J39" s="2">
        <f>COUNTIFS('BA History'!B:B,A39,'BA History'!D:D, 0)</f>
        <v>9</v>
      </c>
      <c r="K39" s="75">
        <f>LOOKUP(2, 1/('BA History'!$B:$B=A39), 'BA History'!$AJ:$AJ)</f>
        <v>0.7</v>
      </c>
      <c r="L39" s="34">
        <f>SUMIFS('BA History'!F:F,'BA History'!B:B,A39)</f>
        <v>71</v>
      </c>
      <c r="M39" s="2">
        <f>SUMIFS('BA History'!E:E,'BA History'!B:B,A39)-L39</f>
        <v>48</v>
      </c>
      <c r="N39" s="75">
        <f>LOOKUP(2, 1/('BA History'!$B:$B=A39), 'BA History'!$AH:$AH)</f>
        <v>0.60733333333333328</v>
      </c>
      <c r="O39" s="34">
        <f>SUMIFS('BA History'!H:H,'BA History'!B:B,A39)</f>
        <v>272</v>
      </c>
      <c r="P39" s="2">
        <f>SUMIFS('BA History'!G:G,'BA History'!B:B,A39)-O39</f>
        <v>231</v>
      </c>
      <c r="Q39" s="89">
        <f>LOOKUP(2, 1/('BA History'!$B:$B=A39), 'BA History'!$AI:$AI)</f>
        <v>0.54933333333333345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6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6</v>
      </c>
      <c r="AH39" s="2">
        <f>COUNTIFS('BA History'!$B:$B,$A$39,'BA History'!AA:AA, 1)</f>
        <v>4</v>
      </c>
      <c r="AI39" s="2">
        <f>COUNTIFS('BA History'!$B:$B,$A$39,'BA History'!AB:AB, 1)</f>
        <v>9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2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182</v>
      </c>
      <c r="G41" s="66">
        <f>AVERAGEIFS('BA History'!C:C,'BA History'!B:B,A41)</f>
        <v>14</v>
      </c>
      <c r="H41" s="35">
        <f t="array" ref="H41">MAX(IF('BA History'!B:B=A41, 'BA History'!C:C))</f>
        <v>22</v>
      </c>
      <c r="I41" s="34">
        <f>COUNTIFS('BA History'!B:B,A41,'BA History'!D:D, 1)</f>
        <v>8</v>
      </c>
      <c r="J41" s="2">
        <f>COUNTIFS('BA History'!B:B,A41,'BA History'!D:D, 0)</f>
        <v>5</v>
      </c>
      <c r="K41" s="75">
        <f>LOOKUP(2, 1/('BA History'!$B:$B=A41), 'BA History'!$AJ:$AJ)</f>
        <v>0.61538461538461542</v>
      </c>
      <c r="L41" s="34">
        <f>SUMIFS('BA History'!F:F,'BA History'!B:B,A41)</f>
        <v>26</v>
      </c>
      <c r="M41" s="2">
        <f>SUMIFS('BA History'!E:E,'BA History'!B:B,A41)-L41</f>
        <v>25</v>
      </c>
      <c r="N41" s="75">
        <f>LOOKUP(2, 1/('BA History'!$B:$B=A41), 'BA History'!$AH:$AH)</f>
        <v>0.48461538461538461</v>
      </c>
      <c r="O41" s="34">
        <f>SUMIFS('BA History'!H:H,'BA History'!B:B,A41)</f>
        <v>109</v>
      </c>
      <c r="P41" s="2">
        <f>SUMIFS('BA History'!G:G,'BA History'!B:B,A41)-O41</f>
        <v>103</v>
      </c>
      <c r="Q41" s="89">
        <f>LOOKUP(2, 1/('BA History'!$B:$B=A41), 'BA History'!$AI:$AI)</f>
        <v>0.51153846153846161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3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1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</v>
      </c>
      <c r="AK41" s="2">
        <f>COUNTIFS('BA History'!$B:$B,$A$41,'BA History'!AD:AD, 1)</f>
        <v>4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1165</v>
      </c>
      <c r="G43" s="66">
        <f>AVERAGEIFS('BA History'!C:C,'BA History'!B:B,A43)</f>
        <v>18.79032258064516</v>
      </c>
      <c r="H43" s="35">
        <f t="array" ref="H43">MAX(IF('BA History'!B:B=A43, 'BA History'!C:C))</f>
        <v>37</v>
      </c>
      <c r="I43" s="34">
        <f>COUNTIFS('BA History'!B:B,A43,'BA History'!D:D, 1)</f>
        <v>27</v>
      </c>
      <c r="J43" s="2">
        <f>COUNTIFS('BA History'!B:B,A43,'BA History'!D:D, 0)</f>
        <v>35</v>
      </c>
      <c r="K43" s="75">
        <f>LOOKUP(2, 1/('BA History'!$B:$B=A43), 'BA History'!$AJ:$AJ)</f>
        <v>0.43548387096774194</v>
      </c>
      <c r="L43" s="34">
        <f>SUMIFS('BA History'!F:F,'BA History'!B:B,A43)</f>
        <v>124</v>
      </c>
      <c r="M43" s="2">
        <f>SUMIFS('BA History'!E:E,'BA History'!B:B,A43)-L43</f>
        <v>132</v>
      </c>
      <c r="N43" s="75">
        <f>LOOKUP(2, 1/('BA History'!$B:$B=A43), 'BA History'!$AH:$AH)</f>
        <v>0.49032258064516115</v>
      </c>
      <c r="O43" s="34">
        <f>SUMIFS('BA History'!H:H,'BA History'!B:B,A43)</f>
        <v>518</v>
      </c>
      <c r="P43" s="2">
        <f>SUMIFS('BA History'!G:G,'BA History'!B:B,A43)-O43</f>
        <v>538</v>
      </c>
      <c r="Q43" s="89">
        <f>LOOKUP(2, 1/('BA History'!$B:$B=A43), 'BA History'!$AI:$AI)</f>
        <v>0.48806451612903234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14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2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7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11</v>
      </c>
      <c r="AH43" s="2">
        <f>COUNTIFS('BA History'!$B:$B,$A$43,'BA History'!AA:AA, 1)</f>
        <v>1</v>
      </c>
      <c r="AI43" s="2">
        <f>COUNTIFS('BA History'!$B:$B,$A$43,'BA History'!AB:AB, 1)</f>
        <v>6</v>
      </c>
      <c r="AJ43" s="2">
        <f>COUNTIFS('BA History'!$B:$B,$A$43,'BA History'!AC:AC, 1)</f>
        <v>7</v>
      </c>
      <c r="AK43" s="2">
        <f>COUNTIFS('BA History'!$B:$B,$A$43,'BA History'!AD:AD, 1)</f>
        <v>15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355</v>
      </c>
      <c r="G45" s="66">
        <f>AVERAGEIFS('BA History'!C:C,'BA History'!B:B,A45)</f>
        <v>12.678571428571429</v>
      </c>
      <c r="H45" s="35">
        <f t="array" ref="H45">MAX(IF('BA History'!B:B=A45, 'BA History'!C:C))</f>
        <v>33</v>
      </c>
      <c r="I45" s="34">
        <f>COUNTIFS('BA History'!B:B,A45,'BA History'!D:D, 1)</f>
        <v>14</v>
      </c>
      <c r="J45" s="2">
        <f>COUNTIFS('BA History'!B:B,A45,'BA History'!D:D, 0)</f>
        <v>14</v>
      </c>
      <c r="K45" s="75">
        <f>LOOKUP(2, 1/('BA History'!$B:$B=A45), 'BA History'!$AJ:$AJ)</f>
        <v>0.5</v>
      </c>
      <c r="L45" s="34">
        <f>SUMIFS('BA History'!F:F,'BA History'!B:B,A45)</f>
        <v>59</v>
      </c>
      <c r="M45" s="2">
        <f>SUMIFS('BA History'!E:E,'BA History'!B:B,A45)-L45</f>
        <v>54</v>
      </c>
      <c r="N45" s="75">
        <f>LOOKUP(2, 1/('BA History'!$B:$B=A45), 'BA History'!$AH:$AH)</f>
        <v>0.5446428571428571</v>
      </c>
      <c r="O45" s="34">
        <f>SUMIFS('BA History'!H:H,'BA History'!B:B,A45)</f>
        <v>240</v>
      </c>
      <c r="P45" s="2">
        <f>SUMIFS('BA History'!G:G,'BA History'!B:B,A45)-O45</f>
        <v>226</v>
      </c>
      <c r="Q45" s="89">
        <f>LOOKUP(2, 1/('BA History'!$B:$B=A45), 'BA History'!$AI:$AI)</f>
        <v>0.53142857142857147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7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10</v>
      </c>
      <c r="AJ45" s="2">
        <f>COUNTIFS('BA History'!$B:$B,$A$45,'BA History'!AC:AC, 1)</f>
        <v>0</v>
      </c>
      <c r="AK45" s="2">
        <f>COUNTIFS('BA History'!$B:$B,$A$45,'BA History'!AD:AD, 1)</f>
        <v>3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749</v>
      </c>
      <c r="G46" s="66">
        <f>AVERAGEIFS('BA History'!C:C,'BA History'!B:B,A46)</f>
        <v>19.710526315789473</v>
      </c>
      <c r="H46" s="35">
        <f t="array" ref="H46">MAX(IF('BA History'!B:B=A46, 'BA History'!C:C))</f>
        <v>32</v>
      </c>
      <c r="I46" s="34">
        <f>COUNTIFS('BA History'!B:B,A46,'BA History'!D:D, 1)</f>
        <v>21</v>
      </c>
      <c r="J46" s="2">
        <f>COUNTIFS('BA History'!B:B,A46,'BA History'!D:D, 0)</f>
        <v>17</v>
      </c>
      <c r="K46" s="75">
        <f>LOOKUP(2, 1/('BA History'!$B:$B=A46), 'BA History'!$AJ:$AJ)</f>
        <v>0.55263157894736847</v>
      </c>
      <c r="L46" s="34">
        <f>SUMIFS('BA History'!F:F,'BA History'!B:B,A46)</f>
        <v>80</v>
      </c>
      <c r="M46" s="2">
        <f>SUMIFS('BA History'!E:E,'BA History'!B:B,A46)-L46</f>
        <v>72</v>
      </c>
      <c r="N46" s="75">
        <f>LOOKUP(2, 1/('BA History'!$B:$B=A46), 'BA History'!$AH:$AH)</f>
        <v>0.53078947368421059</v>
      </c>
      <c r="O46" s="34">
        <f>SUMIFS('BA History'!H:H,'BA History'!B:B,A46)</f>
        <v>315</v>
      </c>
      <c r="P46" s="2">
        <f>SUMIFS('BA History'!G:G,'BA History'!B:B,A46)-O46</f>
        <v>314</v>
      </c>
      <c r="Q46" s="89">
        <f>LOOKUP(2, 1/('BA History'!$B:$B=A46), 'BA History'!$AI:$AI)</f>
        <v>0.49421052631578949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2</v>
      </c>
      <c r="AI46" s="2">
        <f>COUNTIFS('BA History'!$B:$B,$A$46,'BA History'!AB:AB, 1)</f>
        <v>10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2</v>
      </c>
      <c r="AM46" s="2">
        <f>COUNTIFS('BA History'!$B:$B,$A$46,'BA History'!AF:AF, 1)</f>
        <v>4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1451</v>
      </c>
      <c r="G50" s="66">
        <f>AVERAGEIFS('BA History'!C:C,'BA History'!B:B,A50)</f>
        <v>22.323076923076922</v>
      </c>
      <c r="H50" s="35">
        <f t="array" ref="H50">MAX(IF('BA History'!B:B=A50, 'BA History'!C:C))</f>
        <v>37</v>
      </c>
      <c r="I50" s="34">
        <f>COUNTIFS('BA History'!B:B,A50,'BA History'!D:D, 1)</f>
        <v>39</v>
      </c>
      <c r="J50" s="2">
        <f>COUNTIFS('BA History'!B:B,A50,'BA History'!D:D, 0)</f>
        <v>26</v>
      </c>
      <c r="K50" s="75">
        <f>LOOKUP(2, 1/('BA History'!$B:$B=A50), 'BA History'!$AJ:$AJ)</f>
        <v>0.6</v>
      </c>
      <c r="L50" s="34">
        <f>SUMIFS('BA History'!F:F,'BA History'!B:B,A50)</f>
        <v>140</v>
      </c>
      <c r="M50" s="2">
        <f>SUMIFS('BA History'!E:E,'BA History'!B:B,A50)-L50</f>
        <v>120</v>
      </c>
      <c r="N50" s="75">
        <f>LOOKUP(2, 1/('BA History'!$B:$B=A50), 'BA History'!$AH:$AH)</f>
        <v>0.53353846153846163</v>
      </c>
      <c r="O50" s="34">
        <f>SUMIFS('BA History'!H:H,'BA History'!B:B,A50)</f>
        <v>564</v>
      </c>
      <c r="P50" s="2">
        <f>SUMIFS('BA History'!G:G,'BA History'!B:B,A50)-O50</f>
        <v>516</v>
      </c>
      <c r="Q50" s="89">
        <f>LOOKUP(2, 1/('BA History'!$B:$B=A50), 'BA History'!$AI:$AI)</f>
        <v>0.51984615384615385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13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10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19</v>
      </c>
      <c r="AH50" s="2">
        <f>COUNTIFS('BA History'!$B:$B,$A$50,'BA History'!AA:AA, 1)</f>
        <v>2</v>
      </c>
      <c r="AI50" s="2">
        <f>COUNTIFS('BA History'!$B:$B,$A$50,'BA History'!AB:AB, 1)</f>
        <v>17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2</v>
      </c>
      <c r="AM50" s="2">
        <f>COUNTIFS('BA History'!$B:$B,$A$50,'BA History'!AF:AF, 1)</f>
        <v>10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696</v>
      </c>
      <c r="G53" s="66">
        <f>AVERAGEIFS('BA History'!C:C,'BA History'!B:B,A53)</f>
        <v>17.846153846153847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19</v>
      </c>
      <c r="K53" s="75">
        <f>LOOKUP(2, 1/('BA History'!$B:$B=A53), 'BA History'!$AJ:$AJ)</f>
        <v>0.51282051282051277</v>
      </c>
      <c r="L53" s="34">
        <f>SUMIFS('BA History'!F:F,'BA History'!B:B,A53)</f>
        <v>83</v>
      </c>
      <c r="M53" s="2">
        <f>SUMIFS('BA History'!E:E,'BA History'!B:B,A53)-L53</f>
        <v>72</v>
      </c>
      <c r="N53" s="75">
        <f>LOOKUP(2, 1/('BA History'!$B:$B=A53), 'BA History'!$AH:$AH)</f>
        <v>0.55128205128205121</v>
      </c>
      <c r="O53" s="34">
        <f>SUMIFS('BA History'!H:H,'BA History'!B:B,A53)</f>
        <v>325</v>
      </c>
      <c r="P53" s="2">
        <f>SUMIFS('BA History'!G:G,'BA History'!B:B,A53)-O53</f>
        <v>306</v>
      </c>
      <c r="Q53" s="89">
        <f>LOOKUP(2, 1/('BA History'!$B:$B=A53), 'BA History'!$AI:$AI)</f>
        <v>0.52487179487179503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89</v>
      </c>
      <c r="G55" s="66">
        <f>AVERAGEIFS('BA History'!C:C,'BA History'!B:B,A55)</f>
        <v>11.125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3</v>
      </c>
      <c r="K55" s="75">
        <f>LOOKUP(2, 1/('BA History'!$B:$B=A55), 'BA History'!$AJ:$AJ)</f>
        <v>0.625</v>
      </c>
      <c r="L55" s="34">
        <f>SUMIFS('BA History'!F:F,'BA History'!B:B,A55)</f>
        <v>17</v>
      </c>
      <c r="M55" s="2">
        <f>SUMIFS('BA History'!E:E,'BA History'!B:B,A55)-L55</f>
        <v>16</v>
      </c>
      <c r="N55" s="75">
        <f>LOOKUP(2, 1/('BA History'!$B:$B=A55), 'BA History'!$AH:$AH)</f>
        <v>0.50625000000000009</v>
      </c>
      <c r="O55" s="34">
        <f>SUMIFS('BA History'!H:H,'BA History'!B:B,A55)</f>
        <v>70</v>
      </c>
      <c r="P55" s="2">
        <f>SUMIFS('BA History'!G:G,'BA History'!B:B,A55)-O55</f>
        <v>68</v>
      </c>
      <c r="Q55" s="89">
        <f>LOOKUP(2, 1/('BA History'!$B:$B=A55), 'BA History'!$AI:$AI)</f>
        <v>0.50624999999999998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4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848</v>
      </c>
      <c r="G56" s="66">
        <f>AVERAGEIFS('BA History'!C:C,'BA History'!B:B,A56)</f>
        <v>24.941176470588236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22</v>
      </c>
      <c r="K56" s="75">
        <f>LOOKUP(2, 1/('BA History'!$B:$B=A56), 'BA History'!$AJ:$AJ)</f>
        <v>0.35294117647058826</v>
      </c>
      <c r="L56" s="34">
        <f>SUMIFS('BA History'!F:F,'BA History'!B:B,A56)</f>
        <v>62</v>
      </c>
      <c r="M56" s="2">
        <f>SUMIFS('BA History'!E:E,'BA History'!B:B,A56)-L56</f>
        <v>79</v>
      </c>
      <c r="N56" s="75">
        <f>LOOKUP(2, 1/('BA History'!$B:$B=A56), 'BA History'!$AH:$AH)</f>
        <v>0.43970588235294117</v>
      </c>
      <c r="O56" s="34">
        <f>SUMIFS('BA History'!H:H,'BA History'!B:B,A56)</f>
        <v>274</v>
      </c>
      <c r="P56" s="2">
        <f>SUMIFS('BA History'!G:G,'BA History'!B:B,A56)-O56</f>
        <v>312</v>
      </c>
      <c r="Q56" s="89">
        <f>LOOKUP(2, 1/('BA History'!$B:$B=A56), 'BA History'!$AI:$AI)</f>
        <v>0.46264705882352936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1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706</v>
      </c>
      <c r="G57" s="66">
        <f>AVERAGEIFS('BA History'!C:C,'BA History'!B:B,A57)</f>
        <v>16.045454545454547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19</v>
      </c>
      <c r="K57" s="75">
        <f>LOOKUP(2, 1/('BA History'!$B:$B=A57), 'BA History'!$AJ:$AJ)</f>
        <v>0.56818181818181823</v>
      </c>
      <c r="L57" s="34">
        <f>SUMIFS('BA History'!F:F,'BA History'!B:B,A57)</f>
        <v>92</v>
      </c>
      <c r="M57" s="2">
        <f>SUMIFS('BA History'!E:E,'BA History'!B:B,A57)-L57</f>
        <v>85</v>
      </c>
      <c r="N57" s="75">
        <f>LOOKUP(2, 1/('BA History'!$B:$B=A57), 'BA History'!$AH:$AH)</f>
        <v>0.51022727272727275</v>
      </c>
      <c r="O57" s="34">
        <f>SUMIFS('BA History'!H:H,'BA History'!B:B,A57)</f>
        <v>381</v>
      </c>
      <c r="P57" s="2">
        <f>SUMIFS('BA History'!G:G,'BA History'!B:B,A57)-O57</f>
        <v>352</v>
      </c>
      <c r="Q57" s="89">
        <f>LOOKUP(2, 1/('BA History'!$B:$B=A57), 'BA History'!$AI:$AI)</f>
        <v>0.51545454545454539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03"/>
  <sheetViews>
    <sheetView workbookViewId="0">
      <pane xSplit="2" ySplit="1" topLeftCell="L973" activePane="bottomRight" state="frozen"/>
      <selection pane="topRight" activeCell="C1" sqref="C1"/>
      <selection pane="bottomLeft" activeCell="A2" sqref="A2"/>
      <selection pane="bottomRight" activeCell="AG989" sqref="AG989:AJ10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304</v>
      </c>
      <c r="G6" s="66">
        <f>AVERAGEIFS('BA History S2'!C:C,'BA History S2'!B:B,A6)</f>
        <v>17.882352941176471</v>
      </c>
      <c r="H6" s="35">
        <f t="array" ref="H6">MAX(IF('BA History S2'!B:B=A6, 'BA History S2'!C:C))</f>
        <v>40</v>
      </c>
      <c r="I6" s="34">
        <f>COUNTIFS('BA History S2'!B:B,A6,'BA History S2'!D:D, 1)</f>
        <v>8</v>
      </c>
      <c r="J6" s="2">
        <f>COUNTIFS('BA History S2'!B:B,A6,'BA History S2'!D:D, 0)</f>
        <v>9</v>
      </c>
      <c r="K6" s="75">
        <f>LOOKUP(2, 1/('BA History S2'!$B:$B=A6), 'BA History S2'!$AJ:$AJ)</f>
        <v>0.47058823529411764</v>
      </c>
      <c r="L6" s="34">
        <f>SUMIFS('BA History S2'!F:F,'BA History S2'!B:B,A6)</f>
        <v>31</v>
      </c>
      <c r="M6" s="2">
        <f>SUMIFS('BA History S2'!E:E,'BA History S2'!B:B,A6)-L6</f>
        <v>36</v>
      </c>
      <c r="N6" s="75">
        <f>LOOKUP(2, 1/('BA History S2'!$B:$B=A6), 'BA History S2'!$AH:$AH)</f>
        <v>0.44705882352941173</v>
      </c>
      <c r="O6" s="34">
        <f>SUMIFS('BA History S2'!H:H,'BA History S2'!B:B,A6)</f>
        <v>129</v>
      </c>
      <c r="P6" s="2">
        <f>SUMIFS('BA History S2'!G:G,'BA History S2'!B:B,A6)-O6</f>
        <v>148</v>
      </c>
      <c r="Q6" s="89">
        <f>LOOKUP(2, 1/('BA History S2'!$B:$B=A6), 'BA History S2'!$AI:$AI)</f>
        <v>0.45235294117647068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8</v>
      </c>
      <c r="AJ6" s="2">
        <f>COUNTIFS('BA History S2'!$B:$B,$A$6,'BA History S2'!AC:AC, 1)</f>
        <v>0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21</v>
      </c>
      <c r="G8" s="66">
        <f>AVERAGEIFS('BA History S2'!C:C,'BA History S2'!B:B,A8)</f>
        <v>10.5</v>
      </c>
      <c r="H8" s="35">
        <f t="array" ref="H8">MAX(IF('BA History S2'!B:B=A8, 'BA History S2'!C:C))</f>
        <v>15</v>
      </c>
      <c r="I8" s="34">
        <f>COUNTIFS('BA History S2'!B:B,A8,'BA History S2'!D:D, 1)</f>
        <v>1</v>
      </c>
      <c r="J8" s="2">
        <f>COUNTIFS('BA History S2'!B:B,A8,'BA History S2'!D:D, 0)</f>
        <v>1</v>
      </c>
      <c r="K8" s="75">
        <f>LOOKUP(2, 1/('BA History S2'!$B:$B=A8), 'BA History S2'!$AJ:$AJ)</f>
        <v>0.5</v>
      </c>
      <c r="L8" s="34">
        <f>SUMIFS('BA History S2'!F:F,'BA History S2'!B:B,A8)</f>
        <v>5</v>
      </c>
      <c r="M8" s="2">
        <f>SUMIFS('BA History S2'!E:E,'BA History S2'!B:B,A8)-L8</f>
        <v>3</v>
      </c>
      <c r="N8" s="75">
        <f>LOOKUP(2, 1/('BA History S2'!$B:$B=A8), 'BA History S2'!$AH:$AH)</f>
        <v>0.7</v>
      </c>
      <c r="O8" s="34">
        <f>SUMIFS('BA History S2'!H:H,'BA History S2'!B:B,A8)</f>
        <v>20</v>
      </c>
      <c r="P8" s="2">
        <f>SUMIFS('BA History S2'!G:G,'BA History S2'!B:B,A8)-O8</f>
        <v>18</v>
      </c>
      <c r="Q8" s="89">
        <f>LOOKUP(2, 1/('BA History S2'!$B:$B=A8), 'BA History S2'!$AI:$AI)</f>
        <v>0.55000000000000004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1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1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122</v>
      </c>
      <c r="G10" s="66">
        <f>AVERAGEIFS('BA History S2'!C:C,'BA History S2'!B:B,A10)</f>
        <v>15.25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6</v>
      </c>
      <c r="K10" s="75">
        <f>LOOKUP(2, 1/('BA History S2'!$B:$B=A10), 'BA History S2'!$AJ:$AJ)</f>
        <v>0.25</v>
      </c>
      <c r="L10" s="34">
        <f>SUMIFS('BA History S2'!F:F,'BA History S2'!B:B,A10)</f>
        <v>12</v>
      </c>
      <c r="M10" s="2">
        <f>SUMIFS('BA History S2'!E:E,'BA History S2'!B:B,A10)-L10</f>
        <v>22</v>
      </c>
      <c r="N10" s="75">
        <f>LOOKUP(2, 1/('BA History S2'!$B:$B=A10), 'BA History S2'!$AH:$AH)</f>
        <v>0.32500000000000001</v>
      </c>
      <c r="O10" s="34">
        <f>SUMIFS('BA History S2'!H:H,'BA History S2'!B:B,A10)</f>
        <v>61</v>
      </c>
      <c r="P10" s="2">
        <f>SUMIFS('BA History S2'!G:G,'BA History S2'!B:B,A10)-O10</f>
        <v>82</v>
      </c>
      <c r="Q10" s="89">
        <f>LOOKUP(2, 1/('BA History S2'!$B:$B=A10), 'BA History S2'!$AI:$AI)</f>
        <v>0.40249999999999997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284</v>
      </c>
      <c r="G12" s="66">
        <f>AVERAGEIFS('BA History S2'!C:C,'BA History S2'!B:B,A12)</f>
        <v>16.705882352941178</v>
      </c>
      <c r="H12" s="35">
        <f t="array" ref="H12">MAX(IF('BA History S2'!B:B=A12, 'BA History S2'!C:C))</f>
        <v>28</v>
      </c>
      <c r="I12" s="34">
        <f>COUNTIFS('BA History S2'!B:B,A12,'BA History S2'!D:D, 1)</f>
        <v>11</v>
      </c>
      <c r="J12" s="2">
        <f>COUNTIFS('BA History S2'!B:B,A12,'BA History S2'!D:D, 0)</f>
        <v>6</v>
      </c>
      <c r="K12" s="75">
        <f>LOOKUP(2, 1/('BA History S2'!$B:$B=A12), 'BA History S2'!$AJ:$AJ)</f>
        <v>0.6470588235294118</v>
      </c>
      <c r="L12" s="34">
        <f>SUMIFS('BA History S2'!F:F,'BA History S2'!B:B,A12)</f>
        <v>39</v>
      </c>
      <c r="M12" s="2">
        <f>SUMIFS('BA History S2'!E:E,'BA History S2'!B:B,A12)-L12</f>
        <v>30</v>
      </c>
      <c r="N12" s="75">
        <f>LOOKUP(2, 1/('BA History S2'!$B:$B=A12), 'BA History S2'!$AH:$AH)</f>
        <v>0.57647058823529407</v>
      </c>
      <c r="O12" s="34">
        <f>SUMIFS('BA History S2'!H:H,'BA History S2'!B:B,A12)</f>
        <v>155</v>
      </c>
      <c r="P12" s="2">
        <f>SUMIFS('BA History S2'!G:G,'BA History S2'!B:B,A12)-O12</f>
        <v>136</v>
      </c>
      <c r="Q12" s="89">
        <f>LOOKUP(2, 1/('BA History S2'!$B:$B=A12), 'BA History S2'!$AI:$AI)</f>
        <v>0.54941176470588238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1</v>
      </c>
      <c r="AI12" s="2">
        <f>COUNTIFS('BA History S2'!$B:$B,$A$12,'BA History S2'!AB:AB, 1)</f>
        <v>6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5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408</v>
      </c>
      <c r="G14" s="66">
        <f>AVERAGEIFS('BA History S2'!C:C,'BA History S2'!B:B,A14)</f>
        <v>27.2</v>
      </c>
      <c r="H14" s="35">
        <f t="array" ref="H14">MAX(IF('BA History S2'!B:B=A14, 'BA History S2'!C:C))</f>
        <v>49</v>
      </c>
      <c r="I14" s="34">
        <f>COUNTIFS('BA History S2'!B:B,A14,'BA History S2'!D:D, 1)</f>
        <v>8</v>
      </c>
      <c r="J14" s="2">
        <f>COUNTIFS('BA History S2'!B:B,A14,'BA History S2'!D:D, 0)</f>
        <v>7</v>
      </c>
      <c r="K14" s="75">
        <f>LOOKUP(2, 1/('BA History S2'!$B:$B=A14), 'BA History S2'!$AJ:$AJ)</f>
        <v>0.53333333333333333</v>
      </c>
      <c r="L14" s="34">
        <f>SUMIFS('BA History S2'!F:F,'BA History S2'!B:B,A14)</f>
        <v>32</v>
      </c>
      <c r="M14" s="2">
        <f>SUMIFS('BA History S2'!E:E,'BA History S2'!B:B,A14)-L14</f>
        <v>28</v>
      </c>
      <c r="N14" s="75">
        <f>LOOKUP(2, 1/('BA History S2'!$B:$B=A14), 'BA History S2'!$AH:$AH)</f>
        <v>0.54333333333333333</v>
      </c>
      <c r="O14" s="34">
        <f>SUMIFS('BA History S2'!H:H,'BA History S2'!B:B,A14)</f>
        <v>130</v>
      </c>
      <c r="P14" s="2">
        <f>SUMIFS('BA History S2'!G:G,'BA History S2'!B:B,A14)-O14</f>
        <v>117</v>
      </c>
      <c r="Q14" s="89">
        <f>LOOKUP(2, 1/('BA History S2'!$B:$B=A14), 'BA History S2'!$AI:$AI)</f>
        <v>0.54666666666666663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4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234</v>
      </c>
      <c r="G15" s="66">
        <f>AVERAGEIFS('BA History S2'!C:C,'BA History S2'!B:B,A15)</f>
        <v>19.5</v>
      </c>
      <c r="H15" s="35">
        <f t="array" ref="H15">MAX(IF('BA History S2'!B:B=A15, 'BA History S2'!C:C))</f>
        <v>30</v>
      </c>
      <c r="I15" s="34">
        <f>COUNTIFS('BA History S2'!B:B,A15,'BA History S2'!D:D, 1)</f>
        <v>10</v>
      </c>
      <c r="J15" s="2">
        <f>COUNTIFS('BA History S2'!B:B,A15,'BA History S2'!D:D, 0)</f>
        <v>2</v>
      </c>
      <c r="K15" s="75">
        <f>LOOKUP(2, 1/('BA History S2'!$B:$B=A15), 'BA History S2'!$AJ:$AJ)</f>
        <v>0.83333333333333337</v>
      </c>
      <c r="L15" s="34">
        <f>SUMIFS('BA History S2'!F:F,'BA History S2'!B:B,A15)</f>
        <v>33</v>
      </c>
      <c r="M15" s="2">
        <f>SUMIFS('BA History S2'!E:E,'BA History S2'!B:B,A15)-L15</f>
        <v>13</v>
      </c>
      <c r="N15" s="75">
        <f>LOOKUP(2, 1/('BA History S2'!$B:$B=A15), 'BA History S2'!$AH:$AH)</f>
        <v>0.7416666666666667</v>
      </c>
      <c r="O15" s="34">
        <f>SUMIFS('BA History S2'!H:H,'BA History S2'!B:B,A15)</f>
        <v>113</v>
      </c>
      <c r="P15" s="2">
        <f>SUMIFS('BA History S2'!G:G,'BA History S2'!B:B,A15)-O15</f>
        <v>71</v>
      </c>
      <c r="Q15" s="89">
        <f>LOOKUP(2, 1/('BA History S2'!$B:$B=A15), 'BA History S2'!$AI:$AI)</f>
        <v>0.64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4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7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26</v>
      </c>
      <c r="G17" s="66">
        <f>AVERAGEIFS('BA History S2'!C:C,'BA History S2'!B:B,A17)</f>
        <v>13</v>
      </c>
      <c r="H17" s="35">
        <f t="array" ref="H17">MAX(IF('BA History S2'!B:B=A17, 'BA History S2'!C:C))</f>
        <v>17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S2'!$AJ:$AJ)</f>
        <v>0.5</v>
      </c>
      <c r="L17" s="34">
        <f>SUMIFS('BA History S2'!F:F,'BA History S2'!B:B,A17)</f>
        <v>3</v>
      </c>
      <c r="M17" s="2">
        <f>SUMIFS('BA History S2'!E:E,'BA History S2'!B:B,A17)-L17</f>
        <v>4</v>
      </c>
      <c r="N17" s="75">
        <f>LOOKUP(2, 1/('BA History S2'!$B:$B=A17), 'BA History S2'!$AH:$AH)</f>
        <v>0.375</v>
      </c>
      <c r="O17" s="34">
        <f>SUMIFS('BA History S2'!H:H,'BA History S2'!B:B,A17)</f>
        <v>12</v>
      </c>
      <c r="P17" s="2">
        <f>SUMIFS('BA History S2'!G:G,'BA History S2'!B:B,A17)-O17</f>
        <v>15</v>
      </c>
      <c r="Q17" s="89">
        <f>LOOKUP(2, 1/('BA History S2'!$B:$B=A17), 'BA History S2'!$AI:$AI)</f>
        <v>0.375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1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172</v>
      </c>
      <c r="G18" s="66">
        <f>AVERAGEIFS('BA History S2'!C:C,'BA History S2'!B:B,A18)</f>
        <v>13.23076923076923</v>
      </c>
      <c r="H18" s="35">
        <f t="array" ref="H18">MAX(IF('BA History S2'!B:B=A18, 'BA History S2'!C:C))</f>
        <v>27</v>
      </c>
      <c r="I18" s="34">
        <f>COUNTIFS('BA History S2'!B:B,A18,'BA History S2'!D:D, 1)</f>
        <v>3</v>
      </c>
      <c r="J18" s="2">
        <f>COUNTIFS('BA History S2'!B:B,A18,'BA History S2'!D:D, 0)</f>
        <v>10</v>
      </c>
      <c r="K18" s="75">
        <f>LOOKUP(2, 1/('BA History S2'!$B:$B=A18), 'BA History S2'!$AJ:$AJ)</f>
        <v>0.23076923076923078</v>
      </c>
      <c r="L18" s="34">
        <f>SUMIFS('BA History S2'!F:F,'BA History S2'!B:B,A18)</f>
        <v>21</v>
      </c>
      <c r="M18" s="2">
        <f>SUMIFS('BA History S2'!E:E,'BA History S2'!B:B,A18)-L18</f>
        <v>30</v>
      </c>
      <c r="N18" s="75">
        <f>LOOKUP(2, 1/('BA History S2'!$B:$B=A18), 'BA History S2'!$AH:$AH)</f>
        <v>0.4384615384615384</v>
      </c>
      <c r="O18" s="34">
        <f>SUMIFS('BA History S2'!H:H,'BA History S2'!B:B,A18)</f>
        <v>98</v>
      </c>
      <c r="P18" s="2">
        <f>SUMIFS('BA History S2'!G:G,'BA History S2'!B:B,A18)-O18</f>
        <v>116</v>
      </c>
      <c r="Q18" s="89">
        <f>LOOKUP(2, 1/('BA History S2'!$B:$B=A18), 'BA History S2'!$AI:$AI)</f>
        <v>0.46461538461538454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1</v>
      </c>
      <c r="AI18" s="2">
        <f>COUNTIFS('BA History S2'!$B:$B,$A$18,'BA History S2'!AB:AB, 1)</f>
        <v>3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1</v>
      </c>
      <c r="AM18" s="2">
        <f>COUNTIFS('BA History S2'!$B:$B,$A$18,'BA History S2'!AF:AF, 1)</f>
        <v>3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72</v>
      </c>
      <c r="G20" s="66">
        <f>AVERAGEIFS('BA History S2'!C:C,'BA History S2'!B:B,A20)</f>
        <v>9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4</v>
      </c>
      <c r="K20" s="75">
        <f>LOOKUP(2, 1/('BA History S2'!$B:$B=A20), 'BA History S2'!$AJ:$AJ)</f>
        <v>0.5</v>
      </c>
      <c r="L20" s="34">
        <f>SUMIFS('BA History S2'!F:F,'BA History S2'!B:B,A20)</f>
        <v>18</v>
      </c>
      <c r="M20" s="2">
        <f>SUMIFS('BA History S2'!E:E,'BA History S2'!B:B,A20)-L20</f>
        <v>15</v>
      </c>
      <c r="N20" s="75">
        <f>LOOKUP(2, 1/('BA History S2'!$B:$B=A20), 'BA History S2'!$AH:$AH)</f>
        <v>0.56874999999999998</v>
      </c>
      <c r="O20" s="34">
        <f>SUMIFS('BA History S2'!H:H,'BA History S2'!B:B,A20)</f>
        <v>71</v>
      </c>
      <c r="P20" s="2">
        <f>SUMIFS('BA History S2'!G:G,'BA History S2'!B:B,A20)-O20</f>
        <v>71</v>
      </c>
      <c r="Q20" s="89">
        <f>LOOKUP(2, 1/('BA History S2'!$B:$B=A20), 'BA History S2'!$AI:$AI)</f>
        <v>0.51374999999999993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1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94</v>
      </c>
      <c r="G21" s="66">
        <f>AVERAGEIFS('BA History S2'!C:C,'BA History S2'!B:B,A21)</f>
        <v>15.666666666666666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11</v>
      </c>
      <c r="M21" s="2">
        <f>SUMIFS('BA History S2'!E:E,'BA History S2'!B:B,A21)-L21</f>
        <v>11</v>
      </c>
      <c r="N21" s="75">
        <f>LOOKUP(2, 1/('BA History S2'!$B:$B=A21), 'BA History S2'!$AH:$AH)</f>
        <v>0.5</v>
      </c>
      <c r="O21" s="34">
        <f>SUMIFS('BA History S2'!H:H,'BA History S2'!B:B,A21)</f>
        <v>45</v>
      </c>
      <c r="P21" s="2">
        <f>SUMIFS('BA History S2'!G:G,'BA History S2'!B:B,A21)-O21</f>
        <v>50</v>
      </c>
      <c r="Q21" s="89">
        <f>LOOKUP(2, 1/('BA History S2'!$B:$B=A21), 'BA History S2'!$AI:$AI)</f>
        <v>0.46333333333333332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188</v>
      </c>
      <c r="G22" s="66">
        <f>AVERAGEIFS('BA History S2'!C:C,'BA History S2'!B:B,A22)</f>
        <v>17.09090909090909</v>
      </c>
      <c r="H22" s="35">
        <f t="array" ref="H22">MAX(IF('BA History S2'!B:B=A22, 'BA History S2'!C:C))</f>
        <v>33</v>
      </c>
      <c r="I22" s="34">
        <f>COUNTIFS('BA History S2'!B:B,A22,'BA History S2'!D:D, 1)</f>
        <v>4</v>
      </c>
      <c r="J22" s="2">
        <f>COUNTIFS('BA History S2'!B:B,A22,'BA History S2'!D:D, 0)</f>
        <v>7</v>
      </c>
      <c r="K22" s="75">
        <f>LOOKUP(2, 1/('BA History S2'!$B:$B=A22), 'BA History S2'!$AJ:$AJ)</f>
        <v>0.36363636363636365</v>
      </c>
      <c r="L22" s="34">
        <f>SUMIFS('BA History S2'!F:F,'BA History S2'!B:B,A22)</f>
        <v>19</v>
      </c>
      <c r="M22" s="2">
        <f>SUMIFS('BA History S2'!E:E,'BA History S2'!B:B,A22)-L22</f>
        <v>24</v>
      </c>
      <c r="N22" s="75">
        <f>LOOKUP(2, 1/('BA History S2'!$B:$B=A22), 'BA History S2'!$AH:$AH)</f>
        <v>0.43636363636363634</v>
      </c>
      <c r="O22" s="34">
        <f>SUMIFS('BA History S2'!H:H,'BA History S2'!B:B,A22)</f>
        <v>92</v>
      </c>
      <c r="P22" s="2">
        <f>SUMIFS('BA History S2'!G:G,'BA History S2'!B:B,A22)-O22</f>
        <v>91</v>
      </c>
      <c r="Q22" s="89">
        <f>LOOKUP(2, 1/('BA History S2'!$B:$B=A22), 'BA History S2'!$AI:$AI)</f>
        <v>0.49636363636363645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4</v>
      </c>
      <c r="AJ22" s="2">
        <f>COUNTIFS('BA History S2'!$B:$B,$A$22,'BA History S2'!AC:AC, 1)</f>
        <v>2</v>
      </c>
      <c r="AK22" s="2">
        <f>COUNTIFS('BA History S2'!$B:$B,$A$22,'BA History S2'!AD:AD, 1)</f>
        <v>3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226</v>
      </c>
      <c r="G23" s="66">
        <f>AVERAGEIFS('BA History S2'!C:C,'BA History S2'!B:B,A23)</f>
        <v>22.6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5</v>
      </c>
      <c r="K23" s="75">
        <f>LOOKUP(2, 1/('BA History S2'!$B:$B=A23), 'BA History S2'!$AJ:$AJ)</f>
        <v>0.5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0.52500000000000002</v>
      </c>
      <c r="O23" s="34">
        <f>SUMIFS('BA History S2'!H:H,'BA History S2'!B:B,A23)</f>
        <v>77</v>
      </c>
      <c r="P23" s="2">
        <f>SUMIFS('BA History S2'!G:G,'BA History S2'!B:B,A23)-O23</f>
        <v>75</v>
      </c>
      <c r="Q23" s="89">
        <f>LOOKUP(2, 1/('BA History S2'!$B:$B=A23), 'BA History S2'!$AI:$AI)</f>
        <v>0.51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259</v>
      </c>
      <c r="G24" s="66">
        <f>AVERAGEIFS('BA History S2'!C:C,'BA History S2'!B:B,A24)</f>
        <v>18.5</v>
      </c>
      <c r="H24" s="35">
        <f t="array" ref="H24">MAX(IF('BA History S2'!B:B=A24, 'BA History S2'!C:C))</f>
        <v>37</v>
      </c>
      <c r="I24" s="34">
        <f>COUNTIFS('BA History S2'!B:B,A24,'BA History S2'!D:D, 1)</f>
        <v>8</v>
      </c>
      <c r="J24" s="2">
        <f>COUNTIFS('BA History S2'!B:B,A24,'BA History S2'!D:D, 0)</f>
        <v>6</v>
      </c>
      <c r="K24" s="75">
        <f>LOOKUP(2, 1/('BA History S2'!$B:$B=A24), 'BA History S2'!$AJ:$AJ)</f>
        <v>0.5714285714285714</v>
      </c>
      <c r="L24" s="34">
        <f>SUMIFS('BA History S2'!F:F,'BA History S2'!B:B,A24)</f>
        <v>31</v>
      </c>
      <c r="M24" s="2">
        <f>SUMIFS('BA History S2'!E:E,'BA History S2'!B:B,A24)-L24</f>
        <v>27</v>
      </c>
      <c r="N24" s="75">
        <f>LOOKUP(2, 1/('BA History S2'!$B:$B=A24), 'BA History S2'!$AH:$AH)</f>
        <v>0.54285714285714293</v>
      </c>
      <c r="O24" s="34">
        <f>SUMIFS('BA History S2'!H:H,'BA History S2'!B:B,A24)</f>
        <v>123</v>
      </c>
      <c r="P24" s="2">
        <f>SUMIFS('BA History S2'!G:G,'BA History S2'!B:B,A24)-O24</f>
        <v>118</v>
      </c>
      <c r="Q24" s="89">
        <f>LOOKUP(2, 1/('BA History S2'!$B:$B=A24), 'BA History S2'!$AI:$AI)</f>
        <v>0.51500000000000001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5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4</v>
      </c>
      <c r="AH24" s="2">
        <f>COUNTIFS('BA History S2'!$B:$B,$A$24,'BA History S2'!AA:AA, 1)</f>
        <v>1</v>
      </c>
      <c r="AI24" s="2">
        <f>COUNTIFS('BA History S2'!$B:$B,$A$24,'BA History S2'!AB:AB, 1)</f>
        <v>6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100</v>
      </c>
      <c r="G25" s="66">
        <f>AVERAGEIFS('BA History S2'!C:C,'BA History S2'!B:B,A25)</f>
        <v>14.285714285714286</v>
      </c>
      <c r="H25" s="35">
        <f t="array" ref="H25">MAX(IF('BA History S2'!B:B=A25, 'BA History S2'!C:C))</f>
        <v>20</v>
      </c>
      <c r="I25" s="34">
        <f>COUNTIFS('BA History S2'!B:B,A25,'BA History S2'!D:D, 1)</f>
        <v>5</v>
      </c>
      <c r="J25" s="2">
        <f>COUNTIFS('BA History S2'!B:B,A25,'BA History S2'!D:D, 0)</f>
        <v>2</v>
      </c>
      <c r="K25" s="75">
        <f>LOOKUP(2, 1/('BA History S2'!$B:$B=A25), 'BA History S2'!$AJ:$AJ)</f>
        <v>0.7142857142857143</v>
      </c>
      <c r="L25" s="34">
        <f>SUMIFS('BA History S2'!F:F,'BA History S2'!B:B,A25)</f>
        <v>16</v>
      </c>
      <c r="M25" s="2">
        <f>SUMIFS('BA History S2'!E:E,'BA History S2'!B:B,A25)-L25</f>
        <v>13</v>
      </c>
      <c r="N25" s="75">
        <f>LOOKUP(2, 1/('BA History S2'!$B:$B=A25), 'BA History S2'!$AH:$AH)</f>
        <v>0.52857142857142858</v>
      </c>
      <c r="O25" s="34">
        <f>SUMIFS('BA History S2'!H:H,'BA History S2'!B:B,A25)</f>
        <v>64</v>
      </c>
      <c r="P25" s="2">
        <f>SUMIFS('BA History S2'!G:G,'BA History S2'!B:B,A25)-O25</f>
        <v>57</v>
      </c>
      <c r="Q25" s="89">
        <f>LOOKUP(2, 1/('BA History S2'!$B:$B=A25), 'BA History S2'!$AI:$AI)</f>
        <v>0.51999999999999991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3</v>
      </c>
      <c r="AJ25" s="2">
        <f>COUNTIFS('BA History S2'!$B:$B,$A$25,'BA History S2'!AC:AC, 1)</f>
        <v>1</v>
      </c>
      <c r="AK25" s="2">
        <f>COUNTIFS('BA History S2'!$B:$B,$A$25,'BA History S2'!AD:AD, 1)</f>
        <v>3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351</v>
      </c>
      <c r="G26" s="66">
        <f>AVERAGEIFS('BA History S2'!C:C,'BA History S2'!B:B,A26)</f>
        <v>20.647058823529413</v>
      </c>
      <c r="H26" s="35">
        <f t="array" ref="H26">MAX(IF('BA History S2'!B:B=A26, 'BA History S2'!C:C))</f>
        <v>37</v>
      </c>
      <c r="I26" s="34">
        <f>COUNTIFS('BA History S2'!B:B,A26,'BA History S2'!D:D, 1)</f>
        <v>8</v>
      </c>
      <c r="J26" s="2">
        <f>COUNTIFS('BA History S2'!B:B,A26,'BA History S2'!D:D, 0)</f>
        <v>9</v>
      </c>
      <c r="K26" s="75">
        <f>LOOKUP(2, 1/('BA History S2'!$B:$B=A26), 'BA History S2'!$AJ:$AJ)</f>
        <v>0.47058823529411764</v>
      </c>
      <c r="L26" s="34">
        <f>SUMIFS('BA History S2'!F:F,'BA History S2'!B:B,A26)</f>
        <v>35</v>
      </c>
      <c r="M26" s="2">
        <f>SUMIFS('BA History S2'!E:E,'BA History S2'!B:B,A26)-L26</f>
        <v>36</v>
      </c>
      <c r="N26" s="75">
        <f>LOOKUP(2, 1/('BA History S2'!$B:$B=A26), 'BA History S2'!$AH:$AH)</f>
        <v>0.49411764705882355</v>
      </c>
      <c r="O26" s="34">
        <f>SUMIFS('BA History S2'!H:H,'BA History S2'!B:B,A26)</f>
        <v>151</v>
      </c>
      <c r="P26" s="2">
        <f>SUMIFS('BA History S2'!G:G,'BA History S2'!B:B,A26)-O26</f>
        <v>147</v>
      </c>
      <c r="Q26" s="89">
        <f>LOOKUP(2, 1/('BA History S2'!$B:$B=A26), 'BA History S2'!$AI:$AI)</f>
        <v>0.50294117647058822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4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3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161</v>
      </c>
      <c r="G28" s="66">
        <f>AVERAGEIFS('BA History S2'!C:C,'BA History S2'!B:B,A28)</f>
        <v>14.636363636363637</v>
      </c>
      <c r="H28" s="35">
        <f t="array" ref="H28">MAX(IF('BA History S2'!B:B=A28, 'BA History S2'!C:C))</f>
        <v>26</v>
      </c>
      <c r="I28" s="34">
        <f>COUNTIFS('BA History S2'!B:B,A28,'BA History S2'!D:D, 1)</f>
        <v>4</v>
      </c>
      <c r="J28" s="2">
        <f>COUNTIFS('BA History S2'!B:B,A28,'BA History S2'!D:D, 0)</f>
        <v>7</v>
      </c>
      <c r="K28" s="75">
        <f>LOOKUP(2, 1/('BA History S2'!$B:$B=A28), 'BA History S2'!$AJ:$AJ)</f>
        <v>0.36363636363636365</v>
      </c>
      <c r="L28" s="34">
        <f>SUMIFS('BA History S2'!F:F,'BA History S2'!B:B,A28)</f>
        <v>22</v>
      </c>
      <c r="M28" s="2">
        <f>SUMIFS('BA History S2'!E:E,'BA History S2'!B:B,A28)-L28</f>
        <v>25</v>
      </c>
      <c r="N28" s="75">
        <f>LOOKUP(2, 1/('BA History S2'!$B:$B=A28), 'BA History S2'!$AH:$AH)</f>
        <v>0.48181818181818181</v>
      </c>
      <c r="O28" s="34">
        <f>SUMIFS('BA History S2'!H:H,'BA History S2'!B:B,A28)</f>
        <v>102</v>
      </c>
      <c r="P28" s="2">
        <f>SUMIFS('BA History S2'!G:G,'BA History S2'!B:B,A28)-O28</f>
        <v>97</v>
      </c>
      <c r="Q28" s="89">
        <f>LOOKUP(2, 1/('BA History S2'!$B:$B=A28), 'BA History S2'!$AI:$AI)</f>
        <v>0.52727272727272734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4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210</v>
      </c>
      <c r="G29" s="66">
        <f>AVERAGEIFS('BA History S2'!C:C,'BA History S2'!B:B,A29)</f>
        <v>17.5</v>
      </c>
      <c r="H29" s="35">
        <f t="array" ref="H29">MAX(IF('BA History S2'!B:B=A29, 'BA History S2'!C:C))</f>
        <v>28</v>
      </c>
      <c r="I29" s="34">
        <f>COUNTIFS('BA History S2'!B:B,A29,'BA History S2'!D:D, 1)</f>
        <v>9</v>
      </c>
      <c r="J29" s="2">
        <f>COUNTIFS('BA History S2'!B:B,A29,'BA History S2'!D:D, 0)</f>
        <v>3</v>
      </c>
      <c r="K29" s="75">
        <f>LOOKUP(2, 1/('BA History S2'!$B:$B=A29), 'BA History S2'!$AJ:$AJ)</f>
        <v>0.75</v>
      </c>
      <c r="L29" s="34">
        <f>SUMIFS('BA History S2'!F:F,'BA History S2'!B:B,A29)</f>
        <v>29</v>
      </c>
      <c r="M29" s="2">
        <f>SUMIFS('BA History S2'!E:E,'BA History S2'!B:B,A29)-L29</f>
        <v>19</v>
      </c>
      <c r="N29" s="75">
        <f>LOOKUP(2, 1/('BA History S2'!$B:$B=A29), 'BA History S2'!$AH:$AH)</f>
        <v>0.60833333333333328</v>
      </c>
      <c r="O29" s="34">
        <f>SUMIFS('BA History S2'!H:H,'BA History S2'!B:B,A29)</f>
        <v>105</v>
      </c>
      <c r="P29" s="2">
        <f>SUMIFS('BA History S2'!G:G,'BA History S2'!B:B,A29)-O29</f>
        <v>93</v>
      </c>
      <c r="Q29" s="89">
        <f>LOOKUP(2, 1/('BA History S2'!$B:$B=A29), 'BA History S2'!$AI:$AI)</f>
        <v>0.52166666666666661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1</v>
      </c>
      <c r="AI29" s="2">
        <f>COUNTIFS('BA History S2'!$B:$B,$A$29,'BA History S2'!AB:AB, 1)</f>
        <v>4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1</v>
      </c>
      <c r="AM29" s="2">
        <f>COUNTIFS('BA History S2'!$B:$B,$A$29,'BA History S2'!AF:AF, 1)</f>
        <v>2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427</v>
      </c>
      <c r="G30" s="66">
        <f>AVERAGEIFS('BA History S2'!C:C,'BA History S2'!B:B,A30)</f>
        <v>22.473684210526315</v>
      </c>
      <c r="H30" s="35">
        <f t="array" ref="H30">MAX(IF('BA History S2'!B:B=A30, 'BA History S2'!C:C))</f>
        <v>36</v>
      </c>
      <c r="I30" s="34">
        <f>COUNTIFS('BA History S2'!B:B,A30,'BA History S2'!D:D, 1)</f>
        <v>10</v>
      </c>
      <c r="J30" s="2">
        <f>COUNTIFS('BA History S2'!B:B,A30,'BA History S2'!D:D, 0)</f>
        <v>9</v>
      </c>
      <c r="K30" s="75">
        <f>LOOKUP(2, 1/('BA History S2'!$B:$B=A30), 'BA History S2'!$AJ:$AJ)</f>
        <v>0.52631578947368418</v>
      </c>
      <c r="L30" s="34">
        <f>SUMIFS('BA History S2'!F:F,'BA History S2'!B:B,A30)</f>
        <v>38</v>
      </c>
      <c r="M30" s="2">
        <f>SUMIFS('BA History S2'!E:E,'BA History S2'!B:B,A30)-L30</f>
        <v>37</v>
      </c>
      <c r="N30" s="75">
        <f>LOOKUP(2, 1/('BA History S2'!$B:$B=A30), 'BA History S2'!$AH:$AH)</f>
        <v>0.5</v>
      </c>
      <c r="O30" s="34">
        <f>SUMIFS('BA History S2'!H:H,'BA History S2'!B:B,A30)</f>
        <v>155</v>
      </c>
      <c r="P30" s="2">
        <f>SUMIFS('BA History S2'!G:G,'BA History S2'!B:B,A30)-O30</f>
        <v>156</v>
      </c>
      <c r="Q30" s="89">
        <f>LOOKUP(2, 1/('BA History S2'!$B:$B=A30), 'BA History S2'!$AI:$AI)</f>
        <v>0.49157894736842106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S2'!$B:$B,$A$30,'BA History S2'!AA:AA, 1)</f>
        <v>1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4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335</v>
      </c>
      <c r="G32" s="66">
        <f>AVERAGEIFS('BA History S2'!C:C,'BA History S2'!B:B,A32)</f>
        <v>19.705882352941178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8</v>
      </c>
      <c r="K32" s="75">
        <f>LOOKUP(2, 1/('BA History S2'!$B:$B=A32), 'BA History S2'!$AJ:$AJ)</f>
        <v>0.52941176470588236</v>
      </c>
      <c r="L32" s="34">
        <f>SUMIFS('BA History S2'!F:F,'BA History S2'!B:B,A32)</f>
        <v>38</v>
      </c>
      <c r="M32" s="2">
        <f>SUMIFS('BA History S2'!E:E,'BA History S2'!B:B,A32)-L32</f>
        <v>31</v>
      </c>
      <c r="N32" s="75">
        <f>LOOKUP(2, 1/('BA History S2'!$B:$B=A32), 'BA History S2'!$AH:$AH)</f>
        <v>0.57647058823529418</v>
      </c>
      <c r="O32" s="34">
        <f>SUMIFS('BA History S2'!H:H,'BA History S2'!B:B,A32)</f>
        <v>152</v>
      </c>
      <c r="P32" s="2">
        <f>SUMIFS('BA History S2'!G:G,'BA History S2'!B:B,A32)-O32</f>
        <v>136</v>
      </c>
      <c r="Q32" s="89">
        <f>LOOKUP(2, 1/('BA History S2'!$B:$B=A32), 'BA History S2'!$AI:$AI)</f>
        <v>0.55882352941176472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16</v>
      </c>
      <c r="G34" s="66">
        <f>AVERAGEIFS('BA History S2'!C:C,'BA History S2'!B:B,A34)</f>
        <v>8</v>
      </c>
      <c r="H34" s="35">
        <f t="array" ref="H34">MAX(IF('BA History S2'!B:B=A34, 'BA History S2'!C:C))</f>
        <v>9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S2'!$AJ:$AJ)</f>
        <v>0</v>
      </c>
      <c r="L34" s="34">
        <f>SUMIFS('BA History S2'!F:F,'BA History S2'!B:B,A34)</f>
        <v>2</v>
      </c>
      <c r="M34" s="2">
        <f>SUMIFS('BA History S2'!E:E,'BA History S2'!B:B,A34)-L34</f>
        <v>6</v>
      </c>
      <c r="N34" s="75">
        <f>LOOKUP(2, 1/('BA History S2'!$B:$B=A34), 'BA History S2'!$AH:$AH)</f>
        <v>0.25</v>
      </c>
      <c r="O34" s="34">
        <f>SUMIFS('BA History S2'!H:H,'BA History S2'!B:B,A34)</f>
        <v>14</v>
      </c>
      <c r="P34" s="2">
        <f>SUMIFS('BA History S2'!G:G,'BA History S2'!B:B,A34)-O34</f>
        <v>19</v>
      </c>
      <c r="Q34" s="89">
        <f>LOOKUP(2, 1/('BA History S2'!$B:$B=A34), 'BA History S2'!$AI:$AI)</f>
        <v>0.42000000000000004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301</v>
      </c>
      <c r="G35" s="66">
        <f>AVERAGEIFS('BA History S2'!C:C,'BA History S2'!B:B,A35)</f>
        <v>27.363636363636363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4</v>
      </c>
      <c r="K35" s="75">
        <f>LOOKUP(2, 1/('BA History S2'!$B:$B=A35), 'BA History S2'!$AJ:$AJ)</f>
        <v>0.63636363636363635</v>
      </c>
      <c r="L35" s="34">
        <f>SUMIFS('BA History S2'!F:F,'BA History S2'!B:B,A35)</f>
        <v>26</v>
      </c>
      <c r="M35" s="2">
        <f>SUMIFS('BA History S2'!E:E,'BA History S2'!B:B,A35)-L35</f>
        <v>21</v>
      </c>
      <c r="N35" s="75">
        <f>LOOKUP(2, 1/('BA History S2'!$B:$B=A35), 'BA History S2'!$AH:$AH)</f>
        <v>0.5636363636363636</v>
      </c>
      <c r="O35" s="34">
        <f>SUMIFS('BA History S2'!H:H,'BA History S2'!B:B,A35)</f>
        <v>106</v>
      </c>
      <c r="P35" s="2">
        <f>SUMIFS('BA History S2'!G:G,'BA History S2'!B:B,A35)-O35</f>
        <v>98</v>
      </c>
      <c r="Q35" s="89">
        <f>LOOKUP(2, 1/('BA History S2'!$B:$B=A35), 'BA History S2'!$AI:$AI)</f>
        <v>0.52363636363636357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1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247</v>
      </c>
      <c r="G36" s="66">
        <f>AVERAGEIFS('BA History S2'!C:C,'BA History S2'!B:B,A36)</f>
        <v>14.529411764705882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8</v>
      </c>
      <c r="K36" s="75">
        <f>LOOKUP(2, 1/('BA History S2'!$B:$B=A36), 'BA History S2'!$AJ:$AJ)</f>
        <v>0.52941176470588236</v>
      </c>
      <c r="L36" s="34">
        <f>SUMIFS('BA History S2'!F:F,'BA History S2'!B:B,A36)</f>
        <v>31</v>
      </c>
      <c r="M36" s="2">
        <f>SUMIFS('BA History S2'!E:E,'BA History S2'!B:B,A36)-L36</f>
        <v>35</v>
      </c>
      <c r="N36" s="75">
        <f>LOOKUP(2, 1/('BA History S2'!$B:$B=A36), 'BA History S2'!$AH:$AH)</f>
        <v>0.438235294117647</v>
      </c>
      <c r="O36" s="34">
        <f>SUMIFS('BA History S2'!H:H,'BA History S2'!B:B,A36)</f>
        <v>133</v>
      </c>
      <c r="P36" s="2">
        <f>SUMIFS('BA History S2'!G:G,'BA History S2'!B:B,A36)-O36</f>
        <v>139</v>
      </c>
      <c r="Q36" s="89">
        <f>LOOKUP(2, 1/('BA History S2'!$B:$B=A36), 'BA History S2'!$AI:$AI)</f>
        <v>0.47529411764705881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99"/>
  <sheetViews>
    <sheetView workbookViewId="0">
      <pane xSplit="2" ySplit="1" topLeftCell="K302" activePane="bottomRight" state="frozen"/>
      <selection pane="topRight" activeCell="C1" sqref="C1"/>
      <selection pane="bottomLeft" activeCell="A2" sqref="A2"/>
      <selection pane="bottomRight" activeCell="AG257" sqref="AG25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2026-05-03T21:52:27Z</dcterms:modified>
</cp:coreProperties>
</file>