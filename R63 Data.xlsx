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144B73EB-3C52-4F01-A4DD-9961C42868EE}" xr6:coauthVersionLast="47" xr6:coauthVersionMax="47" xr10:uidLastSave="{00000000-0000-0000-0000-000000000000}"/>
  <bookViews>
    <workbookView xWindow="-120" yWindow="-120" windowWidth="38640" windowHeight="21120" activeTab="5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History'!$A$1:$AI$387</definedName>
    <definedName name="_xlnm._FilterDatabase" localSheetId="5" hidden="1">'BA v2'!$A$1:$AH$45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F388" i="9" l="1"/>
  <c r="AG388" i="9"/>
  <c r="AH388" i="9"/>
  <c r="AI388" i="9"/>
  <c r="AF389" i="9"/>
  <c r="AG389" i="9"/>
  <c r="AH389" i="9"/>
  <c r="AI389" i="9"/>
  <c r="AF390" i="9"/>
  <c r="AG390" i="9"/>
  <c r="AH390" i="9"/>
  <c r="AI390" i="9"/>
  <c r="AF391" i="9"/>
  <c r="AG391" i="9"/>
  <c r="AH391" i="9"/>
  <c r="AI391" i="9"/>
  <c r="AF392" i="9"/>
  <c r="AG392" i="9"/>
  <c r="AH392" i="9"/>
  <c r="AI392" i="9"/>
  <c r="AF393" i="9"/>
  <c r="AG393" i="9"/>
  <c r="AH393" i="9"/>
  <c r="AI393" i="9"/>
  <c r="AF394" i="9"/>
  <c r="AG394" i="9"/>
  <c r="AH394" i="9"/>
  <c r="AI394" i="9"/>
  <c r="AF395" i="9"/>
  <c r="AG395" i="9"/>
  <c r="AH395" i="9"/>
  <c r="AI395" i="9"/>
  <c r="AF396" i="9"/>
  <c r="AG396" i="9"/>
  <c r="AH396" i="9"/>
  <c r="AI396" i="9"/>
  <c r="AF397" i="9"/>
  <c r="AG397" i="9"/>
  <c r="AH397" i="9"/>
  <c r="AI397" i="9"/>
  <c r="AF398" i="9"/>
  <c r="AG398" i="9"/>
  <c r="AH398" i="9"/>
  <c r="AI398" i="9"/>
  <c r="AF399" i="9"/>
  <c r="AG399" i="9"/>
  <c r="AH399" i="9"/>
  <c r="AI399" i="9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O17" i="11"/>
  <c r="N17" i="11"/>
  <c r="M17" i="11"/>
  <c r="L17" i="11"/>
  <c r="K17" i="11"/>
  <c r="J17" i="11"/>
  <c r="I17" i="11"/>
  <c r="H17" i="11"/>
  <c r="G17" i="11"/>
  <c r="E17" i="11"/>
  <c r="D17" i="11"/>
  <c r="F17" i="11" a="1"/>
  <c r="F17" i="11" s="1"/>
  <c r="Z331" i="10"/>
  <c r="AA331" i="10"/>
  <c r="AB331" i="10"/>
  <c r="AC331" i="10"/>
  <c r="Z332" i="10"/>
  <c r="AA332" i="10"/>
  <c r="AB332" i="10"/>
  <c r="AC332" i="10"/>
  <c r="Z333" i="10"/>
  <c r="AA333" i="10"/>
  <c r="AB333" i="10"/>
  <c r="AC333" i="10"/>
  <c r="Z334" i="10"/>
  <c r="AA334" i="10"/>
  <c r="AB334" i="10"/>
  <c r="AC334" i="10"/>
  <c r="Z335" i="10"/>
  <c r="AA335" i="10"/>
  <c r="AB335" i="10"/>
  <c r="AC335" i="10"/>
  <c r="Z336" i="10"/>
  <c r="AA336" i="10"/>
  <c r="AB336" i="10"/>
  <c r="AC336" i="10"/>
  <c r="Z337" i="10"/>
  <c r="AA337" i="10"/>
  <c r="AB337" i="10"/>
  <c r="AC337" i="10"/>
  <c r="Z338" i="10"/>
  <c r="AA338" i="10"/>
  <c r="AB338" i="10"/>
  <c r="AC338" i="10"/>
  <c r="Z339" i="10"/>
  <c r="AA339" i="10"/>
  <c r="AB339" i="10"/>
  <c r="AC339" i="10"/>
  <c r="Z340" i="10"/>
  <c r="AA340" i="10"/>
  <c r="AB340" i="10"/>
  <c r="AC340" i="10"/>
  <c r="Z341" i="10"/>
  <c r="AA341" i="10"/>
  <c r="AB341" i="10"/>
  <c r="AC341" i="10"/>
  <c r="Z342" i="10"/>
  <c r="AA342" i="10"/>
  <c r="AB342" i="10"/>
  <c r="AC342" i="10"/>
  <c r="Z343" i="10"/>
  <c r="AA343" i="10"/>
  <c r="AB343" i="10"/>
  <c r="AC343" i="10"/>
  <c r="Z344" i="10"/>
  <c r="AA344" i="10"/>
  <c r="AB344" i="10"/>
  <c r="AC344" i="10"/>
  <c r="Z345" i="10"/>
  <c r="AA345" i="10"/>
  <c r="AB345" i="10"/>
  <c r="AC345" i="10"/>
  <c r="Z346" i="10"/>
  <c r="AA346" i="10"/>
  <c r="AB346" i="10"/>
  <c r="AC346" i="10"/>
  <c r="O11" i="12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N10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N9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N8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N7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N6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N5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N4" i="12"/>
  <c r="N3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N2" i="12"/>
  <c r="K3" i="12"/>
  <c r="L3" i="12" s="1"/>
  <c r="M3" i="12" s="1"/>
  <c r="K4" i="12"/>
  <c r="L4" i="12" s="1"/>
  <c r="M4" i="12" s="1"/>
  <c r="K5" i="12"/>
  <c r="L5" i="12" s="1"/>
  <c r="M5" i="12" s="1"/>
  <c r="K6" i="12"/>
  <c r="L6" i="12" s="1"/>
  <c r="M6" i="12" s="1"/>
  <c r="K7" i="12"/>
  <c r="L7" i="12" s="1"/>
  <c r="M7" i="12" s="1"/>
  <c r="K8" i="12"/>
  <c r="L8" i="12" s="1"/>
  <c r="M8" i="12" s="1"/>
  <c r="K9" i="12"/>
  <c r="L9" i="12" s="1"/>
  <c r="K10" i="12"/>
  <c r="L10" i="12" s="1"/>
  <c r="M10" i="12" s="1"/>
  <c r="K11" i="12"/>
  <c r="L11" i="12" s="1"/>
  <c r="M11" i="12" s="1"/>
  <c r="K12" i="12"/>
  <c r="L12" i="12" s="1"/>
  <c r="M12" i="12" s="1"/>
  <c r="K13" i="12"/>
  <c r="L13" i="12" s="1"/>
  <c r="M13" i="12" s="1"/>
  <c r="K14" i="12"/>
  <c r="L14" i="12" s="1"/>
  <c r="M14" i="12" s="1"/>
  <c r="K15" i="12"/>
  <c r="L15" i="12" s="1"/>
  <c r="M15" i="12" s="1"/>
  <c r="K16" i="12"/>
  <c r="L16" i="12" s="1"/>
  <c r="M16" i="12" s="1"/>
  <c r="K17" i="12"/>
  <c r="L17" i="12" s="1"/>
  <c r="K18" i="12"/>
  <c r="L18" i="12" s="1"/>
  <c r="M18" i="12" s="1"/>
  <c r="K19" i="12"/>
  <c r="L19" i="12" s="1"/>
  <c r="M19" i="12" s="1"/>
  <c r="K20" i="12"/>
  <c r="L20" i="12" s="1"/>
  <c r="M20" i="12" s="1"/>
  <c r="K21" i="12"/>
  <c r="L21" i="12" s="1"/>
  <c r="M21" i="12" s="1"/>
  <c r="K22" i="12"/>
  <c r="L22" i="12" s="1"/>
  <c r="M22" i="12" s="1"/>
  <c r="K23" i="12"/>
  <c r="L23" i="12" s="1"/>
  <c r="M23" i="12" s="1"/>
  <c r="K24" i="12"/>
  <c r="L24" i="12" s="1"/>
  <c r="K25" i="12"/>
  <c r="L25" i="12" s="1"/>
  <c r="M25" i="12" s="1"/>
  <c r="K26" i="12"/>
  <c r="L26" i="12" s="1"/>
  <c r="M26" i="12" s="1"/>
  <c r="K27" i="12"/>
  <c r="L27" i="12" s="1"/>
  <c r="M27" i="12" s="1"/>
  <c r="K28" i="12"/>
  <c r="L28" i="12" s="1"/>
  <c r="M28" i="12" s="1"/>
  <c r="K29" i="12"/>
  <c r="L29" i="12" s="1"/>
  <c r="M29" i="12" s="1"/>
  <c r="K30" i="12"/>
  <c r="L30" i="12" s="1"/>
  <c r="M30" i="12" s="1"/>
  <c r="K31" i="12"/>
  <c r="L31" i="12" s="1"/>
  <c r="M31" i="12" s="1"/>
  <c r="K32" i="12"/>
  <c r="L32" i="12" s="1"/>
  <c r="M32" i="12" s="1"/>
  <c r="K33" i="12"/>
  <c r="L33" i="12" s="1"/>
  <c r="K34" i="12"/>
  <c r="L34" i="12" s="1"/>
  <c r="K35" i="12"/>
  <c r="L35" i="12" s="1"/>
  <c r="K36" i="12"/>
  <c r="L36" i="12" s="1"/>
  <c r="M36" i="12" s="1"/>
  <c r="K37" i="12"/>
  <c r="L37" i="12" s="1"/>
  <c r="M37" i="12" s="1"/>
  <c r="K38" i="12"/>
  <c r="L38" i="12" s="1"/>
  <c r="M38" i="12" s="1"/>
  <c r="K39" i="12"/>
  <c r="L39" i="12" s="1"/>
  <c r="M39" i="12" s="1"/>
  <c r="K40" i="12"/>
  <c r="L40" i="12" s="1"/>
  <c r="K41" i="12"/>
  <c r="L41" i="12" s="1"/>
  <c r="M41" i="12" s="1"/>
  <c r="K42" i="12"/>
  <c r="L42" i="12" s="1"/>
  <c r="M42" i="12" s="1"/>
  <c r="K43" i="12"/>
  <c r="L43" i="12" s="1"/>
  <c r="K44" i="12"/>
  <c r="L44" i="12" s="1"/>
  <c r="K45" i="12"/>
  <c r="K2" i="12"/>
  <c r="L2" i="12" s="1"/>
  <c r="H3" i="12"/>
  <c r="I3" i="12" s="1"/>
  <c r="J3" i="12" s="1"/>
  <c r="H4" i="12"/>
  <c r="I4" i="12" s="1"/>
  <c r="J4" i="12" s="1"/>
  <c r="H5" i="12"/>
  <c r="I5" i="12" s="1"/>
  <c r="J5" i="12" s="1"/>
  <c r="H6" i="12"/>
  <c r="I6" i="12" s="1"/>
  <c r="J6" i="12" s="1"/>
  <c r="H7" i="12"/>
  <c r="I7" i="12" s="1"/>
  <c r="J7" i="12" s="1"/>
  <c r="H8" i="12"/>
  <c r="I8" i="12" s="1"/>
  <c r="J8" i="12" s="1"/>
  <c r="H9" i="12"/>
  <c r="I9" i="12" s="1"/>
  <c r="J9" i="12" s="1"/>
  <c r="H10" i="12"/>
  <c r="I10" i="12" s="1"/>
  <c r="J10" i="12" s="1"/>
  <c r="H11" i="12"/>
  <c r="I11" i="12" s="1"/>
  <c r="J11" i="12" s="1"/>
  <c r="H12" i="12"/>
  <c r="H13" i="12"/>
  <c r="I13" i="12" s="1"/>
  <c r="J13" i="12" s="1"/>
  <c r="H14" i="12"/>
  <c r="I14" i="12" s="1"/>
  <c r="J14" i="12" s="1"/>
  <c r="H15" i="12"/>
  <c r="I15" i="12" s="1"/>
  <c r="J15" i="12" s="1"/>
  <c r="H16" i="12"/>
  <c r="I16" i="12" s="1"/>
  <c r="J16" i="12" s="1"/>
  <c r="H17" i="12"/>
  <c r="I17" i="12" s="1"/>
  <c r="H18" i="12"/>
  <c r="I18" i="12" s="1"/>
  <c r="J18" i="12" s="1"/>
  <c r="H19" i="12"/>
  <c r="I19" i="12" s="1"/>
  <c r="J19" i="12" s="1"/>
  <c r="H20" i="12"/>
  <c r="I20" i="12" s="1"/>
  <c r="J20" i="12" s="1"/>
  <c r="H21" i="12"/>
  <c r="I21" i="12" s="1"/>
  <c r="J21" i="12" s="1"/>
  <c r="H22" i="12"/>
  <c r="I22" i="12" s="1"/>
  <c r="J22" i="12" s="1"/>
  <c r="H23" i="12"/>
  <c r="I23" i="12" s="1"/>
  <c r="J23" i="12" s="1"/>
  <c r="H24" i="12"/>
  <c r="I24" i="12" s="1"/>
  <c r="J24" i="12" s="1"/>
  <c r="H25" i="12"/>
  <c r="I25" i="12" s="1"/>
  <c r="J25" i="12" s="1"/>
  <c r="H26" i="12"/>
  <c r="I26" i="12" s="1"/>
  <c r="J26" i="12" s="1"/>
  <c r="H27" i="12"/>
  <c r="I27" i="12" s="1"/>
  <c r="J27" i="12" s="1"/>
  <c r="H28" i="12"/>
  <c r="I28" i="12" s="1"/>
  <c r="J28" i="12" s="1"/>
  <c r="H29" i="12"/>
  <c r="I29" i="12" s="1"/>
  <c r="J29" i="12" s="1"/>
  <c r="H30" i="12"/>
  <c r="I30" i="12" s="1"/>
  <c r="J30" i="12" s="1"/>
  <c r="H31" i="12"/>
  <c r="I31" i="12" s="1"/>
  <c r="J31" i="12" s="1"/>
  <c r="H32" i="12"/>
  <c r="I32" i="12" s="1"/>
  <c r="J32" i="12" s="1"/>
  <c r="H33" i="12"/>
  <c r="I33" i="12" s="1"/>
  <c r="H34" i="12"/>
  <c r="I34" i="12" s="1"/>
  <c r="H35" i="12"/>
  <c r="I35" i="12" s="1"/>
  <c r="J35" i="12" s="1"/>
  <c r="H36" i="12"/>
  <c r="I36" i="12" s="1"/>
  <c r="J36" i="12" s="1"/>
  <c r="H37" i="12"/>
  <c r="I37" i="12" s="1"/>
  <c r="J37" i="12" s="1"/>
  <c r="H38" i="12"/>
  <c r="I38" i="12" s="1"/>
  <c r="H39" i="12"/>
  <c r="I39" i="12" s="1"/>
  <c r="H40" i="12"/>
  <c r="I40" i="12" s="1"/>
  <c r="J40" i="12" s="1"/>
  <c r="H41" i="12"/>
  <c r="I41" i="12" s="1"/>
  <c r="J41" i="12" s="1"/>
  <c r="H42" i="12"/>
  <c r="I42" i="12" s="1"/>
  <c r="J42" i="12" s="1"/>
  <c r="H43" i="12"/>
  <c r="I43" i="12" s="1"/>
  <c r="J43" i="12" s="1"/>
  <c r="H44" i="12"/>
  <c r="I44" i="12" s="1"/>
  <c r="J44" i="12" s="1"/>
  <c r="H45" i="12"/>
  <c r="I45" i="12" s="1"/>
  <c r="J45" i="12" s="1"/>
  <c r="H2" i="12"/>
  <c r="I2" i="12" s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2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3" i="12"/>
  <c r="E4" i="12"/>
  <c r="E5" i="12"/>
  <c r="G5" i="12" s="1"/>
  <c r="E6" i="12"/>
  <c r="E7" i="12"/>
  <c r="G7" i="12" s="1"/>
  <c r="E8" i="12"/>
  <c r="E9" i="12"/>
  <c r="G9" i="12" s="1"/>
  <c r="E10" i="12"/>
  <c r="G10" i="12" s="1"/>
  <c r="E11" i="12"/>
  <c r="G11" i="12" s="1"/>
  <c r="E2" i="12"/>
  <c r="D3" i="12" a="1"/>
  <c r="D3" i="12" s="1"/>
  <c r="D4" i="12" a="1"/>
  <c r="D4" i="12" s="1"/>
  <c r="D5" i="12" a="1"/>
  <c r="D5" i="12" s="1"/>
  <c r="D6" i="12" a="1"/>
  <c r="D6" i="12" s="1"/>
  <c r="D7" i="12" a="1"/>
  <c r="D7" i="12" s="1"/>
  <c r="D8" i="12" a="1"/>
  <c r="D8" i="12" s="1"/>
  <c r="D9" i="12" a="1"/>
  <c r="D9" i="12" s="1"/>
  <c r="D10" i="12" a="1"/>
  <c r="D10" i="12" s="1"/>
  <c r="D11" i="12" a="1"/>
  <c r="D11" i="12" s="1"/>
  <c r="D12" i="12" a="1"/>
  <c r="D12" i="12" s="1"/>
  <c r="D13" i="12" a="1"/>
  <c r="D13" i="12" s="1"/>
  <c r="D14" i="12" a="1"/>
  <c r="D14" i="12" s="1"/>
  <c r="D15" i="12" a="1"/>
  <c r="D15" i="12" s="1"/>
  <c r="D16" i="12" a="1"/>
  <c r="D16" i="12" s="1"/>
  <c r="D17" i="12" a="1"/>
  <c r="D17" i="12" s="1"/>
  <c r="D18" i="12" a="1"/>
  <c r="D18" i="12" s="1"/>
  <c r="D19" i="12" a="1"/>
  <c r="D19" i="12" s="1"/>
  <c r="D20" i="12" a="1"/>
  <c r="D20" i="12" s="1"/>
  <c r="D21" i="12" a="1"/>
  <c r="D21" i="12" s="1"/>
  <c r="D22" i="12" a="1"/>
  <c r="D22" i="12" s="1"/>
  <c r="D23" i="12" a="1"/>
  <c r="D23" i="12" s="1"/>
  <c r="D24" i="12" a="1"/>
  <c r="D24" i="12" s="1"/>
  <c r="D25" i="12" a="1"/>
  <c r="D25" i="12" s="1"/>
  <c r="D26" i="12" a="1"/>
  <c r="D26" i="12" s="1"/>
  <c r="D27" i="12" a="1"/>
  <c r="D27" i="12" s="1"/>
  <c r="D28" i="12" a="1"/>
  <c r="D28" i="12" s="1"/>
  <c r="D29" i="12" a="1"/>
  <c r="D29" i="12" s="1"/>
  <c r="D30" i="12" a="1"/>
  <c r="D30" i="12" s="1"/>
  <c r="D31" i="12" a="1"/>
  <c r="D31" i="12" s="1"/>
  <c r="D32" i="12" a="1"/>
  <c r="D32" i="12" s="1"/>
  <c r="D33" i="12" a="1"/>
  <c r="D33" i="12" s="1"/>
  <c r="D34" i="12" a="1"/>
  <c r="D34" i="12" s="1"/>
  <c r="D35" i="12" a="1"/>
  <c r="D35" i="12" s="1"/>
  <c r="D36" i="12" a="1"/>
  <c r="D36" i="12" s="1"/>
  <c r="D37" i="12" a="1"/>
  <c r="D37" i="12" s="1"/>
  <c r="D38" i="12" a="1"/>
  <c r="D38" i="12" s="1"/>
  <c r="D39" i="12" a="1"/>
  <c r="D39" i="12" s="1"/>
  <c r="D40" i="12" a="1"/>
  <c r="D40" i="12" s="1"/>
  <c r="D41" i="12" a="1"/>
  <c r="D41" i="12" s="1"/>
  <c r="D42" i="12" a="1"/>
  <c r="D42" i="12" s="1"/>
  <c r="D43" i="12" a="1"/>
  <c r="D43" i="12" s="1"/>
  <c r="D44" i="12" a="1"/>
  <c r="D44" i="12" s="1"/>
  <c r="D45" i="12" a="1"/>
  <c r="D45" i="12" s="1"/>
  <c r="D2" i="12" a="1"/>
  <c r="D2" i="12" s="1"/>
  <c r="C12" i="12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3" i="12"/>
  <c r="C4" i="12"/>
  <c r="C5" i="12"/>
  <c r="C6" i="12"/>
  <c r="C7" i="12"/>
  <c r="C8" i="12"/>
  <c r="C9" i="12"/>
  <c r="C10" i="12"/>
  <c r="C11" i="12"/>
  <c r="C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2" i="12"/>
  <c r="M45" i="12"/>
  <c r="G27" i="12"/>
  <c r="G25" i="12"/>
  <c r="G24" i="12"/>
  <c r="G23" i="12"/>
  <c r="G22" i="12"/>
  <c r="G21" i="12"/>
  <c r="G20" i="12"/>
  <c r="G18" i="12"/>
  <c r="G17" i="12"/>
  <c r="G16" i="12"/>
  <c r="G15" i="12"/>
  <c r="G14" i="12"/>
  <c r="G13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7" i="11"/>
  <c r="R37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P37" i="11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M2" i="11"/>
  <c r="N2" i="11" s="1"/>
  <c r="J3" i="11"/>
  <c r="K3" i="11" s="1"/>
  <c r="L3" i="11" s="1"/>
  <c r="J4" i="11"/>
  <c r="K4" i="11" s="1"/>
  <c r="J5" i="11"/>
  <c r="K5" i="11" s="1"/>
  <c r="J6" i="11"/>
  <c r="K6" i="11" s="1"/>
  <c r="J7" i="11"/>
  <c r="K7" i="11" s="1"/>
  <c r="J8" i="11"/>
  <c r="K8" i="11" s="1"/>
  <c r="J9" i="11"/>
  <c r="K9" i="11" s="1"/>
  <c r="L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J16" i="11"/>
  <c r="K16" i="11" s="1"/>
  <c r="L16" i="11" s="1"/>
  <c r="J18" i="11"/>
  <c r="K18" i="11" s="1"/>
  <c r="L18" i="11" s="1"/>
  <c r="J19" i="11"/>
  <c r="K19" i="11" s="1"/>
  <c r="J20" i="11"/>
  <c r="K20" i="11" s="1"/>
  <c r="L20" i="11" s="1"/>
  <c r="J21" i="11"/>
  <c r="K21" i="11" s="1"/>
  <c r="L21" i="11" s="1"/>
  <c r="J22" i="11"/>
  <c r="K22" i="11" s="1"/>
  <c r="L22" i="11" s="1"/>
  <c r="J23" i="11"/>
  <c r="K23" i="11" s="1"/>
  <c r="L23" i="11" s="1"/>
  <c r="J24" i="11"/>
  <c r="K24" i="11" s="1"/>
  <c r="J25" i="11"/>
  <c r="K25" i="11" s="1"/>
  <c r="J26" i="11"/>
  <c r="K26" i="11" s="1"/>
  <c r="L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L31" i="11" s="1"/>
  <c r="J32" i="11"/>
  <c r="K32" i="11" s="1"/>
  <c r="J33" i="11"/>
  <c r="K33" i="11" s="1"/>
  <c r="L33" i="11" s="1"/>
  <c r="J34" i="11"/>
  <c r="K34" i="11" s="1"/>
  <c r="L34" i="11" s="1"/>
  <c r="J35" i="11"/>
  <c r="K35" i="11" s="1"/>
  <c r="J36" i="11"/>
  <c r="K36" i="11" s="1"/>
  <c r="L36" i="11" s="1"/>
  <c r="J37" i="11"/>
  <c r="K37" i="11" s="1"/>
  <c r="L37" i="11" s="1"/>
  <c r="J2" i="11"/>
  <c r="K2" i="11" s="1"/>
  <c r="L2" i="11" s="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8" i="11"/>
  <c r="G19" i="11"/>
  <c r="I19" i="11" s="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2" i="11"/>
  <c r="M3" i="11"/>
  <c r="N3" i="11" s="1"/>
  <c r="M4" i="11"/>
  <c r="N4" i="11" s="1"/>
  <c r="O4" i="11" s="1"/>
  <c r="M5" i="11"/>
  <c r="N5" i="11" s="1"/>
  <c r="O5" i="11" s="1"/>
  <c r="M6" i="11"/>
  <c r="N6" i="11" s="1"/>
  <c r="O6" i="11" s="1"/>
  <c r="M7" i="11"/>
  <c r="N7" i="11" s="1"/>
  <c r="O7" i="11" s="1"/>
  <c r="M9" i="11"/>
  <c r="N9" i="11" s="1"/>
  <c r="O9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8" i="11"/>
  <c r="N18" i="11" s="1"/>
  <c r="O18" i="11" s="1"/>
  <c r="M19" i="11"/>
  <c r="N19" i="11" s="1"/>
  <c r="O19" i="11" s="1"/>
  <c r="M20" i="11"/>
  <c r="N20" i="11" s="1"/>
  <c r="O20" i="11" s="1"/>
  <c r="M21" i="11"/>
  <c r="N21" i="11" s="1"/>
  <c r="O21" i="11" s="1"/>
  <c r="M22" i="11"/>
  <c r="M23" i="11"/>
  <c r="N23" i="11" s="1"/>
  <c r="M24" i="11"/>
  <c r="N24" i="11" s="1"/>
  <c r="M25" i="11"/>
  <c r="N25" i="11" s="1"/>
  <c r="M26" i="11"/>
  <c r="N26" i="11" s="1"/>
  <c r="M27" i="11"/>
  <c r="N27" i="11" s="1"/>
  <c r="M28" i="11"/>
  <c r="N28" i="11" s="1"/>
  <c r="O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O35" i="11" s="1"/>
  <c r="M36" i="11"/>
  <c r="N36" i="11" s="1"/>
  <c r="M37" i="11"/>
  <c r="N37" i="11" s="1"/>
  <c r="O37" i="11" s="1"/>
  <c r="F9" i="11" a="1"/>
  <c r="F9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8" i="11" a="1"/>
  <c r="F18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37" i="11" a="1"/>
  <c r="F37" i="11" s="1"/>
  <c r="F2" i="11" a="1"/>
  <c r="F2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E2" i="11"/>
  <c r="E3" i="11"/>
  <c r="E4" i="11"/>
  <c r="E5" i="11"/>
  <c r="E6" i="11"/>
  <c r="E7" i="11"/>
  <c r="E9" i="11"/>
  <c r="E10" i="11"/>
  <c r="E11" i="11"/>
  <c r="E12" i="11"/>
  <c r="E13" i="11"/>
  <c r="E14" i="11"/>
  <c r="E15" i="11"/>
  <c r="E16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D8" i="11"/>
  <c r="D9" i="11"/>
  <c r="D10" i="11"/>
  <c r="D11" i="11"/>
  <c r="D12" i="11"/>
  <c r="D13" i="11"/>
  <c r="D14" i="11"/>
  <c r="D15" i="11"/>
  <c r="D16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2" i="11"/>
  <c r="D3" i="11"/>
  <c r="D4" i="11"/>
  <c r="D5" i="11"/>
  <c r="D6" i="11"/>
  <c r="D7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8" i="11"/>
  <c r="N8" i="11" s="1"/>
  <c r="E8" i="11"/>
  <c r="Z9" i="10"/>
  <c r="I18" i="11"/>
  <c r="I15" i="11"/>
  <c r="I11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G3" i="12" l="1"/>
  <c r="G8" i="12"/>
  <c r="G4" i="12"/>
  <c r="G6" i="12"/>
  <c r="G31" i="12"/>
  <c r="G12" i="12"/>
  <c r="I12" i="12"/>
  <c r="J12" i="12" s="1"/>
  <c r="G36" i="12"/>
  <c r="J34" i="12"/>
  <c r="G35" i="12"/>
  <c r="G19" i="12"/>
  <c r="M40" i="12"/>
  <c r="M24" i="12"/>
  <c r="M9" i="12"/>
  <c r="G26" i="12"/>
  <c r="J39" i="12"/>
  <c r="J38" i="12"/>
  <c r="M35" i="12"/>
  <c r="M34" i="12"/>
  <c r="M33" i="12"/>
  <c r="M17" i="12"/>
  <c r="M44" i="12"/>
  <c r="M43" i="12"/>
  <c r="M2" i="12"/>
  <c r="J33" i="12"/>
  <c r="J17" i="12"/>
  <c r="G30" i="12"/>
  <c r="G45" i="12"/>
  <c r="G29" i="12"/>
  <c r="G44" i="12"/>
  <c r="G28" i="12"/>
  <c r="G43" i="12"/>
  <c r="G42" i="12"/>
  <c r="G41" i="12"/>
  <c r="G40" i="12"/>
  <c r="G39" i="12"/>
  <c r="G38" i="12"/>
  <c r="G37" i="12"/>
  <c r="G34" i="12"/>
  <c r="G33" i="12"/>
  <c r="G32" i="12"/>
  <c r="G2" i="12"/>
  <c r="L32" i="11"/>
  <c r="L15" i="11"/>
  <c r="L7" i="11"/>
  <c r="L35" i="11"/>
  <c r="L19" i="11"/>
  <c r="I21" i="11"/>
  <c r="I24" i="11"/>
  <c r="I22" i="11"/>
  <c r="I20" i="11"/>
  <c r="I14" i="11"/>
  <c r="I13" i="11"/>
  <c r="I12" i="11"/>
  <c r="I16" i="11"/>
  <c r="I23" i="11"/>
  <c r="L5" i="11"/>
  <c r="L4" i="11"/>
  <c r="O24" i="11"/>
  <c r="O3" i="11"/>
  <c r="I10" i="11"/>
  <c r="N22" i="11"/>
  <c r="O22" i="11" s="1"/>
  <c r="I9" i="11"/>
  <c r="I25" i="11"/>
  <c r="O2" i="11"/>
  <c r="O23" i="11"/>
  <c r="L24" i="11"/>
  <c r="O27" i="11"/>
  <c r="O26" i="11"/>
  <c r="O36" i="11"/>
  <c r="O25" i="11"/>
  <c r="L6" i="11"/>
  <c r="L25" i="11"/>
  <c r="I3" i="11"/>
  <c r="I4" i="11"/>
  <c r="I5" i="11"/>
  <c r="I2" i="11"/>
  <c r="I7" i="11"/>
  <c r="I6" i="11"/>
  <c r="I35" i="11"/>
  <c r="I34" i="11"/>
  <c r="I33" i="11"/>
  <c r="I32" i="11"/>
  <c r="I31" i="11"/>
  <c r="I30" i="11"/>
  <c r="I29" i="11"/>
  <c r="I28" i="11"/>
  <c r="I27" i="11"/>
  <c r="I26" i="11"/>
  <c r="I37" i="11"/>
  <c r="I36" i="11"/>
  <c r="L8" i="11"/>
  <c r="O8" i="11"/>
  <c r="I8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J2" i="12"/>
</calcChain>
</file>

<file path=xl/sharedStrings.xml><?xml version="1.0" encoding="utf-8"?>
<sst xmlns="http://schemas.openxmlformats.org/spreadsheetml/2006/main" count="1446" uniqueCount="142">
  <si>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</si>
  <si>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</si>
  <si>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</si>
  <si>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</si>
  <si>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</si>
  <si>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</si>
  <si>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</si>
  <si>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</si>
  <si>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</si>
  <si>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</si>
  <si>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</si>
  <si>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</si>
  <si>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</si>
  <si>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</si>
  <si>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</si>
  <si>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</si>
  <si>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</si>
  <si>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</si>
  <si>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</si>
  <si>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</si>
  <si>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</si>
  <si>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</si>
  <si>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</si>
  <si>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</si>
  <si>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</si>
  <si>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</si>
  <si>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</si>
  <si>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</si>
  <si>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</si>
  <si>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</si>
  <si>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</si>
  <si>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</si>
  <si>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</si>
  <si>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</si>
  <si>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</si>
  <si>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</si>
  <si>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</si>
  <si>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</si>
  <si>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</si>
  <si>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</si>
  <si>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</si>
  <si>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</si>
  <si>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</si>
  <si>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</si>
  <si>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</si>
  <si>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</si>
  <si>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</si>
  <si>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</si>
  <si>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</si>
  <si>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</si>
  <si>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</si>
  <si>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</si>
  <si>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</si>
  <si>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</si>
  <si>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</si>
  <si>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</si>
  <si>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</si>
  <si>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</si>
  <si>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</si>
  <si>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</si>
  <si>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</si>
  <si>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</si>
  <si>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</si>
  <si>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</si>
  <si>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</si>
  <si>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</si>
  <si>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</si>
  <si>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</si>
  <si>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</si>
  <si>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</si>
  <si>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</si>
  <si>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</si>
  <si>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</si>
  <si>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</si>
  <si>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</si>
  <si>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</si>
  <si>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</si>
  <si>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</si>
  <si>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</si>
  <si>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</si>
  <si>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</si>
  <si>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</si>
  <si>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</si>
  <si>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</si>
  <si>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</si>
  <si>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</si>
  <si>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</si>
  <si>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</si>
  <si>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</si>
  <si>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</si>
  <si>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</si>
  <si>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</si>
  <si>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</si>
  <si>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</si>
  <si>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</si>
  <si>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</si>
  <si>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</si>
  <si>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</si>
  <si>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</si>
  <si>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</si>
  <si>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</si>
  <si>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</si>
  <si>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</si>
  <si>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</si>
  <si>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</si>
  <si>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</si>
  <si>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</si>
  <si>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</si>
  <si>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</si>
  <si>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</si>
  <si>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</si>
  <si>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</si>
  <si>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</si>
  <si>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</si>
  <si>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</si>
  <si>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</si>
  <si>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</si>
  <si>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</si>
  <si>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</si>
  <si>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</si>
  <si>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</si>
  <si>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</si>
  <si>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</si>
  <si>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</si>
  <si>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</si>
  <si>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</si>
  <si>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</si>
  <si>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</si>
  <si>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</si>
  <si>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</si>
  <si>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</si>
  <si>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</si>
  <si>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</si>
  <si>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</si>
  <si>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</si>
  <si>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</si>
  <si>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</si>
  <si>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</si>
  <si>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Tail</t>
  </si>
  <si>
    <t>Entomb</t>
  </si>
  <si>
    <t>Hobbs</t>
  </si>
  <si>
    <t>Krazy Gunner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</si>
</sst>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5"/>
  <sheetViews>
    <sheetView workbookViewId="0">
      <pane xSplit="1" ySplit="1" topLeftCell="L2" activePane="bottomRight" state="frozen"/>
      <selection pane="topRight" activeCell="B1" sqref="B1"/>
      <selection pane="bottomLeft" activeCell="A2" sqref="A2"/>
      <selection pane="bottomRight" activeCell="M13" sqref="M13:N13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89">
        <f>SUMIFS('OB History'!C:C,'OB History'!B:B,A2)</f>
        <v>220</v>
      </c>
      <c r="E2" s="90">
        <f>AVERAGEIFS('OB History'!C:C,'OB History'!B:B,A2)</f>
        <v>18.333333333333332</v>
      </c>
      <c r="F2" s="91">
        <f t="array" ref="F2">MAX(IF('OB History'!B:B=A2, 'OB History'!C:C))</f>
        <v>30</v>
      </c>
      <c r="G2" s="89">
        <f>COUNTIFS('OB History'!B:B,A2,'OB History'!D:D, 1)</f>
        <v>5</v>
      </c>
      <c r="H2" s="92">
        <f>COUNTIFS('OB History'!B:B,A2,'OB History'!D:D, 0)</f>
        <v>7</v>
      </c>
      <c r="I2" s="41">
        <f t="shared" ref="I2:I37" si="0">G2/(G2+H2)</f>
        <v>0.41666666666666669</v>
      </c>
      <c r="J2" s="89">
        <f>SUMIFS('OB History'!F:F,'OB History'!B:B,A2)</f>
        <v>23</v>
      </c>
      <c r="K2" s="92">
        <f>SUMIFS('OB History'!E:E,'OB History'!B:B,A2)-J2</f>
        <v>26</v>
      </c>
      <c r="L2" s="41">
        <f t="shared" ref="L2:L37" si="1">J2/(J2+K2)</f>
        <v>0.46938775510204084</v>
      </c>
      <c r="M2" s="89">
        <f>SUMIFS('OB History'!H:H,'OB History'!B:B,A2)</f>
        <v>95</v>
      </c>
      <c r="N2" s="92">
        <f>SUMIFS('OB History'!G:G,'OB History'!B:B,A2)-M2</f>
        <v>102</v>
      </c>
      <c r="O2" s="41">
        <f t="shared" ref="O2:O37" si="2">M2/(M2+N2)</f>
        <v>0.48223350253807107</v>
      </c>
      <c r="P2" s="92">
        <f>COUNTIFS('OB History'!$B:$B,$A$2,'OB History'!K:K, 1)</f>
        <v>3</v>
      </c>
      <c r="Q2" s="92">
        <f>COUNTIFS('OB History'!$B:$B,$A$2,'OB History'!L:L, 1)</f>
        <v>0</v>
      </c>
      <c r="R2" s="92">
        <f>COUNTIFS('OB History'!$B:$B,$A$2,'OB History'!M:M, 1)</f>
        <v>0</v>
      </c>
      <c r="S2" s="92">
        <f>COUNTIFS('OB History'!$B:$B,$A$2,'OB History'!N:N, 1)</f>
        <v>4</v>
      </c>
      <c r="T2" s="92">
        <f>COUNTIFS('OB History'!$B:$B,$A$2,'OB History'!O:O, 1)</f>
        <v>0</v>
      </c>
      <c r="U2" s="92">
        <f>COUNTIFS('OB History'!$B:$B,$A$2,'OB History'!P:P, 1)</f>
        <v>3</v>
      </c>
      <c r="V2" s="92">
        <f>COUNTIFS('OB History'!$B:$B,$A$2,'OB History'!Q:Q, 1)</f>
        <v>0</v>
      </c>
      <c r="W2" s="92">
        <f>COUNTIFS('OB History'!$B:$B,$A$2,'OB History'!R:R, 1)</f>
        <v>0</v>
      </c>
      <c r="X2" s="92">
        <f>COUNTIFS('OB History'!$B:$B,$A$2,'OB History'!S:S, 1)</f>
        <v>0</v>
      </c>
      <c r="Y2" s="92">
        <f>COUNTIFS('OB History'!$B:$B,$A$2,'OB History'!T:T, 1)</f>
        <v>0</v>
      </c>
      <c r="Z2" s="92">
        <f>COUNTIFS('OB History'!$B:$B,$A$2,'OB History'!U:U, 1)</f>
        <v>0</v>
      </c>
      <c r="AA2" s="92">
        <f>COUNTIFS('OB History'!$B:$B,$A$2,'OB History'!V:V, 1)</f>
        <v>1</v>
      </c>
      <c r="AB2" s="92">
        <f>COUNTIFS('OB History'!$B:$B,$A$2,'OB History'!W:W, 1)</f>
        <v>6</v>
      </c>
      <c r="AC2" s="92">
        <f>COUNTIFS('OB History'!$B:$B,$A$2,'OB History'!X:X, 1)</f>
        <v>1</v>
      </c>
      <c r="AD2" s="92">
        <f>COUNTIFS('OB History'!$B:$B,$A$2,'OB History'!Y:Y, 1)</f>
        <v>5</v>
      </c>
    </row>
    <row r="3" spans="1:30" x14ac:dyDescent="0.25">
      <c r="A3" s="2" t="s">
        <v>34</v>
      </c>
      <c r="B3" s="2" t="s">
        <v>79</v>
      </c>
      <c r="C3" s="2" t="s">
        <v>79</v>
      </c>
      <c r="D3" s="89">
        <f>SUMIFS('OB History'!C:C,'OB History'!B:B,A3)</f>
        <v>11</v>
      </c>
      <c r="E3" s="90">
        <f>AVERAGEIFS('OB History'!C:C,'OB History'!B:B,A3)</f>
        <v>5.5</v>
      </c>
      <c r="F3" s="91">
        <f t="array" ref="F3">MAX(IF('OB History'!B:B=A3, 'OB History'!C:C))</f>
        <v>6</v>
      </c>
      <c r="G3" s="89">
        <f>COUNTIFS('OB History'!B:B,A3,'OB History'!D:D, 1)</f>
        <v>2</v>
      </c>
      <c r="H3" s="92">
        <f>COUNTIFS('OB History'!B:B,A3,'OB History'!D:D, 0)</f>
        <v>0</v>
      </c>
      <c r="I3" s="41">
        <f t="shared" si="0"/>
        <v>1</v>
      </c>
      <c r="J3" s="89">
        <f>SUMIFS('OB History'!F:F,'OB History'!B:B,A3)</f>
        <v>6</v>
      </c>
      <c r="K3" s="92">
        <f>SUMIFS('OB History'!E:E,'OB History'!B:B,A3)-J3</f>
        <v>1</v>
      </c>
      <c r="L3" s="41">
        <f t="shared" si="1"/>
        <v>0.8571428571428571</v>
      </c>
      <c r="M3" s="89">
        <f>SUMIFS('OB History'!H:H,'OB History'!B:B,'Old Bow v2'!A3)</f>
        <v>19</v>
      </c>
      <c r="N3" s="92">
        <f>SUMIFS('OB History'!G:G,'OB History'!B:B,'Old Bow v2'!A3)-M3</f>
        <v>8</v>
      </c>
      <c r="O3" s="41">
        <f t="shared" si="2"/>
        <v>0.70370370370370372</v>
      </c>
      <c r="P3" s="92">
        <f>COUNTIFS('OB History'!$B:$B,$A$3,'OB History'!K:K, 1)</f>
        <v>0</v>
      </c>
      <c r="Q3" s="92">
        <f>COUNTIFS('OB History'!$B:$B,$A$3,'OB History'!L:L, 1)</f>
        <v>1</v>
      </c>
      <c r="R3" s="92">
        <f>COUNTIFS('OB History'!$B:$B,$A$3,'OB History'!M:M, 1)</f>
        <v>0</v>
      </c>
      <c r="S3" s="92">
        <f>COUNTIFS('OB History'!$B:$B,$A$3,'OB History'!N:N, 1)</f>
        <v>2</v>
      </c>
      <c r="T3" s="92">
        <f>COUNTIFS('OB History'!$B:$B,$A$3,'OB History'!O:O, 1)</f>
        <v>0</v>
      </c>
      <c r="U3" s="92">
        <f>COUNTIFS('OB History'!$B:$B,$A$3,'OB History'!P:P, 1)</f>
        <v>1</v>
      </c>
      <c r="V3" s="92">
        <f>COUNTIFS('OB History'!$B:$B,$A$3,'OB History'!Q:Q, 1)</f>
        <v>0</v>
      </c>
      <c r="W3" s="92">
        <f>COUNTIFS('OB History'!$B:$B,$A$3,'OB History'!R:R, 1)</f>
        <v>0</v>
      </c>
      <c r="X3" s="92">
        <f>COUNTIFS('OB History'!$B:$B,$A$3,'OB History'!S:S, 1)</f>
        <v>0</v>
      </c>
      <c r="Y3" s="92">
        <f>COUNTIFS('OB History'!$B:$B,$A$3,'OB History'!T:T, 1)</f>
        <v>0</v>
      </c>
      <c r="Z3" s="92">
        <f>COUNTIFS('OB History'!$B:$B,$A$3,'OB History'!U:U, 1)</f>
        <v>0</v>
      </c>
      <c r="AA3" s="92">
        <f>COUNTIFS('OB History'!$B:$B,$A$3,'OB History'!V:V, 1)</f>
        <v>1</v>
      </c>
      <c r="AB3" s="92">
        <f>COUNTIFS('OB History'!$B:$B,$A$3,'OB History'!W:W, 1)</f>
        <v>1</v>
      </c>
      <c r="AC3" s="92">
        <f>COUNTIFS('OB History'!$B:$B,$A$3,'OB History'!X:X, 1)</f>
        <v>0</v>
      </c>
      <c r="AD3" s="92">
        <f>COUNTIFS('OB History'!$B:$B,$A$3,'OB History'!Y:Y, 1)</f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89">
        <f>SUMIFS('OB History'!C:C,'OB History'!B:B,A4)</f>
        <v>115</v>
      </c>
      <c r="E4" s="90">
        <f>AVERAGEIFS('OB History'!C:C,'OB History'!B:B,A4)</f>
        <v>10.454545454545455</v>
      </c>
      <c r="F4" s="91">
        <f t="array" ref="F4">MAX(IF('OB History'!B:B=A4, 'OB History'!C:C))</f>
        <v>21</v>
      </c>
      <c r="G4" s="89">
        <f>COUNTIFS('OB History'!B:B,A4,'OB History'!D:D, 1)</f>
        <v>7</v>
      </c>
      <c r="H4" s="92">
        <f>COUNTIFS('OB History'!B:B,A4,'OB History'!D:D, 0)</f>
        <v>4</v>
      </c>
      <c r="I4" s="41">
        <f t="shared" si="0"/>
        <v>0.63636363636363635</v>
      </c>
      <c r="J4" s="89">
        <f>SUMIFS('OB History'!F:F,'OB History'!B:B,A4)</f>
        <v>23</v>
      </c>
      <c r="K4" s="92">
        <f>SUMIFS('OB History'!E:E,'OB History'!B:B,A4)-J4</f>
        <v>20</v>
      </c>
      <c r="L4" s="41">
        <f t="shared" si="1"/>
        <v>0.53488372093023251</v>
      </c>
      <c r="M4" s="89">
        <f>SUMIFS('OB History'!H:H,'OB History'!B:B,'Old Bow v2'!A4)</f>
        <v>93</v>
      </c>
      <c r="N4" s="92">
        <f>SUMIFS('OB History'!G:G,'OB History'!B:B,'Old Bow v2'!A4)-M4</f>
        <v>81</v>
      </c>
      <c r="O4" s="41">
        <f t="shared" si="2"/>
        <v>0.53448275862068961</v>
      </c>
      <c r="P4" s="92">
        <f>COUNTIFS('OB History'!$B:$B,$A$4,'OB History'!K:K, 1)</f>
        <v>2</v>
      </c>
      <c r="Q4" s="92">
        <f>COUNTIFS('OB History'!$B:$B,$A$4,'OB History'!L:L, 1)</f>
        <v>2</v>
      </c>
      <c r="R4" s="92">
        <f>COUNTIFS('OB History'!$B:$B,$A$4,'OB History'!M:M, 1)</f>
        <v>0</v>
      </c>
      <c r="S4" s="92">
        <f>COUNTIFS('OB History'!$B:$B,$A$4,'OB History'!N:N, 1)</f>
        <v>3</v>
      </c>
      <c r="T4" s="92">
        <f>COUNTIFS('OB History'!$B:$B,$A$4,'OB History'!O:O, 1)</f>
        <v>0</v>
      </c>
      <c r="U4" s="92">
        <f>COUNTIFS('OB History'!$B:$B,$A$4,'OB History'!P:P, 1)</f>
        <v>5</v>
      </c>
      <c r="V4" s="92">
        <f>COUNTIFS('OB History'!$B:$B,$A$4,'OB History'!Q:Q, 1)</f>
        <v>0</v>
      </c>
      <c r="W4" s="92">
        <f>COUNTIFS('OB History'!$B:$B,$A$4,'OB History'!R:R, 1)</f>
        <v>0</v>
      </c>
      <c r="X4" s="92">
        <f>COUNTIFS('OB History'!$B:$B,$A$4,'OB History'!S:S, 1)</f>
        <v>0</v>
      </c>
      <c r="Y4" s="92">
        <f>COUNTIFS('OB History'!$B:$B,$A$4,'OB History'!T:T, 1)</f>
        <v>0</v>
      </c>
      <c r="Z4" s="92">
        <f>COUNTIFS('OB History'!$B:$B,$A$4,'OB History'!U:U, 1)</f>
        <v>0</v>
      </c>
      <c r="AA4" s="92">
        <f>COUNTIFS('OB History'!$B:$B,$A$4,'OB History'!V:V, 1)</f>
        <v>4</v>
      </c>
      <c r="AB4" s="92">
        <f>COUNTIFS('OB History'!$B:$B,$A$4,'OB History'!W:W, 1)</f>
        <v>3</v>
      </c>
      <c r="AC4" s="92">
        <f>COUNTIFS('OB History'!$B:$B,$A$4,'OB History'!X:X, 1)</f>
        <v>1</v>
      </c>
      <c r="AD4" s="92">
        <f>COUNTIFS('OB History'!$B:$B,$A$4,'OB History'!Y:Y, 1)</f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89">
        <f>SUMIFS('OB History'!C:C,'OB History'!B:B,A5)</f>
        <v>247</v>
      </c>
      <c r="E5" s="90">
        <f>AVERAGEIFS('OB History'!C:C,'OB History'!B:B,A5)</f>
        <v>11.761904761904763</v>
      </c>
      <c r="F5" s="91">
        <f t="array" ref="F5">MAX(IF('OB History'!B:B=A5, 'OB History'!C:C))</f>
        <v>26</v>
      </c>
      <c r="G5" s="89">
        <f>COUNTIFS('OB History'!B:B,A5,'OB History'!D:D, 1)</f>
        <v>7</v>
      </c>
      <c r="H5" s="92">
        <f>COUNTIFS('OB History'!B:B,A5,'OB History'!D:D, 0)</f>
        <v>14</v>
      </c>
      <c r="I5" s="41">
        <f t="shared" si="0"/>
        <v>0.33333333333333331</v>
      </c>
      <c r="J5" s="89">
        <f>SUMIFS('OB History'!F:F,'OB History'!B:B,A5)</f>
        <v>35</v>
      </c>
      <c r="K5" s="92">
        <f>SUMIFS('OB History'!E:E,'OB History'!B:B,A5)-J5</f>
        <v>51</v>
      </c>
      <c r="L5" s="41">
        <f t="shared" si="1"/>
        <v>0.40697674418604651</v>
      </c>
      <c r="M5" s="89">
        <f>SUMIFS('OB History'!H:H,'OB History'!B:B,'Old Bow v2'!A5)</f>
        <v>161</v>
      </c>
      <c r="N5" s="92">
        <f>SUMIFS('OB History'!G:G,'OB History'!B:B,'Old Bow v2'!A5)-M5</f>
        <v>191</v>
      </c>
      <c r="O5" s="41">
        <f t="shared" si="2"/>
        <v>0.45738636363636365</v>
      </c>
      <c r="P5" s="92">
        <f>COUNTIFS('OB History'!$B:$B,$A$5,'OB History'!K:K, 1)</f>
        <v>3</v>
      </c>
      <c r="Q5" s="92">
        <f>COUNTIFS('OB History'!$B:$B,$A$5,'OB History'!L:L, 1)</f>
        <v>0</v>
      </c>
      <c r="R5" s="92">
        <f>COUNTIFS('OB History'!$B:$B,$A$5,'OB History'!M:M, 1)</f>
        <v>0</v>
      </c>
      <c r="S5" s="92">
        <f>COUNTIFS('OB History'!$B:$B,$A$5,'OB History'!N:N, 1)</f>
        <v>3</v>
      </c>
      <c r="T5" s="92">
        <f>COUNTIFS('OB History'!$B:$B,$A$5,'OB History'!O:O, 1)</f>
        <v>0</v>
      </c>
      <c r="U5" s="92">
        <f>COUNTIFS('OB History'!$B:$B,$A$5,'OB History'!P:P, 1)</f>
        <v>5</v>
      </c>
      <c r="V5" s="92">
        <f>COUNTIFS('OB History'!$B:$B,$A$5,'OB History'!Q:Q, 1)</f>
        <v>1</v>
      </c>
      <c r="W5" s="92">
        <f>COUNTIFS('OB History'!$B:$B,$A$5,'OB History'!R:R, 1)</f>
        <v>0</v>
      </c>
      <c r="X5" s="92">
        <f>COUNTIFS('OB History'!$B:$B,$A$5,'OB History'!S:S, 1)</f>
        <v>1</v>
      </c>
      <c r="Y5" s="92">
        <f>COUNTIFS('OB History'!$B:$B,$A$5,'OB History'!T:T, 1)</f>
        <v>1</v>
      </c>
      <c r="Z5" s="92">
        <f>COUNTIFS('OB History'!$B:$B,$A$5,'OB History'!U:U, 1)</f>
        <v>0</v>
      </c>
      <c r="AA5" s="92">
        <f>COUNTIFS('OB History'!$B:$B,$A$5,'OB History'!V:V, 1)</f>
        <v>4</v>
      </c>
      <c r="AB5" s="92">
        <f>COUNTIFS('OB History'!$B:$B,$A$5,'OB History'!W:W, 1)</f>
        <v>10</v>
      </c>
      <c r="AC5" s="92">
        <f>COUNTIFS('OB History'!$B:$B,$A$5,'OB History'!X:X, 1)</f>
        <v>0</v>
      </c>
      <c r="AD5" s="92">
        <f>COUNTIFS('OB History'!$B:$B,$A$5,'OB History'!Y:Y, 1)</f>
        <v>6</v>
      </c>
    </row>
    <row r="6" spans="1:30" x14ac:dyDescent="0.25">
      <c r="A6" s="1" t="s">
        <v>42</v>
      </c>
      <c r="B6" s="72" t="s">
        <v>79</v>
      </c>
      <c r="C6" s="2" t="s">
        <v>79</v>
      </c>
      <c r="D6" s="89">
        <f>SUMIFS('OB History'!C:C,'OB History'!B:B,A6)</f>
        <v>15</v>
      </c>
      <c r="E6" s="90">
        <f>AVERAGEIFS('OB History'!C:C,'OB History'!B:B,A6)</f>
        <v>7.5</v>
      </c>
      <c r="F6" s="91">
        <f t="array" ref="F6">MAX(IF('OB History'!B:B=A6, 'OB History'!C:C))</f>
        <v>10</v>
      </c>
      <c r="G6" s="89">
        <f>COUNTIFS('OB History'!B:B,A6,'OB History'!D:D, 1)</f>
        <v>0</v>
      </c>
      <c r="H6" s="92">
        <f>COUNTIFS('OB History'!B:B,A6,'OB History'!D:D, 0)</f>
        <v>2</v>
      </c>
      <c r="I6" s="42">
        <f t="shared" si="0"/>
        <v>0</v>
      </c>
      <c r="J6" s="89">
        <f>SUMIFS('OB History'!F:F,'OB History'!B:B,A6)</f>
        <v>2</v>
      </c>
      <c r="K6" s="92">
        <f>SUMIFS('OB History'!E:E,'OB History'!B:B,A6)-J6</f>
        <v>6</v>
      </c>
      <c r="L6" s="42">
        <f t="shared" si="1"/>
        <v>0.25</v>
      </c>
      <c r="M6" s="89">
        <f>SUMIFS('OB History'!H:H,'OB History'!B:B,'Old Bow v2'!A6)</f>
        <v>9</v>
      </c>
      <c r="N6" s="92">
        <f>SUMIFS('OB History'!G:G,'OB History'!B:B,'Old Bow v2'!A6)-M6</f>
        <v>21</v>
      </c>
      <c r="O6" s="42">
        <f t="shared" si="2"/>
        <v>0.3</v>
      </c>
      <c r="P6" s="92">
        <f>COUNTIFS('OB History'!$B:$B,$A$6,'OB History'!K:K, 1)</f>
        <v>0</v>
      </c>
      <c r="Q6" s="92">
        <f>COUNTIFS('OB History'!$B:$B,$A$6,'OB History'!L:L, 1)</f>
        <v>0</v>
      </c>
      <c r="R6" s="92">
        <f>COUNTIFS('OB History'!$B:$B,$A$6,'OB History'!M:M, 1)</f>
        <v>0</v>
      </c>
      <c r="S6" s="92">
        <f>COUNTIFS('OB History'!$B:$B,$A$6,'OB History'!N:N, 1)</f>
        <v>0</v>
      </c>
      <c r="T6" s="92">
        <f>COUNTIFS('OB History'!$B:$B,$A$6,'OB History'!O:O, 1)</f>
        <v>0</v>
      </c>
      <c r="U6" s="92">
        <f>COUNTIFS('OB History'!$B:$B,$A$6,'OB History'!P:P, 1)</f>
        <v>0</v>
      </c>
      <c r="V6" s="92">
        <f>COUNTIFS('OB History'!$B:$B,$A$6,'OB History'!Q:Q, 1)</f>
        <v>0</v>
      </c>
      <c r="W6" s="92">
        <f>COUNTIFS('OB History'!$B:$B,$A$6,'OB History'!R:R, 1)</f>
        <v>0</v>
      </c>
      <c r="X6" s="92">
        <f>COUNTIFS('OB History'!$B:$B,$A$6,'OB History'!S:S, 1)</f>
        <v>0</v>
      </c>
      <c r="Y6" s="92">
        <f>COUNTIFS('OB History'!$B:$B,$A$6,'OB History'!T:T, 1)</f>
        <v>0</v>
      </c>
      <c r="Z6" s="92">
        <f>COUNTIFS('OB History'!$B:$B,$A$6,'OB History'!U:U, 1)</f>
        <v>1</v>
      </c>
      <c r="AA6" s="92">
        <f>COUNTIFS('OB History'!$B:$B,$A$6,'OB History'!V:V, 1)</f>
        <v>0</v>
      </c>
      <c r="AB6" s="92">
        <f>COUNTIFS('OB History'!$B:$B,$A$6,'OB History'!W:W, 1)</f>
        <v>0</v>
      </c>
      <c r="AC6" s="92">
        <f>COUNTIFS('OB History'!$B:$B,$A$6,'OB History'!X:X, 1)</f>
        <v>1</v>
      </c>
      <c r="AD6" s="92">
        <f>COUNTIFS('OB History'!$B:$B,$A$6,'OB History'!Y:Y, 1)</f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89">
        <f>SUMIFS('OB History'!C:C,'OB History'!B:B,A7)</f>
        <v>139</v>
      </c>
      <c r="E7" s="90">
        <f>AVERAGEIFS('OB History'!C:C,'OB History'!B:B,A7)</f>
        <v>15.444444444444445</v>
      </c>
      <c r="F7" s="91">
        <f t="array" ref="F7">MAX(IF('OB History'!B:B=A7, 'OB History'!C:C))</f>
        <v>22</v>
      </c>
      <c r="G7" s="89">
        <f>COUNTIFS('OB History'!B:B,A7,'OB History'!D:D, 1)</f>
        <v>5</v>
      </c>
      <c r="H7" s="92">
        <f>COUNTIFS('OB History'!B:B,A7,'OB History'!D:D, 0)</f>
        <v>4</v>
      </c>
      <c r="I7" s="41">
        <f t="shared" si="0"/>
        <v>0.55555555555555558</v>
      </c>
      <c r="J7" s="89">
        <f>SUMIFS('OB History'!F:F,'OB History'!B:B,A7)</f>
        <v>22</v>
      </c>
      <c r="K7" s="92">
        <f>SUMIFS('OB History'!E:E,'OB History'!B:B,A7)-J7</f>
        <v>15</v>
      </c>
      <c r="L7" s="41">
        <f t="shared" si="1"/>
        <v>0.59459459459459463</v>
      </c>
      <c r="M7" s="89">
        <f>SUMIFS('OB History'!H:H,'OB History'!B:B,'Old Bow v2'!A7)</f>
        <v>85</v>
      </c>
      <c r="N7" s="92">
        <f>SUMIFS('OB History'!G:G,'OB History'!B:B,'Old Bow v2'!A7)-M7</f>
        <v>69</v>
      </c>
      <c r="O7" s="41">
        <f t="shared" si="2"/>
        <v>0.55194805194805197</v>
      </c>
      <c r="P7" s="92">
        <f>COUNTIFS('OB History'!$B:$B,$A$7,'OB History'!K:K, 1)</f>
        <v>2</v>
      </c>
      <c r="Q7" s="92">
        <f>COUNTIFS('OB History'!$B:$B,$A$7,'OB History'!L:L, 1)</f>
        <v>0</v>
      </c>
      <c r="R7" s="92">
        <f>COUNTIFS('OB History'!$B:$B,$A$7,'OB History'!M:M, 1)</f>
        <v>0</v>
      </c>
      <c r="S7" s="92">
        <f>COUNTIFS('OB History'!$B:$B,$A$7,'OB History'!N:N, 1)</f>
        <v>2</v>
      </c>
      <c r="T7" s="92">
        <f>COUNTIFS('OB History'!$B:$B,$A$7,'OB History'!O:O, 1)</f>
        <v>0</v>
      </c>
      <c r="U7" s="92">
        <f>COUNTIFS('OB History'!$B:$B,$A$7,'OB History'!P:P, 1)</f>
        <v>3</v>
      </c>
      <c r="V7" s="92">
        <f>COUNTIFS('OB History'!$B:$B,$A$7,'OB History'!Q:Q, 1)</f>
        <v>2</v>
      </c>
      <c r="W7" s="92">
        <f>COUNTIFS('OB History'!$B:$B,$A$7,'OB History'!R:R, 1)</f>
        <v>1</v>
      </c>
      <c r="X7" s="92">
        <f>COUNTIFS('OB History'!$B:$B,$A$7,'OB History'!S:S, 1)</f>
        <v>0</v>
      </c>
      <c r="Y7" s="92">
        <f>COUNTIFS('OB History'!$B:$B,$A$7,'OB History'!T:T, 1)</f>
        <v>0</v>
      </c>
      <c r="Z7" s="92">
        <f>COUNTIFS('OB History'!$B:$B,$A$7,'OB History'!U:U, 1)</f>
        <v>1</v>
      </c>
      <c r="AA7" s="92">
        <f>COUNTIFS('OB History'!$B:$B,$A$7,'OB History'!V:V, 1)</f>
        <v>2</v>
      </c>
      <c r="AB7" s="92">
        <f>COUNTIFS('OB History'!$B:$B,$A$7,'OB History'!W:W, 1)</f>
        <v>3</v>
      </c>
      <c r="AC7" s="92">
        <f>COUNTIFS('OB History'!$B:$B,$A$7,'OB History'!X:X, 1)</f>
        <v>2</v>
      </c>
      <c r="AD7" s="92">
        <f>COUNTIFS('OB History'!$B:$B,$A$7,'OB History'!Y:Y, 1)</f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89">
        <f>SUMIFS('OB History'!C:C,'OB History'!B:B,A8)</f>
        <v>174</v>
      </c>
      <c r="E8" s="90">
        <f>AVERAGEIFS('OB History'!C:C,'OB History'!B:B,A8)</f>
        <v>13.384615384615385</v>
      </c>
      <c r="F8" s="91">
        <f t="array" ref="F8">MAX(IF('OB History'!B:B=A8, 'OB History'!C:C))</f>
        <v>24</v>
      </c>
      <c r="G8" s="89">
        <f>COUNTIFS('OB History'!B:B,A8,'OB History'!D:D, 1)</f>
        <v>6</v>
      </c>
      <c r="H8" s="92">
        <f>COUNTIFS('OB History'!B:B,A8,'OB History'!D:D, 0)</f>
        <v>7</v>
      </c>
      <c r="I8" s="88">
        <f t="shared" si="0"/>
        <v>0.46153846153846156</v>
      </c>
      <c r="J8" s="89">
        <f>SUMIFS('OB History'!F:F,'OB History'!B:B,A8)</f>
        <v>25</v>
      </c>
      <c r="K8" s="92">
        <f>SUMIFS('OB History'!E:E,'OB History'!B:B,A8)-J8</f>
        <v>29</v>
      </c>
      <c r="L8" s="88">
        <f t="shared" si="1"/>
        <v>0.46296296296296297</v>
      </c>
      <c r="M8" s="89">
        <f>SUMIFS('OB History'!H:H,'OB History'!B:B,'Old Bow v2'!A8)</f>
        <v>107</v>
      </c>
      <c r="N8" s="92">
        <f>SUMIFS('OB History'!G:G,'OB History'!B:B,'Old Bow v2'!A8)-M8</f>
        <v>120</v>
      </c>
      <c r="O8" s="88">
        <f t="shared" si="2"/>
        <v>0.47136563876651982</v>
      </c>
      <c r="P8" s="92">
        <f>COUNTIFS('OB History'!$B:$B,$A$8,'OB History'!K:K, 1)</f>
        <v>0</v>
      </c>
      <c r="Q8" s="92">
        <f>COUNTIFS('OB History'!$B:$B,$A$8,'OB History'!L:L, 1)</f>
        <v>1</v>
      </c>
      <c r="R8" s="92">
        <f>COUNTIFS('OB History'!$B:$B,$A$8,'OB History'!M:M, 1)</f>
        <v>0</v>
      </c>
      <c r="S8" s="92">
        <f>COUNTIFS('OB History'!$B:$B,$A$8,'OB History'!N:N, 1)</f>
        <v>1</v>
      </c>
      <c r="T8" s="92">
        <f>COUNTIFS('OB History'!$B:$B,$A$8,'OB History'!O:O, 1)</f>
        <v>2</v>
      </c>
      <c r="U8" s="92">
        <f>COUNTIFS('OB History'!$B:$B,$A$8,'OB History'!P:P, 1)</f>
        <v>4</v>
      </c>
      <c r="V8" s="92">
        <f>COUNTIFS('OB History'!$B:$B,$A$8,'OB History'!Q:Q, 1)</f>
        <v>1</v>
      </c>
      <c r="W8" s="92">
        <f>COUNTIFS('OB History'!$B:$B,$A$8,'OB History'!R:R, 1)</f>
        <v>0</v>
      </c>
      <c r="X8" s="92">
        <f>COUNTIFS('OB History'!$B:$B,$A$8,'OB History'!S:S, 1)</f>
        <v>0</v>
      </c>
      <c r="Y8" s="92">
        <f>COUNTIFS('OB History'!$B:$B,$A$8,'OB History'!T:T, 1)</f>
        <v>0</v>
      </c>
      <c r="Z8" s="92">
        <f>COUNTIFS('OB History'!$B:$B,$A$8,'OB History'!U:U, 1)</f>
        <v>1</v>
      </c>
      <c r="AA8" s="92">
        <f>COUNTIFS('OB History'!$B:$B,$A$8,'OB History'!V:V, 1)</f>
        <v>4</v>
      </c>
      <c r="AB8" s="92">
        <f>COUNTIFS('OB History'!$B:$B,$A$8,'OB History'!W:W, 1)</f>
        <v>4</v>
      </c>
      <c r="AC8" s="92">
        <f>COUNTIFS('OB History'!$B:$B,$A$8,'OB History'!X:X, 1)</f>
        <v>2</v>
      </c>
      <c r="AD8" s="92">
        <f>COUNTIFS('OB History'!$B:$B,$A$8,'OB History'!Y:Y, 1)</f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89">
        <f>SUMIFS('OB History'!C:C,'OB History'!B:B,A9)</f>
        <v>200</v>
      </c>
      <c r="E9" s="90">
        <f>AVERAGEIFS('OB History'!C:C,'OB History'!B:B,A9)</f>
        <v>12.5</v>
      </c>
      <c r="F9" s="91">
        <f t="array" ref="F9">MAX(IF('OB History'!B:B=A9, 'OB History'!C:C))</f>
        <v>24</v>
      </c>
      <c r="G9" s="89">
        <f>COUNTIFS('OB History'!B:B,A9,'OB History'!D:D, 1)</f>
        <v>11</v>
      </c>
      <c r="H9" s="92">
        <f>COUNTIFS('OB History'!B:B,A9,'OB History'!D:D, 0)</f>
        <v>5</v>
      </c>
      <c r="I9" s="41">
        <f t="shared" si="0"/>
        <v>0.6875</v>
      </c>
      <c r="J9" s="89">
        <f>SUMIFS('OB History'!F:F,'OB History'!B:B,A9)</f>
        <v>41</v>
      </c>
      <c r="K9" s="92">
        <f>SUMIFS('OB History'!E:E,'OB History'!B:B,A9)-J9</f>
        <v>25</v>
      </c>
      <c r="L9" s="41">
        <f t="shared" si="1"/>
        <v>0.62121212121212122</v>
      </c>
      <c r="M9" s="89">
        <f>SUMIFS('OB History'!H:H,'OB History'!B:B,'Old Bow v2'!A9)</f>
        <v>151</v>
      </c>
      <c r="N9" s="92">
        <f>SUMIFS('OB History'!G:G,'OB History'!B:B,'Old Bow v2'!A9)-M9</f>
        <v>120</v>
      </c>
      <c r="O9" s="41">
        <f t="shared" si="2"/>
        <v>0.55719557195571956</v>
      </c>
      <c r="P9" s="92">
        <f>COUNTIFS('OB History'!$B:$B,$A$9,'OB History'!K:K, 1)</f>
        <v>1</v>
      </c>
      <c r="Q9" s="92">
        <f>COUNTIFS('OB History'!$B:$B,$A$9,'OB History'!L:L, 1)</f>
        <v>2</v>
      </c>
      <c r="R9" s="92">
        <f>COUNTIFS('OB History'!$B:$B,$A$9,'OB History'!M:M, 1)</f>
        <v>0</v>
      </c>
      <c r="S9" s="92">
        <f>COUNTIFS('OB History'!$B:$B,$A$9,'OB History'!N:N, 1)</f>
        <v>7</v>
      </c>
      <c r="T9" s="92">
        <f>COUNTIFS('OB History'!$B:$B,$A$9,'OB History'!O:O, 1)</f>
        <v>2</v>
      </c>
      <c r="U9" s="92">
        <f>COUNTIFS('OB History'!$B:$B,$A$9,'OB History'!P:P, 1)</f>
        <v>7</v>
      </c>
      <c r="V9" s="92">
        <f>COUNTIFS('OB History'!$B:$B,$A$9,'OB History'!Q:Q, 1)</f>
        <v>3</v>
      </c>
      <c r="W9" s="92">
        <f>COUNTIFS('OB History'!$B:$B,$A$9,'OB History'!R:R, 1)</f>
        <v>2</v>
      </c>
      <c r="X9" s="92">
        <f>COUNTIFS('OB History'!$B:$B,$A$9,'OB History'!S:S, 1)</f>
        <v>1</v>
      </c>
      <c r="Y9" s="92">
        <f>COUNTIFS('OB History'!$B:$B,$A$9,'OB History'!T:T, 1)</f>
        <v>1</v>
      </c>
      <c r="Z9" s="92">
        <f>COUNTIFS('OB History'!$B:$B,$A$9,'OB History'!U:U, 1)</f>
        <v>1</v>
      </c>
      <c r="AA9" s="92">
        <f>COUNTIFS('OB History'!$B:$B,$A$9,'OB History'!V:V, 1)</f>
        <v>3</v>
      </c>
      <c r="AB9" s="92">
        <f>COUNTIFS('OB History'!$B:$B,$A$9,'OB History'!W:W, 1)</f>
        <v>4</v>
      </c>
      <c r="AC9" s="92">
        <f>COUNTIFS('OB History'!$B:$B,$A$9,'OB History'!X:X, 1)</f>
        <v>2</v>
      </c>
      <c r="AD9" s="92">
        <f>COUNTIFS('OB History'!$B:$B,$A$9,'OB History'!Y:Y, 1)</f>
        <v>3</v>
      </c>
    </row>
    <row r="10" spans="1:30" ht="15.75" x14ac:dyDescent="0.25">
      <c r="A10" s="1" t="s">
        <v>45</v>
      </c>
      <c r="B10" s="80" t="s">
        <v>60</v>
      </c>
      <c r="C10" s="2" t="s">
        <v>79</v>
      </c>
      <c r="D10" s="89">
        <f>SUMIFS('OB History'!C:C,'OB History'!B:B,A10)</f>
        <v>101</v>
      </c>
      <c r="E10" s="90">
        <f>AVERAGEIFS('OB History'!C:C,'OB History'!B:B,A10)</f>
        <v>10.1</v>
      </c>
      <c r="F10" s="91">
        <f t="array" ref="F10">MAX(IF('OB History'!B:B=A10, 'OB History'!C:C))</f>
        <v>17</v>
      </c>
      <c r="G10" s="89">
        <f>COUNTIFS('OB History'!B:B,A10,'OB History'!D:D, 1)</f>
        <v>5</v>
      </c>
      <c r="H10" s="92">
        <f>COUNTIFS('OB History'!B:B,A10,'OB History'!D:D, 0)</f>
        <v>5</v>
      </c>
      <c r="I10" s="42">
        <f t="shared" si="0"/>
        <v>0.5</v>
      </c>
      <c r="J10" s="89">
        <f>SUMIFS('OB History'!F:F,'OB History'!B:B,A10)</f>
        <v>20</v>
      </c>
      <c r="K10" s="92">
        <f>SUMIFS('OB History'!E:E,'OB History'!B:B,A10)-J10</f>
        <v>20</v>
      </c>
      <c r="L10" s="42">
        <f t="shared" si="1"/>
        <v>0.5</v>
      </c>
      <c r="M10" s="89">
        <f>SUMIFS('OB History'!H:H,'OB History'!B:B,'Old Bow v2'!A10)</f>
        <v>83</v>
      </c>
      <c r="N10" s="92">
        <f>SUMIFS('OB History'!G:G,'OB History'!B:B,'Old Bow v2'!A10)-M10</f>
        <v>78</v>
      </c>
      <c r="O10" s="42">
        <f t="shared" si="2"/>
        <v>0.51552795031055898</v>
      </c>
      <c r="P10" s="92">
        <f>COUNTIFS('OB History'!$B:$B,$A$10,'OB History'!K:K, 1)</f>
        <v>0</v>
      </c>
      <c r="Q10" s="92">
        <f>COUNTIFS('OB History'!$B:$B,$A$10,'OB History'!L:L, 1)</f>
        <v>2</v>
      </c>
      <c r="R10" s="92">
        <f>COUNTIFS('OB History'!$B:$B,$A$10,'OB History'!M:M, 1)</f>
        <v>0</v>
      </c>
      <c r="S10" s="92">
        <f>COUNTIFS('OB History'!$B:$B,$A$10,'OB History'!N:N, 1)</f>
        <v>4</v>
      </c>
      <c r="T10" s="92">
        <f>COUNTIFS('OB History'!$B:$B,$A$10,'OB History'!O:O, 1)</f>
        <v>0</v>
      </c>
      <c r="U10" s="92">
        <f>COUNTIFS('OB History'!$B:$B,$A$10,'OB History'!P:P, 1)</f>
        <v>4</v>
      </c>
      <c r="V10" s="92">
        <f>COUNTIFS('OB History'!$B:$B,$A$10,'OB History'!Q:Q, 1)</f>
        <v>0</v>
      </c>
      <c r="W10" s="92">
        <f>COUNTIFS('OB History'!$B:$B,$A$10,'OB History'!R:R, 1)</f>
        <v>0</v>
      </c>
      <c r="X10" s="92">
        <f>COUNTIFS('OB History'!$B:$B,$A$10,'OB History'!S:S, 1)</f>
        <v>0</v>
      </c>
      <c r="Y10" s="92">
        <f>COUNTIFS('OB History'!$B:$B,$A$10,'OB History'!T:T, 1)</f>
        <v>0</v>
      </c>
      <c r="Z10" s="92">
        <f>COUNTIFS('OB History'!$B:$B,$A$10,'OB History'!U:U, 1)</f>
        <v>0</v>
      </c>
      <c r="AA10" s="92">
        <f>COUNTIFS('OB History'!$B:$B,$A$10,'OB History'!V:V, 1)</f>
        <v>2</v>
      </c>
      <c r="AB10" s="92">
        <f>COUNTIFS('OB History'!$B:$B,$A$10,'OB History'!W:W, 1)</f>
        <v>4</v>
      </c>
      <c r="AC10" s="92">
        <f>COUNTIFS('OB History'!$B:$B,$A$10,'OB History'!X:X, 1)</f>
        <v>1</v>
      </c>
      <c r="AD10" s="92">
        <f>COUNTIFS('OB History'!$B:$B,$A$10,'OB History'!Y:Y, 1)</f>
        <v>3</v>
      </c>
    </row>
    <row r="11" spans="1:30" x14ac:dyDescent="0.25">
      <c r="A11" s="2" t="s">
        <v>50</v>
      </c>
      <c r="B11" s="2" t="s">
        <v>79</v>
      </c>
      <c r="C11" s="2" t="s">
        <v>79</v>
      </c>
      <c r="D11" s="89">
        <f>SUMIFS('OB History'!C:C,'OB History'!B:B,A11)</f>
        <v>26</v>
      </c>
      <c r="E11" s="90">
        <f>AVERAGEIFS('OB History'!C:C,'OB History'!B:B,A11)</f>
        <v>13</v>
      </c>
      <c r="F11" s="91">
        <f t="array" ref="F11">MAX(IF('OB History'!B:B=A11, 'OB History'!C:C))</f>
        <v>14</v>
      </c>
      <c r="G11" s="89">
        <f>COUNTIFS('OB History'!B:B,A11,'OB History'!D:D, 1)</f>
        <v>0</v>
      </c>
      <c r="H11" s="92">
        <f>COUNTIFS('OB History'!B:B,A11,'OB History'!D:D, 0)</f>
        <v>2</v>
      </c>
      <c r="I11" s="42">
        <f t="shared" si="0"/>
        <v>0</v>
      </c>
      <c r="J11" s="89">
        <f>SUMIFS('OB History'!F:F,'OB History'!B:B,A11)</f>
        <v>2</v>
      </c>
      <c r="K11" s="92">
        <f>SUMIFS('OB History'!E:E,'OB History'!B:B,A11)-J11</f>
        <v>6</v>
      </c>
      <c r="L11" s="42">
        <f t="shared" si="1"/>
        <v>0.25</v>
      </c>
      <c r="M11" s="89">
        <f>SUMIFS('OB History'!H:H,'OB History'!B:B,'Old Bow v2'!A11)</f>
        <v>13</v>
      </c>
      <c r="N11" s="92">
        <f>SUMIFS('OB History'!G:G,'OB History'!B:B,'Old Bow v2'!A11)-M11</f>
        <v>22</v>
      </c>
      <c r="O11" s="42">
        <f t="shared" si="2"/>
        <v>0.37142857142857144</v>
      </c>
      <c r="P11" s="92">
        <f>COUNTIFS('OB History'!$B:$B,$A$11,'OB History'!K:K, 1)</f>
        <v>0</v>
      </c>
      <c r="Q11" s="92">
        <f>COUNTIFS('OB History'!$B:$B,$A$11,'OB History'!L:L, 1)</f>
        <v>0</v>
      </c>
      <c r="R11" s="92">
        <f>COUNTIFS('OB History'!$B:$B,$A$11,'OB History'!M:M, 1)</f>
        <v>0</v>
      </c>
      <c r="S11" s="92">
        <f>COUNTIFS('OB History'!$B:$B,$A$11,'OB History'!N:N, 1)</f>
        <v>0</v>
      </c>
      <c r="T11" s="92">
        <f>COUNTIFS('OB History'!$B:$B,$A$11,'OB History'!O:O, 1)</f>
        <v>0</v>
      </c>
      <c r="U11" s="92">
        <f>COUNTIFS('OB History'!$B:$B,$A$11,'OB History'!P:P, 1)</f>
        <v>1</v>
      </c>
      <c r="V11" s="92">
        <f>COUNTIFS('OB History'!$B:$B,$A$11,'OB History'!Q:Q, 1)</f>
        <v>0</v>
      </c>
      <c r="W11" s="92">
        <f>COUNTIFS('OB History'!$B:$B,$A$11,'OB History'!R:R, 1)</f>
        <v>0</v>
      </c>
      <c r="X11" s="92">
        <f>COUNTIFS('OB History'!$B:$B,$A$11,'OB History'!S:S, 1)</f>
        <v>0</v>
      </c>
      <c r="Y11" s="92">
        <f>COUNTIFS('OB History'!$B:$B,$A$11,'OB History'!T:T, 1)</f>
        <v>0</v>
      </c>
      <c r="Z11" s="92">
        <f>COUNTIFS('OB History'!$B:$B,$A$11,'OB History'!U:U, 1)</f>
        <v>0</v>
      </c>
      <c r="AA11" s="92">
        <f>COUNTIFS('OB History'!$B:$B,$A$11,'OB History'!V:V, 1)</f>
        <v>1</v>
      </c>
      <c r="AB11" s="92">
        <f>COUNTIFS('OB History'!$B:$B,$A$11,'OB History'!W:W, 1)</f>
        <v>0</v>
      </c>
      <c r="AC11" s="92">
        <f>COUNTIFS('OB History'!$B:$B,$A$11,'OB History'!X:X, 1)</f>
        <v>0</v>
      </c>
      <c r="AD11" s="92">
        <f>COUNTIFS('OB History'!$B:$B,$A$11,'OB History'!Y:Y, 1)</f>
        <v>0</v>
      </c>
    </row>
    <row r="12" spans="1:30" x14ac:dyDescent="0.25">
      <c r="A12" s="2" t="s">
        <v>52</v>
      </c>
      <c r="B12" s="2" t="s">
        <v>79</v>
      </c>
      <c r="C12" s="2" t="s">
        <v>79</v>
      </c>
      <c r="D12" s="89">
        <f>SUMIFS('OB History'!C:C,'OB History'!B:B,A12)</f>
        <v>5</v>
      </c>
      <c r="E12" s="90">
        <f>AVERAGEIFS('OB History'!C:C,'OB History'!B:B,A12)</f>
        <v>5</v>
      </c>
      <c r="F12" s="91">
        <f t="array" ref="F12">MAX(IF('OB History'!B:B=A12, 'OB History'!C:C))</f>
        <v>5</v>
      </c>
      <c r="G12" s="89">
        <f>COUNTIFS('OB History'!B:B,A12,'OB History'!D:D, 1)</f>
        <v>0</v>
      </c>
      <c r="H12" s="92">
        <f>COUNTIFS('OB History'!B:B,A12,'OB History'!D:D, 0)</f>
        <v>1</v>
      </c>
      <c r="I12" s="42">
        <f t="shared" si="0"/>
        <v>0</v>
      </c>
      <c r="J12" s="89">
        <f>SUMIFS('OB History'!F:F,'OB History'!B:B,A12)</f>
        <v>0</v>
      </c>
      <c r="K12" s="92">
        <f>SUMIFS('OB History'!E:E,'OB History'!B:B,A12)-J12</f>
        <v>3</v>
      </c>
      <c r="L12" s="42">
        <f t="shared" si="1"/>
        <v>0</v>
      </c>
      <c r="M12" s="89">
        <f>SUMIFS('OB History'!H:H,'OB History'!B:B,'Old Bow v2'!A12)</f>
        <v>4</v>
      </c>
      <c r="N12" s="92">
        <f>SUMIFS('OB History'!G:G,'OB History'!B:B,'Old Bow v2'!A12)-M12</f>
        <v>9</v>
      </c>
      <c r="O12" s="42">
        <f t="shared" si="2"/>
        <v>0.30769230769230771</v>
      </c>
      <c r="P12" s="92">
        <f>COUNTIFS('OB History'!$B:$B,$A$12,'OB History'!K:K, 1)</f>
        <v>0</v>
      </c>
      <c r="Q12" s="92">
        <f>COUNTIFS('OB History'!$B:$B,$A$12,'OB History'!L:L, 1)</f>
        <v>0</v>
      </c>
      <c r="R12" s="92">
        <f>COUNTIFS('OB History'!$B:$B,$A$12,'OB History'!M:M, 1)</f>
        <v>0</v>
      </c>
      <c r="S12" s="92">
        <f>COUNTIFS('OB History'!$B:$B,$A$12,'OB History'!N:N, 1)</f>
        <v>0</v>
      </c>
      <c r="T12" s="92">
        <f>COUNTIFS('OB History'!$B:$B,$A$12,'OB History'!O:O, 1)</f>
        <v>0</v>
      </c>
      <c r="U12" s="92">
        <f>COUNTIFS('OB History'!$B:$B,$A$12,'OB History'!P:P, 1)</f>
        <v>0</v>
      </c>
      <c r="V12" s="92">
        <f>COUNTIFS('OB History'!$B:$B,$A$12,'OB History'!Q:Q, 1)</f>
        <v>0</v>
      </c>
      <c r="W12" s="92">
        <f>COUNTIFS('OB History'!$B:$B,$A$12,'OB History'!R:R, 1)</f>
        <v>0</v>
      </c>
      <c r="X12" s="92">
        <f>COUNTIFS('OB History'!$B:$B,$A$12,'OB History'!S:S, 1)</f>
        <v>0</v>
      </c>
      <c r="Y12" s="92">
        <f>COUNTIFS('OB History'!$B:$B,$A$12,'OB History'!T:T, 1)</f>
        <v>0</v>
      </c>
      <c r="Z12" s="92">
        <f>COUNTIFS('OB History'!$B:$B,$A$12,'OB History'!U:U, 1)</f>
        <v>0</v>
      </c>
      <c r="AA12" s="92">
        <f>COUNTIFS('OB History'!$B:$B,$A$12,'OB History'!V:V, 1)</f>
        <v>0</v>
      </c>
      <c r="AB12" s="92">
        <f>COUNTIFS('OB History'!$B:$B,$A$12,'OB History'!W:W, 1)</f>
        <v>0</v>
      </c>
      <c r="AC12" s="92">
        <f>COUNTIFS('OB History'!$B:$B,$A$12,'OB History'!X:X, 1)</f>
        <v>0</v>
      </c>
      <c r="AD12" s="92">
        <f>COUNTIFS('OB History'!$B:$B,$A$12,'OB History'!Y:Y, 1)</f>
        <v>0</v>
      </c>
    </row>
    <row r="13" spans="1:30" x14ac:dyDescent="0.25">
      <c r="A13" s="1" t="s">
        <v>44</v>
      </c>
      <c r="B13" s="2" t="s">
        <v>79</v>
      </c>
      <c r="C13" s="2" t="s">
        <v>79</v>
      </c>
      <c r="D13" s="89">
        <f>SUMIFS('OB History'!C:C,'OB History'!B:B,A13)</f>
        <v>12</v>
      </c>
      <c r="E13" s="90">
        <f>AVERAGEIFS('OB History'!C:C,'OB History'!B:B,A13)</f>
        <v>12</v>
      </c>
      <c r="F13" s="91">
        <f t="array" ref="F13">MAX(IF('OB History'!B:B=A13, 'OB History'!C:C))</f>
        <v>12</v>
      </c>
      <c r="G13" s="89">
        <f>COUNTIFS('OB History'!B:B,A13,'OB History'!D:D, 1)</f>
        <v>1</v>
      </c>
      <c r="H13" s="92">
        <f>COUNTIFS('OB History'!B:B,A13,'OB History'!D:D, 0)</f>
        <v>0</v>
      </c>
      <c r="I13" s="42">
        <f t="shared" si="0"/>
        <v>1</v>
      </c>
      <c r="J13" s="89">
        <f>SUMIFS('OB History'!F:F,'OB History'!B:B,A13)</f>
        <v>3</v>
      </c>
      <c r="K13" s="92">
        <f>SUMIFS('OB History'!E:E,'OB History'!B:B,A13)-J13</f>
        <v>0</v>
      </c>
      <c r="L13" s="42">
        <f t="shared" si="1"/>
        <v>1</v>
      </c>
      <c r="M13" s="89">
        <f>SUMIFS('OB History'!H:H,'OB History'!B:B,'Old Bow v2'!A13)</f>
        <v>9</v>
      </c>
      <c r="N13" s="92">
        <f>SUMIFS('OB History'!G:G,'OB History'!B:B,'Old Bow v2'!A13)-M13</f>
        <v>4</v>
      </c>
      <c r="O13" s="42">
        <f t="shared" si="2"/>
        <v>0.69230769230769229</v>
      </c>
      <c r="P13" s="92">
        <f>COUNTIFS('OB History'!$B:$B,$A$13,'OB History'!K:K, 1)</f>
        <v>0</v>
      </c>
      <c r="Q13" s="92">
        <f>COUNTIFS('OB History'!$B:$B,$A$13,'OB History'!L:L, 1)</f>
        <v>0</v>
      </c>
      <c r="R13" s="92">
        <f>COUNTIFS('OB History'!$B:$B,$A$13,'OB History'!M:M, 1)</f>
        <v>0</v>
      </c>
      <c r="S13" s="92">
        <f>COUNTIFS('OB History'!$B:$B,$A$13,'OB History'!N:N, 1)</f>
        <v>0</v>
      </c>
      <c r="T13" s="92">
        <f>COUNTIFS('OB History'!$B:$B,$A$13,'OB History'!O:O, 1)</f>
        <v>0</v>
      </c>
      <c r="U13" s="92">
        <f>COUNTIFS('OB History'!$B:$B,$A$13,'OB History'!P:P, 1)</f>
        <v>1</v>
      </c>
      <c r="V13" s="92">
        <f>COUNTIFS('OB History'!$B:$B,$A$13,'OB History'!Q:Q, 1)</f>
        <v>0</v>
      </c>
      <c r="W13" s="92">
        <f>COUNTIFS('OB History'!$B:$B,$A$13,'OB History'!R:R, 1)</f>
        <v>0</v>
      </c>
      <c r="X13" s="92">
        <f>COUNTIFS('OB History'!$B:$B,$A$13,'OB History'!S:S, 1)</f>
        <v>0</v>
      </c>
      <c r="Y13" s="92">
        <f>COUNTIFS('OB History'!$B:$B,$A$13,'OB History'!T:T, 1)</f>
        <v>0</v>
      </c>
      <c r="Z13" s="92">
        <f>COUNTIFS('OB History'!$B:$B,$A$13,'OB History'!U:U, 1)</f>
        <v>0</v>
      </c>
      <c r="AA13" s="92">
        <f>COUNTIFS('OB History'!$B:$B,$A$13,'OB History'!V:V, 1)</f>
        <v>0</v>
      </c>
      <c r="AB13" s="92">
        <f>COUNTIFS('OB History'!$B:$B,$A$13,'OB History'!W:W, 1)</f>
        <v>1</v>
      </c>
      <c r="AC13" s="92">
        <f>COUNTIFS('OB History'!$B:$B,$A$13,'OB History'!X:X, 1)</f>
        <v>0</v>
      </c>
      <c r="AD13" s="92">
        <f>COUNTIFS('OB History'!$B:$B,$A$13,'OB History'!Y:Y, 1)</f>
        <v>1</v>
      </c>
    </row>
    <row r="14" spans="1:30" x14ac:dyDescent="0.25">
      <c r="A14" s="2" t="s">
        <v>1</v>
      </c>
      <c r="B14" s="6" t="s">
        <v>60</v>
      </c>
      <c r="C14" s="2" t="s">
        <v>79</v>
      </c>
      <c r="D14" s="89">
        <f>SUMIFS('OB History'!C:C,'OB History'!B:B,A14)</f>
        <v>167</v>
      </c>
      <c r="E14" s="90">
        <f>AVERAGEIFS('OB History'!C:C,'OB History'!B:B,A14)</f>
        <v>27.833333333333332</v>
      </c>
      <c r="F14" s="91">
        <f t="array" ref="F14">MAX(IF('OB History'!B:B=A14, 'OB History'!C:C))</f>
        <v>37</v>
      </c>
      <c r="G14" s="89">
        <f>COUNTIFS('OB History'!B:B,A14,'OB History'!D:D, 1)</f>
        <v>4</v>
      </c>
      <c r="H14" s="92">
        <f>COUNTIFS('OB History'!B:B,A14,'OB History'!D:D, 0)</f>
        <v>2</v>
      </c>
      <c r="I14" s="41">
        <f t="shared" si="0"/>
        <v>0.66666666666666663</v>
      </c>
      <c r="J14" s="89">
        <f>SUMIFS('OB History'!F:F,'OB History'!B:B,A14)</f>
        <v>15</v>
      </c>
      <c r="K14" s="92">
        <f>SUMIFS('OB History'!E:E,'OB History'!B:B,A14)-J14</f>
        <v>12</v>
      </c>
      <c r="L14" s="41">
        <f t="shared" si="1"/>
        <v>0.55555555555555558</v>
      </c>
      <c r="M14" s="89">
        <f>SUMIFS('OB History'!H:H,'OB History'!B:B,'Old Bow v2'!A14)</f>
        <v>60</v>
      </c>
      <c r="N14" s="92">
        <f>SUMIFS('OB History'!G:G,'OB History'!B:B,'Old Bow v2'!A14)-M14</f>
        <v>60</v>
      </c>
      <c r="O14" s="41">
        <f t="shared" si="2"/>
        <v>0.5</v>
      </c>
      <c r="P14" s="92">
        <f>COUNTIFS('OB History'!$B:$B,$A$14,'OB History'!K:K, 1)</f>
        <v>0</v>
      </c>
      <c r="Q14" s="92">
        <f>COUNTIFS('OB History'!$B:$B,$A$14,'OB History'!L:L, 1)</f>
        <v>1</v>
      </c>
      <c r="R14" s="92">
        <f>COUNTIFS('OB History'!$B:$B,$A$14,'OB History'!M:M, 1)</f>
        <v>0</v>
      </c>
      <c r="S14" s="92">
        <f>COUNTIFS('OB History'!$B:$B,$A$14,'OB History'!N:N, 1)</f>
        <v>0</v>
      </c>
      <c r="T14" s="92">
        <f>COUNTIFS('OB History'!$B:$B,$A$14,'OB History'!O:O, 1)</f>
        <v>1</v>
      </c>
      <c r="U14" s="92">
        <f>COUNTIFS('OB History'!$B:$B,$A$14,'OB History'!P:P, 1)</f>
        <v>1</v>
      </c>
      <c r="V14" s="92">
        <f>COUNTIFS('OB History'!$B:$B,$A$14,'OB History'!Q:Q, 1)</f>
        <v>0</v>
      </c>
      <c r="W14" s="92">
        <f>COUNTIFS('OB History'!$B:$B,$A$14,'OB History'!R:R, 1)</f>
        <v>0</v>
      </c>
      <c r="X14" s="92">
        <f>COUNTIFS('OB History'!$B:$B,$A$14,'OB History'!S:S, 1)</f>
        <v>0</v>
      </c>
      <c r="Y14" s="92">
        <f>COUNTIFS('OB History'!$B:$B,$A$14,'OB History'!T:T, 1)</f>
        <v>0</v>
      </c>
      <c r="Z14" s="92">
        <f>COUNTIFS('OB History'!$B:$B,$A$14,'OB History'!U:U, 1)</f>
        <v>0</v>
      </c>
      <c r="AA14" s="92">
        <f>COUNTIFS('OB History'!$B:$B,$A$14,'OB History'!V:V, 1)</f>
        <v>1</v>
      </c>
      <c r="AB14" s="92">
        <f>COUNTIFS('OB History'!$B:$B,$A$14,'OB History'!W:W, 1)</f>
        <v>3</v>
      </c>
      <c r="AC14" s="92">
        <f>COUNTIFS('OB History'!$B:$B,$A$14,'OB History'!X:X, 1)</f>
        <v>2</v>
      </c>
      <c r="AD14" s="92">
        <f>COUNTIFS('OB History'!$B:$B,$A$14,'OB History'!Y:Y, 1)</f>
        <v>4</v>
      </c>
    </row>
    <row r="15" spans="1:30" x14ac:dyDescent="0.25">
      <c r="A15" s="2" t="s">
        <v>29</v>
      </c>
      <c r="B15" s="6" t="s">
        <v>124</v>
      </c>
      <c r="C15" s="2" t="s">
        <v>79</v>
      </c>
      <c r="D15" s="89">
        <f>SUMIFS('OB History'!C:C,'OB History'!B:B,A15)</f>
        <v>152</v>
      </c>
      <c r="E15" s="90">
        <f>AVERAGEIFS('OB History'!C:C,'OB History'!B:B,A15)</f>
        <v>9.5</v>
      </c>
      <c r="F15" s="91">
        <f t="array" ref="F15">MAX(IF('OB History'!B:B=A15, 'OB History'!C:C))</f>
        <v>21</v>
      </c>
      <c r="G15" s="89">
        <f>COUNTIFS('OB History'!B:B,A15,'OB History'!D:D, 1)</f>
        <v>8</v>
      </c>
      <c r="H15" s="92">
        <f>COUNTIFS('OB History'!B:B,A15,'OB History'!D:D, 0)</f>
        <v>8</v>
      </c>
      <c r="I15" s="41">
        <f t="shared" si="0"/>
        <v>0.5</v>
      </c>
      <c r="J15" s="89">
        <f>SUMIFS('OB History'!F:F,'OB History'!B:B,A15)</f>
        <v>31</v>
      </c>
      <c r="K15" s="92">
        <f>SUMIFS('OB History'!E:E,'OB History'!B:B,A15)-J15</f>
        <v>33</v>
      </c>
      <c r="L15" s="41">
        <f t="shared" si="1"/>
        <v>0.484375</v>
      </c>
      <c r="M15" s="89">
        <f>SUMIFS('OB History'!H:H,'OB History'!B:B,'Old Bow v2'!A15)</f>
        <v>134</v>
      </c>
      <c r="N15" s="92">
        <f>SUMIFS('OB History'!G:G,'OB History'!B:B,'Old Bow v2'!A15)-M15</f>
        <v>135</v>
      </c>
      <c r="O15" s="41">
        <f t="shared" si="2"/>
        <v>0.49814126394052044</v>
      </c>
      <c r="P15" s="92">
        <f>COUNTIFS('OB History'!$B:$B,$A$15,'OB History'!K:K, 1)</f>
        <v>2</v>
      </c>
      <c r="Q15" s="92">
        <f>COUNTIFS('OB History'!$B:$B,$A$15,'OB History'!L:L, 1)</f>
        <v>2</v>
      </c>
      <c r="R15" s="92">
        <f>COUNTIFS('OB History'!$B:$B,$A$15,'OB History'!M:M, 1)</f>
        <v>0</v>
      </c>
      <c r="S15" s="92">
        <f>COUNTIFS('OB History'!$B:$B,$A$15,'OB History'!N:N, 1)</f>
        <v>3</v>
      </c>
      <c r="T15" s="92">
        <f>COUNTIFS('OB History'!$B:$B,$A$15,'OB History'!O:O, 1)</f>
        <v>1</v>
      </c>
      <c r="U15" s="92">
        <f>COUNTIFS('OB History'!$B:$B,$A$15,'OB History'!P:P, 1)</f>
        <v>3</v>
      </c>
      <c r="V15" s="92">
        <f>COUNTIFS('OB History'!$B:$B,$A$15,'OB History'!Q:Q, 1)</f>
        <v>1</v>
      </c>
      <c r="W15" s="92">
        <f>COUNTIFS('OB History'!$B:$B,$A$15,'OB History'!R:R, 1)</f>
        <v>0</v>
      </c>
      <c r="X15" s="92">
        <f>COUNTIFS('OB History'!$B:$B,$A$15,'OB History'!S:S, 1)</f>
        <v>0</v>
      </c>
      <c r="Y15" s="92">
        <f>COUNTIFS('OB History'!$B:$B,$A$15,'OB History'!T:T, 1)</f>
        <v>0</v>
      </c>
      <c r="Z15" s="92">
        <f>COUNTIFS('OB History'!$B:$B,$A$15,'OB History'!U:U, 1)</f>
        <v>1</v>
      </c>
      <c r="AA15" s="92">
        <f>COUNTIFS('OB History'!$B:$B,$A$15,'OB History'!V:V, 1)</f>
        <v>4</v>
      </c>
      <c r="AB15" s="92">
        <f>COUNTIFS('OB History'!$B:$B,$A$15,'OB History'!W:W, 1)</f>
        <v>6</v>
      </c>
      <c r="AC15" s="92">
        <f>COUNTIFS('OB History'!$B:$B,$A$15,'OB History'!X:X, 1)</f>
        <v>2</v>
      </c>
      <c r="AD15" s="92">
        <f>COUNTIFS('OB History'!$B:$B,$A$15,'OB History'!Y:Y, 1)</f>
        <v>5</v>
      </c>
    </row>
    <row r="16" spans="1:30" x14ac:dyDescent="0.25">
      <c r="A16" s="2" t="s">
        <v>46</v>
      </c>
      <c r="B16" s="2"/>
      <c r="C16" s="2" t="s">
        <v>79</v>
      </c>
      <c r="D16" s="89">
        <f>SUMIFS('OB History'!C:C,'OB History'!B:B,A16)</f>
        <v>183</v>
      </c>
      <c r="E16" s="90">
        <f>AVERAGEIFS('OB History'!C:C,'OB History'!B:B,A16)</f>
        <v>20.333333333333332</v>
      </c>
      <c r="F16" s="91">
        <f t="array" ref="F16">MAX(IF('OB History'!B:B=A16, 'OB History'!C:C))</f>
        <v>36</v>
      </c>
      <c r="G16" s="89">
        <f>COUNTIFS('OB History'!B:B,A16,'OB History'!D:D, 1)</f>
        <v>4</v>
      </c>
      <c r="H16" s="92">
        <f>COUNTIFS('OB History'!B:B,A16,'OB History'!D:D, 0)</f>
        <v>5</v>
      </c>
      <c r="I16" s="41">
        <f t="shared" si="0"/>
        <v>0.44444444444444442</v>
      </c>
      <c r="J16" s="89">
        <f>SUMIFS('OB History'!F:F,'OB History'!B:B,A16)</f>
        <v>16</v>
      </c>
      <c r="K16" s="92">
        <f>SUMIFS('OB History'!E:E,'OB History'!B:B,A16)-J16</f>
        <v>20</v>
      </c>
      <c r="L16" s="41">
        <f t="shared" si="1"/>
        <v>0.44444444444444442</v>
      </c>
      <c r="M16" s="89">
        <f>SUMIFS('OB History'!H:H,'OB History'!B:B,'Old Bow v2'!A16)</f>
        <v>70</v>
      </c>
      <c r="N16" s="92">
        <f>SUMIFS('OB History'!G:G,'OB History'!B:B,'Old Bow v2'!A16)-M16</f>
        <v>83</v>
      </c>
      <c r="O16" s="41">
        <f t="shared" si="2"/>
        <v>0.45751633986928103</v>
      </c>
      <c r="P16" s="92">
        <f>COUNTIFS('OB History'!$B:$B,$A$16,'OB History'!K:K, 1)</f>
        <v>0</v>
      </c>
      <c r="Q16" s="92">
        <f>COUNTIFS('OB History'!$B:$B,$A$16,'OB History'!L:L, 1)</f>
        <v>1</v>
      </c>
      <c r="R16" s="92">
        <f>COUNTIFS('OB History'!$B:$B,$A$16,'OB History'!M:M, 1)</f>
        <v>0</v>
      </c>
      <c r="S16" s="92">
        <f>COUNTIFS('OB History'!$B:$B,$A$16,'OB History'!N:N, 1)</f>
        <v>1</v>
      </c>
      <c r="T16" s="92">
        <f>COUNTIFS('OB History'!$B:$B,$A$16,'OB History'!O:O, 1)</f>
        <v>0</v>
      </c>
      <c r="U16" s="92">
        <f>COUNTIFS('OB History'!$B:$B,$A$16,'OB History'!P:P, 1)</f>
        <v>5</v>
      </c>
      <c r="V16" s="92">
        <f>COUNTIFS('OB History'!$B:$B,$A$16,'OB History'!Q:Q, 1)</f>
        <v>0</v>
      </c>
      <c r="W16" s="92">
        <f>COUNTIFS('OB History'!$B:$B,$A$16,'OB History'!R:R, 1)</f>
        <v>1</v>
      </c>
      <c r="X16" s="92">
        <f>COUNTIFS('OB History'!$B:$B,$A$16,'OB History'!S:S, 1)</f>
        <v>0</v>
      </c>
      <c r="Y16" s="92">
        <f>COUNTIFS('OB History'!$B:$B,$A$16,'OB History'!T:T, 1)</f>
        <v>0</v>
      </c>
      <c r="Z16" s="92">
        <f>COUNTIFS('OB History'!$B:$B,$A$16,'OB History'!U:U, 1)</f>
        <v>0</v>
      </c>
      <c r="AA16" s="92">
        <f>COUNTIFS('OB History'!$B:$B,$A$16,'OB History'!V:V, 1)</f>
        <v>1</v>
      </c>
      <c r="AB16" s="92">
        <f>COUNTIFS('OB History'!$B:$B,$A$16,'OB History'!W:W, 1)</f>
        <v>3</v>
      </c>
      <c r="AC16" s="92">
        <f>COUNTIFS('OB History'!$B:$B,$A$16,'OB History'!X:X, 1)</f>
        <v>1</v>
      </c>
      <c r="AD16" s="92">
        <f>COUNTIFS('OB History'!$B:$B,$A$16,'OB History'!Y:Y, 1)</f>
        <v>2</v>
      </c>
    </row>
    <row r="17" spans="1:30" x14ac:dyDescent="0.25">
      <c r="A17" s="2" t="s">
        <v>141</v>
      </c>
      <c r="B17" s="2"/>
      <c r="C17" s="2"/>
      <c r="D17" s="89">
        <f>SUMIFS('OB History'!C:C,'OB History'!B:B,A17)</f>
        <v>12</v>
      </c>
      <c r="E17" s="90">
        <f>AVERAGEIFS('OB History'!C:C,'OB History'!B:B,A17)</f>
        <v>12</v>
      </c>
      <c r="F17" s="91">
        <f t="array" ref="F17">MAX(IF('OB History'!B:B=A17, 'OB History'!C:C))</f>
        <v>12</v>
      </c>
      <c r="G17" s="89">
        <f>COUNTIFS('OB History'!B:B,A17,'OB History'!D:D, 1)</f>
        <v>0</v>
      </c>
      <c r="H17" s="92">
        <f>COUNTIFS('OB History'!B:B,A17,'OB History'!D:D, 0)</f>
        <v>1</v>
      </c>
      <c r="I17" s="41">
        <f t="shared" si="0"/>
        <v>0</v>
      </c>
      <c r="J17" s="89">
        <f>SUMIFS('OB History'!F:F,'OB History'!B:B,A17)</f>
        <v>2</v>
      </c>
      <c r="K17" s="92">
        <f>SUMIFS('OB History'!E:E,'OB History'!B:B,A17)-J17</f>
        <v>3</v>
      </c>
      <c r="L17" s="41">
        <f t="shared" si="1"/>
        <v>0.4</v>
      </c>
      <c r="M17" s="89">
        <f>SUMIFS('OB History'!H:H,'OB History'!B:B,'Old Bow v2'!A17)</f>
        <v>7</v>
      </c>
      <c r="N17" s="92">
        <f>SUMIFS('OB History'!G:G,'OB History'!B:B,'Old Bow v2'!A17)-M17</f>
        <v>12</v>
      </c>
      <c r="O17" s="41">
        <f t="shared" si="2"/>
        <v>0.36842105263157893</v>
      </c>
      <c r="P17" s="92">
        <f>COUNTIFS('OB History'!$B:$B,$A$17,'OB History'!K:K, 1)</f>
        <v>0</v>
      </c>
      <c r="Q17" s="92">
        <f>COUNTIFS('OB History'!$B:$B,$A$17,'OB History'!L:L, 1)</f>
        <v>0</v>
      </c>
      <c r="R17" s="92">
        <f>COUNTIFS('OB History'!$B:$B,$A$17,'OB History'!M:M, 1)</f>
        <v>0</v>
      </c>
      <c r="S17" s="92">
        <f>COUNTIFS('OB History'!$B:$B,$A$17,'OB History'!N:N, 1)</f>
        <v>0</v>
      </c>
      <c r="T17" s="92">
        <f>COUNTIFS('OB History'!$B:$B,$A$17,'OB History'!O:O, 1)</f>
        <v>0</v>
      </c>
      <c r="U17" s="92">
        <f>COUNTIFS('OB History'!$B:$B,$A$17,'OB History'!P:P, 1)</f>
        <v>0</v>
      </c>
      <c r="V17" s="92">
        <f>COUNTIFS('OB History'!$B:$B,$A$17,'OB History'!Q:Q, 1)</f>
        <v>0</v>
      </c>
      <c r="W17" s="92">
        <f>COUNTIFS('OB History'!$B:$B,$A$17,'OB History'!R:R, 1)</f>
        <v>0</v>
      </c>
      <c r="X17" s="92">
        <f>COUNTIFS('OB History'!$B:$B,$A$17,'OB History'!S:S, 1)</f>
        <v>0</v>
      </c>
      <c r="Y17" s="92">
        <f>COUNTIFS('OB History'!$B:$B,$A$17,'OB History'!T:T, 1)</f>
        <v>0</v>
      </c>
      <c r="Z17" s="92">
        <f>COUNTIFS('OB History'!$B:$B,$A$17,'OB History'!U:U, 1)</f>
        <v>1</v>
      </c>
      <c r="AA17" s="92">
        <f>COUNTIFS('OB History'!$B:$B,$A$17,'OB History'!V:V, 1)</f>
        <v>0</v>
      </c>
      <c r="AB17" s="92">
        <f>COUNTIFS('OB History'!$B:$B,$A$17,'OB History'!W:W, 1)</f>
        <v>0</v>
      </c>
      <c r="AC17" s="92">
        <f>COUNTIFS('OB History'!$B:$B,$A$17,'OB History'!X:X, 1)</f>
        <v>1</v>
      </c>
      <c r="AD17" s="92">
        <f>COUNTIFS('OB History'!$B:$B,$A$17,'OB History'!Y:Y, 1)</f>
        <v>0</v>
      </c>
    </row>
    <row r="18" spans="1:30" x14ac:dyDescent="0.25">
      <c r="A18" s="2" t="s">
        <v>28</v>
      </c>
      <c r="B18" s="6" t="s">
        <v>60</v>
      </c>
      <c r="C18" s="2" t="s">
        <v>79</v>
      </c>
      <c r="D18" s="89">
        <f>SUMIFS('OB History'!C:C,'OB History'!B:B,A18)</f>
        <v>178</v>
      </c>
      <c r="E18" s="90">
        <f>AVERAGEIFS('OB History'!C:C,'OB History'!B:B,A18)</f>
        <v>12.714285714285714</v>
      </c>
      <c r="F18" s="91">
        <f t="array" ref="F18">MAX(IF('OB History'!B:B=A18, 'OB History'!C:C))</f>
        <v>23</v>
      </c>
      <c r="G18" s="89">
        <f>COUNTIFS('OB History'!B:B,A18,'OB History'!D:D, 1)</f>
        <v>5</v>
      </c>
      <c r="H18" s="92">
        <f>COUNTIFS('OB History'!B:B,A18,'OB History'!D:D, 0)</f>
        <v>9</v>
      </c>
      <c r="I18" s="41">
        <f t="shared" si="0"/>
        <v>0.35714285714285715</v>
      </c>
      <c r="J18" s="89">
        <f>SUMIFS('OB History'!F:F,'OB History'!B:B,A18)</f>
        <v>23</v>
      </c>
      <c r="K18" s="92">
        <f>SUMIFS('OB History'!E:E,'OB History'!B:B,A18)-J18</f>
        <v>34</v>
      </c>
      <c r="L18" s="41">
        <f t="shared" si="1"/>
        <v>0.40350877192982454</v>
      </c>
      <c r="M18" s="89">
        <f>SUMIFS('OB History'!H:H,'OB History'!B:B,'Old Bow v2'!A18)</f>
        <v>110</v>
      </c>
      <c r="N18" s="92">
        <f>SUMIFS('OB History'!G:G,'OB History'!B:B,'Old Bow v2'!A18)-M18</f>
        <v>130</v>
      </c>
      <c r="O18" s="41">
        <f t="shared" si="2"/>
        <v>0.45833333333333331</v>
      </c>
      <c r="P18" s="92">
        <f>COUNTIFS('OB History'!$B:$B,$A$18,'OB History'!K:K, 1)</f>
        <v>3</v>
      </c>
      <c r="Q18" s="92">
        <f>COUNTIFS('OB History'!$B:$B,$A$18,'OB History'!L:L, 1)</f>
        <v>0</v>
      </c>
      <c r="R18" s="92">
        <f>COUNTIFS('OB History'!$B:$B,$A$18,'OB History'!M:M, 1)</f>
        <v>0</v>
      </c>
      <c r="S18" s="92">
        <f>COUNTIFS('OB History'!$B:$B,$A$18,'OB History'!N:N, 1)</f>
        <v>0</v>
      </c>
      <c r="T18" s="92">
        <f>COUNTIFS('OB History'!$B:$B,$A$18,'OB History'!O:O, 1)</f>
        <v>1</v>
      </c>
      <c r="U18" s="92">
        <f>COUNTIFS('OB History'!$B:$B,$A$18,'OB History'!P:P, 1)</f>
        <v>2</v>
      </c>
      <c r="V18" s="92">
        <f>COUNTIFS('OB History'!$B:$B,$A$18,'OB History'!Q:Q, 1)</f>
        <v>1</v>
      </c>
      <c r="W18" s="92">
        <f>COUNTIFS('OB History'!$B:$B,$A$18,'OB History'!R:R, 1)</f>
        <v>0</v>
      </c>
      <c r="X18" s="92">
        <f>COUNTIFS('OB History'!$B:$B,$A$18,'OB History'!S:S, 1)</f>
        <v>1</v>
      </c>
      <c r="Y18" s="92">
        <f>COUNTIFS('OB History'!$B:$B,$A$18,'OB History'!T:T, 1)</f>
        <v>1</v>
      </c>
      <c r="Z18" s="92">
        <f>COUNTIFS('OB History'!$B:$B,$A$18,'OB History'!U:U, 1)</f>
        <v>0</v>
      </c>
      <c r="AA18" s="92">
        <f>COUNTIFS('OB History'!$B:$B,$A$18,'OB History'!V:V, 1)</f>
        <v>1</v>
      </c>
      <c r="AB18" s="92">
        <f>COUNTIFS('OB History'!$B:$B,$A$18,'OB History'!W:W, 1)</f>
        <v>3</v>
      </c>
      <c r="AC18" s="92">
        <f>COUNTIFS('OB History'!$B:$B,$A$18,'OB History'!X:X, 1)</f>
        <v>2</v>
      </c>
      <c r="AD18" s="92">
        <f>COUNTIFS('OB History'!$B:$B,$A$18,'OB History'!Y:Y, 1)</f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89">
        <f>SUMIFS('OB History'!C:C,'OB History'!B:B,A19)</f>
        <v>43</v>
      </c>
      <c r="E19" s="90">
        <f>AVERAGEIFS('OB History'!C:C,'OB History'!B:B,A19)</f>
        <v>14.333333333333334</v>
      </c>
      <c r="F19" s="91">
        <f t="array" ref="F19">MAX(IF('OB History'!B:B=A19, 'OB History'!C:C))</f>
        <v>25</v>
      </c>
      <c r="G19" s="89">
        <f>COUNTIFS('OB History'!B:B,A19,'OB History'!D:D, 1)</f>
        <v>2</v>
      </c>
      <c r="H19" s="92">
        <f>COUNTIFS('OB History'!B:B,A19,'OB History'!D:D, 0)</f>
        <v>1</v>
      </c>
      <c r="I19" s="42">
        <f t="shared" si="0"/>
        <v>0.66666666666666663</v>
      </c>
      <c r="J19" s="89">
        <f>SUMIFS('OB History'!F:F,'OB History'!B:B,A19)</f>
        <v>6</v>
      </c>
      <c r="K19" s="92">
        <f>SUMIFS('OB History'!E:E,'OB History'!B:B,A19)-J19</f>
        <v>7</v>
      </c>
      <c r="L19" s="42">
        <f t="shared" si="1"/>
        <v>0.46153846153846156</v>
      </c>
      <c r="M19" s="89">
        <f>SUMIFS('OB History'!H:H,'OB History'!B:B,'Old Bow v2'!A19)</f>
        <v>27</v>
      </c>
      <c r="N19" s="92">
        <f>SUMIFS('OB History'!G:G,'OB History'!B:B,'Old Bow v2'!A19)-M19</f>
        <v>26</v>
      </c>
      <c r="O19" s="42">
        <f t="shared" si="2"/>
        <v>0.50943396226415094</v>
      </c>
      <c r="P19" s="92">
        <f>COUNTIFS('OB History'!$B:$B,$A$19,'OB History'!K:K, 1)</f>
        <v>0</v>
      </c>
      <c r="Q19" s="92">
        <f>COUNTIFS('OB History'!$B:$B,$A$19,'OB History'!L:L, 1)</f>
        <v>0</v>
      </c>
      <c r="R19" s="92">
        <f>COUNTIFS('OB History'!$B:$B,$A$19,'OB History'!M:M, 1)</f>
        <v>0</v>
      </c>
      <c r="S19" s="92">
        <f>COUNTIFS('OB History'!$B:$B,$A$19,'OB History'!N:N, 1)</f>
        <v>1</v>
      </c>
      <c r="T19" s="92">
        <f>COUNTIFS('OB History'!$B:$B,$A$19,'OB History'!O:O, 1)</f>
        <v>2</v>
      </c>
      <c r="U19" s="92">
        <f>COUNTIFS('OB History'!$B:$B,$A$19,'OB History'!P:P, 1)</f>
        <v>1</v>
      </c>
      <c r="V19" s="92">
        <f>COUNTIFS('OB History'!$B:$B,$A$19,'OB History'!Q:Q, 1)</f>
        <v>2</v>
      </c>
      <c r="W19" s="92">
        <f>COUNTIFS('OB History'!$B:$B,$A$19,'OB History'!R:R, 1)</f>
        <v>0</v>
      </c>
      <c r="X19" s="92">
        <f>COUNTIFS('OB History'!$B:$B,$A$19,'OB History'!S:S, 1)</f>
        <v>0</v>
      </c>
      <c r="Y19" s="92">
        <f>COUNTIFS('OB History'!$B:$B,$A$19,'OB History'!T:T, 1)</f>
        <v>0</v>
      </c>
      <c r="Z19" s="92">
        <f>COUNTIFS('OB History'!$B:$B,$A$19,'OB History'!U:U, 1)</f>
        <v>0</v>
      </c>
      <c r="AA19" s="92">
        <f>COUNTIFS('OB History'!$B:$B,$A$19,'OB History'!V:V, 1)</f>
        <v>0</v>
      </c>
      <c r="AB19" s="92">
        <f>COUNTIFS('OB History'!$B:$B,$A$19,'OB History'!W:W, 1)</f>
        <v>0</v>
      </c>
      <c r="AC19" s="92">
        <f>COUNTIFS('OB History'!$B:$B,$A$19,'OB History'!X:X, 1)</f>
        <v>0</v>
      </c>
      <c r="AD19" s="92">
        <f>COUNTIFS('OB History'!$B:$B,$A$19,'OB History'!Y:Y, 1)</f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89">
        <f>SUMIFS('OB History'!C:C,'OB History'!B:B,A20)</f>
        <v>180</v>
      </c>
      <c r="E20" s="90">
        <f>AVERAGEIFS('OB History'!C:C,'OB History'!B:B,A20)</f>
        <v>13.846153846153847</v>
      </c>
      <c r="F20" s="91">
        <f t="array" ref="F20">MAX(IF('OB History'!B:B=A20, 'OB History'!C:C))</f>
        <v>22</v>
      </c>
      <c r="G20" s="89">
        <f>COUNTIFS('OB History'!B:B,A20,'OB History'!D:D, 1)</f>
        <v>7</v>
      </c>
      <c r="H20" s="92">
        <f>COUNTIFS('OB History'!B:B,A20,'OB History'!D:D, 0)</f>
        <v>6</v>
      </c>
      <c r="I20" s="42">
        <f t="shared" si="0"/>
        <v>0.53846153846153844</v>
      </c>
      <c r="J20" s="89">
        <f>SUMIFS('OB History'!F:F,'OB History'!B:B,A20)</f>
        <v>29</v>
      </c>
      <c r="K20" s="92">
        <f>SUMIFS('OB History'!E:E,'OB History'!B:B,A20)-J20</f>
        <v>26</v>
      </c>
      <c r="L20" s="42">
        <f t="shared" si="1"/>
        <v>0.52727272727272723</v>
      </c>
      <c r="M20" s="89">
        <f>SUMIFS('OB History'!H:H,'OB History'!B:B,'Old Bow v2'!A20)</f>
        <v>111</v>
      </c>
      <c r="N20" s="92">
        <f>SUMIFS('OB History'!G:G,'OB History'!B:B,'Old Bow v2'!A20)-M20</f>
        <v>111</v>
      </c>
      <c r="O20" s="42">
        <f t="shared" si="2"/>
        <v>0.5</v>
      </c>
      <c r="P20" s="92">
        <f>COUNTIFS('OB History'!$B:$B,$A$20,'OB History'!K:K, 1)</f>
        <v>4</v>
      </c>
      <c r="Q20" s="92">
        <f>COUNTIFS('OB History'!$B:$B,$A$20,'OB History'!L:L, 1)</f>
        <v>1</v>
      </c>
      <c r="R20" s="92">
        <f>COUNTIFS('OB History'!$B:$B,$A$20,'OB History'!M:M, 1)</f>
        <v>0</v>
      </c>
      <c r="S20" s="92">
        <f>COUNTIFS('OB History'!$B:$B,$A$20,'OB History'!N:N, 1)</f>
        <v>3</v>
      </c>
      <c r="T20" s="92">
        <f>COUNTIFS('OB History'!$B:$B,$A$20,'OB History'!O:O, 1)</f>
        <v>0</v>
      </c>
      <c r="U20" s="92">
        <f>COUNTIFS('OB History'!$B:$B,$A$20,'OB History'!P:P, 1)</f>
        <v>3</v>
      </c>
      <c r="V20" s="92">
        <f>COUNTIFS('OB History'!$B:$B,$A$20,'OB History'!Q:Q, 1)</f>
        <v>0</v>
      </c>
      <c r="W20" s="92">
        <f>COUNTIFS('OB History'!$B:$B,$A$20,'OB History'!R:R, 1)</f>
        <v>1</v>
      </c>
      <c r="X20" s="92">
        <f>COUNTIFS('OB History'!$B:$B,$A$20,'OB History'!S:S, 1)</f>
        <v>0</v>
      </c>
      <c r="Y20" s="92">
        <f>COUNTIFS('OB History'!$B:$B,$A$20,'OB History'!T:T, 1)</f>
        <v>0</v>
      </c>
      <c r="Z20" s="92">
        <f>COUNTIFS('OB History'!$B:$B,$A$20,'OB History'!U:U, 1)</f>
        <v>2</v>
      </c>
      <c r="AA20" s="92">
        <f>COUNTIFS('OB History'!$B:$B,$A$20,'OB History'!V:V, 1)</f>
        <v>5</v>
      </c>
      <c r="AB20" s="92">
        <f>COUNTIFS('OB History'!$B:$B,$A$20,'OB History'!W:W, 1)</f>
        <v>4</v>
      </c>
      <c r="AC20" s="92">
        <f>COUNTIFS('OB History'!$B:$B,$A$20,'OB History'!X:X, 1)</f>
        <v>3</v>
      </c>
      <c r="AD20" s="92">
        <f>COUNTIFS('OB History'!$B:$B,$A$20,'OB History'!Y:Y, 1)</f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89">
        <f>SUMIFS('OB History'!C:C,'OB History'!B:B,A21)</f>
        <v>229</v>
      </c>
      <c r="E21" s="90">
        <f>AVERAGEIFS('OB History'!C:C,'OB History'!B:B,A21)</f>
        <v>13.470588235294118</v>
      </c>
      <c r="F21" s="91">
        <f t="array" ref="F21">MAX(IF('OB History'!B:B=A21, 'OB History'!C:C))</f>
        <v>28</v>
      </c>
      <c r="G21" s="89">
        <f>COUNTIFS('OB History'!B:B,A21,'OB History'!D:D, 1)</f>
        <v>7</v>
      </c>
      <c r="H21" s="92">
        <f>COUNTIFS('OB History'!B:B,A21,'OB History'!D:D, 0)</f>
        <v>10</v>
      </c>
      <c r="I21" s="41">
        <f t="shared" si="0"/>
        <v>0.41176470588235292</v>
      </c>
      <c r="J21" s="89">
        <f>SUMIFS('OB History'!F:F,'OB History'!B:B,A21)</f>
        <v>35</v>
      </c>
      <c r="K21" s="92">
        <f>SUMIFS('OB History'!E:E,'OB History'!B:B,A21)-J21</f>
        <v>37</v>
      </c>
      <c r="L21" s="41">
        <f t="shared" si="1"/>
        <v>0.4861111111111111</v>
      </c>
      <c r="M21" s="89">
        <f>SUMIFS('OB History'!H:H,'OB History'!B:B,'Old Bow v2'!A21)</f>
        <v>152</v>
      </c>
      <c r="N21" s="92">
        <f>SUMIFS('OB History'!G:G,'OB History'!B:B,'Old Bow v2'!A21)-M21</f>
        <v>149</v>
      </c>
      <c r="O21" s="41">
        <f t="shared" si="2"/>
        <v>0.50498338870431891</v>
      </c>
      <c r="P21" s="92">
        <f>COUNTIFS('OB History'!$B:$B,$A$21,'OB History'!K:K, 1)</f>
        <v>1</v>
      </c>
      <c r="Q21" s="92">
        <f>COUNTIFS('OB History'!$B:$B,$A$21,'OB History'!L:L, 1)</f>
        <v>3</v>
      </c>
      <c r="R21" s="92">
        <f>COUNTIFS('OB History'!$B:$B,$A$21,'OB History'!M:M, 1)</f>
        <v>0</v>
      </c>
      <c r="S21" s="92">
        <f>COUNTIFS('OB History'!$B:$B,$A$21,'OB History'!N:N, 1)</f>
        <v>7</v>
      </c>
      <c r="T21" s="92">
        <f>COUNTIFS('OB History'!$B:$B,$A$21,'OB History'!O:O, 1)</f>
        <v>0</v>
      </c>
      <c r="U21" s="92">
        <f>COUNTIFS('OB History'!$B:$B,$A$21,'OB History'!P:P, 1)</f>
        <v>3</v>
      </c>
      <c r="V21" s="92">
        <f>COUNTIFS('OB History'!$B:$B,$A$21,'OB History'!Q:Q, 1)</f>
        <v>1</v>
      </c>
      <c r="W21" s="92">
        <f>COUNTIFS('OB History'!$B:$B,$A$21,'OB History'!R:R, 1)</f>
        <v>1</v>
      </c>
      <c r="X21" s="92">
        <f>COUNTIFS('OB History'!$B:$B,$A$21,'OB History'!S:S, 1)</f>
        <v>0</v>
      </c>
      <c r="Y21" s="92">
        <f>COUNTIFS('OB History'!$B:$B,$A$21,'OB History'!T:T, 1)</f>
        <v>0</v>
      </c>
      <c r="Z21" s="92">
        <f>COUNTIFS('OB History'!$B:$B,$A$21,'OB History'!U:U, 1)</f>
        <v>2</v>
      </c>
      <c r="AA21" s="92">
        <f>COUNTIFS('OB History'!$B:$B,$A$21,'OB History'!V:V, 1)</f>
        <v>7</v>
      </c>
      <c r="AB21" s="92">
        <f>COUNTIFS('OB History'!$B:$B,$A$21,'OB History'!W:W, 1)</f>
        <v>6</v>
      </c>
      <c r="AC21" s="92">
        <f>COUNTIFS('OB History'!$B:$B,$A$21,'OB History'!X:X, 1)</f>
        <v>1</v>
      </c>
      <c r="AD21" s="92">
        <f>COUNTIFS('OB History'!$B:$B,$A$21,'OB History'!Y:Y, 1)</f>
        <v>3</v>
      </c>
    </row>
    <row r="22" spans="1:30" x14ac:dyDescent="0.25">
      <c r="A22" s="1" t="s">
        <v>47</v>
      </c>
      <c r="B22" s="2" t="s">
        <v>79</v>
      </c>
      <c r="C22" s="2" t="s">
        <v>79</v>
      </c>
      <c r="D22" s="89">
        <f>SUMIFS('OB History'!C:C,'OB History'!B:B,A22)</f>
        <v>36</v>
      </c>
      <c r="E22" s="90">
        <f>AVERAGEIFS('OB History'!C:C,'OB History'!B:B,A22)</f>
        <v>9</v>
      </c>
      <c r="F22" s="91">
        <f t="array" ref="F22">MAX(IF('OB History'!B:B=A22, 'OB History'!C:C))</f>
        <v>13</v>
      </c>
      <c r="G22" s="89">
        <f>COUNTIFS('OB History'!B:B,A22,'OB History'!D:D, 1)</f>
        <v>2</v>
      </c>
      <c r="H22" s="92">
        <f>COUNTIFS('OB History'!B:B,A22,'OB History'!D:D, 0)</f>
        <v>2</v>
      </c>
      <c r="I22" s="42">
        <f t="shared" si="0"/>
        <v>0.5</v>
      </c>
      <c r="J22" s="89">
        <f>SUMIFS('OB History'!F:F,'OB History'!B:B,A22)</f>
        <v>9</v>
      </c>
      <c r="K22" s="92">
        <f>SUMIFS('OB History'!E:E,'OB History'!B:B,A22)-J22</f>
        <v>7</v>
      </c>
      <c r="L22" s="42">
        <f t="shared" si="1"/>
        <v>0.5625</v>
      </c>
      <c r="M22" s="89">
        <f>SUMIFS('OB History'!H:H,'OB History'!B:B,'Old Bow v2'!A22)</f>
        <v>38</v>
      </c>
      <c r="N22" s="92">
        <f>SUMIFS('OB History'!G:G,'OB History'!B:B,'Old Bow v2'!A22)-M22</f>
        <v>34</v>
      </c>
      <c r="O22" s="42">
        <f t="shared" si="2"/>
        <v>0.52777777777777779</v>
      </c>
      <c r="P22" s="92">
        <f>COUNTIFS('OB History'!$B:$B,$A$22,'OB History'!K:K, 1)</f>
        <v>0</v>
      </c>
      <c r="Q22" s="92">
        <f>COUNTIFS('OB History'!$B:$B,$A$22,'OB History'!L:L, 1)</f>
        <v>0</v>
      </c>
      <c r="R22" s="92">
        <f>COUNTIFS('OB History'!$B:$B,$A$22,'OB History'!M:M, 1)</f>
        <v>0</v>
      </c>
      <c r="S22" s="92">
        <f>COUNTIFS('OB History'!$B:$B,$A$22,'OB History'!N:N, 1)</f>
        <v>1</v>
      </c>
      <c r="T22" s="92">
        <f>COUNTIFS('OB History'!$B:$B,$A$22,'OB History'!O:O, 1)</f>
        <v>0</v>
      </c>
      <c r="U22" s="92">
        <f>COUNTIFS('OB History'!$B:$B,$A$22,'OB History'!P:P, 1)</f>
        <v>1</v>
      </c>
      <c r="V22" s="92">
        <f>COUNTIFS('OB History'!$B:$B,$A$22,'OB History'!Q:Q, 1)</f>
        <v>0</v>
      </c>
      <c r="W22" s="92">
        <f>COUNTIFS('OB History'!$B:$B,$A$22,'OB History'!R:R, 1)</f>
        <v>0</v>
      </c>
      <c r="X22" s="92">
        <f>COUNTIFS('OB History'!$B:$B,$A$22,'OB History'!S:S, 1)</f>
        <v>0</v>
      </c>
      <c r="Y22" s="92">
        <f>COUNTIFS('OB History'!$B:$B,$A$22,'OB History'!T:T, 1)</f>
        <v>0</v>
      </c>
      <c r="Z22" s="92">
        <f>COUNTIFS('OB History'!$B:$B,$A$22,'OB History'!U:U, 1)</f>
        <v>0</v>
      </c>
      <c r="AA22" s="92">
        <f>COUNTIFS('OB History'!$B:$B,$A$22,'OB History'!V:V, 1)</f>
        <v>3</v>
      </c>
      <c r="AB22" s="92">
        <f>COUNTIFS('OB History'!$B:$B,$A$22,'OB History'!W:W, 1)</f>
        <v>1</v>
      </c>
      <c r="AC22" s="92">
        <f>COUNTIFS('OB History'!$B:$B,$A$22,'OB History'!X:X, 1)</f>
        <v>0</v>
      </c>
      <c r="AD22" s="92">
        <f>COUNTIFS('OB History'!$B:$B,$A$22,'OB History'!Y:Y, 1)</f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89">
        <f>SUMIFS('OB History'!C:C,'OB History'!B:B,A23)</f>
        <v>230</v>
      </c>
      <c r="E23" s="90">
        <f>AVERAGEIFS('OB History'!C:C,'OB History'!B:B,A23)</f>
        <v>23</v>
      </c>
      <c r="F23" s="91">
        <f t="array" ref="F23">MAX(IF('OB History'!B:B=A23, 'OB History'!C:C))</f>
        <v>44</v>
      </c>
      <c r="G23" s="89">
        <f>COUNTIFS('OB History'!B:B,A23,'OB History'!D:D, 1)</f>
        <v>6</v>
      </c>
      <c r="H23" s="92">
        <f>COUNTIFS('OB History'!B:B,A23,'OB History'!D:D, 0)</f>
        <v>4</v>
      </c>
      <c r="I23" s="41">
        <f t="shared" si="0"/>
        <v>0.6</v>
      </c>
      <c r="J23" s="89">
        <f>SUMIFS('OB History'!F:F,'OB History'!B:B,A23)</f>
        <v>22</v>
      </c>
      <c r="K23" s="92">
        <f>SUMIFS('OB History'!E:E,'OB History'!B:B,A23)-J23</f>
        <v>21</v>
      </c>
      <c r="L23" s="41">
        <f t="shared" si="1"/>
        <v>0.51162790697674421</v>
      </c>
      <c r="M23" s="89">
        <f>SUMIFS('OB History'!H:H,'OB History'!B:B,'Old Bow v2'!A23)</f>
        <v>87</v>
      </c>
      <c r="N23" s="92">
        <f>SUMIFS('OB History'!G:G,'OB History'!B:B,'Old Bow v2'!A23)-M23</f>
        <v>88</v>
      </c>
      <c r="O23" s="41">
        <f t="shared" si="2"/>
        <v>0.49714285714285716</v>
      </c>
      <c r="P23" s="92">
        <f>COUNTIFS('OB History'!$B:$B,$A$23,'OB History'!K:K, 1)</f>
        <v>2</v>
      </c>
      <c r="Q23" s="92">
        <f>COUNTIFS('OB History'!$B:$B,$A$23,'OB History'!L:L, 1)</f>
        <v>3</v>
      </c>
      <c r="R23" s="92">
        <f>COUNTIFS('OB History'!$B:$B,$A$23,'OB History'!M:M, 1)</f>
        <v>0</v>
      </c>
      <c r="S23" s="92">
        <f>COUNTIFS('OB History'!$B:$B,$A$23,'OB History'!N:N, 1)</f>
        <v>1</v>
      </c>
      <c r="T23" s="92">
        <f>COUNTIFS('OB History'!$B:$B,$A$23,'OB History'!O:O, 1)</f>
        <v>2</v>
      </c>
      <c r="U23" s="92">
        <f>COUNTIFS('OB History'!$B:$B,$A$23,'OB History'!P:P, 1)</f>
        <v>2</v>
      </c>
      <c r="V23" s="92">
        <f>COUNTIFS('OB History'!$B:$B,$A$23,'OB History'!Q:Q, 1)</f>
        <v>3</v>
      </c>
      <c r="W23" s="92">
        <f>COUNTIFS('OB History'!$B:$B,$A$23,'OB History'!R:R, 1)</f>
        <v>0</v>
      </c>
      <c r="X23" s="92">
        <f>COUNTIFS('OB History'!$B:$B,$A$23,'OB History'!S:S, 1)</f>
        <v>0</v>
      </c>
      <c r="Y23" s="92">
        <f>COUNTIFS('OB History'!$B:$B,$A$23,'OB History'!T:T, 1)</f>
        <v>0</v>
      </c>
      <c r="Z23" s="92">
        <f>COUNTIFS('OB History'!$B:$B,$A$23,'OB History'!U:U, 1)</f>
        <v>1</v>
      </c>
      <c r="AA23" s="92">
        <f>COUNTIFS('OB History'!$B:$B,$A$23,'OB History'!V:V, 1)</f>
        <v>1</v>
      </c>
      <c r="AB23" s="92">
        <f>COUNTIFS('OB History'!$B:$B,$A$23,'OB History'!W:W, 1)</f>
        <v>3</v>
      </c>
      <c r="AC23" s="92">
        <f>COUNTIFS('OB History'!$B:$B,$A$23,'OB History'!X:X, 1)</f>
        <v>2</v>
      </c>
      <c r="AD23" s="92">
        <f>COUNTIFS('OB History'!$B:$B,$A$23,'OB History'!Y:Y, 1)</f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89">
        <f>SUMIFS('OB History'!C:C,'OB History'!B:B,A24)</f>
        <v>465</v>
      </c>
      <c r="E24" s="90">
        <f>AVERAGEIFS('OB History'!C:C,'OB History'!B:B,A24)</f>
        <v>25.833333333333332</v>
      </c>
      <c r="F24" s="91">
        <f t="array" ref="F24">MAX(IF('OB History'!B:B=A24, 'OB History'!C:C))</f>
        <v>55</v>
      </c>
      <c r="G24" s="89">
        <f>COUNTIFS('OB History'!B:B,A24,'OB History'!D:D, 1)</f>
        <v>5</v>
      </c>
      <c r="H24" s="92">
        <f>COUNTIFS('OB History'!B:B,A24,'OB History'!D:D, 0)</f>
        <v>13</v>
      </c>
      <c r="I24" s="41">
        <f t="shared" si="0"/>
        <v>0.27777777777777779</v>
      </c>
      <c r="J24" s="89">
        <f>SUMIFS('OB History'!F:F,'OB History'!B:B,A24)</f>
        <v>31</v>
      </c>
      <c r="K24" s="92">
        <f>SUMIFS('OB History'!E:E,'OB History'!B:B,A24)-J24</f>
        <v>44</v>
      </c>
      <c r="L24" s="41">
        <f t="shared" si="1"/>
        <v>0.41333333333333333</v>
      </c>
      <c r="M24" s="89">
        <f>SUMIFS('OB History'!H:H,'OB History'!B:B,'Old Bow v2'!A24)</f>
        <v>148</v>
      </c>
      <c r="N24" s="92">
        <f>SUMIFS('OB History'!G:G,'OB History'!B:B,'Old Bow v2'!A24)-M24</f>
        <v>166</v>
      </c>
      <c r="O24" s="41">
        <f t="shared" si="2"/>
        <v>0.4713375796178344</v>
      </c>
      <c r="P24" s="92">
        <f>COUNTIFS('OB History'!$B:$B,$A$24,'OB History'!K:K, 1)</f>
        <v>2</v>
      </c>
      <c r="Q24" s="92">
        <f>COUNTIFS('OB History'!$B:$B,$A$24,'OB History'!L:L, 1)</f>
        <v>0</v>
      </c>
      <c r="R24" s="92">
        <f>COUNTIFS('OB History'!$B:$B,$A$24,'OB History'!M:M, 1)</f>
        <v>0</v>
      </c>
      <c r="S24" s="92">
        <f>COUNTIFS('OB History'!$B:$B,$A$24,'OB History'!N:N, 1)</f>
        <v>4</v>
      </c>
      <c r="T24" s="92">
        <f>COUNTIFS('OB History'!$B:$B,$A$24,'OB History'!O:O, 1)</f>
        <v>0</v>
      </c>
      <c r="U24" s="92">
        <f>COUNTIFS('OB History'!$B:$B,$A$24,'OB History'!P:P, 1)</f>
        <v>4</v>
      </c>
      <c r="V24" s="92">
        <f>COUNTIFS('OB History'!$B:$B,$A$24,'OB History'!Q:Q, 1)</f>
        <v>1</v>
      </c>
      <c r="W24" s="92">
        <f>COUNTIFS('OB History'!$B:$B,$A$24,'OB History'!R:R, 1)</f>
        <v>0</v>
      </c>
      <c r="X24" s="92">
        <f>COUNTIFS('OB History'!$B:$B,$A$24,'OB History'!S:S, 1)</f>
        <v>0</v>
      </c>
      <c r="Y24" s="92">
        <f>COUNTIFS('OB History'!$B:$B,$A$24,'OB History'!T:T, 1)</f>
        <v>0</v>
      </c>
      <c r="Z24" s="92">
        <f>COUNTIFS('OB History'!$B:$B,$A$24,'OB History'!U:U, 1)</f>
        <v>0</v>
      </c>
      <c r="AA24" s="92">
        <f>COUNTIFS('OB History'!$B:$B,$A$24,'OB History'!V:V, 1)</f>
        <v>5</v>
      </c>
      <c r="AB24" s="92">
        <f>COUNTIFS('OB History'!$B:$B,$A$24,'OB History'!W:W, 1)</f>
        <v>7</v>
      </c>
      <c r="AC24" s="92">
        <f>COUNTIFS('OB History'!$B:$B,$A$24,'OB History'!X:X, 1)</f>
        <v>2</v>
      </c>
      <c r="AD24" s="92">
        <f>COUNTIFS('OB History'!$B:$B,$A$24,'OB History'!Y:Y, 1)</f>
        <v>6</v>
      </c>
    </row>
    <row r="25" spans="1:30" x14ac:dyDescent="0.25">
      <c r="A25" s="1" t="s">
        <v>43</v>
      </c>
      <c r="B25" s="2" t="s">
        <v>79</v>
      </c>
      <c r="C25" s="2" t="s">
        <v>79</v>
      </c>
      <c r="D25" s="89">
        <f>SUMIFS('OB History'!C:C,'OB History'!B:B,A25)</f>
        <v>4</v>
      </c>
      <c r="E25" s="90">
        <f>AVERAGEIFS('OB History'!C:C,'OB History'!B:B,A25)</f>
        <v>4</v>
      </c>
      <c r="F25" s="91">
        <f t="array" ref="F25">MAX(IF('OB History'!B:B=A25, 'OB History'!C:C))</f>
        <v>4</v>
      </c>
      <c r="G25" s="89">
        <f>COUNTIFS('OB History'!B:B,A25,'OB History'!D:D, 1)</f>
        <v>1</v>
      </c>
      <c r="H25" s="92">
        <f>COUNTIFS('OB History'!B:B,A25,'OB History'!D:D, 0)</f>
        <v>0</v>
      </c>
      <c r="I25" s="42">
        <f t="shared" si="0"/>
        <v>1</v>
      </c>
      <c r="J25" s="89">
        <f>SUMIFS('OB History'!F:F,'OB History'!B:B,A25)</f>
        <v>3</v>
      </c>
      <c r="K25" s="92">
        <f>SUMIFS('OB History'!E:E,'OB History'!B:B,A25)-J25</f>
        <v>0</v>
      </c>
      <c r="L25" s="42">
        <f t="shared" si="1"/>
        <v>1</v>
      </c>
      <c r="M25" s="89">
        <f>SUMIFS('OB History'!H:H,'OB History'!B:B,'Old Bow v2'!A25)</f>
        <v>9</v>
      </c>
      <c r="N25" s="92">
        <f>SUMIFS('OB History'!G:G,'OB History'!B:B,'Old Bow v2'!A25)-M25</f>
        <v>4</v>
      </c>
      <c r="O25" s="42">
        <f t="shared" si="2"/>
        <v>0.69230769230769229</v>
      </c>
      <c r="P25" s="92">
        <f>COUNTIFS('OB History'!$B:$B,$A$25,'OB History'!K:K, 1)</f>
        <v>0</v>
      </c>
      <c r="Q25" s="92">
        <f>COUNTIFS('OB History'!$B:$B,$A$25,'OB History'!L:L, 1)</f>
        <v>0</v>
      </c>
      <c r="R25" s="92">
        <f>COUNTIFS('OB History'!$B:$B,$A$25,'OB History'!M:M, 1)</f>
        <v>0</v>
      </c>
      <c r="S25" s="92">
        <f>COUNTIFS('OB History'!$B:$B,$A$25,'OB History'!N:N, 1)</f>
        <v>0</v>
      </c>
      <c r="T25" s="92">
        <f>COUNTIFS('OB History'!$B:$B,$A$25,'OB History'!O:O, 1)</f>
        <v>0</v>
      </c>
      <c r="U25" s="92">
        <f>COUNTIFS('OB History'!$B:$B,$A$25,'OB History'!P:P, 1)</f>
        <v>1</v>
      </c>
      <c r="V25" s="92">
        <f>COUNTIFS('OB History'!$B:$B,$A$25,'OB History'!Q:Q, 1)</f>
        <v>0</v>
      </c>
      <c r="W25" s="92">
        <f>COUNTIFS('OB History'!$B:$B,$A$25,'OB History'!R:R, 1)</f>
        <v>0</v>
      </c>
      <c r="X25" s="92">
        <f>COUNTIFS('OB History'!$B:$B,$A$25,'OB History'!S:S, 1)</f>
        <v>0</v>
      </c>
      <c r="Y25" s="92">
        <f>COUNTIFS('OB History'!$B:$B,$A$25,'OB History'!T:T, 1)</f>
        <v>0</v>
      </c>
      <c r="Z25" s="92">
        <f>COUNTIFS('OB History'!$B:$B,$A$25,'OB History'!U:U, 1)</f>
        <v>0</v>
      </c>
      <c r="AA25" s="92">
        <f>COUNTIFS('OB History'!$B:$B,$A$25,'OB History'!V:V, 1)</f>
        <v>0</v>
      </c>
      <c r="AB25" s="92">
        <f>COUNTIFS('OB History'!$B:$B,$A$25,'OB History'!W:W, 1)</f>
        <v>1</v>
      </c>
      <c r="AC25" s="92">
        <f>COUNTIFS('OB History'!$B:$B,$A$25,'OB History'!X:X, 1)</f>
        <v>0</v>
      </c>
      <c r="AD25" s="92">
        <f>COUNTIFS('OB History'!$B:$B,$A$25,'OB History'!Y:Y, 1)</f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89">
        <f>SUMIFS('OB History'!C:C,'OB History'!B:B,A26)</f>
        <v>671</v>
      </c>
      <c r="E26" s="90">
        <f>AVERAGEIFS('OB History'!C:C,'OB History'!B:B,A26)</f>
        <v>27.958333333333332</v>
      </c>
      <c r="F26" s="91">
        <f t="array" ref="F26">MAX(IF('OB History'!B:B=A26, 'OB History'!C:C))</f>
        <v>57</v>
      </c>
      <c r="G26" s="89">
        <f>COUNTIFS('OB History'!B:B,A26,'OB History'!D:D, 1)</f>
        <v>16</v>
      </c>
      <c r="H26" s="92">
        <f>COUNTIFS('OB History'!B:B,A26,'OB History'!D:D, 0)</f>
        <v>8</v>
      </c>
      <c r="I26" s="41">
        <f t="shared" si="0"/>
        <v>0.66666666666666663</v>
      </c>
      <c r="J26" s="89">
        <f>SUMIFS('OB History'!F:F,'OB History'!B:B,A26)</f>
        <v>56</v>
      </c>
      <c r="K26" s="92">
        <f>SUMIFS('OB History'!E:E,'OB History'!B:B,A26)-J26</f>
        <v>42</v>
      </c>
      <c r="L26" s="41">
        <f t="shared" si="1"/>
        <v>0.5714285714285714</v>
      </c>
      <c r="M26" s="89">
        <f>SUMIFS('OB History'!H:H,'OB History'!B:B,'Old Bow v2'!A26)</f>
        <v>216</v>
      </c>
      <c r="N26" s="92">
        <f>SUMIFS('OB History'!G:G,'OB History'!B:B,'Old Bow v2'!A26)-M26</f>
        <v>185</v>
      </c>
      <c r="O26" s="41">
        <f t="shared" si="2"/>
        <v>0.53865336658354113</v>
      </c>
      <c r="P26" s="92">
        <f>COUNTIFS('OB History'!$B:$B,$A$26,'OB History'!K:K, 1)</f>
        <v>2</v>
      </c>
      <c r="Q26" s="92">
        <f>COUNTIFS('OB History'!$B:$B,$A$26,'OB History'!L:L, 1)</f>
        <v>6</v>
      </c>
      <c r="R26" s="92">
        <f>COUNTIFS('OB History'!$B:$B,$A$26,'OB History'!M:M, 1)</f>
        <v>0</v>
      </c>
      <c r="S26" s="92">
        <f>COUNTIFS('OB History'!$B:$B,$A$26,'OB History'!N:N, 1)</f>
        <v>7</v>
      </c>
      <c r="T26" s="92">
        <f>COUNTIFS('OB History'!$B:$B,$A$26,'OB History'!O:O, 1)</f>
        <v>2</v>
      </c>
      <c r="U26" s="92">
        <f>COUNTIFS('OB History'!$B:$B,$A$26,'OB History'!P:P, 1)</f>
        <v>8</v>
      </c>
      <c r="V26" s="92">
        <f>COUNTIFS('OB History'!$B:$B,$A$26,'OB History'!Q:Q, 1)</f>
        <v>3</v>
      </c>
      <c r="W26" s="92">
        <f>COUNTIFS('OB History'!$B:$B,$A$26,'OB History'!R:R, 1)</f>
        <v>1</v>
      </c>
      <c r="X26" s="92">
        <f>COUNTIFS('OB History'!$B:$B,$A$26,'OB History'!S:S, 1)</f>
        <v>1</v>
      </c>
      <c r="Y26" s="92">
        <f>COUNTIFS('OB History'!$B:$B,$A$26,'OB History'!T:T, 1)</f>
        <v>1</v>
      </c>
      <c r="Z26" s="92">
        <f>COUNTIFS('OB History'!$B:$B,$A$26,'OB History'!U:U, 1)</f>
        <v>3</v>
      </c>
      <c r="AA26" s="92">
        <f>COUNTIFS('OB History'!$B:$B,$A$26,'OB History'!V:V, 1)</f>
        <v>6</v>
      </c>
      <c r="AB26" s="92">
        <f>COUNTIFS('OB History'!$B:$B,$A$26,'OB History'!W:W, 1)</f>
        <v>6</v>
      </c>
      <c r="AC26" s="92">
        <f>COUNTIFS('OB History'!$B:$B,$A$26,'OB History'!X:X, 1)</f>
        <v>1</v>
      </c>
      <c r="AD26" s="92">
        <f>COUNTIFS('OB History'!$B:$B,$A$26,'OB History'!Y:Y, 1)</f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89">
        <f>SUMIFS('OB History'!C:C,'OB History'!B:B,A27)</f>
        <v>321</v>
      </c>
      <c r="E27" s="90">
        <f>AVERAGEIFS('OB History'!C:C,'OB History'!B:B,A27)</f>
        <v>26.75</v>
      </c>
      <c r="F27" s="91">
        <f t="array" ref="F27">MAX(IF('OB History'!B:B=A27, 'OB History'!C:C))</f>
        <v>42</v>
      </c>
      <c r="G27" s="89">
        <f>COUNTIFS('OB History'!B:B,A27,'OB History'!D:D, 1)</f>
        <v>7</v>
      </c>
      <c r="H27" s="92">
        <f>COUNTIFS('OB History'!B:B,A27,'OB History'!D:D, 0)</f>
        <v>5</v>
      </c>
      <c r="I27" s="41">
        <f t="shared" si="0"/>
        <v>0.58333333333333337</v>
      </c>
      <c r="J27" s="89">
        <f>SUMIFS('OB History'!F:F,'OB History'!B:B,A27)</f>
        <v>28</v>
      </c>
      <c r="K27" s="92">
        <f>SUMIFS('OB History'!E:E,'OB History'!B:B,A27)-J27</f>
        <v>23</v>
      </c>
      <c r="L27" s="41">
        <f t="shared" si="1"/>
        <v>0.5490196078431373</v>
      </c>
      <c r="M27" s="89">
        <f>SUMIFS('OB History'!H:H,'OB History'!B:B,'Old Bow v2'!A27)</f>
        <v>114</v>
      </c>
      <c r="N27" s="92">
        <f>SUMIFS('OB History'!G:G,'OB History'!B:B,'Old Bow v2'!A27)-M27</f>
        <v>98</v>
      </c>
      <c r="O27" s="41">
        <f t="shared" si="2"/>
        <v>0.53773584905660377</v>
      </c>
      <c r="P27" s="92">
        <f>COUNTIFS('OB History'!$B:$B,$A$27,'OB History'!K:K, 1)</f>
        <v>2</v>
      </c>
      <c r="Q27" s="92">
        <f>COUNTIFS('OB History'!$B:$B,$A$27,'OB History'!L:L, 1)</f>
        <v>2</v>
      </c>
      <c r="R27" s="92">
        <f>COUNTIFS('OB History'!$B:$B,$A$27,'OB History'!M:M, 1)</f>
        <v>0</v>
      </c>
      <c r="S27" s="92">
        <f>COUNTIFS('OB History'!$B:$B,$A$27,'OB History'!N:N, 1)</f>
        <v>5</v>
      </c>
      <c r="T27" s="92">
        <f>COUNTIFS('OB History'!$B:$B,$A$27,'OB History'!O:O, 1)</f>
        <v>0</v>
      </c>
      <c r="U27" s="92">
        <f>COUNTIFS('OB History'!$B:$B,$A$27,'OB History'!P:P, 1)</f>
        <v>3</v>
      </c>
      <c r="V27" s="92">
        <f>COUNTIFS('OB History'!$B:$B,$A$27,'OB History'!Q:Q, 1)</f>
        <v>0</v>
      </c>
      <c r="W27" s="92">
        <f>COUNTIFS('OB History'!$B:$B,$A$27,'OB History'!R:R, 1)</f>
        <v>0</v>
      </c>
      <c r="X27" s="92">
        <f>COUNTIFS('OB History'!$B:$B,$A$27,'OB History'!S:S, 1)</f>
        <v>0</v>
      </c>
      <c r="Y27" s="92">
        <f>COUNTIFS('OB History'!$B:$B,$A$27,'OB History'!T:T, 1)</f>
        <v>0</v>
      </c>
      <c r="Z27" s="92">
        <f>COUNTIFS('OB History'!$B:$B,$A$27,'OB History'!U:U, 1)</f>
        <v>0</v>
      </c>
      <c r="AA27" s="92">
        <f>COUNTIFS('OB History'!$B:$B,$A$27,'OB History'!V:V, 1)</f>
        <v>5</v>
      </c>
      <c r="AB27" s="92">
        <f>COUNTIFS('OB History'!$B:$B,$A$27,'OB History'!W:W, 1)</f>
        <v>1</v>
      </c>
      <c r="AC27" s="92">
        <f>COUNTIFS('OB History'!$B:$B,$A$27,'OB History'!X:X, 1)</f>
        <v>4</v>
      </c>
      <c r="AD27" s="92">
        <f>COUNTIFS('OB History'!$B:$B,$A$27,'OB History'!Y:Y, 1)</f>
        <v>4</v>
      </c>
    </row>
    <row r="28" spans="1:30" x14ac:dyDescent="0.25">
      <c r="A28" s="2" t="s">
        <v>54</v>
      </c>
      <c r="B28" s="6" t="s">
        <v>60</v>
      </c>
      <c r="C28" s="6" t="s">
        <v>79</v>
      </c>
      <c r="D28" s="89">
        <f>SUMIFS('OB History'!C:C,'OB History'!B:B,A28)</f>
        <v>65</v>
      </c>
      <c r="E28" s="90">
        <f>AVERAGEIFS('OB History'!C:C,'OB History'!B:B,A28)</f>
        <v>21.666666666666668</v>
      </c>
      <c r="F28" s="91">
        <f t="array" ref="F28">MAX(IF('OB History'!B:B=A28, 'OB History'!C:C))</f>
        <v>29</v>
      </c>
      <c r="G28" s="89">
        <f>COUNTIFS('OB History'!B:B,A28,'OB History'!D:D, 1)</f>
        <v>3</v>
      </c>
      <c r="H28" s="92">
        <f>COUNTIFS('OB History'!B:B,A28,'OB History'!D:D, 0)</f>
        <v>0</v>
      </c>
      <c r="I28" s="42">
        <f t="shared" si="0"/>
        <v>1</v>
      </c>
      <c r="J28" s="89">
        <f>SUMIFS('OB History'!F:F,'OB History'!B:B,A28)</f>
        <v>9</v>
      </c>
      <c r="K28" s="92">
        <f>SUMIFS('OB History'!E:E,'OB History'!B:B,A28)-J28</f>
        <v>6</v>
      </c>
      <c r="L28" s="42">
        <f t="shared" si="1"/>
        <v>0.6</v>
      </c>
      <c r="M28" s="89">
        <f>SUMIFS('OB History'!H:H,'OB History'!B:B,'Old Bow v2'!A28)</f>
        <v>36</v>
      </c>
      <c r="N28" s="92">
        <f>SUMIFS('OB History'!G:G,'OB History'!B:B,'Old Bow v2'!A28)-M28</f>
        <v>26</v>
      </c>
      <c r="O28" s="42">
        <f t="shared" si="2"/>
        <v>0.58064516129032262</v>
      </c>
      <c r="P28" s="92">
        <f>COUNTIFS('OB History'!$B:$B,$A$28,'OB History'!K:K, 1)</f>
        <v>0</v>
      </c>
      <c r="Q28" s="92">
        <f>COUNTIFS('OB History'!$B:$B,$A$28,'OB History'!L:L, 1)</f>
        <v>1</v>
      </c>
      <c r="R28" s="92">
        <f>COUNTIFS('OB History'!$B:$B,$A$28,'OB History'!M:M, 1)</f>
        <v>0</v>
      </c>
      <c r="S28" s="92">
        <f>COUNTIFS('OB History'!$B:$B,$A$28,'OB History'!N:N, 1)</f>
        <v>1</v>
      </c>
      <c r="T28" s="92">
        <f>COUNTIFS('OB History'!$B:$B,$A$28,'OB History'!O:O, 1)</f>
        <v>2</v>
      </c>
      <c r="U28" s="92">
        <f>COUNTIFS('OB History'!$B:$B,$A$28,'OB History'!P:P, 1)</f>
        <v>1</v>
      </c>
      <c r="V28" s="92">
        <f>COUNTIFS('OB History'!$B:$B,$A$28,'OB History'!Q:Q, 1)</f>
        <v>2</v>
      </c>
      <c r="W28" s="92">
        <f>COUNTIFS('OB History'!$B:$B,$A$28,'OB History'!R:R, 1)</f>
        <v>0</v>
      </c>
      <c r="X28" s="92">
        <f>COUNTIFS('OB History'!$B:$B,$A$28,'OB History'!S:S, 1)</f>
        <v>0</v>
      </c>
      <c r="Y28" s="92">
        <f>COUNTIFS('OB History'!$B:$B,$A$28,'OB History'!T:T, 1)</f>
        <v>0</v>
      </c>
      <c r="Z28" s="92">
        <f>COUNTIFS('OB History'!$B:$B,$A$28,'OB History'!U:U, 1)</f>
        <v>1</v>
      </c>
      <c r="AA28" s="92">
        <f>COUNTIFS('OB History'!$B:$B,$A$28,'OB History'!V:V, 1)</f>
        <v>1</v>
      </c>
      <c r="AB28" s="92">
        <f>COUNTIFS('OB History'!$B:$B,$A$28,'OB History'!W:W, 1)</f>
        <v>0</v>
      </c>
      <c r="AC28" s="92">
        <f>COUNTIFS('OB History'!$B:$B,$A$28,'OB History'!X:X, 1)</f>
        <v>0</v>
      </c>
      <c r="AD28" s="92">
        <f>COUNTIFS('OB History'!$B:$B,$A$28,'OB History'!Y:Y, 1)</f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89">
        <f>SUMIFS('OB History'!C:C,'OB History'!B:B,A29)</f>
        <v>216</v>
      </c>
      <c r="E29" s="90">
        <f>AVERAGEIFS('OB History'!C:C,'OB History'!B:B,A29)</f>
        <v>24</v>
      </c>
      <c r="F29" s="91">
        <f t="array" ref="F29">MAX(IF('OB History'!B:B=A29, 'OB History'!C:C))</f>
        <v>36</v>
      </c>
      <c r="G29" s="89">
        <f>COUNTIFS('OB History'!B:B,A29,'OB History'!D:D, 1)</f>
        <v>4</v>
      </c>
      <c r="H29" s="92">
        <f>COUNTIFS('OB History'!B:B,A29,'OB History'!D:D, 0)</f>
        <v>5</v>
      </c>
      <c r="I29" s="41">
        <f t="shared" si="0"/>
        <v>0.44444444444444442</v>
      </c>
      <c r="J29" s="89">
        <f>SUMIFS('OB History'!F:F,'OB History'!B:B,A29)</f>
        <v>18</v>
      </c>
      <c r="K29" s="92">
        <f>SUMIFS('OB History'!E:E,'OB History'!B:B,A29)-J29</f>
        <v>21</v>
      </c>
      <c r="L29" s="41">
        <f t="shared" si="1"/>
        <v>0.46153846153846156</v>
      </c>
      <c r="M29" s="89">
        <f>SUMIFS('OB History'!H:H,'OB History'!B:B,'Old Bow v2'!A29)</f>
        <v>79</v>
      </c>
      <c r="N29" s="92">
        <f>SUMIFS('OB History'!G:G,'OB History'!B:B,'Old Bow v2'!A29)-M29</f>
        <v>86</v>
      </c>
      <c r="O29" s="41">
        <f t="shared" si="2"/>
        <v>0.47878787878787876</v>
      </c>
      <c r="P29" s="92">
        <f>COUNTIFS('OB History'!$B:$B,$A$29,'OB History'!K:K, 1)</f>
        <v>1</v>
      </c>
      <c r="Q29" s="92">
        <f>COUNTIFS('OB History'!$B:$B,$A$29,'OB History'!L:L, 1)</f>
        <v>1</v>
      </c>
      <c r="R29" s="92">
        <f>COUNTIFS('OB History'!$B:$B,$A$29,'OB History'!M:M, 1)</f>
        <v>0</v>
      </c>
      <c r="S29" s="92">
        <f>COUNTIFS('OB History'!$B:$B,$A$29,'OB History'!N:N, 1)</f>
        <v>2</v>
      </c>
      <c r="T29" s="92">
        <f>COUNTIFS('OB History'!$B:$B,$A$29,'OB History'!O:O, 1)</f>
        <v>1</v>
      </c>
      <c r="U29" s="92">
        <f>COUNTIFS('OB History'!$B:$B,$A$29,'OB History'!P:P, 1)</f>
        <v>1</v>
      </c>
      <c r="V29" s="92">
        <f>COUNTIFS('OB History'!$B:$B,$A$29,'OB History'!Q:Q, 1)</f>
        <v>0</v>
      </c>
      <c r="W29" s="92">
        <f>COUNTIFS('OB History'!$B:$B,$A$29,'OB History'!R:R, 1)</f>
        <v>0</v>
      </c>
      <c r="X29" s="92">
        <f>COUNTIFS('OB History'!$B:$B,$A$29,'OB History'!S:S, 1)</f>
        <v>0</v>
      </c>
      <c r="Y29" s="92">
        <f>COUNTIFS('OB History'!$B:$B,$A$29,'OB History'!T:T, 1)</f>
        <v>0</v>
      </c>
      <c r="Z29" s="92">
        <f>COUNTIFS('OB History'!$B:$B,$A$29,'OB History'!U:U, 1)</f>
        <v>0</v>
      </c>
      <c r="AA29" s="92">
        <f>COUNTIFS('OB History'!$B:$B,$A$29,'OB History'!V:V, 1)</f>
        <v>1</v>
      </c>
      <c r="AB29" s="92">
        <f>COUNTIFS('OB History'!$B:$B,$A$29,'OB History'!W:W, 1)</f>
        <v>4</v>
      </c>
      <c r="AC29" s="92">
        <f>COUNTIFS('OB History'!$B:$B,$A$29,'OB History'!X:X, 1)</f>
        <v>3</v>
      </c>
      <c r="AD29" s="92">
        <f>COUNTIFS('OB History'!$B:$B,$A$29,'OB History'!Y:Y, 1)</f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89">
        <f>SUMIFS('OB History'!C:C,'OB History'!B:B,A30)</f>
        <v>17</v>
      </c>
      <c r="E30" s="90">
        <f>AVERAGEIFS('OB History'!C:C,'OB History'!B:B,A30)</f>
        <v>3.4</v>
      </c>
      <c r="F30" s="91">
        <f t="array" ref="F30">MAX(IF('OB History'!B:B=A30, 'OB History'!C:C))</f>
        <v>6</v>
      </c>
      <c r="G30" s="89">
        <f>COUNTIFS('OB History'!B:B,A30,'OB History'!D:D, 1)</f>
        <v>2</v>
      </c>
      <c r="H30" s="92">
        <f>COUNTIFS('OB History'!B:B,A30,'OB History'!D:D, 0)</f>
        <v>3</v>
      </c>
      <c r="I30" s="41">
        <f t="shared" si="0"/>
        <v>0.4</v>
      </c>
      <c r="J30" s="89">
        <f>SUMIFS('OB History'!F:F,'OB History'!B:B,A30)</f>
        <v>8</v>
      </c>
      <c r="K30" s="92">
        <f>SUMIFS('OB History'!E:E,'OB History'!B:B,A30)-J30</f>
        <v>10</v>
      </c>
      <c r="L30" s="41">
        <f t="shared" si="1"/>
        <v>0.44444444444444442</v>
      </c>
      <c r="M30" s="89">
        <f>SUMIFS('OB History'!H:H,'OB History'!B:B,'Old Bow v2'!A30)</f>
        <v>32</v>
      </c>
      <c r="N30" s="92">
        <f>SUMIFS('OB History'!G:G,'OB History'!B:B,'Old Bow v2'!A30)-M30</f>
        <v>41</v>
      </c>
      <c r="O30" s="41">
        <f t="shared" si="2"/>
        <v>0.43835616438356162</v>
      </c>
      <c r="P30" s="92">
        <f>COUNTIFS('OB History'!$B:$B,$A$30,'OB History'!K:K, 1)</f>
        <v>1</v>
      </c>
      <c r="Q30" s="92">
        <f>COUNTIFS('OB History'!$B:$B,$A$30,'OB History'!L:L, 1)</f>
        <v>1</v>
      </c>
      <c r="R30" s="92">
        <f>COUNTIFS('OB History'!$B:$B,$A$30,'OB History'!M:M, 1)</f>
        <v>0</v>
      </c>
      <c r="S30" s="92">
        <f>COUNTIFS('OB History'!$B:$B,$A$30,'OB History'!N:N, 1)</f>
        <v>1</v>
      </c>
      <c r="T30" s="92">
        <f>COUNTIFS('OB History'!$B:$B,$A$30,'OB History'!O:O, 1)</f>
        <v>0</v>
      </c>
      <c r="U30" s="92">
        <f>COUNTIFS('OB History'!$B:$B,$A$30,'OB History'!P:P, 1)</f>
        <v>2</v>
      </c>
      <c r="V30" s="92">
        <f>COUNTIFS('OB History'!$B:$B,$A$30,'OB History'!Q:Q, 1)</f>
        <v>0</v>
      </c>
      <c r="W30" s="92">
        <f>COUNTIFS('OB History'!$B:$B,$A$30,'OB History'!R:R, 1)</f>
        <v>1</v>
      </c>
      <c r="X30" s="92">
        <f>COUNTIFS('OB History'!$B:$B,$A$30,'OB History'!S:S, 1)</f>
        <v>0</v>
      </c>
      <c r="Y30" s="92">
        <f>COUNTIFS('OB History'!$B:$B,$A$30,'OB History'!T:T, 1)</f>
        <v>0</v>
      </c>
      <c r="Z30" s="92">
        <f>COUNTIFS('OB History'!$B:$B,$A$30,'OB History'!U:U, 1)</f>
        <v>0</v>
      </c>
      <c r="AA30" s="92">
        <f>COUNTIFS('OB History'!$B:$B,$A$30,'OB History'!V:V, 1)</f>
        <v>1</v>
      </c>
      <c r="AB30" s="92">
        <f>COUNTIFS('OB History'!$B:$B,$A$30,'OB History'!W:W, 1)</f>
        <v>0</v>
      </c>
      <c r="AC30" s="92">
        <f>COUNTIFS('OB History'!$B:$B,$A$30,'OB History'!X:X, 1)</f>
        <v>0</v>
      </c>
      <c r="AD30" s="92">
        <f>COUNTIFS('OB History'!$B:$B,$A$30,'OB History'!Y:Y, 1)</f>
        <v>0</v>
      </c>
    </row>
    <row r="31" spans="1:30" x14ac:dyDescent="0.25">
      <c r="A31" s="2" t="s">
        <v>40</v>
      </c>
      <c r="B31" s="2" t="s">
        <v>79</v>
      </c>
      <c r="C31" s="2" t="s">
        <v>79</v>
      </c>
      <c r="D31" s="89">
        <f>SUMIFS('OB History'!C:C,'OB History'!B:B,A31)</f>
        <v>37</v>
      </c>
      <c r="E31" s="90">
        <f>AVERAGEIFS('OB History'!C:C,'OB History'!B:B,A31)</f>
        <v>12.333333333333334</v>
      </c>
      <c r="F31" s="91">
        <f t="array" ref="F31">MAX(IF('OB History'!B:B=A31, 'OB History'!C:C))</f>
        <v>16</v>
      </c>
      <c r="G31" s="89">
        <f>COUNTIFS('OB History'!B:B,A31,'OB History'!D:D, 1)</f>
        <v>0</v>
      </c>
      <c r="H31" s="92">
        <f>COUNTIFS('OB History'!B:B,A31,'OB History'!D:D, 0)</f>
        <v>3</v>
      </c>
      <c r="I31" s="42">
        <f t="shared" si="0"/>
        <v>0</v>
      </c>
      <c r="J31" s="89">
        <f>SUMIFS('OB History'!F:F,'OB History'!B:B,A31)</f>
        <v>2</v>
      </c>
      <c r="K31" s="92">
        <f>SUMIFS('OB History'!E:E,'OB History'!B:B,A31)-J31</f>
        <v>9</v>
      </c>
      <c r="L31" s="42">
        <f t="shared" si="1"/>
        <v>0.18181818181818182</v>
      </c>
      <c r="M31" s="89">
        <f>SUMIFS('OB History'!H:H,'OB History'!B:B,'Old Bow v2'!A31)</f>
        <v>15</v>
      </c>
      <c r="N31" s="92">
        <f>SUMIFS('OB History'!G:G,'OB History'!B:B,'Old Bow v2'!A31)-M31</f>
        <v>30</v>
      </c>
      <c r="O31" s="42">
        <f t="shared" si="2"/>
        <v>0.33333333333333331</v>
      </c>
      <c r="P31" s="92">
        <f>COUNTIFS('OB History'!$B:$B,$A$31,'OB History'!K:K, 1)</f>
        <v>1</v>
      </c>
      <c r="Q31" s="92">
        <f>COUNTIFS('OB History'!$B:$B,$A$31,'OB History'!L:L, 1)</f>
        <v>0</v>
      </c>
      <c r="R31" s="92">
        <f>COUNTIFS('OB History'!$B:$B,$A$31,'OB History'!M:M, 1)</f>
        <v>0</v>
      </c>
      <c r="S31" s="92">
        <f>COUNTIFS('OB History'!$B:$B,$A$31,'OB History'!N:N, 1)</f>
        <v>0</v>
      </c>
      <c r="T31" s="92">
        <f>COUNTIFS('OB History'!$B:$B,$A$31,'OB History'!O:O, 1)</f>
        <v>0</v>
      </c>
      <c r="U31" s="92">
        <f>COUNTIFS('OB History'!$B:$B,$A$31,'OB History'!P:P, 1)</f>
        <v>0</v>
      </c>
      <c r="V31" s="92">
        <f>COUNTIFS('OB History'!$B:$B,$A$31,'OB History'!Q:Q, 1)</f>
        <v>0</v>
      </c>
      <c r="W31" s="92">
        <f>COUNTIFS('OB History'!$B:$B,$A$31,'OB History'!R:R, 1)</f>
        <v>0</v>
      </c>
      <c r="X31" s="92">
        <f>COUNTIFS('OB History'!$B:$B,$A$31,'OB History'!S:S, 1)</f>
        <v>0</v>
      </c>
      <c r="Y31" s="92">
        <f>COUNTIFS('OB History'!$B:$B,$A$31,'OB History'!T:T, 1)</f>
        <v>0</v>
      </c>
      <c r="Z31" s="92">
        <f>COUNTIFS('OB History'!$B:$B,$A$31,'OB History'!U:U, 1)</f>
        <v>0</v>
      </c>
      <c r="AA31" s="92">
        <f>COUNTIFS('OB History'!$B:$B,$A$31,'OB History'!V:V, 1)</f>
        <v>0</v>
      </c>
      <c r="AB31" s="92">
        <f>COUNTIFS('OB History'!$B:$B,$A$31,'OB History'!W:W, 1)</f>
        <v>0</v>
      </c>
      <c r="AC31" s="92">
        <f>COUNTIFS('OB History'!$B:$B,$A$31,'OB History'!X:X, 1)</f>
        <v>0</v>
      </c>
      <c r="AD31" s="92">
        <f>COUNTIFS('OB History'!$B:$B,$A$31,'OB History'!Y:Y, 1)</f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89">
        <f>SUMIFS('OB History'!C:C,'OB History'!B:B,A32)</f>
        <v>584</v>
      </c>
      <c r="E32" s="90">
        <f>AVERAGEIFS('OB History'!C:C,'OB History'!B:B,A32)</f>
        <v>25.391304347826086</v>
      </c>
      <c r="F32" s="91">
        <f t="array" ref="F32">MAX(IF('OB History'!B:B=A32, 'OB History'!C:C))</f>
        <v>49</v>
      </c>
      <c r="G32" s="89">
        <f>COUNTIFS('OB History'!B:B,A32,'OB History'!D:D, 1)</f>
        <v>10</v>
      </c>
      <c r="H32" s="92">
        <f>COUNTIFS('OB History'!B:B,A32,'OB History'!D:D, 0)</f>
        <v>13</v>
      </c>
      <c r="I32" s="41">
        <f t="shared" si="0"/>
        <v>0.43478260869565216</v>
      </c>
      <c r="J32" s="89">
        <f>SUMIFS('OB History'!F:F,'OB History'!B:B,A32)</f>
        <v>48</v>
      </c>
      <c r="K32" s="92">
        <f>SUMIFS('OB History'!E:E,'OB History'!B:B,A32)-J32</f>
        <v>46</v>
      </c>
      <c r="L32" s="41">
        <f t="shared" si="1"/>
        <v>0.51063829787234039</v>
      </c>
      <c r="M32" s="89">
        <f>SUMIFS('OB History'!H:H,'OB History'!B:B,'Old Bow v2'!A32)</f>
        <v>203</v>
      </c>
      <c r="N32" s="92">
        <f>SUMIFS('OB History'!G:G,'OB History'!B:B,'Old Bow v2'!A32)-M32</f>
        <v>189</v>
      </c>
      <c r="O32" s="41">
        <f t="shared" si="2"/>
        <v>0.5178571428571429</v>
      </c>
      <c r="P32" s="92">
        <f>COUNTIFS('OB History'!$B:$B,$A$32,'OB History'!K:K, 1)</f>
        <v>5</v>
      </c>
      <c r="Q32" s="92">
        <f>COUNTIFS('OB History'!$B:$B,$A$32,'OB History'!L:L, 1)</f>
        <v>2</v>
      </c>
      <c r="R32" s="92">
        <f>COUNTIFS('OB History'!$B:$B,$A$32,'OB History'!M:M, 1)</f>
        <v>0</v>
      </c>
      <c r="S32" s="92">
        <f>COUNTIFS('OB History'!$B:$B,$A$32,'OB History'!N:N, 1)</f>
        <v>4</v>
      </c>
      <c r="T32" s="92">
        <f>COUNTIFS('OB History'!$B:$B,$A$32,'OB History'!O:O, 1)</f>
        <v>0</v>
      </c>
      <c r="U32" s="92">
        <f>COUNTIFS('OB History'!$B:$B,$A$32,'OB History'!P:P, 1)</f>
        <v>9</v>
      </c>
      <c r="V32" s="92">
        <f>COUNTIFS('OB History'!$B:$B,$A$32,'OB History'!Q:Q, 1)</f>
        <v>2</v>
      </c>
      <c r="W32" s="92">
        <f>COUNTIFS('OB History'!$B:$B,$A$32,'OB History'!R:R, 1)</f>
        <v>0</v>
      </c>
      <c r="X32" s="92">
        <f>COUNTIFS('OB History'!$B:$B,$A$32,'OB History'!S:S, 1)</f>
        <v>1</v>
      </c>
      <c r="Y32" s="92">
        <f>COUNTIFS('OB History'!$B:$B,$A$32,'OB History'!T:T, 1)</f>
        <v>1</v>
      </c>
      <c r="Z32" s="92">
        <f>COUNTIFS('OB History'!$B:$B,$A$32,'OB History'!U:U, 1)</f>
        <v>1</v>
      </c>
      <c r="AA32" s="92">
        <f>COUNTIFS('OB History'!$B:$B,$A$32,'OB History'!V:V, 1)</f>
        <v>6</v>
      </c>
      <c r="AB32" s="92">
        <f>COUNTIFS('OB History'!$B:$B,$A$32,'OB History'!W:W, 1)</f>
        <v>4</v>
      </c>
      <c r="AC32" s="92">
        <f>COUNTIFS('OB History'!$B:$B,$A$32,'OB History'!X:X, 1)</f>
        <v>4</v>
      </c>
      <c r="AD32" s="92">
        <f>COUNTIFS('OB History'!$B:$B,$A$32,'OB History'!Y:Y, 1)</f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89">
        <f>SUMIFS('OB History'!C:C,'OB History'!B:B,A33)</f>
        <v>306</v>
      </c>
      <c r="E33" s="90">
        <f>AVERAGEIFS('OB History'!C:C,'OB History'!B:B,A33)</f>
        <v>23.53846153846154</v>
      </c>
      <c r="F33" s="91">
        <f t="array" ref="F33">MAX(IF('OB History'!B:B=A33, 'OB History'!C:C))</f>
        <v>43</v>
      </c>
      <c r="G33" s="89">
        <f>COUNTIFS('OB History'!B:B,A33,'OB History'!D:D, 1)</f>
        <v>9</v>
      </c>
      <c r="H33" s="92">
        <f>COUNTIFS('OB History'!B:B,A33,'OB History'!D:D, 0)</f>
        <v>4</v>
      </c>
      <c r="I33" s="41">
        <f t="shared" si="0"/>
        <v>0.69230769230769229</v>
      </c>
      <c r="J33" s="89">
        <f>SUMIFS('OB History'!F:F,'OB History'!B:B,A33)</f>
        <v>31</v>
      </c>
      <c r="K33" s="92">
        <f>SUMIFS('OB History'!E:E,'OB History'!B:B,A33)-J33</f>
        <v>22</v>
      </c>
      <c r="L33" s="41">
        <f t="shared" si="1"/>
        <v>0.58490566037735847</v>
      </c>
      <c r="M33" s="89">
        <f>SUMIFS('OB History'!H:H,'OB History'!B:B,'Old Bow v2'!A33)</f>
        <v>118</v>
      </c>
      <c r="N33" s="92">
        <f>SUMIFS('OB History'!G:G,'OB History'!B:B,'Old Bow v2'!A33)-M33</f>
        <v>108</v>
      </c>
      <c r="O33" s="41">
        <f t="shared" si="2"/>
        <v>0.52212389380530977</v>
      </c>
      <c r="P33" s="92">
        <f>COUNTIFS('OB History'!$B:$B,$A$33,'OB History'!K:K, 1)</f>
        <v>1</v>
      </c>
      <c r="Q33" s="92">
        <f>COUNTIFS('OB History'!$B:$B,$A$33,'OB History'!L:L, 1)</f>
        <v>3</v>
      </c>
      <c r="R33" s="92">
        <f>COUNTIFS('OB History'!$B:$B,$A$33,'OB History'!M:M, 1)</f>
        <v>0</v>
      </c>
      <c r="S33" s="92">
        <f>COUNTIFS('OB History'!$B:$B,$A$33,'OB History'!N:N, 1)</f>
        <v>1</v>
      </c>
      <c r="T33" s="92">
        <f>COUNTIFS('OB History'!$B:$B,$A$33,'OB History'!O:O, 1)</f>
        <v>0</v>
      </c>
      <c r="U33" s="92">
        <f>COUNTIFS('OB History'!$B:$B,$A$33,'OB History'!P:P, 1)</f>
        <v>7</v>
      </c>
      <c r="V33" s="92">
        <f>COUNTIFS('OB History'!$B:$B,$A$33,'OB History'!Q:Q, 1)</f>
        <v>0</v>
      </c>
      <c r="W33" s="92">
        <f>COUNTIFS('OB History'!$B:$B,$A$33,'OB History'!R:R, 1)</f>
        <v>1</v>
      </c>
      <c r="X33" s="92">
        <f>COUNTIFS('OB History'!$B:$B,$A$33,'OB History'!S:S, 1)</f>
        <v>0</v>
      </c>
      <c r="Y33" s="92">
        <f>COUNTIFS('OB History'!$B:$B,$A$33,'OB History'!T:T, 1)</f>
        <v>0</v>
      </c>
      <c r="Z33" s="92">
        <f>COUNTIFS('OB History'!$B:$B,$A$33,'OB History'!U:U, 1)</f>
        <v>1</v>
      </c>
      <c r="AA33" s="92">
        <f>COUNTIFS('OB History'!$B:$B,$A$33,'OB History'!V:V, 1)</f>
        <v>4</v>
      </c>
      <c r="AB33" s="92">
        <f>COUNTIFS('OB History'!$B:$B,$A$33,'OB History'!W:W, 1)</f>
        <v>5</v>
      </c>
      <c r="AC33" s="92">
        <f>COUNTIFS('OB History'!$B:$B,$A$33,'OB History'!X:X, 1)</f>
        <v>2</v>
      </c>
      <c r="AD33" s="92">
        <f>COUNTIFS('OB History'!$B:$B,$A$33,'OB History'!Y:Y, 1)</f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89">
        <f>SUMIFS('OB History'!C:C,'OB History'!B:B,A34)</f>
        <v>293</v>
      </c>
      <c r="E34" s="90">
        <f>AVERAGEIFS('OB History'!C:C,'OB History'!B:B,A34)</f>
        <v>26.636363636363637</v>
      </c>
      <c r="F34" s="91">
        <f t="array" ref="F34">MAX(IF('OB History'!B:B=A34, 'OB History'!C:C))</f>
        <v>41</v>
      </c>
      <c r="G34" s="89">
        <f>COUNTIFS('OB History'!B:B,A34,'OB History'!D:D, 1)</f>
        <v>4</v>
      </c>
      <c r="H34" s="92">
        <f>COUNTIFS('OB History'!B:B,A34,'OB History'!D:D, 0)</f>
        <v>7</v>
      </c>
      <c r="I34" s="41">
        <f t="shared" si="0"/>
        <v>0.36363636363636365</v>
      </c>
      <c r="J34" s="89">
        <f>SUMIFS('OB History'!F:F,'OB History'!B:B,A34)</f>
        <v>20</v>
      </c>
      <c r="K34" s="92">
        <f>SUMIFS('OB History'!E:E,'OB History'!B:B,A34)-J34</f>
        <v>26</v>
      </c>
      <c r="L34" s="41">
        <f t="shared" si="1"/>
        <v>0.43478260869565216</v>
      </c>
      <c r="M34" s="89">
        <f>SUMIFS('OB History'!H:H,'OB History'!B:B,'Old Bow v2'!A34)</f>
        <v>88</v>
      </c>
      <c r="N34" s="92">
        <f>SUMIFS('OB History'!G:G,'OB History'!B:B,'Old Bow v2'!A34)-M34</f>
        <v>104</v>
      </c>
      <c r="O34" s="41">
        <f t="shared" si="2"/>
        <v>0.45833333333333331</v>
      </c>
      <c r="P34" s="92">
        <f>COUNTIFS('OB History'!$B:$B,$A$34,'OB History'!K:K, 1)</f>
        <v>2</v>
      </c>
      <c r="Q34" s="92">
        <f>COUNTIFS('OB History'!$B:$B,$A$34,'OB History'!L:L, 1)</f>
        <v>0</v>
      </c>
      <c r="R34" s="92">
        <f>COUNTIFS('OB History'!$B:$B,$A$34,'OB History'!M:M, 1)</f>
        <v>0</v>
      </c>
      <c r="S34" s="92">
        <f>COUNTIFS('OB History'!$B:$B,$A$34,'OB History'!N:N, 1)</f>
        <v>4</v>
      </c>
      <c r="T34" s="92">
        <f>COUNTIFS('OB History'!$B:$B,$A$34,'OB History'!O:O, 1)</f>
        <v>0</v>
      </c>
      <c r="U34" s="92">
        <f>COUNTIFS('OB History'!$B:$B,$A$34,'OB History'!P:P, 1)</f>
        <v>3</v>
      </c>
      <c r="V34" s="92">
        <f>COUNTIFS('OB History'!$B:$B,$A$34,'OB History'!Q:Q, 1)</f>
        <v>1</v>
      </c>
      <c r="W34" s="92">
        <f>COUNTIFS('OB History'!$B:$B,$A$34,'OB History'!R:R, 1)</f>
        <v>1</v>
      </c>
      <c r="X34" s="92">
        <f>COUNTIFS('OB History'!$B:$B,$A$34,'OB History'!S:S, 1)</f>
        <v>0</v>
      </c>
      <c r="Y34" s="92">
        <f>COUNTIFS('OB History'!$B:$B,$A$34,'OB History'!T:T, 1)</f>
        <v>0</v>
      </c>
      <c r="Z34" s="92">
        <f>COUNTIFS('OB History'!$B:$B,$A$34,'OB History'!U:U, 1)</f>
        <v>0</v>
      </c>
      <c r="AA34" s="92">
        <f>COUNTIFS('OB History'!$B:$B,$A$34,'OB History'!V:V, 1)</f>
        <v>3</v>
      </c>
      <c r="AB34" s="92">
        <f>COUNTIFS('OB History'!$B:$B,$A$34,'OB History'!W:W, 1)</f>
        <v>4</v>
      </c>
      <c r="AC34" s="92">
        <f>COUNTIFS('OB History'!$B:$B,$A$34,'OB History'!X:X, 1)</f>
        <v>0</v>
      </c>
      <c r="AD34" s="92">
        <f>COUNTIFS('OB History'!$B:$B,$A$34,'OB History'!Y:Y, 1)</f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89">
        <f>SUMIFS('OB History'!C:C,'OB History'!B:B,A35)</f>
        <v>520</v>
      </c>
      <c r="E35" s="90">
        <f>AVERAGEIFS('OB History'!C:C,'OB History'!B:B,A35)</f>
        <v>26</v>
      </c>
      <c r="F35" s="91">
        <f t="array" ref="F35">MAX(IF('OB History'!B:B=A35, 'OB History'!C:C))</f>
        <v>56</v>
      </c>
      <c r="G35" s="89">
        <f>COUNTIFS('OB History'!B:B,A35,'OB History'!D:D, 1)</f>
        <v>11</v>
      </c>
      <c r="H35" s="92">
        <f>COUNTIFS('OB History'!B:B,A35,'OB History'!D:D, 0)</f>
        <v>9</v>
      </c>
      <c r="I35" s="41">
        <f t="shared" si="0"/>
        <v>0.55000000000000004</v>
      </c>
      <c r="J35" s="89">
        <f>SUMIFS('OB History'!F:F,'OB History'!B:B,A35)</f>
        <v>42</v>
      </c>
      <c r="K35" s="92">
        <f>SUMIFS('OB History'!E:E,'OB History'!B:B,A35)-J35</f>
        <v>40</v>
      </c>
      <c r="L35" s="41">
        <f t="shared" si="1"/>
        <v>0.51219512195121952</v>
      </c>
      <c r="M35" s="89">
        <f>SUMIFS('OB History'!H:H,'OB History'!B:B,'Old Bow v2'!A35)</f>
        <v>171</v>
      </c>
      <c r="N35" s="92">
        <f>SUMIFS('OB History'!G:G,'OB History'!B:B,'Old Bow v2'!A35)-M35</f>
        <v>170</v>
      </c>
      <c r="O35" s="41">
        <f t="shared" si="2"/>
        <v>0.50146627565982405</v>
      </c>
      <c r="P35" s="92">
        <f>COUNTIFS('OB History'!$B:$B,$A$35,'OB History'!K:K, 1)</f>
        <v>3</v>
      </c>
      <c r="Q35" s="92">
        <f>COUNTIFS('OB History'!$B:$B,$A$35,'OB History'!L:L, 1)</f>
        <v>3</v>
      </c>
      <c r="R35" s="92">
        <f>COUNTIFS('OB History'!$B:$B,$A$35,'OB History'!M:M, 1)</f>
        <v>0</v>
      </c>
      <c r="S35" s="92">
        <f>COUNTIFS('OB History'!$B:$B,$A$35,'OB History'!N:N, 1)</f>
        <v>4</v>
      </c>
      <c r="T35" s="92">
        <f>COUNTIFS('OB History'!$B:$B,$A$35,'OB History'!O:O, 1)</f>
        <v>1</v>
      </c>
      <c r="U35" s="92">
        <f>COUNTIFS('OB History'!$B:$B,$A$35,'OB History'!P:P, 1)</f>
        <v>4</v>
      </c>
      <c r="V35" s="92">
        <f>COUNTIFS('OB History'!$B:$B,$A$35,'OB History'!Q:Q, 1)</f>
        <v>0</v>
      </c>
      <c r="W35" s="92">
        <f>COUNTIFS('OB History'!$B:$B,$A$35,'OB History'!R:R, 1)</f>
        <v>1</v>
      </c>
      <c r="X35" s="92">
        <f>COUNTIFS('OB History'!$B:$B,$A$35,'OB History'!S:S, 1)</f>
        <v>0</v>
      </c>
      <c r="Y35" s="92">
        <f>COUNTIFS('OB History'!$B:$B,$A$35,'OB History'!T:T, 1)</f>
        <v>0</v>
      </c>
      <c r="Z35" s="92">
        <f>COUNTIFS('OB History'!$B:$B,$A$35,'OB History'!U:U, 1)</f>
        <v>2</v>
      </c>
      <c r="AA35" s="92">
        <f>COUNTIFS('OB History'!$B:$B,$A$35,'OB History'!V:V, 1)</f>
        <v>5</v>
      </c>
      <c r="AB35" s="92">
        <f>COUNTIFS('OB History'!$B:$B,$A$35,'OB History'!W:W, 1)</f>
        <v>11</v>
      </c>
      <c r="AC35" s="92">
        <f>COUNTIFS('OB History'!$B:$B,$A$35,'OB History'!X:X, 1)</f>
        <v>2</v>
      </c>
      <c r="AD35" s="92">
        <f>COUNTIFS('OB History'!$B:$B,$A$35,'OB History'!Y:Y, 1)</f>
        <v>4</v>
      </c>
    </row>
    <row r="36" spans="1:30" x14ac:dyDescent="0.25">
      <c r="A36" s="2" t="s">
        <v>4</v>
      </c>
      <c r="B36" s="2" t="s">
        <v>79</v>
      </c>
      <c r="C36" s="2" t="s">
        <v>79</v>
      </c>
      <c r="D36" s="89">
        <f>SUMIFS('OB History'!C:C,'OB History'!B:B,A36)</f>
        <v>33</v>
      </c>
      <c r="E36" s="90">
        <f>AVERAGEIFS('OB History'!C:C,'OB History'!B:B,A36)</f>
        <v>16.5</v>
      </c>
      <c r="F36" s="91">
        <f t="array" ref="F36">MAX(IF('OB History'!B:B=A36, 'OB History'!C:C))</f>
        <v>24</v>
      </c>
      <c r="G36" s="89">
        <f>COUNTIFS('OB History'!B:B,A36,'OB History'!D:D, 1)</f>
        <v>2</v>
      </c>
      <c r="H36" s="92">
        <f>COUNTIFS('OB History'!B:B,A36,'OB History'!D:D, 0)</f>
        <v>0</v>
      </c>
      <c r="I36" s="41">
        <f t="shared" si="0"/>
        <v>1</v>
      </c>
      <c r="J36" s="89">
        <f>SUMIFS('OB History'!F:F,'OB History'!B:B,A36)</f>
        <v>6</v>
      </c>
      <c r="K36" s="92">
        <f>SUMIFS('OB History'!E:E,'OB History'!B:B,A36)-J36</f>
        <v>1</v>
      </c>
      <c r="L36" s="41">
        <f t="shared" si="1"/>
        <v>0.8571428571428571</v>
      </c>
      <c r="M36" s="89">
        <f>SUMIFS('OB History'!H:H,'OB History'!B:B,'Old Bow v2'!A36)</f>
        <v>19</v>
      </c>
      <c r="N36" s="92">
        <f>SUMIFS('OB History'!G:G,'OB History'!B:B,'Old Bow v2'!A36)-M36</f>
        <v>10</v>
      </c>
      <c r="O36" s="41">
        <f t="shared" si="2"/>
        <v>0.65517241379310343</v>
      </c>
      <c r="P36" s="92">
        <f>COUNTIFS('OB History'!$B:$B,$A$36,'OB History'!K:K, 1)</f>
        <v>0</v>
      </c>
      <c r="Q36" s="92">
        <f>COUNTIFS('OB History'!$B:$B,$A$36,'OB History'!L:L, 1)</f>
        <v>2</v>
      </c>
      <c r="R36" s="92">
        <f>COUNTIFS('OB History'!$B:$B,$A$36,'OB History'!M:M, 1)</f>
        <v>0</v>
      </c>
      <c r="S36" s="92">
        <f>COUNTIFS('OB History'!$B:$B,$A$36,'OB History'!N:N, 1)</f>
        <v>0</v>
      </c>
      <c r="T36" s="92">
        <f>COUNTIFS('OB History'!$B:$B,$A$36,'OB History'!O:O, 1)</f>
        <v>0</v>
      </c>
      <c r="U36" s="92">
        <f>COUNTIFS('OB History'!$B:$B,$A$36,'OB History'!P:P, 1)</f>
        <v>1</v>
      </c>
      <c r="V36" s="92">
        <f>COUNTIFS('OB History'!$B:$B,$A$36,'OB History'!Q:Q, 1)</f>
        <v>0</v>
      </c>
      <c r="W36" s="92">
        <f>COUNTIFS('OB History'!$B:$B,$A$36,'OB History'!R:R, 1)</f>
        <v>0</v>
      </c>
      <c r="X36" s="92">
        <f>COUNTIFS('OB History'!$B:$B,$A$36,'OB History'!S:S, 1)</f>
        <v>0</v>
      </c>
      <c r="Y36" s="92">
        <f>COUNTIFS('OB History'!$B:$B,$A$36,'OB History'!T:T, 1)</f>
        <v>0</v>
      </c>
      <c r="Z36" s="92">
        <f>COUNTIFS('OB History'!$B:$B,$A$36,'OB History'!U:U, 1)</f>
        <v>0</v>
      </c>
      <c r="AA36" s="92">
        <f>COUNTIFS('OB History'!$B:$B,$A$36,'OB History'!V:V, 1)</f>
        <v>0</v>
      </c>
      <c r="AB36" s="92">
        <f>COUNTIFS('OB History'!$B:$B,$A$36,'OB History'!W:W, 1)</f>
        <v>0</v>
      </c>
      <c r="AC36" s="92">
        <f>COUNTIFS('OB History'!$B:$B,$A$36,'OB History'!X:X, 1)</f>
        <v>1</v>
      </c>
      <c r="AD36" s="92">
        <f>COUNTIFS('OB History'!$B:$B,$A$36,'OB History'!Y:Y, 1)</f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89">
        <f>SUMIFS('OB History'!C:C,'OB History'!B:B,A37)</f>
        <v>83</v>
      </c>
      <c r="E37" s="90">
        <f>AVERAGEIFS('OB History'!C:C,'OB History'!B:B,A37)</f>
        <v>10.375</v>
      </c>
      <c r="F37" s="91">
        <f t="array" ref="F37">MAX(IF('OB History'!B:B=A37, 'OB History'!C:C))</f>
        <v>18</v>
      </c>
      <c r="G37" s="89">
        <f>COUNTIFS('OB History'!B:B,A37,'OB History'!D:D, 1)</f>
        <v>5</v>
      </c>
      <c r="H37" s="92">
        <f>COUNTIFS('OB History'!B:B,A37,'OB History'!D:D, 0)</f>
        <v>3</v>
      </c>
      <c r="I37" s="45">
        <f t="shared" si="0"/>
        <v>0.625</v>
      </c>
      <c r="J37" s="89">
        <f>SUMIFS('OB History'!F:F,'OB History'!B:B,A37)</f>
        <v>18</v>
      </c>
      <c r="K37" s="92">
        <f>SUMIFS('OB History'!E:E,'OB History'!B:B,A37)-J37</f>
        <v>16</v>
      </c>
      <c r="L37" s="45">
        <f t="shared" si="1"/>
        <v>0.52941176470588236</v>
      </c>
      <c r="M37" s="89">
        <f>SUMIFS('OB History'!H:H,'OB History'!B:B,'Old Bow v2'!A37)</f>
        <v>69</v>
      </c>
      <c r="N37" s="92">
        <f>SUMIFS('OB History'!G:G,'OB History'!B:B,'Old Bow v2'!A37)-M37</f>
        <v>68</v>
      </c>
      <c r="O37" s="45">
        <f t="shared" si="2"/>
        <v>0.5036496350364964</v>
      </c>
      <c r="P37" s="92">
        <f>COUNTIFS('OB History'!$B:$B,$A$37,'OB History'!K:K, 1)</f>
        <v>1</v>
      </c>
      <c r="Q37" s="92">
        <f>COUNTIFS('OB History'!$B:$B,$A$37,'OB History'!L:L, 1)</f>
        <v>0</v>
      </c>
      <c r="R37" s="92">
        <f>COUNTIFS('OB History'!$B:$B,$A$37,'OB History'!M:M, 1)</f>
        <v>0</v>
      </c>
      <c r="S37" s="92">
        <f>COUNTIFS('OB History'!$B:$B,$A$37,'OB History'!N:N, 1)</f>
        <v>4</v>
      </c>
      <c r="T37" s="92">
        <f>COUNTIFS('OB History'!$B:$B,$A$37,'OB History'!O:O, 1)</f>
        <v>1</v>
      </c>
      <c r="U37" s="92">
        <f>COUNTIFS('OB History'!$B:$B,$A$37,'OB History'!P:P, 1)</f>
        <v>0</v>
      </c>
      <c r="V37" s="92">
        <f>COUNTIFS('OB History'!$B:$B,$A$37,'OB History'!Q:Q, 1)</f>
        <v>1</v>
      </c>
      <c r="W37" s="92">
        <f>COUNTIFS('OB History'!$B:$B,$A$37,'OB History'!R:R, 1)</f>
        <v>0</v>
      </c>
      <c r="X37" s="92">
        <f>COUNTIFS('OB History'!$B:$B,$A$37,'OB History'!S:S, 1)</f>
        <v>0</v>
      </c>
      <c r="Y37" s="92">
        <f>COUNTIFS('OB History'!$B:$B,$A$37,'OB History'!T:T, 1)</f>
        <v>0</v>
      </c>
      <c r="Z37" s="92">
        <f>COUNTIFS('OB History'!$B:$B,$A$37,'OB History'!U:U, 1)</f>
        <v>0</v>
      </c>
      <c r="AA37" s="92">
        <f>COUNTIFS('OB History'!$B:$B,$A$37,'OB History'!V:V, 1)</f>
        <v>3</v>
      </c>
      <c r="AB37" s="92">
        <f>COUNTIFS('OB History'!$B:$B,$A$37,'OB History'!W:W, 1)</f>
        <v>4</v>
      </c>
      <c r="AC37" s="92">
        <f>COUNTIFS('OB History'!$B:$B,$A$37,'OB History'!X:X, 1)</f>
        <v>1</v>
      </c>
      <c r="AD37" s="92">
        <f>COUNTIFS('OB History'!$B:$B,$A$37,'OB History'!Y:Y, 1)</f>
        <v>2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9" t="s">
        <v>119</v>
      </c>
      <c r="B4" s="100"/>
      <c r="C4" s="100"/>
    </row>
    <row r="5" spans="1:3" x14ac:dyDescent="0.25">
      <c r="A5" s="99" t="s">
        <v>120</v>
      </c>
      <c r="B5" s="100"/>
      <c r="C5" s="100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2" t="s">
        <v>7</v>
      </c>
      <c r="D1" s="103"/>
      <c r="E1" s="103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3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4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5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5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5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5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5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5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5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5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4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1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1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1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1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1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1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1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1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46"/>
  <sheetViews>
    <sheetView workbookViewId="0">
      <pane ySplit="1" topLeftCell="A320" activePane="bottomLeft" state="frozen"/>
      <selection pane="bottomLeft" activeCell="AD336" sqref="AD336"/>
    </sheetView>
  </sheetViews>
  <sheetFormatPr defaultRowHeight="15" x14ac:dyDescent="0.25"/>
  <cols>
    <col min="1" max="1" width="10.140625" bestFit="1" customWidth="1"/>
    <col min="2" max="2" width="10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  <row r="331" spans="1:29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1</v>
      </c>
      <c r="Y331">
        <v>0</v>
      </c>
      <c r="Z331">
        <f>AVERAGEIFS($C$2:C331, $B$2:B331, B331)</f>
        <v>7.5</v>
      </c>
      <c r="AA331">
        <f>AVERAGEIFS($I$2:I331, $B$2:B331, B331)</f>
        <v>0.2</v>
      </c>
      <c r="AB331">
        <f>AVERAGEIFS($J$2:J331, $B$2:B331, B331)</f>
        <v>0.27500000000000002</v>
      </c>
      <c r="AC331">
        <f>AVERAGEIFS($D$2:D331, $B$2:B331, B331)</f>
        <v>0</v>
      </c>
    </row>
    <row r="332" spans="1:29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1</v>
      </c>
      <c r="V332">
        <v>0</v>
      </c>
      <c r="W332">
        <v>0</v>
      </c>
      <c r="X332">
        <v>1</v>
      </c>
      <c r="Y332">
        <v>0</v>
      </c>
      <c r="Z332">
        <f>AVERAGEIFS($C$2:C332, $B$2:B332, B332)</f>
        <v>15.444444444444445</v>
      </c>
      <c r="AA332">
        <f>AVERAGEIFS($I$2:I332, $B$2:B332, B332)</f>
        <v>0.64444444444444449</v>
      </c>
      <c r="AB332">
        <f>AVERAGEIFS($J$2:J332, $B$2:B332, B332)</f>
        <v>0.57333333333333336</v>
      </c>
      <c r="AC332">
        <f>AVERAGEIFS($D$2:D332, $B$2:B332, B332)</f>
        <v>0.55555555555555558</v>
      </c>
    </row>
    <row r="333" spans="1:29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1</v>
      </c>
      <c r="V333">
        <v>0</v>
      </c>
      <c r="W333">
        <v>0</v>
      </c>
      <c r="X333">
        <v>1</v>
      </c>
      <c r="Y333">
        <v>0</v>
      </c>
      <c r="Z333">
        <f>AVERAGEIFS($C$2:C333, $B$2:B333, B333)</f>
        <v>13.384615384615385</v>
      </c>
      <c r="AA333">
        <f>AVERAGEIFS($I$2:I333, $B$2:B333, B333)</f>
        <v>0.44999999999999996</v>
      </c>
      <c r="AB333">
        <f>AVERAGEIFS($J$2:J333, $B$2:B333, B333)</f>
        <v>0.46846153846153854</v>
      </c>
      <c r="AC333">
        <f>AVERAGEIFS($D$2:D333, $B$2:B333, B333)</f>
        <v>0.46153846153846156</v>
      </c>
    </row>
    <row r="334" spans="1:29" x14ac:dyDescent="0.25">
      <c r="A334" s="85">
        <v>46089</v>
      </c>
      <c r="B334" t="s">
        <v>141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1</v>
      </c>
      <c r="V334">
        <v>0</v>
      </c>
      <c r="W334">
        <v>0</v>
      </c>
      <c r="X334">
        <v>1</v>
      </c>
      <c r="Y334">
        <v>0</v>
      </c>
      <c r="Z334">
        <f>AVERAGEIFS($C$2:C334, $B$2:B334, B334)</f>
        <v>12</v>
      </c>
      <c r="AA334">
        <f>AVERAGEIFS($I$2:I334, $B$2:B334, B334)</f>
        <v>0.4</v>
      </c>
      <c r="AB334">
        <f>AVERAGEIFS($J$2:J334, $B$2:B334, B334)</f>
        <v>0.37</v>
      </c>
      <c r="AC334">
        <f>AVERAGEIFS($D$2:D334, $B$2:B334, B334)</f>
        <v>0</v>
      </c>
    </row>
    <row r="335" spans="1:29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1</v>
      </c>
      <c r="V335">
        <v>0</v>
      </c>
      <c r="W335">
        <v>0</v>
      </c>
      <c r="X335">
        <v>1</v>
      </c>
      <c r="Y335">
        <v>0</v>
      </c>
      <c r="Z335">
        <f>AVERAGEIFS($C$2:C335, $B$2:B335, B335)</f>
        <v>13.846153846153847</v>
      </c>
      <c r="AA335">
        <f>AVERAGEIFS($I$2:I335, $B$2:B335, B335)</f>
        <v>0.53846153846153855</v>
      </c>
      <c r="AB335">
        <f>AVERAGEIFS($J$2:J335, $B$2:B335, B335)</f>
        <v>0.50461538461538469</v>
      </c>
      <c r="AC335">
        <f>AVERAGEIFS($D$2:D335, $B$2:B335, B335)</f>
        <v>0.53846153846153844</v>
      </c>
    </row>
    <row r="336" spans="1:29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1</v>
      </c>
      <c r="V336">
        <v>0</v>
      </c>
      <c r="W336">
        <v>0</v>
      </c>
      <c r="X336">
        <v>1</v>
      </c>
      <c r="Y336">
        <v>0</v>
      </c>
      <c r="Z336">
        <f>AVERAGEIFS($C$2:C336, $B$2:B336, B336)</f>
        <v>27.958333333333332</v>
      </c>
      <c r="AA336">
        <f>AVERAGEIFS($I$2:I336, $B$2:B336, B336)</f>
        <v>0.5708333333333333</v>
      </c>
      <c r="AB336">
        <f>AVERAGEIFS($J$2:J336, $B$2:B336, B336)</f>
        <v>0.54374999999999996</v>
      </c>
      <c r="AC336">
        <f>AVERAGEIFS($D$2:D336, $B$2:B336, B336)</f>
        <v>0.66666666666666663</v>
      </c>
    </row>
    <row r="337" spans="1:29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1</v>
      </c>
      <c r="V337">
        <v>0</v>
      </c>
      <c r="W337">
        <v>0</v>
      </c>
      <c r="X337">
        <v>1</v>
      </c>
      <c r="Y337">
        <v>0</v>
      </c>
      <c r="Z337">
        <f>AVERAGEIFS($C$2:C337, $B$2:B337, B337)</f>
        <v>25.391304347826086</v>
      </c>
      <c r="AA337">
        <f>AVERAGEIFS($I$2:I337, $B$2:B337, B337)</f>
        <v>0.52826086956521745</v>
      </c>
      <c r="AB337">
        <f>AVERAGEIFS($J$2:J337, $B$2:B337, B337)</f>
        <v>0.53043478260869559</v>
      </c>
      <c r="AC337">
        <f>AVERAGEIFS($D$2:D337, $B$2:B337, B337)</f>
        <v>0.43478260869565216</v>
      </c>
    </row>
    <row r="338" spans="1:29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1</v>
      </c>
      <c r="V338">
        <v>0</v>
      </c>
      <c r="W338">
        <v>0</v>
      </c>
      <c r="X338">
        <v>1</v>
      </c>
      <c r="Y338">
        <v>0</v>
      </c>
      <c r="Z338">
        <f>AVERAGEIFS($C$2:C338, $B$2:B338, B338)</f>
        <v>12.5</v>
      </c>
      <c r="AA338">
        <f>AVERAGEIFS($I$2:I338, $B$2:B338, B338)</f>
        <v>0.65</v>
      </c>
      <c r="AB338">
        <f>AVERAGEIFS($J$2:J338, $B$2:B338, B338)</f>
        <v>0.5724999999999999</v>
      </c>
      <c r="AC338">
        <f>AVERAGEIFS($D$2:D338, $B$2:B338, B338)</f>
        <v>0.6875</v>
      </c>
    </row>
    <row r="339" spans="1:29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1</v>
      </c>
      <c r="Z339">
        <f>AVERAGEIFS($C$2:C339, $B$2:B339, B339)</f>
        <v>18.333333333333332</v>
      </c>
      <c r="AA339">
        <f>AVERAGEIFS($I$2:I339, $B$2:B339, B339)</f>
        <v>0.47916666666666669</v>
      </c>
      <c r="AB339">
        <f>AVERAGEIFS($J$2:J339, $B$2:B339, B339)</f>
        <v>0.48249999999999993</v>
      </c>
      <c r="AC339">
        <f>AVERAGEIFS($D$2:D339, $B$2:B339, B339)</f>
        <v>0.41666666666666669</v>
      </c>
    </row>
    <row r="340" spans="1:29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1</v>
      </c>
      <c r="Z340">
        <f>AVERAGEIFS($C$2:C340, $B$2:B340, B340)</f>
        <v>11.761904761904763</v>
      </c>
      <c r="AA340">
        <f>AVERAGEIFS($I$2:I340, $B$2:B340, B340)</f>
        <v>0.3880952380952381</v>
      </c>
      <c r="AB340">
        <f>AVERAGEIFS($J$2:J340, $B$2:B340, B340)</f>
        <v>0.44523809523809532</v>
      </c>
      <c r="AC340">
        <f>AVERAGEIFS($D$2:D340, $B$2:B340, B340)</f>
        <v>0.33333333333333331</v>
      </c>
    </row>
    <row r="341" spans="1:29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1</v>
      </c>
      <c r="Z341">
        <f>AVERAGEIFS($C$2:C341, $B$2:B341, B341)</f>
        <v>10.1</v>
      </c>
      <c r="AA341">
        <f>AVERAGEIFS($I$2:I341, $B$2:B341, B341)</f>
        <v>0.5</v>
      </c>
      <c r="AB341">
        <f>AVERAGEIFS($J$2:J341, $B$2:B341, B341)</f>
        <v>0.51700000000000002</v>
      </c>
      <c r="AC341">
        <f>AVERAGEIFS($D$2:D341, $B$2:B341, B341)</f>
        <v>0.5</v>
      </c>
    </row>
    <row r="342" spans="1:29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1</v>
      </c>
      <c r="X342">
        <v>0</v>
      </c>
      <c r="Y342">
        <v>1</v>
      </c>
      <c r="Z342">
        <f>AVERAGEIFS($C$2:C342, $B$2:B342, B342)</f>
        <v>13.470588235294118</v>
      </c>
      <c r="AA342">
        <f>AVERAGEIFS($I$2:I342, $B$2:B342, B342)</f>
        <v>0.49705882352941172</v>
      </c>
      <c r="AB342">
        <f>AVERAGEIFS($J$2:J342, $B$2:B342, B342)</f>
        <v>0.50647058823529423</v>
      </c>
      <c r="AC342">
        <f>AVERAGEIFS($D$2:D342, $B$2:B342, B342)</f>
        <v>0.41176470588235292</v>
      </c>
    </row>
    <row r="343" spans="1:29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1</v>
      </c>
      <c r="X343">
        <v>0</v>
      </c>
      <c r="Y343">
        <v>1</v>
      </c>
      <c r="Z343">
        <f>AVERAGEIFS($C$2:C343, $B$2:B343, B343)</f>
        <v>25.833333333333332</v>
      </c>
      <c r="AA343">
        <f>AVERAGEIFS($I$2:I343, $B$2:B343, B343)</f>
        <v>0.41388888888888892</v>
      </c>
      <c r="AB343">
        <f>AVERAGEIFS($J$2:J343, $B$2:B343, B343)</f>
        <v>0.47055555555555562</v>
      </c>
      <c r="AC343">
        <f>AVERAGEIFS($D$2:D343, $B$2:B343, B343)</f>
        <v>0.27777777777777779</v>
      </c>
    </row>
    <row r="344" spans="1:29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1</v>
      </c>
      <c r="X344">
        <v>0</v>
      </c>
      <c r="Y344">
        <v>1</v>
      </c>
      <c r="Z344">
        <f>AVERAGEIFS($C$2:C344, $B$2:B344, B344)</f>
        <v>26.75</v>
      </c>
      <c r="AA344">
        <f>AVERAGEIFS($I$2:I344, $B$2:B344, B344)</f>
        <v>0.55416666666666659</v>
      </c>
      <c r="AB344">
        <f>AVERAGEIFS($J$2:J344, $B$2:B344, B344)</f>
        <v>0.54416666666666669</v>
      </c>
      <c r="AC344">
        <f>AVERAGEIFS($D$2:D344, $B$2:B344, B344)</f>
        <v>0.58333333333333337</v>
      </c>
    </row>
    <row r="345" spans="1:29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1</v>
      </c>
      <c r="X345">
        <v>0</v>
      </c>
      <c r="Y345">
        <v>1</v>
      </c>
      <c r="Z345">
        <f>AVERAGEIFS($C$2:C345, $B$2:B345, B345)</f>
        <v>26</v>
      </c>
      <c r="AA345">
        <f>AVERAGEIFS($I$2:I345, $B$2:B345, B345)</f>
        <v>0.52</v>
      </c>
      <c r="AB345">
        <f>AVERAGEIFS($J$2:J345, $B$2:B345, B345)</f>
        <v>0.504</v>
      </c>
      <c r="AC345">
        <f>AVERAGEIFS($D$2:D345, $B$2:B345, B345)</f>
        <v>0.55000000000000004</v>
      </c>
    </row>
    <row r="346" spans="1:29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1</v>
      </c>
      <c r="X346">
        <v>0</v>
      </c>
      <c r="Y346">
        <v>1</v>
      </c>
      <c r="Z346">
        <f>AVERAGEIFS($C$2:C346, $B$2:B346, B346)</f>
        <v>10.375</v>
      </c>
      <c r="AA346">
        <f>AVERAGEIFS($I$2:I346, $B$2:B346, B346)</f>
        <v>0.52500000000000002</v>
      </c>
      <c r="AB346">
        <f>AVERAGEIFS($J$2:J346, $B$2:B346, B346)</f>
        <v>0.49624999999999997</v>
      </c>
      <c r="AC346">
        <f>AVERAGEIFS($D$2:D346, $B$2:B346, B346)</f>
        <v>0.625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H4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52" sqref="D52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95" t="s">
        <v>93</v>
      </c>
      <c r="O1" s="96" t="s">
        <v>41</v>
      </c>
      <c r="P1" s="96" t="s">
        <v>69</v>
      </c>
      <c r="Q1" s="97" t="s">
        <v>63</v>
      </c>
      <c r="R1" s="97" t="s">
        <v>116</v>
      </c>
      <c r="S1" s="96" t="s">
        <v>112</v>
      </c>
      <c r="T1" s="97" t="s">
        <v>32</v>
      </c>
      <c r="U1" s="96" t="s">
        <v>106</v>
      </c>
      <c r="V1" s="97" t="s">
        <v>62</v>
      </c>
      <c r="W1" s="96" t="s">
        <v>73</v>
      </c>
      <c r="X1" s="96" t="s">
        <v>91</v>
      </c>
      <c r="Y1" s="97" t="s">
        <v>95</v>
      </c>
      <c r="Z1" s="96" t="s">
        <v>92</v>
      </c>
      <c r="AA1" s="97" t="s">
        <v>67</v>
      </c>
      <c r="AB1" s="97" t="s">
        <v>56</v>
      </c>
      <c r="AC1" s="96" t="s">
        <v>104</v>
      </c>
      <c r="AD1" s="96" t="s">
        <v>66</v>
      </c>
      <c r="AE1" s="96" t="s">
        <v>72</v>
      </c>
      <c r="AF1" s="97" t="s">
        <v>68</v>
      </c>
      <c r="AG1" s="97" t="s">
        <v>135</v>
      </c>
      <c r="AH1" s="98" t="s">
        <v>96</v>
      </c>
    </row>
    <row r="2" spans="1:34" x14ac:dyDescent="0.25">
      <c r="A2" s="2" t="s">
        <v>37</v>
      </c>
      <c r="B2" s="34">
        <f>SUMIFS('BA History'!C:C,'BA History'!B:B,A2)</f>
        <v>95</v>
      </c>
      <c r="C2" s="66">
        <f>AVERAGEIFS('BA History'!C:C,'BA History'!B:B,A2)</f>
        <v>13.571428571428571</v>
      </c>
      <c r="D2" s="35">
        <f t="array" ref="D2">MAX(IF('BA History'!B:B=A2, 'BA History'!C:C))</f>
        <v>19</v>
      </c>
      <c r="E2" s="34">
        <f>COUNTIFS('BA History'!B:B,A2,'BA History'!D:D, 1)</f>
        <v>3</v>
      </c>
      <c r="F2" s="2">
        <f>COUNTIFS('BA History'!B:B,A2,'BA History'!D:D, 0)</f>
        <v>4</v>
      </c>
      <c r="G2" s="75">
        <f t="shared" ref="G2:G12" si="0">E2/(E2+F2)</f>
        <v>0.42857142857142855</v>
      </c>
      <c r="H2" s="34">
        <f>SUMIFS('BA History'!F:F,'BA History'!B:B,A2)</f>
        <v>17</v>
      </c>
      <c r="I2" s="2">
        <f>SUMIFS('BA History'!E:E,'BA History'!B:B,A2)-H2</f>
        <v>14</v>
      </c>
      <c r="J2" s="75">
        <f t="shared" ref="J2:J12" si="1">H2/(H2+I2)</f>
        <v>0.54838709677419351</v>
      </c>
      <c r="K2" s="34">
        <f>SUMIFS('BA History'!H:H,'BA History'!B:B,A2)</f>
        <v>69</v>
      </c>
      <c r="L2" s="2">
        <f>SUMIFS('BA History'!G:G,'BA History'!B:B,A2)-K2</f>
        <v>62</v>
      </c>
      <c r="M2" s="93">
        <f t="shared" ref="M2:M12" si="2">K2/(K2+L2)</f>
        <v>0.52671755725190839</v>
      </c>
      <c r="N2" s="2">
        <f>COUNTIFS('BA History'!$B:$B,$A$2,'BA History'!K:K, 1)</f>
        <v>1</v>
      </c>
      <c r="O2" s="2">
        <f>COUNTIFS('BA History'!$B:$B,$A$2,'BA History'!L:L, 1)</f>
        <v>1</v>
      </c>
      <c r="P2" s="2">
        <f>COUNTIFS('BA History'!$B:$B,$A$2,'BA History'!M:M, 1)</f>
        <v>2</v>
      </c>
      <c r="Q2" s="2">
        <f>COUNTIFS('BA History'!$B:$B,$A$2,'BA History'!N:N, 1)</f>
        <v>0</v>
      </c>
      <c r="R2" s="2">
        <f>COUNTIFS('BA History'!$B:$B,$A$2,'BA History'!O:O, 1)</f>
        <v>0</v>
      </c>
      <c r="S2" s="2">
        <f>COUNTIFS('BA History'!$B:$B,$A$2,'BA History'!P:P, 1)</f>
        <v>0</v>
      </c>
      <c r="T2" s="2">
        <f>COUNTIFS('BA History'!$B:$B,$A$2,'BA History'!Q:Q, 1)</f>
        <v>0</v>
      </c>
      <c r="U2" s="2">
        <f>COUNTIFS('BA History'!$B:$B,$A$2,'BA History'!R:R, 1)</f>
        <v>2</v>
      </c>
      <c r="V2" s="2">
        <f>COUNTIFS('BA History'!$B:$B,$A$2,'BA History'!S:S, 1)</f>
        <v>0</v>
      </c>
      <c r="W2" s="2">
        <f>COUNTIFS('BA History'!$B:$B,$A$2,'BA History'!T:T, 1)</f>
        <v>0</v>
      </c>
      <c r="X2" s="2">
        <f>COUNTIFS('BA History'!$B:$B,$A$2,'BA History'!U:U, 1)</f>
        <v>2</v>
      </c>
      <c r="Y2" s="2">
        <f>COUNTIFS('BA History'!$B:$B,$A$2,'BA History'!V:V, 1)</f>
        <v>0</v>
      </c>
      <c r="Z2" s="2">
        <f>COUNTIFS('BA History'!$B:$B,$A$2,'BA History'!W:W, 1)</f>
        <v>0</v>
      </c>
      <c r="AA2" s="2">
        <f>COUNTIFS('BA History'!$B:$B,$A$2,'BA History'!X:X, 1)</f>
        <v>2</v>
      </c>
      <c r="AB2" s="2">
        <f>COUNTIFS('BA History'!$B:$B,$A$2,'BA History'!Y:Y, 1)</f>
        <v>1</v>
      </c>
      <c r="AC2" s="2">
        <f>COUNTIFS('BA History'!$B:$B,$A$2,'BA History'!Z:Z, 1)</f>
        <v>0</v>
      </c>
      <c r="AD2" s="2">
        <f>COUNTIFS('BA History'!$B:$B,$A$2,'BA History'!AA:AA, 1)</f>
        <v>1</v>
      </c>
      <c r="AE2" s="2">
        <f>COUNTIFS('BA History'!$B:$B,$A$2,'BA History'!AB:AB, 1)</f>
        <v>2</v>
      </c>
      <c r="AF2" s="2">
        <f>COUNTIFS('BA History'!$B:$B,$A$2,'BA History'!AC:AC, 1)</f>
        <v>1</v>
      </c>
      <c r="AG2" s="2">
        <f>COUNTIFS('BA History'!$B:$B,$A$2,'BA History'!AD:AD, 1)</f>
        <v>0</v>
      </c>
      <c r="AH2" s="2">
        <f>COUNTIFS('BA History'!$B:$B,$A$2,'BA History'!AE:AE, 1)</f>
        <v>2</v>
      </c>
    </row>
    <row r="3" spans="1:34" x14ac:dyDescent="0.25">
      <c r="A3" s="2" t="s">
        <v>103</v>
      </c>
      <c r="B3" s="34">
        <f>SUMIFS('BA History'!C:C,'BA History'!B:B,A3)</f>
        <v>17</v>
      </c>
      <c r="C3" s="66">
        <f>AVERAGEIFS('BA History'!C:C,'BA History'!B:B,A3)</f>
        <v>8.5</v>
      </c>
      <c r="D3" s="35">
        <f t="array" ref="D3">MAX(IF('BA History'!B:B=A3, 'BA History'!C:C))</f>
        <v>9</v>
      </c>
      <c r="E3" s="34">
        <f>COUNTIFS('BA History'!B:B,A3,'BA History'!D:D, 1)</f>
        <v>0</v>
      </c>
      <c r="F3" s="2">
        <f>COUNTIFS('BA History'!B:B,A3,'BA History'!D:D, 0)</f>
        <v>2</v>
      </c>
      <c r="G3" s="75">
        <f t="shared" si="0"/>
        <v>0</v>
      </c>
      <c r="H3" s="34">
        <f>SUMIFS('BA History'!F:F,'BA History'!B:B,A3)</f>
        <v>3</v>
      </c>
      <c r="I3" s="2">
        <f>SUMIFS('BA History'!E:E,'BA History'!B:B,A3)-H3</f>
        <v>6</v>
      </c>
      <c r="J3" s="75">
        <f t="shared" si="1"/>
        <v>0.33333333333333331</v>
      </c>
      <c r="K3" s="34">
        <f>SUMIFS('BA History'!H:H,'BA History'!B:B,A3)</f>
        <v>15</v>
      </c>
      <c r="L3" s="2">
        <f>SUMIFS('BA History'!G:G,'BA History'!B:B,A3)-K3</f>
        <v>22</v>
      </c>
      <c r="M3" s="93">
        <f t="shared" si="2"/>
        <v>0.40540540540540543</v>
      </c>
      <c r="N3" s="2">
        <f>COUNTIFS('BA History'!$B:$B,$A$3,'BA History'!K:K, 1)</f>
        <v>0</v>
      </c>
      <c r="O3" s="2">
        <f>COUNTIFS('BA History'!$B:$B,$A$3,'BA History'!L:L, 1)</f>
        <v>0</v>
      </c>
      <c r="P3" s="2">
        <f>COUNTIFS('BA History'!$B:$B,$A$3,'BA History'!M:M, 1)</f>
        <v>0</v>
      </c>
      <c r="Q3" s="2">
        <f>COUNTIFS('BA History'!$B:$B,$A$3,'BA History'!N:N, 1)</f>
        <v>1</v>
      </c>
      <c r="R3" s="2">
        <f>COUNTIFS('BA History'!$B:$B,$A$3,'BA History'!O:O, 1)</f>
        <v>0</v>
      </c>
      <c r="S3" s="2">
        <f>COUNTIFS('BA History'!$B:$B,$A$3,'BA History'!P:P, 1)</f>
        <v>0</v>
      </c>
      <c r="T3" s="2">
        <f>COUNTIFS('BA History'!$B:$B,$A$3,'BA History'!Q:Q, 1)</f>
        <v>0</v>
      </c>
      <c r="U3" s="2">
        <f>COUNTIFS('BA History'!$B:$B,$A$3,'BA History'!R:R, 1)</f>
        <v>0</v>
      </c>
      <c r="V3" s="2">
        <f>COUNTIFS('BA History'!$B:$B,$A$3,'BA History'!S:S, 1)</f>
        <v>0</v>
      </c>
      <c r="W3" s="2">
        <f>COUNTIFS('BA History'!$B:$B,$A$3,'BA History'!T:T, 1)</f>
        <v>0</v>
      </c>
      <c r="X3" s="2">
        <f>COUNTIFS('BA History'!$B:$B,$A$3,'BA History'!U:U, 1)</f>
        <v>0</v>
      </c>
      <c r="Y3" s="2">
        <f>COUNTIFS('BA History'!$B:$B,$A$3,'BA History'!V:V, 1)</f>
        <v>0</v>
      </c>
      <c r="Z3" s="2">
        <f>COUNTIFS('BA History'!$B:$B,$A$3,'BA History'!W:W, 1)</f>
        <v>0</v>
      </c>
      <c r="AA3" s="2">
        <f>COUNTIFS('BA History'!$B:$B,$A$3,'BA History'!X:X, 1)</f>
        <v>0</v>
      </c>
      <c r="AB3" s="2">
        <f>COUNTIFS('BA History'!$B:$B,$A$3,'BA History'!Y:Y, 1)</f>
        <v>1</v>
      </c>
      <c r="AC3" s="2">
        <f>COUNTIFS('BA History'!$B:$B,$A$3,'BA History'!Z:Z, 1)</f>
        <v>0</v>
      </c>
      <c r="AD3" s="2">
        <f>COUNTIFS('BA History'!$B:$B,$A$3,'BA History'!AA:AA, 1)</f>
        <v>0</v>
      </c>
      <c r="AE3" s="2">
        <f>COUNTIFS('BA History'!$B:$B,$A$3,'BA History'!AB:AB, 1)</f>
        <v>0</v>
      </c>
      <c r="AF3" s="2">
        <f>COUNTIFS('BA History'!$B:$B,$A$3,'BA History'!AC:AC, 1)</f>
        <v>1</v>
      </c>
      <c r="AG3" s="2">
        <f>COUNTIFS('BA History'!$B:$B,$A$3,'BA History'!AD:AD, 1)</f>
        <v>0</v>
      </c>
      <c r="AH3" s="2">
        <f>COUNTIFS('BA History'!$B:$B,$A$3,'BA History'!AE:AE, 1)</f>
        <v>0</v>
      </c>
    </row>
    <row r="4" spans="1:34" x14ac:dyDescent="0.25">
      <c r="A4" s="2" t="s">
        <v>71</v>
      </c>
      <c r="B4" s="34">
        <f>SUMIFS('BA History'!C:C,'BA History'!B:B,A4)</f>
        <v>75</v>
      </c>
      <c r="C4" s="66">
        <f>AVERAGEIFS('BA History'!C:C,'BA History'!B:B,A4)</f>
        <v>15</v>
      </c>
      <c r="D4" s="35">
        <f t="array" ref="D4">MAX(IF('BA History'!B:B=A4, 'BA History'!C:C))</f>
        <v>19</v>
      </c>
      <c r="E4" s="34">
        <f>COUNTIFS('BA History'!B:B,A4,'BA History'!D:D, 1)</f>
        <v>4</v>
      </c>
      <c r="F4" s="2">
        <f>COUNTIFS('BA History'!B:B,A4,'BA History'!D:D, 0)</f>
        <v>1</v>
      </c>
      <c r="G4" s="75">
        <f t="shared" si="0"/>
        <v>0.8</v>
      </c>
      <c r="H4" s="34">
        <f>SUMIFS('BA History'!F:F,'BA History'!B:B,A4)</f>
        <v>13</v>
      </c>
      <c r="I4" s="2">
        <f>SUMIFS('BA History'!E:E,'BA History'!B:B,A4)-H4</f>
        <v>9</v>
      </c>
      <c r="J4" s="75">
        <f t="shared" si="1"/>
        <v>0.59090909090909094</v>
      </c>
      <c r="K4" s="34">
        <f>SUMIFS('BA History'!H:H,'BA History'!B:B,A4)</f>
        <v>48</v>
      </c>
      <c r="L4" s="2">
        <f>SUMIFS('BA History'!G:G,'BA History'!B:B,A4)-K4</f>
        <v>45</v>
      </c>
      <c r="M4" s="93">
        <f t="shared" si="2"/>
        <v>0.5161290322580645</v>
      </c>
      <c r="N4" s="2">
        <f>COUNTIFS('BA History'!$B:$B,$A$4,'BA History'!K:K, 1)</f>
        <v>1</v>
      </c>
      <c r="O4" s="2">
        <f>COUNTIFS('BA History'!$B:$B,$A$4,'BA History'!L:L, 1)</f>
        <v>1</v>
      </c>
      <c r="P4" s="2">
        <f>COUNTIFS('BA History'!$B:$B,$A$4,'BA History'!M:M, 1)</f>
        <v>2</v>
      </c>
      <c r="Q4" s="2">
        <f>COUNTIFS('BA History'!$B:$B,$A$4,'BA History'!N:N, 1)</f>
        <v>0</v>
      </c>
      <c r="R4" s="2">
        <f>COUNTIFS('BA History'!$B:$B,$A$4,'BA History'!O:O, 1)</f>
        <v>0</v>
      </c>
      <c r="S4" s="2">
        <f>COUNTIFS('BA History'!$B:$B,$A$4,'BA History'!P:P, 1)</f>
        <v>0</v>
      </c>
      <c r="T4" s="2">
        <f>COUNTIFS('BA History'!$B:$B,$A$4,'BA History'!Q:Q, 1)</f>
        <v>0</v>
      </c>
      <c r="U4" s="2">
        <f>COUNTIFS('BA History'!$B:$B,$A$4,'BA History'!R:R, 1)</f>
        <v>0</v>
      </c>
      <c r="V4" s="2">
        <f>COUNTIFS('BA History'!$B:$B,$A$4,'BA History'!S:S, 1)</f>
        <v>0</v>
      </c>
      <c r="W4" s="2">
        <f>COUNTIFS('BA History'!$B:$B,$A$4,'BA History'!T:T, 1)</f>
        <v>0</v>
      </c>
      <c r="X4" s="2">
        <f>COUNTIFS('BA History'!$B:$B,$A$4,'BA History'!U:U, 1)</f>
        <v>1</v>
      </c>
      <c r="Y4" s="2">
        <f>COUNTIFS('BA History'!$B:$B,$A$4,'BA History'!V:V, 1)</f>
        <v>0</v>
      </c>
      <c r="Z4" s="2">
        <f>COUNTIFS('BA History'!$B:$B,$A$4,'BA History'!W:W, 1)</f>
        <v>0</v>
      </c>
      <c r="AA4" s="2">
        <f>COUNTIFS('BA History'!$B:$B,$A$4,'BA History'!X:X, 1)</f>
        <v>2</v>
      </c>
      <c r="AB4" s="2">
        <f>COUNTIFS('BA History'!$B:$B,$A$4,'BA History'!Y:Y, 1)</f>
        <v>1</v>
      </c>
      <c r="AC4" s="2">
        <f>COUNTIFS('BA History'!$B:$B,$A$4,'BA History'!Z:Z, 1)</f>
        <v>0</v>
      </c>
      <c r="AD4" s="2">
        <f>COUNTIFS('BA History'!$B:$B,$A$4,'BA History'!AA:AA, 1)</f>
        <v>0</v>
      </c>
      <c r="AE4" s="2">
        <f>COUNTIFS('BA History'!$B:$B,$A$4,'BA History'!AB:AB, 1)</f>
        <v>0</v>
      </c>
      <c r="AF4" s="2">
        <f>COUNTIFS('BA History'!$B:$B,$A$4,'BA History'!AC:AC, 1)</f>
        <v>3</v>
      </c>
      <c r="AG4" s="2">
        <f>COUNTIFS('BA History'!$B:$B,$A$4,'BA History'!AD:AD, 1)</f>
        <v>1</v>
      </c>
      <c r="AH4" s="2">
        <f>COUNTIFS('BA History'!$B:$B,$A$4,'BA History'!AE:AE, 1)</f>
        <v>1</v>
      </c>
    </row>
    <row r="5" spans="1:34" x14ac:dyDescent="0.25">
      <c r="A5" s="2" t="s">
        <v>114</v>
      </c>
      <c r="B5" s="34">
        <f>SUMIFS('BA History'!C:C,'BA History'!B:B,A5)</f>
        <v>6</v>
      </c>
      <c r="C5" s="66">
        <f>AVERAGEIFS('BA History'!C:C,'BA History'!B:B,A5)</f>
        <v>6</v>
      </c>
      <c r="D5" s="35">
        <f t="array" ref="D5">MAX(IF('BA History'!B:B=A5, 'BA History'!C:C))</f>
        <v>6</v>
      </c>
      <c r="E5" s="34">
        <f>COUNTIFS('BA History'!B:B,A5,'BA History'!D:D, 1)</f>
        <v>0</v>
      </c>
      <c r="F5" s="2">
        <f>COUNTIFS('BA History'!B:B,A5,'BA History'!D:D, 0)</f>
        <v>1</v>
      </c>
      <c r="G5" s="75">
        <f t="shared" si="0"/>
        <v>0</v>
      </c>
      <c r="H5" s="34">
        <f>SUMIFS('BA History'!F:F,'BA History'!B:B,A5)</f>
        <v>1</v>
      </c>
      <c r="I5" s="2">
        <f>SUMIFS('BA History'!E:E,'BA History'!B:B,A5)-H5</f>
        <v>3</v>
      </c>
      <c r="J5" s="75">
        <f t="shared" si="1"/>
        <v>0.25</v>
      </c>
      <c r="K5" s="34">
        <f>SUMIFS('BA History'!H:H,'BA History'!B:B,A5)</f>
        <v>8</v>
      </c>
      <c r="L5" s="2">
        <f>SUMIFS('BA History'!G:G,'BA History'!B:B,A5)-K5</f>
        <v>11</v>
      </c>
      <c r="M5" s="93">
        <f t="shared" si="2"/>
        <v>0.42105263157894735</v>
      </c>
      <c r="N5" s="2">
        <f>COUNTIFS('BA History'!$B:$B,$A$5,'BA History'!K:K, 1)</f>
        <v>0</v>
      </c>
      <c r="O5" s="2">
        <f>COUNTIFS('BA History'!$B:$B,$A$5,'BA History'!L:L, 1)</f>
        <v>0</v>
      </c>
      <c r="P5" s="2">
        <f>COUNTIFS('BA History'!$B:$B,$A$5,'BA History'!M:M, 1)</f>
        <v>0</v>
      </c>
      <c r="Q5" s="2">
        <f>COUNTIFS('BA History'!$B:$B,$A$5,'BA History'!N:N, 1)</f>
        <v>0</v>
      </c>
      <c r="R5" s="2">
        <f>COUNTIFS('BA History'!$B:$B,$A$5,'BA History'!O:O, 1)</f>
        <v>1</v>
      </c>
      <c r="S5" s="2">
        <f>COUNTIFS('BA History'!$B:$B,$A$5,'BA History'!P:P, 1)</f>
        <v>0</v>
      </c>
      <c r="T5" s="2">
        <f>COUNTIFS('BA History'!$B:$B,$A$5,'BA History'!Q:Q, 1)</f>
        <v>0</v>
      </c>
      <c r="U5" s="2">
        <f>COUNTIFS('BA History'!$B:$B,$A$5,'BA History'!R:R, 1)</f>
        <v>0</v>
      </c>
      <c r="V5" s="2">
        <f>COUNTIFS('BA History'!$B:$B,$A$5,'BA History'!S:S, 1)</f>
        <v>0</v>
      </c>
      <c r="W5" s="2">
        <f>COUNTIFS('BA History'!$B:$B,$A$5,'BA History'!T:T, 1)</f>
        <v>0</v>
      </c>
      <c r="X5" s="2">
        <f>COUNTIFS('BA History'!$B:$B,$A$5,'BA History'!U:U, 1)</f>
        <v>0</v>
      </c>
      <c r="Y5" s="2">
        <f>COUNTIFS('BA History'!$B:$B,$A$5,'BA History'!V:V, 1)</f>
        <v>0</v>
      </c>
      <c r="Z5" s="2">
        <f>COUNTIFS('BA History'!$B:$B,$A$5,'BA History'!W:W, 1)</f>
        <v>0</v>
      </c>
      <c r="AA5" s="2">
        <f>COUNTIFS('BA History'!$B:$B,$A$5,'BA History'!X:X, 1)</f>
        <v>0</v>
      </c>
      <c r="AB5" s="2">
        <f>COUNTIFS('BA History'!$B:$B,$A$5,'BA History'!Y:Y, 1)</f>
        <v>0</v>
      </c>
      <c r="AC5" s="2">
        <f>COUNTIFS('BA History'!$B:$B,$A$5,'BA History'!Z:Z, 1)</f>
        <v>0</v>
      </c>
      <c r="AD5" s="2">
        <f>COUNTIFS('BA History'!$B:$B,$A$5,'BA History'!AA:AA, 1)</f>
        <v>0</v>
      </c>
      <c r="AE5" s="2">
        <f>COUNTIFS('BA History'!$B:$B,$A$5,'BA History'!AB:AB, 1)</f>
        <v>0</v>
      </c>
      <c r="AF5" s="2">
        <f>COUNTIFS('BA History'!$B:$B,$A$5,'BA History'!AC:AC, 1)</f>
        <v>0</v>
      </c>
      <c r="AG5" s="2">
        <f>COUNTIFS('BA History'!$B:$B,$A$5,'BA History'!AD:AD, 1)</f>
        <v>0</v>
      </c>
      <c r="AH5" s="2">
        <f>COUNTIFS('BA History'!$B:$B,$A$5,'BA History'!AE:AE, 1)</f>
        <v>0</v>
      </c>
    </row>
    <row r="6" spans="1:34" x14ac:dyDescent="0.25">
      <c r="A6" s="2" t="s">
        <v>35</v>
      </c>
      <c r="B6" s="34">
        <f>SUMIFS('BA History'!C:C,'BA History'!B:B,A6)</f>
        <v>274</v>
      </c>
      <c r="C6" s="66">
        <f>AVERAGEIFS('BA History'!C:C,'BA History'!B:B,A6)</f>
        <v>11.913043478260869</v>
      </c>
      <c r="D6" s="35">
        <f t="array" ref="D6">MAX(IF('BA History'!B:B=A6, 'BA History'!C:C))</f>
        <v>20</v>
      </c>
      <c r="E6" s="34">
        <f>COUNTIFS('BA History'!B:B,A6,'BA History'!D:D, 1)</f>
        <v>8</v>
      </c>
      <c r="F6" s="2">
        <f>COUNTIFS('BA History'!B:B,A6,'BA History'!D:D, 0)</f>
        <v>15</v>
      </c>
      <c r="G6" s="75">
        <f t="shared" si="0"/>
        <v>0.34782608695652173</v>
      </c>
      <c r="H6" s="34">
        <f>SUMIFS('BA History'!F:F,'BA History'!B:B,A6)</f>
        <v>42</v>
      </c>
      <c r="I6" s="2">
        <f>SUMIFS('BA History'!E:E,'BA History'!B:B,A6)-H6</f>
        <v>53</v>
      </c>
      <c r="J6" s="75">
        <f t="shared" si="1"/>
        <v>0.44210526315789472</v>
      </c>
      <c r="K6" s="34">
        <f>SUMIFS('BA History'!H:H,'BA History'!B:B,A6)</f>
        <v>191</v>
      </c>
      <c r="L6" s="2">
        <f>SUMIFS('BA History'!G:G,'BA History'!B:B,A6)-K6</f>
        <v>208</v>
      </c>
      <c r="M6" s="93">
        <f t="shared" si="2"/>
        <v>0.47869674185463656</v>
      </c>
      <c r="N6" s="2">
        <f>COUNTIFS('BA History'!$B:$B,$A$6,'BA History'!K:K, 1)</f>
        <v>2</v>
      </c>
      <c r="O6" s="2">
        <f>COUNTIFS('BA History'!$B:$B,$A$6,'BA History'!L:L, 1)</f>
        <v>2</v>
      </c>
      <c r="P6" s="2">
        <f>COUNTIFS('BA History'!$B:$B,$A$6,'BA History'!M:M, 1)</f>
        <v>3</v>
      </c>
      <c r="Q6" s="2">
        <f>COUNTIFS('BA History'!$B:$B,$A$6,'BA History'!N:N, 1)</f>
        <v>2</v>
      </c>
      <c r="R6" s="2">
        <f>COUNTIFS('BA History'!$B:$B,$A$6,'BA History'!O:O, 1)</f>
        <v>1</v>
      </c>
      <c r="S6" s="2">
        <f>COUNTIFS('BA History'!$B:$B,$A$6,'BA History'!P:P, 1)</f>
        <v>0</v>
      </c>
      <c r="T6" s="2">
        <f>COUNTIFS('BA History'!$B:$B,$A$6,'BA History'!Q:Q, 1)</f>
        <v>2</v>
      </c>
      <c r="U6" s="2">
        <f>COUNTIFS('BA History'!$B:$B,$A$6,'BA History'!R:R, 1)</f>
        <v>3</v>
      </c>
      <c r="V6" s="2">
        <f>COUNTIFS('BA History'!$B:$B,$A$6,'BA History'!S:S, 1)</f>
        <v>1</v>
      </c>
      <c r="W6" s="2">
        <f>COUNTIFS('BA History'!$B:$B,$A$6,'BA History'!T:T, 1)</f>
        <v>1</v>
      </c>
      <c r="X6" s="2">
        <f>COUNTIFS('BA History'!$B:$B,$A$6,'BA History'!U:U, 1)</f>
        <v>3</v>
      </c>
      <c r="Y6" s="2">
        <f>COUNTIFS('BA History'!$B:$B,$A$6,'BA History'!V:V, 1)</f>
        <v>0</v>
      </c>
      <c r="Z6" s="2">
        <f>COUNTIFS('BA History'!$B:$B,$A$6,'BA History'!W:W, 1)</f>
        <v>1</v>
      </c>
      <c r="AA6" s="2">
        <f>COUNTIFS('BA History'!$B:$B,$A$6,'BA History'!X:X, 1)</f>
        <v>1</v>
      </c>
      <c r="AB6" s="2">
        <f>COUNTIFS('BA History'!$B:$B,$A$6,'BA History'!Y:Y, 1)</f>
        <v>5</v>
      </c>
      <c r="AC6" s="2">
        <f>COUNTIFS('BA History'!$B:$B,$A$6,'BA History'!Z:Z, 1)</f>
        <v>1</v>
      </c>
      <c r="AD6" s="2">
        <f>COUNTIFS('BA History'!$B:$B,$A$6,'BA History'!AA:AA, 1)</f>
        <v>4</v>
      </c>
      <c r="AE6" s="2">
        <f>COUNTIFS('BA History'!$B:$B,$A$6,'BA History'!AB:AB, 1)</f>
        <v>4</v>
      </c>
      <c r="AF6" s="2">
        <f>COUNTIFS('BA History'!$B:$B,$A$6,'BA History'!AC:AC, 1)</f>
        <v>4</v>
      </c>
      <c r="AG6" s="2">
        <f>COUNTIFS('BA History'!$B:$B,$A$6,'BA History'!AD:AD, 1)</f>
        <v>1</v>
      </c>
      <c r="AH6" s="2">
        <f>COUNTIFS('BA History'!$B:$B,$A$6,'BA History'!AE:AE, 1)</f>
        <v>1</v>
      </c>
    </row>
    <row r="7" spans="1:34" x14ac:dyDescent="0.25">
      <c r="A7" s="2" t="s">
        <v>19</v>
      </c>
      <c r="B7" s="34">
        <f>SUMIFS('BA History'!C:C,'BA History'!B:B,A7)</f>
        <v>103</v>
      </c>
      <c r="C7" s="66">
        <f>AVERAGEIFS('BA History'!C:C,'BA History'!B:B,A7)</f>
        <v>7.9230769230769234</v>
      </c>
      <c r="D7" s="35">
        <f t="array" ref="D7">MAX(IF('BA History'!B:B=A7, 'BA History'!C:C))</f>
        <v>11</v>
      </c>
      <c r="E7" s="34">
        <f>COUNTIFS('BA History'!B:B,A7,'BA History'!D:D, 1)</f>
        <v>9</v>
      </c>
      <c r="F7" s="2">
        <f>COUNTIFS('BA History'!B:B,A7,'BA History'!D:D, 0)</f>
        <v>4</v>
      </c>
      <c r="G7" s="75">
        <f t="shared" si="0"/>
        <v>0.69230769230769229</v>
      </c>
      <c r="H7" s="34">
        <f>SUMIFS('BA History'!F:F,'BA History'!B:B,A7)</f>
        <v>31</v>
      </c>
      <c r="I7" s="2">
        <f>SUMIFS('BA History'!E:E,'BA History'!B:B,A7)-H7</f>
        <v>21</v>
      </c>
      <c r="J7" s="75">
        <f t="shared" si="1"/>
        <v>0.59615384615384615</v>
      </c>
      <c r="K7" s="34">
        <f>SUMIFS('BA History'!H:H,'BA History'!B:B,A7)</f>
        <v>120</v>
      </c>
      <c r="L7" s="2">
        <f>SUMIFS('BA History'!G:G,'BA History'!B:B,A7)-K7</f>
        <v>92</v>
      </c>
      <c r="M7" s="93">
        <f t="shared" si="2"/>
        <v>0.56603773584905659</v>
      </c>
      <c r="N7" s="2">
        <f>COUNTIFS('BA History'!$B:$B,$A$7,'BA History'!K:K, 1)</f>
        <v>1</v>
      </c>
      <c r="O7" s="2">
        <f>COUNTIFS('BA History'!$B:$B,$A$7,'BA History'!L:L, 1)</f>
        <v>1</v>
      </c>
      <c r="P7" s="2">
        <f>COUNTIFS('BA History'!$B:$B,$A$7,'BA History'!M:M, 1)</f>
        <v>2</v>
      </c>
      <c r="Q7" s="2">
        <f>COUNTIFS('BA History'!$B:$B,$A$7,'BA History'!N:N, 1)</f>
        <v>2</v>
      </c>
      <c r="R7" s="2">
        <f>COUNTIFS('BA History'!$B:$B,$A$7,'BA History'!O:O, 1)</f>
        <v>0</v>
      </c>
      <c r="S7" s="2">
        <f>COUNTIFS('BA History'!$B:$B,$A$7,'BA History'!P:P, 1)</f>
        <v>0</v>
      </c>
      <c r="T7" s="2">
        <f>COUNTIFS('BA History'!$B:$B,$A$7,'BA History'!Q:Q, 1)</f>
        <v>2</v>
      </c>
      <c r="U7" s="2">
        <f>COUNTIFS('BA History'!$B:$B,$A$7,'BA History'!R:R, 1)</f>
        <v>1</v>
      </c>
      <c r="V7" s="2">
        <f>COUNTIFS('BA History'!$B:$B,$A$7,'BA History'!S:S, 1)</f>
        <v>1</v>
      </c>
      <c r="W7" s="2">
        <f>COUNTIFS('BA History'!$B:$B,$A$7,'BA History'!T:T, 1)</f>
        <v>2</v>
      </c>
      <c r="X7" s="2">
        <f>COUNTIFS('BA History'!$B:$B,$A$7,'BA History'!U:U, 1)</f>
        <v>1</v>
      </c>
      <c r="Y7" s="2">
        <f>COUNTIFS('BA History'!$B:$B,$A$7,'BA History'!V:V, 1)</f>
        <v>0</v>
      </c>
      <c r="Z7" s="2">
        <f>COUNTIFS('BA History'!$B:$B,$A$7,'BA History'!W:W, 1)</f>
        <v>1</v>
      </c>
      <c r="AA7" s="2">
        <f>COUNTIFS('BA History'!$B:$B,$A$7,'BA History'!X:X, 1)</f>
        <v>2</v>
      </c>
      <c r="AB7" s="2">
        <f>COUNTIFS('BA History'!$B:$B,$A$7,'BA History'!Y:Y, 1)</f>
        <v>3</v>
      </c>
      <c r="AC7" s="2">
        <f>COUNTIFS('BA History'!$B:$B,$A$7,'BA History'!Z:Z, 1)</f>
        <v>0</v>
      </c>
      <c r="AD7" s="2">
        <f>COUNTIFS('BA History'!$B:$B,$A$7,'BA History'!AA:AA, 1)</f>
        <v>5</v>
      </c>
      <c r="AE7" s="2">
        <f>COUNTIFS('BA History'!$B:$B,$A$7,'BA History'!AB:AB, 1)</f>
        <v>3</v>
      </c>
      <c r="AF7" s="2">
        <f>COUNTIFS('BA History'!$B:$B,$A$7,'BA History'!AC:AC, 1)</f>
        <v>3</v>
      </c>
      <c r="AG7" s="2">
        <f>COUNTIFS('BA History'!$B:$B,$A$7,'BA History'!AD:AD, 1)</f>
        <v>0</v>
      </c>
      <c r="AH7" s="2">
        <f>COUNTIFS('BA History'!$B:$B,$A$7,'BA History'!AE:AE, 1)</f>
        <v>1</v>
      </c>
    </row>
    <row r="8" spans="1:34" x14ac:dyDescent="0.25">
      <c r="A8" s="2" t="s">
        <v>42</v>
      </c>
      <c r="B8" s="34">
        <f>SUMIFS('BA History'!C:C,'BA History'!B:B,A8)</f>
        <v>280</v>
      </c>
      <c r="C8" s="66">
        <f>AVERAGEIFS('BA History'!C:C,'BA History'!B:B,A8)</f>
        <v>17.5</v>
      </c>
      <c r="D8" s="35">
        <f t="array" ref="D8">MAX(IF('BA History'!B:B=A8, 'BA History'!C:C))</f>
        <v>34</v>
      </c>
      <c r="E8" s="34">
        <f>COUNTIFS('BA History'!B:B,A8,'BA History'!D:D, 1)</f>
        <v>6</v>
      </c>
      <c r="F8" s="2">
        <f>COUNTIFS('BA History'!B:B,A8,'BA History'!D:D, 0)</f>
        <v>10</v>
      </c>
      <c r="G8" s="75">
        <f t="shared" si="0"/>
        <v>0.375</v>
      </c>
      <c r="H8" s="34">
        <f>SUMIFS('BA History'!F:F,'BA History'!B:B,A8)</f>
        <v>27</v>
      </c>
      <c r="I8" s="2">
        <f>SUMIFS('BA History'!E:E,'BA History'!B:B,A8)-H8</f>
        <v>39</v>
      </c>
      <c r="J8" s="75">
        <f t="shared" si="1"/>
        <v>0.40909090909090912</v>
      </c>
      <c r="K8" s="34">
        <f>SUMIFS('BA History'!H:H,'BA History'!B:B,A8)</f>
        <v>119</v>
      </c>
      <c r="L8" s="2">
        <f>SUMIFS('BA History'!G:G,'BA History'!B:B,A8)-K8</f>
        <v>149</v>
      </c>
      <c r="M8" s="93">
        <f t="shared" si="2"/>
        <v>0.44402985074626866</v>
      </c>
      <c r="N8" s="2">
        <f>COUNTIFS('BA History'!$B:$B,$A$8,'BA History'!K:K, 1)</f>
        <v>0</v>
      </c>
      <c r="O8" s="2">
        <f>COUNTIFS('BA History'!$B:$B,$A$8,'BA History'!L:L, 1)</f>
        <v>5</v>
      </c>
      <c r="P8" s="2">
        <f>COUNTIFS('BA History'!$B:$B,$A$8,'BA History'!M:M, 1)</f>
        <v>1</v>
      </c>
      <c r="Q8" s="2">
        <f>COUNTIFS('BA History'!$B:$B,$A$8,'BA History'!N:N, 1)</f>
        <v>3</v>
      </c>
      <c r="R8" s="2">
        <f>COUNTIFS('BA History'!$B:$B,$A$8,'BA History'!O:O, 1)</f>
        <v>0</v>
      </c>
      <c r="S8" s="2">
        <f>COUNTIFS('BA History'!$B:$B,$A$8,'BA History'!P:P, 1)</f>
        <v>0</v>
      </c>
      <c r="T8" s="2">
        <f>COUNTIFS('BA History'!$B:$B,$A$8,'BA History'!Q:Q, 1)</f>
        <v>1</v>
      </c>
      <c r="U8" s="2">
        <f>COUNTIFS('BA History'!$B:$B,$A$8,'BA History'!R:R, 1)</f>
        <v>1</v>
      </c>
      <c r="V8" s="2">
        <f>COUNTIFS('BA History'!$B:$B,$A$8,'BA History'!S:S, 1)</f>
        <v>0</v>
      </c>
      <c r="W8" s="2">
        <f>COUNTIFS('BA History'!$B:$B,$A$8,'BA History'!T:T, 1)</f>
        <v>1</v>
      </c>
      <c r="X8" s="2">
        <f>COUNTIFS('BA History'!$B:$B,$A$8,'BA History'!U:U, 1)</f>
        <v>2</v>
      </c>
      <c r="Y8" s="2">
        <f>COUNTIFS('BA History'!$B:$B,$A$8,'BA History'!V:V, 1)</f>
        <v>1</v>
      </c>
      <c r="Z8" s="2">
        <f>COUNTIFS('BA History'!$B:$B,$A$8,'BA History'!W:W, 1)</f>
        <v>0</v>
      </c>
      <c r="AA8" s="2">
        <f>COUNTIFS('BA History'!$B:$B,$A$8,'BA History'!X:X, 1)</f>
        <v>2</v>
      </c>
      <c r="AB8" s="2">
        <f>COUNTIFS('BA History'!$B:$B,$A$8,'BA History'!Y:Y, 1)</f>
        <v>4</v>
      </c>
      <c r="AC8" s="2">
        <f>COUNTIFS('BA History'!$B:$B,$A$8,'BA History'!Z:Z, 1)</f>
        <v>1</v>
      </c>
      <c r="AD8" s="2">
        <f>COUNTIFS('BA History'!$B:$B,$A$8,'BA History'!AA:AA, 1)</f>
        <v>0</v>
      </c>
      <c r="AE8" s="2">
        <f>COUNTIFS('BA History'!$B:$B,$A$8,'BA History'!AB:AB, 1)</f>
        <v>2</v>
      </c>
      <c r="AF8" s="2">
        <f>COUNTIFS('BA History'!$B:$B,$A$8,'BA History'!AC:AC, 1)</f>
        <v>2</v>
      </c>
      <c r="AG8" s="2">
        <f>COUNTIFS('BA History'!$B:$B,$A$8,'BA History'!AD:AD, 1)</f>
        <v>0</v>
      </c>
      <c r="AH8" s="2">
        <f>COUNTIFS('BA History'!$B:$B,$A$8,'BA History'!AE:AE, 1)</f>
        <v>1</v>
      </c>
    </row>
    <row r="9" spans="1:34" x14ac:dyDescent="0.25">
      <c r="A9" s="2" t="s">
        <v>25</v>
      </c>
      <c r="B9" s="34">
        <f>SUMIFS('BA History'!C:C,'BA History'!B:B,A9)</f>
        <v>34</v>
      </c>
      <c r="C9" s="66">
        <f>AVERAGEIFS('BA History'!C:C,'BA History'!B:B,A9)</f>
        <v>8.5</v>
      </c>
      <c r="D9" s="35">
        <f t="array" ref="D9">MAX(IF('BA History'!B:B=A9, 'BA History'!C:C))</f>
        <v>12</v>
      </c>
      <c r="E9" s="34">
        <f>COUNTIFS('BA History'!B:B,A9,'BA History'!D:D, 1)</f>
        <v>3</v>
      </c>
      <c r="F9" s="2">
        <f>COUNTIFS('BA History'!B:B,A9,'BA History'!D:D, 0)</f>
        <v>1</v>
      </c>
      <c r="G9" s="75">
        <f t="shared" si="0"/>
        <v>0.75</v>
      </c>
      <c r="H9" s="34">
        <f>SUMIFS('BA History'!F:F,'BA History'!B:B,A9)</f>
        <v>10</v>
      </c>
      <c r="I9" s="2">
        <f>SUMIFS('BA History'!E:E,'BA History'!B:B,A9)-H9</f>
        <v>5</v>
      </c>
      <c r="J9" s="75">
        <f t="shared" si="1"/>
        <v>0.66666666666666663</v>
      </c>
      <c r="K9" s="34">
        <f>SUMIFS('BA History'!H:H,'BA History'!B:B,A9)</f>
        <v>36</v>
      </c>
      <c r="L9" s="2">
        <f>SUMIFS('BA History'!G:G,'BA History'!B:B,A9)-K9</f>
        <v>20</v>
      </c>
      <c r="M9" s="93">
        <f t="shared" si="2"/>
        <v>0.6428571428571429</v>
      </c>
      <c r="N9" s="2">
        <f>COUNTIFS('BA History'!$B:$B,$A$9,'BA History'!K:K, 1)</f>
        <v>2</v>
      </c>
      <c r="O9" s="2">
        <f>COUNTIFS('BA History'!$B:$B,$A$9,'BA History'!L:L, 1)</f>
        <v>0</v>
      </c>
      <c r="P9" s="2">
        <f>COUNTIFS('BA History'!$B:$B,$A$9,'BA History'!M:M, 1)</f>
        <v>0</v>
      </c>
      <c r="Q9" s="2">
        <f>COUNTIFS('BA History'!$B:$B,$A$9,'BA History'!N:N, 1)</f>
        <v>1</v>
      </c>
      <c r="R9" s="2">
        <f>COUNTIFS('BA History'!$B:$B,$A$9,'BA History'!O:O, 1)</f>
        <v>0</v>
      </c>
      <c r="S9" s="2">
        <f>COUNTIFS('BA History'!$B:$B,$A$9,'BA History'!P:P, 1)</f>
        <v>1</v>
      </c>
      <c r="T9" s="2">
        <f>COUNTIFS('BA History'!$B:$B,$A$9,'BA History'!Q:Q, 1)</f>
        <v>1</v>
      </c>
      <c r="U9" s="2">
        <f>COUNTIFS('BA History'!$B:$B,$A$9,'BA History'!R:R, 1)</f>
        <v>0</v>
      </c>
      <c r="V9" s="2">
        <f>COUNTIFS('BA History'!$B:$B,$A$9,'BA History'!S:S, 1)</f>
        <v>0</v>
      </c>
      <c r="W9" s="2">
        <f>COUNTIFS('BA History'!$B:$B,$A$9,'BA History'!T:T, 1)</f>
        <v>0</v>
      </c>
      <c r="X9" s="2">
        <f>COUNTIFS('BA History'!$B:$B,$A$9,'BA History'!U:U, 1)</f>
        <v>1</v>
      </c>
      <c r="Y9" s="2">
        <f>COUNTIFS('BA History'!$B:$B,$A$9,'BA History'!V:V, 1)</f>
        <v>0</v>
      </c>
      <c r="Z9" s="2">
        <f>COUNTIFS('BA History'!$B:$B,$A$9,'BA History'!W:W, 1)</f>
        <v>0</v>
      </c>
      <c r="AA9" s="2">
        <f>COUNTIFS('BA History'!$B:$B,$A$9,'BA History'!X:X, 1)</f>
        <v>1</v>
      </c>
      <c r="AB9" s="2">
        <f>COUNTIFS('BA History'!$B:$B,$A$9,'BA History'!Y:Y, 1)</f>
        <v>2</v>
      </c>
      <c r="AC9" s="2">
        <f>COUNTIFS('BA History'!$B:$B,$A$9,'BA History'!Z:Z, 1)</f>
        <v>0</v>
      </c>
      <c r="AD9" s="2">
        <f>COUNTIFS('BA History'!$B:$B,$A$9,'BA History'!AA:AA, 1)</f>
        <v>1</v>
      </c>
      <c r="AE9" s="2">
        <f>COUNTIFS('BA History'!$B:$B,$A$9,'BA History'!AB:AB, 1)</f>
        <v>0</v>
      </c>
      <c r="AF9" s="2">
        <f>COUNTIFS('BA History'!$B:$B,$A$9,'BA History'!AC:AC, 1)</f>
        <v>0</v>
      </c>
      <c r="AG9" s="2">
        <f>COUNTIFS('BA History'!$B:$B,$A$9,'BA History'!AD:AD, 1)</f>
        <v>0</v>
      </c>
      <c r="AH9" s="2">
        <f>COUNTIFS('BA History'!$B:$B,$A$9,'BA History'!AE:AE, 1)</f>
        <v>0</v>
      </c>
    </row>
    <row r="10" spans="1:34" x14ac:dyDescent="0.25">
      <c r="A10" s="2" t="s">
        <v>115</v>
      </c>
      <c r="B10" s="34">
        <f>SUMIFS('BA History'!C:C,'BA History'!B:B,A10)</f>
        <v>109</v>
      </c>
      <c r="C10" s="66">
        <f>AVERAGEIFS('BA History'!C:C,'BA History'!B:B,A10)</f>
        <v>13.625</v>
      </c>
      <c r="D10" s="35">
        <f t="array" ref="D10">MAX(IF('BA History'!B:B=A10, 'BA History'!C:C))</f>
        <v>23</v>
      </c>
      <c r="E10" s="34">
        <f>COUNTIFS('BA History'!B:B,A10,'BA History'!D:D, 1)</f>
        <v>3</v>
      </c>
      <c r="F10" s="2">
        <f>COUNTIFS('BA History'!B:B,A10,'BA History'!D:D, 0)</f>
        <v>5</v>
      </c>
      <c r="G10" s="75">
        <f t="shared" si="0"/>
        <v>0.375</v>
      </c>
      <c r="H10" s="34">
        <f>SUMIFS('BA History'!F:F,'BA History'!B:B,A10)</f>
        <v>16</v>
      </c>
      <c r="I10" s="2">
        <f>SUMIFS('BA History'!E:E,'BA History'!B:B,A10)-H10</f>
        <v>19</v>
      </c>
      <c r="J10" s="75">
        <f t="shared" si="1"/>
        <v>0.45714285714285713</v>
      </c>
      <c r="K10" s="34">
        <f>SUMIFS('BA History'!H:H,'BA History'!B:B,A10)</f>
        <v>66</v>
      </c>
      <c r="L10" s="2">
        <f>SUMIFS('BA History'!G:G,'BA History'!B:B,A10)-K10</f>
        <v>71</v>
      </c>
      <c r="M10" s="93">
        <f t="shared" si="2"/>
        <v>0.48175182481751827</v>
      </c>
      <c r="N10" s="2">
        <f>COUNTIFS('BA History'!$B:$B,$A$10,'BA History'!K:K, 1)</f>
        <v>1</v>
      </c>
      <c r="O10" s="2">
        <f>COUNTIFS('BA History'!$B:$B,$A$10,'BA History'!L:L, 1)</f>
        <v>2</v>
      </c>
      <c r="P10" s="2">
        <f>COUNTIFS('BA History'!$B:$B,$A$10,'BA History'!M:M, 1)</f>
        <v>1</v>
      </c>
      <c r="Q10" s="2">
        <f>COUNTIFS('BA History'!$B:$B,$A$10,'BA History'!N:N, 1)</f>
        <v>0</v>
      </c>
      <c r="R10" s="2">
        <f>COUNTIFS('BA History'!$B:$B,$A$10,'BA History'!O:O, 1)</f>
        <v>1</v>
      </c>
      <c r="S10" s="2">
        <f>COUNTIFS('BA History'!$B:$B,$A$10,'BA History'!P:P, 1)</f>
        <v>0</v>
      </c>
      <c r="T10" s="2">
        <f>COUNTIFS('BA History'!$B:$B,$A$10,'BA History'!Q:Q, 1)</f>
        <v>1</v>
      </c>
      <c r="U10" s="2">
        <f>COUNTIFS('BA History'!$B:$B,$A$10,'BA History'!R:R, 1)</f>
        <v>0</v>
      </c>
      <c r="V10" s="2">
        <f>COUNTIFS('BA History'!$B:$B,$A$10,'BA History'!S:S, 1)</f>
        <v>0</v>
      </c>
      <c r="W10" s="2">
        <f>COUNTIFS('BA History'!$B:$B,$A$10,'BA History'!T:T, 1)</f>
        <v>1</v>
      </c>
      <c r="X10" s="2">
        <f>COUNTIFS('BA History'!$B:$B,$A$10,'BA History'!U:U, 1)</f>
        <v>1</v>
      </c>
      <c r="Y10" s="2">
        <f>COUNTIFS('BA History'!$B:$B,$A$10,'BA History'!V:V, 1)</f>
        <v>1</v>
      </c>
      <c r="Z10" s="2">
        <f>COUNTIFS('BA History'!$B:$B,$A$10,'BA History'!W:W, 1)</f>
        <v>1</v>
      </c>
      <c r="AA10" s="2">
        <f>COUNTIFS('BA History'!$B:$B,$A$10,'BA History'!X:X, 1)</f>
        <v>1</v>
      </c>
      <c r="AB10" s="2">
        <f>COUNTIFS('BA History'!$B:$B,$A$10,'BA History'!Y:Y, 1)</f>
        <v>1</v>
      </c>
      <c r="AC10" s="2">
        <f>COUNTIFS('BA History'!$B:$B,$A$10,'BA History'!Z:Z, 1)</f>
        <v>0</v>
      </c>
      <c r="AD10" s="2">
        <f>COUNTIFS('BA History'!$B:$B,$A$10,'BA History'!AA:AA, 1)</f>
        <v>0</v>
      </c>
      <c r="AE10" s="2">
        <f>COUNTIFS('BA History'!$B:$B,$A$10,'BA History'!AB:AB, 1)</f>
        <v>2</v>
      </c>
      <c r="AF10" s="2">
        <f>COUNTIFS('BA History'!$B:$B,$A$10,'BA History'!AC:AC, 1)</f>
        <v>1</v>
      </c>
      <c r="AG10" s="2">
        <f>COUNTIFS('BA History'!$B:$B,$A$10,'BA History'!AD:AD, 1)</f>
        <v>0</v>
      </c>
      <c r="AH10" s="2">
        <f>COUNTIFS('BA History'!$B:$B,$A$10,'BA History'!AE:AE, 1)</f>
        <v>1</v>
      </c>
    </row>
    <row r="11" spans="1:34" x14ac:dyDescent="0.25">
      <c r="A11" s="2" t="s">
        <v>27</v>
      </c>
      <c r="B11" s="34">
        <f>SUMIFS('BA History'!C:C,'BA History'!B:B,A11)</f>
        <v>71</v>
      </c>
      <c r="C11" s="66">
        <f>AVERAGEIFS('BA History'!C:C,'BA History'!B:B,A11)</f>
        <v>14.2</v>
      </c>
      <c r="D11" s="35">
        <f t="array" ref="D11">MAX(IF('BA History'!B:B=A11, 'BA History'!C:C))</f>
        <v>20</v>
      </c>
      <c r="E11" s="34">
        <f>COUNTIFS('BA History'!B:B,A11,'BA History'!D:D, 1)</f>
        <v>2</v>
      </c>
      <c r="F11" s="2">
        <f>COUNTIFS('BA History'!B:B,A11,'BA History'!D:D, 0)</f>
        <v>3</v>
      </c>
      <c r="G11" s="75">
        <f t="shared" si="0"/>
        <v>0.4</v>
      </c>
      <c r="H11" s="34">
        <f>SUMIFS('BA History'!F:F,'BA History'!B:B,A11)</f>
        <v>11</v>
      </c>
      <c r="I11" s="2">
        <f>SUMIFS('BA History'!E:E,'BA History'!B:B,A11)-H11</f>
        <v>12</v>
      </c>
      <c r="J11" s="75">
        <f t="shared" si="1"/>
        <v>0.47826086956521741</v>
      </c>
      <c r="K11" s="34">
        <f>SUMIFS('BA History'!H:H,'BA History'!B:B,A11)</f>
        <v>42</v>
      </c>
      <c r="L11" s="2">
        <f>SUMIFS('BA History'!G:G,'BA History'!B:B,A11)-K11</f>
        <v>52</v>
      </c>
      <c r="M11" s="93">
        <f t="shared" si="2"/>
        <v>0.44680851063829785</v>
      </c>
      <c r="N11" s="2">
        <f>COUNTIFS('BA History'!$B:$B,$A$11,'BA History'!K:K, 1)</f>
        <v>0</v>
      </c>
      <c r="O11" s="2">
        <f>COUNTIFS('BA History'!$B:$B,$A$11,'BA History'!L:L, 1)</f>
        <v>0</v>
      </c>
      <c r="P11" s="2">
        <f>COUNTIFS('BA History'!$B:$B,$A$11,'BA History'!M:M, 1)</f>
        <v>1</v>
      </c>
      <c r="Q11" s="2">
        <f>COUNTIFS('BA History'!$B:$B,$A$11,'BA History'!N:N, 1)</f>
        <v>2</v>
      </c>
      <c r="R11" s="2">
        <f>COUNTIFS('BA History'!$B:$B,$A$11,'BA History'!O:O, 1)</f>
        <v>0</v>
      </c>
      <c r="S11" s="2">
        <f>COUNTIFS('BA History'!$B:$B,$A$11,'BA History'!P:P, 1)</f>
        <v>0</v>
      </c>
      <c r="T11" s="2">
        <f>COUNTIFS('BA History'!$B:$B,$A$11,'BA History'!Q:Q, 1)</f>
        <v>0</v>
      </c>
      <c r="U11" s="2">
        <f>COUNTIFS('BA History'!$B:$B,$A$11,'BA History'!R:R, 1)</f>
        <v>0</v>
      </c>
      <c r="V11" s="2">
        <f>COUNTIFS('BA History'!$B:$B,$A$11,'BA History'!S:S, 1)</f>
        <v>0</v>
      </c>
      <c r="W11" s="2">
        <f>COUNTIFS('BA History'!$B:$B,$A$11,'BA History'!T:T, 1)</f>
        <v>1</v>
      </c>
      <c r="X11" s="2">
        <f>COUNTIFS('BA History'!$B:$B,$A$11,'BA History'!U:U, 1)</f>
        <v>0</v>
      </c>
      <c r="Y11" s="2">
        <f>COUNTIFS('BA History'!$B:$B,$A$11,'BA History'!V:V, 1)</f>
        <v>0</v>
      </c>
      <c r="Z11" s="2">
        <f>COUNTIFS('BA History'!$B:$B,$A$11,'BA History'!W:W, 1)</f>
        <v>0</v>
      </c>
      <c r="AA11" s="2">
        <f>COUNTIFS('BA History'!$B:$B,$A$11,'BA History'!X:X, 1)</f>
        <v>1</v>
      </c>
      <c r="AB11" s="2">
        <f>COUNTIFS('BA History'!$B:$B,$A$11,'BA History'!Y:Y, 1)</f>
        <v>2</v>
      </c>
      <c r="AC11" s="2">
        <f>COUNTIFS('BA History'!$B:$B,$A$11,'BA History'!Z:Z, 1)</f>
        <v>0</v>
      </c>
      <c r="AD11" s="2">
        <f>COUNTIFS('BA History'!$B:$B,$A$11,'BA History'!AA:AA, 1)</f>
        <v>3</v>
      </c>
      <c r="AE11" s="2">
        <f>COUNTIFS('BA History'!$B:$B,$A$11,'BA History'!AB:AB, 1)</f>
        <v>1</v>
      </c>
      <c r="AF11" s="2">
        <f>COUNTIFS('BA History'!$B:$B,$A$11,'BA History'!AC:AC, 1)</f>
        <v>0</v>
      </c>
      <c r="AG11" s="2">
        <f>COUNTIFS('BA History'!$B:$B,$A$11,'BA History'!AD:AD, 1)</f>
        <v>0</v>
      </c>
      <c r="AH11" s="2">
        <f>COUNTIFS('BA History'!$B:$B,$A$11,'BA History'!AE:AE, 1)</f>
        <v>0</v>
      </c>
    </row>
    <row r="12" spans="1:34" x14ac:dyDescent="0.25">
      <c r="A12" s="2" t="s">
        <v>139</v>
      </c>
      <c r="B12" s="34">
        <f>SUMIFS('BA History'!C:C,'BA History'!B:B,A12)</f>
        <v>20</v>
      </c>
      <c r="C12" s="66">
        <f>AVERAGEIFS('BA History'!C:C,'BA History'!B:B,A12)</f>
        <v>10</v>
      </c>
      <c r="D12" s="35">
        <f t="array" ref="D12">MAX(IF('BA History'!B:B=A12, 'BA History'!C:C))</f>
        <v>12</v>
      </c>
      <c r="E12" s="34">
        <f>COUNTIFS('BA History'!B:B,A12,'BA History'!D:D, 1)</f>
        <v>1</v>
      </c>
      <c r="F12" s="2">
        <f>COUNTIFS('BA History'!B:B,A12,'BA History'!D:D, 0)</f>
        <v>1</v>
      </c>
      <c r="G12" s="75">
        <f t="shared" si="0"/>
        <v>0.5</v>
      </c>
      <c r="H12" s="34">
        <f>SUMIFS('BA History'!F:F,'BA History'!B:B,A12)</f>
        <v>4</v>
      </c>
      <c r="I12" s="2">
        <f>SUMIFS('BA History'!E:E,'BA History'!B:B,A12)-H12</f>
        <v>5</v>
      </c>
      <c r="J12" s="75">
        <f t="shared" si="1"/>
        <v>0.44444444444444442</v>
      </c>
      <c r="K12" s="34">
        <f>SUMIFS('BA History'!H:H,'BA History'!B:B,A12)</f>
        <v>19</v>
      </c>
      <c r="L12" s="2">
        <f>SUMIFS('BA History'!G:G,'BA History'!B:B,A12)-K12</f>
        <v>20</v>
      </c>
      <c r="M12" s="93">
        <f t="shared" si="2"/>
        <v>0.48717948717948717</v>
      </c>
      <c r="N12" s="2">
        <f>COUNTIFS('BA History'!$B:$B,$A$12,'BA History'!K:K, 1)</f>
        <v>0</v>
      </c>
      <c r="O12" s="2">
        <f>COUNTIFS('BA History'!$B:$B,$A$12,'BA History'!L:L, 1)</f>
        <v>0</v>
      </c>
      <c r="P12" s="2">
        <f>COUNTIFS('BA History'!$B:$B,$A$12,'BA History'!M:M, 1)</f>
        <v>1</v>
      </c>
      <c r="Q12" s="2">
        <f>COUNTIFS('BA History'!$B:$B,$A$12,'BA History'!N:N, 1)</f>
        <v>1</v>
      </c>
      <c r="R12" s="2">
        <f>COUNTIFS('BA History'!$B:$B,$A$12,'BA History'!O:O, 1)</f>
        <v>0</v>
      </c>
      <c r="S12" s="2">
        <f>COUNTIFS('BA History'!$B:$B,$A$12,'BA History'!P:P, 1)</f>
        <v>0</v>
      </c>
      <c r="T12" s="2">
        <f>COUNTIFS('BA History'!$B:$B,$A$12,'BA History'!Q:Q, 1)</f>
        <v>0</v>
      </c>
      <c r="U12" s="2">
        <f>COUNTIFS('BA History'!$B:$B,$A$12,'BA History'!R:R, 1)</f>
        <v>0</v>
      </c>
      <c r="V12" s="2">
        <f>COUNTIFS('BA History'!$B:$B,$A$12,'BA History'!S:S, 1)</f>
        <v>0</v>
      </c>
      <c r="W12" s="2">
        <f>COUNTIFS('BA History'!$B:$B,$A$12,'BA History'!T:T, 1)</f>
        <v>0</v>
      </c>
      <c r="X12" s="2">
        <f>COUNTIFS('BA History'!$B:$B,$A$12,'BA History'!U:U, 1)</f>
        <v>0</v>
      </c>
      <c r="Y12" s="2">
        <f>COUNTIFS('BA History'!$B:$B,$A$12,'BA History'!V:V, 1)</f>
        <v>0</v>
      </c>
      <c r="Z12" s="2">
        <f>COUNTIFS('BA History'!$B:$B,$A$12,'BA History'!W:W, 1)</f>
        <v>0</v>
      </c>
      <c r="AA12" s="2">
        <f>COUNTIFS('BA History'!$B:$B,$A$12,'BA History'!X:X, 1)</f>
        <v>0</v>
      </c>
      <c r="AB12" s="2">
        <f>COUNTIFS('BA History'!$B:$B,$A$12,'BA History'!Y:Y, 1)</f>
        <v>1</v>
      </c>
      <c r="AC12" s="2">
        <f>COUNTIFS('BA History'!$B:$B,$A$12,'BA History'!Z:Z, 1)</f>
        <v>0</v>
      </c>
      <c r="AD12" s="2">
        <f>COUNTIFS('BA History'!$B:$B,$A$12,'BA History'!AA:AA, 1)</f>
        <v>0</v>
      </c>
      <c r="AE12" s="2">
        <f>COUNTIFS('BA History'!$B:$B,$A$12,'BA History'!AB:AB, 1)</f>
        <v>0</v>
      </c>
      <c r="AF12" s="2">
        <f>COUNTIFS('BA History'!$B:$B,$A$12,'BA History'!AC:AC, 1)</f>
        <v>0</v>
      </c>
      <c r="AG12" s="2">
        <f>COUNTIFS('BA History'!$B:$B,$A$12,'BA History'!AD:AD, 1)</f>
        <v>0</v>
      </c>
      <c r="AH12" s="2">
        <f>COUNTIFS('BA History'!$B:$B,$A$12,'BA History'!AE:AE, 1)</f>
        <v>1</v>
      </c>
    </row>
    <row r="13" spans="1:34" x14ac:dyDescent="0.25">
      <c r="A13" s="2" t="s">
        <v>74</v>
      </c>
      <c r="B13" s="34">
        <f>SUMIFS('BA History'!C:C,'BA History'!B:B,A13)</f>
        <v>9</v>
      </c>
      <c r="C13" s="66">
        <f>AVERAGEIFS('BA History'!C:C,'BA History'!B:B,A13)</f>
        <v>9</v>
      </c>
      <c r="D13" s="35">
        <f t="array" ref="D13">MAX(IF('BA History'!B:B=A13, 'BA History'!C:C))</f>
        <v>9</v>
      </c>
      <c r="E13" s="34">
        <f>COUNTIFS('BA History'!B:B,A13,'BA History'!D:D, 1)</f>
        <v>0</v>
      </c>
      <c r="F13" s="2">
        <f>COUNTIFS('BA History'!B:B,A13,'BA History'!D:D, 0)</f>
        <v>1</v>
      </c>
      <c r="G13" s="75">
        <f t="shared" ref="G13:G45" si="3">E13/(E13+F13)</f>
        <v>0</v>
      </c>
      <c r="H13" s="34">
        <f>SUMIFS('BA History'!F:F,'BA History'!B:B,A13)</f>
        <v>1</v>
      </c>
      <c r="I13" s="2">
        <f>SUMIFS('BA History'!E:E,'BA History'!B:B,A13)-H13</f>
        <v>3</v>
      </c>
      <c r="J13" s="75">
        <f t="shared" ref="J13:J45" si="4">H13/(H13+I13)</f>
        <v>0.25</v>
      </c>
      <c r="K13" s="34">
        <f>SUMIFS('BA History'!H:H,'BA History'!B:B,A13)</f>
        <v>6</v>
      </c>
      <c r="L13" s="2">
        <f>SUMIFS('BA History'!G:G,'BA History'!B:B,A13)-K13</f>
        <v>9</v>
      </c>
      <c r="M13" s="93">
        <f t="shared" ref="M13:M45" si="5">K13/(K13+L13)</f>
        <v>0.4</v>
      </c>
      <c r="N13" s="2">
        <f>COUNTIFS('BA History'!$B:$B,$A$13,'BA History'!K:K, 1)</f>
        <v>0</v>
      </c>
      <c r="O13" s="2">
        <f>COUNTIFS('BA History'!$B:$B,$A$13,'BA History'!L:L, 1)</f>
        <v>0</v>
      </c>
      <c r="P13" s="2">
        <f>COUNTIFS('BA History'!$B:$B,$A$13,'BA History'!M:M, 1)</f>
        <v>0</v>
      </c>
      <c r="Q13" s="2">
        <f>COUNTIFS('BA History'!$B:$B,$A$13,'BA History'!N:N, 1)</f>
        <v>0</v>
      </c>
      <c r="R13" s="2">
        <f>COUNTIFS('BA History'!$B:$B,$A$13,'BA History'!O:O, 1)</f>
        <v>0</v>
      </c>
      <c r="S13" s="2">
        <f>COUNTIFS('BA History'!$B:$B,$A$13,'BA History'!P:P, 1)</f>
        <v>0</v>
      </c>
      <c r="T13" s="2">
        <f>COUNTIFS('BA History'!$B:$B,$A$13,'BA History'!Q:Q, 1)</f>
        <v>0</v>
      </c>
      <c r="U13" s="2">
        <f>COUNTIFS('BA History'!$B:$B,$A$13,'BA History'!R:R, 1)</f>
        <v>0</v>
      </c>
      <c r="V13" s="2">
        <f>COUNTIFS('BA History'!$B:$B,$A$13,'BA History'!S:S, 1)</f>
        <v>0</v>
      </c>
      <c r="W13" s="2">
        <f>COUNTIFS('BA History'!$B:$B,$A$13,'BA History'!T:T, 1)</f>
        <v>0</v>
      </c>
      <c r="X13" s="2">
        <f>COUNTIFS('BA History'!$B:$B,$A$13,'BA History'!U:U, 1)</f>
        <v>0</v>
      </c>
      <c r="Y13" s="2">
        <f>COUNTIFS('BA History'!$B:$B,$A$13,'BA History'!V:V, 1)</f>
        <v>0</v>
      </c>
      <c r="Z13" s="2">
        <f>COUNTIFS('BA History'!$B:$B,$A$13,'BA History'!W:W, 1)</f>
        <v>0</v>
      </c>
      <c r="AA13" s="2">
        <f>COUNTIFS('BA History'!$B:$B,$A$13,'BA History'!X:X, 1)</f>
        <v>0</v>
      </c>
      <c r="AB13" s="2">
        <f>COUNTIFS('BA History'!$B:$B,$A$13,'BA History'!Y:Y, 1)</f>
        <v>1</v>
      </c>
      <c r="AC13" s="2">
        <f>COUNTIFS('BA History'!$B:$B,$A$13,'BA History'!Z:Z, 1)</f>
        <v>0</v>
      </c>
      <c r="AD13" s="2">
        <f>COUNTIFS('BA History'!$B:$B,$A$13,'BA History'!AA:AA, 1)</f>
        <v>0</v>
      </c>
      <c r="AE13" s="2">
        <f>COUNTIFS('BA History'!$B:$B,$A$13,'BA History'!AB:AB, 1)</f>
        <v>0</v>
      </c>
      <c r="AF13" s="2">
        <f>COUNTIFS('BA History'!$B:$B,$A$13,'BA History'!AC:AC, 1)</f>
        <v>0</v>
      </c>
      <c r="AG13" s="2">
        <f>COUNTIFS('BA History'!$B:$B,$A$13,'BA History'!AD:AD, 1)</f>
        <v>0</v>
      </c>
      <c r="AH13" s="2">
        <f>COUNTIFS('BA History'!$B:$B,$A$13,'BA History'!AE:AE, 1)</f>
        <v>0</v>
      </c>
    </row>
    <row r="14" spans="1:34" x14ac:dyDescent="0.25">
      <c r="A14" s="2" t="s">
        <v>89</v>
      </c>
      <c r="B14" s="34">
        <f>SUMIFS('BA History'!C:C,'BA History'!B:B,A14)</f>
        <v>3</v>
      </c>
      <c r="C14" s="66">
        <f>AVERAGEIFS('BA History'!C:C,'BA History'!B:B,A14)</f>
        <v>3</v>
      </c>
      <c r="D14" s="35">
        <f t="array" ref="D14">MAX(IF('BA History'!B:B=A14, 'BA History'!C:C))</f>
        <v>3</v>
      </c>
      <c r="E14" s="34">
        <f>COUNTIFS('BA History'!B:B,A14,'BA History'!D:D, 1)</f>
        <v>0</v>
      </c>
      <c r="F14" s="2">
        <f>COUNTIFS('BA History'!B:B,A14,'BA History'!D:D, 0)</f>
        <v>1</v>
      </c>
      <c r="G14" s="75">
        <f t="shared" si="3"/>
        <v>0</v>
      </c>
      <c r="H14" s="34">
        <f>SUMIFS('BA History'!F:F,'BA History'!B:B,A14)</f>
        <v>0</v>
      </c>
      <c r="I14" s="2">
        <f>SUMIFS('BA History'!E:E,'BA History'!B:B,A14)-H14</f>
        <v>3</v>
      </c>
      <c r="J14" s="75">
        <f t="shared" si="4"/>
        <v>0</v>
      </c>
      <c r="K14" s="34">
        <f>SUMIFS('BA History'!H:H,'BA History'!B:B,A14)</f>
        <v>4</v>
      </c>
      <c r="L14" s="2">
        <f>SUMIFS('BA History'!G:G,'BA History'!B:B,A14)-K14</f>
        <v>9</v>
      </c>
      <c r="M14" s="93">
        <f t="shared" si="5"/>
        <v>0.30769230769230771</v>
      </c>
      <c r="N14" s="2">
        <f>COUNTIFS('BA History'!$B:$B,$A$14,'BA History'!K:K, 1)</f>
        <v>0</v>
      </c>
      <c r="O14" s="2">
        <f>COUNTIFS('BA History'!$B:$B,$A$14,'BA History'!L:L, 1)</f>
        <v>0</v>
      </c>
      <c r="P14" s="2">
        <f>COUNTIFS('BA History'!$B:$B,$A$14,'BA History'!M:M, 1)</f>
        <v>0</v>
      </c>
      <c r="Q14" s="2">
        <f>COUNTIFS('BA History'!$B:$B,$A$14,'BA History'!N:N, 1)</f>
        <v>0</v>
      </c>
      <c r="R14" s="2">
        <f>COUNTIFS('BA History'!$B:$B,$A$14,'BA History'!O:O, 1)</f>
        <v>0</v>
      </c>
      <c r="S14" s="2">
        <f>COUNTIFS('BA History'!$B:$B,$A$14,'BA History'!P:P, 1)</f>
        <v>0</v>
      </c>
      <c r="T14" s="2">
        <f>COUNTIFS('BA History'!$B:$B,$A$14,'BA History'!Q:Q, 1)</f>
        <v>0</v>
      </c>
      <c r="U14" s="2">
        <f>COUNTIFS('BA History'!$B:$B,$A$14,'BA History'!R:R, 1)</f>
        <v>0</v>
      </c>
      <c r="V14" s="2">
        <f>COUNTIFS('BA History'!$B:$B,$A$14,'BA History'!S:S, 1)</f>
        <v>0</v>
      </c>
      <c r="W14" s="2">
        <f>COUNTIFS('BA History'!$B:$B,$A$14,'BA History'!T:T, 1)</f>
        <v>0</v>
      </c>
      <c r="X14" s="2">
        <f>COUNTIFS('BA History'!$B:$B,$A$14,'BA History'!U:U, 1)</f>
        <v>0</v>
      </c>
      <c r="Y14" s="2">
        <f>COUNTIFS('BA History'!$B:$B,$A$14,'BA History'!V:V, 1)</f>
        <v>0</v>
      </c>
      <c r="Z14" s="2">
        <f>COUNTIFS('BA History'!$B:$B,$A$14,'BA History'!W:W, 1)</f>
        <v>0</v>
      </c>
      <c r="AA14" s="2">
        <f>COUNTIFS('BA History'!$B:$B,$A$14,'BA History'!X:X, 1)</f>
        <v>0</v>
      </c>
      <c r="AB14" s="2">
        <f>COUNTIFS('BA History'!$B:$B,$A$14,'BA History'!Y:Y, 1)</f>
        <v>0</v>
      </c>
      <c r="AC14" s="2">
        <f>COUNTIFS('BA History'!$B:$B,$A$14,'BA History'!Z:Z, 1)</f>
        <v>0</v>
      </c>
      <c r="AD14" s="2">
        <f>COUNTIFS('BA History'!$B:$B,$A$14,'BA History'!AA:AA, 1)</f>
        <v>0</v>
      </c>
      <c r="AE14" s="2">
        <f>COUNTIFS('BA History'!$B:$B,$A$14,'BA History'!AB:AB, 1)</f>
        <v>0</v>
      </c>
      <c r="AF14" s="2">
        <f>COUNTIFS('BA History'!$B:$B,$A$14,'BA History'!AC:AC, 1)</f>
        <v>0</v>
      </c>
      <c r="AG14" s="2">
        <f>COUNTIFS('BA History'!$B:$B,$A$14,'BA History'!AD:AD, 1)</f>
        <v>0</v>
      </c>
      <c r="AH14" s="2">
        <f>COUNTIFS('BA History'!$B:$B,$A$14,'BA History'!AE:AE, 1)</f>
        <v>0</v>
      </c>
    </row>
    <row r="15" spans="1:34" x14ac:dyDescent="0.25">
      <c r="A15" s="2" t="s">
        <v>45</v>
      </c>
      <c r="B15" s="34">
        <f>SUMIFS('BA History'!C:C,'BA History'!B:B,A15)</f>
        <v>45</v>
      </c>
      <c r="C15" s="66">
        <f>AVERAGEIFS('BA History'!C:C,'BA History'!B:B,A15)</f>
        <v>9</v>
      </c>
      <c r="D15" s="35">
        <f t="array" ref="D15">MAX(IF('BA History'!B:B=A15, 'BA History'!C:C))</f>
        <v>13</v>
      </c>
      <c r="E15" s="34">
        <f>COUNTIFS('BA History'!B:B,A15,'BA History'!D:D, 1)</f>
        <v>3</v>
      </c>
      <c r="F15" s="2">
        <f>COUNTIFS('BA History'!B:B,A15,'BA History'!D:D, 0)</f>
        <v>2</v>
      </c>
      <c r="G15" s="75">
        <f t="shared" si="3"/>
        <v>0.6</v>
      </c>
      <c r="H15" s="34">
        <f>SUMIFS('BA History'!F:F,'BA History'!B:B,A15)</f>
        <v>12</v>
      </c>
      <c r="I15" s="2">
        <f>SUMIFS('BA History'!E:E,'BA History'!B:B,A15)-H15</f>
        <v>9</v>
      </c>
      <c r="J15" s="75">
        <f t="shared" si="4"/>
        <v>0.5714285714285714</v>
      </c>
      <c r="K15" s="34">
        <f>SUMIFS('BA History'!H:H,'BA History'!B:B,A15)</f>
        <v>50</v>
      </c>
      <c r="L15" s="2">
        <f>SUMIFS('BA History'!G:G,'BA History'!B:B,A15)-K15</f>
        <v>46</v>
      </c>
      <c r="M15" s="93">
        <f t="shared" si="5"/>
        <v>0.52083333333333337</v>
      </c>
      <c r="N15" s="2">
        <f>COUNTIFS('BA History'!$B:$B,$A$15,'BA History'!K:K, 1)</f>
        <v>0</v>
      </c>
      <c r="O15" s="2">
        <f>COUNTIFS('BA History'!$B:$B,$A$15,'BA History'!L:L, 1)</f>
        <v>0</v>
      </c>
      <c r="P15" s="2">
        <f>COUNTIFS('BA History'!$B:$B,$A$15,'BA History'!M:M, 1)</f>
        <v>1</v>
      </c>
      <c r="Q15" s="2">
        <f>COUNTIFS('BA History'!$B:$B,$A$15,'BA History'!N:N, 1)</f>
        <v>2</v>
      </c>
      <c r="R15" s="2">
        <f>COUNTIFS('BA History'!$B:$B,$A$15,'BA History'!O:O, 1)</f>
        <v>0</v>
      </c>
      <c r="S15" s="2">
        <f>COUNTIFS('BA History'!$B:$B,$A$15,'BA History'!P:P, 1)</f>
        <v>0</v>
      </c>
      <c r="T15" s="2">
        <f>COUNTIFS('BA History'!$B:$B,$A$15,'BA History'!Q:Q, 1)</f>
        <v>0</v>
      </c>
      <c r="U15" s="2">
        <f>COUNTIFS('BA History'!$B:$B,$A$15,'BA History'!R:R, 1)</f>
        <v>0</v>
      </c>
      <c r="V15" s="2">
        <f>COUNTIFS('BA History'!$B:$B,$A$15,'BA History'!S:S, 1)</f>
        <v>0</v>
      </c>
      <c r="W15" s="2">
        <f>COUNTIFS('BA History'!$B:$B,$A$15,'BA History'!T:T, 1)</f>
        <v>1</v>
      </c>
      <c r="X15" s="2">
        <f>COUNTIFS('BA History'!$B:$B,$A$15,'BA History'!U:U, 1)</f>
        <v>0</v>
      </c>
      <c r="Y15" s="2">
        <f>COUNTIFS('BA History'!$B:$B,$A$15,'BA History'!V:V, 1)</f>
        <v>0</v>
      </c>
      <c r="Z15" s="2">
        <f>COUNTIFS('BA History'!$B:$B,$A$15,'BA History'!W:W, 1)</f>
        <v>0</v>
      </c>
      <c r="AA15" s="2">
        <f>COUNTIFS('BA History'!$B:$B,$A$15,'BA History'!X:X, 1)</f>
        <v>2</v>
      </c>
      <c r="AB15" s="2">
        <f>COUNTIFS('BA History'!$B:$B,$A$15,'BA History'!Y:Y, 1)</f>
        <v>1</v>
      </c>
      <c r="AC15" s="2">
        <f>COUNTIFS('BA History'!$B:$B,$A$15,'BA History'!Z:Z, 1)</f>
        <v>1</v>
      </c>
      <c r="AD15" s="2">
        <f>COUNTIFS('BA History'!$B:$B,$A$15,'BA History'!AA:AA, 1)</f>
        <v>2</v>
      </c>
      <c r="AE15" s="2">
        <f>COUNTIFS('BA History'!$B:$B,$A$15,'BA History'!AB:AB, 1)</f>
        <v>2</v>
      </c>
      <c r="AF15" s="2">
        <f>COUNTIFS('BA History'!$B:$B,$A$15,'BA History'!AC:AC, 1)</f>
        <v>0</v>
      </c>
      <c r="AG15" s="2">
        <f>COUNTIFS('BA History'!$B:$B,$A$15,'BA History'!AD:AD, 1)</f>
        <v>0</v>
      </c>
      <c r="AH15" s="2">
        <f>COUNTIFS('BA History'!$B:$B,$A$15,'BA History'!AE:AE, 1)</f>
        <v>0</v>
      </c>
    </row>
    <row r="16" spans="1:34" x14ac:dyDescent="0.25">
      <c r="A16" s="2" t="s">
        <v>50</v>
      </c>
      <c r="B16" s="34">
        <f>SUMIFS('BA History'!C:C,'BA History'!B:B,A16)</f>
        <v>451</v>
      </c>
      <c r="C16" s="66">
        <f>AVERAGEIFS('BA History'!C:C,'BA History'!B:B,A16)</f>
        <v>19.608695652173914</v>
      </c>
      <c r="D16" s="35">
        <f t="array" ref="D16">MAX(IF('BA History'!B:B=A16, 'BA History'!C:C))</f>
        <v>31</v>
      </c>
      <c r="E16" s="34">
        <f>COUNTIFS('BA History'!B:B,A16,'BA History'!D:D, 1)</f>
        <v>13</v>
      </c>
      <c r="F16" s="2">
        <f>COUNTIFS('BA History'!B:B,A16,'BA History'!D:D, 0)</f>
        <v>10</v>
      </c>
      <c r="G16" s="75">
        <f t="shared" si="3"/>
        <v>0.56521739130434778</v>
      </c>
      <c r="H16" s="34">
        <f>SUMIFS('BA History'!F:F,'BA History'!B:B,A16)</f>
        <v>50</v>
      </c>
      <c r="I16" s="2">
        <f>SUMIFS('BA History'!E:E,'BA History'!B:B,A16)-H16</f>
        <v>43</v>
      </c>
      <c r="J16" s="75">
        <f t="shared" si="4"/>
        <v>0.5376344086021505</v>
      </c>
      <c r="K16" s="34">
        <f>SUMIFS('BA History'!H:H,'BA History'!B:B,A16)</f>
        <v>209</v>
      </c>
      <c r="L16" s="2">
        <f>SUMIFS('BA History'!G:G,'BA History'!B:B,A16)-K16</f>
        <v>190</v>
      </c>
      <c r="M16" s="93">
        <f t="shared" si="5"/>
        <v>0.52380952380952384</v>
      </c>
      <c r="N16" s="2">
        <f>COUNTIFS('BA History'!$B:$B,$A$16,'BA History'!K:K, 1)</f>
        <v>2</v>
      </c>
      <c r="O16" s="2">
        <f>COUNTIFS('BA History'!$B:$B,$A$16,'BA History'!L:L, 1)</f>
        <v>3</v>
      </c>
      <c r="P16" s="2">
        <f>COUNTIFS('BA History'!$B:$B,$A$16,'BA History'!M:M, 1)</f>
        <v>1</v>
      </c>
      <c r="Q16" s="2">
        <f>COUNTIFS('BA History'!$B:$B,$A$16,'BA History'!N:N, 1)</f>
        <v>4</v>
      </c>
      <c r="R16" s="2">
        <f>COUNTIFS('BA History'!$B:$B,$A$16,'BA History'!O:O, 1)</f>
        <v>1</v>
      </c>
      <c r="S16" s="2">
        <f>COUNTIFS('BA History'!$B:$B,$A$16,'BA History'!P:P, 1)</f>
        <v>1</v>
      </c>
      <c r="T16" s="2">
        <f>COUNTIFS('BA History'!$B:$B,$A$16,'BA History'!Q:Q, 1)</f>
        <v>3</v>
      </c>
      <c r="U16" s="2">
        <f>COUNTIFS('BA History'!$B:$B,$A$16,'BA History'!R:R, 1)</f>
        <v>1</v>
      </c>
      <c r="V16" s="2">
        <f>COUNTIFS('BA History'!$B:$B,$A$16,'BA History'!S:S, 1)</f>
        <v>1</v>
      </c>
      <c r="W16" s="2">
        <f>COUNTIFS('BA History'!$B:$B,$A$16,'BA History'!T:T, 1)</f>
        <v>0</v>
      </c>
      <c r="X16" s="2">
        <f>COUNTIFS('BA History'!$B:$B,$A$16,'BA History'!U:U, 1)</f>
        <v>5</v>
      </c>
      <c r="Y16" s="2">
        <f>COUNTIFS('BA History'!$B:$B,$A$16,'BA History'!V:V, 1)</f>
        <v>1</v>
      </c>
      <c r="Z16" s="2">
        <f>COUNTIFS('BA History'!$B:$B,$A$16,'BA History'!W:W, 1)</f>
        <v>1</v>
      </c>
      <c r="AA16" s="2">
        <f>COUNTIFS('BA History'!$B:$B,$A$16,'BA History'!X:X, 1)</f>
        <v>2</v>
      </c>
      <c r="AB16" s="2">
        <f>COUNTIFS('BA History'!$B:$B,$A$16,'BA History'!Y:Y, 1)</f>
        <v>8</v>
      </c>
      <c r="AC16" s="2">
        <f>COUNTIFS('BA History'!$B:$B,$A$16,'BA History'!Z:Z, 1)</f>
        <v>1</v>
      </c>
      <c r="AD16" s="2">
        <f>COUNTIFS('BA History'!$B:$B,$A$16,'BA History'!AA:AA, 1)</f>
        <v>5</v>
      </c>
      <c r="AE16" s="2">
        <f>COUNTIFS('BA History'!$B:$B,$A$16,'BA History'!AB:AB, 1)</f>
        <v>1</v>
      </c>
      <c r="AF16" s="2">
        <f>COUNTIFS('BA History'!$B:$B,$A$16,'BA History'!AC:AC, 1)</f>
        <v>7</v>
      </c>
      <c r="AG16" s="2">
        <f>COUNTIFS('BA History'!$B:$B,$A$16,'BA History'!AD:AD, 1)</f>
        <v>1</v>
      </c>
      <c r="AH16" s="2">
        <f>COUNTIFS('BA History'!$B:$B,$A$16,'BA History'!AE:AE, 1)</f>
        <v>1</v>
      </c>
    </row>
    <row r="17" spans="1:34" x14ac:dyDescent="0.25">
      <c r="A17" s="2" t="s">
        <v>52</v>
      </c>
      <c r="B17" s="34">
        <f>SUMIFS('BA History'!C:C,'BA History'!B:B,A17)</f>
        <v>108</v>
      </c>
      <c r="C17" s="66">
        <f>AVERAGEIFS('BA History'!C:C,'BA History'!B:B,A17)</f>
        <v>13.5</v>
      </c>
      <c r="D17" s="35">
        <f t="array" ref="D17">MAX(IF('BA History'!B:B=A17, 'BA History'!C:C))</f>
        <v>19</v>
      </c>
      <c r="E17" s="34">
        <f>COUNTIFS('BA History'!B:B,A17,'BA History'!D:D, 1)</f>
        <v>2</v>
      </c>
      <c r="F17" s="2">
        <f>COUNTIFS('BA History'!B:B,A17,'BA History'!D:D, 0)</f>
        <v>6</v>
      </c>
      <c r="G17" s="75">
        <f t="shared" si="3"/>
        <v>0.25</v>
      </c>
      <c r="H17" s="34">
        <f>SUMIFS('BA History'!F:F,'BA History'!B:B,A17)</f>
        <v>14</v>
      </c>
      <c r="I17" s="2">
        <f>SUMIFS('BA History'!E:E,'BA History'!B:B,A17)-H17</f>
        <v>21</v>
      </c>
      <c r="J17" s="75">
        <f t="shared" si="4"/>
        <v>0.4</v>
      </c>
      <c r="K17" s="34">
        <f>SUMIFS('BA History'!H:H,'BA History'!B:B,A17)</f>
        <v>60</v>
      </c>
      <c r="L17" s="2">
        <f>SUMIFS('BA History'!G:G,'BA History'!B:B,A17)-K17</f>
        <v>79</v>
      </c>
      <c r="M17" s="93">
        <f t="shared" si="5"/>
        <v>0.43165467625899279</v>
      </c>
      <c r="N17" s="2">
        <f>COUNTIFS('BA History'!$B:$B,$A$17,'BA History'!K:K, 1)</f>
        <v>0</v>
      </c>
      <c r="O17" s="2">
        <f>COUNTIFS('BA History'!$B:$B,$A$17,'BA History'!L:L, 1)</f>
        <v>2</v>
      </c>
      <c r="P17" s="2">
        <f>COUNTIFS('BA History'!$B:$B,$A$17,'BA History'!M:M, 1)</f>
        <v>0</v>
      </c>
      <c r="Q17" s="2">
        <f>COUNTIFS('BA History'!$B:$B,$A$17,'BA History'!N:N, 1)</f>
        <v>1</v>
      </c>
      <c r="R17" s="2">
        <f>COUNTIFS('BA History'!$B:$B,$A$17,'BA History'!O:O, 1)</f>
        <v>0</v>
      </c>
      <c r="S17" s="2">
        <f>COUNTIFS('BA History'!$B:$B,$A$17,'BA History'!P:P, 1)</f>
        <v>0</v>
      </c>
      <c r="T17" s="2">
        <f>COUNTIFS('BA History'!$B:$B,$A$17,'BA History'!Q:Q, 1)</f>
        <v>0</v>
      </c>
      <c r="U17" s="2">
        <f>COUNTIFS('BA History'!$B:$B,$A$17,'BA History'!R:R, 1)</f>
        <v>0</v>
      </c>
      <c r="V17" s="2">
        <f>COUNTIFS('BA History'!$B:$B,$A$17,'BA History'!S:S, 1)</f>
        <v>0</v>
      </c>
      <c r="W17" s="2">
        <f>COUNTIFS('BA History'!$B:$B,$A$17,'BA History'!T:T, 1)</f>
        <v>3</v>
      </c>
      <c r="X17" s="2">
        <f>COUNTIFS('BA History'!$B:$B,$A$17,'BA History'!U:U, 1)</f>
        <v>0</v>
      </c>
      <c r="Y17" s="2">
        <f>COUNTIFS('BA History'!$B:$B,$A$17,'BA History'!V:V, 1)</f>
        <v>0</v>
      </c>
      <c r="Z17" s="2">
        <f>COUNTIFS('BA History'!$B:$B,$A$17,'BA History'!W:W, 1)</f>
        <v>0</v>
      </c>
      <c r="AA17" s="2">
        <f>COUNTIFS('BA History'!$B:$B,$A$17,'BA History'!X:X, 1)</f>
        <v>0</v>
      </c>
      <c r="AB17" s="2">
        <f>COUNTIFS('BA History'!$B:$B,$A$17,'BA History'!Y:Y, 1)</f>
        <v>2</v>
      </c>
      <c r="AC17" s="2">
        <f>COUNTIFS('BA History'!$B:$B,$A$17,'BA History'!Z:Z, 1)</f>
        <v>0</v>
      </c>
      <c r="AD17" s="2">
        <f>COUNTIFS('BA History'!$B:$B,$A$17,'BA History'!AA:AA, 1)</f>
        <v>3</v>
      </c>
      <c r="AE17" s="2">
        <f>COUNTIFS('BA History'!$B:$B,$A$17,'BA History'!AB:AB, 1)</f>
        <v>2</v>
      </c>
      <c r="AF17" s="2">
        <f>COUNTIFS('BA History'!$B:$B,$A$17,'BA History'!AC:AC, 1)</f>
        <v>1</v>
      </c>
      <c r="AG17" s="2">
        <f>COUNTIFS('BA History'!$B:$B,$A$17,'BA History'!AD:AD, 1)</f>
        <v>0</v>
      </c>
      <c r="AH17" s="2">
        <f>COUNTIFS('BA History'!$B:$B,$A$17,'BA History'!AE:AE, 1)</f>
        <v>0</v>
      </c>
    </row>
    <row r="18" spans="1:34" x14ac:dyDescent="0.25">
      <c r="A18" s="2" t="s">
        <v>44</v>
      </c>
      <c r="B18" s="34">
        <f>SUMIFS('BA History'!C:C,'BA History'!B:B,A18)</f>
        <v>240</v>
      </c>
      <c r="C18" s="66">
        <f>AVERAGEIFS('BA History'!C:C,'BA History'!B:B,A18)</f>
        <v>18.46153846153846</v>
      </c>
      <c r="D18" s="35">
        <f t="array" ref="D18">MAX(IF('BA History'!B:B=A18, 'BA History'!C:C))</f>
        <v>31</v>
      </c>
      <c r="E18" s="34">
        <f>COUNTIFS('BA History'!B:B,A18,'BA History'!D:D, 1)</f>
        <v>9</v>
      </c>
      <c r="F18" s="2">
        <f>COUNTIFS('BA History'!B:B,A18,'BA History'!D:D, 0)</f>
        <v>4</v>
      </c>
      <c r="G18" s="75">
        <f t="shared" si="3"/>
        <v>0.69230769230769229</v>
      </c>
      <c r="H18" s="34">
        <f>SUMIFS('BA History'!F:F,'BA History'!B:B,A18)</f>
        <v>31</v>
      </c>
      <c r="I18" s="2">
        <f>SUMIFS('BA History'!E:E,'BA History'!B:B,A18)-H18</f>
        <v>23</v>
      </c>
      <c r="J18" s="75">
        <f t="shared" si="4"/>
        <v>0.57407407407407407</v>
      </c>
      <c r="K18" s="34">
        <f>SUMIFS('BA History'!H:H,'BA History'!B:B,A18)</f>
        <v>120</v>
      </c>
      <c r="L18" s="2">
        <f>SUMIFS('BA History'!G:G,'BA History'!B:B,A18)-K18</f>
        <v>99</v>
      </c>
      <c r="M18" s="93">
        <f t="shared" si="5"/>
        <v>0.54794520547945202</v>
      </c>
      <c r="N18" s="2">
        <f>COUNTIFS('BA History'!$B:$B,$A$18,'BA History'!K:K, 1)</f>
        <v>3</v>
      </c>
      <c r="O18" s="2">
        <f>COUNTIFS('BA History'!$B:$B,$A$18,'BA History'!L:L, 1)</f>
        <v>1</v>
      </c>
      <c r="P18" s="2">
        <f>COUNTIFS('BA History'!$B:$B,$A$18,'BA History'!M:M, 1)</f>
        <v>3</v>
      </c>
      <c r="Q18" s="2">
        <f>COUNTIFS('BA History'!$B:$B,$A$18,'BA History'!N:N, 1)</f>
        <v>1</v>
      </c>
      <c r="R18" s="2">
        <f>COUNTIFS('BA History'!$B:$B,$A$18,'BA History'!O:O, 1)</f>
        <v>0</v>
      </c>
      <c r="S18" s="2">
        <f>COUNTIFS('BA History'!$B:$B,$A$18,'BA History'!P:P, 1)</f>
        <v>0</v>
      </c>
      <c r="T18" s="2">
        <f>COUNTIFS('BA History'!$B:$B,$A$18,'BA History'!Q:Q, 1)</f>
        <v>1</v>
      </c>
      <c r="U18" s="2">
        <f>COUNTIFS('BA History'!$B:$B,$A$18,'BA History'!R:R, 1)</f>
        <v>1</v>
      </c>
      <c r="V18" s="2">
        <f>COUNTIFS('BA History'!$B:$B,$A$18,'BA History'!S:S, 1)</f>
        <v>0</v>
      </c>
      <c r="W18" s="2">
        <f>COUNTIFS('BA History'!$B:$B,$A$18,'BA History'!T:T, 1)</f>
        <v>0</v>
      </c>
      <c r="X18" s="2">
        <f>COUNTIFS('BA History'!$B:$B,$A$18,'BA History'!U:U, 1)</f>
        <v>2</v>
      </c>
      <c r="Y18" s="2">
        <f>COUNTIFS('BA History'!$B:$B,$A$18,'BA History'!V:V, 1)</f>
        <v>3</v>
      </c>
      <c r="Z18" s="2">
        <f>COUNTIFS('BA History'!$B:$B,$A$18,'BA History'!W:W, 1)</f>
        <v>1</v>
      </c>
      <c r="AA18" s="2">
        <f>COUNTIFS('BA History'!$B:$B,$A$18,'BA History'!X:X, 1)</f>
        <v>1</v>
      </c>
      <c r="AB18" s="2">
        <f>COUNTIFS('BA History'!$B:$B,$A$18,'BA History'!Y:Y, 1)</f>
        <v>4</v>
      </c>
      <c r="AC18" s="2">
        <f>COUNTIFS('BA History'!$B:$B,$A$18,'BA History'!Z:Z, 1)</f>
        <v>1</v>
      </c>
      <c r="AD18" s="2">
        <f>COUNTIFS('BA History'!$B:$B,$A$18,'BA History'!AA:AA, 1)</f>
        <v>1</v>
      </c>
      <c r="AE18" s="2">
        <f>COUNTIFS('BA History'!$B:$B,$A$18,'BA History'!AB:AB, 1)</f>
        <v>2</v>
      </c>
      <c r="AF18" s="2">
        <f>COUNTIFS('BA History'!$B:$B,$A$18,'BA History'!AC:AC, 1)</f>
        <v>2</v>
      </c>
      <c r="AG18" s="2">
        <f>COUNTIFS('BA History'!$B:$B,$A$18,'BA History'!AD:AD, 1)</f>
        <v>1</v>
      </c>
      <c r="AH18" s="2">
        <f>COUNTIFS('BA History'!$B:$B,$A$18,'BA History'!AE:AE, 1)</f>
        <v>3</v>
      </c>
    </row>
    <row r="19" spans="1:34" x14ac:dyDescent="0.25">
      <c r="A19" s="2" t="s">
        <v>1</v>
      </c>
      <c r="B19" s="34">
        <f>SUMIFS('BA History'!C:C,'BA History'!B:B,A19)</f>
        <v>350</v>
      </c>
      <c r="C19" s="66">
        <f>AVERAGEIFS('BA History'!C:C,'BA History'!B:B,A19)</f>
        <v>29.166666666666668</v>
      </c>
      <c r="D19" s="35">
        <f t="array" ref="D19">MAX(IF('BA History'!B:B=A19, 'BA History'!C:C))</f>
        <v>50</v>
      </c>
      <c r="E19" s="34">
        <f>COUNTIFS('BA History'!B:B,A19,'BA History'!D:D, 1)</f>
        <v>5</v>
      </c>
      <c r="F19" s="2">
        <f>COUNTIFS('BA History'!B:B,A19,'BA History'!D:D, 0)</f>
        <v>7</v>
      </c>
      <c r="G19" s="75">
        <f t="shared" si="3"/>
        <v>0.41666666666666669</v>
      </c>
      <c r="H19" s="34">
        <f>SUMIFS('BA History'!F:F,'BA History'!B:B,A19)</f>
        <v>20</v>
      </c>
      <c r="I19" s="2">
        <f>SUMIFS('BA History'!E:E,'BA History'!B:B,A19)-H19</f>
        <v>29</v>
      </c>
      <c r="J19" s="75">
        <f t="shared" si="4"/>
        <v>0.40816326530612246</v>
      </c>
      <c r="K19" s="34">
        <f>SUMIFS('BA History'!H:H,'BA History'!B:B,A19)</f>
        <v>93</v>
      </c>
      <c r="L19" s="2">
        <f>SUMIFS('BA History'!G:G,'BA History'!B:B,A19)-K19</f>
        <v>116</v>
      </c>
      <c r="M19" s="93">
        <f t="shared" si="5"/>
        <v>0.44497607655502391</v>
      </c>
      <c r="N19" s="2">
        <f>COUNTIFS('BA History'!$B:$B,$A$19,'BA History'!K:K, 1)</f>
        <v>1</v>
      </c>
      <c r="O19" s="2">
        <f>COUNTIFS('BA History'!$B:$B,$A$19,'BA History'!L:L, 1)</f>
        <v>2</v>
      </c>
      <c r="P19" s="2">
        <f>COUNTIFS('BA History'!$B:$B,$A$19,'BA History'!M:M, 1)</f>
        <v>1</v>
      </c>
      <c r="Q19" s="2">
        <f>COUNTIFS('BA History'!$B:$B,$A$19,'BA History'!N:N, 1)</f>
        <v>1</v>
      </c>
      <c r="R19" s="2">
        <f>COUNTIFS('BA History'!$B:$B,$A$19,'BA History'!O:O, 1)</f>
        <v>1</v>
      </c>
      <c r="S19" s="2">
        <f>COUNTIFS('BA History'!$B:$B,$A$19,'BA History'!P:P, 1)</f>
        <v>0</v>
      </c>
      <c r="T19" s="2">
        <f>COUNTIFS('BA History'!$B:$B,$A$19,'BA History'!Q:Q, 1)</f>
        <v>0</v>
      </c>
      <c r="U19" s="2">
        <f>COUNTIFS('BA History'!$B:$B,$A$19,'BA History'!R:R, 1)</f>
        <v>0</v>
      </c>
      <c r="V19" s="2">
        <f>COUNTIFS('BA History'!$B:$B,$A$19,'BA History'!S:S, 1)</f>
        <v>0</v>
      </c>
      <c r="W19" s="2">
        <f>COUNTIFS('BA History'!$B:$B,$A$19,'BA History'!T:T, 1)</f>
        <v>0</v>
      </c>
      <c r="X19" s="2">
        <f>COUNTIFS('BA History'!$B:$B,$A$19,'BA History'!U:U, 1)</f>
        <v>2</v>
      </c>
      <c r="Y19" s="2">
        <f>COUNTIFS('BA History'!$B:$B,$A$19,'BA History'!V:V, 1)</f>
        <v>1</v>
      </c>
      <c r="Z19" s="2">
        <f>COUNTIFS('BA History'!$B:$B,$A$19,'BA History'!W:W, 1)</f>
        <v>0</v>
      </c>
      <c r="AA19" s="2">
        <f>COUNTIFS('BA History'!$B:$B,$A$19,'BA History'!X:X, 1)</f>
        <v>2</v>
      </c>
      <c r="AB19" s="2">
        <f>COUNTIFS('BA History'!$B:$B,$A$19,'BA History'!Y:Y, 1)</f>
        <v>1</v>
      </c>
      <c r="AC19" s="2">
        <f>COUNTIFS('BA History'!$B:$B,$A$19,'BA History'!Z:Z, 1)</f>
        <v>1</v>
      </c>
      <c r="AD19" s="2">
        <f>COUNTIFS('BA History'!$B:$B,$A$19,'BA History'!AA:AA, 1)</f>
        <v>1</v>
      </c>
      <c r="AE19" s="2">
        <f>COUNTIFS('BA History'!$B:$B,$A$19,'BA History'!AB:AB, 1)</f>
        <v>2</v>
      </c>
      <c r="AF19" s="2">
        <f>COUNTIFS('BA History'!$B:$B,$A$19,'BA History'!AC:AC, 1)</f>
        <v>3</v>
      </c>
      <c r="AG19" s="2">
        <f>COUNTIFS('BA History'!$B:$B,$A$19,'BA History'!AD:AD, 1)</f>
        <v>1</v>
      </c>
      <c r="AH19" s="2">
        <f>COUNTIFS('BA History'!$B:$B,$A$19,'BA History'!AE:AE, 1)</f>
        <v>0</v>
      </c>
    </row>
    <row r="20" spans="1:34" x14ac:dyDescent="0.25">
      <c r="A20" s="2" t="s">
        <v>46</v>
      </c>
      <c r="B20" s="34">
        <f>SUMIFS('BA History'!C:C,'BA History'!B:B,A20)</f>
        <v>331</v>
      </c>
      <c r="C20" s="66">
        <f>AVERAGEIFS('BA History'!C:C,'BA History'!B:B,A20)</f>
        <v>19.470588235294116</v>
      </c>
      <c r="D20" s="35">
        <f t="array" ref="D20">MAX(IF('BA History'!B:B=A20, 'BA History'!C:C))</f>
        <v>27</v>
      </c>
      <c r="E20" s="34">
        <f>COUNTIFS('BA History'!B:B,A20,'BA History'!D:D, 1)</f>
        <v>7</v>
      </c>
      <c r="F20" s="2">
        <f>COUNTIFS('BA History'!B:B,A20,'BA History'!D:D, 0)</f>
        <v>10</v>
      </c>
      <c r="G20" s="75">
        <f t="shared" si="3"/>
        <v>0.41176470588235292</v>
      </c>
      <c r="H20" s="34">
        <f>SUMIFS('BA History'!F:F,'BA History'!B:B,A20)</f>
        <v>36</v>
      </c>
      <c r="I20" s="2">
        <f>SUMIFS('BA History'!E:E,'BA History'!B:B,A20)-H20</f>
        <v>39</v>
      </c>
      <c r="J20" s="75">
        <f t="shared" si="4"/>
        <v>0.48</v>
      </c>
      <c r="K20" s="34">
        <f>SUMIFS('BA History'!H:H,'BA History'!B:B,A20)</f>
        <v>154</v>
      </c>
      <c r="L20" s="2">
        <f>SUMIFS('BA History'!G:G,'BA History'!B:B,A20)-K20</f>
        <v>162</v>
      </c>
      <c r="M20" s="93">
        <f t="shared" si="5"/>
        <v>0.48734177215189872</v>
      </c>
      <c r="N20" s="2">
        <f>COUNTIFS('BA History'!$B:$B,$A$20,'BA History'!K:K, 1)</f>
        <v>4</v>
      </c>
      <c r="O20" s="2">
        <f>COUNTIFS('BA History'!$B:$B,$A$20,'BA History'!L:L, 1)</f>
        <v>1</v>
      </c>
      <c r="P20" s="2">
        <f>COUNTIFS('BA History'!$B:$B,$A$20,'BA History'!M:M, 1)</f>
        <v>2</v>
      </c>
      <c r="Q20" s="2">
        <f>COUNTIFS('BA History'!$B:$B,$A$20,'BA History'!N:N, 1)</f>
        <v>3</v>
      </c>
      <c r="R20" s="2">
        <f>COUNTIFS('BA History'!$B:$B,$A$20,'BA History'!O:O, 1)</f>
        <v>1</v>
      </c>
      <c r="S20" s="2">
        <f>COUNTIFS('BA History'!$B:$B,$A$20,'BA History'!P:P, 1)</f>
        <v>0</v>
      </c>
      <c r="T20" s="2">
        <f>COUNTIFS('BA History'!$B:$B,$A$20,'BA History'!Q:Q, 1)</f>
        <v>0</v>
      </c>
      <c r="U20" s="2">
        <f>COUNTIFS('BA History'!$B:$B,$A$20,'BA History'!R:R, 1)</f>
        <v>1</v>
      </c>
      <c r="V20" s="2">
        <f>COUNTIFS('BA History'!$B:$B,$A$20,'BA History'!S:S, 1)</f>
        <v>0</v>
      </c>
      <c r="W20" s="2">
        <f>COUNTIFS('BA History'!$B:$B,$A$20,'BA History'!T:T, 1)</f>
        <v>1</v>
      </c>
      <c r="X20" s="2">
        <f>COUNTIFS('BA History'!$B:$B,$A$20,'BA History'!U:U, 1)</f>
        <v>1</v>
      </c>
      <c r="Y20" s="2">
        <f>COUNTIFS('BA History'!$B:$B,$A$20,'BA History'!V:V, 1)</f>
        <v>2</v>
      </c>
      <c r="Z20" s="2">
        <f>COUNTIFS('BA History'!$B:$B,$A$20,'BA History'!W:W, 1)</f>
        <v>1</v>
      </c>
      <c r="AA20" s="2">
        <f>COUNTIFS('BA History'!$B:$B,$A$20,'BA History'!X:X, 1)</f>
        <v>0</v>
      </c>
      <c r="AB20" s="2">
        <f>COUNTIFS('BA History'!$B:$B,$A$20,'BA History'!Y:Y, 1)</f>
        <v>6</v>
      </c>
      <c r="AC20" s="2">
        <f>COUNTIFS('BA History'!$B:$B,$A$20,'BA History'!Z:Z, 1)</f>
        <v>1</v>
      </c>
      <c r="AD20" s="2">
        <f>COUNTIFS('BA History'!$B:$B,$A$20,'BA History'!AA:AA, 1)</f>
        <v>5</v>
      </c>
      <c r="AE20" s="2">
        <f>COUNTIFS('BA History'!$B:$B,$A$20,'BA History'!AB:AB, 1)</f>
        <v>0</v>
      </c>
      <c r="AF20" s="2">
        <f>COUNTIFS('BA History'!$B:$B,$A$20,'BA History'!AC:AC, 1)</f>
        <v>3</v>
      </c>
      <c r="AG20" s="2">
        <f>COUNTIFS('BA History'!$B:$B,$A$20,'BA History'!AD:AD, 1)</f>
        <v>2</v>
      </c>
      <c r="AH20" s="2">
        <f>COUNTIFS('BA History'!$B:$B,$A$20,'BA History'!AE:AE, 1)</f>
        <v>2</v>
      </c>
    </row>
    <row r="21" spans="1:34" x14ac:dyDescent="0.25">
      <c r="A21" s="2" t="s">
        <v>28</v>
      </c>
      <c r="B21" s="34">
        <f>SUMIFS('BA History'!C:C,'BA History'!B:B,A21)</f>
        <v>248</v>
      </c>
      <c r="C21" s="66">
        <f>AVERAGEIFS('BA History'!C:C,'BA History'!B:B,A21)</f>
        <v>16.533333333333335</v>
      </c>
      <c r="D21" s="35">
        <f t="array" ref="D21">MAX(IF('BA History'!B:B=A21, 'BA History'!C:C))</f>
        <v>25</v>
      </c>
      <c r="E21" s="34">
        <f>COUNTIFS('BA History'!B:B,A21,'BA History'!D:D, 1)</f>
        <v>5</v>
      </c>
      <c r="F21" s="2">
        <f>COUNTIFS('BA History'!B:B,A21,'BA History'!D:D, 0)</f>
        <v>10</v>
      </c>
      <c r="G21" s="75">
        <f t="shared" si="3"/>
        <v>0.33333333333333331</v>
      </c>
      <c r="H21" s="34">
        <f>SUMIFS('BA History'!F:F,'BA History'!B:B,A21)</f>
        <v>24</v>
      </c>
      <c r="I21" s="2">
        <f>SUMIFS('BA History'!E:E,'BA History'!B:B,A21)-H21</f>
        <v>34</v>
      </c>
      <c r="J21" s="75">
        <f t="shared" si="4"/>
        <v>0.41379310344827586</v>
      </c>
      <c r="K21" s="34">
        <f>SUMIFS('BA History'!H:H,'BA History'!B:B,A21)</f>
        <v>116</v>
      </c>
      <c r="L21" s="2">
        <f>SUMIFS('BA History'!G:G,'BA History'!B:B,A21)-K21</f>
        <v>127</v>
      </c>
      <c r="M21" s="93">
        <f t="shared" si="5"/>
        <v>0.47736625514403291</v>
      </c>
      <c r="N21" s="2">
        <f>COUNTIFS('BA History'!$B:$B,$A$21,'BA History'!K:K, 1)</f>
        <v>0</v>
      </c>
      <c r="O21" s="2">
        <f>COUNTIFS('BA History'!$B:$B,$A$21,'BA History'!L:L, 1)</f>
        <v>2</v>
      </c>
      <c r="P21" s="2">
        <f>COUNTIFS('BA History'!$B:$B,$A$21,'BA History'!M:M, 1)</f>
        <v>1</v>
      </c>
      <c r="Q21" s="2">
        <f>COUNTIFS('BA History'!$B:$B,$A$21,'BA History'!N:N, 1)</f>
        <v>2</v>
      </c>
      <c r="R21" s="2">
        <f>COUNTIFS('BA History'!$B:$B,$A$21,'BA History'!O:O, 1)</f>
        <v>1</v>
      </c>
      <c r="S21" s="2">
        <f>COUNTIFS('BA History'!$B:$B,$A$21,'BA History'!P:P, 1)</f>
        <v>0</v>
      </c>
      <c r="T21" s="2">
        <f>COUNTIFS('BA History'!$B:$B,$A$21,'BA History'!Q:Q, 1)</f>
        <v>2</v>
      </c>
      <c r="U21" s="2">
        <f>COUNTIFS('BA History'!$B:$B,$A$21,'BA History'!R:R, 1)</f>
        <v>1</v>
      </c>
      <c r="V21" s="2">
        <f>COUNTIFS('BA History'!$B:$B,$A$21,'BA History'!S:S, 1)</f>
        <v>1</v>
      </c>
      <c r="W21" s="2">
        <f>COUNTIFS('BA History'!$B:$B,$A$21,'BA History'!T:T, 1)</f>
        <v>2</v>
      </c>
      <c r="X21" s="2">
        <f>COUNTIFS('BA History'!$B:$B,$A$21,'BA History'!U:U, 1)</f>
        <v>1</v>
      </c>
      <c r="Y21" s="2">
        <f>COUNTIFS('BA History'!$B:$B,$A$21,'BA History'!V:V, 1)</f>
        <v>0</v>
      </c>
      <c r="Z21" s="2">
        <f>COUNTIFS('BA History'!$B:$B,$A$21,'BA History'!W:W, 1)</f>
        <v>1</v>
      </c>
      <c r="AA21" s="2">
        <f>COUNTIFS('BA History'!$B:$B,$A$21,'BA History'!X:X, 1)</f>
        <v>1</v>
      </c>
      <c r="AB21" s="2">
        <f>COUNTIFS('BA History'!$B:$B,$A$21,'BA History'!Y:Y, 1)</f>
        <v>3</v>
      </c>
      <c r="AC21" s="2">
        <f>COUNTIFS('BA History'!$B:$B,$A$21,'BA History'!Z:Z, 1)</f>
        <v>0</v>
      </c>
      <c r="AD21" s="2">
        <f>COUNTIFS('BA History'!$B:$B,$A$21,'BA History'!AA:AA, 1)</f>
        <v>3</v>
      </c>
      <c r="AE21" s="2">
        <f>COUNTIFS('BA History'!$B:$B,$A$21,'BA History'!AB:AB, 1)</f>
        <v>1</v>
      </c>
      <c r="AF21" s="2">
        <f>COUNTIFS('BA History'!$B:$B,$A$21,'BA History'!AC:AC, 1)</f>
        <v>2</v>
      </c>
      <c r="AG21" s="2">
        <f>COUNTIFS('BA History'!$B:$B,$A$21,'BA History'!AD:AD, 1)</f>
        <v>0</v>
      </c>
      <c r="AH21" s="2">
        <f>COUNTIFS('BA History'!$B:$B,$A$21,'BA History'!AE:AE, 1)</f>
        <v>0</v>
      </c>
    </row>
    <row r="22" spans="1:34" x14ac:dyDescent="0.25">
      <c r="A22" s="2" t="s">
        <v>53</v>
      </c>
      <c r="B22" s="34">
        <f>SUMIFS('BA History'!C:C,'BA History'!B:B,A22)</f>
        <v>200</v>
      </c>
      <c r="C22" s="66">
        <f>AVERAGEIFS('BA History'!C:C,'BA History'!B:B,A22)</f>
        <v>18.181818181818183</v>
      </c>
      <c r="D22" s="35">
        <f t="array" ref="D22">MAX(IF('BA History'!B:B=A22, 'BA History'!C:C))</f>
        <v>36</v>
      </c>
      <c r="E22" s="34">
        <f>COUNTIFS('BA History'!B:B,A22,'BA History'!D:D, 1)</f>
        <v>6</v>
      </c>
      <c r="F22" s="2">
        <f>COUNTIFS('BA History'!B:B,A22,'BA History'!D:D, 0)</f>
        <v>5</v>
      </c>
      <c r="G22" s="75">
        <f t="shared" si="3"/>
        <v>0.54545454545454541</v>
      </c>
      <c r="H22" s="34">
        <f>SUMIFS('BA History'!F:F,'BA History'!B:B,A22)</f>
        <v>24</v>
      </c>
      <c r="I22" s="2">
        <f>SUMIFS('BA History'!E:E,'BA History'!B:B,A22)-H22</f>
        <v>19</v>
      </c>
      <c r="J22" s="75">
        <f t="shared" si="4"/>
        <v>0.55813953488372092</v>
      </c>
      <c r="K22" s="34">
        <f>SUMIFS('BA History'!H:H,'BA History'!B:B,A22)</f>
        <v>92</v>
      </c>
      <c r="L22" s="2">
        <f>SUMIFS('BA History'!G:G,'BA History'!B:B,A22)-K22</f>
        <v>83</v>
      </c>
      <c r="M22" s="93">
        <f t="shared" si="5"/>
        <v>0.52571428571428569</v>
      </c>
      <c r="N22" s="2">
        <f>COUNTIFS('BA History'!$B:$B,$A$22,'BA History'!K:K, 1)</f>
        <v>1</v>
      </c>
      <c r="O22" s="2">
        <f>COUNTIFS('BA History'!$B:$B,$A$22,'BA History'!L:L, 1)</f>
        <v>1</v>
      </c>
      <c r="P22" s="2">
        <f>COUNTIFS('BA History'!$B:$B,$A$22,'BA History'!M:M, 1)</f>
        <v>0</v>
      </c>
      <c r="Q22" s="2">
        <f>COUNTIFS('BA History'!$B:$B,$A$22,'BA History'!N:N, 1)</f>
        <v>4</v>
      </c>
      <c r="R22" s="2">
        <f>COUNTIFS('BA History'!$B:$B,$A$22,'BA History'!O:O, 1)</f>
        <v>1</v>
      </c>
      <c r="S22" s="2">
        <f>COUNTIFS('BA History'!$B:$B,$A$22,'BA History'!P:P, 1)</f>
        <v>0</v>
      </c>
      <c r="T22" s="2">
        <f>COUNTIFS('BA History'!$B:$B,$A$22,'BA History'!Q:Q, 1)</f>
        <v>1</v>
      </c>
      <c r="U22" s="2">
        <f>COUNTIFS('BA History'!$B:$B,$A$22,'BA History'!R:R, 1)</f>
        <v>0</v>
      </c>
      <c r="V22" s="2">
        <f>COUNTIFS('BA History'!$B:$B,$A$22,'BA History'!S:S, 1)</f>
        <v>0</v>
      </c>
      <c r="W22" s="2">
        <f>COUNTIFS('BA History'!$B:$B,$A$22,'BA History'!T:T, 1)</f>
        <v>0</v>
      </c>
      <c r="X22" s="2">
        <f>COUNTIFS('BA History'!$B:$B,$A$22,'BA History'!U:U, 1)</f>
        <v>2</v>
      </c>
      <c r="Y22" s="2">
        <f>COUNTIFS('BA History'!$B:$B,$A$22,'BA History'!V:V, 1)</f>
        <v>1</v>
      </c>
      <c r="Z22" s="2">
        <f>COUNTIFS('BA History'!$B:$B,$A$22,'BA History'!W:W, 1)</f>
        <v>1</v>
      </c>
      <c r="AA22" s="2">
        <f>COUNTIFS('BA History'!$B:$B,$A$22,'BA History'!X:X, 1)</f>
        <v>0</v>
      </c>
      <c r="AB22" s="2">
        <f>COUNTIFS('BA History'!$B:$B,$A$22,'BA History'!Y:Y, 1)</f>
        <v>5</v>
      </c>
      <c r="AC22" s="2">
        <f>COUNTIFS('BA History'!$B:$B,$A$22,'BA History'!Z:Z, 1)</f>
        <v>0</v>
      </c>
      <c r="AD22" s="2">
        <f>COUNTIFS('BA History'!$B:$B,$A$22,'BA History'!AA:AA, 1)</f>
        <v>4</v>
      </c>
      <c r="AE22" s="2">
        <f>COUNTIFS('BA History'!$B:$B,$A$22,'BA History'!AB:AB, 1)</f>
        <v>1</v>
      </c>
      <c r="AF22" s="2">
        <f>COUNTIFS('BA History'!$B:$B,$A$22,'BA History'!AC:AC, 1)</f>
        <v>2</v>
      </c>
      <c r="AG22" s="2">
        <f>COUNTIFS('BA History'!$B:$B,$A$22,'BA History'!AD:AD, 1)</f>
        <v>0</v>
      </c>
      <c r="AH22" s="2">
        <f>COUNTIFS('BA History'!$B:$B,$A$22,'BA History'!AE:AE, 1)</f>
        <v>0</v>
      </c>
    </row>
    <row r="23" spans="1:34" x14ac:dyDescent="0.25">
      <c r="A23" s="2" t="s">
        <v>51</v>
      </c>
      <c r="B23" s="34">
        <f>SUMIFS('BA History'!C:C,'BA History'!B:B,A23)</f>
        <v>21</v>
      </c>
      <c r="C23" s="66">
        <f>AVERAGEIFS('BA History'!C:C,'BA History'!B:B,A23)</f>
        <v>10.5</v>
      </c>
      <c r="D23" s="35">
        <f t="array" ref="D23">MAX(IF('BA History'!B:B=A23, 'BA History'!C:C))</f>
        <v>16</v>
      </c>
      <c r="E23" s="34">
        <f>COUNTIFS('BA History'!B:B,A23,'BA History'!D:D, 1)</f>
        <v>1</v>
      </c>
      <c r="F23" s="2">
        <f>COUNTIFS('BA History'!B:B,A23,'BA History'!D:D, 0)</f>
        <v>1</v>
      </c>
      <c r="G23" s="75">
        <f t="shared" si="3"/>
        <v>0.5</v>
      </c>
      <c r="H23" s="34">
        <f>SUMIFS('BA History'!F:F,'BA History'!B:B,A23)</f>
        <v>2</v>
      </c>
      <c r="I23" s="2">
        <f>SUMIFS('BA History'!E:E,'BA History'!B:B,A23)-H23</f>
        <v>4</v>
      </c>
      <c r="J23" s="75">
        <f t="shared" si="4"/>
        <v>0.33333333333333331</v>
      </c>
      <c r="K23" s="34">
        <f>SUMIFS('BA History'!H:H,'BA History'!B:B,A23)</f>
        <v>10</v>
      </c>
      <c r="L23" s="2">
        <f>SUMIFS('BA History'!G:G,'BA History'!B:B,A23)-K23</f>
        <v>16</v>
      </c>
      <c r="M23" s="93">
        <f t="shared" si="5"/>
        <v>0.38461538461538464</v>
      </c>
      <c r="N23" s="2">
        <f>COUNTIFS('BA History'!$B:$B,$A$23,'BA History'!K:K, 1)</f>
        <v>0</v>
      </c>
      <c r="O23" s="2">
        <f>COUNTIFS('BA History'!$B:$B,$A$23,'BA History'!L:L, 1)</f>
        <v>0</v>
      </c>
      <c r="P23" s="2">
        <f>COUNTIFS('BA History'!$B:$B,$A$23,'BA History'!M:M, 1)</f>
        <v>0</v>
      </c>
      <c r="Q23" s="2">
        <f>COUNTIFS('BA History'!$B:$B,$A$23,'BA History'!N:N, 1)</f>
        <v>0</v>
      </c>
      <c r="R23" s="2">
        <f>COUNTIFS('BA History'!$B:$B,$A$23,'BA History'!O:O, 1)</f>
        <v>0</v>
      </c>
      <c r="S23" s="2">
        <f>COUNTIFS('BA History'!$B:$B,$A$23,'BA History'!P:P, 1)</f>
        <v>0</v>
      </c>
      <c r="T23" s="2">
        <f>COUNTIFS('BA History'!$B:$B,$A$23,'BA History'!Q:Q, 1)</f>
        <v>0</v>
      </c>
      <c r="U23" s="2">
        <f>COUNTIFS('BA History'!$B:$B,$A$23,'BA History'!R:R, 1)</f>
        <v>0</v>
      </c>
      <c r="V23" s="2">
        <f>COUNTIFS('BA History'!$B:$B,$A$23,'BA History'!S:S, 1)</f>
        <v>0</v>
      </c>
      <c r="W23" s="2">
        <f>COUNTIFS('BA History'!$B:$B,$A$23,'BA History'!T:T, 1)</f>
        <v>0</v>
      </c>
      <c r="X23" s="2">
        <f>COUNTIFS('BA History'!$B:$B,$A$23,'BA History'!U:U, 1)</f>
        <v>0</v>
      </c>
      <c r="Y23" s="2">
        <f>COUNTIFS('BA History'!$B:$B,$A$23,'BA History'!V:V, 1)</f>
        <v>0</v>
      </c>
      <c r="Z23" s="2">
        <f>COUNTIFS('BA History'!$B:$B,$A$23,'BA History'!W:W, 1)</f>
        <v>0</v>
      </c>
      <c r="AA23" s="2">
        <f>COUNTIFS('BA History'!$B:$B,$A$23,'BA History'!X:X, 1)</f>
        <v>1</v>
      </c>
      <c r="AB23" s="2">
        <f>COUNTIFS('BA History'!$B:$B,$A$23,'BA History'!Y:Y, 1)</f>
        <v>0</v>
      </c>
      <c r="AC23" s="2">
        <f>COUNTIFS('BA History'!$B:$B,$A$23,'BA History'!Z:Z, 1)</f>
        <v>0</v>
      </c>
      <c r="AD23" s="2">
        <f>COUNTIFS('BA History'!$B:$B,$A$23,'BA History'!AA:AA, 1)</f>
        <v>0</v>
      </c>
      <c r="AE23" s="2">
        <f>COUNTIFS('BA History'!$B:$B,$A$23,'BA History'!AB:AB, 1)</f>
        <v>1</v>
      </c>
      <c r="AF23" s="2">
        <f>COUNTIFS('BA History'!$B:$B,$A$23,'BA History'!AC:AC, 1)</f>
        <v>0</v>
      </c>
      <c r="AG23" s="2">
        <f>COUNTIFS('BA History'!$B:$B,$A$23,'BA History'!AD:AD, 1)</f>
        <v>0</v>
      </c>
      <c r="AH23" s="2">
        <f>COUNTIFS('BA History'!$B:$B,$A$23,'BA History'!AE:AE, 1)</f>
        <v>0</v>
      </c>
    </row>
    <row r="24" spans="1:34" x14ac:dyDescent="0.25">
      <c r="A24" s="2" t="s">
        <v>47</v>
      </c>
      <c r="B24" s="34">
        <f>SUMIFS('BA History'!C:C,'BA History'!B:B,A24)</f>
        <v>21</v>
      </c>
      <c r="C24" s="66">
        <f>AVERAGEIFS('BA History'!C:C,'BA History'!B:B,A24)</f>
        <v>5.25</v>
      </c>
      <c r="D24" s="35">
        <f t="array" ref="D24">MAX(IF('BA History'!B:B=A24, 'BA History'!C:C))</f>
        <v>8</v>
      </c>
      <c r="E24" s="34">
        <f>COUNTIFS('BA History'!B:B,A24,'BA History'!D:D, 1)</f>
        <v>1</v>
      </c>
      <c r="F24" s="2">
        <f>COUNTIFS('BA History'!B:B,A24,'BA History'!D:D, 0)</f>
        <v>3</v>
      </c>
      <c r="G24" s="75">
        <f t="shared" si="3"/>
        <v>0.25</v>
      </c>
      <c r="H24" s="34">
        <f>SUMIFS('BA History'!F:F,'BA History'!B:B,A24)</f>
        <v>8</v>
      </c>
      <c r="I24" s="2">
        <f>SUMIFS('BA History'!E:E,'BA History'!B:B,A24)-H24</f>
        <v>11</v>
      </c>
      <c r="J24" s="75">
        <f t="shared" si="4"/>
        <v>0.42105263157894735</v>
      </c>
      <c r="K24" s="34">
        <f>SUMIFS('BA History'!H:H,'BA History'!B:B,A24)</f>
        <v>31</v>
      </c>
      <c r="L24" s="2">
        <f>SUMIFS('BA History'!G:G,'BA History'!B:B,A24)-K24</f>
        <v>41</v>
      </c>
      <c r="M24" s="93">
        <f t="shared" si="5"/>
        <v>0.43055555555555558</v>
      </c>
      <c r="N24" s="2">
        <f>COUNTIFS('BA History'!$B:$B,$A$24,'BA History'!K:K, 1)</f>
        <v>1</v>
      </c>
      <c r="O24" s="2">
        <f>COUNTIFS('BA History'!$B:$B,$A$24,'BA History'!L:L, 1)</f>
        <v>1</v>
      </c>
      <c r="P24" s="2">
        <f>COUNTIFS('BA History'!$B:$B,$A$24,'BA History'!M:M, 1)</f>
        <v>0</v>
      </c>
      <c r="Q24" s="2">
        <f>COUNTIFS('BA History'!$B:$B,$A$24,'BA History'!N:N, 1)</f>
        <v>1</v>
      </c>
      <c r="R24" s="2">
        <f>COUNTIFS('BA History'!$B:$B,$A$24,'BA History'!O:O, 1)</f>
        <v>0</v>
      </c>
      <c r="S24" s="2">
        <f>COUNTIFS('BA History'!$B:$B,$A$24,'BA History'!P:P, 1)</f>
        <v>0</v>
      </c>
      <c r="T24" s="2">
        <f>COUNTIFS('BA History'!$B:$B,$A$24,'BA History'!Q:Q, 1)</f>
        <v>0</v>
      </c>
      <c r="U24" s="2">
        <f>COUNTIFS('BA History'!$B:$B,$A$24,'BA History'!R:R, 1)</f>
        <v>0</v>
      </c>
      <c r="V24" s="2">
        <f>COUNTIFS('BA History'!$B:$B,$A$24,'BA History'!S:S, 1)</f>
        <v>0</v>
      </c>
      <c r="W24" s="2">
        <f>COUNTIFS('BA History'!$B:$B,$A$24,'BA History'!T:T, 1)</f>
        <v>0</v>
      </c>
      <c r="X24" s="2">
        <f>COUNTIFS('BA History'!$B:$B,$A$24,'BA History'!U:U, 1)</f>
        <v>0</v>
      </c>
      <c r="Y24" s="2">
        <f>COUNTIFS('BA History'!$B:$B,$A$24,'BA History'!V:V, 1)</f>
        <v>1</v>
      </c>
      <c r="Z24" s="2">
        <f>COUNTIFS('BA History'!$B:$B,$A$24,'BA History'!W:W, 1)</f>
        <v>0</v>
      </c>
      <c r="AA24" s="2">
        <f>COUNTIFS('BA History'!$B:$B,$A$24,'BA History'!X:X, 1)</f>
        <v>1</v>
      </c>
      <c r="AB24" s="2">
        <f>COUNTIFS('BA History'!$B:$B,$A$24,'BA History'!Y:Y, 1)</f>
        <v>1</v>
      </c>
      <c r="AC24" s="2">
        <f>COUNTIFS('BA History'!$B:$B,$A$24,'BA History'!Z:Z, 1)</f>
        <v>0</v>
      </c>
      <c r="AD24" s="2">
        <f>COUNTIFS('BA History'!$B:$B,$A$24,'BA History'!AA:AA, 1)</f>
        <v>0</v>
      </c>
      <c r="AE24" s="2">
        <f>COUNTIFS('BA History'!$B:$B,$A$24,'BA History'!AB:AB, 1)</f>
        <v>0</v>
      </c>
      <c r="AF24" s="2">
        <f>COUNTIFS('BA History'!$B:$B,$A$24,'BA History'!AC:AC, 1)</f>
        <v>1</v>
      </c>
      <c r="AG24" s="2">
        <f>COUNTIFS('BA History'!$B:$B,$A$24,'BA History'!AD:AD, 1)</f>
        <v>0</v>
      </c>
      <c r="AH24" s="2">
        <f>COUNTIFS('BA History'!$B:$B,$A$24,'BA History'!AE:AE, 1)</f>
        <v>1</v>
      </c>
    </row>
    <row r="25" spans="1:34" x14ac:dyDescent="0.25">
      <c r="A25" s="2" t="s">
        <v>3</v>
      </c>
      <c r="B25" s="34">
        <f>SUMIFS('BA History'!C:C,'BA History'!B:B,A25)</f>
        <v>157</v>
      </c>
      <c r="C25" s="66">
        <f>AVERAGEIFS('BA History'!C:C,'BA History'!B:B,A25)</f>
        <v>19.625</v>
      </c>
      <c r="D25" s="35">
        <f t="array" ref="D25">MAX(IF('BA History'!B:B=A25, 'BA History'!C:C))</f>
        <v>27</v>
      </c>
      <c r="E25" s="34">
        <f>COUNTIFS('BA History'!B:B,A25,'BA History'!D:D, 1)</f>
        <v>3</v>
      </c>
      <c r="F25" s="2">
        <f>COUNTIFS('BA History'!B:B,A25,'BA History'!D:D, 0)</f>
        <v>5</v>
      </c>
      <c r="G25" s="75">
        <f t="shared" si="3"/>
        <v>0.375</v>
      </c>
      <c r="H25" s="34">
        <f>SUMIFS('BA History'!F:F,'BA History'!B:B,A25)</f>
        <v>16</v>
      </c>
      <c r="I25" s="2">
        <f>SUMIFS('BA History'!E:E,'BA History'!B:B,A25)-H25</f>
        <v>20</v>
      </c>
      <c r="J25" s="75">
        <f t="shared" si="4"/>
        <v>0.44444444444444442</v>
      </c>
      <c r="K25" s="34">
        <f>SUMIFS('BA History'!H:H,'BA History'!B:B,A25)</f>
        <v>74</v>
      </c>
      <c r="L25" s="2">
        <f>SUMIFS('BA History'!G:G,'BA History'!B:B,A25)-K25</f>
        <v>83</v>
      </c>
      <c r="M25" s="93">
        <f t="shared" si="5"/>
        <v>0.4713375796178344</v>
      </c>
      <c r="N25" s="2">
        <f>COUNTIFS('BA History'!$B:$B,$A$25,'BA History'!K:K, 1)</f>
        <v>0</v>
      </c>
      <c r="O25" s="2">
        <f>COUNTIFS('BA History'!$B:$B,$A$25,'BA History'!L:L, 1)</f>
        <v>2</v>
      </c>
      <c r="P25" s="2">
        <f>COUNTIFS('BA History'!$B:$B,$A$25,'BA History'!M:M, 1)</f>
        <v>2</v>
      </c>
      <c r="Q25" s="2">
        <f>COUNTIFS('BA History'!$B:$B,$A$25,'BA History'!N:N, 1)</f>
        <v>1</v>
      </c>
      <c r="R25" s="2">
        <f>COUNTIFS('BA History'!$B:$B,$A$25,'BA History'!O:O, 1)</f>
        <v>0</v>
      </c>
      <c r="S25" s="2">
        <f>COUNTIFS('BA History'!$B:$B,$A$25,'BA History'!P:P, 1)</f>
        <v>1</v>
      </c>
      <c r="T25" s="2">
        <f>COUNTIFS('BA History'!$B:$B,$A$25,'BA History'!Q:Q, 1)</f>
        <v>0</v>
      </c>
      <c r="U25" s="2">
        <f>COUNTIFS('BA History'!$B:$B,$A$25,'BA History'!R:R, 1)</f>
        <v>0</v>
      </c>
      <c r="V25" s="2">
        <f>COUNTIFS('BA History'!$B:$B,$A$25,'BA History'!S:S, 1)</f>
        <v>0</v>
      </c>
      <c r="W25" s="2">
        <f>COUNTIFS('BA History'!$B:$B,$A$25,'BA History'!T:T, 1)</f>
        <v>1</v>
      </c>
      <c r="X25" s="2">
        <f>COUNTIFS('BA History'!$B:$B,$A$25,'BA History'!U:U, 1)</f>
        <v>0</v>
      </c>
      <c r="Y25" s="2">
        <f>COUNTIFS('BA History'!$B:$B,$A$25,'BA History'!V:V, 1)</f>
        <v>0</v>
      </c>
      <c r="Z25" s="2">
        <f>COUNTIFS('BA History'!$B:$B,$A$25,'BA History'!W:W, 1)</f>
        <v>0</v>
      </c>
      <c r="AA25" s="2">
        <f>COUNTIFS('BA History'!$B:$B,$A$25,'BA History'!X:X, 1)</f>
        <v>2</v>
      </c>
      <c r="AB25" s="2">
        <f>COUNTIFS('BA History'!$B:$B,$A$25,'BA History'!Y:Y, 1)</f>
        <v>1</v>
      </c>
      <c r="AC25" s="2">
        <f>COUNTIFS('BA History'!$B:$B,$A$25,'BA History'!Z:Z, 1)</f>
        <v>0</v>
      </c>
      <c r="AD25" s="2">
        <f>COUNTIFS('BA History'!$B:$B,$A$25,'BA History'!AA:AA, 1)</f>
        <v>1</v>
      </c>
      <c r="AE25" s="2">
        <f>COUNTIFS('BA History'!$B:$B,$A$25,'BA History'!AB:AB, 1)</f>
        <v>3</v>
      </c>
      <c r="AF25" s="2">
        <f>COUNTIFS('BA History'!$B:$B,$A$25,'BA History'!AC:AC, 1)</f>
        <v>2</v>
      </c>
      <c r="AG25" s="2">
        <f>COUNTIFS('BA History'!$B:$B,$A$25,'BA History'!AD:AD, 1)</f>
        <v>0</v>
      </c>
      <c r="AH25" s="2">
        <f>COUNTIFS('BA History'!$B:$B,$A$25,'BA History'!AE:AE, 1)</f>
        <v>0</v>
      </c>
    </row>
    <row r="26" spans="1:34" x14ac:dyDescent="0.25">
      <c r="A26" s="2" t="s">
        <v>15</v>
      </c>
      <c r="B26" s="34">
        <f>SUMIFS('BA History'!C:C,'BA History'!B:B,A26)</f>
        <v>4</v>
      </c>
      <c r="C26" s="66">
        <f>AVERAGEIFS('BA History'!C:C,'BA History'!B:B,A26)</f>
        <v>4</v>
      </c>
      <c r="D26" s="35">
        <f t="array" ref="D26">MAX(IF('BA History'!B:B=A26, 'BA History'!C:C))</f>
        <v>4</v>
      </c>
      <c r="E26" s="34">
        <f>COUNTIFS('BA History'!B:B,A26,'BA History'!D:D, 1)</f>
        <v>0</v>
      </c>
      <c r="F26" s="2">
        <f>COUNTIFS('BA History'!B:B,A26,'BA History'!D:D, 0)</f>
        <v>1</v>
      </c>
      <c r="G26" s="75">
        <f t="shared" si="3"/>
        <v>0</v>
      </c>
      <c r="H26" s="34">
        <f>SUMIFS('BA History'!F:F,'BA History'!B:B,A26)</f>
        <v>0</v>
      </c>
      <c r="I26" s="2">
        <f>SUMIFS('BA History'!E:E,'BA History'!B:B,A26)-H26</f>
        <v>3</v>
      </c>
      <c r="J26" s="75">
        <f t="shared" si="4"/>
        <v>0</v>
      </c>
      <c r="K26" s="34">
        <f>SUMIFS('BA History'!H:H,'BA History'!B:B,A26)</f>
        <v>1</v>
      </c>
      <c r="L26" s="2">
        <f>SUMIFS('BA History'!G:G,'BA History'!B:B,A26)-K26</f>
        <v>9</v>
      </c>
      <c r="M26" s="93">
        <f t="shared" si="5"/>
        <v>0.1</v>
      </c>
      <c r="N26" s="2">
        <f>COUNTIFS('BA History'!$B:$B,$A$26,'BA History'!K:K, 1)</f>
        <v>0</v>
      </c>
      <c r="O26" s="2">
        <f>COUNTIFS('BA History'!$B:$B,$A$26,'BA History'!L:L, 1)</f>
        <v>0</v>
      </c>
      <c r="P26" s="2">
        <f>COUNTIFS('BA History'!$B:$B,$A$26,'BA History'!M:M, 1)</f>
        <v>0</v>
      </c>
      <c r="Q26" s="2">
        <f>COUNTIFS('BA History'!$B:$B,$A$26,'BA History'!N:N, 1)</f>
        <v>0</v>
      </c>
      <c r="R26" s="2">
        <f>COUNTIFS('BA History'!$B:$B,$A$26,'BA History'!O:O, 1)</f>
        <v>0</v>
      </c>
      <c r="S26" s="2">
        <f>COUNTIFS('BA History'!$B:$B,$A$26,'BA History'!P:P, 1)</f>
        <v>0</v>
      </c>
      <c r="T26" s="2">
        <f>COUNTIFS('BA History'!$B:$B,$A$26,'BA History'!Q:Q, 1)</f>
        <v>0</v>
      </c>
      <c r="U26" s="2">
        <f>COUNTIFS('BA History'!$B:$B,$A$26,'BA History'!R:R, 1)</f>
        <v>0</v>
      </c>
      <c r="V26" s="2">
        <f>COUNTIFS('BA History'!$B:$B,$A$26,'BA History'!S:S, 1)</f>
        <v>0</v>
      </c>
      <c r="W26" s="2">
        <f>COUNTIFS('BA History'!$B:$B,$A$26,'BA History'!T:T, 1)</f>
        <v>0</v>
      </c>
      <c r="X26" s="2">
        <f>COUNTIFS('BA History'!$B:$B,$A$26,'BA History'!U:U, 1)</f>
        <v>0</v>
      </c>
      <c r="Y26" s="2">
        <f>COUNTIFS('BA History'!$B:$B,$A$26,'BA History'!V:V, 1)</f>
        <v>0</v>
      </c>
      <c r="Z26" s="2">
        <f>COUNTIFS('BA History'!$B:$B,$A$26,'BA History'!W:W, 1)</f>
        <v>0</v>
      </c>
      <c r="AA26" s="2">
        <f>COUNTIFS('BA History'!$B:$B,$A$26,'BA History'!X:X, 1)</f>
        <v>0</v>
      </c>
      <c r="AB26" s="2">
        <f>COUNTIFS('BA History'!$B:$B,$A$26,'BA History'!Y:Y, 1)</f>
        <v>0</v>
      </c>
      <c r="AC26" s="2">
        <f>COUNTIFS('BA History'!$B:$B,$A$26,'BA History'!Z:Z, 1)</f>
        <v>0</v>
      </c>
      <c r="AD26" s="2">
        <f>COUNTIFS('BA History'!$B:$B,$A$26,'BA History'!AA:AA, 1)</f>
        <v>0</v>
      </c>
      <c r="AE26" s="2">
        <f>COUNTIFS('BA History'!$B:$B,$A$26,'BA History'!AB:AB, 1)</f>
        <v>0</v>
      </c>
      <c r="AF26" s="2">
        <f>COUNTIFS('BA History'!$B:$B,$A$26,'BA History'!AC:AC, 1)</f>
        <v>0</v>
      </c>
      <c r="AG26" s="2">
        <f>COUNTIFS('BA History'!$B:$B,$A$26,'BA History'!AD:AD, 1)</f>
        <v>0</v>
      </c>
      <c r="AH26" s="2">
        <f>COUNTIFS('BA History'!$B:$B,$A$26,'BA History'!AE:AE, 1)</f>
        <v>0</v>
      </c>
    </row>
    <row r="27" spans="1:34" x14ac:dyDescent="0.25">
      <c r="A27" s="2" t="s">
        <v>90</v>
      </c>
      <c r="B27" s="34">
        <f>SUMIFS('BA History'!C:C,'BA History'!B:B,A27)</f>
        <v>3</v>
      </c>
      <c r="C27" s="66">
        <f>AVERAGEIFS('BA History'!C:C,'BA History'!B:B,A27)</f>
        <v>3</v>
      </c>
      <c r="D27" s="35">
        <f t="array" ref="D27">MAX(IF('BA History'!B:B=A27, 'BA History'!C:C))</f>
        <v>3</v>
      </c>
      <c r="E27" s="34">
        <f>COUNTIFS('BA History'!B:B,A27,'BA History'!D:D, 1)</f>
        <v>1</v>
      </c>
      <c r="F27" s="2">
        <f>COUNTIFS('BA History'!B:B,A27,'BA History'!D:D, 0)</f>
        <v>0</v>
      </c>
      <c r="G27" s="75">
        <f t="shared" si="3"/>
        <v>1</v>
      </c>
      <c r="H27" s="34">
        <f>SUMIFS('BA History'!F:F,'BA History'!B:B,A27)</f>
        <v>3</v>
      </c>
      <c r="I27" s="2">
        <f>SUMIFS('BA History'!E:E,'BA History'!B:B,A27)-H27</f>
        <v>0</v>
      </c>
      <c r="J27" s="75">
        <f t="shared" si="4"/>
        <v>1</v>
      </c>
      <c r="K27" s="34">
        <f>SUMIFS('BA History'!H:H,'BA History'!B:B,A27)</f>
        <v>9</v>
      </c>
      <c r="L27" s="2">
        <f>SUMIFS('BA History'!G:G,'BA History'!B:B,A27)-K27</f>
        <v>5</v>
      </c>
      <c r="M27" s="93">
        <f t="shared" si="5"/>
        <v>0.6428571428571429</v>
      </c>
      <c r="N27" s="2">
        <f>COUNTIFS('BA History'!$B:$B,$A$27,'BA History'!K:K, 1)</f>
        <v>0</v>
      </c>
      <c r="O27" s="2">
        <f>COUNTIFS('BA History'!$B:$B,$A$27,'BA History'!L:L, 1)</f>
        <v>0</v>
      </c>
      <c r="P27" s="2">
        <f>COUNTIFS('BA History'!$B:$B,$A$27,'BA History'!M:M, 1)</f>
        <v>0</v>
      </c>
      <c r="Q27" s="2">
        <f>COUNTIFS('BA History'!$B:$B,$A$27,'BA History'!N:N, 1)</f>
        <v>0</v>
      </c>
      <c r="R27" s="2">
        <f>COUNTIFS('BA History'!$B:$B,$A$27,'BA History'!O:O, 1)</f>
        <v>0</v>
      </c>
      <c r="S27" s="2">
        <f>COUNTIFS('BA History'!$B:$B,$A$27,'BA History'!P:P, 1)</f>
        <v>0</v>
      </c>
      <c r="T27" s="2">
        <f>COUNTIFS('BA History'!$B:$B,$A$27,'BA History'!Q:Q, 1)</f>
        <v>0</v>
      </c>
      <c r="U27" s="2">
        <f>COUNTIFS('BA History'!$B:$B,$A$27,'BA History'!R:R, 1)</f>
        <v>0</v>
      </c>
      <c r="V27" s="2">
        <f>COUNTIFS('BA History'!$B:$B,$A$27,'BA History'!S:S, 1)</f>
        <v>0</v>
      </c>
      <c r="W27" s="2">
        <f>COUNTIFS('BA History'!$B:$B,$A$27,'BA History'!T:T, 1)</f>
        <v>0</v>
      </c>
      <c r="X27" s="2">
        <f>COUNTIFS('BA History'!$B:$B,$A$27,'BA History'!U:U, 1)</f>
        <v>1</v>
      </c>
      <c r="Y27" s="2">
        <f>COUNTIFS('BA History'!$B:$B,$A$27,'BA History'!V:V, 1)</f>
        <v>0</v>
      </c>
      <c r="Z27" s="2">
        <f>COUNTIFS('BA History'!$B:$B,$A$27,'BA History'!W:W, 1)</f>
        <v>0</v>
      </c>
      <c r="AA27" s="2">
        <f>COUNTIFS('BA History'!$B:$B,$A$27,'BA History'!X:X, 1)</f>
        <v>0</v>
      </c>
      <c r="AB27" s="2">
        <f>COUNTIFS('BA History'!$B:$B,$A$27,'BA History'!Y:Y, 1)</f>
        <v>0</v>
      </c>
      <c r="AC27" s="2">
        <f>COUNTIFS('BA History'!$B:$B,$A$27,'BA History'!Z:Z, 1)</f>
        <v>0</v>
      </c>
      <c r="AD27" s="2">
        <f>COUNTIFS('BA History'!$B:$B,$A$27,'BA History'!AA:AA, 1)</f>
        <v>1</v>
      </c>
      <c r="AE27" s="2">
        <f>COUNTIFS('BA History'!$B:$B,$A$27,'BA History'!AB:AB, 1)</f>
        <v>1</v>
      </c>
      <c r="AF27" s="2">
        <f>COUNTIFS('BA History'!$B:$B,$A$27,'BA History'!AC:AC, 1)</f>
        <v>0</v>
      </c>
      <c r="AG27" s="2">
        <f>COUNTIFS('BA History'!$B:$B,$A$27,'BA History'!AD:AD, 1)</f>
        <v>0</v>
      </c>
      <c r="AH27" s="2">
        <f>COUNTIFS('BA History'!$B:$B,$A$27,'BA History'!AE:AE, 1)</f>
        <v>0</v>
      </c>
    </row>
    <row r="28" spans="1:34" x14ac:dyDescent="0.25">
      <c r="A28" s="2" t="s">
        <v>13</v>
      </c>
      <c r="B28" s="34">
        <f>SUMIFS('BA History'!C:C,'BA History'!B:B,A28)</f>
        <v>34</v>
      </c>
      <c r="C28" s="66">
        <f>AVERAGEIFS('BA History'!C:C,'BA History'!B:B,A28)</f>
        <v>8.5</v>
      </c>
      <c r="D28" s="35">
        <f t="array" ref="D28">MAX(IF('BA History'!B:B=A28, 'BA History'!C:C))</f>
        <v>12</v>
      </c>
      <c r="E28" s="34">
        <f>COUNTIFS('BA History'!B:B,A28,'BA History'!D:D, 1)</f>
        <v>2</v>
      </c>
      <c r="F28" s="2">
        <f>COUNTIFS('BA History'!B:B,A28,'BA History'!D:D, 0)</f>
        <v>2</v>
      </c>
      <c r="G28" s="75">
        <f t="shared" si="3"/>
        <v>0.5</v>
      </c>
      <c r="H28" s="34">
        <f>SUMIFS('BA History'!F:F,'BA History'!B:B,A28)</f>
        <v>10</v>
      </c>
      <c r="I28" s="2">
        <f>SUMIFS('BA History'!E:E,'BA History'!B:B,A28)-H28</f>
        <v>8</v>
      </c>
      <c r="J28" s="75">
        <f t="shared" si="4"/>
        <v>0.55555555555555558</v>
      </c>
      <c r="K28" s="34">
        <f>SUMIFS('BA History'!H:H,'BA History'!B:B,A28)</f>
        <v>36</v>
      </c>
      <c r="L28" s="2">
        <f>SUMIFS('BA History'!G:G,'BA History'!B:B,A28)-K28</f>
        <v>37</v>
      </c>
      <c r="M28" s="93">
        <f t="shared" si="5"/>
        <v>0.49315068493150682</v>
      </c>
      <c r="N28" s="2">
        <f>COUNTIFS('BA History'!$B:$B,$A$28,'BA History'!K:K, 1)</f>
        <v>1</v>
      </c>
      <c r="O28" s="2">
        <f>COUNTIFS('BA History'!$B:$B,$A$28,'BA History'!L:L, 1)</f>
        <v>0</v>
      </c>
      <c r="P28" s="2">
        <f>COUNTIFS('BA History'!$B:$B,$A$28,'BA History'!M:M, 1)</f>
        <v>1</v>
      </c>
      <c r="Q28" s="2">
        <f>COUNTIFS('BA History'!$B:$B,$A$28,'BA History'!N:N, 1)</f>
        <v>1</v>
      </c>
      <c r="R28" s="2">
        <f>COUNTIFS('BA History'!$B:$B,$A$28,'BA History'!O:O, 1)</f>
        <v>0</v>
      </c>
      <c r="S28" s="2">
        <f>COUNTIFS('BA History'!$B:$B,$A$28,'BA History'!P:P, 1)</f>
        <v>0</v>
      </c>
      <c r="T28" s="2">
        <f>COUNTIFS('BA History'!$B:$B,$A$28,'BA History'!Q:Q, 1)</f>
        <v>1</v>
      </c>
      <c r="U28" s="2">
        <f>COUNTIFS('BA History'!$B:$B,$A$28,'BA History'!R:R, 1)</f>
        <v>0</v>
      </c>
      <c r="V28" s="2">
        <f>COUNTIFS('BA History'!$B:$B,$A$28,'BA History'!S:S, 1)</f>
        <v>0</v>
      </c>
      <c r="W28" s="2">
        <f>COUNTIFS('BA History'!$B:$B,$A$28,'BA History'!T:T, 1)</f>
        <v>0</v>
      </c>
      <c r="X28" s="2">
        <f>COUNTIFS('BA History'!$B:$B,$A$28,'BA History'!U:U, 1)</f>
        <v>0</v>
      </c>
      <c r="Y28" s="2">
        <f>COUNTIFS('BA History'!$B:$B,$A$28,'BA History'!V:V, 1)</f>
        <v>0</v>
      </c>
      <c r="Z28" s="2">
        <f>COUNTIFS('BA History'!$B:$B,$A$28,'BA History'!W:W, 1)</f>
        <v>0</v>
      </c>
      <c r="AA28" s="2">
        <f>COUNTIFS('BA History'!$B:$B,$A$28,'BA History'!X:X, 1)</f>
        <v>2</v>
      </c>
      <c r="AB28" s="2">
        <f>COUNTIFS('BA History'!$B:$B,$A$28,'BA History'!Y:Y, 1)</f>
        <v>2</v>
      </c>
      <c r="AC28" s="2">
        <f>COUNTIFS('BA History'!$B:$B,$A$28,'BA History'!Z:Z, 1)</f>
        <v>0</v>
      </c>
      <c r="AD28" s="2">
        <f>COUNTIFS('BA History'!$B:$B,$A$28,'BA History'!AA:AA, 1)</f>
        <v>0</v>
      </c>
      <c r="AE28" s="2">
        <f>COUNTIFS('BA History'!$B:$B,$A$28,'BA History'!AB:AB, 1)</f>
        <v>1</v>
      </c>
      <c r="AF28" s="2">
        <f>COUNTIFS('BA History'!$B:$B,$A$28,'BA History'!AC:AC, 1)</f>
        <v>1</v>
      </c>
      <c r="AG28" s="2">
        <f>COUNTIFS('BA History'!$B:$B,$A$28,'BA History'!AD:AD, 1)</f>
        <v>0</v>
      </c>
      <c r="AH28" s="2">
        <f>COUNTIFS('BA History'!$B:$B,$A$28,'BA History'!AE:AE, 1)</f>
        <v>0</v>
      </c>
    </row>
    <row r="29" spans="1:34" x14ac:dyDescent="0.25">
      <c r="A29" s="2" t="s">
        <v>2</v>
      </c>
      <c r="B29" s="34">
        <f>SUMIFS('BA History'!C:C,'BA History'!B:B,A29)</f>
        <v>512</v>
      </c>
      <c r="C29" s="66">
        <f>AVERAGEIFS('BA History'!C:C,'BA History'!B:B,A29)</f>
        <v>24.38095238095238</v>
      </c>
      <c r="D29" s="35">
        <f t="array" ref="D29">MAX(IF('BA History'!B:B=A29, 'BA History'!C:C))</f>
        <v>35</v>
      </c>
      <c r="E29" s="34">
        <f>COUNTIFS('BA History'!B:B,A29,'BA History'!D:D, 1)</f>
        <v>10</v>
      </c>
      <c r="F29" s="2">
        <f>COUNTIFS('BA History'!B:B,A29,'BA History'!D:D, 0)</f>
        <v>11</v>
      </c>
      <c r="G29" s="75">
        <f t="shared" si="3"/>
        <v>0.47619047619047616</v>
      </c>
      <c r="H29" s="34">
        <f>SUMIFS('BA History'!F:F,'BA History'!B:B,A29)</f>
        <v>42</v>
      </c>
      <c r="I29" s="2">
        <f>SUMIFS('BA History'!E:E,'BA History'!B:B,A29)-H29</f>
        <v>43</v>
      </c>
      <c r="J29" s="75">
        <f t="shared" si="4"/>
        <v>0.49411764705882355</v>
      </c>
      <c r="K29" s="34">
        <f>SUMIFS('BA History'!H:H,'BA History'!B:B,A29)</f>
        <v>180</v>
      </c>
      <c r="L29" s="2">
        <f>SUMIFS('BA History'!G:G,'BA History'!B:B,A29)-K29</f>
        <v>172</v>
      </c>
      <c r="M29" s="93">
        <f t="shared" si="5"/>
        <v>0.51136363636363635</v>
      </c>
      <c r="N29" s="2">
        <f>COUNTIFS('BA History'!$B:$B,$A$29,'BA History'!K:K, 1)</f>
        <v>2</v>
      </c>
      <c r="O29" s="2">
        <f>COUNTIFS('BA History'!$B:$B,$A$29,'BA History'!L:L, 1)</f>
        <v>1</v>
      </c>
      <c r="P29" s="2">
        <f>COUNTIFS('BA History'!$B:$B,$A$29,'BA History'!M:M, 1)</f>
        <v>3</v>
      </c>
      <c r="Q29" s="2">
        <f>COUNTIFS('BA History'!$B:$B,$A$29,'BA History'!N:N, 1)</f>
        <v>5</v>
      </c>
      <c r="R29" s="2">
        <f>COUNTIFS('BA History'!$B:$B,$A$29,'BA History'!O:O, 1)</f>
        <v>1</v>
      </c>
      <c r="S29" s="2">
        <f>COUNTIFS('BA History'!$B:$B,$A$29,'BA History'!P:P, 1)</f>
        <v>1</v>
      </c>
      <c r="T29" s="2">
        <f>COUNTIFS('BA History'!$B:$B,$A$29,'BA History'!Q:Q, 1)</f>
        <v>1</v>
      </c>
      <c r="U29" s="2">
        <f>COUNTIFS('BA History'!$B:$B,$A$29,'BA History'!R:R, 1)</f>
        <v>0</v>
      </c>
      <c r="V29" s="2">
        <f>COUNTIFS('BA History'!$B:$B,$A$29,'BA History'!S:S, 1)</f>
        <v>0</v>
      </c>
      <c r="W29" s="2">
        <f>COUNTIFS('BA History'!$B:$B,$A$29,'BA History'!T:T, 1)</f>
        <v>2</v>
      </c>
      <c r="X29" s="2">
        <f>COUNTIFS('BA History'!$B:$B,$A$29,'BA History'!U:U, 1)</f>
        <v>2</v>
      </c>
      <c r="Y29" s="2">
        <f>COUNTIFS('BA History'!$B:$B,$A$29,'BA History'!V:V, 1)</f>
        <v>1</v>
      </c>
      <c r="Z29" s="2">
        <f>COUNTIFS('BA History'!$B:$B,$A$29,'BA History'!W:W, 1)</f>
        <v>1</v>
      </c>
      <c r="AA29" s="2">
        <f>COUNTIFS('BA History'!$B:$B,$A$29,'BA History'!X:X, 1)</f>
        <v>3</v>
      </c>
      <c r="AB29" s="2">
        <f>COUNTIFS('BA History'!$B:$B,$A$29,'BA History'!Y:Y, 1)</f>
        <v>6</v>
      </c>
      <c r="AC29" s="2">
        <f>COUNTIFS('BA History'!$B:$B,$A$29,'BA History'!Z:Z, 1)</f>
        <v>0</v>
      </c>
      <c r="AD29" s="2">
        <f>COUNTIFS('BA History'!$B:$B,$A$29,'BA History'!AA:AA, 1)</f>
        <v>6</v>
      </c>
      <c r="AE29" s="2">
        <f>COUNTIFS('BA History'!$B:$B,$A$29,'BA History'!AB:AB, 1)</f>
        <v>3</v>
      </c>
      <c r="AF29" s="2">
        <f>COUNTIFS('BA History'!$B:$B,$A$29,'BA History'!AC:AC, 1)</f>
        <v>2</v>
      </c>
      <c r="AG29" s="2">
        <f>COUNTIFS('BA History'!$B:$B,$A$29,'BA History'!AD:AD, 1)</f>
        <v>0</v>
      </c>
      <c r="AH29" s="2">
        <f>COUNTIFS('BA History'!$B:$B,$A$29,'BA History'!AE:AE, 1)</f>
        <v>2</v>
      </c>
    </row>
    <row r="30" spans="1:34" x14ac:dyDescent="0.25">
      <c r="A30" s="2" t="s">
        <v>54</v>
      </c>
      <c r="B30" s="34">
        <f>SUMIFS('BA History'!C:C,'BA History'!B:B,A30)</f>
        <v>645</v>
      </c>
      <c r="C30" s="66">
        <f>AVERAGEIFS('BA History'!C:C,'BA History'!B:B,A30)</f>
        <v>24.807692307692307</v>
      </c>
      <c r="D30" s="35">
        <f t="array" ref="D30">MAX(IF('BA History'!B:B=A30, 'BA History'!C:C))</f>
        <v>37</v>
      </c>
      <c r="E30" s="34">
        <f>COUNTIFS('BA History'!B:B,A30,'BA History'!D:D, 1)</f>
        <v>12</v>
      </c>
      <c r="F30" s="2">
        <f>COUNTIFS('BA History'!B:B,A30,'BA History'!D:D, 0)</f>
        <v>14</v>
      </c>
      <c r="G30" s="75">
        <f t="shared" si="3"/>
        <v>0.46153846153846156</v>
      </c>
      <c r="H30" s="34">
        <f>SUMIFS('BA History'!F:F,'BA History'!B:B,A30)</f>
        <v>54</v>
      </c>
      <c r="I30" s="2">
        <f>SUMIFS('BA History'!E:E,'BA History'!B:B,A30)-H30</f>
        <v>56</v>
      </c>
      <c r="J30" s="75">
        <f t="shared" si="4"/>
        <v>0.49090909090909091</v>
      </c>
      <c r="K30" s="34">
        <f>SUMIFS('BA History'!H:H,'BA History'!B:B,A30)</f>
        <v>223</v>
      </c>
      <c r="L30" s="2">
        <f>SUMIFS('BA History'!G:G,'BA History'!B:B,A30)-K30</f>
        <v>239</v>
      </c>
      <c r="M30" s="93">
        <f t="shared" si="5"/>
        <v>0.48268398268398266</v>
      </c>
      <c r="N30" s="2">
        <f>COUNTIFS('BA History'!$B:$B,$A$30,'BA History'!K:K, 1)</f>
        <v>3</v>
      </c>
      <c r="O30" s="2">
        <f>COUNTIFS('BA History'!$B:$B,$A$30,'BA History'!L:L, 1)</f>
        <v>5</v>
      </c>
      <c r="P30" s="2">
        <f>COUNTIFS('BA History'!$B:$B,$A$30,'BA History'!M:M, 1)</f>
        <v>4</v>
      </c>
      <c r="Q30" s="2">
        <f>COUNTIFS('BA History'!$B:$B,$A$30,'BA History'!N:N, 1)</f>
        <v>1</v>
      </c>
      <c r="R30" s="2">
        <f>COUNTIFS('BA History'!$B:$B,$A$30,'BA History'!O:O, 1)</f>
        <v>1</v>
      </c>
      <c r="S30" s="2">
        <f>COUNTIFS('BA History'!$B:$B,$A$30,'BA History'!P:P, 1)</f>
        <v>0</v>
      </c>
      <c r="T30" s="2">
        <f>COUNTIFS('BA History'!$B:$B,$A$30,'BA History'!Q:Q, 1)</f>
        <v>2</v>
      </c>
      <c r="U30" s="2">
        <f>COUNTIFS('BA History'!$B:$B,$A$30,'BA History'!R:R, 1)</f>
        <v>2</v>
      </c>
      <c r="V30" s="2">
        <f>COUNTIFS('BA History'!$B:$B,$A$30,'BA History'!S:S, 1)</f>
        <v>1</v>
      </c>
      <c r="W30" s="2">
        <f>COUNTIFS('BA History'!$B:$B,$A$30,'BA History'!T:T, 1)</f>
        <v>3</v>
      </c>
      <c r="X30" s="2">
        <f>COUNTIFS('BA History'!$B:$B,$A$30,'BA History'!U:U, 1)</f>
        <v>4</v>
      </c>
      <c r="Y30" s="2">
        <f>COUNTIFS('BA History'!$B:$B,$A$30,'BA History'!V:V, 1)</f>
        <v>0</v>
      </c>
      <c r="Z30" s="2">
        <f>COUNTIFS('BA History'!$B:$B,$A$30,'BA History'!W:W, 1)</f>
        <v>0</v>
      </c>
      <c r="AA30" s="2">
        <f>COUNTIFS('BA History'!$B:$B,$A$30,'BA History'!X:X, 1)</f>
        <v>3</v>
      </c>
      <c r="AB30" s="2">
        <f>COUNTIFS('BA History'!$B:$B,$A$30,'BA History'!Y:Y, 1)</f>
        <v>5</v>
      </c>
      <c r="AC30" s="2">
        <f>COUNTIFS('BA History'!$B:$B,$A$30,'BA History'!Z:Z, 1)</f>
        <v>1</v>
      </c>
      <c r="AD30" s="2">
        <f>COUNTIFS('BA History'!$B:$B,$A$30,'BA History'!AA:AA, 1)</f>
        <v>5</v>
      </c>
      <c r="AE30" s="2">
        <f>COUNTIFS('BA History'!$B:$B,$A$30,'BA History'!AB:AB, 1)</f>
        <v>6</v>
      </c>
      <c r="AF30" s="2">
        <f>COUNTIFS('BA History'!$B:$B,$A$30,'BA History'!AC:AC, 1)</f>
        <v>4</v>
      </c>
      <c r="AG30" s="2">
        <f>COUNTIFS('BA History'!$B:$B,$A$30,'BA History'!AD:AD, 1)</f>
        <v>2</v>
      </c>
      <c r="AH30" s="2">
        <f>COUNTIFS('BA History'!$B:$B,$A$30,'BA History'!AE:AE, 1)</f>
        <v>2</v>
      </c>
    </row>
    <row r="31" spans="1:34" x14ac:dyDescent="0.25">
      <c r="A31" s="2" t="s">
        <v>5</v>
      </c>
      <c r="B31" s="34">
        <f>SUMIFS('BA History'!C:C,'BA History'!B:B,A31)</f>
        <v>242</v>
      </c>
      <c r="C31" s="66">
        <f>AVERAGEIFS('BA History'!C:C,'BA History'!B:B,A31)</f>
        <v>22</v>
      </c>
      <c r="D31" s="35">
        <f t="array" ref="D31">MAX(IF('BA History'!B:B=A31, 'BA History'!C:C))</f>
        <v>36</v>
      </c>
      <c r="E31" s="34">
        <f>COUNTIFS('BA History'!B:B,A31,'BA History'!D:D, 1)</f>
        <v>8</v>
      </c>
      <c r="F31" s="2">
        <f>COUNTIFS('BA History'!B:B,A31,'BA History'!D:D, 0)</f>
        <v>3</v>
      </c>
      <c r="G31" s="75">
        <f t="shared" si="3"/>
        <v>0.72727272727272729</v>
      </c>
      <c r="H31" s="34">
        <f>SUMIFS('BA History'!F:F,'BA History'!B:B,A31)</f>
        <v>25</v>
      </c>
      <c r="I31" s="2">
        <f>SUMIFS('BA History'!E:E,'BA History'!B:B,A31)-H31</f>
        <v>16</v>
      </c>
      <c r="J31" s="75">
        <f t="shared" si="4"/>
        <v>0.6097560975609756</v>
      </c>
      <c r="K31" s="34">
        <f>SUMIFS('BA History'!H:H,'BA History'!B:B,A31)</f>
        <v>98</v>
      </c>
      <c r="L31" s="2">
        <f>SUMIFS('BA History'!G:G,'BA History'!B:B,A31)-K31</f>
        <v>78</v>
      </c>
      <c r="M31" s="93">
        <f t="shared" si="5"/>
        <v>0.55681818181818177</v>
      </c>
      <c r="N31" s="2">
        <f>COUNTIFS('BA History'!$B:$B,$A$31,'BA History'!K:K, 1)</f>
        <v>1</v>
      </c>
      <c r="O31" s="2">
        <f>COUNTIFS('BA History'!$B:$B,$A$31,'BA History'!L:L, 1)</f>
        <v>2</v>
      </c>
      <c r="P31" s="2">
        <f>COUNTIFS('BA History'!$B:$B,$A$31,'BA History'!M:M, 1)</f>
        <v>1</v>
      </c>
      <c r="Q31" s="2">
        <f>COUNTIFS('BA History'!$B:$B,$A$31,'BA History'!N:N, 1)</f>
        <v>2</v>
      </c>
      <c r="R31" s="2">
        <f>COUNTIFS('BA History'!$B:$B,$A$31,'BA History'!O:O, 1)</f>
        <v>1</v>
      </c>
      <c r="S31" s="2">
        <f>COUNTIFS('BA History'!$B:$B,$A$31,'BA History'!P:P, 1)</f>
        <v>0</v>
      </c>
      <c r="T31" s="2">
        <f>COUNTIFS('BA History'!$B:$B,$A$31,'BA History'!Q:Q, 1)</f>
        <v>0</v>
      </c>
      <c r="U31" s="2">
        <f>COUNTIFS('BA History'!$B:$B,$A$31,'BA History'!R:R, 1)</f>
        <v>0</v>
      </c>
      <c r="V31" s="2">
        <f>COUNTIFS('BA History'!$B:$B,$A$31,'BA History'!S:S, 1)</f>
        <v>0</v>
      </c>
      <c r="W31" s="2">
        <f>COUNTIFS('BA History'!$B:$B,$A$31,'BA History'!T:T, 1)</f>
        <v>1</v>
      </c>
      <c r="X31" s="2">
        <f>COUNTIFS('BA History'!$B:$B,$A$31,'BA History'!U:U, 1)</f>
        <v>2</v>
      </c>
      <c r="Y31" s="2">
        <f>COUNTIFS('BA History'!$B:$B,$A$31,'BA History'!V:V, 1)</f>
        <v>1</v>
      </c>
      <c r="Z31" s="2">
        <f>COUNTIFS('BA History'!$B:$B,$A$31,'BA History'!W:W, 1)</f>
        <v>1</v>
      </c>
      <c r="AA31" s="2">
        <f>COUNTIFS('BA History'!$B:$B,$A$31,'BA History'!X:X, 1)</f>
        <v>1</v>
      </c>
      <c r="AB31" s="2">
        <f>COUNTIFS('BA History'!$B:$B,$A$31,'BA History'!Y:Y, 1)</f>
        <v>1</v>
      </c>
      <c r="AC31" s="2">
        <f>COUNTIFS('BA History'!$B:$B,$A$31,'BA History'!Z:Z, 1)</f>
        <v>1</v>
      </c>
      <c r="AD31" s="2">
        <f>COUNTIFS('BA History'!$B:$B,$A$31,'BA History'!AA:AA, 1)</f>
        <v>3</v>
      </c>
      <c r="AE31" s="2">
        <f>COUNTIFS('BA History'!$B:$B,$A$31,'BA History'!AB:AB, 1)</f>
        <v>4</v>
      </c>
      <c r="AF31" s="2">
        <f>COUNTIFS('BA History'!$B:$B,$A$31,'BA History'!AC:AC, 1)</f>
        <v>2</v>
      </c>
      <c r="AG31" s="2">
        <f>COUNTIFS('BA History'!$B:$B,$A$31,'BA History'!AD:AD, 1)</f>
        <v>0</v>
      </c>
      <c r="AH31" s="2">
        <f>COUNTIFS('BA History'!$B:$B,$A$31,'BA History'!AE:AE, 1)</f>
        <v>1</v>
      </c>
    </row>
    <row r="32" spans="1:34" x14ac:dyDescent="0.25">
      <c r="A32" s="2" t="s">
        <v>38</v>
      </c>
      <c r="B32" s="34">
        <f>SUMIFS('BA History'!C:C,'BA History'!B:B,A32)</f>
        <v>12</v>
      </c>
      <c r="C32" s="66">
        <f>AVERAGEIFS('BA History'!C:C,'BA History'!B:B,A32)</f>
        <v>3</v>
      </c>
      <c r="D32" s="35">
        <f t="array" ref="D32">MAX(IF('BA History'!B:B=A32, 'BA History'!C:C))</f>
        <v>4</v>
      </c>
      <c r="E32" s="34">
        <f>COUNTIFS('BA History'!B:B,A32,'BA History'!D:D, 1)</f>
        <v>2</v>
      </c>
      <c r="F32" s="2">
        <f>COUNTIFS('BA History'!B:B,A32,'BA History'!D:D, 0)</f>
        <v>2</v>
      </c>
      <c r="G32" s="75">
        <f t="shared" si="3"/>
        <v>0.5</v>
      </c>
      <c r="H32" s="34">
        <f>SUMIFS('BA History'!F:F,'BA History'!B:B,A32)</f>
        <v>8</v>
      </c>
      <c r="I32" s="2">
        <f>SUMIFS('BA History'!E:E,'BA History'!B:B,A32)-H32</f>
        <v>9</v>
      </c>
      <c r="J32" s="75">
        <f t="shared" si="4"/>
        <v>0.47058823529411764</v>
      </c>
      <c r="K32" s="34">
        <f>SUMIFS('BA History'!H:H,'BA History'!B:B,A32)</f>
        <v>32</v>
      </c>
      <c r="L32" s="2">
        <f>SUMIFS('BA History'!G:G,'BA History'!B:B,A32)-K32</f>
        <v>38</v>
      </c>
      <c r="M32" s="93">
        <f t="shared" si="5"/>
        <v>0.45714285714285713</v>
      </c>
      <c r="N32" s="2">
        <f>COUNTIFS('BA History'!$B:$B,$A$32,'BA History'!K:K, 1)</f>
        <v>1</v>
      </c>
      <c r="O32" s="2">
        <f>COUNTIFS('BA History'!$B:$B,$A$32,'BA History'!L:L, 1)</f>
        <v>1</v>
      </c>
      <c r="P32" s="2">
        <f>COUNTIFS('BA History'!$B:$B,$A$32,'BA History'!M:M, 1)</f>
        <v>1</v>
      </c>
      <c r="Q32" s="2">
        <f>COUNTIFS('BA History'!$B:$B,$A$32,'BA History'!N:N, 1)</f>
        <v>0</v>
      </c>
      <c r="R32" s="2">
        <f>COUNTIFS('BA History'!$B:$B,$A$32,'BA History'!O:O, 1)</f>
        <v>0</v>
      </c>
      <c r="S32" s="2">
        <f>COUNTIFS('BA History'!$B:$B,$A$32,'BA History'!P:P, 1)</f>
        <v>0</v>
      </c>
      <c r="T32" s="2">
        <f>COUNTIFS('BA History'!$B:$B,$A$32,'BA History'!Q:Q, 1)</f>
        <v>0</v>
      </c>
      <c r="U32" s="2">
        <f>COUNTIFS('BA History'!$B:$B,$A$32,'BA History'!R:R, 1)</f>
        <v>0</v>
      </c>
      <c r="V32" s="2">
        <f>COUNTIFS('BA History'!$B:$B,$A$32,'BA History'!S:S, 1)</f>
        <v>0</v>
      </c>
      <c r="W32" s="2">
        <f>COUNTIFS('BA History'!$B:$B,$A$32,'BA History'!T:T, 1)</f>
        <v>0</v>
      </c>
      <c r="X32" s="2">
        <f>COUNTIFS('BA History'!$B:$B,$A$32,'BA History'!U:U, 1)</f>
        <v>2</v>
      </c>
      <c r="Y32" s="2">
        <f>COUNTIFS('BA History'!$B:$B,$A$32,'BA History'!V:V, 1)</f>
        <v>0</v>
      </c>
      <c r="Z32" s="2">
        <f>COUNTIFS('BA History'!$B:$B,$A$32,'BA History'!W:W, 1)</f>
        <v>0</v>
      </c>
      <c r="AA32" s="2">
        <f>COUNTIFS('BA History'!$B:$B,$A$32,'BA History'!X:X, 1)</f>
        <v>1</v>
      </c>
      <c r="AB32" s="2">
        <f>COUNTIFS('BA History'!$B:$B,$A$32,'BA History'!Y:Y, 1)</f>
        <v>0</v>
      </c>
      <c r="AC32" s="2">
        <f>COUNTIFS('BA History'!$B:$B,$A$32,'BA History'!Z:Z, 1)</f>
        <v>0</v>
      </c>
      <c r="AD32" s="2">
        <f>COUNTIFS('BA History'!$B:$B,$A$32,'BA History'!AA:AA, 1)</f>
        <v>1</v>
      </c>
      <c r="AE32" s="2">
        <f>COUNTIFS('BA History'!$B:$B,$A$32,'BA History'!AB:AB, 1)</f>
        <v>0</v>
      </c>
      <c r="AF32" s="2">
        <f>COUNTIFS('BA History'!$B:$B,$A$32,'BA History'!AC:AC, 1)</f>
        <v>1</v>
      </c>
      <c r="AG32" s="2">
        <f>COUNTIFS('BA History'!$B:$B,$A$32,'BA History'!AD:AD, 1)</f>
        <v>0</v>
      </c>
      <c r="AH32" s="2">
        <f>COUNTIFS('BA History'!$B:$B,$A$32,'BA History'!AE:AE, 1)</f>
        <v>0</v>
      </c>
    </row>
    <row r="33" spans="1:34" x14ac:dyDescent="0.25">
      <c r="A33" s="2" t="s">
        <v>40</v>
      </c>
      <c r="B33" s="34">
        <f>SUMIFS('BA History'!C:C,'BA History'!B:B,A33)</f>
        <v>403</v>
      </c>
      <c r="C33" s="66">
        <f>AVERAGEIFS('BA History'!C:C,'BA History'!B:B,A33)</f>
        <v>18.318181818181817</v>
      </c>
      <c r="D33" s="35">
        <f t="array" ref="D33">MAX(IF('BA History'!B:B=A33, 'BA History'!C:C))</f>
        <v>29</v>
      </c>
      <c r="E33" s="34">
        <f>COUNTIFS('BA History'!B:B,A33,'BA History'!D:D, 1)</f>
        <v>10</v>
      </c>
      <c r="F33" s="2">
        <f>COUNTIFS('BA History'!B:B,A33,'BA History'!D:D, 0)</f>
        <v>12</v>
      </c>
      <c r="G33" s="75">
        <f t="shared" si="3"/>
        <v>0.45454545454545453</v>
      </c>
      <c r="H33" s="34">
        <f>SUMIFS('BA History'!F:F,'BA History'!B:B,A33)</f>
        <v>45</v>
      </c>
      <c r="I33" s="2">
        <f>SUMIFS('BA History'!E:E,'BA History'!B:B,A33)-H33</f>
        <v>50</v>
      </c>
      <c r="J33" s="75">
        <f t="shared" si="4"/>
        <v>0.47368421052631576</v>
      </c>
      <c r="K33" s="34">
        <f>SUMIFS('BA History'!H:H,'BA History'!B:B,A33)</f>
        <v>192</v>
      </c>
      <c r="L33" s="2">
        <f>SUMIFS('BA History'!G:G,'BA History'!B:B,A33)-K33</f>
        <v>199</v>
      </c>
      <c r="M33" s="93">
        <f t="shared" si="5"/>
        <v>0.49104859335038364</v>
      </c>
      <c r="N33" s="2">
        <f>COUNTIFS('BA History'!$B:$B,$A$33,'BA History'!K:K, 1)</f>
        <v>0</v>
      </c>
      <c r="O33" s="2">
        <f>COUNTIFS('BA History'!$B:$B,$A$33,'BA History'!L:L, 1)</f>
        <v>5</v>
      </c>
      <c r="P33" s="2">
        <f>COUNTIFS('BA History'!$B:$B,$A$33,'BA History'!M:M, 1)</f>
        <v>4</v>
      </c>
      <c r="Q33" s="2">
        <f>COUNTIFS('BA History'!$B:$B,$A$33,'BA History'!N:N, 1)</f>
        <v>7</v>
      </c>
      <c r="R33" s="2">
        <f>COUNTIFS('BA History'!$B:$B,$A$33,'BA History'!O:O, 1)</f>
        <v>1</v>
      </c>
      <c r="S33" s="2">
        <f>COUNTIFS('BA History'!$B:$B,$A$33,'BA History'!P:P, 1)</f>
        <v>1</v>
      </c>
      <c r="T33" s="2">
        <f>COUNTIFS('BA History'!$B:$B,$A$33,'BA History'!Q:Q, 1)</f>
        <v>1</v>
      </c>
      <c r="U33" s="2">
        <f>COUNTIFS('BA History'!$B:$B,$A$33,'BA History'!R:R, 1)</f>
        <v>2</v>
      </c>
      <c r="V33" s="2">
        <f>COUNTIFS('BA History'!$B:$B,$A$33,'BA History'!S:S, 1)</f>
        <v>0</v>
      </c>
      <c r="W33" s="2">
        <f>COUNTIFS('BA History'!$B:$B,$A$33,'BA History'!T:T, 1)</f>
        <v>2</v>
      </c>
      <c r="X33" s="2">
        <f>COUNTIFS('BA History'!$B:$B,$A$33,'BA History'!U:U, 1)</f>
        <v>4</v>
      </c>
      <c r="Y33" s="2">
        <f>COUNTIFS('BA History'!$B:$B,$A$33,'BA History'!V:V, 1)</f>
        <v>1</v>
      </c>
      <c r="Z33" s="2">
        <f>COUNTIFS('BA History'!$B:$B,$A$33,'BA History'!W:W, 1)</f>
        <v>1</v>
      </c>
      <c r="AA33" s="2">
        <f>COUNTIFS('BA History'!$B:$B,$A$33,'BA History'!X:X, 1)</f>
        <v>1</v>
      </c>
      <c r="AB33" s="2">
        <f>COUNTIFS('BA History'!$B:$B,$A$33,'BA History'!Y:Y, 1)</f>
        <v>3</v>
      </c>
      <c r="AC33" s="2">
        <f>COUNTIFS('BA History'!$B:$B,$A$33,'BA History'!Z:Z, 1)</f>
        <v>0</v>
      </c>
      <c r="AD33" s="2">
        <f>COUNTIFS('BA History'!$B:$B,$A$33,'BA History'!AA:AA, 1)</f>
        <v>1</v>
      </c>
      <c r="AE33" s="2">
        <f>COUNTIFS('BA History'!$B:$B,$A$33,'BA History'!AB:AB, 1)</f>
        <v>3</v>
      </c>
      <c r="AF33" s="2">
        <f>COUNTIFS('BA History'!$B:$B,$A$33,'BA History'!AC:AC, 1)</f>
        <v>6</v>
      </c>
      <c r="AG33" s="2">
        <f>COUNTIFS('BA History'!$B:$B,$A$33,'BA History'!AD:AD, 1)</f>
        <v>0</v>
      </c>
      <c r="AH33" s="2">
        <f>COUNTIFS('BA History'!$B:$B,$A$33,'BA History'!AE:AE, 1)</f>
        <v>2</v>
      </c>
    </row>
    <row r="34" spans="1:34" x14ac:dyDescent="0.25">
      <c r="A34" s="2" t="s">
        <v>17</v>
      </c>
      <c r="B34" s="34">
        <f>SUMIFS('BA History'!C:C,'BA History'!B:B,A34)</f>
        <v>420</v>
      </c>
      <c r="C34" s="66">
        <f>AVERAGEIFS('BA History'!C:C,'BA History'!B:B,A34)</f>
        <v>21</v>
      </c>
      <c r="D34" s="35">
        <f t="array" ref="D34">MAX(IF('BA History'!B:B=A34, 'BA History'!C:C))</f>
        <v>32</v>
      </c>
      <c r="E34" s="34">
        <f>COUNTIFS('BA History'!B:B,A34,'BA History'!D:D, 1)</f>
        <v>7</v>
      </c>
      <c r="F34" s="2">
        <f>COUNTIFS('BA History'!B:B,A34,'BA History'!D:D, 0)</f>
        <v>13</v>
      </c>
      <c r="G34" s="75">
        <f t="shared" si="3"/>
        <v>0.35</v>
      </c>
      <c r="H34" s="34">
        <f>SUMIFS('BA History'!F:F,'BA History'!B:B,A34)</f>
        <v>36</v>
      </c>
      <c r="I34" s="2">
        <f>SUMIFS('BA History'!E:E,'BA History'!B:B,A34)-H34</f>
        <v>46</v>
      </c>
      <c r="J34" s="75">
        <f t="shared" si="4"/>
        <v>0.43902439024390244</v>
      </c>
      <c r="K34" s="34">
        <f>SUMIFS('BA History'!H:H,'BA History'!B:B,A34)</f>
        <v>154</v>
      </c>
      <c r="L34" s="2">
        <f>SUMIFS('BA History'!G:G,'BA History'!B:B,A34)-K34</f>
        <v>179</v>
      </c>
      <c r="M34" s="93">
        <f t="shared" si="5"/>
        <v>0.46246246246246248</v>
      </c>
      <c r="N34" s="2">
        <f>COUNTIFS('BA History'!$B:$B,$A$34,'BA History'!K:K, 1)</f>
        <v>3</v>
      </c>
      <c r="O34" s="2">
        <f>COUNTIFS('BA History'!$B:$B,$A$34,'BA History'!L:L, 1)</f>
        <v>1</v>
      </c>
      <c r="P34" s="2">
        <f>COUNTIFS('BA History'!$B:$B,$A$34,'BA History'!M:M, 1)</f>
        <v>3</v>
      </c>
      <c r="Q34" s="2">
        <f>COUNTIFS('BA History'!$B:$B,$A$34,'BA History'!N:N, 1)</f>
        <v>4</v>
      </c>
      <c r="R34" s="2">
        <f>COUNTIFS('BA History'!$B:$B,$A$34,'BA History'!O:O, 1)</f>
        <v>0</v>
      </c>
      <c r="S34" s="2">
        <f>COUNTIFS('BA History'!$B:$B,$A$34,'BA History'!P:P, 1)</f>
        <v>0</v>
      </c>
      <c r="T34" s="2">
        <f>COUNTIFS('BA History'!$B:$B,$A$34,'BA History'!Q:Q, 1)</f>
        <v>0</v>
      </c>
      <c r="U34" s="2">
        <f>COUNTIFS('BA History'!$B:$B,$A$34,'BA History'!R:R, 1)</f>
        <v>1</v>
      </c>
      <c r="V34" s="2">
        <f>COUNTIFS('BA History'!$B:$B,$A$34,'BA History'!S:S, 1)</f>
        <v>0</v>
      </c>
      <c r="W34" s="2">
        <f>COUNTIFS('BA History'!$B:$B,$A$34,'BA History'!T:T, 1)</f>
        <v>2</v>
      </c>
      <c r="X34" s="2">
        <f>COUNTIFS('BA History'!$B:$B,$A$34,'BA History'!U:U, 1)</f>
        <v>2</v>
      </c>
      <c r="Y34" s="2">
        <f>COUNTIFS('BA History'!$B:$B,$A$34,'BA History'!V:V, 1)</f>
        <v>0</v>
      </c>
      <c r="Z34" s="2">
        <f>COUNTIFS('BA History'!$B:$B,$A$34,'BA History'!W:W, 1)</f>
        <v>0</v>
      </c>
      <c r="AA34" s="2">
        <f>COUNTIFS('BA History'!$B:$B,$A$34,'BA History'!X:X, 1)</f>
        <v>1</v>
      </c>
      <c r="AB34" s="2">
        <f>COUNTIFS('BA History'!$B:$B,$A$34,'BA History'!Y:Y, 1)</f>
        <v>5</v>
      </c>
      <c r="AC34" s="2">
        <f>COUNTIFS('BA History'!$B:$B,$A$34,'BA History'!Z:Z, 1)</f>
        <v>0</v>
      </c>
      <c r="AD34" s="2">
        <f>COUNTIFS('BA History'!$B:$B,$A$34,'BA History'!AA:AA, 1)</f>
        <v>4</v>
      </c>
      <c r="AE34" s="2">
        <f>COUNTIFS('BA History'!$B:$B,$A$34,'BA History'!AB:AB, 1)</f>
        <v>5</v>
      </c>
      <c r="AF34" s="2">
        <f>COUNTIFS('BA History'!$B:$B,$A$34,'BA History'!AC:AC, 1)</f>
        <v>3</v>
      </c>
      <c r="AG34" s="2">
        <f>COUNTIFS('BA History'!$B:$B,$A$34,'BA History'!AD:AD, 1)</f>
        <v>1</v>
      </c>
      <c r="AH34" s="2">
        <f>COUNTIFS('BA History'!$B:$B,$A$34,'BA History'!AE:AE, 1)</f>
        <v>1</v>
      </c>
    </row>
    <row r="35" spans="1:34" x14ac:dyDescent="0.25">
      <c r="A35" s="1" t="s">
        <v>105</v>
      </c>
      <c r="B35" s="34">
        <f>SUMIFS('BA History'!C:C,'BA History'!B:B,A35)</f>
        <v>12</v>
      </c>
      <c r="C35" s="66">
        <f>AVERAGEIFS('BA History'!C:C,'BA History'!B:B,A35)</f>
        <v>12</v>
      </c>
      <c r="D35" s="35">
        <f t="array" ref="D35">MAX(IF('BA History'!B:B=A35, 'BA History'!C:C))</f>
        <v>12</v>
      </c>
      <c r="E35" s="34">
        <f>COUNTIFS('BA History'!B:B,A35,'BA History'!D:D, 1)</f>
        <v>1</v>
      </c>
      <c r="F35" s="2">
        <f>COUNTIFS('BA History'!B:B,A35,'BA History'!D:D, 0)</f>
        <v>0</v>
      </c>
      <c r="G35" s="75">
        <f t="shared" si="3"/>
        <v>1</v>
      </c>
      <c r="H35" s="34">
        <f>SUMIFS('BA History'!F:F,'BA History'!B:B,A35)</f>
        <v>3</v>
      </c>
      <c r="I35" s="2">
        <f>SUMIFS('BA History'!E:E,'BA History'!B:B,A35)-H35</f>
        <v>2</v>
      </c>
      <c r="J35" s="75">
        <f t="shared" si="4"/>
        <v>0.6</v>
      </c>
      <c r="K35" s="34">
        <f>SUMIFS('BA History'!H:H,'BA History'!B:B,A35)</f>
        <v>9</v>
      </c>
      <c r="L35" s="2">
        <f>SUMIFS('BA History'!G:G,'BA History'!B:B,A35)-K35</f>
        <v>10</v>
      </c>
      <c r="M35" s="93">
        <f t="shared" si="5"/>
        <v>0.47368421052631576</v>
      </c>
      <c r="N35" s="2">
        <f>COUNTIFS('BA History'!$B:$B,$A$35,'BA History'!K:K, 1)</f>
        <v>0</v>
      </c>
      <c r="O35" s="2">
        <f>COUNTIFS('BA History'!$B:$B,$A$35,'BA History'!L:L, 1)</f>
        <v>0</v>
      </c>
      <c r="P35" s="2">
        <f>COUNTIFS('BA History'!$B:$B,$A$35,'BA History'!M:M, 1)</f>
        <v>0</v>
      </c>
      <c r="Q35" s="2">
        <f>COUNTIFS('BA History'!$B:$B,$A$35,'BA History'!N:N, 1)</f>
        <v>0</v>
      </c>
      <c r="R35" s="2">
        <f>COUNTIFS('BA History'!$B:$B,$A$35,'BA History'!O:O, 1)</f>
        <v>0</v>
      </c>
      <c r="S35" s="2">
        <f>COUNTIFS('BA History'!$B:$B,$A$35,'BA History'!P:P, 1)</f>
        <v>0</v>
      </c>
      <c r="T35" s="2">
        <f>COUNTIFS('BA History'!$B:$B,$A$35,'BA History'!Q:Q, 1)</f>
        <v>0</v>
      </c>
      <c r="U35" s="2">
        <f>COUNTIFS('BA History'!$B:$B,$A$35,'BA History'!R:R, 1)</f>
        <v>0</v>
      </c>
      <c r="V35" s="2">
        <f>COUNTIFS('BA History'!$B:$B,$A$35,'BA History'!S:S, 1)</f>
        <v>0</v>
      </c>
      <c r="W35" s="2">
        <f>COUNTIFS('BA History'!$B:$B,$A$35,'BA History'!T:T, 1)</f>
        <v>1</v>
      </c>
      <c r="X35" s="2">
        <f>COUNTIFS('BA History'!$B:$B,$A$35,'BA History'!U:U, 1)</f>
        <v>0</v>
      </c>
      <c r="Y35" s="2">
        <f>COUNTIFS('BA History'!$B:$B,$A$35,'BA History'!V:V, 1)</f>
        <v>0</v>
      </c>
      <c r="Z35" s="2">
        <f>COUNTIFS('BA History'!$B:$B,$A$35,'BA History'!W:W, 1)</f>
        <v>0</v>
      </c>
      <c r="AA35" s="2">
        <f>COUNTIFS('BA History'!$B:$B,$A$35,'BA History'!X:X, 1)</f>
        <v>0</v>
      </c>
      <c r="AB35" s="2">
        <f>COUNTIFS('BA History'!$B:$B,$A$35,'BA History'!Y:Y, 1)</f>
        <v>0</v>
      </c>
      <c r="AC35" s="2">
        <f>COUNTIFS('BA History'!$B:$B,$A$35,'BA History'!Z:Z, 1)</f>
        <v>0</v>
      </c>
      <c r="AD35" s="2">
        <f>COUNTIFS('BA History'!$B:$B,$A$35,'BA History'!AA:AA, 1)</f>
        <v>1</v>
      </c>
      <c r="AE35" s="2">
        <f>COUNTIFS('BA History'!$B:$B,$A$35,'BA History'!AB:AB, 1)</f>
        <v>1</v>
      </c>
      <c r="AF35" s="2">
        <f>COUNTIFS('BA History'!$B:$B,$A$35,'BA History'!AC:AC, 1)</f>
        <v>0</v>
      </c>
      <c r="AG35" s="2">
        <f>COUNTIFS('BA History'!$B:$B,$A$35,'BA History'!AD:AD, 1)</f>
        <v>0</v>
      </c>
      <c r="AH35" s="2">
        <f>COUNTIFS('BA History'!$B:$B,$A$35,'BA History'!AE:AE, 1)</f>
        <v>0</v>
      </c>
    </row>
    <row r="36" spans="1:34" x14ac:dyDescent="0.25">
      <c r="A36" s="1" t="s">
        <v>118</v>
      </c>
      <c r="B36" s="34">
        <f>SUMIFS('BA History'!C:C,'BA History'!B:B,A36)</f>
        <v>10</v>
      </c>
      <c r="C36" s="66">
        <f>AVERAGEIFS('BA History'!C:C,'BA History'!B:B,A36)</f>
        <v>10</v>
      </c>
      <c r="D36" s="35">
        <f t="array" ref="D36">MAX(IF('BA History'!B:B=A36, 'BA History'!C:C))</f>
        <v>10</v>
      </c>
      <c r="E36" s="34">
        <f>COUNTIFS('BA History'!B:B,A36,'BA History'!D:D, 1)</f>
        <v>1</v>
      </c>
      <c r="F36" s="2">
        <f>COUNTIFS('BA History'!B:B,A36,'BA History'!D:D, 0)</f>
        <v>0</v>
      </c>
      <c r="G36" s="75">
        <f t="shared" si="3"/>
        <v>1</v>
      </c>
      <c r="H36" s="34">
        <f>SUMIFS('BA History'!F:F,'BA History'!B:B,A36)</f>
        <v>3</v>
      </c>
      <c r="I36" s="2">
        <f>SUMIFS('BA History'!E:E,'BA History'!B:B,A36)-H36</f>
        <v>1</v>
      </c>
      <c r="J36" s="75">
        <f t="shared" si="4"/>
        <v>0.75</v>
      </c>
      <c r="K36" s="34">
        <f>SUMIFS('BA History'!H:H,'BA History'!B:B,A36)</f>
        <v>9</v>
      </c>
      <c r="L36" s="2">
        <f>SUMIFS('BA History'!G:G,'BA History'!B:B,A36)-K36</f>
        <v>5</v>
      </c>
      <c r="M36" s="93">
        <f t="shared" si="5"/>
        <v>0.6428571428571429</v>
      </c>
      <c r="N36" s="2">
        <f>COUNTIFS('BA History'!$B:$B,$A$36,'BA History'!K:K, 1)</f>
        <v>0</v>
      </c>
      <c r="O36" s="2">
        <f>COUNTIFS('BA History'!$B:$B,$A$36,'BA History'!L:L, 1)</f>
        <v>0</v>
      </c>
      <c r="P36" s="2">
        <f>COUNTIFS('BA History'!$B:$B,$A$36,'BA History'!M:M, 1)</f>
        <v>0</v>
      </c>
      <c r="Q36" s="2">
        <f>COUNTIFS('BA History'!$B:$B,$A$36,'BA History'!N:N, 1)</f>
        <v>0</v>
      </c>
      <c r="R36" s="2">
        <f>COUNTIFS('BA History'!$B:$B,$A$36,'BA History'!O:O, 1)</f>
        <v>0</v>
      </c>
      <c r="S36" s="2">
        <f>COUNTIFS('BA History'!$B:$B,$A$36,'BA History'!P:P, 1)</f>
        <v>0</v>
      </c>
      <c r="T36" s="2">
        <f>COUNTIFS('BA History'!$B:$B,$A$36,'BA History'!Q:Q, 1)</f>
        <v>0</v>
      </c>
      <c r="U36" s="2">
        <f>COUNTIFS('BA History'!$B:$B,$A$36,'BA History'!R:R, 1)</f>
        <v>0</v>
      </c>
      <c r="V36" s="2">
        <f>COUNTIFS('BA History'!$B:$B,$A$36,'BA History'!S:S, 1)</f>
        <v>0</v>
      </c>
      <c r="W36" s="2">
        <f>COUNTIFS('BA History'!$B:$B,$A$36,'BA History'!T:T, 1)</f>
        <v>0</v>
      </c>
      <c r="X36" s="2">
        <f>COUNTIFS('BA History'!$B:$B,$A$36,'BA History'!U:U, 1)</f>
        <v>1</v>
      </c>
      <c r="Y36" s="2">
        <f>COUNTIFS('BA History'!$B:$B,$A$36,'BA History'!V:V, 1)</f>
        <v>0</v>
      </c>
      <c r="Z36" s="2">
        <f>COUNTIFS('BA History'!$B:$B,$A$36,'BA History'!W:W, 1)</f>
        <v>0</v>
      </c>
      <c r="AA36" s="2">
        <f>COUNTIFS('BA History'!$B:$B,$A$36,'BA History'!X:X, 1)</f>
        <v>0</v>
      </c>
      <c r="AB36" s="2">
        <f>COUNTIFS('BA History'!$B:$B,$A$36,'BA History'!Y:Y, 1)</f>
        <v>1</v>
      </c>
      <c r="AC36" s="2">
        <f>COUNTIFS('BA History'!$B:$B,$A$36,'BA History'!Z:Z, 1)</f>
        <v>0</v>
      </c>
      <c r="AD36" s="2">
        <f>COUNTIFS('BA History'!$B:$B,$A$36,'BA History'!AA:AA, 1)</f>
        <v>0</v>
      </c>
      <c r="AE36" s="2">
        <f>COUNTIFS('BA History'!$B:$B,$A$36,'BA History'!AB:AB, 1)</f>
        <v>1</v>
      </c>
      <c r="AF36" s="2">
        <f>COUNTIFS('BA History'!$B:$B,$A$36,'BA History'!AC:AC, 1)</f>
        <v>0</v>
      </c>
      <c r="AG36" s="2">
        <f>COUNTIFS('BA History'!$B:$B,$A$36,'BA History'!AD:AD, 1)</f>
        <v>0</v>
      </c>
      <c r="AH36" s="2">
        <f>COUNTIFS('BA History'!$B:$B,$A$36,'BA History'!AE:AE, 1)</f>
        <v>0</v>
      </c>
    </row>
    <row r="37" spans="1:34" x14ac:dyDescent="0.25">
      <c r="A37" s="2" t="s">
        <v>6</v>
      </c>
      <c r="B37" s="34">
        <f>SUMIFS('BA History'!C:C,'BA History'!B:B,A37)</f>
        <v>622</v>
      </c>
      <c r="C37" s="66">
        <f>AVERAGEIFS('BA History'!C:C,'BA History'!B:B,A37)</f>
        <v>23.037037037037038</v>
      </c>
      <c r="D37" s="35">
        <f t="array" ref="D37">MAX(IF('BA History'!B:B=A37, 'BA History'!C:C))</f>
        <v>37</v>
      </c>
      <c r="E37" s="34">
        <f>COUNTIFS('BA History'!B:B,A37,'BA History'!D:D, 1)</f>
        <v>21</v>
      </c>
      <c r="F37" s="2">
        <f>COUNTIFS('BA History'!B:B,A37,'BA History'!D:D, 0)</f>
        <v>6</v>
      </c>
      <c r="G37" s="75">
        <f t="shared" si="3"/>
        <v>0.77777777777777779</v>
      </c>
      <c r="H37" s="34">
        <f>SUMIFS('BA History'!F:F,'BA History'!B:B,A37)</f>
        <v>71</v>
      </c>
      <c r="I37" s="2">
        <f>SUMIFS('BA History'!E:E,'BA History'!B:B,A37)-H37</f>
        <v>40</v>
      </c>
      <c r="J37" s="75">
        <f t="shared" si="4"/>
        <v>0.63963963963963966</v>
      </c>
      <c r="K37" s="34">
        <f>SUMIFS('BA History'!H:H,'BA History'!B:B,A37)</f>
        <v>262</v>
      </c>
      <c r="L37" s="2">
        <f>SUMIFS('BA History'!G:G,'BA History'!B:B,A37)-K37</f>
        <v>197</v>
      </c>
      <c r="M37" s="93">
        <f t="shared" si="5"/>
        <v>0.57080610021786493</v>
      </c>
      <c r="N37" s="2">
        <f>COUNTIFS('BA History'!$B:$B,$A$37,'BA History'!K:K, 1)</f>
        <v>5</v>
      </c>
      <c r="O37" s="2">
        <f>COUNTIFS('BA History'!$B:$B,$A$37,'BA History'!L:L, 1)</f>
        <v>2</v>
      </c>
      <c r="P37" s="2">
        <f>COUNTIFS('BA History'!$B:$B,$A$37,'BA History'!M:M, 1)</f>
        <v>5</v>
      </c>
      <c r="Q37" s="2">
        <f>COUNTIFS('BA History'!$B:$B,$A$37,'BA History'!N:N, 1)</f>
        <v>5</v>
      </c>
      <c r="R37" s="2">
        <f>COUNTIFS('BA History'!$B:$B,$A$37,'BA History'!O:O, 1)</f>
        <v>1</v>
      </c>
      <c r="S37" s="2">
        <f>COUNTIFS('BA History'!$B:$B,$A$37,'BA History'!P:P, 1)</f>
        <v>0</v>
      </c>
      <c r="T37" s="2">
        <f>COUNTIFS('BA History'!$B:$B,$A$37,'BA History'!Q:Q, 1)</f>
        <v>2</v>
      </c>
      <c r="U37" s="2">
        <f>COUNTIFS('BA History'!$B:$B,$A$37,'BA History'!R:R, 1)</f>
        <v>2</v>
      </c>
      <c r="V37" s="2">
        <f>COUNTIFS('BA History'!$B:$B,$A$37,'BA History'!S:S, 1)</f>
        <v>0</v>
      </c>
      <c r="W37" s="2">
        <f>COUNTIFS('BA History'!$B:$B,$A$37,'BA History'!T:T, 1)</f>
        <v>2</v>
      </c>
      <c r="X37" s="2">
        <f>COUNTIFS('BA History'!$B:$B,$A$37,'BA History'!U:U, 1)</f>
        <v>7</v>
      </c>
      <c r="Y37" s="2">
        <f>COUNTIFS('BA History'!$B:$B,$A$37,'BA History'!V:V, 1)</f>
        <v>3</v>
      </c>
      <c r="Z37" s="2">
        <f>COUNTIFS('BA History'!$B:$B,$A$37,'BA History'!W:W, 1)</f>
        <v>2</v>
      </c>
      <c r="AA37" s="2">
        <f>COUNTIFS('BA History'!$B:$B,$A$37,'BA History'!X:X, 1)</f>
        <v>2</v>
      </c>
      <c r="AB37" s="2">
        <f>COUNTIFS('BA History'!$B:$B,$A$37,'BA History'!Y:Y, 1)</f>
        <v>9</v>
      </c>
      <c r="AC37" s="2">
        <f>COUNTIFS('BA History'!$B:$B,$A$37,'BA History'!Z:Z, 1)</f>
        <v>1</v>
      </c>
      <c r="AD37" s="2">
        <f>COUNTIFS('BA History'!$B:$B,$A$37,'BA History'!AA:AA, 1)</f>
        <v>7</v>
      </c>
      <c r="AE37" s="2">
        <f>COUNTIFS('BA History'!$B:$B,$A$37,'BA History'!AB:AB, 1)</f>
        <v>4</v>
      </c>
      <c r="AF37" s="2">
        <f>COUNTIFS('BA History'!$B:$B,$A$37,'BA History'!AC:AC, 1)</f>
        <v>7</v>
      </c>
      <c r="AG37" s="2">
        <f>COUNTIFS('BA History'!$B:$B,$A$37,'BA History'!AD:AD, 1)</f>
        <v>1</v>
      </c>
      <c r="AH37" s="2">
        <f>COUNTIFS('BA History'!$B:$B,$A$37,'BA History'!AE:AE, 1)</f>
        <v>4</v>
      </c>
    </row>
    <row r="38" spans="1:34" x14ac:dyDescent="0.25">
      <c r="A38" s="2" t="s">
        <v>18</v>
      </c>
      <c r="B38" s="34">
        <f>SUMIFS('BA History'!C:C,'BA History'!B:B,A38)</f>
        <v>55</v>
      </c>
      <c r="C38" s="66">
        <f>AVERAGEIFS('BA History'!C:C,'BA History'!B:B,A38)</f>
        <v>18.333333333333332</v>
      </c>
      <c r="D38" s="35">
        <f t="array" ref="D38">MAX(IF('BA History'!B:B=A38, 'BA History'!C:C))</f>
        <v>24</v>
      </c>
      <c r="E38" s="34">
        <f>COUNTIFS('BA History'!B:B,A38,'BA History'!D:D, 1)</f>
        <v>2</v>
      </c>
      <c r="F38" s="2">
        <f>COUNTIFS('BA History'!B:B,A38,'BA History'!D:D, 0)</f>
        <v>1</v>
      </c>
      <c r="G38" s="75">
        <f t="shared" si="3"/>
        <v>0.66666666666666663</v>
      </c>
      <c r="H38" s="34">
        <f>SUMIFS('BA History'!F:F,'BA History'!B:B,A38)</f>
        <v>7</v>
      </c>
      <c r="I38" s="2">
        <f>SUMIFS('BA History'!E:E,'BA History'!B:B,A38)-H38</f>
        <v>5</v>
      </c>
      <c r="J38" s="75">
        <f t="shared" si="4"/>
        <v>0.58333333333333337</v>
      </c>
      <c r="K38" s="34">
        <f>SUMIFS('BA History'!H:H,'BA History'!B:B,A38)</f>
        <v>26</v>
      </c>
      <c r="L38" s="2">
        <f>SUMIFS('BA History'!G:G,'BA History'!B:B,A38)-K38</f>
        <v>23</v>
      </c>
      <c r="M38" s="93">
        <f t="shared" si="5"/>
        <v>0.53061224489795922</v>
      </c>
      <c r="N38" s="2">
        <f>COUNTIFS('BA History'!$B:$B,$A$38,'BA History'!K:K, 1)</f>
        <v>0</v>
      </c>
      <c r="O38" s="2">
        <f>COUNTIFS('BA History'!$B:$B,$A$38,'BA History'!L:L, 1)</f>
        <v>2</v>
      </c>
      <c r="P38" s="2">
        <f>COUNTIFS('BA History'!$B:$B,$A$38,'BA History'!M:M, 1)</f>
        <v>0</v>
      </c>
      <c r="Q38" s="2">
        <f>COUNTIFS('BA History'!$B:$B,$A$38,'BA History'!N:N, 1)</f>
        <v>1</v>
      </c>
      <c r="R38" s="2">
        <f>COUNTIFS('BA History'!$B:$B,$A$38,'BA History'!O:O, 1)</f>
        <v>0</v>
      </c>
      <c r="S38" s="2">
        <f>COUNTIFS('BA History'!$B:$B,$A$38,'BA History'!P:P, 1)</f>
        <v>0</v>
      </c>
      <c r="T38" s="2">
        <f>COUNTIFS('BA History'!$B:$B,$A$38,'BA History'!Q:Q, 1)</f>
        <v>0</v>
      </c>
      <c r="U38" s="2">
        <f>COUNTIFS('BA History'!$B:$B,$A$38,'BA History'!R:R, 1)</f>
        <v>0</v>
      </c>
      <c r="V38" s="2">
        <f>COUNTIFS('BA History'!$B:$B,$A$38,'BA History'!S:S, 1)</f>
        <v>0</v>
      </c>
      <c r="W38" s="2">
        <f>COUNTIFS('BA History'!$B:$B,$A$38,'BA History'!T:T, 1)</f>
        <v>0</v>
      </c>
      <c r="X38" s="2">
        <f>COUNTIFS('BA History'!$B:$B,$A$38,'BA History'!U:U, 1)</f>
        <v>0</v>
      </c>
      <c r="Y38" s="2">
        <f>COUNTIFS('BA History'!$B:$B,$A$38,'BA History'!V:V, 1)</f>
        <v>1</v>
      </c>
      <c r="Z38" s="2">
        <f>COUNTIFS('BA History'!$B:$B,$A$38,'BA History'!W:W, 1)</f>
        <v>1</v>
      </c>
      <c r="AA38" s="2">
        <f>COUNTIFS('BA History'!$B:$B,$A$38,'BA History'!X:X, 1)</f>
        <v>0</v>
      </c>
      <c r="AB38" s="2">
        <f>COUNTIFS('BA History'!$B:$B,$A$38,'BA History'!Y:Y, 1)</f>
        <v>1</v>
      </c>
      <c r="AC38" s="2">
        <f>COUNTIFS('BA History'!$B:$B,$A$38,'BA History'!Z:Z, 1)</f>
        <v>0</v>
      </c>
      <c r="AD38" s="2">
        <f>COUNTIFS('BA History'!$B:$B,$A$38,'BA History'!AA:AA, 1)</f>
        <v>0</v>
      </c>
      <c r="AE38" s="2">
        <f>COUNTIFS('BA History'!$B:$B,$A$38,'BA History'!AB:AB, 1)</f>
        <v>0</v>
      </c>
      <c r="AF38" s="2">
        <f>COUNTIFS('BA History'!$B:$B,$A$38,'BA History'!AC:AC, 1)</f>
        <v>1</v>
      </c>
      <c r="AG38" s="2">
        <f>COUNTIFS('BA History'!$B:$B,$A$38,'BA History'!AD:AD, 1)</f>
        <v>0</v>
      </c>
      <c r="AH38" s="2">
        <f>COUNTIFS('BA History'!$B:$B,$A$38,'BA History'!AE:AE, 1)</f>
        <v>0</v>
      </c>
    </row>
    <row r="39" spans="1:34" x14ac:dyDescent="0.25">
      <c r="A39" s="2" t="s">
        <v>113</v>
      </c>
      <c r="B39" s="34">
        <f>SUMIFS('BA History'!C:C,'BA History'!B:B,A39)</f>
        <v>115</v>
      </c>
      <c r="C39" s="66">
        <f>AVERAGEIFS('BA History'!C:C,'BA History'!B:B,A39)</f>
        <v>19.166666666666668</v>
      </c>
      <c r="D39" s="35">
        <f t="array" ref="D39">MAX(IF('BA History'!B:B=A39, 'BA History'!C:C))</f>
        <v>28</v>
      </c>
      <c r="E39" s="34">
        <f>COUNTIFS('BA History'!B:B,A39,'BA History'!D:D, 1)</f>
        <v>3</v>
      </c>
      <c r="F39" s="2">
        <f>COUNTIFS('BA History'!B:B,A39,'BA History'!D:D, 0)</f>
        <v>3</v>
      </c>
      <c r="G39" s="75">
        <f t="shared" si="3"/>
        <v>0.5</v>
      </c>
      <c r="H39" s="34">
        <f>SUMIFS('BA History'!F:F,'BA History'!B:B,A39)</f>
        <v>14</v>
      </c>
      <c r="I39" s="2">
        <f>SUMIFS('BA History'!E:E,'BA History'!B:B,A39)-H39</f>
        <v>14</v>
      </c>
      <c r="J39" s="75">
        <f t="shared" si="4"/>
        <v>0.5</v>
      </c>
      <c r="K39" s="34">
        <f>SUMIFS('BA History'!H:H,'BA History'!B:B,A39)</f>
        <v>55</v>
      </c>
      <c r="L39" s="2">
        <f>SUMIFS('BA History'!G:G,'BA History'!B:B,A39)-K39</f>
        <v>61</v>
      </c>
      <c r="M39" s="93">
        <f t="shared" si="5"/>
        <v>0.47413793103448276</v>
      </c>
      <c r="N39" s="2">
        <f>COUNTIFS('BA History'!$B:$B,$A$39,'BA History'!K:K, 1)</f>
        <v>0</v>
      </c>
      <c r="O39" s="2">
        <f>COUNTIFS('BA History'!$B:$B,$A$39,'BA History'!L:L, 1)</f>
        <v>1</v>
      </c>
      <c r="P39" s="2">
        <f>COUNTIFS('BA History'!$B:$B,$A$39,'BA History'!M:M, 1)</f>
        <v>3</v>
      </c>
      <c r="Q39" s="2">
        <f>COUNTIFS('BA History'!$B:$B,$A$39,'BA History'!N:N, 1)</f>
        <v>1</v>
      </c>
      <c r="R39" s="2">
        <f>COUNTIFS('BA History'!$B:$B,$A$39,'BA History'!O:O, 1)</f>
        <v>0</v>
      </c>
      <c r="S39" s="2">
        <f>COUNTIFS('BA History'!$B:$B,$A$39,'BA History'!P:P, 1)</f>
        <v>0</v>
      </c>
      <c r="T39" s="2">
        <f>COUNTIFS('BA History'!$B:$B,$A$39,'BA History'!Q:Q, 1)</f>
        <v>1</v>
      </c>
      <c r="U39" s="2">
        <f>COUNTIFS('BA History'!$B:$B,$A$39,'BA History'!R:R, 1)</f>
        <v>0</v>
      </c>
      <c r="V39" s="2">
        <f>COUNTIFS('BA History'!$B:$B,$A$39,'BA History'!S:S, 1)</f>
        <v>0</v>
      </c>
      <c r="W39" s="2">
        <f>COUNTIFS('BA History'!$B:$B,$A$39,'BA History'!T:T, 1)</f>
        <v>1</v>
      </c>
      <c r="X39" s="2">
        <f>COUNTIFS('BA History'!$B:$B,$A$39,'BA History'!U:U, 1)</f>
        <v>1</v>
      </c>
      <c r="Y39" s="2">
        <f>COUNTIFS('BA History'!$B:$B,$A$39,'BA History'!V:V, 1)</f>
        <v>0</v>
      </c>
      <c r="Z39" s="2">
        <f>COUNTIFS('BA History'!$B:$B,$A$39,'BA History'!W:W, 1)</f>
        <v>0</v>
      </c>
      <c r="AA39" s="2">
        <f>COUNTIFS('BA History'!$B:$B,$A$39,'BA History'!X:X, 1)</f>
        <v>2</v>
      </c>
      <c r="AB39" s="2">
        <f>COUNTIFS('BA History'!$B:$B,$A$39,'BA History'!Y:Y, 1)</f>
        <v>0</v>
      </c>
      <c r="AC39" s="2">
        <f>COUNTIFS('BA History'!$B:$B,$A$39,'BA History'!Z:Z, 1)</f>
        <v>0</v>
      </c>
      <c r="AD39" s="2">
        <f>COUNTIFS('BA History'!$B:$B,$A$39,'BA History'!AA:AA, 1)</f>
        <v>1</v>
      </c>
      <c r="AE39" s="2">
        <f>COUNTIFS('BA History'!$B:$B,$A$39,'BA History'!AB:AB, 1)</f>
        <v>2</v>
      </c>
      <c r="AF39" s="2">
        <f>COUNTIFS('BA History'!$B:$B,$A$39,'BA History'!AC:AC, 1)</f>
        <v>1</v>
      </c>
      <c r="AG39" s="2">
        <f>COUNTIFS('BA History'!$B:$B,$A$39,'BA History'!AD:AD, 1)</f>
        <v>0</v>
      </c>
      <c r="AH39" s="2">
        <f>COUNTIFS('BA History'!$B:$B,$A$39,'BA History'!AE:AE, 1)</f>
        <v>0</v>
      </c>
    </row>
    <row r="40" spans="1:34" x14ac:dyDescent="0.25">
      <c r="A40" s="2" t="s">
        <v>14</v>
      </c>
      <c r="B40" s="34">
        <f>SUMIFS('BA History'!C:C,'BA History'!B:B,A40)</f>
        <v>200</v>
      </c>
      <c r="C40" s="66">
        <f>AVERAGEIFS('BA History'!C:C,'BA History'!B:B,A40)</f>
        <v>16.666666666666668</v>
      </c>
      <c r="D40" s="35">
        <f t="array" ref="D40">MAX(IF('BA History'!B:B=A40, 'BA History'!C:C))</f>
        <v>27</v>
      </c>
      <c r="E40" s="34">
        <f>COUNTIFS('BA History'!B:B,A40,'BA History'!D:D, 1)</f>
        <v>6</v>
      </c>
      <c r="F40" s="2">
        <f>COUNTIFS('BA History'!B:B,A40,'BA History'!D:D, 0)</f>
        <v>6</v>
      </c>
      <c r="G40" s="75">
        <f t="shared" si="3"/>
        <v>0.5</v>
      </c>
      <c r="H40" s="34">
        <f>SUMIFS('BA History'!F:F,'BA History'!B:B,A40)</f>
        <v>24</v>
      </c>
      <c r="I40" s="2">
        <f>SUMIFS('BA History'!E:E,'BA History'!B:B,A40)-H40</f>
        <v>27</v>
      </c>
      <c r="J40" s="75">
        <f t="shared" si="4"/>
        <v>0.47058823529411764</v>
      </c>
      <c r="K40" s="34">
        <f>SUMIFS('BA History'!H:H,'BA History'!B:B,A40)</f>
        <v>103</v>
      </c>
      <c r="L40" s="2">
        <f>SUMIFS('BA History'!G:G,'BA History'!B:B,A40)-K40</f>
        <v>103</v>
      </c>
      <c r="M40" s="93">
        <f t="shared" si="5"/>
        <v>0.5</v>
      </c>
      <c r="N40" s="2">
        <f>COUNTIFS('BA History'!$B:$B,$A$40,'BA History'!K:K, 1)</f>
        <v>1</v>
      </c>
      <c r="O40" s="2">
        <f>COUNTIFS('BA History'!$B:$B,$A$40,'BA History'!L:L, 1)</f>
        <v>1</v>
      </c>
      <c r="P40" s="2">
        <f>COUNTIFS('BA History'!$B:$B,$A$40,'BA History'!M:M, 1)</f>
        <v>0</v>
      </c>
      <c r="Q40" s="2">
        <f>COUNTIFS('BA History'!$B:$B,$A$40,'BA History'!N:N, 1)</f>
        <v>0</v>
      </c>
      <c r="R40" s="2">
        <f>COUNTIFS('BA History'!$B:$B,$A$40,'BA History'!O:O, 1)</f>
        <v>0</v>
      </c>
      <c r="S40" s="2">
        <f>COUNTIFS('BA History'!$B:$B,$A$40,'BA History'!P:P, 1)</f>
        <v>0</v>
      </c>
      <c r="T40" s="2">
        <f>COUNTIFS('BA History'!$B:$B,$A$40,'BA History'!Q:Q, 1)</f>
        <v>2</v>
      </c>
      <c r="U40" s="2">
        <f>COUNTIFS('BA History'!$B:$B,$A$40,'BA History'!R:R, 1)</f>
        <v>1</v>
      </c>
      <c r="V40" s="2">
        <f>COUNTIFS('BA History'!$B:$B,$A$40,'BA History'!S:S, 1)</f>
        <v>1</v>
      </c>
      <c r="W40" s="2">
        <f>COUNTIFS('BA History'!$B:$B,$A$40,'BA History'!T:T, 1)</f>
        <v>1</v>
      </c>
      <c r="X40" s="2">
        <f>COUNTIFS('BA History'!$B:$B,$A$40,'BA History'!U:U, 1)</f>
        <v>0</v>
      </c>
      <c r="Y40" s="2">
        <f>COUNTIFS('BA History'!$B:$B,$A$40,'BA History'!V:V, 1)</f>
        <v>2</v>
      </c>
      <c r="Z40" s="2">
        <f>COUNTIFS('BA History'!$B:$B,$A$40,'BA History'!W:W, 1)</f>
        <v>1</v>
      </c>
      <c r="AA40" s="2">
        <f>COUNTIFS('BA History'!$B:$B,$A$40,'BA History'!X:X, 1)</f>
        <v>2</v>
      </c>
      <c r="AB40" s="2">
        <f>COUNTIFS('BA History'!$B:$B,$A$40,'BA History'!Y:Y, 1)</f>
        <v>5</v>
      </c>
      <c r="AC40" s="2">
        <f>COUNTIFS('BA History'!$B:$B,$A$40,'BA History'!Z:Z, 1)</f>
        <v>1</v>
      </c>
      <c r="AD40" s="2">
        <f>COUNTIFS('BA History'!$B:$B,$A$40,'BA History'!AA:AA, 1)</f>
        <v>3</v>
      </c>
      <c r="AE40" s="2">
        <f>COUNTIFS('BA History'!$B:$B,$A$40,'BA History'!AB:AB, 1)</f>
        <v>3</v>
      </c>
      <c r="AF40" s="2">
        <f>COUNTIFS('BA History'!$B:$B,$A$40,'BA History'!AC:AC, 1)</f>
        <v>0</v>
      </c>
      <c r="AG40" s="2">
        <f>COUNTIFS('BA History'!$B:$B,$A$40,'BA History'!AD:AD, 1)</f>
        <v>0</v>
      </c>
      <c r="AH40" s="2">
        <f>COUNTIFS('BA History'!$B:$B,$A$40,'BA History'!AE:AE, 1)</f>
        <v>0</v>
      </c>
    </row>
    <row r="41" spans="1:34" x14ac:dyDescent="0.25">
      <c r="A41" s="2" t="s">
        <v>70</v>
      </c>
      <c r="B41" s="34">
        <f>SUMIFS('BA History'!C:C,'BA History'!B:B,A41)</f>
        <v>63</v>
      </c>
      <c r="C41" s="66">
        <f>AVERAGEIFS('BA History'!C:C,'BA History'!B:B,A41)</f>
        <v>12.6</v>
      </c>
      <c r="D41" s="35">
        <f t="array" ref="D41">MAX(IF('BA History'!B:B=A41, 'BA History'!C:C))</f>
        <v>19</v>
      </c>
      <c r="E41" s="34">
        <f>COUNTIFS('BA History'!B:B,A41,'BA History'!D:D, 1)</f>
        <v>5</v>
      </c>
      <c r="F41" s="2">
        <f>COUNTIFS('BA History'!B:B,A41,'BA History'!D:D, 0)</f>
        <v>0</v>
      </c>
      <c r="G41" s="75">
        <f t="shared" si="3"/>
        <v>1</v>
      </c>
      <c r="H41" s="34">
        <f>SUMIFS('BA History'!F:F,'BA History'!B:B,A41)</f>
        <v>15</v>
      </c>
      <c r="I41" s="2">
        <f>SUMIFS('BA History'!E:E,'BA History'!B:B,A41)-H41</f>
        <v>7</v>
      </c>
      <c r="J41" s="75">
        <f t="shared" si="4"/>
        <v>0.68181818181818177</v>
      </c>
      <c r="K41" s="34">
        <f>SUMIFS('BA History'!H:H,'BA History'!B:B,A41)</f>
        <v>52</v>
      </c>
      <c r="L41" s="2">
        <f>SUMIFS('BA History'!G:G,'BA History'!B:B,A41)-K41</f>
        <v>40</v>
      </c>
      <c r="M41" s="93">
        <f t="shared" si="5"/>
        <v>0.56521739130434778</v>
      </c>
      <c r="N41" s="2">
        <f>COUNTIFS('BA History'!$B:$B,$A$41,'BA History'!K:K, 1)</f>
        <v>1</v>
      </c>
      <c r="O41" s="2">
        <f>COUNTIFS('BA History'!$B:$B,$A$41,'BA History'!L:L, 1)</f>
        <v>1</v>
      </c>
      <c r="P41" s="2">
        <f>COUNTIFS('BA History'!$B:$B,$A$41,'BA History'!M:M, 1)</f>
        <v>2</v>
      </c>
      <c r="Q41" s="2">
        <f>COUNTIFS('BA History'!$B:$B,$A$41,'BA History'!N:N, 1)</f>
        <v>2</v>
      </c>
      <c r="R41" s="2">
        <f>COUNTIFS('BA History'!$B:$B,$A$41,'BA History'!O:O, 1)</f>
        <v>0</v>
      </c>
      <c r="S41" s="2">
        <f>COUNTIFS('BA History'!$B:$B,$A$41,'BA History'!P:P, 1)</f>
        <v>0</v>
      </c>
      <c r="T41" s="2">
        <f>COUNTIFS('BA History'!$B:$B,$A$41,'BA History'!Q:Q, 1)</f>
        <v>0</v>
      </c>
      <c r="U41" s="2">
        <f>COUNTIFS('BA History'!$B:$B,$A$41,'BA History'!R:R, 1)</f>
        <v>1</v>
      </c>
      <c r="V41" s="2">
        <f>COUNTIFS('BA History'!$B:$B,$A$41,'BA History'!S:S, 1)</f>
        <v>0</v>
      </c>
      <c r="W41" s="2">
        <f>COUNTIFS('BA History'!$B:$B,$A$41,'BA History'!T:T, 1)</f>
        <v>0</v>
      </c>
      <c r="X41" s="2">
        <f>COUNTIFS('BA History'!$B:$B,$A$41,'BA History'!U:U, 1)</f>
        <v>1</v>
      </c>
      <c r="Y41" s="2">
        <f>COUNTIFS('BA History'!$B:$B,$A$41,'BA History'!V:V, 1)</f>
        <v>1</v>
      </c>
      <c r="Z41" s="2">
        <f>COUNTIFS('BA History'!$B:$B,$A$41,'BA History'!W:W, 1)</f>
        <v>0</v>
      </c>
      <c r="AA41" s="2">
        <f>COUNTIFS('BA History'!$B:$B,$A$41,'BA History'!X:X, 1)</f>
        <v>1</v>
      </c>
      <c r="AB41" s="2">
        <f>COUNTIFS('BA History'!$B:$B,$A$41,'BA History'!Y:Y, 1)</f>
        <v>0</v>
      </c>
      <c r="AC41" s="2">
        <f>COUNTIFS('BA History'!$B:$B,$A$41,'BA History'!Z:Z, 1)</f>
        <v>0</v>
      </c>
      <c r="AD41" s="2">
        <f>COUNTIFS('BA History'!$B:$B,$A$41,'BA History'!AA:AA, 1)</f>
        <v>0</v>
      </c>
      <c r="AE41" s="2">
        <f>COUNTIFS('BA History'!$B:$B,$A$41,'BA History'!AB:AB, 1)</f>
        <v>0</v>
      </c>
      <c r="AF41" s="2">
        <f>COUNTIFS('BA History'!$B:$B,$A$41,'BA History'!AC:AC, 1)</f>
        <v>3</v>
      </c>
      <c r="AG41" s="2">
        <f>COUNTIFS('BA History'!$B:$B,$A$41,'BA History'!AD:AD, 1)</f>
        <v>0</v>
      </c>
      <c r="AH41" s="2">
        <f>COUNTIFS('BA History'!$B:$B,$A$41,'BA History'!AE:AE, 1)</f>
        <v>2</v>
      </c>
    </row>
    <row r="42" spans="1:34" x14ac:dyDescent="0.25">
      <c r="A42" s="2" t="s">
        <v>4</v>
      </c>
      <c r="B42" s="34">
        <f>SUMIFS('BA History'!C:C,'BA History'!B:B,A42)</f>
        <v>338</v>
      </c>
      <c r="C42" s="66">
        <f>AVERAGEIFS('BA History'!C:C,'BA History'!B:B,A42)</f>
        <v>26</v>
      </c>
      <c r="D42" s="35">
        <f t="array" ref="D42">MAX(IF('BA History'!B:B=A42, 'BA History'!C:C))</f>
        <v>41</v>
      </c>
      <c r="E42" s="34">
        <f>COUNTIFS('BA History'!B:B,A42,'BA History'!D:D, 1)</f>
        <v>3</v>
      </c>
      <c r="F42" s="2">
        <f>COUNTIFS('BA History'!B:B,A42,'BA History'!D:D, 0)</f>
        <v>10</v>
      </c>
      <c r="G42" s="75">
        <f t="shared" si="3"/>
        <v>0.23076923076923078</v>
      </c>
      <c r="H42" s="34">
        <f>SUMIFS('BA History'!F:F,'BA History'!B:B,A42)</f>
        <v>22</v>
      </c>
      <c r="I42" s="2">
        <f>SUMIFS('BA History'!E:E,'BA History'!B:B,A42)-H42</f>
        <v>34</v>
      </c>
      <c r="J42" s="75">
        <f t="shared" si="4"/>
        <v>0.39285714285714285</v>
      </c>
      <c r="K42" s="34">
        <f>SUMIFS('BA History'!H:H,'BA History'!B:B,A42)</f>
        <v>102</v>
      </c>
      <c r="L42" s="2">
        <f>SUMIFS('BA History'!G:G,'BA History'!B:B,A42)-K42</f>
        <v>127</v>
      </c>
      <c r="M42" s="93">
        <f t="shared" si="5"/>
        <v>0.44541484716157204</v>
      </c>
      <c r="N42" s="2">
        <f>COUNTIFS('BA History'!$B:$B,$A$42,'BA History'!K:K, 1)</f>
        <v>0</v>
      </c>
      <c r="O42" s="2">
        <f>COUNTIFS('BA History'!$B:$B,$A$42,'BA History'!L:L, 1)</f>
        <v>4</v>
      </c>
      <c r="P42" s="2">
        <f>COUNTIFS('BA History'!$B:$B,$A$42,'BA History'!M:M, 1)</f>
        <v>3</v>
      </c>
      <c r="Q42" s="2">
        <f>COUNTIFS('BA History'!$B:$B,$A$42,'BA History'!N:N, 1)</f>
        <v>3</v>
      </c>
      <c r="R42" s="2">
        <f>COUNTIFS('BA History'!$B:$B,$A$42,'BA History'!O:O, 1)</f>
        <v>0</v>
      </c>
      <c r="S42" s="2">
        <f>COUNTIFS('BA History'!$B:$B,$A$42,'BA History'!P:P, 1)</f>
        <v>0</v>
      </c>
      <c r="T42" s="2">
        <f>COUNTIFS('BA History'!$B:$B,$A$42,'BA History'!Q:Q, 1)</f>
        <v>1</v>
      </c>
      <c r="U42" s="2">
        <f>COUNTIFS('BA History'!$B:$B,$A$42,'BA History'!R:R, 1)</f>
        <v>0</v>
      </c>
      <c r="V42" s="2">
        <f>COUNTIFS('BA History'!$B:$B,$A$42,'BA History'!S:S, 1)</f>
        <v>0</v>
      </c>
      <c r="W42" s="2">
        <f>COUNTIFS('BA History'!$B:$B,$A$42,'BA History'!T:T, 1)</f>
        <v>1</v>
      </c>
      <c r="X42" s="2">
        <f>COUNTIFS('BA History'!$B:$B,$A$42,'BA History'!U:U, 1)</f>
        <v>0</v>
      </c>
      <c r="Y42" s="2">
        <f>COUNTIFS('BA History'!$B:$B,$A$42,'BA History'!V:V, 1)</f>
        <v>0</v>
      </c>
      <c r="Z42" s="2">
        <f>COUNTIFS('BA History'!$B:$B,$A$42,'BA History'!W:W, 1)</f>
        <v>0</v>
      </c>
      <c r="AA42" s="2">
        <f>COUNTIFS('BA History'!$B:$B,$A$42,'BA History'!X:X, 1)</f>
        <v>4</v>
      </c>
      <c r="AB42" s="2">
        <f>COUNTIFS('BA History'!$B:$B,$A$42,'BA History'!Y:Y, 1)</f>
        <v>1</v>
      </c>
      <c r="AC42" s="2">
        <f>COUNTIFS('BA History'!$B:$B,$A$42,'BA History'!Z:Z, 1)</f>
        <v>0</v>
      </c>
      <c r="AD42" s="2">
        <f>COUNTIFS('BA History'!$B:$B,$A$42,'BA History'!AA:AA, 1)</f>
        <v>1</v>
      </c>
      <c r="AE42" s="2">
        <f>COUNTIFS('BA History'!$B:$B,$A$42,'BA History'!AB:AB, 1)</f>
        <v>3</v>
      </c>
      <c r="AF42" s="2">
        <f>COUNTIFS('BA History'!$B:$B,$A$42,'BA History'!AC:AC, 1)</f>
        <v>1</v>
      </c>
      <c r="AG42" s="2">
        <f>COUNTIFS('BA History'!$B:$B,$A$42,'BA History'!AD:AD, 1)</f>
        <v>0</v>
      </c>
      <c r="AH42" s="2">
        <f>COUNTIFS('BA History'!$B:$B,$A$42,'BA History'!AE:AE, 1)</f>
        <v>0</v>
      </c>
    </row>
    <row r="43" spans="1:34" x14ac:dyDescent="0.25">
      <c r="A43" s="1" t="s">
        <v>107</v>
      </c>
      <c r="B43" s="34">
        <f>SUMIFS('BA History'!C:C,'BA History'!B:B,A43)</f>
        <v>161</v>
      </c>
      <c r="C43" s="66">
        <f>AVERAGEIFS('BA History'!C:C,'BA History'!B:B,A43)</f>
        <v>16.100000000000001</v>
      </c>
      <c r="D43" s="35">
        <f t="array" ref="D43">MAX(IF('BA History'!B:B=A43, 'BA History'!C:C))</f>
        <v>24</v>
      </c>
      <c r="E43" s="34">
        <f>COUNTIFS('BA History'!B:B,A43,'BA History'!D:D, 1)</f>
        <v>6</v>
      </c>
      <c r="F43" s="2">
        <f>COUNTIFS('BA History'!B:B,A43,'BA History'!D:D, 0)</f>
        <v>4</v>
      </c>
      <c r="G43" s="75">
        <f t="shared" si="3"/>
        <v>0.6</v>
      </c>
      <c r="H43" s="34">
        <f>SUMIFS('BA History'!F:F,'BA History'!B:B,A43)</f>
        <v>25</v>
      </c>
      <c r="I43" s="2">
        <f>SUMIFS('BA History'!E:E,'BA History'!B:B,A43)-H43</f>
        <v>20</v>
      </c>
      <c r="J43" s="75">
        <f t="shared" si="4"/>
        <v>0.55555555555555558</v>
      </c>
      <c r="K43" s="34">
        <f>SUMIFS('BA History'!H:H,'BA History'!B:B,A43)</f>
        <v>104</v>
      </c>
      <c r="L43" s="2">
        <f>SUMIFS('BA History'!G:G,'BA History'!B:B,A43)-K43</f>
        <v>92</v>
      </c>
      <c r="M43" s="93">
        <f t="shared" si="5"/>
        <v>0.53061224489795922</v>
      </c>
      <c r="N43" s="2">
        <f>COUNTIFS('BA History'!$B:$B,$A$43,'BA History'!K:K, 1)</f>
        <v>0</v>
      </c>
      <c r="O43" s="2">
        <f>COUNTIFS('BA History'!$B:$B,$A$43,'BA History'!L:L, 1)</f>
        <v>0</v>
      </c>
      <c r="P43" s="2">
        <f>COUNTIFS('BA History'!$B:$B,$A$43,'BA History'!M:M, 1)</f>
        <v>2</v>
      </c>
      <c r="Q43" s="2">
        <f>COUNTIFS('BA History'!$B:$B,$A$43,'BA History'!N:N, 1)</f>
        <v>6</v>
      </c>
      <c r="R43" s="2">
        <f>COUNTIFS('BA History'!$B:$B,$A$43,'BA History'!O:O, 1)</f>
        <v>1</v>
      </c>
      <c r="S43" s="2">
        <f>COUNTIFS('BA History'!$B:$B,$A$43,'BA History'!P:P, 1)</f>
        <v>0</v>
      </c>
      <c r="T43" s="2">
        <f>COUNTIFS('BA History'!$B:$B,$A$43,'BA History'!Q:Q, 1)</f>
        <v>0</v>
      </c>
      <c r="U43" s="2">
        <f>COUNTIFS('BA History'!$B:$B,$A$43,'BA History'!R:R, 1)</f>
        <v>1</v>
      </c>
      <c r="V43" s="2">
        <f>COUNTIFS('BA History'!$B:$B,$A$43,'BA History'!S:S, 1)</f>
        <v>0</v>
      </c>
      <c r="W43" s="2">
        <f>COUNTIFS('BA History'!$B:$B,$A$43,'BA History'!T:T, 1)</f>
        <v>0</v>
      </c>
      <c r="X43" s="2">
        <f>COUNTIFS('BA History'!$B:$B,$A$43,'BA History'!U:U, 1)</f>
        <v>2</v>
      </c>
      <c r="Y43" s="2">
        <f>COUNTIFS('BA History'!$B:$B,$A$43,'BA History'!V:V, 1)</f>
        <v>0</v>
      </c>
      <c r="Z43" s="2">
        <f>COUNTIFS('BA History'!$B:$B,$A$43,'BA History'!W:W, 1)</f>
        <v>0</v>
      </c>
      <c r="AA43" s="2">
        <f>COUNTIFS('BA History'!$B:$B,$A$43,'BA History'!X:X, 1)</f>
        <v>2</v>
      </c>
      <c r="AB43" s="2">
        <f>COUNTIFS('BA History'!$B:$B,$A$43,'BA History'!Y:Y, 1)</f>
        <v>5</v>
      </c>
      <c r="AC43" s="2">
        <f>COUNTIFS('BA History'!$B:$B,$A$43,'BA History'!Z:Z, 1)</f>
        <v>0</v>
      </c>
      <c r="AD43" s="2">
        <f>COUNTIFS('BA History'!$B:$B,$A$43,'BA History'!AA:AA, 1)</f>
        <v>0</v>
      </c>
      <c r="AE43" s="2">
        <f>COUNTIFS('BA History'!$B:$B,$A$43,'BA History'!AB:AB, 1)</f>
        <v>2</v>
      </c>
      <c r="AF43" s="2">
        <f>COUNTIFS('BA History'!$B:$B,$A$43,'BA History'!AC:AC, 1)</f>
        <v>2</v>
      </c>
      <c r="AG43" s="2">
        <f>COUNTIFS('BA History'!$B:$B,$A$43,'BA History'!AD:AD, 1)</f>
        <v>0</v>
      </c>
      <c r="AH43" s="2">
        <f>COUNTIFS('BA History'!$B:$B,$A$43,'BA History'!AE:AE, 1)</f>
        <v>2</v>
      </c>
    </row>
    <row r="44" spans="1:34" x14ac:dyDescent="0.25">
      <c r="A44" s="2" t="s">
        <v>94</v>
      </c>
      <c r="B44" s="34">
        <f>SUMIFS('BA History'!C:C,'BA History'!B:B,A44)</f>
        <v>18</v>
      </c>
      <c r="C44" s="66">
        <f>AVERAGEIFS('BA History'!C:C,'BA History'!B:B,A44)</f>
        <v>18</v>
      </c>
      <c r="D44" s="35">
        <f t="array" ref="D44">MAX(IF('BA History'!B:B=A44, 'BA History'!C:C))</f>
        <v>18</v>
      </c>
      <c r="E44" s="34">
        <f>COUNTIFS('BA History'!B:B,A44,'BA History'!D:D, 1)</f>
        <v>1</v>
      </c>
      <c r="F44" s="2">
        <f>COUNTIFS('BA History'!B:B,A44,'BA History'!D:D, 0)</f>
        <v>0</v>
      </c>
      <c r="G44" s="75">
        <f t="shared" si="3"/>
        <v>1</v>
      </c>
      <c r="H44" s="34">
        <f>SUMIFS('BA History'!F:F,'BA History'!B:B,A44)</f>
        <v>3</v>
      </c>
      <c r="I44" s="2">
        <f>SUMIFS('BA History'!E:E,'BA History'!B:B,A44)-H44</f>
        <v>2</v>
      </c>
      <c r="J44" s="75">
        <f t="shared" si="4"/>
        <v>0.6</v>
      </c>
      <c r="K44" s="34">
        <f>SUMIFS('BA History'!H:H,'BA History'!B:B,A44)</f>
        <v>11</v>
      </c>
      <c r="L44" s="2">
        <f>SUMIFS('BA History'!G:G,'BA History'!B:B,A44)-K44</f>
        <v>10</v>
      </c>
      <c r="M44" s="93">
        <f t="shared" si="5"/>
        <v>0.52380952380952384</v>
      </c>
      <c r="N44" s="2">
        <f>COUNTIFS('BA History'!$B:$B,$A$44,'BA History'!K:K, 1)</f>
        <v>0</v>
      </c>
      <c r="O44" s="2">
        <f>COUNTIFS('BA History'!$B:$B,$A$44,'BA History'!L:L, 1)</f>
        <v>0</v>
      </c>
      <c r="P44" s="2">
        <f>COUNTIFS('BA History'!$B:$B,$A$44,'BA History'!M:M, 1)</f>
        <v>0</v>
      </c>
      <c r="Q44" s="2">
        <f>COUNTIFS('BA History'!$B:$B,$A$44,'BA History'!N:N, 1)</f>
        <v>0</v>
      </c>
      <c r="R44" s="2">
        <f>COUNTIFS('BA History'!$B:$B,$A$44,'BA History'!O:O, 1)</f>
        <v>0</v>
      </c>
      <c r="S44" s="2">
        <f>COUNTIFS('BA History'!$B:$B,$A$44,'BA History'!P:P, 1)</f>
        <v>0</v>
      </c>
      <c r="T44" s="2">
        <f>COUNTIFS('BA History'!$B:$B,$A$44,'BA History'!Q:Q, 1)</f>
        <v>0</v>
      </c>
      <c r="U44" s="2">
        <f>COUNTIFS('BA History'!$B:$B,$A$44,'BA History'!R:R, 1)</f>
        <v>0</v>
      </c>
      <c r="V44" s="2">
        <f>COUNTIFS('BA History'!$B:$B,$A$44,'BA History'!S:S, 1)</f>
        <v>0</v>
      </c>
      <c r="W44" s="2">
        <f>COUNTIFS('BA History'!$B:$B,$A$44,'BA History'!T:T, 1)</f>
        <v>0</v>
      </c>
      <c r="X44" s="2">
        <f>COUNTIFS('BA History'!$B:$B,$A$44,'BA History'!U:U, 1)</f>
        <v>0</v>
      </c>
      <c r="Y44" s="2">
        <f>COUNTIFS('BA History'!$B:$B,$A$44,'BA History'!V:V, 1)</f>
        <v>1</v>
      </c>
      <c r="Z44" s="2">
        <f>COUNTIFS('BA History'!$B:$B,$A$44,'BA History'!W:W, 1)</f>
        <v>1</v>
      </c>
      <c r="AA44" s="2">
        <f>COUNTIFS('BA History'!$B:$B,$A$44,'BA History'!X:X, 1)</f>
        <v>0</v>
      </c>
      <c r="AB44" s="2">
        <f>COUNTIFS('BA History'!$B:$B,$A$44,'BA History'!Y:Y, 1)</f>
        <v>1</v>
      </c>
      <c r="AC44" s="2">
        <f>COUNTIFS('BA History'!$B:$B,$A$44,'BA History'!Z:Z, 1)</f>
        <v>0</v>
      </c>
      <c r="AD44" s="2">
        <f>COUNTIFS('BA History'!$B:$B,$A$44,'BA History'!AA:AA, 1)</f>
        <v>0</v>
      </c>
      <c r="AE44" s="2">
        <f>COUNTIFS('BA History'!$B:$B,$A$44,'BA History'!AB:AB, 1)</f>
        <v>0</v>
      </c>
      <c r="AF44" s="2">
        <f>COUNTIFS('BA History'!$B:$B,$A$44,'BA History'!AC:AC, 1)</f>
        <v>0</v>
      </c>
      <c r="AG44" s="2">
        <f>COUNTIFS('BA History'!$B:$B,$A$44,'BA History'!AD:AD, 1)</f>
        <v>0</v>
      </c>
      <c r="AH44" s="2">
        <f>COUNTIFS('BA History'!$B:$B,$A$44,'BA History'!AE:AE, 1)</f>
        <v>0</v>
      </c>
    </row>
    <row r="45" spans="1:34" ht="15.75" thickBot="1" x14ac:dyDescent="0.3">
      <c r="A45" s="2" t="s">
        <v>55</v>
      </c>
      <c r="B45" s="34">
        <f>SUMIFS('BA History'!C:C,'BA History'!B:B,A45)</f>
        <v>2</v>
      </c>
      <c r="C45" s="66">
        <f>AVERAGEIFS('BA History'!C:C,'BA History'!B:B,A45)</f>
        <v>2</v>
      </c>
      <c r="D45" s="35">
        <f t="array" ref="D45">MAX(IF('BA History'!B:B=A45, 'BA History'!C:C))</f>
        <v>2</v>
      </c>
      <c r="E45" s="34">
        <f>COUNTIFS('BA History'!B:B,A45,'BA History'!D:D, 1)</f>
        <v>0</v>
      </c>
      <c r="F45" s="2">
        <f>COUNTIFS('BA History'!B:B,A45,'BA History'!D:D, 0)</f>
        <v>1</v>
      </c>
      <c r="G45" s="76">
        <f t="shared" si="3"/>
        <v>0</v>
      </c>
      <c r="H45" s="34">
        <f>SUMIFS('BA History'!F:F,'BA History'!B:B,A45)</f>
        <v>0</v>
      </c>
      <c r="I45" s="2">
        <f>SUMIFS('BA History'!E:E,'BA History'!B:B,A45)-H45</f>
        <v>3</v>
      </c>
      <c r="J45" s="76">
        <f t="shared" si="4"/>
        <v>0</v>
      </c>
      <c r="K45" s="34">
        <f>SUMIFS('BA History'!H:H,'BA History'!B:B,A45)</f>
        <v>4</v>
      </c>
      <c r="L45" s="48">
        <v>9</v>
      </c>
      <c r="M45" s="94">
        <f t="shared" si="5"/>
        <v>0.30769230769230771</v>
      </c>
      <c r="N45" s="2">
        <f>COUNTIFS('BA History'!$B:$B,$A$45,'BA History'!K:K, 1)</f>
        <v>0</v>
      </c>
      <c r="O45" s="2">
        <f>COUNTIFS('BA History'!$B:$B,$A$45,'BA History'!L:L, 1)</f>
        <v>0</v>
      </c>
      <c r="P45" s="2">
        <f>COUNTIFS('BA History'!$B:$B,$A$45,'BA History'!M:M, 1)</f>
        <v>0</v>
      </c>
      <c r="Q45" s="2">
        <f>COUNTIFS('BA History'!$B:$B,$A$45,'BA History'!N:N, 1)</f>
        <v>0</v>
      </c>
      <c r="R45" s="2">
        <f>COUNTIFS('BA History'!$B:$B,$A$45,'BA History'!O:O, 1)</f>
        <v>0</v>
      </c>
      <c r="S45" s="2">
        <f>COUNTIFS('BA History'!$B:$B,$A$45,'BA History'!P:P, 1)</f>
        <v>0</v>
      </c>
      <c r="T45" s="2">
        <f>COUNTIFS('BA History'!$B:$B,$A$45,'BA History'!Q:Q, 1)</f>
        <v>0</v>
      </c>
      <c r="U45" s="2">
        <f>COUNTIFS('BA History'!$B:$B,$A$45,'BA History'!R:R, 1)</f>
        <v>0</v>
      </c>
      <c r="V45" s="2">
        <f>COUNTIFS('BA History'!$B:$B,$A$45,'BA History'!S:S, 1)</f>
        <v>0</v>
      </c>
      <c r="W45" s="2">
        <f>COUNTIFS('BA History'!$B:$B,$A$45,'BA History'!T:T, 1)</f>
        <v>0</v>
      </c>
      <c r="X45" s="2">
        <f>COUNTIFS('BA History'!$B:$B,$A$45,'BA History'!U:U, 1)</f>
        <v>0</v>
      </c>
      <c r="Y45" s="2">
        <f>COUNTIFS('BA History'!$B:$B,$A$45,'BA History'!V:V, 1)</f>
        <v>0</v>
      </c>
      <c r="Z45" s="2">
        <f>COUNTIFS('BA History'!$B:$B,$A$45,'BA History'!W:W, 1)</f>
        <v>0</v>
      </c>
      <c r="AA45" s="2">
        <f>COUNTIFS('BA History'!$B:$B,$A$45,'BA History'!X:X, 1)</f>
        <v>0</v>
      </c>
      <c r="AB45" s="2">
        <f>COUNTIFS('BA History'!$B:$B,$A$45,'BA History'!Y:Y, 1)</f>
        <v>0</v>
      </c>
      <c r="AC45" s="2">
        <f>COUNTIFS('BA History'!$B:$B,$A$45,'BA History'!Z:Z, 1)</f>
        <v>0</v>
      </c>
      <c r="AD45" s="2">
        <f>COUNTIFS('BA History'!$B:$B,$A$45,'BA History'!AA:AA, 1)</f>
        <v>0</v>
      </c>
      <c r="AE45" s="2">
        <f>COUNTIFS('BA History'!$B:$B,$A$45,'BA History'!AB:AB, 1)</f>
        <v>0</v>
      </c>
      <c r="AF45" s="2">
        <f>COUNTIFS('BA History'!$B:$B,$A$45,'BA History'!AC:AC, 1)</f>
        <v>0</v>
      </c>
      <c r="AG45" s="2">
        <f>COUNTIFS('BA History'!$B:$B,$A$45,'BA History'!AD:AD, 1)</f>
        <v>0</v>
      </c>
      <c r="AH45" s="2">
        <f>COUNTIFS('BA History'!$B:$B,$A$45,'BA History'!AE:AE, 1)</f>
        <v>0</v>
      </c>
    </row>
  </sheetData>
  <autoFilter ref="A1:AH45" xr:uid="{DA548192-1F03-46EA-8AB8-115EB9A7CE5D}">
    <sortState xmlns:xlrd2="http://schemas.microsoft.com/office/spreadsheetml/2017/richdata2" ref="A2:AH45">
      <sortCondition ref="A1:A45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139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399"/>
  <sheetViews>
    <sheetView workbookViewId="0">
      <pane xSplit="2" ySplit="1" topLeftCell="C366" activePane="bottomRight" state="frozen"/>
      <selection pane="topRight" activeCell="C1" sqref="C1"/>
      <selection pane="bottomLeft" activeCell="A2" sqref="A2"/>
      <selection pane="bottomRight" activeCell="C389" sqref="C389"/>
    </sheetView>
  </sheetViews>
  <sheetFormatPr defaultRowHeight="15" x14ac:dyDescent="0.25"/>
  <cols>
    <col min="1" max="1" width="10.14062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f>AVERAGEIFS($C$2:C2, $B$2:B2, B2)</f>
        <v>25</v>
      </c>
      <c r="AG2">
        <f>AVERAGEIFS($I$2:I2, $B$2:B2, B2)</f>
        <v>0.6</v>
      </c>
      <c r="AH2">
        <f>AVERAGEIFS($I$2:J2, $B$2:C2, C2)</f>
        <v>0.67</v>
      </c>
      <c r="AI2">
        <f>AVERAGEIFS($D$2:D2, $B$2:B2, B2)</f>
        <v>1</v>
      </c>
    </row>
    <row r="3" spans="1:35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f>AVERAGEIFS($C$2:C3, $B$2:B3, B3)</f>
        <v>25</v>
      </c>
      <c r="AG3">
        <f>AVERAGEIFS($I$2:I3, $B$2:B3, B3)</f>
        <v>0.6</v>
      </c>
      <c r="AH3">
        <f>AVERAGEIFS($I$2:J3, $B$2:C3, C3)</f>
        <v>0.67</v>
      </c>
      <c r="AI3">
        <f>AVERAGEIFS($D$2:D3, $B$2:B3, B3)</f>
        <v>1</v>
      </c>
    </row>
    <row r="4" spans="1:35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f>AVERAGEIFS($C$2:C4, $B$2:B4, B4)</f>
        <v>24</v>
      </c>
      <c r="AG4">
        <f>AVERAGEIFS($I$2:I4, $B$2:B4, B4)</f>
        <v>0.6</v>
      </c>
      <c r="AH4">
        <f>AVERAGEIFS($I$2:J4, $B$2:C4, C4)</f>
        <v>0.67</v>
      </c>
      <c r="AI4">
        <f>AVERAGEIFS($D$2:D4, $B$2:B4, B4)</f>
        <v>1</v>
      </c>
    </row>
    <row r="5" spans="1:35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f>AVERAGEIFS($C$2:C5, $B$2:B5, B5)</f>
        <v>16</v>
      </c>
      <c r="AG5">
        <f>AVERAGEIFS($I$2:I5, $B$2:B5, B5)</f>
        <v>0.6</v>
      </c>
      <c r="AH5">
        <f>AVERAGEIFS($I$2:J5, $B$2:C5, C5)</f>
        <v>0.67</v>
      </c>
      <c r="AI5">
        <f>AVERAGEIFS($D$2:D5, $B$2:B5, B5)</f>
        <v>1</v>
      </c>
    </row>
    <row r="6" spans="1:35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f>AVERAGEIFS($C$2:C6, $B$2:B6, B6)</f>
        <v>11</v>
      </c>
      <c r="AG6">
        <f>AVERAGEIFS($I$2:I6, $B$2:B6, B6)</f>
        <v>0.6</v>
      </c>
      <c r="AH6">
        <f>AVERAGEIFS($I$2:J6, $B$2:C6, C6)</f>
        <v>0.67</v>
      </c>
      <c r="AI6">
        <f>AVERAGEIFS($D$2:D6, $B$2:B6, B6)</f>
        <v>1</v>
      </c>
    </row>
    <row r="7" spans="1:35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f>AVERAGEIFS($C$2:C7, $B$2:B7, B7)</f>
        <v>7</v>
      </c>
      <c r="AG7">
        <f>AVERAGEIFS($I$2:I7, $B$2:B7, B7)</f>
        <v>0.6</v>
      </c>
      <c r="AH7">
        <f>AVERAGEIFS($I$2:J7, $B$2:C7, C7)</f>
        <v>0.67</v>
      </c>
      <c r="AI7">
        <f>AVERAGEIFS($D$2:D7, $B$2:B7, B7)</f>
        <v>1</v>
      </c>
    </row>
    <row r="8" spans="1:35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f>AVERAGEIFS($C$2:C8, $B$2:B8, B8)</f>
        <v>36</v>
      </c>
      <c r="AG8">
        <f>AVERAGEIFS($I$2:I8, $B$2:B8, B8)</f>
        <v>0.4</v>
      </c>
      <c r="AH8">
        <f>AVERAGEIFS($I$2:J8, $B$2:C8, C8)</f>
        <v>0.33</v>
      </c>
      <c r="AI8">
        <f>AVERAGEIFS($D$2:D8, $B$2:B8, B8)</f>
        <v>0</v>
      </c>
    </row>
    <row r="9" spans="1:35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f>AVERAGEIFS($C$2:C9, $B$2:B9, B9)</f>
        <v>28</v>
      </c>
      <c r="AG9">
        <f>AVERAGEIFS($I$2:I9, $B$2:B9, B9)</f>
        <v>0.4</v>
      </c>
      <c r="AH9">
        <f>AVERAGEIFS($I$2:J9, $B$2:C9, C9)</f>
        <v>0.33</v>
      </c>
      <c r="AI9">
        <f>AVERAGEIFS($D$2:D9, $B$2:B9, B9)</f>
        <v>0</v>
      </c>
    </row>
    <row r="10" spans="1:35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f>AVERAGEIFS($C$2:C10, $B$2:B10, B10)</f>
        <v>17</v>
      </c>
      <c r="AG10">
        <f>AVERAGEIFS($I$2:I10, $B$2:B10, B10)</f>
        <v>0.4</v>
      </c>
      <c r="AH10">
        <f>AVERAGEIFS($I$2:J10, $B$2:C10, C10)</f>
        <v>0.33</v>
      </c>
      <c r="AI10">
        <f>AVERAGEIFS($D$2:D10, $B$2:B10, B10)</f>
        <v>0</v>
      </c>
    </row>
    <row r="11" spans="1:35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f>AVERAGEIFS($C$2:C11, $B$2:B11, B11)</f>
        <v>12</v>
      </c>
      <c r="AG11">
        <f>AVERAGEIFS($I$2:I11, $B$2:B11, B11)</f>
        <v>0.4</v>
      </c>
      <c r="AH11">
        <f>AVERAGEIFS($I$2:J11, $B$2:C11, C11)</f>
        <v>0.33</v>
      </c>
      <c r="AI11">
        <f>AVERAGEIFS($D$2:D11, $B$2:B11, B11)</f>
        <v>0</v>
      </c>
    </row>
    <row r="12" spans="1:35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f>AVERAGEIFS($C$2:C12, $B$2:B12, B12)</f>
        <v>9</v>
      </c>
      <c r="AG12">
        <f>AVERAGEIFS($I$2:I12, $B$2:B12, B12)</f>
        <v>0.4</v>
      </c>
      <c r="AH12">
        <f>AVERAGEIFS($I$2:J12, $B$2:C12, C12)</f>
        <v>0.33</v>
      </c>
      <c r="AI12">
        <f>AVERAGEIFS($D$2:D12, $B$2:B12, B12)</f>
        <v>0</v>
      </c>
    </row>
    <row r="13" spans="1:35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f>AVERAGEIFS($C$2:C13, $B$2:B13, B13)</f>
        <v>3</v>
      </c>
      <c r="AG13">
        <f>AVERAGEIFS($I$2:I13, $B$2:B13, B13)</f>
        <v>0.4</v>
      </c>
      <c r="AH13">
        <f>AVERAGEIFS($I$2:J13, $B$2:C13, C13)</f>
        <v>0.33</v>
      </c>
      <c r="AI13">
        <f>AVERAGEIFS($D$2:D13, $B$2:B13, B13)</f>
        <v>0</v>
      </c>
    </row>
    <row r="14" spans="1:35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>
        <f>AVERAGEIFS($C$2:C14, $B$2:B14, B14)</f>
        <v>9.5</v>
      </c>
      <c r="AG14">
        <f>AVERAGEIFS($I$2:I14, $B$2:B14, B14)</f>
        <v>0.6</v>
      </c>
      <c r="AH14">
        <f>AVERAGEIFS($I$2:J14, $B$2:C14, C14)</f>
        <v>0.48</v>
      </c>
      <c r="AI14">
        <f>AVERAGEIFS($D$2:D14, $B$2:B14, B14)</f>
        <v>1</v>
      </c>
    </row>
    <row r="15" spans="1:35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>
        <f>AVERAGEIFS($C$2:C15, $B$2:B15, B15)</f>
        <v>27.5</v>
      </c>
      <c r="AG15">
        <f>AVERAGEIFS($I$2:I15, $B$2:B15, B15)</f>
        <v>0.6</v>
      </c>
      <c r="AH15">
        <f>AVERAGEIFS($I$2:J15, $B$2:C15, C15)</f>
        <v>0.48</v>
      </c>
      <c r="AI15">
        <f>AVERAGEIFS($D$2:D15, $B$2:B15, B15)</f>
        <v>1</v>
      </c>
    </row>
    <row r="16" spans="1:35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>
        <f>AVERAGEIFS($C$2:C16, $B$2:B16, B16)</f>
        <v>24</v>
      </c>
      <c r="AG16">
        <f>AVERAGEIFS($I$2:I16, $B$2:B16, B16)</f>
        <v>0.6</v>
      </c>
      <c r="AH16">
        <f>AVERAGEIFS($I$2:J16, $B$2:C16, C16)</f>
        <v>0.57499999999999996</v>
      </c>
      <c r="AI16">
        <f>AVERAGEIFS($D$2:D16, $B$2:B16, B16)</f>
        <v>1</v>
      </c>
    </row>
    <row r="17" spans="1:35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f>AVERAGEIFS($C$2:C17, $B$2:B17, B17)</f>
        <v>13</v>
      </c>
      <c r="AG17">
        <f>AVERAGEIFS($I$2:I17, $B$2:B17, B17)</f>
        <v>0.6</v>
      </c>
      <c r="AH17">
        <f>AVERAGEIFS($I$2:J17, $B$2:C17, C17)</f>
        <v>0.48</v>
      </c>
      <c r="AI17">
        <f>AVERAGEIFS($D$2:D17, $B$2:B17, B17)</f>
        <v>1</v>
      </c>
    </row>
    <row r="18" spans="1:35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f>AVERAGEIFS($C$2:C18, $B$2:B18, B18)</f>
        <v>8.5</v>
      </c>
      <c r="AG18">
        <f>AVERAGEIFS($I$2:I18, $B$2:B18, B18)</f>
        <v>0.5</v>
      </c>
      <c r="AH18">
        <f>AVERAGEIFS($I$2:J18, $B$2:C18, C18)</f>
        <v>0.48</v>
      </c>
      <c r="AI18">
        <f>AVERAGEIFS($D$2:D18, $B$2:B18, B18)</f>
        <v>0.5</v>
      </c>
    </row>
    <row r="19" spans="1:35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f>AVERAGEIFS($C$2:C19, $B$2:B19, B19)</f>
        <v>6</v>
      </c>
      <c r="AG19">
        <f>AVERAGEIFS($I$2:I19, $B$2:B19, B19)</f>
        <v>0.6</v>
      </c>
      <c r="AH19">
        <f>AVERAGEIFS($I$2:J19, $B$2:C19, C19)</f>
        <v>0.48</v>
      </c>
      <c r="AI19">
        <f>AVERAGEIFS($D$2:D19, $B$2:B19, B19)</f>
        <v>1</v>
      </c>
    </row>
    <row r="20" spans="1:35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f>AVERAGEIFS($C$2:C20, $B$2:B20, B20)</f>
        <v>32</v>
      </c>
      <c r="AG20">
        <f>AVERAGEIFS($I$2:I20, $B$2:B20, B20)</f>
        <v>0.6</v>
      </c>
      <c r="AH20">
        <f>AVERAGEIFS($I$2:J20, $B$2:C20, C20)</f>
        <v>0.48</v>
      </c>
      <c r="AI20">
        <f>AVERAGEIFS($D$2:D20, $B$2:B20, B20)</f>
        <v>1</v>
      </c>
    </row>
    <row r="21" spans="1:35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f>AVERAGEIFS($C$2:C21, $B$2:B21, B21)</f>
        <v>15</v>
      </c>
      <c r="AG21">
        <f>AVERAGEIFS($I$2:I21, $B$2:B21, B21)</f>
        <v>0.6</v>
      </c>
      <c r="AH21">
        <f>AVERAGEIFS($I$2:J21, $B$2:C21, C21)</f>
        <v>0.48</v>
      </c>
      <c r="AI21">
        <f>AVERAGEIFS($D$2:D21, $B$2:B21, B21)</f>
        <v>1</v>
      </c>
    </row>
    <row r="22" spans="1:35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>
        <f>AVERAGEIFS($C$2:C22, $B$2:B22, B22)</f>
        <v>31</v>
      </c>
      <c r="AG22">
        <f>AVERAGEIFS($I$2:I22, $B$2:B22, B22)</f>
        <v>0.5</v>
      </c>
      <c r="AH22">
        <f>AVERAGEIFS($I$2:J22, $B$2:C22, C22)</f>
        <v>0.52</v>
      </c>
      <c r="AI22">
        <f>AVERAGEIFS($D$2:D22, $B$2:B22, B22)</f>
        <v>0.5</v>
      </c>
    </row>
    <row r="23" spans="1:35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>
        <f>AVERAGEIFS($C$2:C23, $B$2:B23, B23)</f>
        <v>17</v>
      </c>
      <c r="AG23">
        <f>AVERAGEIFS($I$2:I23, $B$2:B23, B23)</f>
        <v>0.5</v>
      </c>
      <c r="AH23">
        <f>AVERAGEIFS($I$2:J23, $B$2:C23, C23)</f>
        <v>0.52</v>
      </c>
      <c r="AI23">
        <f>AVERAGEIFS($D$2:D23, $B$2:B23, B23)</f>
        <v>0.5</v>
      </c>
    </row>
    <row r="24" spans="1:35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>
        <f>AVERAGEIFS($C$2:C24, $B$2:B24, B24)</f>
        <v>21.5</v>
      </c>
      <c r="AG24">
        <f>AVERAGEIFS($I$2:I24, $B$2:B24, B24)</f>
        <v>0.4</v>
      </c>
      <c r="AH24">
        <f>AVERAGEIFS($I$2:J24, $B$2:C24, C24)</f>
        <v>0.52</v>
      </c>
      <c r="AI24">
        <f>AVERAGEIFS($D$2:D24, $B$2:B24, B24)</f>
        <v>0</v>
      </c>
    </row>
    <row r="25" spans="1:35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>
        <f>AVERAGEIFS($C$2:C25, $B$2:B25, B25)</f>
        <v>14.5</v>
      </c>
      <c r="AG25">
        <f>AVERAGEIFS($I$2:I25, $B$2:B25, B25)</f>
        <v>0.4</v>
      </c>
      <c r="AH25">
        <f>AVERAGEIFS($I$2:J25, $B$2:C25, C25)</f>
        <v>0.52</v>
      </c>
      <c r="AI25">
        <f>AVERAGEIFS($D$2:D25, $B$2:B25, B25)</f>
        <v>0</v>
      </c>
    </row>
    <row r="26" spans="1:35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>
        <f>AVERAGEIFS($C$2:C26, $B$2:B26, B26)</f>
        <v>11.5</v>
      </c>
      <c r="AG26">
        <f>AVERAGEIFS($I$2:I26, $B$2:B26, B26)</f>
        <v>0.5</v>
      </c>
      <c r="AH26">
        <f>AVERAGEIFS($I$2:J26, $B$2:C26, C26)</f>
        <v>0.59499999999999997</v>
      </c>
      <c r="AI26">
        <f>AVERAGEIFS($D$2:D26, $B$2:B26, B26)</f>
        <v>0.5</v>
      </c>
    </row>
    <row r="27" spans="1:35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>
        <f>AVERAGEIFS($C$2:C27, $B$2:B27, B27)</f>
        <v>26.5</v>
      </c>
      <c r="AG27">
        <f>AVERAGEIFS($I$2:I27, $B$2:B27, B27)</f>
        <v>0.4</v>
      </c>
      <c r="AH27">
        <f>AVERAGEIFS($I$2:J27, $B$2:C27, C27)</f>
        <v>0.42500000000000004</v>
      </c>
      <c r="AI27">
        <f>AVERAGEIFS($D$2:D27, $B$2:B27, B27)</f>
        <v>0</v>
      </c>
    </row>
    <row r="28" spans="1:35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>
        <f>AVERAGEIFS($C$2:C28, $B$2:B28, B28)</f>
        <v>28.5</v>
      </c>
      <c r="AG28">
        <f>AVERAGEIFS($I$2:I28, $B$2:B28, B28)</f>
        <v>0.4</v>
      </c>
      <c r="AH28">
        <f>AVERAGEIFS($I$2:J28, $B$2:C28, C28)</f>
        <v>0.52</v>
      </c>
      <c r="AI28">
        <f>AVERAGEIFS($D$2:D28, $B$2:B28, B28)</f>
        <v>0</v>
      </c>
    </row>
    <row r="29" spans="1:35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>
        <f>AVERAGEIFS($C$2:C29, $B$2:B29, B29)</f>
        <v>28.666666666666668</v>
      </c>
      <c r="AG29">
        <f>AVERAGEIFS($I$2:I29, $B$2:B29, B29)</f>
        <v>0.58333333333333337</v>
      </c>
      <c r="AH29">
        <f>AVERAGEIFS($I$2:J29, $B$2:C29, C29)</f>
        <v>0.58333333333333337</v>
      </c>
      <c r="AI29">
        <f>AVERAGEIFS($D$2:D29, $B$2:B29, B29)</f>
        <v>0.66666666666666663</v>
      </c>
    </row>
    <row r="30" spans="1:35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>
        <f>AVERAGEIFS($C$2:C30, $B$2:B30, B30)</f>
        <v>23</v>
      </c>
      <c r="AG30">
        <f>AVERAGEIFS($I$2:I30, $B$2:B30, B30)</f>
        <v>0.75</v>
      </c>
      <c r="AH30">
        <f>AVERAGEIFS($I$2:J30, $B$2:C30, C30)</f>
        <v>0.6</v>
      </c>
      <c r="AI30">
        <f>AVERAGEIFS($D$2:D30, $B$2:B30, B30)</f>
        <v>1</v>
      </c>
    </row>
    <row r="31" spans="1:35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>
        <f>AVERAGEIFS($C$2:C31, $B$2:B31, B31)</f>
        <v>22.5</v>
      </c>
      <c r="AG31">
        <f>AVERAGEIFS($I$2:I31, $B$2:B31, B31)</f>
        <v>0.67500000000000004</v>
      </c>
      <c r="AH31">
        <f>AVERAGEIFS($I$2:J31, $B$2:C31, C31)</f>
        <v>0.6</v>
      </c>
      <c r="AI31">
        <f>AVERAGEIFS($D$2:D31, $B$2:B31, B31)</f>
        <v>1</v>
      </c>
    </row>
    <row r="32" spans="1:35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>
        <f>AVERAGEIFS($C$2:C32, $B$2:B32, B32)</f>
        <v>18</v>
      </c>
      <c r="AG32">
        <f>AVERAGEIFS($I$2:I32, $B$2:B32, B32)</f>
        <v>0.67500000000000004</v>
      </c>
      <c r="AH32">
        <f>AVERAGEIFS($I$2:J32, $B$2:C32, C32)</f>
        <v>0.6</v>
      </c>
      <c r="AI32">
        <f>AVERAGEIFS($D$2:D32, $B$2:B32, B32)</f>
        <v>1</v>
      </c>
    </row>
    <row r="33" spans="1:35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>
        <f>AVERAGEIFS($C$2:C33, $B$2:B33, B33)</f>
        <v>12.333333333333334</v>
      </c>
      <c r="AG33">
        <f>AVERAGEIFS($I$2:I33, $B$2:B33, B33)</f>
        <v>0.58333333333333337</v>
      </c>
      <c r="AH33">
        <f>AVERAGEIFS($I$2:J33, $B$2:C33, C33)</f>
        <v>0.6</v>
      </c>
      <c r="AI33">
        <f>AVERAGEIFS($D$2:D33, $B$2:B33, B33)</f>
        <v>0.66666666666666663</v>
      </c>
    </row>
    <row r="34" spans="1:35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>
        <f>AVERAGEIFS($C$2:C34, $B$2:B34, B34)</f>
        <v>11</v>
      </c>
      <c r="AG34">
        <f>AVERAGEIFS($I$2:I34, $B$2:B34, B34)</f>
        <v>0.75</v>
      </c>
      <c r="AH34">
        <f>AVERAGEIFS($I$2:J34, $B$2:C34, C34)</f>
        <v>0.63500000000000001</v>
      </c>
      <c r="AI34">
        <f>AVERAGEIFS($D$2:D34, $B$2:B34, B34)</f>
        <v>1</v>
      </c>
    </row>
    <row r="35" spans="1:35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f>AVERAGEIFS($C$2:C35, $B$2:B35, B35)</f>
        <v>20.333333333333332</v>
      </c>
      <c r="AG35">
        <f>AVERAGEIFS($I$2:I35, $B$2:B35, B35)</f>
        <v>0.41666666666666669</v>
      </c>
      <c r="AH35">
        <f>AVERAGEIFS($I$2:J35, $B$2:C35, C35)</f>
        <v>0.4</v>
      </c>
      <c r="AI35">
        <f>AVERAGEIFS($D$2:D35, $B$2:B35, B35)</f>
        <v>0.33333333333333331</v>
      </c>
    </row>
    <row r="36" spans="1:35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f>AVERAGEIFS($C$2:C36, $B$2:B36, B36)</f>
        <v>25.333333333333332</v>
      </c>
      <c r="AG36">
        <f>AVERAGEIFS($I$2:I36, $B$2:B36, B36)</f>
        <v>0.48333333333333334</v>
      </c>
      <c r="AH36">
        <f>AVERAGEIFS($I$2:J36, $B$2:C36, C36)</f>
        <v>0.53333333333333333</v>
      </c>
      <c r="AI36">
        <f>AVERAGEIFS($D$2:D36, $B$2:B36, B36)</f>
        <v>0.66666666666666663</v>
      </c>
    </row>
    <row r="37" spans="1:35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f>AVERAGEIFS($C$2:C37, $B$2:B37, B37)</f>
        <v>20.666666666666668</v>
      </c>
      <c r="AG37">
        <f>AVERAGEIFS($I$2:I37, $B$2:B37, B37)</f>
        <v>0.35000000000000003</v>
      </c>
      <c r="AH37">
        <f>AVERAGEIFS($I$2:J37, $B$2:C37, C37)</f>
        <v>0.4</v>
      </c>
      <c r="AI37">
        <f>AVERAGEIFS($D$2:D37, $B$2:B37, B37)</f>
        <v>0</v>
      </c>
    </row>
    <row r="38" spans="1:35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f>AVERAGEIFS($C$2:C38, $B$2:B38, B38)</f>
        <v>13.5</v>
      </c>
      <c r="AG38">
        <f>AVERAGEIFS($I$2:I38, $B$2:B38, B38)</f>
        <v>0.42499999999999999</v>
      </c>
      <c r="AH38">
        <f>AVERAGEIFS($I$2:J38, $B$2:C38, C38)</f>
        <v>0.55666666666666664</v>
      </c>
      <c r="AI38">
        <f>AVERAGEIFS($D$2:D38, $B$2:B38, B38)</f>
        <v>0.5</v>
      </c>
    </row>
    <row r="39" spans="1:35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f>AVERAGEIFS($C$2:C39, $B$2:B39, B39)</f>
        <v>9</v>
      </c>
      <c r="AG39">
        <f>AVERAGEIFS($I$2:I39, $B$2:B39, B39)</f>
        <v>0.25</v>
      </c>
      <c r="AH39">
        <f>AVERAGEIFS($I$2:J39, $B$2:C39, C39)</f>
        <v>0.36499999999999999</v>
      </c>
      <c r="AI39">
        <f>AVERAGEIFS($D$2:D39, $B$2:B39, B39)</f>
        <v>0</v>
      </c>
    </row>
    <row r="40" spans="1:35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f>AVERAGEIFS($C$2:C40, $B$2:B40, B40)</f>
        <v>23</v>
      </c>
      <c r="AG40">
        <f>AVERAGEIFS($I$2:I40, $B$2:B40, B40)</f>
        <v>0.35000000000000003</v>
      </c>
      <c r="AH40">
        <f>AVERAGEIFS($I$2:J40, $B$2:C40, C40)</f>
        <v>0.36499999999999999</v>
      </c>
      <c r="AI40">
        <f>AVERAGEIFS($D$2:D40, $B$2:B40, B40)</f>
        <v>0</v>
      </c>
    </row>
    <row r="41" spans="1:35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>
        <f>AVERAGEIFS($C$2:C41, $B$2:B41, B41)</f>
        <v>24</v>
      </c>
      <c r="AG41">
        <f>AVERAGEIFS($I$2:I41, $B$2:B41, B41)</f>
        <v>1</v>
      </c>
      <c r="AH41">
        <f>AVERAGEIFS($I$2:J41, $B$2:C41, C41)</f>
        <v>0.61</v>
      </c>
      <c r="AI41">
        <f>AVERAGEIFS($D$2:D41, $B$2:B41, B41)</f>
        <v>1</v>
      </c>
    </row>
    <row r="42" spans="1:35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>
        <f>AVERAGEIFS($C$2:C42, $B$2:B42, B42)</f>
        <v>23</v>
      </c>
      <c r="AG42">
        <f>AVERAGEIFS($I$2:I42, $B$2:B42, B42)</f>
        <v>0.875</v>
      </c>
      <c r="AH42">
        <f>AVERAGEIFS($I$2:J42, $B$2:C42, C42)</f>
        <v>0.64500000000000002</v>
      </c>
      <c r="AI42">
        <f>AVERAGEIFS($D$2:D42, $B$2:B42, B42)</f>
        <v>1</v>
      </c>
    </row>
    <row r="43" spans="1:35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>
        <f>AVERAGEIFS($C$2:C43, $B$2:B43, B43)</f>
        <v>23.666666666666668</v>
      </c>
      <c r="AG43">
        <f>AVERAGEIFS($I$2:I43, $B$2:B43, B43)</f>
        <v>0.6</v>
      </c>
      <c r="AH43">
        <f>AVERAGEIFS($I$2:J43, $B$2:C43, C43)</f>
        <v>0.69</v>
      </c>
      <c r="AI43">
        <f>AVERAGEIFS($D$2:D43, $B$2:B43, B43)</f>
        <v>0.33333333333333331</v>
      </c>
    </row>
    <row r="44" spans="1:35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>
        <f>AVERAGEIFS($C$2:C44, $B$2:B44, B44)</f>
        <v>23</v>
      </c>
      <c r="AG44">
        <f>AVERAGEIFS($I$2:I44, $B$2:B44, B44)</f>
        <v>0.61250000000000004</v>
      </c>
      <c r="AH44">
        <f>AVERAGEIFS($I$2:J44, $B$2:C44, C44)</f>
        <v>0.62666666666666659</v>
      </c>
      <c r="AI44">
        <f>AVERAGEIFS($D$2:D44, $B$2:B44, B44)</f>
        <v>0.75</v>
      </c>
    </row>
    <row r="45" spans="1:35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>
        <f>AVERAGEIFS($C$2:C45, $B$2:B45, B45)</f>
        <v>12.5</v>
      </c>
      <c r="AG45">
        <f>AVERAGEIFS($I$2:I45, $B$2:B45, B45)</f>
        <v>0.8</v>
      </c>
      <c r="AH45">
        <f>AVERAGEIFS($I$2:J45, $B$2:C45, C45)</f>
        <v>0.47333333333333333</v>
      </c>
      <c r="AI45">
        <f>AVERAGEIFS($D$2:D45, $B$2:B45, B45)</f>
        <v>1</v>
      </c>
    </row>
    <row r="46" spans="1:35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>
        <f>AVERAGEIFS($C$2:C46, $B$2:B46, B46)</f>
        <v>9</v>
      </c>
      <c r="AG46">
        <f>AVERAGEIFS($I$2:I46, $B$2:B46, B46)</f>
        <v>0.73333333333333339</v>
      </c>
      <c r="AH46">
        <f>AVERAGEIFS($I$2:J46, $B$2:C46, C46)</f>
        <v>0.58499999999999996</v>
      </c>
      <c r="AI46">
        <f>AVERAGEIFS($D$2:D46, $B$2:B46, B46)</f>
        <v>1</v>
      </c>
    </row>
    <row r="47" spans="1:35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f>AVERAGEIFS($C$2:C47, $B$2:B47, B47)</f>
        <v>27.75</v>
      </c>
      <c r="AG47">
        <f>AVERAGEIFS($I$2:I47, $B$2:B47, B47)</f>
        <v>0.4375</v>
      </c>
      <c r="AH47">
        <f>AVERAGEIFS($I$2:J47, $B$2:C47, C47)</f>
        <v>0.55000000000000004</v>
      </c>
      <c r="AI47">
        <f>AVERAGEIFS($D$2:D47, $B$2:B47, B47)</f>
        <v>0.5</v>
      </c>
    </row>
    <row r="48" spans="1:35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f>AVERAGEIFS($C$2:C48, $B$2:B48, B48)</f>
        <v>22</v>
      </c>
      <c r="AG48">
        <f>AVERAGEIFS($I$2:I48, $B$2:B48, B48)</f>
        <v>0.26250000000000001</v>
      </c>
      <c r="AH48">
        <f>AVERAGEIFS($I$2:J48, $B$2:C48, C48)</f>
        <v>0.35499999999999998</v>
      </c>
      <c r="AI48">
        <f>AVERAGEIFS($D$2:D48, $B$2:B48, B48)</f>
        <v>0</v>
      </c>
    </row>
    <row r="49" spans="1:35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f>AVERAGEIFS($C$2:C49, $B$2:B49, B49)</f>
        <v>17.666666666666668</v>
      </c>
      <c r="AG49">
        <f>AVERAGEIFS($I$2:I49, $B$2:B49, B49)</f>
        <v>0.45</v>
      </c>
      <c r="AH49">
        <f>AVERAGEIFS($I$2:J49, $B$2:C49, C49)</f>
        <v>0.38666666666666671</v>
      </c>
      <c r="AI49">
        <f>AVERAGEIFS($D$2:D49, $B$2:B49, B49)</f>
        <v>0.66666666666666663</v>
      </c>
    </row>
    <row r="50" spans="1:35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f>AVERAGEIFS($C$2:C50, $B$2:B50, B50)</f>
        <v>11.75</v>
      </c>
      <c r="AG50">
        <f>AVERAGEIFS($I$2:I50, $B$2:B50, B50)</f>
        <v>0.4375</v>
      </c>
      <c r="AH50">
        <f>AVERAGEIFS($I$2:J50, $B$2:C50, C50)</f>
        <v>0.41500000000000004</v>
      </c>
      <c r="AI50">
        <f>AVERAGEIFS($D$2:D50, $B$2:B50, B50)</f>
        <v>0.5</v>
      </c>
    </row>
    <row r="51" spans="1:35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f>AVERAGEIFS($C$2:C51, $B$2:B51, B51)</f>
        <v>3</v>
      </c>
      <c r="AG51">
        <f>AVERAGEIFS($I$2:I51, $B$2:B51, B51)</f>
        <v>0</v>
      </c>
      <c r="AH51">
        <f>AVERAGEIFS($I$2:J51, $B$2:C51, C51)</f>
        <v>0.32</v>
      </c>
      <c r="AI51">
        <f>AVERAGEIFS($D$2:D51, $B$2:B51, B51)</f>
        <v>0</v>
      </c>
    </row>
    <row r="52" spans="1:35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f>AVERAGEIFS($C$2:C52, $B$2:B52, B52)</f>
        <v>2</v>
      </c>
      <c r="AG52">
        <f>AVERAGEIFS($I$2:I52, $B$2:B52, B52)</f>
        <v>0</v>
      </c>
      <c r="AH52">
        <f>AVERAGEIFS($I$2:J52, $B$2:C52, C52)</f>
        <v>0.31</v>
      </c>
      <c r="AI52">
        <f>AVERAGEIFS($D$2:D52, $B$2:B52, B52)</f>
        <v>0</v>
      </c>
    </row>
    <row r="53" spans="1:35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>
        <f>AVERAGEIFS($C$2:C53, $B$2:B53, B53)</f>
        <v>22</v>
      </c>
      <c r="AG53">
        <f>AVERAGEIFS($I$2:I53, $B$2:B53, B53)</f>
        <v>0.58750000000000002</v>
      </c>
      <c r="AH53">
        <f>AVERAGEIFS($I$2:J53, $B$2:C53, C53)</f>
        <v>0.64</v>
      </c>
      <c r="AI53">
        <f>AVERAGEIFS($D$2:D53, $B$2:B53, B53)</f>
        <v>0.75</v>
      </c>
    </row>
    <row r="54" spans="1:35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>
        <f>AVERAGEIFS($C$2:C54, $B$2:B54, B54)</f>
        <v>27</v>
      </c>
      <c r="AG54">
        <f>AVERAGEIFS($I$2:I54, $B$2:B54, B54)</f>
        <v>0.55000000000000004</v>
      </c>
      <c r="AH54">
        <f>AVERAGEIFS($I$2:J54, $B$2:C54, C54)</f>
        <v>0.61599999999999999</v>
      </c>
      <c r="AI54">
        <f>AVERAGEIFS($D$2:D54, $B$2:B54, B54)</f>
        <v>0.6</v>
      </c>
    </row>
    <row r="55" spans="1:35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>
        <f>AVERAGEIFS($C$2:C55, $B$2:B55, B55)</f>
        <v>23</v>
      </c>
      <c r="AG55">
        <f>AVERAGEIFS($I$2:I55, $B$2:B55, B55)</f>
        <v>0.91666666666666663</v>
      </c>
      <c r="AH55">
        <f>AVERAGEIFS($I$2:J55, $B$2:C55, C55)</f>
        <v>0.64333333333333342</v>
      </c>
      <c r="AI55">
        <f>AVERAGEIFS($D$2:D55, $B$2:B55, B55)</f>
        <v>1</v>
      </c>
    </row>
    <row r="56" spans="1:35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>
        <f>AVERAGEIFS($C$2:C56, $B$2:B56, B56)</f>
        <v>23.25</v>
      </c>
      <c r="AG56">
        <f>AVERAGEIFS($I$2:I56, $B$2:B56, B56)</f>
        <v>0.7</v>
      </c>
      <c r="AH56">
        <f>AVERAGEIFS($I$2:J56, $B$2:C56, C56)</f>
        <v>0.64</v>
      </c>
      <c r="AI56">
        <f>AVERAGEIFS($D$2:D56, $B$2:B56, B56)</f>
        <v>0.5</v>
      </c>
    </row>
    <row r="57" spans="1:35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>
        <f>AVERAGEIFS($C$2:C57, $B$2:B57, B57)</f>
        <v>12</v>
      </c>
      <c r="AG57">
        <f>AVERAGEIFS($I$2:I57, $B$2:B57, B57)</f>
        <v>1</v>
      </c>
      <c r="AH57">
        <f>AVERAGEIFS($I$2:J57, $B$2:C57, C57)</f>
        <v>0.51500000000000001</v>
      </c>
      <c r="AI57">
        <f>AVERAGEIFS($D$2:D57, $B$2:B57, B57)</f>
        <v>1</v>
      </c>
    </row>
    <row r="58" spans="1:35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>
        <f>AVERAGEIFS($C$2:C58, $B$2:B58, B58)</f>
        <v>3</v>
      </c>
      <c r="AG58">
        <f>AVERAGEIFS($I$2:I58, $B$2:B58, B58)</f>
        <v>1</v>
      </c>
      <c r="AH58">
        <f>AVERAGEIFS($I$2:J58, $B$2:C58, C58)</f>
        <v>0.42666666666666669</v>
      </c>
      <c r="AI58">
        <f>AVERAGEIFS($D$2:D58, $B$2:B58, B58)</f>
        <v>1</v>
      </c>
    </row>
    <row r="59" spans="1:35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f>AVERAGEIFS($C$2:C59, $B$2:B59, B59)</f>
        <v>28.5</v>
      </c>
      <c r="AG59">
        <f>AVERAGEIFS($I$2:I59, $B$2:B59, B59)</f>
        <v>0.3</v>
      </c>
      <c r="AH59">
        <f>AVERAGEIFS($I$2:J59, $B$2:C59, C59)</f>
        <v>0.50250000000000006</v>
      </c>
      <c r="AI59">
        <f>AVERAGEIFS($D$2:D59, $B$2:B59, B59)</f>
        <v>0.5</v>
      </c>
    </row>
    <row r="60" spans="1:35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f>AVERAGEIFS($C$2:C60, $B$2:B60, B60)</f>
        <v>15.333333333333334</v>
      </c>
      <c r="AG60">
        <f>AVERAGEIFS($I$2:I60, $B$2:B60, B60)</f>
        <v>0.28333333333333333</v>
      </c>
      <c r="AH60">
        <f>AVERAGEIFS($I$2:J60, $B$2:C60, C60)</f>
        <v>0.35666666666666663</v>
      </c>
      <c r="AI60">
        <f>AVERAGEIFS($D$2:D60, $B$2:B60, B60)</f>
        <v>0.33333333333333331</v>
      </c>
    </row>
    <row r="61" spans="1:35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f>AVERAGEIFS($C$2:C61, $B$2:B61, B61)</f>
        <v>12.8</v>
      </c>
      <c r="AG61">
        <f>AVERAGEIFS($I$2:I61, $B$2:B61, B61)</f>
        <v>0.35</v>
      </c>
      <c r="AH61">
        <f>AVERAGEIFS($I$2:J61, $B$2:C61, C61)</f>
        <v>0.38</v>
      </c>
      <c r="AI61">
        <f>AVERAGEIFS($D$2:D61, $B$2:B61, B61)</f>
        <v>0.4</v>
      </c>
    </row>
    <row r="62" spans="1:35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f>AVERAGEIFS($C$2:C62, $B$2:B62, B62)</f>
        <v>21.6</v>
      </c>
      <c r="AG62">
        <f>AVERAGEIFS($I$2:I62, $B$2:B62, B62)</f>
        <v>0.49000000000000005</v>
      </c>
      <c r="AH62">
        <f>AVERAGEIFS($I$2:J62, $B$2:C62, C62)</f>
        <v>0.55999999999999994</v>
      </c>
      <c r="AI62">
        <f>AVERAGEIFS($D$2:D62, $B$2:B62, B62)</f>
        <v>0.6</v>
      </c>
    </row>
    <row r="63" spans="1:35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f>AVERAGEIFS($C$2:C63, $B$2:B63, B63)</f>
        <v>15</v>
      </c>
      <c r="AG63">
        <f>AVERAGEIFS($I$2:I63, $B$2:B63, B63)</f>
        <v>0</v>
      </c>
      <c r="AH63">
        <f>AVERAGEIFS($I$2:J63, $B$2:C63, C63)</f>
        <v>0.42</v>
      </c>
      <c r="AI63">
        <f>AVERAGEIFS($D$2:D63, $B$2:B63, B63)</f>
        <v>0</v>
      </c>
    </row>
    <row r="64" spans="1:35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f>AVERAGEIFS($C$2:C64, $B$2:B64, B64)</f>
        <v>17.333333333333332</v>
      </c>
      <c r="AG64">
        <f>AVERAGEIFS($I$2:I64, $B$2:B64, B64)</f>
        <v>0.45</v>
      </c>
      <c r="AH64">
        <f>AVERAGEIFS($I$2:J64, $B$2:C64, C64)</f>
        <v>0.51500000000000001</v>
      </c>
      <c r="AI64">
        <f>AVERAGEIFS($D$2:D64, $B$2:B64, B64)</f>
        <v>0.66666666666666663</v>
      </c>
    </row>
    <row r="65" spans="1:35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>
        <f>AVERAGEIFS($C$2:C65, $B$2:B65, B65)</f>
        <v>18.5</v>
      </c>
      <c r="AG65">
        <f>AVERAGEIFS($I$2:I65, $B$2:B65, B65)</f>
        <v>0.5</v>
      </c>
      <c r="AH65">
        <f>AVERAGEIFS($I$2:J65, $B$2:C65, C65)</f>
        <v>0.73</v>
      </c>
      <c r="AI65">
        <f>AVERAGEIFS($D$2:D65, $B$2:B65, B65)</f>
        <v>0.5</v>
      </c>
    </row>
    <row r="66" spans="1:35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>
        <f>AVERAGEIFS($C$2:C66, $B$2:B66, B66)</f>
        <v>21.4</v>
      </c>
      <c r="AG66">
        <f>AVERAGEIFS($I$2:I66, $B$2:B66, B66)</f>
        <v>0.67</v>
      </c>
      <c r="AH66">
        <f>AVERAGEIFS($I$2:J66, $B$2:C66, C66)</f>
        <v>0.47249999999999992</v>
      </c>
      <c r="AI66">
        <f>AVERAGEIFS($D$2:D66, $B$2:B66, B66)</f>
        <v>0.8</v>
      </c>
    </row>
    <row r="67" spans="1:35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>
        <f>AVERAGEIFS($C$2:C67, $B$2:B67, B67)</f>
        <v>9.5</v>
      </c>
      <c r="AG67">
        <f>AVERAGEIFS($I$2:I67, $B$2:B67, B67)</f>
        <v>0.8</v>
      </c>
      <c r="AH67">
        <f>AVERAGEIFS($I$2:J67, $B$2:C67, C67)</f>
        <v>0.62249999999999994</v>
      </c>
      <c r="AI67">
        <f>AVERAGEIFS($D$2:D67, $B$2:B67, B67)</f>
        <v>1</v>
      </c>
    </row>
    <row r="68" spans="1:35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>
        <f>AVERAGEIFS($C$2:C68, $B$2:B68, B68)</f>
        <v>19.833333333333332</v>
      </c>
      <c r="AG68">
        <f>AVERAGEIFS($I$2:I68, $B$2:B68, B68)</f>
        <v>0.57500000000000007</v>
      </c>
      <c r="AH68">
        <f>AVERAGEIFS($I$2:J68, $B$2:C68, C68)</f>
        <v>0.66199999999999992</v>
      </c>
      <c r="AI68">
        <f>AVERAGEIFS($D$2:D68, $B$2:B68, B68)</f>
        <v>0.66666666666666663</v>
      </c>
    </row>
    <row r="69" spans="1:35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>
        <f>AVERAGEIFS($C$2:C69, $B$2:B69, B69)</f>
        <v>13.25</v>
      </c>
      <c r="AG69">
        <f>AVERAGEIFS($I$2:I69, $B$2:B69, B69)</f>
        <v>0.46250000000000002</v>
      </c>
      <c r="AH69">
        <f>AVERAGEIFS($I$2:J69, $B$2:C69, C69)</f>
        <v>0.6166666666666667</v>
      </c>
      <c r="AI69">
        <f>AVERAGEIFS($D$2:D69, $B$2:B69, B69)</f>
        <v>0.5</v>
      </c>
    </row>
    <row r="70" spans="1:35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>
        <f>AVERAGEIFS($C$2:C70, $B$2:B70, B70)</f>
        <v>11.666666666666666</v>
      </c>
      <c r="AG70">
        <f>AVERAGEIFS($I$2:I70, $B$2:B70, B70)</f>
        <v>0.45833333333333331</v>
      </c>
      <c r="AH70">
        <f>AVERAGEIFS($I$2:J70, $B$2:C70, C70)</f>
        <v>0.64999999999999991</v>
      </c>
      <c r="AI70">
        <f>AVERAGEIFS($D$2:D70, $B$2:B70, B70)</f>
        <v>0.5</v>
      </c>
    </row>
    <row r="71" spans="1:35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f>AVERAGEIFS($C$2:C71, $B$2:B71, B71)</f>
        <v>21.6</v>
      </c>
      <c r="AG71">
        <f>AVERAGEIFS($I$2:I71, $B$2:B71, B71)</f>
        <v>0.21000000000000002</v>
      </c>
      <c r="AH71">
        <f>AVERAGEIFS($I$2:J71, $B$2:C71, C71)</f>
        <v>0.35</v>
      </c>
      <c r="AI71">
        <f>AVERAGEIFS($D$2:D71, $B$2:B71, B71)</f>
        <v>0</v>
      </c>
    </row>
    <row r="72" spans="1:35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f>AVERAGEIFS($C$2:C72, $B$2:B72, B72)</f>
        <v>25.333333333333332</v>
      </c>
      <c r="AG72">
        <f>AVERAGEIFS($I$2:I72, $B$2:B72, B72)</f>
        <v>0.45833333333333331</v>
      </c>
      <c r="AH72">
        <f>AVERAGEIFS($I$2:J72, $B$2:C72, C72)</f>
        <v>0.33999999999999997</v>
      </c>
      <c r="AI72">
        <f>AVERAGEIFS($D$2:D72, $B$2:B72, B72)</f>
        <v>0.5</v>
      </c>
    </row>
    <row r="73" spans="1:35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f>AVERAGEIFS($C$2:C73, $B$2:B73, B73)</f>
        <v>17.5</v>
      </c>
      <c r="AG73">
        <f>AVERAGEIFS($I$2:I73, $B$2:B73, B73)</f>
        <v>0.3125</v>
      </c>
      <c r="AH73">
        <f>AVERAGEIFS($I$2:J73, $B$2:C73, C73)</f>
        <v>0.30333333333333329</v>
      </c>
      <c r="AI73">
        <f>AVERAGEIFS($D$2:D73, $B$2:B73, B73)</f>
        <v>0.25</v>
      </c>
    </row>
    <row r="74" spans="1:35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f>AVERAGEIFS($C$2:C74, $B$2:B74, B74)</f>
        <v>18.75</v>
      </c>
      <c r="AG74">
        <f>AVERAGEIFS($I$2:I74, $B$2:B74, B74)</f>
        <v>0.6875</v>
      </c>
      <c r="AH74">
        <f>AVERAGEIFS($I$2:J74, $B$2:C74, C74)</f>
        <v>0.49333333333333323</v>
      </c>
      <c r="AI74">
        <f>AVERAGEIFS($D$2:D74, $B$2:B74, B74)</f>
        <v>0.75</v>
      </c>
    </row>
    <row r="75" spans="1:35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f>AVERAGEIFS($C$2:C75, $B$2:B75, B75)</f>
        <v>5</v>
      </c>
      <c r="AG75">
        <f>AVERAGEIFS($I$2:I75, $B$2:B75, B75)</f>
        <v>0</v>
      </c>
      <c r="AH75">
        <f>AVERAGEIFS($I$2:J75, $B$2:C75, C75)</f>
        <v>0.32999999999999996</v>
      </c>
      <c r="AI75">
        <f>AVERAGEIFS($D$2:D75, $B$2:B75, B75)</f>
        <v>0</v>
      </c>
    </row>
    <row r="76" spans="1:35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f>AVERAGEIFS($C$2:C76, $B$2:B76, B76)</f>
        <v>2</v>
      </c>
      <c r="AG76">
        <f>AVERAGEIFS($I$2:I76, $B$2:B76, B76)</f>
        <v>0</v>
      </c>
      <c r="AH76">
        <f>AVERAGEIFS($I$2:J76, $B$2:C76, C76)</f>
        <v>0.245</v>
      </c>
      <c r="AI76">
        <f>AVERAGEIFS($D$2:D76, $B$2:B76, B76)</f>
        <v>0</v>
      </c>
    </row>
    <row r="77" spans="1:35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>
        <f>AVERAGEIFS($C$2:C77, $B$2:B77, B77)</f>
        <v>26.142857142857142</v>
      </c>
      <c r="AG77">
        <f>AVERAGEIFS($I$2:I77, $B$2:B77, B77)</f>
        <v>0.48857142857142855</v>
      </c>
      <c r="AH77">
        <f>AVERAGEIFS($I$2:J77, $B$2:C77, C77)</f>
        <v>0.53</v>
      </c>
      <c r="AI77">
        <f>AVERAGEIFS($D$2:D77, $B$2:B77, B77)</f>
        <v>0.5714285714285714</v>
      </c>
    </row>
    <row r="78" spans="1:35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>
        <f>AVERAGEIFS($C$2:C78, $B$2:B78, B78)</f>
        <v>22</v>
      </c>
      <c r="AG78">
        <f>AVERAGEIFS($I$2:I78, $B$2:B78, B78)</f>
        <v>0.28666666666666668</v>
      </c>
      <c r="AH78">
        <f>AVERAGEIFS($I$2:J78, $B$2:C78, C78)</f>
        <v>0.60166666666666668</v>
      </c>
      <c r="AI78">
        <f>AVERAGEIFS($D$2:D78, $B$2:B78, B78)</f>
        <v>0.16666666666666666</v>
      </c>
    </row>
    <row r="79" spans="1:35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>
        <f>AVERAGEIFS($C$2:C79, $B$2:B79, B79)</f>
        <v>18.600000000000001</v>
      </c>
      <c r="AG79">
        <f>AVERAGEIFS($I$2:I79, $B$2:B79, B79)</f>
        <v>0.38400000000000001</v>
      </c>
      <c r="AH79">
        <f>AVERAGEIFS($I$2:J79, $B$2:C79, C79)</f>
        <v>0.61499999999999999</v>
      </c>
      <c r="AI79">
        <f>AVERAGEIFS($D$2:D79, $B$2:B79, B79)</f>
        <v>0.4</v>
      </c>
    </row>
    <row r="80" spans="1:35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f>AVERAGEIFS($C$2:C80, $B$2:B80, B80)</f>
        <v>19.399999999999999</v>
      </c>
      <c r="AG80">
        <f>AVERAGEIFS($I$2:I80, $B$2:B80, B80)</f>
        <v>0.68399999999999994</v>
      </c>
      <c r="AH80">
        <f>AVERAGEIFS($I$2:J80, $B$2:C80, C80)</f>
        <v>0.66333333333333333</v>
      </c>
      <c r="AI80">
        <f>AVERAGEIFS($D$2:D80, $B$2:B80, B80)</f>
        <v>0.8</v>
      </c>
    </row>
    <row r="81" spans="1:35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f>AVERAGEIFS($C$2:C81, $B$2:B81, B81)</f>
        <v>10.5</v>
      </c>
      <c r="AG81">
        <f>AVERAGEIFS($I$2:I81, $B$2:B81, B81)</f>
        <v>0.33500000000000002</v>
      </c>
      <c r="AH81">
        <f>AVERAGEIFS($I$2:J81, $B$2:C81, C81)</f>
        <v>0.55399999999999994</v>
      </c>
      <c r="AI81">
        <f>AVERAGEIFS($D$2:D81, $B$2:B81, B81)</f>
        <v>0.5</v>
      </c>
    </row>
    <row r="82" spans="1:35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f>AVERAGEIFS($C$2:C82, $B$2:B82, B82)</f>
        <v>7</v>
      </c>
      <c r="AG82">
        <f>AVERAGEIFS($I$2:I82, $B$2:B82, B82)</f>
        <v>0.71</v>
      </c>
      <c r="AH82">
        <f>AVERAGEIFS($I$2:J82, $B$2:C82, C82)</f>
        <v>0.45250000000000001</v>
      </c>
      <c r="AI82">
        <f>AVERAGEIFS($D$2:D82, $B$2:B82, B82)</f>
        <v>1</v>
      </c>
    </row>
    <row r="83" spans="1:35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f>AVERAGEIFS($C$2:C83, $B$2:B83, B83)</f>
        <v>21.333333333333332</v>
      </c>
      <c r="AG83">
        <f>AVERAGEIFS($I$2:I83, $B$2:B83, B83)</f>
        <v>0.44333333333333336</v>
      </c>
      <c r="AH83">
        <f>AVERAGEIFS($I$2:J83, $B$2:C83, C83)</f>
        <v>0.435</v>
      </c>
      <c r="AI83">
        <f>AVERAGEIFS($D$2:D83, $B$2:B83, B83)</f>
        <v>0.33333333333333331</v>
      </c>
    </row>
    <row r="84" spans="1:35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f>AVERAGEIFS($C$2:C84, $B$2:B84, B84)</f>
        <v>15.6</v>
      </c>
      <c r="AG84">
        <f>AVERAGEIFS($I$2:I84, $B$2:B84, B84)</f>
        <v>0.43600000000000005</v>
      </c>
      <c r="AH84">
        <f>AVERAGEIFS($I$2:J84, $B$2:C84, C84)</f>
        <v>0.49600000000000011</v>
      </c>
      <c r="AI84">
        <f>AVERAGEIFS($D$2:D84, $B$2:B84, B84)</f>
        <v>0.4</v>
      </c>
    </row>
    <row r="85" spans="1:35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f>AVERAGEIFS($C$2:C85, $B$2:B85, B85)</f>
        <v>21.5</v>
      </c>
      <c r="AG85">
        <f>AVERAGEIFS($I$2:I85, $B$2:B85, B85)</f>
        <v>0.6133333333333334</v>
      </c>
      <c r="AH85">
        <f>AVERAGEIFS($I$2:J85, $B$2:C85, C85)</f>
        <v>0.61499999999999999</v>
      </c>
      <c r="AI85">
        <f>AVERAGEIFS($D$2:D85, $B$2:B85, B85)</f>
        <v>0.66666666666666663</v>
      </c>
    </row>
    <row r="86" spans="1:35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f>AVERAGEIFS($C$2:C86, $B$2:B86, B86)</f>
        <v>19.285714285714285</v>
      </c>
      <c r="AG86">
        <f>AVERAGEIFS($I$2:I86, $B$2:B86, B86)</f>
        <v>0.54</v>
      </c>
      <c r="AH86">
        <f>AVERAGEIFS($I$2:J86, $B$2:C86, C86)</f>
        <v>0.53999999999999992</v>
      </c>
      <c r="AI86">
        <f>AVERAGEIFS($D$2:D86, $B$2:B86, B86)</f>
        <v>0.5714285714285714</v>
      </c>
    </row>
    <row r="87" spans="1:35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f>AVERAGEIFS($C$2:C87, $B$2:B87, B87)</f>
        <v>12</v>
      </c>
      <c r="AG87">
        <f>AVERAGEIFS($I$2:I87, $B$2:B87, B87)</f>
        <v>0.44</v>
      </c>
      <c r="AH87">
        <f>AVERAGEIFS($I$2:J87, $B$2:C87, C87)</f>
        <v>0.53499999999999992</v>
      </c>
      <c r="AI87">
        <f>AVERAGEIFS($D$2:D87, $B$2:B87, B87)</f>
        <v>0.42857142857142855</v>
      </c>
    </row>
    <row r="88" spans="1:35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f>AVERAGEIFS($C$2:C88, $B$2:B88, B88)</f>
        <v>9.1999999999999993</v>
      </c>
      <c r="AG88">
        <f>AVERAGEIFS($I$2:I88, $B$2:B88, B88)</f>
        <v>0.70600000000000007</v>
      </c>
      <c r="AH88">
        <f>AVERAGEIFS($I$2:J88, $B$2:C88, C88)</f>
        <v>0.54666666666666663</v>
      </c>
      <c r="AI88">
        <f>AVERAGEIFS($D$2:D88, $B$2:B88, B88)</f>
        <v>0.8</v>
      </c>
    </row>
    <row r="89" spans="1:35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f>AVERAGEIFS($C$2:C89, $B$2:B89, B89)</f>
        <v>26.666666666666668</v>
      </c>
      <c r="AG89">
        <f>AVERAGEIFS($I$2:I89, $B$2:B89, B89)</f>
        <v>0.45</v>
      </c>
      <c r="AH89">
        <f>AVERAGEIFS($I$2:J89, $B$2:C89, C89)</f>
        <v>0.61199999999999999</v>
      </c>
      <c r="AI89">
        <f>AVERAGEIFS($D$2:D89, $B$2:B89, B89)</f>
        <v>0.66666666666666663</v>
      </c>
    </row>
    <row r="90" spans="1:35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f>AVERAGEIFS($C$2:C90, $B$2:B90, B90)</f>
        <v>19.625</v>
      </c>
      <c r="AG90">
        <f>AVERAGEIFS($I$2:I90, $B$2:B90, B90)</f>
        <v>0.56625000000000003</v>
      </c>
      <c r="AH90">
        <f>AVERAGEIFS($I$2:J90, $B$2:C90, C90)</f>
        <v>0.61199999999999999</v>
      </c>
      <c r="AI90">
        <f>AVERAGEIFS($D$2:D90, $B$2:B90, B90)</f>
        <v>0.625</v>
      </c>
    </row>
    <row r="91" spans="1:35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f>AVERAGEIFS($C$2:C91, $B$2:B91, B91)</f>
        <v>15.5</v>
      </c>
      <c r="AG91">
        <f>AVERAGEIFS($I$2:I91, $B$2:B91, B91)</f>
        <v>0.875</v>
      </c>
      <c r="AH91">
        <f>AVERAGEIFS($I$2:J91, $B$2:C91, C91)</f>
        <v>0.49799999999999994</v>
      </c>
      <c r="AI91">
        <f>AVERAGEIFS($D$2:D91, $B$2:B91, B91)</f>
        <v>1</v>
      </c>
    </row>
    <row r="92" spans="1:35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f>AVERAGEIFS($C$2:C92, $B$2:B92, B92)</f>
        <v>21</v>
      </c>
      <c r="AG92">
        <f>AVERAGEIFS($I$2:I92, $B$2:B92, B92)</f>
        <v>0.35285714285714287</v>
      </c>
      <c r="AH92">
        <f>AVERAGEIFS($I$2:J92, $B$2:C92, C92)</f>
        <v>0.48</v>
      </c>
      <c r="AI92">
        <f>AVERAGEIFS($D$2:D92, $B$2:B92, B92)</f>
        <v>0.2857142857142857</v>
      </c>
    </row>
    <row r="93" spans="1:35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f>AVERAGEIFS($C$2:C93, $B$2:B93, B93)</f>
        <v>24.625</v>
      </c>
      <c r="AG93">
        <f>AVERAGEIFS($I$2:I93, $B$2:B93, B93)</f>
        <v>0.52124999999999999</v>
      </c>
      <c r="AH93">
        <f>AVERAGEIFS($I$2:J93, $B$2:C93, C93)</f>
        <v>0.55666666666666664</v>
      </c>
      <c r="AI93">
        <f>AVERAGEIFS($D$2:D93, $B$2:B93, B93)</f>
        <v>0.625</v>
      </c>
    </row>
    <row r="94" spans="1:35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f>AVERAGEIFS($C$2:C94, $B$2:B94, B94)</f>
        <v>2.5</v>
      </c>
      <c r="AG94">
        <f>AVERAGEIFS($I$2:I94, $B$2:B94, B94)</f>
        <v>0.375</v>
      </c>
      <c r="AH94">
        <f>AVERAGEIFS($I$2:J94, $B$2:C94, C94)</f>
        <v>0.48200000000000004</v>
      </c>
      <c r="AI94">
        <f>AVERAGEIFS($D$2:D94, $B$2:B94, B94)</f>
        <v>0.5</v>
      </c>
    </row>
    <row r="95" spans="1:35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>
        <f>AVERAGEIFS($C$2:C95, $B$2:B95, B95)</f>
        <v>22.25</v>
      </c>
      <c r="AG95">
        <f>AVERAGEIFS($I$2:I95, $B$2:B95, B95)</f>
        <v>0.39500000000000002</v>
      </c>
      <c r="AH95">
        <f>AVERAGEIFS($I$2:J95, $B$2:C95, C95)</f>
        <v>0.48000000000000004</v>
      </c>
      <c r="AI95">
        <f>AVERAGEIFS($D$2:D95, $B$2:B95, B95)</f>
        <v>0.25</v>
      </c>
    </row>
    <row r="96" spans="1:35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>
        <f>AVERAGEIFS($C$2:C96, $B$2:B96, B96)</f>
        <v>20</v>
      </c>
      <c r="AG96">
        <f>AVERAGEIFS($I$2:I96, $B$2:B96, B96)</f>
        <v>0.32500000000000001</v>
      </c>
      <c r="AH96">
        <f>AVERAGEIFS($I$2:J96, $B$2:C96, C96)</f>
        <v>0.54499999999999993</v>
      </c>
      <c r="AI96">
        <f>AVERAGEIFS($D$2:D96, $B$2:B96, B96)</f>
        <v>0</v>
      </c>
    </row>
    <row r="97" spans="1:35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>
        <f>AVERAGEIFS($C$2:C97, $B$2:B97, B97)</f>
        <v>22.2</v>
      </c>
      <c r="AG97">
        <f>AVERAGEIFS($I$2:I97, $B$2:B97, B97)</f>
        <v>0.61</v>
      </c>
      <c r="AH97">
        <f>AVERAGEIFS($I$2:J97, $B$2:C97, C97)</f>
        <v>0.49666666666666659</v>
      </c>
      <c r="AI97">
        <f>AVERAGEIFS($D$2:D97, $B$2:B97, B97)</f>
        <v>0.4</v>
      </c>
    </row>
    <row r="98" spans="1:35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>
        <f>AVERAGEIFS($C$2:C98, $B$2:B98, B98)</f>
        <v>17.666666666666668</v>
      </c>
      <c r="AG98">
        <f>AVERAGEIFS($I$2:I98, $B$2:B98, B98)</f>
        <v>0.36166666666666664</v>
      </c>
      <c r="AH98">
        <f>AVERAGEIFS($I$2:J98, $B$2:C98, C98)</f>
        <v>0.44</v>
      </c>
      <c r="AI98">
        <f>AVERAGEIFS($D$2:D98, $B$2:B98, B98)</f>
        <v>0.33333333333333331</v>
      </c>
    </row>
    <row r="99" spans="1:35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>
        <f>AVERAGEIFS($C$2:C99, $B$2:B99, B99)</f>
        <v>12</v>
      </c>
      <c r="AG99">
        <f>AVERAGEIFS($I$2:I99, $B$2:B99, B99)</f>
        <v>0.25</v>
      </c>
      <c r="AH99">
        <f>AVERAGEIFS($I$2:J99, $B$2:C99, C99)</f>
        <v>0.49199999999999999</v>
      </c>
      <c r="AI99">
        <f>AVERAGEIFS($D$2:D99, $B$2:B99, B99)</f>
        <v>0</v>
      </c>
    </row>
    <row r="100" spans="1:35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>
        <f>AVERAGEIFS($C$2:C100, $B$2:B100, B100)</f>
        <v>9.1666666666666661</v>
      </c>
      <c r="AG100">
        <f>AVERAGEIFS($I$2:I100, $B$2:B100, B100)</f>
        <v>0.63</v>
      </c>
      <c r="AH100">
        <f>AVERAGEIFS($I$2:J100, $B$2:C100, C100)</f>
        <v>0.32750000000000001</v>
      </c>
      <c r="AI100">
        <f>AVERAGEIFS($D$2:D100, $B$2:B100, B100)</f>
        <v>0.66666666666666663</v>
      </c>
    </row>
    <row r="101" spans="1:35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f>AVERAGEIFS($C$2:C101, $B$2:B101, B101)</f>
        <v>20.399999999999999</v>
      </c>
      <c r="AG101">
        <f>AVERAGEIFS($I$2:I101, $B$2:B101, B101)</f>
        <v>0.38</v>
      </c>
      <c r="AH101">
        <f>AVERAGEIFS($I$2:J101, $B$2:C101, C101)</f>
        <v>0.59666666666666668</v>
      </c>
      <c r="AI101">
        <f>AVERAGEIFS($D$2:D101, $B$2:B101, B101)</f>
        <v>0.2</v>
      </c>
    </row>
    <row r="102" spans="1:35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f>AVERAGEIFS($C$2:C102, $B$2:B102, B102)</f>
        <v>18</v>
      </c>
      <c r="AG102">
        <f>AVERAGEIFS($I$2:I102, $B$2:B102, B102)</f>
        <v>0.6</v>
      </c>
      <c r="AH102">
        <f>AVERAGEIFS($I$2:J102, $B$2:C102, C102)</f>
        <v>0.50249999999999995</v>
      </c>
      <c r="AI102">
        <f>AVERAGEIFS($D$2:D102, $B$2:B102, B102)</f>
        <v>1</v>
      </c>
    </row>
    <row r="103" spans="1:35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f>AVERAGEIFS($C$2:C103, $B$2:B103, B103)</f>
        <v>19</v>
      </c>
      <c r="AG103">
        <f>AVERAGEIFS($I$2:I103, $B$2:B103, B103)</f>
        <v>0.8</v>
      </c>
      <c r="AH103">
        <f>AVERAGEIFS($I$2:J103, $B$2:C103, C103)</f>
        <v>0.54749999999999999</v>
      </c>
      <c r="AI103">
        <f>AVERAGEIFS($D$2:D103, $B$2:B103, B103)</f>
        <v>1</v>
      </c>
    </row>
    <row r="104" spans="1:35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f>AVERAGEIFS($C$2:C104, $B$2:B104, B104)</f>
        <v>17</v>
      </c>
      <c r="AG104">
        <f>AVERAGEIFS($I$2:I104, $B$2:B104, B104)</f>
        <v>0.39571428571428574</v>
      </c>
      <c r="AH104">
        <f>AVERAGEIFS($I$2:J104, $B$2:C104, C104)</f>
        <v>0.46666666666666662</v>
      </c>
      <c r="AI104">
        <f>AVERAGEIFS($D$2:D104, $B$2:B104, B104)</f>
        <v>0.42857142857142855</v>
      </c>
    </row>
    <row r="105" spans="1:35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f>AVERAGEIFS($C$2:C105, $B$2:B105, B105)</f>
        <v>20.5</v>
      </c>
      <c r="AG105">
        <f>AVERAGEIFS($I$2:I105, $B$2:B105, B105)</f>
        <v>0.60833333333333328</v>
      </c>
      <c r="AH105">
        <f>AVERAGEIFS($I$2:J105, $B$2:C105, C105)</f>
        <v>0.49666666666666665</v>
      </c>
      <c r="AI105">
        <f>AVERAGEIFS($D$2:D105, $B$2:B105, B105)</f>
        <v>0.5</v>
      </c>
    </row>
    <row r="106" spans="1:35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>
        <f>AVERAGEIFS($C$2:C106, $B$2:B106, B106)</f>
        <v>24.666666666666668</v>
      </c>
      <c r="AG106">
        <f>AVERAGEIFS($I$2:I106, $B$2:B106, B106)</f>
        <v>0.50777777777777777</v>
      </c>
      <c r="AH106">
        <f>AVERAGEIFS($I$2:J106, $B$2:C106, C106)</f>
        <v>0.48000000000000004</v>
      </c>
      <c r="AI106">
        <f>AVERAGEIFS($D$2:D106, $B$2:B106, B106)</f>
        <v>0.55555555555555558</v>
      </c>
    </row>
    <row r="107" spans="1:35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>
        <f>AVERAGEIFS($C$2:C107, $B$2:B107, B107)</f>
        <v>20.875</v>
      </c>
      <c r="AG107">
        <f>AVERAGEIFS($I$2:I107, $B$2:B107, B107)</f>
        <v>0.35875000000000001</v>
      </c>
      <c r="AH107">
        <f>AVERAGEIFS($I$2:J107, $B$2:C107, C107)</f>
        <v>0.39333333333333331</v>
      </c>
      <c r="AI107">
        <f>AVERAGEIFS($D$2:D107, $B$2:B107, B107)</f>
        <v>0.25</v>
      </c>
    </row>
    <row r="108" spans="1:35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>
        <f>AVERAGEIFS($C$2:C108, $B$2:B108, B108)</f>
        <v>18.888888888888889</v>
      </c>
      <c r="AG108">
        <f>AVERAGEIFS($I$2:I108, $B$2:B108, B108)</f>
        <v>0.54777777777777781</v>
      </c>
      <c r="AH108">
        <f>AVERAGEIFS($I$2:J108, $B$2:C108, C108)</f>
        <v>0.47</v>
      </c>
      <c r="AI108">
        <f>AVERAGEIFS($D$2:D108, $B$2:B108, B108)</f>
        <v>0.55555555555555558</v>
      </c>
    </row>
    <row r="109" spans="1:35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>
        <f>AVERAGEIFS($C$2:C109, $B$2:B109, B109)</f>
        <v>9.2857142857142865</v>
      </c>
      <c r="AG109">
        <f>AVERAGEIFS($I$2:I109, $B$2:B109, B109)</f>
        <v>0.5971428571428572</v>
      </c>
      <c r="AH109">
        <f>AVERAGEIFS($I$2:J109, $B$2:C109, C109)</f>
        <v>0.4366666666666667</v>
      </c>
      <c r="AI109">
        <f>AVERAGEIFS($D$2:D109, $B$2:B109, B109)</f>
        <v>0.5714285714285714</v>
      </c>
    </row>
    <row r="110" spans="1:35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>
        <f>AVERAGEIFS($C$2:C110, $B$2:B110, B110)</f>
        <v>13.333333333333334</v>
      </c>
      <c r="AG110">
        <f>AVERAGEIFS($I$2:I110, $B$2:B110, B110)</f>
        <v>0.71666666666666667</v>
      </c>
      <c r="AH110">
        <f>AVERAGEIFS($I$2:J110, $B$2:C110, C110)</f>
        <v>0.35799999999999998</v>
      </c>
      <c r="AI110">
        <f>AVERAGEIFS($D$2:D110, $B$2:B110, B110)</f>
        <v>0.66666666666666663</v>
      </c>
    </row>
    <row r="111" spans="1:35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f>AVERAGEIFS($C$2:C111, $B$2:B111, B111)</f>
        <v>22</v>
      </c>
      <c r="AG111">
        <f>AVERAGEIFS($I$2:I111, $B$2:B111, B111)</f>
        <v>0.66857142857142848</v>
      </c>
      <c r="AH111">
        <f>AVERAGEIFS($I$2:J111, $B$2:C111, C111)</f>
        <v>0.49125000000000002</v>
      </c>
      <c r="AI111">
        <f>AVERAGEIFS($D$2:D111, $B$2:B111, B111)</f>
        <v>0.7142857142857143</v>
      </c>
    </row>
    <row r="112" spans="1:35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>
        <f>AVERAGEIFS($C$2:C112, $B$2:B112, B112)</f>
        <v>23.9</v>
      </c>
      <c r="AG112">
        <f>AVERAGEIFS($I$2:I112, $B$2:B112, B112)</f>
        <v>0.55700000000000005</v>
      </c>
      <c r="AH112">
        <f>AVERAGEIFS($I$2:J112, $B$2:C112, C112)</f>
        <v>0.37833333333333335</v>
      </c>
      <c r="AI112">
        <f>AVERAGEIFS($D$2:D112, $B$2:B112, B112)</f>
        <v>0.6</v>
      </c>
    </row>
    <row r="113" spans="1:35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>
        <f>AVERAGEIFS($C$2:C113, $B$2:B113, B113)</f>
        <v>19.666666666666668</v>
      </c>
      <c r="AG113">
        <f>AVERAGEIFS($I$2:I113, $B$2:B113, B113)</f>
        <v>0.48333333333333334</v>
      </c>
      <c r="AH113">
        <f>AVERAGEIFS($I$2:J113, $B$2:C113, C113)</f>
        <v>0.54428571428571415</v>
      </c>
      <c r="AI113">
        <f>AVERAGEIFS($D$2:D113, $B$2:B113, B113)</f>
        <v>0.33333333333333331</v>
      </c>
    </row>
    <row r="114" spans="1:35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>
        <f>AVERAGEIFS($C$2:C114, $B$2:B114, B114)</f>
        <v>20</v>
      </c>
      <c r="AG114">
        <f>AVERAGEIFS($I$2:I114, $B$2:B114, B114)</f>
        <v>0.43</v>
      </c>
      <c r="AH114">
        <f>AVERAGEIFS($I$2:J114, $B$2:C114, C114)</f>
        <v>0.48999999999999994</v>
      </c>
      <c r="AI114">
        <f>AVERAGEIFS($D$2:D114, $B$2:B114, B114)</f>
        <v>0.33333333333333331</v>
      </c>
    </row>
    <row r="115" spans="1:35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>
        <f>AVERAGEIFS($C$2:C115, $B$2:B115, B115)</f>
        <v>11.5</v>
      </c>
      <c r="AG115">
        <f>AVERAGEIFS($I$2:I115, $B$2:B115, B115)</f>
        <v>0.51</v>
      </c>
      <c r="AH115">
        <f>AVERAGEIFS($I$2:J115, $B$2:C115, C115)</f>
        <v>0.55249999999999999</v>
      </c>
      <c r="AI115">
        <f>AVERAGEIFS($D$2:D115, $B$2:B115, B115)</f>
        <v>0.5</v>
      </c>
    </row>
    <row r="116" spans="1:35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f>AVERAGEIFS($C$2:C116, $B$2:B116, B116)</f>
        <v>21.6</v>
      </c>
      <c r="AG116">
        <f>AVERAGEIFS($I$2:I116, $B$2:B116, B116)</f>
        <v>0.316</v>
      </c>
      <c r="AH116">
        <f>AVERAGEIFS($I$2:J116, $B$2:C116, C116)</f>
        <v>0.48666666666666664</v>
      </c>
      <c r="AI116">
        <f>AVERAGEIFS($D$2:D116, $B$2:B116, B116)</f>
        <v>0.2</v>
      </c>
    </row>
    <row r="117" spans="1:35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f>AVERAGEIFS($C$2:C117, $B$2:B117, B117)</f>
        <v>17</v>
      </c>
      <c r="AG117">
        <f>AVERAGEIFS($I$2:I117, $B$2:B117, B117)</f>
        <v>0</v>
      </c>
      <c r="AH117">
        <f>AVERAGEIFS($I$2:J117, $B$2:C117, C117)</f>
        <v>0.38571428571428573</v>
      </c>
      <c r="AI117">
        <f>AVERAGEIFS($D$2:D117, $B$2:B117, B117)</f>
        <v>0</v>
      </c>
    </row>
    <row r="118" spans="1:35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f>AVERAGEIFS($C$2:C118, $B$2:B118, B118)</f>
        <v>18.666666666666668</v>
      </c>
      <c r="AG118">
        <f>AVERAGEIFS($I$2:I118, $B$2:B118, B118)</f>
        <v>0.56999999999999995</v>
      </c>
      <c r="AH118">
        <f>AVERAGEIFS($I$2:J118, $B$2:C118, C118)</f>
        <v>0.46749999999999997</v>
      </c>
      <c r="AI118">
        <f>AVERAGEIFS($D$2:D118, $B$2:B118, B118)</f>
        <v>0.66666666666666663</v>
      </c>
    </row>
    <row r="119" spans="1:35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f>AVERAGEIFS($C$2:C119, $B$2:B119, B119)</f>
        <v>9</v>
      </c>
      <c r="AG119">
        <f>AVERAGEIFS($I$2:I119, $B$2:B119, B119)</f>
        <v>0.52250000000000008</v>
      </c>
      <c r="AH119">
        <f>AVERAGEIFS($I$2:J119, $B$2:C119, C119)</f>
        <v>0.57000000000000006</v>
      </c>
      <c r="AI119">
        <f>AVERAGEIFS($D$2:D119, $B$2:B119, B119)</f>
        <v>0.5</v>
      </c>
    </row>
    <row r="120" spans="1:35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f>AVERAGEIFS($C$2:C120, $B$2:B120, B120)</f>
        <v>17.7</v>
      </c>
      <c r="AG120">
        <f>AVERAGEIFS($I$2:I120, $B$2:B120, B120)</f>
        <v>0.49300000000000005</v>
      </c>
      <c r="AH120">
        <f>AVERAGEIFS($I$2:J120, $B$2:C120, C120)</f>
        <v>0.54200000000000004</v>
      </c>
      <c r="AI120">
        <f>AVERAGEIFS($D$2:D120, $B$2:B120, B120)</f>
        <v>0.5</v>
      </c>
    </row>
    <row r="121" spans="1:35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>
        <f>AVERAGEIFS($C$2:C121, $B$2:B121, B121)</f>
        <v>17</v>
      </c>
      <c r="AG121">
        <f>AVERAGEIFS($I$2:I121, $B$2:B121, B121)</f>
        <v>0.6</v>
      </c>
      <c r="AH121">
        <f>AVERAGEIFS($I$2:J121, $B$2:C121, C121)</f>
        <v>0.40500000000000003</v>
      </c>
      <c r="AI121">
        <f>AVERAGEIFS($D$2:D121, $B$2:B121, B121)</f>
        <v>1</v>
      </c>
    </row>
    <row r="122" spans="1:35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>
        <f>AVERAGEIFS($C$2:C122, $B$2:B122, B122)</f>
        <v>17</v>
      </c>
      <c r="AG122">
        <f>AVERAGEIFS($I$2:I122, $B$2:B122, B122)</f>
        <v>0.6</v>
      </c>
      <c r="AH122">
        <f>AVERAGEIFS($I$2:J122, $B$2:C122, C122)</f>
        <v>0.42000000000000004</v>
      </c>
      <c r="AI122">
        <f>AVERAGEIFS($D$2:D122, $B$2:B122, B122)</f>
        <v>1</v>
      </c>
    </row>
    <row r="123" spans="1:35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>
        <f>AVERAGEIFS($C$2:C123, $B$2:B123, B123)</f>
        <v>21.142857142857142</v>
      </c>
      <c r="AG123">
        <f>AVERAGEIFS($I$2:I123, $B$2:B123, B123)</f>
        <v>0.57428571428571418</v>
      </c>
      <c r="AH123">
        <f>AVERAGEIFS($I$2:J123, $B$2:C123, C123)</f>
        <v>0.43500000000000005</v>
      </c>
      <c r="AI123">
        <f>AVERAGEIFS($D$2:D123, $B$2:B123, B123)</f>
        <v>0.7142857142857143</v>
      </c>
    </row>
    <row r="124" spans="1:35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>
        <f>AVERAGEIFS($C$2:C124, $B$2:B124, B124)</f>
        <v>24.181818181818183</v>
      </c>
      <c r="AG124">
        <f>AVERAGEIFS($I$2:I124, $B$2:B124, B124)</f>
        <v>0.56090909090909091</v>
      </c>
      <c r="AH124">
        <f>AVERAGEIFS($I$2:J124, $B$2:C124, C124)</f>
        <v>0.47000000000000003</v>
      </c>
      <c r="AI124">
        <f>AVERAGEIFS($D$2:D124, $B$2:B124, B124)</f>
        <v>0.63636363636363635</v>
      </c>
    </row>
    <row r="125" spans="1:35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>
        <f>AVERAGEIFS($C$2:C125, $B$2:B125, B125)</f>
        <v>16.5</v>
      </c>
      <c r="AG125">
        <f>AVERAGEIFS($I$2:I125, $B$2:B125, B125)</f>
        <v>0.48750000000000004</v>
      </c>
      <c r="AH125">
        <f>AVERAGEIFS($I$2:J125, $B$2:C125, C125)</f>
        <v>0.54600000000000004</v>
      </c>
      <c r="AI125">
        <f>AVERAGEIFS($D$2:D125, $B$2:B125, B125)</f>
        <v>0.75</v>
      </c>
    </row>
    <row r="126" spans="1:35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>
        <f>AVERAGEIFS($C$2:C126, $B$2:B126, B126)</f>
        <v>18</v>
      </c>
      <c r="AG126">
        <f>AVERAGEIFS($I$2:I126, $B$2:B126, B126)</f>
        <v>0.48454545454545461</v>
      </c>
      <c r="AH126">
        <f>AVERAGEIFS($I$2:J126, $B$2:C126, C126)</f>
        <v>0.51500000000000001</v>
      </c>
      <c r="AI126">
        <f>AVERAGEIFS($D$2:D126, $B$2:B126, B126)</f>
        <v>0.45454545454545453</v>
      </c>
    </row>
    <row r="127" spans="1:35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>
        <f>AVERAGEIFS($C$2:C127, $B$2:B127, B127)</f>
        <v>21.625</v>
      </c>
      <c r="AG127">
        <f>AVERAGEIFS($I$2:I127, $B$2:B127, B127)</f>
        <v>0.63500000000000001</v>
      </c>
      <c r="AH127">
        <f>AVERAGEIFS($I$2:J127, $B$2:C127, C127)</f>
        <v>0.48285714285714282</v>
      </c>
      <c r="AI127">
        <f>AVERAGEIFS($D$2:D127, $B$2:B127, B127)</f>
        <v>0.625</v>
      </c>
    </row>
    <row r="128" spans="1:35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>
        <f>AVERAGEIFS($C$2:C128, $B$2:B128, B128)</f>
        <v>15.5</v>
      </c>
      <c r="AG128">
        <f>AVERAGEIFS($I$2:I128, $B$2:B128, B128)</f>
        <v>0.32500000000000001</v>
      </c>
      <c r="AH128">
        <f>AVERAGEIFS($I$2:J128, $B$2:C128, C128)</f>
        <v>0.48</v>
      </c>
      <c r="AI128">
        <f>AVERAGEIFS($D$2:D128, $B$2:B128, B128)</f>
        <v>0</v>
      </c>
    </row>
    <row r="129" spans="1:35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>
        <f>AVERAGEIFS($C$2:C129, $B$2:B129, B129)</f>
        <v>18.714285714285715</v>
      </c>
      <c r="AG129">
        <f>AVERAGEIFS($I$2:I129, $B$2:B129, B129)</f>
        <v>0.47142857142857142</v>
      </c>
      <c r="AH129">
        <f>AVERAGEIFS($I$2:J129, $B$2:C129, C129)</f>
        <v>0.48499999999999993</v>
      </c>
      <c r="AI129">
        <f>AVERAGEIFS($D$2:D129, $B$2:B129, B129)</f>
        <v>0.2857142857142857</v>
      </c>
    </row>
    <row r="130" spans="1:35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>
        <f>AVERAGEIFS($C$2:C130, $B$2:B130, B130)</f>
        <v>27</v>
      </c>
      <c r="AG130">
        <f>AVERAGEIFS($I$2:I130, $B$2:B130, B130)</f>
        <v>0.4</v>
      </c>
      <c r="AH130">
        <f>AVERAGEIFS($I$2:J130, $B$2:C130, C130)</f>
        <v>0.46750000000000003</v>
      </c>
      <c r="AI130">
        <f>AVERAGEIFS($D$2:D130, $B$2:B130, B130)</f>
        <v>0</v>
      </c>
    </row>
    <row r="131" spans="1:35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>
        <f>AVERAGEIFS($C$2:C131, $B$2:B131, B131)</f>
        <v>21.166666666666668</v>
      </c>
      <c r="AG131">
        <f>AVERAGEIFS($I$2:I131, $B$2:B131, B131)</f>
        <v>0.38833333333333336</v>
      </c>
      <c r="AH131">
        <f>AVERAGEIFS($I$2:J131, $B$2:C131, C131)</f>
        <v>0.51444444444444448</v>
      </c>
      <c r="AI131">
        <f>AVERAGEIFS($D$2:D131, $B$2:B131, B131)</f>
        <v>0.33333333333333331</v>
      </c>
    </row>
    <row r="132" spans="1:35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>
        <f>AVERAGEIFS($C$2:C132, $B$2:B132, B132)</f>
        <v>18.5</v>
      </c>
      <c r="AG132">
        <f>AVERAGEIFS($I$2:I132, $B$2:B132, B132)</f>
        <v>0.50624999999999998</v>
      </c>
      <c r="AH132">
        <f>AVERAGEIFS($I$2:J132, $B$2:C132, C132)</f>
        <v>0.45700000000000002</v>
      </c>
      <c r="AI132">
        <f>AVERAGEIFS($D$2:D132, $B$2:B132, B132)</f>
        <v>0.375</v>
      </c>
    </row>
    <row r="133" spans="1:35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>
        <f>AVERAGEIFS($C$2:C133, $B$2:B133, B133)</f>
        <v>19.3</v>
      </c>
      <c r="AG133">
        <f>AVERAGEIFS($I$2:I133, $B$2:B133, B133)</f>
        <v>0.46200000000000002</v>
      </c>
      <c r="AH133">
        <f>AVERAGEIFS($I$2:J133, $B$2:C133, C133)</f>
        <v>0.52857142857142858</v>
      </c>
      <c r="AI133">
        <f>AVERAGEIFS($D$2:D133, $B$2:B133, B133)</f>
        <v>0.4</v>
      </c>
    </row>
    <row r="134" spans="1:35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>
        <f>AVERAGEIFS($C$2:C134, $B$2:B134, B134)</f>
        <v>20.555555555555557</v>
      </c>
      <c r="AG134">
        <f>AVERAGEIFS($I$2:I134, $B$2:B134, B134)</f>
        <v>0.64777777777777779</v>
      </c>
      <c r="AH134">
        <f>AVERAGEIFS($I$2:J134, $B$2:C134, C134)</f>
        <v>0.53857142857142859</v>
      </c>
      <c r="AI134">
        <f>AVERAGEIFS($D$2:D134, $B$2:B134, B134)</f>
        <v>0.66666666666666663</v>
      </c>
    </row>
    <row r="135" spans="1:35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>
        <f>AVERAGEIFS($C$2:C135, $B$2:B135, B135)</f>
        <v>10</v>
      </c>
      <c r="AG135">
        <f>AVERAGEIFS($I$2:I135, $B$2:B135, B135)</f>
        <v>0.75</v>
      </c>
      <c r="AH135">
        <f>AVERAGEIFS($I$2:J135, $B$2:C135, C135)</f>
        <v>0.52500000000000002</v>
      </c>
      <c r="AI135">
        <f>AVERAGEIFS($D$2:D135, $B$2:B135, B135)</f>
        <v>1</v>
      </c>
    </row>
    <row r="136" spans="1:35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>
        <f>AVERAGEIFS($C$2:C136, $B$2:B136, B136)</f>
        <v>8.3333333333333339</v>
      </c>
      <c r="AG136">
        <f>AVERAGEIFS($I$2:I136, $B$2:B136, B136)</f>
        <v>0.54777777777777781</v>
      </c>
      <c r="AH136">
        <f>AVERAGEIFS($I$2:J136, $B$2:C136, C136)</f>
        <v>0.53333333333333333</v>
      </c>
      <c r="AI136">
        <f>AVERAGEIFS($D$2:D136, $B$2:B136, B136)</f>
        <v>0.55555555555555558</v>
      </c>
    </row>
    <row r="137" spans="1:35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f>AVERAGEIFS($C$2:C137, $B$2:B137, B137)</f>
        <v>23.75</v>
      </c>
      <c r="AG137">
        <f>AVERAGEIFS($I$2:I137, $B$2:B137, B137)</f>
        <v>0.53500000000000003</v>
      </c>
      <c r="AH137">
        <f>AVERAGEIFS($I$2:J137, $B$2:C137, C137)</f>
        <v>0.48399999999999999</v>
      </c>
      <c r="AI137">
        <f>AVERAGEIFS($D$2:D137, $B$2:B137, B137)</f>
        <v>0.58333333333333337</v>
      </c>
    </row>
    <row r="138" spans="1:35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f>AVERAGEIFS($C$2:C138, $B$2:B138, B138)</f>
        <v>19.5</v>
      </c>
      <c r="AG138">
        <f>AVERAGEIFS($I$2:I138, $B$2:B138, B138)</f>
        <v>0.32500000000000001</v>
      </c>
      <c r="AH138">
        <f>AVERAGEIFS($I$2:J138, $B$2:C138, C138)</f>
        <v>0.4975</v>
      </c>
      <c r="AI138">
        <f>AVERAGEIFS($D$2:D138, $B$2:B138, B138)</f>
        <v>0</v>
      </c>
    </row>
    <row r="139" spans="1:35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f>AVERAGEIFS($C$2:C139, $B$2:B139, B139)</f>
        <v>11.444444444444445</v>
      </c>
      <c r="AG139">
        <f>AVERAGEIFS($I$2:I139, $B$2:B139, B139)</f>
        <v>0.4811111111111111</v>
      </c>
      <c r="AH139">
        <f>AVERAGEIFS($I$2:J139, $B$2:C139, C139)</f>
        <v>0.58666666666666656</v>
      </c>
      <c r="AI139">
        <f>AVERAGEIFS($D$2:D139, $B$2:B139, B139)</f>
        <v>0.44444444444444442</v>
      </c>
    </row>
    <row r="140" spans="1:35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f>AVERAGEIFS($C$2:C140, $B$2:B140, B140)</f>
        <v>14</v>
      </c>
      <c r="AG140">
        <f>AVERAGEIFS($I$2:I140, $B$2:B140, B140)</f>
        <v>0.42499999999999999</v>
      </c>
      <c r="AH140">
        <f>AVERAGEIFS($I$2:J140, $B$2:C140, C140)</f>
        <v>0.53285714285714281</v>
      </c>
      <c r="AI140">
        <f>AVERAGEIFS($D$2:D140, $B$2:B140, B140)</f>
        <v>0.5</v>
      </c>
    </row>
    <row r="141" spans="1:35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f>AVERAGEIFS($C$2:C141, $B$2:B141, B141)</f>
        <v>12</v>
      </c>
      <c r="AG141">
        <f>AVERAGEIFS($I$2:I141, $B$2:B141, B141)</f>
        <v>0.3</v>
      </c>
      <c r="AH141">
        <f>AVERAGEIFS($I$2:J141, $B$2:C141, C141)</f>
        <v>0.28999999999999998</v>
      </c>
      <c r="AI141">
        <f>AVERAGEIFS($D$2:D141, $B$2:B141, B141)</f>
        <v>0</v>
      </c>
    </row>
    <row r="142" spans="1:35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f>AVERAGEIFS($C$2:C142, $B$2:B142, B142)</f>
        <v>11</v>
      </c>
      <c r="AG142">
        <f>AVERAGEIFS($I$2:I142, $B$2:B142, B142)</f>
        <v>0.42499999999999999</v>
      </c>
      <c r="AH142">
        <f>AVERAGEIFS($I$2:J142, $B$2:C142, C142)</f>
        <v>0.26999999999999996</v>
      </c>
      <c r="AI142">
        <f>AVERAGEIFS($D$2:D142, $B$2:B142, B142)</f>
        <v>0.5</v>
      </c>
    </row>
    <row r="143" spans="1:35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f>AVERAGEIFS($C$2:C143, $B$2:B143, B143)</f>
        <v>18.916666666666668</v>
      </c>
      <c r="AG143">
        <f>AVERAGEIFS($I$2:I143, $B$2:B143, B143)</f>
        <v>0.50666666666666671</v>
      </c>
      <c r="AH143">
        <f>AVERAGEIFS($I$2:J143, $B$2:C143, C143)</f>
        <v>0.58000000000000007</v>
      </c>
      <c r="AI143">
        <f>AVERAGEIFS($D$2:D143, $B$2:B143, B143)</f>
        <v>0.5</v>
      </c>
    </row>
    <row r="144" spans="1:35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f>AVERAGEIFS($C$2:C144, $B$2:B144, B144)</f>
        <v>20.8</v>
      </c>
      <c r="AG144">
        <f>AVERAGEIFS($I$2:I144, $B$2:B144, B144)</f>
        <v>0.65800000000000003</v>
      </c>
      <c r="AH144">
        <f>AVERAGEIFS($I$2:J144, $B$2:C144, C144)</f>
        <v>0.6166666666666667</v>
      </c>
      <c r="AI144">
        <f>AVERAGEIFS($D$2:D144, $B$2:B144, B144)</f>
        <v>0.7</v>
      </c>
    </row>
    <row r="145" spans="1:35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f>AVERAGEIFS($C$2:C145, $B$2:B145, B145)</f>
        <v>21</v>
      </c>
      <c r="AG145">
        <f>AVERAGEIFS($I$2:I145, $B$2:B145, B145)</f>
        <v>0.44</v>
      </c>
      <c r="AH145">
        <f>AVERAGEIFS($I$2:J145, $B$2:C145, C145)</f>
        <v>0.45499999999999996</v>
      </c>
      <c r="AI145">
        <f>AVERAGEIFS($D$2:D145, $B$2:B145, B145)</f>
        <v>0.42857142857142855</v>
      </c>
    </row>
    <row r="146" spans="1:35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f>AVERAGEIFS($C$2:C146, $B$2:B146, B146)</f>
        <v>11</v>
      </c>
      <c r="AG146">
        <f>AVERAGEIFS($I$2:I146, $B$2:B146, B146)</f>
        <v>0.75</v>
      </c>
      <c r="AH146">
        <f>AVERAGEIFS($I$2:J146, $B$2:C146, C146)</f>
        <v>0.51333333333333331</v>
      </c>
      <c r="AI146">
        <f>AVERAGEIFS($D$2:D146, $B$2:B146, B146)</f>
        <v>1</v>
      </c>
    </row>
    <row r="147" spans="1:35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f>AVERAGEIFS($C$2:C147, $B$2:B147, B147)</f>
        <v>11.333333333333334</v>
      </c>
      <c r="AG147">
        <f>AVERAGEIFS($I$2:I147, $B$2:B147, B147)</f>
        <v>0.53333333333333333</v>
      </c>
      <c r="AH147">
        <f>AVERAGEIFS($I$2:J147, $B$2:C147, C147)</f>
        <v>0.52999999999999992</v>
      </c>
      <c r="AI147">
        <f>AVERAGEIFS($D$2:D147, $B$2:B147, B147)</f>
        <v>0.66666666666666663</v>
      </c>
    </row>
    <row r="148" spans="1:35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f>AVERAGEIFS($C$2:C148, $B$2:B148, B148)</f>
        <v>8</v>
      </c>
      <c r="AG148">
        <f>AVERAGEIFS($I$2:I148, $B$2:B148, B148)</f>
        <v>0.56800000000000006</v>
      </c>
      <c r="AH148">
        <f>AVERAGEIFS($I$2:J148, $B$2:C148, C148)</f>
        <v>0.34399999999999997</v>
      </c>
      <c r="AI148">
        <f>AVERAGEIFS($D$2:D148, $B$2:B148, B148)</f>
        <v>0.6</v>
      </c>
    </row>
    <row r="149" spans="1:35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f>AVERAGEIFS($C$2:C149, $B$2:B149, B149)</f>
        <v>24.384615384615383</v>
      </c>
      <c r="AG149">
        <f>AVERAGEIFS($I$2:I149, $B$2:B149, B149)</f>
        <v>0.5130769230769231</v>
      </c>
      <c r="AH149">
        <f>AVERAGEIFS($I$2:J149, $B$2:C149, C149)</f>
        <v>0.42</v>
      </c>
      <c r="AI149">
        <f>AVERAGEIFS($D$2:D149, $B$2:B149, B149)</f>
        <v>0.53846153846153844</v>
      </c>
    </row>
    <row r="150" spans="1:35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f>AVERAGEIFS($C$2:C150, $B$2:B150, B150)</f>
        <v>19.181818181818183</v>
      </c>
      <c r="AG150">
        <f>AVERAGEIFS($I$2:I150, $B$2:B150, B150)</f>
        <v>0.44272727272727275</v>
      </c>
      <c r="AH150">
        <f>AVERAGEIFS($I$2:J150, $B$2:C150, C150)</f>
        <v>0.47399999999999992</v>
      </c>
      <c r="AI150">
        <f>AVERAGEIFS($D$2:D150, $B$2:B150, B150)</f>
        <v>0.36363636363636365</v>
      </c>
    </row>
    <row r="151" spans="1:35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f>AVERAGEIFS($C$2:C151, $B$2:B151, B151)</f>
        <v>18.333333333333332</v>
      </c>
      <c r="AG151">
        <f>AVERAGEIFS($I$2:I151, $B$2:B151, B151)</f>
        <v>0.47777777777777775</v>
      </c>
      <c r="AH151">
        <f>AVERAGEIFS($I$2:J151, $B$2:C151, C151)</f>
        <v>0.44818181818181824</v>
      </c>
      <c r="AI151">
        <f>AVERAGEIFS($D$2:D151, $B$2:B151, B151)</f>
        <v>0.33333333333333331</v>
      </c>
    </row>
    <row r="152" spans="1:35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f>AVERAGEIFS($C$2:C152, $B$2:B152, B152)</f>
        <v>12.5</v>
      </c>
      <c r="AG152">
        <f>AVERAGEIFS($I$2:I152, $B$2:B152, B152)</f>
        <v>0.28749999999999998</v>
      </c>
      <c r="AH152">
        <f>AVERAGEIFS($I$2:J152, $B$2:C152, C152)</f>
        <v>0.51500000000000001</v>
      </c>
      <c r="AI152">
        <f>AVERAGEIFS($D$2:D152, $B$2:B152, B152)</f>
        <v>0</v>
      </c>
    </row>
    <row r="153" spans="1:35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f>AVERAGEIFS($C$2:C153, $B$2:B153, B153)</f>
        <v>15</v>
      </c>
      <c r="AG153">
        <f>AVERAGEIFS($I$2:I153, $B$2:B153, B153)</f>
        <v>0.40500000000000003</v>
      </c>
      <c r="AH153">
        <f>AVERAGEIFS($I$2:J153, $B$2:C153, C153)</f>
        <v>0.49800000000000005</v>
      </c>
      <c r="AI153">
        <f>AVERAGEIFS($D$2:D153, $B$2:B153, B153)</f>
        <v>0.33333333333333331</v>
      </c>
    </row>
    <row r="154" spans="1:35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f>AVERAGEIFS($C$2:C154, $B$2:B154, B154)</f>
        <v>8</v>
      </c>
      <c r="AG154">
        <f>AVERAGEIFS($I$2:I154, $B$2:B154, B154)</f>
        <v>0.3666666666666667</v>
      </c>
      <c r="AH154">
        <f>AVERAGEIFS($I$2:J154, $B$2:C154, C154)</f>
        <v>0.28333333333333333</v>
      </c>
      <c r="AI154">
        <f>AVERAGEIFS($D$2:D154, $B$2:B154, B154)</f>
        <v>0.33333333333333331</v>
      </c>
    </row>
    <row r="155" spans="1:35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>
        <f>AVERAGEIFS($C$2:C155, $B$2:B155, B155)</f>
        <v>21.625</v>
      </c>
      <c r="AG155">
        <f>AVERAGEIFS($I$2:I155, $B$2:B155, B155)</f>
        <v>0.51</v>
      </c>
      <c r="AH155">
        <f>AVERAGEIFS($I$2:J155, $B$2:C155, C155)</f>
        <v>0.56000000000000005</v>
      </c>
      <c r="AI155">
        <f>AVERAGEIFS($D$2:D155, $B$2:B155, B155)</f>
        <v>0.5</v>
      </c>
    </row>
    <row r="156" spans="1:35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>
        <f>AVERAGEIFS($C$2:C156, $B$2:B156, B156)</f>
        <v>19.23076923076923</v>
      </c>
      <c r="AG156">
        <f>AVERAGEIFS($I$2:I156, $B$2:B156, B156)</f>
        <v>0.54461538461538472</v>
      </c>
      <c r="AH156">
        <f>AVERAGEIFS($I$2:J156, $B$2:C156, C156)</f>
        <v>0.61428571428571421</v>
      </c>
      <c r="AI156">
        <f>AVERAGEIFS($D$2:D156, $B$2:B156, B156)</f>
        <v>0.53846153846153844</v>
      </c>
    </row>
    <row r="157" spans="1:35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>
        <f>AVERAGEIFS($C$2:C157, $B$2:B157, B157)</f>
        <v>20.818181818181817</v>
      </c>
      <c r="AG157">
        <f>AVERAGEIFS($I$2:I157, $B$2:B157, B157)</f>
        <v>0.68909090909090909</v>
      </c>
      <c r="AH157">
        <f>AVERAGEIFS($I$2:J157, $B$2:C157, C157)</f>
        <v>0.53200000000000003</v>
      </c>
      <c r="AI157">
        <f>AVERAGEIFS($D$2:D157, $B$2:B157, B157)</f>
        <v>0.72727272727272729</v>
      </c>
    </row>
    <row r="158" spans="1:35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>
        <f>AVERAGEIFS($C$2:C158, $B$2:B158, B158)</f>
        <v>18.833333333333332</v>
      </c>
      <c r="AG158">
        <f>AVERAGEIFS($I$2:I158, $B$2:B158, B158)</f>
        <v>0.48916666666666669</v>
      </c>
      <c r="AH158">
        <f>AVERAGEIFS($I$2:J158, $B$2:C158, C158)</f>
        <v>0.49399999999999994</v>
      </c>
      <c r="AI158">
        <f>AVERAGEIFS($D$2:D158, $B$2:B158, B158)</f>
        <v>0.41666666666666669</v>
      </c>
    </row>
    <row r="159" spans="1:35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>
        <f>AVERAGEIFS($C$2:C159, $B$2:B159, B159)</f>
        <v>15</v>
      </c>
      <c r="AG159">
        <f>AVERAGEIFS($I$2:I159, $B$2:B159, B159)</f>
        <v>0.49000000000000005</v>
      </c>
      <c r="AH159">
        <f>AVERAGEIFS($I$2:J159, $B$2:C159, C159)</f>
        <v>0.5116666666666666</v>
      </c>
      <c r="AI159">
        <f>AVERAGEIFS($D$2:D159, $B$2:B159, B159)</f>
        <v>0.42857142857142855</v>
      </c>
    </row>
    <row r="160" spans="1:35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>
        <f>AVERAGEIFS($C$2:C160, $B$2:B160, B160)</f>
        <v>8.1818181818181817</v>
      </c>
      <c r="AG160">
        <f>AVERAGEIFS($I$2:I160, $B$2:B160, B160)</f>
        <v>0.6072727272727273</v>
      </c>
      <c r="AH160">
        <f>AVERAGEIFS($I$2:J160, $B$2:C160, C160)</f>
        <v>0.54</v>
      </c>
      <c r="AI160">
        <f>AVERAGEIFS($D$2:D160, $B$2:B160, B160)</f>
        <v>0.63636363636363635</v>
      </c>
    </row>
    <row r="161" spans="1:35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f>AVERAGEIFS($C$2:C161, $B$2:B161, B161)</f>
        <v>11.5</v>
      </c>
      <c r="AG161">
        <f>AVERAGEIFS($I$2:I161, $B$2:B161, B161)</f>
        <v>0.27500000000000002</v>
      </c>
      <c r="AH161">
        <f>AVERAGEIFS($I$2:J161, $B$2:C161, C161)</f>
        <v>0.56857142857142862</v>
      </c>
      <c r="AI161">
        <f>AVERAGEIFS($D$2:D161, $B$2:B161, B161)</f>
        <v>0.25</v>
      </c>
    </row>
    <row r="162" spans="1:35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f>AVERAGEIFS($C$2:C162, $B$2:B162, B162)</f>
        <v>18.666666666666668</v>
      </c>
      <c r="AG162">
        <f>AVERAGEIFS($I$2:I162, $B$2:B162, B162)</f>
        <v>0.21666666666666667</v>
      </c>
      <c r="AH162">
        <f>AVERAGEIFS($I$2:J162, $B$2:C162, C162)</f>
        <v>0.44416666666666677</v>
      </c>
      <c r="AI162">
        <f>AVERAGEIFS($D$2:D162, $B$2:B162, B162)</f>
        <v>0</v>
      </c>
    </row>
    <row r="163" spans="1:35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f>AVERAGEIFS($C$2:C163, $B$2:B163, B163)</f>
        <v>12.5</v>
      </c>
      <c r="AG163">
        <f>AVERAGEIFS($I$2:I163, $B$2:B163, B163)</f>
        <v>0.4</v>
      </c>
      <c r="AH163">
        <f>AVERAGEIFS($I$2:J163, $B$2:C163, C163)</f>
        <v>0.52624999999999988</v>
      </c>
      <c r="AI163">
        <f>AVERAGEIFS($D$2:D163, $B$2:B163, B163)</f>
        <v>0.5</v>
      </c>
    </row>
    <row r="164" spans="1:35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f>AVERAGEIFS($C$2:C164, $B$2:B164, B164)</f>
        <v>24</v>
      </c>
      <c r="AG164">
        <f>AVERAGEIFS($I$2:I164, $B$2:B164, B164)</f>
        <v>0.33750000000000002</v>
      </c>
      <c r="AH164">
        <f>AVERAGEIFS($I$2:J164, $B$2:C164, C164)</f>
        <v>0.51222222222222213</v>
      </c>
      <c r="AI164">
        <f>AVERAGEIFS($D$2:D164, $B$2:B164, B164)</f>
        <v>0.5</v>
      </c>
    </row>
    <row r="165" spans="1:35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f>AVERAGEIFS($C$2:C165, $B$2:B165, B165)</f>
        <v>11.4</v>
      </c>
      <c r="AG165">
        <f>AVERAGEIFS($I$2:I165, $B$2:B165, B165)</f>
        <v>0.433</v>
      </c>
      <c r="AH165">
        <f>AVERAGEIFS($I$2:J165, $B$2:C165, C165)</f>
        <v>0.51624999999999999</v>
      </c>
      <c r="AI165">
        <f>AVERAGEIFS($D$2:D165, $B$2:B165, B165)</f>
        <v>0.4</v>
      </c>
    </row>
    <row r="166" spans="1:35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f>AVERAGEIFS($C$2:C166, $B$2:B166, B166)</f>
        <v>19.142857142857142</v>
      </c>
      <c r="AG166">
        <f>AVERAGEIFS($I$2:I166, $B$2:B166, B166)</f>
        <v>0.52142857142857146</v>
      </c>
      <c r="AH166">
        <f>AVERAGEIFS($I$2:J166, $B$2:C166, C166)</f>
        <v>0.50333333333333341</v>
      </c>
      <c r="AI166">
        <f>AVERAGEIFS($D$2:D166, $B$2:B166, B166)</f>
        <v>0.42857142857142855</v>
      </c>
    </row>
    <row r="167" spans="1:35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f>AVERAGEIFS($C$2:C167, $B$2:B167, B167)</f>
        <v>24.6</v>
      </c>
      <c r="AG167">
        <f>AVERAGEIFS($I$2:I167, $B$2:B167, B167)</f>
        <v>0.39</v>
      </c>
      <c r="AH167">
        <f>AVERAGEIFS($I$2:J167, $B$2:C167, C167)</f>
        <v>0.47400000000000003</v>
      </c>
      <c r="AI167">
        <f>AVERAGEIFS($D$2:D167, $B$2:B167, B167)</f>
        <v>0.6</v>
      </c>
    </row>
    <row r="168" spans="1:35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f>AVERAGEIFS($C$2:C168, $B$2:B168, B168)</f>
        <v>21.166666666666668</v>
      </c>
      <c r="AG168">
        <f>AVERAGEIFS($I$2:I168, $B$2:B168, B168)</f>
        <v>0.68166666666666664</v>
      </c>
      <c r="AH168">
        <f>AVERAGEIFS($I$2:J168, $B$2:C168, C168)</f>
        <v>0.49222222222222217</v>
      </c>
      <c r="AI168">
        <f>AVERAGEIFS($D$2:D168, $B$2:B168, B168)</f>
        <v>0.75</v>
      </c>
    </row>
    <row r="169" spans="1:35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f>AVERAGEIFS($C$2:C169, $B$2:B169, B169)</f>
        <v>17.5</v>
      </c>
      <c r="AG169">
        <f>AVERAGEIFS($I$2:I169, $B$2:B169, B169)</f>
        <v>0.42125000000000001</v>
      </c>
      <c r="AH169">
        <f>AVERAGEIFS($I$2:J169, $B$2:C169, C169)</f>
        <v>0.52666666666666673</v>
      </c>
      <c r="AI169">
        <f>AVERAGEIFS($D$2:D169, $B$2:B169, B169)</f>
        <v>0.5</v>
      </c>
    </row>
    <row r="170" spans="1:35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f>AVERAGEIFS($C$2:C170, $B$2:B170, B170)</f>
        <v>19.285714285714285</v>
      </c>
      <c r="AG170">
        <f>AVERAGEIFS($I$2:I170, $B$2:B170, B170)</f>
        <v>0.5485714285714286</v>
      </c>
      <c r="AH170">
        <f>AVERAGEIFS($I$2:J170, $B$2:C170, C170)</f>
        <v>0.46399999999999997</v>
      </c>
      <c r="AI170">
        <f>AVERAGEIFS($D$2:D170, $B$2:B170, B170)</f>
        <v>0.5714285714285714</v>
      </c>
    </row>
    <row r="171" spans="1:35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f>AVERAGEIFS($C$2:C171, $B$2:B171, B171)</f>
        <v>16</v>
      </c>
      <c r="AG171">
        <f>AVERAGEIFS($I$2:I171, $B$2:B171, B171)</f>
        <v>0.3</v>
      </c>
      <c r="AH171">
        <f>AVERAGEIFS($I$2:J171, $B$2:C171, C171)</f>
        <v>0.51</v>
      </c>
      <c r="AI171">
        <f>AVERAGEIFS($D$2:D171, $B$2:B171, B171)</f>
        <v>0.5</v>
      </c>
    </row>
    <row r="172" spans="1:35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f>AVERAGEIFS($C$2:C172, $B$2:B172, B172)</f>
        <v>12.6</v>
      </c>
      <c r="AG172">
        <f>AVERAGEIFS($I$2:I172, $B$2:B172, B172)</f>
        <v>0.44000000000000006</v>
      </c>
      <c r="AH172">
        <f>AVERAGEIFS($I$2:J172, $B$2:C172, C172)</f>
        <v>0.52499999999999991</v>
      </c>
      <c r="AI172">
        <f>AVERAGEIFS($D$2:D172, $B$2:B172, B172)</f>
        <v>0.6</v>
      </c>
    </row>
    <row r="173" spans="1:35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>
        <f>AVERAGEIFS($C$2:C173, $B$2:B173, B173)</f>
        <v>19.846153846153847</v>
      </c>
      <c r="AG173">
        <f>AVERAGEIFS($I$2:I173, $B$2:B173, B173)</f>
        <v>0.48230769230769233</v>
      </c>
      <c r="AH173">
        <f>AVERAGEIFS($I$2:J173, $B$2:C173, C173)</f>
        <v>0.4466666666666666</v>
      </c>
      <c r="AI173">
        <f>AVERAGEIFS($D$2:D173, $B$2:B173, B173)</f>
        <v>0.38461538461538464</v>
      </c>
    </row>
    <row r="174" spans="1:35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>
        <f>AVERAGEIFS($C$2:C174, $B$2:B174, B174)</f>
        <v>19.2</v>
      </c>
      <c r="AG174">
        <f>AVERAGEIFS($I$2:I174, $B$2:B174, B174)</f>
        <v>0.47000000000000003</v>
      </c>
      <c r="AH174">
        <f>AVERAGEIFS($I$2:J174, $B$2:C174, C174)</f>
        <v>0.47833333333333333</v>
      </c>
      <c r="AI174">
        <f>AVERAGEIFS($D$2:D174, $B$2:B174, B174)</f>
        <v>0.3</v>
      </c>
    </row>
    <row r="175" spans="1:35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>
        <f>AVERAGEIFS($C$2:C175, $B$2:B175, B175)</f>
        <v>22</v>
      </c>
      <c r="AG175">
        <f>AVERAGEIFS($I$2:I175, $B$2:B175, B175)</f>
        <v>0.49777777777777782</v>
      </c>
      <c r="AH175">
        <f>AVERAGEIFS($I$2:J175, $B$2:C175, C175)</f>
        <v>0.49299999999999999</v>
      </c>
      <c r="AI175">
        <f>AVERAGEIFS($D$2:D175, $B$2:B175, B175)</f>
        <v>0.44444444444444442</v>
      </c>
    </row>
    <row r="176" spans="1:35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>
        <f>AVERAGEIFS($C$2:C176, $B$2:B176, B176)</f>
        <v>12.8</v>
      </c>
      <c r="AG176">
        <f>AVERAGEIFS($I$2:I176, $B$2:B176, B176)</f>
        <v>0.3</v>
      </c>
      <c r="AH176">
        <f>AVERAGEIFS($I$2:J176, $B$2:C176, C176)</f>
        <v>0.47833333333333328</v>
      </c>
      <c r="AI176">
        <f>AVERAGEIFS($D$2:D176, $B$2:B176, B176)</f>
        <v>0.2</v>
      </c>
    </row>
    <row r="177" spans="1:35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>
        <f>AVERAGEIFS($C$2:C177, $B$2:B177, B177)</f>
        <v>9</v>
      </c>
      <c r="AG177">
        <f>AVERAGEIFS($I$2:I177, $B$2:B177, B177)</f>
        <v>0.4</v>
      </c>
      <c r="AH177">
        <f>AVERAGEIFS($I$2:J177, $B$2:C177, C177)</f>
        <v>0.38166666666666665</v>
      </c>
      <c r="AI177">
        <f>AVERAGEIFS($D$2:D177, $B$2:B177, B177)</f>
        <v>0</v>
      </c>
    </row>
    <row r="178" spans="1:35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>
        <f>AVERAGEIFS($C$2:C178, $B$2:B178, B178)</f>
        <v>10.909090909090908</v>
      </c>
      <c r="AG178">
        <f>AVERAGEIFS($I$2:I178, $B$2:B178, B178)</f>
        <v>0.43000000000000005</v>
      </c>
      <c r="AH178">
        <f>AVERAGEIFS($I$2:J178, $B$2:C178, C178)</f>
        <v>0.52399999999999991</v>
      </c>
      <c r="AI178">
        <f>AVERAGEIFS($D$2:D178, $B$2:B178, B178)</f>
        <v>0.36363636363636365</v>
      </c>
    </row>
    <row r="179" spans="1:35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>
        <f>AVERAGEIFS($C$2:C179, $B$2:B179, B179)</f>
        <v>23.2</v>
      </c>
      <c r="AG179">
        <f>AVERAGEIFS($I$2:I179, $B$2:B179, B179)</f>
        <v>0.50800000000000001</v>
      </c>
      <c r="AH179">
        <f>AVERAGEIFS($I$2:J179, $B$2:C179, C179)</f>
        <v>0.47</v>
      </c>
      <c r="AI179">
        <f>AVERAGEIFS($D$2:D179, $B$2:B179, B179)</f>
        <v>0.5</v>
      </c>
    </row>
    <row r="180" spans="1:35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>
        <f>AVERAGEIFS($C$2:C180, $B$2:B180, B180)</f>
        <v>18.333333333333332</v>
      </c>
      <c r="AG180">
        <f>AVERAGEIFS($I$2:I180, $B$2:B180, B180)</f>
        <v>0.44111111111111112</v>
      </c>
      <c r="AH180">
        <f>AVERAGEIFS($I$2:J180, $B$2:C180, C180)</f>
        <v>0.49090909090909085</v>
      </c>
      <c r="AI180">
        <f>AVERAGEIFS($D$2:D180, $B$2:B180, B180)</f>
        <v>0.55555555555555558</v>
      </c>
    </row>
    <row r="181" spans="1:35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>
        <f>AVERAGEIFS($C$2:C181, $B$2:B181, B181)</f>
        <v>13.6</v>
      </c>
      <c r="AG181">
        <f>AVERAGEIFS($I$2:I181, $B$2:B181, B181)</f>
        <v>0.35</v>
      </c>
      <c r="AH181">
        <f>AVERAGEIFS($I$2:J181, $B$2:C181, C181)</f>
        <v>0.47714285714285715</v>
      </c>
      <c r="AI181">
        <f>AVERAGEIFS($D$2:D181, $B$2:B181, B181)</f>
        <v>0.2</v>
      </c>
    </row>
    <row r="182" spans="1:35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>
        <f>AVERAGEIFS($C$2:C182, $B$2:B182, B182)</f>
        <v>14.666666666666666</v>
      </c>
      <c r="AG182">
        <f>AVERAGEIFS($I$2:I182, $B$2:B182, B182)</f>
        <v>0.46666666666666662</v>
      </c>
      <c r="AH182">
        <f>AVERAGEIFS($I$2:J182, $B$2:C182, C182)</f>
        <v>0.505</v>
      </c>
      <c r="AI182">
        <f>AVERAGEIFS($D$2:D182, $B$2:B182, B182)</f>
        <v>0.33333333333333331</v>
      </c>
    </row>
    <row r="183" spans="1:35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>
        <f>AVERAGEIFS($C$2:C183, $B$2:B183, B183)</f>
        <v>12</v>
      </c>
      <c r="AG183">
        <f>AVERAGEIFS($I$2:I183, $B$2:B183, B183)</f>
        <v>0.6</v>
      </c>
      <c r="AH183">
        <f>AVERAGEIFS($I$2:J183, $B$2:C183, C183)</f>
        <v>0.49545454545454548</v>
      </c>
      <c r="AI183">
        <f>AVERAGEIFS($D$2:D183, $B$2:B183, B183)</f>
        <v>1</v>
      </c>
    </row>
    <row r="184" spans="1:35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>
        <f>AVERAGEIFS($C$2:C184, $B$2:B184, B184)</f>
        <v>8.0833333333333339</v>
      </c>
      <c r="AG184">
        <f>AVERAGEIFS($I$2:I184, $B$2:B184, B184)</f>
        <v>0.60666666666666669</v>
      </c>
      <c r="AH184">
        <f>AVERAGEIFS($I$2:J184, $B$2:C184, C184)</f>
        <v>0.53000000000000014</v>
      </c>
      <c r="AI184">
        <f>AVERAGEIFS($D$2:D184, $B$2:B184, B184)</f>
        <v>0.66666666666666663</v>
      </c>
    </row>
    <row r="185" spans="1:35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f>AVERAGEIFS($C$2:C185, $B$2:B185, B185)</f>
        <v>21.46153846153846</v>
      </c>
      <c r="AG185">
        <f>AVERAGEIFS($I$2:I185, $B$2:B185, B185)</f>
        <v>0.66</v>
      </c>
      <c r="AH185">
        <f>AVERAGEIFS($I$2:J185, $B$2:C185, C185)</f>
        <v>0.49416666666666664</v>
      </c>
      <c r="AI185">
        <f>AVERAGEIFS($D$2:D185, $B$2:B185, B185)</f>
        <v>0.69230769230769229</v>
      </c>
    </row>
    <row r="186" spans="1:35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f>AVERAGEIFS($C$2:C186, $B$2:B186, B186)</f>
        <v>20.142857142857142</v>
      </c>
      <c r="AG186">
        <f>AVERAGEIFS($I$2:I186, $B$2:B186, B186)</f>
        <v>0.47642857142857148</v>
      </c>
      <c r="AH186">
        <f>AVERAGEIFS($I$2:J186, $B$2:C186, C186)</f>
        <v>0.59142857142857153</v>
      </c>
      <c r="AI186">
        <f>AVERAGEIFS($D$2:D186, $B$2:B186, B186)</f>
        <v>0.35714285714285715</v>
      </c>
    </row>
    <row r="187" spans="1:35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f>AVERAGEIFS($C$2:C187, $B$2:B187, B187)</f>
        <v>14.5</v>
      </c>
      <c r="AG187">
        <f>AVERAGEIFS($I$2:I187, $B$2:B187, B187)</f>
        <v>0.31666666666666665</v>
      </c>
      <c r="AH187">
        <f>AVERAGEIFS($I$2:J187, $B$2:C187, C187)</f>
        <v>0.60375000000000001</v>
      </c>
      <c r="AI187">
        <f>AVERAGEIFS($D$2:D187, $B$2:B187, B187)</f>
        <v>0.16666666666666666</v>
      </c>
    </row>
    <row r="188" spans="1:35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f>AVERAGEIFS($C$2:C188, $B$2:B188, B188)</f>
        <v>15.333333333333334</v>
      </c>
      <c r="AG188">
        <f>AVERAGEIFS($I$2:I188, $B$2:B188, B188)</f>
        <v>0.33333333333333331</v>
      </c>
      <c r="AH188">
        <f>AVERAGEIFS($I$2:J188, $B$2:C188, C188)</f>
        <v>0.51714285714285713</v>
      </c>
      <c r="AI188">
        <f>AVERAGEIFS($D$2:D188, $B$2:B188, B188)</f>
        <v>0.33333333333333331</v>
      </c>
    </row>
    <row r="189" spans="1:35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f>AVERAGEIFS($C$2:C189, $B$2:B189, B189)</f>
        <v>14</v>
      </c>
      <c r="AG189">
        <f>AVERAGEIFS($I$2:I189, $B$2:B189, B189)</f>
        <v>0.63749999999999996</v>
      </c>
      <c r="AH189">
        <f>AVERAGEIFS($I$2:J189, $B$2:C189, C189)</f>
        <v>0.51400000000000001</v>
      </c>
      <c r="AI189">
        <f>AVERAGEIFS($D$2:D189, $B$2:B189, B189)</f>
        <v>0.5</v>
      </c>
    </row>
    <row r="190" spans="1:35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f>AVERAGEIFS($C$2:C190, $B$2:B190, B190)</f>
        <v>10.583333333333334</v>
      </c>
      <c r="AG190">
        <f>AVERAGEIFS($I$2:I190, $B$2:B190, B190)</f>
        <v>0.42750000000000005</v>
      </c>
      <c r="AH190">
        <f>AVERAGEIFS($I$2:J190, $B$2:C190, C190)</f>
        <v>0.53000000000000014</v>
      </c>
      <c r="AI190">
        <f>AVERAGEIFS($D$2:D190, $B$2:B190, B190)</f>
        <v>0.33333333333333331</v>
      </c>
    </row>
    <row r="191" spans="1:35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>
        <f>AVERAGEIFS($C$2:C191, $B$2:B191, B191)</f>
        <v>20.066666666666666</v>
      </c>
      <c r="AG191">
        <f>AVERAGEIFS($I$2:I191, $B$2:B191, B191)</f>
        <v>0.55200000000000005</v>
      </c>
      <c r="AH191">
        <f>AVERAGEIFS($I$2:J191, $B$2:C191, C191)</f>
        <v>0.55000000000000004</v>
      </c>
      <c r="AI191">
        <f>AVERAGEIFS($D$2:D191, $B$2:B191, B191)</f>
        <v>0.6</v>
      </c>
    </row>
    <row r="192" spans="1:35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f>AVERAGEIFS($C$2:C192, $B$2:B192, B192)</f>
        <v>22.142857142857142</v>
      </c>
      <c r="AG192">
        <f>AVERAGEIFS($I$2:I192, $B$2:B192, B192)</f>
        <v>0.65571428571428569</v>
      </c>
      <c r="AH192">
        <f>AVERAGEIFS($I$2:J192, $B$2:C192, C192)</f>
        <v>0.55666666666666664</v>
      </c>
      <c r="AI192">
        <f>AVERAGEIFS($D$2:D192, $B$2:B192, B192)</f>
        <v>0.7142857142857143</v>
      </c>
    </row>
    <row r="193" spans="1:35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f>AVERAGEIFS($C$2:C193, $B$2:B193, B193)</f>
        <v>15.714285714285714</v>
      </c>
      <c r="AG193">
        <f>AVERAGEIFS($I$2:I193, $B$2:B193, B193)</f>
        <v>0.35714285714285715</v>
      </c>
      <c r="AH193">
        <f>AVERAGEIFS($I$2:J193, $B$2:C193, C193)</f>
        <v>0.60000000000000009</v>
      </c>
      <c r="AI193">
        <f>AVERAGEIFS($D$2:D193, $B$2:B193, B193)</f>
        <v>0.2857142857142857</v>
      </c>
    </row>
    <row r="194" spans="1:35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f>AVERAGEIFS($C$2:C194, $B$2:B194, B194)</f>
        <v>26.166666666666668</v>
      </c>
      <c r="AG194">
        <f>AVERAGEIFS($I$2:I194, $B$2:B194, B194)</f>
        <v>0.42500000000000004</v>
      </c>
      <c r="AH194">
        <f>AVERAGEIFS($I$2:J194, $B$2:C194, C194)</f>
        <v>0.52</v>
      </c>
      <c r="AI194">
        <f>AVERAGEIFS($D$2:D194, $B$2:B194, B194)</f>
        <v>0.66666666666666663</v>
      </c>
    </row>
    <row r="195" spans="1:35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f>AVERAGEIFS($C$2:C195, $B$2:B195, B195)</f>
        <v>11.307692307692308</v>
      </c>
      <c r="AG195">
        <f>AVERAGEIFS($I$2:I195, $B$2:B195, B195)</f>
        <v>0.4407692307692308</v>
      </c>
      <c r="AH195">
        <f>AVERAGEIFS($I$2:J195, $B$2:C195, C195)</f>
        <v>0.48166666666666663</v>
      </c>
      <c r="AI195">
        <f>AVERAGEIFS($D$2:D195, $B$2:B195, B195)</f>
        <v>0.38461538461538464</v>
      </c>
    </row>
    <row r="196" spans="1:35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f>AVERAGEIFS($C$2:C196, $B$2:B196, B196)</f>
        <v>15.666666666666666</v>
      </c>
      <c r="AG196">
        <f>AVERAGEIFS($I$2:I196, $B$2:B196, B196)</f>
        <v>0.46666666666666673</v>
      </c>
      <c r="AH196">
        <f>AVERAGEIFS($I$2:J196, $B$2:C196, C196)</f>
        <v>0.55999999999999994</v>
      </c>
      <c r="AI196">
        <f>AVERAGEIFS($D$2:D196, $B$2:B196, B196)</f>
        <v>0.66666666666666663</v>
      </c>
    </row>
    <row r="197" spans="1:35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f>AVERAGEIFS($C$2:C197, $B$2:B197, B197)</f>
        <v>9</v>
      </c>
      <c r="AG197">
        <f>AVERAGEIFS($I$2:I197, $B$2:B197, B197)</f>
        <v>0.6</v>
      </c>
      <c r="AH197">
        <f>AVERAGEIFS($I$2:J197, $B$2:C197, C197)</f>
        <v>0.40857142857142853</v>
      </c>
      <c r="AI197">
        <f>AVERAGEIFS($D$2:D197, $B$2:B197, B197)</f>
        <v>1</v>
      </c>
    </row>
    <row r="198" spans="1:35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f>AVERAGEIFS($C$2:C198, $B$2:B198, B198)</f>
        <v>2.6666666666666665</v>
      </c>
      <c r="AG198">
        <f>AVERAGEIFS($I$2:I198, $B$2:B198, B198)</f>
        <v>0.3833333333333333</v>
      </c>
      <c r="AH198">
        <f>AVERAGEIFS($I$2:J198, $B$2:C198, C198)</f>
        <v>0.51857142857142857</v>
      </c>
      <c r="AI198">
        <f>AVERAGEIFS($D$2:D198, $B$2:B198, B198)</f>
        <v>0.33333333333333331</v>
      </c>
    </row>
    <row r="199" spans="1:35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f>AVERAGEIFS($C$2:C199, $B$2:B199, B199)</f>
        <v>24.785714285714285</v>
      </c>
      <c r="AG199">
        <f>AVERAGEIFS($I$2:I199, $B$2:B199, B199)</f>
        <v>0.505</v>
      </c>
      <c r="AH199">
        <f>AVERAGEIFS($I$2:J199, $B$2:C199, C199)</f>
        <v>0.45499999999999996</v>
      </c>
      <c r="AI199">
        <f>AVERAGEIFS($D$2:D199, $B$2:B199, B199)</f>
        <v>0.5</v>
      </c>
    </row>
    <row r="200" spans="1:35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f>AVERAGEIFS($C$2:C200, $B$2:B200, B200)</f>
        <v>24.272727272727273</v>
      </c>
      <c r="AG200">
        <f>AVERAGEIFS($I$2:I200, $B$2:B200, B200)</f>
        <v>0.49818181818181823</v>
      </c>
      <c r="AH200">
        <f>AVERAGEIFS($I$2:J200, $B$2:C200, C200)</f>
        <v>0.53500000000000003</v>
      </c>
      <c r="AI200">
        <f>AVERAGEIFS($D$2:D200, $B$2:B200, B200)</f>
        <v>0.45454545454545453</v>
      </c>
    </row>
    <row r="201" spans="1:35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f>AVERAGEIFS($C$2:C201, $B$2:B201, B201)</f>
        <v>22</v>
      </c>
      <c r="AG201">
        <f>AVERAGEIFS($I$2:I201, $B$2:B201, B201)</f>
        <v>0.26250000000000001</v>
      </c>
      <c r="AH201">
        <f>AVERAGEIFS($I$2:J201, $B$2:C201, C201)</f>
        <v>0.44249999999999995</v>
      </c>
      <c r="AI201">
        <f>AVERAGEIFS($D$2:D201, $B$2:B201, B201)</f>
        <v>0</v>
      </c>
    </row>
    <row r="202" spans="1:35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f>AVERAGEIFS($C$2:C202, $B$2:B202, B202)</f>
        <v>13.6</v>
      </c>
      <c r="AG202">
        <f>AVERAGEIFS($I$2:I202, $B$2:B202, B202)</f>
        <v>0.59</v>
      </c>
      <c r="AH202">
        <f>AVERAGEIFS($I$2:J202, $B$2:C202, C202)</f>
        <v>0.49</v>
      </c>
      <c r="AI202">
        <f>AVERAGEIFS($D$2:D202, $B$2:B202, B202)</f>
        <v>0.4</v>
      </c>
    </row>
    <row r="203" spans="1:35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f>AVERAGEIFS($C$2:C203, $B$2:B203, B203)</f>
        <v>15.375</v>
      </c>
      <c r="AG203">
        <f>AVERAGEIFS($I$2:I203, $B$2:B203, B203)</f>
        <v>0.47875000000000001</v>
      </c>
      <c r="AH203">
        <f>AVERAGEIFS($I$2:J203, $B$2:C203, C203)</f>
        <v>0.47125</v>
      </c>
      <c r="AI203">
        <f>AVERAGEIFS($D$2:D203, $B$2:B203, B203)</f>
        <v>0.375</v>
      </c>
    </row>
    <row r="204" spans="1:35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f>AVERAGEIFS($C$2:C204, $B$2:B204, B204)</f>
        <v>18</v>
      </c>
      <c r="AG204">
        <f>AVERAGEIFS($I$2:I204, $B$2:B204, B204)</f>
        <v>0.4</v>
      </c>
      <c r="AH204">
        <f>AVERAGEIFS($I$2:J204, $B$2:C204, C204)</f>
        <v>0.46666666666666667</v>
      </c>
      <c r="AI204">
        <f>AVERAGEIFS($D$2:D204, $B$2:B204, B204)</f>
        <v>0</v>
      </c>
    </row>
    <row r="205" spans="1:35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>
        <f>AVERAGEIFS($C$2:C205, $B$2:B205, B205)</f>
        <v>14.857142857142858</v>
      </c>
      <c r="AG205">
        <f>AVERAGEIFS($I$2:I205, $B$2:B205, B205)</f>
        <v>0.50714285714285723</v>
      </c>
      <c r="AH205">
        <f>AVERAGEIFS($I$2:J205, $B$2:C205, C205)</f>
        <v>0.55166666666666664</v>
      </c>
      <c r="AI205">
        <f>AVERAGEIFS($D$2:D205, $B$2:B205, B205)</f>
        <v>0.7142857142857143</v>
      </c>
    </row>
    <row r="206" spans="1:35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>
        <f>AVERAGEIFS($C$2:C206, $B$2:B206, B206)</f>
        <v>24.533333333333335</v>
      </c>
      <c r="AG206">
        <f>AVERAGEIFS($I$2:I206, $B$2:B206, B206)</f>
        <v>0.52133333333333332</v>
      </c>
      <c r="AH206">
        <f>AVERAGEIFS($I$2:J206, $B$2:C206, C206)</f>
        <v>0.53857142857142859</v>
      </c>
      <c r="AI206">
        <f>AVERAGEIFS($D$2:D206, $B$2:B206, B206)</f>
        <v>0.53333333333333333</v>
      </c>
    </row>
    <row r="207" spans="1:35" x14ac:dyDescent="0.25">
      <c r="A207" s="85">
        <v>46076</v>
      </c>
      <c r="B207" t="s">
        <v>138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>
        <f>AVERAGEIFS($C$2:C207, $B$2:B207, B207)</f>
        <v>21</v>
      </c>
      <c r="AG207">
        <f>AVERAGEIFS($I$2:I207, $B$2:B207, B207)</f>
        <v>0.75</v>
      </c>
      <c r="AH207">
        <f>AVERAGEIFS($I$2:J207, $B$2:C207, C207)</f>
        <v>0.54749999999999999</v>
      </c>
      <c r="AI207">
        <f>AVERAGEIFS($D$2:D207, $B$2:B207, B207)</f>
        <v>1</v>
      </c>
    </row>
    <row r="208" spans="1:35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>
        <f>AVERAGEIFS($C$2:C208, $B$2:B208, B208)</f>
        <v>13.5</v>
      </c>
      <c r="AG208">
        <f>AVERAGEIFS($I$2:I208, $B$2:B208, B208)</f>
        <v>0.61666666666666659</v>
      </c>
      <c r="AH208">
        <f>AVERAGEIFS($I$2:J208, $B$2:C208, C208)</f>
        <v>0.53444444444444439</v>
      </c>
      <c r="AI208">
        <f>AVERAGEIFS($D$2:D208, $B$2:B208, B208)</f>
        <v>0.5</v>
      </c>
    </row>
    <row r="209" spans="1:35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>
        <f>AVERAGEIFS($C$2:C209, $B$2:B209, B209)</f>
        <v>12.5</v>
      </c>
      <c r="AG209">
        <f>AVERAGEIFS($I$2:I209, $B$2:B209, B209)</f>
        <v>0.67500000000000004</v>
      </c>
      <c r="AH209">
        <f>AVERAGEIFS($I$2:J209, $B$2:C209, C209)</f>
        <v>0.52272727272727271</v>
      </c>
      <c r="AI209">
        <f>AVERAGEIFS($D$2:D209, $B$2:B209, B209)</f>
        <v>1</v>
      </c>
    </row>
    <row r="210" spans="1:35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f>AVERAGEIFS($C$2:C210, $B$2:B210, B210)</f>
        <v>16</v>
      </c>
      <c r="AG210">
        <f>AVERAGEIFS($I$2:I210, $B$2:B210, B210)</f>
        <v>0.34375</v>
      </c>
      <c r="AH210">
        <f>AVERAGEIFS($I$2:J210, $B$2:C210, C210)</f>
        <v>0.45899999999999996</v>
      </c>
      <c r="AI210">
        <f>AVERAGEIFS($D$2:D210, $B$2:B210, B210)</f>
        <v>0.25</v>
      </c>
    </row>
    <row r="211" spans="1:35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f>AVERAGEIFS($C$2:C211, $B$2:B211, B211)</f>
        <v>24.083333333333332</v>
      </c>
      <c r="AG211">
        <f>AVERAGEIFS($I$2:I211, $B$2:B211, B211)</f>
        <v>0.47750000000000004</v>
      </c>
      <c r="AH211">
        <f>AVERAGEIFS($I$2:J211, $B$2:C211, C211)</f>
        <v>0.54625000000000001</v>
      </c>
      <c r="AI211">
        <f>AVERAGEIFS($D$2:D211, $B$2:B211, B211)</f>
        <v>0.41666666666666669</v>
      </c>
    </row>
    <row r="212" spans="1:35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f>AVERAGEIFS($C$2:C212, $B$2:B212, B212)</f>
        <v>20.1875</v>
      </c>
      <c r="AG212">
        <f>AVERAGEIFS($I$2:I212, $B$2:B212, B212)</f>
        <v>0.53312500000000007</v>
      </c>
      <c r="AH212">
        <f>AVERAGEIFS($I$2:J212, $B$2:C212, C212)</f>
        <v>0.52888888888888885</v>
      </c>
      <c r="AI212">
        <f>AVERAGEIFS($D$2:D212, $B$2:B212, B212)</f>
        <v>0.5625</v>
      </c>
    </row>
    <row r="213" spans="1:35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f>AVERAGEIFS($C$2:C213, $B$2:B213, B213)</f>
        <v>16.8</v>
      </c>
      <c r="AG213">
        <f>AVERAGEIFS($I$2:I213, $B$2:B213, B213)</f>
        <v>0.44000000000000006</v>
      </c>
      <c r="AH213">
        <f>AVERAGEIFS($I$2:J213, $B$2:C213, C213)</f>
        <v>0.4527272727272727</v>
      </c>
      <c r="AI213">
        <f>AVERAGEIFS($D$2:D213, $B$2:B213, B213)</f>
        <v>0.6</v>
      </c>
    </row>
    <row r="214" spans="1:35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f>AVERAGEIFS($C$2:C214, $B$2:B214, B214)</f>
        <v>8</v>
      </c>
      <c r="AG214">
        <f>AVERAGEIFS($I$2:I214, $B$2:B214, B214)</f>
        <v>0.58333333333333337</v>
      </c>
      <c r="AH214">
        <f>AVERAGEIFS($I$2:J214, $B$2:C214, C214)</f>
        <v>0.31</v>
      </c>
      <c r="AI214">
        <f>AVERAGEIFS($D$2:D214, $B$2:B214, B214)</f>
        <v>0.66666666666666663</v>
      </c>
    </row>
    <row r="215" spans="1:35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>
        <f>AVERAGEIFS($C$2:C215, $B$2:B215, B215)</f>
        <v>20.733333333333334</v>
      </c>
      <c r="AG215">
        <f>AVERAGEIFS($I$2:I215, $B$2:B215, B215)</f>
        <v>0.48466666666666669</v>
      </c>
      <c r="AH215">
        <f>AVERAGEIFS($I$2:J215, $B$2:C215, C215)</f>
        <v>0.56000000000000005</v>
      </c>
      <c r="AI215">
        <f>AVERAGEIFS($D$2:D215, $B$2:B215, B215)</f>
        <v>0.4</v>
      </c>
    </row>
    <row r="216" spans="1:35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>
        <f>AVERAGEIFS($C$2:C216, $B$2:B216, B216)</f>
        <v>23</v>
      </c>
      <c r="AG216">
        <f>AVERAGEIFS($I$2:I216, $B$2:B216, B216)</f>
        <v>0.5</v>
      </c>
      <c r="AH216">
        <f>AVERAGEIFS($I$2:J216, $B$2:C216, C216)</f>
        <v>0.42500000000000004</v>
      </c>
      <c r="AI216">
        <f>AVERAGEIFS($D$2:D216, $B$2:B216, B216)</f>
        <v>0.5</v>
      </c>
    </row>
    <row r="217" spans="1:35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>
        <f>AVERAGEIFS($C$2:C217, $B$2:B217, B217)</f>
        <v>24.5625</v>
      </c>
      <c r="AG217">
        <f>AVERAGEIFS($I$2:I217, $B$2:B217, B217)</f>
        <v>0.52625</v>
      </c>
      <c r="AH217">
        <f>AVERAGEIFS($I$2:J217, $B$2:C217, C217)</f>
        <v>0.49615384615384611</v>
      </c>
      <c r="AI217">
        <f>AVERAGEIFS($D$2:D217, $B$2:B217, B217)</f>
        <v>0.5625</v>
      </c>
    </row>
    <row r="218" spans="1:35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>
        <f>AVERAGEIFS($C$2:C218, $B$2:B218, B218)</f>
        <v>22.266666666666666</v>
      </c>
      <c r="AG218">
        <f>AVERAGEIFS($I$2:I218, $B$2:B218, B218)</f>
        <v>0.65199999999999991</v>
      </c>
      <c r="AH218">
        <f>AVERAGEIFS($I$2:J218, $B$2:C218, C218)</f>
        <v>0.58250000000000002</v>
      </c>
      <c r="AI218">
        <f>AVERAGEIFS($D$2:D218, $B$2:B218, B218)</f>
        <v>0.73333333333333328</v>
      </c>
    </row>
    <row r="219" spans="1:35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>
        <f>AVERAGEIFS($C$2:C219, $B$2:B219, B219)</f>
        <v>20.294117647058822</v>
      </c>
      <c r="AG219">
        <f>AVERAGEIFS($I$2:I219, $B$2:B219, B219)</f>
        <v>0.53705882352941181</v>
      </c>
      <c r="AH219">
        <f>AVERAGEIFS($I$2:J219, $B$2:C219, C219)</f>
        <v>0.52799999999999991</v>
      </c>
      <c r="AI219">
        <f>AVERAGEIFS($D$2:D219, $B$2:B219, B219)</f>
        <v>0.58823529411764708</v>
      </c>
    </row>
    <row r="220" spans="1:35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>
        <f>AVERAGEIFS($C$2:C220, $B$2:B220, B220)</f>
        <v>16.111111111111111</v>
      </c>
      <c r="AG220">
        <f>AVERAGEIFS($I$2:I220, $B$2:B220, B220)</f>
        <v>0.49222222222222217</v>
      </c>
      <c r="AH220">
        <f>AVERAGEIFS($I$2:J220, $B$2:C220, C220)</f>
        <v>0.52727272727272723</v>
      </c>
      <c r="AI220">
        <f>AVERAGEIFS($D$2:D220, $B$2:B220, B220)</f>
        <v>0.44444444444444442</v>
      </c>
    </row>
    <row r="221" spans="1:35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>
        <f>AVERAGEIFS($C$2:C221, $B$2:B221, B221)</f>
        <v>16.222222222222221</v>
      </c>
      <c r="AG221">
        <f>AVERAGEIFS($I$2:I221, $B$2:B221, B221)</f>
        <v>0.37222222222222223</v>
      </c>
      <c r="AH221">
        <f>AVERAGEIFS($I$2:J221, $B$2:C221, C221)</f>
        <v>0.45833333333333331</v>
      </c>
      <c r="AI221">
        <f>AVERAGEIFS($D$2:D221, $B$2:B221, B221)</f>
        <v>0.33333333333333331</v>
      </c>
    </row>
    <row r="222" spans="1:35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>
        <f>AVERAGEIFS($C$2:C222, $B$2:B222, B222)</f>
        <v>3</v>
      </c>
      <c r="AG222">
        <f>AVERAGEIFS($I$2:I222, $B$2:B222, B222)</f>
        <v>0.4375</v>
      </c>
      <c r="AH222">
        <f>AVERAGEIFS($I$2:J222, $B$2:C222, C222)</f>
        <v>0.52</v>
      </c>
      <c r="AI222">
        <f>AVERAGEIFS($D$2:D222, $B$2:B222, B222)</f>
        <v>0.5</v>
      </c>
    </row>
    <row r="223" spans="1:35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>
        <f>AVERAGEIFS($C$2:C223, $B$2:B223, B223)</f>
        <v>25.8</v>
      </c>
      <c r="AG223">
        <f>AVERAGEIFS($I$2:I223, $B$2:B223, B223)</f>
        <v>0.29000000000000004</v>
      </c>
      <c r="AH223">
        <f>AVERAGEIFS($I$2:J223, $B$2:C223, C223)</f>
        <v>0.48</v>
      </c>
      <c r="AI223">
        <f>AVERAGEIFS($D$2:D223, $B$2:B223, B223)</f>
        <v>0</v>
      </c>
    </row>
    <row r="224" spans="1:35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>
        <f>AVERAGEIFS($C$2:C224, $B$2:B224, B224)</f>
        <v>27.857142857142858</v>
      </c>
      <c r="AG224">
        <f>AVERAGEIFS($I$2:I224, $B$2:B224, B224)</f>
        <v>0.42142857142857143</v>
      </c>
      <c r="AH224">
        <f>AVERAGEIFS($I$2:J224, $B$2:C224, C224)</f>
        <v>0.48</v>
      </c>
      <c r="AI224">
        <f>AVERAGEIFS($D$2:D224, $B$2:B224, B224)</f>
        <v>0.5714285714285714</v>
      </c>
    </row>
    <row r="225" spans="1:35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>
        <f>AVERAGEIFS($C$2:C225, $B$2:B225, B225)</f>
        <v>18.5</v>
      </c>
      <c r="AG225">
        <f>AVERAGEIFS($I$2:I225, $B$2:B225, B225)</f>
        <v>0.43333333333333335</v>
      </c>
      <c r="AH225">
        <f>AVERAGEIFS($I$2:J225, $B$2:C225, C225)</f>
        <v>0.47857142857142859</v>
      </c>
      <c r="AI225">
        <f>AVERAGEIFS($D$2:D225, $B$2:B225, B225)</f>
        <v>0.5</v>
      </c>
    </row>
    <row r="226" spans="1:35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>
        <f>AVERAGEIFS($C$2:C226, $B$2:B226, B226)</f>
        <v>13.571428571428571</v>
      </c>
      <c r="AG226">
        <f>AVERAGEIFS($I$2:I226, $B$2:B226, B226)</f>
        <v>0.58571428571428563</v>
      </c>
      <c r="AH226">
        <f>AVERAGEIFS($I$2:J226, $B$2:C226, C226)</f>
        <v>0.51249999999999996</v>
      </c>
      <c r="AI226">
        <f>AVERAGEIFS($D$2:D226, $B$2:B226, B226)</f>
        <v>0.42857142857142855</v>
      </c>
    </row>
    <row r="227" spans="1:35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>
        <f>AVERAGEIFS($C$2:C227, $B$2:B227, B227)</f>
        <v>13</v>
      </c>
      <c r="AG227">
        <f>AVERAGEIFS($I$2:I227, $B$2:B227, B227)</f>
        <v>0.58333333333333337</v>
      </c>
      <c r="AH227">
        <f>AVERAGEIFS($I$2:J227, $B$2:C227, C227)</f>
        <v>0.50888888888888895</v>
      </c>
      <c r="AI227">
        <f>AVERAGEIFS($D$2:D227, $B$2:B227, B227)</f>
        <v>0.66666666666666663</v>
      </c>
    </row>
    <row r="228" spans="1:35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>
        <f>AVERAGEIFS($C$2:C228, $B$2:B228, B228)</f>
        <v>9.3333333333333339</v>
      </c>
      <c r="AG228">
        <f>AVERAGEIFS($I$2:I228, $B$2:B228, B228)</f>
        <v>0.46666666666666662</v>
      </c>
      <c r="AH228">
        <f>AVERAGEIFS($I$2:J228, $B$2:C228, C228)</f>
        <v>0.501</v>
      </c>
      <c r="AI228">
        <f>AVERAGEIFS($D$2:D228, $B$2:B228, B228)</f>
        <v>0.33333333333333331</v>
      </c>
    </row>
    <row r="229" spans="1:35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>
        <f>AVERAGEIFS($C$2:C229, $B$2:B229, B229)</f>
        <v>17.5</v>
      </c>
      <c r="AG229">
        <f>AVERAGEIFS($I$2:I229, $B$2:B229, B229)</f>
        <v>0.437</v>
      </c>
      <c r="AH229">
        <f>AVERAGEIFS($I$2:J229, $B$2:C229, C229)</f>
        <v>0.54142857142857148</v>
      </c>
      <c r="AI229">
        <f>AVERAGEIFS($D$2:D229, $B$2:B229, B229)</f>
        <v>0.5</v>
      </c>
    </row>
    <row r="230" spans="1:35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>
        <f>AVERAGEIFS($C$2:C230, $B$2:B230, B230)</f>
        <v>11.142857142857142</v>
      </c>
      <c r="AG230">
        <f>AVERAGEIFS($I$2:I230, $B$2:B230, B230)</f>
        <v>0.43785714285714289</v>
      </c>
      <c r="AH230">
        <f>AVERAGEIFS($I$2:J230, $B$2:C230, C230)</f>
        <v>0.41749999999999998</v>
      </c>
      <c r="AI230">
        <f>AVERAGEIFS($D$2:D230, $B$2:B230, B230)</f>
        <v>0.35714285714285715</v>
      </c>
    </row>
    <row r="231" spans="1:35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f>AVERAGEIFS($C$2:C231, $B$2:B231, B231)</f>
        <v>20.277777777777779</v>
      </c>
      <c r="AG231">
        <f>AVERAGEIFS($I$2:I231, $B$2:B231, B231)</f>
        <v>0.5294444444444445</v>
      </c>
      <c r="AH231">
        <f>AVERAGEIFS($I$2:J231, $B$2:C231, C231)</f>
        <v>0.48142857142857137</v>
      </c>
      <c r="AI231">
        <f>AVERAGEIFS($D$2:D231, $B$2:B231, B231)</f>
        <v>0.55555555555555558</v>
      </c>
    </row>
    <row r="232" spans="1:35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f>AVERAGEIFS($C$2:C232, $B$2:B232, B232)</f>
        <v>24.294117647058822</v>
      </c>
      <c r="AG232">
        <f>AVERAGEIFS($I$2:I232, $B$2:B232, B232)</f>
        <v>0.51882352941176468</v>
      </c>
      <c r="AH232">
        <f>AVERAGEIFS($I$2:J232, $B$2:C232, C232)</f>
        <v>0.48124999999999996</v>
      </c>
      <c r="AI232">
        <f>AVERAGEIFS($D$2:D232, $B$2:B232, B232)</f>
        <v>0.52941176470588236</v>
      </c>
    </row>
    <row r="233" spans="1:35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f>AVERAGEIFS($C$2:C233, $B$2:B233, B233)</f>
        <v>19</v>
      </c>
      <c r="AG233">
        <f>AVERAGEIFS($I$2:I233, $B$2:B233, B233)</f>
        <v>0.42857142857142855</v>
      </c>
      <c r="AH233">
        <f>AVERAGEIFS($I$2:J233, $B$2:C233, C233)</f>
        <v>0.52333333333333332</v>
      </c>
      <c r="AI233">
        <f>AVERAGEIFS($D$2:D233, $B$2:B233, B233)</f>
        <v>0.42857142857142855</v>
      </c>
    </row>
    <row r="234" spans="1:35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f>AVERAGEIFS($C$2:C234, $B$2:B234, B234)</f>
        <v>13.75</v>
      </c>
      <c r="AG234">
        <f>AVERAGEIFS($I$2:I234, $B$2:B234, B234)</f>
        <v>0.53749999999999998</v>
      </c>
      <c r="AH234">
        <f>AVERAGEIFS($I$2:J234, $B$2:C234, C234)</f>
        <v>0.51916666666666667</v>
      </c>
      <c r="AI234">
        <f>AVERAGEIFS($D$2:D234, $B$2:B234, B234)</f>
        <v>0.5</v>
      </c>
    </row>
    <row r="235" spans="1:35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f>AVERAGEIFS($C$2:C235, $B$2:B235, B235)</f>
        <v>7</v>
      </c>
      <c r="AG235">
        <f>AVERAGEIFS($I$2:I235, $B$2:B235, B235)</f>
        <v>0.60666666666666658</v>
      </c>
      <c r="AH235">
        <f>AVERAGEIFS($I$2:J235, $B$2:C235, C235)</f>
        <v>0.52375000000000016</v>
      </c>
      <c r="AI235">
        <f>AVERAGEIFS($D$2:D235, $B$2:B235, B235)</f>
        <v>0.66666666666666663</v>
      </c>
    </row>
    <row r="236" spans="1:35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>
        <f>AVERAGEIFS($C$2:C236, $B$2:B236, B236)</f>
        <v>22.125</v>
      </c>
      <c r="AG236">
        <f>AVERAGEIFS($I$2:I236, $B$2:B236, B236)</f>
        <v>0.64874999999999994</v>
      </c>
      <c r="AH236">
        <f>AVERAGEIFS($I$2:J236, $B$2:C236, C236)</f>
        <v>0.48555555555555546</v>
      </c>
      <c r="AI236">
        <f>AVERAGEIFS($D$2:D236, $B$2:B236, B236)</f>
        <v>0.75</v>
      </c>
    </row>
    <row r="237" spans="1:35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>
        <f>AVERAGEIFS($C$2:C237, $B$2:B237, B237)</f>
        <v>19.818181818181817</v>
      </c>
      <c r="AG237">
        <f>AVERAGEIFS($I$2:I237, $B$2:B237, B237)</f>
        <v>0.48181818181818181</v>
      </c>
      <c r="AH237">
        <f>AVERAGEIFS($I$2:J237, $B$2:C237, C237)</f>
        <v>0.54666666666666675</v>
      </c>
      <c r="AI237">
        <f>AVERAGEIFS($D$2:D237, $B$2:B237, B237)</f>
        <v>0.36363636363636365</v>
      </c>
    </row>
    <row r="238" spans="1:35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>
        <f>AVERAGEIFS($C$2:C238, $B$2:B238, B238)</f>
        <v>11</v>
      </c>
      <c r="AG238">
        <f>AVERAGEIFS($I$2:I238, $B$2:B238, B238)</f>
        <v>0.73333333333333339</v>
      </c>
      <c r="AH238">
        <f>AVERAGEIFS($I$2:J238, $B$2:C238, C238)</f>
        <v>0.54600000000000004</v>
      </c>
      <c r="AI238">
        <f>AVERAGEIFS($D$2:D238, $B$2:B238, B238)</f>
        <v>1</v>
      </c>
    </row>
    <row r="239" spans="1:35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>
        <f>AVERAGEIFS($C$2:C239, $B$2:B239, B239)</f>
        <v>17</v>
      </c>
      <c r="AG239">
        <f>AVERAGEIFS($I$2:I239, $B$2:B239, B239)</f>
        <v>0.39500000000000002</v>
      </c>
      <c r="AH239">
        <f>AVERAGEIFS($I$2:J239, $B$2:C239, C239)</f>
        <v>0.57555555555555549</v>
      </c>
      <c r="AI239">
        <f>AVERAGEIFS($D$2:D239, $B$2:B239, B239)</f>
        <v>0.4</v>
      </c>
    </row>
    <row r="240" spans="1:35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>
        <f>AVERAGEIFS($C$2:C240, $B$2:B240, B240)</f>
        <v>11.466666666666667</v>
      </c>
      <c r="AG240">
        <f>AVERAGEIFS($I$2:I240, $B$2:B240, B240)</f>
        <v>0.44866666666666671</v>
      </c>
      <c r="AH240">
        <f>AVERAGEIFS($I$2:J240, $B$2:C240, C240)</f>
        <v>0.51923076923076927</v>
      </c>
      <c r="AI240">
        <f>AVERAGEIFS($D$2:D240, $B$2:B240, B240)</f>
        <v>0.4</v>
      </c>
    </row>
    <row r="241" spans="1:35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f>AVERAGEIFS($C$2:C241, $B$2:B241, B241)</f>
        <v>26.333333333333332</v>
      </c>
      <c r="AG241">
        <f>AVERAGEIFS($I$2:I241, $B$2:B241, B241)</f>
        <v>0.3666666666666667</v>
      </c>
      <c r="AH241">
        <f>AVERAGEIFS($I$2:J241, $B$2:C241, C241)</f>
        <v>0.56500000000000006</v>
      </c>
      <c r="AI241">
        <f>AVERAGEIFS($D$2:D241, $B$2:B241, B241)</f>
        <v>0.16666666666666666</v>
      </c>
    </row>
    <row r="242" spans="1:35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f>AVERAGEIFS($C$2:C242, $B$2:B242, B242)</f>
        <v>24.76923076923077</v>
      </c>
      <c r="AG242">
        <f>AVERAGEIFS($I$2:I242, $B$2:B242, B242)</f>
        <v>0.49846153846153851</v>
      </c>
      <c r="AH242">
        <f>AVERAGEIFS($I$2:J242, $B$2:C242, C242)</f>
        <v>0.57999999999999996</v>
      </c>
      <c r="AI242">
        <f>AVERAGEIFS($D$2:D242, $B$2:B242, B242)</f>
        <v>0.46153846153846156</v>
      </c>
    </row>
    <row r="243" spans="1:35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f>AVERAGEIFS($C$2:C243, $B$2:B243, B243)</f>
        <v>18.09090909090909</v>
      </c>
      <c r="AG243">
        <f>AVERAGEIFS($I$2:I243, $B$2:B243, B243)</f>
        <v>0.4272727272727273</v>
      </c>
      <c r="AH243">
        <f>AVERAGEIFS($I$2:J243, $B$2:C243, C243)</f>
        <v>0.56800000000000006</v>
      </c>
      <c r="AI243">
        <f>AVERAGEIFS($D$2:D243, $B$2:B243, B243)</f>
        <v>0.45454545454545453</v>
      </c>
    </row>
    <row r="244" spans="1:35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f>AVERAGEIFS($C$2:C244, $B$2:B244, B244)</f>
        <v>19.25</v>
      </c>
      <c r="AG244">
        <f>AVERAGEIFS($I$2:I244, $B$2:B244, B244)</f>
        <v>0.4375</v>
      </c>
      <c r="AH244">
        <f>AVERAGEIFS($I$2:J244, $B$2:C244, C244)</f>
        <v>0.56399999999999995</v>
      </c>
      <c r="AI244">
        <f>AVERAGEIFS($D$2:D244, $B$2:B244, B244)</f>
        <v>0.5</v>
      </c>
    </row>
    <row r="245" spans="1:35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f>AVERAGEIFS($C$2:C245, $B$2:B245, B245)</f>
        <v>15.8</v>
      </c>
      <c r="AG245">
        <f>AVERAGEIFS($I$2:I245, $B$2:B245, B245)</f>
        <v>0.57999999999999996</v>
      </c>
      <c r="AH245">
        <f>AVERAGEIFS($I$2:J245, $B$2:C245, C245)</f>
        <v>0.57599999999999996</v>
      </c>
      <c r="AI245">
        <f>AVERAGEIFS($D$2:D245, $B$2:B245, B245)</f>
        <v>0.6</v>
      </c>
    </row>
    <row r="246" spans="1:35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f>AVERAGEIFS($C$2:C246, $B$2:B246, B246)</f>
        <v>15.25</v>
      </c>
      <c r="AG246">
        <f>AVERAGEIFS($I$2:I246, $B$2:B246, B246)</f>
        <v>0.53749999999999998</v>
      </c>
      <c r="AH246">
        <f>AVERAGEIFS($I$2:J246, $B$2:C246, C246)</f>
        <v>0.4546153846153847</v>
      </c>
      <c r="AI246">
        <f>AVERAGEIFS($D$2:D246, $B$2:B246, B246)</f>
        <v>0.5</v>
      </c>
    </row>
    <row r="247" spans="1:35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f>AVERAGEIFS($C$2:C247, $B$2:B247, B247)</f>
        <v>8.5</v>
      </c>
      <c r="AG247">
        <f>AVERAGEIFS($I$2:I247, $B$2:B247, B247)</f>
        <v>0.64249999999999996</v>
      </c>
      <c r="AH247">
        <f>AVERAGEIFS($I$2:J247, $B$2:C247, C247)</f>
        <v>0.53899999999999992</v>
      </c>
      <c r="AI247">
        <f>AVERAGEIFS($D$2:D247, $B$2:B247, B247)</f>
        <v>0.75</v>
      </c>
    </row>
    <row r="248" spans="1:35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f>AVERAGEIFS($C$2:C248, $B$2:B248, B248)</f>
        <v>21.333333333333332</v>
      </c>
      <c r="AG248">
        <f>AVERAGEIFS($I$2:I248, $B$2:B248, B248)</f>
        <v>0.58333333333333337</v>
      </c>
      <c r="AH248">
        <f>AVERAGEIFS($I$2:J248, $B$2:C248, C248)</f>
        <v>0.46769230769230768</v>
      </c>
      <c r="AI248">
        <f>AVERAGEIFS($D$2:D248, $B$2:B248, B248)</f>
        <v>0.66666666666666663</v>
      </c>
    </row>
    <row r="249" spans="1:35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f>AVERAGEIFS($C$2:C249, $B$2:B249, B249)</f>
        <v>29.875</v>
      </c>
      <c r="AG249">
        <f>AVERAGEIFS($I$2:I249, $B$2:B249, B249)</f>
        <v>0.4</v>
      </c>
      <c r="AH249">
        <f>AVERAGEIFS($I$2:J249, $B$2:C249, C249)</f>
        <v>0.42</v>
      </c>
      <c r="AI249">
        <f>AVERAGEIFS($D$2:D249, $B$2:B249, B249)</f>
        <v>0.5</v>
      </c>
    </row>
    <row r="250" spans="1:35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f>AVERAGEIFS($C$2:C250, $B$2:B250, B250)</f>
        <v>24.944444444444443</v>
      </c>
      <c r="AG250">
        <f>AVERAGEIFS($I$2:I250, $B$2:B250, B250)</f>
        <v>0.50388888888888894</v>
      </c>
      <c r="AH250">
        <f>AVERAGEIFS($I$2:J250, $B$2:C250, C250)</f>
        <v>0.43</v>
      </c>
      <c r="AI250">
        <f>AVERAGEIFS($D$2:D250, $B$2:B250, B250)</f>
        <v>0.5</v>
      </c>
    </row>
    <row r="251" spans="1:35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f>AVERAGEIFS($C$2:C251, $B$2:B251, B251)</f>
        <v>20.684210526315791</v>
      </c>
      <c r="AG251">
        <f>AVERAGEIFS($I$2:I251, $B$2:B251, B251)</f>
        <v>0.51473684210526327</v>
      </c>
      <c r="AH251">
        <f>AVERAGEIFS($I$2:J251, $B$2:C251, C251)</f>
        <v>0.42333333333333334</v>
      </c>
      <c r="AI251">
        <f>AVERAGEIFS($D$2:D251, $B$2:B251, B251)</f>
        <v>0.52631578947368418</v>
      </c>
    </row>
    <row r="252" spans="1:35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f>AVERAGEIFS($C$2:C252, $B$2:B252, B252)</f>
        <v>16.600000000000001</v>
      </c>
      <c r="AG252">
        <f>AVERAGEIFS($I$2:I252, $B$2:B252, B252)</f>
        <v>0.46799999999999997</v>
      </c>
      <c r="AH252">
        <f>AVERAGEIFS($I$2:J252, $B$2:C252, C252)</f>
        <v>0.53333333333333333</v>
      </c>
      <c r="AI252">
        <f>AVERAGEIFS($D$2:D252, $B$2:B252, B252)</f>
        <v>0.4</v>
      </c>
    </row>
    <row r="253" spans="1:35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f>AVERAGEIFS($C$2:C253, $B$2:B253, B253)</f>
        <v>6</v>
      </c>
      <c r="AG253">
        <f>AVERAGEIFS($I$2:I253, $B$2:B253, B253)</f>
        <v>0.25</v>
      </c>
      <c r="AH253">
        <f>AVERAGEIFS($I$2:J253, $B$2:C253, C253)</f>
        <v>0.5066666666666666</v>
      </c>
      <c r="AI253">
        <f>AVERAGEIFS($D$2:D253, $B$2:B253, B253)</f>
        <v>0</v>
      </c>
    </row>
    <row r="254" spans="1:35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f>AVERAGEIFS($C$2:C254, $B$2:B254, B254)</f>
        <v>11.5</v>
      </c>
      <c r="AG254">
        <f>AVERAGEIFS($I$2:I254, $B$2:B254, B254)</f>
        <v>0.43625000000000003</v>
      </c>
      <c r="AH254">
        <f>AVERAGEIFS($I$2:J254, $B$2:C254, C254)</f>
        <v>0.48461538461538461</v>
      </c>
      <c r="AI254">
        <f>AVERAGEIFS($D$2:D254, $B$2:B254, B254)</f>
        <v>0.375</v>
      </c>
    </row>
    <row r="255" spans="1:35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f>AVERAGEIFS($C$2:C255, $B$2:B255, B255)</f>
        <v>14</v>
      </c>
      <c r="AG255">
        <f>AVERAGEIFS($I$2:I255, $B$2:B255, B255)</f>
        <v>0.25</v>
      </c>
      <c r="AH255">
        <f>AVERAGEIFS($I$2:J255, $B$2:C255, C255)</f>
        <v>0.5</v>
      </c>
      <c r="AI255">
        <f>AVERAGEIFS($D$2:D255, $B$2:B255, B255)</f>
        <v>0</v>
      </c>
    </row>
    <row r="256" spans="1:35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f>AVERAGEIFS($C$2:C256, $B$2:B256, B256)</f>
        <v>20.166666666666668</v>
      </c>
      <c r="AG256">
        <f>AVERAGEIFS($I$2:I256, $B$2:B256, B256)</f>
        <v>0.46249999999999997</v>
      </c>
      <c r="AH256">
        <f>AVERAGEIFS($I$2:J256, $B$2:C256, C256)</f>
        <v>0.56181818181818177</v>
      </c>
      <c r="AI256">
        <f>AVERAGEIFS($D$2:D256, $B$2:B256, B256)</f>
        <v>0.33333333333333331</v>
      </c>
    </row>
    <row r="257" spans="1:35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>
        <f>AVERAGEIFS($C$2:C257, $B$2:B257, B257)</f>
        <v>28.142857142857142</v>
      </c>
      <c r="AG257">
        <f>AVERAGEIFS($I$2:I257, $B$2:B257, B257)</f>
        <v>0.4</v>
      </c>
      <c r="AH257">
        <f>AVERAGEIFS($I$2:J257, $B$2:C257, C257)</f>
        <v>0.57999999999999996</v>
      </c>
      <c r="AI257">
        <f>AVERAGEIFS($D$2:D257, $B$2:B257, B257)</f>
        <v>0.2857142857142857</v>
      </c>
    </row>
    <row r="258" spans="1:35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>
        <f>AVERAGEIFS($C$2:C258, $B$2:B258, B258)</f>
        <v>25.421052631578949</v>
      </c>
      <c r="AG258">
        <f>AVERAGEIFS($I$2:I258, $B$2:B258, B258)</f>
        <v>0.50894736842105259</v>
      </c>
      <c r="AH258">
        <f>AVERAGEIFS($I$2:J258, $B$2:C258, C258)</f>
        <v>0.54</v>
      </c>
      <c r="AI258">
        <f>AVERAGEIFS($D$2:D258, $B$2:B258, B258)</f>
        <v>0.52631578947368418</v>
      </c>
    </row>
    <row r="259" spans="1:35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>
        <f>AVERAGEIFS($C$2:C259, $B$2:B259, B259)</f>
        <v>7.9230769230769234</v>
      </c>
      <c r="AG259">
        <f>AVERAGEIFS($I$2:I259, $B$2:B259, B259)</f>
        <v>0.60615384615384615</v>
      </c>
      <c r="AH259">
        <f>AVERAGEIFS($I$2:J259, $B$2:C259, C259)</f>
        <v>0.51714285714285713</v>
      </c>
      <c r="AI259">
        <f>AVERAGEIFS($D$2:D259, $B$2:B259, B259)</f>
        <v>0.69230769230769229</v>
      </c>
    </row>
    <row r="260" spans="1:35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>
        <f>AVERAGEIFS($C$2:C260, $B$2:B260, B260)</f>
        <v>21.75</v>
      </c>
      <c r="AG260">
        <f>AVERAGEIFS($I$2:I260, $B$2:B260, B260)</f>
        <v>0.58750000000000002</v>
      </c>
      <c r="AH260">
        <f>AVERAGEIFS($I$2:J260, $B$2:C260, C260)</f>
        <v>0.59800000000000009</v>
      </c>
      <c r="AI260">
        <f>AVERAGEIFS($D$2:D260, $B$2:B260, B260)</f>
        <v>0.75</v>
      </c>
    </row>
    <row r="261" spans="1:35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>
        <f>AVERAGEIFS($C$2:C261, $B$2:B261, B261)</f>
        <v>11.5</v>
      </c>
      <c r="AG261">
        <f>AVERAGEIFS($I$2:I261, $B$2:B261, B261)</f>
        <v>0.42499999999999999</v>
      </c>
      <c r="AH261">
        <f>AVERAGEIFS($I$2:J261, $B$2:C261, C261)</f>
        <v>0.43555555555555553</v>
      </c>
      <c r="AI261">
        <f>AVERAGEIFS($D$2:D261, $B$2:B261, B261)</f>
        <v>0.5</v>
      </c>
    </row>
    <row r="262" spans="1:35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>
        <f>AVERAGEIFS($C$2:C262, $B$2:B262, B262)</f>
        <v>21.1875</v>
      </c>
      <c r="AG262">
        <f>AVERAGEIFS($I$2:I262, $B$2:B262, B262)</f>
        <v>0.49187500000000001</v>
      </c>
      <c r="AH262">
        <f>AVERAGEIFS($I$2:J262, $B$2:C262, C262)</f>
        <v>0.46250000000000002</v>
      </c>
      <c r="AI262">
        <f>AVERAGEIFS($D$2:D262, $B$2:B262, B262)</f>
        <v>0.4375</v>
      </c>
    </row>
    <row r="263" spans="1:35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>
        <f>AVERAGEIFS($C$2:C263, $B$2:B263, B263)</f>
        <v>12</v>
      </c>
      <c r="AG263">
        <f>AVERAGEIFS($I$2:I263, $B$2:B263, B263)</f>
        <v>0.43411764705882355</v>
      </c>
      <c r="AH263">
        <f>AVERAGEIFS($I$2:J263, $B$2:C263, C263)</f>
        <v>0.47899999999999993</v>
      </c>
      <c r="AI263">
        <f>AVERAGEIFS($D$2:D263, $B$2:B263, B263)</f>
        <v>0.35294117647058826</v>
      </c>
    </row>
    <row r="264" spans="1:35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>
        <f>AVERAGEIFS($C$2:C264, $B$2:B264, B264)</f>
        <v>23</v>
      </c>
      <c r="AG264">
        <f>AVERAGEIFS($I$2:I264, $B$2:B264, B264)</f>
        <v>0.63411764705882345</v>
      </c>
      <c r="AH264">
        <f>AVERAGEIFS($I$2:J264, $B$2:C264, C264)</f>
        <v>0.47</v>
      </c>
      <c r="AI264">
        <f>AVERAGEIFS($D$2:D264, $B$2:B264, B264)</f>
        <v>0.70588235294117652</v>
      </c>
    </row>
    <row r="265" spans="1:35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>
        <f>AVERAGEIFS($C$2:C265, $B$2:B265, B265)</f>
        <v>24.714285714285715</v>
      </c>
      <c r="AG265">
        <f>AVERAGEIFS($I$2:I265, $B$2:B265, B265)</f>
        <v>0.49142857142857149</v>
      </c>
      <c r="AH265">
        <f>AVERAGEIFS($I$2:J265, $B$2:C265, C265)</f>
        <v>0.54999999999999993</v>
      </c>
      <c r="AI265">
        <f>AVERAGEIFS($D$2:D265, $B$2:B265, B265)</f>
        <v>0.42857142857142855</v>
      </c>
    </row>
    <row r="266" spans="1:35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>
        <f>AVERAGEIFS($C$2:C266, $B$2:B266, B266)</f>
        <v>19.625</v>
      </c>
      <c r="AG266">
        <f>AVERAGEIFS($I$2:I266, $B$2:B266, B266)</f>
        <v>0.42499999999999999</v>
      </c>
      <c r="AH266">
        <f>AVERAGEIFS($I$2:J266, $B$2:C266, C266)</f>
        <v>0.53999999999999992</v>
      </c>
      <c r="AI266">
        <f>AVERAGEIFS($D$2:D266, $B$2:B266, B266)</f>
        <v>0.375</v>
      </c>
    </row>
    <row r="267" spans="1:35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>
        <f>AVERAGEIFS($C$2:C267, $B$2:B267, B267)</f>
        <v>5.5</v>
      </c>
      <c r="AG267">
        <f>AVERAGEIFS($I$2:I267, $B$2:B267, B267)</f>
        <v>0.4</v>
      </c>
      <c r="AH267">
        <f>AVERAGEIFS($I$2:J267, $B$2:C267, C267)</f>
        <v>0.52500000000000002</v>
      </c>
      <c r="AI267">
        <f>AVERAGEIFS($D$2:D267, $B$2:B267, B267)</f>
        <v>0</v>
      </c>
    </row>
    <row r="268" spans="1:35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>
        <f>AVERAGEIFS($C$2:C268, $B$2:B268, B268)</f>
        <v>18.583333333333332</v>
      </c>
      <c r="AG268">
        <f>AVERAGEIFS($I$2:I268, $B$2:B268, B268)</f>
        <v>0.42500000000000004</v>
      </c>
      <c r="AH268">
        <f>AVERAGEIFS($I$2:J268, $B$2:C268, C268)</f>
        <v>0.53142857142857136</v>
      </c>
      <c r="AI268">
        <f>AVERAGEIFS($D$2:D268, $B$2:B268, B268)</f>
        <v>0.41666666666666669</v>
      </c>
    </row>
    <row r="269" spans="1:35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f>AVERAGEIFS($C$2:C269, $B$2:B269, B269)</f>
        <v>26.75</v>
      </c>
      <c r="AG269">
        <f>AVERAGEIFS($I$2:I269, $B$2:B269, B269)</f>
        <v>0.38125000000000003</v>
      </c>
      <c r="AH269">
        <f>AVERAGEIFS($I$2:J269, $B$2:C269, C269)</f>
        <v>0.44785714285714295</v>
      </c>
      <c r="AI269">
        <f>AVERAGEIFS($D$2:D269, $B$2:B269, B269)</f>
        <v>0.25</v>
      </c>
    </row>
    <row r="270" spans="1:35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f>AVERAGEIFS($C$2:C270, $B$2:B270, B270)</f>
        <v>24.85</v>
      </c>
      <c r="AG270">
        <f>AVERAGEIFS($I$2:I270, $B$2:B270, B270)</f>
        <v>0.496</v>
      </c>
      <c r="AH270">
        <f>AVERAGEIFS($I$2:J270, $B$2:C270, C270)</f>
        <v>0.4872727272727273</v>
      </c>
      <c r="AI270">
        <f>AVERAGEIFS($D$2:D270, $B$2:B270, B270)</f>
        <v>0.5</v>
      </c>
    </row>
    <row r="271" spans="1:35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f>AVERAGEIFS($C$2:C271, $B$2:B271, B271)</f>
        <v>15</v>
      </c>
      <c r="AG271">
        <f>AVERAGEIFS($I$2:I271, $B$2:B271, B271)</f>
        <v>0.47500000000000003</v>
      </c>
      <c r="AH271">
        <f>AVERAGEIFS($I$2:J271, $B$2:C271, C271)</f>
        <v>0.5078571428571429</v>
      </c>
      <c r="AI271">
        <f>AVERAGEIFS($D$2:D271, $B$2:B271, B271)</f>
        <v>0.625</v>
      </c>
    </row>
    <row r="272" spans="1:35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f>AVERAGEIFS($C$2:C272, $B$2:B272, B272)</f>
        <v>9.5</v>
      </c>
      <c r="AG272">
        <f>AVERAGEIFS($I$2:I272, $B$2:B272, B272)</f>
        <v>0.42499999999999999</v>
      </c>
      <c r="AH272">
        <f>AVERAGEIFS($I$2:J272, $B$2:C272, C272)</f>
        <v>0.52272727272727271</v>
      </c>
      <c r="AI272">
        <f>AVERAGEIFS($D$2:D272, $B$2:B272, B272)</f>
        <v>0.5</v>
      </c>
    </row>
    <row r="273" spans="1:35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f>AVERAGEIFS($C$2:C273, $B$2:B273, B273)</f>
        <v>10.333333333333334</v>
      </c>
      <c r="AG273">
        <f>AVERAGEIFS($I$2:I273, $B$2:B273, B273)</f>
        <v>0.3666666666666667</v>
      </c>
      <c r="AH273">
        <f>AVERAGEIFS($I$2:J273, $B$2:C273, C273)</f>
        <v>0.50142857142857145</v>
      </c>
      <c r="AI273">
        <f>AVERAGEIFS($D$2:D273, $B$2:B273, B273)</f>
        <v>0.33333333333333331</v>
      </c>
    </row>
    <row r="274" spans="1:35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f>AVERAGEIFS($C$2:C274, $B$2:B274, B274)</f>
        <v>4.666666666666667</v>
      </c>
      <c r="AG274">
        <f>AVERAGEIFS($I$2:I274, $B$2:B274, B274)</f>
        <v>0.35000000000000003</v>
      </c>
      <c r="AH274">
        <f>AVERAGEIFS($I$2:J274, $B$2:C274, C274)</f>
        <v>0.49875000000000003</v>
      </c>
      <c r="AI274">
        <f>AVERAGEIFS($D$2:D274, $B$2:B274, B274)</f>
        <v>0</v>
      </c>
    </row>
    <row r="275" spans="1:35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>
        <f>AVERAGEIFS($C$2:C275, $B$2:B275, B275)</f>
        <v>12.055555555555555</v>
      </c>
      <c r="AG275">
        <f>AVERAGEIFS($I$2:I275, $B$2:B275, B275)</f>
        <v>0.45166666666666672</v>
      </c>
      <c r="AH275">
        <f>AVERAGEIFS($I$2:J275, $B$2:C275, C275)</f>
        <v>0.53249999999999997</v>
      </c>
      <c r="AI275">
        <f>AVERAGEIFS($D$2:D275, $B$2:B275, B275)</f>
        <v>0.3888888888888889</v>
      </c>
    </row>
    <row r="276" spans="1:35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>
        <f>AVERAGEIFS($C$2:C276, $B$2:B276, B276)</f>
        <v>17.8</v>
      </c>
      <c r="AG276">
        <f>AVERAGEIFS($I$2:I276, $B$2:B276, B276)</f>
        <v>0.5</v>
      </c>
      <c r="AH276">
        <f>AVERAGEIFS($I$2:J276, $B$2:C276, C276)</f>
        <v>0.49571428571428566</v>
      </c>
      <c r="AI276">
        <f>AVERAGEIFS($D$2:D276, $B$2:B276, B276)</f>
        <v>0.6</v>
      </c>
    </row>
    <row r="277" spans="1:35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>
        <f>AVERAGEIFS($C$2:C277, $B$2:B277, B277)</f>
        <v>24.6</v>
      </c>
      <c r="AG277">
        <f>AVERAGEIFS($I$2:I277, $B$2:B277, B277)</f>
        <v>0.50866666666666671</v>
      </c>
      <c r="AH277">
        <f>AVERAGEIFS($I$2:J277, $B$2:C277, C277)</f>
        <v>0.60181818181818181</v>
      </c>
      <c r="AI277">
        <f>AVERAGEIFS($D$2:D277, $B$2:B277, B277)</f>
        <v>0.46666666666666667</v>
      </c>
    </row>
    <row r="278" spans="1:35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>
        <f>AVERAGEIFS($C$2:C278, $B$2:B278, B278)</f>
        <v>17.692307692307693</v>
      </c>
      <c r="AG278">
        <f>AVERAGEIFS($I$2:I278, $B$2:B278, B278)</f>
        <v>0.45000000000000007</v>
      </c>
      <c r="AH278">
        <f>AVERAGEIFS($I$2:J278, $B$2:C278, C278)</f>
        <v>0.53666666666666674</v>
      </c>
      <c r="AI278">
        <f>AVERAGEIFS($D$2:D278, $B$2:B278, B278)</f>
        <v>0.46153846153846156</v>
      </c>
    </row>
    <row r="279" spans="1:35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>
        <f>AVERAGEIFS($C$2:C279, $B$2:B279, B279)</f>
        <v>23</v>
      </c>
      <c r="AG279">
        <f>AVERAGEIFS($I$2:I279, $B$2:B279, B279)</f>
        <v>0.64055555555555554</v>
      </c>
      <c r="AH279">
        <f>AVERAGEIFS($I$2:J279, $B$2:C279, C279)</f>
        <v>0.60499999999999998</v>
      </c>
      <c r="AI279">
        <f>AVERAGEIFS($D$2:D279, $B$2:B279, B279)</f>
        <v>0.72222222222222221</v>
      </c>
    </row>
    <row r="280" spans="1:35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>
        <f>AVERAGEIFS($C$2:C280, $B$2:B280, B280)</f>
        <v>10</v>
      </c>
      <c r="AG280">
        <f>AVERAGEIFS($I$2:I280, $B$2:B280, B280)</f>
        <v>0.75</v>
      </c>
      <c r="AH280">
        <f>AVERAGEIFS($I$2:J280, $B$2:C280, C280)</f>
        <v>0.55374999999999996</v>
      </c>
      <c r="AI280">
        <f>AVERAGEIFS($D$2:D280, $B$2:B280, B280)</f>
        <v>1</v>
      </c>
    </row>
    <row r="281" spans="1:35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f>AVERAGEIFS($C$2:C281, $B$2:B281, B281)</f>
        <v>15.888888888888889</v>
      </c>
      <c r="AG281">
        <f>AVERAGEIFS($I$2:I281, $B$2:B281, B281)</f>
        <v>0.46666666666666667</v>
      </c>
      <c r="AH281">
        <f>AVERAGEIFS($I$2:J281, $B$2:C281, C281)</f>
        <v>0.58846153846153837</v>
      </c>
      <c r="AI281">
        <f>AVERAGEIFS($D$2:D281, $B$2:B281, B281)</f>
        <v>0.55555555555555558</v>
      </c>
    </row>
    <row r="282" spans="1:35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f>AVERAGEIFS($C$2:C282, $B$2:B282, B282)</f>
        <v>26.444444444444443</v>
      </c>
      <c r="AG282">
        <f>AVERAGEIFS($I$2:I282, $B$2:B282, B282)</f>
        <v>0.38333333333333336</v>
      </c>
      <c r="AH282">
        <f>AVERAGEIFS($I$2:J282, $B$2:C282, C282)</f>
        <v>0.52199999999999991</v>
      </c>
      <c r="AI282">
        <f>AVERAGEIFS($D$2:D282, $B$2:B282, B282)</f>
        <v>0.22222222222222221</v>
      </c>
    </row>
    <row r="283" spans="1:35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f>AVERAGEIFS($C$2:C283, $B$2:B283, B283)</f>
        <v>25</v>
      </c>
      <c r="AG283">
        <f>AVERAGEIFS($I$2:I283, $B$2:B283, B283)</f>
        <v>0.49142857142857144</v>
      </c>
      <c r="AH283">
        <f>AVERAGEIFS($I$2:J283, $B$2:C283, C283)</f>
        <v>0.44800000000000006</v>
      </c>
      <c r="AI283">
        <f>AVERAGEIFS($D$2:D283, $B$2:B283, B283)</f>
        <v>0.47619047619047616</v>
      </c>
    </row>
    <row r="284" spans="1:35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f>AVERAGEIFS($C$2:C284, $B$2:B284, B284)</f>
        <v>17.857142857142858</v>
      </c>
      <c r="AG284">
        <f>AVERAGEIFS($I$2:I284, $B$2:B284, B284)</f>
        <v>0.44642857142857151</v>
      </c>
      <c r="AH284">
        <f>AVERAGEIFS($I$2:J284, $B$2:C284, C284)</f>
        <v>0.47090909090909078</v>
      </c>
      <c r="AI284">
        <f>AVERAGEIFS($D$2:D284, $B$2:B284, B284)</f>
        <v>0.42857142857142855</v>
      </c>
    </row>
    <row r="285" spans="1:35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f>AVERAGEIFS($C$2:C285, $B$2:B285, B285)</f>
        <v>11</v>
      </c>
      <c r="AG285">
        <f>AVERAGEIFS($I$2:I285, $B$2:B285, B285)</f>
        <v>0.375</v>
      </c>
      <c r="AH285">
        <f>AVERAGEIFS($I$2:J285, $B$2:C285, C285)</f>
        <v>0.52153846153846151</v>
      </c>
      <c r="AI285">
        <f>AVERAGEIFS($D$2:D285, $B$2:B285, B285)</f>
        <v>0.25</v>
      </c>
    </row>
    <row r="286" spans="1:35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f>AVERAGEIFS($C$2:C286, $B$2:B286, B286)</f>
        <v>20</v>
      </c>
      <c r="AG286">
        <f>AVERAGEIFS($I$2:I286, $B$2:B286, B286)</f>
        <v>0.55000000000000004</v>
      </c>
      <c r="AH286">
        <f>AVERAGEIFS($I$2:J286, $B$2:C286, C286)</f>
        <v>0.51214285714285712</v>
      </c>
      <c r="AI286">
        <f>AVERAGEIFS($D$2:D286, $B$2:B286, B286)</f>
        <v>0.6</v>
      </c>
    </row>
    <row r="287" spans="1:35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>
        <f>AVERAGEIFS($C$2:C287, $B$2:B287, B287)</f>
        <v>23.684210526315791</v>
      </c>
      <c r="AG287">
        <f>AVERAGEIFS($I$2:I287, $B$2:B287, B287)</f>
        <v>0.63842105263157889</v>
      </c>
      <c r="AH287">
        <f>AVERAGEIFS($I$2:J287, $B$2:C287, C287)</f>
        <v>0.47499999999999998</v>
      </c>
      <c r="AI287">
        <f>AVERAGEIFS($D$2:D287, $B$2:B287, B287)</f>
        <v>0.73684210526315785</v>
      </c>
    </row>
    <row r="288" spans="1:35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>
        <f>AVERAGEIFS($C$2:C288, $B$2:B288, B288)</f>
        <v>24.5625</v>
      </c>
      <c r="AG288">
        <f>AVERAGEIFS($I$2:I288, $B$2:B288, B288)</f>
        <v>0.51437500000000003</v>
      </c>
      <c r="AH288">
        <f>AVERAGEIFS($I$2:J288, $B$2:C288, C288)</f>
        <v>0.52749999999999997</v>
      </c>
      <c r="AI288">
        <f>AVERAGEIFS($D$2:D288, $B$2:B288, B288)</f>
        <v>0.5</v>
      </c>
    </row>
    <row r="289" spans="1:35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>
        <f>AVERAGEIFS($C$2:C289, $B$2:B289, B289)</f>
        <v>18.5</v>
      </c>
      <c r="AG289">
        <f>AVERAGEIFS($I$2:I289, $B$2:B289, B289)</f>
        <v>0.51666666666666672</v>
      </c>
      <c r="AH289">
        <f>AVERAGEIFS($I$2:J289, $B$2:C289, C289)</f>
        <v>0.53</v>
      </c>
      <c r="AI289">
        <f>AVERAGEIFS($D$2:D289, $B$2:B289, B289)</f>
        <v>0.66666666666666663</v>
      </c>
    </row>
    <row r="290" spans="1:35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>
        <f>AVERAGEIFS($C$2:C290, $B$2:B290, B290)</f>
        <v>20</v>
      </c>
      <c r="AG290">
        <f>AVERAGEIFS($I$2:I290, $B$2:B290, B290)</f>
        <v>0.47307692307692306</v>
      </c>
      <c r="AH290">
        <f>AVERAGEIFS($I$2:J290, $B$2:C290, C290)</f>
        <v>0.47785714285714287</v>
      </c>
      <c r="AI290">
        <f>AVERAGEIFS($D$2:D290, $B$2:B290, B290)</f>
        <v>0.38461538461538464</v>
      </c>
    </row>
    <row r="291" spans="1:35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>
        <f>AVERAGEIFS($C$2:C291, $B$2:B291, B291)</f>
        <v>5.25</v>
      </c>
      <c r="AG291">
        <f>AVERAGEIFS($I$2:I291, $B$2:B291, B291)</f>
        <v>0.41249999999999998</v>
      </c>
      <c r="AH291">
        <f>AVERAGEIFS($I$2:J291, $B$2:C291, C291)</f>
        <v>0.54400000000000015</v>
      </c>
      <c r="AI291">
        <f>AVERAGEIFS($D$2:D291, $B$2:B291, B291)</f>
        <v>0.25</v>
      </c>
    </row>
    <row r="292" spans="1:35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>
        <f>AVERAGEIFS($C$2:C292, $B$2:B292, B292)</f>
        <v>11</v>
      </c>
      <c r="AG292">
        <f>AVERAGEIFS($I$2:I292, $B$2:B292, B292)</f>
        <v>0.70000000000000007</v>
      </c>
      <c r="AH292">
        <f>AVERAGEIFS($I$2:J292, $B$2:C292, C292)</f>
        <v>0.51090909090909087</v>
      </c>
      <c r="AI292">
        <f>AVERAGEIFS($D$2:D292, $B$2:B292, B292)</f>
        <v>1</v>
      </c>
    </row>
    <row r="293" spans="1:35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>
        <f>AVERAGEIFS($C$2:C293, $B$2:B293, B293)</f>
        <v>21.411764705882351</v>
      </c>
      <c r="AG293">
        <f>AVERAGEIFS($I$2:I293, $B$2:B293, B293)</f>
        <v>0.4864705882352941</v>
      </c>
      <c r="AH293">
        <f>AVERAGEIFS($I$2:J293, $B$2:C293, C293)</f>
        <v>0.48928571428571427</v>
      </c>
      <c r="AI293">
        <f>AVERAGEIFS($D$2:D293, $B$2:B293, B293)</f>
        <v>0.41176470588235292</v>
      </c>
    </row>
    <row r="294" spans="1:35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>
        <f>AVERAGEIFS($C$2:C294, $B$2:B294, B294)</f>
        <v>24.954545454545453</v>
      </c>
      <c r="AG294">
        <f>AVERAGEIFS($I$2:I294, $B$2:B294, B294)</f>
        <v>0.4872727272727273</v>
      </c>
      <c r="AH294">
        <f>AVERAGEIFS($I$2:J294, $B$2:C294, C294)</f>
        <v>0.52</v>
      </c>
      <c r="AI294">
        <f>AVERAGEIFS($D$2:D294, $B$2:B294, B294)</f>
        <v>0.45454545454545453</v>
      </c>
    </row>
    <row r="295" spans="1:35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>
        <f>AVERAGEIFS($C$2:C295, $B$2:B295, B295)</f>
        <v>13.4</v>
      </c>
      <c r="AG295">
        <f>AVERAGEIFS($I$2:I295, $B$2:B295, B295)</f>
        <v>0.38</v>
      </c>
      <c r="AH295">
        <f>AVERAGEIFS($I$2:J295, $B$2:C295, C295)</f>
        <v>0.57499999999999996</v>
      </c>
      <c r="AI295">
        <f>AVERAGEIFS($D$2:D295, $B$2:B295, B295)</f>
        <v>0.2</v>
      </c>
    </row>
    <row r="296" spans="1:35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>
        <f>AVERAGEIFS($C$2:C296, $B$2:B296, B296)</f>
        <v>15.833333333333334</v>
      </c>
      <c r="AG296">
        <f>AVERAGEIFS($I$2:I296, $B$2:B296, B296)</f>
        <v>0.54999999999999993</v>
      </c>
      <c r="AH296">
        <f>AVERAGEIFS($I$2:J296, $B$2:C296, C296)</f>
        <v>0.5006666666666667</v>
      </c>
      <c r="AI296">
        <f>AVERAGEIFS($D$2:D296, $B$2:B296, B296)</f>
        <v>0.5</v>
      </c>
    </row>
    <row r="297" spans="1:35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>
        <f>AVERAGEIFS($C$2:C297, $B$2:B297, B297)</f>
        <v>14</v>
      </c>
      <c r="AG297">
        <f>AVERAGEIFS($I$2:I297, $B$2:B297, B297)</f>
        <v>0.35833333333333334</v>
      </c>
      <c r="AH297">
        <f>AVERAGEIFS($I$2:J297, $B$2:C297, C297)</f>
        <v>0.49437500000000006</v>
      </c>
      <c r="AI297">
        <f>AVERAGEIFS($D$2:D297, $B$2:B297, B297)</f>
        <v>0.16666666666666666</v>
      </c>
    </row>
    <row r="298" spans="1:35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>
        <f>AVERAGEIFS($C$2:C298, $B$2:B298, B298)</f>
        <v>17.666666666666668</v>
      </c>
      <c r="AG298">
        <f>AVERAGEIFS($I$2:I298, $B$2:B298, B298)</f>
        <v>0.44333333333333341</v>
      </c>
      <c r="AH298">
        <f>AVERAGEIFS($I$2:J298, $B$2:C298, C298)</f>
        <v>0.4933333333333334</v>
      </c>
      <c r="AI298">
        <f>AVERAGEIFS($D$2:D298, $B$2:B298, B298)</f>
        <v>0.4</v>
      </c>
    </row>
    <row r="299" spans="1:35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>
        <f>AVERAGEIFS($C$2:C299, $B$2:B299, B299)</f>
        <v>11.842105263157896</v>
      </c>
      <c r="AG299">
        <f>AVERAGEIFS($I$2:I299, $B$2:B299, B299)</f>
        <v>0.44894736842105271</v>
      </c>
      <c r="AH299">
        <f>AVERAGEIFS($I$2:J299, $B$2:C299, C299)</f>
        <v>0.48874999999999996</v>
      </c>
      <c r="AI299">
        <f>AVERAGEIFS($D$2:D299, $B$2:B299, B299)</f>
        <v>0.36842105263157893</v>
      </c>
    </row>
    <row r="300" spans="1:35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>
        <f>AVERAGEIFS($C$2:C300, $B$2:B300, B300)</f>
        <v>20.149999999999999</v>
      </c>
      <c r="AG300">
        <f>AVERAGEIFS($I$2:I300, $B$2:B300, B300)</f>
        <v>0.50150000000000006</v>
      </c>
      <c r="AH300">
        <f>AVERAGEIFS($I$2:J300, $B$2:C300, C300)</f>
        <v>0.52444444444444438</v>
      </c>
      <c r="AI300">
        <f>AVERAGEIFS($D$2:D300, $B$2:B300, B300)</f>
        <v>0.5</v>
      </c>
    </row>
    <row r="301" spans="1:35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>
        <f>AVERAGEIFS($C$2:C301, $B$2:B301, B301)</f>
        <v>24.176470588235293</v>
      </c>
      <c r="AG301">
        <f>AVERAGEIFS($I$2:I301, $B$2:B301, B301)</f>
        <v>0.49882352941176472</v>
      </c>
      <c r="AH301">
        <f>AVERAGEIFS($I$2:J301, $B$2:C301, C301)</f>
        <v>0.46533333333333338</v>
      </c>
      <c r="AI301">
        <f>AVERAGEIFS($D$2:D301, $B$2:B301, B301)</f>
        <v>0.47058823529411764</v>
      </c>
    </row>
    <row r="302" spans="1:35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>
        <f>AVERAGEIFS($C$2:C302, $B$2:B302, B302)</f>
        <v>29.111111111111111</v>
      </c>
      <c r="AG302">
        <f>AVERAGEIFS($I$2:I302, $B$2:B302, B302)</f>
        <v>0.38333333333333336</v>
      </c>
      <c r="AH302">
        <f>AVERAGEIFS($I$2:J302, $B$2:C302, C302)</f>
        <v>0.55599999999999983</v>
      </c>
      <c r="AI302">
        <f>AVERAGEIFS($D$2:D302, $B$2:B302, B302)</f>
        <v>0.44444444444444442</v>
      </c>
    </row>
    <row r="303" spans="1:35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>
        <f>AVERAGEIFS($C$2:C303, $B$2:B303, B303)</f>
        <v>18.875</v>
      </c>
      <c r="AG303">
        <f>AVERAGEIFS($I$2:I303, $B$2:B303, B303)</f>
        <v>0.48749999999999999</v>
      </c>
      <c r="AH303">
        <f>AVERAGEIFS($I$2:J303, $B$2:C303, C303)</f>
        <v>0.43733333333333341</v>
      </c>
      <c r="AI303">
        <f>AVERAGEIFS($D$2:D303, $B$2:B303, B303)</f>
        <v>0.375</v>
      </c>
    </row>
    <row r="304" spans="1:35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>
        <f>AVERAGEIFS($C$2:C304, $B$2:B304, B304)</f>
        <v>17.428571428571427</v>
      </c>
      <c r="AG304">
        <f>AVERAGEIFS($I$2:I304, $B$2:B304, B304)</f>
        <v>0.47857142857142859</v>
      </c>
      <c r="AH304">
        <f>AVERAGEIFS($I$2:J304, $B$2:C304, C304)</f>
        <v>0.49249999999999999</v>
      </c>
      <c r="AI304">
        <f>AVERAGEIFS($D$2:D304, $B$2:B304, B304)</f>
        <v>0.5714285714285714</v>
      </c>
    </row>
    <row r="305" spans="1:35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>
        <f>AVERAGEIFS($C$2:C305, $B$2:B305, B305)</f>
        <v>14.2</v>
      </c>
      <c r="AG305">
        <f>AVERAGEIFS($I$2:I305, $B$2:B305, B305)</f>
        <v>0.48</v>
      </c>
      <c r="AH305">
        <f>AVERAGEIFS($I$2:J305, $B$2:C305, C305)</f>
        <v>0.501</v>
      </c>
      <c r="AI305">
        <f>AVERAGEIFS($D$2:D305, $B$2:B305, B305)</f>
        <v>0.4</v>
      </c>
    </row>
    <row r="306" spans="1:35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>
        <f>AVERAGEIFS($C$2:C306, $B$2:B306, B306)</f>
        <v>23.3</v>
      </c>
      <c r="AG306">
        <f>AVERAGEIFS($I$2:I306, $B$2:B306, B306)</f>
        <v>0.64399999999999991</v>
      </c>
      <c r="AH306">
        <f>AVERAGEIFS($I$2:J306, $B$2:C306, C306)</f>
        <v>0.50705882352941178</v>
      </c>
      <c r="AI306">
        <f>AVERAGEIFS($D$2:D306, $B$2:B306, B306)</f>
        <v>0.75</v>
      </c>
    </row>
    <row r="307" spans="1:35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>
        <f>AVERAGEIFS($C$2:C307, $B$2:B307, B307)</f>
        <v>25.6</v>
      </c>
      <c r="AG307">
        <f>AVERAGEIFS($I$2:I307, $B$2:B307, B307)</f>
        <v>0.42000000000000004</v>
      </c>
      <c r="AH307">
        <f>AVERAGEIFS($I$2:J307, $B$2:C307, C307)</f>
        <v>0.48062500000000002</v>
      </c>
      <c r="AI307">
        <f>AVERAGEIFS($D$2:D307, $B$2:B307, B307)</f>
        <v>0.3</v>
      </c>
    </row>
    <row r="308" spans="1:35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>
        <f>AVERAGEIFS($C$2:C308, $B$2:B308, B308)</f>
        <v>13.857142857142858</v>
      </c>
      <c r="AG308">
        <f>AVERAGEIFS($I$2:I308, $B$2:B308, B308)</f>
        <v>0.41428571428571426</v>
      </c>
      <c r="AH308">
        <f>AVERAGEIFS($I$2:J308, $B$2:C308, C308)</f>
        <v>0.52533333333333332</v>
      </c>
      <c r="AI308">
        <f>AVERAGEIFS($D$2:D308, $B$2:B308, B308)</f>
        <v>0.2857142857142857</v>
      </c>
    </row>
    <row r="309" spans="1:35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>
        <f>AVERAGEIFS($C$2:C309, $B$2:B309, B309)</f>
        <v>17.6875</v>
      </c>
      <c r="AG309">
        <f>AVERAGEIFS($I$2:I309, $B$2:B309, B309)</f>
        <v>0.46250000000000008</v>
      </c>
      <c r="AH309">
        <f>AVERAGEIFS($I$2:J309, $B$2:C309, C309)</f>
        <v>0.49411764705882355</v>
      </c>
      <c r="AI309">
        <f>AVERAGEIFS($D$2:D309, $B$2:B309, B309)</f>
        <v>0.4375</v>
      </c>
    </row>
    <row r="310" spans="1:35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>
        <f>AVERAGEIFS($C$2:C310, $B$2:B310, B310)</f>
        <v>17.100000000000001</v>
      </c>
      <c r="AG310">
        <f>AVERAGEIFS($I$2:I310, $B$2:B310, B310)</f>
        <v>0.495</v>
      </c>
      <c r="AH310">
        <f>AVERAGEIFS($I$2:J310, $B$2:C310, C310)</f>
        <v>0.4916666666666667</v>
      </c>
      <c r="AI310">
        <f>AVERAGEIFS($D$2:D310, $B$2:B310, B310)</f>
        <v>0.6</v>
      </c>
    </row>
    <row r="311" spans="1:35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>
        <f>AVERAGEIFS($C$2:C311, $B$2:B311, B311)</f>
        <v>17</v>
      </c>
      <c r="AG311">
        <f>AVERAGEIFS($I$2:I311, $B$2:B311, B311)</f>
        <v>0.4936363636363636</v>
      </c>
      <c r="AH311">
        <f>AVERAGEIFS($I$2:J311, $B$2:C311, C311)</f>
        <v>0.55099999999999993</v>
      </c>
      <c r="AI311">
        <f>AVERAGEIFS($D$2:D311, $B$2:B311, B311)</f>
        <v>0.45454545454545453</v>
      </c>
    </row>
    <row r="312" spans="1:35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f>AVERAGEIFS($C$2:C312, $B$2:B312, B312)</f>
        <v>17.875</v>
      </c>
      <c r="AG312">
        <f>AVERAGEIFS($I$2:I312, $B$2:B312, B312)</f>
        <v>0.54374999999999996</v>
      </c>
      <c r="AH312">
        <f>AVERAGEIFS($I$2:J312, $B$2:C312, C312)</f>
        <v>0.58272727272727276</v>
      </c>
      <c r="AI312">
        <f>AVERAGEIFS($D$2:D312, $B$2:B312, B312)</f>
        <v>0.625</v>
      </c>
    </row>
    <row r="313" spans="1:35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f>AVERAGEIFS($C$2:C313, $B$2:B313, B313)</f>
        <v>23.095238095238095</v>
      </c>
      <c r="AG313">
        <f>AVERAGEIFS($I$2:I313, $B$2:B313, B313)</f>
        <v>0.66095238095238096</v>
      </c>
      <c r="AH313">
        <f>AVERAGEIFS($I$2:J313, $B$2:C313, C313)</f>
        <v>0.52181818181818185</v>
      </c>
      <c r="AI313">
        <f>AVERAGEIFS($D$2:D313, $B$2:B313, B313)</f>
        <v>0.76190476190476186</v>
      </c>
    </row>
    <row r="314" spans="1:35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f>AVERAGEIFS($C$2:C314, $B$2:B314, B314)</f>
        <v>16.90909090909091</v>
      </c>
      <c r="AG314">
        <f>AVERAGEIFS($I$2:I314, $B$2:B314, B314)</f>
        <v>0.48818181818181822</v>
      </c>
      <c r="AH314">
        <f>AVERAGEIFS($I$2:J314, $B$2:C314, C314)</f>
        <v>0.52384615384615385</v>
      </c>
      <c r="AI314">
        <f>AVERAGEIFS($D$2:D314, $B$2:B314, B314)</f>
        <v>0.54545454545454541</v>
      </c>
    </row>
    <row r="315" spans="1:35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f>AVERAGEIFS($C$2:C315, $B$2:B315, B315)</f>
        <v>8.5</v>
      </c>
      <c r="AG315">
        <f>AVERAGEIFS($I$2:I315, $B$2:B315, B315)</f>
        <v>0.6875</v>
      </c>
      <c r="AH315">
        <f>AVERAGEIFS($I$2:J315, $B$2:C315, C315)</f>
        <v>0.53727272727272724</v>
      </c>
      <c r="AI315">
        <f>AVERAGEIFS($D$2:D315, $B$2:B315, B315)</f>
        <v>0.75</v>
      </c>
    </row>
    <row r="316" spans="1:35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f>AVERAGEIFS($C$2:C316, $B$2:B316, B316)</f>
        <v>19.666666666666668</v>
      </c>
      <c r="AG316">
        <f>AVERAGEIFS($I$2:I316, $B$2:B316, B316)</f>
        <v>0.52523809523809528</v>
      </c>
      <c r="AH316">
        <f>AVERAGEIFS($I$2:J316, $B$2:C316, C316)</f>
        <v>0.5675</v>
      </c>
      <c r="AI316">
        <f>AVERAGEIFS($D$2:D316, $B$2:B316, B316)</f>
        <v>0.52380952380952384</v>
      </c>
    </row>
    <row r="317" spans="1:35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f>AVERAGEIFS($C$2:C317, $B$2:B317, B317)</f>
        <v>17.888888888888889</v>
      </c>
      <c r="AG317">
        <f>AVERAGEIFS($I$2:I317, $B$2:B317, B317)</f>
        <v>0.54444444444444451</v>
      </c>
      <c r="AH317">
        <f>AVERAGEIFS($I$2:J317, $B$2:C317, C317)</f>
        <v>0.59307692307692317</v>
      </c>
      <c r="AI317">
        <f>AVERAGEIFS($D$2:D317, $B$2:B317, B317)</f>
        <v>0.44444444444444442</v>
      </c>
    </row>
    <row r="318" spans="1:35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f>AVERAGEIFS($C$2:C318, $B$2:B318, B318)</f>
        <v>8.5</v>
      </c>
      <c r="AG318">
        <f>AVERAGEIFS($I$2:I318, $B$2:B318, B318)</f>
        <v>0.6</v>
      </c>
      <c r="AH318">
        <f>AVERAGEIFS($I$2:J318, $B$2:C318, C318)</f>
        <v>0.56499999999999995</v>
      </c>
      <c r="AI318">
        <f>AVERAGEIFS($D$2:D318, $B$2:B318, B318)</f>
        <v>0.5</v>
      </c>
    </row>
    <row r="319" spans="1:35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f>AVERAGEIFS($C$2:C319, $B$2:B319, B319)</f>
        <v>21.055555555555557</v>
      </c>
      <c r="AG319">
        <f>AVERAGEIFS($I$2:I319, $B$2:B319, B319)</f>
        <v>0.45944444444444443</v>
      </c>
      <c r="AH319">
        <f>AVERAGEIFS($I$2:J319, $B$2:C319, C319)</f>
        <v>0.45400000000000001</v>
      </c>
      <c r="AI319">
        <f>AVERAGEIFS($D$2:D319, $B$2:B319, B319)</f>
        <v>0.3888888888888889</v>
      </c>
    </row>
    <row r="320" spans="1:35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f>AVERAGEIFS($C$2:C320, $B$2:B320, B320)</f>
        <v>27.5</v>
      </c>
      <c r="AG320">
        <f>AVERAGEIFS($I$2:I320, $B$2:B320, B320)</f>
        <v>0.34500000000000003</v>
      </c>
      <c r="AH320">
        <f>AVERAGEIFS($I$2:J320, $B$2:C320, C320)</f>
        <v>0.49874999999999992</v>
      </c>
      <c r="AI320">
        <f>AVERAGEIFS($D$2:D320, $B$2:B320, B320)</f>
        <v>0.4</v>
      </c>
    </row>
    <row r="321" spans="1:35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f>AVERAGEIFS($C$2:C321, $B$2:B321, B321)</f>
        <v>16.416666666666668</v>
      </c>
      <c r="AG321">
        <f>AVERAGEIFS($I$2:I321, $B$2:B321, B321)</f>
        <v>0.45249999999999996</v>
      </c>
      <c r="AH321">
        <f>AVERAGEIFS($I$2:J321, $B$2:C321, C321)</f>
        <v>0.55785714285714294</v>
      </c>
      <c r="AI321">
        <f>AVERAGEIFS($D$2:D321, $B$2:B321, B321)</f>
        <v>0.41666666666666669</v>
      </c>
    </row>
    <row r="322" spans="1:35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f>AVERAGEIFS($C$2:C322, $B$2:B322, B322)</f>
        <v>17.176470588235293</v>
      </c>
      <c r="AG322">
        <f>AVERAGEIFS($I$2:I322, $B$2:B322, B322)</f>
        <v>0.43529411764705889</v>
      </c>
      <c r="AH322">
        <f>AVERAGEIFS($I$2:J322, $B$2:C322, C322)</f>
        <v>0.40199999999999997</v>
      </c>
      <c r="AI322">
        <f>AVERAGEIFS($D$2:D322, $B$2:B322, B322)</f>
        <v>0.41176470588235292</v>
      </c>
    </row>
    <row r="323" spans="1:35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f>AVERAGEIFS($C$2:C323, $B$2:B323, B323)</f>
        <v>11.65</v>
      </c>
      <c r="AG323">
        <f>AVERAGEIFS($I$2:I323, $B$2:B323, B323)</f>
        <v>0.42650000000000005</v>
      </c>
      <c r="AH323">
        <f>AVERAGEIFS($I$2:J323, $B$2:C323, C323)</f>
        <v>0.44555555555555554</v>
      </c>
      <c r="AI323">
        <f>AVERAGEIFS($D$2:D323, $B$2:B323, B323)</f>
        <v>0.35</v>
      </c>
    </row>
    <row r="324" spans="1:35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f>AVERAGEIFS($C$2:C324, $B$2:B324, B324)</f>
        <v>16.09090909090909</v>
      </c>
      <c r="AG324">
        <f>AVERAGEIFS($I$2:I324, $B$2:B324, B324)</f>
        <v>0.45</v>
      </c>
      <c r="AH324">
        <f>AVERAGEIFS($I$2:J324, $B$2:C324, C324)</f>
        <v>0.5133333333333332</v>
      </c>
      <c r="AI324">
        <f>AVERAGEIFS($D$2:D324, $B$2:B324, B324)</f>
        <v>0.54545454545454541</v>
      </c>
    </row>
    <row r="325" spans="1:35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f>AVERAGEIFS($C$2:C325, $B$2:B325, B325)</f>
        <v>4</v>
      </c>
      <c r="AG325">
        <f>AVERAGEIFS($I$2:I325, $B$2:B325, B325)</f>
        <v>0</v>
      </c>
      <c r="AH325">
        <f>AVERAGEIFS($I$2:J325, $B$2:C325, C325)</f>
        <v>0.31</v>
      </c>
      <c r="AI325">
        <f>AVERAGEIFS($D$2:D325, $B$2:B325, B325)</f>
        <v>0</v>
      </c>
    </row>
    <row r="326" spans="1:35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>
        <f>AVERAGEIFS($C$2:C326, $B$2:B326, B326)</f>
        <v>23</v>
      </c>
      <c r="AG326">
        <f>AVERAGEIFS($I$2:I326, $B$2:B326, B326)</f>
        <v>0.66499999999999992</v>
      </c>
      <c r="AH326">
        <f>AVERAGEIFS($I$2:J326, $B$2:C326, C326)</f>
        <v>0.58416666666666661</v>
      </c>
      <c r="AI326">
        <f>AVERAGEIFS($D$2:D326, $B$2:B326, B326)</f>
        <v>0.77272727272727271</v>
      </c>
    </row>
    <row r="327" spans="1:35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>
        <f>AVERAGEIFS($C$2:C327, $B$2:B327, B327)</f>
        <v>19.681818181818183</v>
      </c>
      <c r="AG327">
        <f>AVERAGEIFS($I$2:I327, $B$2:B327, B327)</f>
        <v>0.53545454545454552</v>
      </c>
      <c r="AH327">
        <f>AVERAGEIFS($I$2:J327, $B$2:C327, C327)</f>
        <v>0.48166666666666652</v>
      </c>
      <c r="AI327">
        <f>AVERAGEIFS($D$2:D327, $B$2:B327, B327)</f>
        <v>0.54545454545454541</v>
      </c>
    </row>
    <row r="328" spans="1:35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f>AVERAGEIFS($C$2:C328, $B$2:B328, B328)</f>
        <v>17.277777777777779</v>
      </c>
      <c r="AG328">
        <f>AVERAGEIFS($I$2:I328, $B$2:B328, B328)</f>
        <v>0.45277777777777789</v>
      </c>
      <c r="AH328">
        <f>AVERAGEIFS($I$2:J328, $B$2:C328, C328)</f>
        <v>0.52833333333333332</v>
      </c>
      <c r="AI328">
        <f>AVERAGEIFS($D$2:D328, $B$2:B328, B328)</f>
        <v>0.44444444444444442</v>
      </c>
    </row>
    <row r="329" spans="1:35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f>AVERAGEIFS($C$2:C329, $B$2:B329, B329)</f>
        <v>12.6</v>
      </c>
      <c r="AG329">
        <f>AVERAGEIFS($I$2:I329, $B$2:B329, B329)</f>
        <v>0.71000000000000008</v>
      </c>
      <c r="AH329">
        <f>AVERAGEIFS($I$2:J329, $B$2:C329, C329)</f>
        <v>0.53384615384615386</v>
      </c>
      <c r="AI329">
        <f>AVERAGEIFS($D$2:D329, $B$2:B329, B329)</f>
        <v>1</v>
      </c>
    </row>
    <row r="330" spans="1:35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f>AVERAGEIFS($C$2:C330, $B$2:B330, B330)</f>
        <v>16.142857142857142</v>
      </c>
      <c r="AG330">
        <f>AVERAGEIFS($I$2:I330, $B$2:B330, B330)</f>
        <v>0.57857142857142851</v>
      </c>
      <c r="AH330">
        <f>AVERAGEIFS($I$2:J330, $B$2:C330, C330)</f>
        <v>0.5</v>
      </c>
      <c r="AI330">
        <f>AVERAGEIFS($D$2:D330, $B$2:B330, B330)</f>
        <v>0.5714285714285714</v>
      </c>
    </row>
    <row r="331" spans="1:35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f>AVERAGEIFS($C$2:C331, $B$2:B331, B331)</f>
        <v>17.8</v>
      </c>
      <c r="AG331">
        <f>AVERAGEIFS($I$2:I331, $B$2:B331, B331)</f>
        <v>0.56500000000000006</v>
      </c>
      <c r="AH331">
        <f>AVERAGEIFS($I$2:J331, $B$2:C331, C331)</f>
        <v>0.44750000000000006</v>
      </c>
      <c r="AI331">
        <f>AVERAGEIFS($D$2:D331, $B$2:B331, B331)</f>
        <v>0.5</v>
      </c>
    </row>
    <row r="332" spans="1:35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f>AVERAGEIFS($C$2:C332, $B$2:B332, B332)</f>
        <v>25.727272727272727</v>
      </c>
      <c r="AG332">
        <f>AVERAGEIFS($I$2:I332, $B$2:B332, B332)</f>
        <v>0.40454545454545454</v>
      </c>
      <c r="AH332">
        <f>AVERAGEIFS($I$2:J332, $B$2:C332, C332)</f>
        <v>0.46875</v>
      </c>
      <c r="AI332">
        <f>AVERAGEIFS($D$2:D332, $B$2:B332, B332)</f>
        <v>0.27272727272727271</v>
      </c>
    </row>
    <row r="333" spans="1:35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f>AVERAGEIFS($C$2:C333, $B$2:B333, B333)</f>
        <v>18.333333333333332</v>
      </c>
      <c r="AG333">
        <f>AVERAGEIFS($I$2:I333, $B$2:B333, B333)</f>
        <v>0.6166666666666667</v>
      </c>
      <c r="AH333">
        <f>AVERAGEIFS($I$2:J333, $B$2:C333, C333)</f>
        <v>0.44470588235294128</v>
      </c>
      <c r="AI333">
        <f>AVERAGEIFS($D$2:D333, $B$2:B333, B333)</f>
        <v>0.66666666666666663</v>
      </c>
    </row>
    <row r="334" spans="1:35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f>AVERAGEIFS($C$2:C334, $B$2:B334, B334)</f>
        <v>16.46153846153846</v>
      </c>
      <c r="AG334">
        <f>AVERAGEIFS($I$2:I334, $B$2:B334, B334)</f>
        <v>0.43692307692307691</v>
      </c>
      <c r="AH334">
        <f>AVERAGEIFS($I$2:J334, $B$2:C334, C334)</f>
        <v>0.44222222222222229</v>
      </c>
      <c r="AI334">
        <f>AVERAGEIFS($D$2:D334, $B$2:B334, B334)</f>
        <v>0.38461538461538464</v>
      </c>
    </row>
    <row r="335" spans="1:35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f>AVERAGEIFS($C$2:C335, $B$2:B335, B335)</f>
        <v>16.083333333333332</v>
      </c>
      <c r="AG335">
        <f>AVERAGEIFS($I$2:I335, $B$2:B335, B335)</f>
        <v>0.43333333333333335</v>
      </c>
      <c r="AH335">
        <f>AVERAGEIFS($I$2:J335, $B$2:C335, C335)</f>
        <v>0.50111111111111117</v>
      </c>
      <c r="AI335">
        <f>AVERAGEIFS($D$2:D335, $B$2:B335, B335)</f>
        <v>0.5</v>
      </c>
    </row>
    <row r="336" spans="1:35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f>AVERAGEIFS($C$2:C336, $B$2:B336, B336)</f>
        <v>16.666666666666668</v>
      </c>
      <c r="AG336">
        <f>AVERAGEIFS($I$2:I336, $B$2:B336, B336)</f>
        <v>0.46833333333333332</v>
      </c>
      <c r="AH336">
        <f>AVERAGEIFS($I$2:J336, $B$2:C336, C336)</f>
        <v>0.48000000000000004</v>
      </c>
      <c r="AI336">
        <f>AVERAGEIFS($D$2:D336, $B$2:B336, B336)</f>
        <v>0.5</v>
      </c>
    </row>
    <row r="337" spans="1:35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f>AVERAGEIFS($C$2:C337, $B$2:B337, B337)</f>
        <v>13</v>
      </c>
      <c r="AG337">
        <f>AVERAGEIFS($I$2:I337, $B$2:B337, B337)</f>
        <v>0.35833333333333334</v>
      </c>
      <c r="AH337">
        <f>AVERAGEIFS($I$2:J337, $B$2:C337, C337)</f>
        <v>0.51500000000000001</v>
      </c>
      <c r="AI337">
        <f>AVERAGEIFS($D$2:D337, $B$2:B337, B337)</f>
        <v>0.16666666666666666</v>
      </c>
    </row>
    <row r="338" spans="1:35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>
        <f>AVERAGEIFS($C$2:C338, $B$2:B338, B338)</f>
        <v>29.545454545454547</v>
      </c>
      <c r="AG338">
        <f>AVERAGEIFS($I$2:I338, $B$2:B338, B338)</f>
        <v>0.38181818181818183</v>
      </c>
      <c r="AH338">
        <f>AVERAGEIFS($I$2:J338, $B$2:C338, C338)</f>
        <v>0.57999999999999996</v>
      </c>
      <c r="AI338">
        <f>AVERAGEIFS($D$2:D338, $B$2:B338, B338)</f>
        <v>0.45454545454545453</v>
      </c>
    </row>
    <row r="339" spans="1:35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>
        <f>AVERAGEIFS($C$2:C339, $B$2:B339, B339)</f>
        <v>24.869565217391305</v>
      </c>
      <c r="AG339">
        <f>AVERAGEIFS($I$2:I339, $B$2:B339, B339)</f>
        <v>0.4986956521739131</v>
      </c>
      <c r="AH339">
        <f>AVERAGEIFS($I$2:J339, $B$2:C339, C339)</f>
        <v>0.55749999999999988</v>
      </c>
      <c r="AI339">
        <f>AVERAGEIFS($D$2:D339, $B$2:B339, B339)</f>
        <v>0.47826086956521741</v>
      </c>
    </row>
    <row r="340" spans="1:35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>
        <f>AVERAGEIFS($C$2:C340, $B$2:B340, B340)</f>
        <v>12.333333333333334</v>
      </c>
      <c r="AG340">
        <f>AVERAGEIFS($I$2:I340, $B$2:B340, B340)</f>
        <v>0.53333333333333333</v>
      </c>
      <c r="AH340">
        <f>AVERAGEIFS($I$2:J340, $B$2:C340, C340)</f>
        <v>0.50421052631578944</v>
      </c>
      <c r="AI340">
        <f>AVERAGEIFS($D$2:D340, $B$2:B340, B340)</f>
        <v>0.66666666666666663</v>
      </c>
    </row>
    <row r="341" spans="1:35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>
        <f>AVERAGEIFS($C$2:C341, $B$2:B341, B341)</f>
        <v>19.857142857142858</v>
      </c>
      <c r="AG341">
        <f>AVERAGEIFS($I$2:I341, $B$2:B341, B341)</f>
        <v>0.49285714285714283</v>
      </c>
      <c r="AH341">
        <f>AVERAGEIFS($I$2:J341, $B$2:C341, C341)</f>
        <v>0.50800000000000001</v>
      </c>
      <c r="AI341">
        <f>AVERAGEIFS($D$2:D341, $B$2:B341, B341)</f>
        <v>0.42857142857142855</v>
      </c>
    </row>
    <row r="342" spans="1:35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>
        <f>AVERAGEIFS($C$2:C342, $B$2:B342, B342)</f>
        <v>19.608695652173914</v>
      </c>
      <c r="AG342">
        <f>AVERAGEIFS($I$2:I342, $B$2:B342, B342)</f>
        <v>0.5447826086956522</v>
      </c>
      <c r="AH342">
        <f>AVERAGEIFS($I$2:J342, $B$2:C342, C342)</f>
        <v>0.51142857142857145</v>
      </c>
      <c r="AI342">
        <f>AVERAGEIFS($D$2:D342, $B$2:B342, B342)</f>
        <v>0.56521739130434778</v>
      </c>
    </row>
    <row r="343" spans="1:35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>
        <f>AVERAGEIFS($C$2:C343, $B$2:B343, B343)</f>
        <v>17.555555555555557</v>
      </c>
      <c r="AG343">
        <f>AVERAGEIFS($I$2:I343, $B$2:B343, B343)</f>
        <v>0.56666666666666665</v>
      </c>
      <c r="AH343">
        <f>AVERAGEIFS($I$2:J343, $B$2:C343, C343)</f>
        <v>0.46545454545454545</v>
      </c>
      <c r="AI343">
        <f>AVERAGEIFS($D$2:D343, $B$2:B343, B343)</f>
        <v>0.66666666666666663</v>
      </c>
    </row>
    <row r="344" spans="1:35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f>AVERAGEIFS($C$2:C344, $B$2:B344, B344)</f>
        <v>24.388888888888889</v>
      </c>
      <c r="AG344">
        <f>AVERAGEIFS($I$2:I344, $B$2:B344, B344)</f>
        <v>0.48500000000000004</v>
      </c>
      <c r="AH344">
        <f>AVERAGEIFS($I$2:J344, $B$2:C344, C344)</f>
        <v>0.48142857142857143</v>
      </c>
      <c r="AI344">
        <f>AVERAGEIFS($D$2:D344, $B$2:B344, B344)</f>
        <v>0.44444444444444442</v>
      </c>
    </row>
    <row r="345" spans="1:35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f>AVERAGEIFS($C$2:C345, $B$2:B345, B345)</f>
        <v>17.684210526315791</v>
      </c>
      <c r="AG345">
        <f>AVERAGEIFS($I$2:I345, $B$2:B345, B345)</f>
        <v>0.44210526315789483</v>
      </c>
      <c r="AH345">
        <f>AVERAGEIFS($I$2:J345, $B$2:C345, C345)</f>
        <v>0.48466666666666663</v>
      </c>
      <c r="AI345">
        <f>AVERAGEIFS($D$2:D345, $B$2:B345, B345)</f>
        <v>0.42105263157894735</v>
      </c>
    </row>
    <row r="346" spans="1:35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f>AVERAGEIFS($C$2:C346, $B$2:B346, B346)</f>
        <v>22.956521739130434</v>
      </c>
      <c r="AG346">
        <f>AVERAGEIFS($I$2:I346, $B$2:B346, B346)</f>
        <v>0.64695652173913043</v>
      </c>
      <c r="AH346">
        <f>AVERAGEIFS($I$2:J346, $B$2:C346, C346)</f>
        <v>0.52214285714285713</v>
      </c>
      <c r="AI346">
        <f>AVERAGEIFS($D$2:D346, $B$2:B346, B346)</f>
        <v>0.73913043478260865</v>
      </c>
    </row>
    <row r="347" spans="1:35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f>AVERAGEIFS($C$2:C347, $B$2:B347, B347)</f>
        <v>16.46153846153846</v>
      </c>
      <c r="AG347">
        <f>AVERAGEIFS($I$2:I347, $B$2:B347, B347)</f>
        <v>0.41923076923076924</v>
      </c>
      <c r="AH347">
        <f>AVERAGEIFS($I$2:J347, $B$2:C347, C347)</f>
        <v>0.57153846153846155</v>
      </c>
      <c r="AI347">
        <f>AVERAGEIFS($D$2:D347, $B$2:B347, B347)</f>
        <v>0.46153846153846156</v>
      </c>
    </row>
    <row r="348" spans="1:35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f>AVERAGEIFS($C$2:C348, $B$2:B348, B348)</f>
        <v>16.428571428571427</v>
      </c>
      <c r="AG348">
        <f>AVERAGEIFS($I$2:I348, $B$2:B348, B348)</f>
        <v>0.42357142857142854</v>
      </c>
      <c r="AH348">
        <f>AVERAGEIFS($I$2:J348, $B$2:C348, C348)</f>
        <v>0.49684210526315797</v>
      </c>
      <c r="AI348">
        <f>AVERAGEIFS($D$2:D348, $B$2:B348, B348)</f>
        <v>0.35714285714285715</v>
      </c>
    </row>
    <row r="349" spans="1:35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f>AVERAGEIFS($C$2:C349, $B$2:B349, B349)</f>
        <v>13.5</v>
      </c>
      <c r="AG349">
        <f>AVERAGEIFS($I$2:I349, $B$2:B349, B349)</f>
        <v>0.39374999999999999</v>
      </c>
      <c r="AH349">
        <f>AVERAGEIFS($I$2:J349, $B$2:C349, C349)</f>
        <v>0.50866666666666671</v>
      </c>
      <c r="AI349">
        <f>AVERAGEIFS($D$2:D349, $B$2:B349, B349)</f>
        <v>0.25</v>
      </c>
    </row>
    <row r="350" spans="1:35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f>AVERAGEIFS($C$2:C350, $B$2:B350, B350)</f>
        <v>23.083333333333332</v>
      </c>
      <c r="AG350">
        <f>AVERAGEIFS($I$2:I350, $B$2:B350, B350)</f>
        <v>0.65125</v>
      </c>
      <c r="AH350">
        <f>AVERAGEIFS($I$2:J350, $B$2:C350, C350)</f>
        <v>0.59250000000000003</v>
      </c>
      <c r="AI350">
        <f>AVERAGEIFS($D$2:D350, $B$2:B350, B350)</f>
        <v>0.75</v>
      </c>
    </row>
    <row r="351" spans="1:35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f>AVERAGEIFS($C$2:C351, $B$2:B351, B351)</f>
        <v>17.850000000000001</v>
      </c>
      <c r="AG351">
        <f>AVERAGEIFS($I$2:I351, $B$2:B351, B351)</f>
        <v>0.45750000000000013</v>
      </c>
      <c r="AH351">
        <f>AVERAGEIFS($I$2:J351, $B$2:C351, C351)</f>
        <v>0.58285714285714285</v>
      </c>
      <c r="AI351">
        <f>AVERAGEIFS($D$2:D351, $B$2:B351, B351)</f>
        <v>0.45</v>
      </c>
    </row>
    <row r="352" spans="1:35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f>AVERAGEIFS($C$2:C352, $B$2:B352, B352)</f>
        <v>20.625</v>
      </c>
      <c r="AG352">
        <f>AVERAGEIFS($I$2:I352, $B$2:B352, B352)</f>
        <v>0.59624999999999995</v>
      </c>
      <c r="AH352">
        <f>AVERAGEIFS($I$2:J352, $B$2:C352, C352)</f>
        <v>0.45736842105263165</v>
      </c>
      <c r="AI352">
        <f>AVERAGEIFS($D$2:D352, $B$2:B352, B352)</f>
        <v>0.75</v>
      </c>
    </row>
    <row r="353" spans="1:35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>
        <f>AVERAGEIFS($C$2:C353, $B$2:B353, B353)</f>
        <v>17.5</v>
      </c>
      <c r="AG353">
        <f>AVERAGEIFS($I$2:I353, $B$2:B353, B353)</f>
        <v>0.58499999999999996</v>
      </c>
      <c r="AH353">
        <f>AVERAGEIFS($I$2:J353, $B$2:C353, C353)</f>
        <v>0.47100000000000009</v>
      </c>
      <c r="AI353">
        <f>AVERAGEIFS($D$2:D353, $B$2:B353, B353)</f>
        <v>0.7</v>
      </c>
    </row>
    <row r="354" spans="1:35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>
        <f>AVERAGEIFS($C$2:C354, $B$2:B354, B354)</f>
        <v>12.571428571428571</v>
      </c>
      <c r="AG354">
        <f>AVERAGEIFS($I$2:I354, $B$2:B354, B354)</f>
        <v>0.41428571428571426</v>
      </c>
      <c r="AH354">
        <f>AVERAGEIFS($I$2:J354, $B$2:C354, C354)</f>
        <v>0.56933333333333336</v>
      </c>
      <c r="AI354">
        <f>AVERAGEIFS($D$2:D354, $B$2:B354, B354)</f>
        <v>0.2857142857142857</v>
      </c>
    </row>
    <row r="355" spans="1:35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f>AVERAGEIFS($C$2:C355, $B$2:B355, B355)</f>
        <v>16.642857142857142</v>
      </c>
      <c r="AG355">
        <f>AVERAGEIFS($I$2:I355, $B$2:B355, B355)</f>
        <v>0.40714285714285714</v>
      </c>
      <c r="AH355">
        <f>AVERAGEIFS($I$2:J355, $B$2:C355, C355)</f>
        <v>0.5149999999999999</v>
      </c>
      <c r="AI355">
        <f>AVERAGEIFS($D$2:D355, $B$2:B355, B355)</f>
        <v>0.42857142857142855</v>
      </c>
    </row>
    <row r="356" spans="1:35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f>AVERAGEIFS($C$2:C356, $B$2:B356, B356)</f>
        <v>19.8</v>
      </c>
      <c r="AG356">
        <f>AVERAGEIFS($I$2:I356, $B$2:B356, B356)</f>
        <v>0.47666666666666663</v>
      </c>
      <c r="AH356">
        <f>AVERAGEIFS($I$2:J356, $B$2:C356, C356)</f>
        <v>0.49866666666666659</v>
      </c>
      <c r="AI356">
        <f>AVERAGEIFS($D$2:D356, $B$2:B356, B356)</f>
        <v>0.4</v>
      </c>
    </row>
    <row r="357" spans="1:35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f>AVERAGEIFS($C$2:C357, $B$2:B357, B357)</f>
        <v>24.416666666666668</v>
      </c>
      <c r="AG357">
        <f>AVERAGEIFS($I$2:I357, $B$2:B357, B357)</f>
        <v>0.48833333333333334</v>
      </c>
      <c r="AH357">
        <f>AVERAGEIFS($I$2:J357, $B$2:C357, C357)</f>
        <v>0.46384615384615391</v>
      </c>
      <c r="AI357">
        <f>AVERAGEIFS($D$2:D357, $B$2:B357, B357)</f>
        <v>0.45833333333333331</v>
      </c>
    </row>
    <row r="358" spans="1:35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f>AVERAGEIFS($C$2:C358, $B$2:B358, B358)</f>
        <v>11.571428571428571</v>
      </c>
      <c r="AG358">
        <f>AVERAGEIFS($I$2:I358, $B$2:B358, B358)</f>
        <v>0.41809523809523813</v>
      </c>
      <c r="AH358">
        <f>AVERAGEIFS($I$2:J358, $B$2:C358, C358)</f>
        <v>0.55062500000000003</v>
      </c>
      <c r="AI358">
        <f>AVERAGEIFS($D$2:D358, $B$2:B358, B358)</f>
        <v>0.33333333333333331</v>
      </c>
    </row>
    <row r="359" spans="1:35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f>AVERAGEIFS($C$2:C359, $B$2:B359, B359)</f>
        <v>8.5</v>
      </c>
      <c r="AG359">
        <f>AVERAGEIFS($I$2:I359, $B$2:B359, B359)</f>
        <v>0.32500000000000001</v>
      </c>
      <c r="AH359">
        <f>AVERAGEIFS($I$2:J359, $B$2:C359, C359)</f>
        <v>0.42799999999999994</v>
      </c>
      <c r="AI359">
        <f>AVERAGEIFS($D$2:D359, $B$2:B359, B359)</f>
        <v>0</v>
      </c>
    </row>
    <row r="360" spans="1:35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>
        <f>AVERAGEIFS($C$2:C360, $B$2:B360, B360)</f>
        <v>24.84</v>
      </c>
      <c r="AG360">
        <f>AVERAGEIFS($I$2:I360, $B$2:B360, B360)</f>
        <v>0.49880000000000002</v>
      </c>
      <c r="AH360">
        <f>AVERAGEIFS($I$2:J360, $B$2:C360, C360)</f>
        <v>0.55333333333333334</v>
      </c>
      <c r="AI360">
        <f>AVERAGEIFS($D$2:D360, $B$2:B360, B360)</f>
        <v>0.48</v>
      </c>
    </row>
    <row r="361" spans="1:35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>
        <f>AVERAGEIFS($C$2:C361, $B$2:B361, B361)</f>
        <v>18.363636363636363</v>
      </c>
      <c r="AG361">
        <f>AVERAGEIFS($I$2:I361, $B$2:B361, B361)</f>
        <v>0.6</v>
      </c>
      <c r="AH361">
        <f>AVERAGEIFS($I$2:J361, $B$2:C361, C361)</f>
        <v>0.48222222222222222</v>
      </c>
      <c r="AI361">
        <f>AVERAGEIFS($D$2:D361, $B$2:B361, B361)</f>
        <v>0.72727272727272729</v>
      </c>
    </row>
    <row r="362" spans="1:35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>
        <f>AVERAGEIFS($C$2:C362, $B$2:B362, B362)</f>
        <v>23.2</v>
      </c>
      <c r="AG362">
        <f>AVERAGEIFS($I$2:I362, $B$2:B362, B362)</f>
        <v>0.6552</v>
      </c>
      <c r="AH362">
        <f>AVERAGEIFS($I$2:J362, $B$2:C362, C362)</f>
        <v>0.59199999999999997</v>
      </c>
      <c r="AI362">
        <f>AVERAGEIFS($D$2:D362, $B$2:B362, B362)</f>
        <v>0.76</v>
      </c>
    </row>
    <row r="363" spans="1:35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>
        <f>AVERAGEIFS($C$2:C363, $B$2:B363, B363)</f>
        <v>20.888888888888889</v>
      </c>
      <c r="AG363">
        <f>AVERAGEIFS($I$2:I363, $B$2:B363, B363)</f>
        <v>0.61333333333333329</v>
      </c>
      <c r="AH363">
        <f>AVERAGEIFS($I$2:J363, $B$2:C363, C363)</f>
        <v>0.55941176470588228</v>
      </c>
      <c r="AI363">
        <f>AVERAGEIFS($D$2:D363, $B$2:B363, B363)</f>
        <v>0.77777777777777779</v>
      </c>
    </row>
    <row r="364" spans="1:35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>
        <f>AVERAGEIFS($C$2:C364, $B$2:B364, B364)</f>
        <v>13.625</v>
      </c>
      <c r="AG364">
        <f>AVERAGEIFS($I$2:I364, $B$2:B364, B364)</f>
        <v>0.45624999999999999</v>
      </c>
      <c r="AH364">
        <f>AVERAGEIFS($I$2:J364, $B$2:C364, C364)</f>
        <v>0.58333333333333337</v>
      </c>
      <c r="AI364">
        <f>AVERAGEIFS($D$2:D364, $B$2:B364, B364)</f>
        <v>0.375</v>
      </c>
    </row>
    <row r="365" spans="1:35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f>AVERAGEIFS($C$2:C365, $B$2:B365, B365)</f>
        <v>19.8125</v>
      </c>
      <c r="AG365">
        <f>AVERAGEIFS($I$2:I365, $B$2:B365, B365)</f>
        <v>0.49374999999999997</v>
      </c>
      <c r="AH365">
        <f>AVERAGEIFS($I$2:J365, $B$2:C365, C365)</f>
        <v>0.48999999999999988</v>
      </c>
      <c r="AI365">
        <f>AVERAGEIFS($D$2:D365, $B$2:B365, B365)</f>
        <v>0.4375</v>
      </c>
    </row>
    <row r="366" spans="1:35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f>AVERAGEIFS($C$2:C366, $B$2:B366, B366)</f>
        <v>14</v>
      </c>
      <c r="AG366">
        <f>AVERAGEIFS($I$2:I366, $B$2:B366, B366)</f>
        <v>0.58750000000000002</v>
      </c>
      <c r="AH366">
        <f>AVERAGEIFS($I$2:J366, $B$2:C366, C366)</f>
        <v>0.50437499999999991</v>
      </c>
      <c r="AI366">
        <f>AVERAGEIFS($D$2:D366, $B$2:B366, B366)</f>
        <v>0.75</v>
      </c>
    </row>
    <row r="367" spans="1:35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f>AVERAGEIFS($C$2:C367, $B$2:B367, B367)</f>
        <v>11.772727272727273</v>
      </c>
      <c r="AG367">
        <f>AVERAGEIFS($I$2:I367, $B$2:B367, B367)</f>
        <v>0.43318181818181822</v>
      </c>
      <c r="AH367">
        <f>AVERAGEIFS($I$2:J367, $B$2:C367, C367)</f>
        <v>0.50150000000000006</v>
      </c>
      <c r="AI367">
        <f>AVERAGEIFS($D$2:D367, $B$2:B367, B367)</f>
        <v>0.36363636363636365</v>
      </c>
    </row>
    <row r="368" spans="1:35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f>AVERAGEIFS($C$2:C368, $B$2:B368, B368)</f>
        <v>17.8</v>
      </c>
      <c r="AG368">
        <f>AVERAGEIFS($I$2:I368, $B$2:B368, B368)</f>
        <v>0.39666666666666667</v>
      </c>
      <c r="AH368">
        <f>AVERAGEIFS($I$2:J368, $B$2:C368, C368)</f>
        <v>0.50750000000000006</v>
      </c>
      <c r="AI368">
        <f>AVERAGEIFS($D$2:D368, $B$2:B368, B368)</f>
        <v>0.4</v>
      </c>
    </row>
    <row r="369" spans="1:35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f>AVERAGEIFS($C$2:C369, $B$2:B369, B369)</f>
        <v>24.631578947368421</v>
      </c>
      <c r="AG369">
        <f>AVERAGEIFS($I$2:I369, $B$2:B369, B369)</f>
        <v>0.47263157894736846</v>
      </c>
      <c r="AH369">
        <f>AVERAGEIFS($I$2:J369, $B$2:C369, C369)</f>
        <v>0.54166666666666674</v>
      </c>
      <c r="AI369">
        <f>AVERAGEIFS($D$2:D369, $B$2:B369, B369)</f>
        <v>0.42105263157894735</v>
      </c>
    </row>
    <row r="370" spans="1:35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f>AVERAGEIFS($C$2:C370, $B$2:B370, B370)</f>
        <v>25.666666666666668</v>
      </c>
      <c r="AG370">
        <f>AVERAGEIFS($I$2:I370, $B$2:B370, B370)</f>
        <v>0.39166666666666666</v>
      </c>
      <c r="AH370">
        <f>AVERAGEIFS($I$2:J370, $B$2:C370, C370)</f>
        <v>0.48</v>
      </c>
      <c r="AI370">
        <f>AVERAGEIFS($D$2:D370, $B$2:B370, B370)</f>
        <v>0.25</v>
      </c>
    </row>
    <row r="371" spans="1:35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f>AVERAGEIFS($C$2:C371, $B$2:B371, B371)</f>
        <v>21.157894736842106</v>
      </c>
      <c r="AG371">
        <f>AVERAGEIFS($I$2:I371, $B$2:B371, B371)</f>
        <v>0.44842105263157894</v>
      </c>
      <c r="AH371">
        <f>AVERAGEIFS($I$2:J371, $B$2:C371, C371)</f>
        <v>0.551111111111111</v>
      </c>
      <c r="AI371">
        <f>AVERAGEIFS($D$2:D371, $B$2:B371, B371)</f>
        <v>0.36842105263157893</v>
      </c>
    </row>
    <row r="372" spans="1:35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f>AVERAGEIFS($C$2:C372, $B$2:B372, B372)</f>
        <v>16.5</v>
      </c>
      <c r="AG372">
        <f>AVERAGEIFS($I$2:I372, $B$2:B372, B372)</f>
        <v>0.53749999999999998</v>
      </c>
      <c r="AH372">
        <f>AVERAGEIFS($I$2:J372, $B$2:C372, C372)</f>
        <v>0.49882352941176461</v>
      </c>
      <c r="AI372">
        <f>AVERAGEIFS($D$2:D372, $B$2:B372, B372)</f>
        <v>0.5</v>
      </c>
    </row>
    <row r="373" spans="1:35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f>AVERAGEIFS($C$2:C373, $B$2:B373, B373)</f>
        <v>16.533333333333335</v>
      </c>
      <c r="AG373">
        <f>AVERAGEIFS($I$2:I373, $B$2:B373, B373)</f>
        <v>0.41199999999999998</v>
      </c>
      <c r="AH373">
        <f>AVERAGEIFS($I$2:J373, $B$2:C373, C373)</f>
        <v>0.50681818181818183</v>
      </c>
      <c r="AI373">
        <f>AVERAGEIFS($D$2:D373, $B$2:B373, B373)</f>
        <v>0.33333333333333331</v>
      </c>
    </row>
    <row r="374" spans="1:35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f>AVERAGEIFS($C$2:C374, $B$2:B374, B374)</f>
        <v>17.857142857142858</v>
      </c>
      <c r="AG374">
        <f>AVERAGEIFS($I$2:I374, $B$2:B374, B374)</f>
        <v>0.44761904761904769</v>
      </c>
      <c r="AH374">
        <f>AVERAGEIFS($I$2:J374, $B$2:C374, C374)</f>
        <v>0.50260869565217392</v>
      </c>
      <c r="AI374">
        <f>AVERAGEIFS($D$2:D374, $B$2:B374, B374)</f>
        <v>0.42857142857142855</v>
      </c>
    </row>
    <row r="375" spans="1:35" x14ac:dyDescent="0.25">
      <c r="A375" s="85">
        <v>46089</v>
      </c>
      <c r="B375" t="s">
        <v>139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f>AVERAGEIFS($C$2:C375, $B$2:B375, B375)</f>
        <v>12</v>
      </c>
      <c r="AG375">
        <f>AVERAGEIFS($I$2:I375, $B$2:B375, B375)</f>
        <v>0.25</v>
      </c>
      <c r="AH375">
        <f>AVERAGEIFS($I$2:J375, $B$2:C375, C375)</f>
        <v>0.49</v>
      </c>
      <c r="AI375">
        <f>AVERAGEIFS($D$2:D375, $B$2:B375, B375)</f>
        <v>0</v>
      </c>
    </row>
    <row r="376" spans="1:35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>
        <f>AVERAGEIFS($C$2:C376, $B$2:B376, B376)</f>
        <v>11.913043478260869</v>
      </c>
      <c r="AG376">
        <f>AVERAGEIFS($I$2:I376, $B$2:B376, B376)</f>
        <v>0.43173913043478268</v>
      </c>
      <c r="AH376">
        <f>AVERAGEIFS($I$2:J376, $B$2:C376, C376)</f>
        <v>0.46416666666666667</v>
      </c>
      <c r="AI376">
        <f>AVERAGEIFS($D$2:D376, $B$2:B376, B376)</f>
        <v>0.34782608695652173</v>
      </c>
    </row>
    <row r="377" spans="1:35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>
        <f>AVERAGEIFS($C$2:C377, $B$2:B377, B377)</f>
        <v>24.807692307692307</v>
      </c>
      <c r="AG377">
        <f>AVERAGEIFS($I$2:I377, $B$2:B377, B377)</f>
        <v>0.49500000000000005</v>
      </c>
      <c r="AH377">
        <f>AVERAGEIFS($I$2:J377, $B$2:C377, C377)</f>
        <v>0.51611111111111108</v>
      </c>
      <c r="AI377">
        <f>AVERAGEIFS($D$2:D377, $B$2:B377, B377)</f>
        <v>0.46153846153846156</v>
      </c>
    </row>
    <row r="378" spans="1:35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>
        <f>AVERAGEIFS($C$2:C378, $B$2:B378, B378)</f>
        <v>20.7</v>
      </c>
      <c r="AG378">
        <f>AVERAGEIFS($I$2:I378, $B$2:B378, B378)</f>
        <v>0.59199999999999997</v>
      </c>
      <c r="AH378">
        <f>AVERAGEIFS($I$2:J378, $B$2:C378, C378)</f>
        <v>0.496111111111111</v>
      </c>
      <c r="AI378">
        <f>AVERAGEIFS($D$2:D378, $B$2:B378, B378)</f>
        <v>0.7</v>
      </c>
    </row>
    <row r="379" spans="1:35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>
        <f>AVERAGEIFS($C$2:C379, $B$2:B379, B379)</f>
        <v>19.470588235294116</v>
      </c>
      <c r="AG379">
        <f>AVERAGEIFS($I$2:I379, $B$2:B379, B379)</f>
        <v>0.48823529411764699</v>
      </c>
      <c r="AH379">
        <f>AVERAGEIFS($I$2:J379, $B$2:C379, C379)</f>
        <v>0.46285714285714297</v>
      </c>
      <c r="AI379">
        <f>AVERAGEIFS($D$2:D379, $B$2:B379, B379)</f>
        <v>0.41176470588235292</v>
      </c>
    </row>
    <row r="380" spans="1:35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>
        <f>AVERAGEIFS($C$2:C380, $B$2:B380, B380)</f>
        <v>9</v>
      </c>
      <c r="AG380">
        <f>AVERAGEIFS($I$2:I380, $B$2:B380, B380)</f>
        <v>0.59399999999999997</v>
      </c>
      <c r="AH380">
        <f>AVERAGEIFS($I$2:J380, $B$2:C380, C380)</f>
        <v>0.505</v>
      </c>
      <c r="AI380">
        <f>AVERAGEIFS($D$2:D380, $B$2:B380, B380)</f>
        <v>0.6</v>
      </c>
    </row>
    <row r="381" spans="1:35" x14ac:dyDescent="0.25">
      <c r="A381" s="85">
        <v>46090</v>
      </c>
      <c r="B381" t="s">
        <v>140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>
        <f>AVERAGEIFS($C$2:C381, $B$2:B381, B381)</f>
        <v>10</v>
      </c>
      <c r="AG381">
        <f>AVERAGEIFS($I$2:I381, $B$2:B381, B381)</f>
        <v>0.4</v>
      </c>
      <c r="AH381">
        <f>AVERAGEIFS($I$2:J381, $B$2:C381, C381)</f>
        <v>0.54470588235294115</v>
      </c>
      <c r="AI381">
        <f>AVERAGEIFS($D$2:D381, $B$2:B381, B381)</f>
        <v>0</v>
      </c>
    </row>
    <row r="382" spans="1:35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>
        <f>AVERAGEIFS($C$2:C382, $B$2:B382, B382)</f>
        <v>15</v>
      </c>
      <c r="AG382">
        <f>AVERAGEIFS($I$2:I382, $B$2:B382, B382)</f>
        <v>0.59000000000000008</v>
      </c>
      <c r="AH382">
        <f>AVERAGEIFS($I$2:J382, $B$2:C382, C382)</f>
        <v>0.49894736842105258</v>
      </c>
      <c r="AI382">
        <f>AVERAGEIFS($D$2:D382, $B$2:B382, B382)</f>
        <v>0.8</v>
      </c>
    </row>
    <row r="383" spans="1:35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>
        <f>AVERAGEIFS($C$2:C383, $B$2:B383, B383)</f>
        <v>18.333333333333332</v>
      </c>
      <c r="AG383">
        <f>AVERAGEIFS($I$2:I383, $B$2:B383, B383)</f>
        <v>0.6</v>
      </c>
      <c r="AH383">
        <f>AVERAGEIFS($I$2:J383, $B$2:C383, C383)</f>
        <v>0.50458333333333338</v>
      </c>
      <c r="AI383">
        <f>AVERAGEIFS($D$2:D383, $B$2:B383, B383)</f>
        <v>0.75</v>
      </c>
    </row>
    <row r="384" spans="1:35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>
        <f>AVERAGEIFS($C$2:C384, $B$2:B384, B384)</f>
        <v>24.5</v>
      </c>
      <c r="AG384">
        <f>AVERAGEIFS($I$2:I384, $B$2:B384, B384)</f>
        <v>0.47899999999999998</v>
      </c>
      <c r="AH384">
        <f>AVERAGEIFS($I$2:J384, $B$2:C384, C384)</f>
        <v>0.52399999999999991</v>
      </c>
      <c r="AI384">
        <f>AVERAGEIFS($D$2:D384, $B$2:B384, B384)</f>
        <v>0.45</v>
      </c>
    </row>
    <row r="385" spans="1:35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>
        <f>AVERAGEIFS($C$2:C385, $B$2:B385, B385)</f>
        <v>22.884615384615383</v>
      </c>
      <c r="AG385">
        <f>AVERAGEIFS($I$2:I385, $B$2:B385, B385)</f>
        <v>0.65307692307692311</v>
      </c>
      <c r="AH385">
        <f>AVERAGEIFS($I$2:J385, $B$2:C385, C385)</f>
        <v>0.47076923076923077</v>
      </c>
      <c r="AI385">
        <f>AVERAGEIFS($D$2:D385, $B$2:B385, B385)</f>
        <v>0.76923076923076927</v>
      </c>
    </row>
    <row r="386" spans="1:35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>
        <f>AVERAGEIFS($C$2:C386, $B$2:B386, B386)</f>
        <v>16.444444444444443</v>
      </c>
      <c r="AG386">
        <f>AVERAGEIFS($I$2:I386, $B$2:B386, B386)</f>
        <v>0.5444444444444444</v>
      </c>
      <c r="AH386">
        <f>AVERAGEIFS($I$2:J386, $B$2:C386, C386)</f>
        <v>0.50380952380952393</v>
      </c>
      <c r="AI386">
        <f>AVERAGEIFS($D$2:D386, $B$2:B386, B386)</f>
        <v>0.55555555555555558</v>
      </c>
    </row>
    <row r="387" spans="1:35" x14ac:dyDescent="0.25">
      <c r="A387" s="85">
        <v>46090</v>
      </c>
      <c r="B387" t="s">
        <v>139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>
        <f>AVERAGEIFS($C$2:C387, $B$2:B387, B387)</f>
        <v>10</v>
      </c>
      <c r="AG387">
        <f>AVERAGEIFS($I$2:I387, $B$2:B387, B387)</f>
        <v>0.42499999999999999</v>
      </c>
      <c r="AH387">
        <f>AVERAGEIFS($I$2:J387, $B$2:C387, C387)</f>
        <v>0.43909090909090903</v>
      </c>
      <c r="AI387">
        <f>AVERAGEIFS($D$2:D387, $B$2:B387, B387)</f>
        <v>0.5</v>
      </c>
    </row>
    <row r="388" spans="1:35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f>AVERAGEIFS($C$2:C388, $B$2:B388, B388)</f>
        <v>22</v>
      </c>
      <c r="AG388">
        <f>AVERAGEIFS($I$2:I388, $B$2:B388, B388)</f>
        <v>0.60636363636363633</v>
      </c>
      <c r="AH388">
        <f>AVERAGEIFS($I$2:J388, $B$2:C388, C388)</f>
        <v>0.58750000000000002</v>
      </c>
      <c r="AI388">
        <f>AVERAGEIFS($D$2:D388, $B$2:B388, B388)</f>
        <v>0.72727272727272729</v>
      </c>
    </row>
    <row r="389" spans="1:35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1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f>AVERAGEIFS($C$2:C389, $B$2:B389, B389)</f>
        <v>18.318181818181817</v>
      </c>
      <c r="AG389">
        <f>AVERAGEIFS($I$2:I389, $B$2:B389, B389)</f>
        <v>0.46136363636363648</v>
      </c>
      <c r="AH389">
        <f>AVERAGEIFS($I$2:J389, $B$2:C389, C389)</f>
        <v>0.50750000000000006</v>
      </c>
      <c r="AI389">
        <f>AVERAGEIFS($D$2:D389, $B$2:B389, B389)</f>
        <v>0.45454545454545453</v>
      </c>
    </row>
    <row r="390" spans="1:35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1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f>AVERAGEIFS($C$2:C390, $B$2:B390, B390)</f>
        <v>23.037037037037038</v>
      </c>
      <c r="AG390">
        <f>AVERAGEIFS($I$2:I390, $B$2:B390, B390)</f>
        <v>0.65666666666666673</v>
      </c>
      <c r="AH390">
        <f>AVERAGEIFS($I$2:J390, $B$2:C390, C390)</f>
        <v>0.50299999999999989</v>
      </c>
      <c r="AI390">
        <f>AVERAGEIFS($D$2:D390, $B$2:B390, B390)</f>
        <v>0.77777777777777779</v>
      </c>
    </row>
    <row r="391" spans="1:35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1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f>AVERAGEIFS($C$2:C391, $B$2:B391, B391)</f>
        <v>18.181818181818183</v>
      </c>
      <c r="AG391">
        <f>AVERAGEIFS($I$2:I391, $B$2:B391, B391)</f>
        <v>0.5818181818181819</v>
      </c>
      <c r="AH391">
        <f>AVERAGEIFS($I$2:J391, $B$2:C391, C391)</f>
        <v>0.53437499999999993</v>
      </c>
      <c r="AI391">
        <f>AVERAGEIFS($D$2:D391, $B$2:B391, B391)</f>
        <v>0.54545454545454541</v>
      </c>
    </row>
    <row r="392" spans="1:35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1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f>AVERAGEIFS($C$2:C392, $B$2:B392, B392)</f>
        <v>24.38095238095238</v>
      </c>
      <c r="AG392">
        <f>AVERAGEIFS($I$2:I392, $B$2:B392, B392)</f>
        <v>0.4919047619047619</v>
      </c>
      <c r="AH392">
        <f>AVERAGEIFS($I$2:J392, $B$2:C392, C392)</f>
        <v>0.54352941176470582</v>
      </c>
      <c r="AI392">
        <f>AVERAGEIFS($D$2:D392, $B$2:B392, B392)</f>
        <v>0.47619047619047616</v>
      </c>
    </row>
    <row r="393" spans="1:35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1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f>AVERAGEIFS($C$2:C393, $B$2:B393, B393)</f>
        <v>16.100000000000001</v>
      </c>
      <c r="AG393">
        <f>AVERAGEIFS($I$2:I393, $B$2:B393, B393)</f>
        <v>0.56499999999999995</v>
      </c>
      <c r="AH393">
        <f>AVERAGEIFS($I$2:J393, $B$2:C393, C393)</f>
        <v>0.5099999999999999</v>
      </c>
      <c r="AI393">
        <f>AVERAGEIFS($D$2:D393, $B$2:B393, B393)</f>
        <v>0.6</v>
      </c>
    </row>
    <row r="394" spans="1:35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1</v>
      </c>
      <c r="AC394">
        <v>0</v>
      </c>
      <c r="AD394">
        <v>0</v>
      </c>
      <c r="AE394">
        <v>0</v>
      </c>
      <c r="AF394">
        <f>AVERAGEIFS($C$2:C394, $B$2:B394, B394)</f>
        <v>26</v>
      </c>
      <c r="AG394">
        <f>AVERAGEIFS($I$2:I394, $B$2:B394, B394)</f>
        <v>0.3807692307692308</v>
      </c>
      <c r="AH394">
        <f>AVERAGEIFS($I$2:J394, $B$2:C394, C394)</f>
        <v>0.40666666666666668</v>
      </c>
      <c r="AI394">
        <f>AVERAGEIFS($D$2:D394, $B$2:B394, B394)</f>
        <v>0.23076923076923078</v>
      </c>
    </row>
    <row r="395" spans="1:35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1</v>
      </c>
      <c r="AC395">
        <v>0</v>
      </c>
      <c r="AD395">
        <v>0</v>
      </c>
      <c r="AE395">
        <v>0</v>
      </c>
      <c r="AF395">
        <f>AVERAGEIFS($C$2:C395, $B$2:B395, B395)</f>
        <v>29.166666666666668</v>
      </c>
      <c r="AG395">
        <f>AVERAGEIFS($I$2:I395, $B$2:B395, B395)</f>
        <v>0.37083333333333335</v>
      </c>
      <c r="AH395">
        <f>AVERAGEIFS($I$2:J395, $B$2:C395, C395)</f>
        <v>0.47</v>
      </c>
      <c r="AI395">
        <f>AVERAGEIFS($D$2:D395, $B$2:B395, B395)</f>
        <v>0.41666666666666669</v>
      </c>
    </row>
    <row r="396" spans="1:35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1</v>
      </c>
      <c r="AC396">
        <v>0</v>
      </c>
      <c r="AD396">
        <v>0</v>
      </c>
      <c r="AE396">
        <v>0</v>
      </c>
      <c r="AF396">
        <f>AVERAGEIFS($C$2:C396, $B$2:B396, B396)</f>
        <v>18.46153846153846</v>
      </c>
      <c r="AG396">
        <f>AVERAGEIFS($I$2:I396, $B$2:B396, B396)</f>
        <v>0.57307692307692304</v>
      </c>
      <c r="AH396">
        <f>AVERAGEIFS($I$2:J396, $B$2:C396, C396)</f>
        <v>0.47714285714285698</v>
      </c>
      <c r="AI396">
        <f>AVERAGEIFS($D$2:D396, $B$2:B396, B396)</f>
        <v>0.69230769230769229</v>
      </c>
    </row>
    <row r="397" spans="1:35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1</v>
      </c>
      <c r="AC397">
        <v>0</v>
      </c>
      <c r="AD397">
        <v>0</v>
      </c>
      <c r="AE397">
        <v>0</v>
      </c>
      <c r="AF397">
        <f>AVERAGEIFS($C$2:C397, $B$2:B397, B397)</f>
        <v>21</v>
      </c>
      <c r="AG397">
        <f>AVERAGEIFS($I$2:I397, $B$2:B397, B397)</f>
        <v>0.4385</v>
      </c>
      <c r="AH397">
        <f>AVERAGEIFS($I$2:J397, $B$2:C397, C397)</f>
        <v>0.49680000000000007</v>
      </c>
      <c r="AI397">
        <f>AVERAGEIFS($D$2:D397, $B$2:B397, B397)</f>
        <v>0.35</v>
      </c>
    </row>
    <row r="398" spans="1:35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1</v>
      </c>
      <c r="AC398">
        <v>0</v>
      </c>
      <c r="AD398">
        <v>0</v>
      </c>
      <c r="AE398">
        <v>0</v>
      </c>
      <c r="AF398">
        <f>AVERAGEIFS($C$2:C398, $B$2:B398, B398)</f>
        <v>19.166666666666668</v>
      </c>
      <c r="AG398">
        <f>AVERAGEIFS($I$2:I398, $B$2:B398, B398)</f>
        <v>0.5</v>
      </c>
      <c r="AH398">
        <f>AVERAGEIFS($I$2:J398, $B$2:C398, C398)</f>
        <v>0.45928571428571424</v>
      </c>
      <c r="AI398">
        <f>AVERAGEIFS($D$2:D398, $B$2:B398, B398)</f>
        <v>0.5</v>
      </c>
    </row>
    <row r="399" spans="1:35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1</v>
      </c>
      <c r="AC399">
        <v>0</v>
      </c>
      <c r="AD399">
        <v>0</v>
      </c>
      <c r="AE399">
        <v>0</v>
      </c>
      <c r="AF399">
        <f>AVERAGEIFS($C$2:C399, $B$2:B399, B399)</f>
        <v>17.5</v>
      </c>
      <c r="AG399">
        <f>AVERAGEIFS($I$2:I399, $B$2:B399, B399)</f>
        <v>0.38750000000000001</v>
      </c>
      <c r="AH399">
        <f>AVERAGEIFS($I$2:J399, $B$2:C399, C399)</f>
        <v>0.49888888888888883</v>
      </c>
      <c r="AI399">
        <f>AVERAGEIFS($D$2:D399, $B$2:B399, B399)</f>
        <v>0.375</v>
      </c>
    </row>
  </sheetData>
  <autoFilter ref="A1:AI387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2" t="s">
        <v>7</v>
      </c>
      <c r="D1" s="103"/>
      <c r="E1" s="104"/>
      <c r="F1" s="102" t="s">
        <v>22</v>
      </c>
      <c r="G1" s="103"/>
      <c r="H1" s="104"/>
      <c r="I1" s="102" t="s">
        <v>16</v>
      </c>
      <c r="J1" s="103"/>
      <c r="K1" s="104"/>
      <c r="L1" s="102" t="s">
        <v>23</v>
      </c>
      <c r="M1" s="103"/>
      <c r="N1" s="104"/>
      <c r="O1" s="102" t="s">
        <v>64</v>
      </c>
      <c r="P1" s="103"/>
      <c r="Q1" s="103"/>
      <c r="R1" s="103"/>
      <c r="S1" s="103"/>
      <c r="T1" s="103"/>
      <c r="U1" s="103"/>
      <c r="V1" s="103"/>
      <c r="W1" s="103"/>
      <c r="X1" s="103"/>
      <c r="Y1" s="103"/>
      <c r="Z1" s="103"/>
      <c r="AA1" s="103"/>
      <c r="AB1" s="103"/>
      <c r="AC1" s="103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5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5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5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5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5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5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5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5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2" t="s">
        <v>7</v>
      </c>
      <c r="D15" s="103"/>
      <c r="E15" s="104"/>
      <c r="F15" s="102" t="s">
        <v>22</v>
      </c>
      <c r="G15" s="103"/>
      <c r="H15" s="104"/>
      <c r="I15" s="102" t="s">
        <v>16</v>
      </c>
      <c r="J15" s="103"/>
      <c r="K15" s="104"/>
      <c r="L15" s="102" t="s">
        <v>23</v>
      </c>
      <c r="M15" s="103"/>
      <c r="N15" s="104"/>
      <c r="O15" s="102" t="s">
        <v>64</v>
      </c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1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1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1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1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1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1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1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1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2026-03-12T01:00:13Z</dcterms:modified>
</cp:coreProperties>
</file>