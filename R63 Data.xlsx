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EC843E5-BB0C-4B5E-9B6A-8C1224C1AB86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S2'!$A$1:$AJ$71</definedName>
    <definedName name="_xlnm._FilterDatabase" localSheetId="10" hidden="1">'BA S2'!$A$1:$AJ$27</definedName>
    <definedName name="_xlnm._FilterDatabase" localSheetId="7" hidden="1">'BA v2'!$A$1:$AJ$55</definedName>
    <definedName name="_xlnm._FilterDatabase" localSheetId="1" hidden="1">'OB History'!$A$1:$AD$602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30" i="15" l="1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O18" i="16"/>
  <c r="C18" i="16"/>
  <c r="D18" i="16"/>
  <c r="E18" i="16" a="1"/>
  <c r="E18" i="16" s="1"/>
  <c r="F18" i="16"/>
  <c r="G18" i="16"/>
  <c r="H18" i="16"/>
  <c r="I18" i="16"/>
  <c r="J18" i="16" s="1"/>
  <c r="K18" i="16"/>
  <c r="L18" i="16"/>
  <c r="M18" i="16"/>
  <c r="N18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O13" i="16"/>
  <c r="C13" i="16"/>
  <c r="D13" i="16"/>
  <c r="E13" i="16" a="1"/>
  <c r="E13" i="16" s="1"/>
  <c r="F13" i="16"/>
  <c r="G13" i="16"/>
  <c r="I13" i="16"/>
  <c r="J13" i="16" s="1"/>
  <c r="L13" i="16"/>
  <c r="M13" i="16" s="1"/>
  <c r="N13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K13" i="16" s="1"/>
  <c r="AI56" i="17"/>
  <c r="AJ56" i="17"/>
  <c r="H13" i="16" s="1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O27" i="16"/>
  <c r="O26" i="16"/>
  <c r="O25" i="16"/>
  <c r="O24" i="16"/>
  <c r="O23" i="16"/>
  <c r="O22" i="16"/>
  <c r="O21" i="16"/>
  <c r="O20" i="16"/>
  <c r="O19" i="16"/>
  <c r="O17" i="16"/>
  <c r="O16" i="16"/>
  <c r="O15" i="16"/>
  <c r="O14" i="16"/>
  <c r="O12" i="16"/>
  <c r="O11" i="16"/>
  <c r="O10" i="16"/>
  <c r="O9" i="16"/>
  <c r="O8" i="16"/>
  <c r="O6" i="16"/>
  <c r="O5" i="16"/>
  <c r="O4" i="16"/>
  <c r="O3" i="16"/>
  <c r="O2" i="16"/>
  <c r="N3" i="16"/>
  <c r="N4" i="16"/>
  <c r="N5" i="16"/>
  <c r="N6" i="16"/>
  <c r="N9" i="16"/>
  <c r="N10" i="16"/>
  <c r="N11" i="16"/>
  <c r="N12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" i="16"/>
  <c r="L3" i="16"/>
  <c r="M3" i="16" s="1"/>
  <c r="L4" i="16"/>
  <c r="M4" i="16" s="1"/>
  <c r="L5" i="16"/>
  <c r="M5" i="16" s="1"/>
  <c r="L6" i="16"/>
  <c r="M6" i="16" s="1"/>
  <c r="L8" i="16"/>
  <c r="M8" i="16" s="1"/>
  <c r="L9" i="16"/>
  <c r="M9" i="16" s="1"/>
  <c r="L10" i="16"/>
  <c r="M10" i="16" s="1"/>
  <c r="L11" i="16"/>
  <c r="M11" i="16" s="1"/>
  <c r="L12" i="16"/>
  <c r="M12" i="16" s="1"/>
  <c r="L14" i="16"/>
  <c r="M14" i="16" s="1"/>
  <c r="L15" i="16"/>
  <c r="M15" i="16" s="1"/>
  <c r="L16" i="16"/>
  <c r="M16" i="16" s="1"/>
  <c r="L17" i="16"/>
  <c r="M17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5" i="16"/>
  <c r="M25" i="16" s="1"/>
  <c r="L26" i="16"/>
  <c r="M26" i="16" s="1"/>
  <c r="L27" i="16"/>
  <c r="M27" i="16" s="1"/>
  <c r="L2" i="16"/>
  <c r="M2" i="16" s="1"/>
  <c r="K3" i="16"/>
  <c r="K4" i="16"/>
  <c r="K5" i="16"/>
  <c r="K6" i="16"/>
  <c r="K9" i="16"/>
  <c r="K10" i="16"/>
  <c r="K11" i="16"/>
  <c r="K12" i="16"/>
  <c r="K14" i="16"/>
  <c r="K15" i="16"/>
  <c r="K16" i="16"/>
  <c r="K17" i="16"/>
  <c r="K19" i="16"/>
  <c r="K20" i="16"/>
  <c r="K21" i="16"/>
  <c r="K22" i="16"/>
  <c r="K23" i="16"/>
  <c r="K24" i="16"/>
  <c r="K25" i="16"/>
  <c r="K26" i="16"/>
  <c r="K27" i="16"/>
  <c r="K2" i="16"/>
  <c r="I3" i="16"/>
  <c r="J3" i="16" s="1"/>
  <c r="I4" i="16"/>
  <c r="J4" i="16" s="1"/>
  <c r="I5" i="16"/>
  <c r="J5" i="16" s="1"/>
  <c r="I6" i="16"/>
  <c r="J6" i="16" s="1"/>
  <c r="I8" i="16"/>
  <c r="J8" i="16" s="1"/>
  <c r="I9" i="16"/>
  <c r="J9" i="16" s="1"/>
  <c r="I10" i="16"/>
  <c r="J10" i="16" s="1"/>
  <c r="I11" i="16"/>
  <c r="J11" i="16" s="1"/>
  <c r="I12" i="16"/>
  <c r="J12" i="16" s="1"/>
  <c r="I14" i="16"/>
  <c r="J14" i="16" s="1"/>
  <c r="I15" i="16"/>
  <c r="J15" i="16" s="1"/>
  <c r="I16" i="16"/>
  <c r="J16" i="16" s="1"/>
  <c r="I17" i="16"/>
  <c r="J17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" i="16"/>
  <c r="J2" i="16" s="1"/>
  <c r="H3" i="16"/>
  <c r="H4" i="16"/>
  <c r="H5" i="16"/>
  <c r="H6" i="16"/>
  <c r="H9" i="16"/>
  <c r="H10" i="16"/>
  <c r="H11" i="16"/>
  <c r="H12" i="16"/>
  <c r="H14" i="16"/>
  <c r="H15" i="16"/>
  <c r="H16" i="16"/>
  <c r="H17" i="16"/>
  <c r="H19" i="16"/>
  <c r="H20" i="16"/>
  <c r="H21" i="16"/>
  <c r="H22" i="16"/>
  <c r="H23" i="16"/>
  <c r="H24" i="16"/>
  <c r="H25" i="16"/>
  <c r="H26" i="16"/>
  <c r="H27" i="16"/>
  <c r="H2" i="16"/>
  <c r="G3" i="16"/>
  <c r="G4" i="16"/>
  <c r="G5" i="16"/>
  <c r="G6" i="16"/>
  <c r="G8" i="16"/>
  <c r="G9" i="16"/>
  <c r="G10" i="16"/>
  <c r="G11" i="16"/>
  <c r="G12" i="16"/>
  <c r="G14" i="16"/>
  <c r="G15" i="16"/>
  <c r="G16" i="16"/>
  <c r="G17" i="16"/>
  <c r="G19" i="16"/>
  <c r="G20" i="16"/>
  <c r="G21" i="16"/>
  <c r="G22" i="16"/>
  <c r="G23" i="16"/>
  <c r="G24" i="16"/>
  <c r="G25" i="16"/>
  <c r="G26" i="16"/>
  <c r="G27" i="16"/>
  <c r="G2" i="16"/>
  <c r="F3" i="16"/>
  <c r="F4" i="16"/>
  <c r="F5" i="16"/>
  <c r="F6" i="16"/>
  <c r="F8" i="16"/>
  <c r="F9" i="16"/>
  <c r="F10" i="16"/>
  <c r="F11" i="16"/>
  <c r="F12" i="16"/>
  <c r="F14" i="16"/>
  <c r="F15" i="16"/>
  <c r="F16" i="16"/>
  <c r="F17" i="16"/>
  <c r="F19" i="16"/>
  <c r="F20" i="16"/>
  <c r="F21" i="16"/>
  <c r="F22" i="16"/>
  <c r="F23" i="16"/>
  <c r="F24" i="16"/>
  <c r="F25" i="16"/>
  <c r="F26" i="16"/>
  <c r="F27" i="16"/>
  <c r="F2" i="16"/>
  <c r="E3" i="16" a="1"/>
  <c r="E3" i="16" s="1"/>
  <c r="E4" i="16" a="1"/>
  <c r="E4" i="16" s="1"/>
  <c r="E5" i="16" a="1"/>
  <c r="E5" i="16" s="1"/>
  <c r="E6" i="16" a="1"/>
  <c r="E6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4" i="16" a="1"/>
  <c r="E14" i="16" s="1"/>
  <c r="E15" i="16" a="1"/>
  <c r="E15" i="16" s="1"/>
  <c r="E16" i="16" a="1"/>
  <c r="E16" i="16" s="1"/>
  <c r="E17" i="16" a="1"/>
  <c r="E17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" i="16" a="1"/>
  <c r="E2" i="16" s="1"/>
  <c r="D3" i="16"/>
  <c r="D4" i="16"/>
  <c r="D5" i="16"/>
  <c r="D6" i="16"/>
  <c r="D8" i="16"/>
  <c r="D9" i="16"/>
  <c r="D10" i="16"/>
  <c r="D11" i="16"/>
  <c r="D12" i="16"/>
  <c r="D14" i="16"/>
  <c r="D15" i="16"/>
  <c r="D16" i="16"/>
  <c r="D17" i="16"/>
  <c r="D19" i="16"/>
  <c r="D20" i="16"/>
  <c r="D21" i="16"/>
  <c r="D22" i="16"/>
  <c r="D23" i="16"/>
  <c r="D24" i="16"/>
  <c r="D25" i="16"/>
  <c r="D26" i="16"/>
  <c r="D27" i="16"/>
  <c r="D2" i="16"/>
  <c r="C3" i="16"/>
  <c r="C4" i="16"/>
  <c r="C5" i="16"/>
  <c r="C6" i="16"/>
  <c r="C8" i="16"/>
  <c r="C9" i="16"/>
  <c r="C10" i="16"/>
  <c r="C11" i="16"/>
  <c r="C12" i="16"/>
  <c r="C14" i="16"/>
  <c r="C15" i="16"/>
  <c r="C16" i="16"/>
  <c r="C17" i="16"/>
  <c r="C19" i="16"/>
  <c r="C20" i="16"/>
  <c r="C21" i="16"/>
  <c r="C22" i="16"/>
  <c r="C23" i="16"/>
  <c r="C24" i="16"/>
  <c r="C25" i="16"/>
  <c r="C26" i="16"/>
  <c r="C27" i="16"/>
  <c r="C2" i="16"/>
  <c r="H8" i="16"/>
  <c r="N8" i="16"/>
  <c r="K8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H44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H45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L40" i="11" l="1"/>
  <c r="O40" i="1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<sst xmlns="http://schemas.openxmlformats.org/spreadsheetml/2006/main" count="3040" uniqueCount="165">
  <si>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</si>
  <si>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</si>
  <si>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</si>
  <si>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</si>
  <si>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</si>
  <si>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</si>
  <si>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</si>
  <si>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</si>
  <si>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</si>
  <si>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</si>
  <si>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</si>
  <si>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</si>
  <si>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</si>
  <si>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</si>
  <si>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</si>
  <si>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</si>
  <si>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</si>
  <si>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</si>
  <si>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</si>
  <si>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</si>
  <si>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</si>
  <si>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</si>
  <si>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</si>
  <si>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</si>
  <si>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</si>
  <si>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</si>
  <si>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</si>
  <si>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</si>
  <si>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</si>
  <si>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</si>
  <si>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</si>
  <si>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</si>
  <si>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</si>
  <si>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</si>
  <si>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</si>
  <si>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</si>
  <si>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</si>
  <si>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</si>
  <si>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</si>
  <si>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</si>
  <si>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</si>
  <si>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</si>
  <si>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</si>
  <si>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</si>
  <si>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</si>
  <si>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</si>
  <si>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</si>
  <si>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</si>
  <si>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</si>
  <si>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</si>
  <si>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</si>
  <si>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</si>
  <si>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</si>
  <si>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</si>
  <si>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</si>
  <si>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</si>
  <si>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</si>
  <si>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</si>
  <si>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</si>
  <si>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</si>
  <si>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</si>
  <si>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</si>
  <si>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</si>
  <si>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</si>
  <si>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</si>
  <si>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</si>
  <si>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</si>
  <si>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</si>
  <si>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</si>
  <si>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</si>
  <si>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</si>
  <si>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</si>
  <si>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</si>
  <si>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</si>
  <si>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</si>
  <si>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</si>
  <si>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</si>
  <si>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</si>
  <si>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</si>
  <si>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</si>
  <si>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</si>
  <si>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</si>
  <si>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</si>
  <si>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</si>
  <si>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</si>
  <si>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</si>
  <si>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</si>
  <si>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</si>
  <si>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</si>
  <si>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</si>
  <si>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</si>
  <si>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</si>
  <si>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</si>
  <si>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</si>
  <si>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</si>
  <si>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</si>
  <si>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</si>
  <si>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</si>
  <si>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</si>
  <si>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</si>
  <si>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</si>
  <si>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</si>
  <si>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</si>
  <si>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</si>
  <si>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</si>
  <si>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</si>
  <si>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</si>
  <si>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</si>
  <si>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</si>
  <si>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</si>
  <si>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</si>
  <si>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</si>
  <si>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</si>
  <si>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</si>
  <si>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</si>
  <si>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</si>
  <si>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</si>
  <si>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</si>
  <si>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</si>
  <si>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</si>
  <si>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</si>
  <si>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</si>
  <si>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</si>
  <si>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</si>
  <si>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</si>
  <si>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</si>
  <si>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</si>
  <si>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</si>
  <si>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</si>
  <si>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</si>
  <si>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</si>
  <si>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</si>
  <si>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</si>
  <si>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</si>
  <si>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</si>
  <si>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</si>
  <si>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</si>
  <si>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</si>
  <si>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</si>
  <si>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</si>
  <si>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</si>
  <si>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</si>
  <si>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</si>
  <si>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</si>
  <si>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</si>
  <si>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</si>
  <si>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</si>
  <si>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</si>
  <si>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</si>
  <si>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</si>
  <si>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</si>
  <si>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</si>
  <si>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</si>
  <si>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</si>
  <si>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</si>
  <si>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</si>
  <si>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</si>
  <si>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</si>
  <si>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</si>
  <si>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HOpes</t>
  </si>
  <si>
    <t>🏆🏆🏅</t>
  </si>
  <si>
    <t>🏆🏅</t>
  </si>
  <si>
    <t>🏅</t>
  </si>
  <si>
    <t>👑</t>
  </si>
  <si>
    <t>👑👑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</si>
</sst>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363</v>
      </c>
      <c r="E4" s="4">
        <f>AVERAGEIFS('OB History'!C:C,'OB History'!B:B,A4)</f>
        <v>20.166666666666668</v>
      </c>
      <c r="F4" s="35">
        <f t="array" ref="F4">MAX(IF('OB History'!B:B=A4, 'OB History'!C:C))</f>
        <v>36</v>
      </c>
      <c r="G4" s="34">
        <f>COUNTIFS('OB History'!B:B,A4,'OB History'!D:D, 1)</f>
        <v>8</v>
      </c>
      <c r="H4" s="2">
        <f>COUNTIFS('OB History'!B:B,A4,'OB History'!D:D, 0)</f>
        <v>10</v>
      </c>
      <c r="I4" s="88">
        <f>LOOKUP(2, 1/('OB History'!$B:$B=A4), 'OB History'!$AD:$AD)</f>
        <v>0.44444444444444442</v>
      </c>
      <c r="J4" s="34">
        <f>SUMIFS('OB History'!F:F,'OB History'!B:B,A4)</f>
        <v>34</v>
      </c>
      <c r="K4" s="2">
        <f>SUMIFS('OB History'!E:E,'OB History'!B:B,A4)-J4</f>
        <v>40</v>
      </c>
      <c r="L4" s="88">
        <f>LOOKUP(2, 1/('OB History'!$B:$B=A4), 'OB History'!$AB:$AB)</f>
        <v>0.44999999999999996</v>
      </c>
      <c r="M4" s="34">
        <f>SUMIFS('OB History'!H:H,'OB History'!B:B,A4)</f>
        <v>144</v>
      </c>
      <c r="N4" s="2">
        <f>SUMIFS('OB History'!G:G,'OB History'!B:B,A4)-M4</f>
        <v>153</v>
      </c>
      <c r="O4" s="88">
        <f>LOOKUP(2, 1/('OB History'!$B:$B=A4), 'OB History'!$AC:$AC)</f>
        <v>0.47444444444444439</v>
      </c>
      <c r="P4" s="2">
        <f>COUNTIFS('OB History'!$B:$B,$A$4,'OB History'!K:K, 1)</f>
        <v>3</v>
      </c>
      <c r="Q4" s="2">
        <f>COUNTIFS('OB History'!$B:$B,$A$4,'OB History'!L:L, 1)</f>
        <v>1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224</v>
      </c>
      <c r="E6" s="4">
        <f>AVERAGEIFS('OB History'!C:C,'OB History'!B:B,A6)</f>
        <v>11.789473684210526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9</v>
      </c>
      <c r="I6" s="88">
        <f>LOOKUP(2, 1/('OB History'!$B:$B=A6), 'OB History'!$AD:$AD)</f>
        <v>0.52631578947368418</v>
      </c>
      <c r="J6" s="34">
        <f>SUMIFS('OB History'!F:F,'OB History'!B:B,A6)</f>
        <v>37</v>
      </c>
      <c r="K6" s="2">
        <f>SUMIFS('OB History'!E:E,'OB History'!B:B,A6)-J6</f>
        <v>40</v>
      </c>
      <c r="L6" s="88">
        <f>LOOKUP(2, 1/('OB History'!$B:$B=A6), 'OB History'!$AB:$AB)</f>
        <v>0.46315789473684216</v>
      </c>
      <c r="M6" s="34">
        <f>SUMIFS('OB History'!H:H,'OB History'!B:B,'Old Bow v2'!A6)</f>
        <v>153</v>
      </c>
      <c r="N6" s="2">
        <f>SUMIFS('OB History'!G:G,'OB History'!B:B,'Old Bow v2'!A6)-M6</f>
        <v>158</v>
      </c>
      <c r="O6" s="88">
        <f>LOOKUP(2, 1/('OB History'!$B:$B=A6), 'OB History'!$AC:$AC)</f>
        <v>0.48631578947368431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163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189</v>
      </c>
      <c r="E29" s="4">
        <f>AVERAGEIFS('OB History'!C:C,'OB History'!B:B,A29)</f>
        <v>13.5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7</v>
      </c>
      <c r="I29" s="88">
        <f>LOOKUP(2, 1/('OB History'!$B:$B=A29), 'OB History'!$AD:$AD)</f>
        <v>0.5</v>
      </c>
      <c r="J29" s="34">
        <f>SUMIFS('OB History'!F:F,'OB History'!B:B,A29)</f>
        <v>31</v>
      </c>
      <c r="K29" s="2">
        <f>SUMIFS('OB History'!E:E,'OB History'!B:B,A29)-J29</f>
        <v>29</v>
      </c>
      <c r="L29" s="88">
        <f>LOOKUP(2, 1/('OB History'!$B:$B=A29), 'OB History'!$AB:$AB)</f>
        <v>0.5357142857142857</v>
      </c>
      <c r="M29" s="34">
        <f>SUMIFS('OB History'!H:H,'OB History'!B:B,'Old Bow v2'!A29)</f>
        <v>120</v>
      </c>
      <c r="N29" s="2">
        <f>SUMIFS('OB History'!G:G,'OB History'!B:B,'Old Bow v2'!A29)-M29</f>
        <v>117</v>
      </c>
      <c r="O29" s="88">
        <f>LOOKUP(2, 1/('OB History'!$B:$B=A29), 'OB History'!$AC:$AC)</f>
        <v>0.51500000000000001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7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163</v>
      </c>
      <c r="D32" s="34">
        <f>SUMIFS('OB History'!C:C,'OB History'!B:B,A32)</f>
        <v>1142</v>
      </c>
      <c r="E32" s="4">
        <f>AVERAGEIFS('OB History'!C:C,'OB History'!B:B,A32)</f>
        <v>26.558139534883722</v>
      </c>
      <c r="F32" s="35">
        <f t="array" ref="F32">MAX(IF('OB History'!B:B=A32, 'OB History'!C:C))</f>
        <v>57</v>
      </c>
      <c r="G32" s="34">
        <f>COUNTIFS('OB History'!B:B,A32,'OB History'!D:D, 1)</f>
        <v>28</v>
      </c>
      <c r="H32" s="2">
        <f>COUNTIFS('OB History'!B:B,A32,'OB History'!D:D, 0)</f>
        <v>15</v>
      </c>
      <c r="I32" s="88">
        <f>LOOKUP(2, 1/('OB History'!$B:$B=A32), 'OB History'!$AD:$AD)</f>
        <v>0.65116279069767447</v>
      </c>
      <c r="J32" s="34">
        <f>SUMIFS('OB History'!F:F,'OB History'!B:B,A32)</f>
        <v>101</v>
      </c>
      <c r="K32" s="2">
        <f>SUMIFS('OB History'!E:E,'OB History'!B:B,A32)-J32</f>
        <v>77</v>
      </c>
      <c r="L32" s="88">
        <f>LOOKUP(2, 1/('OB History'!$B:$B=A32), 'OB History'!$AB:$AB)</f>
        <v>0.56860465116279069</v>
      </c>
      <c r="M32" s="34">
        <f>SUMIFS('OB History'!H:H,'OB History'!B:B,'Old Bow v2'!A32)</f>
        <v>393</v>
      </c>
      <c r="N32" s="2">
        <f>SUMIFS('OB History'!G:G,'OB History'!B:B,'Old Bow v2'!A32)-M32</f>
        <v>327</v>
      </c>
      <c r="O32" s="88">
        <f>LOOKUP(2, 1/('OB History'!$B:$B=A32), 'OB History'!$AC:$AC)</f>
        <v>0.5481395348837208</v>
      </c>
      <c r="P32" s="2">
        <f>COUNTIFS('OB History'!$B:$B,$A$32,'OB History'!K:K, 1)</f>
        <v>5</v>
      </c>
      <c r="Q32" s="2">
        <f>COUNTIFS('OB History'!$B:$B,$A$32,'OB History'!L:L, 1)</f>
        <v>10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2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8</v>
      </c>
      <c r="AE32" s="2">
        <f>COUNTIFS('OB History'!$B:$B,$A$32,'OB History'!Z:Z, 1)</f>
        <v>11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168</v>
      </c>
      <c r="E39" s="4">
        <f>AVERAGEIFS('OB History'!C:C,'OB History'!B:B,A39)</f>
        <v>16.8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8</v>
      </c>
      <c r="I39" s="88">
        <f>LOOKUP(2, 1/('OB History'!$B:$B=A39), 'OB History'!$AD:$AD)</f>
        <v>0.2</v>
      </c>
      <c r="J39" s="34">
        <f>SUMIFS('OB History'!F:F,'OB History'!B:B,A39)</f>
        <v>15</v>
      </c>
      <c r="K39" s="2">
        <f>SUMIFS('OB History'!E:E,'OB History'!B:B,A39)-J39</f>
        <v>26</v>
      </c>
      <c r="L39" s="88">
        <f>LOOKUP(2, 1/('OB History'!$B:$B=A39), 'OB History'!$AB:$AB)</f>
        <v>0.35499999999999998</v>
      </c>
      <c r="M39" s="34">
        <f>SUMIFS('OB History'!H:H,'OB History'!B:B,'Old Bow v2'!A39)</f>
        <v>64</v>
      </c>
      <c r="N39" s="2">
        <f>SUMIFS('OB History'!G:G,'OB History'!B:B,'Old Bow v2'!A39)-M39</f>
        <v>98</v>
      </c>
      <c r="O39" s="88">
        <f>LOOKUP(2, 1/('OB History'!$B:$B=A39), 'OB History'!$AC:$AC)</f>
        <v>0.38100000000000001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125</v>
      </c>
      <c r="E42" s="4">
        <f>AVERAGEIFS('OB History'!C:C,'OB History'!B:B,A42)</f>
        <v>13.888888888888889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7</v>
      </c>
      <c r="I42" s="88">
        <f>LOOKUP(2, 1/('OB History'!$B:$B=A42), 'OB History'!$AD:$AD)</f>
        <v>0.22222222222222221</v>
      </c>
      <c r="J42" s="34">
        <f>SUMIFS('OB History'!F:F,'OB History'!B:B,A42)</f>
        <v>15</v>
      </c>
      <c r="K42" s="2">
        <f>SUMIFS('OB History'!E:E,'OB History'!B:B,A42)-J42</f>
        <v>24</v>
      </c>
      <c r="L42" s="88">
        <f>LOOKUP(2, 1/('OB History'!$B:$B=A42), 'OB History'!$AB:$AB)</f>
        <v>0.37777777777777777</v>
      </c>
      <c r="M42" s="34">
        <f>SUMIFS('OB History'!H:H,'OB History'!B:B,'Old Bow v2'!A42)</f>
        <v>66</v>
      </c>
      <c r="N42" s="2">
        <f>SUMIFS('OB History'!G:G,'OB History'!B:B,'Old Bow v2'!A42)-M42</f>
        <v>84</v>
      </c>
      <c r="O42" s="88">
        <f>LOOKUP(2, 1/('OB History'!$B:$B=A42), 'OB History'!$AC:$AC)</f>
        <v>0.42666666666666664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77</v>
      </c>
      <c r="E45" s="4">
        <f>AVERAGEIFS('OB History'!C:C,'OB History'!B:B,A45)</f>
        <v>15.4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1</v>
      </c>
      <c r="I45" s="88">
        <f>LOOKUP(2, 1/('OB History'!$B:$B=A45), 'OB History'!$AD:$AD)</f>
        <v>0.8</v>
      </c>
      <c r="J45" s="34">
        <f>SUMIFS('OB History'!F:F,'OB History'!B:B,A45)</f>
        <v>12</v>
      </c>
      <c r="K45" s="2">
        <f>SUMIFS('OB History'!E:E,'OB History'!B:B,A45)-J45</f>
        <v>8</v>
      </c>
      <c r="L45" s="88">
        <f>LOOKUP(2, 1/('OB History'!$B:$B=A45), 'OB History'!$AB:$AB)</f>
        <v>0.59000000000000008</v>
      </c>
      <c r="M45" s="34">
        <f>SUMIFS('OB History'!H:H,'OB History'!B:B,'Old Bow v2'!A45)</f>
        <v>43</v>
      </c>
      <c r="N45" s="2">
        <f>SUMIFS('OB History'!G:G,'OB History'!B:B,'Old Bow v2'!A45)-M45</f>
        <v>37</v>
      </c>
      <c r="O45" s="88">
        <f>LOOKUP(2, 1/('OB History'!$B:$B=A45), 'OB History'!$AC:$AC)</f>
        <v>0.51999999999999991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164</v>
      </c>
      <c r="D46" s="34">
        <f>SUMIFS('OB History'!C:C,'OB History'!B:B,A46)</f>
        <v>852</v>
      </c>
      <c r="E46" s="4">
        <f>AVERAGEIFS('OB History'!C:C,'OB History'!B:B,A46)</f>
        <v>25.058823529411764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16</v>
      </c>
      <c r="I46" s="88">
        <f>LOOKUP(2, 1/('OB History'!$B:$B=A46), 'OB History'!$AD:$AD)</f>
        <v>0.52941176470588236</v>
      </c>
      <c r="J46" s="34">
        <f>SUMIFS('OB History'!F:F,'OB History'!B:B,A46)</f>
        <v>72</v>
      </c>
      <c r="K46" s="2">
        <f>SUMIFS('OB History'!E:E,'OB History'!B:B,A46)-J46</f>
        <v>68</v>
      </c>
      <c r="L46" s="88">
        <f>LOOKUP(2, 1/('OB History'!$B:$B=A46), 'OB History'!$AB:$AB)</f>
        <v>0.52647058823529402</v>
      </c>
      <c r="M46" s="34">
        <f>SUMIFS('OB History'!H:H,'OB History'!B:B,'Old Bow v2'!A46)</f>
        <v>287</v>
      </c>
      <c r="N46" s="2">
        <f>SUMIFS('OB History'!G:G,'OB History'!B:B,'Old Bow v2'!A46)-M46</f>
        <v>289</v>
      </c>
      <c r="O46" s="88">
        <f>LOOKUP(2, 1/('OB History'!$B:$B=A46), 'OB History'!$AC:$AC)</f>
        <v>0.50794117647058834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26"/>
  <sheetViews>
    <sheetView workbookViewId="0">
      <pane ySplit="1" topLeftCell="A586" activePane="bottomLeft" state="frozen"/>
      <selection pane="bottomLeft" activeCell="F632" sqref="F63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</sheetData>
  <autoFilter ref="A1:AD60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57</v>
      </c>
      <c r="E4" s="4">
        <f>AVERAGEIFS('OB History S2'!C:C,'OB History S2'!B:B,A4)</f>
        <v>28.5</v>
      </c>
      <c r="F4" s="35">
        <f t="array" ref="F4">MAX(IF('OB History S2'!B:B=A4, 'OB History S2'!C:C))</f>
        <v>36</v>
      </c>
      <c r="G4" s="34">
        <f>COUNTIFS('OB History S2'!B:B,A4,'OB History S2'!D:D, 1)</f>
        <v>2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6</v>
      </c>
      <c r="K4" s="2">
        <f>SUMIFS('OB History S2'!E:E,'OB History S2'!B:B,A4)-J4</f>
        <v>3</v>
      </c>
      <c r="L4" s="88">
        <f>LOOKUP(2, 1/('OB History S2'!$B:$B=A4), 'OB History S2'!$AB:$AB)</f>
        <v>0.67500000000000004</v>
      </c>
      <c r="M4" s="34">
        <f>SUMIFS('OB History S2'!H:H,'OB History S2'!B:B,A4)</f>
        <v>23</v>
      </c>
      <c r="N4" s="2">
        <f>SUMIFS('OB History S2'!G:G,'OB History S2'!B:B,A4)-M4</f>
        <v>13</v>
      </c>
      <c r="O4" s="88">
        <f>LOOKUP(2, 1/('OB History S2'!$B:$B=A4), 'OB History S2'!$AC:$AC)</f>
        <v>0.64500000000000002</v>
      </c>
      <c r="P4" s="2">
        <f>COUNTIFS('OB History S2'!$B:$B,$A$4,'OB History S2'!K:K, 1)</f>
        <v>0</v>
      </c>
      <c r="Q4" s="2">
        <f>COUNTIFS('OB History S2'!$B:$B,$A$4,'OB History S2'!L:L, 1)</f>
        <v>1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79</v>
      </c>
      <c r="E6" s="4">
        <f>AVERAGEIFS('OB History S2'!C:C,'OB History S2'!B:B,A6)</f>
        <v>13.166666666666666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5</v>
      </c>
      <c r="I6" s="88">
        <f>LOOKUP(2, 1/('OB History S2'!$B:$B=A6), 'OB History S2'!$AD:$AD)</f>
        <v>0.16666666666666666</v>
      </c>
      <c r="J6" s="34">
        <f>SUMIFS('OB History S2'!F:F,'OB History S2'!B:B,A6)</f>
        <v>8</v>
      </c>
      <c r="K6" s="2">
        <f>SUMIFS('OB History S2'!E:E,'OB History S2'!B:B,A6)-J6</f>
        <v>16</v>
      </c>
      <c r="L6" s="88">
        <f>LOOKUP(2, 1/('OB History S2'!$B:$B=A6), 'OB History S2'!$AB:$AB)</f>
        <v>0.31666666666666665</v>
      </c>
      <c r="M6" s="34">
        <f>SUMIFS('OB History S2'!H:H,'OB History S2'!B:B,A6)</f>
        <v>36</v>
      </c>
      <c r="N6" s="2">
        <f>SUMIFS('OB History S2'!G:G,'OB History S2'!B:B,A6)-M6</f>
        <v>56</v>
      </c>
      <c r="O6" s="88">
        <f>LOOKUP(2, 1/('OB History S2'!$B:$B=A6), 'OB History S2'!$AC:$AC)</f>
        <v>0.37999999999999995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139</v>
      </c>
      <c r="E24" s="4">
        <f>AVERAGEIFS('OB History S2'!C:C,'OB History S2'!B:B,A24)</f>
        <v>13.9</v>
      </c>
      <c r="F24" s="35">
        <f t="array" ref="F24">MAX(IF('OB History S2'!B:B=A24, 'OB History S2'!C:C))</f>
        <v>23</v>
      </c>
      <c r="G24" s="34">
        <f>COUNTIFS('OB History S2'!B:B,A24,'OB History S2'!D:D, 1)</f>
        <v>6</v>
      </c>
      <c r="H24" s="2">
        <f>COUNTIFS('OB History S2'!B:B,A24,'OB History S2'!D:D, 0)</f>
        <v>4</v>
      </c>
      <c r="I24" s="88">
        <f>LOOKUP(2, 1/('OB History S2'!$B:$B=A24), 'OB History S2'!$AD:$AD)</f>
        <v>0.6</v>
      </c>
      <c r="J24" s="34">
        <f>SUMIFS('OB History S2'!F:F,'OB History S2'!B:B,A24)</f>
        <v>23</v>
      </c>
      <c r="K24" s="2">
        <f>SUMIFS('OB History S2'!E:E,'OB History S2'!B:B,A24)-J24</f>
        <v>18</v>
      </c>
      <c r="L24" s="88">
        <f>LOOKUP(2, 1/('OB History S2'!$B:$B=A24), 'OB History S2'!$AB:$AB)</f>
        <v>0.58500000000000008</v>
      </c>
      <c r="M24" s="34">
        <f>SUMIFS('OB History S2'!H:H,'OB History S2'!B:B,A24)</f>
        <v>84</v>
      </c>
      <c r="N24" s="2">
        <f>SUMIFS('OB History S2'!G:G,'OB History S2'!B:B,A24)-M24</f>
        <v>73</v>
      </c>
      <c r="O24" s="88">
        <f>LOOKUP(2, 1/('OB History S2'!$B:$B=A24), 'OB History S2'!$AC:$AC)</f>
        <v>0.54399999999999993</v>
      </c>
      <c r="P24" s="2">
        <f>COUNTIFS('OB History S2'!$B:$B,$A$24,'OB History S2'!K:K, 1)</f>
        <v>0</v>
      </c>
      <c r="Q24" s="2">
        <f>COUNTIFS('OB History S2'!$B:$B,$A$24,'OB History S2'!L:L, 1)</f>
        <v>3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5</v>
      </c>
      <c r="AE24" s="2">
        <f>COUNTIFS('OB History S2'!$B:$B,$A$24,'OB History S2'!Z:Z, 1)</f>
        <v>1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224</v>
      </c>
      <c r="E26" s="4">
        <f>AVERAGEIFS('OB History S2'!C:C,'OB History S2'!B:B,A26)</f>
        <v>22.4</v>
      </c>
      <c r="F26" s="35">
        <f t="array" ref="F26">MAX(IF('OB History S2'!B:B=A26, 'OB History S2'!C:C))</f>
        <v>35</v>
      </c>
      <c r="G26" s="34">
        <f>COUNTIFS('OB History S2'!B:B,A26,'OB History S2'!D:D, 1)</f>
        <v>8</v>
      </c>
      <c r="H26" s="2">
        <f>COUNTIFS('OB History S2'!B:B,A26,'OB History S2'!D:D, 0)</f>
        <v>2</v>
      </c>
      <c r="I26" s="88">
        <f>LOOKUP(2, 1/('OB History S2'!$B:$B=A26), 'OB History S2'!$AD:$AD)</f>
        <v>0.8</v>
      </c>
      <c r="J26" s="34">
        <f>SUMIFS('OB History S2'!F:F,'OB History S2'!B:B,A26)</f>
        <v>27</v>
      </c>
      <c r="K26" s="2">
        <f>SUMIFS('OB History S2'!E:E,'OB History S2'!B:B,A26)-J26</f>
        <v>14</v>
      </c>
      <c r="L26" s="88">
        <f>LOOKUP(2, 1/('OB History S2'!$B:$B=A26), 'OB History S2'!$AB:$AB)</f>
        <v>0.68499999999999994</v>
      </c>
      <c r="M26" s="34">
        <f>SUMIFS('OB History S2'!H:H,'OB History S2'!B:B,A26)</f>
        <v>97</v>
      </c>
      <c r="N26" s="2">
        <f>SUMIFS('OB History S2'!G:G,'OB History S2'!B:B,A26)-M26</f>
        <v>60</v>
      </c>
      <c r="O26" s="88">
        <f>LOOKUP(2, 1/('OB History S2'!$B:$B=A26), 'OB History S2'!$AC:$AC)</f>
        <v>0.62900000000000011</v>
      </c>
      <c r="P26" s="2">
        <f>COUNTIFS('OB History S2'!$B:$B,$A$26,'OB History S2'!K:K, 1)</f>
        <v>2</v>
      </c>
      <c r="Q26" s="2">
        <f>COUNTIFS('OB History S2'!$B:$B,$A$26,'OB History S2'!L:L, 1)</f>
        <v>3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1</v>
      </c>
      <c r="X26" s="2">
        <f>COUNTIFS('OB History S2'!$B:$B,$A$26,'OB History S2'!S:S, 1)</f>
        <v>0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6</v>
      </c>
      <c r="AE26" s="2">
        <f>COUNTIFS('OB History S2'!$B:$B,$A$26,'OB History S2'!Z:Z, 1)</f>
        <v>2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103</v>
      </c>
      <c r="E29" s="4">
        <f>AVERAGEIFS('OB History S2'!C:C,'OB History S2'!B:B,A29)</f>
        <v>17.166666666666668</v>
      </c>
      <c r="F29" s="35">
        <f t="array" ref="F29">MAX(IF('OB History S2'!B:B=A29, 'OB History S2'!C:C))</f>
        <v>25</v>
      </c>
      <c r="G29" s="34">
        <f>COUNTIFS('OB History S2'!B:B,A29,'OB History S2'!D:D, 1)</f>
        <v>2</v>
      </c>
      <c r="H29" s="2">
        <f>COUNTIFS('OB History S2'!B:B,A29,'OB History S2'!D:D, 0)</f>
        <v>4</v>
      </c>
      <c r="I29" s="88">
        <f>LOOKUP(2, 1/('OB History S2'!$B:$B=A29), 'OB History S2'!$AD:$AD)</f>
        <v>0.33333333333333331</v>
      </c>
      <c r="J29" s="34">
        <f>SUMIFS('OB History S2'!F:F,'OB History S2'!B:B,A29)</f>
        <v>11</v>
      </c>
      <c r="K29" s="2">
        <f>SUMIFS('OB History S2'!E:E,'OB History S2'!B:B,A29)-J29</f>
        <v>14</v>
      </c>
      <c r="L29" s="88">
        <f>LOOKUP(2, 1/('OB History S2'!$B:$B=A29), 'OB History S2'!$AB:$AB)</f>
        <v>0.44166666666666665</v>
      </c>
      <c r="M29" s="34">
        <f>SUMIFS('OB History S2'!H:H,'OB History S2'!B:B,A29)</f>
        <v>41</v>
      </c>
      <c r="N29" s="2">
        <f>SUMIFS('OB History S2'!G:G,'OB History S2'!B:B,A29)-M29</f>
        <v>56</v>
      </c>
      <c r="O29" s="88">
        <f>LOOKUP(2, 1/('OB History S2'!$B:$B=A29), 'OB History S2'!$AC:$AC)</f>
        <v>0.41333333333333333</v>
      </c>
      <c r="P29" s="2">
        <f>COUNTIFS('OB History S2'!$B:$B,$A$29,'OB History S2'!K:K, 1)</f>
        <v>0</v>
      </c>
      <c r="Q29" s="2">
        <f>COUNTIFS('OB History S2'!$B:$B,$A$29,'OB History S2'!L:L, 1)</f>
        <v>2</v>
      </c>
      <c r="R29" s="2">
        <f>COUNTIFS('OB History S2'!$B:$B,$A$29,'OB History S2'!M:M, 1)</f>
        <v>0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1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24</v>
      </c>
      <c r="E30" s="4">
        <f>AVERAGEIFS('OB History S2'!C:C,'OB History S2'!B:B,A30)</f>
        <v>12</v>
      </c>
      <c r="F30" s="35">
        <f t="array" ref="F30">MAX(IF('OB History S2'!B:B=A30, 'OB History S2'!C:C))</f>
        <v>17</v>
      </c>
      <c r="G30" s="34">
        <f>COUNTIFS('OB History S2'!B:B,A30,'OB History S2'!D:D, 1)</f>
        <v>0</v>
      </c>
      <c r="H30" s="2">
        <f>COUNTIFS('OB History S2'!B:B,A30,'OB History S2'!D:D, 0)</f>
        <v>2</v>
      </c>
      <c r="I30" s="88">
        <f>LOOKUP(2, 1/('OB History S2'!$B:$B=A30), 'OB History S2'!$AD:$AD)</f>
        <v>0</v>
      </c>
      <c r="J30" s="34">
        <f>SUMIFS('OB History S2'!F:F,'OB History S2'!B:B,A30)</f>
        <v>0</v>
      </c>
      <c r="K30" s="2">
        <f>SUMIFS('OB History S2'!E:E,'OB History S2'!B:B,A30)-J30</f>
        <v>6</v>
      </c>
      <c r="L30" s="88">
        <f>LOOKUP(2, 1/('OB History S2'!$B:$B=A30), 'OB History S2'!$AB:$AB)</f>
        <v>0</v>
      </c>
      <c r="M30" s="34">
        <f>SUMIFS('OB History S2'!H:H,'OB History S2'!B:B,A30)</f>
        <v>6</v>
      </c>
      <c r="N30" s="2">
        <f>SUMIFS('OB History S2'!G:G,'OB History S2'!B:B,A30)-M30</f>
        <v>18</v>
      </c>
      <c r="O30" s="88">
        <f>LOOKUP(2, 1/('OB History S2'!$B:$B=A30), 'OB History S2'!$AC:$AC)</f>
        <v>0.245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110</v>
      </c>
      <c r="E32" s="4">
        <f>AVERAGEIFS('OB History S2'!C:C,'OB History S2'!B:B,A32)</f>
        <v>15.714285714285714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6</v>
      </c>
      <c r="I32" s="88">
        <f>LOOKUP(2, 1/('OB History S2'!$B:$B=A32), 'OB History S2'!$AD:$AD)</f>
        <v>0.14285714285714285</v>
      </c>
      <c r="J32" s="34">
        <f>SUMIFS('OB History S2'!F:F,'OB History S2'!B:B,A32)</f>
        <v>10</v>
      </c>
      <c r="K32" s="2">
        <f>SUMIFS('OB History S2'!E:E,'OB History S2'!B:B,A32)-J32</f>
        <v>20</v>
      </c>
      <c r="L32" s="88">
        <f>LOOKUP(2, 1/('OB History S2'!$B:$B=A32), 'OB History S2'!$AB:$AB)</f>
        <v>0.32142857142857145</v>
      </c>
      <c r="M32" s="34">
        <f>SUMIFS('OB History S2'!H:H,'OB History S2'!B:B,A32)</f>
        <v>44</v>
      </c>
      <c r="N32" s="2">
        <f>SUMIFS('OB History S2'!G:G,'OB History S2'!B:B,A32)-M32</f>
        <v>68</v>
      </c>
      <c r="O32" s="88">
        <f>LOOKUP(2, 1/('OB History S2'!$B:$B=A32), 'OB History S2'!$AC:$AC)</f>
        <v>0.38142857142857139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1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0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52</v>
      </c>
      <c r="E33" s="4">
        <f>AVERAGEIFS('OB History S2'!C:C,'OB History S2'!B:B,A33)</f>
        <v>26</v>
      </c>
      <c r="F33" s="35">
        <f t="array" ref="F33">MAX(IF('OB History S2'!B:B=A33, 'OB History S2'!C:C))</f>
        <v>42</v>
      </c>
      <c r="G33" s="34">
        <f>COUNTIFS('OB History S2'!B:B,A33,'OB History S2'!D:D, 1)</f>
        <v>1</v>
      </c>
      <c r="H33" s="2">
        <f>COUNTIFS('OB History S2'!B:B,A33,'OB History S2'!D:D, 0)</f>
        <v>1</v>
      </c>
      <c r="I33" s="88">
        <f>LOOKUP(2, 1/('OB History S2'!$B:$B=A33), 'OB History S2'!$AD:$AD)</f>
        <v>0.5</v>
      </c>
      <c r="J33" s="34">
        <f>SUMIFS('OB History S2'!F:F,'OB History S2'!B:B,A33)</f>
        <v>3</v>
      </c>
      <c r="K33" s="2">
        <f>SUMIFS('OB History S2'!E:E,'OB History S2'!B:B,A33)-J33</f>
        <v>5</v>
      </c>
      <c r="L33" s="88">
        <f>LOOKUP(2, 1/('OB History S2'!$B:$B=A33), 'OB History S2'!$AB:$AB)</f>
        <v>0.3</v>
      </c>
      <c r="M33" s="34">
        <f>SUMIFS('OB History S2'!H:H,'OB History S2'!B:B,A33)</f>
        <v>17</v>
      </c>
      <c r="N33" s="2">
        <f>SUMIFS('OB History S2'!G:G,'OB History S2'!B:B,A33)-M33</f>
        <v>17</v>
      </c>
      <c r="O33" s="88">
        <f>LOOKUP(2, 1/('OB History S2'!$B:$B=A33), 'OB History S2'!$AC:$AC)</f>
        <v>0.46499999999999997</v>
      </c>
      <c r="P33" s="2">
        <f>COUNTIFS('OB History S2'!$B:$B,$A$33,'OB History S2'!K:K, 1)</f>
        <v>0</v>
      </c>
      <c r="Q33" s="2">
        <f>COUNTIFS('OB History S2'!$B:$B,$A$33,'OB History S2'!L:L, 1)</f>
        <v>0</v>
      </c>
      <c r="R33" s="2">
        <f>COUNTIFS('OB History S2'!$B:$B,$A$33,'OB History S2'!M:M, 1)</f>
        <v>1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0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0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69</v>
      </c>
      <c r="E35" s="4">
        <f>AVERAGEIFS('OB History S2'!C:C,'OB History S2'!B:B,A35)</f>
        <v>17.25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1</v>
      </c>
      <c r="I35" s="88">
        <f>LOOKUP(2, 1/('OB History S2'!$B:$B=A35), 'OB History S2'!$AD:$AD)</f>
        <v>0.75</v>
      </c>
      <c r="J35" s="34">
        <f>SUMIFS('OB History S2'!F:F,'OB History S2'!B:B,A35)</f>
        <v>9</v>
      </c>
      <c r="K35" s="2">
        <f>SUMIFS('OB History S2'!E:E,'OB History S2'!B:B,A35)-J35</f>
        <v>6</v>
      </c>
      <c r="L35" s="88">
        <f>LOOKUP(2, 1/('OB History S2'!$B:$B=A35), 'OB History S2'!$AB:$AB)</f>
        <v>0.58750000000000002</v>
      </c>
      <c r="M35" s="34">
        <f>SUMIFS('OB History S2'!H:H,'OB History S2'!B:B,A35)</f>
        <v>31</v>
      </c>
      <c r="N35" s="2">
        <f>SUMIFS('OB History S2'!G:G,'OB History S2'!B:B,A35)-M35</f>
        <v>28</v>
      </c>
      <c r="O35" s="88">
        <f>LOOKUP(2, 1/('OB History S2'!$B:$B=A35), 'OB History S2'!$AC:$AC)</f>
        <v>0.50749999999999995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155</v>
      </c>
      <c r="E36" s="4">
        <f>AVERAGEIFS('OB History S2'!C:C,'OB History S2'!B:B,A36)</f>
        <v>22.142857142857142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5</v>
      </c>
      <c r="I36" s="88">
        <f>LOOKUP(2, 1/('OB History S2'!$B:$B=A36), 'OB History S2'!$AD:$AD)</f>
        <v>0.2857142857142857</v>
      </c>
      <c r="J36" s="34">
        <f>SUMIFS('OB History S2'!F:F,'OB History S2'!B:B,A36)</f>
        <v>12</v>
      </c>
      <c r="K36" s="2">
        <f>SUMIFS('OB History S2'!E:E,'OB History S2'!B:B,A36)-J36</f>
        <v>16</v>
      </c>
      <c r="L36" s="88">
        <f>LOOKUP(2, 1/('OB History S2'!$B:$B=A36), 'OB History S2'!$AB:$AB)</f>
        <v>0.43571428571428567</v>
      </c>
      <c r="M36" s="34">
        <f>SUMIFS('OB History S2'!H:H,'OB History S2'!B:B,A36)</f>
        <v>47</v>
      </c>
      <c r="N36" s="2">
        <f>SUMIFS('OB History S2'!G:G,'OB History S2'!B:B,A36)-M36</f>
        <v>60</v>
      </c>
      <c r="O36" s="88">
        <f>LOOKUP(2, 1/('OB History S2'!$B:$B=A36), 'OB History S2'!$AC:$AC)</f>
        <v>0.45857142857142857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48</v>
      </c>
      <c r="E37" s="4">
        <f>AVERAGEIFS('OB History S2'!C:C,'OB History S2'!B:B,A37)</f>
        <v>24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1</v>
      </c>
      <c r="I37" s="88">
        <f>LOOKUP(2, 1/('OB History S2'!$B:$B=A37), 'OB History S2'!$AD:$AD)</f>
        <v>0.5</v>
      </c>
      <c r="J37" s="34">
        <f>SUMIFS('OB History S2'!F:F,'OB History S2'!B:B,A37)</f>
        <v>3</v>
      </c>
      <c r="K37" s="2">
        <f>SUMIFS('OB History S2'!E:E,'OB History S2'!B:B,A37)-J37</f>
        <v>5</v>
      </c>
      <c r="L37" s="88">
        <f>LOOKUP(2, 1/('OB History S2'!$B:$B=A37), 'OB History S2'!$AB:$AB)</f>
        <v>0.3</v>
      </c>
      <c r="M37" s="34">
        <f>SUMIFS('OB History S2'!H:H,'OB History S2'!B:B,A37)</f>
        <v>13</v>
      </c>
      <c r="N37" s="2">
        <f>SUMIFS('OB History S2'!G:G,'OB History S2'!B:B,A37)-M37</f>
        <v>19</v>
      </c>
      <c r="O37" s="88">
        <f>LOOKUP(2, 1/('OB History S2'!$B:$B=A37), 'OB History S2'!$AC:$AC)</f>
        <v>0.35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0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0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92" activePane="bottomLeft" state="frozen"/>
      <selection pane="bottomLeft" activeCell="C141" sqref="C1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37" sqref="B3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251</v>
      </c>
      <c r="D5" s="66">
        <f>AVERAGEIFS('BA History'!C:C,'BA History'!B:B,A5)</f>
        <v>11.952380952380953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11</v>
      </c>
      <c r="H5" s="75">
        <f>LOOKUP(2, 1/('BA History'!$B:$B=A5), 'BA History'!$AJ:$AJ)</f>
        <v>0.47619047619047616</v>
      </c>
      <c r="I5" s="34">
        <f>SUMIFS('BA History'!F:F,'BA History'!B:B,A5)</f>
        <v>41</v>
      </c>
      <c r="J5" s="2">
        <f>SUMIFS('BA History'!E:E,'BA History'!B:B,A5)-I5</f>
        <v>46</v>
      </c>
      <c r="K5" s="75">
        <f>LOOKUP(2, 1/('BA History'!$B:$B=A5), 'BA History'!$AH:$AH)</f>
        <v>0.44761904761904764</v>
      </c>
      <c r="L5" s="34">
        <f>SUMIFS('BA History'!H:H,'BA History'!B:B,A5)</f>
        <v>171</v>
      </c>
      <c r="M5" s="2">
        <f>SUMIFS('BA History'!G:G,'BA History'!B:B,A5)-L5</f>
        <v>184</v>
      </c>
      <c r="N5" s="89">
        <f>LOOKUP(2, 1/('BA History'!$B:$B=A5), 'BA History'!$AI:$AI)</f>
        <v>0.47000000000000003</v>
      </c>
      <c r="O5" s="2">
        <f>COUNTIFS('BA History'!$B:$B,$A$5,'BA History'!K:K, 1)</f>
        <v>2</v>
      </c>
      <c r="P5" s="2">
        <f>COUNTIFS('BA History'!$B:$B,$A$5,'BA History'!L:L, 1)</f>
        <v>4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616</v>
      </c>
      <c r="D9" s="66">
        <f>AVERAGEIFS('BA History'!C:C,'BA History'!B:B,A9)</f>
        <v>19.870967741935484</v>
      </c>
      <c r="E9" s="35">
        <f t="array" ref="E9">MAX(IF('BA History'!B:B=A9, 'BA History'!C:C))</f>
        <v>40</v>
      </c>
      <c r="F9" s="34">
        <f>COUNTIFS('BA History'!B:B,A9,'BA History'!D:D, 1)</f>
        <v>14</v>
      </c>
      <c r="G9" s="2">
        <f>COUNTIFS('BA History'!B:B,A9,'BA History'!D:D, 0)</f>
        <v>17</v>
      </c>
      <c r="H9" s="75">
        <f>LOOKUP(2, 1/('BA History'!$B:$B=A9), 'BA History'!$AJ:$AJ)</f>
        <v>0.45161290322580644</v>
      </c>
      <c r="I9" s="34">
        <f>SUMIFS('BA History'!F:F,'BA History'!B:B,A9)</f>
        <v>59</v>
      </c>
      <c r="J9" s="2">
        <f>SUMIFS('BA History'!E:E,'BA History'!B:B,A9)-I9</f>
        <v>71</v>
      </c>
      <c r="K9" s="75">
        <f>LOOKUP(2, 1/('BA History'!$B:$B=A9), 'BA History'!$AH:$AH)</f>
        <v>0.44354838709677413</v>
      </c>
      <c r="L9" s="34">
        <f>SUMIFS('BA History'!H:H,'BA History'!B:B,A9)</f>
        <v>249</v>
      </c>
      <c r="M9" s="2">
        <f>SUMIFS('BA History'!G:G,'BA History'!B:B,A9)-L9</f>
        <v>290</v>
      </c>
      <c r="N9" s="89">
        <f>LOOKUP(2, 1/('BA History'!$B:$B=A9), 'BA History'!$AI:$AI)</f>
        <v>0.45322580645161287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5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47</v>
      </c>
      <c r="D12" s="66">
        <f>AVERAGEIFS('BA History'!C:C,'BA History'!B:B,A12)</f>
        <v>7.833333333333333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5</v>
      </c>
      <c r="H12" s="75">
        <f>LOOKUP(2, 1/('BA History'!$B:$B=A12), 'BA History'!$AJ:$AJ)</f>
        <v>0.16666666666666666</v>
      </c>
      <c r="I12" s="34">
        <f>SUMIFS('BA History'!F:F,'BA History'!B:B,A12)</f>
        <v>5</v>
      </c>
      <c r="J12" s="2">
        <f>SUMIFS('BA History'!E:E,'BA History'!B:B,A12)-I12</f>
        <v>15</v>
      </c>
      <c r="K12" s="75">
        <f>LOOKUP(2, 1/('BA History'!$B:$B=A12), 'BA History'!$AH:$AH)</f>
        <v>0.25</v>
      </c>
      <c r="L12" s="34">
        <f>SUMIFS('BA History'!H:H,'BA History'!B:B,A12)</f>
        <v>27</v>
      </c>
      <c r="M12" s="2">
        <f>SUMIFS('BA History'!G:G,'BA History'!B:B,A12)-L12</f>
        <v>52</v>
      </c>
      <c r="N12" s="89">
        <f>LOOKUP(2, 1/('BA History'!$B:$B=A12), 'BA History'!$AI:$AI)</f>
        <v>0.3183333333333333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526</v>
      </c>
      <c r="D20" s="66">
        <f>AVERAGEIFS('BA History'!C:C,'BA History'!B:B,A20)</f>
        <v>16.967741935483872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11</v>
      </c>
      <c r="H20" s="75">
        <f>LOOKUP(2, 1/('BA History'!$B:$B=A20), 'BA History'!$AJ:$AJ)</f>
        <v>0.64516129032258063</v>
      </c>
      <c r="I20" s="34">
        <f>SUMIFS('BA History'!F:F,'BA History'!B:B,A20)</f>
        <v>68</v>
      </c>
      <c r="J20" s="2">
        <f>SUMIFS('BA History'!E:E,'BA History'!B:B,A20)-I20</f>
        <v>59</v>
      </c>
      <c r="K20" s="75">
        <f>LOOKUP(2, 1/('BA History'!$B:$B=A20), 'BA History'!$AH:$AH)</f>
        <v>0.51935483870967736</v>
      </c>
      <c r="L20" s="34">
        <f>SUMIFS('BA History'!H:H,'BA History'!B:B,A20)</f>
        <v>280</v>
      </c>
      <c r="M20" s="2">
        <f>SUMIFS('BA History'!G:G,'BA History'!B:B,A20)-L20</f>
        <v>252</v>
      </c>
      <c r="N20" s="89">
        <f>LOOKUP(2, 1/('BA History'!$B:$B=A20), 'BA History'!$AI:$AI)</f>
        <v>0.52806451612903216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6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162</v>
      </c>
      <c r="C22" s="34">
        <f>SUMIFS('BA History'!C:C,'BA History'!B:B,A22)</f>
        <v>696</v>
      </c>
      <c r="D22" s="66">
        <f>AVERAGEIFS('BA History'!C:C,'BA History'!B:B,A22)</f>
        <v>26.76923076923077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15</v>
      </c>
      <c r="H22" s="75">
        <f>LOOKUP(2, 1/('BA History'!$B:$B=A22), 'BA History'!$AJ:$AJ)</f>
        <v>0.42307692307692307</v>
      </c>
      <c r="I22" s="34">
        <f>SUMIFS('BA History'!F:F,'BA History'!B:B,A22)</f>
        <v>46</v>
      </c>
      <c r="J22" s="2">
        <f>SUMIFS('BA History'!E:E,'BA History'!B:B,A22)-I22</f>
        <v>59</v>
      </c>
      <c r="K22" s="75">
        <f>LOOKUP(2, 1/('BA History'!$B:$B=A22), 'BA History'!$AH:$AH)</f>
        <v>0.41730769230769238</v>
      </c>
      <c r="L22" s="34">
        <f>SUMIFS('BA History'!H:H,'BA History'!B:B,A22)</f>
        <v>199</v>
      </c>
      <c r="M22" s="2">
        <f>SUMIFS('BA History'!G:G,'BA History'!B:B,A22)-L22</f>
        <v>234</v>
      </c>
      <c r="N22" s="89">
        <f>LOOKUP(2, 1/('BA History'!$B:$B=A22), 'BA History'!$AI:$AI)</f>
        <v>0.44961538461538464</v>
      </c>
      <c r="O22" s="2">
        <f>COUNTIFS('BA History'!$B:$B,$A$22,'BA History'!K:K, 1)</f>
        <v>3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115</v>
      </c>
      <c r="D24" s="66">
        <f>AVERAGEIFS('BA History'!C:C,'BA History'!B:B,A24)</f>
        <v>14.375</v>
      </c>
      <c r="E24" s="35">
        <f t="array" ref="E24">MAX(IF('BA History'!B:B=A24, 'BA History'!C:C))</f>
        <v>21</v>
      </c>
      <c r="F24" s="34">
        <f>COUNTIFS('BA History'!B:B,A24,'BA History'!D:D, 1)</f>
        <v>4</v>
      </c>
      <c r="G24" s="2">
        <f>COUNTIFS('BA History'!B:B,A24,'BA History'!D:D, 0)</f>
        <v>4</v>
      </c>
      <c r="H24" s="75">
        <f>LOOKUP(2, 1/('BA History'!$B:$B=A24), 'BA History'!$AJ:$AJ)</f>
        <v>0.5</v>
      </c>
      <c r="I24" s="34">
        <f>SUMIFS('BA History'!F:F,'BA History'!B:B,A24)</f>
        <v>19</v>
      </c>
      <c r="J24" s="2">
        <f>SUMIFS('BA History'!E:E,'BA History'!B:B,A24)-I24</f>
        <v>16</v>
      </c>
      <c r="K24" s="75">
        <f>LOOKUP(2, 1/('BA History'!$B:$B=A24), 'BA History'!$AH:$AH)</f>
        <v>0.56874999999999998</v>
      </c>
      <c r="L24" s="34">
        <f>SUMIFS('BA History'!H:H,'BA History'!B:B,A24)</f>
        <v>78</v>
      </c>
      <c r="M24" s="2">
        <f>SUMIFS('BA History'!G:G,'BA History'!B:B,A24)-L24</f>
        <v>65</v>
      </c>
      <c r="N24" s="89">
        <f>LOOKUP(2, 1/('BA History'!$B:$B=A24), 'BA History'!$AI:$AI)</f>
        <v>0.5675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1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2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162</v>
      </c>
      <c r="C25" s="34">
        <f>SUMIFS('BA History'!C:C,'BA History'!B:B,A25)</f>
        <v>494</v>
      </c>
      <c r="D25" s="66">
        <f>AVERAGEIFS('BA History'!C:C,'BA History'!B:B,A25)</f>
        <v>18.296296296296298</v>
      </c>
      <c r="E25" s="35">
        <f t="array" ref="E25">MAX(IF('BA History'!B:B=A25, 'BA History'!C:C))</f>
        <v>34</v>
      </c>
      <c r="F25" s="34">
        <f>COUNTIFS('BA History'!B:B,A25,'BA History'!D:D, 1)</f>
        <v>9</v>
      </c>
      <c r="G25" s="2">
        <f>COUNTIFS('BA History'!B:B,A25,'BA History'!D:D, 0)</f>
        <v>18</v>
      </c>
      <c r="H25" s="75">
        <f>LOOKUP(2, 1/('BA History'!$B:$B=A25), 'BA History'!$AJ:$AJ)</f>
        <v>0.33333333333333331</v>
      </c>
      <c r="I25" s="34">
        <f>SUMIFS('BA History'!F:F,'BA History'!B:B,A25)</f>
        <v>48</v>
      </c>
      <c r="J25" s="2">
        <f>SUMIFS('BA History'!E:E,'BA History'!B:B,A25)-I25</f>
        <v>67</v>
      </c>
      <c r="K25" s="75">
        <f>LOOKUP(2, 1/('BA History'!$B:$B=A25), 'BA History'!$AH:$AH)</f>
        <v>0.39999999999999997</v>
      </c>
      <c r="L25" s="34">
        <f>SUMIFS('BA History'!H:H,'BA History'!B:B,A25)</f>
        <v>221</v>
      </c>
      <c r="M25" s="2">
        <f>SUMIFS('BA History'!G:G,'BA History'!B:B,A25)-L25</f>
        <v>262</v>
      </c>
      <c r="N25" s="89">
        <f>LOOKUP(2, 1/('BA History'!$B:$B=A25), 'BA History'!$AI:$AI)</f>
        <v>0.44814814814814818</v>
      </c>
      <c r="O25" s="2">
        <f>COUNTIFS('BA History'!$B:$B,$A$25,'BA History'!K:K, 1)</f>
        <v>6</v>
      </c>
      <c r="P25" s="2">
        <f>COUNTIFS('BA History'!$B:$B,$A$25,'BA History'!L:L, 1)</f>
        <v>3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290</v>
      </c>
      <c r="D27" s="66">
        <f>AVERAGEIFS('BA History'!C:C,'BA History'!B:B,A27)</f>
        <v>16.111111111111111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9</v>
      </c>
      <c r="H27" s="75">
        <f>LOOKUP(2, 1/('BA History'!$B:$B=A27), 'BA History'!$AJ:$AJ)</f>
        <v>0.5</v>
      </c>
      <c r="I27" s="34">
        <f>SUMIFS('BA History'!F:F,'BA History'!B:B,A27)</f>
        <v>37</v>
      </c>
      <c r="J27" s="2">
        <f>SUMIFS('BA History'!E:E,'BA History'!B:B,A27)-I27</f>
        <v>32</v>
      </c>
      <c r="K27" s="75">
        <f>LOOKUP(2, 1/('BA History'!$B:$B=A27), 'BA History'!$AH:$AH)</f>
        <v>0.55277777777777781</v>
      </c>
      <c r="L27" s="34">
        <f>SUMIFS('BA History'!H:H,'BA History'!B:B,A27)</f>
        <v>143</v>
      </c>
      <c r="M27" s="2">
        <f>SUMIFS('BA History'!G:G,'BA History'!B:B,A27)-L27</f>
        <v>136</v>
      </c>
      <c r="N27" s="89">
        <f>LOOKUP(2, 1/('BA History'!$B:$B=A27), 'BA History'!$AI:$AI)</f>
        <v>0.52111111111111119</v>
      </c>
      <c r="O27" s="2">
        <f>COUNTIFS('BA History'!$B:$B,$A$27,'BA History'!K:K, 1)</f>
        <v>2</v>
      </c>
      <c r="P27" s="2">
        <f>COUNTIFS('BA History'!$B:$B,$A$27,'BA History'!L:L, 1)</f>
        <v>4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162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2</v>
      </c>
      <c r="B35" s="1" t="s">
        <v>162</v>
      </c>
      <c r="C35" s="34">
        <f>SUMIFS('BA History'!C:C,'BA History'!B:B,A35)</f>
        <v>795</v>
      </c>
      <c r="D35" s="66">
        <f>AVERAGEIFS('BA History'!C:C,'BA History'!B:B,A35)</f>
        <v>24.09090909090909</v>
      </c>
      <c r="E35" s="35">
        <f t="array" ref="E35">MAX(IF('BA History'!B:B=A35, 'BA History'!C:C))</f>
        <v>43</v>
      </c>
      <c r="F35" s="34">
        <f>COUNTIFS('BA History'!B:B,A35,'BA History'!D:D, 1)</f>
        <v>18</v>
      </c>
      <c r="G35" s="2">
        <f>COUNTIFS('BA History'!B:B,A35,'BA History'!D:D, 0)</f>
        <v>15</v>
      </c>
      <c r="H35" s="75">
        <f>LOOKUP(2, 1/('BA History'!$B:$B=A35), 'BA History'!$AJ:$AJ)</f>
        <v>0.54545454545454541</v>
      </c>
      <c r="I35" s="34">
        <f>SUMIFS('BA History'!F:F,'BA History'!B:B,A35)</f>
        <v>70</v>
      </c>
      <c r="J35" s="2">
        <f>SUMIFS('BA History'!E:E,'BA History'!B:B,A35)-I35</f>
        <v>58</v>
      </c>
      <c r="K35" s="75">
        <f>LOOKUP(2, 1/('BA History'!$B:$B=A35), 'BA History'!$AH:$AH)</f>
        <v>0.55999999999999994</v>
      </c>
      <c r="L35" s="34">
        <f>SUMIFS('BA History'!H:H,'BA History'!B:B,A35)</f>
        <v>286</v>
      </c>
      <c r="M35" s="2">
        <f>SUMIFS('BA History'!G:G,'BA History'!B:B,A35)-L35</f>
        <v>244</v>
      </c>
      <c r="N35" s="89">
        <f>LOOKUP(2, 1/('BA History'!$B:$B=A35), 'BA History'!$AI:$AI)</f>
        <v>0.55818181818181822</v>
      </c>
      <c r="O35" s="2">
        <f>COUNTIFS('BA History'!$B:$B,$A$35,'BA History'!K:K, 1)</f>
        <v>4</v>
      </c>
      <c r="P35" s="2">
        <f>COUNTIFS('BA History'!$B:$B,$A$35,'BA History'!L:L, 1)</f>
        <v>2</v>
      </c>
      <c r="Q35" s="2">
        <f>COUNTIFS('BA History'!$B:$B,$A$35,'BA History'!M:M, 1)</f>
        <v>5</v>
      </c>
      <c r="R35" s="2">
        <f>COUNTIFS('BA History'!$B:$B,$A$35,'BA History'!N:N, 1)</f>
        <v>8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2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9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4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1165</v>
      </c>
      <c r="D36" s="66">
        <f>AVERAGEIFS('BA History'!C:C,'BA History'!B:B,A36)</f>
        <v>23.775510204081634</v>
      </c>
      <c r="E36" s="35">
        <f t="array" ref="E36">MAX(IF('BA History'!B:B=A36, 'BA History'!C:C))</f>
        <v>37</v>
      </c>
      <c r="F36" s="34">
        <f>COUNTIFS('BA History'!B:B,A36,'BA History'!D:D, 1)</f>
        <v>28</v>
      </c>
      <c r="G36" s="2">
        <f>COUNTIFS('BA History'!B:B,A36,'BA History'!D:D, 0)</f>
        <v>21</v>
      </c>
      <c r="H36" s="75">
        <f>LOOKUP(2, 1/('BA History'!$B:$B=A36), 'BA History'!$AJ:$AJ)</f>
        <v>0.5714285714285714</v>
      </c>
      <c r="I36" s="34">
        <f>SUMIFS('BA History'!F:F,'BA History'!B:B,A36)</f>
        <v>108</v>
      </c>
      <c r="J36" s="2">
        <f>SUMIFS('BA History'!E:E,'BA History'!B:B,A36)-I36</f>
        <v>90</v>
      </c>
      <c r="K36" s="75">
        <f>LOOKUP(2, 1/('BA History'!$B:$B=A36), 'BA History'!$AH:$AH)</f>
        <v>0.55142857142857149</v>
      </c>
      <c r="L36" s="34">
        <f>SUMIFS('BA History'!H:H,'BA History'!B:B,A36)</f>
        <v>425</v>
      </c>
      <c r="M36" s="2">
        <f>SUMIFS('BA History'!G:G,'BA History'!B:B,A36)-L36</f>
        <v>396</v>
      </c>
      <c r="N36" s="89">
        <f>LOOKUP(2, 1/('BA History'!$B:$B=A36), 'BA History'!$AI:$AI)</f>
        <v>0.52244897959183667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9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4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10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x14ac:dyDescent="0.25">
      <c r="A37" s="2" t="s">
        <v>5</v>
      </c>
      <c r="B37" s="1" t="s">
        <v>162</v>
      </c>
      <c r="C37" s="34">
        <f>SUMIFS('BA History'!C:C,'BA History'!B:B,A37)</f>
        <v>356</v>
      </c>
      <c r="D37" s="66">
        <f>AVERAGEIFS('BA History'!C:C,'BA History'!B:B,A37)</f>
        <v>20.941176470588236</v>
      </c>
      <c r="E37" s="35">
        <f t="array" ref="E37">MAX(IF('BA History'!B:B=A37, 'BA History'!C:C))</f>
        <v>36</v>
      </c>
      <c r="F37" s="34">
        <f>COUNTIFS('BA History'!B:B,A37,'BA History'!D:D, 1)</f>
        <v>14</v>
      </c>
      <c r="G37" s="2">
        <f>COUNTIFS('BA History'!B:B,A37,'BA History'!D:D, 0)</f>
        <v>3</v>
      </c>
      <c r="H37" s="75">
        <f>LOOKUP(2, 1/('BA History'!$B:$B=A37), 'BA History'!$AJ:$AJ)</f>
        <v>0.82352941176470584</v>
      </c>
      <c r="I37" s="34">
        <f>SUMIFS('BA History'!F:F,'BA History'!B:B,A37)</f>
        <v>43</v>
      </c>
      <c r="J37" s="2">
        <f>SUMIFS('BA History'!E:E,'BA History'!B:B,A37)-I37</f>
        <v>23</v>
      </c>
      <c r="K37" s="75">
        <f>LOOKUP(2, 1/('BA History'!$B:$B=A37), 'BA History'!$AH:$AH)</f>
        <v>0.65999999999999992</v>
      </c>
      <c r="L37" s="34">
        <f>SUMIFS('BA History'!H:H,'BA History'!B:B,A37)</f>
        <v>161</v>
      </c>
      <c r="M37" s="2">
        <f>SUMIFS('BA History'!G:G,'BA History'!B:B,A37)-L37</f>
        <v>125</v>
      </c>
      <c r="N37" s="89">
        <f>LOOKUP(2, 1/('BA History'!$B:$B=A37), 'BA History'!$AI:$AI)</f>
        <v>0.57470588235294118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2</v>
      </c>
      <c r="R37" s="2">
        <f>COUNTIFS('BA History'!$B:$B,$A$37,'BA History'!N:N, 1)</f>
        <v>6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4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97</v>
      </c>
      <c r="D39" s="66">
        <f>AVERAGEIFS('BA History'!C:C,'BA History'!B:B,A39)</f>
        <v>12.125</v>
      </c>
      <c r="E39" s="35">
        <f t="array" ref="E39">MAX(IF('BA History'!B:B=A39, 'BA History'!C:C))</f>
        <v>22</v>
      </c>
      <c r="F39" s="34">
        <f>COUNTIFS('BA History'!B:B,A39,'BA History'!D:D, 1)</f>
        <v>4</v>
      </c>
      <c r="G39" s="2">
        <f>COUNTIFS('BA History'!B:B,A39,'BA History'!D:D, 0)</f>
        <v>4</v>
      </c>
      <c r="H39" s="75">
        <f>LOOKUP(2, 1/('BA History'!$B:$B=A39), 'BA History'!$AJ:$AJ)</f>
        <v>0.5</v>
      </c>
      <c r="I39" s="34">
        <f>SUMIFS('BA History'!F:F,'BA History'!B:B,A39)</f>
        <v>13</v>
      </c>
      <c r="J39" s="2">
        <f>SUMIFS('BA History'!E:E,'BA History'!B:B,A39)-I39</f>
        <v>17</v>
      </c>
      <c r="K39" s="75">
        <f>LOOKUP(2, 1/('BA History'!$B:$B=A39), 'BA History'!$AH:$AH)</f>
        <v>0.4</v>
      </c>
      <c r="L39" s="34">
        <f>SUMIFS('BA History'!H:H,'BA History'!B:B,A39)</f>
        <v>61</v>
      </c>
      <c r="M39" s="2">
        <f>SUMIFS('BA History'!G:G,'BA History'!B:B,A39)-L39</f>
        <v>63</v>
      </c>
      <c r="N39" s="89">
        <f>LOOKUP(2, 1/('BA History'!$B:$B=A39), 'BA History'!$AI:$AI)</f>
        <v>0.49000000000000005</v>
      </c>
      <c r="O39" s="2">
        <f>COUNTIFS('BA History'!$B:$B,$A$39,'BA History'!K:K, 1)</f>
        <v>2</v>
      </c>
      <c r="P39" s="2">
        <f>COUNTIFS('BA History'!$B:$B,$A$39,'BA History'!L:L, 1)</f>
        <v>2</v>
      </c>
      <c r="Q39" s="2">
        <f>COUNTIFS('BA History'!$B:$B,$A$39,'BA History'!M:M, 1)</f>
        <v>1</v>
      </c>
      <c r="R39" s="2">
        <f>COUNTIFS('BA History'!$B:$B,$A$39,'BA History'!N:N, 1)</f>
        <v>2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1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917</v>
      </c>
      <c r="D41" s="66">
        <f>AVERAGEIFS('BA History'!C:C,'BA History'!B:B,A41)</f>
        <v>18.34</v>
      </c>
      <c r="E41" s="35">
        <f t="array" ref="E41">MAX(IF('BA History'!B:B=A41, 'BA History'!C:C))</f>
        <v>37</v>
      </c>
      <c r="F41" s="34">
        <f>COUNTIFS('BA History'!B:B,A41,'BA History'!D:D, 1)</f>
        <v>22</v>
      </c>
      <c r="G41" s="2">
        <f>COUNTIFS('BA History'!B:B,A41,'BA History'!D:D, 0)</f>
        <v>28</v>
      </c>
      <c r="H41" s="75">
        <f>LOOKUP(2, 1/('BA History'!$B:$B=A41), 'BA History'!$AJ:$AJ)</f>
        <v>0.44</v>
      </c>
      <c r="I41" s="34">
        <f>SUMIFS('BA History'!F:F,'BA History'!B:B,A41)</f>
        <v>100</v>
      </c>
      <c r="J41" s="2">
        <f>SUMIFS('BA History'!E:E,'BA History'!B:B,A41)-I41</f>
        <v>106</v>
      </c>
      <c r="K41" s="75">
        <f>LOOKUP(2, 1/('BA History'!$B:$B=A41), 'BA History'!$AH:$AH)</f>
        <v>0.48999999999999988</v>
      </c>
      <c r="L41" s="34">
        <f>SUMIFS('BA History'!H:H,'BA History'!B:B,A41)</f>
        <v>413</v>
      </c>
      <c r="M41" s="2">
        <f>SUMIFS('BA History'!G:G,'BA History'!B:B,A41)-L41</f>
        <v>435</v>
      </c>
      <c r="N41" s="89">
        <f>LOOKUP(2, 1/('BA History'!$B:$B=A41), 'BA History'!$AI:$AI)</f>
        <v>0.48160000000000008</v>
      </c>
      <c r="O41" s="2">
        <f>COUNTIFS('BA History'!$B:$B,$A$41,'BA History'!K:K, 1)</f>
        <v>4</v>
      </c>
      <c r="P41" s="2">
        <f>COUNTIFS('BA History'!$B:$B,$A$41,'BA History'!L:L, 1)</f>
        <v>8</v>
      </c>
      <c r="Q41" s="2">
        <f>COUNTIFS('BA History'!$B:$B,$A$41,'BA History'!M:M, 1)</f>
        <v>12</v>
      </c>
      <c r="R41" s="2">
        <f>COUNTIFS('BA History'!$B:$B,$A$41,'BA History'!N:N, 1)</f>
        <v>12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5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6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234</v>
      </c>
      <c r="D42" s="66">
        <f>AVERAGEIFS('BA History'!C:C,'BA History'!B:B,A42)</f>
        <v>11.7</v>
      </c>
      <c r="E42" s="35">
        <f t="array" ref="E42">MAX(IF('BA History'!B:B=A42, 'BA History'!C:C))</f>
        <v>33</v>
      </c>
      <c r="F42" s="34">
        <f>COUNTIFS('BA History'!B:B,A42,'BA History'!D:D, 1)</f>
        <v>11</v>
      </c>
      <c r="G42" s="2">
        <f>COUNTIFS('BA History'!B:B,A42,'BA History'!D:D, 0)</f>
        <v>9</v>
      </c>
      <c r="H42" s="75">
        <f>LOOKUP(2, 1/('BA History'!$B:$B=A42), 'BA History'!$AJ:$AJ)</f>
        <v>0.55000000000000004</v>
      </c>
      <c r="I42" s="34">
        <f>SUMIFS('BA History'!F:F,'BA History'!B:B,A42)</f>
        <v>43</v>
      </c>
      <c r="J42" s="2">
        <f>SUMIFS('BA History'!E:E,'BA History'!B:B,A42)-I42</f>
        <v>35</v>
      </c>
      <c r="K42" s="75">
        <f>LOOKUP(2, 1/('BA History'!$B:$B=A42), 'BA History'!$AH:$AH)</f>
        <v>0.57999999999999996</v>
      </c>
      <c r="L42" s="34">
        <f>SUMIFS('BA History'!H:H,'BA History'!B:B,A42)</f>
        <v>167</v>
      </c>
      <c r="M42" s="2">
        <f>SUMIFS('BA History'!G:G,'BA History'!B:B,A42)-L42</f>
        <v>152</v>
      </c>
      <c r="N42" s="89">
        <f>LOOKUP(2, 1/('BA History'!$B:$B=A42), 'BA History'!$AI:$AI)</f>
        <v>0.54599999999999993</v>
      </c>
      <c r="O42" s="2">
        <f>COUNTIFS('BA History'!$B:$B,$A$42,'BA History'!K:K, 1)</f>
        <v>3</v>
      </c>
      <c r="P42" s="2">
        <f>COUNTIFS('BA History'!$B:$B,$A$42,'BA History'!L:L, 1)</f>
        <v>3</v>
      </c>
      <c r="Q42" s="2">
        <f>COUNTIFS('BA History'!$B:$B,$A$42,'BA History'!M:M, 1)</f>
        <v>3</v>
      </c>
      <c r="R42" s="2">
        <f>COUNTIFS('BA History'!$B:$B,$A$42,'BA History'!N:N, 1)</f>
        <v>5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1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7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4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588</v>
      </c>
      <c r="D43" s="66">
        <f>AVERAGEIFS('BA History'!C:C,'BA History'!B:B,A43)</f>
        <v>20.275862068965516</v>
      </c>
      <c r="E43" s="35">
        <f t="array" ref="E43">MAX(IF('BA History'!B:B=A43, 'BA History'!C:C))</f>
        <v>32</v>
      </c>
      <c r="F43" s="34">
        <f>COUNTIFS('BA History'!B:B,A43,'BA History'!D:D, 1)</f>
        <v>15</v>
      </c>
      <c r="G43" s="2">
        <f>COUNTIFS('BA History'!B:B,A43,'BA History'!D:D, 0)</f>
        <v>14</v>
      </c>
      <c r="H43" s="75">
        <f>LOOKUP(2, 1/('BA History'!$B:$B=A43), 'BA History'!$AJ:$AJ)</f>
        <v>0.51724137931034486</v>
      </c>
      <c r="I43" s="34">
        <f>SUMIFS('BA History'!F:F,'BA History'!B:B,A43)</f>
        <v>60</v>
      </c>
      <c r="J43" s="2">
        <f>SUMIFS('BA History'!E:E,'BA History'!B:B,A43)-I43</f>
        <v>55</v>
      </c>
      <c r="K43" s="75">
        <f>LOOKUP(2, 1/('BA History'!$B:$B=A43), 'BA History'!$AH:$AH)</f>
        <v>0.53</v>
      </c>
      <c r="L43" s="34">
        <f>SUMIFS('BA History'!H:H,'BA History'!B:B,A43)</f>
        <v>240</v>
      </c>
      <c r="M43" s="2">
        <f>SUMIFS('BA History'!G:G,'BA History'!B:B,A43)-L43</f>
        <v>237</v>
      </c>
      <c r="N43" s="89">
        <f>LOOKUP(2, 1/('BA History'!$B:$B=A43), 'BA History'!$AI:$AI)</f>
        <v>0.50310344827586218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8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3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8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6</v>
      </c>
      <c r="B47" s="1" t="s">
        <v>162</v>
      </c>
      <c r="C47" s="34">
        <f>SUMIFS('BA History'!C:C,'BA History'!B:B,A47)</f>
        <v>1131</v>
      </c>
      <c r="D47" s="66">
        <f>AVERAGEIFS('BA History'!C:C,'BA History'!B:B,A47)</f>
        <v>22.176470588235293</v>
      </c>
      <c r="E47" s="35">
        <f t="array" ref="E47">MAX(IF('BA History'!B:B=A47, 'BA History'!C:C))</f>
        <v>37</v>
      </c>
      <c r="F47" s="34">
        <f>COUNTIFS('BA History'!B:B,A47,'BA History'!D:D, 1)</f>
        <v>32</v>
      </c>
      <c r="G47" s="2">
        <f>COUNTIFS('BA History'!B:B,A47,'BA History'!D:D, 0)</f>
        <v>19</v>
      </c>
      <c r="H47" s="75">
        <f>LOOKUP(2, 1/('BA History'!$B:$B=A47), 'BA History'!$AJ:$AJ)</f>
        <v>0.62745098039215685</v>
      </c>
      <c r="I47" s="34">
        <f>SUMIFS('BA History'!F:F,'BA History'!B:B,A47)</f>
        <v>113</v>
      </c>
      <c r="J47" s="2">
        <f>SUMIFS('BA History'!E:E,'BA History'!B:B,A47)-I47</f>
        <v>93</v>
      </c>
      <c r="K47" s="75">
        <f>LOOKUP(2, 1/('BA History'!$B:$B=A47), 'BA History'!$AH:$AH)</f>
        <v>0.54274509803921578</v>
      </c>
      <c r="L47" s="34">
        <f>SUMIFS('BA History'!H:H,'BA History'!B:B,A47)</f>
        <v>455</v>
      </c>
      <c r="M47" s="2">
        <f>SUMIFS('BA History'!G:G,'BA History'!B:B,A47)-L47</f>
        <v>404</v>
      </c>
      <c r="N47" s="89">
        <f>LOOKUP(2, 1/('BA History'!$B:$B=A47), 'BA History'!$AI:$AI)</f>
        <v>0.52588235294117647</v>
      </c>
      <c r="O47" s="2">
        <f>COUNTIFS('BA History'!$B:$B,$A$47,'BA History'!K:K, 1)</f>
        <v>5</v>
      </c>
      <c r="P47" s="2">
        <f>COUNTIFS('BA History'!$B:$B,$A$47,'BA History'!L:L, 1)</f>
        <v>6</v>
      </c>
      <c r="Q47" s="2">
        <f>COUNTIFS('BA History'!$B:$B,$A$47,'BA History'!M:M, 1)</f>
        <v>10</v>
      </c>
      <c r="R47" s="2">
        <f>COUNTIFS('BA History'!$B:$B,$A$47,'BA History'!N:N, 1)</f>
        <v>9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5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7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432</v>
      </c>
      <c r="D49" s="66">
        <f>AVERAGEIFS('BA History'!C:C,'BA History'!B:B,A49)</f>
        <v>16.615384615384617</v>
      </c>
      <c r="E49" s="35">
        <f t="array" ref="E49">MAX(IF('BA History'!B:B=A49, 'BA History'!C:C))</f>
        <v>28</v>
      </c>
      <c r="F49" s="34">
        <f>COUNTIFS('BA History'!B:B,A49,'BA History'!D:D, 1)</f>
        <v>15</v>
      </c>
      <c r="G49" s="2">
        <f>COUNTIFS('BA History'!B:B,A49,'BA History'!D:D, 0)</f>
        <v>11</v>
      </c>
      <c r="H49" s="75">
        <f>LOOKUP(2, 1/('BA History'!$B:$B=A49), 'BA History'!$AJ:$AJ)</f>
        <v>0.57692307692307687</v>
      </c>
      <c r="I49" s="34">
        <f>SUMIFS('BA History'!F:F,'BA History'!B:B,A49)</f>
        <v>57</v>
      </c>
      <c r="J49" s="2">
        <f>SUMIFS('BA History'!E:E,'BA History'!B:B,A49)-I49</f>
        <v>45</v>
      </c>
      <c r="K49" s="75">
        <f>LOOKUP(2, 1/('BA History'!$B:$B=A49), 'BA History'!$AH:$AH)</f>
        <v>0.57307692307692304</v>
      </c>
      <c r="L49" s="34">
        <f>SUMIFS('BA History'!H:H,'BA History'!B:B,A49)</f>
        <v>215</v>
      </c>
      <c r="M49" s="2">
        <f>SUMIFS('BA History'!G:G,'BA History'!B:B,A49)-L49</f>
        <v>195</v>
      </c>
      <c r="N49" s="89">
        <f>LOOKUP(2, 1/('BA History'!$B:$B=A49), 'BA History'!$AI:$AI)</f>
        <v>0.52538461538461545</v>
      </c>
      <c r="O49" s="2">
        <f>COUNTIFS('BA History'!$B:$B,$A$49,'BA History'!K:K, 1)</f>
        <v>2</v>
      </c>
      <c r="P49" s="2">
        <f>COUNTIFS('BA History'!$B:$B,$A$49,'BA History'!L:L, 1)</f>
        <v>3</v>
      </c>
      <c r="Q49" s="2">
        <f>COUNTIFS('BA History'!$B:$B,$A$49,'BA History'!M:M, 1)</f>
        <v>10</v>
      </c>
      <c r="R49" s="2">
        <f>COUNTIFS('BA History'!$B:$B,$A$49,'BA History'!N:N, 1)</f>
        <v>8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4</v>
      </c>
      <c r="AE49" s="2">
        <f>COUNTIFS('BA History'!$B:$B,$A$49,'BA History'!AA:AA, 1)</f>
        <v>0</v>
      </c>
      <c r="AF49" s="2">
        <f>COUNTIFS('BA History'!$B:$B,$A$49,'BA History'!AB:AB, 1)</f>
        <v>6</v>
      </c>
      <c r="AG49" s="2">
        <f>COUNTIFS('BA History'!$B:$B,$A$49,'BA History'!AC:AC, 1)</f>
        <v>6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x14ac:dyDescent="0.25">
      <c r="A52" s="2" t="s">
        <v>4</v>
      </c>
      <c r="B52" s="1" t="s">
        <v>162</v>
      </c>
      <c r="C52" s="34">
        <f>SUMIFS('BA History'!C:C,'BA History'!B:B,A52)</f>
        <v>626</v>
      </c>
      <c r="D52" s="66">
        <f>AVERAGEIFS('BA History'!C:C,'BA History'!B:B,A52)</f>
        <v>24.076923076923077</v>
      </c>
      <c r="E52" s="35">
        <f t="array" ref="E52">MAX(IF('BA History'!B:B=A52, 'BA History'!C:C))</f>
        <v>41</v>
      </c>
      <c r="F52" s="34">
        <f>COUNTIFS('BA History'!B:B,A52,'BA History'!D:D, 1)</f>
        <v>8</v>
      </c>
      <c r="G52" s="2">
        <f>COUNTIFS('BA History'!B:B,A52,'BA History'!D:D, 0)</f>
        <v>18</v>
      </c>
      <c r="H52" s="75">
        <f>LOOKUP(2, 1/('BA History'!$B:$B=A52), 'BA History'!$AJ:$AJ)</f>
        <v>0.30769230769230771</v>
      </c>
      <c r="I52" s="34">
        <f>SUMIFS('BA History'!F:F,'BA History'!B:B,A52)</f>
        <v>45</v>
      </c>
      <c r="J52" s="2">
        <f>SUMIFS('BA History'!E:E,'BA History'!B:B,A52)-I52</f>
        <v>62</v>
      </c>
      <c r="K52" s="75">
        <f>LOOKUP(2, 1/('BA History'!$B:$B=A52), 'BA History'!$AH:$AH)</f>
        <v>0.4211538461538461</v>
      </c>
      <c r="L52" s="34">
        <f>SUMIFS('BA History'!H:H,'BA History'!B:B,A52)</f>
        <v>201</v>
      </c>
      <c r="M52" s="2">
        <f>SUMIFS('BA History'!G:G,'BA History'!B:B,A52)-L52</f>
        <v>238</v>
      </c>
      <c r="N52" s="89">
        <f>LOOKUP(2, 1/('BA History'!$B:$B=A52), 'BA History'!$AI:$AI)</f>
        <v>0.4523076923076923</v>
      </c>
      <c r="O52" s="2">
        <f>COUNTIFS('BA History'!$B:$B,$A$52,'BA History'!K:K, 1)</f>
        <v>1</v>
      </c>
      <c r="P52" s="2">
        <f>COUNTIFS('BA History'!$B:$B,$A$52,'BA History'!L:L, 1)</f>
        <v>6</v>
      </c>
      <c r="Q52" s="2">
        <f>COUNTIFS('BA History'!$B:$B,$A$52,'BA History'!M:M, 1)</f>
        <v>4</v>
      </c>
      <c r="R52" s="2">
        <f>COUNTIFS('BA History'!$B:$B,$A$52,'BA History'!N:N, 1)</f>
        <v>7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4</v>
      </c>
      <c r="AG52" s="2">
        <f>COUNTIFS('BA History'!$B:$B,$A$52,'BA History'!AC:AC, 1)</f>
        <v>5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519</v>
      </c>
      <c r="D53" s="66">
        <f>AVERAGEIFS('BA History'!C:C,'BA History'!B:B,A53)</f>
        <v>16.741935483870968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14</v>
      </c>
      <c r="H53" s="75">
        <f>LOOKUP(2, 1/('BA History'!$B:$B=A53), 'BA History'!$AJ:$AJ)</f>
        <v>0.54838709677419351</v>
      </c>
      <c r="I53" s="34">
        <f>SUMIFS('BA History'!F:F,'BA History'!B:B,A53)</f>
        <v>66</v>
      </c>
      <c r="J53" s="2">
        <f>SUMIFS('BA History'!E:E,'BA History'!B:B,A53)-I53</f>
        <v>60</v>
      </c>
      <c r="K53" s="75">
        <f>LOOKUP(2, 1/('BA History'!$B:$B=A53), 'BA History'!$AH:$AH)</f>
        <v>0.52096774193548379</v>
      </c>
      <c r="L53" s="34">
        <f>SUMIFS('BA History'!H:H,'BA History'!B:B,A53)</f>
        <v>272</v>
      </c>
      <c r="M53" s="2">
        <f>SUMIFS('BA History'!G:G,'BA History'!B:B,A53)-L53</f>
        <v>250</v>
      </c>
      <c r="N53" s="89">
        <f>LOOKUP(2, 1/('BA History'!$B:$B=A53), 'BA History'!$AI:$AI)</f>
        <v>0.51677419354838716</v>
      </c>
      <c r="O53" s="2">
        <f>COUNTIFS('BA History'!$B:$B,$A$53,'BA History'!K:K, 1)</f>
        <v>3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6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75"/>
  <sheetViews>
    <sheetView workbookViewId="0">
      <pane xSplit="2" ySplit="1" topLeftCell="C731" activePane="bottomRight" state="frozen"/>
      <selection pane="topRight" activeCell="C1" sqref="C1"/>
      <selection pane="bottomLeft" activeCell="A2" sqref="A2"/>
      <selection pane="bottomRight" activeCell="I779" sqref="I77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159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5" sqref="H35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33</v>
      </c>
      <c r="D4" s="66">
        <f>AVERAGEIFS('BA History S2'!C:C,'BA History S2'!B:B,A4)</f>
        <v>8.25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4</v>
      </c>
      <c r="H4" s="75">
        <f>LOOKUP(2, 1/('BA History S2'!$B:$B=A4), 'BA History S2'!$AJ:$AJ)</f>
        <v>0</v>
      </c>
      <c r="I4" s="34">
        <f>SUMIFS('BA History S2'!F:F,'BA History S2'!B:B,A4)</f>
        <v>6</v>
      </c>
      <c r="J4" s="2">
        <f>SUMIFS('BA History S2'!E:E,'BA History S2'!B:B,A4)-I4</f>
        <v>12</v>
      </c>
      <c r="K4" s="75">
        <f>LOOKUP(2, 1/('BA History S2'!$B:$B=A4), 'BA History S2'!$AH:$AH)</f>
        <v>0.32500000000000001</v>
      </c>
      <c r="L4" s="34">
        <f>SUMIFS('BA History S2'!H:H,'BA History S2'!B:B,A4)</f>
        <v>35</v>
      </c>
      <c r="M4" s="2">
        <f>SUMIFS('BA History S2'!G:G,'BA History S2'!B:B,A4)-L4</f>
        <v>45</v>
      </c>
      <c r="N4" s="89">
        <f>LOOKUP(2, 1/('BA History S2'!$B:$B=A4), 'BA History S2'!$AI:$AI)</f>
        <v>0.4325</v>
      </c>
      <c r="O4" s="2">
        <f>COUNTIFS('BA History S2'!$B:$B,$A$4,'BA History S2'!K:K, 1)</f>
        <v>1</v>
      </c>
      <c r="P4" s="2">
        <f>COUNTIFS('BA History S2'!$B:$B,$A$4,'BA History S2'!L:L, 1)</f>
        <v>1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86</v>
      </c>
      <c r="D6" s="66">
        <f>AVERAGEIFS('BA History S2'!C:C,'BA History S2'!B:B,A6)</f>
        <v>28.666666666666668</v>
      </c>
      <c r="E6" s="35">
        <f t="array" ref="E6">MAX(IF('BA History S2'!B:B=A6, 'BA History S2'!C:C))</f>
        <v>40</v>
      </c>
      <c r="F6" s="34">
        <f>COUNTIFS('BA History S2'!B:B,A6,'BA History S2'!D:D, 1)</f>
        <v>1</v>
      </c>
      <c r="G6" s="2">
        <f>COUNTIFS('BA History S2'!B:B,A6,'BA History S2'!D:D, 0)</f>
        <v>2</v>
      </c>
      <c r="H6" s="75">
        <f>LOOKUP(2, 1/('BA History S2'!$B:$B=A6), 'BA History S2'!$AJ:$AJ)</f>
        <v>0.33333333333333331</v>
      </c>
      <c r="I6" s="34">
        <f>SUMIFS('BA History S2'!F:F,'BA History S2'!B:B,A6)</f>
        <v>6</v>
      </c>
      <c r="J6" s="2">
        <f>SUMIFS('BA History S2'!E:E,'BA History S2'!B:B,A6)-I6</f>
        <v>8</v>
      </c>
      <c r="K6" s="75">
        <f>LOOKUP(2, 1/('BA History S2'!$B:$B=A6), 'BA History S2'!$AH:$AH)</f>
        <v>0.41666666666666669</v>
      </c>
      <c r="L6" s="34">
        <f>SUMIFS('BA History S2'!H:H,'BA History S2'!B:B,A6)</f>
        <v>28</v>
      </c>
      <c r="M6" s="2">
        <f>SUMIFS('BA History S2'!G:G,'BA History S2'!B:B,A6)-L6</f>
        <v>34</v>
      </c>
      <c r="N6" s="89">
        <f>LOOKUP(2, 1/('BA History S2'!$B:$B=A6), 'BA History S2'!$AI:$AI)</f>
        <v>0.44666666666666671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2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4</v>
      </c>
      <c r="D7" s="66">
        <f>AVERAGEIFS('BA History S2'!C:C,'BA History S2'!B:B,A7)</f>
        <v>4</v>
      </c>
      <c r="E7" s="35">
        <f t="array" ref="E7">MAX(IF('BA History S2'!B:B=A7, 'BA History S2'!C:C))</f>
        <v>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0</v>
      </c>
      <c r="J7" s="2">
        <f>SUMIFS('BA History S2'!E:E,'BA History S2'!B:B,A7)-I7</f>
        <v>3</v>
      </c>
      <c r="K7" s="75">
        <f>LOOKUP(2, 1/('BA History S2'!$B:$B=A7), 'BA History S2'!$AH:$AH)</f>
        <v>0</v>
      </c>
      <c r="L7" s="34">
        <f>SUMIFS('BA History S2'!H:H,'BA History S2'!B:B,A7)</f>
        <v>1</v>
      </c>
      <c r="M7" s="2">
        <f>SUMIFS('BA History S2'!G:G,'BA History S2'!B:B,A7)-L7</f>
        <v>9</v>
      </c>
      <c r="N7" s="89">
        <f>LOOKUP(2, 1/('BA History S2'!$B:$B=A7), 'BA History S2'!$AI:$AI)</f>
        <v>0.1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50</v>
      </c>
      <c r="B8" s="2" t="s">
        <v>79</v>
      </c>
      <c r="C8" s="34">
        <f>SUMIFS('BA History S2'!C:C,'BA History S2'!B:B,A8)</f>
        <v>40</v>
      </c>
      <c r="D8" s="66">
        <f>AVERAGEIFS('BA History S2'!C:C,'BA History S2'!B:B,A8)</f>
        <v>13.333333333333334</v>
      </c>
      <c r="E8" s="35">
        <f t="array" ref="E8">MAX(IF('BA History S2'!B:B=A8, 'BA History S2'!C:C))</f>
        <v>14</v>
      </c>
      <c r="F8" s="34">
        <f>COUNTIFS('BA History S2'!B:B,A8,'BA History S2'!D:D, 1)</f>
        <v>1</v>
      </c>
      <c r="G8" s="2">
        <f>COUNTIFS('BA History S2'!B:B,A8,'BA History S2'!D:D, 0)</f>
        <v>2</v>
      </c>
      <c r="H8" s="75">
        <f>LOOKUP(2, 1/('BA History S2'!$B:$B=A8), 'BA History S2'!$AJ:$AJ)</f>
        <v>0.33333333333333331</v>
      </c>
      <c r="I8" s="34">
        <f>SUMIFS('BA History S2'!F:F,'BA History S2'!B:B,A8)</f>
        <v>4</v>
      </c>
      <c r="J8" s="2">
        <f>SUMIFS('BA History S2'!E:E,'BA History S2'!B:B,A8)-I8</f>
        <v>8</v>
      </c>
      <c r="K8" s="75">
        <f>LOOKUP(2, 1/('BA History S2'!$B:$B=A8), 'BA History S2'!$AH:$AH)</f>
        <v>0.28333333333333333</v>
      </c>
      <c r="L8" s="34">
        <f>SUMIFS('BA History S2'!H:H,'BA History S2'!B:B,A8)</f>
        <v>20</v>
      </c>
      <c r="M8" s="2">
        <f>SUMIFS('BA History S2'!G:G,'BA History S2'!B:B,A8)-L8</f>
        <v>32</v>
      </c>
      <c r="N8" s="89">
        <f>LOOKUP(2, 1/('BA History S2'!$B:$B=A8), 'BA History S2'!$AI:$AI)</f>
        <v>0.33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1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44</v>
      </c>
      <c r="B9" s="2" t="s">
        <v>79</v>
      </c>
      <c r="C9" s="34">
        <f>SUMIFS('BA History S2'!C:C,'BA History S2'!B:B,A9)</f>
        <v>79</v>
      </c>
      <c r="D9" s="66">
        <f>AVERAGEIFS('BA History S2'!C:C,'BA History S2'!B:B,A9)</f>
        <v>19.75</v>
      </c>
      <c r="E9" s="35">
        <f t="array" ref="E9">MAX(IF('BA History S2'!B:B=A9, 'BA History S2'!C:C))</f>
        <v>24</v>
      </c>
      <c r="F9" s="34">
        <f>COUNTIFS('BA History S2'!B:B,A9,'BA History S2'!D:D, 1)</f>
        <v>3</v>
      </c>
      <c r="G9" s="2">
        <f>COUNTIFS('BA History S2'!B:B,A9,'BA History S2'!D:D, 0)</f>
        <v>1</v>
      </c>
      <c r="H9" s="75">
        <f>LOOKUP(2, 1/('BA History S2'!$B:$B=A9), 'BA History S2'!$AJ:$AJ)</f>
        <v>0.75</v>
      </c>
      <c r="I9" s="34">
        <f>SUMIFS('BA History S2'!F:F,'BA History S2'!B:B,A9)</f>
        <v>10</v>
      </c>
      <c r="J9" s="2">
        <f>SUMIFS('BA History S2'!E:E,'BA History S2'!B:B,A9)-I9</f>
        <v>8</v>
      </c>
      <c r="K9" s="75">
        <f>LOOKUP(2, 1/('BA History S2'!$B:$B=A9), 'BA History S2'!$AH:$AH)</f>
        <v>0.55000000000000004</v>
      </c>
      <c r="L9" s="34">
        <f>SUMIFS('BA History S2'!H:H,'BA History S2'!B:B,A9)</f>
        <v>41</v>
      </c>
      <c r="M9" s="2">
        <f>SUMIFS('BA History S2'!G:G,'BA History S2'!B:B,A9)-L9</f>
        <v>39</v>
      </c>
      <c r="N9" s="89">
        <f>LOOKUP(2, 1/('BA History S2'!$B:$B=A9), 'BA History S2'!$AI:$AI)</f>
        <v>0.51249999999999996</v>
      </c>
      <c r="O9" s="2">
        <f>COUNTIFS('BA History S2'!$B:$B,$A$9,'BA History S2'!K:K, 1)</f>
        <v>0</v>
      </c>
      <c r="P9" s="2">
        <f>COUNTIFS('BA History S2'!$B:$B,$A$9,'BA History S2'!L:L, 1)</f>
        <v>1</v>
      </c>
      <c r="Q9" s="2">
        <f>COUNTIFS('BA History S2'!$B:$B,$A$9,'BA History S2'!M:M, 1)</f>
        <v>2</v>
      </c>
      <c r="R9" s="2">
        <f>COUNTIFS('BA History S2'!$B:$B,$A$9,'BA History S2'!N:N, 1)</f>
        <v>2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1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1</v>
      </c>
      <c r="AE9" s="2">
        <f>COUNTIFS('BA History S2'!$B:$B,$A$9,'BA History S2'!AA:AA, 1)</f>
        <v>0</v>
      </c>
      <c r="AF9" s="2">
        <f>COUNTIFS('BA History S2'!$B:$B,$A$9,'BA History S2'!AB:AB, 1)</f>
        <v>1</v>
      </c>
      <c r="AG9" s="2">
        <f>COUNTIFS('BA History S2'!$B:$B,$A$9,'BA History S2'!AC:AC, 1)</f>
        <v>1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1</v>
      </c>
      <c r="B10" s="1" t="s">
        <v>162</v>
      </c>
      <c r="C10" s="34">
        <f>SUMIFS('BA History S2'!C:C,'BA History S2'!B:B,A10)</f>
        <v>68</v>
      </c>
      <c r="D10" s="66">
        <f>AVERAGEIFS('BA History S2'!C:C,'BA History S2'!B:B,A10)</f>
        <v>22.666666666666668</v>
      </c>
      <c r="E10" s="35">
        <f t="array" ref="E10">MAX(IF('BA History S2'!B:B=A10, 'BA History S2'!C:C))</f>
        <v>24</v>
      </c>
      <c r="F10" s="34">
        <f>COUNTIFS('BA History S2'!B:B,A10,'BA History S2'!D:D, 1)</f>
        <v>0</v>
      </c>
      <c r="G10" s="2">
        <f>COUNTIFS('BA History S2'!B:B,A10,'BA History S2'!D:D, 0)</f>
        <v>3</v>
      </c>
      <c r="H10" s="75">
        <f>LOOKUP(2, 1/('BA History S2'!$B:$B=A10), 'BA History S2'!$AJ:$AJ)</f>
        <v>0</v>
      </c>
      <c r="I10" s="34">
        <f>SUMIFS('BA History S2'!F:F,'BA History S2'!B:B,A10)</f>
        <v>3</v>
      </c>
      <c r="J10" s="2">
        <f>SUMIFS('BA History S2'!E:E,'BA History S2'!B:B,A10)-I10</f>
        <v>9</v>
      </c>
      <c r="K10" s="75">
        <f>LOOKUP(2, 1/('BA History S2'!$B:$B=A10), 'BA History S2'!$AH:$AH)</f>
        <v>0.21666666666666667</v>
      </c>
      <c r="L10" s="34">
        <f>SUMIFS('BA History S2'!H:H,'BA History S2'!B:B,A10)</f>
        <v>19</v>
      </c>
      <c r="M10" s="2">
        <f>SUMIFS('BA History S2'!G:G,'BA History S2'!B:B,A10)-L10</f>
        <v>32</v>
      </c>
      <c r="N10" s="89">
        <f>LOOKUP(2, 1/('BA History S2'!$B:$B=A10), 'BA History S2'!$AI:$AI)</f>
        <v>0.3666666666666667</v>
      </c>
      <c r="O10" s="2">
        <f>COUNTIFS('BA History S2'!$B:$B,$A$10,'BA History S2'!K:K, 1)</f>
        <v>1</v>
      </c>
      <c r="P10" s="2">
        <f>COUNTIFS('BA History S2'!$B:$B,$A$10,'BA History S2'!L:L, 1)</f>
        <v>0</v>
      </c>
      <c r="Q10" s="2">
        <f>COUNTIFS('BA History S2'!$B:$B,$A$10,'BA History S2'!M:M, 1)</f>
        <v>0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1</v>
      </c>
      <c r="AB10" s="2">
        <f>COUNTIFS('BA History S2'!$B:$B,$A$10,'BA History S2'!X:X, 1)</f>
        <v>0</v>
      </c>
      <c r="AC10" s="2">
        <f>COUNTIFS('BA History S2'!$B:$B,$A$10,'BA History S2'!Y:Y, 1)</f>
        <v>1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0</v>
      </c>
      <c r="AH10" s="2">
        <f>COUNTIFS('BA History S2'!$B:$B,$A$10,'BA History S2'!AD:AD, 1)</f>
        <v>0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151</v>
      </c>
      <c r="B11" s="95" t="s">
        <v>79</v>
      </c>
      <c r="C11" s="34">
        <f>SUMIFS('BA History S2'!C:C,'BA History S2'!B:B,A11)</f>
        <v>35</v>
      </c>
      <c r="D11" s="66">
        <f>AVERAGEIFS('BA History S2'!C:C,'BA History S2'!B:B,A11)</f>
        <v>17.5</v>
      </c>
      <c r="E11" s="35">
        <f t="array" ref="E11">MAX(IF('BA History S2'!B:B=A11, 'BA History S2'!C:C))</f>
        <v>21</v>
      </c>
      <c r="F11" s="34">
        <f>COUNTIFS('BA History S2'!B:B,A11,'BA History S2'!D:D, 1)</f>
        <v>2</v>
      </c>
      <c r="G11" s="2">
        <f>COUNTIFS('BA History S2'!B:B,A11,'BA History S2'!D:D, 0)</f>
        <v>0</v>
      </c>
      <c r="H11" s="75">
        <f>LOOKUP(2, 1/('BA History S2'!$B:$B=A11), 'BA History S2'!$AJ:$AJ)</f>
        <v>1</v>
      </c>
      <c r="I11" s="34">
        <f>SUMIFS('BA History S2'!F:F,'BA History S2'!B:B,A11)</f>
        <v>6</v>
      </c>
      <c r="J11" s="2">
        <f>SUMIFS('BA History S2'!E:E,'BA History S2'!B:B,A11)-I11</f>
        <v>1</v>
      </c>
      <c r="K11" s="75">
        <f>LOOKUP(2, 1/('BA History S2'!$B:$B=A11), 'BA History S2'!$AH:$AH)</f>
        <v>0.875</v>
      </c>
      <c r="L11" s="34">
        <f>SUMIFS('BA History S2'!H:H,'BA History S2'!B:B,A11)</f>
        <v>20</v>
      </c>
      <c r="M11" s="2">
        <f>SUMIFS('BA History S2'!G:G,'BA History S2'!B:B,A11)-L11</f>
        <v>8</v>
      </c>
      <c r="N11" s="89">
        <f>LOOKUP(2, 1/('BA History S2'!$B:$B=A11), 'BA History S2'!$AI:$AI)</f>
        <v>0.755</v>
      </c>
      <c r="O11" s="2">
        <f>COUNTIFS('BA History S2'!$B:$B,$A$11,'BA History S2'!K:K, 1)</f>
        <v>0</v>
      </c>
      <c r="P11" s="2">
        <f>COUNTIFS('BA History S2'!$B:$B,$A$11,'BA History S2'!L:L, 1)</f>
        <v>0</v>
      </c>
      <c r="Q11" s="2">
        <f>COUNTIFS('BA History S2'!$B:$B,$A$11,'BA History S2'!M:M, 1)</f>
        <v>1</v>
      </c>
      <c r="R11" s="2">
        <f>COUNTIFS('BA History S2'!$B:$B,$A$11,'BA History S2'!N:N, 1)</f>
        <v>1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0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1</v>
      </c>
      <c r="AE11" s="2">
        <f>COUNTIFS('BA History S2'!$B:$B,$A$11,'BA History S2'!AA:AA, 1)</f>
        <v>0</v>
      </c>
      <c r="AF11" s="2">
        <f>COUNTIFS('BA History S2'!$B:$B,$A$11,'BA History S2'!AB:AB, 1)</f>
        <v>1</v>
      </c>
      <c r="AG11" s="2">
        <f>COUNTIFS('BA History S2'!$B:$B,$A$11,'BA History S2'!AC:AC, 1)</f>
        <v>0</v>
      </c>
      <c r="AH11" s="2">
        <f>COUNTIFS('BA History S2'!$B:$B,$A$11,'BA History S2'!AD:AD, 1)</f>
        <v>1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46</v>
      </c>
      <c r="B12" s="1" t="s">
        <v>162</v>
      </c>
      <c r="C12" s="34">
        <f>SUMIFS('BA History S2'!C:C,'BA History S2'!B:B,A12)</f>
        <v>69</v>
      </c>
      <c r="D12" s="66">
        <f>AVERAGEIFS('BA History S2'!C:C,'BA History S2'!B:B,A12)</f>
        <v>17.25</v>
      </c>
      <c r="E12" s="35">
        <f t="array" ref="E12">MAX(IF('BA History S2'!B:B=A12, 'BA History S2'!C:C))</f>
        <v>34</v>
      </c>
      <c r="F12" s="34">
        <f>COUNTIFS('BA History S2'!B:B,A12,'BA History S2'!D:D, 1)</f>
        <v>0</v>
      </c>
      <c r="G12" s="2">
        <f>COUNTIFS('BA History S2'!B:B,A12,'BA History S2'!D:D, 0)</f>
        <v>4</v>
      </c>
      <c r="H12" s="75">
        <f>LOOKUP(2, 1/('BA History S2'!$B:$B=A12), 'BA History S2'!$AJ:$AJ)</f>
        <v>0</v>
      </c>
      <c r="I12" s="34">
        <f>SUMIFS('BA History S2'!F:F,'BA History S2'!B:B,A12)</f>
        <v>5</v>
      </c>
      <c r="J12" s="2">
        <f>SUMIFS('BA History S2'!E:E,'BA History S2'!B:B,A12)-I12</f>
        <v>12</v>
      </c>
      <c r="K12" s="75">
        <f>LOOKUP(2, 1/('BA History S2'!$B:$B=A12), 'BA History S2'!$AH:$AH)</f>
        <v>0.26250000000000001</v>
      </c>
      <c r="L12" s="34">
        <f>SUMIFS('BA History S2'!H:H,'BA History S2'!B:B,A12)</f>
        <v>31</v>
      </c>
      <c r="M12" s="2">
        <f>SUMIFS('BA History S2'!G:G,'BA History S2'!B:B,A12)-L12</f>
        <v>44</v>
      </c>
      <c r="N12" s="89">
        <f>LOOKUP(2, 1/('BA History S2'!$B:$B=A12), 'BA History S2'!$AI:$AI)</f>
        <v>0.4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1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28</v>
      </c>
      <c r="B13" s="1" t="s">
        <v>79</v>
      </c>
      <c r="C13" s="34">
        <f>SUMIFS('BA History S2'!C:C,'BA History S2'!B:B,A13)</f>
        <v>9</v>
      </c>
      <c r="D13" s="66">
        <f>AVERAGEIFS('BA History S2'!C:C,'BA History S2'!B:B,A13)</f>
        <v>9</v>
      </c>
      <c r="E13" s="35">
        <f t="array" ref="E13">MAX(IF('BA History S2'!B:B=A13, 'BA History S2'!C:C))</f>
        <v>9</v>
      </c>
      <c r="F13" s="34">
        <f>COUNTIFS('BA History S2'!B:B,A13,'BA History S2'!D:D, 1)</f>
        <v>0</v>
      </c>
      <c r="G13" s="2">
        <f>COUNTIFS('BA History S2'!B:B,A13,'BA History S2'!D:D, 0)</f>
        <v>1</v>
      </c>
      <c r="H13" s="75">
        <f>LOOKUP(2, 1/('BA History S2'!$B:$B=A13), 'BA History S2'!$AJ:$AJ)</f>
        <v>0</v>
      </c>
      <c r="I13" s="34">
        <f>SUMIFS('BA History S2'!F:F,'BA History S2'!B:B,A13)</f>
        <v>0</v>
      </c>
      <c r="J13" s="2">
        <f>SUMIFS('BA History S2'!E:E,'BA History S2'!B:B,A13)-I13</f>
        <v>3</v>
      </c>
      <c r="K13" s="75">
        <f>LOOKUP(2, 1/('BA History S2'!$B:$B=A13), 'BA History S2'!$AH:$AH)</f>
        <v>0</v>
      </c>
      <c r="L13" s="34">
        <f>SUMIFS('BA History S2'!H:H,'BA History S2'!B:B,A13)</f>
        <v>1</v>
      </c>
      <c r="M13" s="2">
        <f>SUMIFS('BA History S2'!G:G,'BA History S2'!B:B,A13)-L13</f>
        <v>9</v>
      </c>
      <c r="N13" s="89">
        <f>LOOKUP(2, 1/('BA History S2'!$B:$B=A13), 'BA History S2'!$AI:$AI)</f>
        <v>0.1</v>
      </c>
      <c r="O13" s="2">
        <f>COUNTIFS('BA History S2'!$B:$B,$A$13,'BA History S2'!K:K, 1)</f>
        <v>0</v>
      </c>
      <c r="P13" s="2">
        <f>COUNTIFS('BA History S2'!$B:$B,$A$13,'BA History S2'!L:L, 1)</f>
        <v>0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0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0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x14ac:dyDescent="0.25">
      <c r="A14" s="2" t="s">
        <v>53</v>
      </c>
      <c r="B14" s="2" t="s">
        <v>79</v>
      </c>
      <c r="C14" s="34">
        <f>SUMIFS('BA History S2'!C:C,'BA History S2'!B:B,A14)</f>
        <v>49</v>
      </c>
      <c r="D14" s="66">
        <f>AVERAGEIFS('BA History S2'!C:C,'BA History S2'!B:B,A14)</f>
        <v>16.333333333333332</v>
      </c>
      <c r="E14" s="35">
        <f t="array" ref="E14">MAX(IF('BA History S2'!B:B=A14, 'BA History S2'!C:C))</f>
        <v>27</v>
      </c>
      <c r="F14" s="34">
        <f>COUNTIFS('BA History S2'!B:B,A14,'BA History S2'!D:D, 1)</f>
        <v>1</v>
      </c>
      <c r="G14" s="2">
        <f>COUNTIFS('BA History S2'!B:B,A14,'BA History S2'!D:D, 0)</f>
        <v>2</v>
      </c>
      <c r="H14" s="75">
        <f>LOOKUP(2, 1/('BA History S2'!$B:$B=A14), 'BA History S2'!$AJ:$AJ)</f>
        <v>0.33333333333333331</v>
      </c>
      <c r="I14" s="34">
        <f>SUMIFS('BA History S2'!F:F,'BA History S2'!B:B,A14)</f>
        <v>7</v>
      </c>
      <c r="J14" s="2">
        <f>SUMIFS('BA History S2'!E:E,'BA History S2'!B:B,A14)-I14</f>
        <v>6</v>
      </c>
      <c r="K14" s="75">
        <f>LOOKUP(2, 1/('BA History S2'!$B:$B=A14), 'BA History S2'!$AH:$AH)</f>
        <v>0.6</v>
      </c>
      <c r="L14" s="34">
        <f>SUMIFS('BA History S2'!H:H,'BA History S2'!B:B,A14)</f>
        <v>29</v>
      </c>
      <c r="M14" s="2">
        <f>SUMIFS('BA History S2'!G:G,'BA History S2'!B:B,A14)-L14</f>
        <v>28</v>
      </c>
      <c r="N14" s="89">
        <f>LOOKUP(2, 1/('BA History S2'!$B:$B=A14), 'BA History S2'!$AI:$AI)</f>
        <v>0.52999999999999992</v>
      </c>
      <c r="O14" s="2">
        <f>COUNTIFS('BA History S2'!$B:$B,$A$14,'BA History S2'!K:K, 1)</f>
        <v>1</v>
      </c>
      <c r="P14" s="2">
        <f>COUNTIFS('BA History S2'!$B:$B,$A$14,'BA History S2'!L:L, 1)</f>
        <v>2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0</v>
      </c>
      <c r="AG14" s="2">
        <f>COUNTIFS('BA History S2'!$B:$B,$A$14,'BA History S2'!AC:AC, 1)</f>
        <v>1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2</v>
      </c>
    </row>
    <row r="15" spans="1:36" x14ac:dyDescent="0.25">
      <c r="A15" s="2" t="s">
        <v>13</v>
      </c>
      <c r="B15" s="2" t="s">
        <v>79</v>
      </c>
      <c r="C15" s="34">
        <f>SUMIFS('BA History S2'!C:C,'BA History S2'!B:B,A15)</f>
        <v>34</v>
      </c>
      <c r="D15" s="66">
        <f>AVERAGEIFS('BA History S2'!C:C,'BA History S2'!B:B,A15)</f>
        <v>17</v>
      </c>
      <c r="E15" s="35">
        <f t="array" ref="E15">MAX(IF('BA History S2'!B:B=A15, 'BA History S2'!C:C))</f>
        <v>20</v>
      </c>
      <c r="F15" s="34">
        <f>COUNTIFS('BA History S2'!B:B,A15,'BA History S2'!D:D, 1)</f>
        <v>1</v>
      </c>
      <c r="G15" s="2">
        <f>COUNTIFS('BA History S2'!B:B,A15,'BA History S2'!D:D, 0)</f>
        <v>1</v>
      </c>
      <c r="H15" s="75">
        <f>LOOKUP(2, 1/('BA History S2'!$B:$B=A15), 'BA History S2'!$AJ:$AJ)</f>
        <v>0.5</v>
      </c>
      <c r="I15" s="34">
        <f>SUMIFS('BA History S2'!F:F,'BA History S2'!B:B,A15)</f>
        <v>4</v>
      </c>
      <c r="J15" s="2">
        <f>SUMIFS('BA History S2'!E:E,'BA History S2'!B:B,A15)-I15</f>
        <v>3</v>
      </c>
      <c r="K15" s="75">
        <f>LOOKUP(2, 1/('BA History S2'!$B:$B=A15), 'BA History S2'!$AH:$AH)</f>
        <v>0.625</v>
      </c>
      <c r="L15" s="34">
        <f>SUMIFS('BA History S2'!H:H,'BA History S2'!B:B,A15)</f>
        <v>16</v>
      </c>
      <c r="M15" s="2">
        <f>SUMIFS('BA History S2'!G:G,'BA History S2'!B:B,A15)-L15</f>
        <v>15</v>
      </c>
      <c r="N15" s="89">
        <f>LOOKUP(2, 1/('BA History S2'!$B:$B=A15), 'BA History S2'!$AI:$AI)</f>
        <v>0.54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1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2</v>
      </c>
      <c r="B16" s="1" t="s">
        <v>162</v>
      </c>
      <c r="C16" s="34">
        <f>SUMIFS('BA History S2'!C:C,'BA History S2'!B:B,A16)</f>
        <v>65</v>
      </c>
      <c r="D16" s="66">
        <f>AVERAGEIFS('BA History S2'!C:C,'BA History S2'!B:B,A16)</f>
        <v>21.666666666666668</v>
      </c>
      <c r="E16" s="35">
        <f t="array" ref="E16">MAX(IF('BA History S2'!B:B=A16, 'BA History S2'!C:C))</f>
        <v>33</v>
      </c>
      <c r="F16" s="34">
        <f>COUNTIFS('BA History S2'!B:B,A16,'BA History S2'!D:D, 1)</f>
        <v>1</v>
      </c>
      <c r="G16" s="2">
        <f>COUNTIFS('BA History S2'!B:B,A16,'BA History S2'!D:D, 0)</f>
        <v>2</v>
      </c>
      <c r="H16" s="75">
        <f>LOOKUP(2, 1/('BA History S2'!$B:$B=A16), 'BA History S2'!$AJ:$AJ)</f>
        <v>0.33333333333333331</v>
      </c>
      <c r="I16" s="34">
        <f>SUMIFS('BA History S2'!F:F,'BA History S2'!B:B,A16)</f>
        <v>6</v>
      </c>
      <c r="J16" s="2">
        <f>SUMIFS('BA History S2'!E:E,'BA History S2'!B:B,A16)-I16</f>
        <v>6</v>
      </c>
      <c r="K16" s="75">
        <f>LOOKUP(2, 1/('BA History S2'!$B:$B=A16), 'BA History S2'!$AH:$AH)</f>
        <v>0.54999999999999993</v>
      </c>
      <c r="L16" s="34">
        <f>SUMIFS('BA History S2'!H:H,'BA History S2'!B:B,A16)</f>
        <v>29</v>
      </c>
      <c r="M16" s="2">
        <f>SUMIFS('BA History S2'!G:G,'BA History S2'!B:B,A16)-L16</f>
        <v>23</v>
      </c>
      <c r="N16" s="89">
        <f>LOOKUP(2, 1/('BA History S2'!$B:$B=A16), 'BA History S2'!$AI:$AI)</f>
        <v>0.6133333333333334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1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1</v>
      </c>
      <c r="AE16" s="2">
        <f>COUNTIFS('BA History S2'!$B:$B,$A$16,'BA History S2'!AA:AA, 1)</f>
        <v>0</v>
      </c>
      <c r="AF16" s="2">
        <f>COUNTIFS('BA History S2'!$B:$B,$A$16,'BA History S2'!AB:AB, 1)</f>
        <v>1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1</v>
      </c>
    </row>
    <row r="17" spans="1:36" x14ac:dyDescent="0.25">
      <c r="A17" s="2" t="s">
        <v>54</v>
      </c>
      <c r="B17" s="2" t="s">
        <v>79</v>
      </c>
      <c r="C17" s="34">
        <f>SUMIFS('BA History S2'!C:C,'BA History S2'!B:B,A17)</f>
        <v>32</v>
      </c>
      <c r="D17" s="66">
        <f>AVERAGEIFS('BA History S2'!C:C,'BA History S2'!B:B,A17)</f>
        <v>16</v>
      </c>
      <c r="E17" s="35">
        <f t="array" ref="E17">MAX(IF('BA History S2'!B:B=A17, 'BA History S2'!C:C))</f>
        <v>16</v>
      </c>
      <c r="F17" s="34">
        <f>COUNTIFS('BA History S2'!B:B,A17,'BA History S2'!D:D, 1)</f>
        <v>2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6</v>
      </c>
      <c r="J17" s="2">
        <f>SUMIFS('BA History S2'!E:E,'BA History S2'!B:B,A17)-I17</f>
        <v>0</v>
      </c>
      <c r="K17" s="75">
        <f>LOOKUP(2, 1/('BA History S2'!$B:$B=A17), 'BA History S2'!$AH:$AH)</f>
        <v>1</v>
      </c>
      <c r="L17" s="34">
        <f>SUMIFS('BA History S2'!H:H,'BA History S2'!B:B,A17)</f>
        <v>18</v>
      </c>
      <c r="M17" s="2">
        <f>SUMIFS('BA History S2'!G:G,'BA History S2'!B:B,A17)-L17</f>
        <v>5</v>
      </c>
      <c r="N17" s="89">
        <f>LOOKUP(2, 1/('BA History S2'!$B:$B=A17), 'BA History S2'!$AI:$AI)</f>
        <v>0.79499999999999993</v>
      </c>
      <c r="O17" s="2">
        <f>COUNTIFS('BA History S2'!$B:$B,$A$17,'BA History S2'!K:K, 1)</f>
        <v>0</v>
      </c>
      <c r="P17" s="2">
        <f>COUNTIFS('BA History S2'!$B:$B,$A$17,'BA History S2'!L:L, 1)</f>
        <v>1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0</v>
      </c>
      <c r="AG17" s="2">
        <f>COUNTIFS('BA History S2'!$B:$B,$A$17,'BA History S2'!AC:AC, 1)</f>
        <v>1</v>
      </c>
      <c r="AH17" s="2">
        <f>COUNTIFS('BA History S2'!$B:$B,$A$17,'BA History S2'!AD:AD, 1)</f>
        <v>0</v>
      </c>
      <c r="AI17" s="2">
        <f>COUNTIFS('BA History S2'!$B:$B,$A$17,'BA History S2'!AE:AE, 1)</f>
        <v>0</v>
      </c>
      <c r="AJ17" s="2">
        <f>COUNTIFS('BA History S2'!$B:$B,$A$17,'BA History S2'!AF:AF, 1)</f>
        <v>1</v>
      </c>
    </row>
    <row r="18" spans="1:36" x14ac:dyDescent="0.25">
      <c r="A18" s="2" t="s">
        <v>5</v>
      </c>
      <c r="B18" s="1" t="s">
        <v>162</v>
      </c>
      <c r="C18" s="34">
        <f>SUMIFS('BA History S2'!C:C,'BA History S2'!B:B,A18)</f>
        <v>19</v>
      </c>
      <c r="D18" s="66">
        <f>AVERAGEIFS('BA History S2'!C:C,'BA History S2'!B:B,A18)</f>
        <v>19</v>
      </c>
      <c r="E18" s="35">
        <f t="array" ref="E18">MAX(IF('BA History S2'!B:B=A18, 'BA History S2'!C:C))</f>
        <v>19</v>
      </c>
      <c r="F18" s="34">
        <f>COUNTIFS('BA History S2'!B:B,A18,'BA History S2'!D:D, 1)</f>
        <v>1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3</v>
      </c>
      <c r="J18" s="2">
        <f>SUMIFS('BA History S2'!E:E,'BA History S2'!B:B,A18)-I18</f>
        <v>2</v>
      </c>
      <c r="K18" s="75">
        <f>LOOKUP(2, 1/('BA History S2'!$B:$B=A18), 'BA History S2'!$AH:$AH)</f>
        <v>0.6</v>
      </c>
      <c r="L18" s="34">
        <f>SUMIFS('BA History S2'!H:H,'BA History S2'!B:B,A18)</f>
        <v>12</v>
      </c>
      <c r="M18" s="2">
        <f>SUMIFS('BA History S2'!G:G,'BA History S2'!B:B,A18)-L18</f>
        <v>12</v>
      </c>
      <c r="N18" s="89">
        <f>LOOKUP(2, 1/('BA History S2'!$B:$B=A18), 'BA History S2'!$AI:$AI)</f>
        <v>0.5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1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142</v>
      </c>
      <c r="B19" s="2" t="s">
        <v>79</v>
      </c>
      <c r="C19" s="34">
        <f>SUMIFS('BA History S2'!C:C,'BA History S2'!B:B,A19)</f>
        <v>15</v>
      </c>
      <c r="D19" s="66">
        <f>AVERAGEIFS('BA History S2'!C:C,'BA History S2'!B:B,A19)</f>
        <v>7.5</v>
      </c>
      <c r="E19" s="35">
        <f t="array" ref="E19">MAX(IF('BA History S2'!B:B=A19, 'BA History S2'!C:C))</f>
        <v>14</v>
      </c>
      <c r="F19" s="34">
        <f>COUNTIFS('BA History S2'!B:B,A19,'BA History S2'!D:D, 1)</f>
        <v>1</v>
      </c>
      <c r="G19" s="2">
        <f>COUNTIFS('BA History S2'!B:B,A19,'BA History S2'!D:D, 0)</f>
        <v>1</v>
      </c>
      <c r="H19" s="75">
        <f>LOOKUP(2, 1/('BA History S2'!$B:$B=A19), 'BA History S2'!$AJ:$AJ)</f>
        <v>0.5</v>
      </c>
      <c r="I19" s="34">
        <f>SUMIFS('BA History S2'!F:F,'BA History S2'!B:B,A19)</f>
        <v>3</v>
      </c>
      <c r="J19" s="2">
        <f>SUMIFS('BA History S2'!E:E,'BA History S2'!B:B,A19)-I19</f>
        <v>5</v>
      </c>
      <c r="K19" s="75">
        <f>LOOKUP(2, 1/('BA History S2'!$B:$B=A19), 'BA History S2'!$AH:$AH)</f>
        <v>0.3</v>
      </c>
      <c r="L19" s="34">
        <f>SUMIFS('BA History S2'!H:H,'BA History S2'!B:B,A19)</f>
        <v>16</v>
      </c>
      <c r="M19" s="2">
        <f>SUMIFS('BA History S2'!G:G,'BA History S2'!B:B,A19)-L19</f>
        <v>17</v>
      </c>
      <c r="N19" s="89">
        <f>LOOKUP(2, 1/('BA History S2'!$B:$B=A19), 'BA History S2'!$AI:$AI)</f>
        <v>0.45499999999999996</v>
      </c>
      <c r="O19" s="2">
        <f>COUNTIFS('BA History S2'!$B:$B,$A$19,'BA History S2'!K:K, 1)</f>
        <v>0</v>
      </c>
      <c r="P19" s="2">
        <f>COUNTIFS('BA History S2'!$B:$B,$A$19,'BA History S2'!L:L, 1)</f>
        <v>1</v>
      </c>
      <c r="Q19" s="2">
        <f>COUNTIFS('BA History S2'!$B:$B,$A$19,'BA History S2'!M:M, 1)</f>
        <v>0</v>
      </c>
      <c r="R19" s="2">
        <f>COUNTIFS('BA History S2'!$B:$B,$A$19,'BA History S2'!N:N, 1)</f>
        <v>1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0</v>
      </c>
      <c r="AE19" s="2">
        <f>COUNTIFS('BA History S2'!$B:$B,$A$19,'BA History S2'!AA:AA, 1)</f>
        <v>0</v>
      </c>
      <c r="AF19" s="2">
        <f>COUNTIFS('BA History S2'!$B:$B,$A$19,'BA History S2'!AB:AB, 1)</f>
        <v>0</v>
      </c>
      <c r="AG19" s="2">
        <f>COUNTIFS('BA History S2'!$B:$B,$A$19,'BA History S2'!AC:AC, 1)</f>
        <v>1</v>
      </c>
      <c r="AH19" s="2">
        <f>COUNTIFS('BA History S2'!$B:$B,$A$19,'BA History S2'!AD:AD, 1)</f>
        <v>0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40</v>
      </c>
      <c r="B20" s="2" t="s">
        <v>79</v>
      </c>
      <c r="C20" s="34">
        <f>SUMIFS('BA History S2'!C:C,'BA History S2'!B:B,A20)</f>
        <v>103</v>
      </c>
      <c r="D20" s="66">
        <f>AVERAGEIFS('BA History S2'!C:C,'BA History S2'!B:B,A20)</f>
        <v>20.6</v>
      </c>
      <c r="E20" s="35">
        <f t="array" ref="E20">MAX(IF('BA History S2'!B:B=A20, 'BA History S2'!C:C))</f>
        <v>37</v>
      </c>
      <c r="F20" s="34">
        <f>COUNTIFS('BA History S2'!B:B,A20,'BA History S2'!D:D, 1)</f>
        <v>3</v>
      </c>
      <c r="G20" s="2">
        <f>COUNTIFS('BA History S2'!B:B,A20,'BA History S2'!D:D, 0)</f>
        <v>2</v>
      </c>
      <c r="H20" s="75">
        <f>LOOKUP(2, 1/('BA History S2'!$B:$B=A20), 'BA History S2'!$AJ:$AJ)</f>
        <v>0.6</v>
      </c>
      <c r="I20" s="34">
        <f>SUMIFS('BA History S2'!F:F,'BA History S2'!B:B,A20)</f>
        <v>11</v>
      </c>
      <c r="J20" s="2">
        <f>SUMIFS('BA History S2'!E:E,'BA History S2'!B:B,A20)-I20</f>
        <v>10</v>
      </c>
      <c r="K20" s="75">
        <f>LOOKUP(2, 1/('BA History S2'!$B:$B=A20), 'BA History S2'!$AH:$AH)</f>
        <v>0.5</v>
      </c>
      <c r="L20" s="34">
        <f>SUMIFS('BA History S2'!H:H,'BA History S2'!B:B,A20)</f>
        <v>46</v>
      </c>
      <c r="M20" s="2">
        <f>SUMIFS('BA History S2'!G:G,'BA History S2'!B:B,A20)-L20</f>
        <v>44</v>
      </c>
      <c r="N20" s="89">
        <f>LOOKUP(2, 1/('BA History S2'!$B:$B=A20), 'BA History S2'!$AI:$AI)</f>
        <v>0.47400000000000003</v>
      </c>
      <c r="O20" s="2">
        <f>COUNTIFS('BA History S2'!$B:$B,$A$20,'BA History S2'!K:K, 1)</f>
        <v>0</v>
      </c>
      <c r="P20" s="2">
        <f>COUNTIFS('BA History S2'!$B:$B,$A$20,'BA History S2'!L:L, 1)</f>
        <v>2</v>
      </c>
      <c r="Q20" s="2">
        <f>COUNTIFS('BA History S2'!$B:$B,$A$20,'BA History S2'!M:M, 1)</f>
        <v>2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1</v>
      </c>
    </row>
    <row r="21" spans="1:36" x14ac:dyDescent="0.25">
      <c r="A21" s="2" t="s">
        <v>148</v>
      </c>
      <c r="B21" s="2" t="s">
        <v>79</v>
      </c>
      <c r="C21" s="34">
        <f>SUMIFS('BA History S2'!C:C,'BA History S2'!B:B,A21)</f>
        <v>40</v>
      </c>
      <c r="D21" s="66">
        <f>AVERAGEIFS('BA History S2'!C:C,'BA History S2'!B:B,A21)</f>
        <v>13.333333333333334</v>
      </c>
      <c r="E21" s="35">
        <f t="array" ref="E21">MAX(IF('BA History S2'!B:B=A21, 'BA History S2'!C:C))</f>
        <v>15</v>
      </c>
      <c r="F21" s="34">
        <f>COUNTIFS('BA History S2'!B:B,A21,'BA History S2'!D:D, 1)</f>
        <v>1</v>
      </c>
      <c r="G21" s="2">
        <f>COUNTIFS('BA History S2'!B:B,A21,'BA History S2'!D:D, 0)</f>
        <v>2</v>
      </c>
      <c r="H21" s="75">
        <f>LOOKUP(2, 1/('BA History S2'!$B:$B=A21), 'BA History S2'!$AJ:$AJ)</f>
        <v>0.33333333333333331</v>
      </c>
      <c r="I21" s="34">
        <f>SUMIFS('BA History S2'!F:F,'BA History S2'!B:B,A21)</f>
        <v>6</v>
      </c>
      <c r="J21" s="2">
        <f>SUMIFS('BA History S2'!E:E,'BA History S2'!B:B,A21)-I21</f>
        <v>6</v>
      </c>
      <c r="K21" s="75">
        <f>LOOKUP(2, 1/('BA History S2'!$B:$B=A21), 'BA History S2'!$AH:$AH)</f>
        <v>0.54999999999999993</v>
      </c>
      <c r="L21" s="34">
        <f>SUMIFS('BA History S2'!H:H,'BA History S2'!B:B,A21)</f>
        <v>29</v>
      </c>
      <c r="M21" s="2">
        <f>SUMIFS('BA History S2'!G:G,'BA History S2'!B:B,A21)-L21</f>
        <v>23</v>
      </c>
      <c r="N21" s="89">
        <f>LOOKUP(2, 1/('BA History S2'!$B:$B=A21), 'BA History S2'!$AI:$AI)</f>
        <v>0.6133333333333334</v>
      </c>
      <c r="O21" s="2">
        <f>COUNTIFS('BA History S2'!$B:$B,$A$21,'BA History S2'!K:K, 1)</f>
        <v>0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1</v>
      </c>
      <c r="AE21" s="2">
        <f>COUNTIFS('BA History S2'!$B:$B,$A$21,'BA History S2'!AA:AA, 1)</f>
        <v>0</v>
      </c>
      <c r="AF21" s="2">
        <f>COUNTIFS('BA History S2'!$B:$B,$A$21,'BA History S2'!AB:AB, 1)</f>
        <v>1</v>
      </c>
      <c r="AG21" s="2">
        <f>COUNTIFS('BA History S2'!$B:$B,$A$21,'BA History S2'!AC:AC, 1)</f>
        <v>0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17</v>
      </c>
      <c r="B22" s="2" t="s">
        <v>79</v>
      </c>
      <c r="C22" s="34">
        <f>SUMIFS('BA History S2'!C:C,'BA History S2'!B:B,A22)</f>
        <v>49</v>
      </c>
      <c r="D22" s="66">
        <f>AVERAGEIFS('BA History S2'!C:C,'BA History S2'!B:B,A22)</f>
        <v>16.333333333333332</v>
      </c>
      <c r="E22" s="35">
        <f t="array" ref="E22">MAX(IF('BA History S2'!B:B=A22, 'BA History S2'!C:C))</f>
        <v>19</v>
      </c>
      <c r="F22" s="34">
        <f>COUNTIFS('BA History S2'!B:B,A22,'BA History S2'!D:D, 1)</f>
        <v>3</v>
      </c>
      <c r="G22" s="2">
        <f>COUNTIFS('BA History S2'!B:B,A22,'BA History S2'!D:D, 0)</f>
        <v>0</v>
      </c>
      <c r="H22" s="75">
        <f>LOOKUP(2, 1/('BA History S2'!$B:$B=A22), 'BA History S2'!$AJ:$AJ)</f>
        <v>1</v>
      </c>
      <c r="I22" s="34">
        <f>SUMIFS('BA History S2'!F:F,'BA History S2'!B:B,A22)</f>
        <v>9</v>
      </c>
      <c r="J22" s="2">
        <f>SUMIFS('BA History S2'!E:E,'BA History S2'!B:B,A22)-I22</f>
        <v>2</v>
      </c>
      <c r="K22" s="75">
        <f>LOOKUP(2, 1/('BA History S2'!$B:$B=A22), 'BA History S2'!$AH:$AH)</f>
        <v>0.83333333333333337</v>
      </c>
      <c r="L22" s="34">
        <f>SUMIFS('BA History S2'!H:H,'BA History S2'!B:B,A22)</f>
        <v>30</v>
      </c>
      <c r="M22" s="2">
        <f>SUMIFS('BA History S2'!G:G,'BA History S2'!B:B,A22)-L22</f>
        <v>16</v>
      </c>
      <c r="N22" s="89">
        <f>LOOKUP(2, 1/('BA History S2'!$B:$B=A22), 'BA History S2'!$AI:$AI)</f>
        <v>0.69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2</v>
      </c>
      <c r="R22" s="2">
        <f>COUNTIFS('BA History S2'!$B:$B,$A$22,'BA History S2'!N:N, 1)</f>
        <v>1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2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2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1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x14ac:dyDescent="0.25">
      <c r="A23" s="2" t="s">
        <v>6</v>
      </c>
      <c r="B23" s="1" t="s">
        <v>162</v>
      </c>
      <c r="C23" s="34">
        <f>SUMIFS('BA History S2'!C:C,'BA History S2'!B:B,A23)</f>
        <v>107</v>
      </c>
      <c r="D23" s="66">
        <f>AVERAGEIFS('BA History S2'!C:C,'BA History S2'!B:B,A23)</f>
        <v>21.4</v>
      </c>
      <c r="E23" s="35">
        <f t="array" ref="E23">MAX(IF('BA History S2'!B:B=A23, 'BA History S2'!C:C))</f>
        <v>31</v>
      </c>
      <c r="F23" s="34">
        <f>COUNTIFS('BA History S2'!B:B,A23,'BA History S2'!D:D, 1)</f>
        <v>3</v>
      </c>
      <c r="G23" s="2">
        <f>COUNTIFS('BA History S2'!B:B,A23,'BA History S2'!D:D, 0)</f>
        <v>2</v>
      </c>
      <c r="H23" s="75">
        <f>LOOKUP(2, 1/('BA History S2'!$B:$B=A23), 'BA History S2'!$AJ:$AJ)</f>
        <v>0.6</v>
      </c>
      <c r="I23" s="34">
        <f>SUMIFS('BA History S2'!F:F,'BA History S2'!B:B,A23)</f>
        <v>11</v>
      </c>
      <c r="J23" s="2">
        <f>SUMIFS('BA History S2'!E:E,'BA History S2'!B:B,A23)-I23</f>
        <v>10</v>
      </c>
      <c r="K23" s="75">
        <f>LOOKUP(2, 1/('BA History S2'!$B:$B=A23), 'BA History S2'!$AH:$AH)</f>
        <v>0.5</v>
      </c>
      <c r="L23" s="34">
        <f>SUMIFS('BA History S2'!H:H,'BA History S2'!B:B,A23)</f>
        <v>46</v>
      </c>
      <c r="M23" s="2">
        <f>SUMIFS('BA History S2'!G:G,'BA History S2'!B:B,A23)-L23</f>
        <v>44</v>
      </c>
      <c r="N23" s="89">
        <f>LOOKUP(2, 1/('BA History S2'!$B:$B=A23), 'BA History S2'!$AI:$AI)</f>
        <v>0.47400000000000003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2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1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1</v>
      </c>
      <c r="AE23" s="2">
        <f>COUNTIFS('BA History S2'!$B:$B,$A$23,'BA History S2'!AA:AA, 1)</f>
        <v>0</v>
      </c>
      <c r="AF23" s="2">
        <f>COUNTIFS('BA History S2'!$B:$B,$A$23,'BA History S2'!AB:AB, 1)</f>
        <v>1</v>
      </c>
      <c r="AG23" s="2">
        <f>COUNTIFS('BA History S2'!$B:$B,$A$23,'BA History S2'!AC:AC, 1)</f>
        <v>1</v>
      </c>
      <c r="AH23" s="2">
        <f>COUNTIFS('BA History S2'!$B:$B,$A$23,'BA History S2'!AD:AD, 1)</f>
        <v>1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2" t="s">
        <v>113</v>
      </c>
      <c r="B24" s="2" t="s">
        <v>79</v>
      </c>
      <c r="C24" s="34">
        <f>SUMIFS('BA History S2'!C:C,'BA History S2'!B:B,A24)</f>
        <v>71</v>
      </c>
      <c r="D24" s="66">
        <f>AVERAGEIFS('BA History S2'!C:C,'BA History S2'!B:B,A24)</f>
        <v>17.75</v>
      </c>
      <c r="E24" s="35">
        <f t="array" ref="E24">MAX(IF('BA History S2'!B:B=A24, 'BA History S2'!C:C))</f>
        <v>21</v>
      </c>
      <c r="F24" s="34">
        <f>COUNTIFS('BA History S2'!B:B,A24,'BA History S2'!D:D, 1)</f>
        <v>4</v>
      </c>
      <c r="G24" s="2">
        <f>COUNTIFS('BA History S2'!B:B,A24,'BA History S2'!D:D, 0)</f>
        <v>0</v>
      </c>
      <c r="H24" s="75">
        <f>LOOKUP(2, 1/('BA History S2'!$B:$B=A24), 'BA History S2'!$AJ:$AJ)</f>
        <v>1</v>
      </c>
      <c r="I24" s="34">
        <f>SUMIFS('BA History S2'!F:F,'BA History S2'!B:B,A24)</f>
        <v>12</v>
      </c>
      <c r="J24" s="2">
        <f>SUMIFS('BA History S2'!E:E,'BA History S2'!B:B,A24)-I24</f>
        <v>4</v>
      </c>
      <c r="K24" s="75">
        <f>LOOKUP(2, 1/('BA History S2'!$B:$B=A24), 'BA History S2'!$AH:$AH)</f>
        <v>0.8</v>
      </c>
      <c r="L24" s="34">
        <f>SUMIFS('BA History S2'!H:H,'BA History S2'!B:B,A24)</f>
        <v>42</v>
      </c>
      <c r="M24" s="2">
        <f>SUMIFS('BA History S2'!G:G,'BA History S2'!B:B,A24)-L24</f>
        <v>25</v>
      </c>
      <c r="N24" s="89">
        <f>LOOKUP(2, 1/('BA History S2'!$B:$B=A24), 'BA History S2'!$AI:$AI)</f>
        <v>0.67249999999999999</v>
      </c>
      <c r="O24" s="2">
        <f>COUNTIFS('BA History S2'!$B:$B,$A$24,'BA History S2'!K:K, 1)</f>
        <v>0</v>
      </c>
      <c r="P24" s="2">
        <f>COUNTIFS('BA History S2'!$B:$B,$A$24,'BA History S2'!L:L, 1)</f>
        <v>2</v>
      </c>
      <c r="Q24" s="2">
        <f>COUNTIFS('BA History S2'!$B:$B,$A$24,'BA History S2'!M:M, 1)</f>
        <v>1</v>
      </c>
      <c r="R24" s="2">
        <f>COUNTIFS('BA History S2'!$B:$B,$A$24,'BA History S2'!N:N, 1)</f>
        <v>3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1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1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2</v>
      </c>
      <c r="AH24" s="2">
        <f>COUNTIFS('BA History S2'!$B:$B,$A$24,'BA History S2'!AD:AD, 1)</f>
        <v>0</v>
      </c>
      <c r="AI24" s="2">
        <f>COUNTIFS('BA History S2'!$B:$B,$A$24,'BA History S2'!AE:AE, 1)</f>
        <v>0</v>
      </c>
      <c r="AJ24" s="2">
        <f>COUNTIFS('BA History S2'!$B:$B,$A$24,'BA History S2'!AF:AF, 1)</f>
        <v>1</v>
      </c>
    </row>
    <row r="25" spans="1:36" x14ac:dyDescent="0.25">
      <c r="A25" s="2" t="s">
        <v>14</v>
      </c>
      <c r="B25" s="2" t="s">
        <v>79</v>
      </c>
      <c r="C25" s="34">
        <f>SUMIFS('BA History S2'!C:C,'BA History S2'!B:B,A25)</f>
        <v>10</v>
      </c>
      <c r="D25" s="66">
        <f>AVERAGEIFS('BA History S2'!C:C,'BA History S2'!B:B,A25)</f>
        <v>10</v>
      </c>
      <c r="E25" s="35">
        <f t="array" ref="E25">MAX(IF('BA History S2'!B:B=A25, 'BA History S2'!C:C))</f>
        <v>10</v>
      </c>
      <c r="F25" s="34">
        <f>COUNTIFS('BA History S2'!B:B,A25,'BA History S2'!D:D, 1)</f>
        <v>0</v>
      </c>
      <c r="G25" s="2">
        <f>COUNTIFS('BA History S2'!B:B,A25,'BA History S2'!D:D, 0)</f>
        <v>1</v>
      </c>
      <c r="H25" s="75">
        <f>LOOKUP(2, 1/('BA History S2'!$B:$B=A25), 'BA History S2'!$AJ:$AJ)</f>
        <v>0</v>
      </c>
      <c r="I25" s="34">
        <f>SUMIFS('BA History S2'!F:F,'BA History S2'!B:B,A25)</f>
        <v>1</v>
      </c>
      <c r="J25" s="2">
        <f>SUMIFS('BA History S2'!E:E,'BA History S2'!B:B,A25)-I25</f>
        <v>3</v>
      </c>
      <c r="K25" s="75">
        <f>LOOKUP(2, 1/('BA History S2'!$B:$B=A25), 'BA History S2'!$AH:$AH)</f>
        <v>0.25</v>
      </c>
      <c r="L25" s="34">
        <f>SUMIFS('BA History S2'!H:H,'BA History S2'!B:B,A25)</f>
        <v>8</v>
      </c>
      <c r="M25" s="2">
        <f>SUMIFS('BA History S2'!G:G,'BA History S2'!B:B,A25)-L25</f>
        <v>10</v>
      </c>
      <c r="N25" s="89">
        <f>LOOKUP(2, 1/('BA History S2'!$B:$B=A25), 'BA History S2'!$AI:$AI)</f>
        <v>0.44</v>
      </c>
      <c r="O25" s="2">
        <f>COUNTIFS('BA History S2'!$B:$B,$A$25,'BA History S2'!K:K, 1)</f>
        <v>0</v>
      </c>
      <c r="P25" s="2">
        <f>COUNTIFS('BA History S2'!$B:$B,$A$25,'BA History S2'!L:L, 1)</f>
        <v>0</v>
      </c>
      <c r="Q25" s="2">
        <f>COUNTIFS('BA History S2'!$B:$B,$A$25,'BA History S2'!M:M, 1)</f>
        <v>0</v>
      </c>
      <c r="R25" s="2">
        <f>COUNTIFS('BA History S2'!$B:$B,$A$25,'BA History S2'!N:N, 1)</f>
        <v>0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0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0</v>
      </c>
      <c r="AE25" s="2">
        <f>COUNTIFS('BA History S2'!$B:$B,$A$25,'BA History S2'!AA:AA, 1)</f>
        <v>0</v>
      </c>
      <c r="AF25" s="2">
        <f>COUNTIFS('BA History S2'!$B:$B,$A$25,'BA History S2'!AB:AB, 1)</f>
        <v>1</v>
      </c>
      <c r="AG25" s="2">
        <f>COUNTIFS('BA History S2'!$B:$B,$A$25,'BA History S2'!AC:AC, 1)</f>
        <v>0</v>
      </c>
      <c r="AH25" s="2">
        <f>COUNTIFS('BA History S2'!$B:$B,$A$25,'BA History S2'!AD:AD, 1)</f>
        <v>0</v>
      </c>
      <c r="AI25" s="2">
        <f>COUNTIFS('BA History S2'!$B:$B,$A$25,'BA History S2'!AE:AE, 1)</f>
        <v>0</v>
      </c>
      <c r="AJ25" s="2">
        <f>COUNTIFS('BA History S2'!$B:$B,$A$25,'BA History S2'!AF:AF, 1)</f>
        <v>0</v>
      </c>
    </row>
    <row r="26" spans="1:36" x14ac:dyDescent="0.25">
      <c r="A26" s="2" t="s">
        <v>4</v>
      </c>
      <c r="B26" s="1" t="s">
        <v>162</v>
      </c>
      <c r="C26" s="34">
        <f>SUMIFS('BA History S2'!C:C,'BA History S2'!B:B,A26)</f>
        <v>79</v>
      </c>
      <c r="D26" s="66">
        <f>AVERAGEIFS('BA History S2'!C:C,'BA History S2'!B:B,A26)</f>
        <v>26.333333333333332</v>
      </c>
      <c r="E26" s="35">
        <f t="array" ref="E26">MAX(IF('BA History S2'!B:B=A26, 'BA History S2'!C:C))</f>
        <v>38</v>
      </c>
      <c r="F26" s="34">
        <f>COUNTIFS('BA History S2'!B:B,A26,'BA History S2'!D:D, 1)</f>
        <v>3</v>
      </c>
      <c r="G26" s="2">
        <f>COUNTIFS('BA History S2'!B:B,A26,'BA History S2'!D:D, 0)</f>
        <v>0</v>
      </c>
      <c r="H26" s="75">
        <f>LOOKUP(2, 1/('BA History S2'!$B:$B=A26), 'BA History S2'!$AJ:$AJ)</f>
        <v>1</v>
      </c>
      <c r="I26" s="34">
        <f>SUMIFS('BA History S2'!F:F,'BA History S2'!B:B,A26)</f>
        <v>9</v>
      </c>
      <c r="J26" s="2">
        <f>SUMIFS('BA History S2'!E:E,'BA History S2'!B:B,A26)-I26</f>
        <v>4</v>
      </c>
      <c r="K26" s="75">
        <f>LOOKUP(2, 1/('BA History S2'!$B:$B=A26), 'BA History S2'!$AH:$AH)</f>
        <v>0.73333333333333339</v>
      </c>
      <c r="L26" s="34">
        <f>SUMIFS('BA History S2'!H:H,'BA History S2'!B:B,A26)</f>
        <v>33</v>
      </c>
      <c r="M26" s="2">
        <f>SUMIFS('BA History S2'!G:G,'BA History S2'!B:B,A26)-L26</f>
        <v>24</v>
      </c>
      <c r="N26" s="89">
        <f>LOOKUP(2, 1/('BA History S2'!$B:$B=A26), 'BA History S2'!$AI:$AI)</f>
        <v>0.59666666666666668</v>
      </c>
      <c r="O26" s="2">
        <f>COUNTIFS('BA History S2'!$B:$B,$A$26,'BA History S2'!K:K, 1)</f>
        <v>0</v>
      </c>
      <c r="P26" s="2">
        <f>COUNTIFS('BA History S2'!$B:$B,$A$26,'BA History S2'!L:L, 1)</f>
        <v>2</v>
      </c>
      <c r="Q26" s="2">
        <f>COUNTIFS('BA History S2'!$B:$B,$A$26,'BA History S2'!M:M, 1)</f>
        <v>1</v>
      </c>
      <c r="R26" s="2">
        <f>COUNTIFS('BA History S2'!$B:$B,$A$26,'BA History S2'!N:N, 1)</f>
        <v>2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0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0</v>
      </c>
      <c r="AE26" s="2">
        <f>COUNTIFS('BA History S2'!$B:$B,$A$26,'BA History S2'!AA:AA, 1)</f>
        <v>0</v>
      </c>
      <c r="AF26" s="2">
        <f>COUNTIFS('BA History S2'!$B:$B,$A$26,'BA History S2'!AB:AB, 1)</f>
        <v>1</v>
      </c>
      <c r="AG26" s="2">
        <f>COUNTIFS('BA History S2'!$B:$B,$A$26,'BA History S2'!AC:AC, 1)</f>
        <v>2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1</v>
      </c>
    </row>
    <row r="27" spans="1:36" x14ac:dyDescent="0.25">
      <c r="A27" s="1" t="s">
        <v>107</v>
      </c>
      <c r="B27" s="2" t="s">
        <v>79</v>
      </c>
      <c r="C27" s="34">
        <f>SUMIFS('BA History S2'!C:C,'BA History S2'!B:B,A27)</f>
        <v>60</v>
      </c>
      <c r="D27" s="66">
        <f>AVERAGEIFS('BA History S2'!C:C,'BA History S2'!B:B,A27)</f>
        <v>15</v>
      </c>
      <c r="E27" s="35">
        <f t="array" ref="E27">MAX(IF('BA History S2'!B:B=A27, 'BA History S2'!C:C))</f>
        <v>22</v>
      </c>
      <c r="F27" s="34">
        <f>COUNTIFS('BA History S2'!B:B,A27,'BA History S2'!D:D, 1)</f>
        <v>1</v>
      </c>
      <c r="G27" s="2">
        <f>COUNTIFS('BA History S2'!B:B,A27,'BA History S2'!D:D, 0)</f>
        <v>3</v>
      </c>
      <c r="H27" s="75">
        <f>LOOKUP(2, 1/('BA History S2'!$B:$B=A27), 'BA History S2'!$AJ:$AJ)</f>
        <v>0.25</v>
      </c>
      <c r="I27" s="34">
        <f>SUMIFS('BA History S2'!F:F,'BA History S2'!B:B,A27)</f>
        <v>5</v>
      </c>
      <c r="J27" s="2">
        <f>SUMIFS('BA History S2'!E:E,'BA History S2'!B:B,A27)-I27</f>
        <v>10</v>
      </c>
      <c r="K27" s="75">
        <f>LOOKUP(2, 1/('BA History S2'!$B:$B=A27), 'BA History S2'!$AH:$AH)</f>
        <v>0.28749999999999998</v>
      </c>
      <c r="L27" s="34">
        <f>SUMIFS('BA History S2'!H:H,'BA History S2'!B:B,A27)</f>
        <v>24</v>
      </c>
      <c r="M27" s="2">
        <f>SUMIFS('BA History S2'!G:G,'BA History S2'!B:B,A27)-L27</f>
        <v>37</v>
      </c>
      <c r="N27" s="89">
        <f>LOOKUP(2, 1/('BA History S2'!$B:$B=A27), 'BA History S2'!$AI:$AI)</f>
        <v>0.35499999999999998</v>
      </c>
      <c r="O27" s="2">
        <f>COUNTIFS('BA History S2'!$B:$B,$A$27,'BA History S2'!K:K, 1)</f>
        <v>1</v>
      </c>
      <c r="P27" s="2">
        <f>COUNTIFS('BA History S2'!$B:$B,$A$27,'BA History S2'!L:L, 1)</f>
        <v>0</v>
      </c>
      <c r="Q27" s="2">
        <f>COUNTIFS('BA History S2'!$B:$B,$A$27,'BA History S2'!M:M, 1)</f>
        <v>1</v>
      </c>
      <c r="R27" s="2">
        <f>COUNTIFS('BA History S2'!$B:$B,$A$27,'BA History S2'!N:N, 1)</f>
        <v>0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0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1</v>
      </c>
      <c r="AD27" s="2">
        <f>COUNTIFS('BA History S2'!$B:$B,$A$27,'BA History S2'!Z:Z, 1)</f>
        <v>0</v>
      </c>
      <c r="AE27" s="2">
        <f>COUNTIFS('BA History S2'!$B:$B,$A$27,'BA History S2'!AA:AA, 1)</f>
        <v>0</v>
      </c>
      <c r="AF27" s="2">
        <f>COUNTIFS('BA History S2'!$B:$B,$A$27,'BA History S2'!AB:AB, 1)</f>
        <v>1</v>
      </c>
      <c r="AG27" s="2">
        <f>COUNTIFS('BA History S2'!$B:$B,$A$27,'BA History S2'!AC:AC, 1)</f>
        <v>0</v>
      </c>
      <c r="AH27" s="2">
        <f>COUNTIFS('BA History S2'!$B:$B,$A$27,'BA History S2'!AD:AD, 1)</f>
        <v>1</v>
      </c>
      <c r="AI27" s="2">
        <f>COUNTIFS('BA History S2'!$B:$B,$A$27,'BA History S2'!AE:AE, 1)</f>
        <v>0</v>
      </c>
      <c r="AJ27" s="2">
        <f>COUNTIFS('BA History S2'!$B:$B,$A$27,'BA History S2'!AF:AF, 1)</f>
        <v>0</v>
      </c>
    </row>
  </sheetData>
  <autoFilter ref="A1:AJ27" xr:uid="{DA548192-1F03-46EA-8AB8-115EB9A7CE5D}">
    <sortState xmlns:xlrd2="http://schemas.microsoft.com/office/spreadsheetml/2017/richdata2" ref="A2:AJ27">
      <sortCondition ref="A1:A2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71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M74" sqref="M7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</sheetData>
  <autoFilter ref="A1:AJ7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160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162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161</v>
      </c>
      <c r="C21" s="2" t="s">
        <v>163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163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161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161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162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2026-04-09T04:32:27Z</dcterms:modified>
</cp:coreProperties>
</file>