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A7804D4-42B1-4B4C-8A03-5D62684A65B6}" xr6:coauthVersionLast="47" xr6:coauthVersionMax="47" xr10:uidLastSave="{00000000-0000-0000-0000-000000000000}"/>
  <bookViews>
    <workbookView xWindow="11340" yWindow="3435" windowWidth="28635" windowHeight="15345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History'!$A$1:$AJ$530</definedName>
    <definedName name="_xlnm._FilterDatabase" localSheetId="5" hidden="1">'BA v2'!$A$1:$AJ$54</definedName>
    <definedName name="_xlnm._FilterDatabase" localSheetId="4" hidden="1">'OB History'!$A$1:$AD$389</definedName>
    <definedName name="_xlnm._FilterDatabase" localSheetId="1" hidden="1">'Old Bow'!$A$1:$AD$37</definedName>
    <definedName name="_xlnm._FilterDatabase" localSheetId="0" hidden="1">'Old Bow v2'!$A$1:$AE$45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556" i="9" l="1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C24" i="12"/>
  <c r="D24" i="12"/>
  <c r="E24" i="12" a="1"/>
  <c r="E24" i="12" s="1"/>
  <c r="F24" i="12"/>
  <c r="H24" i="12" s="1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AE35" i="11"/>
  <c r="P37" i="11"/>
  <c r="P34" i="11"/>
  <c r="P35" i="11"/>
  <c r="D37" i="11"/>
  <c r="E37" i="11"/>
  <c r="F37" i="11" a="1"/>
  <c r="F37" i="11" s="1"/>
  <c r="G37" i="11"/>
  <c r="I37" i="11" s="1"/>
  <c r="H37" i="11"/>
  <c r="J37" i="11"/>
  <c r="K37" i="11" s="1"/>
  <c r="M37" i="11"/>
  <c r="N37" i="11" s="1"/>
  <c r="D35" i="11"/>
  <c r="F35" i="11" a="1"/>
  <c r="F35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I26" i="11" s="1"/>
  <c r="H26" i="11"/>
  <c r="J26" i="11"/>
  <c r="K26" i="11" s="1"/>
  <c r="M26" i="11"/>
  <c r="O26" i="11" s="1"/>
  <c r="N26" i="1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1" i="11"/>
  <c r="R41" i="11"/>
  <c r="S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P41" i="11"/>
  <c r="D41" i="11"/>
  <c r="E41" i="11"/>
  <c r="F41" i="11" a="1"/>
  <c r="F41" i="11" s="1"/>
  <c r="G41" i="11"/>
  <c r="H41" i="11"/>
  <c r="J41" i="11"/>
  <c r="K41" i="11" s="1"/>
  <c r="M41" i="11"/>
  <c r="N41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I9" i="11" s="1"/>
  <c r="H9" i="11"/>
  <c r="J9" i="11"/>
  <c r="K9" i="11" s="1"/>
  <c r="M9" i="11"/>
  <c r="N9" i="11" s="1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4" i="11"/>
  <c r="Y36" i="11"/>
  <c r="Y38" i="11"/>
  <c r="Y39" i="11"/>
  <c r="Y40" i="11"/>
  <c r="Y42" i="11"/>
  <c r="Y43" i="11"/>
  <c r="Y44" i="11"/>
  <c r="Y45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L2" i="12"/>
  <c r="W9" i="12"/>
  <c r="W10" i="12"/>
  <c r="W11" i="12"/>
  <c r="W13" i="12"/>
  <c r="W14" i="12"/>
  <c r="W15" i="12"/>
  <c r="W16" i="12"/>
  <c r="W17" i="12"/>
  <c r="W18" i="12"/>
  <c r="W19" i="12"/>
  <c r="W20" i="12"/>
  <c r="W21" i="12"/>
  <c r="W22" i="12"/>
  <c r="W23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8" i="12"/>
  <c r="W7" i="12"/>
  <c r="W6" i="12"/>
  <c r="W5" i="12"/>
  <c r="W4" i="12"/>
  <c r="W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I43" i="12"/>
  <c r="J43" i="12" s="1"/>
  <c r="L43" i="12"/>
  <c r="M43" i="12" s="1"/>
  <c r="F43" i="12"/>
  <c r="G43" i="12"/>
  <c r="C43" i="12"/>
  <c r="D43" i="12"/>
  <c r="E43" i="12" a="1"/>
  <c r="E43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F43" i="11" a="1"/>
  <c r="F43" i="11" s="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D34" i="11"/>
  <c r="F34" i="11" a="1"/>
  <c r="F34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O33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N24" i="12" l="1"/>
  <c r="K24" i="12"/>
  <c r="O37" i="11"/>
  <c r="L37" i="11"/>
  <c r="L26" i="11"/>
  <c r="I41" i="11"/>
  <c r="O41" i="11"/>
  <c r="L41" i="11"/>
  <c r="H12" i="12"/>
  <c r="O9" i="11"/>
  <c r="L9" i="11"/>
  <c r="N12" i="12"/>
  <c r="K12" i="12"/>
  <c r="H2" i="12"/>
  <c r="M2" i="12"/>
  <c r="N2" i="12" s="1"/>
  <c r="K2" i="12"/>
  <c r="H43" i="12"/>
  <c r="N43" i="12"/>
  <c r="K43" i="12"/>
  <c r="H32" i="12"/>
  <c r="J32" i="12"/>
  <c r="K32" i="12" s="1"/>
  <c r="N32" i="12"/>
  <c r="H33" i="12"/>
  <c r="K33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I22" i="12"/>
  <c r="J22" i="12" s="1"/>
  <c r="L22" i="12"/>
  <c r="M22" i="12" s="1"/>
  <c r="F22" i="12"/>
  <c r="G22" i="12"/>
  <c r="C22" i="12"/>
  <c r="D22" i="12"/>
  <c r="E22" i="12" a="1"/>
  <c r="E22" i="12" s="1"/>
  <c r="AF44" i="12"/>
  <c r="AG44" i="12"/>
  <c r="AH44" i="12"/>
  <c r="AI44" i="12"/>
  <c r="AJ44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O44" i="12"/>
  <c r="I44" i="12"/>
  <c r="J44" i="12" s="1"/>
  <c r="L44" i="12"/>
  <c r="M44" i="12" s="1"/>
  <c r="F44" i="12"/>
  <c r="G44" i="12"/>
  <c r="C44" i="12"/>
  <c r="D44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F39" i="12"/>
  <c r="G39" i="12"/>
  <c r="I39" i="12"/>
  <c r="J39" i="12" s="1"/>
  <c r="L39" i="12"/>
  <c r="M39" i="12" s="1"/>
  <c r="C39" i="12"/>
  <c r="D39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L21" i="12"/>
  <c r="M21" i="12" s="1"/>
  <c r="I21" i="12"/>
  <c r="J21" i="12" s="1"/>
  <c r="F21" i="12"/>
  <c r="G21" i="12"/>
  <c r="C21" i="12"/>
  <c r="D21" i="12"/>
  <c r="E21" i="12" a="1"/>
  <c r="E21" i="12" s="1"/>
  <c r="E44" i="12" a="1"/>
  <c r="E44" i="12" s="1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P23" i="12"/>
  <c r="Q23" i="12"/>
  <c r="R23" i="12"/>
  <c r="S23" i="12"/>
  <c r="T23" i="12"/>
  <c r="U23" i="12"/>
  <c r="V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P54" i="12"/>
  <c r="Q54" i="12"/>
  <c r="R54" i="12"/>
  <c r="S54" i="12"/>
  <c r="T54" i="12"/>
  <c r="U54" i="12"/>
  <c r="V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O53" i="12"/>
  <c r="O52" i="12"/>
  <c r="O51" i="12"/>
  <c r="O50" i="12"/>
  <c r="O49" i="12"/>
  <c r="O48" i="12"/>
  <c r="O47" i="12"/>
  <c r="O46" i="12"/>
  <c r="O45" i="12"/>
  <c r="O42" i="12"/>
  <c r="O41" i="12"/>
  <c r="O40" i="12"/>
  <c r="O38" i="12"/>
  <c r="O37" i="12"/>
  <c r="O36" i="12"/>
  <c r="O35" i="12"/>
  <c r="O34" i="12"/>
  <c r="O31" i="12"/>
  <c r="O30" i="12"/>
  <c r="O29" i="12"/>
  <c r="O28" i="12"/>
  <c r="O27" i="12"/>
  <c r="O26" i="12"/>
  <c r="O25" i="12"/>
  <c r="O23" i="12"/>
  <c r="O20" i="12"/>
  <c r="O19" i="12"/>
  <c r="O18" i="12"/>
  <c r="O17" i="12"/>
  <c r="O16" i="12"/>
  <c r="O15" i="12"/>
  <c r="O14" i="12"/>
  <c r="O13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3" i="12"/>
  <c r="M23" i="12" s="1"/>
  <c r="N23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0" i="12"/>
  <c r="M40" i="12" s="1"/>
  <c r="L41" i="12"/>
  <c r="M41" i="12" s="1"/>
  <c r="L42" i="12"/>
  <c r="M42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L50" i="12"/>
  <c r="M50" i="12" s="1"/>
  <c r="N50" i="12" s="1"/>
  <c r="L51" i="12"/>
  <c r="M51" i="12" s="1"/>
  <c r="N51" i="12" s="1"/>
  <c r="L52" i="12"/>
  <c r="M52" i="12" s="1"/>
  <c r="L53" i="12"/>
  <c r="M53" i="12" s="1"/>
  <c r="L54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14" i="12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3" i="12"/>
  <c r="J23" i="12" s="1"/>
  <c r="K23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0" i="12"/>
  <c r="J40" i="12" s="1"/>
  <c r="I41" i="12"/>
  <c r="J41" i="12" s="1"/>
  <c r="I42" i="12"/>
  <c r="J42" i="12" s="1"/>
  <c r="K42" i="12" s="1"/>
  <c r="I45" i="12"/>
  <c r="J45" i="12" s="1"/>
  <c r="K45" i="12" s="1"/>
  <c r="I46" i="12"/>
  <c r="J46" i="12" s="1"/>
  <c r="K46" i="12" s="1"/>
  <c r="I47" i="12"/>
  <c r="J47" i="12" s="1"/>
  <c r="I48" i="12"/>
  <c r="J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3" i="12"/>
  <c r="J3" i="12" s="1"/>
  <c r="G4" i="12"/>
  <c r="G5" i="12"/>
  <c r="G6" i="12"/>
  <c r="G7" i="12"/>
  <c r="G8" i="12"/>
  <c r="G9" i="12"/>
  <c r="G10" i="12"/>
  <c r="G11" i="12"/>
  <c r="G13" i="12"/>
  <c r="G14" i="12"/>
  <c r="G15" i="12"/>
  <c r="G16" i="12"/>
  <c r="G17" i="12"/>
  <c r="G18" i="12"/>
  <c r="G19" i="12"/>
  <c r="G20" i="12"/>
  <c r="G23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0" i="12"/>
  <c r="G41" i="12"/>
  <c r="G42" i="12"/>
  <c r="G45" i="12"/>
  <c r="G46" i="12"/>
  <c r="G47" i="12"/>
  <c r="G48" i="12"/>
  <c r="G49" i="12"/>
  <c r="G50" i="12"/>
  <c r="G51" i="12"/>
  <c r="G52" i="12"/>
  <c r="G53" i="12"/>
  <c r="G54" i="12"/>
  <c r="G3" i="12"/>
  <c r="F14" i="12"/>
  <c r="F15" i="12"/>
  <c r="F16" i="12"/>
  <c r="F17" i="12"/>
  <c r="F18" i="12"/>
  <c r="F19" i="12"/>
  <c r="F20" i="12"/>
  <c r="F23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0" i="12"/>
  <c r="F41" i="12"/>
  <c r="F42" i="12"/>
  <c r="F45" i="12"/>
  <c r="F46" i="12"/>
  <c r="F47" i="12"/>
  <c r="F48" i="12"/>
  <c r="F49" i="12"/>
  <c r="F50" i="12"/>
  <c r="F51" i="12"/>
  <c r="F52" i="12"/>
  <c r="F53" i="12"/>
  <c r="F54" i="12"/>
  <c r="F4" i="12"/>
  <c r="F5" i="12"/>
  <c r="F6" i="12"/>
  <c r="F7" i="12"/>
  <c r="F8" i="12"/>
  <c r="F9" i="12"/>
  <c r="F10" i="12"/>
  <c r="F11" i="12"/>
  <c r="H11" i="12" s="1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3" i="12" a="1"/>
  <c r="E23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0" i="12" a="1"/>
  <c r="E40" i="12" s="1"/>
  <c r="E41" i="12" a="1"/>
  <c r="E41" i="12" s="1"/>
  <c r="E42" i="12" a="1"/>
  <c r="E42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3" i="12" a="1"/>
  <c r="E3" i="12" s="1"/>
  <c r="D14" i="12"/>
  <c r="D15" i="12"/>
  <c r="D16" i="12"/>
  <c r="D17" i="12"/>
  <c r="D18" i="12"/>
  <c r="D19" i="12"/>
  <c r="D20" i="12"/>
  <c r="D23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0" i="12"/>
  <c r="D41" i="12"/>
  <c r="D42" i="12"/>
  <c r="D45" i="12"/>
  <c r="D46" i="12"/>
  <c r="D47" i="12"/>
  <c r="D48" i="12"/>
  <c r="D49" i="12"/>
  <c r="D50" i="12"/>
  <c r="D51" i="12"/>
  <c r="D52" i="12"/>
  <c r="D53" i="12"/>
  <c r="D54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14" i="12"/>
  <c r="C15" i="12"/>
  <c r="C16" i="12"/>
  <c r="C17" i="12"/>
  <c r="C18" i="12"/>
  <c r="C19" i="12"/>
  <c r="C20" i="12"/>
  <c r="C23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0" i="12"/>
  <c r="C41" i="12"/>
  <c r="C42" i="12"/>
  <c r="C45" i="12"/>
  <c r="C46" i="12"/>
  <c r="C47" i="12"/>
  <c r="C48" i="12"/>
  <c r="C49" i="12"/>
  <c r="C50" i="12"/>
  <c r="C51" i="12"/>
  <c r="C52" i="12"/>
  <c r="C53" i="12"/>
  <c r="C54" i="12"/>
  <c r="C3" i="12"/>
  <c r="N54" i="12"/>
  <c r="H30" i="12"/>
  <c r="H29" i="12"/>
  <c r="H28" i="12"/>
  <c r="H27" i="12"/>
  <c r="H26" i="12"/>
  <c r="H25" i="12"/>
  <c r="H20" i="12"/>
  <c r="H19" i="12"/>
  <c r="H18" i="12"/>
  <c r="H17" i="12"/>
  <c r="H16" i="12"/>
  <c r="H15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6" i="11"/>
  <c r="K36" i="11" s="1"/>
  <c r="L36" i="11" s="1"/>
  <c r="J38" i="11"/>
  <c r="K38" i="11" s="1"/>
  <c r="J39" i="11"/>
  <c r="K39" i="11" s="1"/>
  <c r="L39" i="11" s="1"/>
  <c r="J40" i="11"/>
  <c r="K40" i="11" s="1"/>
  <c r="L40" i="11" s="1"/>
  <c r="J42" i="11"/>
  <c r="K42" i="11" s="1"/>
  <c r="J44" i="11"/>
  <c r="K44" i="11" s="1"/>
  <c r="L44" i="11" s="1"/>
  <c r="J45" i="11"/>
  <c r="K45" i="11" s="1"/>
  <c r="L45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6" i="11"/>
  <c r="H38" i="11"/>
  <c r="H39" i="11"/>
  <c r="H40" i="11"/>
  <c r="H42" i="11"/>
  <c r="H44" i="11"/>
  <c r="H45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6" i="11"/>
  <c r="G38" i="11"/>
  <c r="G39" i="11"/>
  <c r="G40" i="11"/>
  <c r="G42" i="11"/>
  <c r="G44" i="11"/>
  <c r="G45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6" i="11"/>
  <c r="N36" i="11" s="1"/>
  <c r="O36" i="11" s="1"/>
  <c r="M38" i="11"/>
  <c r="N38" i="11" s="1"/>
  <c r="O38" i="11" s="1"/>
  <c r="M39" i="11"/>
  <c r="N39" i="11" s="1"/>
  <c r="O39" i="11" s="1"/>
  <c r="M40" i="11"/>
  <c r="N40" i="11" s="1"/>
  <c r="O40" i="11" s="1"/>
  <c r="M42" i="11"/>
  <c r="N42" i="11" s="1"/>
  <c r="O42" i="11" s="1"/>
  <c r="M44" i="11"/>
  <c r="N44" i="11" s="1"/>
  <c r="M45" i="11"/>
  <c r="N45" i="11" s="1"/>
  <c r="O45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6" i="11" a="1"/>
  <c r="F36" i="11" s="1"/>
  <c r="F38" i="11" a="1"/>
  <c r="F38" i="11" s="1"/>
  <c r="F39" i="11" a="1"/>
  <c r="F39" i="11" s="1"/>
  <c r="F40" i="11" a="1"/>
  <c r="F40" i="11" s="1"/>
  <c r="F42" i="11" a="1"/>
  <c r="F42" i="11" s="1"/>
  <c r="F44" i="11" a="1"/>
  <c r="F44" i="11" s="1"/>
  <c r="F45" i="11" a="1"/>
  <c r="F45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6" i="11"/>
  <c r="E38" i="11"/>
  <c r="E39" i="11"/>
  <c r="E40" i="11"/>
  <c r="E42" i="11"/>
  <c r="E44" i="11"/>
  <c r="E45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6" i="11"/>
  <c r="D38" i="11"/>
  <c r="D39" i="11"/>
  <c r="D40" i="11"/>
  <c r="D42" i="11"/>
  <c r="D44" i="11"/>
  <c r="D45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1" i="11" l="1"/>
  <c r="I2" i="11"/>
  <c r="L2" i="11"/>
  <c r="O3" i="11"/>
  <c r="O2" i="11"/>
  <c r="H10" i="12"/>
  <c r="H22" i="12"/>
  <c r="H6" i="12"/>
  <c r="N22" i="12"/>
  <c r="K22" i="12"/>
  <c r="H44" i="12"/>
  <c r="H13" i="12"/>
  <c r="H8" i="12"/>
  <c r="H21" i="12"/>
  <c r="H39" i="12"/>
  <c r="N44" i="12"/>
  <c r="K44" i="12"/>
  <c r="N39" i="12"/>
  <c r="K39" i="12"/>
  <c r="N21" i="12"/>
  <c r="K21" i="12"/>
  <c r="I19" i="11"/>
  <c r="O19" i="11"/>
  <c r="K19" i="11"/>
  <c r="L19" i="11" s="1"/>
  <c r="H4" i="12"/>
  <c r="H9" i="12"/>
  <c r="H5" i="12"/>
  <c r="H7" i="12"/>
  <c r="H37" i="12"/>
  <c r="H14" i="12"/>
  <c r="J14" i="12"/>
  <c r="K14" i="12" s="1"/>
  <c r="H45" i="12"/>
  <c r="K41" i="12"/>
  <c r="H42" i="12"/>
  <c r="H23" i="12"/>
  <c r="N49" i="12"/>
  <c r="N29" i="12"/>
  <c r="N10" i="12"/>
  <c r="H31" i="12"/>
  <c r="K48" i="12"/>
  <c r="K47" i="12"/>
  <c r="N42" i="12"/>
  <c r="N41" i="12"/>
  <c r="N40" i="12"/>
  <c r="N19" i="12"/>
  <c r="N53" i="12"/>
  <c r="N52" i="12"/>
  <c r="N3" i="12"/>
  <c r="K40" i="12"/>
  <c r="K19" i="12"/>
  <c r="H36" i="12"/>
  <c r="H54" i="12"/>
  <c r="H35" i="12"/>
  <c r="H53" i="12"/>
  <c r="H34" i="12"/>
  <c r="H52" i="12"/>
  <c r="H51" i="12"/>
  <c r="H50" i="12"/>
  <c r="H49" i="12"/>
  <c r="H48" i="12"/>
  <c r="H47" i="12"/>
  <c r="H46" i="12"/>
  <c r="H41" i="12"/>
  <c r="H40" i="12"/>
  <c r="H38" i="12"/>
  <c r="H3" i="12"/>
  <c r="L38" i="11"/>
  <c r="L17" i="11"/>
  <c r="L8" i="11"/>
  <c r="L42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4" i="11"/>
  <c r="O28" i="11"/>
  <c r="L7" i="11"/>
  <c r="L28" i="11"/>
  <c r="I4" i="11"/>
  <c r="I5" i="11"/>
  <c r="I6" i="11"/>
  <c r="I3" i="11"/>
  <c r="I8" i="11"/>
  <c r="I7" i="11"/>
  <c r="I42" i="11"/>
  <c r="I40" i="11"/>
  <c r="I39" i="11"/>
  <c r="I38" i="11"/>
  <c r="I36" i="11"/>
  <c r="I33" i="11"/>
  <c r="I32" i="11"/>
  <c r="I31" i="11"/>
  <c r="I30" i="11"/>
  <c r="I29" i="11"/>
  <c r="I45" i="11"/>
  <c r="I44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<sst xmlns="http://schemas.openxmlformats.org/spreadsheetml/2006/main" count="1774" uniqueCount="155">
  <si>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</si>
  <si>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</si>
  <si>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</si>
  <si>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</si>
  <si>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</si>
  <si>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</si>
  <si>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</si>
  <si>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</si>
  <si>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</si>
  <si>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</si>
  <si>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</si>
  <si>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</si>
  <si>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</si>
  <si>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</si>
  <si>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</si>
  <si>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</si>
  <si>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</si>
  <si>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</si>
  <si>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</si>
  <si>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</si>
  <si>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</si>
  <si>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</si>
  <si>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</si>
  <si>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</si>
  <si>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</si>
  <si>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</si>
  <si>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</si>
  <si>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</si>
  <si>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</si>
  <si>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</si>
  <si>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</si>
  <si>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</si>
  <si>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</si>
  <si>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</si>
  <si>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</si>
  <si>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</si>
  <si>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</si>
  <si>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</si>
  <si>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</si>
  <si>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</si>
  <si>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</si>
  <si>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</si>
  <si>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</si>
  <si>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</si>
  <si>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</si>
  <si>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</si>
  <si>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</si>
  <si>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</si>
  <si>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</si>
  <si>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</si>
  <si>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</si>
  <si>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</si>
  <si>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</si>
  <si>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</si>
  <si>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</si>
  <si>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</si>
  <si>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</si>
  <si>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</si>
  <si>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</si>
  <si>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</si>
  <si>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</si>
  <si>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</si>
  <si>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</si>
  <si>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</si>
  <si>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</si>
  <si>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</si>
  <si>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</si>
  <si>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</si>
  <si>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</si>
  <si>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</si>
  <si>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</si>
  <si>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</si>
  <si>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</si>
  <si>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</si>
  <si>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</si>
  <si>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</si>
  <si>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</si>
  <si>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</si>
  <si>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</si>
  <si>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</si>
  <si>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</si>
  <si>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</si>
  <si>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</si>
  <si>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</si>
  <si>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</si>
  <si>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</si>
  <si>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</si>
  <si>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</si>
  <si>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</si>
  <si>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</si>
  <si>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</si>
  <si>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</si>
  <si>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</si>
  <si>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</si>
  <si>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</si>
  <si>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</si>
  <si>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</si>
  <si>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</si>
  <si>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</si>
  <si>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</si>
  <si>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</si>
  <si>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</si>
  <si>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</si>
  <si>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</si>
  <si>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</si>
  <si>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</si>
  <si>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</si>
  <si>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</si>
  <si>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</si>
  <si>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</si>
  <si>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</si>
  <si>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</si>
  <si>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</si>
  <si>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</si>
  <si>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</si>
  <si>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</si>
  <si>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</si>
  <si>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</si>
  <si>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</si>
  <si>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</si>
  <si>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</si>
  <si>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</si>
  <si>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</si>
  <si>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</si>
  <si>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</si>
  <si>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</si>
  <si>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</si>
  <si>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</si>
  <si>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</si>
  <si>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</si>
  <si>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</si>
  <si>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</si>
  <si>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</si>
  <si>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</si>
  <si>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</si>
  <si>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</si>
  <si>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</si>
  <si>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</si>
  <si>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</si>
  <si>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</si>
  <si>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</si>
  <si>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</si>
  <si>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</si>
  <si>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</si>
  <si>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</si>
  <si>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</si>
  <si>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Slippery</t>
  </si>
  <si>
    <t>Hotel</t>
  </si>
  <si>
    <t>Parkade</t>
  </si>
  <si>
    <t>Dreamz</t>
  </si>
  <si>
    <t>StevO</t>
  </si>
  <si>
    <t>Rogue</t>
  </si>
  <si>
    <t>Money</t>
  </si>
  <si>
    <t>RayZ</t>
  </si>
  <si>
    <t>Infusion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</si>
</sst>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4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3"/>
  <sheetViews>
    <sheetView workbookViewId="0">
      <pane xSplit="1" ySplit="1" topLeftCell="M17" activePane="bottomRight" state="frozen"/>
      <selection pane="topRight" activeCell="B1" sqref="B1"/>
      <selection pane="bottomLeft" activeCell="A2" sqref="A2"/>
      <selection pane="bottomRight" activeCell="O49" sqref="O4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148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5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5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5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260</v>
      </c>
      <c r="E3" s="90">
        <f>AVERAGEIFS('OB History'!C:C,'OB History'!B:B,A3)</f>
        <v>18.571428571428573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9</v>
      </c>
      <c r="I3" s="41">
        <f t="shared" si="0"/>
        <v>0.35714285714285715</v>
      </c>
      <c r="J3" s="89">
        <f>SUMIFS('OB History'!F:F,'OB History'!B:B,A3)</f>
        <v>25</v>
      </c>
      <c r="K3" s="92">
        <f>SUMIFS('OB History'!E:E,'OB History'!B:B,A3)-J3</f>
        <v>32</v>
      </c>
      <c r="L3" s="41">
        <f t="shared" si="1"/>
        <v>0.43859649122807015</v>
      </c>
      <c r="M3" s="89">
        <f>SUMIFS('OB History'!H:H,'OB History'!B:B,A3)</f>
        <v>107</v>
      </c>
      <c r="N3" s="92">
        <f>SUMIFS('OB History'!G:G,'OB History'!B:B,A3)-M3</f>
        <v>123</v>
      </c>
      <c r="O3" s="41">
        <f t="shared" si="2"/>
        <v>0.4652173913043478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6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127</v>
      </c>
      <c r="E5" s="90">
        <f>AVERAGEIFS('OB History'!C:C,'OB History'!B:B,A5)</f>
        <v>10.583333333333334</v>
      </c>
      <c r="F5" s="91">
        <f t="array" ref="F5">MAX(IF('OB History'!B:B=A5, 'OB History'!C:C))</f>
        <v>21</v>
      </c>
      <c r="G5" s="89">
        <f>COUNTIFS('OB History'!B:B,A5,'OB History'!D:D, 1)</f>
        <v>8</v>
      </c>
      <c r="H5" s="92">
        <f>COUNTIFS('OB History'!B:B,A5,'OB History'!D:D, 0)</f>
        <v>4</v>
      </c>
      <c r="I5" s="41">
        <f t="shared" si="0"/>
        <v>0.66666666666666663</v>
      </c>
      <c r="J5" s="89">
        <f>SUMIFS('OB History'!F:F,'OB History'!B:B,A5)</f>
        <v>26</v>
      </c>
      <c r="K5" s="92">
        <f>SUMIFS('OB History'!E:E,'OB History'!B:B,A5)-J5</f>
        <v>22</v>
      </c>
      <c r="L5" s="41">
        <f t="shared" si="1"/>
        <v>0.54166666666666663</v>
      </c>
      <c r="M5" s="89">
        <f>SUMIFS('OB History'!H:H,'OB History'!B:B,'Old Bow v2'!A5)</f>
        <v>105</v>
      </c>
      <c r="N5" s="92">
        <f>SUMIFS('OB History'!G:G,'OB History'!B:B,'Old Bow v2'!A5)-M5</f>
        <v>90</v>
      </c>
      <c r="O5" s="41">
        <f t="shared" si="2"/>
        <v>0.53846153846153844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1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287</v>
      </c>
      <c r="E6" s="90">
        <f>AVERAGEIFS('OB History'!C:C,'OB History'!B:B,A6)</f>
        <v>11.958333333333334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16</v>
      </c>
      <c r="I6" s="41">
        <f t="shared" si="0"/>
        <v>0.33333333333333331</v>
      </c>
      <c r="J6" s="89">
        <f>SUMIFS('OB History'!F:F,'OB History'!B:B,A6)</f>
        <v>40</v>
      </c>
      <c r="K6" s="92">
        <f>SUMIFS('OB History'!E:E,'OB History'!B:B,A6)-J6</f>
        <v>59</v>
      </c>
      <c r="L6" s="41">
        <f t="shared" si="1"/>
        <v>0.40404040404040403</v>
      </c>
      <c r="M6" s="89">
        <f>SUMIFS('OB History'!H:H,'OB History'!B:B,'Old Bow v2'!A6)</f>
        <v>185</v>
      </c>
      <c r="N6" s="92">
        <f>SUMIFS('OB History'!G:G,'OB History'!B:B,'Old Bow v2'!A6)-M6</f>
        <v>221</v>
      </c>
      <c r="O6" s="41">
        <f t="shared" si="2"/>
        <v>0.45566502463054187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4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7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0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168</v>
      </c>
      <c r="E8" s="90">
        <f>AVERAGEIFS('OB History'!C:C,'OB History'!B:B,A8)</f>
        <v>15.272727272727273</v>
      </c>
      <c r="F8" s="91">
        <f t="array" ref="F8">MAX(IF('OB History'!B:B=A8, 'OB History'!C:C))</f>
        <v>22</v>
      </c>
      <c r="G8" s="89">
        <f>COUNTIFS('OB History'!B:B,A8,'OB History'!D:D, 1)</f>
        <v>7</v>
      </c>
      <c r="H8" s="92">
        <f>COUNTIFS('OB History'!B:B,A8,'OB History'!D:D, 0)</f>
        <v>4</v>
      </c>
      <c r="I8" s="41">
        <f t="shared" si="0"/>
        <v>0.63636363636363635</v>
      </c>
      <c r="J8" s="89">
        <f>SUMIFS('OB History'!F:F,'OB History'!B:B,A8)</f>
        <v>28</v>
      </c>
      <c r="K8" s="92">
        <f>SUMIFS('OB History'!E:E,'OB History'!B:B,A8)-J8</f>
        <v>16</v>
      </c>
      <c r="L8" s="41">
        <f t="shared" si="1"/>
        <v>0.63636363636363635</v>
      </c>
      <c r="M8" s="89">
        <f>SUMIFS('OB History'!H:H,'OB History'!B:B,'Old Bow v2'!A8)</f>
        <v>105</v>
      </c>
      <c r="N8" s="92">
        <f>SUMIFS('OB History'!G:G,'OB History'!B:B,'Old Bow v2'!A8)-M8</f>
        <v>79</v>
      </c>
      <c r="O8" s="41">
        <f t="shared" si="2"/>
        <v>0.57065217391304346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3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149</v>
      </c>
      <c r="B9" s="2" t="s">
        <v>79</v>
      </c>
      <c r="C9" s="2" t="s">
        <v>79</v>
      </c>
      <c r="D9" s="89">
        <f>SUMIFS('OB History'!C:C,'OB History'!B:B,A9)</f>
        <v>36</v>
      </c>
      <c r="E9" s="90">
        <f>AVERAGEIFS('OB History'!C:C,'OB History'!B:B,A9)</f>
        <v>12</v>
      </c>
      <c r="F9" s="91">
        <f t="array" ref="F9">MAX(IF('OB History'!B:B=A9, 'OB History'!C:C))</f>
        <v>17</v>
      </c>
      <c r="G9" s="89">
        <f>COUNTIFS('OB History'!B:B,A9,'OB History'!D:D, 1)</f>
        <v>2</v>
      </c>
      <c r="H9" s="92">
        <f>COUNTIFS('OB History'!B:B,A9,'OB History'!D:D, 0)</f>
        <v>1</v>
      </c>
      <c r="I9" s="41">
        <f t="shared" ref="I9" si="3">G9/(G9+H9)</f>
        <v>0.66666666666666663</v>
      </c>
      <c r="J9" s="89">
        <f>SUMIFS('OB History'!F:F,'OB History'!B:B,A9)</f>
        <v>7</v>
      </c>
      <c r="K9" s="92">
        <f>SUMIFS('OB History'!E:E,'OB History'!B:B,A9)-J9</f>
        <v>7</v>
      </c>
      <c r="L9" s="41">
        <f t="shared" ref="L9" si="4">J9/(J9+K9)</f>
        <v>0.5</v>
      </c>
      <c r="M9" s="89">
        <f>SUMIFS('OB History'!H:H,'OB History'!B:B,'Old Bow v2'!A9)</f>
        <v>29</v>
      </c>
      <c r="N9" s="92">
        <f>SUMIFS('OB History'!G:G,'OB History'!B:B,'Old Bow v2'!A9)-M9</f>
        <v>28</v>
      </c>
      <c r="O9" s="41">
        <f t="shared" ref="O9" si="5">M9/(M9+N9)</f>
        <v>0.50877192982456143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3</v>
      </c>
      <c r="AD9" s="92">
        <f>COUNTIFS('OB History'!$B:$B,$A$9,'OB History'!Y:Y, 1)</f>
        <v>0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202</v>
      </c>
      <c r="E10" s="90">
        <f>AVERAGEIFS('OB History'!C:C,'OB History'!B:B,A10)</f>
        <v>13.466666666666667</v>
      </c>
      <c r="F10" s="91">
        <f t="array" ref="F10">MAX(IF('OB History'!B:B=A10, 'OB History'!C:C))</f>
        <v>24</v>
      </c>
      <c r="G10" s="89">
        <f>COUNTIFS('OB History'!B:B,A10,'OB History'!D:D, 1)</f>
        <v>7</v>
      </c>
      <c r="H10" s="92">
        <f>COUNTIFS('OB History'!B:B,A10,'OB History'!D:D, 0)</f>
        <v>8</v>
      </c>
      <c r="I10" s="88">
        <f t="shared" si="0"/>
        <v>0.46666666666666667</v>
      </c>
      <c r="J10" s="89">
        <f>SUMIFS('OB History'!F:F,'OB History'!B:B,A10)</f>
        <v>29</v>
      </c>
      <c r="K10" s="92">
        <f>SUMIFS('OB History'!E:E,'OB History'!B:B,A10)-J10</f>
        <v>32</v>
      </c>
      <c r="L10" s="88">
        <f t="shared" si="1"/>
        <v>0.47540983606557374</v>
      </c>
      <c r="M10" s="89">
        <f>SUMIFS('OB History'!H:H,'OB History'!B:B,'Old Bow v2'!A10)</f>
        <v>123</v>
      </c>
      <c r="N10" s="92">
        <f>SUMIFS('OB History'!G:G,'OB History'!B:B,'Old Bow v2'!A10)-M10</f>
        <v>134</v>
      </c>
      <c r="O10" s="88">
        <f t="shared" si="2"/>
        <v>0.47859922178988329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0</v>
      </c>
      <c r="S10" s="92">
        <f>COUNTIFS('OB History'!$B:$B,$A$10,'OB History'!N:N, 1)</f>
        <v>2</v>
      </c>
      <c r="T10" s="92">
        <f>COUNTIFS('OB History'!$B:$B,$A$10,'OB History'!O:O, 1)</f>
        <v>2</v>
      </c>
      <c r="U10" s="92">
        <f>COUNTIFS('OB History'!$B:$B,$A$10,'OB History'!P:P, 1)</f>
        <v>4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4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235</v>
      </c>
      <c r="E11" s="90">
        <f>AVERAGEIFS('OB History'!C:C,'OB History'!B:B,A11)</f>
        <v>12.368421052631579</v>
      </c>
      <c r="F11" s="91">
        <f t="array" ref="F11">MAX(IF('OB History'!B:B=A11, 'OB History'!C:C))</f>
        <v>24</v>
      </c>
      <c r="G11" s="89">
        <f>COUNTIFS('OB History'!B:B,A11,'OB History'!D:D, 1)</f>
        <v>14</v>
      </c>
      <c r="H11" s="92">
        <f>COUNTIFS('OB History'!B:B,A11,'OB History'!D:D, 0)</f>
        <v>5</v>
      </c>
      <c r="I11" s="41">
        <f t="shared" si="0"/>
        <v>0.73684210526315785</v>
      </c>
      <c r="J11" s="89">
        <f>SUMIFS('OB History'!F:F,'OB History'!B:B,A11)</f>
        <v>50</v>
      </c>
      <c r="K11" s="92">
        <f>SUMIFS('OB History'!E:E,'OB History'!B:B,A11)-J11</f>
        <v>28</v>
      </c>
      <c r="L11" s="41">
        <f t="shared" si="1"/>
        <v>0.64102564102564108</v>
      </c>
      <c r="M11" s="89">
        <f>SUMIFS('OB History'!H:H,'OB History'!B:B,'Old Bow v2'!A11)</f>
        <v>183</v>
      </c>
      <c r="N11" s="92">
        <f>SUMIFS('OB History'!G:G,'OB History'!B:B,'Old Bow v2'!A11)-M11</f>
        <v>139</v>
      </c>
      <c r="O11" s="41">
        <f t="shared" si="2"/>
        <v>0.56832298136645965</v>
      </c>
      <c r="P11" s="92">
        <f>COUNTIFS('OB History'!$B:$B,$A$11,'OB History'!K:K, 1)</f>
        <v>1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8</v>
      </c>
      <c r="T11" s="92">
        <f>COUNTIFS('OB History'!$B:$B,$A$11,'OB History'!O:O, 1)</f>
        <v>2</v>
      </c>
      <c r="U11" s="92">
        <f>COUNTIFS('OB History'!$B:$B,$A$11,'OB History'!P:P, 1)</f>
        <v>8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4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147</v>
      </c>
      <c r="E12" s="90">
        <f>AVERAGEIFS('OB History'!C:C,'OB History'!B:B,A12)</f>
        <v>11.307692307692308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8</v>
      </c>
      <c r="I12" s="42">
        <f t="shared" si="0"/>
        <v>0.38461538461538464</v>
      </c>
      <c r="J12" s="89">
        <f>SUMIFS('OB History'!F:F,'OB History'!B:B,A12)</f>
        <v>24</v>
      </c>
      <c r="K12" s="92">
        <f>SUMIFS('OB History'!E:E,'OB History'!B:B,A12)-J12</f>
        <v>29</v>
      </c>
      <c r="L12" s="42">
        <f t="shared" si="1"/>
        <v>0.45283018867924529</v>
      </c>
      <c r="M12" s="89">
        <f>SUMIFS('OB History'!H:H,'OB History'!B:B,'Old Bow v2'!A12)</f>
        <v>104</v>
      </c>
      <c r="N12" s="92">
        <f>SUMIFS('OB History'!G:G,'OB History'!B:B,'Old Bow v2'!A12)-M12</f>
        <v>111</v>
      </c>
      <c r="O12" s="42">
        <f t="shared" si="2"/>
        <v>0.48372093023255813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4</v>
      </c>
      <c r="AD12" s="92">
        <f>COUNTIFS('OB History'!$B:$B,$A$12,'OB History'!Y:Y, 1)</f>
        <v>1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197</v>
      </c>
      <c r="E16" s="90">
        <f>AVERAGEIFS('OB History'!C:C,'OB History'!B:B,A16)</f>
        <v>28.142857142857142</v>
      </c>
      <c r="F16" s="91">
        <f t="array" ref="F16">MAX(IF('OB History'!B:B=A16, 'OB History'!C:C))</f>
        <v>37</v>
      </c>
      <c r="G16" s="89">
        <f>COUNTIFS('OB History'!B:B,A16,'OB History'!D:D, 1)</f>
        <v>5</v>
      </c>
      <c r="H16" s="92">
        <f>COUNTIFS('OB History'!B:B,A16,'OB History'!D:D, 0)</f>
        <v>2</v>
      </c>
      <c r="I16" s="41">
        <f t="shared" si="0"/>
        <v>0.7142857142857143</v>
      </c>
      <c r="J16" s="89">
        <f>SUMIFS('OB History'!F:F,'OB History'!B:B,A16)</f>
        <v>18</v>
      </c>
      <c r="K16" s="92">
        <f>SUMIFS('OB History'!E:E,'OB History'!B:B,A16)-J16</f>
        <v>14</v>
      </c>
      <c r="L16" s="41">
        <f t="shared" si="1"/>
        <v>0.5625</v>
      </c>
      <c r="M16" s="89">
        <f>SUMIFS('OB History'!H:H,'OB History'!B:B,'Old Bow v2'!A16)</f>
        <v>72</v>
      </c>
      <c r="N16" s="92">
        <f>SUMIFS('OB History'!G:G,'OB History'!B:B,'Old Bow v2'!A16)-M16</f>
        <v>69</v>
      </c>
      <c r="O16" s="41">
        <f t="shared" si="2"/>
        <v>0.51063829787234039</v>
      </c>
      <c r="P16" s="92">
        <f>COUNTIFS('OB History'!$B:$B,$A$16,'OB History'!K:K, 1)</f>
        <v>0</v>
      </c>
      <c r="Q16" s="92">
        <f>COUNTIFS('OB History'!$B:$B,$A$16,'OB History'!L:L, 1)</f>
        <v>1</v>
      </c>
      <c r="R16" s="92">
        <f>COUNTIFS('OB History'!$B:$B,$A$16,'OB History'!M:M, 1)</f>
        <v>1</v>
      </c>
      <c r="S16" s="92">
        <f>COUNTIFS('OB History'!$B:$B,$A$16,'OB History'!N:N, 1)</f>
        <v>0</v>
      </c>
      <c r="T16" s="92">
        <f>COUNTIFS('OB History'!$B:$B,$A$16,'OB History'!O:O, 1)</f>
        <v>1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1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206</v>
      </c>
      <c r="E17" s="90">
        <f>AVERAGEIFS('OB History'!C:C,'OB History'!B:B,A17)</f>
        <v>9.8095238095238102</v>
      </c>
      <c r="F17" s="91">
        <f t="array" ref="F17">MAX(IF('OB History'!B:B=A17, 'OB History'!C:C))</f>
        <v>21</v>
      </c>
      <c r="G17" s="89">
        <f>COUNTIFS('OB History'!B:B,A17,'OB History'!D:D, 1)</f>
        <v>10</v>
      </c>
      <c r="H17" s="92">
        <f>COUNTIFS('OB History'!B:B,A17,'OB History'!D:D, 0)</f>
        <v>11</v>
      </c>
      <c r="I17" s="41">
        <f t="shared" si="0"/>
        <v>0.47619047619047616</v>
      </c>
      <c r="J17" s="89">
        <f>SUMIFS('OB History'!F:F,'OB History'!B:B,A17)</f>
        <v>42</v>
      </c>
      <c r="K17" s="92">
        <f>SUMIFS('OB History'!E:E,'OB History'!B:B,A17)-J17</f>
        <v>44</v>
      </c>
      <c r="L17" s="41">
        <f t="shared" si="1"/>
        <v>0.48837209302325579</v>
      </c>
      <c r="M17" s="89">
        <f>SUMIFS('OB History'!H:H,'OB History'!B:B,'Old Bow v2'!A17)</f>
        <v>178</v>
      </c>
      <c r="N17" s="92">
        <f>SUMIFS('OB History'!G:G,'OB History'!B:B,'Old Bow v2'!A17)-M17</f>
        <v>181</v>
      </c>
      <c r="O17" s="41">
        <f t="shared" si="2"/>
        <v>0.49582172701949861</v>
      </c>
      <c r="P17" s="92">
        <f>COUNTIFS('OB History'!$B:$B,$A$17,'OB History'!K:K, 1)</f>
        <v>2</v>
      </c>
      <c r="Q17" s="92">
        <f>COUNTIFS('OB History'!$B:$B,$A$17,'OB History'!L:L, 1)</f>
        <v>2</v>
      </c>
      <c r="R17" s="92">
        <f>COUNTIFS('OB History'!$B:$B,$A$17,'OB History'!M:M, 1)</f>
        <v>0</v>
      </c>
      <c r="S17" s="92">
        <f>COUNTIFS('OB History'!$B:$B,$A$17,'OB History'!N:N, 1)</f>
        <v>7</v>
      </c>
      <c r="T17" s="92">
        <f>COUNTIFS('OB History'!$B:$B,$A$17,'OB History'!O:O, 1)</f>
        <v>1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4</v>
      </c>
      <c r="AC17" s="92">
        <f>COUNTIFS('OB History'!$B:$B,$A$17,'OB History'!X:X, 1)</f>
        <v>9</v>
      </c>
      <c r="AD17" s="92">
        <f>COUNTIFS('OB History'!$B:$B,$A$17,'OB History'!Y:Y, 1)</f>
        <v>2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44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1</v>
      </c>
      <c r="I19" s="41">
        <f t="shared" si="0"/>
        <v>0.75</v>
      </c>
      <c r="J19" s="89">
        <f>SUMIFS('OB History'!F:F,'OB History'!B:B,A19)</f>
        <v>11</v>
      </c>
      <c r="K19" s="92">
        <f>SUMIFS('OB History'!E:E,'OB History'!B:B,A19)-J19</f>
        <v>7</v>
      </c>
      <c r="L19" s="41">
        <f t="shared" si="1"/>
        <v>0.61111111111111116</v>
      </c>
      <c r="M19" s="89">
        <f>SUMIFS('OB History'!H:H,'OB History'!B:B,'Old Bow v2'!A19)</f>
        <v>40</v>
      </c>
      <c r="N19" s="92">
        <f>SUMIFS('OB History'!G:G,'OB History'!B:B,'Old Bow v2'!A19)-M19</f>
        <v>33</v>
      </c>
      <c r="O19" s="41">
        <f t="shared" si="2"/>
        <v>0.54794520547945202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3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234</v>
      </c>
      <c r="E20" s="90">
        <f>AVERAGEIFS('OB History'!C:C,'OB History'!B:B,A20)</f>
        <v>13.764705882352942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11</v>
      </c>
      <c r="I20" s="41">
        <f t="shared" si="0"/>
        <v>0.35294117647058826</v>
      </c>
      <c r="J20" s="89">
        <f>SUMIFS('OB History'!F:F,'OB History'!B:B,A20)</f>
        <v>28</v>
      </c>
      <c r="K20" s="92">
        <f>SUMIFS('OB History'!E:E,'OB History'!B:B,A20)-J20</f>
        <v>42</v>
      </c>
      <c r="L20" s="41">
        <f t="shared" si="1"/>
        <v>0.4</v>
      </c>
      <c r="M20" s="89">
        <f>SUMIFS('OB History'!H:H,'OB History'!B:B,'Old Bow v2'!A20)</f>
        <v>133</v>
      </c>
      <c r="N20" s="92">
        <f>SUMIFS('OB History'!G:G,'OB History'!B:B,'Old Bow v2'!A20)-M20</f>
        <v>158</v>
      </c>
      <c r="O20" s="41">
        <f t="shared" si="2"/>
        <v>0.45704467353951889</v>
      </c>
      <c r="P20" s="92">
        <f>COUNTIFS('OB History'!$B:$B,$A$20,'OB History'!K:K, 1)</f>
        <v>4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0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0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286</v>
      </c>
      <c r="E23" s="90">
        <f>AVERAGEIFS('OB History'!C:C,'OB History'!B:B,A23)</f>
        <v>13.619047619047619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13</v>
      </c>
      <c r="I23" s="41">
        <f t="shared" si="0"/>
        <v>0.38095238095238093</v>
      </c>
      <c r="J23" s="89">
        <f>SUMIFS('OB History'!F:F,'OB History'!B:B,A23)</f>
        <v>42</v>
      </c>
      <c r="K23" s="92">
        <f>SUMIFS('OB History'!E:E,'OB History'!B:B,A23)-J23</f>
        <v>47</v>
      </c>
      <c r="L23" s="41">
        <f t="shared" si="1"/>
        <v>0.47191011235955055</v>
      </c>
      <c r="M23" s="89">
        <f>SUMIFS('OB History'!H:H,'OB History'!B:B,'Old Bow v2'!A23)</f>
        <v>184</v>
      </c>
      <c r="N23" s="92">
        <f>SUMIFS('OB History'!G:G,'OB History'!B:B,'Old Bow v2'!A23)-M23</f>
        <v>189</v>
      </c>
      <c r="O23" s="41">
        <f t="shared" si="2"/>
        <v>0.49329758713136729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9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1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40</v>
      </c>
      <c r="E24" s="90">
        <f>AVERAGEIFS('OB History'!C:C,'OB History'!B:B,A24)</f>
        <v>6.666666666666667</v>
      </c>
      <c r="F24" s="91">
        <f t="array" ref="F24">MAX(IF('OB History'!B:B=A24, 'OB History'!C:C))</f>
        <v>13</v>
      </c>
      <c r="G24" s="89">
        <f>COUNTIFS('OB History'!B:B,A24,'OB History'!D:D, 1)</f>
        <v>3</v>
      </c>
      <c r="H24" s="92">
        <f>COUNTIFS('OB History'!B:B,A24,'OB History'!D:D, 0)</f>
        <v>3</v>
      </c>
      <c r="I24" s="42">
        <f t="shared" si="0"/>
        <v>0.5</v>
      </c>
      <c r="J24" s="89">
        <f>SUMIFS('OB History'!F:F,'OB History'!B:B,A24)</f>
        <v>14</v>
      </c>
      <c r="K24" s="92">
        <f>SUMIFS('OB History'!E:E,'OB History'!B:B,A24)-J24</f>
        <v>12</v>
      </c>
      <c r="L24" s="42">
        <f t="shared" si="1"/>
        <v>0.53846153846153844</v>
      </c>
      <c r="M24" s="89">
        <f>SUMIFS('OB History'!H:H,'OB History'!B:B,'Old Bow v2'!A24)</f>
        <v>57</v>
      </c>
      <c r="N24" s="92">
        <f>SUMIFS('OB History'!G:G,'OB History'!B:B,'Old Bow v2'!A24)-M24</f>
        <v>54</v>
      </c>
      <c r="O24" s="42">
        <f t="shared" si="2"/>
        <v>0.51351351351351349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3</v>
      </c>
      <c r="T24" s="92">
        <f>COUNTIFS('OB History'!$B:$B,$A$24,'OB History'!O:O, 1)</f>
        <v>0</v>
      </c>
      <c r="U24" s="92">
        <f>COUNTIFS('OB History'!$B:$B,$A$24,'OB History'!P:P, 1)</f>
        <v>1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3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0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152</v>
      </c>
      <c r="B26" s="6" t="s">
        <v>79</v>
      </c>
      <c r="C26" s="6" t="s">
        <v>79</v>
      </c>
      <c r="D26" s="89">
        <f>SUMIFS('OB History'!C:C,'OB History'!B:B,A26)</f>
        <v>11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1</v>
      </c>
      <c r="I26" s="41">
        <f t="shared" ref="I26" si="6">G26/(G26+H26)</f>
        <v>0</v>
      </c>
      <c r="J26" s="89">
        <f>SUMIFS('OB History'!F:F,'OB History'!B:B,A26)</f>
        <v>2</v>
      </c>
      <c r="K26" s="92">
        <f>SUMIFS('OB History'!E:E,'OB History'!B:B,A26)-J26</f>
        <v>3</v>
      </c>
      <c r="L26" s="41">
        <f t="shared" ref="L26" si="7">J26/(J26+K26)</f>
        <v>0.4</v>
      </c>
      <c r="M26" s="89">
        <f>SUMIFS('OB History'!H:H,'OB History'!B:B,'Old Bow v2'!A26)</f>
        <v>8</v>
      </c>
      <c r="N26" s="92">
        <f>SUMIFS('OB History'!G:G,'OB History'!B:B,'Old Bow v2'!A26)-M26</f>
        <v>10</v>
      </c>
      <c r="O26" s="41">
        <f t="shared" ref="O26" si="8">M26/(M26+N26)</f>
        <v>0.44444444444444442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0</v>
      </c>
      <c r="AD26" s="92">
        <f>COUNTIFS('OB History'!$B:$B,$A$26,'OB History'!Y:Y, 1)</f>
        <v>0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503</v>
      </c>
      <c r="E27" s="90">
        <f>AVERAGEIFS('OB History'!C:C,'OB History'!B:B,A27)</f>
        <v>25.15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14</v>
      </c>
      <c r="I27" s="41">
        <f t="shared" si="0"/>
        <v>0.3</v>
      </c>
      <c r="J27" s="89">
        <f>SUMIFS('OB History'!F:F,'OB History'!B:B,A27)</f>
        <v>35</v>
      </c>
      <c r="K27" s="92">
        <f>SUMIFS('OB History'!E:E,'OB History'!B:B,A27)-J27</f>
        <v>47</v>
      </c>
      <c r="L27" s="41">
        <f t="shared" si="1"/>
        <v>0.42682926829268292</v>
      </c>
      <c r="M27" s="89">
        <f>SUMIFS('OB History'!H:H,'OB History'!B:B,'Old Bow v2'!A27)</f>
        <v>164</v>
      </c>
      <c r="N27" s="92">
        <f>SUMIFS('OB History'!G:G,'OB History'!B:B,'Old Bow v2'!A27)-M27</f>
        <v>180</v>
      </c>
      <c r="O27" s="41">
        <f t="shared" si="2"/>
        <v>0.47674418604651164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9</v>
      </c>
      <c r="AD27" s="92">
        <f>COUNTIFS('OB History'!$B:$B,$A$27,'OB History'!Y:Y, 1)</f>
        <v>2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782</v>
      </c>
      <c r="E29" s="90">
        <f>AVERAGEIFS('OB History'!C:C,'OB History'!B:B,A29)</f>
        <v>26.96551724137931</v>
      </c>
      <c r="F29" s="91">
        <f t="array" ref="F29">MAX(IF('OB History'!B:B=A29, 'OB History'!C:C))</f>
        <v>57</v>
      </c>
      <c r="G29" s="89">
        <f>COUNTIFS('OB History'!B:B,A29,'OB History'!D:D, 1)</f>
        <v>18</v>
      </c>
      <c r="H29" s="92">
        <f>COUNTIFS('OB History'!B:B,A29,'OB History'!D:D, 0)</f>
        <v>11</v>
      </c>
      <c r="I29" s="41">
        <f t="shared" si="0"/>
        <v>0.62068965517241381</v>
      </c>
      <c r="J29" s="89">
        <f>SUMIFS('OB History'!F:F,'OB History'!B:B,A29)</f>
        <v>66</v>
      </c>
      <c r="K29" s="92">
        <f>SUMIFS('OB History'!E:E,'OB History'!B:B,A29)-J29</f>
        <v>54</v>
      </c>
      <c r="L29" s="41">
        <f t="shared" si="1"/>
        <v>0.55000000000000004</v>
      </c>
      <c r="M29" s="89">
        <f>SUMIFS('OB History'!H:H,'OB History'!B:B,'Old Bow v2'!A29)</f>
        <v>259</v>
      </c>
      <c r="N29" s="92">
        <f>SUMIFS('OB History'!G:G,'OB History'!B:B,'Old Bow v2'!A29)-M29</f>
        <v>232</v>
      </c>
      <c r="O29" s="41">
        <f t="shared" si="2"/>
        <v>0.52749490835030555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0</v>
      </c>
      <c r="S29" s="92">
        <f>COUNTIFS('OB History'!$B:$B,$A$29,'OB History'!N:N, 1)</f>
        <v>8</v>
      </c>
      <c r="T29" s="92">
        <f>COUNTIFS('OB History'!$B:$B,$A$29,'OB History'!O:O, 1)</f>
        <v>2</v>
      </c>
      <c r="U29" s="92">
        <f>COUNTIFS('OB History'!$B:$B,$A$29,'OB History'!P:P, 1)</f>
        <v>10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7</v>
      </c>
      <c r="AD29" s="92">
        <f>COUNTIFS('OB History'!$B:$B,$A$29,'OB History'!Y:Y, 1)</f>
        <v>1</v>
      </c>
      <c r="AE29" s="92">
        <f>COUNTIFS('OB History'!$B:$B,$A$29,'OB History'!Z:Z, 1)</f>
        <v>8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321</v>
      </c>
      <c r="E30" s="90">
        <f>AVERAGEIFS('OB History'!C:C,'OB History'!B:B,A30)</f>
        <v>26.75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5</v>
      </c>
      <c r="I30" s="41">
        <f t="shared" si="0"/>
        <v>0.58333333333333337</v>
      </c>
      <c r="J30" s="89">
        <f>SUMIFS('OB History'!F:F,'OB History'!B:B,A30)</f>
        <v>28</v>
      </c>
      <c r="K30" s="92">
        <f>SUMIFS('OB History'!E:E,'OB History'!B:B,A30)-J30</f>
        <v>23</v>
      </c>
      <c r="L30" s="41">
        <f t="shared" si="1"/>
        <v>0.5490196078431373</v>
      </c>
      <c r="M30" s="89">
        <f>SUMIFS('OB History'!H:H,'OB History'!B:B,'Old Bow v2'!A30)</f>
        <v>114</v>
      </c>
      <c r="N30" s="92">
        <f>SUMIFS('OB History'!G:G,'OB History'!B:B,'Old Bow v2'!A30)-M30</f>
        <v>98</v>
      </c>
      <c r="O30" s="41">
        <f t="shared" si="2"/>
        <v>0.53773584905660377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0</v>
      </c>
      <c r="S30" s="92">
        <f>COUNTIFS('OB History'!$B:$B,$A$30,'OB History'!N:N, 1)</f>
        <v>5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1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142</v>
      </c>
      <c r="B34" s="2" t="s">
        <v>79</v>
      </c>
      <c r="C34" s="2" t="s">
        <v>79</v>
      </c>
      <c r="D34" s="89">
        <f>SUMIFS('OB History'!C:C,'OB History'!B:B,A34)</f>
        <v>0</v>
      </c>
      <c r="E34" s="90">
        <v>0</v>
      </c>
      <c r="F34" s="91">
        <f t="array" ref="F34">MAX(IF('OB History'!B:B=A34, 'OB History'!C:C))</f>
        <v>0</v>
      </c>
      <c r="G34" s="89">
        <v>0</v>
      </c>
      <c r="H34" s="92">
        <v>0</v>
      </c>
      <c r="I34" s="41">
        <v>0</v>
      </c>
      <c r="J34" s="89">
        <v>0</v>
      </c>
      <c r="K34" s="92">
        <v>0</v>
      </c>
      <c r="L34" s="41">
        <v>0</v>
      </c>
      <c r="M34" s="89">
        <v>0</v>
      </c>
      <c r="N34" s="92">
        <v>0</v>
      </c>
      <c r="O34" s="41">
        <v>0</v>
      </c>
      <c r="P34" s="92">
        <f>COUNTIFS('OB History'!$B:$B,$A$35,'OB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0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0</v>
      </c>
    </row>
    <row r="35" spans="1:31" x14ac:dyDescent="0.25">
      <c r="A35" s="2" t="s">
        <v>153</v>
      </c>
      <c r="B35" s="2" t="s">
        <v>79</v>
      </c>
      <c r="C35" s="2" t="s">
        <v>79</v>
      </c>
      <c r="D35" s="89">
        <f>SUMIFS('OB History'!C:C,'OB History'!B:B,A35)</f>
        <v>4</v>
      </c>
      <c r="E35" s="90">
        <v>1</v>
      </c>
      <c r="F35" s="91">
        <f t="array" ref="F35">MAX(IF('OB History'!B:B=A35, 'OB History'!C:C))</f>
        <v>4</v>
      </c>
      <c r="G35" s="89">
        <v>0</v>
      </c>
      <c r="H35" s="92">
        <v>0</v>
      </c>
      <c r="I35" s="41">
        <v>0</v>
      </c>
      <c r="J35" s="89">
        <v>0</v>
      </c>
      <c r="K35" s="92">
        <v>0</v>
      </c>
      <c r="L35" s="41">
        <v>0</v>
      </c>
      <c r="M35" s="89">
        <v>0</v>
      </c>
      <c r="N35" s="92">
        <v>0</v>
      </c>
      <c r="O35" s="41">
        <v>0</v>
      </c>
      <c r="P35" s="92">
        <f>COUNTIFS('OB History'!$B:$B,$A$34,'OB History'!K:K, 1)</f>
        <v>0</v>
      </c>
      <c r="Q35" s="92">
        <f>COUNTIFS('OB History'!$B:$B,$A$34,'OB History'!L:L, 1)</f>
        <v>0</v>
      </c>
      <c r="R35" s="92">
        <f>COUNTIFS('OB History'!$B:$B,$A$34,'OB History'!M:M, 1)</f>
        <v>0</v>
      </c>
      <c r="S35" s="92">
        <f>COUNTIFS('OB History'!$B:$B,$A$34,'OB History'!N:N, 1)</f>
        <v>0</v>
      </c>
      <c r="T35" s="92">
        <f>COUNTIFS('OB History'!$B:$B,$A$34,'OB History'!O:O, 1)</f>
        <v>0</v>
      </c>
      <c r="U35" s="92">
        <f>COUNTIFS('OB History'!$B:$B,$A$34,'OB History'!P:P, 1)</f>
        <v>0</v>
      </c>
      <c r="V35" s="92">
        <f>COUNTIFS('OB History'!$B:$B,$A$34,'OB History'!Q:Q, 1)</f>
        <v>0</v>
      </c>
      <c r="W35" s="92">
        <f>COUNTIFS('OB History'!$B:$B,$A$34,'OB History'!R:R, 1)</f>
        <v>0</v>
      </c>
      <c r="X35" s="92">
        <f>COUNTIFS('OB History'!$B:$B,$A$34,'OB History'!S:S, 1)</f>
        <v>0</v>
      </c>
      <c r="Y35" s="92">
        <f>COUNTIFS('OB History'!$B:$B,$A$34,'OB History'!T:T, 1)</f>
        <v>0</v>
      </c>
      <c r="Z35" s="92">
        <f>COUNTIFS('OB History'!$B:$B,$A$34,'OB History'!U:U, 1)</f>
        <v>0</v>
      </c>
      <c r="AA35" s="92">
        <f>COUNTIFS('OB History'!$B:$B,$A$34,'OB History'!V:V, 1)</f>
        <v>0</v>
      </c>
      <c r="AB35" s="92">
        <f>COUNTIFS('OB History'!$B:$B,$A$34,'OB History'!W:W, 1)</f>
        <v>0</v>
      </c>
      <c r="AC35" s="92">
        <f>COUNTIFS('OB History'!$B:$B,$A$34,'OB History'!X:X, 1)</f>
        <v>0</v>
      </c>
      <c r="AD35" s="92">
        <f>COUNTIFS('OB History'!$B:$B,$A$34,'OB History'!Y:Y, 1)</f>
        <v>0</v>
      </c>
      <c r="AE35" s="92">
        <f>COUNTIFS('OB History'!$B:$B,$A$34,'OB History'!Z:Z, 1)</f>
        <v>0</v>
      </c>
    </row>
    <row r="36" spans="1:31" x14ac:dyDescent="0.25">
      <c r="A36" s="2" t="s">
        <v>40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12.333333333333334</v>
      </c>
      <c r="F36" s="91">
        <f t="array" ref="F36">MAX(IF('OB History'!B:B=A36, 'OB History'!C:C))</f>
        <v>16</v>
      </c>
      <c r="G36" s="89">
        <f>COUNTIFS('OB History'!B:B,A36,'OB History'!D:D, 1)</f>
        <v>0</v>
      </c>
      <c r="H36" s="92">
        <f>COUNTIFS('OB History'!B:B,A36,'OB History'!D:D, 0)</f>
        <v>3</v>
      </c>
      <c r="I36" s="42">
        <f t="shared" si="0"/>
        <v>0</v>
      </c>
      <c r="J36" s="89">
        <f>SUMIFS('OB History'!F:F,'OB History'!B:B,A36)</f>
        <v>2</v>
      </c>
      <c r="K36" s="92">
        <f>SUMIFS('OB History'!E:E,'OB History'!B:B,A36)-J36</f>
        <v>9</v>
      </c>
      <c r="L36" s="42">
        <f t="shared" si="1"/>
        <v>0.18181818181818182</v>
      </c>
      <c r="M36" s="89">
        <f>SUMIFS('OB History'!H:H,'OB History'!B:B,'Old Bow v2'!A36)</f>
        <v>15</v>
      </c>
      <c r="N36" s="92">
        <f>SUMIFS('OB History'!G:G,'OB History'!B:B,'Old Bow v2'!A36)-M36</f>
        <v>30</v>
      </c>
      <c r="O36" s="42">
        <f t="shared" si="2"/>
        <v>0.33333333333333331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0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0</v>
      </c>
      <c r="AD36" s="92">
        <f>COUNTIFS('OB History'!$B:$B,$A$36,'OB History'!Y:Y, 1)</f>
        <v>0</v>
      </c>
      <c r="AE36" s="92">
        <f>COUNTIFS('OB History'!$B:$B,$A$36,'OB History'!Z:Z, 1)</f>
        <v>1</v>
      </c>
    </row>
    <row r="37" spans="1:31" x14ac:dyDescent="0.25">
      <c r="A37" s="2" t="s">
        <v>151</v>
      </c>
      <c r="B37" s="2" t="s">
        <v>79</v>
      </c>
      <c r="C37" s="2" t="s">
        <v>79</v>
      </c>
      <c r="D37" s="89">
        <f>SUMIFS('OB History'!C:C,'OB History'!B:B,A37)</f>
        <v>15</v>
      </c>
      <c r="E37" s="90">
        <f>AVERAGEIFS('OB History'!C:C,'OB History'!B:B,A37)</f>
        <v>15</v>
      </c>
      <c r="F37" s="91">
        <f t="array" ref="F37">MAX(IF('OB History'!B:B=A37, 'OB History'!C:C))</f>
        <v>15</v>
      </c>
      <c r="G37" s="89">
        <f>COUNTIFS('OB History'!B:B,A37,'OB History'!D:D, 1)</f>
        <v>0</v>
      </c>
      <c r="H37" s="92">
        <f>COUNTIFS('OB History'!B:B,A37,'OB History'!D:D, 0)</f>
        <v>1</v>
      </c>
      <c r="I37" s="42">
        <f t="shared" ref="I37" si="9">G37/(G37+H37)</f>
        <v>0</v>
      </c>
      <c r="J37" s="89">
        <f>SUMIFS('OB History'!F:F,'OB History'!B:B,A37)</f>
        <v>2</v>
      </c>
      <c r="K37" s="92">
        <f>SUMIFS('OB History'!E:E,'OB History'!B:B,A37)-J37</f>
        <v>3</v>
      </c>
      <c r="L37" s="42">
        <f t="shared" ref="L37" si="10">J37/(J37+K37)</f>
        <v>0.4</v>
      </c>
      <c r="M37" s="89">
        <f>SUMIFS('OB History'!H:H,'OB History'!B:B,'Old Bow v2'!A37)</f>
        <v>8</v>
      </c>
      <c r="N37" s="92">
        <f>SUMIFS('OB History'!G:G,'OB History'!B:B,'Old Bow v2'!A37)-M37</f>
        <v>10</v>
      </c>
      <c r="O37" s="42">
        <f t="shared" ref="O37" si="11">M37/(M37+N37)</f>
        <v>0.44444444444444442</v>
      </c>
      <c r="P37" s="92">
        <f>COUNTIFS('OB History'!$B:$B,$A$37,'OB History'!K:K, 1)</f>
        <v>1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0</v>
      </c>
      <c r="T37" s="92">
        <f>COUNTIFS('OB History'!$B:$B,$A$37,'OB History'!O:O, 1)</f>
        <v>0</v>
      </c>
      <c r="U37" s="92">
        <f>COUNTIFS('OB History'!$B:$B,$A$37,'OB History'!P:P, 1)</f>
        <v>1</v>
      </c>
      <c r="V37" s="92">
        <f>COUNTIFS('OB History'!$B:$B,$A$37,'OB History'!Q:Q, 1)</f>
        <v>0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0</v>
      </c>
      <c r="AC37" s="92">
        <f>COUNTIFS('OB History'!$B:$B,$A$37,'OB History'!X:X, 1)</f>
        <v>0</v>
      </c>
      <c r="AD37" s="92">
        <f>COUNTIFS('OB History'!$B:$B,$A$37,'OB History'!Y:Y, 1)</f>
        <v>0</v>
      </c>
      <c r="AE37" s="92">
        <f>COUNTIFS('OB History'!$B:$B,$A$37,'OB History'!Z:Z, 1)</f>
        <v>0</v>
      </c>
    </row>
    <row r="38" spans="1:31" x14ac:dyDescent="0.25">
      <c r="A38" s="2" t="s">
        <v>17</v>
      </c>
      <c r="B38" s="2" t="s">
        <v>79</v>
      </c>
      <c r="C38" s="2" t="s">
        <v>79</v>
      </c>
      <c r="D38" s="89">
        <f>SUMIFS('OB History'!C:C,'OB History'!B:B,A38)</f>
        <v>744</v>
      </c>
      <c r="E38" s="90">
        <f>AVERAGEIFS('OB History'!C:C,'OB History'!B:B,A38)</f>
        <v>26.571428571428573</v>
      </c>
      <c r="F38" s="91">
        <f t="array" ref="F38">MAX(IF('OB History'!B:B=A38, 'OB History'!C:C))</f>
        <v>49</v>
      </c>
      <c r="G38" s="89">
        <f>COUNTIFS('OB History'!B:B,A38,'OB History'!D:D, 1)</f>
        <v>12</v>
      </c>
      <c r="H38" s="92">
        <f>COUNTIFS('OB History'!B:B,A38,'OB History'!D:D, 0)</f>
        <v>16</v>
      </c>
      <c r="I38" s="41">
        <f t="shared" si="0"/>
        <v>0.42857142857142855</v>
      </c>
      <c r="J38" s="89">
        <f>SUMIFS('OB History'!F:F,'OB History'!B:B,A38)</f>
        <v>59</v>
      </c>
      <c r="K38" s="92">
        <f>SUMIFS('OB History'!E:E,'OB History'!B:B,A38)-J38</f>
        <v>57</v>
      </c>
      <c r="L38" s="41">
        <f t="shared" si="1"/>
        <v>0.50862068965517238</v>
      </c>
      <c r="M38" s="89">
        <f>SUMIFS('OB History'!H:H,'OB History'!B:B,'Old Bow v2'!A38)</f>
        <v>247</v>
      </c>
      <c r="N38" s="92">
        <f>SUMIFS('OB History'!G:G,'OB History'!B:B,'Old Bow v2'!A38)-M38</f>
        <v>235</v>
      </c>
      <c r="O38" s="41">
        <f t="shared" si="2"/>
        <v>0.51244813278008294</v>
      </c>
      <c r="P38" s="92">
        <f>COUNTIFS('OB History'!$B:$B,$A$38,'OB History'!K:K, 1)</f>
        <v>5</v>
      </c>
      <c r="Q38" s="92">
        <f>COUNTIFS('OB History'!$B:$B,$A$38,'OB History'!L:L, 1)</f>
        <v>2</v>
      </c>
      <c r="R38" s="92">
        <f>COUNTIFS('OB History'!$B:$B,$A$38,'OB History'!M:M, 1)</f>
        <v>0</v>
      </c>
      <c r="S38" s="92">
        <f>COUNTIFS('OB History'!$B:$B,$A$38,'OB History'!N:N, 1)</f>
        <v>8</v>
      </c>
      <c r="T38" s="92">
        <f>COUNTIFS('OB History'!$B:$B,$A$38,'OB History'!O:O, 1)</f>
        <v>0</v>
      </c>
      <c r="U38" s="92">
        <f>COUNTIFS('OB History'!$B:$B,$A$38,'OB History'!P:P, 1)</f>
        <v>9</v>
      </c>
      <c r="V38" s="92">
        <f>COUNTIFS('OB History'!$B:$B,$A$38,'OB History'!Q:Q, 1)</f>
        <v>2</v>
      </c>
      <c r="W38" s="92">
        <f>COUNTIFS('OB History'!$B:$B,$A$38,'OB History'!R:R, 1)</f>
        <v>0</v>
      </c>
      <c r="X38" s="92">
        <f>COUNTIFS('OB History'!$B:$B,$A$38,'OB History'!S:S, 1)</f>
        <v>1</v>
      </c>
      <c r="Y38" s="92">
        <f>COUNTIFS('OB History'!$B:$B,$A$38,'OB History'!T:T, 1)</f>
        <v>0</v>
      </c>
      <c r="Z38" s="92">
        <f>COUNTIFS('OB History'!$B:$B,$A$38,'OB History'!U:U, 1)</f>
        <v>1</v>
      </c>
      <c r="AA38" s="92">
        <f>COUNTIFS('OB History'!$B:$B,$A$38,'OB History'!V:V, 1)</f>
        <v>2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4</v>
      </c>
      <c r="AE38" s="92">
        <f>COUNTIFS('OB History'!$B:$B,$A$38,'OB History'!Z:Z, 1)</f>
        <v>10</v>
      </c>
    </row>
    <row r="39" spans="1:31" x14ac:dyDescent="0.25">
      <c r="A39" s="2" t="s">
        <v>6</v>
      </c>
      <c r="B39" s="2" t="s">
        <v>79</v>
      </c>
      <c r="C39" s="2" t="s">
        <v>79</v>
      </c>
      <c r="D39" s="89">
        <f>SUMIFS('OB History'!C:C,'OB History'!B:B,A39)</f>
        <v>362</v>
      </c>
      <c r="E39" s="90">
        <f>AVERAGEIFS('OB History'!C:C,'OB History'!B:B,A39)</f>
        <v>22.625</v>
      </c>
      <c r="F39" s="91">
        <f t="array" ref="F39">MAX(IF('OB History'!B:B=A39, 'OB History'!C:C))</f>
        <v>43</v>
      </c>
      <c r="G39" s="89">
        <f>COUNTIFS('OB History'!B:B,A39,'OB History'!D:D, 1)</f>
        <v>12</v>
      </c>
      <c r="H39" s="92">
        <f>COUNTIFS('OB History'!B:B,A39,'OB History'!D:D, 0)</f>
        <v>4</v>
      </c>
      <c r="I39" s="41">
        <f t="shared" si="0"/>
        <v>0.75</v>
      </c>
      <c r="J39" s="89">
        <f>SUMIFS('OB History'!F:F,'OB History'!B:B,A39)</f>
        <v>40</v>
      </c>
      <c r="K39" s="92">
        <f>SUMIFS('OB History'!E:E,'OB History'!B:B,A39)-J39</f>
        <v>25</v>
      </c>
      <c r="L39" s="41">
        <f t="shared" si="1"/>
        <v>0.61538461538461542</v>
      </c>
      <c r="M39" s="89">
        <f>SUMIFS('OB History'!H:H,'OB History'!B:B,'Old Bow v2'!A39)</f>
        <v>150</v>
      </c>
      <c r="N39" s="92">
        <f>SUMIFS('OB History'!G:G,'OB History'!B:B,'Old Bow v2'!A39)-M39</f>
        <v>127</v>
      </c>
      <c r="O39" s="41">
        <f t="shared" si="2"/>
        <v>0.54151624548736466</v>
      </c>
      <c r="P39" s="92">
        <f>COUNTIFS('OB History'!$B:$B,$A$39,'OB History'!K:K, 1)</f>
        <v>1</v>
      </c>
      <c r="Q39" s="92">
        <f>COUNTIFS('OB History'!$B:$B,$A$39,'OB History'!L:L, 1)</f>
        <v>3</v>
      </c>
      <c r="R39" s="92">
        <f>COUNTIFS('OB History'!$B:$B,$A$39,'OB History'!M:M, 1)</f>
        <v>1</v>
      </c>
      <c r="S39" s="92">
        <f>COUNTIFS('OB History'!$B:$B,$A$39,'OB History'!N:N, 1)</f>
        <v>2</v>
      </c>
      <c r="T39" s="92">
        <f>COUNTIFS('OB History'!$B:$B,$A$39,'OB History'!O:O, 1)</f>
        <v>0</v>
      </c>
      <c r="U39" s="92">
        <f>COUNTIFS('OB History'!$B:$B,$A$39,'OB History'!P:P, 1)</f>
        <v>7</v>
      </c>
      <c r="V39" s="92">
        <f>COUNTIFS('OB History'!$B:$B,$A$39,'OB History'!Q:Q, 1)</f>
        <v>1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1</v>
      </c>
      <c r="AB39" s="92">
        <f>COUNTIFS('OB History'!$B:$B,$A$39,'OB History'!W:W, 1)</f>
        <v>5</v>
      </c>
      <c r="AC39" s="92">
        <f>COUNTIFS('OB History'!$B:$B,$A$39,'OB History'!X:X, 1)</f>
        <v>7</v>
      </c>
      <c r="AD39" s="92">
        <f>COUNTIFS('OB History'!$B:$B,$A$39,'OB History'!Y:Y, 1)</f>
        <v>2</v>
      </c>
      <c r="AE39" s="92">
        <f>COUNTIFS('OB History'!$B:$B,$A$39,'OB History'!Z:Z, 1)</f>
        <v>6</v>
      </c>
    </row>
    <row r="40" spans="1:31" x14ac:dyDescent="0.25">
      <c r="A40" s="2" t="s">
        <v>18</v>
      </c>
      <c r="B40" s="2" t="s">
        <v>79</v>
      </c>
      <c r="C40" s="2" t="s">
        <v>79</v>
      </c>
      <c r="D40" s="89">
        <f>SUMIFS('OB History'!C:C,'OB History'!B:B,A40)</f>
        <v>375</v>
      </c>
      <c r="E40" s="90">
        <f>AVERAGEIFS('OB History'!C:C,'OB History'!B:B,A40)</f>
        <v>26.785714285714285</v>
      </c>
      <c r="F40" s="91">
        <f t="array" ref="F40">MAX(IF('OB History'!B:B=A40, 'OB History'!C:C))</f>
        <v>41</v>
      </c>
      <c r="G40" s="89">
        <f>COUNTIFS('OB History'!B:B,A40,'OB History'!D:D, 1)</f>
        <v>5</v>
      </c>
      <c r="H40" s="92">
        <f>COUNTIFS('OB History'!B:B,A40,'OB History'!D:D, 0)</f>
        <v>9</v>
      </c>
      <c r="I40" s="41">
        <f t="shared" si="0"/>
        <v>0.35714285714285715</v>
      </c>
      <c r="J40" s="89">
        <f>SUMIFS('OB History'!F:F,'OB History'!B:B,A40)</f>
        <v>25</v>
      </c>
      <c r="K40" s="92">
        <f>SUMIFS('OB History'!E:E,'OB History'!B:B,A40)-J40</f>
        <v>33</v>
      </c>
      <c r="L40" s="41">
        <f t="shared" si="1"/>
        <v>0.43103448275862066</v>
      </c>
      <c r="M40" s="89">
        <f>SUMIFS('OB History'!H:H,'OB History'!B:B,'Old Bow v2'!A40)</f>
        <v>111</v>
      </c>
      <c r="N40" s="92">
        <f>SUMIFS('OB History'!G:G,'OB History'!B:B,'Old Bow v2'!A40)-M40</f>
        <v>132</v>
      </c>
      <c r="O40" s="41">
        <f t="shared" si="2"/>
        <v>0.4567901234567901</v>
      </c>
      <c r="P40" s="92">
        <f>COUNTIFS('OB History'!$B:$B,$A$40,'OB History'!K:K, 1)</f>
        <v>2</v>
      </c>
      <c r="Q40" s="92">
        <f>COUNTIFS('OB History'!$B:$B,$A$40,'OB History'!L:L, 1)</f>
        <v>0</v>
      </c>
      <c r="R40" s="92">
        <f>COUNTIFS('OB History'!$B:$B,$A$40,'OB History'!M:M, 1)</f>
        <v>0</v>
      </c>
      <c r="S40" s="92">
        <f>COUNTIFS('OB History'!$B:$B,$A$40,'OB History'!N:N, 1)</f>
        <v>5</v>
      </c>
      <c r="T40" s="92">
        <f>COUNTIFS('OB History'!$B:$B,$A$40,'OB History'!O:O, 1)</f>
        <v>0</v>
      </c>
      <c r="U40" s="92">
        <f>COUNTIFS('OB History'!$B:$B,$A$40,'OB History'!P:P, 1)</f>
        <v>3</v>
      </c>
      <c r="V40" s="92">
        <f>COUNTIFS('OB History'!$B:$B,$A$40,'OB History'!Q:Q, 1)</f>
        <v>2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1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4</v>
      </c>
      <c r="AC40" s="92">
        <f>COUNTIFS('OB History'!$B:$B,$A$40,'OB History'!X:X, 1)</f>
        <v>4</v>
      </c>
      <c r="AD40" s="92">
        <f>COUNTIFS('OB History'!$B:$B,$A$40,'OB History'!Y:Y, 1)</f>
        <v>0</v>
      </c>
      <c r="AE40" s="92">
        <f>COUNTIFS('OB History'!$B:$B,$A$40,'OB History'!Z:Z, 1)</f>
        <v>3</v>
      </c>
    </row>
    <row r="41" spans="1:31" x14ac:dyDescent="0.25">
      <c r="A41" s="2" t="s">
        <v>113</v>
      </c>
      <c r="B41" s="2" t="s">
        <v>79</v>
      </c>
      <c r="C41" s="2" t="s">
        <v>79</v>
      </c>
      <c r="D41" s="89">
        <f>SUMIFS('OB History'!C:C,'OB History'!B:B,A41)</f>
        <v>8</v>
      </c>
      <c r="E41" s="90">
        <f>AVERAGEIFS('OB History'!C:C,'OB History'!B:B,A41)</f>
        <v>8</v>
      </c>
      <c r="F41" s="91">
        <f t="array" ref="F41">MAX(IF('OB History'!B:B=A41, 'OB History'!C:C))</f>
        <v>8</v>
      </c>
      <c r="G41" s="89">
        <f>COUNTIFS('OB History'!B:B,A41,'OB History'!D:D, 1)</f>
        <v>1</v>
      </c>
      <c r="H41" s="92">
        <f>COUNTIFS('OB History'!B:B,A41,'OB History'!D:D, 0)</f>
        <v>0</v>
      </c>
      <c r="I41" s="41">
        <f t="shared" ref="I41" si="12">G41/(G41+H41)</f>
        <v>1</v>
      </c>
      <c r="J41" s="89">
        <f>SUMIFS('OB History'!F:F,'OB History'!B:B,A41)</f>
        <v>3</v>
      </c>
      <c r="K41" s="92">
        <f>SUMIFS('OB History'!E:E,'OB History'!B:B,A41)-J41</f>
        <v>2</v>
      </c>
      <c r="L41" s="41">
        <f t="shared" ref="L41" si="13">J41/(J41+K41)</f>
        <v>0.6</v>
      </c>
      <c r="M41" s="89">
        <f>SUMIFS('OB History'!H:H,'OB History'!B:B,'Old Bow v2'!A41)</f>
        <v>12</v>
      </c>
      <c r="N41" s="92">
        <f>SUMIFS('OB History'!G:G,'OB History'!B:B,'Old Bow v2'!A41)-M41</f>
        <v>9</v>
      </c>
      <c r="O41" s="41">
        <f t="shared" ref="O41" si="14">M41/(M41+N41)</f>
        <v>0.5714285714285714</v>
      </c>
      <c r="P41" s="92">
        <f>COUNTIFS('OB History'!$B:$B,$A$41,'OB History'!K:K, 1)</f>
        <v>0</v>
      </c>
      <c r="Q41" s="92">
        <f>COUNTIFS('OB History'!$B:$B,$A$41,'OB History'!L:L, 1)</f>
        <v>0</v>
      </c>
      <c r="R41" s="92">
        <f>COUNTIFS('OB History'!$B:$B,$A$41,'OB History'!M:M, 1)</f>
        <v>1</v>
      </c>
      <c r="S41" s="92">
        <f>COUNTIFS('OB History'!$B:$B,$A$41,'OB History'!N:N, 1)</f>
        <v>0</v>
      </c>
      <c r="T41" s="92">
        <f>COUNTIFS('OB History'!$B:$B,$A$41,'OB History'!O:O, 1)</f>
        <v>0</v>
      </c>
      <c r="U41" s="92">
        <f>COUNTIFS('OB History'!$B:$B,$A$41,'OB History'!P:P, 1)</f>
        <v>0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0</v>
      </c>
      <c r="AB41" s="92">
        <f>COUNTIFS('OB History'!$B:$B,$A$41,'OB History'!W:W, 1)</f>
        <v>0</v>
      </c>
      <c r="AC41" s="92">
        <f>COUNTIFS('OB History'!$B:$B,$A$41,'OB History'!X:X, 1)</f>
        <v>1</v>
      </c>
      <c r="AD41" s="92">
        <f>COUNTIFS('OB History'!$B:$B,$A$41,'OB History'!Y:Y, 1)</f>
        <v>0</v>
      </c>
      <c r="AE41" s="92">
        <f>COUNTIFS('OB History'!$B:$B,$A$41,'OB History'!Z:Z, 1)</f>
        <v>0</v>
      </c>
    </row>
    <row r="42" spans="1:31" x14ac:dyDescent="0.25">
      <c r="A42" s="2" t="s">
        <v>14</v>
      </c>
      <c r="B42" s="6" t="s">
        <v>60</v>
      </c>
      <c r="C42" s="6" t="s">
        <v>60</v>
      </c>
      <c r="D42" s="89">
        <f>SUMIFS('OB History'!C:C,'OB History'!B:B,A42)</f>
        <v>589</v>
      </c>
      <c r="E42" s="90">
        <f>AVERAGEIFS('OB History'!C:C,'OB History'!B:B,A42)</f>
        <v>24.541666666666668</v>
      </c>
      <c r="F42" s="91">
        <f t="array" ref="F42">MAX(IF('OB History'!B:B=A42, 'OB History'!C:C))</f>
        <v>56</v>
      </c>
      <c r="G42" s="89">
        <f>COUNTIFS('OB History'!B:B,A42,'OB History'!D:D, 1)</f>
        <v>13</v>
      </c>
      <c r="H42" s="92">
        <f>COUNTIFS('OB History'!B:B,A42,'OB History'!D:D, 0)</f>
        <v>11</v>
      </c>
      <c r="I42" s="41">
        <f t="shared" si="0"/>
        <v>0.54166666666666663</v>
      </c>
      <c r="J42" s="89">
        <f>SUMIFS('OB History'!F:F,'OB History'!B:B,A42)</f>
        <v>51</v>
      </c>
      <c r="K42" s="92">
        <f>SUMIFS('OB History'!E:E,'OB History'!B:B,A42)-J42</f>
        <v>48</v>
      </c>
      <c r="L42" s="41">
        <f t="shared" si="1"/>
        <v>0.51515151515151514</v>
      </c>
      <c r="M42" s="89">
        <f>SUMIFS('OB History'!H:H,'OB History'!B:B,'Old Bow v2'!A42)</f>
        <v>208</v>
      </c>
      <c r="N42" s="92">
        <f>SUMIFS('OB History'!G:G,'OB History'!B:B,'Old Bow v2'!A42)-M42</f>
        <v>205</v>
      </c>
      <c r="O42" s="41">
        <f t="shared" si="2"/>
        <v>0.50363196125907994</v>
      </c>
      <c r="P42" s="92">
        <f>COUNTIFS('OB History'!$B:$B,$A$42,'OB History'!K:K, 1)</f>
        <v>3</v>
      </c>
      <c r="Q42" s="92">
        <f>COUNTIFS('OB History'!$B:$B,$A$42,'OB History'!L:L, 1)</f>
        <v>3</v>
      </c>
      <c r="R42" s="92">
        <f>COUNTIFS('OB History'!$B:$B,$A$42,'OB History'!M:M, 1)</f>
        <v>0</v>
      </c>
      <c r="S42" s="92">
        <f>COUNTIFS('OB History'!$B:$B,$A$42,'OB History'!N:N, 1)</f>
        <v>6</v>
      </c>
      <c r="T42" s="92">
        <f>COUNTIFS('OB History'!$B:$B,$A$42,'OB History'!O:O, 1)</f>
        <v>1</v>
      </c>
      <c r="U42" s="92">
        <f>COUNTIFS('OB History'!$B:$B,$A$42,'OB History'!P:P, 1)</f>
        <v>5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3</v>
      </c>
      <c r="AB42" s="92">
        <f>COUNTIFS('OB History'!$B:$B,$A$42,'OB History'!W:W, 1)</f>
        <v>5</v>
      </c>
      <c r="AC42" s="92">
        <f>COUNTIFS('OB History'!$B:$B,$A$42,'OB History'!X:X, 1)</f>
        <v>14</v>
      </c>
      <c r="AD42" s="92">
        <f>COUNTIFS('OB History'!$B:$B,$A$42,'OB History'!Y:Y, 1)</f>
        <v>2</v>
      </c>
      <c r="AE42" s="92">
        <f>COUNTIFS('OB History'!$B:$B,$A$42,'OB History'!Z:Z, 1)</f>
        <v>6</v>
      </c>
    </row>
    <row r="43" spans="1:31" x14ac:dyDescent="0.25">
      <c r="A43" s="2" t="s">
        <v>70</v>
      </c>
      <c r="B43" s="6" t="s">
        <v>79</v>
      </c>
      <c r="C43" s="6" t="s">
        <v>79</v>
      </c>
      <c r="D43" s="89">
        <v>0</v>
      </c>
      <c r="E43" s="90">
        <v>0</v>
      </c>
      <c r="F43" s="91">
        <f t="array" ref="F43">MAX(IF('OB History'!B:B=A43, 'OB History'!C:C))</f>
        <v>21</v>
      </c>
      <c r="G43" s="89">
        <v>0</v>
      </c>
      <c r="H43" s="92">
        <v>0</v>
      </c>
      <c r="I43" s="41">
        <v>0</v>
      </c>
      <c r="J43" s="89">
        <v>0</v>
      </c>
      <c r="K43" s="92">
        <v>0</v>
      </c>
      <c r="L43" s="41">
        <v>0</v>
      </c>
      <c r="M43" s="89">
        <v>0</v>
      </c>
      <c r="N43" s="92">
        <v>0</v>
      </c>
      <c r="O43" s="41">
        <v>0</v>
      </c>
      <c r="P43" s="92">
        <f>COUNTIFS('OB History'!$B:$B,$A$43,'OB History'!K:K, 1)</f>
        <v>0</v>
      </c>
      <c r="Q43" s="92">
        <f>COUNTIFS('OB History'!$B:$B,$A$43,'OB History'!L:L, 1)</f>
        <v>0</v>
      </c>
      <c r="R43" s="92">
        <f>COUNTIFS('OB History'!$B:$B,$A$43,'OB History'!M:M, 1)</f>
        <v>0</v>
      </c>
      <c r="S43" s="92">
        <f>COUNTIFS('OB History'!$B:$B,$A$43,'OB History'!N:N, 1)</f>
        <v>1</v>
      </c>
      <c r="T43" s="92">
        <f>COUNTIFS('OB History'!$B:$B,$A$43,'OB History'!O:O, 1)</f>
        <v>0</v>
      </c>
      <c r="U43" s="92">
        <f>COUNTIFS('OB History'!$B:$B,$A$43,'OB History'!P:P, 1)</f>
        <v>0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1</v>
      </c>
      <c r="AB43" s="92">
        <f>COUNTIFS('OB History'!$B:$B,$A$43,'OB History'!W:W, 1)</f>
        <v>0</v>
      </c>
      <c r="AC43" s="92">
        <f>COUNTIFS('OB History'!$B:$B,$A$43,'OB History'!X:X, 1)</f>
        <v>1</v>
      </c>
      <c r="AD43" s="92">
        <f>COUNTIFS('OB History'!$B:$B,$A$43,'OB History'!Y:Y, 1)</f>
        <v>0</v>
      </c>
      <c r="AE43" s="92">
        <f>COUNTIFS('OB History'!$B:$B,$A$43,'OB History'!Z:Z, 1)</f>
        <v>0</v>
      </c>
    </row>
    <row r="44" spans="1:31" x14ac:dyDescent="0.25">
      <c r="A44" s="2" t="s">
        <v>4</v>
      </c>
      <c r="B44" s="2" t="s">
        <v>79</v>
      </c>
      <c r="C44" s="2" t="s">
        <v>79</v>
      </c>
      <c r="D44" s="89">
        <f>SUMIFS('OB History'!C:C,'OB History'!B:B,A44)</f>
        <v>33</v>
      </c>
      <c r="E44" s="90">
        <f>AVERAGEIFS('OB History'!C:C,'OB History'!B:B,A44)</f>
        <v>16.5</v>
      </c>
      <c r="F44" s="91">
        <f t="array" ref="F44">MAX(IF('OB History'!B:B=A44, 'OB History'!C:C))</f>
        <v>24</v>
      </c>
      <c r="G44" s="89">
        <f>COUNTIFS('OB History'!B:B,A44,'OB History'!D:D, 1)</f>
        <v>2</v>
      </c>
      <c r="H44" s="92">
        <f>COUNTIFS('OB History'!B:B,A44,'OB History'!D:D, 0)</f>
        <v>0</v>
      </c>
      <c r="I44" s="41">
        <f t="shared" si="0"/>
        <v>1</v>
      </c>
      <c r="J44" s="89">
        <f>SUMIFS('OB History'!F:F,'OB History'!B:B,A44)</f>
        <v>6</v>
      </c>
      <c r="K44" s="92">
        <f>SUMIFS('OB History'!E:E,'OB History'!B:B,A44)-J44</f>
        <v>1</v>
      </c>
      <c r="L44" s="41">
        <f t="shared" si="1"/>
        <v>0.8571428571428571</v>
      </c>
      <c r="M44" s="89">
        <f>SUMIFS('OB History'!H:H,'OB History'!B:B,'Old Bow v2'!A44)</f>
        <v>19</v>
      </c>
      <c r="N44" s="92">
        <f>SUMIFS('OB History'!G:G,'OB History'!B:B,'Old Bow v2'!A44)-M44</f>
        <v>10</v>
      </c>
      <c r="O44" s="41">
        <f t="shared" si="2"/>
        <v>0.65517241379310343</v>
      </c>
      <c r="P44" s="92">
        <f>COUNTIFS('OB History'!$B:$B,$A$44,'OB History'!K:K, 1)</f>
        <v>0</v>
      </c>
      <c r="Q44" s="92">
        <f>COUNTIFS('OB History'!$B:$B,$A$44,'OB History'!L:L, 1)</f>
        <v>2</v>
      </c>
      <c r="R44" s="92">
        <f>COUNTIFS('OB History'!$B:$B,$A$44,'OB History'!M:M, 1)</f>
        <v>0</v>
      </c>
      <c r="S44" s="92">
        <f>COUNTIFS('OB History'!$B:$B,$A$44,'OB History'!N:N, 1)</f>
        <v>0</v>
      </c>
      <c r="T44" s="92">
        <f>COUNTIFS('OB History'!$B:$B,$A$44,'OB History'!O:O, 1)</f>
        <v>0</v>
      </c>
      <c r="U44" s="92">
        <f>COUNTIFS('OB History'!$B:$B,$A$44,'OB History'!P:P, 1)</f>
        <v>1</v>
      </c>
      <c r="V44" s="92">
        <f>COUNTIFS('OB History'!$B:$B,$A$44,'OB History'!Q:Q, 1)</f>
        <v>0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0</v>
      </c>
      <c r="AC44" s="92">
        <f>COUNTIFS('OB History'!$B:$B,$A$44,'OB History'!X:X, 1)</f>
        <v>0</v>
      </c>
      <c r="AD44" s="92">
        <f>COUNTIFS('OB History'!$B:$B,$A$44,'OB History'!Y:Y, 1)</f>
        <v>1</v>
      </c>
      <c r="AE44" s="92">
        <f>COUNTIFS('OB History'!$B:$B,$A$44,'OB History'!Z:Z, 1)</f>
        <v>0</v>
      </c>
    </row>
    <row r="45" spans="1:31" ht="15.75" thickBot="1" x14ac:dyDescent="0.3">
      <c r="A45" s="2" t="s">
        <v>55</v>
      </c>
      <c r="B45" s="2" t="s">
        <v>79</v>
      </c>
      <c r="C45" s="2" t="s">
        <v>79</v>
      </c>
      <c r="D45" s="89">
        <f>SUMIFS('OB History'!C:C,'OB History'!B:B,A45)</f>
        <v>83</v>
      </c>
      <c r="E45" s="90">
        <f>AVERAGEIFS('OB History'!C:C,'OB History'!B:B,A45)</f>
        <v>10.375</v>
      </c>
      <c r="F45" s="91">
        <f t="array" ref="F45">MAX(IF('OB History'!B:B=A45, 'OB History'!C:C))</f>
        <v>18</v>
      </c>
      <c r="G45" s="89">
        <f>COUNTIFS('OB History'!B:B,A45,'OB History'!D:D, 1)</f>
        <v>5</v>
      </c>
      <c r="H45" s="92">
        <f>COUNTIFS('OB History'!B:B,A45,'OB History'!D:D, 0)</f>
        <v>3</v>
      </c>
      <c r="I45" s="45">
        <f t="shared" si="0"/>
        <v>0.625</v>
      </c>
      <c r="J45" s="89">
        <f>SUMIFS('OB History'!F:F,'OB History'!B:B,A45)</f>
        <v>18</v>
      </c>
      <c r="K45" s="92">
        <f>SUMIFS('OB History'!E:E,'OB History'!B:B,A45)-J45</f>
        <v>16</v>
      </c>
      <c r="L45" s="45">
        <f t="shared" si="1"/>
        <v>0.52941176470588236</v>
      </c>
      <c r="M45" s="89">
        <f>SUMIFS('OB History'!H:H,'OB History'!B:B,'Old Bow v2'!A45)</f>
        <v>69</v>
      </c>
      <c r="N45" s="92">
        <f>SUMIFS('OB History'!G:G,'OB History'!B:B,'Old Bow v2'!A45)-M45</f>
        <v>68</v>
      </c>
      <c r="O45" s="45">
        <f t="shared" si="2"/>
        <v>0.5036496350364964</v>
      </c>
      <c r="P45" s="92">
        <f>COUNTIFS('OB History'!$B:$B,$A$45,'OB History'!K:K, 1)</f>
        <v>1</v>
      </c>
      <c r="Q45" s="92">
        <f>COUNTIFS('OB History'!$B:$B,$A$45,'OB History'!L:L, 1)</f>
        <v>0</v>
      </c>
      <c r="R45" s="92">
        <f>COUNTIFS('OB History'!$B:$B,$A$45,'OB History'!M:M, 1)</f>
        <v>0</v>
      </c>
      <c r="S45" s="92">
        <f>COUNTIFS('OB History'!$B:$B,$A$45,'OB History'!N:N, 1)</f>
        <v>4</v>
      </c>
      <c r="T45" s="92">
        <f>COUNTIFS('OB History'!$B:$B,$A$45,'OB History'!O:O, 1)</f>
        <v>1</v>
      </c>
      <c r="U45" s="92">
        <f>COUNTIFS('OB History'!$B:$B,$A$45,'OB History'!P:P, 1)</f>
        <v>0</v>
      </c>
      <c r="V45" s="92">
        <f>COUNTIFS('OB History'!$B:$B,$A$45,'OB History'!Q:Q, 1)</f>
        <v>1</v>
      </c>
      <c r="W45" s="92">
        <f>COUNTIFS('OB History'!$B:$B,$A$45,'OB History'!R:R, 1)</f>
        <v>0</v>
      </c>
      <c r="X45" s="92">
        <f>COUNTIFS('OB History'!$B:$B,$A$45,'OB History'!S:S, 1)</f>
        <v>0</v>
      </c>
      <c r="Y45" s="92">
        <f>COUNTIFS('OB History'!$B:$B,$A$45,'OB History'!T:T, 1)</f>
        <v>0</v>
      </c>
      <c r="Z45" s="92">
        <f>COUNTIFS('OB History'!$B:$B,$A$45,'OB History'!U:U, 1)</f>
        <v>0</v>
      </c>
      <c r="AA45" s="92">
        <f>COUNTIFS('OB History'!$B:$B,$A$45,'OB History'!V:V, 1)</f>
        <v>0</v>
      </c>
      <c r="AB45" s="92">
        <f>COUNTIFS('OB History'!$B:$B,$A$45,'OB History'!W:W, 1)</f>
        <v>3</v>
      </c>
      <c r="AC45" s="92">
        <f>COUNTIFS('OB History'!$B:$B,$A$45,'OB History'!X:X, 1)</f>
        <v>4</v>
      </c>
      <c r="AD45" s="92">
        <f>COUNTIFS('OB History'!$B:$B,$A$45,'OB History'!Y:Y, 1)</f>
        <v>1</v>
      </c>
      <c r="AE45" s="92">
        <f>COUNTIFS('OB History'!$B:$B,$A$45,'OB History'!Z:Z, 1)</f>
        <v>2</v>
      </c>
    </row>
    <row r="51" spans="6:6" x14ac:dyDescent="0.25">
      <c r="F51" s="81"/>
    </row>
    <row r="53" spans="6:6" x14ac:dyDescent="0.25">
      <c r="F53" s="81"/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14"/>
  <sheetViews>
    <sheetView workbookViewId="0">
      <pane ySplit="1" topLeftCell="A389" activePane="bottomLeft" state="frozen"/>
      <selection pane="bottomLeft" activeCell="H418" sqref="H41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148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10.833333333333334</v>
      </c>
      <c r="AB368">
        <f>AVERAGEIFS($I$2:I368, $B$2:B368, B368)</f>
        <v>0.45</v>
      </c>
      <c r="AC368">
        <f>AVERAGEIFS($J$2:J368, $B$2:B368, B368)</f>
        <v>0.48749999999999999</v>
      </c>
      <c r="AD368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23.142857142857142</v>
      </c>
      <c r="AB372">
        <f>AVERAGEIFS($I$2:I372, $B$2:B372, B372)</f>
        <v>0.62142857142857133</v>
      </c>
      <c r="AC372">
        <f>AVERAGEIFS($J$2:J372, $B$2:B372, B372)</f>
        <v>0.53857142857142859</v>
      </c>
      <c r="AD372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22.733333333333334</v>
      </c>
      <c r="AB383">
        <f>AVERAGEIFS($I$2:I383, $B$2:B383, B383)</f>
        <v>0.63</v>
      </c>
      <c r="AC383">
        <f>AVERAGEIFS($J$2:J383, $B$2:B383, B383)</f>
        <v>0.54333333333333333</v>
      </c>
      <c r="AD383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149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>
        <f>AVERAGEIFS($C$2:C390, $B$2:B390, B390)</f>
        <v>28.142857142857142</v>
      </c>
      <c r="AB390">
        <f>AVERAGEIFS($I$2:I390, $B$2:B390, B390)</f>
        <v>0.56428571428571428</v>
      </c>
      <c r="AC390">
        <f>AVERAGEIFS($J$2:J390, $B$2:B390, B390)</f>
        <v>0.50857142857142856</v>
      </c>
      <c r="AD390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f>AVERAGEIFS($C$2:C391, $B$2:B391, B391)</f>
        <v>22.625</v>
      </c>
      <c r="AB391">
        <f>AVERAGEIFS($I$2:I391, $B$2:B391, B391)</f>
        <v>0.62812499999999993</v>
      </c>
      <c r="AC391">
        <f>AVERAGEIFS($J$2:J391, $B$2:B391, B391)</f>
        <v>0.54500000000000004</v>
      </c>
      <c r="AD391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>
        <f>AVERAGEIFS($C$2:C392, $B$2:B392, B392)</f>
        <v>23.6</v>
      </c>
      <c r="AB392">
        <f>AVERAGEIFS($I$2:I392, $B$2:B392, B392)</f>
        <v>0.46999999999999992</v>
      </c>
      <c r="AC392">
        <f>AVERAGEIFS($J$2:J392, $B$2:B392, B392)</f>
        <v>0.48</v>
      </c>
      <c r="AD392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>
        <f>AVERAGEIFS($C$2:C393, $B$2:B393, B393)</f>
        <v>14.5</v>
      </c>
      <c r="AB393">
        <f>AVERAGEIFS($I$2:I393, $B$2:B393, B393)</f>
        <v>0.8</v>
      </c>
      <c r="AC393">
        <f>AVERAGEIFS($J$2:J393, $B$2:B393, B393)</f>
        <v>0.62999999999999989</v>
      </c>
      <c r="AD393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>
        <f>AVERAGEIFS($C$2:C394, $B$2:B394, B394)</f>
        <v>10.583333333333334</v>
      </c>
      <c r="AB394">
        <f>AVERAGEIFS($I$2:I394, $B$2:B394, B394)</f>
        <v>0.52500000000000002</v>
      </c>
      <c r="AC394">
        <f>AVERAGEIFS($J$2:J394, $B$2:B394, B394)</f>
        <v>0.53833333333333344</v>
      </c>
      <c r="AD394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>
        <f>AVERAGEIFS($C$2:C395, $B$2:B395, B395)</f>
        <v>11</v>
      </c>
      <c r="AB395">
        <f>AVERAGEIFS($I$2:I395, $B$2:B395, B395)</f>
        <v>0.65</v>
      </c>
      <c r="AC395">
        <f>AVERAGEIFS($J$2:J395, $B$2:B395, B395)</f>
        <v>0.56499999999999995</v>
      </c>
      <c r="AD395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>
        <f>AVERAGEIFS($C$2:C396, $B$2:B396, B396)</f>
        <v>8</v>
      </c>
      <c r="AB396">
        <f>AVERAGEIFS($I$2:I396, $B$2:B396, B396)</f>
        <v>0.6</v>
      </c>
      <c r="AC396">
        <f>AVERAGEIFS($J$2:J396, $B$2:B396, B396)</f>
        <v>0.56999999999999995</v>
      </c>
      <c r="AD396">
        <f>AVERAGEIFS($D$2:D396, $B$2:B396, B396)</f>
        <v>1</v>
      </c>
    </row>
    <row r="397" spans="1:30" x14ac:dyDescent="0.25">
      <c r="A397" s="85">
        <v>46099</v>
      </c>
      <c r="B397" t="s">
        <v>149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>
        <f>AVERAGEIFS($C$2:C397, $B$2:B397, B397)</f>
        <v>12</v>
      </c>
      <c r="AB397">
        <f>AVERAGEIFS($I$2:I397, $B$2:B397, B397)</f>
        <v>0.42499999999999999</v>
      </c>
      <c r="AC397">
        <f>AVERAGEIFS($J$2:J397, $B$2:B397, B397)</f>
        <v>0.48</v>
      </c>
      <c r="AD397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f>AVERAGEIFS($C$2:C398, $B$2:B398, B398)</f>
        <v>26.851851851851851</v>
      </c>
      <c r="AB398">
        <f>AVERAGEIFS($I$2:I398, $B$2:B398, B398)</f>
        <v>0.52592592592592602</v>
      </c>
      <c r="AC398">
        <f>AVERAGEIFS($J$2:J398, $B$2:B398, B398)</f>
        <v>0.5259259259259258</v>
      </c>
      <c r="AD398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f>AVERAGEIFS($C$2:C399, $B$2:B399, B399)</f>
        <v>27.928571428571427</v>
      </c>
      <c r="AB399">
        <f>AVERAGEIFS($I$2:I399, $B$2:B399, B399)</f>
        <v>0.55178571428571421</v>
      </c>
      <c r="AC399">
        <f>AVERAGEIFS($J$2:J399, $B$2:B399, B399)</f>
        <v>0.53249999999999997</v>
      </c>
      <c r="AD399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f>AVERAGEIFS($C$2:C400, $B$2:B400, B400)</f>
        <v>11.307692307692308</v>
      </c>
      <c r="AB400">
        <f>AVERAGEIFS($I$2:I400, $B$2:B400, B400)</f>
        <v>0.44615384615384623</v>
      </c>
      <c r="AC400">
        <f>AVERAGEIFS($J$2:J400, $B$2:B400, B400)</f>
        <v>0.48307692307692301</v>
      </c>
      <c r="AD400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f>AVERAGEIFS($C$2:C401, $B$2:B401, B401)</f>
        <v>24.541666666666668</v>
      </c>
      <c r="AB401">
        <f>AVERAGEIFS($I$2:I401, $B$2:B401, B401)</f>
        <v>0.52708333333333335</v>
      </c>
      <c r="AC401">
        <f>AVERAGEIFS($J$2:J401, $B$2:B401, B401)</f>
        <v>0.50916666666666666</v>
      </c>
      <c r="AD401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f>AVERAGEIFS($C$2:C402, $B$2:B402, B402)</f>
        <v>11.958333333333334</v>
      </c>
      <c r="AB402">
        <f>AVERAGEIFS($I$2:I402, $B$2:B402, B402)</f>
        <v>0.38125000000000003</v>
      </c>
      <c r="AC402">
        <f>AVERAGEIFS($J$2:J402, $B$2:B402, B402)</f>
        <v>0.44166666666666671</v>
      </c>
      <c r="AD402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f>AVERAGEIFS($C$2:C403, $B$2:B403, B403)</f>
        <v>13.619047619047619</v>
      </c>
      <c r="AB403">
        <f>AVERAGEIFS($I$2:I403, $B$2:B403, B403)</f>
        <v>0.47619047619047616</v>
      </c>
      <c r="AC403">
        <f>AVERAGEIFS($J$2:J403, $B$2:B403, B403)</f>
        <v>0.4919047619047619</v>
      </c>
      <c r="AD403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f>AVERAGEIFS($C$2:C404, $B$2:B404, B404)</f>
        <v>9.6</v>
      </c>
      <c r="AB404">
        <f>AVERAGEIFS($I$2:I404, $B$2:B404, B404)</f>
        <v>0.47250000000000003</v>
      </c>
      <c r="AC404">
        <f>AVERAGEIFS($J$2:J404, $B$2:B404, B404)</f>
        <v>0.49399999999999994</v>
      </c>
      <c r="AD404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>
        <f>AVERAGEIFS($C$2:C405, $B$2:B405, B405)</f>
        <v>21</v>
      </c>
      <c r="AB405">
        <f>AVERAGEIFS($I$2:I405, $B$2:B405, B405)</f>
        <v>0.6</v>
      </c>
      <c r="AC405">
        <f>AVERAGEIFS($J$2:J405, $B$2:B405, B405)</f>
        <v>0.56000000000000005</v>
      </c>
      <c r="AD405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>
        <f>AVERAGEIFS($C$2:C406, $B$2:B406, B406)</f>
        <v>26.571428571428573</v>
      </c>
      <c r="AB406">
        <f>AVERAGEIFS($I$2:I406, $B$2:B406, B406)</f>
        <v>0.52857142857142869</v>
      </c>
      <c r="AC406">
        <f>AVERAGEIFS($J$2:J406, $B$2:B406, B406)</f>
        <v>0.52714285714285702</v>
      </c>
      <c r="AD40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>
        <f>AVERAGEIFS($C$2:C407, $B$2:B407, B407)</f>
        <v>9.8095238095238102</v>
      </c>
      <c r="AB407">
        <f>AVERAGEIFS($I$2:I407, $B$2:B407, B407)</f>
        <v>0.47857142857142859</v>
      </c>
      <c r="AC407">
        <f>AVERAGEIFS($J$2:J407, $B$2:B407, B407)</f>
        <v>0.49714285714285711</v>
      </c>
      <c r="AD407">
        <f>AVERAGEIFS($D$2:D407, $B$2:B407, B407)</f>
        <v>0.47619047619047616</v>
      </c>
    </row>
    <row r="408" spans="1:30" x14ac:dyDescent="0.25">
      <c r="A408" s="85">
        <v>46101</v>
      </c>
      <c r="B408" t="s">
        <v>149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>
        <f>AVERAGEIFS($C$2:C408, $B$2:B408, B408)</f>
        <v>12</v>
      </c>
      <c r="AB408">
        <f>AVERAGEIFS($I$2:I408, $B$2:B408, B408)</f>
        <v>0.48333333333333334</v>
      </c>
      <c r="AC408">
        <f>AVERAGEIFS($J$2:J408, $B$2:B408, B408)</f>
        <v>0.50666666666666671</v>
      </c>
      <c r="AD408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>
        <f>AVERAGEIFS($C$2:C409, $B$2:B409, B409)</f>
        <v>6.666666666666667</v>
      </c>
      <c r="AB409">
        <f>AVERAGEIFS($I$2:I409, $B$2:B409, B409)</f>
        <v>0.56666666666666665</v>
      </c>
      <c r="AC409">
        <f>AVERAGEIFS($J$2:J409, $B$2:B409, B409)</f>
        <v>0.52833333333333332</v>
      </c>
      <c r="AD409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0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f>AVERAGEIFS($C$2:C410, $B$2:B410, B410)</f>
        <v>26.96551724137931</v>
      </c>
      <c r="AB410">
        <f>AVERAGEIFS($I$2:I410, $B$2:B410, B410)</f>
        <v>0.54655172413793107</v>
      </c>
      <c r="AC410">
        <f>AVERAGEIFS($J$2:J410, $B$2:B410, B410)</f>
        <v>0.5293103448275861</v>
      </c>
      <c r="AD410">
        <f>AVERAGEIFS($D$2:D410, $B$2:B410, B410)</f>
        <v>0.62068965517241381</v>
      </c>
    </row>
    <row r="411" spans="1:30" x14ac:dyDescent="0.25">
      <c r="A411" s="85">
        <v>46101</v>
      </c>
      <c r="B411" t="s">
        <v>151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f>AVERAGEIFS($C$2:C411, $B$2:B411, B411)</f>
        <v>15</v>
      </c>
      <c r="AB411">
        <f>AVERAGEIFS($I$2:I411, $B$2:B411, B411)</f>
        <v>0.4</v>
      </c>
      <c r="AC411">
        <f>AVERAGEIFS($J$2:J411, $B$2:B411, B411)</f>
        <v>0.44</v>
      </c>
      <c r="AD411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f>AVERAGEIFS($C$2:C412, $B$2:B412, B412)</f>
        <v>13.764705882352942</v>
      </c>
      <c r="AB412">
        <f>AVERAGEIFS($I$2:I412, $B$2:B412, B412)</f>
        <v>0.36764705882352944</v>
      </c>
      <c r="AC412">
        <f>AVERAGEIFS($J$2:J412, $B$2:B412, B412)</f>
        <v>0.43941176470588239</v>
      </c>
      <c r="AD412">
        <f>AVERAGEIFS($D$2:D412, $B$2:B412, B412)</f>
        <v>0.35294117647058826</v>
      </c>
    </row>
    <row r="413" spans="1:30" x14ac:dyDescent="0.25">
      <c r="A413" s="85">
        <v>46101</v>
      </c>
      <c r="B413" t="s">
        <v>152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f>AVERAGEIFS($C$2:C413, $B$2:B413, B413)</f>
        <v>11</v>
      </c>
      <c r="AB413">
        <f>AVERAGEIFS($I$2:I413, $B$2:B413, B413)</f>
        <v>0.4</v>
      </c>
      <c r="AC413">
        <f>AVERAGEIFS($J$2:J413, $B$2:B413, B413)</f>
        <v>0.44</v>
      </c>
      <c r="AD413">
        <f>AVERAGEIFS($D$2:D413, $B$2:B413, B413)</f>
        <v>0</v>
      </c>
    </row>
    <row r="414" spans="1:30" x14ac:dyDescent="0.25">
      <c r="A414" s="85">
        <v>46101</v>
      </c>
      <c r="B414" t="s">
        <v>153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f>AVERAGEIFS($C$2:C414, $B$2:B414, B414)</f>
        <v>4</v>
      </c>
      <c r="AB414">
        <f>AVERAGEIFS($I$2:I414, $B$2:B414, B414)</f>
        <v>0.4</v>
      </c>
      <c r="AC414">
        <f>AVERAGEIFS($J$2:J414, $B$2:B414, B414)</f>
        <v>0.44</v>
      </c>
      <c r="AD414">
        <f>AVERAGEIFS($D$2:D414, $B$2:B414, B414)</f>
        <v>0</v>
      </c>
    </row>
  </sheetData>
  <autoFilter ref="A1:AD389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4"/>
  <sheetViews>
    <sheetView workbookViewId="0">
      <pane xSplit="1" ySplit="1" topLeftCell="Z2" activePane="bottomRight" state="frozen"/>
      <selection pane="topRight" activeCell="B1" sqref="B1"/>
      <selection pane="bottomLeft" activeCell="A2" sqref="A2"/>
      <selection pane="bottomRight" activeCell="O24" sqref="O24:AJ2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147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51</v>
      </c>
      <c r="D2" s="66">
        <f>AVERAGEIFS('BA History'!C:C,'BA History'!B:B,A2)</f>
        <v>17</v>
      </c>
      <c r="E2" s="35">
        <f t="array" ref="E2">MAX(IF('BA History'!B:B=A2, 'BA History'!C:C))</f>
        <v>23</v>
      </c>
      <c r="F2" s="34">
        <f>COUNTIFS('BA History'!B:B,A2,'BA History'!D:D, 1)</f>
        <v>3</v>
      </c>
      <c r="G2" s="2">
        <f>COUNTIFS('BA History'!B:B,A2,'BA History'!D:D, 0)</f>
        <v>0</v>
      </c>
      <c r="H2" s="75">
        <f t="shared" ref="H2" si="0">F2/(F2+G2)</f>
        <v>1</v>
      </c>
      <c r="I2" s="34">
        <f>SUMIFS('BA History'!F:F,'BA History'!B:B,A2)</f>
        <v>9</v>
      </c>
      <c r="J2" s="2">
        <f>SUMIFS('BA History'!E:E,'BA History'!B:B,A2)-I2</f>
        <v>5</v>
      </c>
      <c r="K2" s="75">
        <f t="shared" ref="K2" si="1">I2/(I2+J2)</f>
        <v>0.6428571428571429</v>
      </c>
      <c r="L2" s="34">
        <f>SUMIFS('BA History'!H:H,'BA History'!B:B,A2)</f>
        <v>31</v>
      </c>
      <c r="M2" s="2">
        <f>SUMIFS('BA History'!G:G,'BA History'!B:B,A2)-L2</f>
        <v>22</v>
      </c>
      <c r="N2" s="93">
        <f t="shared" ref="N2" si="2">L2/(L2+M2)</f>
        <v>0.58490566037735847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1</v>
      </c>
      <c r="R2" s="2">
        <f>COUNTIFS('BA History'!$B:$B,$A$2,'BA History'!N:N, 1)</f>
        <v>1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1</v>
      </c>
      <c r="AE2" s="2">
        <f>COUNTIFS('BA History'!$B:$B,$A$2,'BA History'!AA:AA, 1)</f>
        <v>0</v>
      </c>
      <c r="AF2" s="2">
        <f>COUNTIFS('BA History'!$B:$B,$A$2,'BA History'!AB:AB, 1)</f>
        <v>1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1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ref="H3:H14" si="3">F3/(F3+G3)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ref="K3:K14" si="4">I3/(I3+J3)</f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ref="N3:N14" si="5">L3/(L3+M3)</f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3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4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5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141</v>
      </c>
      <c r="D5" s="66">
        <f>AVERAGEIFS('BA History'!C:C,'BA History'!B:B,A5)</f>
        <v>12.818181818181818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5</v>
      </c>
      <c r="H5" s="75">
        <f t="shared" si="3"/>
        <v>0.54545454545454541</v>
      </c>
      <c r="I5" s="34">
        <f>SUMIFS('BA History'!F:F,'BA History'!B:B,A5)</f>
        <v>22</v>
      </c>
      <c r="J5" s="2">
        <f>SUMIFS('BA History'!E:E,'BA History'!B:B,A5)-I5</f>
        <v>23</v>
      </c>
      <c r="K5" s="75">
        <f t="shared" si="4"/>
        <v>0.48888888888888887</v>
      </c>
      <c r="L5" s="34">
        <f>SUMIFS('BA History'!H:H,'BA History'!B:B,A5)</f>
        <v>86</v>
      </c>
      <c r="M5" s="2">
        <f>SUMIFS('BA History'!G:G,'BA History'!B:B,A5)-L5</f>
        <v>92</v>
      </c>
      <c r="N5" s="93">
        <f t="shared" si="5"/>
        <v>0.48314606741573035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5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3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4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5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335</v>
      </c>
      <c r="D7" s="66">
        <f>AVERAGEIFS('BA History'!C:C,'BA History'!B:B,A7)</f>
        <v>10.806451612903226</v>
      </c>
      <c r="E7" s="35">
        <f t="array" ref="E7">MAX(IF('BA History'!B:B=A7, 'BA History'!C:C))</f>
        <v>20</v>
      </c>
      <c r="F7" s="34">
        <f>COUNTIFS('BA History'!B:B,A7,'BA History'!D:D, 1)</f>
        <v>13</v>
      </c>
      <c r="G7" s="2">
        <f>COUNTIFS('BA History'!B:B,A7,'BA History'!D:D, 0)</f>
        <v>18</v>
      </c>
      <c r="H7" s="75">
        <f t="shared" si="3"/>
        <v>0.41935483870967744</v>
      </c>
      <c r="I7" s="34">
        <f>SUMIFS('BA History'!F:F,'BA History'!B:B,A7)</f>
        <v>58</v>
      </c>
      <c r="J7" s="2">
        <f>SUMIFS('BA History'!E:E,'BA History'!B:B,A7)-I7</f>
        <v>67</v>
      </c>
      <c r="K7" s="75">
        <f t="shared" si="4"/>
        <v>0.46400000000000002</v>
      </c>
      <c r="L7" s="34">
        <f>SUMIFS('BA History'!H:H,'BA History'!B:B,A7)</f>
        <v>256</v>
      </c>
      <c r="M7" s="2">
        <f>SUMIFS('BA History'!G:G,'BA History'!B:B,A7)-L7</f>
        <v>266</v>
      </c>
      <c r="N7" s="93">
        <f t="shared" si="5"/>
        <v>0.49042145593869729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4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6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3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4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5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398</v>
      </c>
      <c r="D9" s="66">
        <f>AVERAGEIFS('BA History'!C:C,'BA History'!B:B,A9)</f>
        <v>18.09090909090909</v>
      </c>
      <c r="E9" s="35">
        <f t="array" ref="E9">MAX(IF('BA History'!B:B=A9, 'BA History'!C:C))</f>
        <v>34</v>
      </c>
      <c r="F9" s="34">
        <f>COUNTIFS('BA History'!B:B,A9,'BA History'!D:D, 1)</f>
        <v>9</v>
      </c>
      <c r="G9" s="2">
        <f>COUNTIFS('BA History'!B:B,A9,'BA History'!D:D, 0)</f>
        <v>13</v>
      </c>
      <c r="H9" s="75">
        <f t="shared" si="3"/>
        <v>0.40909090909090912</v>
      </c>
      <c r="I9" s="34">
        <f>SUMIFS('BA History'!F:F,'BA History'!B:B,A9)</f>
        <v>39</v>
      </c>
      <c r="J9" s="2">
        <f>SUMIFS('BA History'!E:E,'BA History'!B:B,A9)-I9</f>
        <v>53</v>
      </c>
      <c r="K9" s="75">
        <f t="shared" si="4"/>
        <v>0.42391304347826086</v>
      </c>
      <c r="L9" s="34">
        <f>SUMIFS('BA History'!H:H,'BA History'!B:B,A9)</f>
        <v>167</v>
      </c>
      <c r="M9" s="2">
        <f>SUMIFS('BA History'!G:G,'BA History'!B:B,A9)-L9</f>
        <v>207</v>
      </c>
      <c r="N9" s="93">
        <f t="shared" si="5"/>
        <v>0.446524064171123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5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3</v>
      </c>
      <c r="AD9" s="2">
        <f>COUNTIFS('BA History'!$B:$B,$A$9,'BA History'!Z:Z, 1)</f>
        <v>5</v>
      </c>
      <c r="AE9" s="2">
        <f>COUNTIFS('BA History'!$B:$B,$A$9,'BA History'!AA:AA, 1)</f>
        <v>1</v>
      </c>
      <c r="AF9" s="2">
        <f>COUNTIFS('BA History'!$B:$B,$A$9,'BA History'!AB:AB, 1)</f>
        <v>1</v>
      </c>
      <c r="AG9" s="2">
        <f>COUNTIFS('BA History'!$B:$B,$A$9,'BA History'!AC:AC, 1)</f>
        <v>2</v>
      </c>
      <c r="AH9" s="2">
        <f>COUNTIFS('BA History'!$B:$B,$A$9,'BA History'!AD:AD, 1)</f>
        <v>5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3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4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5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3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4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5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149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ref="H12" si="6">F12/(F12+G12)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ref="K12" si="7">I12/(I12+J12)</f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ref="N12" si="8">L12/(L12+M12)</f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81</v>
      </c>
      <c r="D13" s="66">
        <f>AVERAGEIFS('BA History'!C:C,'BA History'!B:B,A13)</f>
        <v>13.5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4</v>
      </c>
      <c r="H13" s="75">
        <f t="shared" si="3"/>
        <v>0.33333333333333331</v>
      </c>
      <c r="I13" s="34">
        <f>SUMIFS('BA History'!F:F,'BA History'!B:B,A13)</f>
        <v>11</v>
      </c>
      <c r="J13" s="2">
        <f>SUMIFS('BA History'!E:E,'BA History'!B:B,A13)-I13</f>
        <v>15</v>
      </c>
      <c r="K13" s="75">
        <f t="shared" si="4"/>
        <v>0.42307692307692307</v>
      </c>
      <c r="L13" s="34">
        <f>SUMIFS('BA History'!H:H,'BA History'!B:B,A13)</f>
        <v>44</v>
      </c>
      <c r="M13" s="2">
        <f>SUMIFS('BA History'!G:G,'BA History'!B:B,A13)-L13</f>
        <v>61</v>
      </c>
      <c r="N13" s="93">
        <f t="shared" si="5"/>
        <v>0.41904761904761906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151</v>
      </c>
      <c r="B14" s="2" t="s">
        <v>79</v>
      </c>
      <c r="C14" s="34">
        <f>SUMIFS('BA History'!C:C,'BA History'!B:B,A14)</f>
        <v>105</v>
      </c>
      <c r="D14" s="66">
        <f>AVERAGEIFS('BA History'!C:C,'BA History'!B:B,A14)</f>
        <v>8.75</v>
      </c>
      <c r="E14" s="35">
        <f t="array" ref="E14">MAX(IF('BA History'!B:B=A14, 'BA History'!C:C))</f>
        <v>17</v>
      </c>
      <c r="F14" s="34">
        <f>COUNTIFS('BA History'!B:B,A14,'BA History'!D:D, 1)</f>
        <v>7</v>
      </c>
      <c r="G14" s="2">
        <f>COUNTIFS('BA History'!B:B,A14,'BA History'!D:D, 0)</f>
        <v>5</v>
      </c>
      <c r="H14" s="75">
        <f t="shared" si="3"/>
        <v>0.58333333333333337</v>
      </c>
      <c r="I14" s="34">
        <f>SUMIFS('BA History'!F:F,'BA History'!B:B,A14)</f>
        <v>26</v>
      </c>
      <c r="J14" s="2">
        <f>SUMIFS('BA History'!E:E,'BA History'!B:B,A14)-I14</f>
        <v>21</v>
      </c>
      <c r="K14" s="75">
        <f t="shared" si="4"/>
        <v>0.55319148936170215</v>
      </c>
      <c r="L14" s="34">
        <f>SUMIFS('BA History'!H:H,'BA History'!B:B,A14)</f>
        <v>98</v>
      </c>
      <c r="M14" s="2">
        <f>SUMIFS('BA History'!G:G,'BA History'!B:B,A14)-L14</f>
        <v>89</v>
      </c>
      <c r="N14" s="93">
        <f t="shared" si="5"/>
        <v>0.52406417112299464</v>
      </c>
      <c r="O14" s="2">
        <f>COUNTIFS('BA History'!$B:$B,$A$14,'BA History'!K:K, 1)</f>
        <v>2</v>
      </c>
      <c r="P14" s="2">
        <f>COUNTIFS('BA History'!$B:$B,$A$14,'BA History'!L:L, 1)</f>
        <v>1</v>
      </c>
      <c r="Q14" s="2">
        <f>COUNTIFS('BA History'!$B:$B,$A$14,'BA History'!M:M, 1)</f>
        <v>2</v>
      </c>
      <c r="R14" s="2">
        <f>COUNTIFS('BA History'!$B:$B,$A$14,'BA History'!N:N, 1)</f>
        <v>3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1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4</v>
      </c>
      <c r="AD14" s="2">
        <f>COUNTIFS('BA History'!$B:$B,$A$14,'BA History'!Z:Z, 1)</f>
        <v>4</v>
      </c>
      <c r="AE14" s="2">
        <f>COUNTIFS('BA History'!$B:$B,$A$14,'BA History'!AA:AA, 1)</f>
        <v>0</v>
      </c>
      <c r="AF14" s="2">
        <f>COUNTIFS('BA History'!$B:$B,$A$14,'BA History'!AB:AB, 1)</f>
        <v>5</v>
      </c>
      <c r="AG14" s="2">
        <f>COUNTIFS('BA History'!$B:$B,$A$14,'BA History'!AC:AC, 1)</f>
        <v>0</v>
      </c>
      <c r="AH14" s="2">
        <f>COUNTIFS('BA History'!$B:$B,$A$14,'BA History'!AD:AD, 1)</f>
        <v>1</v>
      </c>
      <c r="AI14" s="2">
        <f>COUNTIFS('BA History'!$B:$B,$A$14,'BA History'!AE:AE, 1)</f>
        <v>0</v>
      </c>
      <c r="AJ14" s="2">
        <f>COUNTIFS('BA History'!$B:$B,$A$14,'BA History'!AF:AF, 1)</f>
        <v>3</v>
      </c>
    </row>
    <row r="15" spans="1:36" x14ac:dyDescent="0.25">
      <c r="A15" s="2" t="s">
        <v>74</v>
      </c>
      <c r="B15" s="2" t="s">
        <v>79</v>
      </c>
      <c r="C15" s="34">
        <f>SUMIFS('BA History'!C:C,'BA History'!B:B,A15)</f>
        <v>9</v>
      </c>
      <c r="D15" s="66">
        <f>AVERAGEIFS('BA History'!C:C,'BA History'!B:B,A15)</f>
        <v>9</v>
      </c>
      <c r="E15" s="35">
        <f t="array" ref="E15">MAX(IF('BA History'!B:B=A15, 'BA History'!C:C))</f>
        <v>9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ref="H15:H54" si="9">F15/(F15+G15)</f>
        <v>0</v>
      </c>
      <c r="I15" s="34">
        <f>SUMIFS('BA History'!F:F,'BA History'!B:B,A15)</f>
        <v>1</v>
      </c>
      <c r="J15" s="2">
        <f>SUMIFS('BA History'!E:E,'BA History'!B:B,A15)-I15</f>
        <v>3</v>
      </c>
      <c r="K15" s="75">
        <f t="shared" ref="K15:K54" si="10">I15/(I15+J15)</f>
        <v>0.25</v>
      </c>
      <c r="L15" s="34">
        <f>SUMIFS('BA History'!H:H,'BA History'!B:B,A15)</f>
        <v>6</v>
      </c>
      <c r="M15" s="2">
        <f>SUMIFS('BA History'!G:G,'BA History'!B:B,A15)-L15</f>
        <v>9</v>
      </c>
      <c r="N15" s="93">
        <f t="shared" ref="N15:N54" si="11">L15/(L15+M15)</f>
        <v>0.4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1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9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0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11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History'!$B:$B,$A$16,'BA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9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0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11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507</v>
      </c>
      <c r="D18" s="66">
        <f>AVERAGEIFS('BA History'!C:C,'BA History'!B:B,A18)</f>
        <v>18.777777777777779</v>
      </c>
      <c r="E18" s="35">
        <f t="array" ref="E18">MAX(IF('BA History'!B:B=A18, 'BA History'!C:C))</f>
        <v>31</v>
      </c>
      <c r="F18" s="34">
        <f>COUNTIFS('BA History'!B:B,A18,'BA History'!D:D, 1)</f>
        <v>15</v>
      </c>
      <c r="G18" s="2">
        <f>COUNTIFS('BA History'!B:B,A18,'BA History'!D:D, 0)</f>
        <v>12</v>
      </c>
      <c r="H18" s="75">
        <f t="shared" si="9"/>
        <v>0.55555555555555558</v>
      </c>
      <c r="I18" s="34">
        <f>SUMIFS('BA History'!F:F,'BA History'!B:B,A18)</f>
        <v>58</v>
      </c>
      <c r="J18" s="2">
        <f>SUMIFS('BA History'!E:E,'BA History'!B:B,A18)-I18</f>
        <v>50</v>
      </c>
      <c r="K18" s="75">
        <f t="shared" si="10"/>
        <v>0.53703703703703709</v>
      </c>
      <c r="L18" s="34">
        <f>SUMIFS('BA History'!H:H,'BA History'!B:B,A18)</f>
        <v>242</v>
      </c>
      <c r="M18" s="2">
        <f>SUMIFS('BA History'!G:G,'BA History'!B:B,A18)-L18</f>
        <v>216</v>
      </c>
      <c r="N18" s="93">
        <f t="shared" si="11"/>
        <v>0.52838427947598254</v>
      </c>
      <c r="O18" s="2">
        <f>COUNTIFS('BA History'!$B:$B,$A$18,'BA History'!K:K, 1)</f>
        <v>2</v>
      </c>
      <c r="P18" s="2">
        <f>COUNTIFS('BA History'!$B:$B,$A$18,'BA History'!L:L, 1)</f>
        <v>5</v>
      </c>
      <c r="Q18" s="2">
        <f>COUNTIFS('BA History'!$B:$B,$A$18,'BA History'!M:M, 1)</f>
        <v>1</v>
      </c>
      <c r="R18" s="2">
        <f>COUNTIFS('BA History'!$B:$B,$A$18,'BA History'!N:N, 1)</f>
        <v>4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6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6</v>
      </c>
      <c r="AG18" s="2">
        <f>COUNTIFS('BA History'!$B:$B,$A$18,'BA History'!AC:AC, 1)</f>
        <v>1</v>
      </c>
      <c r="AH18" s="2">
        <f>COUNTIFS('BA History'!$B:$B,$A$18,'BA History'!AD:AD, 1)</f>
        <v>7</v>
      </c>
      <c r="AI18" s="2">
        <f>COUNTIFS('BA History'!$B:$B,$A$18,'BA History'!AE:AE, 1)</f>
        <v>1</v>
      </c>
      <c r="AJ18" s="2">
        <f>COUNTIFS('BA History'!$B:$B,$A$18,'BA History'!AF:AF, 1)</f>
        <v>1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164</v>
      </c>
      <c r="D19" s="66">
        <f>AVERAGEIFS('BA History'!C:C,'BA History'!B:B,A19)</f>
        <v>14.909090909090908</v>
      </c>
      <c r="E19" s="35">
        <f t="array" ref="E19">MAX(IF('BA History'!B:B=A19, 'BA History'!C:C))</f>
        <v>29</v>
      </c>
      <c r="F19" s="34">
        <f>COUNTIFS('BA History'!B:B,A19,'BA History'!D:D, 1)</f>
        <v>3</v>
      </c>
      <c r="G19" s="2">
        <f>COUNTIFS('BA History'!B:B,A19,'BA History'!D:D, 0)</f>
        <v>8</v>
      </c>
      <c r="H19" s="75">
        <f t="shared" si="9"/>
        <v>0.27272727272727271</v>
      </c>
      <c r="I19" s="34">
        <f>SUMIFS('BA History'!F:F,'BA History'!B:B,A19)</f>
        <v>20</v>
      </c>
      <c r="J19" s="2">
        <f>SUMIFS('BA History'!E:E,'BA History'!B:B,A19)-I19</f>
        <v>27</v>
      </c>
      <c r="K19" s="75">
        <f t="shared" si="10"/>
        <v>0.42553191489361702</v>
      </c>
      <c r="L19" s="34">
        <f>SUMIFS('BA History'!H:H,'BA History'!B:B,A19)</f>
        <v>83</v>
      </c>
      <c r="M19" s="2">
        <f>SUMIFS('BA History'!G:G,'BA History'!B:B,A19)-L19</f>
        <v>103</v>
      </c>
      <c r="N19" s="93">
        <f t="shared" si="11"/>
        <v>0.44623655913978494</v>
      </c>
      <c r="O19" s="2">
        <f>COUNTIFS('BA History'!$B:$B,$A$19,'BA History'!K:K, 1)</f>
        <v>0</v>
      </c>
      <c r="P19" s="2">
        <f>COUNTIFS('BA History'!$B:$B,$A$19,'BA History'!L:L, 1)</f>
        <v>2</v>
      </c>
      <c r="Q19" s="2">
        <f>COUNTIFS('BA History'!$B:$B,$A$19,'BA History'!M:M, 1)</f>
        <v>1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2</v>
      </c>
      <c r="AE19" s="2">
        <f>COUNTIFS('BA History'!$B:$B,$A$19,'BA History'!AA:AA, 1)</f>
        <v>0</v>
      </c>
      <c r="AF19" s="2">
        <f>COUNTIFS('BA History'!$B:$B,$A$19,'BA History'!AB:AB, 1)</f>
        <v>3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308</v>
      </c>
      <c r="D20" s="66">
        <f>AVERAGEIFS('BA History'!C:C,'BA History'!B:B,A20)</f>
        <v>16.210526315789473</v>
      </c>
      <c r="E20" s="35">
        <f t="array" ref="E20">MAX(IF('BA History'!B:B=A20, 'BA History'!C:C))</f>
        <v>31</v>
      </c>
      <c r="F20" s="34">
        <f>COUNTIFS('BA History'!B:B,A20,'BA History'!D:D, 1)</f>
        <v>11</v>
      </c>
      <c r="G20" s="2">
        <f>COUNTIFS('BA History'!B:B,A20,'BA History'!D:D, 0)</f>
        <v>8</v>
      </c>
      <c r="H20" s="75">
        <f t="shared" si="9"/>
        <v>0.57894736842105265</v>
      </c>
      <c r="I20" s="34">
        <f>SUMIFS('BA History'!F:F,'BA History'!B:B,A20)</f>
        <v>38</v>
      </c>
      <c r="J20" s="2">
        <f>SUMIFS('BA History'!E:E,'BA History'!B:B,A20)-I20</f>
        <v>39</v>
      </c>
      <c r="K20" s="75">
        <f t="shared" si="10"/>
        <v>0.4935064935064935</v>
      </c>
      <c r="L20" s="34">
        <f>SUMIFS('BA History'!H:H,'BA History'!B:B,A20)</f>
        <v>162</v>
      </c>
      <c r="M20" s="2">
        <f>SUMIFS('BA History'!G:G,'BA History'!B:B,A20)-L20</f>
        <v>154</v>
      </c>
      <c r="N20" s="93">
        <f t="shared" si="11"/>
        <v>0.51265822784810122</v>
      </c>
      <c r="O20" s="2">
        <f>COUNTIFS('BA History'!$B:$B,$A$20,'BA History'!K:K, 1)</f>
        <v>3</v>
      </c>
      <c r="P20" s="2">
        <f>COUNTIFS('BA History'!$B:$B,$A$20,'BA History'!L:L, 1)</f>
        <v>2</v>
      </c>
      <c r="Q20" s="2">
        <f>COUNTIFS('BA History'!$B:$B,$A$20,'BA History'!M:M, 1)</f>
        <v>4</v>
      </c>
      <c r="R20" s="2">
        <f>COUNTIFS('BA History'!$B:$B,$A$20,'BA History'!N:N, 1)</f>
        <v>2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2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1</v>
      </c>
      <c r="AD20" s="2">
        <f>COUNTIFS('BA History'!$B:$B,$A$20,'BA History'!Z:Z, 1)</f>
        <v>4</v>
      </c>
      <c r="AE20" s="2">
        <f>COUNTIFS('BA History'!$B:$B,$A$20,'BA History'!AA:AA, 1)</f>
        <v>1</v>
      </c>
      <c r="AF20" s="2">
        <f>COUNTIFS('BA History'!$B:$B,$A$20,'BA History'!AB:AB, 1)</f>
        <v>1</v>
      </c>
      <c r="AG20" s="2">
        <f>COUNTIFS('BA History'!$B:$B,$A$20,'BA History'!AC:AC, 1)</f>
        <v>2</v>
      </c>
      <c r="AH20" s="2">
        <f>COUNTIFS('BA History'!$B:$B,$A$20,'BA History'!AD:AD, 1)</f>
        <v>3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144</v>
      </c>
      <c r="B21" s="2" t="s">
        <v>79</v>
      </c>
      <c r="C21" s="34">
        <f>SUMIFS('BA History'!C:C,'BA History'!B:B,A21)</f>
        <v>12</v>
      </c>
      <c r="D21" s="66">
        <f>AVERAGEIFS('BA History'!C:C,'BA History'!B:B,A21)</f>
        <v>12</v>
      </c>
      <c r="E21" s="35">
        <f t="array" ref="E21">MAX(IF('BA History'!B:B=A21, 'BA History'!C:C))</f>
        <v>12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1</v>
      </c>
      <c r="J21" s="2">
        <f>SUMIFS('BA History'!E:E,'BA History'!B:B,A21)-I21</f>
        <v>3</v>
      </c>
      <c r="K21" s="75">
        <f t="shared" ref="K21" si="13">I21/(I21+J21)</f>
        <v>0.25</v>
      </c>
      <c r="L21" s="34">
        <f>SUMIFS('BA History'!H:H,'BA History'!B:B,A21)</f>
        <v>5</v>
      </c>
      <c r="M21" s="2">
        <f>SUMIFS('BA History'!G:G,'BA History'!B:B,A21)-L21</f>
        <v>9</v>
      </c>
      <c r="N21" s="93">
        <f t="shared" ref="N21" si="14">L21/(L21+M21)</f>
        <v>0.35714285714285715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1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0</v>
      </c>
      <c r="AF21" s="2">
        <f>COUNTIFS('BA History'!$B:$B,$A$21,'BA History'!AB:AB, 1)</f>
        <v>0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139</v>
      </c>
      <c r="B22" s="2" t="s">
        <v>79</v>
      </c>
      <c r="C22" s="34">
        <f>SUMIFS('BA History'!C:C,'BA History'!B:B,A22)</f>
        <v>10</v>
      </c>
      <c r="D22" s="66">
        <f>AVERAGEIFS('BA History'!C:C,'BA History'!B:B,A22)</f>
        <v>10</v>
      </c>
      <c r="E22" s="35">
        <f t="array" ref="E22">MAX(IF('BA History'!B:B=A22, 'BA History'!C:C))</f>
        <v>10</v>
      </c>
      <c r="F22" s="34">
        <f>COUNTIFS('BA History'!B:B,A22,'BA History'!D:D, 1)</f>
        <v>0</v>
      </c>
      <c r="G22" s="2">
        <f>COUNTIFS('BA History'!B:B,A22,'BA History'!D:D, 0)</f>
        <v>1</v>
      </c>
      <c r="H22" s="75">
        <f t="shared" ref="H22" si="15">F22/(F22+G22)</f>
        <v>0</v>
      </c>
      <c r="I22" s="34">
        <f>SUMIFS('BA History'!F:F,'BA History'!B:B,A22)</f>
        <v>2</v>
      </c>
      <c r="J22" s="2">
        <f>SUMIFS('BA History'!E:E,'BA History'!B:B,A22)-I22</f>
        <v>3</v>
      </c>
      <c r="K22" s="75">
        <f t="shared" ref="K22" si="16">I22/(I22+J22)</f>
        <v>0.4</v>
      </c>
      <c r="L22" s="34">
        <f>SUMIFS('BA History'!H:H,'BA History'!B:B,A22)</f>
        <v>10</v>
      </c>
      <c r="M22" s="2">
        <f>SUMIFS('BA History'!G:G,'BA History'!B:B,A22)-L22</f>
        <v>12</v>
      </c>
      <c r="N22" s="93">
        <f t="shared" ref="N22" si="17">L22/(L22+M22)</f>
        <v>0.45454545454545453</v>
      </c>
      <c r="O22" s="2">
        <f>COUNTIFS('BA History'!$B:$B,$A$22,'BA History'!K:K, 1)</f>
        <v>0</v>
      </c>
      <c r="P22" s="2">
        <f>COUNTIFS('BA History'!$B:$B,$A$22,'BA History'!L:L, 1)</f>
        <v>0</v>
      </c>
      <c r="Q22" s="2">
        <f>COUNTIFS('BA History'!$B:$B,$A$22,'BA History'!M:M, 1)</f>
        <v>0</v>
      </c>
      <c r="R22" s="2">
        <f>COUNTIFS('BA History'!$B:$B,$A$22,'BA History'!N:N, 1)</f>
        <v>0</v>
      </c>
      <c r="S22" s="2">
        <f>COUNTIFS('BA History'!$B:$B,$A$22,'BA History'!O:O, 1)</f>
        <v>0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0</v>
      </c>
      <c r="AA22" s="2">
        <f>COUNTIFS('BA History'!$B:$B,$A$22,'BA History'!W:W, 1)</f>
        <v>0</v>
      </c>
      <c r="AB22" s="2">
        <f>COUNTIFS('BA History'!$B:$B,$A$22,'BA History'!X:X, 1)</f>
        <v>0</v>
      </c>
      <c r="AC22" s="2">
        <f>COUNTIFS('BA History'!$B:$B,$A$22,'BA History'!Y:Y, 1)</f>
        <v>0</v>
      </c>
      <c r="AD22" s="2">
        <f>COUNTIFS('BA History'!$B:$B,$A$22,'BA History'!Z:Z, 1)</f>
        <v>0</v>
      </c>
      <c r="AE22" s="2">
        <f>COUNTIFS('BA History'!$B:$B,$A$22,'BA History'!AA:AA, 1)</f>
        <v>1</v>
      </c>
      <c r="AF22" s="2">
        <f>COUNTIFS('BA History'!$B:$B,$A$22,'BA History'!AB:AB, 1)</f>
        <v>1</v>
      </c>
      <c r="AG22" s="2">
        <f>COUNTIFS('BA History'!$B:$B,$A$22,'BA History'!AC:AC, 1)</f>
        <v>0</v>
      </c>
      <c r="AH22" s="2">
        <f>COUNTIFS('BA History'!$B:$B,$A$22,'BA History'!AD:AD, 1)</f>
        <v>0</v>
      </c>
      <c r="AI22" s="2">
        <f>COUNTIFS('BA History'!$B:$B,$A$22,'BA History'!AE:AE, 1)</f>
        <v>0</v>
      </c>
      <c r="AJ22" s="2">
        <f>COUNTIFS('BA History'!$B:$B,$A$22,'BA History'!AF:AF, 1)</f>
        <v>0</v>
      </c>
    </row>
    <row r="23" spans="1:36" ht="15.75" x14ac:dyDescent="0.25">
      <c r="A23" s="2" t="s">
        <v>1</v>
      </c>
      <c r="B23" s="80" t="s">
        <v>60</v>
      </c>
      <c r="C23" s="34">
        <f>SUMIFS('BA History'!C:C,'BA History'!B:B,A23)</f>
        <v>470</v>
      </c>
      <c r="D23" s="66">
        <f>AVERAGEIFS('BA History'!C:C,'BA History'!B:B,A23)</f>
        <v>26.111111111111111</v>
      </c>
      <c r="E23" s="35">
        <f t="array" ref="E23">MAX(IF('BA History'!B:B=A23, 'BA History'!C:C))</f>
        <v>50</v>
      </c>
      <c r="F23" s="34">
        <f>COUNTIFS('BA History'!B:B,A23,'BA History'!D:D, 1)</f>
        <v>8</v>
      </c>
      <c r="G23" s="2">
        <f>COUNTIFS('BA History'!B:B,A23,'BA History'!D:D, 0)</f>
        <v>10</v>
      </c>
      <c r="H23" s="75">
        <f t="shared" si="9"/>
        <v>0.44444444444444442</v>
      </c>
      <c r="I23" s="34">
        <f>SUMIFS('BA History'!F:F,'BA History'!B:B,A23)</f>
        <v>32</v>
      </c>
      <c r="J23" s="2">
        <f>SUMIFS('BA History'!E:E,'BA History'!B:B,A23)-I23</f>
        <v>41</v>
      </c>
      <c r="K23" s="75">
        <f t="shared" si="10"/>
        <v>0.43835616438356162</v>
      </c>
      <c r="L23" s="34">
        <f>SUMIFS('BA History'!H:H,'BA History'!B:B,A23)</f>
        <v>138</v>
      </c>
      <c r="M23" s="2">
        <f>SUMIFS('BA History'!G:G,'BA History'!B:B,A23)-L23</f>
        <v>161</v>
      </c>
      <c r="N23" s="93">
        <f t="shared" si="11"/>
        <v>0.46153846153846156</v>
      </c>
      <c r="O23" s="2">
        <f>COUNTIFS('BA History'!$B:$B,$A$23,'BA History'!K:K, 1)</f>
        <v>1</v>
      </c>
      <c r="P23" s="2">
        <f>COUNTIFS('BA History'!$B:$B,$A$23,'BA History'!L:L, 1)</f>
        <v>4</v>
      </c>
      <c r="Q23" s="2">
        <f>COUNTIFS('BA History'!$B:$B,$A$23,'BA History'!M:M, 1)</f>
        <v>3</v>
      </c>
      <c r="R23" s="2">
        <f>COUNTIFS('BA History'!$B:$B,$A$23,'BA History'!N:N, 1)</f>
        <v>1</v>
      </c>
      <c r="S23" s="2">
        <f>COUNTIFS('BA History'!$B:$B,$A$23,'BA History'!O:O, 1)</f>
        <v>3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1</v>
      </c>
      <c r="Z23" s="2">
        <f>COUNTIFS('BA History'!$B:$B,$A$23,'BA History'!V:V, 1)</f>
        <v>3</v>
      </c>
      <c r="AA23" s="2">
        <f>COUNTIFS('BA History'!$B:$B,$A$23,'BA History'!W:W, 1)</f>
        <v>1</v>
      </c>
      <c r="AB23" s="2">
        <f>COUNTIFS('BA History'!$B:$B,$A$23,'BA History'!X:X, 1)</f>
        <v>0</v>
      </c>
      <c r="AC23" s="2">
        <f>COUNTIFS('BA History'!$B:$B,$A$23,'BA History'!Y:Y, 1)</f>
        <v>2</v>
      </c>
      <c r="AD23" s="2">
        <f>COUNTIFS('BA History'!$B:$B,$A$23,'BA History'!Z:Z, 1)</f>
        <v>1</v>
      </c>
      <c r="AE23" s="2">
        <f>COUNTIFS('BA History'!$B:$B,$A$23,'BA History'!AA:AA, 1)</f>
        <v>1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4</v>
      </c>
      <c r="AI23" s="2">
        <f>COUNTIFS('BA History'!$B:$B,$A$23,'BA History'!AE:AE, 1)</f>
        <v>1</v>
      </c>
      <c r="AJ23" s="2">
        <f>COUNTIFS('BA History'!$B:$B,$A$23,'BA History'!AF:AF, 1)</f>
        <v>1</v>
      </c>
    </row>
    <row r="24" spans="1:36" ht="15.75" x14ac:dyDescent="0.25">
      <c r="A24" s="2" t="s">
        <v>154</v>
      </c>
      <c r="B24" s="107" t="s">
        <v>79</v>
      </c>
      <c r="C24" s="34">
        <f>SUMIFS('BA History'!C:C,'BA History'!B:B,A24)</f>
        <v>12</v>
      </c>
      <c r="D24" s="66">
        <f>AVERAGEIFS('BA History'!C:C,'BA History'!B:B,A24)</f>
        <v>12</v>
      </c>
      <c r="E24" s="35">
        <f t="array" ref="E24">MAX(IF('BA History'!B:B=A24, 'BA History'!C:C))</f>
        <v>12</v>
      </c>
      <c r="F24" s="34">
        <f>COUNTIFS('BA History'!B:B,A24,'BA History'!D:D, 1)</f>
        <v>0</v>
      </c>
      <c r="G24" s="2">
        <f>COUNTIFS('BA History'!B:B,A24,'BA History'!D:D, 0)</f>
        <v>1</v>
      </c>
      <c r="H24" s="75">
        <f t="shared" ref="H24" si="18">F24/(F24+G24)</f>
        <v>0</v>
      </c>
      <c r="I24" s="34">
        <f>SUMIFS('BA History'!F:F,'BA History'!B:B,A24)</f>
        <v>2</v>
      </c>
      <c r="J24" s="2">
        <f>SUMIFS('BA History'!E:E,'BA History'!B:B,A24)-I24</f>
        <v>3</v>
      </c>
      <c r="K24" s="75">
        <f t="shared" ref="K24" si="19">I24/(I24+J24)</f>
        <v>0.4</v>
      </c>
      <c r="L24" s="34">
        <f>SUMIFS('BA History'!H:H,'BA History'!B:B,A24)</f>
        <v>6</v>
      </c>
      <c r="M24" s="2">
        <f>SUMIFS('BA History'!G:G,'BA History'!B:B,A24)-L24</f>
        <v>11</v>
      </c>
      <c r="N24" s="93">
        <f t="shared" ref="N24" si="20">L24/(L24+M24)</f>
        <v>0.35294117647058826</v>
      </c>
      <c r="O24" s="2">
        <f>COUNTIFS('BA History'!$B:$B,$A$24,'BA History'!K:K, 1)</f>
        <v>0</v>
      </c>
      <c r="P24" s="2">
        <f>COUNTIFS('BA History'!$B:$B,$A$24,'BA History'!L:L, 1)</f>
        <v>0</v>
      </c>
      <c r="Q24" s="2">
        <f>COUNTIFS('BA History'!$B:$B,$A$24,'BA History'!M:M, 1)</f>
        <v>0</v>
      </c>
      <c r="R24" s="2">
        <f>COUNTIFS('BA History'!$B:$B,$A$24,'BA History'!N:N, 1)</f>
        <v>0</v>
      </c>
      <c r="S24" s="2">
        <f>COUNTIFS('BA History'!$B:$B,$A$24,'BA History'!O:O, 1)</f>
        <v>0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0</v>
      </c>
      <c r="AA24" s="2">
        <f>COUNTIFS('BA History'!$B:$B,$A$24,'BA History'!W:W, 1)</f>
        <v>0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0</v>
      </c>
      <c r="AE24" s="2">
        <f>COUNTIFS('BA History'!$B:$B,$A$24,'BA History'!AA:AA, 1)</f>
        <v>0</v>
      </c>
      <c r="AF24" s="2">
        <f>COUNTIFS('BA History'!$B:$B,$A$24,'BA History'!AB:AB, 1)</f>
        <v>0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376</v>
      </c>
      <c r="D25" s="66">
        <f>AVERAGEIFS('BA History'!C:C,'BA History'!B:B,A25)</f>
        <v>19.789473684210527</v>
      </c>
      <c r="E25" s="35">
        <f t="array" ref="E25">MAX(IF('BA History'!B:B=A25, 'BA History'!C:C))</f>
        <v>27</v>
      </c>
      <c r="F25" s="34">
        <f>COUNTIFS('BA History'!B:B,A25,'BA History'!D:D, 1)</f>
        <v>8</v>
      </c>
      <c r="G25" s="2">
        <f>COUNTIFS('BA History'!B:B,A25,'BA History'!D:D, 0)</f>
        <v>11</v>
      </c>
      <c r="H25" s="75">
        <f t="shared" si="9"/>
        <v>0.42105263157894735</v>
      </c>
      <c r="I25" s="34">
        <f>SUMIFS('BA History'!F:F,'BA History'!B:B,A25)</f>
        <v>39</v>
      </c>
      <c r="J25" s="2">
        <f>SUMIFS('BA History'!E:E,'BA History'!B:B,A25)-I25</f>
        <v>44</v>
      </c>
      <c r="K25" s="75">
        <f t="shared" si="10"/>
        <v>0.46987951807228917</v>
      </c>
      <c r="L25" s="34">
        <f>SUMIFS('BA History'!H:H,'BA History'!B:B,A25)</f>
        <v>169</v>
      </c>
      <c r="M25" s="2">
        <f>SUMIFS('BA History'!G:G,'BA History'!B:B,A25)-L25</f>
        <v>177</v>
      </c>
      <c r="N25" s="93">
        <f t="shared" si="11"/>
        <v>0.48843930635838151</v>
      </c>
      <c r="O25" s="2">
        <f>COUNTIFS('BA History'!$B:$B,$A$25,'BA History'!K:K, 1)</f>
        <v>4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6</v>
      </c>
      <c r="AE25" s="2">
        <f>COUNTIFS('BA History'!$B:$B,$A$25,'BA History'!AA:AA, 1)</f>
        <v>1</v>
      </c>
      <c r="AF25" s="2">
        <f>COUNTIFS('BA History'!$B:$B,$A$25,'BA History'!AB:AB, 1)</f>
        <v>5</v>
      </c>
      <c r="AG25" s="2">
        <f>COUNTIFS('BA History'!$B:$B,$A$25,'BA History'!AC:AC, 1)</f>
        <v>0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310</v>
      </c>
      <c r="D26" s="66">
        <f>AVERAGEIFS('BA History'!C:C,'BA History'!B:B,A26)</f>
        <v>14.090909090909092</v>
      </c>
      <c r="E26" s="35">
        <f t="array" ref="E26">MAX(IF('BA History'!B:B=A26, 'BA History'!C:C))</f>
        <v>25</v>
      </c>
      <c r="F26" s="34">
        <f>COUNTIFS('BA History'!B:B,A26,'BA History'!D:D, 1)</f>
        <v>9</v>
      </c>
      <c r="G26" s="2">
        <f>COUNTIFS('BA History'!B:B,A26,'BA History'!D:D, 0)</f>
        <v>13</v>
      </c>
      <c r="H26" s="75">
        <f t="shared" si="9"/>
        <v>0.40909090909090912</v>
      </c>
      <c r="I26" s="34">
        <f>SUMIFS('BA History'!F:F,'BA History'!B:B,A26)</f>
        <v>39</v>
      </c>
      <c r="J26" s="2">
        <f>SUMIFS('BA History'!E:E,'BA History'!B:B,A26)-I26</f>
        <v>45</v>
      </c>
      <c r="K26" s="75">
        <f t="shared" si="10"/>
        <v>0.4642857142857143</v>
      </c>
      <c r="L26" s="34">
        <f>SUMIFS('BA History'!H:H,'BA History'!B:B,A26)</f>
        <v>172</v>
      </c>
      <c r="M26" s="2">
        <f>SUMIFS('BA History'!G:G,'BA History'!B:B,A26)-L26</f>
        <v>174</v>
      </c>
      <c r="N26" s="93">
        <f t="shared" si="11"/>
        <v>0.49710982658959535</v>
      </c>
      <c r="O26" s="2">
        <f>COUNTIFS('BA History'!$B:$B,$A$26,'BA History'!K:K, 1)</f>
        <v>1</v>
      </c>
      <c r="P26" s="2">
        <f>COUNTIFS('BA History'!$B:$B,$A$26,'BA History'!L:L, 1)</f>
        <v>3</v>
      </c>
      <c r="Q26" s="2">
        <f>COUNTIFS('BA History'!$B:$B,$A$26,'BA History'!M:M, 1)</f>
        <v>2</v>
      </c>
      <c r="R26" s="2">
        <f>COUNTIFS('BA History'!$B:$B,$A$26,'BA History'!N:N, 1)</f>
        <v>4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2</v>
      </c>
      <c r="AD26" s="2">
        <f>COUNTIFS('BA History'!$B:$B,$A$26,'BA History'!Z:Z, 1)</f>
        <v>3</v>
      </c>
      <c r="AE26" s="2">
        <f>COUNTIFS('BA History'!$B:$B,$A$26,'BA History'!AA:AA, 1)</f>
        <v>1</v>
      </c>
      <c r="AF26" s="2">
        <f>COUNTIFS('BA History'!$B:$B,$A$26,'BA History'!AB:AB, 1)</f>
        <v>3</v>
      </c>
      <c r="AG26" s="2">
        <f>COUNTIFS('BA History'!$B:$B,$A$26,'BA History'!AC:AC, 1)</f>
        <v>2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9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0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93">
        <f t="shared" si="11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9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0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93">
        <f t="shared" si="11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21</v>
      </c>
      <c r="D29" s="66">
        <f>AVERAGEIFS('BA History'!C:C,'BA History'!B:B,A29)</f>
        <v>5.25</v>
      </c>
      <c r="E29" s="35">
        <f t="array" ref="E29">MAX(IF('BA History'!B:B=A29, 'BA History'!C:C))</f>
        <v>8</v>
      </c>
      <c r="F29" s="34">
        <f>COUNTIFS('BA History'!B:B,A29,'BA History'!D:D, 1)</f>
        <v>1</v>
      </c>
      <c r="G29" s="2">
        <f>COUNTIFS('BA History'!B:B,A29,'BA History'!D:D, 0)</f>
        <v>3</v>
      </c>
      <c r="H29" s="75">
        <f t="shared" si="9"/>
        <v>0.25</v>
      </c>
      <c r="I29" s="34">
        <f>SUMIFS('BA History'!F:F,'BA History'!B:B,A29)</f>
        <v>8</v>
      </c>
      <c r="J29" s="2">
        <f>SUMIFS('BA History'!E:E,'BA History'!B:B,A29)-I29</f>
        <v>11</v>
      </c>
      <c r="K29" s="75">
        <f t="shared" si="10"/>
        <v>0.42105263157894735</v>
      </c>
      <c r="L29" s="34">
        <f>SUMIFS('BA History'!H:H,'BA History'!B:B,A29)</f>
        <v>31</v>
      </c>
      <c r="M29" s="2">
        <f>SUMIFS('BA History'!G:G,'BA History'!B:B,A29)-L29</f>
        <v>41</v>
      </c>
      <c r="N29" s="93">
        <f t="shared" si="11"/>
        <v>0.43055555555555558</v>
      </c>
      <c r="O29" s="2">
        <f>COUNTIFS('BA History'!$B:$B,$A$29,'BA History'!K:K, 1)</f>
        <v>1</v>
      </c>
      <c r="P29" s="2">
        <f>COUNTIFS('BA History'!$B:$B,$A$29,'BA History'!L:L, 1)</f>
        <v>1</v>
      </c>
      <c r="Q29" s="2">
        <f>COUNTIFS('BA History'!$B:$B,$A$29,'BA History'!M:M, 1)</f>
        <v>0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1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9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0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93">
        <f t="shared" si="11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9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0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93">
        <f t="shared" si="11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145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ref="H32" si="21">F32/(F32+G32)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ref="K32" si="22">I32/(I32+J32)</f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93">
        <f t="shared" ref="N32" si="23">L32/(L32+M32)</f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9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0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11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71</v>
      </c>
      <c r="D34" s="66">
        <f>AVERAGEIFS('BA History'!C:C,'BA History'!B:B,A34)</f>
        <v>11.833333333333334</v>
      </c>
      <c r="E34" s="35">
        <f t="array" ref="E34">MAX(IF('BA History'!B:B=A34, 'BA History'!C:C))</f>
        <v>21</v>
      </c>
      <c r="F34" s="34">
        <f>COUNTIFS('BA History'!B:B,A34,'BA History'!D:D, 1)</f>
        <v>3</v>
      </c>
      <c r="G34" s="2">
        <f>COUNTIFS('BA History'!B:B,A34,'BA History'!D:D, 0)</f>
        <v>3</v>
      </c>
      <c r="H34" s="75">
        <f t="shared" si="9"/>
        <v>0.5</v>
      </c>
      <c r="I34" s="34">
        <f>SUMIFS('BA History'!F:F,'BA History'!B:B,A34)</f>
        <v>15</v>
      </c>
      <c r="J34" s="2">
        <f>SUMIFS('BA History'!E:E,'BA History'!B:B,A34)-I34</f>
        <v>11</v>
      </c>
      <c r="K34" s="75">
        <f t="shared" si="10"/>
        <v>0.57692307692307687</v>
      </c>
      <c r="L34" s="34">
        <f>SUMIFS('BA History'!H:H,'BA History'!B:B,A34)</f>
        <v>56</v>
      </c>
      <c r="M34" s="2">
        <f>SUMIFS('BA History'!G:G,'BA History'!B:B,A34)-L34</f>
        <v>54</v>
      </c>
      <c r="N34" s="93">
        <f t="shared" si="11"/>
        <v>0.50909090909090904</v>
      </c>
      <c r="O34" s="2">
        <f>COUNTIFS('BA History'!$B:$B,$A$34,'BA History'!K:K, 1)</f>
        <v>2</v>
      </c>
      <c r="P34" s="2">
        <f>COUNTIFS('BA History'!$B:$B,$A$34,'BA History'!L:L, 1)</f>
        <v>0</v>
      </c>
      <c r="Q34" s="2">
        <f>COUNTIFS('BA History'!$B:$B,$A$34,'BA History'!M:M, 1)</f>
        <v>1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1</v>
      </c>
      <c r="AI34" s="2">
        <f>COUNTIFS('BA History'!$B:$B,$A$34,'BA History'!AE:AE, 1)</f>
        <v>0</v>
      </c>
      <c r="AJ34" s="2">
        <f>COUNTIFS('BA History'!$B:$B,$A$34,'BA History'!AF:AF, 1)</f>
        <v>1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581</v>
      </c>
      <c r="D35" s="66">
        <f>AVERAGEIFS('BA History'!C:C,'BA History'!B:B,A35)</f>
        <v>23.24</v>
      </c>
      <c r="E35" s="35">
        <f t="array" ref="E35">MAX(IF('BA History'!B:B=A35, 'BA History'!C:C))</f>
        <v>35</v>
      </c>
      <c r="F35" s="34">
        <f>COUNTIFS('BA History'!B:B,A35,'BA History'!D:D, 1)</f>
        <v>14</v>
      </c>
      <c r="G35" s="2">
        <f>COUNTIFS('BA History'!B:B,A35,'BA History'!D:D, 0)</f>
        <v>11</v>
      </c>
      <c r="H35" s="75">
        <f t="shared" si="9"/>
        <v>0.56000000000000005</v>
      </c>
      <c r="I35" s="34">
        <f>SUMIFS('BA History'!F:F,'BA History'!B:B,A35)</f>
        <v>54</v>
      </c>
      <c r="J35" s="2">
        <f>SUMIFS('BA History'!E:E,'BA History'!B:B,A35)-I35</f>
        <v>45</v>
      </c>
      <c r="K35" s="75">
        <f t="shared" si="10"/>
        <v>0.54545454545454541</v>
      </c>
      <c r="L35" s="34">
        <f>SUMIFS('BA History'!H:H,'BA History'!B:B,A35)</f>
        <v>217</v>
      </c>
      <c r="M35" s="2">
        <f>SUMIFS('BA History'!G:G,'BA History'!B:B,A35)-L35</f>
        <v>188</v>
      </c>
      <c r="N35" s="93">
        <f t="shared" si="11"/>
        <v>0.53580246913580243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4</v>
      </c>
      <c r="R35" s="2">
        <f>COUNTIFS('BA History'!$B:$B,$A$35,'BA History'!N:N, 1)</f>
        <v>6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2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5</v>
      </c>
      <c r="AD35" s="2">
        <f>COUNTIFS('BA History'!$B:$B,$A$35,'BA History'!Z:Z, 1)</f>
        <v>7</v>
      </c>
      <c r="AE35" s="2">
        <f>COUNTIFS('BA History'!$B:$B,$A$35,'BA History'!AA:AA, 1)</f>
        <v>0</v>
      </c>
      <c r="AF35" s="2">
        <f>COUNTIFS('BA History'!$B:$B,$A$35,'BA History'!AB:AB, 1)</f>
        <v>8</v>
      </c>
      <c r="AG35" s="2">
        <f>COUNTIFS('BA History'!$B:$B,$A$35,'BA History'!AC:AC, 1)</f>
        <v>3</v>
      </c>
      <c r="AH35" s="2">
        <f>COUNTIFS('BA History'!$B:$B,$A$35,'BA History'!AD:AD, 1)</f>
        <v>3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941</v>
      </c>
      <c r="D36" s="66">
        <f>AVERAGEIFS('BA History'!C:C,'BA History'!B:B,A36)</f>
        <v>24.128205128205128</v>
      </c>
      <c r="E36" s="35">
        <f t="array" ref="E36">MAX(IF('BA History'!B:B=A36, 'BA History'!C:C))</f>
        <v>37</v>
      </c>
      <c r="F36" s="34">
        <f>COUNTIFS('BA History'!B:B,A36,'BA History'!D:D, 1)</f>
        <v>21</v>
      </c>
      <c r="G36" s="2">
        <f>COUNTIFS('BA History'!B:B,A36,'BA History'!D:D, 0)</f>
        <v>18</v>
      </c>
      <c r="H36" s="75">
        <f t="shared" si="9"/>
        <v>0.53846153846153844</v>
      </c>
      <c r="I36" s="34">
        <f>SUMIFS('BA History'!F:F,'BA History'!B:B,A36)</f>
        <v>84</v>
      </c>
      <c r="J36" s="2">
        <f>SUMIFS('BA History'!E:E,'BA History'!B:B,A36)-I36</f>
        <v>76</v>
      </c>
      <c r="K36" s="75">
        <f t="shared" si="10"/>
        <v>0.52500000000000002</v>
      </c>
      <c r="L36" s="34">
        <f>SUMIFS('BA History'!H:H,'BA History'!B:B,A36)</f>
        <v>335</v>
      </c>
      <c r="M36" s="2">
        <f>SUMIFS('BA History'!G:G,'BA History'!B:B,A36)-L36</f>
        <v>327</v>
      </c>
      <c r="N36" s="93">
        <f t="shared" si="11"/>
        <v>0.5060422960725075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5</v>
      </c>
      <c r="R36" s="2">
        <f>COUNTIFS('BA History'!$B:$B,$A$36,'BA History'!N:N, 1)</f>
        <v>5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5</v>
      </c>
      <c r="AA36" s="2">
        <f>COUNTIFS('BA History'!$B:$B,$A$36,'BA History'!W:W, 1)</f>
        <v>0</v>
      </c>
      <c r="AB36" s="2">
        <f>COUNTIFS('BA History'!$B:$B,$A$36,'BA History'!X:X, 1)</f>
        <v>0</v>
      </c>
      <c r="AC36" s="2">
        <f>COUNTIFS('BA History'!$B:$B,$A$36,'BA History'!Y:Y, 1)</f>
        <v>8</v>
      </c>
      <c r="AD36" s="2">
        <f>COUNTIFS('BA History'!$B:$B,$A$36,'BA History'!Z:Z, 1)</f>
        <v>7</v>
      </c>
      <c r="AE36" s="2">
        <f>COUNTIFS('BA History'!$B:$B,$A$36,'BA History'!AA:AA, 1)</f>
        <v>2</v>
      </c>
      <c r="AF36" s="2">
        <f>COUNTIFS('BA History'!$B:$B,$A$36,'BA History'!AB:AB, 1)</f>
        <v>10</v>
      </c>
      <c r="AG36" s="2">
        <f>COUNTIFS('BA History'!$B:$B,$A$36,'BA History'!AC:AC, 1)</f>
        <v>6</v>
      </c>
      <c r="AH36" s="2">
        <f>COUNTIFS('BA History'!$B:$B,$A$36,'BA History'!AD:AD, 1)</f>
        <v>7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302</v>
      </c>
      <c r="D37" s="66">
        <f>AVERAGEIFS('BA History'!C:C,'BA History'!B:B,A37)</f>
        <v>21.571428571428573</v>
      </c>
      <c r="E37" s="35">
        <f t="array" ref="E37">MAX(IF('BA History'!B:B=A37, 'BA History'!C:C))</f>
        <v>36</v>
      </c>
      <c r="F37" s="34">
        <f>COUNTIFS('BA History'!B:B,A37,'BA History'!D:D, 1)</f>
        <v>11</v>
      </c>
      <c r="G37" s="2">
        <f>COUNTIFS('BA History'!B:B,A37,'BA History'!D:D, 0)</f>
        <v>3</v>
      </c>
      <c r="H37" s="75">
        <f t="shared" si="9"/>
        <v>0.7857142857142857</v>
      </c>
      <c r="I37" s="34">
        <f>SUMIFS('BA History'!F:F,'BA History'!B:B,A37)</f>
        <v>34</v>
      </c>
      <c r="J37" s="2">
        <f>SUMIFS('BA History'!E:E,'BA History'!B:B,A37)-I37</f>
        <v>19</v>
      </c>
      <c r="K37" s="75">
        <f t="shared" si="10"/>
        <v>0.64150943396226412</v>
      </c>
      <c r="L37" s="34">
        <f>SUMIFS('BA History'!H:H,'BA History'!B:B,A37)</f>
        <v>131</v>
      </c>
      <c r="M37" s="2">
        <f>SUMIFS('BA History'!G:G,'BA History'!B:B,A37)-L37</f>
        <v>98</v>
      </c>
      <c r="N37" s="93">
        <f t="shared" si="11"/>
        <v>0.57205240174672489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4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2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2</v>
      </c>
      <c r="AD37" s="2">
        <f>COUNTIFS('BA History'!$B:$B,$A$37,'BA History'!Z:Z, 1)</f>
        <v>1</v>
      </c>
      <c r="AE37" s="2">
        <f>COUNTIFS('BA History'!$B:$B,$A$37,'BA History'!AA:AA, 1)</f>
        <v>2</v>
      </c>
      <c r="AF37" s="2">
        <f>COUNTIFS('BA History'!$B:$B,$A$37,'BA History'!AB:AB, 1)</f>
        <v>3</v>
      </c>
      <c r="AG37" s="2">
        <f>COUNTIFS('BA History'!$B:$B,$A$37,'BA History'!AC:AC, 1)</f>
        <v>4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93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18</v>
      </c>
      <c r="D39" s="66">
        <f>AVERAGEIFS('BA History'!C:C,'BA History'!B:B,A39)</f>
        <v>9</v>
      </c>
      <c r="E39" s="35">
        <f t="array" ref="E39">MAX(IF('BA History'!B:B=A39, 'BA History'!C:C))</f>
        <v>14</v>
      </c>
      <c r="F39" s="34">
        <f>COUNTIFS('BA History'!B:B,A39,'BA History'!D:D, 1)</f>
        <v>2</v>
      </c>
      <c r="G39" s="2">
        <f>COUNTIFS('BA History'!B:B,A39,'BA History'!D:D, 0)</f>
        <v>0</v>
      </c>
      <c r="H39" s="75">
        <f t="shared" ref="H39" si="24">F39/(F39+G39)</f>
        <v>1</v>
      </c>
      <c r="I39" s="34">
        <f>SUMIFS('BA History'!F:F,'BA History'!B:B,A39)</f>
        <v>6</v>
      </c>
      <c r="J39" s="2">
        <f>SUMIFS('BA History'!E:E,'BA History'!B:B,A39)-I39</f>
        <v>3</v>
      </c>
      <c r="K39" s="75">
        <f t="shared" ref="K39" si="25">I39/(I39+J39)</f>
        <v>0.66666666666666663</v>
      </c>
      <c r="L39" s="34">
        <f>SUMIFS('BA History'!H:H,'BA History'!B:B,A39)</f>
        <v>22</v>
      </c>
      <c r="M39" s="2">
        <f>SUMIFS('BA History'!G:G,'BA History'!B:B,A39)-L39</f>
        <v>16</v>
      </c>
      <c r="N39" s="93">
        <f t="shared" ref="N39" si="26">L39/(L39+M39)</f>
        <v>0.57894736842105265</v>
      </c>
      <c r="O39" s="2">
        <f>COUNTIFS('BA History'!$B:$B,$A$39,'BA History'!K:K, 1)</f>
        <v>0</v>
      </c>
      <c r="P39" s="2">
        <f>COUNTIFS('BA History'!$B:$B,$A$39,'BA History'!L:L, 1)</f>
        <v>1</v>
      </c>
      <c r="Q39" s="2">
        <f>COUNTIFS('BA History'!$B:$B,$A$39,'BA History'!M:M, 1)</f>
        <v>0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40</v>
      </c>
      <c r="B40" s="2" t="s">
        <v>79</v>
      </c>
      <c r="C40" s="34">
        <f>SUMIFS('BA History'!C:C,'BA History'!B:B,A40)</f>
        <v>609</v>
      </c>
      <c r="D40" s="66">
        <f>AVERAGEIFS('BA History'!C:C,'BA History'!B:B,A40)</f>
        <v>17.399999999999999</v>
      </c>
      <c r="E40" s="35">
        <f t="array" ref="E40">MAX(IF('BA History'!B:B=A40, 'BA History'!C:C))</f>
        <v>29</v>
      </c>
      <c r="F40" s="34">
        <f>COUNTIFS('BA History'!B:B,A40,'BA History'!D:D, 1)</f>
        <v>17</v>
      </c>
      <c r="G40" s="2">
        <f>COUNTIFS('BA History'!B:B,A40,'BA History'!D:D, 0)</f>
        <v>18</v>
      </c>
      <c r="H40" s="75">
        <f t="shared" si="9"/>
        <v>0.48571428571428571</v>
      </c>
      <c r="I40" s="34">
        <f>SUMIFS('BA History'!F:F,'BA History'!B:B,A40)</f>
        <v>75</v>
      </c>
      <c r="J40" s="2">
        <f>SUMIFS('BA History'!E:E,'BA History'!B:B,A40)-I40</f>
        <v>70</v>
      </c>
      <c r="K40" s="75">
        <f t="shared" si="10"/>
        <v>0.51724137931034486</v>
      </c>
      <c r="L40" s="34">
        <f>SUMIFS('BA History'!H:H,'BA History'!B:B,A40)</f>
        <v>298</v>
      </c>
      <c r="M40" s="2">
        <f>SUMIFS('BA History'!G:G,'BA History'!B:B,A40)-L40</f>
        <v>293</v>
      </c>
      <c r="N40" s="93">
        <f t="shared" si="11"/>
        <v>0.50423011844331644</v>
      </c>
      <c r="O40" s="2">
        <f>COUNTIFS('BA History'!$B:$B,$A$40,'BA History'!K:K, 1)</f>
        <v>3</v>
      </c>
      <c r="P40" s="2">
        <f>COUNTIFS('BA History'!$B:$B,$A$40,'BA History'!L:L, 1)</f>
        <v>5</v>
      </c>
      <c r="Q40" s="2">
        <f>COUNTIFS('BA History'!$B:$B,$A$40,'BA History'!M:M, 1)</f>
        <v>7</v>
      </c>
      <c r="R40" s="2">
        <f>COUNTIFS('BA History'!$B:$B,$A$40,'BA History'!N:N, 1)</f>
        <v>10</v>
      </c>
      <c r="S40" s="2">
        <f>COUNTIFS('BA History'!$B:$B,$A$40,'BA History'!O:O, 1)</f>
        <v>3</v>
      </c>
      <c r="T40" s="2">
        <f>COUNTIFS('BA History'!$B:$B,$A$40,'BA History'!P:P, 1)</f>
        <v>1</v>
      </c>
      <c r="U40" s="2">
        <f>COUNTIFS('BA History'!$B:$B,$A$40,'BA History'!Q:Q, 1)</f>
        <v>2</v>
      </c>
      <c r="V40" s="2">
        <f>COUNTIFS('BA History'!$B:$B,$A$40,'BA History'!R:R, 1)</f>
        <v>2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3</v>
      </c>
      <c r="Z40" s="2">
        <f>COUNTIFS('BA History'!$B:$B,$A$40,'BA History'!V:V, 1)</f>
        <v>4</v>
      </c>
      <c r="AA40" s="2">
        <f>COUNTIFS('BA History'!$B:$B,$A$40,'BA History'!W:W, 1)</f>
        <v>1</v>
      </c>
      <c r="AB40" s="2">
        <f>COUNTIFS('BA History'!$B:$B,$A$40,'BA History'!X:X, 1)</f>
        <v>1</v>
      </c>
      <c r="AC40" s="2">
        <f>COUNTIFS('BA History'!$B:$B,$A$40,'BA History'!Y:Y, 1)</f>
        <v>5</v>
      </c>
      <c r="AD40" s="2">
        <f>COUNTIFS('BA History'!$B:$B,$A$40,'BA History'!Z:Z, 1)</f>
        <v>4</v>
      </c>
      <c r="AE40" s="2">
        <f>COUNTIFS('BA History'!$B:$B,$A$40,'BA History'!AA:AA, 1)</f>
        <v>1</v>
      </c>
      <c r="AF40" s="2">
        <f>COUNTIFS('BA History'!$B:$B,$A$40,'BA History'!AB:AB, 1)</f>
        <v>3</v>
      </c>
      <c r="AG40" s="2">
        <f>COUNTIFS('BA History'!$B:$B,$A$40,'BA History'!AC:AC, 1)</f>
        <v>4</v>
      </c>
      <c r="AH40" s="2">
        <f>COUNTIFS('BA History'!$B:$B,$A$40,'BA History'!AD:AD, 1)</f>
        <v>11</v>
      </c>
      <c r="AI40" s="2">
        <f>COUNTIFS('BA History'!$B:$B,$A$40,'BA History'!AE:AE, 1)</f>
        <v>0</v>
      </c>
      <c r="AJ40" s="2">
        <f>COUNTIFS('BA History'!$B:$B,$A$40,'BA History'!AF:AF, 1)</f>
        <v>4</v>
      </c>
    </row>
    <row r="41" spans="1:36" x14ac:dyDescent="0.25">
      <c r="A41" s="2" t="s">
        <v>17</v>
      </c>
      <c r="B41" s="2" t="s">
        <v>79</v>
      </c>
      <c r="C41" s="34">
        <f>SUMIFS('BA History'!C:C,'BA History'!B:B,A41)</f>
        <v>496</v>
      </c>
      <c r="D41" s="66">
        <f>AVERAGEIFS('BA History'!C:C,'BA History'!B:B,A41)</f>
        <v>20.666666666666668</v>
      </c>
      <c r="E41" s="35">
        <f t="array" ref="E41">MAX(IF('BA History'!B:B=A41, 'BA History'!C:C))</f>
        <v>32</v>
      </c>
      <c r="F41" s="34">
        <f>COUNTIFS('BA History'!B:B,A41,'BA History'!D:D, 1)</f>
        <v>10</v>
      </c>
      <c r="G41" s="2">
        <f>COUNTIFS('BA History'!B:B,A41,'BA History'!D:D, 0)</f>
        <v>14</v>
      </c>
      <c r="H41" s="75">
        <f t="shared" si="9"/>
        <v>0.41666666666666669</v>
      </c>
      <c r="I41" s="34">
        <f>SUMIFS('BA History'!F:F,'BA History'!B:B,A41)</f>
        <v>45</v>
      </c>
      <c r="J41" s="2">
        <f>SUMIFS('BA History'!E:E,'BA History'!B:B,A41)-I41</f>
        <v>52</v>
      </c>
      <c r="K41" s="75">
        <f t="shared" si="10"/>
        <v>0.46391752577319589</v>
      </c>
      <c r="L41" s="34">
        <f>SUMIFS('BA History'!H:H,'BA History'!B:B,A41)</f>
        <v>191</v>
      </c>
      <c r="M41" s="2">
        <f>SUMIFS('BA History'!G:G,'BA History'!B:B,A41)-L41</f>
        <v>211</v>
      </c>
      <c r="N41" s="93">
        <f t="shared" si="11"/>
        <v>0.47512437810945274</v>
      </c>
      <c r="O41" s="2">
        <f>COUNTIFS('BA History'!$B:$B,$A$41,'BA History'!K:K, 1)</f>
        <v>4</v>
      </c>
      <c r="P41" s="2">
        <f>COUNTIFS('BA History'!$B:$B,$A$41,'BA History'!L:L, 1)</f>
        <v>1</v>
      </c>
      <c r="Q41" s="2">
        <f>COUNTIFS('BA History'!$B:$B,$A$41,'BA History'!M:M, 1)</f>
        <v>3</v>
      </c>
      <c r="R41" s="2">
        <f>COUNTIFS('BA History'!$B:$B,$A$41,'BA History'!N:N, 1)</f>
        <v>6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1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2</v>
      </c>
      <c r="Z41" s="2">
        <f>COUNTIFS('BA History'!$B:$B,$A$41,'BA History'!V:V, 1)</f>
        <v>2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1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5</v>
      </c>
      <c r="AG41" s="2">
        <f>COUNTIFS('BA History'!$B:$B,$A$41,'BA History'!AC:AC, 1)</f>
        <v>5</v>
      </c>
      <c r="AH41" s="2">
        <f>COUNTIFS('BA History'!$B:$B,$A$41,'BA History'!AD:AD, 1)</f>
        <v>5</v>
      </c>
      <c r="AI41" s="2">
        <f>COUNTIFS('BA History'!$B:$B,$A$41,'BA History'!AE:AE, 1)</f>
        <v>1</v>
      </c>
      <c r="AJ41" s="2">
        <f>COUNTIFS('BA History'!$B:$B,$A$41,'BA History'!AF:AF, 1)</f>
        <v>2</v>
      </c>
    </row>
    <row r="42" spans="1:36" ht="14.25" customHeight="1" x14ac:dyDescent="0.25">
      <c r="A42" s="1" t="s">
        <v>105</v>
      </c>
      <c r="B42" s="2" t="s">
        <v>79</v>
      </c>
      <c r="C42" s="34">
        <f>SUMIFS('BA History'!C:C,'BA History'!B:B,A42)</f>
        <v>12</v>
      </c>
      <c r="D42" s="66">
        <f>AVERAGEIFS('BA History'!C:C,'BA History'!B:B,A42)</f>
        <v>12</v>
      </c>
      <c r="E42" s="35">
        <f t="array" ref="E42">MAX(IF('BA History'!B:B=A42, 'BA History'!C:C))</f>
        <v>12</v>
      </c>
      <c r="F42" s="34">
        <f>COUNTIFS('BA History'!B:B,A42,'BA History'!D:D, 1)</f>
        <v>1</v>
      </c>
      <c r="G42" s="2">
        <f>COUNTIFS('BA History'!B:B,A42,'BA History'!D:D, 0)</f>
        <v>0</v>
      </c>
      <c r="H42" s="75">
        <f t="shared" si="9"/>
        <v>1</v>
      </c>
      <c r="I42" s="34">
        <f>SUMIFS('BA History'!F:F,'BA History'!B:B,A42)</f>
        <v>3</v>
      </c>
      <c r="J42" s="2">
        <f>SUMIFS('BA History'!E:E,'BA History'!B:B,A42)-I42</f>
        <v>2</v>
      </c>
      <c r="K42" s="75">
        <f t="shared" si="10"/>
        <v>0.6</v>
      </c>
      <c r="L42" s="34">
        <f>SUMIFS('BA History'!H:H,'BA History'!B:B,A42)</f>
        <v>9</v>
      </c>
      <c r="M42" s="2">
        <f>SUMIFS('BA History'!G:G,'BA History'!B:B,A42)-L42</f>
        <v>10</v>
      </c>
      <c r="N42" s="93">
        <f t="shared" si="11"/>
        <v>0.47368421052631576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1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1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146</v>
      </c>
      <c r="B43" s="2" t="s">
        <v>79</v>
      </c>
      <c r="C43" s="34">
        <f>SUMIFS('BA History'!C:C,'BA History'!B:B,A43)</f>
        <v>4</v>
      </c>
      <c r="D43" s="66">
        <f>AVERAGEIFS('BA History'!C:C,'BA History'!B:B,A43)</f>
        <v>4</v>
      </c>
      <c r="E43" s="35">
        <f t="array" ref="E43">MAX(IF('BA History'!B:B=A43, 'BA History'!C:C))</f>
        <v>4</v>
      </c>
      <c r="F43" s="34">
        <f>COUNTIFS('BA History'!B:B,A43,'BA History'!D:D, 1)</f>
        <v>0</v>
      </c>
      <c r="G43" s="2">
        <f>COUNTIFS('BA History'!B:B,A43,'BA History'!D:D, 0)</f>
        <v>1</v>
      </c>
      <c r="H43" s="75">
        <f t="shared" si="9"/>
        <v>0</v>
      </c>
      <c r="I43" s="34">
        <f>SUMIFS('BA History'!F:F,'BA History'!B:B,A43)</f>
        <v>1</v>
      </c>
      <c r="J43" s="2">
        <f>SUMIFS('BA History'!E:E,'BA History'!B:B,A43)-I43</f>
        <v>3</v>
      </c>
      <c r="K43" s="75">
        <f t="shared" ref="K43" si="27">I43/(I43+J43)</f>
        <v>0.25</v>
      </c>
      <c r="L43" s="34">
        <f>SUMIFS('BA History'!H:H,'BA History'!B:B,A43)</f>
        <v>7</v>
      </c>
      <c r="M43" s="2">
        <f>SUMIFS('BA History'!G:G,'BA History'!B:B,A43)-L43</f>
        <v>9</v>
      </c>
      <c r="N43" s="93">
        <f t="shared" ref="N43" si="28">L43/(L43+M43)</f>
        <v>0.4375</v>
      </c>
      <c r="O43" s="2">
        <f>COUNTIFS('BA History'!$B:$B,$A$43,'BA History'!K:K, 1)</f>
        <v>0</v>
      </c>
      <c r="P43" s="2">
        <f>COUNTIFS('BA History'!$B:$B,$A$43,'BA History'!L:L, 1)</f>
        <v>0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1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0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ht="14.25" customHeight="1" x14ac:dyDescent="0.25">
      <c r="A44" s="1" t="s">
        <v>143</v>
      </c>
      <c r="B44" s="2" t="s">
        <v>79</v>
      </c>
      <c r="C44" s="34">
        <f>SUMIFS('BA History'!C:C,'BA History'!B:B,A44)</f>
        <v>23</v>
      </c>
      <c r="D44" s="66">
        <f>AVERAGEIFS('BA History'!C:C,'BA History'!B:B,A44)</f>
        <v>11.5</v>
      </c>
      <c r="E44" s="35">
        <f t="array" ref="E44">MAX(IF('BA History'!B:B=A44, 'BA History'!C:C))</f>
        <v>14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 t="shared" si="9"/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 t="shared" ref="K44" si="29">I44/(I44+J44)</f>
        <v>0.5</v>
      </c>
      <c r="L44" s="34">
        <f>SUMIFS('BA History'!H:H,'BA History'!B:B,A44)</f>
        <v>17</v>
      </c>
      <c r="M44" s="2">
        <f>SUMIFS('BA History'!G:G,'BA History'!B:B,A44)-L44</f>
        <v>16</v>
      </c>
      <c r="N44" s="93">
        <f t="shared" ref="N44" si="30">L44/(L44+M44)</f>
        <v>0.51515151515151514</v>
      </c>
      <c r="O44" s="2">
        <f>COUNTIFS('BA History'!$B:$B,$A$44,'BA History'!K:K, 1)</f>
        <v>0</v>
      </c>
      <c r="P44" s="2">
        <f>COUNTIFS('BA History'!$B:$B,$A$44,'BA History'!L:L, 1)</f>
        <v>1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1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0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x14ac:dyDescent="0.25">
      <c r="A45" s="1" t="s">
        <v>118</v>
      </c>
      <c r="B45" s="2" t="s">
        <v>79</v>
      </c>
      <c r="C45" s="34">
        <f>SUMIFS('BA History'!C:C,'BA History'!B:B,A45)</f>
        <v>30</v>
      </c>
      <c r="D45" s="66">
        <f>AVERAGEIFS('BA History'!C:C,'BA History'!B:B,A45)</f>
        <v>15</v>
      </c>
      <c r="E45" s="35">
        <f t="array" ref="E45">MAX(IF('BA History'!B:B=A45, 'BA History'!C:C))</f>
        <v>20</v>
      </c>
      <c r="F45" s="34">
        <f>COUNTIFS('BA History'!B:B,A45,'BA History'!D:D, 1)</f>
        <v>1</v>
      </c>
      <c r="G45" s="2">
        <f>COUNTIFS('BA History'!B:B,A45,'BA History'!D:D, 0)</f>
        <v>1</v>
      </c>
      <c r="H45" s="75">
        <f t="shared" si="9"/>
        <v>0.5</v>
      </c>
      <c r="I45" s="34">
        <f>SUMIFS('BA History'!F:F,'BA History'!B:B,A45)</f>
        <v>4</v>
      </c>
      <c r="J45" s="2">
        <f>SUMIFS('BA History'!E:E,'BA History'!B:B,A45)-I45</f>
        <v>4</v>
      </c>
      <c r="K45" s="75">
        <f t="shared" si="10"/>
        <v>0.5</v>
      </c>
      <c r="L45" s="34">
        <f>SUMIFS('BA History'!H:H,'BA History'!B:B,A45)</f>
        <v>15</v>
      </c>
      <c r="M45" s="2">
        <f>SUMIFS('BA History'!G:G,'BA History'!B:B,A45)-L45</f>
        <v>15</v>
      </c>
      <c r="N45" s="93">
        <f t="shared" si="11"/>
        <v>0.5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1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0</v>
      </c>
      <c r="AD45" s="2">
        <f>COUNTIFS('BA History'!$B:$B,$A$45,'BA History'!Z:Z, 1)</f>
        <v>1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1</v>
      </c>
      <c r="AH45" s="2">
        <f>COUNTIFS('BA History'!$B:$B,$A$45,'BA History'!AD:AD, 1)</f>
        <v>1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ht="15.75" x14ac:dyDescent="0.25">
      <c r="A46" s="2" t="s">
        <v>6</v>
      </c>
      <c r="B46" s="80" t="s">
        <v>60</v>
      </c>
      <c r="C46" s="34">
        <f>SUMIFS('BA History'!C:C,'BA History'!B:B,A46)</f>
        <v>823</v>
      </c>
      <c r="D46" s="66">
        <f>AVERAGEIFS('BA History'!C:C,'BA History'!B:B,A46)</f>
        <v>22.243243243243242</v>
      </c>
      <c r="E46" s="35">
        <f t="array" ref="E46">MAX(IF('BA History'!B:B=A46, 'BA History'!C:C))</f>
        <v>37</v>
      </c>
      <c r="F46" s="34">
        <f>COUNTIFS('BA History'!B:B,A46,'BA History'!D:D, 1)</f>
        <v>25</v>
      </c>
      <c r="G46" s="2">
        <f>COUNTIFS('BA History'!B:B,A46,'BA History'!D:D, 0)</f>
        <v>12</v>
      </c>
      <c r="H46" s="75">
        <f t="shared" si="9"/>
        <v>0.67567567567567566</v>
      </c>
      <c r="I46" s="34">
        <f>SUMIFS('BA History'!F:F,'BA History'!B:B,A46)</f>
        <v>87</v>
      </c>
      <c r="J46" s="2">
        <f>SUMIFS('BA History'!E:E,'BA History'!B:B,A46)-I46</f>
        <v>63</v>
      </c>
      <c r="K46" s="75">
        <f t="shared" si="10"/>
        <v>0.57999999999999996</v>
      </c>
      <c r="L46" s="34">
        <f>SUMIFS('BA History'!H:H,'BA History'!B:B,A46)</f>
        <v>337</v>
      </c>
      <c r="M46" s="2">
        <f>SUMIFS('BA History'!G:G,'BA History'!B:B,A46)-L46</f>
        <v>284</v>
      </c>
      <c r="N46" s="93">
        <f t="shared" si="11"/>
        <v>0.54267310789049916</v>
      </c>
      <c r="O46" s="2">
        <f>COUNTIFS('BA History'!$B:$B,$A$46,'BA History'!K:K, 1)</f>
        <v>5</v>
      </c>
      <c r="P46" s="2">
        <f>COUNTIFS('BA History'!$B:$B,$A$46,'BA History'!L:L, 1)</f>
        <v>3</v>
      </c>
      <c r="Q46" s="2">
        <f>COUNTIFS('BA History'!$B:$B,$A$46,'BA History'!M:M, 1)</f>
        <v>7</v>
      </c>
      <c r="R46" s="2">
        <f>COUNTIFS('BA History'!$B:$B,$A$46,'BA History'!N:N, 1)</f>
        <v>6</v>
      </c>
      <c r="S46" s="2">
        <f>COUNTIFS('BA History'!$B:$B,$A$46,'BA History'!O:O, 1)</f>
        <v>2</v>
      </c>
      <c r="T46" s="2">
        <f>COUNTIFS('BA History'!$B:$B,$A$46,'BA History'!P:P, 1)</f>
        <v>0</v>
      </c>
      <c r="U46" s="2">
        <f>COUNTIFS('BA History'!$B:$B,$A$46,'BA History'!Q:Q, 1)</f>
        <v>3</v>
      </c>
      <c r="V46" s="2">
        <f>COUNTIFS('BA History'!$B:$B,$A$46,'BA History'!R:R, 1)</f>
        <v>3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2</v>
      </c>
      <c r="Z46" s="2">
        <f>COUNTIFS('BA History'!$B:$B,$A$46,'BA History'!V:V, 1)</f>
        <v>7</v>
      </c>
      <c r="AA46" s="2">
        <f>COUNTIFS('BA History'!$B:$B,$A$46,'BA History'!W:W, 1)</f>
        <v>3</v>
      </c>
      <c r="AB46" s="2">
        <f>COUNTIFS('BA History'!$B:$B,$A$46,'BA History'!X:X, 1)</f>
        <v>2</v>
      </c>
      <c r="AC46" s="2">
        <f>COUNTIFS('BA History'!$B:$B,$A$46,'BA History'!Y:Y, 1)</f>
        <v>4</v>
      </c>
      <c r="AD46" s="2">
        <f>COUNTIFS('BA History'!$B:$B,$A$46,'BA History'!Z:Z, 1)</f>
        <v>12</v>
      </c>
      <c r="AE46" s="2">
        <f>COUNTIFS('BA History'!$B:$B,$A$46,'BA History'!AA:AA, 1)</f>
        <v>1</v>
      </c>
      <c r="AF46" s="2">
        <f>COUNTIFS('BA History'!$B:$B,$A$46,'BA History'!AB:AB, 1)</f>
        <v>8</v>
      </c>
      <c r="AG46" s="2">
        <f>COUNTIFS('BA History'!$B:$B,$A$46,'BA History'!AC:AC, 1)</f>
        <v>4</v>
      </c>
      <c r="AH46" s="2">
        <f>COUNTIFS('BA History'!$B:$B,$A$46,'BA History'!AD:AD, 1)</f>
        <v>8</v>
      </c>
      <c r="AI46" s="2">
        <f>COUNTIFS('BA History'!$B:$B,$A$46,'BA History'!AE:AE, 1)</f>
        <v>1</v>
      </c>
      <c r="AJ46" s="2">
        <f>COUNTIFS('BA History'!$B:$B,$A$46,'BA History'!AF:AF, 1)</f>
        <v>6</v>
      </c>
    </row>
    <row r="47" spans="1:36" x14ac:dyDescent="0.25">
      <c r="A47" s="2" t="s">
        <v>18</v>
      </c>
      <c r="B47" s="2" t="s">
        <v>79</v>
      </c>
      <c r="C47" s="34">
        <f>SUMIFS('BA History'!C:C,'BA History'!B:B,A47)</f>
        <v>83</v>
      </c>
      <c r="D47" s="66">
        <f>AVERAGEIFS('BA History'!C:C,'BA History'!B:B,A47)</f>
        <v>16.600000000000001</v>
      </c>
      <c r="E47" s="35">
        <f t="array" ref="E47">MAX(IF('BA History'!B:B=A47, 'BA History'!C:C))</f>
        <v>24</v>
      </c>
      <c r="F47" s="34">
        <f>COUNTIFS('BA History'!B:B,A47,'BA History'!D:D, 1)</f>
        <v>4</v>
      </c>
      <c r="G47" s="2">
        <f>COUNTIFS('BA History'!B:B,A47,'BA History'!D:D, 0)</f>
        <v>1</v>
      </c>
      <c r="H47" s="75">
        <f t="shared" si="9"/>
        <v>0.8</v>
      </c>
      <c r="I47" s="34">
        <f>SUMIFS('BA History'!F:F,'BA History'!B:B,A47)</f>
        <v>13</v>
      </c>
      <c r="J47" s="2">
        <f>SUMIFS('BA History'!E:E,'BA History'!B:B,A47)-I47</f>
        <v>6</v>
      </c>
      <c r="K47" s="75">
        <f t="shared" si="10"/>
        <v>0.68421052631578949</v>
      </c>
      <c r="L47" s="34">
        <f>SUMIFS('BA History'!H:H,'BA History'!B:B,A47)</f>
        <v>46</v>
      </c>
      <c r="M47" s="2">
        <f>SUMIFS('BA History'!G:G,'BA History'!B:B,A47)-L47</f>
        <v>32</v>
      </c>
      <c r="N47" s="93">
        <f t="shared" si="11"/>
        <v>0.58974358974358976</v>
      </c>
      <c r="O47" s="2">
        <f>COUNTIFS('BA History'!$B:$B,$A$47,'BA History'!K:K, 1)</f>
        <v>0</v>
      </c>
      <c r="P47" s="2">
        <f>COUNTIFS('BA History'!$B:$B,$A$47,'BA History'!L:L, 1)</f>
        <v>3</v>
      </c>
      <c r="Q47" s="2">
        <f>COUNTIFS('BA History'!$B:$B,$A$47,'BA History'!M:M, 1)</f>
        <v>0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1</v>
      </c>
      <c r="AB47" s="2">
        <f>COUNTIFS('BA History'!$B:$B,$A$47,'BA History'!X:X, 1)</f>
        <v>1</v>
      </c>
      <c r="AC47" s="2">
        <f>COUNTIFS('BA History'!$B:$B,$A$47,'BA History'!Y:Y, 1)</f>
        <v>1</v>
      </c>
      <c r="AD47" s="2">
        <f>COUNTIFS('BA History'!$B:$B,$A$47,'BA History'!Z:Z, 1)</f>
        <v>1</v>
      </c>
      <c r="AE47" s="2">
        <f>COUNTIFS('BA History'!$B:$B,$A$47,'BA History'!AA:AA, 1)</f>
        <v>1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113</v>
      </c>
      <c r="B48" s="2" t="s">
        <v>79</v>
      </c>
      <c r="C48" s="34">
        <f>SUMIFS('BA History'!C:C,'BA History'!B:B,A48)</f>
        <v>222</v>
      </c>
      <c r="D48" s="66">
        <f>AVERAGEIFS('BA History'!C:C,'BA History'!B:B,A48)</f>
        <v>15.857142857142858</v>
      </c>
      <c r="E48" s="35">
        <f t="array" ref="E48">MAX(IF('BA History'!B:B=A48, 'BA History'!C:C))</f>
        <v>28</v>
      </c>
      <c r="F48" s="34">
        <f>COUNTIFS('BA History'!B:B,A48,'BA History'!D:D, 1)</f>
        <v>6</v>
      </c>
      <c r="G48" s="2">
        <f>COUNTIFS('BA History'!B:B,A48,'BA History'!D:D, 0)</f>
        <v>8</v>
      </c>
      <c r="H48" s="75">
        <f t="shared" si="9"/>
        <v>0.42857142857142855</v>
      </c>
      <c r="I48" s="34">
        <f>SUMIFS('BA History'!F:F,'BA History'!B:B,A48)</f>
        <v>26</v>
      </c>
      <c r="J48" s="2">
        <f>SUMIFS('BA History'!E:E,'BA History'!B:B,A48)-I48</f>
        <v>30</v>
      </c>
      <c r="K48" s="75">
        <f t="shared" si="10"/>
        <v>0.4642857142857143</v>
      </c>
      <c r="L48" s="34">
        <f>SUMIFS('BA History'!H:H,'BA History'!B:B,A48)</f>
        <v>101</v>
      </c>
      <c r="M48" s="2">
        <f>SUMIFS('BA History'!G:G,'BA History'!B:B,A48)-L48</f>
        <v>119</v>
      </c>
      <c r="N48" s="93">
        <f t="shared" si="11"/>
        <v>0.45909090909090911</v>
      </c>
      <c r="O48" s="2">
        <f>COUNTIFS('BA History'!$B:$B,$A$48,'BA History'!K:K, 1)</f>
        <v>0</v>
      </c>
      <c r="P48" s="2">
        <f>COUNTIFS('BA History'!$B:$B,$A$48,'BA History'!L:L, 1)</f>
        <v>1</v>
      </c>
      <c r="Q48" s="2">
        <f>COUNTIFS('BA History'!$B:$B,$A$48,'BA History'!M:M, 1)</f>
        <v>5</v>
      </c>
      <c r="R48" s="2">
        <f>COUNTIFS('BA History'!$B:$B,$A$48,'BA History'!N:N, 1)</f>
        <v>2</v>
      </c>
      <c r="S48" s="2">
        <f>COUNTIFS('BA History'!$B:$B,$A$48,'BA History'!O:O, 1)</f>
        <v>1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1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5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14</v>
      </c>
      <c r="B49" s="2" t="s">
        <v>79</v>
      </c>
      <c r="C49" s="34">
        <f>SUMIFS('BA History'!C:C,'BA History'!B:B,A49)</f>
        <v>235</v>
      </c>
      <c r="D49" s="66">
        <f>AVERAGEIFS('BA History'!C:C,'BA History'!B:B,A49)</f>
        <v>16.785714285714285</v>
      </c>
      <c r="E49" s="35">
        <f t="array" ref="E49">MAX(IF('BA History'!B:B=A49, 'BA History'!C:C))</f>
        <v>27</v>
      </c>
      <c r="F49" s="34">
        <f>COUNTIFS('BA History'!B:B,A49,'BA History'!D:D, 1)</f>
        <v>7</v>
      </c>
      <c r="G49" s="2">
        <f>COUNTIFS('BA History'!B:B,A49,'BA History'!D:D, 0)</f>
        <v>7</v>
      </c>
      <c r="H49" s="75">
        <f t="shared" si="9"/>
        <v>0.5</v>
      </c>
      <c r="I49" s="34">
        <f>SUMIFS('BA History'!F:F,'BA History'!B:B,A49)</f>
        <v>29</v>
      </c>
      <c r="J49" s="2">
        <f>SUMIFS('BA History'!E:E,'BA History'!B:B,A49)-I49</f>
        <v>30</v>
      </c>
      <c r="K49" s="75">
        <f t="shared" si="10"/>
        <v>0.49152542372881358</v>
      </c>
      <c r="L49" s="34">
        <f>SUMIFS('BA History'!H:H,'BA History'!B:B,A49)</f>
        <v>123</v>
      </c>
      <c r="M49" s="2">
        <f>SUMIFS('BA History'!G:G,'BA History'!B:B,A49)-L49</f>
        <v>117</v>
      </c>
      <c r="N49" s="93">
        <f t="shared" si="11"/>
        <v>0.51249999999999996</v>
      </c>
      <c r="O49" s="2">
        <f>COUNTIFS('BA History'!$B:$B,$A$49,'BA History'!K:K, 1)</f>
        <v>1</v>
      </c>
      <c r="P49" s="2">
        <f>COUNTIFS('BA History'!$B:$B,$A$49,'BA History'!L:L, 1)</f>
        <v>2</v>
      </c>
      <c r="Q49" s="2">
        <f>COUNTIFS('BA History'!$B:$B,$A$49,'BA History'!M:M, 1)</f>
        <v>0</v>
      </c>
      <c r="R49" s="2">
        <f>COUNTIFS('BA History'!$B:$B,$A$49,'BA History'!N:N, 1)</f>
        <v>0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3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1</v>
      </c>
      <c r="Y49" s="2">
        <f>COUNTIFS('BA History'!$B:$B,$A$49,'BA History'!U:U, 1)</f>
        <v>1</v>
      </c>
      <c r="Z49" s="2">
        <f>COUNTIFS('BA History'!$B:$B,$A$49,'BA History'!V:V, 1)</f>
        <v>0</v>
      </c>
      <c r="AA49" s="2">
        <f>COUNTIFS('BA History'!$B:$B,$A$49,'BA History'!W:W, 1)</f>
        <v>2</v>
      </c>
      <c r="AB49" s="2">
        <f>COUNTIFS('BA History'!$B:$B,$A$49,'BA History'!X:X, 1)</f>
        <v>1</v>
      </c>
      <c r="AC49" s="2">
        <f>COUNTIFS('BA History'!$B:$B,$A$49,'BA History'!Y:Y, 1)</f>
        <v>4</v>
      </c>
      <c r="AD49" s="2">
        <f>COUNTIFS('BA History'!$B:$B,$A$49,'BA History'!Z:Z, 1)</f>
        <v>6</v>
      </c>
      <c r="AE49" s="2">
        <f>COUNTIFS('BA History'!$B:$B,$A$49,'BA History'!AA:AA, 1)</f>
        <v>1</v>
      </c>
      <c r="AF49" s="2">
        <f>COUNTIFS('BA History'!$B:$B,$A$49,'BA History'!AB:AB, 1)</f>
        <v>3</v>
      </c>
      <c r="AG49" s="2">
        <f>COUNTIFS('BA History'!$B:$B,$A$49,'BA History'!AC:AC, 1)</f>
        <v>3</v>
      </c>
      <c r="AH49" s="2">
        <f>COUNTIFS('BA History'!$B:$B,$A$49,'BA History'!AD:AD, 1)</f>
        <v>0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70</v>
      </c>
      <c r="B50" s="2" t="s">
        <v>79</v>
      </c>
      <c r="C50" s="34">
        <f>SUMIFS('BA History'!C:C,'BA History'!B:B,A50)</f>
        <v>73</v>
      </c>
      <c r="D50" s="66">
        <f>AVERAGEIFS('BA History'!C:C,'BA History'!B:B,A50)</f>
        <v>12.166666666666666</v>
      </c>
      <c r="E50" s="35">
        <f t="array" ref="E50">MAX(IF('BA History'!B:B=A50, 'BA History'!C:C))</f>
        <v>19</v>
      </c>
      <c r="F50" s="34">
        <f>COUNTIFS('BA History'!B:B,A50,'BA History'!D:D, 1)</f>
        <v>5</v>
      </c>
      <c r="G50" s="2">
        <f>COUNTIFS('BA History'!B:B,A50,'BA History'!D:D, 0)</f>
        <v>1</v>
      </c>
      <c r="H50" s="75">
        <f t="shared" si="9"/>
        <v>0.83333333333333337</v>
      </c>
      <c r="I50" s="34">
        <f>SUMIFS('BA History'!F:F,'BA History'!B:B,A50)</f>
        <v>15</v>
      </c>
      <c r="J50" s="2">
        <f>SUMIFS('BA History'!E:E,'BA History'!B:B,A50)-I50</f>
        <v>10</v>
      </c>
      <c r="K50" s="75">
        <f t="shared" si="10"/>
        <v>0.6</v>
      </c>
      <c r="L50" s="34">
        <f>SUMIFS('BA History'!H:H,'BA History'!B:B,A50)</f>
        <v>56</v>
      </c>
      <c r="M50" s="2">
        <f>SUMIFS('BA History'!G:G,'BA History'!B:B,A50)-L50</f>
        <v>49</v>
      </c>
      <c r="N50" s="93">
        <f t="shared" si="11"/>
        <v>0.53333333333333333</v>
      </c>
      <c r="O50" s="2">
        <f>COUNTIFS('BA History'!$B:$B,$A$50,'BA History'!K:K, 1)</f>
        <v>1</v>
      </c>
      <c r="P50" s="2">
        <f>COUNTIFS('BA History'!$B:$B,$A$50,'BA History'!L:L, 1)</f>
        <v>1</v>
      </c>
      <c r="Q50" s="2">
        <f>COUNTIFS('BA History'!$B:$B,$A$50,'BA History'!M:M, 1)</f>
        <v>2</v>
      </c>
      <c r="R50" s="2">
        <f>COUNTIFS('BA History'!$B:$B,$A$50,'BA History'!N:N, 1)</f>
        <v>2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0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0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0</v>
      </c>
      <c r="AF50" s="2">
        <f>COUNTIFS('BA History'!$B:$B,$A$50,'BA History'!AB:AB, 1)</f>
        <v>0</v>
      </c>
      <c r="AG50" s="2">
        <f>COUNTIFS('BA History'!$B:$B,$A$50,'BA History'!AC:AC, 1)</f>
        <v>0</v>
      </c>
      <c r="AH50" s="2">
        <f>COUNTIFS('BA History'!$B:$B,$A$50,'BA History'!AD:AD, 1)</f>
        <v>3</v>
      </c>
      <c r="AI50" s="2">
        <f>COUNTIFS('BA History'!$B:$B,$A$50,'BA History'!AE:AE, 1)</f>
        <v>0</v>
      </c>
      <c r="AJ50" s="2">
        <f>COUNTIFS('BA History'!$B:$B,$A$50,'BA History'!AF:AF, 1)</f>
        <v>2</v>
      </c>
    </row>
    <row r="51" spans="1:36" ht="15.75" x14ac:dyDescent="0.25">
      <c r="A51" s="2" t="s">
        <v>4</v>
      </c>
      <c r="B51" s="80" t="s">
        <v>60</v>
      </c>
      <c r="C51" s="34">
        <f>SUMIFS('BA History'!C:C,'BA History'!B:B,A51)</f>
        <v>449</v>
      </c>
      <c r="D51" s="66">
        <f>AVERAGEIFS('BA History'!C:C,'BA History'!B:B,A51)</f>
        <v>23.631578947368421</v>
      </c>
      <c r="E51" s="35">
        <f t="array" ref="E51">MAX(IF('BA History'!B:B=A51, 'BA History'!C:C))</f>
        <v>41</v>
      </c>
      <c r="F51" s="34">
        <f>COUNTIFS('BA History'!B:B,A51,'BA History'!D:D, 1)</f>
        <v>3</v>
      </c>
      <c r="G51" s="2">
        <f>COUNTIFS('BA History'!B:B,A51,'BA History'!D:D, 0)</f>
        <v>16</v>
      </c>
      <c r="H51" s="75">
        <f t="shared" si="9"/>
        <v>0.15789473684210525</v>
      </c>
      <c r="I51" s="34">
        <f>SUMIFS('BA History'!F:F,'BA History'!B:B,A51)</f>
        <v>28</v>
      </c>
      <c r="J51" s="2">
        <f>SUMIFS('BA History'!E:E,'BA History'!B:B,A51)-I51</f>
        <v>52</v>
      </c>
      <c r="K51" s="75">
        <f t="shared" si="10"/>
        <v>0.35</v>
      </c>
      <c r="L51" s="34">
        <f>SUMIFS('BA History'!H:H,'BA History'!B:B,A51)</f>
        <v>135</v>
      </c>
      <c r="M51" s="2">
        <f>SUMIFS('BA History'!G:G,'BA History'!B:B,A51)-L51</f>
        <v>188</v>
      </c>
      <c r="N51" s="93">
        <f t="shared" si="11"/>
        <v>0.41795665634674922</v>
      </c>
      <c r="O51" s="2">
        <f>COUNTIFS('BA History'!$B:$B,$A$51,'BA History'!K:K, 1)</f>
        <v>0</v>
      </c>
      <c r="P51" s="2">
        <f>COUNTIFS('BA History'!$B:$B,$A$51,'BA History'!L:L, 1)</f>
        <v>4</v>
      </c>
      <c r="Q51" s="2">
        <f>COUNTIFS('BA History'!$B:$B,$A$51,'BA History'!M:M, 1)</f>
        <v>3</v>
      </c>
      <c r="R51" s="2">
        <f>COUNTIFS('BA History'!$B:$B,$A$51,'BA History'!N:N, 1)</f>
        <v>4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1</v>
      </c>
      <c r="V51" s="2">
        <f>COUNTIFS('BA History'!$B:$B,$A$51,'BA History'!R:R, 1)</f>
        <v>0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2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5</v>
      </c>
      <c r="AD51" s="2">
        <f>COUNTIFS('BA History'!$B:$B,$A$51,'BA History'!Z:Z, 1)</f>
        <v>2</v>
      </c>
      <c r="AE51" s="2">
        <f>COUNTIFS('BA History'!$B:$B,$A$51,'BA History'!AA:AA, 1)</f>
        <v>0</v>
      </c>
      <c r="AF51" s="2">
        <f>COUNTIFS('BA History'!$B:$B,$A$51,'BA History'!AB:AB, 1)</f>
        <v>1</v>
      </c>
      <c r="AG51" s="2">
        <f>COUNTIFS('BA History'!$B:$B,$A$51,'BA History'!AC:AC, 1)</f>
        <v>3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0</v>
      </c>
    </row>
    <row r="52" spans="1:36" x14ac:dyDescent="0.25">
      <c r="A52" s="1" t="s">
        <v>107</v>
      </c>
      <c r="B52" s="2" t="s">
        <v>79</v>
      </c>
      <c r="C52" s="34">
        <f>SUMIFS('BA History'!C:C,'BA History'!B:B,A52)</f>
        <v>303</v>
      </c>
      <c r="D52" s="66">
        <f>AVERAGEIFS('BA History'!C:C,'BA History'!B:B,A52)</f>
        <v>15.15</v>
      </c>
      <c r="E52" s="35">
        <f t="array" ref="E52">MAX(IF('BA History'!B:B=A52, 'BA History'!C:C))</f>
        <v>24</v>
      </c>
      <c r="F52" s="34">
        <f>COUNTIFS('BA History'!B:B,A52,'BA History'!D:D, 1)</f>
        <v>14</v>
      </c>
      <c r="G52" s="2">
        <f>COUNTIFS('BA History'!B:B,A52,'BA History'!D:D, 0)</f>
        <v>6</v>
      </c>
      <c r="H52" s="75">
        <f t="shared" si="9"/>
        <v>0.7</v>
      </c>
      <c r="I52" s="34">
        <f>SUMIFS('BA History'!F:F,'BA History'!B:B,A52)</f>
        <v>50</v>
      </c>
      <c r="J52" s="2">
        <f>SUMIFS('BA History'!E:E,'BA History'!B:B,A52)-I52</f>
        <v>33</v>
      </c>
      <c r="K52" s="75">
        <f t="shared" si="10"/>
        <v>0.60240963855421692</v>
      </c>
      <c r="L52" s="34">
        <f>SUMIFS('BA History'!H:H,'BA History'!B:B,A52)</f>
        <v>192</v>
      </c>
      <c r="M52" s="2">
        <f>SUMIFS('BA History'!G:G,'BA History'!B:B,A52)-L52</f>
        <v>153</v>
      </c>
      <c r="N52" s="93">
        <f t="shared" si="11"/>
        <v>0.55652173913043479</v>
      </c>
      <c r="O52" s="2">
        <f>COUNTIFS('BA History'!$B:$B,$A$52,'BA History'!K:K, 1)</f>
        <v>2</v>
      </c>
      <c r="P52" s="2">
        <f>COUNTIFS('BA History'!$B:$B,$A$52,'BA History'!L:L, 1)</f>
        <v>2</v>
      </c>
      <c r="Q52" s="2">
        <f>COUNTIFS('BA History'!$B:$B,$A$52,'BA History'!M:M, 1)</f>
        <v>5</v>
      </c>
      <c r="R52" s="2">
        <f>COUNTIFS('BA History'!$B:$B,$A$52,'BA History'!N:N, 1)</f>
        <v>10</v>
      </c>
      <c r="S52" s="2">
        <f>COUNTIFS('BA History'!$B:$B,$A$52,'BA History'!O:O, 1)</f>
        <v>2</v>
      </c>
      <c r="T52" s="2">
        <f>COUNTIFS('BA History'!$B:$B,$A$52,'BA History'!P:P, 1)</f>
        <v>1</v>
      </c>
      <c r="U52" s="2">
        <f>COUNTIFS('BA History'!$B:$B,$A$52,'BA History'!Q:Q, 1)</f>
        <v>1</v>
      </c>
      <c r="V52" s="2">
        <f>COUNTIFS('BA History'!$B:$B,$A$52,'BA History'!R:R, 1)</f>
        <v>1</v>
      </c>
      <c r="W52" s="2">
        <f>COUNTIFS('BA History'!$B:$B,$A$52,'BA History'!S:S, 1)</f>
        <v>1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2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1</v>
      </c>
      <c r="AG52" s="2">
        <f>COUNTIFS('BA History'!$B:$B,$A$52,'BA History'!AC:AC, 1)</f>
        <v>3</v>
      </c>
      <c r="AH52" s="2">
        <f>COUNTIFS('BA History'!$B:$B,$A$52,'BA History'!AD:AD, 1)</f>
        <v>4</v>
      </c>
      <c r="AI52" s="2">
        <f>COUNTIFS('BA History'!$B:$B,$A$52,'BA History'!AE:AE, 1)</f>
        <v>0</v>
      </c>
      <c r="AJ52" s="2">
        <f>COUNTIFS('BA History'!$B:$B,$A$52,'BA History'!AF:AF, 1)</f>
        <v>4</v>
      </c>
    </row>
    <row r="53" spans="1:36" x14ac:dyDescent="0.25">
      <c r="A53" s="2" t="s">
        <v>94</v>
      </c>
      <c r="B53" s="2" t="s">
        <v>79</v>
      </c>
      <c r="C53" s="34">
        <f>SUMIFS('BA History'!C:C,'BA History'!B:B,A53)</f>
        <v>18</v>
      </c>
      <c r="D53" s="66">
        <f>AVERAGEIFS('BA History'!C:C,'BA History'!B:B,A53)</f>
        <v>18</v>
      </c>
      <c r="E53" s="35">
        <f t="array" ref="E53">MAX(IF('BA History'!B:B=A53, 'BA History'!C:C))</f>
        <v>18</v>
      </c>
      <c r="F53" s="34">
        <f>COUNTIFS('BA History'!B:B,A53,'BA History'!D:D, 1)</f>
        <v>1</v>
      </c>
      <c r="G53" s="2">
        <f>COUNTIFS('BA History'!B:B,A53,'BA History'!D:D, 0)</f>
        <v>0</v>
      </c>
      <c r="H53" s="75">
        <f t="shared" si="9"/>
        <v>1</v>
      </c>
      <c r="I53" s="34">
        <f>SUMIFS('BA History'!F:F,'BA History'!B:B,A53)</f>
        <v>3</v>
      </c>
      <c r="J53" s="2">
        <f>SUMIFS('BA History'!E:E,'BA History'!B:B,A53)-I53</f>
        <v>2</v>
      </c>
      <c r="K53" s="75">
        <f t="shared" si="10"/>
        <v>0.6</v>
      </c>
      <c r="L53" s="34">
        <f>SUMIFS('BA History'!H:H,'BA History'!B:B,A53)</f>
        <v>11</v>
      </c>
      <c r="M53" s="2">
        <f>SUMIFS('BA History'!G:G,'BA History'!B:B,A53)-L53</f>
        <v>10</v>
      </c>
      <c r="N53" s="93">
        <f t="shared" si="11"/>
        <v>0.52380952380952384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1</v>
      </c>
      <c r="AB53" s="2">
        <f>COUNTIFS('BA History'!$B:$B,$A$53,'BA History'!X:X, 1)</f>
        <v>1</v>
      </c>
      <c r="AC53" s="2">
        <f>COUNTIFS('BA History'!$B:$B,$A$53,'BA History'!Y:Y, 1)</f>
        <v>0</v>
      </c>
      <c r="AD53" s="2">
        <f>COUNTIFS('BA History'!$B:$B,$A$53,'BA History'!Z:Z, 1)</f>
        <v>1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  <row r="54" spans="1:36" ht="15.75" thickBot="1" x14ac:dyDescent="0.3">
      <c r="A54" s="2" t="s">
        <v>55</v>
      </c>
      <c r="B54" s="2" t="s">
        <v>79</v>
      </c>
      <c r="C54" s="34">
        <f>SUMIFS('BA History'!C:C,'BA History'!B:B,A54)</f>
        <v>2</v>
      </c>
      <c r="D54" s="66">
        <f>AVERAGEIFS('BA History'!C:C,'BA History'!B:B,A54)</f>
        <v>2</v>
      </c>
      <c r="E54" s="35">
        <f t="array" ref="E54">MAX(IF('BA History'!B:B=A54, 'BA History'!C:C))</f>
        <v>2</v>
      </c>
      <c r="F54" s="34">
        <f>COUNTIFS('BA History'!B:B,A54,'BA History'!D:D, 1)</f>
        <v>0</v>
      </c>
      <c r="G54" s="2">
        <f>COUNTIFS('BA History'!B:B,A54,'BA History'!D:D, 0)</f>
        <v>1</v>
      </c>
      <c r="H54" s="76">
        <f t="shared" si="9"/>
        <v>0</v>
      </c>
      <c r="I54" s="34">
        <f>SUMIFS('BA History'!F:F,'BA History'!B:B,A54)</f>
        <v>0</v>
      </c>
      <c r="J54" s="2">
        <f>SUMIFS('BA History'!E:E,'BA History'!B:B,A54)-I54</f>
        <v>3</v>
      </c>
      <c r="K54" s="76">
        <f t="shared" si="10"/>
        <v>0</v>
      </c>
      <c r="L54" s="34">
        <f>SUMIFS('BA History'!H:H,'BA History'!B:B,A54)</f>
        <v>4</v>
      </c>
      <c r="M54" s="48">
        <v>9</v>
      </c>
      <c r="N54" s="94">
        <f t="shared" si="11"/>
        <v>0.30769230769230771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0</v>
      </c>
      <c r="AD54" s="2">
        <f>COUNTIFS('BA History'!$B:$B,$A$54,'BA History'!Z:Z, 1)</f>
        <v>0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</sheetData>
  <autoFilter ref="A1:AJ54" xr:uid="{DA548192-1F03-46EA-8AB8-115EB9A7CE5D}">
    <sortState xmlns:xlrd2="http://schemas.microsoft.com/office/spreadsheetml/2017/richdata2" ref="A2:AJ54">
      <sortCondition ref="A1:A54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65"/>
  <sheetViews>
    <sheetView tabSelected="1" workbookViewId="0">
      <pane xSplit="2" ySplit="1" topLeftCell="L536" activePane="bottomRight" state="frozen"/>
      <selection pane="topRight" activeCell="C1" sqref="C1"/>
      <selection pane="bottomLeft" activeCell="A2" sqref="A2"/>
      <selection pane="bottomRight" activeCell="L562" sqref="L562:AF56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147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151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151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151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151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151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151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149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151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149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149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146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f>AVERAGEIFS($C$2:C483, $B$2:B483, B483)</f>
        <v>17.133333333333333</v>
      </c>
      <c r="AH483">
        <f>AVERAGEIFS($I$2:I483, $B$2:B483, B483)</f>
        <v>0.52166666666666672</v>
      </c>
      <c r="AI483">
        <f>AVERAGEIFS($I$2:J483, $B$2:C483, C483)</f>
        <v>0.53727272727272724</v>
      </c>
      <c r="AJ483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f>AVERAGEIFS($C$2:C484, $B$2:B484, B484)</f>
        <v>22.4375</v>
      </c>
      <c r="AH484">
        <f>AVERAGEIFS($I$2:I484, $B$2:B484, B484)</f>
        <v>0.61656250000000001</v>
      </c>
      <c r="AI484">
        <f>AVERAGEIFS($I$2:J484, $B$2:C484, C484)</f>
        <v>0.57352941176470584</v>
      </c>
      <c r="AJ484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f>AVERAGEIFS($C$2:C485, $B$2:B485, B485)</f>
        <v>14.375</v>
      </c>
      <c r="AH485">
        <f>AVERAGEIFS($I$2:I485, $B$2:B485, B485)</f>
        <v>0.64999999999999991</v>
      </c>
      <c r="AI485">
        <f>AVERAGEIFS($I$2:J485, $B$2:C485, C485)</f>
        <v>0.51275862068965505</v>
      </c>
      <c r="AJ485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f>AVERAGEIFS($C$2:C486, $B$2:B486, B486)</f>
        <v>13.5</v>
      </c>
      <c r="AH486">
        <f>AVERAGEIFS($I$2:I486, $B$2:B486, B486)</f>
        <v>0.44000000000000006</v>
      </c>
      <c r="AI486">
        <f>AVERAGEIFS($I$2:J486, $B$2:C486, C486)</f>
        <v>0.48916666666666669</v>
      </c>
      <c r="AJ4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f>AVERAGEIFS($C$2:C487, $B$2:B487, B487)</f>
        <v>8.6</v>
      </c>
      <c r="AH487">
        <f>AVERAGEIFS($I$2:I487, $B$2:B487, B487)</f>
        <v>0.75</v>
      </c>
      <c r="AI487">
        <f>AVERAGEIFS($I$2:J487, $B$2:C487, C487)</f>
        <v>0.48222222222222222</v>
      </c>
      <c r="AJ487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f>AVERAGEIFS($C$2:C488, $B$2:B488, B488)</f>
        <v>19.611111111111111</v>
      </c>
      <c r="AH488">
        <f>AVERAGEIFS($I$2:I488, $B$2:B488, B488)</f>
        <v>0.46111111111111103</v>
      </c>
      <c r="AI488">
        <f>AVERAGEIFS($I$2:J488, $B$2:C488, C488)</f>
        <v>0.54095238095238096</v>
      </c>
      <c r="AJ488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f>AVERAGEIFS($C$2:C489, $B$2:B489, B489)</f>
        <v>24.058823529411764</v>
      </c>
      <c r="AH489">
        <f>AVERAGEIFS($I$2:I489, $B$2:B489, B489)</f>
        <v>0.51088235294117645</v>
      </c>
      <c r="AI489">
        <f>AVERAGEIFS($I$2:J489, $B$2:C489, C489)</f>
        <v>0.51090909090909087</v>
      </c>
      <c r="AJ489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f>AVERAGEIFS($C$2:C490, $B$2:B490, B490)</f>
        <v>20.714285714285715</v>
      </c>
      <c r="AH490">
        <f>AVERAGEIFS($I$2:I490, $B$2:B490, B490)</f>
        <v>0.41761904761904761</v>
      </c>
      <c r="AI490">
        <f>AVERAGEIFS($I$2:J490, $B$2:C490, C490)</f>
        <v>0.49761904761904768</v>
      </c>
      <c r="AJ490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f>AVERAGEIFS($C$2:C491, $B$2:B491, B491)</f>
        <v>8.6666666666666661</v>
      </c>
      <c r="AH491">
        <f>AVERAGEIFS($I$2:I491, $B$2:B491, B491)</f>
        <v>0.49499999999999994</v>
      </c>
      <c r="AI491">
        <f>AVERAGEIFS($I$2:J491, $B$2:C491, C491)</f>
        <v>0.50333333333333341</v>
      </c>
      <c r="AJ491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f>AVERAGEIFS($C$2:C492, $B$2:B492, B492)</f>
        <v>17</v>
      </c>
      <c r="AH492">
        <f>AVERAGEIFS($I$2:I492, $B$2:B492, B492)</f>
        <v>0.49666666666666665</v>
      </c>
      <c r="AI492">
        <f>AVERAGEIFS($I$2:J492, $B$2:C492, C492)</f>
        <v>0.43166666666666659</v>
      </c>
      <c r="AJ492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f>AVERAGEIFS($C$2:C493, $B$2:B493, B493)</f>
        <v>18.25</v>
      </c>
      <c r="AH493">
        <f>AVERAGEIFS($I$2:I493, $B$2:B493, B493)</f>
        <v>0.71250000000000002</v>
      </c>
      <c r="AI493">
        <f>AVERAGEIFS($I$2:J493, $B$2:C493, C493)</f>
        <v>0.52357142857142869</v>
      </c>
      <c r="AJ493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f>AVERAGEIFS($C$2:C494, $B$2:B494, B494)</f>
        <v>19.076923076923077</v>
      </c>
      <c r="AH494">
        <f>AVERAGEIFS($I$2:I494, $B$2:B494, B494)</f>
        <v>0.55884615384615388</v>
      </c>
      <c r="AI494">
        <f>AVERAGEIFS($I$2:J494, $B$2:C494, C494)</f>
        <v>0.53655172413793106</v>
      </c>
      <c r="AJ494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f>AVERAGEIFS($C$2:C495, $B$2:B495, B495)</f>
        <v>21.416666666666668</v>
      </c>
      <c r="AH495">
        <f>AVERAGEIFS($I$2:I495, $B$2:B495, B495)</f>
        <v>0.63916666666666666</v>
      </c>
      <c r="AI495">
        <f>AVERAGEIFS($I$2:J495, $B$2:C495, C495)</f>
        <v>0.51590909090909098</v>
      </c>
      <c r="AJ495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f>AVERAGEIFS($C$2:C496, $B$2:B496, B496)</f>
        <v>16.46153846153846</v>
      </c>
      <c r="AH496">
        <f>AVERAGEIFS($I$2:I496, $B$2:B496, B496)</f>
        <v>0.50923076923076926</v>
      </c>
      <c r="AI496">
        <f>AVERAGEIFS($I$2:J496, $B$2:C496, C496)</f>
        <v>0.5056250000000001</v>
      </c>
      <c r="AJ49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f>AVERAGEIFS($C$2:C497, $B$2:B497, B497)</f>
        <v>16.066666666666666</v>
      </c>
      <c r="AH497">
        <f>AVERAGEIFS($I$2:I497, $B$2:B497, B497)</f>
        <v>0.54333333333333333</v>
      </c>
      <c r="AI497">
        <f>AVERAGEIFS($I$2:J497, $B$2:C497, C497)</f>
        <v>0.50560000000000005</v>
      </c>
      <c r="AJ497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f>AVERAGEIFS($C$2:C498, $B$2:B498, B498)</f>
        <v>15.857142857142858</v>
      </c>
      <c r="AH498">
        <f>AVERAGEIFS($I$2:I498, $B$2:B498, B498)</f>
        <v>0.4642857142857143</v>
      </c>
      <c r="AI498">
        <f>AVERAGEIFS($I$2:J498, $B$2:C498, C498)</f>
        <v>0.49899999999999989</v>
      </c>
      <c r="AJ498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f>AVERAGEIFS($C$2:C499, $B$2:B499, B499)</f>
        <v>22.764705882352942</v>
      </c>
      <c r="AH499">
        <f>AVERAGEIFS($I$2:I499, $B$2:B499, B499)</f>
        <v>0.32058823529411767</v>
      </c>
      <c r="AI499">
        <f>AVERAGEIFS($I$2:J499, $B$2:C499, C499)</f>
        <v>0.49782608695652181</v>
      </c>
      <c r="AJ499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f>AVERAGEIFS($C$2:C500, $B$2:B500, B500)</f>
        <v>16.888888888888889</v>
      </c>
      <c r="AH500">
        <f>AVERAGEIFS($I$2:I500, $B$2:B500, B500)</f>
        <v>0.38611111111111113</v>
      </c>
      <c r="AI500">
        <f>AVERAGEIFS($I$2:J500, $B$2:C500, C500)</f>
        <v>0.46210526315789469</v>
      </c>
      <c r="AJ500">
        <f>AVERAGEIFS($D$2:D500, $B$2:B500, B500)</f>
        <v>0.3888888888888889</v>
      </c>
    </row>
    <row r="501" spans="1:36" x14ac:dyDescent="0.25">
      <c r="A501" s="85">
        <v>46099</v>
      </c>
      <c r="B501" t="s">
        <v>151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f>AVERAGEIFS($C$2:C501, $B$2:B501, B501)</f>
        <v>6</v>
      </c>
      <c r="AH501">
        <f>AVERAGEIFS($I$2:I501, $B$2:B501, B501)</f>
        <v>0.54374999999999996</v>
      </c>
      <c r="AI501">
        <f>AVERAGEIFS($I$2:J501, $B$2:C501, C501)</f>
        <v>0.42294117647058815</v>
      </c>
      <c r="AJ501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f>AVERAGEIFS($C$2:C502, $B$2:B502, B502)</f>
        <v>12.625</v>
      </c>
      <c r="AH502">
        <f>AVERAGEIFS($I$2:I502, $B$2:B502, B502)</f>
        <v>0.51249999999999996</v>
      </c>
      <c r="AI502">
        <f>AVERAGEIFS($I$2:J502, $B$2:C502, C502)</f>
        <v>0.46769230769230757</v>
      </c>
      <c r="AJ502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>
        <f>AVERAGEIFS($C$2:C503, $B$2:B503, B503)</f>
        <v>24.285714285714285</v>
      </c>
      <c r="AH503">
        <f>AVERAGEIFS($I$2:I503, $B$2:B503, B503)</f>
        <v>0.51771428571428579</v>
      </c>
      <c r="AI503">
        <f>AVERAGEIFS($I$2:J503, $B$2:C503, C503)</f>
        <v>0.46999999999999992</v>
      </c>
      <c r="AJ503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f>AVERAGEIFS($C$2:C504, $B$2:B504, B504)</f>
        <v>21.136363636363637</v>
      </c>
      <c r="AH504">
        <f>AVERAGEIFS($I$2:I504, $B$2:B504, B504)</f>
        <v>0.43272727272727268</v>
      </c>
      <c r="AI504">
        <f>AVERAGEIFS($I$2:J504, $B$2:C504, C504)</f>
        <v>0.44999999999999996</v>
      </c>
      <c r="AJ504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>
        <f>AVERAGEIFS($C$2:C505, $B$2:B505, B505)</f>
        <v>21.23076923076923</v>
      </c>
      <c r="AH505">
        <f>AVERAGEIFS($I$2:I505, $B$2:B505, B505)</f>
        <v>0.64769230769230768</v>
      </c>
      <c r="AI505">
        <f>AVERAGEIFS($I$2:J505, $B$2:C505, C505)</f>
        <v>0.51391304347826083</v>
      </c>
      <c r="AJ505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>
        <f>AVERAGEIFS($C$2:C506, $B$2:B506, B506)</f>
        <v>14.647058823529411</v>
      </c>
      <c r="AH506">
        <f>AVERAGEIFS($I$2:I506, $B$2:B506, B506)</f>
        <v>0.65588235294117636</v>
      </c>
      <c r="AI506">
        <f>AVERAGEIFS($I$2:J506, $B$2:C506, C506)</f>
        <v>0.51666666666666672</v>
      </c>
      <c r="AJ50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>
        <f>AVERAGEIFS($C$2:C507, $B$2:B507, B507)</f>
        <v>17.096774193548388</v>
      </c>
      <c r="AH507">
        <f>AVERAGEIFS($I$2:I507, $B$2:B507, B507)</f>
        <v>0.52903225806451615</v>
      </c>
      <c r="AI507">
        <f>AVERAGEIFS($I$2:J507, $B$2:C507, C507)</f>
        <v>0.50161290322580632</v>
      </c>
      <c r="AJ507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f>AVERAGEIFS($C$2:C508, $B$2:B508, B508)</f>
        <v>16.600000000000001</v>
      </c>
      <c r="AH508">
        <f>AVERAGEIFS($I$2:I508, $B$2:B508, B508)</f>
        <v>0.72</v>
      </c>
      <c r="AI508">
        <f>AVERAGEIFS($I$2:J508, $B$2:C508, C508)</f>
        <v>0.50846153846153852</v>
      </c>
      <c r="AJ508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>
        <f>AVERAGEIFS($C$2:C509, $B$2:B509, B509)</f>
        <v>11.133333333333333</v>
      </c>
      <c r="AH509">
        <f>AVERAGEIFS($I$2:I509, $B$2:B509, B509)</f>
        <v>0.44766666666666671</v>
      </c>
      <c r="AI509">
        <f>AVERAGEIFS($I$2:J509, $B$2:C509, C509)</f>
        <v>0.46799999999999997</v>
      </c>
      <c r="AJ509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f>AVERAGEIFS($C$2:C510, $B$2:B510, B510)</f>
        <v>14</v>
      </c>
      <c r="AH510">
        <f>AVERAGEIFS($I$2:I510, $B$2:B510, B510)</f>
        <v>0.47285714285714286</v>
      </c>
      <c r="AI510">
        <f>AVERAGEIFS($I$2:J510, $B$2:C510, C510)</f>
        <v>0.47571428571428559</v>
      </c>
      <c r="AJ510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f>AVERAGEIFS($C$2:C511, $B$2:B511, B511)</f>
        <v>22.575757575757574</v>
      </c>
      <c r="AH511">
        <f>AVERAGEIFS($I$2:I511, $B$2:B511, B511)</f>
        <v>0.60545454545454547</v>
      </c>
      <c r="AI511">
        <f>AVERAGEIFS($I$2:J511, $B$2:C511, C511)</f>
        <v>0.5066666666666666</v>
      </c>
      <c r="AJ511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f>AVERAGEIFS($C$2:C512, $B$2:B512, B512)</f>
        <v>17.315789473684209</v>
      </c>
      <c r="AH512">
        <f>AVERAGEIFS($I$2:I512, $B$2:B512, B512)</f>
        <v>0.37894736842105264</v>
      </c>
      <c r="AI512">
        <f>AVERAGEIFS($I$2:J512, $B$2:C512, C512)</f>
        <v>0.46722222222222221</v>
      </c>
      <c r="AJ512">
        <f>AVERAGEIFS($D$2:D512, $B$2:B512, B512)</f>
        <v>0.36842105263157893</v>
      </c>
    </row>
    <row r="513" spans="1:36" x14ac:dyDescent="0.25">
      <c r="A513" s="85">
        <v>46099</v>
      </c>
      <c r="B513" t="s">
        <v>149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f>AVERAGEIFS($C$2:C513, $B$2:B513, B513)</f>
        <v>8.75</v>
      </c>
      <c r="AH513">
        <f>AVERAGEIFS($I$2:I513, $B$2:B513, B513)</f>
        <v>0.375</v>
      </c>
      <c r="AI513">
        <f>AVERAGEIFS($I$2:J513, $B$2:C513, C513)</f>
        <v>0.53266666666666673</v>
      </c>
      <c r="AJ513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f>AVERAGEIFS($C$2:C514, $B$2:B514, B514)</f>
        <v>16.9375</v>
      </c>
      <c r="AH514">
        <f>AVERAGEIFS($I$2:I514, $B$2:B514, B514)</f>
        <v>0.48124999999999996</v>
      </c>
      <c r="AI514">
        <f>AVERAGEIFS($I$2:J514, $B$2:C514, C514)</f>
        <v>0.49906249999999991</v>
      </c>
      <c r="AJ514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f>AVERAGEIFS($C$2:C515, $B$2:B515, B515)</f>
        <v>9.6666666666666661</v>
      </c>
      <c r="AH515">
        <f>AVERAGEIFS($I$2:I515, $B$2:B515, B515)</f>
        <v>0.66666666666666663</v>
      </c>
      <c r="AI515">
        <f>AVERAGEIFS($I$2:J515, $B$2:C515, C515)</f>
        <v>0.49458333333333337</v>
      </c>
      <c r="AJ515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f>AVERAGEIFS($C$2:C516, $B$2:B516, B516)</f>
        <v>9.4285714285714288</v>
      </c>
      <c r="AH516">
        <f>AVERAGEIFS($I$2:I516, $B$2:B516, B516)</f>
        <v>0.45999999999999996</v>
      </c>
      <c r="AI516">
        <f>AVERAGEIFS($I$2:J516, $B$2:C516, C516)</f>
        <v>0.50058823529411778</v>
      </c>
      <c r="AJ51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f>AVERAGEIFS($C$2:C517, $B$2:B517, B517)</f>
        <v>11.5</v>
      </c>
      <c r="AH517">
        <f>AVERAGEIFS($I$2:I517, $B$2:B517, B517)</f>
        <v>0.5</v>
      </c>
      <c r="AI517">
        <f>AVERAGEIFS($I$2:J517, $B$2:C517, C517)</f>
        <v>0.49611111111111117</v>
      </c>
      <c r="AJ517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f>AVERAGEIFS($C$2:C518, $B$2:B518, B518)</f>
        <v>18.777777777777779</v>
      </c>
      <c r="AH518">
        <f>AVERAGEIFS($I$2:I518, $B$2:B518, B518)</f>
        <v>0.54740740740740745</v>
      </c>
      <c r="AI518">
        <f>AVERAGEIFS($I$2:J518, $B$2:C518, C518)</f>
        <v>0.52789473684210531</v>
      </c>
      <c r="AJ518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f>AVERAGEIFS($C$2:C519, $B$2:B519, B519)</f>
        <v>24.361111111111111</v>
      </c>
      <c r="AH519">
        <f>AVERAGEIFS($I$2:I519, $B$2:B519, B519)</f>
        <v>0.52</v>
      </c>
      <c r="AI519">
        <f>AVERAGEIFS($I$2:J519, $B$2:C519, C519)</f>
        <v>0.5099999999999999</v>
      </c>
      <c r="AJ519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f>AVERAGEIFS($C$2:C520, $B$2:B520, B520)</f>
        <v>22.470588235294116</v>
      </c>
      <c r="AH520">
        <f>AVERAGEIFS($I$2:I520, $B$2:B520, B520)</f>
        <v>0.60529411764705887</v>
      </c>
      <c r="AI520">
        <f>AVERAGEIFS($I$2:J520, $B$2:C520, C520)</f>
        <v>0.51800000000000002</v>
      </c>
      <c r="AJ520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f>AVERAGEIFS($C$2:C521, $B$2:B521, B521)</f>
        <v>15</v>
      </c>
      <c r="AH521">
        <f>AVERAGEIFS($I$2:I521, $B$2:B521, B521)</f>
        <v>0.65277777777777768</v>
      </c>
      <c r="AI521">
        <f>AVERAGEIFS($I$2:J521, $B$2:C521, C521)</f>
        <v>0.5722222222222223</v>
      </c>
      <c r="AJ521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f>AVERAGEIFS($C$2:C522, $B$2:B522, B522)</f>
        <v>17.399999999999999</v>
      </c>
      <c r="AH522">
        <f>AVERAGEIFS($I$2:I522, $B$2:B522, B522)</f>
        <v>0.39</v>
      </c>
      <c r="AI522">
        <f>AVERAGEIFS($I$2:J522, $B$2:C522, C522)</f>
        <v>0.51923076923076927</v>
      </c>
      <c r="AJ522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f>AVERAGEIFS($C$2:C523, $B$2:B523, B523)</f>
        <v>14</v>
      </c>
      <c r="AH523">
        <f>AVERAGEIFS($I$2:I523, $B$2:B523, B523)</f>
        <v>0.67500000000000004</v>
      </c>
      <c r="AI523">
        <f>AVERAGEIFS($I$2:J523, $B$2:C523, C523)</f>
        <v>0.53322580645161299</v>
      </c>
      <c r="AJ523">
        <f>AVERAGEIFS($D$2:D523, $B$2:B523, B523)</f>
        <v>1</v>
      </c>
    </row>
    <row r="524" spans="1:36" x14ac:dyDescent="0.25">
      <c r="A524" s="85">
        <v>46100</v>
      </c>
      <c r="B524" t="s">
        <v>151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>
        <f>AVERAGEIFS($C$2:C524, $B$2:B524, B524)</f>
        <v>7.2222222222222223</v>
      </c>
      <c r="AH524">
        <f>AVERAGEIFS($I$2:I524, $B$2:B524, B524)</f>
        <v>0.54999999999999993</v>
      </c>
      <c r="AI524">
        <f>AVERAGEIFS($I$2:J524, $B$2:C524, C524)</f>
        <v>0.47208333333333341</v>
      </c>
      <c r="AJ524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f>AVERAGEIFS($C$2:C525, $B$2:B525, B525)</f>
        <v>26.411764705882351</v>
      </c>
      <c r="AH525">
        <f>AVERAGEIFS($I$2:I525, $B$2:B525, B525)</f>
        <v>0.40294117647058825</v>
      </c>
      <c r="AI525">
        <f>AVERAGEIFS($I$2:J525, $B$2:C525, C525)</f>
        <v>0.55000000000000004</v>
      </c>
      <c r="AJ525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f>AVERAGEIFS($C$2:C526, $B$2:B526, B526)</f>
        <v>14.909090909090908</v>
      </c>
      <c r="AH526">
        <f>AVERAGEIFS($I$2:I526, $B$2:B526, B526)</f>
        <v>0.43636363636363645</v>
      </c>
      <c r="AI526">
        <f>AVERAGEIFS($I$2:J526, $B$2:C526, C526)</f>
        <v>0.52857142857142869</v>
      </c>
      <c r="AJ52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f>AVERAGEIFS($C$2:C527, $B$2:B527, B527)</f>
        <v>4.5999999999999996</v>
      </c>
      <c r="AH527">
        <f>AVERAGEIFS($I$2:I527, $B$2:B527, B527)</f>
        <v>0.43</v>
      </c>
      <c r="AI527">
        <f>AVERAGEIFS($I$2:J527, $B$2:C527, C527)</f>
        <v>0.52400000000000002</v>
      </c>
      <c r="AJ527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f>AVERAGEIFS($C$2:C528, $B$2:B528, B528)</f>
        <v>14.090909090909092</v>
      </c>
      <c r="AH528">
        <f>AVERAGEIFS($I$2:I528, $B$2:B528, B528)</f>
        <v>0.46954545454545454</v>
      </c>
      <c r="AI528">
        <f>AVERAGEIFS($I$2:J528, $B$2:C528, C528)</f>
        <v>0.4975757575757575</v>
      </c>
      <c r="AJ528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f>AVERAGEIFS($C$2:C529, $B$2:B529, B529)</f>
        <v>23.222222222222221</v>
      </c>
      <c r="AH529">
        <f>AVERAGEIFS($I$2:I529, $B$2:B529, B529)</f>
        <v>0.32500000000000001</v>
      </c>
      <c r="AI529">
        <f>AVERAGEIFS($I$2:J529, $B$2:C529, C529)</f>
        <v>0.54500000000000004</v>
      </c>
      <c r="AJ529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f>AVERAGEIFS($C$2:C530, $B$2:B530, B530)</f>
        <v>17.0625</v>
      </c>
      <c r="AH530">
        <f>AVERAGEIFS($I$2:I530, $B$2:B530, B530)</f>
        <v>0.52500000000000002</v>
      </c>
      <c r="AI530">
        <f>AVERAGEIFS($I$2:J530, $B$2:C530, C530)</f>
        <v>0.49617647058823522</v>
      </c>
      <c r="AJ530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f>AVERAGEIFS($C$2:C531, $B$2:B531, B531)</f>
        <v>17.272727272727273</v>
      </c>
      <c r="AH531">
        <f>AVERAGEIFS($I$2:I531, $B$2:B531, B531)</f>
        <v>0.52121212121212124</v>
      </c>
      <c r="AI531">
        <f>AVERAGEIFS($I$2:J531, $B$2:C531, C531)</f>
        <v>0.52913043478260868</v>
      </c>
      <c r="AJ531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f>AVERAGEIFS($C$2:C532, $B$2:B532, B532)</f>
        <v>24.378378378378379</v>
      </c>
      <c r="AH532">
        <f>AVERAGEIFS($I$2:I532, $B$2:B532, B532)</f>
        <v>0.51675675675675681</v>
      </c>
      <c r="AI532">
        <f>AVERAGEIFS($I$2:J532, $B$2:C532, C532)</f>
        <v>0.46105263157894738</v>
      </c>
      <c r="AJ532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>
        <f>AVERAGEIFS($C$2:C533, $B$2:B533, B533)</f>
        <v>17.571428571428573</v>
      </c>
      <c r="AH533">
        <f>AVERAGEIFS($I$2:I533, $B$2:B533, B533)</f>
        <v>0.39047619047619042</v>
      </c>
      <c r="AI533">
        <f>AVERAGEIFS($I$2:J533, $B$2:C533, C533)</f>
        <v>0.56052631578947365</v>
      </c>
      <c r="AJ533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>
        <f>AVERAGEIFS($C$2:C534, $B$2:B534, B534)</f>
        <v>12.818181818181818</v>
      </c>
      <c r="AH534">
        <f>AVERAGEIFS($I$2:I534, $B$2:B534, B534)</f>
        <v>0.46363636363636368</v>
      </c>
      <c r="AI534">
        <f>AVERAGEIFS($I$2:J534, $B$2:C534, C534)</f>
        <v>0.48880000000000001</v>
      </c>
      <c r="AJ534">
        <f>AVERAGEIFS($D$2:D534, $B$2:B534, B534)</f>
        <v>0.54545454545454541</v>
      </c>
    </row>
    <row r="535" spans="1:36" x14ac:dyDescent="0.25">
      <c r="A535" s="85">
        <v>46101</v>
      </c>
      <c r="B535" t="s">
        <v>154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>
        <f>AVERAGEIFS($C$2:C535, $B$2:B535, B535)</f>
        <v>12</v>
      </c>
      <c r="AH535">
        <f>AVERAGEIFS($I$2:I535, $B$2:B535, B535)</f>
        <v>0.4</v>
      </c>
      <c r="AI535">
        <f>AVERAGEIFS($I$2:J535, $B$2:C535, C535)</f>
        <v>0.49399999999999994</v>
      </c>
      <c r="AJ535">
        <f>AVERAGEIFS($D$2:D535, $B$2:B535, B535)</f>
        <v>0</v>
      </c>
    </row>
    <row r="536" spans="1:36" x14ac:dyDescent="0.25">
      <c r="A536" s="85">
        <v>46101</v>
      </c>
      <c r="B536" t="s">
        <v>151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f>AVERAGEIFS($C$2:C536, $B$2:B536, B536)</f>
        <v>7.9</v>
      </c>
      <c r="AH536">
        <f>AVERAGEIFS($I$2:I536, $B$2:B536, B536)</f>
        <v>0.53499999999999992</v>
      </c>
      <c r="AI536">
        <f>AVERAGEIFS($I$2:J536, $B$2:C536, C536)</f>
        <v>0.48842105263157903</v>
      </c>
      <c r="AJ53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>
        <f>AVERAGEIFS($C$2:C537, $B$2:B537, B537)</f>
        <v>26.111111111111111</v>
      </c>
      <c r="AH537">
        <f>AVERAGEIFS($I$2:I537, $B$2:B537, B537)</f>
        <v>0.41388888888888892</v>
      </c>
      <c r="AI537">
        <f>AVERAGEIFS($I$2:J537, $B$2:C537, C537)</f>
        <v>0.56500000000000006</v>
      </c>
      <c r="AJ537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>
        <f>AVERAGEIFS($C$2:C538, $B$2:B538, B538)</f>
        <v>22.714285714285715</v>
      </c>
      <c r="AH538">
        <f>AVERAGEIFS($I$2:I538, $B$2:B538, B538)</f>
        <v>0.6051428571428572</v>
      </c>
      <c r="AI538">
        <f>AVERAGEIFS($I$2:J538, $B$2:C538, C538)</f>
        <v>0.55999999999999994</v>
      </c>
      <c r="AJ538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>
        <f>AVERAGEIFS($C$2:C539, $B$2:B539, B539)</f>
        <v>19.789473684210527</v>
      </c>
      <c r="AH539">
        <f>AVERAGEIFS($I$2:I539, $B$2:B539, B539)</f>
        <v>0.46842105263157885</v>
      </c>
      <c r="AI539">
        <f>AVERAGEIFS($I$2:J539, $B$2:C539, C539)</f>
        <v>0.5605</v>
      </c>
      <c r="AJ539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>
        <f>AVERAGEIFS($C$2:C540, $B$2:B540, B540)</f>
        <v>17</v>
      </c>
      <c r="AH540">
        <f>AVERAGEIFS($I$2:I540, $B$2:B540, B540)</f>
        <v>0.65</v>
      </c>
      <c r="AI540">
        <f>AVERAGEIFS($I$2:J540, $B$2:C540, C540)</f>
        <v>0.56476190476190469</v>
      </c>
      <c r="AJ540">
        <f>AVERAGEIFS($D$2:D540, $B$2:B540, B540)</f>
        <v>1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f>AVERAGEIFS($C$2:C541, $B$2:B541, B541)</f>
        <v>16.470588235294116</v>
      </c>
      <c r="AH541">
        <f>AVERAGEIFS($I$2:I541, $B$2:B541, B541)</f>
        <v>0.48823529411764699</v>
      </c>
      <c r="AI541">
        <f>AVERAGEIFS($I$2:J541, $B$2:C541, C541)</f>
        <v>0.47666666666666668</v>
      </c>
      <c r="AJ541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f>AVERAGEIFS($C$2:C542, $B$2:B542, B542)</f>
        <v>15.052631578947368</v>
      </c>
      <c r="AH542">
        <f>AVERAGEIFS($I$2:I542, $B$2:B542, B542)</f>
        <v>0.64999999999999991</v>
      </c>
      <c r="AI542">
        <f>AVERAGEIFS($I$2:J542, $B$2:C542, C542)</f>
        <v>0.50057142857142845</v>
      </c>
      <c r="AJ542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>
        <f>AVERAGEIFS($C$2:C543, $B$2:B543, B543)</f>
        <v>18.09090909090909</v>
      </c>
      <c r="AH543">
        <f>AVERAGEIFS($I$2:I543, $B$2:B543, B543)</f>
        <v>0.39999999999999997</v>
      </c>
      <c r="AI543">
        <f>AVERAGEIFS($I$2:J543, $B$2:C543, C543)</f>
        <v>0.53</v>
      </c>
      <c r="AJ543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f>AVERAGEIFS($C$2:C544, $B$2:B544, B544)</f>
        <v>21.571428571428573</v>
      </c>
      <c r="AH544">
        <f>AVERAGEIFS($I$2:I544, $B$2:B544, B544)</f>
        <v>0.64428571428571424</v>
      </c>
      <c r="AI544">
        <f>AVERAGEIFS($I$2:J544, $B$2:C544, C544)</f>
        <v>0.54875000000000007</v>
      </c>
      <c r="AJ544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>
        <f>AVERAGEIFS($C$2:C545, $B$2:B545, B545)</f>
        <v>24.342105263157894</v>
      </c>
      <c r="AH545">
        <f>AVERAGEIFS($I$2:I545, $B$2:B545, B545)</f>
        <v>0.51894736842105271</v>
      </c>
      <c r="AI545">
        <f>AVERAGEIFS($I$2:J545, $B$2:C545, C545)</f>
        <v>0.5636363636363636</v>
      </c>
      <c r="AJ545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>
        <f>AVERAGEIFS($C$2:C546, $B$2:B546, B546)</f>
        <v>21.043478260869566</v>
      </c>
      <c r="AH546">
        <f>AVERAGEIFS($I$2:I546, $B$2:B546, B546)</f>
        <v>0.43999999999999995</v>
      </c>
      <c r="AI546">
        <f>AVERAGEIFS($I$2:J546, $B$2:C546, C546)</f>
        <v>0.52000000000000013</v>
      </c>
      <c r="AJ54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f>AVERAGEIFS($C$2:C547, $B$2:B547, B547)</f>
        <v>9</v>
      </c>
      <c r="AH547">
        <f>AVERAGEIFS($I$2:I547, $B$2:B547, B547)</f>
        <v>0.67500000000000004</v>
      </c>
      <c r="AI547">
        <f>AVERAGEIFS($I$2:J547, $B$2:C547, C547)</f>
        <v>0.49099999999999999</v>
      </c>
      <c r="AJ547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>
        <f>AVERAGEIFS($C$2:C548, $B$2:B548, B548)</f>
        <v>16.166666666666668</v>
      </c>
      <c r="AH548">
        <f>AVERAGEIFS($I$2:I548, $B$2:B548, B548)</f>
        <v>0.49444444444444435</v>
      </c>
      <c r="AI548">
        <f>AVERAGEIFS($I$2:J548, $B$2:C548, C548)</f>
        <v>0.52476190476190476</v>
      </c>
      <c r="AJ548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>
        <f>AVERAGEIFS($C$2:C549, $B$2:B549, B549)</f>
        <v>10.806451612903226</v>
      </c>
      <c r="AH549">
        <f>AVERAGEIFS($I$2:I549, $B$2:B549, B549)</f>
        <v>0.45258064516129037</v>
      </c>
      <c r="AI549">
        <f>AVERAGEIFS($I$2:J549, $B$2:C549, C549)</f>
        <v>0.59000000000000008</v>
      </c>
      <c r="AJ549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f>AVERAGEIFS($C$2:C550, $B$2:B550, B550)</f>
        <v>23.631578947368421</v>
      </c>
      <c r="AH550">
        <f>AVERAGEIFS($I$2:I550, $B$2:B550, B550)</f>
        <v>0.32894736842105265</v>
      </c>
      <c r="AI550">
        <f>AVERAGEIFS($I$2:J550, $B$2:C550, C550)</f>
        <v>0.54749999999999999</v>
      </c>
      <c r="AJ550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f>AVERAGEIFS($C$2:C551, $B$2:B551, B551)</f>
        <v>11</v>
      </c>
      <c r="AH551">
        <f>AVERAGEIFS($I$2:I551, $B$2:B551, B551)</f>
        <v>0.55999999999999994</v>
      </c>
      <c r="AI551">
        <f>AVERAGEIFS($I$2:J551, $B$2:C551, C551)</f>
        <v>0.56000000000000005</v>
      </c>
      <c r="AJ551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f>AVERAGEIFS($C$2:C552, $B$2:B552, B552)</f>
        <v>16.785714285714285</v>
      </c>
      <c r="AH552">
        <f>AVERAGEIFS($I$2:I552, $B$2:B552, B552)</f>
        <v>0.50142857142857145</v>
      </c>
      <c r="AI552">
        <f>AVERAGEIFS($I$2:J552, $B$2:C552, C552)</f>
        <v>0.55545454545454553</v>
      </c>
      <c r="AJ552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f>AVERAGEIFS($C$2:C553, $B$2:B553, B553)</f>
        <v>17.352941176470587</v>
      </c>
      <c r="AH553">
        <f>AVERAGEIFS($I$2:I553, $B$2:B553, B553)</f>
        <v>0.51764705882352935</v>
      </c>
      <c r="AI553">
        <f>AVERAGEIFS($I$2:J553, $B$2:C553, C553)</f>
        <v>0.46058823529411752</v>
      </c>
      <c r="AJ553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f>AVERAGEIFS($C$2:C554, $B$2:B554, B554)</f>
        <v>22.527777777777779</v>
      </c>
      <c r="AH554">
        <f>AVERAGEIFS($I$2:I554, $B$2:B554, B554)</f>
        <v>0.59944444444444445</v>
      </c>
      <c r="AI554">
        <f>AVERAGEIFS($I$2:J554, $B$2:C554, C554)</f>
        <v>0.49944444444444436</v>
      </c>
      <c r="AJ554">
        <f>AVERAGEIFS($D$2:D554, $B$2:B554, B554)</f>
        <v>0.69444444444444442</v>
      </c>
    </row>
    <row r="555" spans="1:36" x14ac:dyDescent="0.25">
      <c r="A555" s="85">
        <v>46102</v>
      </c>
      <c r="B555" t="s">
        <v>151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f>AVERAGEIFS($C$2:C555, $B$2:B555, B555)</f>
        <v>8.2727272727272734</v>
      </c>
      <c r="AH555">
        <f>AVERAGEIFS($I$2:I555, $B$2:B555, B555)</f>
        <v>0.52272727272727271</v>
      </c>
      <c r="AI555">
        <f>AVERAGEIFS($I$2:J555, $B$2:C555, C555)</f>
        <v>0.49238095238095236</v>
      </c>
      <c r="AJ555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>
        <f>AVERAGEIFS($C$2:C556, $B$2:B556, B556)</f>
        <v>17.399999999999999</v>
      </c>
      <c r="AH556">
        <f>AVERAGEIFS($I$2:I556, $B$2:B556, B556)</f>
        <v>0.53142857142857136</v>
      </c>
      <c r="AI556">
        <f>AVERAGEIFS($I$2:J556, $B$2:C556, C556)</f>
        <v>0.52607142857142863</v>
      </c>
      <c r="AJ55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>
        <f>AVERAGEIFS($C$2:C557, $B$2:B557, B557)</f>
        <v>11.833333333333334</v>
      </c>
      <c r="AH557">
        <f>AVERAGEIFS($I$2:I557, $B$2:B557, B557)</f>
        <v>0.6333333333333333</v>
      </c>
      <c r="AI557">
        <f>AVERAGEIFS($I$2:J557, $B$2:C557, C557)</f>
        <v>0.50459459459459455</v>
      </c>
      <c r="AJ557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>
        <f>AVERAGEIFS($C$2:C558, $B$2:B558, B558)</f>
        <v>24.128205128205128</v>
      </c>
      <c r="AH558">
        <f>AVERAGEIFS($I$2:I558, $B$2:B558, B558)</f>
        <v>0.5312820512820513</v>
      </c>
      <c r="AI558">
        <f>AVERAGEIFS($I$2:J558, $B$2:C558, C558)</f>
        <v>0.5094736842105263</v>
      </c>
      <c r="AJ558">
        <f>AVERAGEIFS($D$2:D558, $B$2:B558, B558)</f>
        <v>0.53846153846153844</v>
      </c>
    </row>
    <row r="559" spans="1:36" x14ac:dyDescent="0.25">
      <c r="A559" s="85">
        <v>46102</v>
      </c>
      <c r="B559" t="s">
        <v>151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>
        <f>AVERAGEIFS($C$2:C559, $B$2:B559, B559)</f>
        <v>8.75</v>
      </c>
      <c r="AH559">
        <f>AVERAGEIFS($I$2:I559, $B$2:B559, B559)</f>
        <v>0.5625</v>
      </c>
      <c r="AI559">
        <f>AVERAGEIFS($I$2:J559, $B$2:C559, C559)</f>
        <v>0.50047619047619052</v>
      </c>
      <c r="AJ559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>
        <f>AVERAGEIFS($C$2:C560, $B$2:B560, B560)</f>
        <v>20.666666666666668</v>
      </c>
      <c r="AH560">
        <f>AVERAGEIFS($I$2:I560, $B$2:B560, B560)</f>
        <v>0.46333333333333332</v>
      </c>
      <c r="AI560">
        <f>AVERAGEIFS($I$2:J560, $B$2:C560, C560)</f>
        <v>0.50136363636363634</v>
      </c>
      <c r="AJ560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f>AVERAGEIFS($C$2:C561, $B$2:B561, B561)</f>
        <v>16.210526315789473</v>
      </c>
      <c r="AH561">
        <f>AVERAGEIFS($I$2:I561, $B$2:B561, B561)</f>
        <v>0.46842105263157885</v>
      </c>
      <c r="AI561">
        <f>AVERAGEIFS($I$2:J561, $B$2:C561, C561)</f>
        <v>0.46560000000000007</v>
      </c>
      <c r="AJ561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f>AVERAGEIFS($C$2:C562, $B$2:B562, B562)</f>
        <v>15.15</v>
      </c>
      <c r="AH562">
        <f>AVERAGEIFS($I$2:I562, $B$2:B562, B562)</f>
        <v>0.61749999999999994</v>
      </c>
      <c r="AI562">
        <f>AVERAGEIFS($I$2:J562, $B$2:C562, C562)</f>
        <v>0.4596153846153847</v>
      </c>
      <c r="AJ562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f>AVERAGEIFS($C$2:C563, $B$2:B563, B563)</f>
        <v>22.243243243243242</v>
      </c>
      <c r="AH563">
        <f>AVERAGEIFS($I$2:I563, $B$2:B563, B563)</f>
        <v>0.58324324324324328</v>
      </c>
      <c r="AI563">
        <f>AVERAGEIFS($I$2:J563, $B$2:C563, C563)</f>
        <v>0.49304347826086958</v>
      </c>
      <c r="AJ563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f>AVERAGEIFS($C$2:C564, $B$2:B564, B564)</f>
        <v>12.166666666666666</v>
      </c>
      <c r="AH564">
        <f>AVERAGEIFS($I$2:I564, $B$2:B564, B564)</f>
        <v>0.59166666666666667</v>
      </c>
      <c r="AI564">
        <f>AVERAGEIFS($I$2:J564, $B$2:C564, C564)</f>
        <v>0.50111111111111117</v>
      </c>
      <c r="AJ564">
        <f>AVERAGEIFS($D$2:D564, $B$2:B564, B564)</f>
        <v>0.83333333333333337</v>
      </c>
    </row>
    <row r="565" spans="1:36" x14ac:dyDescent="0.25">
      <c r="A565" s="85">
        <v>46102</v>
      </c>
      <c r="B565" t="s">
        <v>149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f>AVERAGEIFS($C$2:C565, $B$2:B565, B565)</f>
        <v>8.6</v>
      </c>
      <c r="AH565">
        <f>AVERAGEIFS($I$2:I565, $B$2:B565, B565)</f>
        <v>0.3</v>
      </c>
      <c r="AI565">
        <f>AVERAGEIFS($I$2:J565, $B$2:C565, C565)</f>
        <v>0.41666666666666657</v>
      </c>
      <c r="AJ565">
        <f>AVERAGEIFS($D$2:D565, $B$2:B565, B565)</f>
        <v>0.2</v>
      </c>
    </row>
  </sheetData>
  <autoFilter ref="A1:AJ530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2026-03-23T01:29:25Z</dcterms:modified>
</cp:coreProperties>
</file>