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7F5C66A-1324-477B-85E2-82038636943A}" xr6:coauthVersionLast="47" xr6:coauthVersionMax="47" xr10:uidLastSave="{00000000-0000-0000-0000-000000000000}"/>
  <bookViews>
    <workbookView xWindow="-120" yWindow="-120" windowWidth="38640" windowHeight="211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S2'!$A$1:$AJ$161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2'!$A$1:$AG$38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878" i="9" l="1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F37" i="13"/>
  <c r="G37" i="13"/>
  <c r="H37" i="13" a="1"/>
  <c r="H37" i="13" s="1"/>
  <c r="I37" i="13"/>
  <c r="J37" i="13"/>
  <c r="K37" i="13"/>
  <c r="L37" i="13"/>
  <c r="M37" i="13" s="1"/>
  <c r="N37" i="13"/>
  <c r="O37" i="13"/>
  <c r="P37" i="13" s="1"/>
  <c r="Q37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9" i="13"/>
  <c r="G39" i="13"/>
  <c r="H39" i="13" a="1"/>
  <c r="H39" i="13" s="1"/>
  <c r="I39" i="13"/>
  <c r="J39" i="13"/>
  <c r="K39" i="13"/>
  <c r="L39" i="13"/>
  <c r="M39" i="13" s="1"/>
  <c r="N39" i="13"/>
  <c r="O39" i="13"/>
  <c r="P39" i="13" s="1"/>
  <c r="Q39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8" i="13"/>
  <c r="P38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8" i="13"/>
  <c r="M38" i="13" s="1"/>
  <c r="K38" i="13"/>
  <c r="J4" i="13"/>
  <c r="J5" i="13"/>
  <c r="J6" i="13"/>
  <c r="J8" i="13"/>
  <c r="J32" i="13"/>
  <c r="J33" i="13"/>
  <c r="J34" i="13"/>
  <c r="J35" i="13"/>
  <c r="J36" i="13"/>
  <c r="J38" i="13"/>
  <c r="I4" i="13"/>
  <c r="I5" i="13"/>
  <c r="I6" i="13"/>
  <c r="I8" i="13"/>
  <c r="I32" i="13"/>
  <c r="I33" i="13"/>
  <c r="I34" i="13"/>
  <c r="I35" i="13"/>
  <c r="I36" i="13"/>
  <c r="I38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8" i="13" a="1"/>
  <c r="H38" i="13" s="1"/>
  <c r="G4" i="13"/>
  <c r="G5" i="13"/>
  <c r="G6" i="13"/>
  <c r="G8" i="13"/>
  <c r="G32" i="13"/>
  <c r="G33" i="13"/>
  <c r="G34" i="13"/>
  <c r="G35" i="13"/>
  <c r="G36" i="13"/>
  <c r="G38" i="13"/>
  <c r="F4" i="13"/>
  <c r="F5" i="13"/>
  <c r="F6" i="13"/>
  <c r="F8" i="13"/>
  <c r="F32" i="13"/>
  <c r="F33" i="13"/>
  <c r="F34" i="13"/>
  <c r="F35" i="13"/>
  <c r="F36" i="13"/>
  <c r="F38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8" i="13"/>
  <c r="Q38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<sst xmlns="http://schemas.openxmlformats.org/spreadsheetml/2006/main" count="3501" uniqueCount="170">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</sst>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1" sqref="E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65</v>
      </c>
      <c r="G3" s="4">
        <f>AVERAGEIFS('OB History'!C:C,'OB History'!B:B,A3)</f>
        <v>9.2857142857142865</v>
      </c>
      <c r="H3" s="35">
        <f t="array" ref="H3">MAX(IF('OB History'!B:B=A3, 'OB History'!C:C))</f>
        <v>19</v>
      </c>
      <c r="I3" s="34">
        <f>COUNTIFS('OB History'!B:B,A3,'OB History'!D:D, 1)</f>
        <v>5</v>
      </c>
      <c r="J3" s="2">
        <f>COUNTIFS('OB History'!B:B,A3,'OB History'!D:D, 0)</f>
        <v>2</v>
      </c>
      <c r="K3" s="88">
        <f>LOOKUP(2, 1/('OB History'!$B:$B=A3), 'OB History'!$AD:$AD)</f>
        <v>0.7142857142857143</v>
      </c>
      <c r="L3" s="34">
        <f>SUMIFS('OB History'!F:F,'OB History'!B:B,A3)</f>
        <v>15</v>
      </c>
      <c r="M3" s="2">
        <f>SUMIFS('OB History'!E:E,'OB History'!B:B,A3)-L3</f>
        <v>13</v>
      </c>
      <c r="N3" s="88">
        <f>LOOKUP(2, 1/('OB History'!$B:$B=A3), 'OB History'!$AB:$AB)</f>
        <v>0.50714285714285712</v>
      </c>
      <c r="O3" s="34">
        <f>SUMIFS('OB History'!H:H,'OB History'!B:B,A3)</f>
        <v>61</v>
      </c>
      <c r="P3" s="2">
        <f>SUMIFS('OB History'!G:G,'OB History'!B:B,A3)-O3</f>
        <v>58</v>
      </c>
      <c r="Q3" s="88">
        <f>LOOKUP(2, 1/('OB History'!$B:$B=A3), 'OB History'!$AC:$AC)</f>
        <v>0.50142857142857133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2</v>
      </c>
      <c r="AF3" s="2">
        <f>COUNTIFS('OB History'!$B:$B,$A$3,'OB History'!Y:Y, 1)</f>
        <v>2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437</v>
      </c>
      <c r="G4" s="4">
        <f>AVERAGEIFS('OB History'!C:C,'OB History'!B:B,A4)</f>
        <v>19.863636363636363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12</v>
      </c>
      <c r="K4" s="88">
        <f>LOOKUP(2, 1/('OB History'!$B:$B=A4), 'OB History'!$AD:$AD)</f>
        <v>0.45454545454545453</v>
      </c>
      <c r="L4" s="34">
        <f>SUMIFS('OB History'!F:F,'OB History'!B:B,A4)</f>
        <v>40</v>
      </c>
      <c r="M4" s="2">
        <f>SUMIFS('OB History'!E:E,'OB History'!B:B,A4)-L4</f>
        <v>50</v>
      </c>
      <c r="N4" s="88">
        <f>LOOKUP(2, 1/('OB History'!$B:$B=A4), 'OB History'!$AB:$AB)</f>
        <v>0.42272727272727267</v>
      </c>
      <c r="O4" s="34">
        <f>SUMIFS('OB History'!H:H,'OB History'!B:B,A4)</f>
        <v>174</v>
      </c>
      <c r="P4" s="2">
        <f>SUMIFS('OB History'!G:G,'OB History'!B:B,A4)-O4</f>
        <v>194</v>
      </c>
      <c r="Q4" s="88">
        <f>LOOKUP(2, 1/('OB History'!$B:$B=A4), 'OB History'!$AC:$AC)</f>
        <v>0.46045454545454539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268</v>
      </c>
      <c r="G6" s="4">
        <f>AVERAGEIFS('OB History'!C:C,'OB History'!B:B,A6)</f>
        <v>11.652173913043478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11</v>
      </c>
      <c r="K6" s="88">
        <f>LOOKUP(2, 1/('OB History'!$B:$B=A6), 'OB History'!$AD:$AD)</f>
        <v>0.52173913043478259</v>
      </c>
      <c r="L6" s="34">
        <f>SUMIFS('OB History'!F:F,'OB History'!B:B,A6)</f>
        <v>43</v>
      </c>
      <c r="M6" s="2">
        <f>SUMIFS('OB History'!E:E,'OB History'!B:B,A6)-L6</f>
        <v>50</v>
      </c>
      <c r="N6" s="88">
        <f>LOOKUP(2, 1/('OB History'!$B:$B=A6), 'OB History'!$AB:$AB)</f>
        <v>0.43478260869565216</v>
      </c>
      <c r="O6" s="34">
        <f>SUMIFS('OB History'!H:H,'OB History'!B:B,'Old Bow v2'!A6)</f>
        <v>181</v>
      </c>
      <c r="P6" s="2">
        <f>SUMIFS('OB History'!G:G,'OB History'!B:B,'Old Bow v2'!A6)-O6</f>
        <v>199</v>
      </c>
      <c r="Q6" s="88">
        <f>LOOKUP(2, 1/('OB History'!$B:$B=A6), 'OB History'!$AC:$AC)</f>
        <v>0.46608695652173926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98</v>
      </c>
      <c r="G10" s="4">
        <f>AVERAGEIFS('OB History'!C:C,'OB History'!B:B,A10)</f>
        <v>12.25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5</v>
      </c>
      <c r="K10" s="88">
        <f>LOOKUP(2, 1/('OB History'!$B:$B=A10), 'OB History'!$AD:$AD)</f>
        <v>0.375</v>
      </c>
      <c r="L10" s="34">
        <f>SUMIFS('OB History'!F:F,'OB History'!B:B,A10)</f>
        <v>17</v>
      </c>
      <c r="M10" s="2">
        <f>SUMIFS('OB History'!E:E,'OB History'!B:B,A10)-L10</f>
        <v>19</v>
      </c>
      <c r="N10" s="88">
        <f>LOOKUP(2, 1/('OB History'!$B:$B=A10), 'OB History'!$AB:$AB)</f>
        <v>0.48749999999999999</v>
      </c>
      <c r="O10" s="34">
        <f>SUMIFS('OB History'!H:H,'OB History'!B:B,'Old Bow v2'!A10)</f>
        <v>74</v>
      </c>
      <c r="P10" s="2">
        <f>SUMIFS('OB History'!G:G,'OB History'!B:B,'Old Bow v2'!A10)-O10</f>
        <v>76</v>
      </c>
      <c r="Q10" s="88">
        <f>LOOKUP(2, 1/('OB History'!$B:$B=A10), 'OB History'!$AC:$AC)</f>
        <v>0.50249999999999995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385</v>
      </c>
      <c r="G12" s="4">
        <f>AVERAGEIFS('OB History'!C:C,'OB History'!B:B,A12)</f>
        <v>12.419354838709678</v>
      </c>
      <c r="H12" s="35">
        <f t="array" ref="H12">MAX(IF('OB History'!B:B=A12, 'OB History'!C:C))</f>
        <v>24</v>
      </c>
      <c r="I12" s="34">
        <f>COUNTIFS('OB History'!B:B,A12,'OB History'!D:D, 1)</f>
        <v>22</v>
      </c>
      <c r="J12" s="2">
        <f>COUNTIFS('OB History'!B:B,A12,'OB History'!D:D, 0)</f>
        <v>9</v>
      </c>
      <c r="K12" s="88">
        <f>LOOKUP(2, 1/('OB History'!$B:$B=A12), 'OB History'!$AD:$AD)</f>
        <v>0.70967741935483875</v>
      </c>
      <c r="L12" s="34">
        <f>SUMIFS('OB History'!F:F,'OB History'!B:B,A12)</f>
        <v>78</v>
      </c>
      <c r="M12" s="2">
        <f>SUMIFS('OB History'!E:E,'OB History'!B:B,A12)-L12</f>
        <v>49</v>
      </c>
      <c r="N12" s="88">
        <f>LOOKUP(2, 1/('OB History'!$B:$B=A12), 'OB History'!$AB:$AB)</f>
        <v>0.63548387096774195</v>
      </c>
      <c r="O12" s="34">
        <f>SUMIFS('OB History'!H:H,'OB History'!B:B,'Old Bow v2'!A12)</f>
        <v>291</v>
      </c>
      <c r="P12" s="2">
        <f>SUMIFS('OB History'!G:G,'OB History'!B:B,'Old Bow v2'!A12)-O12</f>
        <v>234</v>
      </c>
      <c r="Q12" s="88">
        <f>LOOKUP(2, 1/('OB History'!$B:$B=A12), 'OB History'!$AC:$AC)</f>
        <v>0.56290322580645147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12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6</v>
      </c>
      <c r="AE12" s="2">
        <f>COUNTIFS('OB History'!$B:$B,$A$12,'OB History'!X:X, 1)</f>
        <v>8</v>
      </c>
      <c r="AF12" s="2">
        <f>COUNTIFS('OB History'!$B:$B,$A$12,'OB History'!Y:Y, 1)</f>
        <v>4</v>
      </c>
      <c r="AG12" s="2">
        <f>COUNTIFS('OB History'!$B:$B,$A$12,'OB History'!Z:Z, 1)</f>
        <v>8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309</v>
      </c>
      <c r="G18" s="4">
        <f>AVERAGEIFS('OB History'!C:C,'OB History'!B:B,A18)</f>
        <v>23.76923076923077</v>
      </c>
      <c r="H18" s="35">
        <f t="array" ref="H18">MAX(IF('OB History'!B:B=A18, 'OB History'!C:C))</f>
        <v>37</v>
      </c>
      <c r="I18" s="34">
        <f>COUNTIFS('OB History'!B:B,A18,'OB History'!D:D, 1)</f>
        <v>8</v>
      </c>
      <c r="J18" s="2">
        <f>COUNTIFS('OB History'!B:B,A18,'OB History'!D:D, 0)</f>
        <v>5</v>
      </c>
      <c r="K18" s="88">
        <f>LOOKUP(2, 1/('OB History'!$B:$B=A18), 'OB History'!$AD:$AD)</f>
        <v>0.61538461538461542</v>
      </c>
      <c r="L18" s="34">
        <f>SUMIFS('OB History'!F:F,'OB History'!B:B,A18)</f>
        <v>30</v>
      </c>
      <c r="M18" s="2">
        <f>SUMIFS('OB History'!E:E,'OB History'!B:B,A18)-L18</f>
        <v>26</v>
      </c>
      <c r="N18" s="88">
        <f>LOOKUP(2, 1/('OB History'!$B:$B=A18), 'OB History'!$AB:$AB)</f>
        <v>0.5346153846153846</v>
      </c>
      <c r="O18" s="34">
        <f>SUMIFS('OB History'!H:H,'OB History'!B:B,'Old Bow v2'!A18)</f>
        <v>116</v>
      </c>
      <c r="P18" s="2">
        <f>SUMIFS('OB History'!G:G,'OB History'!B:B,'Old Bow v2'!A18)-O18</f>
        <v>117</v>
      </c>
      <c r="Q18" s="88">
        <f>LOOKUP(2, 1/('OB History'!$B:$B=A18), 'OB History'!$AC:$AC)</f>
        <v>0.49230769230769234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2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4</v>
      </c>
      <c r="AE18" s="2">
        <f>COUNTIFS('OB History'!$B:$B,$A$18,'OB History'!X:X, 1)</f>
        <v>4</v>
      </c>
      <c r="AF18" s="2">
        <f>COUNTIFS('OB History'!$B:$B,$A$18,'OB History'!Y:Y, 1)</f>
        <v>4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>
        <v>1</v>
      </c>
      <c r="E19" s="3"/>
      <c r="F19" s="34">
        <f>SUMIFS('OB History'!C:C,'OB History'!B:B,A19)</f>
        <v>109</v>
      </c>
      <c r="G19" s="4">
        <f>AVERAGEIFS('OB History'!C:C,'OB History'!B:B,A19)</f>
        <v>18.166666666666668</v>
      </c>
      <c r="H19" s="35">
        <f t="array" ref="H19">MAX(IF('OB History'!B:B=A19, 'OB History'!C:C))</f>
        <v>26</v>
      </c>
      <c r="I19" s="34">
        <f>COUNTIFS('OB History'!B:B,A19,'OB History'!D:D, 1)</f>
        <v>5</v>
      </c>
      <c r="J19" s="2">
        <f>COUNTIFS('OB History'!B:B,A19,'OB History'!D:D, 0)</f>
        <v>1</v>
      </c>
      <c r="K19" s="88">
        <f>LOOKUP(2, 1/('OB History'!$B:$B=A19), 'OB History'!$AD:$AD)</f>
        <v>0.83333333333333337</v>
      </c>
      <c r="L19" s="34">
        <f>SUMIFS('OB History'!F:F,'OB History'!B:B,A19)</f>
        <v>17</v>
      </c>
      <c r="M19" s="2">
        <f>SUMIFS('OB History'!E:E,'OB History'!B:B,A19)-L19</f>
        <v>8</v>
      </c>
      <c r="N19" s="88">
        <f>LOOKUP(2, 1/('OB History'!$B:$B=A19), 'OB History'!$AB:$AB)</f>
        <v>0.70833333333333337</v>
      </c>
      <c r="O19" s="34">
        <f>SUMIFS('OB History'!H:H,'OB History'!B:B,'Old Bow v2'!A19)</f>
        <v>62</v>
      </c>
      <c r="P19" s="2">
        <f>SUMIFS('OB History'!G:G,'OB History'!B:B,'Old Bow v2'!A19)-O19</f>
        <v>37</v>
      </c>
      <c r="Q19" s="88">
        <f>LOOKUP(2, 1/('OB History'!$B:$B=A19), 'OB History'!$AC:$AC)</f>
        <v>0.64333333333333331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2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3</v>
      </c>
      <c r="AE19" s="2">
        <f>COUNTIFS('OB History'!$B:$B,$A$19,'OB History'!X:X, 1)</f>
        <v>2</v>
      </c>
      <c r="AF19" s="2">
        <f>COUNTIFS('OB History'!$B:$B,$A$19,'OB History'!Y:Y, 1)</f>
        <v>4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415</v>
      </c>
      <c r="G20" s="4">
        <f>AVERAGEIFS('OB History'!C:C,'OB History'!B:B,A20)</f>
        <v>11.216216216216216</v>
      </c>
      <c r="H20" s="35">
        <f t="array" ref="H20">MAX(IF('OB History'!B:B=A20, 'OB History'!C:C))</f>
        <v>41</v>
      </c>
      <c r="I20" s="34">
        <f>COUNTIFS('OB History'!B:B,A20,'OB History'!D:D, 1)</f>
        <v>16</v>
      </c>
      <c r="J20" s="2">
        <f>COUNTIFS('OB History'!B:B,A20,'OB History'!D:D, 0)</f>
        <v>21</v>
      </c>
      <c r="K20" s="88">
        <f>LOOKUP(2, 1/('OB History'!$B:$B=A20), 'OB History'!$AD:$AD)</f>
        <v>0.43243243243243246</v>
      </c>
      <c r="L20" s="34">
        <f>SUMIFS('OB History'!F:F,'OB History'!B:B,A20)</f>
        <v>71</v>
      </c>
      <c r="M20" s="2">
        <f>SUMIFS('OB History'!E:E,'OB History'!B:B,A20)-L20</f>
        <v>79</v>
      </c>
      <c r="N20" s="88">
        <f>LOOKUP(2, 1/('OB History'!$B:$B=A20), 'OB History'!$AB:$AB)</f>
        <v>0.46621621621621623</v>
      </c>
      <c r="O20" s="34">
        <f>SUMIFS('OB History'!H:H,'OB History'!B:B,'Old Bow v2'!A20)</f>
        <v>307</v>
      </c>
      <c r="P20" s="2">
        <f>SUMIFS('OB History'!G:G,'OB History'!B:B,'Old Bow v2'!A20)-O20</f>
        <v>314</v>
      </c>
      <c r="Q20" s="88">
        <f>LOOKUP(2, 1/('OB History'!$B:$B=A20), 'OB History'!$AC:$AC)</f>
        <v>0.49675675675675673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7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9</v>
      </c>
      <c r="AE20" s="2">
        <f>COUNTIFS('OB History'!$B:$B,$A$20,'OB History'!X:X, 1)</f>
        <v>13</v>
      </c>
      <c r="AF20" s="2">
        <f>COUNTIFS('OB History'!$B:$B,$A$20,'OB History'!Y:Y, 1)</f>
        <v>7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147</v>
      </c>
      <c r="G22" s="4">
        <f>AVERAGEIFS('OB History'!C:C,'OB History'!B:B,A22)</f>
        <v>10.5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5</v>
      </c>
      <c r="K22" s="88">
        <f>LOOKUP(2, 1/('OB History'!$B:$B=A22), 'OB History'!$AD:$AD)</f>
        <v>0.6428571428571429</v>
      </c>
      <c r="L22" s="34">
        <f>SUMIFS('OB History'!F:F,'OB History'!B:B,A22)</f>
        <v>34</v>
      </c>
      <c r="M22" s="2">
        <f>SUMIFS('OB History'!E:E,'OB History'!B:B,A22)-L22</f>
        <v>27</v>
      </c>
      <c r="N22" s="88">
        <f>LOOKUP(2, 1/('OB History'!$B:$B=A22), 'OB History'!$AB:$AB)</f>
        <v>0.56785714285714284</v>
      </c>
      <c r="O22" s="34">
        <f>SUMIFS('OB History'!H:H,'OB History'!B:B,'Old Bow v2'!A22)</f>
        <v>128</v>
      </c>
      <c r="P22" s="2">
        <f>SUMIFS('OB History'!G:G,'OB History'!B:B,'Old Bow v2'!A22)-O22</f>
        <v>116</v>
      </c>
      <c r="Q22" s="88">
        <f>LOOKUP(2, 1/('OB History'!$B:$B=A22), 'OB History'!$AC:$AC)</f>
        <v>0.53214285714285703</v>
      </c>
      <c r="R22" s="2">
        <f>COUNTIFS('OB History'!$B:$B,$A$22,'OB History'!K:K, 1)</f>
        <v>1</v>
      </c>
      <c r="S22" s="2">
        <f>COUNTIFS('OB History'!$B:$B,$A$22,'OB History'!L:L, 1)</f>
        <v>4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274</v>
      </c>
      <c r="G29" s="4">
        <f>AVERAGEIFS('OB History'!C:C,'OB History'!B:B,A29)</f>
        <v>13.047619047619047</v>
      </c>
      <c r="H29" s="35">
        <f t="array" ref="H29">MAX(IF('OB History'!B:B=A29, 'OB History'!C:C))</f>
        <v>23</v>
      </c>
      <c r="I29" s="34">
        <f>COUNTIFS('OB History'!B:B,A29,'OB History'!D:D, 1)</f>
        <v>11</v>
      </c>
      <c r="J29" s="2">
        <f>COUNTIFS('OB History'!B:B,A29,'OB History'!D:D, 0)</f>
        <v>10</v>
      </c>
      <c r="K29" s="88">
        <f>LOOKUP(2, 1/('OB History'!$B:$B=A29), 'OB History'!$AD:$AD)</f>
        <v>0.52380952380952384</v>
      </c>
      <c r="L29" s="34">
        <f>SUMIFS('OB History'!F:F,'OB History'!B:B,A29)</f>
        <v>45</v>
      </c>
      <c r="M29" s="2">
        <f>SUMIFS('OB History'!E:E,'OB History'!B:B,A29)-L29</f>
        <v>42</v>
      </c>
      <c r="N29" s="88">
        <f>LOOKUP(2, 1/('OB History'!$B:$B=A29), 'OB History'!$AB:$AB)</f>
        <v>0.53333333333333333</v>
      </c>
      <c r="O29" s="34">
        <f>SUMIFS('OB History'!H:H,'OB History'!B:B,'Old Bow v2'!A29)</f>
        <v>176</v>
      </c>
      <c r="P29" s="2">
        <f>SUMIFS('OB History'!G:G,'OB History'!B:B,'Old Bow v2'!A29)-O29</f>
        <v>177</v>
      </c>
      <c r="Q29" s="88">
        <f>LOOKUP(2, 1/('OB History'!$B:$B=A29), 'OB History'!$AC:$AC)</f>
        <v>0.50571428571428589</v>
      </c>
      <c r="R29" s="2">
        <f>COUNTIFS('OB History'!$B:$B,$A$29,'OB History'!K:K, 1)</f>
        <v>2</v>
      </c>
      <c r="S29" s="2">
        <f>COUNTIFS('OB History'!$B:$B,$A$29,'OB History'!L:L, 1)</f>
        <v>5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10</v>
      </c>
      <c r="AF29" s="2">
        <f>COUNTIFS('OB History'!$B:$B,$A$29,'OB History'!Y:Y, 1)</f>
        <v>8</v>
      </c>
      <c r="AG29" s="2">
        <f>COUNTIFS('OB History'!$B:$B,$A$29,'OB History'!Z:Z, 1)</f>
        <v>4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3</v>
      </c>
      <c r="E32" s="3">
        <v>1</v>
      </c>
      <c r="F32" s="34">
        <f>SUMIFS('OB History'!C:C,'OB History'!B:B,A32)</f>
        <v>1312</v>
      </c>
      <c r="G32" s="4">
        <f>AVERAGEIFS('OB History'!C:C,'OB History'!B:B,A32)</f>
        <v>26.24</v>
      </c>
      <c r="H32" s="35">
        <f t="array" ref="H32">MAX(IF('OB History'!B:B=A32, 'OB History'!C:C))</f>
        <v>57</v>
      </c>
      <c r="I32" s="34">
        <f>COUNTIFS('OB History'!B:B,A32,'OB History'!D:D, 1)</f>
        <v>32</v>
      </c>
      <c r="J32" s="2">
        <f>COUNTIFS('OB History'!B:B,A32,'OB History'!D:D, 0)</f>
        <v>18</v>
      </c>
      <c r="K32" s="88">
        <f>LOOKUP(2, 1/('OB History'!$B:$B=A32), 'OB History'!$AD:$AD)</f>
        <v>0.64</v>
      </c>
      <c r="L32" s="34">
        <f>SUMIFS('OB History'!F:F,'OB History'!B:B,A32)</f>
        <v>116</v>
      </c>
      <c r="M32" s="2">
        <f>SUMIFS('OB History'!E:E,'OB History'!B:B,A32)-L32</f>
        <v>89</v>
      </c>
      <c r="N32" s="88">
        <f>LOOKUP(2, 1/('OB History'!$B:$B=A32), 'OB History'!$AB:$AB)</f>
        <v>0.56899999999999995</v>
      </c>
      <c r="O32" s="34">
        <f>SUMIFS('OB History'!H:H,'OB History'!B:B,'Old Bow v2'!A32)</f>
        <v>454</v>
      </c>
      <c r="P32" s="2">
        <f>SUMIFS('OB History'!G:G,'OB History'!B:B,'Old Bow v2'!A32)-O32</f>
        <v>382</v>
      </c>
      <c r="Q32" s="88">
        <f>LOOKUP(2, 1/('OB History'!$B:$B=A32), 'OB History'!$AC:$AC)</f>
        <v>0.54479999999999995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16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10</v>
      </c>
      <c r="AE32" s="2">
        <f>COUNTIFS('OB History'!$B:$B,$A$32,'OB History'!X:X, 1)</f>
        <v>12</v>
      </c>
      <c r="AF32" s="2">
        <f>COUNTIFS('OB History'!$B:$B,$A$32,'OB History'!Y:Y, 1)</f>
        <v>11</v>
      </c>
      <c r="AG32" s="2">
        <f>COUNTIFS('OB History'!$B:$B,$A$32,'OB History'!Z:Z, 1)</f>
        <v>13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266</v>
      </c>
      <c r="G35" s="4">
        <f>AVERAGEIFS('OB History'!C:C,'OB History'!B:B,A35)</f>
        <v>22.166666666666668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7</v>
      </c>
      <c r="K35" s="88">
        <f>LOOKUP(2, 1/('OB History'!$B:$B=A35), 'OB History'!$AD:$AD)</f>
        <v>0.41666666666666669</v>
      </c>
      <c r="L35" s="34">
        <f>SUMIFS('OB History'!F:F,'OB History'!B:B,A35)</f>
        <v>22</v>
      </c>
      <c r="M35" s="2">
        <f>SUMIFS('OB History'!E:E,'OB History'!B:B,A35)-L35</f>
        <v>29</v>
      </c>
      <c r="N35" s="88">
        <f>LOOKUP(2, 1/('OB History'!$B:$B=A35), 'OB History'!$AB:$AB)</f>
        <v>0.41249999999999992</v>
      </c>
      <c r="O35" s="34">
        <f>SUMIFS('OB History'!H:H,'OB History'!B:B,'Old Bow v2'!A35)</f>
        <v>101</v>
      </c>
      <c r="P35" s="2">
        <f>SUMIFS('OB History'!G:G,'OB History'!B:B,'Old Bow v2'!A35)-O35</f>
        <v>115</v>
      </c>
      <c r="Q35" s="88">
        <f>LOOKUP(2, 1/('OB History'!$B:$B=A35), 'OB History'!$AC:$AC)</f>
        <v>0.45333333333333331</v>
      </c>
      <c r="R35" s="2">
        <f>COUNTIFS('OB History'!$B:$B,$A$35,'OB History'!K:K, 1)</f>
        <v>1</v>
      </c>
      <c r="S35" s="2">
        <f>COUNTIFS('OB History'!$B:$B,$A$35,'OB History'!L:L, 1)</f>
        <v>2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5</v>
      </c>
      <c r="E41" s="3">
        <v>3</v>
      </c>
      <c r="F41" s="34">
        <f>SUMIFS('OB History'!C:C,'OB History'!B:B,A41)</f>
        <v>1130</v>
      </c>
      <c r="G41" s="4">
        <f>AVERAGEIFS('OB History'!C:C,'OB History'!B:B,A41)</f>
        <v>25.681818181818183</v>
      </c>
      <c r="H41" s="35">
        <f t="array" ref="H41">MAX(IF('OB History'!B:B=A41, 'OB History'!C:C))</f>
        <v>49</v>
      </c>
      <c r="I41" s="34">
        <f>COUNTIFS('OB History'!B:B,A41,'OB History'!D:D, 1)</f>
        <v>19</v>
      </c>
      <c r="J41" s="2">
        <f>COUNTIFS('OB History'!B:B,A41,'OB History'!D:D, 0)</f>
        <v>25</v>
      </c>
      <c r="K41" s="88">
        <f>LOOKUP(2, 1/('OB History'!$B:$B=A41), 'OB History'!$AD:$AD)</f>
        <v>0.43181818181818182</v>
      </c>
      <c r="L41" s="34">
        <f>SUMIFS('OB History'!F:F,'OB History'!B:B,A41)</f>
        <v>90</v>
      </c>
      <c r="M41" s="2">
        <f>SUMIFS('OB History'!E:E,'OB History'!B:B,A41)-L41</f>
        <v>92</v>
      </c>
      <c r="N41" s="88">
        <f>LOOKUP(2, 1/('OB History'!$B:$B=A41), 'OB History'!$AB:$AB)</f>
        <v>0.50909090909090926</v>
      </c>
      <c r="O41" s="34">
        <f>SUMIFS('OB History'!H:H,'OB History'!B:B,'Old Bow v2'!A41)</f>
        <v>374</v>
      </c>
      <c r="P41" s="2">
        <f>SUMIFS('OB History'!G:G,'OB History'!B:B,'Old Bow v2'!A41)-O41</f>
        <v>372</v>
      </c>
      <c r="Q41" s="88">
        <f>LOOKUP(2, 1/('OB History'!$B:$B=A41), 'OB History'!$AC:$AC)</f>
        <v>0.51181818181818173</v>
      </c>
      <c r="R41" s="2">
        <f>COUNTIFS('OB History'!$B:$B,$A$41,'OB History'!K:K, 1)</f>
        <v>6</v>
      </c>
      <c r="S41" s="2">
        <f>COUNTIFS('OB History'!$B:$B,$A$41,'OB History'!L:L, 1)</f>
        <v>6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13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>
        <v>2</v>
      </c>
      <c r="E42" s="3">
        <v>1</v>
      </c>
      <c r="F42" s="34">
        <f>SUMIFS('OB History'!C:C,'OB History'!B:B,A42)</f>
        <v>220</v>
      </c>
      <c r="G42" s="4">
        <f>AVERAGEIFS('OB History'!C:C,'OB History'!B:B,A42)</f>
        <v>14.666666666666666</v>
      </c>
      <c r="H42" s="35">
        <f t="array" ref="H42">MAX(IF('OB History'!B:B=A42, 'OB History'!C:C))</f>
        <v>28</v>
      </c>
      <c r="I42" s="34">
        <f>COUNTIFS('OB History'!B:B,A42,'OB History'!D:D, 1)</f>
        <v>3</v>
      </c>
      <c r="J42" s="2">
        <f>COUNTIFS('OB History'!B:B,A42,'OB History'!D:D, 0)</f>
        <v>12</v>
      </c>
      <c r="K42" s="88">
        <f>LOOKUP(2, 1/('OB History'!$B:$B=A42), 'OB History'!$AD:$AD)</f>
        <v>0.2</v>
      </c>
      <c r="L42" s="34">
        <f>SUMIFS('OB History'!F:F,'OB History'!B:B,A42)</f>
        <v>23</v>
      </c>
      <c r="M42" s="2">
        <f>SUMIFS('OB History'!E:E,'OB History'!B:B,A42)-L42</f>
        <v>41</v>
      </c>
      <c r="N42" s="88">
        <f>LOOKUP(2, 1/('OB History'!$B:$B=A42), 'OB History'!$AB:$AB)</f>
        <v>0.33666666666666667</v>
      </c>
      <c r="O42" s="34">
        <f>SUMIFS('OB History'!H:H,'OB History'!B:B,'Old Bow v2'!A42)</f>
        <v>115</v>
      </c>
      <c r="P42" s="2">
        <f>SUMIFS('OB History'!G:G,'OB History'!B:B,'Old Bow v2'!A42)-O42</f>
        <v>144</v>
      </c>
      <c r="Q42" s="88">
        <f>LOOKUP(2, 1/('OB History'!$B:$B=A42), 'OB History'!$AC:$AC)</f>
        <v>0.42599999999999999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4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1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1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545</v>
      </c>
      <c r="G43" s="4">
        <f>AVERAGEIFS('OB History'!C:C,'OB History'!B:B,A43)</f>
        <v>22.708333333333332</v>
      </c>
      <c r="H43" s="35">
        <f t="array" ref="H43">MAX(IF('OB History'!B:B=A43, 'OB History'!C:C))</f>
        <v>43</v>
      </c>
      <c r="I43" s="34">
        <f>COUNTIFS('OB History'!B:B,A43,'OB History'!D:D, 1)</f>
        <v>17</v>
      </c>
      <c r="J43" s="2">
        <f>COUNTIFS('OB History'!B:B,A43,'OB History'!D:D, 0)</f>
        <v>7</v>
      </c>
      <c r="K43" s="88">
        <f>LOOKUP(2, 1/('OB History'!$B:$B=A43), 'OB History'!$AD:$AD)</f>
        <v>0.70833333333333337</v>
      </c>
      <c r="L43" s="34">
        <f>SUMIFS('OB History'!F:F,'OB History'!B:B,A43)</f>
        <v>59</v>
      </c>
      <c r="M43" s="2">
        <f>SUMIFS('OB History'!E:E,'OB History'!B:B,A43)-L43</f>
        <v>38</v>
      </c>
      <c r="N43" s="88">
        <f>LOOKUP(2, 1/('OB History'!$B:$B=A43), 'OB History'!$AB:$AB)</f>
        <v>0.62708333333333333</v>
      </c>
      <c r="O43" s="34">
        <f>SUMIFS('OB History'!H:H,'OB History'!B:B,'Old Bow v2'!A43)</f>
        <v>227</v>
      </c>
      <c r="P43" s="2">
        <f>SUMIFS('OB History'!G:G,'OB History'!B:B,'Old Bow v2'!A43)-O43</f>
        <v>185</v>
      </c>
      <c r="Q43" s="88">
        <f>LOOKUP(2, 1/('OB History'!$B:$B=A43), 'OB History'!$AC:$AC)</f>
        <v>0.56125000000000003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6</v>
      </c>
      <c r="U43" s="2">
        <f>COUNTIFS('OB History'!$B:$B,$A$43,'OB History'!N:N, 1)</f>
        <v>3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3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7</v>
      </c>
      <c r="AE43" s="2">
        <f>COUNTIFS('OB History'!$B:$B,$A$43,'OB History'!X:X, 1)</f>
        <v>7</v>
      </c>
      <c r="AF43" s="2">
        <f>COUNTIFS('OB History'!$B:$B,$A$43,'OB History'!Y:Y, 1)</f>
        <v>4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587</v>
      </c>
      <c r="G44" s="4">
        <f>AVERAGEIFS('OB History'!C:C,'OB History'!B:B,A44)</f>
        <v>25.521739130434781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12</v>
      </c>
      <c r="K44" s="88">
        <f>LOOKUP(2, 1/('OB History'!$B:$B=A44), 'OB History'!$AD:$AD)</f>
        <v>0.47826086956521741</v>
      </c>
      <c r="L44" s="34">
        <f>SUMIFS('OB History'!F:F,'OB History'!B:B,A44)</f>
        <v>48</v>
      </c>
      <c r="M44" s="2">
        <f>SUMIFS('OB History'!E:E,'OB History'!B:B,A44)-L44</f>
        <v>48</v>
      </c>
      <c r="N44" s="88">
        <f>LOOKUP(2, 1/('OB History'!$B:$B=A44), 'OB History'!$AB:$AB)</f>
        <v>0.50217391304347825</v>
      </c>
      <c r="O44" s="34">
        <f>SUMIFS('OB History'!H:H,'OB History'!B:B,'Old Bow v2'!A44)</f>
        <v>199</v>
      </c>
      <c r="P44" s="2">
        <f>SUMIFS('OB History'!G:G,'OB History'!B:B,'Old Bow v2'!A44)-O44</f>
        <v>199</v>
      </c>
      <c r="Q44" s="88">
        <f>LOOKUP(2, 1/('OB History'!$B:$B=A44), 'OB History'!$AC:$AC)</f>
        <v>0.50173913043478269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1</v>
      </c>
      <c r="U44" s="2">
        <f>COUNTIFS('OB History'!$B:$B,$A$44,'OB History'!N:N, 1)</f>
        <v>9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106</v>
      </c>
      <c r="G45" s="4">
        <f>AVERAGEIFS('OB History'!C:C,'OB History'!B:B,A45)</f>
        <v>15.142857142857142</v>
      </c>
      <c r="H45" s="35">
        <f t="array" ref="H45">MAX(IF('OB History'!B:B=A45, 'OB History'!C:C))</f>
        <v>21</v>
      </c>
      <c r="I45" s="34">
        <f>COUNTIFS('OB History'!B:B,A45,'OB History'!D:D, 1)</f>
        <v>5</v>
      </c>
      <c r="J45" s="2">
        <f>COUNTIFS('OB History'!B:B,A45,'OB History'!D:D, 0)</f>
        <v>2</v>
      </c>
      <c r="K45" s="88">
        <f>LOOKUP(2, 1/('OB History'!$B:$B=A45), 'OB History'!$AD:$AD)</f>
        <v>0.7142857142857143</v>
      </c>
      <c r="L45" s="34">
        <f>SUMIFS('OB History'!F:F,'OB History'!B:B,A45)</f>
        <v>15</v>
      </c>
      <c r="M45" s="2">
        <f>SUMIFS('OB History'!E:E,'OB History'!B:B,A45)-L45</f>
        <v>12</v>
      </c>
      <c r="N45" s="88">
        <f>LOOKUP(2, 1/('OB History'!$B:$B=A45), 'OB History'!$AB:$AB)</f>
        <v>0.52857142857142858</v>
      </c>
      <c r="O45" s="34">
        <f>SUMIFS('OB History'!H:H,'OB History'!B:B,'Old Bow v2'!A45)</f>
        <v>57</v>
      </c>
      <c r="P45" s="2">
        <f>SUMIFS('OB History'!G:G,'OB History'!B:B,'Old Bow v2'!A45)-O45</f>
        <v>53</v>
      </c>
      <c r="Q45" s="88">
        <f>LOOKUP(2, 1/('OB History'!$B:$B=A45), 'OB History'!$AC:$AC)</f>
        <v>0.49428571428571422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1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1</v>
      </c>
      <c r="AE45" s="2">
        <f>COUNTIFS('OB History'!$B:$B,$A$45,'OB History'!X:X, 1)</f>
        <v>3</v>
      </c>
      <c r="AF45" s="2">
        <f>COUNTIFS('OB History'!$B:$B,$A$45,'OB History'!Y:Y, 1)</f>
        <v>2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4</v>
      </c>
      <c r="E46" s="3">
        <v>1</v>
      </c>
      <c r="F46" s="34">
        <f>SUMIFS('OB History'!C:C,'OB History'!B:B,A46)</f>
        <v>902</v>
      </c>
      <c r="G46" s="4">
        <f>AVERAGEIFS('OB History'!C:C,'OB History'!B:B,A46)</f>
        <v>24.378378378378379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19</v>
      </c>
      <c r="K46" s="88">
        <f>LOOKUP(2, 1/('OB History'!$B:$B=A46), 'OB History'!$AD:$AD)</f>
        <v>0.48648648648648651</v>
      </c>
      <c r="L46" s="34">
        <f>SUMIFS('OB History'!F:F,'OB History'!B:B,A46)</f>
        <v>73</v>
      </c>
      <c r="M46" s="2">
        <f>SUMIFS('OB History'!E:E,'OB History'!B:B,A46)-L46</f>
        <v>77</v>
      </c>
      <c r="N46" s="88">
        <f>LOOKUP(2, 1/('OB History'!$B:$B=A46), 'OB History'!$AB:$AB)</f>
        <v>0.49054054054054053</v>
      </c>
      <c r="O46" s="34">
        <f>SUMIFS('OB History'!H:H,'OB History'!B:B,'Old Bow v2'!A46)</f>
        <v>302</v>
      </c>
      <c r="P46" s="2">
        <f>SUMIFS('OB History'!G:G,'OB History'!B:B,'Old Bow v2'!A46)-O46</f>
        <v>318</v>
      </c>
      <c r="Q46" s="88">
        <f>LOOKUP(2, 1/('OB History'!$B:$B=A46), 'OB History'!$AC:$AC)</f>
        <v>0.49378378378378385</v>
      </c>
      <c r="R46" s="2">
        <f>COUNTIFS('OB History'!$B:$B,$A$46,'OB History'!K:K, 1)</f>
        <v>3</v>
      </c>
      <c r="S46" s="2">
        <f>COUNTIFS('OB History'!$B:$B,$A$46,'OB History'!L:L, 1)</f>
        <v>9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53</v>
      </c>
      <c r="G47" s="4">
        <f>AVERAGEIFS('OB History'!C:C,'OB History'!B:B,A47)</f>
        <v>17.666666666666668</v>
      </c>
      <c r="H47" s="35">
        <f t="array" ref="H47">MAX(IF('OB History'!B:B=A47, 'OB History'!C:C))</f>
        <v>25</v>
      </c>
      <c r="I47" s="34">
        <f>COUNTIFS('OB History'!B:B,A47,'OB History'!D:D, 1)</f>
        <v>2</v>
      </c>
      <c r="J47" s="2">
        <f>COUNTIFS('OB History'!B:B,A47,'OB History'!D:D, 0)</f>
        <v>1</v>
      </c>
      <c r="K47" s="88">
        <f>LOOKUP(2, 1/('OB History'!$B:$B=A47), 'OB History'!$AD:$AD)</f>
        <v>0.66666666666666663</v>
      </c>
      <c r="L47" s="34">
        <f>SUMIFS('OB History'!F:F,'OB History'!B:B,A47)</f>
        <v>8</v>
      </c>
      <c r="M47" s="2">
        <f>SUMIFS('OB History'!E:E,'OB History'!B:B,A47)-L47</f>
        <v>5</v>
      </c>
      <c r="N47" s="88">
        <f>LOOKUP(2, 1/('OB History'!$B:$B=A47), 'OB History'!$AB:$AB)</f>
        <v>0.66666666666666663</v>
      </c>
      <c r="O47" s="34">
        <f>SUMIFS('OB History'!H:H,'OB History'!B:B,'Old Bow v2'!A47)</f>
        <v>29</v>
      </c>
      <c r="P47" s="2">
        <f>SUMIFS('OB History'!G:G,'OB History'!B:B,'Old Bow v2'!A47)-O47</f>
        <v>24</v>
      </c>
      <c r="Q47" s="88">
        <f>LOOKUP(2, 1/('OB History'!$B:$B=A47), 'OB History'!$AC:$AC)</f>
        <v>0.56000000000000005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2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2</v>
      </c>
      <c r="AF47" s="2">
        <f>COUNTIFS('OB History'!$B:$B,$A$47,'OB History'!Y:Y, 1)</f>
        <v>0</v>
      </c>
      <c r="AG47" s="2">
        <f>COUNTIFS('OB History'!$B:$B,$A$47,'OB History'!Z:Z, 1)</f>
        <v>1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174</v>
      </c>
      <c r="G48" s="4">
        <f>AVERAGEIFS('OB History'!C:C,'OB History'!B:B,A48)</f>
        <v>19.333333333333332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5</v>
      </c>
      <c r="K48" s="88">
        <f>LOOKUP(2, 1/('OB History'!$B:$B=A48), 'OB History'!$AD:$AD)</f>
        <v>0.44444444444444442</v>
      </c>
      <c r="L48" s="34">
        <f>SUMIFS('OB History'!F:F,'OB History'!B:B,A48)</f>
        <v>15</v>
      </c>
      <c r="M48" s="2">
        <f>SUMIFS('OB History'!E:E,'OB History'!B:B,A48)-L48</f>
        <v>20</v>
      </c>
      <c r="N48" s="88">
        <f>LOOKUP(2, 1/('OB History'!$B:$B=A48), 'OB History'!$AB:$AB)</f>
        <v>0.4</v>
      </c>
      <c r="O48" s="34">
        <f>SUMIFS('OB History'!H:H,'OB History'!B:B,'Old Bow v2'!A48)</f>
        <v>67</v>
      </c>
      <c r="P48" s="2">
        <f>SUMIFS('OB History'!G:G,'OB History'!B:B,'Old Bow v2'!A48)-O48</f>
        <v>77</v>
      </c>
      <c r="Q48" s="88">
        <f>LOOKUP(2, 1/('OB History'!$B:$B=A48), 'OB History'!$AC:$AC)</f>
        <v>0.44444444444444442</v>
      </c>
      <c r="R48" s="2">
        <f>COUNTIFS('OB History'!$B:$B,$A$48,'OB History'!K:K, 1)</f>
        <v>0</v>
      </c>
      <c r="S48" s="2">
        <f>COUNTIFS('OB History'!$B:$B,$A$48,'OB History'!L:L, 1)</f>
        <v>4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26"/>
  <sheetViews>
    <sheetView workbookViewId="0">
      <pane ySplit="1" topLeftCell="A688" activePane="bottomLeft" state="frozen"/>
      <selection pane="bottomLeft" activeCell="A715" sqref="A715:Z72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151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147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141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156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149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156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141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151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141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147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149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156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151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149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140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9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D49" sqref="D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25</v>
      </c>
      <c r="G3" s="4">
        <f>AVERAGEIFS('OB History S2'!C:C,'OB History S2'!B:B,A3)</f>
        <v>6.25</v>
      </c>
      <c r="H3" s="35">
        <f t="array" ref="H3">MAX(IF('OB History S2'!B:B=A3, 'OB History S2'!C:C))</f>
        <v>14</v>
      </c>
      <c r="I3" s="34">
        <f>COUNTIFS('OB History S2'!B:B,A3,'OB History S2'!D:D, 1)</f>
        <v>2</v>
      </c>
      <c r="J3" s="2">
        <f>COUNTIFS('OB History S2'!B:B,A3,'OB History S2'!D:D, 0)</f>
        <v>2</v>
      </c>
      <c r="K3" s="88">
        <f>LOOKUP(2, 1/('OB History S2'!$B:$B=A3), 'OB History S2'!$AD:$AD)</f>
        <v>0.5</v>
      </c>
      <c r="L3" s="34">
        <f>SUMIFS('OB History S2'!F:F,'OB History S2'!B:B,A3)</f>
        <v>6</v>
      </c>
      <c r="M3" s="2">
        <f>SUMIFS('OB History S2'!E:E,'OB History S2'!B:B,A3)-L3</f>
        <v>8</v>
      </c>
      <c r="N3" s="88">
        <f>LOOKUP(2, 1/('OB History S2'!$B:$B=A3), 'OB History S2'!$AB:$AB)</f>
        <v>0.4</v>
      </c>
      <c r="O3" s="34">
        <f>SUMIFS('OB History S2'!H:H,'OB History S2'!B:B,A3)</f>
        <v>28</v>
      </c>
      <c r="P3" s="2">
        <f>SUMIFS('OB History S2'!G:G,'OB History S2'!B:B,A3)-O3</f>
        <v>32</v>
      </c>
      <c r="Q3" s="88">
        <f>LOOKUP(2, 1/('OB History S2'!$B:$B=A3), 'OB History S2'!$AC:$AC)</f>
        <v>0.45250000000000001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0</v>
      </c>
      <c r="AF3" s="2">
        <f>COUNTIFS('OB History S2'!$B:$B,$A$3,'OB History S2'!Y:Y, 1)</f>
        <v>1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131</v>
      </c>
      <c r="G4" s="4">
        <f>AVERAGEIFS('OB History S2'!C:C,'OB History S2'!B:B,A4)</f>
        <v>21.833333333333332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2</v>
      </c>
      <c r="K4" s="88">
        <f>LOOKUP(2, 1/('OB History S2'!$B:$B=A4), 'OB History S2'!$AD:$AD)</f>
        <v>0.66666666666666663</v>
      </c>
      <c r="L4" s="34">
        <f>SUMIFS('OB History S2'!F:F,'OB History S2'!B:B,A4)</f>
        <v>12</v>
      </c>
      <c r="M4" s="2">
        <f>SUMIFS('OB History S2'!E:E,'OB History S2'!B:B,A4)-L4</f>
        <v>13</v>
      </c>
      <c r="N4" s="88">
        <f>LOOKUP(2, 1/('OB History S2'!$B:$B=A4), 'OB History S2'!$AB:$AB)</f>
        <v>0.42500000000000004</v>
      </c>
      <c r="O4" s="34">
        <f>SUMIFS('OB History S2'!H:H,'OB History S2'!B:B,A4)</f>
        <v>53</v>
      </c>
      <c r="P4" s="2">
        <f>SUMIFS('OB History S2'!G:G,'OB History S2'!B:B,A4)-O4</f>
        <v>54</v>
      </c>
      <c r="Q4" s="88">
        <f>LOOKUP(2, 1/('OB History S2'!$B:$B=A4), 'OB History S2'!$AC:$AC)</f>
        <v>0.48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123</v>
      </c>
      <c r="G6" s="4">
        <f>AVERAGEIFS('OB History S2'!C:C,'OB History S2'!B:B,A6)</f>
        <v>12.3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7</v>
      </c>
      <c r="K6" s="88">
        <f>LOOKUP(2, 1/('OB History S2'!$B:$B=A6), 'OB History S2'!$AD:$AD)</f>
        <v>0.3</v>
      </c>
      <c r="L6" s="34">
        <f>SUMIFS('OB History S2'!F:F,'OB History S2'!B:B,A6)</f>
        <v>14</v>
      </c>
      <c r="M6" s="2">
        <f>SUMIFS('OB History S2'!E:E,'OB History S2'!B:B,A6)-L6</f>
        <v>26</v>
      </c>
      <c r="N6" s="88">
        <f>LOOKUP(2, 1/('OB History S2'!$B:$B=A6), 'OB History S2'!$AB:$AB)</f>
        <v>0.31</v>
      </c>
      <c r="O6" s="34">
        <f>SUMIFS('OB History S2'!H:H,'OB History S2'!B:B,A6)</f>
        <v>64</v>
      </c>
      <c r="P6" s="2">
        <f>SUMIFS('OB History S2'!G:G,'OB History S2'!B:B,A6)-O6</f>
        <v>97</v>
      </c>
      <c r="Q6" s="88">
        <f>LOOKUP(2, 1/('OB History S2'!$B:$B=A6), 'OB History S2'!$AC:$AC)</f>
        <v>0.376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22</v>
      </c>
      <c r="G10" s="4">
        <f>AVERAGEIFS('OB History S2'!C:C,'OB History S2'!B:B,A10)</f>
        <v>7.333333333333333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2</v>
      </c>
      <c r="K10" s="88">
        <f>LOOKUP(2, 1/('OB History S2'!$B:$B=A10), 'OB History S2'!$AD:$AD)</f>
        <v>0.33333333333333331</v>
      </c>
      <c r="L10" s="34">
        <f>SUMIFS('OB History S2'!F:F,'OB History S2'!B:B,A10)</f>
        <v>5</v>
      </c>
      <c r="M10" s="2">
        <f>SUMIFS('OB History S2'!E:E,'OB History S2'!B:B,A10)-L10</f>
        <v>6</v>
      </c>
      <c r="N10" s="88">
        <f>LOOKUP(2, 1/('OB History S2'!$B:$B=A10), 'OB History S2'!$AB:$AB)</f>
        <v>0.46666666666666662</v>
      </c>
      <c r="O10" s="34">
        <f>SUMIFS('OB History S2'!H:H,'OB History S2'!B:B,A10)</f>
        <v>24</v>
      </c>
      <c r="P10" s="2">
        <f>SUMIFS('OB History S2'!G:G,'OB History S2'!B:B,A10)-O10</f>
        <v>24</v>
      </c>
      <c r="Q10" s="88">
        <f>LOOKUP(2, 1/('OB History S2'!$B:$B=A10), 'OB History S2'!$AC:$AC)</f>
        <v>0.51333333333333331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108</v>
      </c>
      <c r="G12" s="4">
        <f>AVERAGEIFS('OB History S2'!C:C,'OB History S2'!B:B,A12)</f>
        <v>13.5</v>
      </c>
      <c r="H12" s="35">
        <f t="array" ref="H12">MAX(IF('OB History S2'!B:B=A12, 'OB History S2'!C:C))</f>
        <v>23</v>
      </c>
      <c r="I12" s="34">
        <f>COUNTIFS('OB History S2'!B:B,A12,'OB History S2'!D:D, 1)</f>
        <v>4</v>
      </c>
      <c r="J12" s="2">
        <f>COUNTIFS('OB History S2'!B:B,A12,'OB History S2'!D:D, 0)</f>
        <v>4</v>
      </c>
      <c r="K12" s="88">
        <f>LOOKUP(2, 1/('OB History S2'!$B:$B=A12), 'OB History S2'!$AD:$AD)</f>
        <v>0.5</v>
      </c>
      <c r="L12" s="34">
        <f>SUMIFS('OB History S2'!F:F,'OB History S2'!B:B,A12)</f>
        <v>16</v>
      </c>
      <c r="M12" s="2">
        <f>SUMIFS('OB History S2'!E:E,'OB History S2'!B:B,A12)-L12</f>
        <v>16</v>
      </c>
      <c r="N12" s="88">
        <f>LOOKUP(2, 1/('OB History S2'!$B:$B=A12), 'OB History S2'!$AB:$AB)</f>
        <v>0.5</v>
      </c>
      <c r="O12" s="34">
        <f>SUMIFS('OB History S2'!H:H,'OB History S2'!B:B,A12)</f>
        <v>65</v>
      </c>
      <c r="P12" s="2">
        <f>SUMIFS('OB History S2'!G:G,'OB History S2'!B:B,A12)-O12</f>
        <v>69</v>
      </c>
      <c r="Q12" s="88">
        <f>LOOKUP(2, 1/('OB History S2'!$B:$B=A12), 'OB History S2'!$AC:$AC)</f>
        <v>0.47125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2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1</v>
      </c>
      <c r="AE12" s="2">
        <f>COUNTIFS('OB History S2'!$B:$B,$A$12,'OB History S2'!X:X, 1)</f>
        <v>2</v>
      </c>
      <c r="AF12" s="2">
        <f>COUNTIFS('OB History S2'!$B:$B,$A$12,'OB History S2'!Y:Y, 1)</f>
        <v>2</v>
      </c>
      <c r="AG12" s="2">
        <f>COUNTIFS('OB History S2'!$B:$B,$A$12,'OB History S2'!Z:Z, 1)</f>
        <v>2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63</v>
      </c>
      <c r="G17" s="4">
        <f>AVERAGEIFS('OB History S2'!C:C,'OB History S2'!B:B,A17)</f>
        <v>15.75</v>
      </c>
      <c r="H17" s="35">
        <f t="array" ref="H17">MAX(IF('OB History S2'!B:B=A17, 'OB History S2'!C:C))</f>
        <v>24</v>
      </c>
      <c r="I17" s="34">
        <f>COUNTIFS('OB History S2'!B:B,A17,'OB History S2'!D:D, 1)</f>
        <v>1</v>
      </c>
      <c r="J17" s="2">
        <f>COUNTIFS('OB History S2'!B:B,A17,'OB History S2'!D:D, 0)</f>
        <v>3</v>
      </c>
      <c r="K17" s="88">
        <f>LOOKUP(2, 1/('OB History S2'!$B:$B=A17), 'OB History S2'!$AD:$AD)</f>
        <v>0.25</v>
      </c>
      <c r="L17" s="34">
        <f>SUMIFS('OB History S2'!F:F,'OB History S2'!B:B,A17)</f>
        <v>6</v>
      </c>
      <c r="M17" s="2">
        <f>SUMIFS('OB History S2'!E:E,'OB History S2'!B:B,A17)-L17</f>
        <v>10</v>
      </c>
      <c r="N17" s="88">
        <f>LOOKUP(2, 1/('OB History S2'!$B:$B=A17), 'OB History S2'!$AB:$AB)</f>
        <v>0.35</v>
      </c>
      <c r="O17" s="34">
        <f>SUMIFS('OB History S2'!H:H,'OB History S2'!B:B,A17)</f>
        <v>24</v>
      </c>
      <c r="P17" s="2">
        <f>SUMIFS('OB History S2'!G:G,'OB History S2'!B:B,A17)-O17</f>
        <v>36</v>
      </c>
      <c r="Q17" s="88">
        <f>LOOKUP(2, 1/('OB History S2'!$B:$B=A17), 'OB History S2'!$AC:$AC)</f>
        <v>0.375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1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2</v>
      </c>
      <c r="AE17" s="2">
        <f>COUNTIFS('OB History S2'!$B:$B,$A$17,'OB History S2'!X:X, 1)</f>
        <v>0</v>
      </c>
      <c r="AF17" s="2">
        <f>COUNTIFS('OB History S2'!$B:$B,$A$17,'OB History S2'!Y:Y, 1)</f>
        <v>2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>
        <v>1</v>
      </c>
      <c r="E18" s="2"/>
      <c r="F18" s="34">
        <f>SUMIFS('OB History S2'!C:C,'OB History S2'!B:B,A18)</f>
        <v>109</v>
      </c>
      <c r="G18" s="4">
        <f>AVERAGEIFS('OB History S2'!C:C,'OB History S2'!B:B,A18)</f>
        <v>18.166666666666668</v>
      </c>
      <c r="H18" s="35">
        <f t="array" ref="H18">MAX(IF('OB History S2'!B:B=A18, 'OB History S2'!C:C))</f>
        <v>26</v>
      </c>
      <c r="I18" s="34">
        <f>COUNTIFS('OB History S2'!B:B,A18,'OB History S2'!D:D, 1)</f>
        <v>5</v>
      </c>
      <c r="J18" s="2">
        <f>COUNTIFS('OB History S2'!B:B,A18,'OB History S2'!D:D, 0)</f>
        <v>1</v>
      </c>
      <c r="K18" s="88">
        <f>LOOKUP(2, 1/('OB History S2'!$B:$B=A18), 'OB History S2'!$AD:$AD)</f>
        <v>0.83333333333333337</v>
      </c>
      <c r="L18" s="34">
        <f>SUMIFS('OB History S2'!F:F,'OB History S2'!B:B,A18)</f>
        <v>17</v>
      </c>
      <c r="M18" s="2">
        <f>SUMIFS('OB History S2'!E:E,'OB History S2'!B:B,A18)-L18</f>
        <v>8</v>
      </c>
      <c r="N18" s="88">
        <f>LOOKUP(2, 1/('OB History S2'!$B:$B=A18), 'OB History S2'!$AB:$AB)</f>
        <v>0.70833333333333337</v>
      </c>
      <c r="O18" s="34">
        <f>SUMIFS('OB History S2'!H:H,'OB History S2'!B:B,A18)</f>
        <v>62</v>
      </c>
      <c r="P18" s="2">
        <f>SUMIFS('OB History S2'!G:G,'OB History S2'!B:B,A18)-O18</f>
        <v>37</v>
      </c>
      <c r="Q18" s="88">
        <f>LOOKUP(2, 1/('OB History S2'!$B:$B=A18), 'OB History S2'!$AC:$AC)</f>
        <v>0.64333333333333331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2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3</v>
      </c>
      <c r="AE18" s="2">
        <f>COUNTIFS('OB History S2'!$B:$B,$A$18,'OB History S2'!X:X, 1)</f>
        <v>2</v>
      </c>
      <c r="AF18" s="2">
        <f>COUNTIFS('OB History S2'!$B:$B,$A$18,'OB History S2'!Y:Y, 1)</f>
        <v>4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171</v>
      </c>
      <c r="G19" s="4">
        <f>AVERAGEIFS('OB History S2'!C:C,'OB History S2'!B:B,A19)</f>
        <v>14.25</v>
      </c>
      <c r="H19" s="35">
        <f t="array" ref="H19">MAX(IF('OB History S2'!B:B=A19, 'OB History S2'!C:C))</f>
        <v>41</v>
      </c>
      <c r="I19" s="34">
        <f>COUNTIFS('OB History S2'!B:B,A19,'OB History S2'!D:D, 1)</f>
        <v>3</v>
      </c>
      <c r="J19" s="2">
        <f>COUNTIFS('OB History S2'!B:B,A19,'OB History S2'!D:D, 0)</f>
        <v>9</v>
      </c>
      <c r="K19" s="88">
        <f>LOOKUP(2, 1/('OB History S2'!$B:$B=A19), 'OB History S2'!$AD:$AD)</f>
        <v>0.25</v>
      </c>
      <c r="L19" s="34">
        <f>SUMIFS('OB History S2'!F:F,'OB History S2'!B:B,A19)</f>
        <v>18</v>
      </c>
      <c r="M19" s="2">
        <f>SUMIFS('OB History S2'!E:E,'OB History S2'!B:B,A19)-L19</f>
        <v>29</v>
      </c>
      <c r="N19" s="88">
        <f>LOOKUP(2, 1/('OB History S2'!$B:$B=A19), 'OB History S2'!$AB:$AB)</f>
        <v>0.37083333333333329</v>
      </c>
      <c r="O19" s="34">
        <f>SUMIFS('OB History S2'!H:H,'OB History S2'!B:B,A19)</f>
        <v>86</v>
      </c>
      <c r="P19" s="2">
        <f>SUMIFS('OB History S2'!G:G,'OB History S2'!B:B,A19)-O19</f>
        <v>103</v>
      </c>
      <c r="Q19" s="88">
        <f>LOOKUP(2, 1/('OB History S2'!$B:$B=A19), 'OB History S2'!$AC:$AC)</f>
        <v>0.45416666666666677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3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4</v>
      </c>
      <c r="AE19" s="2">
        <f>COUNTIFS('OB History S2'!$B:$B,$A$19,'OB History S2'!X:X, 1)</f>
        <v>3</v>
      </c>
      <c r="AF19" s="2">
        <f>COUNTIFS('OB History S2'!$B:$B,$A$19,'OB History S2'!Y:Y, 1)</f>
        <v>4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93</v>
      </c>
      <c r="G21" s="4">
        <f>AVERAGEIFS('OB History S2'!C:C,'OB History S2'!B:B,A21)</f>
        <v>10.333333333333334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3</v>
      </c>
      <c r="K21" s="88">
        <f>LOOKUP(2, 1/('OB History S2'!$B:$B=A21), 'OB History S2'!$AD:$AD)</f>
        <v>0.66666666666666663</v>
      </c>
      <c r="L21" s="34">
        <f>SUMIFS('OB History S2'!F:F,'OB History S2'!B:B,A21)</f>
        <v>21</v>
      </c>
      <c r="M21" s="2">
        <f>SUMIFS('OB History S2'!E:E,'OB History S2'!B:B,A21)-L21</f>
        <v>17</v>
      </c>
      <c r="N21" s="88">
        <f>LOOKUP(2, 1/('OB History S2'!$B:$B=A21), 'OB History S2'!$AB:$AB)</f>
        <v>0.55000000000000004</v>
      </c>
      <c r="O21" s="34">
        <f>SUMIFS('OB History S2'!H:H,'OB History S2'!B:B,A21)</f>
        <v>76</v>
      </c>
      <c r="P21" s="2">
        <f>SUMIFS('OB History S2'!G:G,'OB History S2'!B:B,A21)-O21</f>
        <v>71</v>
      </c>
      <c r="Q21" s="88">
        <f>LOOKUP(2, 1/('OB History S2'!$B:$B=A21), 'OB History S2'!$AC:$AC)</f>
        <v>0.52111111111111108</v>
      </c>
      <c r="R21" s="2">
        <f>COUNTIFS('OB History S2'!$B:$B,$A$21,'OB History S2'!K:K, 1)</f>
        <v>1</v>
      </c>
      <c r="S21" s="2">
        <f>COUNTIFS('OB History S2'!$B:$B,$A$21,'OB History S2'!L:L, 1)</f>
        <v>4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224</v>
      </c>
      <c r="G24" s="4">
        <f>AVERAGEIFS('OB History S2'!C:C,'OB History S2'!B:B,A24)</f>
        <v>13.176470588235293</v>
      </c>
      <c r="H24" s="35">
        <f t="array" ref="H24">MAX(IF('OB History S2'!B:B=A24, 'OB History S2'!C:C))</f>
        <v>23</v>
      </c>
      <c r="I24" s="34">
        <f>COUNTIFS('OB History S2'!B:B,A24,'OB History S2'!D:D, 1)</f>
        <v>10</v>
      </c>
      <c r="J24" s="2">
        <f>COUNTIFS('OB History S2'!B:B,A24,'OB History S2'!D:D, 0)</f>
        <v>7</v>
      </c>
      <c r="K24" s="88">
        <f>LOOKUP(2, 1/('OB History S2'!$B:$B=A24), 'OB History S2'!$AD:$AD)</f>
        <v>0.58823529411764708</v>
      </c>
      <c r="L24" s="34">
        <f>SUMIFS('OB History S2'!F:F,'OB History S2'!B:B,A24)</f>
        <v>37</v>
      </c>
      <c r="M24" s="2">
        <f>SUMIFS('OB History S2'!E:E,'OB History S2'!B:B,A24)-L24</f>
        <v>31</v>
      </c>
      <c r="N24" s="88">
        <f>LOOKUP(2, 1/('OB History S2'!$B:$B=A24), 'OB History S2'!$AB:$AB)</f>
        <v>0.56176470588235294</v>
      </c>
      <c r="O24" s="34">
        <f>SUMIFS('OB History S2'!H:H,'OB History S2'!B:B,A24)</f>
        <v>140</v>
      </c>
      <c r="P24" s="2">
        <f>SUMIFS('OB History S2'!G:G,'OB History S2'!B:B,A24)-O24</f>
        <v>133</v>
      </c>
      <c r="Q24" s="88">
        <f>LOOKUP(2, 1/('OB History S2'!$B:$B=A24), 'OB History S2'!$AC:$AC)</f>
        <v>0.52058823529411768</v>
      </c>
      <c r="R24" s="2">
        <f>COUNTIFS('OB History S2'!$B:$B,$A$24,'OB History S2'!K:K, 1)</f>
        <v>1</v>
      </c>
      <c r="S24" s="2">
        <f>COUNTIFS('OB History S2'!$B:$B,$A$24,'OB History S2'!L:L, 1)</f>
        <v>5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7</v>
      </c>
      <c r="AF24" s="2">
        <f>COUNTIFS('OB History S2'!$B:$B,$A$24,'OB History S2'!Y:Y, 1)</f>
        <v>6</v>
      </c>
      <c r="AG24" s="2">
        <f>COUNTIFS('OB History S2'!$B:$B,$A$24,'OB History S2'!Z:Z, 1)</f>
        <v>4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3</v>
      </c>
      <c r="E26" s="6">
        <v>1</v>
      </c>
      <c r="F26" s="34">
        <f>SUMIFS('OB History S2'!C:C,'OB History S2'!B:B,A26)</f>
        <v>394</v>
      </c>
      <c r="G26" s="4">
        <f>AVERAGEIFS('OB History S2'!C:C,'OB History S2'!B:B,A26)</f>
        <v>23.176470588235293</v>
      </c>
      <c r="H26" s="35">
        <f t="array" ref="H26">MAX(IF('OB History S2'!B:B=A26, 'OB History S2'!C:C))</f>
        <v>36</v>
      </c>
      <c r="I26" s="34">
        <f>COUNTIFS('OB History S2'!B:B,A26,'OB History S2'!D:D, 1)</f>
        <v>12</v>
      </c>
      <c r="J26" s="2">
        <f>COUNTIFS('OB History S2'!B:B,A26,'OB History S2'!D:D, 0)</f>
        <v>5</v>
      </c>
      <c r="K26" s="88">
        <f>LOOKUP(2, 1/('OB History S2'!$B:$B=A26), 'OB History S2'!$AD:$AD)</f>
        <v>0.70588235294117652</v>
      </c>
      <c r="L26" s="34">
        <f>SUMIFS('OB History S2'!F:F,'OB History S2'!B:B,A26)</f>
        <v>42</v>
      </c>
      <c r="M26" s="2">
        <f>SUMIFS('OB History S2'!E:E,'OB History S2'!B:B,A26)-L26</f>
        <v>26</v>
      </c>
      <c r="N26" s="88">
        <f>LOOKUP(2, 1/('OB History S2'!$B:$B=A26), 'OB History S2'!$AB:$AB)</f>
        <v>0.63823529411764701</v>
      </c>
      <c r="O26" s="34">
        <f>SUMIFS('OB History S2'!H:H,'OB History S2'!B:B,A26)</f>
        <v>158</v>
      </c>
      <c r="P26" s="2">
        <f>SUMIFS('OB History S2'!G:G,'OB History S2'!B:B,A26)-O26</f>
        <v>115</v>
      </c>
      <c r="Q26" s="88">
        <f>LOOKUP(2, 1/('OB History S2'!$B:$B=A26), 'OB History S2'!$AC:$AC)</f>
        <v>0.58588235294117652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4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3</v>
      </c>
      <c r="AE26" s="2">
        <f>COUNTIFS('OB History S2'!$B:$B,$A$26,'OB History S2'!X:X, 1)</f>
        <v>4</v>
      </c>
      <c r="AF26" s="2">
        <f>COUNTIFS('OB History S2'!$B:$B,$A$26,'OB History S2'!Y:Y, 1)</f>
        <v>9</v>
      </c>
      <c r="AG26" s="2">
        <f>COUNTIFS('OB History S2'!$B:$B,$A$26,'OB History S2'!Z:Z, 1)</f>
        <v>4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5</v>
      </c>
      <c r="E31" s="2">
        <v>3</v>
      </c>
      <c r="F31" s="34">
        <f>SUMIFS('OB History S2'!C:C,'OB History S2'!B:B,A31)</f>
        <v>298</v>
      </c>
      <c r="G31" s="4">
        <f>AVERAGEIFS('OB History S2'!C:C,'OB History S2'!B:B,A31)</f>
        <v>22.923076923076923</v>
      </c>
      <c r="H31" s="35">
        <f t="array" ref="H31">MAX(IF('OB History S2'!B:B=A31, 'OB History S2'!C:C))</f>
        <v>43</v>
      </c>
      <c r="I31" s="34">
        <f>COUNTIFS('OB History S2'!B:B,A31,'OB History S2'!D:D, 1)</f>
        <v>7</v>
      </c>
      <c r="J31" s="2">
        <f>COUNTIFS('OB History S2'!B:B,A31,'OB History S2'!D:D, 0)</f>
        <v>6</v>
      </c>
      <c r="K31" s="88">
        <f>LOOKUP(2, 1/('OB History S2'!$B:$B=A31), 'OB History S2'!$AD:$AD)</f>
        <v>0.53846153846153844</v>
      </c>
      <c r="L31" s="34">
        <f>SUMIFS('OB History S2'!F:F,'OB History S2'!B:B,A31)</f>
        <v>26</v>
      </c>
      <c r="M31" s="2">
        <f>SUMIFS('OB History S2'!E:E,'OB History S2'!B:B,A31)-L31</f>
        <v>26</v>
      </c>
      <c r="N31" s="88">
        <f>LOOKUP(2, 1/('OB History S2'!$B:$B=A31), 'OB History S2'!$AB:$AB)</f>
        <v>0.50384615384615383</v>
      </c>
      <c r="O31" s="34">
        <f>SUMIFS('OB History S2'!H:H,'OB History S2'!B:B,A31)</f>
        <v>102</v>
      </c>
      <c r="P31" s="2">
        <f>SUMIFS('OB History S2'!G:G,'OB History S2'!B:B,A31)-O31</f>
        <v>104</v>
      </c>
      <c r="Q31" s="88">
        <f>LOOKUP(2, 1/('OB History S2'!$B:$B=A31), 'OB History S2'!$AC:$AC)</f>
        <v>0.49923076923076909</v>
      </c>
      <c r="R31" s="2">
        <f>COUNTIFS('OB History S2'!$B:$B,$A$31,'OB History S2'!K:K, 1)</f>
        <v>0</v>
      </c>
      <c r="S31" s="2">
        <f>COUNTIFS('OB History S2'!$B:$B,$A$31,'OB History S2'!L:L, 1)</f>
        <v>4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3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8</v>
      </c>
      <c r="AF31" s="2">
        <f>COUNTIFS('OB History S2'!$B:$B,$A$31,'OB History S2'!Y:Y, 1)</f>
        <v>3</v>
      </c>
      <c r="AG31" s="2">
        <f>COUNTIFS('OB History S2'!$B:$B,$A$31,'OB History S2'!Z:Z, 1)</f>
        <v>3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>
        <v>2</v>
      </c>
      <c r="E32" s="3">
        <v>1</v>
      </c>
      <c r="F32" s="34">
        <f>SUMIFS('OB History S2'!C:C,'OB History S2'!B:B,A32)</f>
        <v>205</v>
      </c>
      <c r="G32" s="4">
        <f>AVERAGEIFS('OB History S2'!C:C,'OB History S2'!B:B,A32)</f>
        <v>15.76923076923077</v>
      </c>
      <c r="H32" s="35">
        <f t="array" ref="H32">MAX(IF('OB History S2'!B:B=A32, 'OB History S2'!C:C))</f>
        <v>28</v>
      </c>
      <c r="I32" s="34">
        <f>COUNTIFS('OB History S2'!B:B,A32,'OB History S2'!D:D, 1)</f>
        <v>2</v>
      </c>
      <c r="J32" s="2">
        <f>COUNTIFS('OB History S2'!B:B,A32,'OB History S2'!D:D, 0)</f>
        <v>11</v>
      </c>
      <c r="K32" s="88">
        <f>LOOKUP(2, 1/('OB History S2'!$B:$B=A32), 'OB History S2'!$AD:$AD)</f>
        <v>0.15384615384615385</v>
      </c>
      <c r="L32" s="34">
        <f>SUMIFS('OB History S2'!F:F,'OB History S2'!B:B,A32)</f>
        <v>18</v>
      </c>
      <c r="M32" s="2">
        <f>SUMIFS('OB History S2'!E:E,'OB History S2'!B:B,A32)-L32</f>
        <v>37</v>
      </c>
      <c r="N32" s="88">
        <f>LOOKUP(2, 1/('OB History S2'!$B:$B=A32), 'OB History S2'!$AB:$AB)</f>
        <v>0.3</v>
      </c>
      <c r="O32" s="34">
        <f>SUMIFS('OB History S2'!H:H,'OB History S2'!B:B,A32)</f>
        <v>93</v>
      </c>
      <c r="P32" s="2">
        <f>SUMIFS('OB History S2'!G:G,'OB History S2'!B:B,A32)-O32</f>
        <v>128</v>
      </c>
      <c r="Q32" s="88">
        <f>LOOKUP(2, 1/('OB History S2'!$B:$B=A32), 'OB History S2'!$AC:$AC)</f>
        <v>0.40153846153846151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2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1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133</v>
      </c>
      <c r="G33" s="4">
        <f>AVERAGEIFS('OB History S2'!C:C,'OB History S2'!B:B,A33)</f>
        <v>22.166666666666668</v>
      </c>
      <c r="H33" s="35">
        <f t="array" ref="H33">MAX(IF('OB History S2'!B:B=A33, 'OB History S2'!C:C))</f>
        <v>42</v>
      </c>
      <c r="I33" s="34">
        <f>COUNTIFS('OB History S2'!B:B,A33,'OB History S2'!D:D, 1)</f>
        <v>3</v>
      </c>
      <c r="J33" s="2">
        <f>COUNTIFS('OB History S2'!B:B,A33,'OB History S2'!D:D, 0)</f>
        <v>3</v>
      </c>
      <c r="K33" s="88">
        <f>LOOKUP(2, 1/('OB History S2'!$B:$B=A33), 'OB History S2'!$AD:$AD)</f>
        <v>0.5</v>
      </c>
      <c r="L33" s="34">
        <f>SUMIFS('OB History S2'!F:F,'OB History S2'!B:B,A33)</f>
        <v>13</v>
      </c>
      <c r="M33" s="2">
        <f>SUMIFS('OB History S2'!E:E,'OB History S2'!B:B,A33)-L33</f>
        <v>11</v>
      </c>
      <c r="N33" s="88">
        <f>LOOKUP(2, 1/('OB History S2'!$B:$B=A33), 'OB History S2'!$AB:$AB)</f>
        <v>0.56666666666666665</v>
      </c>
      <c r="O33" s="34">
        <f>SUMIFS('OB History S2'!H:H,'OB History S2'!B:B,A33)</f>
        <v>57</v>
      </c>
      <c r="P33" s="2">
        <f>SUMIFS('OB History S2'!G:G,'OB History S2'!B:B,A33)-O33</f>
        <v>46</v>
      </c>
      <c r="Q33" s="88">
        <f>LOOKUP(2, 1/('OB History S2'!$B:$B=A33), 'OB History S2'!$AC:$AC)</f>
        <v>0.56833333333333325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3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1</v>
      </c>
      <c r="AE33" s="2">
        <f>COUNTIFS('OB History S2'!$B:$B,$A$33,'OB History S2'!X:X, 1)</f>
        <v>0</v>
      </c>
      <c r="AF33" s="2">
        <f>COUNTIFS('OB History S2'!$B:$B,$A$33,'OB History S2'!Y:Y, 1)</f>
        <v>2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173</v>
      </c>
      <c r="G34" s="4">
        <f>AVERAGEIFS('OB History S2'!C:C,'OB History S2'!B:B,A34)</f>
        <v>24.714285714285715</v>
      </c>
      <c r="H34" s="35">
        <f t="array" ref="H34">MAX(IF('OB History S2'!B:B=A34, 'OB History S2'!C:C))</f>
        <v>36</v>
      </c>
      <c r="I34" s="34">
        <f>COUNTIFS('OB History S2'!B:B,A34,'OB History S2'!D:D, 1)</f>
        <v>5</v>
      </c>
      <c r="J34" s="2">
        <f>COUNTIFS('OB History S2'!B:B,A34,'OB History S2'!D:D, 0)</f>
        <v>2</v>
      </c>
      <c r="K34" s="88">
        <f>LOOKUP(2, 1/('OB History S2'!$B:$B=A34), 'OB History S2'!$AD:$AD)</f>
        <v>0.7142857142857143</v>
      </c>
      <c r="L34" s="34">
        <f>SUMIFS('OB History S2'!F:F,'OB History S2'!B:B,A34)</f>
        <v>18</v>
      </c>
      <c r="M34" s="2">
        <f>SUMIFS('OB History S2'!E:E,'OB History S2'!B:B,A34)-L34</f>
        <v>10</v>
      </c>
      <c r="N34" s="88">
        <f>LOOKUP(2, 1/('OB History S2'!$B:$B=A34), 'OB History S2'!$AB:$AB)</f>
        <v>0.6785714285714286</v>
      </c>
      <c r="O34" s="34">
        <f>SUMIFS('OB History S2'!H:H,'OB History S2'!B:B,A34)</f>
        <v>66</v>
      </c>
      <c r="P34" s="2">
        <f>SUMIFS('OB History S2'!G:G,'OB History S2'!B:B,A34)-O34</f>
        <v>48</v>
      </c>
      <c r="Q34" s="88">
        <f>LOOKUP(2, 1/('OB History S2'!$B:$B=A34), 'OB History S2'!$AC:$AC)</f>
        <v>0.60571428571428576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1</v>
      </c>
      <c r="U34" s="2">
        <f>COUNTIFS('OB History S2'!$B:$B,$A$34,'OB History S2'!N:N, 1)</f>
        <v>3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98</v>
      </c>
      <c r="G35" s="4">
        <f>AVERAGEIFS('OB History S2'!C:C,'OB History S2'!B:B,A35)</f>
        <v>16.333333333333332</v>
      </c>
      <c r="H35" s="35">
        <f t="array" ref="H35">MAX(IF('OB History S2'!B:B=A35, 'OB History S2'!C:C))</f>
        <v>21</v>
      </c>
      <c r="I35" s="34">
        <f>COUNTIFS('OB History S2'!B:B,A35,'OB History S2'!D:D, 1)</f>
        <v>4</v>
      </c>
      <c r="J35" s="2">
        <f>COUNTIFS('OB History S2'!B:B,A35,'OB History S2'!D:D, 0)</f>
        <v>2</v>
      </c>
      <c r="K35" s="88">
        <f>LOOKUP(2, 1/('OB History S2'!$B:$B=A35), 'OB History S2'!$AD:$AD)</f>
        <v>0.66666666666666663</v>
      </c>
      <c r="L35" s="34">
        <f>SUMIFS('OB History S2'!F:F,'OB History S2'!B:B,A35)</f>
        <v>12</v>
      </c>
      <c r="M35" s="2">
        <f>SUMIFS('OB History S2'!E:E,'OB History S2'!B:B,A35)-L35</f>
        <v>10</v>
      </c>
      <c r="N35" s="88">
        <f>LOOKUP(2, 1/('OB History S2'!$B:$B=A35), 'OB History S2'!$AB:$AB)</f>
        <v>0.51666666666666672</v>
      </c>
      <c r="O35" s="34">
        <f>SUMIFS('OB History S2'!H:H,'OB History S2'!B:B,A35)</f>
        <v>45</v>
      </c>
      <c r="P35" s="2">
        <f>SUMIFS('OB History S2'!G:G,'OB History S2'!B:B,A35)-O35</f>
        <v>44</v>
      </c>
      <c r="Q35" s="88">
        <f>LOOKUP(2, 1/('OB History S2'!$B:$B=A35), 'OB History S2'!$AC:$AC)</f>
        <v>0.48166666666666663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1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1</v>
      </c>
      <c r="AE35" s="2">
        <f>COUNTIFS('OB History S2'!$B:$B,$A$35,'OB History S2'!X:X, 1)</f>
        <v>2</v>
      </c>
      <c r="AF35" s="2">
        <f>COUNTIFS('OB History S2'!$B:$B,$A$35,'OB History S2'!Y:Y, 1)</f>
        <v>2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4</v>
      </c>
      <c r="E36" s="6">
        <v>1</v>
      </c>
      <c r="F36" s="34">
        <f>SUMIFS('OB History S2'!C:C,'OB History S2'!B:B,A36)</f>
        <v>205</v>
      </c>
      <c r="G36" s="4">
        <f>AVERAGEIFS('OB History S2'!C:C,'OB History S2'!B:B,A36)</f>
        <v>20.5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8</v>
      </c>
      <c r="K36" s="88">
        <f>LOOKUP(2, 1/('OB History S2'!$B:$B=A36), 'OB History S2'!$AD:$AD)</f>
        <v>0.2</v>
      </c>
      <c r="L36" s="34">
        <f>SUMIFS('OB History S2'!F:F,'OB History S2'!B:B,A36)</f>
        <v>13</v>
      </c>
      <c r="M36" s="2">
        <f>SUMIFS('OB History S2'!E:E,'OB History S2'!B:B,A36)-L36</f>
        <v>25</v>
      </c>
      <c r="N36" s="88">
        <f>LOOKUP(2, 1/('OB History S2'!$B:$B=A36), 'OB History S2'!$AB:$AB)</f>
        <v>0.32999999999999996</v>
      </c>
      <c r="O36" s="34">
        <f>SUMIFS('OB History S2'!H:H,'OB History S2'!B:B,A36)</f>
        <v>62</v>
      </c>
      <c r="P36" s="2">
        <f>SUMIFS('OB History S2'!G:G,'OB History S2'!B:B,A36)-O36</f>
        <v>89</v>
      </c>
      <c r="Q36" s="88">
        <f>LOOKUP(2, 1/('OB History S2'!$B:$B=A36), 'OB History S2'!$AC:$AC)</f>
        <v>0.42099999999999999</v>
      </c>
      <c r="R36" s="2">
        <f>COUNTIFS('OB History S2'!$B:$B,$A$36,'OB History S2'!K:K, 1)</f>
        <v>0</v>
      </c>
      <c r="S36" s="2">
        <f>COUNTIFS('OB History S2'!$B:$B,$A$36,'OB History S2'!L:L, 1)</f>
        <v>3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70</v>
      </c>
      <c r="B37" s="6" t="s">
        <v>79</v>
      </c>
      <c r="C37" s="6" t="s">
        <v>79</v>
      </c>
      <c r="D37" s="3"/>
      <c r="E37" s="6"/>
      <c r="F37" s="34">
        <f>SUMIFS('OB History S2'!C:C,'OB History S2'!B:B,A37)</f>
        <v>7</v>
      </c>
      <c r="G37" s="4">
        <f>AVERAGEIFS('OB History S2'!C:C,'OB History S2'!B:B,A37)</f>
        <v>7</v>
      </c>
      <c r="H37" s="35">
        <f t="array" ref="H37">MAX(IF('OB History S2'!B:B=A37, 'OB History S2'!C:C))</f>
        <v>7</v>
      </c>
      <c r="I37" s="34">
        <f>COUNTIFS('OB History S2'!B:B,A37,'OB History S2'!D:D, 1)</f>
        <v>1</v>
      </c>
      <c r="J37" s="2">
        <f>COUNTIFS('OB History S2'!B:B,A37,'OB History S2'!D:D, 0)</f>
        <v>0</v>
      </c>
      <c r="K37" s="88">
        <f>LOOKUP(2, 1/('OB History S2'!$B:$B=A37), 'OB History S2'!$AD:$AD)</f>
        <v>1</v>
      </c>
      <c r="L37" s="34">
        <f>SUMIFS('OB History S2'!F:F,'OB History S2'!B:B,A37)</f>
        <v>3</v>
      </c>
      <c r="M37" s="2">
        <f>SUMIFS('OB History S2'!E:E,'OB History S2'!B:B,A37)-L37</f>
        <v>0</v>
      </c>
      <c r="N37" s="88">
        <f>LOOKUP(2, 1/('OB History S2'!$B:$B=A37), 'OB History S2'!$AB:$AB)</f>
        <v>1</v>
      </c>
      <c r="O37" s="34">
        <f>SUMIFS('OB History S2'!H:H,'OB History S2'!B:B,A37)</f>
        <v>9</v>
      </c>
      <c r="P37" s="2">
        <f>SUMIFS('OB History S2'!G:G,'OB History S2'!B:B,A37)-O37</f>
        <v>5</v>
      </c>
      <c r="Q37" s="88">
        <f>LOOKUP(2, 1/('OB History S2'!$B:$B=A37), 'OB History S2'!$AC:$AC)</f>
        <v>0.64</v>
      </c>
      <c r="R37" s="2">
        <f>COUNTIFS('OB History S2'!$B:$B,$A$37,'OB History S2'!K:K, 1)</f>
        <v>0</v>
      </c>
      <c r="S37" s="2">
        <f>COUNTIFS('OB History S2'!$B:$B,$A$37,'OB History S2'!L:L, 1)</f>
        <v>0</v>
      </c>
      <c r="T37" s="2">
        <f>COUNTIFS('OB History S2'!$B:$B,$A$37,'OB History S2'!M:M, 1)</f>
        <v>0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0</v>
      </c>
      <c r="Y37" s="2">
        <f>COUNTIFS('OB History S2'!$B:$B,$A$37,'OB History S2'!R:R, 1)</f>
        <v>1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0</v>
      </c>
      <c r="AG37" s="2">
        <f>COUNTIFS('OB History S2'!$B:$B,$A$37,'OB History S2'!Z:Z, 1)</f>
        <v>1</v>
      </c>
    </row>
    <row r="38" spans="1:33" x14ac:dyDescent="0.25">
      <c r="A38" s="2" t="s">
        <v>4</v>
      </c>
      <c r="B38" s="2" t="s">
        <v>79</v>
      </c>
      <c r="C38" s="2" t="s">
        <v>79</v>
      </c>
      <c r="D38" s="3"/>
      <c r="E38" s="2"/>
      <c r="F38" s="34">
        <f>SUMIFS('OB History S2'!C:C,'OB History S2'!B:B,A38)</f>
        <v>104</v>
      </c>
      <c r="G38" s="4">
        <f>AVERAGEIFS('OB History S2'!C:C,'OB History S2'!B:B,A38)</f>
        <v>20.8</v>
      </c>
      <c r="H38" s="35">
        <f t="array" ref="H38">MAX(IF('OB History S2'!B:B=A38, 'OB History S2'!C:C))</f>
        <v>31</v>
      </c>
      <c r="I38" s="34">
        <f>COUNTIFS('OB History S2'!B:B,A38,'OB History S2'!D:D, 1)</f>
        <v>1</v>
      </c>
      <c r="J38" s="2">
        <f>COUNTIFS('OB History S2'!B:B,A38,'OB History S2'!D:D, 0)</f>
        <v>4</v>
      </c>
      <c r="K38" s="88">
        <f>LOOKUP(2, 1/('OB History S2'!$B:$B=A38), 'OB History S2'!$AD:$AD)</f>
        <v>0.2</v>
      </c>
      <c r="L38" s="34">
        <f>SUMIFS('OB History S2'!F:F,'OB History S2'!B:B,A38)</f>
        <v>6</v>
      </c>
      <c r="M38" s="2">
        <f>SUMIFS('OB History S2'!E:E,'OB History S2'!B:B,A38)-L38</f>
        <v>14</v>
      </c>
      <c r="N38" s="88">
        <f>LOOKUP(2, 1/('OB History S2'!$B:$B=A38), 'OB History S2'!$AB:$AB)</f>
        <v>0.25</v>
      </c>
      <c r="O38" s="34">
        <f>SUMIFS('OB History S2'!H:H,'OB History S2'!B:B,A38)</f>
        <v>34</v>
      </c>
      <c r="P38" s="2">
        <f>SUMIFS('OB History S2'!G:G,'OB History S2'!B:B,A38)-O38</f>
        <v>50</v>
      </c>
      <c r="Q38" s="88">
        <f>LOOKUP(2, 1/('OB History S2'!$B:$B=A38), 'OB History S2'!$AC:$AC)</f>
        <v>0.36799999999999999</v>
      </c>
      <c r="R38" s="2">
        <f>COUNTIFS('OB History S2'!$B:$B,$A$38,'OB History S2'!K:K, 1)</f>
        <v>0</v>
      </c>
      <c r="S38" s="2">
        <f>COUNTIFS('OB History S2'!$B:$B,$A$38,'OB History S2'!L:L, 1)</f>
        <v>2</v>
      </c>
      <c r="T38" s="2">
        <f>COUNTIFS('OB History S2'!$B:$B,$A$38,'OB History S2'!M:M, 1)</f>
        <v>1</v>
      </c>
      <c r="U38" s="2">
        <f>COUNTIFS('OB History S2'!$B:$B,$A$38,'OB History S2'!N:N, 1)</f>
        <v>0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1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1</v>
      </c>
      <c r="AF38" s="2">
        <f>COUNTIFS('OB History S2'!$B:$B,$A$38,'OB History S2'!Y:Y, 1)</f>
        <v>1</v>
      </c>
      <c r="AG38" s="2">
        <f>COUNTIFS('OB History S2'!$B:$B,$A$38,'OB History S2'!Z:Z, 1)</f>
        <v>0</v>
      </c>
    </row>
    <row r="39" spans="1:33" x14ac:dyDescent="0.25">
      <c r="A39" s="2" t="s">
        <v>55</v>
      </c>
      <c r="B39" s="2" t="s">
        <v>79</v>
      </c>
      <c r="C39" s="2" t="s">
        <v>79</v>
      </c>
      <c r="D39" s="2"/>
      <c r="E39" s="2"/>
      <c r="F39" s="34">
        <f>SUMIFS('OB History S2'!C:C,'OB History S2'!B:B,A39)</f>
        <v>28</v>
      </c>
      <c r="G39" s="4">
        <f>AVERAGEIFS('OB History S2'!C:C,'OB History S2'!B:B,A39)</f>
        <v>7</v>
      </c>
      <c r="H39" s="35">
        <f t="array" ref="H39">MAX(IF('OB History S2'!B:B=A39, 'OB History S2'!C:C))</f>
        <v>12</v>
      </c>
      <c r="I39" s="34">
        <f>COUNTIFS('OB History S2'!B:B,A39,'OB History S2'!D:D, 1)</f>
        <v>2</v>
      </c>
      <c r="J39" s="2">
        <f>COUNTIFS('OB History S2'!B:B,A39,'OB History S2'!D:D, 0)</f>
        <v>2</v>
      </c>
      <c r="K39" s="88">
        <f>LOOKUP(2, 1/('OB History S2'!$B:$B=A39), 'OB History S2'!$AD:$AD)</f>
        <v>0.5</v>
      </c>
      <c r="L39" s="34">
        <f>SUMIFS('OB History S2'!F:F,'OB History S2'!B:B,A39)</f>
        <v>9</v>
      </c>
      <c r="M39" s="2">
        <f>SUMIFS('OB History S2'!E:E,'OB History S2'!B:B,A39)-L39</f>
        <v>7</v>
      </c>
      <c r="N39" s="88">
        <f>LOOKUP(2, 1/('OB History S2'!$B:$B=A39), 'OB History S2'!$AB:$AB)</f>
        <v>0.6</v>
      </c>
      <c r="O39" s="34">
        <f>SUMIFS('OB History S2'!H:H,'OB History S2'!B:B,A39)</f>
        <v>37</v>
      </c>
      <c r="P39" s="2">
        <f>SUMIFS('OB History S2'!G:G,'OB History S2'!B:B,A39)-O39</f>
        <v>26</v>
      </c>
      <c r="Q39" s="88">
        <f>LOOKUP(2, 1/('OB History S2'!$B:$B=A39), 'OB History S2'!$AC:$AC)</f>
        <v>0.60749999999999993</v>
      </c>
      <c r="R39" s="2">
        <f>COUNTIFS('OB History S2'!$B:$B,$A$39,'OB History S2'!K:K, 1)</f>
        <v>1</v>
      </c>
      <c r="S39" s="2">
        <f>COUNTIFS('OB History S2'!$B:$B,$A$39,'OB History S2'!L:L, 1)</f>
        <v>1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0</v>
      </c>
      <c r="X39" s="2">
        <f>COUNTIFS('OB History S2'!$B:$B,$A$39,'OB History S2'!Q:Q, 1)</f>
        <v>0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1</v>
      </c>
      <c r="AC39" s="2">
        <f>COUNTIFS('OB History S2'!$B:$B,$A$39,'OB History S2'!V:V, 1)</f>
        <v>0</v>
      </c>
      <c r="AD39" s="2">
        <f>COUNTIFS('OB History S2'!$B:$B,$A$39,'OB History S2'!W:W, 1)</f>
        <v>0</v>
      </c>
      <c r="AE39" s="2">
        <f>COUNTIFS('OB History S2'!$B:$B,$A$39,'OB History S2'!X:X, 1)</f>
        <v>3</v>
      </c>
      <c r="AF39" s="2">
        <f>COUNTIFS('OB History S2'!$B:$B,$A$39,'OB History S2'!Y:Y, 1)</f>
        <v>2</v>
      </c>
      <c r="AG39" s="2">
        <f>COUNTIFS('OB History S2'!$B:$B,$A$39,'OB History S2'!Z:Z, 1)</f>
        <v>0</v>
      </c>
    </row>
  </sheetData>
  <autoFilter ref="A1:AG38" xr:uid="{EEC03B8F-669F-4FC0-BA62-50F3D395660C}">
    <sortState xmlns:xlrd2="http://schemas.microsoft.com/office/spreadsheetml/2017/richdata2" ref="A2:AG39">
      <sortCondition ref="A1:A38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200" activePane="bottomLeft" state="frozen"/>
      <selection pane="bottomLeft" activeCell="AA229" sqref="AA229:AD2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151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147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141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156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149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156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141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151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141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147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149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156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151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149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140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0" sqref="F9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619</v>
      </c>
      <c r="G20" s="66">
        <f>AVERAGEIFS('BA History'!C:C,'BA History'!B:B,A20)</f>
        <v>16.289473684210527</v>
      </c>
      <c r="H20" s="35">
        <f t="array" ref="H20">MAX(IF('BA History'!B:B=A20, 'BA History'!C:C))</f>
        <v>36</v>
      </c>
      <c r="I20" s="34">
        <f>COUNTIFS('BA History'!B:B,A20,'BA History'!D:D, 1)</f>
        <v>24</v>
      </c>
      <c r="J20" s="2">
        <f>COUNTIFS('BA History'!B:B,A20,'BA History'!D:D, 0)</f>
        <v>14</v>
      </c>
      <c r="K20" s="75">
        <f>LOOKUP(2, 1/('BA History'!$B:$B=A20), 'BA History'!$AJ:$AJ)</f>
        <v>0.63157894736842102</v>
      </c>
      <c r="L20" s="34">
        <f>SUMIFS('BA History'!F:F,'BA History'!B:B,A20)</f>
        <v>82</v>
      </c>
      <c r="M20" s="2">
        <f>SUMIFS('BA History'!E:E,'BA History'!B:B,A20)-L20</f>
        <v>70</v>
      </c>
      <c r="N20" s="75">
        <f>LOOKUP(2, 1/('BA History'!$B:$B=A20), 'BA History'!$AH:$AH)</f>
        <v>0.52894736842105261</v>
      </c>
      <c r="O20" s="34">
        <f>SUMIFS('BA History'!H:H,'BA History'!B:B,A20)</f>
        <v>336</v>
      </c>
      <c r="P20" s="2">
        <f>SUMIFS('BA History'!G:G,'BA History'!B:B,A20)-O20</f>
        <v>295</v>
      </c>
      <c r="Q20" s="89">
        <f>LOOKUP(2, 1/('BA History'!$B:$B=A20), 'BA History'!$AI:$AI)</f>
        <v>0.54052631578947363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8</v>
      </c>
      <c r="U20" s="2">
        <f>COUNTIFS('BA History'!$B:$B,$A$20,'BA History'!N:N, 1)</f>
        <v>9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801</v>
      </c>
      <c r="G22" s="66">
        <f>AVERAGEIFS('BA History'!C:C,'BA History'!B:B,A22)</f>
        <v>25.838709677419356</v>
      </c>
      <c r="H22" s="35">
        <f t="array" ref="H22">MAX(IF('BA History'!B:B=A22, 'BA History'!C:C))</f>
        <v>50</v>
      </c>
      <c r="I22" s="34">
        <f>COUNTIFS('BA History'!B:B,A22,'BA History'!D:D, 1)</f>
        <v>16</v>
      </c>
      <c r="J22" s="2">
        <f>COUNTIFS('BA History'!B:B,A22,'BA History'!D:D, 0)</f>
        <v>15</v>
      </c>
      <c r="K22" s="75">
        <f>LOOKUP(2, 1/('BA History'!$B:$B=A22), 'BA History'!$AJ:$AJ)</f>
        <v>0.5161290322580645</v>
      </c>
      <c r="L22" s="34">
        <f>SUMIFS('BA History'!F:F,'BA History'!B:B,A22)</f>
        <v>61</v>
      </c>
      <c r="M22" s="2">
        <f>SUMIFS('BA History'!E:E,'BA History'!B:B,A22)-L22</f>
        <v>62</v>
      </c>
      <c r="N22" s="75">
        <f>LOOKUP(2, 1/('BA History'!$B:$B=A22), 'BA History'!$AH:$AH)</f>
        <v>0.48709677419354841</v>
      </c>
      <c r="O22" s="34">
        <f>SUMIFS('BA History'!H:H,'BA History'!B:B,A22)</f>
        <v>249</v>
      </c>
      <c r="P22" s="2">
        <f>SUMIFS('BA History'!G:G,'BA History'!B:B,A22)-O22</f>
        <v>257</v>
      </c>
      <c r="Q22" s="89">
        <f>LOOKUP(2, 1/('BA History'!$B:$B=A22), 'BA History'!$AI:$AI)</f>
        <v>0.49451612903225811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242</v>
      </c>
      <c r="G24" s="66">
        <f>AVERAGEIFS('BA History'!C:C,'BA History'!B:B,A24)</f>
        <v>16.133333333333333</v>
      </c>
      <c r="H24" s="35">
        <f t="array" ref="H24">MAX(IF('BA History'!B:B=A24, 'BA History'!C:C))</f>
        <v>28</v>
      </c>
      <c r="I24" s="34">
        <f>COUNTIFS('BA History'!B:B,A24,'BA History'!D:D, 1)</f>
        <v>9</v>
      </c>
      <c r="J24" s="2">
        <f>COUNTIFS('BA History'!B:B,A24,'BA History'!D:D, 0)</f>
        <v>6</v>
      </c>
      <c r="K24" s="75">
        <f>LOOKUP(2, 1/('BA History'!$B:$B=A24), 'BA History'!$AJ:$AJ)</f>
        <v>0.6</v>
      </c>
      <c r="L24" s="34">
        <f>SUMIFS('BA History'!F:F,'BA History'!B:B,A24)</f>
        <v>37</v>
      </c>
      <c r="M24" s="2">
        <f>SUMIFS('BA History'!E:E,'BA History'!B:B,A24)-L24</f>
        <v>25</v>
      </c>
      <c r="N24" s="75">
        <f>LOOKUP(2, 1/('BA History'!$B:$B=A24), 'BA History'!$AH:$AH)</f>
        <v>0.63</v>
      </c>
      <c r="O24" s="34">
        <f>SUMIFS('BA History'!H:H,'BA History'!B:B,A24)</f>
        <v>144</v>
      </c>
      <c r="P24" s="2">
        <f>SUMIFS('BA History'!G:G,'BA History'!B:B,A24)-O24</f>
        <v>108</v>
      </c>
      <c r="Q24" s="89">
        <f>LOOKUP(2, 1/('BA History'!$B:$B=A24), 'BA History'!$AI:$AI)</f>
        <v>0.5993333333333335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4</v>
      </c>
      <c r="U24" s="2">
        <f>COUNTIFS('BA History'!$B:$B,$A$24,'BA History'!N:N, 1)</f>
        <v>4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355</v>
      </c>
      <c r="G27" s="66">
        <f>AVERAGEIFS('BA History'!C:C,'BA History'!B:B,A27)</f>
        <v>14.791666666666666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14</v>
      </c>
      <c r="K27" s="75">
        <f>LOOKUP(2, 1/('BA History'!$B:$B=A27), 'BA History'!$AJ:$AJ)</f>
        <v>0.41666666666666669</v>
      </c>
      <c r="L27" s="34">
        <f>SUMIFS('BA History'!F:F,'BA History'!B:B,A27)</f>
        <v>45</v>
      </c>
      <c r="M27" s="2">
        <f>SUMIFS('BA History'!E:E,'BA History'!B:B,A27)-L27</f>
        <v>47</v>
      </c>
      <c r="N27" s="75">
        <f>LOOKUP(2, 1/('BA History'!$B:$B=A27), 'BA History'!$AH:$AH)</f>
        <v>0.50416666666666676</v>
      </c>
      <c r="O27" s="34">
        <f>SUMIFS('BA History'!H:H,'BA History'!B:B,A27)</f>
        <v>182</v>
      </c>
      <c r="P27" s="2">
        <f>SUMIFS('BA History'!G:G,'BA History'!B:B,A27)-O27</f>
        <v>190</v>
      </c>
      <c r="Q27" s="89">
        <f>LOOKUP(2, 1/('BA History'!$B:$B=A27), 'BA History'!$AI:$AI)</f>
        <v>0.49708333333333338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22</v>
      </c>
      <c r="G32" s="66">
        <f>AVERAGEIFS('BA History'!C:C,'BA History'!B:B,A32)</f>
        <v>5.5</v>
      </c>
      <c r="H32" s="35">
        <f t="array" ref="H32">MAX(IF('BA History'!B:B=A32, 'BA History'!C:C))</f>
        <v>10</v>
      </c>
      <c r="I32" s="34">
        <f>COUNTIFS('BA History'!B:B,A32,'BA History'!D:D, 1)</f>
        <v>3</v>
      </c>
      <c r="J32" s="2">
        <f>COUNTIFS('BA History'!B:B,A32,'BA History'!D:D, 0)</f>
        <v>1</v>
      </c>
      <c r="K32" s="75">
        <f>LOOKUP(2, 1/('BA History'!$B:$B=A32), 'BA History'!$AJ:$AJ)</f>
        <v>0.75</v>
      </c>
      <c r="L32" s="34">
        <f>SUMIFS('BA History'!F:F,'BA History'!B:B,A32)</f>
        <v>10</v>
      </c>
      <c r="M32" s="2">
        <f>SUMIFS('BA History'!E:E,'BA History'!B:B,A32)-L32</f>
        <v>5</v>
      </c>
      <c r="N32" s="75">
        <f>LOOKUP(2, 1/('BA History'!$B:$B=A32), 'BA History'!$AH:$AH)</f>
        <v>0.6875</v>
      </c>
      <c r="O32" s="34">
        <f>SUMIFS('BA History'!H:H,'BA History'!B:B,A32)</f>
        <v>34</v>
      </c>
      <c r="P32" s="2">
        <f>SUMIFS('BA History'!G:G,'BA History'!B:B,A32)-O32</f>
        <v>28</v>
      </c>
      <c r="Q32" s="89">
        <f>LOOKUP(2, 1/('BA History'!$B:$B=A32), 'BA History'!$AI:$AI)</f>
        <v>0.56499999999999995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1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2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841</v>
      </c>
      <c r="G37" s="66">
        <f>AVERAGEIFS('BA History'!C:C,'BA History'!B:B,A37)</f>
        <v>23.361111111111111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16</v>
      </c>
      <c r="K37" s="75">
        <f>LOOKUP(2, 1/('BA History'!$B:$B=A37), 'BA History'!$AJ:$AJ)</f>
        <v>0.55555555555555558</v>
      </c>
      <c r="L37" s="34">
        <f>SUMIFS('BA History'!F:F,'BA History'!B:B,A37)</f>
        <v>76</v>
      </c>
      <c r="M37" s="2">
        <f>SUMIFS('BA History'!E:E,'BA History'!B:B,A37)-L37</f>
        <v>63</v>
      </c>
      <c r="N37" s="75">
        <f>LOOKUP(2, 1/('BA History'!$B:$B=A37), 'BA History'!$AH:$AH)</f>
        <v>0.55499999999999994</v>
      </c>
      <c r="O37" s="34">
        <f>SUMIFS('BA History'!H:H,'BA History'!B:B,A37)</f>
        <v>307</v>
      </c>
      <c r="P37" s="2">
        <f>SUMIFS('BA History'!G:G,'BA History'!B:B,A37)-O37</f>
        <v>266</v>
      </c>
      <c r="Q37" s="89">
        <f>LOOKUP(2, 1/('BA History'!$B:$B=A37), 'BA History'!$AI:$AI)</f>
        <v>0.5461111111111111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13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446</v>
      </c>
      <c r="G39" s="66">
        <f>AVERAGEIFS('BA History'!C:C,'BA History'!B:B,A39)</f>
        <v>19.391304347826086</v>
      </c>
      <c r="H39" s="35">
        <f t="array" ref="H39">MAX(IF('BA History'!B:B=A39, 'BA History'!C:C))</f>
        <v>36</v>
      </c>
      <c r="I39" s="34">
        <f>COUNTIFS('BA History'!B:B,A39,'BA History'!D:D, 1)</f>
        <v>17</v>
      </c>
      <c r="J39" s="2">
        <f>COUNTIFS('BA History'!B:B,A39,'BA History'!D:D, 0)</f>
        <v>6</v>
      </c>
      <c r="K39" s="75">
        <f>LOOKUP(2, 1/('BA History'!$B:$B=A39), 'BA History'!$AJ:$AJ)</f>
        <v>0.73913043478260865</v>
      </c>
      <c r="L39" s="34">
        <f>SUMIFS('BA History'!F:F,'BA History'!B:B,A39)</f>
        <v>54</v>
      </c>
      <c r="M39" s="2">
        <f>SUMIFS('BA History'!E:E,'BA History'!B:B,A39)-L39</f>
        <v>35</v>
      </c>
      <c r="N39" s="75">
        <f>LOOKUP(2, 1/('BA History'!$B:$B=A39), 'BA History'!$AH:$AH)</f>
        <v>0.61173913043478256</v>
      </c>
      <c r="O39" s="34">
        <f>SUMIFS('BA History'!H:H,'BA History'!B:B,A39)</f>
        <v>206</v>
      </c>
      <c r="P39" s="2">
        <f>SUMIFS('BA History'!G:G,'BA History'!B:B,A39)-O39</f>
        <v>170</v>
      </c>
      <c r="Q39" s="89">
        <f>LOOKUP(2, 1/('BA History'!$B:$B=A39), 'BA History'!$AI:$AI)</f>
        <v>0.55652173913043479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168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148</v>
      </c>
      <c r="B45" s="2" t="s">
        <v>79</v>
      </c>
      <c r="C45" s="2"/>
      <c r="D45" s="2"/>
      <c r="E45" s="2"/>
      <c r="F45" s="34">
        <f>SUMIFS('BA History'!C:C,'BA History'!B:B,A45)</f>
        <v>234</v>
      </c>
      <c r="G45" s="66">
        <f>AVERAGEIFS('BA History'!C:C,'BA History'!B:B,A45)</f>
        <v>11.7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9</v>
      </c>
      <c r="K45" s="75">
        <f>LOOKUP(2, 1/('BA History'!$B:$B=A45), 'BA History'!$AJ:$AJ)</f>
        <v>0.55000000000000004</v>
      </c>
      <c r="L45" s="34">
        <f>SUMIFS('BA History'!F:F,'BA History'!B:B,A45)</f>
        <v>43</v>
      </c>
      <c r="M45" s="2">
        <f>SUMIFS('BA History'!E:E,'BA History'!B:B,A45)-L45</f>
        <v>35</v>
      </c>
      <c r="N45" s="75">
        <f>LOOKUP(2, 1/('BA History'!$B:$B=A45), 'BA History'!$AH:$AH)</f>
        <v>0.57999999999999996</v>
      </c>
      <c r="O45" s="34">
        <f>SUMIFS('BA History'!H:H,'BA History'!B:B,A45)</f>
        <v>167</v>
      </c>
      <c r="P45" s="2">
        <f>SUMIFS('BA History'!G:G,'BA History'!B:B,A45)-O45</f>
        <v>152</v>
      </c>
      <c r="Q45" s="89">
        <f>LOOKUP(2, 1/('BA History'!$B:$B=A45), 'BA History'!$AI:$AI)</f>
        <v>0.54599999999999993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7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144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161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571</v>
      </c>
      <c r="G52" s="66">
        <f>AVERAGEIFS('BA History'!C:C,'BA History'!B:B,A52)</f>
        <v>17.303030303030305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14</v>
      </c>
      <c r="K52" s="75">
        <f>LOOKUP(2, 1/('BA History'!$B:$B=A52), 'BA History'!$AJ:$AJ)</f>
        <v>0.5757575757575758</v>
      </c>
      <c r="L52" s="34">
        <f>SUMIFS('BA History'!F:F,'BA History'!B:B,A52)</f>
        <v>73</v>
      </c>
      <c r="M52" s="2">
        <f>SUMIFS('BA History'!E:E,'BA History'!B:B,A52)-L52</f>
        <v>56</v>
      </c>
      <c r="N52" s="75">
        <f>LOOKUP(2, 1/('BA History'!$B:$B=A52), 'BA History'!$AH:$AH)</f>
        <v>0.58484848484848484</v>
      </c>
      <c r="O52" s="34">
        <f>SUMIFS('BA History'!H:H,'BA History'!B:B,A52)</f>
        <v>274</v>
      </c>
      <c r="P52" s="2">
        <f>SUMIFS('BA History'!G:G,'BA History'!B:B,A52)-O52</f>
        <v>245</v>
      </c>
      <c r="Q52" s="89">
        <f>LOOKUP(2, 1/('BA History'!$B:$B=A52), 'BA History'!$AI:$AI)</f>
        <v>0.53787878787878796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9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161</v>
      </c>
      <c r="C55" s="1">
        <v>1</v>
      </c>
      <c r="D55" s="1"/>
      <c r="E55" s="1"/>
      <c r="F55" s="34">
        <f>SUMIFS('BA History'!C:C,'BA History'!B:B,A55)</f>
        <v>713</v>
      </c>
      <c r="G55" s="66">
        <f>AVERAGEIFS('BA History'!C:C,'BA History'!B:B,A55)</f>
        <v>24.586206896551722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19</v>
      </c>
      <c r="K55" s="75">
        <f>LOOKUP(2, 1/('BA History'!$B:$B=A55), 'BA History'!$AJ:$AJ)</f>
        <v>0.34482758620689657</v>
      </c>
      <c r="L55" s="34">
        <f>SUMIFS('BA History'!F:F,'BA History'!B:B,A55)</f>
        <v>52</v>
      </c>
      <c r="M55" s="2">
        <f>SUMIFS('BA History'!E:E,'BA History'!B:B,A55)-L55</f>
        <v>67</v>
      </c>
      <c r="N55" s="75">
        <f>LOOKUP(2, 1/('BA History'!$B:$B=A55), 'BA History'!$AH:$AH)</f>
        <v>0.43793103448275861</v>
      </c>
      <c r="O55" s="34">
        <f>SUMIFS('BA History'!H:H,'BA History'!B:B,A55)</f>
        <v>230</v>
      </c>
      <c r="P55" s="2">
        <f>SUMIFS('BA History'!G:G,'BA History'!B:B,A55)-O55</f>
        <v>264</v>
      </c>
      <c r="Q55" s="89">
        <f>LOOKUP(2, 1/('BA History'!$B:$B=A55), 'BA History'!$AI:$AI)</f>
        <v>0.46034482758620687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5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609</v>
      </c>
      <c r="G56" s="66">
        <f>AVERAGEIFS('BA History'!C:C,'BA History'!B:B,A56)</f>
        <v>16.026315789473685</v>
      </c>
      <c r="H56" s="35">
        <f t="array" ref="H56">MAX(IF('BA History'!B:B=A56, 'BA History'!C:C))</f>
        <v>35</v>
      </c>
      <c r="I56" s="34">
        <f>COUNTIFS('BA History'!B:B,A56,'BA History'!D:D, 1)</f>
        <v>21</v>
      </c>
      <c r="J56" s="2">
        <f>COUNTIFS('BA History'!B:B,A56,'BA History'!D:D, 0)</f>
        <v>17</v>
      </c>
      <c r="K56" s="75">
        <f>LOOKUP(2, 1/('BA History'!$B:$B=A56), 'BA History'!$AJ:$AJ)</f>
        <v>0.55263157894736847</v>
      </c>
      <c r="L56" s="34">
        <f>SUMIFS('BA History'!F:F,'BA History'!B:B,A56)</f>
        <v>79</v>
      </c>
      <c r="M56" s="2">
        <f>SUMIFS('BA History'!E:E,'BA History'!B:B,A56)-L56</f>
        <v>72</v>
      </c>
      <c r="N56" s="75">
        <f>LOOKUP(2, 1/('BA History'!$B:$B=A56), 'BA History'!$AH:$AH)</f>
        <v>0.51710526315789473</v>
      </c>
      <c r="O56" s="34">
        <f>SUMIFS('BA History'!H:H,'BA History'!B:B,A56)</f>
        <v>324</v>
      </c>
      <c r="P56" s="2">
        <f>SUMIFS('BA History'!G:G,'BA History'!B:B,A56)-O56</f>
        <v>297</v>
      </c>
      <c r="Q56" s="89">
        <f>LOOKUP(2, 1/('BA History'!$B:$B=A56), 'BA History'!$AI:$AI)</f>
        <v>0.5178947368421053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8</v>
      </c>
      <c r="U56" s="2">
        <f>COUNTIFS('BA History'!$B:$B,$A$56,'BA History'!N:N, 1)</f>
        <v>11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7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89"/>
  <sheetViews>
    <sheetView tabSelected="1" workbookViewId="0">
      <pane xSplit="2" ySplit="1" topLeftCell="D839" activePane="bottomRight" state="frozen"/>
      <selection pane="topRight" activeCell="C1" sqref="C1"/>
      <selection pane="bottomLeft" activeCell="A2" sqref="A2"/>
      <selection pane="bottomRight" activeCell="AG877" sqref="AG877:AJ88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164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151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164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151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169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151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142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172</v>
      </c>
      <c r="G11" s="66">
        <f>AVERAGEIFS('BA History S2'!C:C,'BA History S2'!B:B,A11)</f>
        <v>15.636363636363637</v>
      </c>
      <c r="H11" s="35">
        <f t="array" ref="H11">MAX(IF('BA History S2'!B:B=A11, 'BA History S2'!C:C))</f>
        <v>28</v>
      </c>
      <c r="I11" s="34">
        <f>COUNTIFS('BA History S2'!B:B,A11,'BA History S2'!D:D, 1)</f>
        <v>7</v>
      </c>
      <c r="J11" s="2">
        <f>COUNTIFS('BA History S2'!B:B,A11,'BA History S2'!D:D, 0)</f>
        <v>4</v>
      </c>
      <c r="K11" s="75">
        <f>LOOKUP(2, 1/('BA History S2'!$B:$B=A11), 'BA History S2'!$AJ:$AJ)</f>
        <v>0.63636363636363635</v>
      </c>
      <c r="L11" s="34">
        <f>SUMIFS('BA History S2'!F:F,'BA History S2'!B:B,A11)</f>
        <v>24</v>
      </c>
      <c r="M11" s="2">
        <f>SUMIFS('BA History S2'!E:E,'BA History S2'!B:B,A11)-L11</f>
        <v>19</v>
      </c>
      <c r="N11" s="75">
        <f>LOOKUP(2, 1/('BA History S2'!$B:$B=A11), 'BA History S2'!$AH:$AH)</f>
        <v>0.5636363636363636</v>
      </c>
      <c r="O11" s="34">
        <f>SUMIFS('BA History S2'!H:H,'BA History S2'!B:B,A11)</f>
        <v>97</v>
      </c>
      <c r="P11" s="2">
        <f>SUMIFS('BA History S2'!G:G,'BA History S2'!B:B,A11)-O11</f>
        <v>82</v>
      </c>
      <c r="Q11" s="89">
        <f>LOOKUP(2, 1/('BA History S2'!$B:$B=A11), 'BA History S2'!$AI:$AI)</f>
        <v>0.56545454545454543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4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0.56000000000000005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173</v>
      </c>
      <c r="G13" s="66">
        <f>AVERAGEIFS('BA History S2'!C:C,'BA History S2'!B:B,A13)</f>
        <v>21.625</v>
      </c>
      <c r="H13" s="35">
        <f t="array" ref="H13">MAX(IF('BA History S2'!B:B=A13, 'BA History S2'!C:C))</f>
        <v>28</v>
      </c>
      <c r="I13" s="34">
        <f>COUNTIFS('BA History S2'!B:B,A13,'BA History S2'!D:D, 1)</f>
        <v>5</v>
      </c>
      <c r="J13" s="2">
        <f>COUNTIFS('BA History S2'!B:B,A13,'BA History S2'!D:D, 0)</f>
        <v>3</v>
      </c>
      <c r="K13" s="75">
        <f>LOOKUP(2, 1/('BA History S2'!$B:$B=A13), 'BA History S2'!$AJ:$AJ)</f>
        <v>0.625</v>
      </c>
      <c r="L13" s="34">
        <f>SUMIFS('BA History S2'!F:F,'BA History S2'!B:B,A13)</f>
        <v>18</v>
      </c>
      <c r="M13" s="2">
        <f>SUMIFS('BA History S2'!E:E,'BA History S2'!B:B,A13)-L13</f>
        <v>12</v>
      </c>
      <c r="N13" s="75">
        <f>LOOKUP(2, 1/('BA History S2'!$B:$B=A13), 'BA History S2'!$AH:$AH)</f>
        <v>0.61250000000000004</v>
      </c>
      <c r="O13" s="34">
        <f>SUMIFS('BA History S2'!H:H,'BA History S2'!B:B,A13)</f>
        <v>69</v>
      </c>
      <c r="P13" s="2">
        <f>SUMIFS('BA History S2'!G:G,'BA History S2'!B:B,A13)-O13</f>
        <v>55</v>
      </c>
      <c r="Q13" s="89">
        <f>LOOKUP(2, 1/('BA History S2'!$B:$B=A13), 'BA History S2'!$AI:$AI)</f>
        <v>0.59249999999999992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162</v>
      </c>
      <c r="G14" s="66">
        <f>AVERAGEIFS('BA History S2'!C:C,'BA History S2'!B:B,A14)</f>
        <v>18</v>
      </c>
      <c r="H14" s="35">
        <f t="array" ref="H14">MAX(IF('BA History S2'!B:B=A14, 'BA History S2'!C:C))</f>
        <v>28</v>
      </c>
      <c r="I14" s="34">
        <f>COUNTIFS('BA History S2'!B:B,A14,'BA History S2'!D:D, 1)</f>
        <v>7</v>
      </c>
      <c r="J14" s="2">
        <f>COUNTIFS('BA History S2'!B:B,A14,'BA History S2'!D:D, 0)</f>
        <v>2</v>
      </c>
      <c r="K14" s="75">
        <f>LOOKUP(2, 1/('BA History S2'!$B:$B=A14), 'BA History S2'!$AJ:$AJ)</f>
        <v>0.77777777777777779</v>
      </c>
      <c r="L14" s="34">
        <f>SUMIFS('BA History S2'!F:F,'BA History S2'!B:B,A14)</f>
        <v>24</v>
      </c>
      <c r="M14" s="2">
        <f>SUMIFS('BA History S2'!E:E,'BA History S2'!B:B,A14)-L14</f>
        <v>10</v>
      </c>
      <c r="N14" s="75">
        <f>LOOKUP(2, 1/('BA History S2'!$B:$B=A14), 'BA History S2'!$AH:$AH)</f>
        <v>0.73888888888888893</v>
      </c>
      <c r="O14" s="34">
        <f>SUMIFS('BA History S2'!H:H,'BA History S2'!B:B,A14)</f>
        <v>86</v>
      </c>
      <c r="P14" s="2">
        <f>SUMIFS('BA History S2'!G:G,'BA History S2'!B:B,A14)-O14</f>
        <v>51</v>
      </c>
      <c r="Q14" s="89">
        <f>LOOKUP(2, 1/('BA History S2'!$B:$B=A14), 'BA History S2'!$AI:$AI)</f>
        <v>0.66222222222222227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114</v>
      </c>
      <c r="G17" s="66">
        <f>AVERAGEIFS('BA History S2'!C:C,'BA History S2'!B:B,A17)</f>
        <v>12.666666666666666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7</v>
      </c>
      <c r="K17" s="75">
        <f>LOOKUP(2, 1/('BA History S2'!$B:$B=A17), 'BA History S2'!$AJ:$AJ)</f>
        <v>0.22222222222222221</v>
      </c>
      <c r="L17" s="34">
        <f>SUMIFS('BA History S2'!F:F,'BA History S2'!B:B,A17)</f>
        <v>15</v>
      </c>
      <c r="M17" s="2">
        <f>SUMIFS('BA History S2'!E:E,'BA History S2'!B:B,A17)-L17</f>
        <v>21</v>
      </c>
      <c r="N17" s="75">
        <f>LOOKUP(2, 1/('BA History S2'!$B:$B=A17), 'BA History S2'!$AH:$AH)</f>
        <v>0.43888888888888888</v>
      </c>
      <c r="O17" s="34">
        <f>SUMIFS('BA History S2'!H:H,'BA History S2'!B:B,A17)</f>
        <v>68</v>
      </c>
      <c r="P17" s="2">
        <f>SUMIFS('BA History S2'!G:G,'BA History S2'!B:B,A17)-O17</f>
        <v>82</v>
      </c>
      <c r="Q17" s="89">
        <f>LOOKUP(2, 1/('BA History S2'!$B:$B=A17), 'BA History S2'!$AI:$AI)</f>
        <v>0.45999999999999996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22</v>
      </c>
      <c r="G19" s="66">
        <f>AVERAGEIFS('BA History S2'!C:C,'BA History S2'!B:B,A19)</f>
        <v>5.5</v>
      </c>
      <c r="H19" s="35">
        <f t="array" ref="H19">MAX(IF('BA History S2'!B:B=A19, 'BA History S2'!C:C))</f>
        <v>10</v>
      </c>
      <c r="I19" s="34">
        <f>COUNTIFS('BA History S2'!B:B,A19,'BA History S2'!D:D, 1)</f>
        <v>3</v>
      </c>
      <c r="J19" s="2">
        <f>COUNTIFS('BA History S2'!B:B,A19,'BA History S2'!D:D, 0)</f>
        <v>1</v>
      </c>
      <c r="K19" s="75">
        <f>LOOKUP(2, 1/('BA History S2'!$B:$B=A19), 'BA History S2'!$AJ:$AJ)</f>
        <v>0.75</v>
      </c>
      <c r="L19" s="34">
        <f>SUMIFS('BA History S2'!F:F,'BA History S2'!B:B,A19)</f>
        <v>10</v>
      </c>
      <c r="M19" s="2">
        <f>SUMIFS('BA History S2'!E:E,'BA History S2'!B:B,A19)-L19</f>
        <v>5</v>
      </c>
      <c r="N19" s="75">
        <f>LOOKUP(2, 1/('BA History S2'!$B:$B=A19), 'BA History S2'!$AH:$AH)</f>
        <v>0.6875</v>
      </c>
      <c r="O19" s="34">
        <f>SUMIFS('BA History S2'!H:H,'BA History S2'!B:B,A19)</f>
        <v>34</v>
      </c>
      <c r="P19" s="2">
        <f>SUMIFS('BA History S2'!G:G,'BA History S2'!B:B,A19)-O19</f>
        <v>28</v>
      </c>
      <c r="Q19" s="89">
        <f>LOOKUP(2, 1/('BA History S2'!$B:$B=A19), 'BA History S2'!$AI:$AI)</f>
        <v>0.56499999999999995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1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2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111</v>
      </c>
      <c r="G21" s="66">
        <f>AVERAGEIFS('BA History S2'!C:C,'BA History S2'!B:B,A21)</f>
        <v>18.5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12</v>
      </c>
      <c r="M21" s="2">
        <f>SUMIFS('BA History S2'!E:E,'BA History S2'!B:B,A21)-L21</f>
        <v>11</v>
      </c>
      <c r="N21" s="75">
        <f>LOOKUP(2, 1/('BA History S2'!$B:$B=A21), 'BA History S2'!$AH:$AH)</f>
        <v>0.52500000000000002</v>
      </c>
      <c r="O21" s="34">
        <f>SUMIFS('BA History S2'!H:H,'BA History S2'!B:B,A21)</f>
        <v>50</v>
      </c>
      <c r="P21" s="2">
        <f>SUMIFS('BA History S2'!G:G,'BA History S2'!B:B,A21)-O21</f>
        <v>45</v>
      </c>
      <c r="Q21" s="89">
        <f>LOOKUP(2, 1/('BA History S2'!$B:$B=A21), 'BA History S2'!$AI:$AI)</f>
        <v>0.51333333333333331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2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109</v>
      </c>
      <c r="G23" s="66">
        <f>AVERAGEIFS('BA History S2'!C:C,'BA History S2'!B:B,A23)</f>
        <v>15.571428571428571</v>
      </c>
      <c r="H23" s="35">
        <f t="array" ref="H23">MAX(IF('BA History S2'!B:B=A23, 'BA History S2'!C:C))</f>
        <v>19</v>
      </c>
      <c r="I23" s="34">
        <f>COUNTIFS('BA History S2'!B:B,A23,'BA History S2'!D:D, 1)</f>
        <v>4</v>
      </c>
      <c r="J23" s="2">
        <f>COUNTIFS('BA History S2'!B:B,A23,'BA History S2'!D:D, 0)</f>
        <v>3</v>
      </c>
      <c r="K23" s="75">
        <f>LOOKUP(2, 1/('BA History S2'!$B:$B=A23), 'BA History S2'!$AJ:$AJ)</f>
        <v>0.5714285714285714</v>
      </c>
      <c r="L23" s="34">
        <f>SUMIFS('BA History S2'!F:F,'BA History S2'!B:B,A23)</f>
        <v>14</v>
      </c>
      <c r="M23" s="2">
        <f>SUMIFS('BA History S2'!E:E,'BA History S2'!B:B,A23)-L23</f>
        <v>14</v>
      </c>
      <c r="N23" s="75">
        <f>LOOKUP(2, 1/('BA History S2'!$B:$B=A23), 'BA History S2'!$AH:$AH)</f>
        <v>0.49285714285714288</v>
      </c>
      <c r="O23" s="34">
        <f>SUMIFS('BA History S2'!H:H,'BA History S2'!B:B,A23)</f>
        <v>57</v>
      </c>
      <c r="P23" s="2">
        <f>SUMIFS('BA History S2'!G:G,'BA History S2'!B:B,A23)-O23</f>
        <v>57</v>
      </c>
      <c r="Q23" s="89">
        <f>LOOKUP(2, 1/('BA History S2'!$B:$B=A23), 'BA History S2'!$AI:$AI)</f>
        <v>0.50428571428571434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4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148</v>
      </c>
      <c r="B27" s="2" t="s">
        <v>79</v>
      </c>
      <c r="C27" s="2"/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13.333333333333334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2</v>
      </c>
      <c r="K27" s="75">
        <f>LOOKUP(2, 1/('BA History S2'!$B:$B=A27), 'BA History S2'!$AJ:$AJ)</f>
        <v>0.33333333333333331</v>
      </c>
      <c r="L27" s="34">
        <f>SUMIFS('BA History S2'!F:F,'BA History S2'!B:B,A27)</f>
        <v>6</v>
      </c>
      <c r="M27" s="2">
        <f>SUMIFS('BA History S2'!E:E,'BA History S2'!B:B,A27)-L27</f>
        <v>6</v>
      </c>
      <c r="N27" s="75">
        <f>LOOKUP(2, 1/('BA History S2'!$B:$B=A27), 'BA History S2'!$AH:$AH)</f>
        <v>0.54999999999999993</v>
      </c>
      <c r="O27" s="34">
        <f>SUMIFS('BA History S2'!H:H,'BA History S2'!B:B,A27)</f>
        <v>29</v>
      </c>
      <c r="P27" s="2">
        <f>SUMIFS('BA History S2'!G:G,'BA History S2'!B:B,A27)-O27</f>
        <v>23</v>
      </c>
      <c r="Q27" s="89">
        <f>LOOKUP(2, 1/('BA History S2'!$B:$B=A27), 'BA History S2'!$AI:$AI)</f>
        <v>0.6133333333333334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161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210</v>
      </c>
      <c r="G30" s="66">
        <f>AVERAGEIFS('BA History S2'!C:C,'BA History S2'!B:B,A30)</f>
        <v>19.09090909090909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3</v>
      </c>
      <c r="K30" s="75">
        <f>LOOKUP(2, 1/('BA History S2'!$B:$B=A30), 'BA History S2'!$AJ:$AJ)</f>
        <v>0.72727272727272729</v>
      </c>
      <c r="L30" s="34">
        <f>SUMIFS('BA History S2'!F:F,'BA History S2'!B:B,A30)</f>
        <v>28</v>
      </c>
      <c r="M30" s="2">
        <f>SUMIFS('BA History S2'!E:E,'BA History S2'!B:B,A30)-L30</f>
        <v>15</v>
      </c>
      <c r="N30" s="75">
        <f>LOOKUP(2, 1/('BA History S2'!$B:$B=A30), 'BA History S2'!$AH:$AH)</f>
        <v>0.69090909090909092</v>
      </c>
      <c r="O30" s="34">
        <f>SUMIFS('BA History S2'!H:H,'BA History S2'!B:B,A30)</f>
        <v>101</v>
      </c>
      <c r="P30" s="2">
        <f>SUMIFS('BA History S2'!G:G,'BA History S2'!B:B,A30)-O30</f>
        <v>75</v>
      </c>
      <c r="Q30" s="89">
        <f>LOOKUP(2, 1/('BA History S2'!$B:$B=A30), 'BA History S2'!$AI:$AI)</f>
        <v>0.61636363636363634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4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161</v>
      </c>
      <c r="C33" s="1">
        <v>1</v>
      </c>
      <c r="F33" s="34">
        <f>SUMIFS('BA History S2'!C:C,'BA History S2'!B:B,A33)</f>
        <v>166</v>
      </c>
      <c r="G33" s="66">
        <f>AVERAGEIFS('BA History S2'!C:C,'BA History S2'!B:B,A33)</f>
        <v>27.666666666666668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1</v>
      </c>
      <c r="K33" s="75">
        <f>LOOKUP(2, 1/('BA History S2'!$B:$B=A33), 'BA History S2'!$AJ:$AJ)</f>
        <v>0.83333333333333337</v>
      </c>
      <c r="L33" s="34">
        <f>SUMIFS('BA History S2'!F:F,'BA History S2'!B:B,A33)</f>
        <v>16</v>
      </c>
      <c r="M33" s="2">
        <f>SUMIFS('BA History S2'!E:E,'BA History S2'!B:B,A33)-L33</f>
        <v>9</v>
      </c>
      <c r="N33" s="75">
        <f>LOOKUP(2, 1/('BA History S2'!$B:$B=A33), 'BA History S2'!$AH:$AH)</f>
        <v>0.65833333333333333</v>
      </c>
      <c r="O33" s="34">
        <f>SUMIFS('BA History S2'!H:H,'BA History S2'!B:B,A33)</f>
        <v>62</v>
      </c>
      <c r="P33" s="2">
        <f>SUMIFS('BA History S2'!G:G,'BA History S2'!B:B,A33)-O33</f>
        <v>50</v>
      </c>
      <c r="Q33" s="89">
        <f>LOOKUP(2, 1/('BA History S2'!$B:$B=A33), 'BA History S2'!$AI:$AI)</f>
        <v>0.56333333333333335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2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150</v>
      </c>
      <c r="G34" s="66">
        <f>AVERAGEIFS('BA History S2'!C:C,'BA History S2'!B:B,A34)</f>
        <v>13.636363636363637</v>
      </c>
      <c r="H34" s="35">
        <f t="array" ref="H34">MAX(IF('BA History S2'!B:B=A34, 'BA History S2'!C:C))</f>
        <v>22</v>
      </c>
      <c r="I34" s="34">
        <f>COUNTIFS('BA History S2'!B:B,A34,'BA History S2'!D:D, 1)</f>
        <v>5</v>
      </c>
      <c r="J34" s="2">
        <f>COUNTIFS('BA History S2'!B:B,A34,'BA History S2'!D:D, 0)</f>
        <v>6</v>
      </c>
      <c r="K34" s="75">
        <f>LOOKUP(2, 1/('BA History S2'!$B:$B=A34), 'BA History S2'!$AJ:$AJ)</f>
        <v>0.45454545454545453</v>
      </c>
      <c r="L34" s="34">
        <f>SUMIFS('BA History S2'!F:F,'BA History S2'!B:B,A34)</f>
        <v>18</v>
      </c>
      <c r="M34" s="2">
        <f>SUMIFS('BA History S2'!E:E,'BA History S2'!B:B,A34)-L34</f>
        <v>22</v>
      </c>
      <c r="N34" s="75">
        <f>LOOKUP(2, 1/('BA History S2'!$B:$B=A34), 'BA History S2'!$AH:$AH)</f>
        <v>0.42272727272727278</v>
      </c>
      <c r="O34" s="34">
        <f>SUMIFS('BA History S2'!H:H,'BA History S2'!B:B,A34)</f>
        <v>76</v>
      </c>
      <c r="P34" s="2">
        <f>SUMIFS('BA History S2'!G:G,'BA History S2'!B:B,A34)-O34</f>
        <v>84</v>
      </c>
      <c r="Q34" s="89">
        <f>LOOKUP(2, 1/('BA History S2'!$B:$B=A34), 'BA History S2'!$AI:$AI)</f>
        <v>0.46181818181818185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1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85"/>
  <sheetViews>
    <sheetView workbookViewId="0">
      <pane xSplit="2" ySplit="1" topLeftCell="C134" activePane="bottomRight" state="frozen"/>
      <selection pane="topRight" activeCell="C1" sqref="C1"/>
      <selection pane="bottomLeft" activeCell="A2" sqref="A2"/>
      <selection pane="bottomRight" activeCell="A174" sqref="A174:AF18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164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151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168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164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151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169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151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142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</sheetData>
  <autoFilter ref="A1:AJ16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2026-04-18T20:25:42Z</dcterms:modified>
</cp:coreProperties>
</file>