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8C3D5E94-580C-458D-95F9-BF48E7D48AAE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S2'!$A$1:$AM$35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250" i="17" l="1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R30" i="16"/>
  <c r="F30" i="16"/>
  <c r="G30" i="16"/>
  <c r="H30" i="16" a="1"/>
  <c r="H30" i="16" s="1"/>
  <c r="I30" i="16"/>
  <c r="J30" i="16"/>
  <c r="K30" i="16"/>
  <c r="L30" i="16"/>
  <c r="M30" i="16" s="1"/>
  <c r="N30" i="16"/>
  <c r="O30" i="16"/>
  <c r="P30" i="16" s="1"/>
  <c r="Q30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AI241" i="17"/>
  <c r="AJ241" i="17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4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3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L32" i="16"/>
  <c r="R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AJ2" i="17"/>
  <c r="AH2" i="17"/>
  <c r="AG2" i="17"/>
  <c r="F33" i="16"/>
  <c r="G33" i="16"/>
  <c r="H33" i="16" a="1"/>
  <c r="H33" i="16" s="1"/>
  <c r="I33" i="16"/>
  <c r="J33" i="16"/>
  <c r="L33" i="16"/>
  <c r="M33" i="16" s="1"/>
  <c r="O33" i="16"/>
  <c r="P33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3" i="16"/>
  <c r="K33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R35" i="16"/>
  <c r="R34" i="16"/>
  <c r="R31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1" i="16"/>
  <c r="Q32" i="16"/>
  <c r="Q34" i="16"/>
  <c r="Q35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1" i="16"/>
  <c r="P31" i="16" s="1"/>
  <c r="O32" i="16"/>
  <c r="P32" i="16" s="1"/>
  <c r="O34" i="16"/>
  <c r="P34" i="16" s="1"/>
  <c r="O35" i="16"/>
  <c r="P35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1" i="16"/>
  <c r="N32" i="16"/>
  <c r="N34" i="16"/>
  <c r="N35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1" i="16"/>
  <c r="M31" i="16" s="1"/>
  <c r="M32" i="16"/>
  <c r="L34" i="16"/>
  <c r="M34" i="16" s="1"/>
  <c r="L35" i="16"/>
  <c r="M35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1" i="16"/>
  <c r="K32" i="16"/>
  <c r="K34" i="16"/>
  <c r="K35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1" i="16"/>
  <c r="J32" i="16"/>
  <c r="J34" i="16"/>
  <c r="J35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1" i="16"/>
  <c r="I32" i="16"/>
  <c r="I34" i="16"/>
  <c r="I35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1" i="16" a="1"/>
  <c r="H31" i="16" s="1"/>
  <c r="H32" i="16" a="1"/>
  <c r="H32" i="16" s="1"/>
  <c r="H34" i="16" a="1"/>
  <c r="H34" i="16" s="1"/>
  <c r="H35" i="16" a="1"/>
  <c r="H35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1" i="16"/>
  <c r="G32" i="16"/>
  <c r="G34" i="16"/>
  <c r="G35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1" i="16"/>
  <c r="F32" i="16"/>
  <c r="F34" i="16"/>
  <c r="F35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<sst xmlns="http://schemas.openxmlformats.org/spreadsheetml/2006/main" count="3942" uniqueCount="180">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</sst>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57" sqref="E5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77</v>
      </c>
      <c r="I4" s="4">
        <f>AVERAGEIFS('OB History'!C:C,'OB History'!B:B,A4)</f>
        <v>8.5555555555555554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3</v>
      </c>
      <c r="M4" s="88">
        <f>LOOKUP(2, 1/('OB History'!$B:$B=A4), 'OB History'!$AD:$AD)</f>
        <v>0.66666666666666663</v>
      </c>
      <c r="N4" s="34">
        <f>SUMIFS('OB History'!F:F,'OB History'!B:B,A4)</f>
        <v>20</v>
      </c>
      <c r="O4" s="2">
        <f>SUMIFS('OB History'!E:E,'OB History'!B:B,A4)-N4</f>
        <v>16</v>
      </c>
      <c r="P4" s="88">
        <f>LOOKUP(2, 1/('OB History'!$B:$B=A4), 'OB History'!$AB:$AB)</f>
        <v>0.55000000000000004</v>
      </c>
      <c r="Q4" s="34">
        <f>SUMIFS('OB History'!H:H,'OB History'!B:B,A4)</f>
        <v>78</v>
      </c>
      <c r="R4" s="2">
        <f>SUMIFS('OB History'!G:G,'OB History'!B:B,A4)-Q4</f>
        <v>72</v>
      </c>
      <c r="S4" s="88">
        <f>LOOKUP(2, 1/('OB History'!$B:$B=A4), 'OB History'!$AC:$AC)</f>
        <v>0.51555555555555554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504</v>
      </c>
      <c r="I5" s="4">
        <f>AVERAGEIFS('OB History'!C:C,'OB History'!B:B,A5)</f>
        <v>19.384615384615383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14</v>
      </c>
      <c r="M5" s="88">
        <f>LOOKUP(2, 1/('OB History'!$B:$B=A5), 'OB History'!$AD:$AD)</f>
        <v>0.46153846153846156</v>
      </c>
      <c r="N5" s="34">
        <f>SUMIFS('OB History'!F:F,'OB History'!B:B,A5)</f>
        <v>48</v>
      </c>
      <c r="O5" s="2">
        <f>SUMIFS('OB History'!E:E,'OB History'!B:B,A5)-N5</f>
        <v>58</v>
      </c>
      <c r="P5" s="88">
        <f>LOOKUP(2, 1/('OB History'!$B:$B=A5), 'OB History'!$AB:$AB)</f>
        <v>0.43461538461538457</v>
      </c>
      <c r="Q5" s="34">
        <f>SUMIFS('OB History'!H:H,'OB History'!B:B,A5)</f>
        <v>202</v>
      </c>
      <c r="R5" s="2">
        <f>SUMIFS('OB History'!G:G,'OB History'!B:B,A5)-Q5</f>
        <v>229</v>
      </c>
      <c r="S5" s="88">
        <f>LOOKUP(2, 1/('OB History'!$B:$B=A5), 'OB History'!$AC:$AC)</f>
        <v>0.45884615384615385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351</v>
      </c>
      <c r="I7" s="4">
        <f>AVERAGEIFS('OB History'!C:C,'OB History'!B:B,A7)</f>
        <v>12.535714285714286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12</v>
      </c>
      <c r="M7" s="88">
        <f>LOOKUP(2, 1/('OB History'!$B:$B=A7), 'OB History'!$AD:$AD)</f>
        <v>0.5714285714285714</v>
      </c>
      <c r="N7" s="34">
        <f>SUMIFS('OB History'!F:F,'OB History'!B:B,A7)</f>
        <v>55</v>
      </c>
      <c r="O7" s="2">
        <f>SUMIFS('OB History'!E:E,'OB History'!B:B,A7)-N7</f>
        <v>58</v>
      </c>
      <c r="P7" s="88">
        <f>LOOKUP(2, 1/('OB History'!$B:$B=A7), 'OB History'!$AB:$AB)</f>
        <v>0.46249999999999997</v>
      </c>
      <c r="Q7" s="34">
        <f>SUMIFS('OB History'!H:H,'OB History'!B:B,'Old Bow v2'!A7)</f>
        <v>227</v>
      </c>
      <c r="R7" s="2">
        <f>SUMIFS('OB History'!G:G,'OB History'!B:B,'Old Bow v2'!A7)-Q7</f>
        <v>237</v>
      </c>
      <c r="S7" s="88">
        <f>LOOKUP(2, 1/('OB History'!$B:$B=A7), 'OB History'!$AC:$AC)</f>
        <v>0.47821428571428581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471</v>
      </c>
      <c r="I10" s="4">
        <f>AVERAGEIFS('OB History'!C:C,'OB History'!B:B,A10)</f>
        <v>17.444444444444443</v>
      </c>
      <c r="J10" s="35">
        <f t="array" ref="J10">MAX(IF('OB History'!B:B=A10, 'OB History'!C:C))</f>
        <v>35</v>
      </c>
      <c r="K10" s="34">
        <f>COUNTIFS('OB History'!B:B,A10,'OB History'!D:D, 1)</f>
        <v>16</v>
      </c>
      <c r="L10" s="2">
        <f>COUNTIFS('OB History'!B:B,A10,'OB History'!D:D, 0)</f>
        <v>11</v>
      </c>
      <c r="M10" s="88">
        <f>LOOKUP(2, 1/('OB History'!$B:$B=A10), 'OB History'!$AD:$AD)</f>
        <v>0.59259259259259256</v>
      </c>
      <c r="N10" s="34">
        <f>SUMIFS('OB History'!F:F,'OB History'!B:B,A10)</f>
        <v>64</v>
      </c>
      <c r="O10" s="2">
        <f>SUMIFS('OB History'!E:E,'OB History'!B:B,A10)-N10</f>
        <v>50</v>
      </c>
      <c r="P10" s="88">
        <f>LOOKUP(2, 1/('OB History'!$B:$B=A10), 'OB History'!$AB:$AB)</f>
        <v>0.58333333333333337</v>
      </c>
      <c r="Q10" s="34">
        <f>SUMIFS('OB History'!H:H,'OB History'!B:B,'Old Bow v2'!A10)</f>
        <v>244</v>
      </c>
      <c r="R10" s="2">
        <f>SUMIFS('OB History'!G:G,'OB History'!B:B,'Old Bow v2'!A10)-Q10</f>
        <v>228</v>
      </c>
      <c r="S10" s="88">
        <f>LOOKUP(2, 1/('OB History'!$B:$B=A10), 'OB History'!$AC:$AC)</f>
        <v>0.53074074074074074</v>
      </c>
      <c r="T10" s="2">
        <f>COUNTIFS('OB History'!$B:$B,$A$10,'OB History'!K:K, 1)</f>
        <v>4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2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10</v>
      </c>
      <c r="AH10" s="2">
        <f>COUNTIFS('OB History'!$B:$B,$A$10,'OB History'!Y:Y, 1)</f>
        <v>6</v>
      </c>
      <c r="AI10" s="2">
        <f>COUNTIFS('OB History'!$B:$B,$A$10,'OB History'!Z:Z, 1)</f>
        <v>10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280</v>
      </c>
      <c r="I16" s="4">
        <f>AVERAGEIFS('OB History'!C:C,'OB History'!B:B,A16)</f>
        <v>12.727272727272727</v>
      </c>
      <c r="J16" s="35">
        <f t="array" ref="J16">MAX(IF('OB History'!B:B=A16, 'OB History'!C:C))</f>
        <v>26</v>
      </c>
      <c r="K16" s="34">
        <f>COUNTIFS('OB History'!B:B,A16,'OB History'!D:D, 1)</f>
        <v>9</v>
      </c>
      <c r="L16" s="2">
        <f>COUNTIFS('OB History'!B:B,A16,'OB History'!D:D, 0)</f>
        <v>13</v>
      </c>
      <c r="M16" s="88">
        <f>LOOKUP(2, 1/('OB History'!$B:$B=A16), 'OB History'!$AD:$AD)</f>
        <v>0.40909090909090912</v>
      </c>
      <c r="N16" s="34">
        <f>SUMIFS('OB History'!F:F,'OB History'!B:B,A16)</f>
        <v>44</v>
      </c>
      <c r="O16" s="2">
        <f>SUMIFS('OB History'!E:E,'OB History'!B:B,A16)-N16</f>
        <v>50</v>
      </c>
      <c r="P16" s="88">
        <f>LOOKUP(2, 1/('OB History'!$B:$B=A16), 'OB History'!$AB:$AB)</f>
        <v>0.46363636363636368</v>
      </c>
      <c r="Q16" s="34">
        <f>SUMIFS('OB History'!H:H,'OB History'!B:B,'Old Bow v2'!A16)</f>
        <v>182</v>
      </c>
      <c r="R16" s="2">
        <f>SUMIFS('OB History'!G:G,'OB History'!B:B,'Old Bow v2'!A16)-Q16</f>
        <v>196</v>
      </c>
      <c r="S16" s="88">
        <f>LOOKUP(2, 1/('OB History'!$B:$B=A16), 'OB History'!$AC:$AC)</f>
        <v>0.48136363636363644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2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1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8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172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462</v>
      </c>
      <c r="I22" s="4">
        <f>AVERAGEIFS('OB History'!C:C,'OB History'!B:B,A22)</f>
        <v>10.744186046511627</v>
      </c>
      <c r="J22" s="35">
        <f t="array" ref="J22">MAX(IF('OB History'!B:B=A22, 'OB History'!C:C))</f>
        <v>21</v>
      </c>
      <c r="K22" s="34">
        <f>COUNTIFS('OB History'!B:B,A22,'OB History'!D:D, 1)</f>
        <v>19</v>
      </c>
      <c r="L22" s="2">
        <f>COUNTIFS('OB History'!B:B,A22,'OB History'!D:D, 0)</f>
        <v>24</v>
      </c>
      <c r="M22" s="88">
        <f>LOOKUP(2, 1/('OB History'!$B:$B=A22), 'OB History'!$AD:$AD)</f>
        <v>0.44186046511627908</v>
      </c>
      <c r="N22" s="34">
        <f>SUMIFS('OB History'!F:F,'OB History'!B:B,A22)</f>
        <v>83</v>
      </c>
      <c r="O22" s="2">
        <f>SUMIFS('OB History'!E:E,'OB History'!B:B,A22)-N22</f>
        <v>92</v>
      </c>
      <c r="P22" s="88">
        <f>LOOKUP(2, 1/('OB History'!$B:$B=A22), 'OB History'!$AB:$AB)</f>
        <v>0.46744186046511632</v>
      </c>
      <c r="Q22" s="34">
        <f>SUMIFS('OB History'!H:H,'OB History'!B:B,'Old Bow v2'!A22)</f>
        <v>357</v>
      </c>
      <c r="R22" s="2">
        <f>SUMIFS('OB History'!G:G,'OB History'!B:B,'Old Bow v2'!A22)-Q22</f>
        <v>368</v>
      </c>
      <c r="S22" s="88">
        <f>LOOKUP(2, 1/('OB History'!$B:$B=A22), 'OB History'!$AC:$AC)</f>
        <v>0.49558139534883716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10</v>
      </c>
      <c r="X22" s="2">
        <f>COUNTIFS('OB History'!$B:$B,$A$22,'OB History'!O:O, 1)</f>
        <v>4</v>
      </c>
      <c r="Y22" s="2">
        <f>COUNTIFS('OB History'!$B:$B,$A$22,'OB History'!P:P, 1)</f>
        <v>8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355</v>
      </c>
      <c r="I25" s="4">
        <f>AVERAGEIFS('OB History'!C:C,'OB History'!B:B,A25)</f>
        <v>15.434782608695652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14</v>
      </c>
      <c r="M25" s="88">
        <f>LOOKUP(2, 1/('OB History'!$B:$B=A25), 'OB History'!$AD:$AD)</f>
        <v>0.39130434782608697</v>
      </c>
      <c r="N25" s="34">
        <f>SUMIFS('OB History'!F:F,'OB History'!B:B,A25)</f>
        <v>42</v>
      </c>
      <c r="O25" s="2">
        <f>SUMIFS('OB History'!E:E,'OB History'!B:B,A25)-N25</f>
        <v>56</v>
      </c>
      <c r="P25" s="88">
        <f>LOOKUP(2, 1/('OB History'!$B:$B=A25), 'OB History'!$AB:$AB)</f>
        <v>0.40217391304347827</v>
      </c>
      <c r="Q25" s="34">
        <f>SUMIFS('OB History'!H:H,'OB History'!B:B,'Old Bow v2'!A25)</f>
        <v>192</v>
      </c>
      <c r="R25" s="2">
        <f>SUMIFS('OB History'!G:G,'OB History'!B:B,'Old Bow v2'!A25)-Q25</f>
        <v>218</v>
      </c>
      <c r="S25" s="88">
        <f>LOOKUP(2, 1/('OB History'!$B:$B=A25), 'OB History'!$AC:$AC)</f>
        <v>0.45521739130434791</v>
      </c>
      <c r="T25" s="2">
        <f>COUNTIFS('OB History'!$B:$B,$A$25,'OB History'!K:K, 1)</f>
        <v>5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8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159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346</v>
      </c>
      <c r="I31" s="4">
        <f>AVERAGEIFS('OB History'!C:C,'OB History'!B:B,A31)</f>
        <v>13.307692307692308</v>
      </c>
      <c r="J31" s="35">
        <f t="array" ref="J31">MAX(IF('OB History'!B:B=A31, 'OB History'!C:C))</f>
        <v>23</v>
      </c>
      <c r="K31" s="34">
        <f>COUNTIFS('OB History'!B:B,A31,'OB History'!D:D, 1)</f>
        <v>16</v>
      </c>
      <c r="L31" s="2">
        <f>COUNTIFS('OB History'!B:B,A31,'OB History'!D:D, 0)</f>
        <v>10</v>
      </c>
      <c r="M31" s="88">
        <f>LOOKUP(2, 1/('OB History'!$B:$B=A31), 'OB History'!$AD:$AD)</f>
        <v>0.61538461538461542</v>
      </c>
      <c r="N31" s="34">
        <f>SUMIFS('OB History'!F:F,'OB History'!B:B,A31)</f>
        <v>60</v>
      </c>
      <c r="O31" s="2">
        <f>SUMIFS('OB History'!E:E,'OB History'!B:B,A31)-N31</f>
        <v>47</v>
      </c>
      <c r="P31" s="88">
        <f>LOOKUP(2, 1/('OB History'!$B:$B=A31), 'OB History'!$AB:$AB)</f>
        <v>0.58269230769230762</v>
      </c>
      <c r="Q31" s="34">
        <f>SUMIFS('OB History'!H:H,'OB History'!B:B,'Old Bow v2'!A31)</f>
        <v>229</v>
      </c>
      <c r="R31" s="2">
        <f>SUMIFS('OB History'!G:G,'OB History'!B:B,'Old Bow v2'!A31)-Q31</f>
        <v>206</v>
      </c>
      <c r="S31" s="88">
        <f>LOOKUP(2, 1/('OB History'!$B:$B=A31), 'OB History'!$AC:$AC)</f>
        <v>0.53461538461538471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2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2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9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159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1506</v>
      </c>
      <c r="I35" s="4">
        <f>AVERAGEIFS('OB History'!C:C,'OB History'!B:B,A35)</f>
        <v>26.892857142857142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20</v>
      </c>
      <c r="M35" s="88">
        <f>LOOKUP(2, 1/('OB History'!$B:$B=A35), 'OB History'!$AD:$AD)</f>
        <v>0.6428571428571429</v>
      </c>
      <c r="N35" s="34">
        <f>SUMIFS('OB History'!F:F,'OB History'!B:B,A35)</f>
        <v>132</v>
      </c>
      <c r="O35" s="2">
        <f>SUMIFS('OB History'!E:E,'OB History'!B:B,A35)-N35</f>
        <v>98</v>
      </c>
      <c r="P35" s="88">
        <f>LOOKUP(2, 1/('OB History'!$B:$B=A35), 'OB History'!$AB:$AB)</f>
        <v>0.58214285714285718</v>
      </c>
      <c r="Q35" s="34">
        <f>SUMIFS('OB History'!H:H,'OB History'!B:B,'Old Bow v2'!A35)</f>
        <v>513</v>
      </c>
      <c r="R35" s="2">
        <f>SUMIFS('OB History'!G:G,'OB History'!B:B,'Old Bow v2'!A35)-Q35</f>
        <v>424</v>
      </c>
      <c r="S35" s="88">
        <f>LOOKUP(2, 1/('OB History'!$B:$B=A35), 'OB History'!$AC:$AC)</f>
        <v>0.55035714285714277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14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12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3</v>
      </c>
      <c r="E38" s="3"/>
      <c r="F38" s="3"/>
      <c r="G38" s="3"/>
      <c r="H38" s="34">
        <f>SUMIFS('OB History'!C:C,'OB History'!B:B,A38)</f>
        <v>389</v>
      </c>
      <c r="I38" s="4">
        <f>AVERAGEIFS('OB History'!C:C,'OB History'!B:B,A38)</f>
        <v>25.933333333333334</v>
      </c>
      <c r="J38" s="35">
        <f t="array" ref="J38">MAX(IF('OB History'!B:B=A38, 'OB History'!C:C))</f>
        <v>51</v>
      </c>
      <c r="K38" s="34">
        <f>COUNTIFS('OB History'!B:B,A38,'OB History'!D:D, 1)</f>
        <v>7</v>
      </c>
      <c r="L38" s="2">
        <f>COUNTIFS('OB History'!B:B,A38,'OB History'!D:D, 0)</f>
        <v>8</v>
      </c>
      <c r="M38" s="88">
        <f>LOOKUP(2, 1/('OB History'!$B:$B=A38), 'OB History'!$AD:$AD)</f>
        <v>0.46666666666666667</v>
      </c>
      <c r="N38" s="34">
        <f>SUMIFS('OB History'!F:F,'OB History'!B:B,A38)</f>
        <v>30</v>
      </c>
      <c r="O38" s="2">
        <f>SUMIFS('OB History'!E:E,'OB History'!B:B,A38)-N38</f>
        <v>36</v>
      </c>
      <c r="P38" s="88">
        <f>LOOKUP(2, 1/('OB History'!$B:$B=A38), 'OB History'!$AB:$AB)</f>
        <v>0.43666666666666659</v>
      </c>
      <c r="Q38" s="34">
        <f>SUMIFS('OB History'!H:H,'OB History'!B:B,'Old Bow v2'!A38)</f>
        <v>132</v>
      </c>
      <c r="R38" s="2">
        <f>SUMIFS('OB History'!G:G,'OB History'!B:B,'Old Bow v2'!A38)-Q38</f>
        <v>142</v>
      </c>
      <c r="S38" s="88">
        <f>LOOKUP(2, 1/('OB History'!$B:$B=A38), 'OB History'!$AC:$AC)</f>
        <v>0.46866666666666668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4</v>
      </c>
      <c r="X38" s="2">
        <f>COUNTIFS('OB History'!$B:$B,$A$38,'OB History'!O:O, 1)</f>
        <v>3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2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97</v>
      </c>
      <c r="I39" s="4">
        <f>AVERAGEIFS('OB History'!C:C,'OB History'!B:B,A39)</f>
        <v>8.0833333333333339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7</v>
      </c>
      <c r="M39" s="88">
        <f>LOOKUP(2, 1/('OB History'!$B:$B=A39), 'OB History'!$AD:$AD)</f>
        <v>0.41666666666666669</v>
      </c>
      <c r="N39" s="34">
        <f>SUMIFS('OB History'!F:F,'OB History'!B:B,A39)</f>
        <v>20</v>
      </c>
      <c r="O39" s="2">
        <f>SUMIFS('OB History'!E:E,'OB History'!B:B,A39)-N39</f>
        <v>27</v>
      </c>
      <c r="P39" s="88">
        <f>LOOKUP(2, 1/('OB History'!$B:$B=A39), 'OB History'!$AB:$AB)</f>
        <v>0.40416666666666673</v>
      </c>
      <c r="Q39" s="34">
        <f>SUMIFS('OB History'!H:H,'OB History'!B:B,'Old Bow v2'!A39)</f>
        <v>85</v>
      </c>
      <c r="R39" s="2">
        <f>SUMIFS('OB History'!G:G,'OB History'!B:B,'Old Bow v2'!A39)-Q39</f>
        <v>104</v>
      </c>
      <c r="S39" s="88">
        <f>LOOKUP(2, 1/('OB History'!$B:$B=A39), 'OB History'!$AC:$AC)</f>
        <v>0.44333333333333336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3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245</v>
      </c>
      <c r="I42" s="4">
        <f>AVERAGEIFS('OB History'!C:C,'OB History'!B:B,A42)</f>
        <v>17.5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10</v>
      </c>
      <c r="M42" s="88">
        <f>LOOKUP(2, 1/('OB History'!$B:$B=A42), 'OB History'!$AD:$AD)</f>
        <v>0.2857142857142857</v>
      </c>
      <c r="N42" s="34">
        <f>SUMIFS('OB History'!F:F,'OB History'!B:B,A42)</f>
        <v>25</v>
      </c>
      <c r="O42" s="2">
        <f>SUMIFS('OB History'!E:E,'OB History'!B:B,A42)-N42</f>
        <v>34</v>
      </c>
      <c r="P42" s="88">
        <f>LOOKUP(2, 1/('OB History'!$B:$B=A42), 'OB History'!$AB:$AB)</f>
        <v>0.42499999999999993</v>
      </c>
      <c r="Q42" s="34">
        <f>SUMIFS('OB History'!H:H,'OB History'!B:B,'Old Bow v2'!A42)</f>
        <v>106</v>
      </c>
      <c r="R42" s="2">
        <f>SUMIFS('OB History'!G:G,'OB History'!B:B,'Old Bow v2'!A42)-Q42</f>
        <v>134</v>
      </c>
      <c r="S42" s="88">
        <f>LOOKUP(2, 1/('OB History'!$B:$B=A42), 'OB History'!$AC:$AC)</f>
        <v>0.43285714285714288</v>
      </c>
      <c r="T42" s="2">
        <f>COUNTIFS('OB History'!$B:$B,$A$42,'OB History'!K:K, 1)</f>
        <v>3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5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10</v>
      </c>
      <c r="E44" s="3">
        <v>3</v>
      </c>
      <c r="F44" s="3"/>
      <c r="G44" s="3"/>
      <c r="H44" s="34">
        <f>SUMIFS('OB History'!C:C,'OB History'!B:B,A44)</f>
        <v>1275</v>
      </c>
      <c r="I44" s="4">
        <f>AVERAGEIFS('OB History'!C:C,'OB History'!B:B,A44)</f>
        <v>26.020408163265305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27</v>
      </c>
      <c r="M44" s="88">
        <f>LOOKUP(2, 1/('OB History'!$B:$B=A44), 'OB History'!$AD:$AD)</f>
        <v>0.44897959183673469</v>
      </c>
      <c r="N44" s="34">
        <f>SUMIFS('OB History'!F:F,'OB History'!B:B,A44)</f>
        <v>101</v>
      </c>
      <c r="O44" s="2">
        <f>SUMIFS('OB History'!E:E,'OB History'!B:B,A44)-N44</f>
        <v>102</v>
      </c>
      <c r="P44" s="88">
        <f>LOOKUP(2, 1/('OB History'!$B:$B=A44), 'OB History'!$AB:$AB)</f>
        <v>0.51020408163265318</v>
      </c>
      <c r="Q44" s="34">
        <f>SUMIFS('OB History'!H:H,'OB History'!B:B,'Old Bow v2'!A44)</f>
        <v>423</v>
      </c>
      <c r="R44" s="2">
        <f>SUMIFS('OB History'!G:G,'OB History'!B:B,'Old Bow v2'!A44)-Q44</f>
        <v>412</v>
      </c>
      <c r="S44" s="88">
        <f>LOOKUP(2, 1/('OB History'!$B:$B=A44), 'OB History'!$AC:$AC)</f>
        <v>0.51591836734693863</v>
      </c>
      <c r="T44" s="2">
        <f>COUNTIFS('OB History'!$B:$B,$A$44,'OB History'!K:K, 1)</f>
        <v>7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20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6" t="s">
        <v>60</v>
      </c>
      <c r="C46" s="2" t="s">
        <v>79</v>
      </c>
      <c r="D46" s="3">
        <v>6</v>
      </c>
      <c r="E46" s="3">
        <v>1</v>
      </c>
      <c r="F46" s="3"/>
      <c r="G46" s="3"/>
      <c r="H46" s="34">
        <f>SUMIFS('OB History'!C:C,'OB History'!B:B,A46)</f>
        <v>336</v>
      </c>
      <c r="I46" s="4">
        <f>AVERAGEIFS('OB History'!C:C,'OB History'!B:B,A46)</f>
        <v>17.684210526315791</v>
      </c>
      <c r="J46" s="35">
        <f t="array" ref="J46">MAX(IF('OB History'!B:B=A46, 'OB History'!C:C))</f>
        <v>43</v>
      </c>
      <c r="K46" s="34">
        <f>COUNTIFS('OB History'!B:B,A46,'OB History'!D:D, 1)</f>
        <v>6</v>
      </c>
      <c r="L46" s="2">
        <f>COUNTIFS('OB History'!B:B,A46,'OB History'!D:D, 0)</f>
        <v>13</v>
      </c>
      <c r="M46" s="88">
        <f>LOOKUP(2, 1/('OB History'!$B:$B=A46), 'OB History'!$AD:$AD)</f>
        <v>0.31578947368421051</v>
      </c>
      <c r="N46" s="34">
        <f>SUMIFS('OB History'!F:F,'OB History'!B:B,A46)</f>
        <v>34</v>
      </c>
      <c r="O46" s="2">
        <f>SUMIFS('OB History'!E:E,'OB History'!B:B,A46)-N46</f>
        <v>50</v>
      </c>
      <c r="P46" s="88">
        <f>LOOKUP(2, 1/('OB History'!$B:$B=A46), 'OB History'!$AB:$AB)</f>
        <v>0.38157894736842102</v>
      </c>
      <c r="Q46" s="34">
        <f>SUMIFS('OB History'!H:H,'OB History'!B:B,'Old Bow v2'!A46)</f>
        <v>160</v>
      </c>
      <c r="R46" s="2">
        <f>SUMIFS('OB History'!G:G,'OB History'!B:B,'Old Bow v2'!A46)-Q46</f>
        <v>177</v>
      </c>
      <c r="S46" s="88">
        <f>LOOKUP(2, 1/('OB History'!$B:$B=A46), 'OB History'!$AC:$AC)</f>
        <v>0.45684210526315788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5</v>
      </c>
      <c r="X46" s="2">
        <f>COUNTIFS('OB History'!$B:$B,$A$46,'OB History'!O:O, 1)</f>
        <v>2</v>
      </c>
      <c r="Y46" s="2">
        <f>COUNTIFS('OB History'!$B:$B,$A$46,'OB History'!P:P, 1)</f>
        <v>5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2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6" t="s">
        <v>60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745</v>
      </c>
      <c r="I48" s="4">
        <f>AVERAGEIFS('OB History'!C:C,'OB History'!B:B,A48)</f>
        <v>26.607142857142858</v>
      </c>
      <c r="J48" s="35">
        <f t="array" ref="J48">MAX(IF('OB History'!B:B=A48, 'OB History'!C:C))</f>
        <v>55</v>
      </c>
      <c r="K48" s="34">
        <f>COUNTIFS('OB History'!B:B,A48,'OB History'!D:D, 1)</f>
        <v>13</v>
      </c>
      <c r="L48" s="2">
        <f>COUNTIFS('OB History'!B:B,A48,'OB History'!D:D, 0)</f>
        <v>15</v>
      </c>
      <c r="M48" s="88">
        <f>LOOKUP(2, 1/('OB History'!$B:$B=A48), 'OB History'!$AD:$AD)</f>
        <v>0.4642857142857143</v>
      </c>
      <c r="N48" s="34">
        <f>SUMIFS('OB History'!F:F,'OB History'!B:B,A48)</f>
        <v>56</v>
      </c>
      <c r="O48" s="2">
        <f>SUMIFS('OB History'!E:E,'OB History'!B:B,A48)-N48</f>
        <v>61</v>
      </c>
      <c r="P48" s="88">
        <f>LOOKUP(2, 1/('OB History'!$B:$B=A48), 'OB History'!$AB:$AB)</f>
        <v>0.46964285714285714</v>
      </c>
      <c r="Q48" s="34">
        <f>SUMIFS('OB History'!H:H,'OB History'!B:B,'Old Bow v2'!A48)</f>
        <v>235</v>
      </c>
      <c r="R48" s="2">
        <f>SUMIFS('OB History'!G:G,'OB History'!B:B,'Old Bow v2'!A48)-Q48</f>
        <v>248</v>
      </c>
      <c r="S48" s="88">
        <f>LOOKUP(2, 1/('OB History'!$B:$B=A48), 'OB History'!$AC:$AC)</f>
        <v>0.48392857142857154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10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170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160</v>
      </c>
      <c r="D51" s="3">
        <v>4</v>
      </c>
      <c r="E51" s="3">
        <v>1</v>
      </c>
      <c r="F51" s="3"/>
      <c r="G51" s="3"/>
      <c r="H51" s="34">
        <f>SUMIFS('OB History'!C:C,'OB History'!B:B,A51)</f>
        <v>1062</v>
      </c>
      <c r="I51" s="4">
        <f>AVERAGEIFS('OB History'!C:C,'OB History'!B:B,A51)</f>
        <v>24.697674418604652</v>
      </c>
      <c r="J51" s="35">
        <f t="array" ref="J51">MAX(IF('OB History'!B:B=A51, 'OB History'!C:C))</f>
        <v>56</v>
      </c>
      <c r="K51" s="34">
        <f>COUNTIFS('OB History'!B:B,A51,'OB History'!D:D, 1)</f>
        <v>20</v>
      </c>
      <c r="L51" s="2">
        <f>COUNTIFS('OB History'!B:B,A51,'OB History'!D:D, 0)</f>
        <v>23</v>
      </c>
      <c r="M51" s="88">
        <f>LOOKUP(2, 1/('OB History'!$B:$B=A51), 'OB History'!$AD:$AD)</f>
        <v>0.46511627906976744</v>
      </c>
      <c r="N51" s="34">
        <f>SUMIFS('OB History'!F:F,'OB History'!B:B,A51)</f>
        <v>84</v>
      </c>
      <c r="O51" s="2">
        <f>SUMIFS('OB History'!E:E,'OB History'!B:B,A51)-N51</f>
        <v>93</v>
      </c>
      <c r="P51" s="88">
        <f>LOOKUP(2, 1/('OB History'!$B:$B=A51), 'OB History'!$AB:$AB)</f>
        <v>0.47441860465116276</v>
      </c>
      <c r="Q51" s="34">
        <f>SUMIFS('OB History'!H:H,'OB History'!B:B,'Old Bow v2'!A51)</f>
        <v>352</v>
      </c>
      <c r="R51" s="2">
        <f>SUMIFS('OB History'!G:G,'OB History'!B:B,'Old Bow v2'!A51)-Q51</f>
        <v>382</v>
      </c>
      <c r="S51" s="88">
        <f>LOOKUP(2, 1/('OB History'!$B:$B=A51), 'OB History'!$AC:$AC)</f>
        <v>0.48511627906976751</v>
      </c>
      <c r="T51" s="2">
        <f>COUNTIFS('OB History'!$B:$B,$A$51,'OB History'!K:K, 1)</f>
        <v>4</v>
      </c>
      <c r="U51" s="2">
        <f>COUNTIFS('OB History'!$B:$B,$A$51,'OB History'!L:L, 1)</f>
        <v>9</v>
      </c>
      <c r="V51" s="2">
        <f>COUNTIFS('OB History'!$B:$B,$A$51,'OB History'!M:M, 1)</f>
        <v>4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1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21</v>
      </c>
      <c r="AH51" s="2">
        <f>COUNTIFS('OB History'!$B:$B,$A$51,'OB History'!Y:Y, 1)</f>
        <v>4</v>
      </c>
      <c r="AI51" s="2">
        <f>COUNTIFS('OB History'!$B:$B,$A$51,'OB History'!Z:Z, 1)</f>
        <v>10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99</v>
      </c>
      <c r="I52" s="4">
        <f>AVERAGEIFS('OB History'!C:C,'OB History'!B:B,A52)</f>
        <v>19.8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2</v>
      </c>
      <c r="M52" s="88">
        <f>LOOKUP(2, 1/('OB History'!$B:$B=A52), 'OB History'!$AD:$AD)</f>
        <v>0.6</v>
      </c>
      <c r="N52" s="34">
        <f>SUMIFS('OB History'!F:F,'OB History'!B:B,A52)</f>
        <v>13</v>
      </c>
      <c r="O52" s="2">
        <f>SUMIFS('OB History'!E:E,'OB History'!B:B,A52)-N52</f>
        <v>10</v>
      </c>
      <c r="P52" s="88">
        <f>LOOKUP(2, 1/('OB History'!$B:$B=A52), 'OB History'!$AB:$AB)</f>
        <v>0.6</v>
      </c>
      <c r="Q52" s="34">
        <f>SUMIFS('OB History'!H:H,'OB History'!B:B,'Old Bow v2'!A52)</f>
        <v>51</v>
      </c>
      <c r="R52" s="2">
        <f>SUMIFS('OB History'!G:G,'OB History'!B:B,'Old Bow v2'!A52)-Q52</f>
        <v>46</v>
      </c>
      <c r="S52" s="88">
        <f>LOOKUP(2, 1/('OB History'!$B:$B=A52), 'OB History'!$AC:$AC)</f>
        <v>0.53600000000000003</v>
      </c>
      <c r="T52" s="2">
        <f>COUNTIFS('OB History'!$B:$B,$A$52,'OB History'!K:K, 1)</f>
        <v>1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4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6" t="s">
        <v>60</v>
      </c>
      <c r="C53" s="2" t="s">
        <v>79</v>
      </c>
      <c r="D53" s="3">
        <v>2</v>
      </c>
      <c r="E53" s="3"/>
      <c r="F53" s="3"/>
      <c r="G53" s="3"/>
      <c r="H53" s="34">
        <f>SUMIFS('OB History'!C:C,'OB History'!B:B,A53)</f>
        <v>252</v>
      </c>
      <c r="I53" s="4">
        <f>AVERAGEIFS('OB History'!C:C,'OB History'!B:B,A53)</f>
        <v>22.90909090909091</v>
      </c>
      <c r="J53" s="35">
        <f t="array" ref="J53">MAX(IF('OB History'!B:B=A53, 'OB History'!C:C))</f>
        <v>46</v>
      </c>
      <c r="K53" s="34">
        <f>COUNTIFS('OB History'!B:B,A53,'OB History'!D:D, 1)</f>
        <v>6</v>
      </c>
      <c r="L53" s="2">
        <f>COUNTIFS('OB History'!B:B,A53,'OB History'!D:D, 0)</f>
        <v>5</v>
      </c>
      <c r="M53" s="88">
        <f>LOOKUP(2, 1/('OB History'!$B:$B=A53), 'OB History'!$AD:$AD)</f>
        <v>0.54545454545454541</v>
      </c>
      <c r="N53" s="34">
        <f>SUMIFS('OB History'!F:F,'OB History'!B:B,A53)</f>
        <v>21</v>
      </c>
      <c r="O53" s="2">
        <f>SUMIFS('OB History'!E:E,'OB History'!B:B,A53)-N53</f>
        <v>24</v>
      </c>
      <c r="P53" s="88">
        <f>LOOKUP(2, 1/('OB History'!$B:$B=A53), 'OB History'!$AB:$AB)</f>
        <v>0.43636363636363634</v>
      </c>
      <c r="Q53" s="34">
        <f>SUMIFS('OB History'!H:H,'OB History'!B:B,'Old Bow v2'!A53)</f>
        <v>90</v>
      </c>
      <c r="R53" s="2">
        <f>SUMIFS('OB History'!G:G,'OB History'!B:B,'Old Bow v2'!A53)-Q53</f>
        <v>94</v>
      </c>
      <c r="S53" s="88">
        <f>LOOKUP(2, 1/('OB History'!$B:$B=A53), 'OB History'!$AC:$AC)</f>
        <v>0.4681818181818182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1</v>
      </c>
      <c r="X53" s="2">
        <f>COUNTIFS('OB History'!$B:$B,$A$53,'OB History'!O:O, 1)</f>
        <v>3</v>
      </c>
      <c r="Y53" s="2">
        <f>COUNTIFS('OB History'!$B:$B,$A$53,'OB History'!P:P, 1)</f>
        <v>3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26"/>
  <sheetViews>
    <sheetView workbookViewId="0">
      <pane ySplit="1" topLeftCell="A780" activePane="bottomLeft" state="frozen"/>
      <selection pane="bottomLeft" activeCell="A817" sqref="A817:Z82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37</v>
      </c>
      <c r="I4" s="4">
        <f>AVERAGEIFS('OB History S2'!C:C,'OB History S2'!B:B,A4)</f>
        <v>6.166666666666667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3</v>
      </c>
      <c r="M4" s="88">
        <f>LOOKUP(2, 1/('OB History S2'!$B:$B=A4), 'OB History S2'!$AD:$AD)</f>
        <v>0.5</v>
      </c>
      <c r="N4" s="34">
        <f>SUMIFS('OB History S2'!F:F,'OB History S2'!B:B,A4)</f>
        <v>11</v>
      </c>
      <c r="O4" s="2">
        <f>SUMIFS('OB History S2'!E:E,'OB History S2'!B:B,A4)-N4</f>
        <v>11</v>
      </c>
      <c r="P4" s="88">
        <f>LOOKUP(2, 1/('OB History S2'!$B:$B=A4), 'OB History S2'!$AB:$AB)</f>
        <v>0.5</v>
      </c>
      <c r="Q4" s="34">
        <f>SUMIFS('OB History S2'!H:H,'OB History S2'!B:B,A4)</f>
        <v>45</v>
      </c>
      <c r="R4" s="2">
        <f>SUMIFS('OB History S2'!G:G,'OB History S2'!B:B,A4)-Q4</f>
        <v>46</v>
      </c>
      <c r="S4" s="88">
        <f>LOOKUP(2, 1/('OB History S2'!$B:$B=A4), 'OB History S2'!$AC:$AC)</f>
        <v>0.49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198</v>
      </c>
      <c r="I5" s="4">
        <f>AVERAGEIFS('OB History S2'!C:C,'OB History S2'!B:B,A5)</f>
        <v>19.8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4</v>
      </c>
      <c r="M5" s="88">
        <f>LOOKUP(2, 1/('OB History S2'!$B:$B=A5), 'OB History S2'!$AD:$AD)</f>
        <v>0.6</v>
      </c>
      <c r="N5" s="34">
        <f>SUMIFS('OB History S2'!F:F,'OB History S2'!B:B,A5)</f>
        <v>20</v>
      </c>
      <c r="O5" s="2">
        <f>SUMIFS('OB History S2'!E:E,'OB History S2'!B:B,A5)-N5</f>
        <v>21</v>
      </c>
      <c r="P5" s="88">
        <f>LOOKUP(2, 1/('OB History S2'!$B:$B=A5), 'OB History S2'!$AB:$AB)</f>
        <v>0.45499999999999996</v>
      </c>
      <c r="Q5" s="34">
        <f>SUMIFS('OB History S2'!H:H,'OB History S2'!B:B,A5)</f>
        <v>81</v>
      </c>
      <c r="R5" s="2">
        <f>SUMIFS('OB History S2'!G:G,'OB History S2'!B:B,A5)-Q5</f>
        <v>89</v>
      </c>
      <c r="S5" s="88">
        <f>LOOKUP(2, 1/('OB History S2'!$B:$B=A5), 'OB History S2'!$AC:$AC)</f>
        <v>0.46799999999999997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206</v>
      </c>
      <c r="I7" s="4">
        <f>AVERAGEIFS('OB History S2'!C:C,'OB History S2'!B:B,A7)</f>
        <v>13.733333333333333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8</v>
      </c>
      <c r="M7" s="88">
        <f>LOOKUP(2, 1/('OB History S2'!$B:$B=A7), 'OB History S2'!$AD:$AD)</f>
        <v>0.46666666666666667</v>
      </c>
      <c r="N7" s="34">
        <f>SUMIFS('OB History S2'!F:F,'OB History S2'!B:B,A7)</f>
        <v>26</v>
      </c>
      <c r="O7" s="2">
        <f>SUMIFS('OB History S2'!E:E,'OB History S2'!B:B,A7)-N7</f>
        <v>34</v>
      </c>
      <c r="P7" s="88">
        <f>LOOKUP(2, 1/('OB History S2'!$B:$B=A7), 'OB History S2'!$AB:$AB)</f>
        <v>0.40333333333333327</v>
      </c>
      <c r="Q7" s="34">
        <f>SUMIFS('OB History S2'!H:H,'OB History S2'!B:B,A7)</f>
        <v>110</v>
      </c>
      <c r="R7" s="2">
        <f>SUMIFS('OB History S2'!G:G,'OB History S2'!B:B,A7)-Q7</f>
        <v>135</v>
      </c>
      <c r="S7" s="88">
        <f>LOOKUP(2, 1/('OB History S2'!$B:$B=A7), 'OB History S2'!$AC:$AC)</f>
        <v>0.42866666666666664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248</v>
      </c>
      <c r="I10" s="4">
        <f>AVERAGEIFS('OB History S2'!C:C,'OB History S2'!B:B,A10)</f>
        <v>19.076923076923077</v>
      </c>
      <c r="J10" s="35">
        <f t="array" ref="J10">MAX(IF('OB History S2'!B:B=A10, 'OB History S2'!C:C))</f>
        <v>35</v>
      </c>
      <c r="K10" s="34">
        <f>COUNTIFS('OB History S2'!B:B,A10,'OB History S2'!D:D, 1)</f>
        <v>8</v>
      </c>
      <c r="L10" s="2">
        <f>COUNTIFS('OB History S2'!B:B,A10,'OB History S2'!D:D, 0)</f>
        <v>5</v>
      </c>
      <c r="M10" s="88">
        <f>LOOKUP(2, 1/('OB History S2'!$B:$B=A10), 'OB History S2'!$AD:$AD)</f>
        <v>0.61538461538461542</v>
      </c>
      <c r="N10" s="34">
        <f>SUMIFS('OB History S2'!F:F,'OB History S2'!B:B,A10)</f>
        <v>30</v>
      </c>
      <c r="O10" s="2">
        <f>SUMIFS('OB History S2'!E:E,'OB History S2'!B:B,A10)-N10</f>
        <v>26</v>
      </c>
      <c r="P10" s="88">
        <f>LOOKUP(2, 1/('OB History S2'!$B:$B=A10), 'OB History S2'!$AB:$AB)</f>
        <v>0.5346153846153846</v>
      </c>
      <c r="Q10" s="34">
        <f>SUMIFS('OB History S2'!H:H,'OB History S2'!B:B,A10)</f>
        <v>113</v>
      </c>
      <c r="R10" s="2">
        <f>SUMIFS('OB History S2'!G:G,'OB History S2'!B:B,A10)-Q10</f>
        <v>116</v>
      </c>
      <c r="S10" s="88">
        <f>LOOKUP(2, 1/('OB History S2'!$B:$B=A10), 'OB History S2'!$AC:$AC)</f>
        <v>0.5</v>
      </c>
      <c r="T10" s="2">
        <f>COUNTIFS('OB History S2'!$B:$B,$A$10,'OB History S2'!K:K, 1)</f>
        <v>2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2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4</v>
      </c>
      <c r="AH10" s="2">
        <f>COUNTIFS('OB History S2'!$B:$B,$A$10,'OB History S2'!Y:Y, 1)</f>
        <v>3</v>
      </c>
      <c r="AI10" s="2">
        <f>COUNTIFS('OB History S2'!$B:$B,$A$10,'OB History S2'!Z:Z, 1)</f>
        <v>5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97</v>
      </c>
      <c r="I16" s="4">
        <f>AVERAGEIFS('OB History S2'!C:C,'OB History S2'!B:B,A16)</f>
        <v>13.857142857142858</v>
      </c>
      <c r="J16" s="35">
        <f t="array" ref="J16">MAX(IF('OB History S2'!B:B=A16, 'OB History S2'!C:C))</f>
        <v>26</v>
      </c>
      <c r="K16" s="34">
        <f>COUNTIFS('OB History S2'!B:B,A16,'OB History S2'!D:D, 1)</f>
        <v>4</v>
      </c>
      <c r="L16" s="2">
        <f>COUNTIFS('OB History S2'!B:B,A16,'OB History S2'!D:D, 0)</f>
        <v>3</v>
      </c>
      <c r="M16" s="88">
        <f>LOOKUP(2, 1/('OB History S2'!$B:$B=A16), 'OB History S2'!$AD:$AD)</f>
        <v>0.5714285714285714</v>
      </c>
      <c r="N16" s="34">
        <f>SUMIFS('OB History S2'!F:F,'OB History S2'!B:B,A16)</f>
        <v>16</v>
      </c>
      <c r="O16" s="2">
        <f>SUMIFS('OB History S2'!E:E,'OB History S2'!B:B,A16)-N16</f>
        <v>15</v>
      </c>
      <c r="P16" s="88">
        <f>LOOKUP(2, 1/('OB History S2'!$B:$B=A16), 'OB History S2'!$AB:$AB)</f>
        <v>0.51428571428571435</v>
      </c>
      <c r="Q16" s="34">
        <f>SUMIFS('OB History S2'!H:H,'OB History S2'!B:B,A16)</f>
        <v>58</v>
      </c>
      <c r="R16" s="2">
        <f>SUMIFS('OB History S2'!G:G,'OB History S2'!B:B,A16)-Q16</f>
        <v>61</v>
      </c>
      <c r="S16" s="88">
        <f>LOOKUP(2, 1/('OB History S2'!$B:$B=A16), 'OB History S2'!$AC:$AC)</f>
        <v>0.4871428571428571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2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3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173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218</v>
      </c>
      <c r="I21" s="4">
        <f>AVERAGEIFS('OB History S2'!C:C,'OB History S2'!B:B,A21)</f>
        <v>12.111111111111111</v>
      </c>
      <c r="J21" s="35">
        <f t="array" ref="J21">MAX(IF('OB History S2'!B:B=A21, 'OB History S2'!C:C))</f>
        <v>21</v>
      </c>
      <c r="K21" s="34">
        <f>COUNTIFS('OB History S2'!B:B,A21,'OB History S2'!D:D, 1)</f>
        <v>6</v>
      </c>
      <c r="L21" s="2">
        <f>COUNTIFS('OB History S2'!B:B,A21,'OB History S2'!D:D, 0)</f>
        <v>12</v>
      </c>
      <c r="M21" s="88">
        <f>LOOKUP(2, 1/('OB History S2'!$B:$B=A21), 'OB History S2'!$AD:$AD)</f>
        <v>0.33333333333333331</v>
      </c>
      <c r="N21" s="34">
        <f>SUMIFS('OB History S2'!F:F,'OB History S2'!B:B,A21)</f>
        <v>30</v>
      </c>
      <c r="O21" s="2">
        <f>SUMIFS('OB History S2'!E:E,'OB History S2'!B:B,A21)-N21</f>
        <v>42</v>
      </c>
      <c r="P21" s="88">
        <f>LOOKUP(2, 1/('OB History S2'!$B:$B=A21), 'OB History S2'!$AB:$AB)</f>
        <v>0.4055555555555555</v>
      </c>
      <c r="Q21" s="34">
        <f>SUMIFS('OB History S2'!H:H,'OB History S2'!B:B,A21)</f>
        <v>136</v>
      </c>
      <c r="R21" s="2">
        <f>SUMIFS('OB History S2'!G:G,'OB History S2'!B:B,A21)-Q21</f>
        <v>157</v>
      </c>
      <c r="S21" s="88">
        <f>LOOKUP(2, 1/('OB History S2'!$B:$B=A21), 'OB History S2'!$AC:$AC)</f>
        <v>0.46555555555555561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2</v>
      </c>
      <c r="X21" s="2">
        <f>COUNTIFS('OB History S2'!$B:$B,$A$21,'OB History S2'!O:O, 1)</f>
        <v>2</v>
      </c>
      <c r="Y21" s="2">
        <f>COUNTIFS('OB History S2'!$B:$B,$A$21,'OB History S2'!P:P, 1)</f>
        <v>4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94</v>
      </c>
      <c r="I22" s="4">
        <f>AVERAGEIFS('OB History S2'!C:C,'OB History S2'!B:B,A22)</f>
        <v>23.5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2</v>
      </c>
      <c r="M22" s="88">
        <f>LOOKUP(2, 1/('OB History S2'!$B:$B=A22), 'OB History S2'!$AD:$AD)</f>
        <v>0.5</v>
      </c>
      <c r="N22" s="34">
        <f>SUMIFS('OB History S2'!F:F,'OB History S2'!B:B,A22)</f>
        <v>9</v>
      </c>
      <c r="O22" s="2">
        <f>SUMIFS('OB History S2'!E:E,'OB History S2'!B:B,A22)-N22</f>
        <v>9</v>
      </c>
      <c r="P22" s="88">
        <f>LOOKUP(2, 1/('OB History S2'!$B:$B=A22), 'OB History S2'!$AB:$AB)</f>
        <v>0.5</v>
      </c>
      <c r="Q22" s="34">
        <f>SUMIFS('OB History S2'!H:H,'OB History S2'!B:B,A22)</f>
        <v>37</v>
      </c>
      <c r="R22" s="2">
        <f>SUMIFS('OB History S2'!G:G,'OB History S2'!B:B,A22)-Q22</f>
        <v>37</v>
      </c>
      <c r="S22" s="88">
        <f>LOOKUP(2, 1/('OB History S2'!$B:$B=A22), 'OB History S2'!$AC:$AC)</f>
        <v>0.505</v>
      </c>
      <c r="T22" s="2">
        <f>COUNTIFS('OB History S2'!$B:$B,$A$22,'OB History S2'!K:K, 1)</f>
        <v>1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4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296</v>
      </c>
      <c r="I26" s="4">
        <f>AVERAGEIFS('OB History S2'!C:C,'OB History S2'!B:B,A26)</f>
        <v>13.454545454545455</v>
      </c>
      <c r="J26" s="35">
        <f t="array" ref="J26">MAX(IF('OB History S2'!B:B=A26, 'OB History S2'!C:C))</f>
        <v>23</v>
      </c>
      <c r="K26" s="34">
        <f>COUNTIFS('OB History S2'!B:B,A26,'OB History S2'!D:D, 1)</f>
        <v>15</v>
      </c>
      <c r="L26" s="2">
        <f>COUNTIFS('OB History S2'!B:B,A26,'OB History S2'!D:D, 0)</f>
        <v>7</v>
      </c>
      <c r="M26" s="88">
        <f>LOOKUP(2, 1/('OB History S2'!$B:$B=A26), 'OB History S2'!$AD:$AD)</f>
        <v>0.68181818181818177</v>
      </c>
      <c r="N26" s="34">
        <f>SUMIFS('OB History S2'!F:F,'OB History S2'!B:B,A26)</f>
        <v>52</v>
      </c>
      <c r="O26" s="2">
        <f>SUMIFS('OB History S2'!E:E,'OB History S2'!B:B,A26)-N26</f>
        <v>36</v>
      </c>
      <c r="P26" s="88">
        <f>LOOKUP(2, 1/('OB History S2'!$B:$B=A26), 'OB History S2'!$AB:$AB)</f>
        <v>0.61363636363636365</v>
      </c>
      <c r="Q26" s="34">
        <f>SUMIFS('OB History S2'!H:H,'OB History S2'!B:B,A26)</f>
        <v>193</v>
      </c>
      <c r="R26" s="2">
        <f>SUMIFS('OB History S2'!G:G,'OB History S2'!B:B,A26)-Q26</f>
        <v>162</v>
      </c>
      <c r="S26" s="88">
        <f>LOOKUP(2, 1/('OB History S2'!$B:$B=A26), 'OB History S2'!$AC:$AC)</f>
        <v>0.55136363636363639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2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2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9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161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588</v>
      </c>
      <c r="I29" s="4">
        <f>AVERAGEIFS('OB History S2'!C:C,'OB History S2'!B:B,A29)</f>
        <v>25.565217391304348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7</v>
      </c>
      <c r="M29" s="88">
        <f>LOOKUP(2, 1/('OB History S2'!$B:$B=A29), 'OB History S2'!$AD:$AD)</f>
        <v>0.69565217391304346</v>
      </c>
      <c r="N29" s="34">
        <f>SUMIFS('OB History S2'!F:F,'OB History S2'!B:B,A29)</f>
        <v>58</v>
      </c>
      <c r="O29" s="2">
        <f>SUMIFS('OB History S2'!E:E,'OB History S2'!B:B,A29)-N29</f>
        <v>35</v>
      </c>
      <c r="P29" s="88">
        <f>LOOKUP(2, 1/('OB History S2'!$B:$B=A29), 'OB History S2'!$AB:$AB)</f>
        <v>0.65217391304347827</v>
      </c>
      <c r="Q29" s="34">
        <f>SUMIFS('OB History S2'!H:H,'OB History S2'!B:B,A29)</f>
        <v>217</v>
      </c>
      <c r="R29" s="2">
        <f>SUMIFS('OB History S2'!G:G,'OB History S2'!B:B,A29)-Q29</f>
        <v>157</v>
      </c>
      <c r="S29" s="88">
        <f>LOOKUP(2, 1/('OB History S2'!$B:$B=A29), 'OB History S2'!$AC:$AC)</f>
        <v>0.58869565217391295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5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5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124</v>
      </c>
      <c r="C31" s="1" t="s">
        <v>159</v>
      </c>
      <c r="D31" s="3">
        <v>1</v>
      </c>
      <c r="E31" s="6"/>
      <c r="F31" s="6"/>
      <c r="G31" s="6"/>
      <c r="H31" s="34">
        <f>SUMIFS('OB History S2'!C:C,'OB History S2'!B:B,A31)</f>
        <v>153</v>
      </c>
      <c r="I31" s="4">
        <f>AVERAGEIFS('OB History S2'!C:C,'OB History S2'!B:B,A31)</f>
        <v>30.6</v>
      </c>
      <c r="J31" s="35">
        <f t="array" ref="J31">MAX(IF('OB History S2'!B:B=A31, 'OB History S2'!C:C))</f>
        <v>51</v>
      </c>
      <c r="K31" s="34">
        <f>COUNTIFS('OB History S2'!B:B,A31,'OB History S2'!D:D, 1)</f>
        <v>2</v>
      </c>
      <c r="L31" s="2">
        <f>COUNTIFS('OB History S2'!B:B,A31,'OB History S2'!D:D, 0)</f>
        <v>3</v>
      </c>
      <c r="M31" s="88">
        <f>LOOKUP(2, 1/('OB History S2'!$B:$B=A31), 'OB History S2'!$AD:$AD)</f>
        <v>0.4</v>
      </c>
      <c r="N31" s="34">
        <f>SUMIFS('OB History S2'!F:F,'OB History S2'!B:B,A31)</f>
        <v>9</v>
      </c>
      <c r="O31" s="2">
        <f>SUMIFS('OB History S2'!E:E,'OB History S2'!B:B,A31)-N31</f>
        <v>13</v>
      </c>
      <c r="P31" s="88">
        <f>LOOKUP(2, 1/('OB History S2'!$B:$B=A31), 'OB History S2'!$AB:$AB)</f>
        <v>0.37</v>
      </c>
      <c r="Q31" s="34">
        <f>SUMIFS('OB History S2'!H:H,'OB History S2'!B:B,A31)</f>
        <v>41</v>
      </c>
      <c r="R31" s="2">
        <f>SUMIFS('OB History S2'!G:G,'OB History S2'!B:B,A31)-Q31</f>
        <v>47</v>
      </c>
      <c r="S31" s="88">
        <f>LOOKUP(2, 1/('OB History S2'!$B:$B=A31), 'OB History S2'!$AC:$AC)</f>
        <v>0.44600000000000001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2</v>
      </c>
      <c r="Y31" s="2">
        <f>COUNTIFS('OB History S2'!$B:$B,$A$31,'OB History S2'!P:P, 1)</f>
        <v>1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73</v>
      </c>
      <c r="I32" s="4">
        <f>AVERAGEIFS('OB History S2'!C:C,'OB History S2'!B:B,A32)</f>
        <v>12.166666666666666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3</v>
      </c>
      <c r="M32" s="88">
        <f>LOOKUP(2, 1/('OB History S2'!$B:$B=A32), 'OB History S2'!$AD:$AD)</f>
        <v>0.5</v>
      </c>
      <c r="N32" s="34">
        <f>SUMIFS('OB History S2'!F:F,'OB History S2'!B:B,A32)</f>
        <v>12</v>
      </c>
      <c r="O32" s="2">
        <f>SUMIFS('OB History S2'!E:E,'OB History S2'!B:B,A32)-N32</f>
        <v>14</v>
      </c>
      <c r="P32" s="88">
        <f>LOOKUP(2, 1/('OB History S2'!$B:$B=A32), 'OB History S2'!$AB:$AB)</f>
        <v>0.43333333333333335</v>
      </c>
      <c r="Q32" s="34">
        <f>SUMIFS('OB History S2'!H:H,'OB History S2'!B:B,A32)</f>
        <v>50</v>
      </c>
      <c r="R32" s="2">
        <f>SUMIFS('OB History S2'!G:G,'OB History S2'!B:B,A32)-Q32</f>
        <v>54</v>
      </c>
      <c r="S32" s="88">
        <f>LOOKUP(2, 1/('OB History S2'!$B:$B=A32), 'OB History S2'!$AC:$AC)</f>
        <v>0.47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2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180</v>
      </c>
      <c r="I34" s="4">
        <f>AVERAGEIFS('OB History S2'!C:C,'OB History S2'!B:B,A34)</f>
        <v>18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6</v>
      </c>
      <c r="M34" s="88">
        <f>LOOKUP(2, 1/('OB History S2'!$B:$B=A34), 'OB History S2'!$AD:$AD)</f>
        <v>0.4</v>
      </c>
      <c r="N34" s="34">
        <f>SUMIFS('OB History S2'!F:F,'OB History S2'!B:B,A34)</f>
        <v>21</v>
      </c>
      <c r="O34" s="2">
        <f>SUMIFS('OB History S2'!E:E,'OB History S2'!B:B,A34)-N34</f>
        <v>22</v>
      </c>
      <c r="P34" s="88">
        <f>LOOKUP(2, 1/('OB History S2'!$B:$B=A34), 'OB History S2'!$AB:$AB)</f>
        <v>0.505</v>
      </c>
      <c r="Q34" s="34">
        <f>SUMIFS('OB History S2'!H:H,'OB History S2'!B:B,A34)</f>
        <v>83</v>
      </c>
      <c r="R34" s="2">
        <f>SUMIFS('OB History S2'!G:G,'OB History S2'!B:B,A34)-Q34</f>
        <v>92</v>
      </c>
      <c r="S34" s="88">
        <f>LOOKUP(2, 1/('OB History S2'!$B:$B=A34), 'OB History S2'!$AC:$AC)</f>
        <v>0.47299999999999998</v>
      </c>
      <c r="T34" s="2">
        <f>COUNTIFS('OB History S2'!$B:$B,$A$34,'OB History S2'!K:K, 1)</f>
        <v>2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4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443</v>
      </c>
      <c r="I36" s="4">
        <f>AVERAGEIFS('OB History S2'!C:C,'OB History S2'!B:B,A36)</f>
        <v>24.611111111111111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8</v>
      </c>
      <c r="M36" s="88">
        <f>LOOKUP(2, 1/('OB History S2'!$B:$B=A36), 'OB History S2'!$AD:$AD)</f>
        <v>0.55555555555555558</v>
      </c>
      <c r="N36" s="34">
        <f>SUMIFS('OB History S2'!F:F,'OB History S2'!B:B,A36)</f>
        <v>37</v>
      </c>
      <c r="O36" s="2">
        <f>SUMIFS('OB History S2'!E:E,'OB History S2'!B:B,A36)-N36</f>
        <v>36</v>
      </c>
      <c r="P36" s="88">
        <f>LOOKUP(2, 1/('OB History S2'!$B:$B=A36), 'OB History S2'!$AB:$AB)</f>
        <v>0.5083333333333333</v>
      </c>
      <c r="Q36" s="34">
        <f>SUMIFS('OB History S2'!H:H,'OB History S2'!B:B,A36)</f>
        <v>151</v>
      </c>
      <c r="R36" s="2">
        <f>SUMIFS('OB History S2'!G:G,'OB History S2'!B:B,A36)-Q36</f>
        <v>144</v>
      </c>
      <c r="S36" s="88">
        <f>LOOKUP(2, 1/('OB History S2'!$B:$B=A36), 'OB History S2'!$AC:$AC)</f>
        <v>0.51388888888888873</v>
      </c>
      <c r="T36" s="2">
        <f>COUNTIFS('OB History S2'!$B:$B,$A$36,'OB History S2'!K:K, 1)</f>
        <v>1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11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167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60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321</v>
      </c>
      <c r="I38" s="4">
        <f>AVERAGEIFS('OB History S2'!C:C,'OB History S2'!B:B,A38)</f>
        <v>18.882352941176471</v>
      </c>
      <c r="J38" s="35">
        <f t="array" ref="J38">MAX(IF('OB History S2'!B:B=A38, 'OB History S2'!C:C))</f>
        <v>43</v>
      </c>
      <c r="K38" s="34">
        <f>COUNTIFS('OB History S2'!B:B,A38,'OB History S2'!D:D, 1)</f>
        <v>5</v>
      </c>
      <c r="L38" s="2">
        <f>COUNTIFS('OB History S2'!B:B,A38,'OB History S2'!D:D, 0)</f>
        <v>12</v>
      </c>
      <c r="M38" s="88">
        <f>LOOKUP(2, 1/('OB History S2'!$B:$B=A38), 'OB History S2'!$AD:$AD)</f>
        <v>0.29411764705882354</v>
      </c>
      <c r="N38" s="34">
        <f>SUMIFS('OB History S2'!F:F,'OB History S2'!B:B,A38)</f>
        <v>29</v>
      </c>
      <c r="O38" s="2">
        <f>SUMIFS('OB History S2'!E:E,'OB History S2'!B:B,A38)-N38</f>
        <v>46</v>
      </c>
      <c r="P38" s="88">
        <f>LOOKUP(2, 1/('OB History S2'!$B:$B=A38), 'OB History S2'!$AB:$AB)</f>
        <v>0.35882352941176471</v>
      </c>
      <c r="Q38" s="34">
        <f>SUMIFS('OB History S2'!H:H,'OB History S2'!B:B,A38)</f>
        <v>138</v>
      </c>
      <c r="R38" s="2">
        <f>SUMIFS('OB History S2'!G:G,'OB History S2'!B:B,A38)-Q38</f>
        <v>161</v>
      </c>
      <c r="S38" s="88">
        <f>LOOKUP(2, 1/('OB History S2'!$B:$B=A38), 'OB History S2'!$AC:$AC)</f>
        <v>0.441764705882353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4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2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60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331</v>
      </c>
      <c r="I40" s="4">
        <f>AVERAGEIFS('OB History S2'!C:C,'OB History S2'!B:B,A40)</f>
        <v>27.583333333333332</v>
      </c>
      <c r="J40" s="35">
        <f t="array" ref="J40">MAX(IF('OB History S2'!B:B=A40, 'OB History S2'!C:C))</f>
        <v>55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26</v>
      </c>
      <c r="O40" s="2">
        <f>SUMIFS('OB History S2'!E:E,'OB History S2'!B:B,A40)-N40</f>
        <v>23</v>
      </c>
      <c r="P40" s="88">
        <f>LOOKUP(2, 1/('OB History S2'!$B:$B=A40), 'OB History S2'!$AB:$AB)</f>
        <v>0.52916666666666667</v>
      </c>
      <c r="Q40" s="34">
        <f>SUMIFS('OB History S2'!H:H,'OB History S2'!B:B,A40)</f>
        <v>102</v>
      </c>
      <c r="R40" s="2">
        <f>SUMIFS('OB History S2'!G:G,'OB History S2'!B:B,A40)-Q40</f>
        <v>97</v>
      </c>
      <c r="S40" s="88">
        <f>LOOKUP(2, 1/('OB History S2'!$B:$B=A40), 'OB History S2'!$AC:$AC)</f>
        <v>0.52083333333333337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170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365</v>
      </c>
      <c r="I43" s="4">
        <f>AVERAGEIFS('OB History S2'!C:C,'OB History S2'!B:B,A43)</f>
        <v>22.8125</v>
      </c>
      <c r="J43" s="35">
        <f t="array" ref="J43">MAX(IF('OB History S2'!B:B=A43, 'OB History S2'!C:C))</f>
        <v>51</v>
      </c>
      <c r="K43" s="34">
        <f>COUNTIFS('OB History S2'!B:B,A43,'OB History S2'!D:D, 1)</f>
        <v>4</v>
      </c>
      <c r="L43" s="2">
        <f>COUNTIFS('OB History S2'!B:B,A43,'OB History S2'!D:D, 0)</f>
        <v>12</v>
      </c>
      <c r="M43" s="88">
        <f>LOOKUP(2, 1/('OB History S2'!$B:$B=A43), 'OB History S2'!$AD:$AD)</f>
        <v>0.25</v>
      </c>
      <c r="N43" s="34">
        <f>SUMIFS('OB History S2'!F:F,'OB History S2'!B:B,A43)</f>
        <v>24</v>
      </c>
      <c r="O43" s="2">
        <f>SUMIFS('OB History S2'!E:E,'OB History S2'!B:B,A43)-N43</f>
        <v>41</v>
      </c>
      <c r="P43" s="88">
        <f>LOOKUP(2, 1/('OB History S2'!$B:$B=A43), 'OB History S2'!$AB:$AB)</f>
        <v>0.34687499999999999</v>
      </c>
      <c r="Q43" s="34">
        <f>SUMIFS('OB History S2'!H:H,'OB History S2'!B:B,A43)</f>
        <v>112</v>
      </c>
      <c r="R43" s="2">
        <f>SUMIFS('OB History S2'!G:G,'OB History S2'!B:B,A43)-Q43</f>
        <v>153</v>
      </c>
      <c r="S43" s="88">
        <f>LOOKUP(2, 1/('OB History S2'!$B:$B=A43), 'OB History S2'!$AC:$AC)</f>
        <v>0.42499999999999993</v>
      </c>
      <c r="T43" s="2">
        <f>COUNTIFS('OB History S2'!$B:$B,$A$43,'OB History S2'!K:K, 1)</f>
        <v>1</v>
      </c>
      <c r="U43" s="2">
        <f>COUNTIFS('OB History S2'!$B:$B,$A$43,'OB History S2'!L:L, 1)</f>
        <v>3</v>
      </c>
      <c r="V43" s="2">
        <f>COUNTIFS('OB History S2'!$B:$B,$A$43,'OB History S2'!M:M, 1)</f>
        <v>1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7</v>
      </c>
      <c r="AH43" s="2">
        <f>COUNTIFS('OB History S2'!$B:$B,$A$43,'OB History S2'!Y:Y, 1)</f>
        <v>2</v>
      </c>
      <c r="AI43" s="2">
        <f>COUNTIFS('OB History S2'!$B:$B,$A$43,'OB History S2'!Z:Z, 1)</f>
        <v>2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53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1</v>
      </c>
      <c r="M44" s="88">
        <f>LOOKUP(2, 1/('OB History S2'!$B:$B=A44), 'OB History S2'!$AD:$AD)</f>
        <v>0.66666666666666663</v>
      </c>
      <c r="N44" s="34">
        <f>SUMIFS('OB History S2'!F:F,'OB History S2'!B:B,A44)</f>
        <v>8</v>
      </c>
      <c r="O44" s="2">
        <f>SUMIFS('OB History S2'!E:E,'OB History S2'!B:B,A44)-N44</f>
        <v>5</v>
      </c>
      <c r="P44" s="88">
        <f>LOOKUP(2, 1/('OB History S2'!$B:$B=A44), 'OB History S2'!$AB:$AB)</f>
        <v>0.66666666666666663</v>
      </c>
      <c r="Q44" s="34">
        <f>SUMIFS('OB History S2'!H:H,'OB History S2'!B:B,A44)</f>
        <v>31</v>
      </c>
      <c r="R44" s="2">
        <f>SUMIFS('OB History S2'!G:G,'OB History S2'!B:B,A44)-Q44</f>
        <v>27</v>
      </c>
      <c r="S44" s="88">
        <f>LOOKUP(2, 1/('OB History S2'!$B:$B=A44), 'OB History S2'!$AC:$AC)</f>
        <v>0.54666666666666663</v>
      </c>
      <c r="T44" s="2">
        <f>COUNTIFS('OB History S2'!$B:$B,$A$44,'OB History S2'!K:K, 1)</f>
        <v>1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3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182</v>
      </c>
      <c r="I45" s="4">
        <f>AVERAGEIFS('OB History S2'!C:C,'OB History S2'!B:B,A45)</f>
        <v>26</v>
      </c>
      <c r="J45" s="35">
        <f t="array" ref="J45">MAX(IF('OB History S2'!B:B=A45, 'OB History S2'!C:C))</f>
        <v>46</v>
      </c>
      <c r="K45" s="34">
        <f>COUNTIFS('OB History S2'!B:B,A45,'OB History S2'!D:D, 1)</f>
        <v>3</v>
      </c>
      <c r="L45" s="2">
        <f>COUNTIFS('OB History S2'!B:B,A45,'OB History S2'!D:D, 0)</f>
        <v>4</v>
      </c>
      <c r="M45" s="88">
        <f>LOOKUP(2, 1/('OB History S2'!$B:$B=A45), 'OB History S2'!$AD:$AD)</f>
        <v>0.42857142857142855</v>
      </c>
      <c r="N45" s="34">
        <f>SUMIFS('OB History S2'!F:F,'OB History S2'!B:B,A45)</f>
        <v>12</v>
      </c>
      <c r="O45" s="2">
        <f>SUMIFS('OB History S2'!E:E,'OB History S2'!B:B,A45)-N45</f>
        <v>18</v>
      </c>
      <c r="P45" s="88">
        <f>LOOKUP(2, 1/('OB History S2'!$B:$B=A45), 'OB History S2'!$AB:$AB)</f>
        <v>0.35000000000000003</v>
      </c>
      <c r="Q45" s="34">
        <f>SUMIFS('OB History S2'!H:H,'OB History S2'!B:B,A45)</f>
        <v>57</v>
      </c>
      <c r="R45" s="2">
        <f>SUMIFS('OB History S2'!G:G,'OB History S2'!B:B,A45)-Q45</f>
        <v>67</v>
      </c>
      <c r="S45" s="88">
        <f>LOOKUP(2, 1/('OB History S2'!$B:$B=A45), 'OB History S2'!$AC:$AC)</f>
        <v>0.4271428571428571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2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Y348" sqref="Y34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351</v>
      </c>
      <c r="G5" s="66">
        <f>AVERAGEIFS('BA History'!C:C,'BA History'!B:B,A5)</f>
        <v>12.535714285714286</v>
      </c>
      <c r="H5" s="35">
        <f t="array" ref="H5">MAX(IF('BA History'!B:B=A5, 'BA History'!C:C))</f>
        <v>23</v>
      </c>
      <c r="I5" s="34">
        <f>COUNTIFS('BA History'!B:B,A5,'BA History'!D:D, 1)</f>
        <v>14</v>
      </c>
      <c r="J5" s="2">
        <f>COUNTIFS('BA History'!B:B,A5,'BA History'!D:D, 0)</f>
        <v>14</v>
      </c>
      <c r="K5" s="75">
        <f>LOOKUP(2, 1/('BA History'!$B:$B=A5), 'BA History'!$AJ:$AJ)</f>
        <v>0.5</v>
      </c>
      <c r="L5" s="34">
        <f>SUMIFS('BA History'!F:F,'BA History'!B:B,A5)</f>
        <v>56</v>
      </c>
      <c r="M5" s="2">
        <f>SUMIFS('BA History'!E:E,'BA History'!B:B,A5)-L5</f>
        <v>60</v>
      </c>
      <c r="N5" s="75">
        <f>LOOKUP(2, 1/('BA History'!$B:$B=A5), 'BA History'!$AH:$AH)</f>
        <v>0.46071428571428574</v>
      </c>
      <c r="O5" s="34">
        <f>SUMIFS('BA History'!H:H,'BA History'!B:B,A5)</f>
        <v>233</v>
      </c>
      <c r="P5" s="2">
        <f>SUMIFS('BA History'!G:G,'BA History'!B:B,A5)-O5</f>
        <v>247</v>
      </c>
      <c r="Q5" s="89">
        <f>LOOKUP(2, 1/('BA History'!$B:$B=A5), 'BA History'!$AI:$AI)</f>
        <v>0.47214285714285709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4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778</v>
      </c>
      <c r="G9" s="66">
        <f>AVERAGEIFS('BA History'!C:C,'BA History'!B:B,A9)</f>
        <v>18.523809523809526</v>
      </c>
      <c r="H9" s="35">
        <f t="array" ref="H9">MAX(IF('BA History'!B:B=A9, 'BA History'!C:C))</f>
        <v>40</v>
      </c>
      <c r="I9" s="34">
        <f>COUNTIFS('BA History'!B:B,A9,'BA History'!D:D, 1)</f>
        <v>20</v>
      </c>
      <c r="J9" s="2">
        <f>COUNTIFS('BA History'!B:B,A9,'BA History'!D:D, 0)</f>
        <v>22</v>
      </c>
      <c r="K9" s="75">
        <f>LOOKUP(2, 1/('BA History'!$B:$B=A9), 'BA History'!$AJ:$AJ)</f>
        <v>0.47619047619047616</v>
      </c>
      <c r="L9" s="34">
        <f>SUMIFS('BA History'!F:F,'BA History'!B:B,A9)</f>
        <v>80</v>
      </c>
      <c r="M9" s="2">
        <f>SUMIFS('BA History'!E:E,'BA History'!B:B,A9)-L9</f>
        <v>92</v>
      </c>
      <c r="N9" s="75">
        <f>LOOKUP(2, 1/('BA History'!$B:$B=A9), 'BA History'!$AH:$AH)</f>
        <v>0.45476190476190481</v>
      </c>
      <c r="O9" s="34">
        <f>SUMIFS('BA History'!H:H,'BA History'!B:B,A9)</f>
        <v>328</v>
      </c>
      <c r="P9" s="2">
        <f>SUMIFS('BA History'!G:G,'BA History'!B:B,A9)-O9</f>
        <v>380</v>
      </c>
      <c r="Q9" s="89">
        <f>LOOKUP(2, 1/('BA History'!$B:$B=A9), 'BA History'!$AI:$AI)</f>
        <v>0.45214285714285701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10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108</v>
      </c>
      <c r="G13" s="66">
        <f>AVERAGEIFS('BA History'!C:C,'BA History'!B:B,A13)</f>
        <v>12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7</v>
      </c>
      <c r="K13" s="75">
        <f>LOOKUP(2, 1/('BA History'!$B:$B=A13), 'BA History'!$AJ:$AJ)</f>
        <v>0.22222222222222221</v>
      </c>
      <c r="L13" s="34">
        <f>SUMIFS('BA History'!F:F,'BA History'!B:B,A13)</f>
        <v>14</v>
      </c>
      <c r="M13" s="2">
        <f>SUMIFS('BA History'!E:E,'BA History'!B:B,A13)-L13</f>
        <v>25</v>
      </c>
      <c r="N13" s="75">
        <f>LOOKUP(2, 1/('BA History'!$B:$B=A13), 'BA History'!$AH:$AH)</f>
        <v>0.33333333333333331</v>
      </c>
      <c r="O13" s="34">
        <f>SUMIFS('BA History'!H:H,'BA History'!B:B,A13)</f>
        <v>63</v>
      </c>
      <c r="P13" s="2">
        <f>SUMIFS('BA History'!G:G,'BA History'!B:B,A13)-O13</f>
        <v>97</v>
      </c>
      <c r="Q13" s="89">
        <f>LOOKUP(2, 1/('BA History'!$B:$B=A13), 'BA History'!$AI:$AI)</f>
        <v>0.37111111111111111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60</v>
      </c>
      <c r="G15" s="66">
        <f>AVERAGEIFS('BA History'!C:C,'BA History'!B:B,A15)</f>
        <v>15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2</v>
      </c>
      <c r="K15" s="75">
        <f>LOOKUP(2, 1/('BA History'!$B:$B=A15), 'BA History'!$AJ:$AJ)</f>
        <v>0.5</v>
      </c>
      <c r="L15" s="34">
        <f>SUMIFS('BA History'!F:F,'BA History'!B:B,A15)</f>
        <v>10</v>
      </c>
      <c r="M15" s="2">
        <f>SUMIFS('BA History'!E:E,'BA History'!B:B,A15)-L15</f>
        <v>8</v>
      </c>
      <c r="N15" s="75">
        <f>LOOKUP(2, 1/('BA History'!$B:$B=A15), 'BA History'!$AH:$AH)</f>
        <v>0.55000000000000004</v>
      </c>
      <c r="O15" s="34">
        <f>SUMIFS('BA History'!H:H,'BA History'!B:B,A15)</f>
        <v>42</v>
      </c>
      <c r="P15" s="2">
        <f>SUMIFS('BA History'!G:G,'BA History'!B:B,A15)-O15</f>
        <v>36</v>
      </c>
      <c r="Q15" s="89">
        <f>LOOKUP(2, 1/('BA History'!$B:$B=A15), 'BA History'!$AI:$AI)</f>
        <v>0.54249999999999998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714</v>
      </c>
      <c r="G18" s="66">
        <f>AVERAGEIFS('BA History'!C:C,'BA History'!B:B,A18)</f>
        <v>18.307692307692307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19</v>
      </c>
      <c r="K18" s="75">
        <f>LOOKUP(2, 1/('BA History'!$B:$B=A18), 'BA History'!$AJ:$AJ)</f>
        <v>0.51282051282051277</v>
      </c>
      <c r="L18" s="34">
        <f>SUMIFS('BA History'!F:F,'BA History'!B:B,A18)</f>
        <v>80</v>
      </c>
      <c r="M18" s="2">
        <f>SUMIFS('BA History'!E:E,'BA History'!B:B,A18)-L18</f>
        <v>78</v>
      </c>
      <c r="N18" s="75">
        <f>LOOKUP(2, 1/('BA History'!$B:$B=A18), 'BA History'!$AH:$AH)</f>
        <v>0.51230769230769246</v>
      </c>
      <c r="O18" s="34">
        <f>SUMIFS('BA History'!H:H,'BA History'!B:B,A18)</f>
        <v>337</v>
      </c>
      <c r="P18" s="2">
        <f>SUMIFS('BA History'!G:G,'BA History'!B:B,A18)-O18</f>
        <v>329</v>
      </c>
      <c r="Q18" s="89">
        <f>LOOKUP(2, 1/('BA History'!$B:$B=A18), 'BA History'!$AI:$AI)</f>
        <v>0.51692307692307682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717</v>
      </c>
      <c r="G20" s="66">
        <f>AVERAGEIFS('BA History'!C:C,'BA History'!B:B,A20)</f>
        <v>16.674418604651162</v>
      </c>
      <c r="H20" s="35">
        <f t="array" ref="H20">MAX(IF('BA History'!B:B=A20, 'BA History'!C:C))</f>
        <v>36</v>
      </c>
      <c r="I20" s="34">
        <f>COUNTIFS('BA History'!B:B,A20,'BA History'!D:D, 1)</f>
        <v>27</v>
      </c>
      <c r="J20" s="2">
        <f>COUNTIFS('BA History'!B:B,A20,'BA History'!D:D, 0)</f>
        <v>16</v>
      </c>
      <c r="K20" s="75">
        <f>LOOKUP(2, 1/('BA History'!$B:$B=A20), 'BA History'!$AJ:$AJ)</f>
        <v>0.62790697674418605</v>
      </c>
      <c r="L20" s="34">
        <f>SUMIFS('BA History'!F:F,'BA History'!B:B,A20)</f>
        <v>94</v>
      </c>
      <c r="M20" s="2">
        <f>SUMIFS('BA History'!E:E,'BA History'!B:B,A20)-L20</f>
        <v>81</v>
      </c>
      <c r="N20" s="75">
        <f>LOOKUP(2, 1/('BA History'!$B:$B=A20), 'BA History'!$AH:$AH)</f>
        <v>0.52790697674418607</v>
      </c>
      <c r="O20" s="34">
        <f>SUMIFS('BA History'!H:H,'BA History'!B:B,A20)</f>
        <v>385</v>
      </c>
      <c r="P20" s="2">
        <f>SUMIFS('BA History'!G:G,'BA History'!B:B,A20)-O20</f>
        <v>344</v>
      </c>
      <c r="Q20" s="89">
        <f>LOOKUP(2, 1/('BA History'!$B:$B=A20), 'BA History'!$AI:$AI)</f>
        <v>0.53534883720930226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968</v>
      </c>
      <c r="G22" s="66">
        <f>AVERAGEIFS('BA History'!C:C,'BA History'!B:B,A22)</f>
        <v>26.888888888888889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18</v>
      </c>
      <c r="K22" s="75">
        <f>LOOKUP(2, 1/('BA History'!$B:$B=A22), 'BA History'!$AJ:$AJ)</f>
        <v>0.5</v>
      </c>
      <c r="L22" s="34">
        <f>SUMIFS('BA History'!F:F,'BA History'!B:B,A22)</f>
        <v>71</v>
      </c>
      <c r="M22" s="2">
        <f>SUMIFS('BA History'!E:E,'BA History'!B:B,A22)-L22</f>
        <v>74</v>
      </c>
      <c r="N22" s="75">
        <f>LOOKUP(2, 1/('BA History'!$B:$B=A22), 'BA History'!$AH:$AH)</f>
        <v>0.48194444444444451</v>
      </c>
      <c r="O22" s="34">
        <f>SUMIFS('BA History'!H:H,'BA History'!B:B,A22)</f>
        <v>293</v>
      </c>
      <c r="P22" s="2">
        <f>SUMIFS('BA History'!G:G,'BA History'!B:B,A22)-O22</f>
        <v>304</v>
      </c>
      <c r="Q22" s="89">
        <f>LOOKUP(2, 1/('BA History'!$B:$B=A22), 'BA History'!$AI:$AI)</f>
        <v>0.49277777777777793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5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383</v>
      </c>
      <c r="G27" s="66">
        <f>AVERAGEIFS('BA History'!C:C,'BA History'!B:B,A27)</f>
        <v>14.73076923076923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16</v>
      </c>
      <c r="K27" s="75">
        <f>LOOKUP(2, 1/('BA History'!$B:$B=A27), 'BA History'!$AJ:$AJ)</f>
        <v>0.38461538461538464</v>
      </c>
      <c r="L27" s="34">
        <f>SUMIFS('BA History'!F:F,'BA History'!B:B,A27)</f>
        <v>47</v>
      </c>
      <c r="M27" s="2">
        <f>SUMIFS('BA History'!E:E,'BA History'!B:B,A27)-L27</f>
        <v>53</v>
      </c>
      <c r="N27" s="75">
        <f>LOOKUP(2, 1/('BA History'!$B:$B=A27), 'BA History'!$AH:$AH)</f>
        <v>0.48461538461538467</v>
      </c>
      <c r="O27" s="34">
        <f>SUMIFS('BA History'!H:H,'BA History'!B:B,A27)</f>
        <v>197</v>
      </c>
      <c r="P27" s="2">
        <f>SUMIFS('BA History'!G:G,'BA History'!B:B,A27)-O27</f>
        <v>208</v>
      </c>
      <c r="Q27" s="89">
        <f>LOOKUP(2, 1/('BA History'!$B:$B=A27), 'BA History'!$AI:$AI)</f>
        <v>0.49384615384615393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55</v>
      </c>
      <c r="G32" s="66">
        <f>AVERAGEIFS('BA History'!C:C,'BA History'!B:B,A32)</f>
        <v>7.8571428571428568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3</v>
      </c>
      <c r="K32" s="75">
        <f>LOOKUP(2, 1/('BA History'!$B:$B=A32), 'BA History'!$AJ:$AJ)</f>
        <v>0.5714285714285714</v>
      </c>
      <c r="L32" s="34">
        <f>SUMIFS('BA History'!F:F,'BA History'!B:B,A32)</f>
        <v>17</v>
      </c>
      <c r="M32" s="2">
        <f>SUMIFS('BA History'!E:E,'BA History'!B:B,A32)-L32</f>
        <v>12</v>
      </c>
      <c r="N32" s="75">
        <f>LOOKUP(2, 1/('BA History'!$B:$B=A32), 'BA History'!$AH:$AH)</f>
        <v>0.61428571428571421</v>
      </c>
      <c r="O32" s="34">
        <f>SUMIFS('BA History'!H:H,'BA History'!B:B,A32)</f>
        <v>65</v>
      </c>
      <c r="P32" s="2">
        <f>SUMIFS('BA History'!G:G,'BA History'!B:B,A32)-O32</f>
        <v>60</v>
      </c>
      <c r="Q32" s="89">
        <f>LOOKUP(2, 1/('BA History'!$B:$B=A32), 'BA History'!$AI:$AI)</f>
        <v>0.53714285714285714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881</v>
      </c>
      <c r="G37" s="66">
        <f>AVERAGEIFS('BA History'!C:C,'BA History'!B:B,A37)</f>
        <v>22.589743589743591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19</v>
      </c>
      <c r="K37" s="75">
        <f>LOOKUP(2, 1/('BA History'!$B:$B=A37), 'BA History'!$AJ:$AJ)</f>
        <v>0.51282051282051277</v>
      </c>
      <c r="L37" s="34">
        <f>SUMIFS('BA History'!F:F,'BA History'!B:B,A37)</f>
        <v>80</v>
      </c>
      <c r="M37" s="2">
        <f>SUMIFS('BA History'!E:E,'BA History'!B:B,A37)-L37</f>
        <v>72</v>
      </c>
      <c r="N37" s="75">
        <f>LOOKUP(2, 1/('BA History'!$B:$B=A37), 'BA History'!$AH:$AH)</f>
        <v>0.53538461538461524</v>
      </c>
      <c r="O37" s="34">
        <f>SUMIFS('BA History'!H:H,'BA History'!B:B,A37)</f>
        <v>333</v>
      </c>
      <c r="P37" s="2">
        <f>SUMIFS('BA History'!G:G,'BA History'!B:B,A37)-O37</f>
        <v>297</v>
      </c>
      <c r="Q37" s="89">
        <f>LOOKUP(2, 1/('BA History'!$B:$B=A37), 'BA History'!$AI:$AI)</f>
        <v>0.53923076923076929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5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1344</v>
      </c>
      <c r="G38" s="66">
        <f>AVERAGEIFS('BA History'!C:C,'BA History'!B:B,A38)</f>
        <v>24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25</v>
      </c>
      <c r="K38" s="75">
        <f>LOOKUP(2, 1/('BA History'!$B:$B=A38), 'BA History'!$AJ:$AJ)</f>
        <v>0.5535714285714286</v>
      </c>
      <c r="L38" s="34">
        <f>SUMIFS('BA History'!F:F,'BA History'!B:B,A38)</f>
        <v>121</v>
      </c>
      <c r="M38" s="2">
        <f>SUMIFS('BA History'!E:E,'BA History'!B:B,A38)-L38</f>
        <v>105</v>
      </c>
      <c r="N38" s="75">
        <f>LOOKUP(2, 1/('BA History'!$B:$B=A38), 'BA History'!$AH:$AH)</f>
        <v>0.54053571428571434</v>
      </c>
      <c r="O38" s="34">
        <f>SUMIFS('BA History'!H:H,'BA History'!B:B,A38)</f>
        <v>479</v>
      </c>
      <c r="P38" s="2">
        <f>SUMIFS('BA History'!G:G,'BA History'!B:B,A38)-O38</f>
        <v>457</v>
      </c>
      <c r="Q38" s="89">
        <f>LOOKUP(2, 1/('BA History'!$B:$B=A38), 'BA History'!$AI:$AI)</f>
        <v>0.5133928571428571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567</v>
      </c>
      <c r="G39" s="66">
        <f>AVERAGEIFS('BA History'!C:C,'BA History'!B:B,A39)</f>
        <v>20.25</v>
      </c>
      <c r="H39" s="35">
        <f t="array" ref="H39">MAX(IF('BA History'!B:B=A39, 'BA History'!C:C))</f>
        <v>37</v>
      </c>
      <c r="I39" s="34">
        <f>COUNTIFS('BA History'!B:B,A39,'BA History'!D:D, 1)</f>
        <v>19</v>
      </c>
      <c r="J39" s="2">
        <f>COUNTIFS('BA History'!B:B,A39,'BA History'!D:D, 0)</f>
        <v>9</v>
      </c>
      <c r="K39" s="75">
        <f>LOOKUP(2, 1/('BA History'!$B:$B=A39), 'BA History'!$AJ:$AJ)</f>
        <v>0.6785714285714286</v>
      </c>
      <c r="L39" s="34">
        <f>SUMIFS('BA History'!F:F,'BA History'!B:B,A39)</f>
        <v>65</v>
      </c>
      <c r="M39" s="2">
        <f>SUMIFS('BA History'!E:E,'BA History'!B:B,A39)-L39</f>
        <v>47</v>
      </c>
      <c r="N39" s="75">
        <f>LOOKUP(2, 1/('BA History'!$B:$B=A39), 'BA History'!$AH:$AH)</f>
        <v>0.58821428571428569</v>
      </c>
      <c r="O39" s="34">
        <f>SUMIFS('BA History'!H:H,'BA History'!B:B,A39)</f>
        <v>254</v>
      </c>
      <c r="P39" s="2">
        <f>SUMIFS('BA History'!G:G,'BA History'!B:B,A39)-O39</f>
        <v>220</v>
      </c>
      <c r="Q39" s="89">
        <f>LOOKUP(2, 1/('BA History'!$B:$B=A39), 'BA History'!$AI:$AI)</f>
        <v>0.54428571428571437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5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5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147</v>
      </c>
      <c r="G41" s="66">
        <f>AVERAGEIFS('BA History'!C:C,'BA History'!B:B,A41)</f>
        <v>13.363636363636363</v>
      </c>
      <c r="H41" s="35">
        <f t="array" ref="H41">MAX(IF('BA History'!B:B=A41, 'BA History'!C:C))</f>
        <v>22</v>
      </c>
      <c r="I41" s="34">
        <f>COUNTIFS('BA History'!B:B,A41,'BA History'!D:D, 1)</f>
        <v>7</v>
      </c>
      <c r="J41" s="2">
        <f>COUNTIFS('BA History'!B:B,A41,'BA History'!D:D, 0)</f>
        <v>4</v>
      </c>
      <c r="K41" s="75">
        <f>LOOKUP(2, 1/('BA History'!$B:$B=A41), 'BA History'!$AJ:$AJ)</f>
        <v>0.63636363636363635</v>
      </c>
      <c r="L41" s="34">
        <f>SUMIFS('BA History'!F:F,'BA History'!B:B,A41)</f>
        <v>22</v>
      </c>
      <c r="M41" s="2">
        <f>SUMIFS('BA History'!E:E,'BA History'!B:B,A41)-L41</f>
        <v>21</v>
      </c>
      <c r="N41" s="75">
        <f>LOOKUP(2, 1/('BA History'!$B:$B=A41), 'BA History'!$AH:$AH)</f>
        <v>0.48181818181818181</v>
      </c>
      <c r="O41" s="34">
        <f>SUMIFS('BA History'!H:H,'BA History'!B:B,A41)</f>
        <v>92</v>
      </c>
      <c r="P41" s="2">
        <f>SUMIFS('BA History'!G:G,'BA History'!B:B,A41)-O41</f>
        <v>88</v>
      </c>
      <c r="Q41" s="89">
        <f>LOOKUP(2, 1/('BA History'!$B:$B=A41), 'BA History'!$AI:$AI)</f>
        <v>0.50909090909090915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4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1123</v>
      </c>
      <c r="G43" s="66">
        <f>AVERAGEIFS('BA History'!C:C,'BA History'!B:B,A43)</f>
        <v>18.716666666666665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35</v>
      </c>
      <c r="K43" s="75">
        <f>LOOKUP(2, 1/('BA History'!$B:$B=A43), 'BA History'!$AJ:$AJ)</f>
        <v>0.41666666666666669</v>
      </c>
      <c r="L43" s="34">
        <f>SUMIFS('BA History'!F:F,'BA History'!B:B,A43)</f>
        <v>118</v>
      </c>
      <c r="M43" s="2">
        <f>SUMIFS('BA History'!E:E,'BA History'!B:B,A43)-L43</f>
        <v>130</v>
      </c>
      <c r="N43" s="75">
        <f>LOOKUP(2, 1/('BA History'!$B:$B=A43), 'BA History'!$AH:$AH)</f>
        <v>0.48166666666666652</v>
      </c>
      <c r="O43" s="34">
        <f>SUMIFS('BA History'!H:H,'BA History'!B:B,A43)</f>
        <v>498</v>
      </c>
      <c r="P43" s="2">
        <f>SUMIFS('BA History'!G:G,'BA History'!B:B,A43)-O43</f>
        <v>526</v>
      </c>
      <c r="Q43" s="89">
        <f>LOOKUP(2, 1/('BA History'!$B:$B=A43), 'BA History'!$AI:$AI)</f>
        <v>0.4835000000000001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335</v>
      </c>
      <c r="G45" s="66">
        <f>AVERAGEIFS('BA History'!C:C,'BA History'!B:B,A45)</f>
        <v>12.884615384615385</v>
      </c>
      <c r="H45" s="35">
        <f t="array" ref="H45">MAX(IF('BA History'!B:B=A45, 'BA History'!C:C))</f>
        <v>33</v>
      </c>
      <c r="I45" s="34">
        <f>COUNTIFS('BA History'!B:B,A45,'BA History'!D:D, 1)</f>
        <v>13</v>
      </c>
      <c r="J45" s="2">
        <f>COUNTIFS('BA History'!B:B,A45,'BA History'!D:D, 0)</f>
        <v>13</v>
      </c>
      <c r="K45" s="75">
        <f>LOOKUP(2, 1/('BA History'!$B:$B=A45), 'BA History'!$AJ:$AJ)</f>
        <v>0.5</v>
      </c>
      <c r="L45" s="34">
        <f>SUMIFS('BA History'!F:F,'BA History'!B:B,A45)</f>
        <v>55</v>
      </c>
      <c r="M45" s="2">
        <f>SUMIFS('BA History'!E:E,'BA History'!B:B,A45)-L45</f>
        <v>50</v>
      </c>
      <c r="N45" s="75">
        <f>LOOKUP(2, 1/('BA History'!$B:$B=A45), 'BA History'!$AH:$AH)</f>
        <v>0.54807692307692313</v>
      </c>
      <c r="O45" s="34">
        <f>SUMIFS('BA History'!H:H,'BA History'!B:B,A45)</f>
        <v>223</v>
      </c>
      <c r="P45" s="2">
        <f>SUMIFS('BA History'!G:G,'BA History'!B:B,A45)-O45</f>
        <v>211</v>
      </c>
      <c r="Q45" s="89">
        <f>LOOKUP(2, 1/('BA History'!$B:$B=A45), 'BA History'!$AI:$AI)</f>
        <v>0.53192307692307694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6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723</v>
      </c>
      <c r="G46" s="66">
        <f>AVERAGEIFS('BA History'!C:C,'BA History'!B:B,A46)</f>
        <v>20.083333333333332</v>
      </c>
      <c r="H46" s="35">
        <f t="array" ref="H46">MAX(IF('BA History'!B:B=A46, 'BA History'!C:C))</f>
        <v>32</v>
      </c>
      <c r="I46" s="34">
        <f>COUNTIFS('BA History'!B:B,A46,'BA History'!D:D, 1)</f>
        <v>20</v>
      </c>
      <c r="J46" s="2">
        <f>COUNTIFS('BA History'!B:B,A46,'BA History'!D:D, 0)</f>
        <v>16</v>
      </c>
      <c r="K46" s="75">
        <f>LOOKUP(2, 1/('BA History'!$B:$B=A46), 'BA History'!$AJ:$AJ)</f>
        <v>0.55555555555555558</v>
      </c>
      <c r="L46" s="34">
        <f>SUMIFS('BA History'!F:F,'BA History'!B:B,A46)</f>
        <v>76</v>
      </c>
      <c r="M46" s="2">
        <f>SUMIFS('BA History'!E:E,'BA History'!B:B,A46)-L46</f>
        <v>69</v>
      </c>
      <c r="N46" s="75">
        <f>LOOKUP(2, 1/('BA History'!$B:$B=A46), 'BA History'!$AH:$AH)</f>
        <v>0.52555555555555555</v>
      </c>
      <c r="O46" s="34">
        <f>SUMIFS('BA History'!H:H,'BA History'!B:B,A46)</f>
        <v>300</v>
      </c>
      <c r="P46" s="2">
        <f>SUMIFS('BA History'!G:G,'BA History'!B:B,A46)-O46</f>
        <v>298</v>
      </c>
      <c r="Q46" s="89">
        <f>LOOKUP(2, 1/('BA History'!$B:$B=A46), 'BA History'!$AI:$AI)</f>
        <v>0.49416666666666664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1376</v>
      </c>
      <c r="G50" s="66">
        <f>AVERAGEIFS('BA History'!C:C,'BA History'!B:B,A50)</f>
        <v>22.193548387096776</v>
      </c>
      <c r="H50" s="35">
        <f t="array" ref="H50">MAX(IF('BA History'!B:B=A50, 'BA History'!C:C))</f>
        <v>37</v>
      </c>
      <c r="I50" s="34">
        <f>COUNTIFS('BA History'!B:B,A50,'BA History'!D:D, 1)</f>
        <v>37</v>
      </c>
      <c r="J50" s="2">
        <f>COUNTIFS('BA History'!B:B,A50,'BA History'!D:D, 0)</f>
        <v>25</v>
      </c>
      <c r="K50" s="75">
        <f>LOOKUP(2, 1/('BA History'!$B:$B=A50), 'BA History'!$AJ:$AJ)</f>
        <v>0.59677419354838712</v>
      </c>
      <c r="L50" s="34">
        <f>SUMIFS('BA History'!F:F,'BA History'!B:B,A50)</f>
        <v>133</v>
      </c>
      <c r="M50" s="2">
        <f>SUMIFS('BA History'!E:E,'BA History'!B:B,A50)-L50</f>
        <v>116</v>
      </c>
      <c r="N50" s="75">
        <f>LOOKUP(2, 1/('BA History'!$B:$B=A50), 'BA History'!$AH:$AH)</f>
        <v>0.5270967741935485</v>
      </c>
      <c r="O50" s="34">
        <f>SUMIFS('BA History'!H:H,'BA History'!B:B,A50)</f>
        <v>540</v>
      </c>
      <c r="P50" s="2">
        <f>SUMIFS('BA History'!G:G,'BA History'!B:B,A50)-O50</f>
        <v>494</v>
      </c>
      <c r="Q50" s="89">
        <f>LOOKUP(2, 1/('BA History'!$B:$B=A50), 'BA History'!$AI:$AI)</f>
        <v>0.51935483870967736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12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18</v>
      </c>
      <c r="AH50" s="2">
        <f>COUNTIFS('BA History'!$B:$B,$A$50,'BA History'!AA:AA, 1)</f>
        <v>1</v>
      </c>
      <c r="AI50" s="2">
        <f>COUNTIFS('BA History'!$B:$B,$A$50,'BA History'!AB:AB, 1)</f>
        <v>16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681</v>
      </c>
      <c r="G53" s="66">
        <f>AVERAGEIFS('BA History'!C:C,'BA History'!B:B,A53)</f>
        <v>17.921052631578949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18</v>
      </c>
      <c r="K53" s="75">
        <f>LOOKUP(2, 1/('BA History'!$B:$B=A53), 'BA History'!$AJ:$AJ)</f>
        <v>0.52631578947368418</v>
      </c>
      <c r="L53" s="34">
        <f>SUMIFS('BA History'!F:F,'BA History'!B:B,A53)</f>
        <v>83</v>
      </c>
      <c r="M53" s="2">
        <f>SUMIFS('BA History'!E:E,'BA History'!B:B,A53)-L53</f>
        <v>69</v>
      </c>
      <c r="N53" s="75">
        <f>LOOKUP(2, 1/('BA History'!$B:$B=A53), 'BA History'!$AH:$AH)</f>
        <v>0.5657894736842104</v>
      </c>
      <c r="O53" s="34">
        <f>SUMIFS('BA History'!H:H,'BA History'!B:B,A53)</f>
        <v>320</v>
      </c>
      <c r="P53" s="2">
        <f>SUMIFS('BA History'!G:G,'BA History'!B:B,A53)-O53</f>
        <v>297</v>
      </c>
      <c r="Q53" s="89">
        <f>LOOKUP(2, 1/('BA History'!$B:$B=A53), 'BA History'!$AI:$AI)</f>
        <v>0.52921052631578969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80</v>
      </c>
      <c r="G55" s="66">
        <f>AVERAGEIFS('BA History'!C:C,'BA History'!B:B,A55)</f>
        <v>11.428571428571429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2</v>
      </c>
      <c r="K55" s="75">
        <f>LOOKUP(2, 1/('BA History'!$B:$B=A55), 'BA History'!$AJ:$AJ)</f>
        <v>0.7142857142857143</v>
      </c>
      <c r="L55" s="34">
        <f>SUMIFS('BA History'!F:F,'BA History'!B:B,A55)</f>
        <v>16</v>
      </c>
      <c r="M55" s="2">
        <f>SUMIFS('BA History'!E:E,'BA History'!B:B,A55)-L55</f>
        <v>13</v>
      </c>
      <c r="N55" s="75">
        <f>LOOKUP(2, 1/('BA History'!$B:$B=A55), 'BA History'!$AH:$AH)</f>
        <v>0.54285714285714293</v>
      </c>
      <c r="O55" s="34">
        <f>SUMIFS('BA History'!H:H,'BA History'!B:B,A55)</f>
        <v>64</v>
      </c>
      <c r="P55" s="2">
        <f>SUMIFS('BA History'!G:G,'BA History'!B:B,A55)-O55</f>
        <v>59</v>
      </c>
      <c r="Q55" s="89">
        <f>LOOKUP(2, 1/('BA History'!$B:$B=A55), 'BA History'!$AI:$AI)</f>
        <v>0.52142857142857146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3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823</v>
      </c>
      <c r="G56" s="66">
        <f>AVERAGEIFS('BA History'!C:C,'BA History'!B:B,A56)</f>
        <v>24.939393939393938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21</v>
      </c>
      <c r="K56" s="75">
        <f>LOOKUP(2, 1/('BA History'!$B:$B=A56), 'BA History'!$AJ:$AJ)</f>
        <v>0.36363636363636365</v>
      </c>
      <c r="L56" s="34">
        <f>SUMIFS('BA History'!F:F,'BA History'!B:B,A56)</f>
        <v>61</v>
      </c>
      <c r="M56" s="2">
        <f>SUMIFS('BA History'!E:E,'BA History'!B:B,A56)-L56</f>
        <v>76</v>
      </c>
      <c r="N56" s="75">
        <f>LOOKUP(2, 1/('BA History'!$B:$B=A56), 'BA History'!$AH:$AH)</f>
        <v>0.44545454545454544</v>
      </c>
      <c r="O56" s="34">
        <f>SUMIFS('BA History'!H:H,'BA History'!B:B,A56)</f>
        <v>268</v>
      </c>
      <c r="P56" s="2">
        <f>SUMIFS('BA History'!G:G,'BA History'!B:B,A56)-O56</f>
        <v>301</v>
      </c>
      <c r="Q56" s="89">
        <f>LOOKUP(2, 1/('BA History'!$B:$B=A56), 'BA History'!$AI:$AI)</f>
        <v>0.46606060606060601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0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700</v>
      </c>
      <c r="G57" s="66">
        <f>AVERAGEIFS('BA History'!C:C,'BA History'!B:B,A57)</f>
        <v>16.279069767441861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18</v>
      </c>
      <c r="K57" s="75">
        <f>LOOKUP(2, 1/('BA History'!$B:$B=A57), 'BA History'!$AJ:$AJ)</f>
        <v>0.58139534883720934</v>
      </c>
      <c r="L57" s="34">
        <f>SUMIFS('BA History'!F:F,'BA History'!B:B,A57)</f>
        <v>92</v>
      </c>
      <c r="M57" s="2">
        <f>SUMIFS('BA History'!E:E,'BA History'!B:B,A57)-L57</f>
        <v>82</v>
      </c>
      <c r="N57" s="75">
        <f>LOOKUP(2, 1/('BA History'!$B:$B=A57), 'BA History'!$AH:$AH)</f>
        <v>0.52209302325581397</v>
      </c>
      <c r="O57" s="34">
        <f>SUMIFS('BA History'!H:H,'BA History'!B:B,A57)</f>
        <v>376</v>
      </c>
      <c r="P57" s="2">
        <f>SUMIFS('BA History'!G:G,'BA History'!B:B,A57)-O57</f>
        <v>343</v>
      </c>
      <c r="Q57" s="89">
        <f>LOOKUP(2, 1/('BA History'!$B:$B=A57), 'BA History'!$AI:$AI)</f>
        <v>0.5190697674418604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65"/>
  <sheetViews>
    <sheetView workbookViewId="0">
      <pane xSplit="2" ySplit="1" topLeftCell="C931" activePane="bottomRight" state="frozen"/>
      <selection pane="topRight" activeCell="C1" sqref="C1"/>
      <selection pane="bottomLeft" activeCell="A2" sqref="A2"/>
      <selection pane="bottomRight" activeCell="A954" sqref="A954:AF96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47236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47236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47236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47236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47236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47236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47236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47236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47236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47236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47236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47236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0" sqref="C30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133</v>
      </c>
      <c r="G4" s="66">
        <f>AVERAGEIFS('BA History S2'!C:C,'BA History S2'!B:B,A4)</f>
        <v>12.090909090909092</v>
      </c>
      <c r="H4" s="35">
        <f t="array" ref="H4">MAX(IF('BA History S2'!B:B=A4, 'BA History S2'!C:C))</f>
        <v>23</v>
      </c>
      <c r="I4" s="34">
        <f>COUNTIFS('BA History S2'!B:B,A4,'BA History S2'!D:D, 1)</f>
        <v>4</v>
      </c>
      <c r="J4" s="2">
        <f>COUNTIFS('BA History S2'!B:B,A4,'BA History S2'!D:D, 0)</f>
        <v>7</v>
      </c>
      <c r="K4" s="75">
        <f>LOOKUP(2, 1/('BA History S2'!$B:$B=A4), 'BA History S2'!$AJ:$AJ)</f>
        <v>0.36363636363636365</v>
      </c>
      <c r="L4" s="34">
        <f>SUMIFS('BA History S2'!F:F,'BA History S2'!B:B,A4)</f>
        <v>21</v>
      </c>
      <c r="M4" s="2">
        <f>SUMIFS('BA History S2'!E:E,'BA History S2'!B:B,A4)-L4</f>
        <v>26</v>
      </c>
      <c r="N4" s="75">
        <f>LOOKUP(2, 1/('BA History S2'!$B:$B=A4), 'BA History S2'!$AH:$AH)</f>
        <v>0.43636363636363634</v>
      </c>
      <c r="O4" s="34">
        <f>SUMIFS('BA History S2'!H:H,'BA History S2'!B:B,A4)</f>
        <v>97</v>
      </c>
      <c r="P4" s="2">
        <f>SUMIFS('BA History S2'!G:G,'BA History S2'!B:B,A4)-O4</f>
        <v>108</v>
      </c>
      <c r="Q4" s="89">
        <f>LOOKUP(2, 1/('BA History S2'!$B:$B=A4), 'BA History S2'!$AI:$AI)</f>
        <v>0.46181818181818174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1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248</v>
      </c>
      <c r="G6" s="66">
        <f>AVERAGEIFS('BA History S2'!C:C,'BA History S2'!B:B,A6)</f>
        <v>17.714285714285715</v>
      </c>
      <c r="H6" s="35">
        <f t="array" ref="H6">MAX(IF('BA History S2'!B:B=A6, 'BA History S2'!C:C))</f>
        <v>40</v>
      </c>
      <c r="I6" s="34">
        <f>COUNTIFS('BA History S2'!B:B,A6,'BA History S2'!D:D, 1)</f>
        <v>7</v>
      </c>
      <c r="J6" s="2">
        <f>COUNTIFS('BA History S2'!B:B,A6,'BA History S2'!D:D, 0)</f>
        <v>7</v>
      </c>
      <c r="K6" s="75">
        <f>LOOKUP(2, 1/('BA History S2'!$B:$B=A6), 'BA History S2'!$AJ:$AJ)</f>
        <v>0.5</v>
      </c>
      <c r="L6" s="34">
        <f>SUMIFS('BA History S2'!F:F,'BA History S2'!B:B,A6)</f>
        <v>27</v>
      </c>
      <c r="M6" s="2">
        <f>SUMIFS('BA History S2'!E:E,'BA History S2'!B:B,A6)-L6</f>
        <v>29</v>
      </c>
      <c r="N6" s="75">
        <f>LOOKUP(2, 1/('BA History S2'!$B:$B=A6), 'BA History S2'!$AH:$AH)</f>
        <v>0.47142857142857142</v>
      </c>
      <c r="O6" s="34">
        <f>SUMIFS('BA History S2'!H:H,'BA History S2'!B:B,A6)</f>
        <v>107</v>
      </c>
      <c r="P6" s="2">
        <f>SUMIFS('BA History S2'!G:G,'BA History S2'!B:B,A6)-O6</f>
        <v>124</v>
      </c>
      <c r="Q6" s="89">
        <f>LOOKUP(2, 1/('BA History S2'!$B:$B=A6), 'BA History S2'!$AI:$AI)</f>
        <v>0.44857142857142857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7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48</v>
      </c>
      <c r="G8" s="66">
        <f>AVERAGEIFS('BA History S2'!C:C,'BA History S2'!B:B,A8)</f>
        <v>16</v>
      </c>
      <c r="H8" s="35">
        <f t="array" ref="H8">MAX(IF('BA History S2'!B:B=A8, 'BA History S2'!C:C))</f>
        <v>19</v>
      </c>
      <c r="I8" s="34">
        <f>COUNTIFS('BA History S2'!B:B,A8,'BA History S2'!D:D, 1)</f>
        <v>1</v>
      </c>
      <c r="J8" s="2">
        <f>COUNTIFS('BA History S2'!B:B,A8,'BA History S2'!D:D, 0)</f>
        <v>2</v>
      </c>
      <c r="K8" s="75">
        <f>LOOKUP(2, 1/('BA History S2'!$B:$B=A8), 'BA History S2'!$AJ:$AJ)</f>
        <v>0.33333333333333331</v>
      </c>
      <c r="L8" s="34">
        <f>SUMIFS('BA History S2'!F:F,'BA History S2'!B:B,A8)</f>
        <v>6</v>
      </c>
      <c r="M8" s="2">
        <f>SUMIFS('BA History S2'!E:E,'BA History S2'!B:B,A8)-L8</f>
        <v>7</v>
      </c>
      <c r="N8" s="75">
        <f>LOOKUP(2, 1/('BA History S2'!$B:$B=A8), 'BA History S2'!$AH:$AH)</f>
        <v>0.46666666666666662</v>
      </c>
      <c r="O8" s="34">
        <f>SUMIFS('BA History S2'!H:H,'BA History S2'!B:B,A8)</f>
        <v>28</v>
      </c>
      <c r="P8" s="2">
        <f>SUMIFS('BA History S2'!G:G,'BA History S2'!B:B,A8)-O8</f>
        <v>31</v>
      </c>
      <c r="Q8" s="89">
        <f>LOOKUP(2, 1/('BA History S2'!$B:$B=A8), 'BA History S2'!$AI:$AI)</f>
        <v>0.47666666666666674</v>
      </c>
      <c r="R8" s="2">
        <f>COUNTIFS('BA History S2'!$B:$B,$A$8,'BA History S2'!K:K, 1)</f>
        <v>1</v>
      </c>
      <c r="S8" s="2">
        <f>COUNTIFS('BA History S2'!$B:$B,$A$8,'BA History S2'!L:L, 1)</f>
        <v>0</v>
      </c>
      <c r="T8" s="2">
        <f>COUNTIFS('BA History S2'!$B:$B,$A$8,'BA History S2'!M:M, 1)</f>
        <v>1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102</v>
      </c>
      <c r="G9" s="66">
        <f>AVERAGEIFS('BA History S2'!C:C,'BA History S2'!B:B,A9)</f>
        <v>17</v>
      </c>
      <c r="H9" s="35">
        <f t="array" ref="H9">MAX(IF('BA History S2'!B:B=A9, 'BA History S2'!C:C))</f>
        <v>22</v>
      </c>
      <c r="I9" s="34">
        <f>COUNTIFS('BA History S2'!B:B,A9,'BA History S2'!D:D, 1)</f>
        <v>2</v>
      </c>
      <c r="J9" s="2">
        <f>COUNTIFS('BA History S2'!B:B,A9,'BA History S2'!D:D, 0)</f>
        <v>4</v>
      </c>
      <c r="K9" s="75">
        <f>LOOKUP(2, 1/('BA History S2'!$B:$B=A9), 'BA History S2'!$AJ:$AJ)</f>
        <v>0.33333333333333331</v>
      </c>
      <c r="L9" s="34">
        <f>SUMIFS('BA History S2'!F:F,'BA History S2'!B:B,A9)</f>
        <v>10</v>
      </c>
      <c r="M9" s="2">
        <f>SUMIFS('BA History S2'!E:E,'BA History S2'!B:B,A9)-L9</f>
        <v>16</v>
      </c>
      <c r="N9" s="75">
        <f>LOOKUP(2, 1/('BA History S2'!$B:$B=A9), 'BA History S2'!$AH:$AH)</f>
        <v>0.35000000000000003</v>
      </c>
      <c r="O9" s="34">
        <f>SUMIFS('BA History S2'!H:H,'BA History S2'!B:B,A9)</f>
        <v>49</v>
      </c>
      <c r="P9" s="2">
        <f>SUMIFS('BA History S2'!G:G,'BA History S2'!B:B,A9)-O9</f>
        <v>62</v>
      </c>
      <c r="Q9" s="89">
        <f>LOOKUP(2, 1/('BA History S2'!$B:$B=A9), 'BA History S2'!$AI:$AI)</f>
        <v>0.41166666666666663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3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2</v>
      </c>
      <c r="AJ9" s="2">
        <f>COUNTIFS('BA History S2'!$B:$B,$A$9,'BA History S2'!AC:AC, 1)</f>
        <v>1</v>
      </c>
      <c r="AK9" s="2">
        <f>COUNTIFS('BA History S2'!$B:$B,$A$9,'BA History S2'!AD:AD, 1)</f>
        <v>1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270</v>
      </c>
      <c r="G11" s="66">
        <f>AVERAGEIFS('BA History S2'!C:C,'BA History S2'!B:B,A11)</f>
        <v>16.875</v>
      </c>
      <c r="H11" s="35">
        <f t="array" ref="H11">MAX(IF('BA History S2'!B:B=A11, 'BA History S2'!C:C))</f>
        <v>28</v>
      </c>
      <c r="I11" s="34">
        <f>COUNTIFS('BA History S2'!B:B,A11,'BA History S2'!D:D, 1)</f>
        <v>10</v>
      </c>
      <c r="J11" s="2">
        <f>COUNTIFS('BA History S2'!B:B,A11,'BA History S2'!D:D, 0)</f>
        <v>6</v>
      </c>
      <c r="K11" s="75">
        <f>LOOKUP(2, 1/('BA History S2'!$B:$B=A11), 'BA History S2'!$AJ:$AJ)</f>
        <v>0.625</v>
      </c>
      <c r="L11" s="34">
        <f>SUMIFS('BA History S2'!F:F,'BA History S2'!B:B,A11)</f>
        <v>36</v>
      </c>
      <c r="M11" s="2">
        <f>SUMIFS('BA History S2'!E:E,'BA History S2'!B:B,A11)-L11</f>
        <v>30</v>
      </c>
      <c r="N11" s="75">
        <f>LOOKUP(2, 1/('BA History S2'!$B:$B=A11), 'BA History S2'!$AH:$AH)</f>
        <v>0.54999999999999993</v>
      </c>
      <c r="O11" s="34">
        <f>SUMIFS('BA History S2'!H:H,'BA History S2'!B:B,A11)</f>
        <v>146</v>
      </c>
      <c r="P11" s="2">
        <f>SUMIFS('BA History S2'!G:G,'BA History S2'!B:B,A11)-O11</f>
        <v>131</v>
      </c>
      <c r="Q11" s="89">
        <f>LOOKUP(2, 1/('BA History S2'!$B:$B=A11), 'BA History S2'!$AI:$AI)</f>
        <v>0.54374999999999996</v>
      </c>
      <c r="R11" s="2">
        <f>COUNTIFS('BA History S2'!$B:$B,$A$11,'BA History S2'!K:K, 1)</f>
        <v>1</v>
      </c>
      <c r="S11" s="2">
        <f>COUNTIFS('BA History S2'!$B:$B,$A$11,'BA History S2'!L:L, 1)</f>
        <v>1</v>
      </c>
      <c r="T11" s="2">
        <f>COUNTIFS('BA History S2'!$B:$B,$A$11,'BA History S2'!M:M, 1)</f>
        <v>6</v>
      </c>
      <c r="U11" s="2">
        <f>COUNTIFS('BA History S2'!$B:$B,$A$11,'BA History S2'!N:N, 1)</f>
        <v>5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2</v>
      </c>
      <c r="AG11" s="2">
        <f>COUNTIFS('BA History S2'!$B:$B,$A$11,'BA History S2'!Z:Z, 1)</f>
        <v>4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168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158</v>
      </c>
      <c r="F13" s="34">
        <f>SUMIFS('BA History S2'!C:C,'BA History S2'!B:B,A13)</f>
        <v>340</v>
      </c>
      <c r="G13" s="66">
        <f>AVERAGEIFS('BA History S2'!C:C,'BA History S2'!B:B,A13)</f>
        <v>26.153846153846153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6</v>
      </c>
      <c r="K13" s="75">
        <f>LOOKUP(2, 1/('BA History S2'!$B:$B=A13), 'BA History S2'!$AJ:$AJ)</f>
        <v>0.53846153846153844</v>
      </c>
      <c r="L13" s="34">
        <f>SUMIFS('BA History S2'!F:F,'BA History S2'!B:B,A13)</f>
        <v>28</v>
      </c>
      <c r="M13" s="2">
        <f>SUMIFS('BA History S2'!E:E,'BA History S2'!B:B,A13)-L13</f>
        <v>24</v>
      </c>
      <c r="N13" s="75">
        <f>LOOKUP(2, 1/('BA History S2'!$B:$B=A13), 'BA History S2'!$AH:$AH)</f>
        <v>0.55000000000000004</v>
      </c>
      <c r="O13" s="34">
        <f>SUMIFS('BA History S2'!H:H,'BA History S2'!B:B,A13)</f>
        <v>113</v>
      </c>
      <c r="P13" s="2">
        <f>SUMIFS('BA History S2'!G:G,'BA History S2'!B:B,A13)-O13</f>
        <v>102</v>
      </c>
      <c r="Q13" s="89">
        <f>LOOKUP(2, 1/('BA History S2'!$B:$B=A13), 'BA History S2'!$AI:$AI)</f>
        <v>0.54999999999999993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2</v>
      </c>
      <c r="U13" s="2">
        <f>COUNTIFS('BA History S2'!$B:$B,$A$13,'BA History S2'!N:N, 1)</f>
        <v>3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2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204</v>
      </c>
      <c r="G14" s="66">
        <f>AVERAGEIFS('BA History S2'!C:C,'BA History S2'!B:B,A14)</f>
        <v>18.545454545454547</v>
      </c>
      <c r="H14" s="35">
        <f t="array" ref="H14">MAX(IF('BA History S2'!B:B=A14, 'BA History S2'!C:C))</f>
        <v>28</v>
      </c>
      <c r="I14" s="34">
        <f>COUNTIFS('BA History S2'!B:B,A14,'BA History S2'!D:D, 1)</f>
        <v>9</v>
      </c>
      <c r="J14" s="2">
        <f>COUNTIFS('BA History S2'!B:B,A14,'BA History S2'!D:D, 0)</f>
        <v>2</v>
      </c>
      <c r="K14" s="75">
        <f>LOOKUP(2, 1/('BA History S2'!$B:$B=A14), 'BA History S2'!$AJ:$AJ)</f>
        <v>0.81818181818181823</v>
      </c>
      <c r="L14" s="34">
        <f>SUMIFS('BA History S2'!F:F,'BA History S2'!B:B,A14)</f>
        <v>30</v>
      </c>
      <c r="M14" s="2">
        <f>SUMIFS('BA History S2'!E:E,'BA History S2'!B:B,A14)-L14</f>
        <v>12</v>
      </c>
      <c r="N14" s="75">
        <f>LOOKUP(2, 1/('BA History S2'!$B:$B=A14), 'BA History S2'!$AH:$AH)</f>
        <v>0.74090909090909096</v>
      </c>
      <c r="O14" s="34">
        <f>SUMIFS('BA History S2'!H:H,'BA History S2'!B:B,A14)</f>
        <v>104</v>
      </c>
      <c r="P14" s="2">
        <f>SUMIFS('BA History S2'!G:G,'BA History S2'!B:B,A14)-O14</f>
        <v>65</v>
      </c>
      <c r="Q14" s="89">
        <f>LOOKUP(2, 1/('BA History S2'!$B:$B=A14), 'BA History S2'!$AI:$AI)</f>
        <v>0.64363636363636367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1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6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x14ac:dyDescent="0.25">
      <c r="A15" s="2" t="s">
        <v>46</v>
      </c>
      <c r="B15" s="1" t="s">
        <v>158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142</v>
      </c>
      <c r="G17" s="66">
        <f>AVERAGEIFS('BA History S2'!C:C,'BA History S2'!B:B,A17)</f>
        <v>12.909090909090908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9</v>
      </c>
      <c r="K17" s="75">
        <f>LOOKUP(2, 1/('BA History S2'!$B:$B=A17), 'BA History S2'!$AJ:$AJ)</f>
        <v>0.18181818181818182</v>
      </c>
      <c r="L17" s="34">
        <f>SUMIFS('BA History S2'!F:F,'BA History S2'!B:B,A17)</f>
        <v>17</v>
      </c>
      <c r="M17" s="2">
        <f>SUMIFS('BA History S2'!E:E,'BA History S2'!B:B,A17)-L17</f>
        <v>27</v>
      </c>
      <c r="N17" s="75">
        <f>LOOKUP(2, 1/('BA History S2'!$B:$B=A17), 'BA History S2'!$AH:$AH)</f>
        <v>0.40454545454545449</v>
      </c>
      <c r="O17" s="34">
        <f>SUMIFS('BA History S2'!H:H,'BA History S2'!B:B,A17)</f>
        <v>83</v>
      </c>
      <c r="P17" s="2">
        <f>SUMIFS('BA History S2'!G:G,'BA History S2'!B:B,A17)-O17</f>
        <v>100</v>
      </c>
      <c r="Q17" s="89">
        <f>LOOKUP(2, 1/('BA History S2'!$B:$B=A17), 'BA History S2'!$AI:$AI)</f>
        <v>0.45909090909090905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3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161</v>
      </c>
      <c r="B19" s="2" t="s">
        <v>79</v>
      </c>
      <c r="C19" s="2"/>
      <c r="D19" s="2"/>
      <c r="E19" s="2"/>
      <c r="F19" s="34">
        <f>SUMIFS('BA History S2'!C:C,'BA History S2'!B:B,A19)</f>
        <v>55</v>
      </c>
      <c r="G19" s="66">
        <f>AVERAGEIFS('BA History S2'!C:C,'BA History S2'!B:B,A19)</f>
        <v>7.8571428571428568</v>
      </c>
      <c r="H19" s="35">
        <f t="array" ref="H19">MAX(IF('BA History S2'!B:B=A19, 'BA History S2'!C:C))</f>
        <v>24</v>
      </c>
      <c r="I19" s="34">
        <f>COUNTIFS('BA History S2'!B:B,A19,'BA History S2'!D:D, 1)</f>
        <v>4</v>
      </c>
      <c r="J19" s="2">
        <f>COUNTIFS('BA History S2'!B:B,A19,'BA History S2'!D:D, 0)</f>
        <v>3</v>
      </c>
      <c r="K19" s="75">
        <f>LOOKUP(2, 1/('BA History S2'!$B:$B=A19), 'BA History S2'!$AJ:$AJ)</f>
        <v>0.5714285714285714</v>
      </c>
      <c r="L19" s="34">
        <f>SUMIFS('BA History S2'!F:F,'BA History S2'!B:B,A19)</f>
        <v>17</v>
      </c>
      <c r="M19" s="2">
        <f>SUMIFS('BA History S2'!E:E,'BA History S2'!B:B,A19)-L19</f>
        <v>12</v>
      </c>
      <c r="N19" s="75">
        <f>LOOKUP(2, 1/('BA History S2'!$B:$B=A19), 'BA History S2'!$AH:$AH)</f>
        <v>0.61428571428571421</v>
      </c>
      <c r="O19" s="34">
        <f>SUMIFS('BA History S2'!H:H,'BA History S2'!B:B,A19)</f>
        <v>65</v>
      </c>
      <c r="P19" s="2">
        <f>SUMIFS('BA History S2'!G:G,'BA History S2'!B:B,A19)-O19</f>
        <v>60</v>
      </c>
      <c r="Q19" s="89">
        <f>LOOKUP(2, 1/('BA History S2'!$B:$B=A19), 'BA History S2'!$AI:$AI)</f>
        <v>0.53714285714285714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1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2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158</v>
      </c>
      <c r="C21" s="1">
        <v>1</v>
      </c>
      <c r="F21" s="34">
        <f>SUMIFS('BA History S2'!C:C,'BA History S2'!B:B,A21)</f>
        <v>151</v>
      </c>
      <c r="G21" s="66">
        <f>AVERAGEIFS('BA History S2'!C:C,'BA History S2'!B:B,A21)</f>
        <v>16.777777777777779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6</v>
      </c>
      <c r="K21" s="75">
        <f>LOOKUP(2, 1/('BA History S2'!$B:$B=A21), 'BA History S2'!$AJ:$AJ)</f>
        <v>0.33333333333333331</v>
      </c>
      <c r="L21" s="34">
        <f>SUMIFS('BA History S2'!F:F,'BA History S2'!B:B,A21)</f>
        <v>16</v>
      </c>
      <c r="M21" s="2">
        <f>SUMIFS('BA History S2'!E:E,'BA History S2'!B:B,A21)-L21</f>
        <v>20</v>
      </c>
      <c r="N21" s="75">
        <f>LOOKUP(2, 1/('BA History S2'!$B:$B=A21), 'BA History S2'!$AH:$AH)</f>
        <v>0.44999999999999996</v>
      </c>
      <c r="O21" s="34">
        <f>SUMIFS('BA History S2'!H:H,'BA History S2'!B:B,A21)</f>
        <v>76</v>
      </c>
      <c r="P21" s="2">
        <f>SUMIFS('BA History S2'!G:G,'BA History S2'!B:B,A21)-O21</f>
        <v>76</v>
      </c>
      <c r="Q21" s="89">
        <f>LOOKUP(2, 1/('BA History S2'!$B:$B=A21), 'BA History S2'!$AI:$AI)</f>
        <v>0.49444444444444446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2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1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2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>
        <v>2</v>
      </c>
      <c r="D22" s="2">
        <v>1</v>
      </c>
      <c r="E22" s="2"/>
      <c r="F22" s="34">
        <f>SUMIFS('BA History S2'!C:C,'BA History S2'!B:B,A22)</f>
        <v>211</v>
      </c>
      <c r="G22" s="66">
        <f>AVERAGEIFS('BA History S2'!C:C,'BA History S2'!B:B,A22)</f>
        <v>23.444444444444443</v>
      </c>
      <c r="H22" s="35">
        <f t="array" ref="H22">MAX(IF('BA History S2'!B:B=A22, 'BA History S2'!C:C))</f>
        <v>47</v>
      </c>
      <c r="I22" s="34">
        <f>COUNTIFS('BA History S2'!B:B,A22,'BA History S2'!D:D, 1)</f>
        <v>5</v>
      </c>
      <c r="J22" s="2">
        <f>COUNTIFS('BA History S2'!B:B,A22,'BA History S2'!D:D, 0)</f>
        <v>4</v>
      </c>
      <c r="K22" s="75">
        <f>LOOKUP(2, 1/('BA History S2'!$B:$B=A22), 'BA History S2'!$AJ:$AJ)</f>
        <v>0.55555555555555558</v>
      </c>
      <c r="L22" s="34">
        <f>SUMIFS('BA History S2'!F:F,'BA History S2'!B:B,A22)</f>
        <v>19</v>
      </c>
      <c r="M22" s="2">
        <f>SUMIFS('BA History S2'!E:E,'BA History S2'!B:B,A22)-L22</f>
        <v>15</v>
      </c>
      <c r="N22" s="75">
        <f>LOOKUP(2, 1/('BA History S2'!$B:$B=A22), 'BA History S2'!$AH:$AH)</f>
        <v>0.58333333333333337</v>
      </c>
      <c r="O22" s="34">
        <f>SUMIFS('BA History S2'!H:H,'BA History S2'!B:B,A22)</f>
        <v>72</v>
      </c>
      <c r="P22" s="2">
        <f>SUMIFS('BA History S2'!G:G,'BA History S2'!B:B,A22)-O22</f>
        <v>66</v>
      </c>
      <c r="Q22" s="89">
        <f>LOOKUP(2, 1/('BA History S2'!$B:$B=A22), 'BA History S2'!$AI:$AI)</f>
        <v>0.52666666666666662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2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2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158</v>
      </c>
      <c r="C23" s="1">
        <v>1</v>
      </c>
      <c r="D23" s="1">
        <v>1</v>
      </c>
      <c r="F23" s="34">
        <f>SUMIFS('BA History S2'!C:C,'BA History S2'!B:B,A23)</f>
        <v>230</v>
      </c>
      <c r="G23" s="66">
        <f>AVERAGEIFS('BA History S2'!C:C,'BA History S2'!B:B,A23)</f>
        <v>19.166666666666668</v>
      </c>
      <c r="H23" s="35">
        <f t="array" ref="H23">MAX(IF('BA History S2'!B:B=A23, 'BA History S2'!C:C))</f>
        <v>37</v>
      </c>
      <c r="I23" s="34">
        <f>COUNTIFS('BA History S2'!B:B,A23,'BA History S2'!D:D, 1)</f>
        <v>6</v>
      </c>
      <c r="J23" s="2">
        <f>COUNTIFS('BA History S2'!B:B,A23,'BA History S2'!D:D, 0)</f>
        <v>6</v>
      </c>
      <c r="K23" s="75">
        <f>LOOKUP(2, 1/('BA History S2'!$B:$B=A23), 'BA History S2'!$AJ:$AJ)</f>
        <v>0.5</v>
      </c>
      <c r="L23" s="34">
        <f>SUMIFS('BA History S2'!F:F,'BA History S2'!B:B,A23)</f>
        <v>25</v>
      </c>
      <c r="M23" s="2">
        <f>SUMIFS('BA History S2'!E:E,'BA History S2'!B:B,A23)-L23</f>
        <v>26</v>
      </c>
      <c r="N23" s="75">
        <f>LOOKUP(2, 1/('BA History S2'!$B:$B=A23), 'BA History S2'!$AH:$AH)</f>
        <v>0.48750000000000004</v>
      </c>
      <c r="O23" s="34">
        <f>SUMIFS('BA History S2'!H:H,'BA History S2'!B:B,A23)</f>
        <v>105</v>
      </c>
      <c r="P23" s="2">
        <f>SUMIFS('BA History S2'!G:G,'BA History S2'!B:B,A23)-O23</f>
        <v>107</v>
      </c>
      <c r="Q23" s="89">
        <f>LOOKUP(2, 1/('BA History S2'!$B:$B=A23), 'BA History S2'!$AI:$AI)</f>
        <v>0.49750000000000005</v>
      </c>
      <c r="R23" s="2">
        <f>COUNTIFS('BA History S2'!$B:$B,$A$23,'BA History S2'!K:K, 1)</f>
        <v>1</v>
      </c>
      <c r="S23" s="2">
        <f>COUNTIFS('BA History S2'!$B:$B,$A$23,'BA History S2'!L:L, 1)</f>
        <v>3</v>
      </c>
      <c r="T23" s="2">
        <f>COUNTIFS('BA History S2'!$B:$B,$A$23,'BA History S2'!M:M, 1)</f>
        <v>4</v>
      </c>
      <c r="U23" s="2">
        <f>COUNTIFS('BA History S2'!$B:$B,$A$23,'BA History S2'!N:N, 1)</f>
        <v>5</v>
      </c>
      <c r="V23" s="2">
        <f>COUNTIFS('BA History S2'!$B:$B,$A$23,'BA History S2'!O:O, 1)</f>
        <v>1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2</v>
      </c>
      <c r="AG23" s="2">
        <f>COUNTIFS('BA History S2'!$B:$B,$A$23,'BA History S2'!Z:Z, 1)</f>
        <v>3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65</v>
      </c>
      <c r="G24" s="66">
        <f>AVERAGEIFS('BA History S2'!C:C,'BA History S2'!B:B,A24)</f>
        <v>13</v>
      </c>
      <c r="H24" s="35">
        <f t="array" ref="H24">MAX(IF('BA History S2'!B:B=A24, 'BA History S2'!C:C))</f>
        <v>19</v>
      </c>
      <c r="I24" s="34">
        <f>COUNTIFS('BA History S2'!B:B,A24,'BA History S2'!D:D, 1)</f>
        <v>4</v>
      </c>
      <c r="J24" s="2">
        <f>COUNTIFS('BA History S2'!B:B,A24,'BA History S2'!D:D, 0)</f>
        <v>1</v>
      </c>
      <c r="K24" s="75">
        <f>LOOKUP(2, 1/('BA History S2'!$B:$B=A24), 'BA History S2'!$AJ:$AJ)</f>
        <v>0.8</v>
      </c>
      <c r="L24" s="34">
        <f>SUMIFS('BA History S2'!F:F,'BA History S2'!B:B,A24)</f>
        <v>12</v>
      </c>
      <c r="M24" s="2">
        <f>SUMIFS('BA History S2'!E:E,'BA History S2'!B:B,A24)-L24</f>
        <v>9</v>
      </c>
      <c r="N24" s="75">
        <f>LOOKUP(2, 1/('BA History S2'!$B:$B=A24), 'BA History S2'!$AH:$AH)</f>
        <v>0.54</v>
      </c>
      <c r="O24" s="34">
        <f>SUMIFS('BA History S2'!H:H,'BA History S2'!B:B,A24)</f>
        <v>47</v>
      </c>
      <c r="P24" s="2">
        <f>SUMIFS('BA History S2'!G:G,'BA History S2'!B:B,A24)-O24</f>
        <v>42</v>
      </c>
      <c r="Q24" s="89">
        <f>LOOKUP(2, 1/('BA History S2'!$B:$B=A24), 'BA History S2'!$AI:$AI)</f>
        <v>0.51800000000000002</v>
      </c>
      <c r="R24" s="2">
        <f>COUNTIFS('BA History S2'!$B:$B,$A$24,'BA History S2'!K:K, 1)</f>
        <v>1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2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309</v>
      </c>
      <c r="G25" s="66">
        <f>AVERAGEIFS('BA History S2'!C:C,'BA History S2'!B:B,A25)</f>
        <v>20.6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9</v>
      </c>
      <c r="K25" s="75">
        <f>LOOKUP(2, 1/('BA History S2'!$B:$B=A25), 'BA History S2'!$AJ:$AJ)</f>
        <v>0.4</v>
      </c>
      <c r="L25" s="34">
        <f>SUMIFS('BA History S2'!F:F,'BA History S2'!B:B,A25)</f>
        <v>29</v>
      </c>
      <c r="M25" s="2">
        <f>SUMIFS('BA History S2'!E:E,'BA History S2'!B:B,A25)-L25</f>
        <v>34</v>
      </c>
      <c r="N25" s="75">
        <f>LOOKUP(2, 1/('BA History S2'!$B:$B=A25), 'BA History S2'!$AH:$AH)</f>
        <v>0.46</v>
      </c>
      <c r="O25" s="34">
        <f>SUMIFS('BA History S2'!H:H,'BA History S2'!B:B,A25)</f>
        <v>131</v>
      </c>
      <c r="P25" s="2">
        <f>SUMIFS('BA History S2'!G:G,'BA History S2'!B:B,A25)-O25</f>
        <v>135</v>
      </c>
      <c r="Q25" s="89">
        <f>LOOKUP(2, 1/('BA History S2'!$B:$B=A25), 'BA History S2'!$AI:$AI)</f>
        <v>0.48666666666666669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3</v>
      </c>
      <c r="U25" s="2">
        <f>COUNTIFS('BA History S2'!$B:$B,$A$25,'BA History S2'!N:N, 1)</f>
        <v>4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1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166</v>
      </c>
      <c r="B26" s="2" t="s">
        <v>79</v>
      </c>
      <c r="C26" s="2">
        <v>1</v>
      </c>
      <c r="D26" s="2"/>
      <c r="E26" s="2"/>
      <c r="F26" s="34">
        <f>SUMIFS('BA History S2'!C:C,'BA History S2'!B:B,A26)</f>
        <v>40</v>
      </c>
      <c r="G26" s="66">
        <f>AVERAGEIFS('BA History S2'!C:C,'BA History S2'!B:B,A26)</f>
        <v>10</v>
      </c>
      <c r="H26" s="35">
        <f t="array" ref="H26">MAX(IF('BA History S2'!B:B=A26, 'BA History S2'!C:C))</f>
        <v>21</v>
      </c>
      <c r="I26" s="34">
        <f>COUNTIFS('BA History S2'!B:B,A26,'BA History S2'!D:D, 1)</f>
        <v>3</v>
      </c>
      <c r="J26" s="2">
        <f>COUNTIFS('BA History S2'!B:B,A26,'BA History S2'!D:D, 0)</f>
        <v>1</v>
      </c>
      <c r="K26" s="75">
        <f>LOOKUP(2, 1/('BA History S2'!$B:$B=A26), 'BA History S2'!$AJ:$AJ)</f>
        <v>0.75</v>
      </c>
      <c r="L26" s="34">
        <f>SUMIFS('BA History S2'!F:F,'BA History S2'!B:B,A26)</f>
        <v>9</v>
      </c>
      <c r="M26" s="2">
        <f>SUMIFS('BA History S2'!E:E,'BA History S2'!B:B,A26)-L26</f>
        <v>8</v>
      </c>
      <c r="N26" s="75">
        <f>LOOKUP(2, 1/('BA History S2'!$B:$B=A26), 'BA History S2'!$AH:$AH)</f>
        <v>0.48750000000000004</v>
      </c>
      <c r="O26" s="34">
        <f>SUMIFS('BA History S2'!H:H,'BA History S2'!B:B,A26)</f>
        <v>38</v>
      </c>
      <c r="P26" s="2">
        <f>SUMIFS('BA History S2'!G:G,'BA History S2'!B:B,A26)-O26</f>
        <v>35</v>
      </c>
      <c r="Q26" s="89">
        <f>LOOKUP(2, 1/('BA History S2'!$B:$B=A26), 'BA History S2'!$AI:$AI)</f>
        <v>0.49249999999999999</v>
      </c>
      <c r="R26" s="2">
        <f>COUNTIFS('BA History S2'!$B:$B,$A$26,'BA History S2'!K:K, 1)</f>
        <v>1</v>
      </c>
      <c r="S26" s="2">
        <f>COUNTIFS('BA History S2'!$B:$B,$A$26,'BA History S2'!L:L, 1)</f>
        <v>0</v>
      </c>
      <c r="T26" s="2">
        <f>COUNTIFS('BA History S2'!$B:$B,$A$26,'BA History S2'!M:M, 1)</f>
        <v>1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2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141</v>
      </c>
      <c r="G27" s="66">
        <f>AVERAGEIFS('BA History S2'!C:C,'BA History S2'!B:B,A27)</f>
        <v>15.666666666666666</v>
      </c>
      <c r="H27" s="35">
        <f t="array" ref="H27">MAX(IF('BA History S2'!B:B=A27, 'BA History S2'!C:C))</f>
        <v>26</v>
      </c>
      <c r="I27" s="34">
        <f>COUNTIFS('BA History S2'!B:B,A27,'BA History S2'!D:D, 1)</f>
        <v>3</v>
      </c>
      <c r="J27" s="2">
        <f>COUNTIFS('BA History S2'!B:B,A27,'BA History S2'!D:D, 0)</f>
        <v>6</v>
      </c>
      <c r="K27" s="75">
        <f>LOOKUP(2, 1/('BA History S2'!$B:$B=A27), 'BA History S2'!$AJ:$AJ)</f>
        <v>0.33333333333333331</v>
      </c>
      <c r="L27" s="34">
        <f>SUMIFS('BA History S2'!F:F,'BA History S2'!B:B,A27)</f>
        <v>18</v>
      </c>
      <c r="M27" s="2">
        <f>SUMIFS('BA History S2'!E:E,'BA History S2'!B:B,A27)-L27</f>
        <v>21</v>
      </c>
      <c r="N27" s="75">
        <f>LOOKUP(2, 1/('BA History S2'!$B:$B=A27), 'BA History S2'!$AH:$AH)</f>
        <v>0.47777777777777775</v>
      </c>
      <c r="O27" s="34">
        <f>SUMIFS('BA History S2'!H:H,'BA History S2'!B:B,A27)</f>
        <v>85</v>
      </c>
      <c r="P27" s="2">
        <f>SUMIFS('BA History S2'!G:G,'BA History S2'!B:B,A27)-O27</f>
        <v>82</v>
      </c>
      <c r="Q27" s="89">
        <f>LOOKUP(2, 1/('BA History S2'!$B:$B=A27), 'BA History S2'!$AI:$AI)</f>
        <v>0.52777777777777779</v>
      </c>
      <c r="R27" s="2">
        <f>COUNTIFS('BA History S2'!$B:$B,$A$27,'BA History S2'!K:K, 1)</f>
        <v>1</v>
      </c>
      <c r="S27" s="2">
        <f>COUNTIFS('BA History S2'!$B:$B,$A$27,'BA History S2'!L:L, 1)</f>
        <v>2</v>
      </c>
      <c r="T27" s="2">
        <f>COUNTIFS('BA History S2'!$B:$B,$A$27,'BA History S2'!M:M, 1)</f>
        <v>1</v>
      </c>
      <c r="U27" s="2">
        <f>COUNTIFS('BA History S2'!$B:$B,$A$27,'BA History S2'!N:N, 1)</f>
        <v>2</v>
      </c>
      <c r="V27" s="2">
        <f>COUNTIFS('BA History S2'!$B:$B,$A$27,'BA History S2'!O:O, 1)</f>
        <v>1</v>
      </c>
      <c r="W27" s="2">
        <f>COUNTIFS('BA History S2'!$B:$B,$A$27,'BA History S2'!P:P, 1)</f>
        <v>1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3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184</v>
      </c>
      <c r="G28" s="66">
        <f>AVERAGEIFS('BA History S2'!C:C,'BA History S2'!B:B,A28)</f>
        <v>18.399999999999999</v>
      </c>
      <c r="H28" s="35">
        <f t="array" ref="H28">MAX(IF('BA History S2'!B:B=A28, 'BA History S2'!C:C))</f>
        <v>28</v>
      </c>
      <c r="I28" s="34">
        <f>COUNTIFS('BA History S2'!B:B,A28,'BA History S2'!D:D, 1)</f>
        <v>8</v>
      </c>
      <c r="J28" s="2">
        <f>COUNTIFS('BA History S2'!B:B,A28,'BA History S2'!D:D, 0)</f>
        <v>2</v>
      </c>
      <c r="K28" s="75">
        <f>LOOKUP(2, 1/('BA History S2'!$B:$B=A28), 'BA History S2'!$AJ:$AJ)</f>
        <v>0.8</v>
      </c>
      <c r="L28" s="34">
        <f>SUMIFS('BA History S2'!F:F,'BA History S2'!B:B,A28)</f>
        <v>25</v>
      </c>
      <c r="M28" s="2">
        <f>SUMIFS('BA History S2'!E:E,'BA History S2'!B:B,A28)-L28</f>
        <v>16</v>
      </c>
      <c r="N28" s="75">
        <f>LOOKUP(2, 1/('BA History S2'!$B:$B=A28), 'BA History S2'!$AH:$AH)</f>
        <v>0.60499999999999987</v>
      </c>
      <c r="O28" s="34">
        <f>SUMIFS('BA History S2'!H:H,'BA History S2'!B:B,A28)</f>
        <v>90</v>
      </c>
      <c r="P28" s="2">
        <f>SUMIFS('BA History S2'!G:G,'BA History S2'!B:B,A28)-O28</f>
        <v>77</v>
      </c>
      <c r="Q28" s="89">
        <f>LOOKUP(2, 1/('BA History S2'!$B:$B=A28), 'BA History S2'!$AI:$AI)</f>
        <v>0.52700000000000002</v>
      </c>
      <c r="R28" s="2">
        <f>COUNTIFS('BA History S2'!$B:$B,$A$28,'BA History S2'!K:K, 1)</f>
        <v>2</v>
      </c>
      <c r="S28" s="2">
        <f>COUNTIFS('BA History S2'!$B:$B,$A$28,'BA History S2'!L:L, 1)</f>
        <v>1</v>
      </c>
      <c r="T28" s="2">
        <f>COUNTIFS('BA History S2'!$B:$B,$A$28,'BA History S2'!M:M, 1)</f>
        <v>4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1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4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2</v>
      </c>
      <c r="AK28" s="2">
        <f>COUNTIFS('BA History S2'!$B:$B,$A$28,'BA History S2'!AD:AD, 1)</f>
        <v>3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6</v>
      </c>
      <c r="B29" s="1" t="s">
        <v>158</v>
      </c>
      <c r="D29" s="1">
        <v>1</v>
      </c>
      <c r="E29" s="1">
        <v>1</v>
      </c>
      <c r="F29" s="34">
        <f>SUMIFS('BA History S2'!C:C,'BA History S2'!B:B,A29)</f>
        <v>352</v>
      </c>
      <c r="G29" s="66">
        <f>AVERAGEIFS('BA History S2'!C:C,'BA History S2'!B:B,A29)</f>
        <v>22</v>
      </c>
      <c r="H29" s="35">
        <f t="array" ref="H29">MAX(IF('BA History S2'!B:B=A29, 'BA History S2'!C:C))</f>
        <v>36</v>
      </c>
      <c r="I29" s="34">
        <f>COUNTIFS('BA History S2'!B:B,A29,'BA History S2'!D:D, 1)</f>
        <v>8</v>
      </c>
      <c r="J29" s="2">
        <f>COUNTIFS('BA History S2'!B:B,A29,'BA History S2'!D:D, 0)</f>
        <v>8</v>
      </c>
      <c r="K29" s="75">
        <f>LOOKUP(2, 1/('BA History S2'!$B:$B=A29), 'BA History S2'!$AJ:$AJ)</f>
        <v>0.5</v>
      </c>
      <c r="L29" s="34">
        <f>SUMIFS('BA History S2'!F:F,'BA History S2'!B:B,A29)</f>
        <v>31</v>
      </c>
      <c r="M29" s="2">
        <f>SUMIFS('BA History S2'!E:E,'BA History S2'!B:B,A29)-L29</f>
        <v>33</v>
      </c>
      <c r="N29" s="75">
        <f>LOOKUP(2, 1/('BA History S2'!$B:$B=A29), 'BA History S2'!$AH:$AH)</f>
        <v>0.46875</v>
      </c>
      <c r="O29" s="34">
        <f>SUMIFS('BA History S2'!H:H,'BA History S2'!B:B,A29)</f>
        <v>131</v>
      </c>
      <c r="P29" s="2">
        <f>SUMIFS('BA History S2'!G:G,'BA History S2'!B:B,A29)-O29</f>
        <v>134</v>
      </c>
      <c r="Q29" s="89">
        <f>LOOKUP(2, 1/('BA History S2'!$B:$B=A29), 'BA History S2'!$AI:$AI)</f>
        <v>0.484375</v>
      </c>
      <c r="R29" s="2">
        <f>COUNTIFS('BA History S2'!$B:$B,$A$29,'BA History S2'!K:K, 1)</f>
        <v>2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5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3</v>
      </c>
    </row>
    <row r="30" spans="1:39" x14ac:dyDescent="0.25">
      <c r="A30" s="2" t="s">
        <v>179</v>
      </c>
      <c r="B30" s="1" t="s">
        <v>79</v>
      </c>
      <c r="C30" s="1">
        <v>1</v>
      </c>
      <c r="F30" s="34">
        <f>SUMIFS('BA History S2'!C:C,'BA History S2'!B:B,A30)</f>
        <v>26</v>
      </c>
      <c r="G30" s="66">
        <f>AVERAGEIFS('BA History S2'!C:C,'BA History S2'!B:B,A30)</f>
        <v>13</v>
      </c>
      <c r="H30" s="35">
        <f t="array" ref="H30">MAX(IF('BA History S2'!B:B=A30, 'BA History S2'!C:C))</f>
        <v>16</v>
      </c>
      <c r="I30" s="34">
        <f>COUNTIFS('BA History S2'!B:B,A30,'BA History S2'!D:D, 1)</f>
        <v>0</v>
      </c>
      <c r="J30" s="2">
        <f>COUNTIFS('BA History S2'!B:B,A30,'BA History S2'!D:D, 0)</f>
        <v>2</v>
      </c>
      <c r="K30" s="75">
        <f>LOOKUP(2, 1/('BA History S2'!$B:$B=A30), 'BA History S2'!$AJ:$AJ)</f>
        <v>0</v>
      </c>
      <c r="L30" s="34">
        <f>SUMIFS('BA History S2'!F:F,'BA History S2'!B:B,A30)</f>
        <v>3</v>
      </c>
      <c r="M30" s="2">
        <f>SUMIFS('BA History S2'!E:E,'BA History S2'!B:B,A30)-L30</f>
        <v>6</v>
      </c>
      <c r="N30" s="75">
        <f>LOOKUP(2, 1/('BA History S2'!$B:$B=A30), 'BA History S2'!$AH:$AH)</f>
        <v>0.32500000000000001</v>
      </c>
      <c r="O30" s="34">
        <f>SUMIFS('BA History S2'!H:H,'BA History S2'!B:B,A30)</f>
        <v>19</v>
      </c>
      <c r="P30" s="2">
        <f>SUMIFS('BA History S2'!G:G,'BA History S2'!B:B,A30)-O30</f>
        <v>22</v>
      </c>
      <c r="Q30" s="89">
        <f>LOOKUP(2, 1/('BA History S2'!$B:$B=A30), 'BA History S2'!$AI:$AI)</f>
        <v>0.46499999999999997</v>
      </c>
      <c r="R30" s="2">
        <f>COUNTIFS('BA History S2'!$B:$B,$A$30,'BA History S2'!K:K, 1)</f>
        <v>0</v>
      </c>
      <c r="S30" s="2">
        <f>COUNTIFS('BA History S2'!$B:$B,$A$30,'BA History S2'!L:L, 1)</f>
        <v>0</v>
      </c>
      <c r="T30" s="2">
        <f>COUNTIFS('BA History S2'!$B:$B,$A$30,'BA History S2'!M:M, 1)</f>
        <v>0</v>
      </c>
      <c r="U30" s="2">
        <f>COUNTIFS('BA History S2'!$B:$B,$A$30,'BA History S2'!N:N, 1)</f>
        <v>1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0</v>
      </c>
      <c r="AH30" s="2">
        <f>COUNTIFS('BA History S2'!$B:$B,$A$30,'BA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1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113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320</v>
      </c>
      <c r="G31" s="66">
        <f>AVERAGEIFS('BA History S2'!C:C,'BA History S2'!B:B,A31)</f>
        <v>20</v>
      </c>
      <c r="H31" s="35">
        <f t="array" ref="H31">MAX(IF('BA History S2'!B:B=A31, 'BA History S2'!C:C))</f>
        <v>36</v>
      </c>
      <c r="I31" s="34">
        <f>COUNTIFS('BA History S2'!B:B,A31,'BA History S2'!D:D, 1)</f>
        <v>9</v>
      </c>
      <c r="J31" s="2">
        <f>COUNTIFS('BA History S2'!B:B,A31,'BA History S2'!D:D, 0)</f>
        <v>7</v>
      </c>
      <c r="K31" s="75">
        <f>LOOKUP(2, 1/('BA History S2'!$B:$B=A31), 'BA History S2'!$AJ:$AJ)</f>
        <v>0.5625</v>
      </c>
      <c r="L31" s="34">
        <f>SUMIFS('BA History S2'!F:F,'BA History S2'!B:B,A31)</f>
        <v>38</v>
      </c>
      <c r="M31" s="2">
        <f>SUMIFS('BA History S2'!E:E,'BA History S2'!B:B,A31)-L31</f>
        <v>28</v>
      </c>
      <c r="N31" s="75">
        <f>LOOKUP(2, 1/('BA History S2'!$B:$B=A31), 'BA History S2'!$AH:$AH)</f>
        <v>0.61250000000000004</v>
      </c>
      <c r="O31" s="34">
        <f>SUMIFS('BA History S2'!H:H,'BA History S2'!B:B,A31)</f>
        <v>147</v>
      </c>
      <c r="P31" s="2">
        <f>SUMIFS('BA History S2'!G:G,'BA History S2'!B:B,A31)-O31</f>
        <v>127</v>
      </c>
      <c r="Q31" s="89">
        <f>LOOKUP(2, 1/('BA History S2'!$B:$B=A31), 'BA History S2'!$AI:$AI)</f>
        <v>0.57125000000000004</v>
      </c>
      <c r="R31" s="2">
        <f>COUNTIFS('BA History S2'!$B:$B,$A$31,'BA History S2'!K:K, 1)</f>
        <v>0</v>
      </c>
      <c r="S31" s="2">
        <f>COUNTIFS('BA History S2'!$B:$B,$A$31,'BA History S2'!L:L, 1)</f>
        <v>4</v>
      </c>
      <c r="T31" s="2">
        <f>COUNTIFS('BA History S2'!$B:$B,$A$31,'BA History S2'!M:M, 1)</f>
        <v>2</v>
      </c>
      <c r="U31" s="2">
        <f>COUNTIFS('BA History S2'!$B:$B,$A$31,'BA History S2'!N:N, 1)</f>
        <v>3</v>
      </c>
      <c r="V31" s="2">
        <f>COUNTIFS('BA History S2'!$B:$B,$A$31,'BA History S2'!O:O, 1)</f>
        <v>1</v>
      </c>
      <c r="W31" s="2">
        <f>COUNTIFS('BA History S2'!$B:$B,$A$31,'BA History S2'!P:P, 1)</f>
        <v>1</v>
      </c>
      <c r="X31" s="2">
        <f>COUNTIFS('BA History S2'!$B:$B,$A$31,'BA History S2'!Q:Q, 1)</f>
        <v>1</v>
      </c>
      <c r="Y31" s="2">
        <f>COUNTIFS('BA History S2'!$B:$B,$A$31,'BA History S2'!R:R, 1)</f>
        <v>1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1</v>
      </c>
      <c r="AC31" s="2">
        <f>COUNTIFS('BA History S2'!$B:$B,$A$31,'BA History S2'!V:V, 1)</f>
        <v>2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2</v>
      </c>
      <c r="AG31" s="2">
        <f>COUNTIFS('BA History S2'!$B:$B,$A$31,'BA History S2'!Z:Z, 1)</f>
        <v>5</v>
      </c>
      <c r="AH31" s="2">
        <f>COUNTIFS('BA History S2'!$B:$B,$A$31,'BA History S2'!AA:AA, 1)</f>
        <v>0</v>
      </c>
      <c r="AI31" s="2">
        <f>COUNTIFS('BA History S2'!$B:$B,$A$31,'BA History S2'!AB:AB, 1)</f>
        <v>6</v>
      </c>
      <c r="AJ31" s="2">
        <f>COUNTIFS('BA History S2'!$B:$B,$A$31,'BA History S2'!AC:AC, 1)</f>
        <v>4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4</v>
      </c>
    </row>
    <row r="32" spans="1:39" x14ac:dyDescent="0.25">
      <c r="A32" s="2" t="s">
        <v>14</v>
      </c>
      <c r="B32" s="2" t="s">
        <v>79</v>
      </c>
      <c r="C32" s="2">
        <v>1</v>
      </c>
      <c r="D32" s="2"/>
      <c r="E32" s="2"/>
      <c r="F32" s="34">
        <f>SUMIFS('BA History S2'!C:C,'BA History S2'!B:B,A32)</f>
        <v>52</v>
      </c>
      <c r="G32" s="66">
        <f>AVERAGEIFS('BA History S2'!C:C,'BA History S2'!B:B,A32)</f>
        <v>13</v>
      </c>
      <c r="H32" s="35">
        <f t="array" ref="H32">MAX(IF('BA History S2'!B:B=A32, 'BA History S2'!C:C))</f>
        <v>21</v>
      </c>
      <c r="I32" s="34">
        <f>COUNTIFS('BA History S2'!B:B,A32,'BA History S2'!D:D, 1)</f>
        <v>1</v>
      </c>
      <c r="J32" s="2">
        <f>COUNTIFS('BA History S2'!B:B,A32,'BA History S2'!D:D, 0)</f>
        <v>3</v>
      </c>
      <c r="K32" s="75">
        <f>LOOKUP(2, 1/('BA History S2'!$B:$B=A32), 'BA History S2'!$AJ:$AJ)</f>
        <v>0.25</v>
      </c>
      <c r="L32" s="34">
        <f>SUMIFS('BA History S2'!F:F,'BA History S2'!B:B,A32)</f>
        <v>5</v>
      </c>
      <c r="M32" s="2">
        <f>SUMIFS('BA History S2'!E:E,'BA History S2'!B:B,A32)-L32</f>
        <v>11</v>
      </c>
      <c r="N32" s="75">
        <f>LOOKUP(2, 1/('BA History S2'!$B:$B=A32), 'BA History S2'!$AH:$AH)</f>
        <v>0.27500000000000002</v>
      </c>
      <c r="O32" s="34">
        <f>SUMIFS('BA History S2'!H:H,'BA History S2'!B:B,A32)</f>
        <v>25</v>
      </c>
      <c r="P32" s="2">
        <f>SUMIFS('BA History S2'!G:G,'BA History S2'!B:B,A32)-O32</f>
        <v>39</v>
      </c>
      <c r="Q32" s="89">
        <f>LOOKUP(2, 1/('BA History S2'!$B:$B=A32), 'BA History S2'!$AI:$AI)</f>
        <v>0.34</v>
      </c>
      <c r="R32" s="2">
        <f>COUNTIFS('BA History S2'!$B:$B,$A$32,'BA History S2'!K:K, 1)</f>
        <v>0</v>
      </c>
      <c r="S32" s="2">
        <f>COUNTIFS('BA History S2'!$B:$B,$A$32,'BA History S2'!L:L, 1)</f>
        <v>1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3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70</v>
      </c>
      <c r="B33" s="2" t="s">
        <v>79</v>
      </c>
      <c r="C33" s="2"/>
      <c r="D33" s="2"/>
      <c r="E33" s="2"/>
      <c r="F33" s="34">
        <f>SUMIFS('BA History S2'!C:C,'BA History S2'!B:B,A33)</f>
        <v>7</v>
      </c>
      <c r="G33" s="66">
        <f>AVERAGEIFS('BA History S2'!C:C,'BA History S2'!B:B,A33)</f>
        <v>7</v>
      </c>
      <c r="H33" s="35">
        <f t="array" ref="H33">MAX(IF('BA History S2'!B:B=A33, 'BA History S2'!C:C))</f>
        <v>7</v>
      </c>
      <c r="I33" s="34">
        <f>COUNTIFS('BA History S2'!B:B,A33,'BA History S2'!D:D, 1)</f>
        <v>0</v>
      </c>
      <c r="J33" s="2">
        <f>COUNTIFS('BA History S2'!B:B,A33,'BA History S2'!D:D, 0)</f>
        <v>1</v>
      </c>
      <c r="K33" s="75">
        <f>LOOKUP(2, 1/('BA History S2'!$B:$B=A33), 'BA History S2'!$AJ:$AJ)</f>
        <v>0</v>
      </c>
      <c r="L33" s="34">
        <f>SUMIFS('BA History S2'!F:F,'BA History S2'!B:B,A33)</f>
        <v>1</v>
      </c>
      <c r="M33" s="2">
        <f>SUMIFS('BA History S2'!E:E,'BA History S2'!B:B,A33)-L33</f>
        <v>3</v>
      </c>
      <c r="N33" s="75">
        <f>LOOKUP(2, 1/('BA History S2'!$B:$B=A33), 'BA History S2'!$AH:$AH)</f>
        <v>0.25</v>
      </c>
      <c r="O33" s="34">
        <f>SUMIFS('BA History S2'!H:H,'BA History S2'!B:B,A33)</f>
        <v>8</v>
      </c>
      <c r="P33" s="2">
        <f>SUMIFS('BA History S2'!G:G,'BA History S2'!B:B,A33)-O33</f>
        <v>10</v>
      </c>
      <c r="Q33" s="89">
        <f>LOOKUP(2, 1/('BA History S2'!$B:$B=A33), 'BA History S2'!$AI:$AI)</f>
        <v>0.44</v>
      </c>
      <c r="R33" s="2">
        <f>COUNTIFS('BA History S2'!$B:$B,$A$33,'BA History S2'!K:K, 1)</f>
        <v>0</v>
      </c>
      <c r="S33" s="2">
        <f>COUNTIFS('BA History S2'!$B:$B,$A$33,'BA History S2'!L:L, 1)</f>
        <v>0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4</v>
      </c>
      <c r="B34" s="1" t="s">
        <v>158</v>
      </c>
      <c r="C34" s="1">
        <v>1</v>
      </c>
      <c r="F34" s="34">
        <f>SUMIFS('BA History S2'!C:C,'BA History S2'!B:B,A34)</f>
        <v>276</v>
      </c>
      <c r="G34" s="66">
        <f>AVERAGEIFS('BA History S2'!C:C,'BA History S2'!B:B,A34)</f>
        <v>27.6</v>
      </c>
      <c r="H34" s="35">
        <f t="array" ref="H34">MAX(IF('BA History S2'!B:B=A34, 'BA History S2'!C:C))</f>
        <v>38</v>
      </c>
      <c r="I34" s="34">
        <f>COUNTIFS('BA History S2'!B:B,A34,'BA History S2'!D:D, 1)</f>
        <v>7</v>
      </c>
      <c r="J34" s="2">
        <f>COUNTIFS('BA History S2'!B:B,A34,'BA History S2'!D:D, 0)</f>
        <v>3</v>
      </c>
      <c r="K34" s="75">
        <f>LOOKUP(2, 1/('BA History S2'!$B:$B=A34), 'BA History S2'!$AJ:$AJ)</f>
        <v>0.7</v>
      </c>
      <c r="L34" s="34">
        <f>SUMIFS('BA History S2'!F:F,'BA History S2'!B:B,A34)</f>
        <v>25</v>
      </c>
      <c r="M34" s="2">
        <f>SUMIFS('BA History S2'!E:E,'BA History S2'!B:B,A34)-L34</f>
        <v>18</v>
      </c>
      <c r="N34" s="75">
        <f>LOOKUP(2, 1/('BA History S2'!$B:$B=A34), 'BA History S2'!$AH:$AH)</f>
        <v>0.59499999999999997</v>
      </c>
      <c r="O34" s="34">
        <f>SUMIFS('BA History S2'!H:H,'BA History S2'!B:B,A34)</f>
        <v>100</v>
      </c>
      <c r="P34" s="2">
        <f>SUMIFS('BA History S2'!G:G,'BA History S2'!B:B,A34)-O34</f>
        <v>87</v>
      </c>
      <c r="Q34" s="89">
        <f>LOOKUP(2, 1/('BA History S2'!$B:$B=A34), 'BA History S2'!$AI:$AI)</f>
        <v>0.54100000000000004</v>
      </c>
      <c r="R34" s="2">
        <f>COUNTIFS('BA History S2'!$B:$B,$A$34,'BA History S2'!K:K, 1)</f>
        <v>2</v>
      </c>
      <c r="S34" s="2">
        <f>COUNTIFS('BA History S2'!$B:$B,$A$34,'BA History S2'!L:L, 1)</f>
        <v>3</v>
      </c>
      <c r="T34" s="2">
        <f>COUNTIFS('BA History S2'!$B:$B,$A$34,'BA History S2'!M:M, 1)</f>
        <v>3</v>
      </c>
      <c r="U34" s="2">
        <f>COUNTIFS('BA History S2'!$B:$B,$A$34,'BA History S2'!N:N, 1)</f>
        <v>3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1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6</v>
      </c>
      <c r="AJ34" s="2">
        <f>COUNTIFS('BA History S2'!$B:$B,$A$34,'BA History S2'!AC:AC, 1)</f>
        <v>3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  <row r="35" spans="1:39" x14ac:dyDescent="0.25">
      <c r="A35" s="1" t="s">
        <v>107</v>
      </c>
      <c r="B35" s="2" t="s">
        <v>79</v>
      </c>
      <c r="C35" s="2"/>
      <c r="D35" s="2"/>
      <c r="E35" s="2"/>
      <c r="F35" s="34">
        <f>SUMIFS('BA History S2'!C:C,'BA History S2'!B:B,A35)</f>
        <v>241</v>
      </c>
      <c r="G35" s="66">
        <f>AVERAGEIFS('BA History S2'!C:C,'BA History S2'!B:B,A35)</f>
        <v>15.0625</v>
      </c>
      <c r="H35" s="35">
        <f t="array" ref="H35">MAX(IF('BA History S2'!B:B=A35, 'BA History S2'!C:C))</f>
        <v>27</v>
      </c>
      <c r="I35" s="34">
        <f>COUNTIFS('BA History S2'!B:B,A35,'BA History S2'!D:D, 1)</f>
        <v>9</v>
      </c>
      <c r="J35" s="2">
        <f>COUNTIFS('BA History S2'!B:B,A35,'BA History S2'!D:D, 0)</f>
        <v>7</v>
      </c>
      <c r="K35" s="75">
        <f>LOOKUP(2, 1/('BA History S2'!$B:$B=A35), 'BA History S2'!$AJ:$AJ)</f>
        <v>0.5625</v>
      </c>
      <c r="L35" s="34">
        <f>SUMIFS('BA History S2'!F:F,'BA History S2'!B:B,A35)</f>
        <v>31</v>
      </c>
      <c r="M35" s="2">
        <f>SUMIFS('BA History S2'!E:E,'BA History S2'!B:B,A35)-L35</f>
        <v>32</v>
      </c>
      <c r="N35" s="75">
        <f>LOOKUP(2, 1/('BA History S2'!$B:$B=A35), 'BA History S2'!$AH:$AH)</f>
        <v>0.46562499999999996</v>
      </c>
      <c r="O35" s="34">
        <f>SUMIFS('BA History S2'!H:H,'BA History S2'!B:B,A35)</f>
        <v>128</v>
      </c>
      <c r="P35" s="2">
        <f>SUMIFS('BA History S2'!G:G,'BA History S2'!B:B,A35)-O35</f>
        <v>130</v>
      </c>
      <c r="Q35" s="89">
        <f>LOOKUP(2, 1/('BA History S2'!$B:$B=A35), 'BA History S2'!$AI:$AI)</f>
        <v>0.48250000000000004</v>
      </c>
      <c r="R35" s="2">
        <f>COUNTIFS('BA History S2'!$B:$B,$A$35,'BA History S2'!K:K, 1)</f>
        <v>3</v>
      </c>
      <c r="S35" s="2">
        <f>COUNTIFS('BA History S2'!$B:$B,$A$35,'BA History S2'!L:L, 1)</f>
        <v>1</v>
      </c>
      <c r="T35" s="2">
        <f>COUNTIFS('BA History S2'!$B:$B,$A$35,'BA History S2'!M:M, 1)</f>
        <v>5</v>
      </c>
      <c r="U35" s="2">
        <f>COUNTIFS('BA History S2'!$B:$B,$A$35,'BA History S2'!N:N, 1)</f>
        <v>2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1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1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3</v>
      </c>
      <c r="AH35" s="2">
        <f>COUNTIFS('BA History S2'!$B:$B,$A$35,'BA History S2'!AA:AA, 1)</f>
        <v>0</v>
      </c>
      <c r="AI35" s="2">
        <f>COUNTIFS('BA History S2'!$B:$B,$A$35,'BA History S2'!AB:AB, 1)</f>
        <v>4</v>
      </c>
      <c r="AJ35" s="2">
        <f>COUNTIFS('BA History S2'!$B:$B,$A$35,'BA History S2'!AC:AC, 1)</f>
        <v>2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2</v>
      </c>
    </row>
  </sheetData>
  <autoFilter ref="A1:AM35" xr:uid="{DA548192-1F03-46EA-8AB8-115EB9A7CE5D}">
    <sortState xmlns:xlrd2="http://schemas.microsoft.com/office/spreadsheetml/2017/richdata2" ref="A2:AM35">
      <sortCondition ref="A1:A35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61"/>
  <sheetViews>
    <sheetView tabSelected="1" workbookViewId="0">
      <pane xSplit="2" ySplit="1" topLeftCell="K227" activePane="bottomRight" state="frozen"/>
      <selection pane="topRight" activeCell="C1" sqref="C1"/>
      <selection pane="bottomLeft" activeCell="A2" sqref="A2"/>
      <selection pane="bottomRight" activeCell="R266" sqref="R26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47236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47236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47236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47236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47236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47236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47236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47236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47236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47236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47236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47236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2026-04-30T01:32:46Z</dcterms:modified>
</cp:coreProperties>
</file>